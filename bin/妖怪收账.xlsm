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Sheet1!$A$1:$BV$79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61" i="1" l="1"/>
  <c r="BV61" i="1"/>
  <c r="BQ61" i="1"/>
  <c r="BQ71" i="1" l="1"/>
  <c r="BU32" i="1" l="1"/>
  <c r="BV32" i="1"/>
  <c r="BQ32" i="1"/>
  <c r="BU5" i="1" l="1"/>
  <c r="BV5" i="1"/>
  <c r="BQ5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69" i="1"/>
  <c r="BQ36" i="1"/>
  <c r="BQ25" i="1"/>
  <c r="BQ38" i="1"/>
  <c r="BQ59" i="1"/>
  <c r="BQ21" i="1"/>
  <c r="BQ60" i="1"/>
  <c r="BU69" i="1"/>
  <c r="BV69" i="1"/>
  <c r="BU36" i="1"/>
  <c r="BV36" i="1"/>
  <c r="BU25" i="1"/>
  <c r="BV25" i="1"/>
  <c r="BU38" i="1"/>
  <c r="BV38" i="1"/>
  <c r="BU59" i="1"/>
  <c r="BV59" i="1"/>
  <c r="BU21" i="1"/>
  <c r="BV21" i="1"/>
  <c r="BU60" i="1"/>
  <c r="BV60" i="1"/>
  <c r="BU2" i="1" l="1"/>
  <c r="BV2" i="1"/>
  <c r="BQ2" i="1"/>
  <c r="BU39" i="1" l="1"/>
  <c r="BV39" i="1"/>
  <c r="BU53" i="1"/>
  <c r="BV53" i="1"/>
  <c r="BQ39" i="1"/>
  <c r="BQ53" i="1"/>
  <c r="BU42" i="1" l="1"/>
  <c r="BV42" i="1"/>
  <c r="BU3" i="1"/>
  <c r="BV3" i="1"/>
  <c r="BU9" i="1"/>
  <c r="BV9" i="1"/>
  <c r="BU8" i="1"/>
  <c r="BV8" i="1"/>
  <c r="BU43" i="1"/>
  <c r="BV43" i="1"/>
  <c r="BU4" i="1"/>
  <c r="BV4" i="1"/>
  <c r="BU6" i="1"/>
  <c r="BV6" i="1"/>
  <c r="BU7" i="1"/>
  <c r="BV7" i="1"/>
  <c r="BU40" i="1"/>
  <c r="BV40" i="1"/>
  <c r="BU41" i="1"/>
  <c r="BV41" i="1"/>
  <c r="BU62" i="1"/>
  <c r="BV62" i="1"/>
  <c r="BU44" i="1"/>
  <c r="BV44" i="1"/>
  <c r="BU63" i="1"/>
  <c r="BV63" i="1"/>
  <c r="BU50" i="1"/>
  <c r="BV50" i="1"/>
  <c r="BU51" i="1"/>
  <c r="BV51" i="1"/>
  <c r="BU52" i="1"/>
  <c r="BV52" i="1"/>
  <c r="BU35" i="1"/>
  <c r="BV35" i="1"/>
  <c r="BU34" i="1"/>
  <c r="BV34" i="1"/>
  <c r="BU37" i="1"/>
  <c r="BV37" i="1"/>
  <c r="BU22" i="1"/>
  <c r="BV22" i="1"/>
  <c r="BU23" i="1"/>
  <c r="BV23" i="1"/>
  <c r="BU24" i="1"/>
  <c r="BV24" i="1"/>
  <c r="BU49" i="1"/>
  <c r="BV49" i="1"/>
  <c r="BU10" i="1"/>
  <c r="BV10" i="1"/>
  <c r="BU11" i="1"/>
  <c r="BV11" i="1"/>
  <c r="BU12" i="1"/>
  <c r="BV12" i="1"/>
  <c r="BU13" i="1"/>
  <c r="BV13" i="1"/>
  <c r="BU65" i="1"/>
  <c r="BV65" i="1"/>
  <c r="BU66" i="1"/>
  <c r="BV66" i="1"/>
  <c r="BU67" i="1"/>
  <c r="BV67" i="1"/>
  <c r="BU68" i="1"/>
  <c r="BV68" i="1"/>
  <c r="BU70" i="1"/>
  <c r="BV70" i="1"/>
  <c r="BU26" i="1"/>
  <c r="BV26" i="1"/>
  <c r="BU33" i="1"/>
  <c r="BV33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48" i="1"/>
  <c r="BV48" i="1"/>
  <c r="BU45" i="1"/>
  <c r="BV45" i="1"/>
  <c r="BU46" i="1"/>
  <c r="BV46" i="1"/>
  <c r="BU55" i="1"/>
  <c r="BV55" i="1"/>
  <c r="BU56" i="1"/>
  <c r="BV56" i="1"/>
  <c r="BU57" i="1"/>
  <c r="BV57" i="1"/>
  <c r="BU58" i="1"/>
  <c r="BV58" i="1"/>
  <c r="BU27" i="1"/>
  <c r="BV27" i="1"/>
  <c r="BQ37" i="1" l="1"/>
  <c r="BQ48" i="1"/>
  <c r="BD76" i="1" l="1"/>
  <c r="BD78" i="1" s="1"/>
  <c r="BD75" i="1"/>
  <c r="BD77" i="1" s="1"/>
  <c r="BD72" i="1"/>
  <c r="BD74" i="1" s="1"/>
  <c r="BE72" i="1" l="1"/>
  <c r="BE74" i="1" s="1"/>
  <c r="BF72" i="1"/>
  <c r="BF74" i="1" s="1"/>
  <c r="BG72" i="1"/>
  <c r="BG74" i="1" s="1"/>
  <c r="BH72" i="1"/>
  <c r="BH74" i="1" s="1"/>
  <c r="BI72" i="1"/>
  <c r="BI74" i="1" s="1"/>
  <c r="BJ72" i="1"/>
  <c r="BJ74" i="1" s="1"/>
  <c r="BE75" i="1"/>
  <c r="BE77" i="1" s="1"/>
  <c r="BF75" i="1"/>
  <c r="BF77" i="1" s="1"/>
  <c r="BG75" i="1"/>
  <c r="BG77" i="1" s="1"/>
  <c r="BH75" i="1"/>
  <c r="BH77" i="1" s="1"/>
  <c r="BI75" i="1"/>
  <c r="BI77" i="1" s="1"/>
  <c r="BJ75" i="1"/>
  <c r="BJ77" i="1" s="1"/>
  <c r="BE76" i="1"/>
  <c r="BE78" i="1" s="1"/>
  <c r="BF76" i="1"/>
  <c r="BF78" i="1" s="1"/>
  <c r="BG76" i="1"/>
  <c r="BG78" i="1" s="1"/>
  <c r="BH76" i="1"/>
  <c r="BH78" i="1" s="1"/>
  <c r="BI76" i="1"/>
  <c r="BI78" i="1" s="1"/>
  <c r="BJ76" i="1"/>
  <c r="BJ78" i="1" s="1"/>
  <c r="BU54" i="1" l="1"/>
  <c r="BV54" i="1"/>
  <c r="BU28" i="1"/>
  <c r="BV28" i="1"/>
  <c r="BU29" i="1"/>
  <c r="BV29" i="1"/>
  <c r="BU64" i="1"/>
  <c r="BV64" i="1"/>
  <c r="BU47" i="1"/>
  <c r="BV47" i="1"/>
  <c r="BU71" i="1"/>
  <c r="BV71" i="1"/>
  <c r="BU30" i="1"/>
  <c r="BV30" i="1"/>
  <c r="BU31" i="1"/>
  <c r="BV31" i="1"/>
  <c r="BQ15" i="1"/>
  <c r="BQ35" i="1"/>
  <c r="BQ24" i="1"/>
  <c r="BQ43" i="1" l="1"/>
  <c r="BQ68" i="1"/>
  <c r="BQ23" i="1"/>
  <c r="BQ57" i="1"/>
  <c r="BQ20" i="1"/>
  <c r="BQ63" i="1"/>
  <c r="BQ14" i="1"/>
  <c r="BQ4" i="1"/>
  <c r="BQ58" i="1"/>
  <c r="BQ70" i="1" l="1"/>
  <c r="BQ19" i="1"/>
  <c r="BQ22" i="1"/>
  <c r="BQ56" i="1"/>
  <c r="BQ50" i="1"/>
  <c r="BQ51" i="1"/>
  <c r="BQ52" i="1"/>
  <c r="BQ65" i="1"/>
  <c r="BQ66" i="1"/>
  <c r="BQ67" i="1"/>
  <c r="BQ9" i="1"/>
  <c r="BQ41" i="1"/>
  <c r="BQ62" i="1"/>
  <c r="BQ7" i="1"/>
  <c r="BQ34" i="1"/>
  <c r="F76" i="1" l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K76" i="1"/>
  <c r="BL76" i="1"/>
  <c r="BM76" i="1"/>
  <c r="BN76" i="1"/>
  <c r="BO76" i="1"/>
  <c r="BP76" i="1"/>
  <c r="E76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K75" i="1"/>
  <c r="BL75" i="1"/>
  <c r="BM75" i="1"/>
  <c r="BN75" i="1"/>
  <c r="BO75" i="1"/>
  <c r="BP75" i="1"/>
  <c r="E75" i="1"/>
  <c r="BK72" i="1"/>
  <c r="BL72" i="1"/>
  <c r="BM72" i="1"/>
  <c r="BN72" i="1"/>
  <c r="BO72" i="1"/>
  <c r="BP72" i="1"/>
  <c r="BC72" i="1"/>
  <c r="AX72" i="1"/>
  <c r="AY72" i="1"/>
  <c r="AZ72" i="1"/>
  <c r="BA72" i="1"/>
  <c r="BB72" i="1"/>
  <c r="AW72" i="1"/>
  <c r="AR72" i="1"/>
  <c r="AS72" i="1"/>
  <c r="AT72" i="1"/>
  <c r="AU72" i="1"/>
  <c r="AV72" i="1"/>
  <c r="AQ72" i="1"/>
  <c r="AF72" i="1"/>
  <c r="AG72" i="1"/>
  <c r="AH72" i="1"/>
  <c r="AI72" i="1"/>
  <c r="AJ72" i="1"/>
  <c r="AK72" i="1"/>
  <c r="AL72" i="1"/>
  <c r="AM72" i="1"/>
  <c r="AN72" i="1"/>
  <c r="AO72" i="1"/>
  <c r="AP72" i="1"/>
  <c r="AE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P72" i="1"/>
  <c r="F72" i="1"/>
  <c r="G72" i="1"/>
  <c r="H72" i="1"/>
  <c r="I72" i="1"/>
  <c r="J72" i="1"/>
  <c r="K72" i="1"/>
  <c r="L72" i="1"/>
  <c r="M72" i="1"/>
  <c r="N72" i="1"/>
  <c r="O72" i="1"/>
  <c r="E72" i="1"/>
  <c r="BC77" i="1" l="1"/>
  <c r="BK77" i="1"/>
  <c r="BL77" i="1"/>
  <c r="BM77" i="1"/>
  <c r="BN77" i="1"/>
  <c r="BO77" i="1"/>
  <c r="BP77" i="1"/>
  <c r="BC78" i="1"/>
  <c r="BK78" i="1"/>
  <c r="BL78" i="1"/>
  <c r="BM78" i="1"/>
  <c r="BN78" i="1"/>
  <c r="BO78" i="1"/>
  <c r="BP78" i="1"/>
  <c r="BA77" i="1"/>
  <c r="BB77" i="1"/>
  <c r="BA78" i="1"/>
  <c r="BB78" i="1"/>
  <c r="AQ77" i="1"/>
  <c r="AR77" i="1"/>
  <c r="AS77" i="1"/>
  <c r="AT77" i="1"/>
  <c r="AU77" i="1"/>
  <c r="AV77" i="1"/>
  <c r="AW77" i="1"/>
  <c r="AX77" i="1"/>
  <c r="AY77" i="1"/>
  <c r="AZ77" i="1"/>
  <c r="AQ78" i="1"/>
  <c r="AR78" i="1"/>
  <c r="AS78" i="1"/>
  <c r="AT78" i="1"/>
  <c r="AU78" i="1"/>
  <c r="AV78" i="1"/>
  <c r="AW78" i="1"/>
  <c r="AX78" i="1"/>
  <c r="AY78" i="1"/>
  <c r="AZ78" i="1"/>
  <c r="AI77" i="1"/>
  <c r="AJ77" i="1"/>
  <c r="AK77" i="1"/>
  <c r="AL77" i="1"/>
  <c r="AM77" i="1"/>
  <c r="AN77" i="1"/>
  <c r="AO77" i="1"/>
  <c r="AP77" i="1"/>
  <c r="AI78" i="1"/>
  <c r="AJ78" i="1"/>
  <c r="AK78" i="1"/>
  <c r="AL78" i="1"/>
  <c r="AM78" i="1"/>
  <c r="AN78" i="1"/>
  <c r="AO78" i="1"/>
  <c r="AP78" i="1"/>
  <c r="AC77" i="1"/>
  <c r="AD77" i="1"/>
  <c r="AE77" i="1"/>
  <c r="AF77" i="1"/>
  <c r="AG77" i="1"/>
  <c r="AH77" i="1"/>
  <c r="AC78" i="1"/>
  <c r="AD78" i="1"/>
  <c r="AE78" i="1"/>
  <c r="AF78" i="1"/>
  <c r="AG78" i="1"/>
  <c r="AH78" i="1"/>
  <c r="W77" i="1"/>
  <c r="X77" i="1"/>
  <c r="Y77" i="1"/>
  <c r="Z77" i="1"/>
  <c r="AA77" i="1"/>
  <c r="AB77" i="1"/>
  <c r="W78" i="1"/>
  <c r="X78" i="1"/>
  <c r="Y78" i="1"/>
  <c r="Z78" i="1"/>
  <c r="AA78" i="1"/>
  <c r="AB78" i="1"/>
  <c r="P77" i="1"/>
  <c r="Q77" i="1"/>
  <c r="R77" i="1"/>
  <c r="S77" i="1"/>
  <c r="T77" i="1"/>
  <c r="U77" i="1"/>
  <c r="V77" i="1"/>
  <c r="P78" i="1"/>
  <c r="Q78" i="1"/>
  <c r="R78" i="1"/>
  <c r="S78" i="1"/>
  <c r="T78" i="1"/>
  <c r="U78" i="1"/>
  <c r="V78" i="1"/>
  <c r="G77" i="1"/>
  <c r="H77" i="1"/>
  <c r="I77" i="1"/>
  <c r="J77" i="1"/>
  <c r="K77" i="1"/>
  <c r="L77" i="1"/>
  <c r="M77" i="1"/>
  <c r="N77" i="1"/>
  <c r="O77" i="1"/>
  <c r="G78" i="1"/>
  <c r="H78" i="1"/>
  <c r="I78" i="1"/>
  <c r="J78" i="1"/>
  <c r="K78" i="1"/>
  <c r="L78" i="1"/>
  <c r="M78" i="1"/>
  <c r="N78" i="1"/>
  <c r="O78" i="1"/>
  <c r="F77" i="1"/>
  <c r="F78" i="1"/>
  <c r="E78" i="1"/>
  <c r="E77" i="1"/>
  <c r="BQ10" i="1" l="1"/>
  <c r="BQ11" i="1"/>
  <c r="BQ12" i="1"/>
  <c r="BQ13" i="1"/>
  <c r="BQ26" i="1"/>
  <c r="BQ33" i="1"/>
  <c r="BQ40" i="1"/>
  <c r="BQ44" i="1"/>
  <c r="BQ45" i="1"/>
  <c r="BQ46" i="1"/>
  <c r="BQ49" i="1"/>
  <c r="BQ42" i="1"/>
  <c r="BQ64" i="1"/>
  <c r="BQ47" i="1"/>
  <c r="BQ16" i="1"/>
  <c r="BQ17" i="1"/>
  <c r="BQ18" i="1"/>
  <c r="BQ27" i="1"/>
  <c r="BQ8" i="1"/>
  <c r="BQ6" i="1"/>
  <c r="BQ3" i="1"/>
  <c r="BQ55" i="1"/>
  <c r="BQ54" i="1"/>
  <c r="BQ28" i="1"/>
  <c r="BQ29" i="1"/>
  <c r="BQ30" i="1"/>
  <c r="BQ31" i="1"/>
  <c r="BN74" i="1" l="1"/>
  <c r="AM74" i="1"/>
  <c r="L74" i="1"/>
  <c r="BL74" i="1"/>
  <c r="AJ74" i="1"/>
  <c r="AH74" i="1"/>
  <c r="AL74" i="1"/>
  <c r="BM74" i="1"/>
  <c r="J74" i="1"/>
  <c r="H74" i="1"/>
  <c r="G74" i="1"/>
  <c r="AE74" i="1"/>
  <c r="F74" i="1"/>
  <c r="BK74" i="1"/>
  <c r="AI74" i="1"/>
  <c r="I74" i="1"/>
  <c r="AG74" i="1"/>
  <c r="AF74" i="1"/>
  <c r="O74" i="1"/>
  <c r="BP74" i="1"/>
  <c r="N74" i="1"/>
  <c r="K74" i="1"/>
  <c r="AK74" i="1"/>
  <c r="E74" i="1"/>
  <c r="BO74" i="1"/>
  <c r="AN74" i="1"/>
  <c r="M74" i="1"/>
  <c r="AP74" i="1"/>
  <c r="BC74" i="1"/>
  <c r="AO74" i="1"/>
  <c r="V74" i="1"/>
  <c r="Y74" i="1"/>
  <c r="W74" i="1"/>
  <c r="S74" i="1"/>
  <c r="X74" i="1"/>
  <c r="R74" i="1"/>
  <c r="Z74" i="1"/>
  <c r="U74" i="1"/>
  <c r="T74" i="1"/>
  <c r="AC74" i="1"/>
  <c r="Q74" i="1"/>
  <c r="AB74" i="1"/>
  <c r="P74" i="1"/>
  <c r="AA74" i="1"/>
  <c r="AD74" i="1"/>
  <c r="AR74" i="1" l="1"/>
  <c r="AU74" i="1"/>
  <c r="BB74" i="1"/>
  <c r="AS74" i="1"/>
  <c r="AW74" i="1"/>
  <c r="AT74" i="1"/>
  <c r="AY74" i="1"/>
  <c r="AZ74" i="1"/>
  <c r="AV74" i="1"/>
  <c r="AQ74" i="1"/>
  <c r="AX74" i="1"/>
  <c r="BA74" i="1"/>
</calcChain>
</file>

<file path=xl/sharedStrings.xml><?xml version="1.0" encoding="utf-8"?>
<sst xmlns="http://schemas.openxmlformats.org/spreadsheetml/2006/main" count="564" uniqueCount="249">
  <si>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</si>
  <si>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</si>
  <si>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</si>
  <si>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</si>
  <si>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</si>
  <si>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</si>
  <si>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</si>
  <si>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</si>
  <si>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</si>
  <si>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</si>
  <si>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</si>
  <si>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</si>
  <si>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</si>
  <si>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</si>
  <si>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</si>
  <si>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</si>
  <si>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</si>
  <si>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</si>
  <si>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</si>
  <si>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</si>
  <si>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</si>
  <si>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</si>
  <si>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</si>
  <si>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</si>
  <si>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</si>
  <si>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</si>
  <si>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</si>
  <si>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</si>
  <si>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</si>
  <si>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</si>
  <si>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</si>
  <si>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</si>
  <si>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</si>
  <si>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</si>
  <si>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</si>
  <si>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</si>
  <si>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</si>
  <si>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</si>
  <si>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</si>
  <si>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</si>
  <si>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</si>
  <si>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</si>
  <si>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</si>
  <si>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</si>
  <si>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</si>
  <si>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</si>
  <si>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</si>
  <si>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</si>
  <si>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</si>
  <si>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</si>
  <si>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</si>
  <si>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</si>
  <si>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</si>
  <si>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</si>
  <si>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</si>
  <si>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</si>
  <si>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</si>
  <si>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</si>
  <si>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</si>
  <si>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</si>
  <si>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</si>
  <si>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</si>
  <si>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</si>
  <si>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</si>
  <si>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</si>
  <si>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</si>
  <si>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</si>
  <si>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</si>
  <si>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</si>
  <si>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</si>
  <si>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</si>
  <si>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</si>
  <si>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</si>
  <si>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</si>
  <si>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</si>
  <si>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</si>
  <si>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</si>
  <si>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</si>
  <si>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</si>
  <si>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</si>
  <si>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</si>
  <si>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</si>
  <si>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</si>
  <si>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</si>
  <si>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</si>
  <si>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</si>
  <si>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</si>
  <si>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</si>
  <si>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</si>
  <si>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</si>
  <si>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</si>
  <si>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</si>
  <si>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</si>
  <si>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</si>
  <si>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</si>
  <si>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</si>
  <si>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</si>
  <si>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</si>
  <si>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</si>
  <si>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</si>
  <si>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</si>
  <si>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</si>
  <si>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</si>
  <si>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</si>
  <si>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</si>
  <si>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</si>
  <si>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</si>
  <si>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</si>
  <si>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</si>
  <si>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</si>
  <si>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</si>
  <si>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</si>
  <si>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</si>
  <si>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</si>
  <si>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</si>
  <si>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</si>
  <si>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</si>
  <si>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</si>
  <si>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</si>
  <si>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</si>
  <si>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</si>
  <si>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</si>
  <si>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</si>
  <si>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</si>
  <si>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</si>
  <si>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</si>
  <si>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</si>
  <si>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</si>
  <si>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</si>
  <si>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</si>
  <si>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</si>
  <si>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</si>
  <si>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</si>
  <si>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</si>
  <si>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</si>
  <si>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</si>
  <si>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</si>
  <si>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</si>
  <si>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</si>
  <si>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</si>
  <si>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</si>
  <si>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</si>
  <si>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</si>
  <si>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</si>
  <si>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</si>
  <si>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</si>
  <si>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</si>
  <si>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</si>
  <si>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</si>
  <si>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</si>
  <si>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成年</t>
    <phoneticPr fontId="1" type="noConversion"/>
  </si>
  <si>
    <t>壮年</t>
    <phoneticPr fontId="1" type="noConversion"/>
  </si>
  <si>
    <t>成年</t>
    <phoneticPr fontId="1" type="noConversion"/>
  </si>
  <si>
    <t>壮年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</si>
  <si>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</si>
  <si>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</si>
  <si>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</si>
  <si>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</si>
  <si>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</si>
  <si>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</si>
  <si>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</si>
  <si>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</si>
  <si>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</si>
  <si>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</si>
  <si>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</si>
  <si>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</si>
  <si>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</si>
  <si>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</si>
  <si>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</si>
  <si>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</si>
  <si>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</si>
  <si>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</si>
  <si>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</si>
  <si>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</si>
  <si>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</si>
  <si>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</si>
  <si>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</si>
  <si>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</si>
  <si>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</si>
  <si>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</si>
  <si>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</si>
  <si>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</si>
  <si>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巨蟹小当家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</si>
  <si>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</si>
  <si>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</si>
  <si>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</si>
  <si>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</si>
  <si>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水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</si>
  <si>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</si>
  <si>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</si>
  <si>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</si>
  <si>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</si>
  <si>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</si>
  <si>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</si>
  <si>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光百合</t>
    <phoneticPr fontId="1" type="noConversion"/>
  </si>
  <si>
    <t>超</t>
    <phoneticPr fontId="1" type="noConversion"/>
  </si>
  <si>
    <t>桂花(5),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</si>
  <si>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</si>
  <si>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</si>
  <si>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</si>
  <si>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</si>
  <si>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尼露</t>
    <phoneticPr fontId="1" type="noConversion"/>
  </si>
  <si>
    <t>帝孙</t>
    <phoneticPr fontId="1" type="noConversion"/>
  </si>
  <si>
    <t>聚宝盆</t>
    <phoneticPr fontId="1" type="noConversion"/>
  </si>
  <si>
    <t>熊纹</t>
  </si>
  <si>
    <t>签帽</t>
  </si>
  <si>
    <t>签盒</t>
  </si>
  <si>
    <t>九星道师</t>
  </si>
  <si>
    <t>三彩</t>
  </si>
  <si>
    <t>二眼书童</t>
  </si>
  <si>
    <t>骰子中(5),</t>
  </si>
  <si>
    <t>欠条中(5),</t>
  </si>
  <si>
    <t>欠条中(5),_x000D_
筹码大(2),</t>
  </si>
  <si>
    <t>庄家令牌中(3),</t>
  </si>
  <si>
    <t>欠条中(5),_x000D_
骰子大(2),</t>
  </si>
  <si>
    <t>筹码大(10),</t>
  </si>
  <si>
    <t>欠条中(7),_x000D_
骰子大(7),</t>
  </si>
  <si>
    <t>欠条大(1),_x000D_
骰子大(2),</t>
  </si>
  <si>
    <t>欠条中(5),_x000D_
欠条大(1),</t>
  </si>
  <si>
    <t>欠条大(9),</t>
    <phoneticPr fontId="1" type="noConversion"/>
  </si>
  <si>
    <t>欠条大(9),</t>
    <phoneticPr fontId="1" type="noConversion"/>
  </si>
  <si>
    <t>欠条大(9),</t>
    <phoneticPr fontId="1" type="noConversion"/>
  </si>
  <si>
    <t>筹码大(2),_x000D_
庄家令牌中(3),</t>
    <phoneticPr fontId="1" type="noConversion"/>
  </si>
  <si>
    <t>骰子大(2),_x000D_
筹码大(2),_x000D_
庄家令牌中(3),</t>
    <phoneticPr fontId="1" type="noConversion"/>
  </si>
  <si>
    <t>骰子大(2),_x000D_
筹码大(2),_x000D_
庄家令牌中(3),</t>
    <phoneticPr fontId="1" type="noConversion"/>
  </si>
  <si>
    <t>欠条大(1),_x000D_
骰子大(2),</t>
    <phoneticPr fontId="1" type="noConversion"/>
  </si>
  <si>
    <t>欠条大(1),_x000D_
庄家令牌中(3),</t>
    <phoneticPr fontId="1" type="noConversion"/>
  </si>
  <si>
    <t>桂花酒(5),</t>
    <phoneticPr fontId="1" type="noConversion"/>
  </si>
  <si>
    <t>桂花(5),</t>
    <phoneticPr fontId="1" type="noConversion"/>
  </si>
  <si>
    <t>女娲石(3),</t>
    <phoneticPr fontId="1" type="noConversion"/>
  </si>
  <si>
    <t>金甲虫(18),</t>
    <phoneticPr fontId="1" type="noConversion"/>
  </si>
  <si>
    <t>筹码大(10),_x000D_
庄家令牌大(4),</t>
    <phoneticPr fontId="1" type="noConversion"/>
  </si>
  <si>
    <t>筹码大(10),_x000D_
庄家令牌大(4),</t>
    <phoneticPr fontId="1" type="noConversion"/>
  </si>
  <si>
    <t>幸运符文叉大(1),</t>
    <phoneticPr fontId="1" type="noConversion"/>
  </si>
  <si>
    <t>技巧符文叉大(27),</t>
    <phoneticPr fontId="1" type="noConversion"/>
  </si>
  <si>
    <t>超进阶素材光(47),</t>
    <phoneticPr fontId="1" type="noConversion"/>
  </si>
  <si>
    <t>金甲虫(168),</t>
    <phoneticPr fontId="1" type="noConversion"/>
  </si>
  <si>
    <t>欠条大(9),_x000D_
骰子大(10),</t>
    <phoneticPr fontId="1" type="noConversion"/>
  </si>
  <si>
    <t>神农鼎(7),_x000D_
欠条大(9),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</si>
  <si>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</si>
  <si>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</si>
  <si>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欠条大(9),_x000D_
庄家令牌大(4),</t>
    <phoneticPr fontId="1" type="noConversion"/>
  </si>
  <si>
    <t>骰子大(10),_x000D_
筹码大(10),_x000D_
庄家令牌大(4),</t>
    <phoneticPr fontId="1" type="noConversion"/>
  </si>
  <si>
    <t>女娲石(3),_x000D_
骰子大(10),_x000D_
庄家令牌大(4),</t>
    <phoneticPr fontId="1" type="noConversion"/>
  </si>
  <si>
    <t>女娲石(3),_x000D_
骰子大(10),_x000D_
庄家令牌大(4),</t>
    <phoneticPr fontId="1" type="noConversion"/>
  </si>
  <si>
    <t>愚山乾坤石(4),_x000D_
魅力符文叉大(23),</t>
    <phoneticPr fontId="1" type="noConversion"/>
  </si>
  <si>
    <t>神农鼎(7),_x000D_
欠条大(9),_x000D_
骰子大(10),</t>
    <phoneticPr fontId="1" type="noConversion"/>
  </si>
  <si>
    <t>欠条大(9),_x000D_
骰子大(10),_x000D_
庄家令牌大(4),</t>
    <phoneticPr fontId="1" type="noConversion"/>
  </si>
  <si>
    <t>桂花(5),_x000D_
桂花酒(5),_x000D_
灯笼(5),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</si>
</sst>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78</xdr:row>
          <xdr:rowOff>28575</xdr:rowOff>
        </xdr:from>
        <xdr:to>
          <xdr:col>1</xdr:col>
          <xdr:colOff>428625</xdr:colOff>
          <xdr:row>79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79"/>
  <sheetViews>
    <sheetView tabSelected="1" workbookViewId="0">
      <pane xSplit="2" ySplit="1" topLeftCell="AQ72" activePane="bottomRight" state="frozen"/>
      <selection pane="topRight" activeCell="C1" sqref="C1"/>
      <selection pane="bottomLeft" activeCell="A3" sqref="A3"/>
      <selection pane="bottomRight" activeCell="BT69" sqref="BT69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109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159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149</v>
      </c>
    </row>
    <row r="2" spans="1:74">
      <c r="A2" s="1"/>
      <c r="B2" s="1" t="s">
        <v>182</v>
      </c>
      <c r="C2" s="1" t="s">
        <v>21</v>
      </c>
      <c r="D2" s="1" t="s">
        <v>164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>
        <v>40</v>
      </c>
      <c r="AR2" s="4"/>
      <c r="AS2" s="4"/>
      <c r="AT2" s="4"/>
      <c r="AU2" s="4"/>
      <c r="AV2" s="4"/>
      <c r="AW2" s="2">
        <v>40</v>
      </c>
      <c r="AX2" s="2"/>
      <c r="AY2" s="2"/>
      <c r="AZ2" s="2"/>
      <c r="BA2" s="2">
        <v>40</v>
      </c>
      <c r="BB2" s="2"/>
      <c r="BC2" s="14">
        <v>10</v>
      </c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130</v>
      </c>
      <c r="BR2" s="1">
        <v>1</v>
      </c>
      <c r="BS2" s="17">
        <v>1</v>
      </c>
      <c r="BT2" s="17" t="s">
        <v>233</v>
      </c>
      <c r="BU2">
        <f>SUM(P2:AD2)</f>
        <v>0</v>
      </c>
      <c r="BV2" s="23">
        <f>AF2+AH2+AI2+AJ2+AO2+AP2</f>
        <v>0</v>
      </c>
    </row>
    <row r="3" spans="1:74">
      <c r="A3" s="1"/>
      <c r="B3" s="1" t="s">
        <v>208</v>
      </c>
      <c r="C3" s="1" t="s">
        <v>106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>
        <v>10</v>
      </c>
      <c r="W3" s="27"/>
      <c r="X3" s="27"/>
      <c r="Y3" s="27">
        <v>10</v>
      </c>
      <c r="Z3" s="27"/>
      <c r="AA3" s="27"/>
      <c r="AB3" s="27">
        <v>10</v>
      </c>
      <c r="AC3" s="27">
        <v>5</v>
      </c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3</v>
      </c>
      <c r="BS3" s="17">
        <v>1</v>
      </c>
      <c r="BT3" s="17" t="s">
        <v>213</v>
      </c>
      <c r="BU3">
        <f>SUM(P3:AD3)</f>
        <v>35</v>
      </c>
      <c r="BV3" s="23">
        <f>AF3+AH3+AI3+AJ3+AO3+AP3</f>
        <v>0</v>
      </c>
    </row>
    <row r="4" spans="1:74">
      <c r="A4" s="1"/>
      <c r="B4" s="1" t="s">
        <v>180</v>
      </c>
      <c r="C4" s="1" t="s">
        <v>45</v>
      </c>
      <c r="D4" s="1" t="s">
        <v>150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/>
      <c r="Q4" s="27"/>
      <c r="R4" s="27"/>
      <c r="S4" s="27"/>
      <c r="T4" s="27"/>
      <c r="U4" s="27"/>
      <c r="V4" s="27">
        <v>10</v>
      </c>
      <c r="W4" s="27"/>
      <c r="X4" s="27"/>
      <c r="Y4" s="27">
        <v>10</v>
      </c>
      <c r="Z4" s="27"/>
      <c r="AA4" s="27"/>
      <c r="AB4" s="27">
        <v>10</v>
      </c>
      <c r="AC4" s="27">
        <v>5</v>
      </c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3</v>
      </c>
      <c r="BS4" s="17">
        <v>1</v>
      </c>
      <c r="BT4" s="17" t="s">
        <v>213</v>
      </c>
      <c r="BU4">
        <f>SUM(P4:AD4)</f>
        <v>35</v>
      </c>
      <c r="BV4" s="23">
        <f>AF4+AH4+AI4+AJ4+AO4+AP4</f>
        <v>0</v>
      </c>
    </row>
    <row r="5" spans="1:74">
      <c r="A5" s="1"/>
      <c r="B5" s="3" t="s">
        <v>194</v>
      </c>
      <c r="C5" s="1" t="s">
        <v>43</v>
      </c>
      <c r="D5" s="1" t="s">
        <v>8</v>
      </c>
      <c r="E5" s="6"/>
      <c r="F5" s="6"/>
      <c r="G5" s="6">
        <v>10</v>
      </c>
      <c r="H5" s="6"/>
      <c r="I5" s="6"/>
      <c r="J5" s="6"/>
      <c r="K5" s="6"/>
      <c r="L5" s="6"/>
      <c r="M5" s="6"/>
      <c r="N5" s="6"/>
      <c r="O5" s="6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>
        <v>10</v>
      </c>
      <c r="AU5" s="4"/>
      <c r="AV5" s="4"/>
      <c r="AW5" s="2"/>
      <c r="AX5" s="2"/>
      <c r="AY5" s="2"/>
      <c r="AZ5" s="2"/>
      <c r="BA5" s="2"/>
      <c r="BB5" s="2"/>
      <c r="BC5" s="14"/>
      <c r="BD5" s="1">
        <v>10</v>
      </c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30</v>
      </c>
      <c r="BR5" s="1">
        <v>3</v>
      </c>
      <c r="BS5" s="17">
        <v>1</v>
      </c>
      <c r="BT5" s="17" t="s">
        <v>229</v>
      </c>
      <c r="BU5">
        <f>SUM(P5:AD5)</f>
        <v>0</v>
      </c>
      <c r="BV5" s="23">
        <f>AF5+AH5+AI5+AJ5+AO5+AP5</f>
        <v>0</v>
      </c>
    </row>
    <row r="6" spans="1:74">
      <c r="A6" s="1"/>
      <c r="B6" s="1" t="s">
        <v>97</v>
      </c>
      <c r="C6" s="1" t="s">
        <v>85</v>
      </c>
      <c r="D6" s="1" t="s">
        <v>86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/>
      <c r="W6" s="27">
        <v>5</v>
      </c>
      <c r="X6" s="27"/>
      <c r="Y6" s="27"/>
      <c r="Z6" s="27"/>
      <c r="AA6" s="27"/>
      <c r="AB6" s="27">
        <v>10</v>
      </c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5</v>
      </c>
      <c r="BS6" s="17">
        <v>1</v>
      </c>
      <c r="BT6" s="17" t="s">
        <v>210</v>
      </c>
      <c r="BU6">
        <f>SUM(P6:AD6)</f>
        <v>35</v>
      </c>
      <c r="BV6" s="23">
        <f>AF6+AH6+AI6+AJ6+AO6+AP6</f>
        <v>0</v>
      </c>
    </row>
    <row r="7" spans="1:74">
      <c r="A7" s="1"/>
      <c r="B7" s="3" t="s">
        <v>146</v>
      </c>
      <c r="C7" s="3" t="s">
        <v>84</v>
      </c>
      <c r="D7" s="1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>
        <v>10</v>
      </c>
      <c r="Q7" s="27"/>
      <c r="R7" s="27"/>
      <c r="S7" s="27">
        <v>10</v>
      </c>
      <c r="T7" s="27"/>
      <c r="U7" s="27"/>
      <c r="V7" s="27"/>
      <c r="W7" s="27">
        <v>5</v>
      </c>
      <c r="X7" s="27"/>
      <c r="Y7" s="27"/>
      <c r="Z7" s="27"/>
      <c r="AA7" s="27"/>
      <c r="AB7" s="27">
        <v>10</v>
      </c>
      <c r="AC7" s="27"/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5</v>
      </c>
      <c r="BS7" s="17">
        <v>1</v>
      </c>
      <c r="BT7" s="17" t="s">
        <v>210</v>
      </c>
      <c r="BU7">
        <f>SUM(P7:AD7)</f>
        <v>35</v>
      </c>
      <c r="BV7" s="23">
        <f>AF7+AH7+AI7+AJ7+AO7+AP7</f>
        <v>0</v>
      </c>
    </row>
    <row r="8" spans="1:74">
      <c r="A8" s="1"/>
      <c r="B8" s="1" t="s">
        <v>178</v>
      </c>
      <c r="C8" s="1" t="s">
        <v>108</v>
      </c>
      <c r="D8" s="1" t="s">
        <v>87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/>
      <c r="Z8" s="27">
        <v>5</v>
      </c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30</v>
      </c>
      <c r="BR8" s="1">
        <v>5</v>
      </c>
      <c r="BS8" s="17">
        <v>1</v>
      </c>
      <c r="BT8" s="17" t="s">
        <v>211</v>
      </c>
      <c r="BU8">
        <f>SUM(P8:AD8)</f>
        <v>30</v>
      </c>
      <c r="BV8" s="23">
        <f>AF8+AH8+AI8+AJ8+AO8+AP8</f>
        <v>0</v>
      </c>
    </row>
    <row r="9" spans="1:74">
      <c r="A9" s="1"/>
      <c r="B9" s="3" t="s">
        <v>147</v>
      </c>
      <c r="C9" s="3" t="s">
        <v>43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7"/>
      <c r="Q9" s="27">
        <v>5</v>
      </c>
      <c r="R9" s="27"/>
      <c r="S9" s="27"/>
      <c r="T9" s="27"/>
      <c r="U9" s="27"/>
      <c r="V9" s="27">
        <v>10</v>
      </c>
      <c r="W9" s="27"/>
      <c r="X9" s="27"/>
      <c r="Y9" s="27">
        <v>10</v>
      </c>
      <c r="Z9" s="27"/>
      <c r="AA9" s="27"/>
      <c r="AB9" s="27">
        <v>10</v>
      </c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5</v>
      </c>
      <c r="BS9" s="17">
        <v>1</v>
      </c>
      <c r="BT9" s="17" t="s">
        <v>211</v>
      </c>
      <c r="BU9">
        <f>SUM(P9:AD9)</f>
        <v>35</v>
      </c>
      <c r="BV9" s="23">
        <f>AF9+AH9+AI9+AJ9+AO9+AP9</f>
        <v>0</v>
      </c>
    </row>
    <row r="10" spans="1:74">
      <c r="A10" s="18">
        <v>32</v>
      </c>
      <c r="B10" s="18" t="s">
        <v>53</v>
      </c>
      <c r="C10" s="18" t="s">
        <v>21</v>
      </c>
      <c r="D10" s="18" t="s">
        <v>17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8"/>
      <c r="AF10" s="18"/>
      <c r="AG10" s="18"/>
      <c r="AH10" s="18"/>
      <c r="AI10" s="18">
        <v>5</v>
      </c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5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>
        <f>SUM(E10:BP10)</f>
        <v>5</v>
      </c>
      <c r="BR10" s="18">
        <v>5</v>
      </c>
      <c r="BS10" s="22">
        <v>1</v>
      </c>
      <c r="BT10" s="22" t="s">
        <v>227</v>
      </c>
      <c r="BU10">
        <f>SUM(P10:AD10)</f>
        <v>0</v>
      </c>
      <c r="BV10" s="23">
        <f>AF10+AH10+AI10+AJ10+AO10+AP10</f>
        <v>5</v>
      </c>
    </row>
    <row r="11" spans="1:74">
      <c r="A11" s="18">
        <v>33</v>
      </c>
      <c r="B11" s="18" t="s">
        <v>53</v>
      </c>
      <c r="C11" s="18" t="s">
        <v>21</v>
      </c>
      <c r="D11" s="18" t="s">
        <v>0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8"/>
      <c r="AF11" s="18"/>
      <c r="AG11" s="18"/>
      <c r="AH11" s="18">
        <v>5</v>
      </c>
      <c r="AI11" s="18"/>
      <c r="AJ11" s="18"/>
      <c r="AK11" s="18"/>
      <c r="AL11" s="18"/>
      <c r="AM11" s="18"/>
      <c r="AN11" s="18"/>
      <c r="AO11" s="18"/>
      <c r="AP11" s="18"/>
      <c r="AQ11" s="20"/>
      <c r="AR11" s="20"/>
      <c r="AS11" s="20"/>
      <c r="AT11" s="20"/>
      <c r="AU11" s="20"/>
      <c r="AV11" s="20"/>
      <c r="AW11" s="21"/>
      <c r="AX11" s="21"/>
      <c r="AY11" s="21"/>
      <c r="AZ11" s="21"/>
      <c r="BA11" s="21"/>
      <c r="BB11" s="21"/>
      <c r="BC11" s="25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>
        <f>SUM(E11:BP11)</f>
        <v>5</v>
      </c>
      <c r="BR11" s="18">
        <v>5</v>
      </c>
      <c r="BS11" s="22">
        <v>1</v>
      </c>
      <c r="BT11" s="22" t="s">
        <v>228</v>
      </c>
      <c r="BU11">
        <f>SUM(P11:AD11)</f>
        <v>0</v>
      </c>
      <c r="BV11" s="23">
        <f>AF11+AH11+AI11+AJ11+AO11+AP11</f>
        <v>5</v>
      </c>
    </row>
    <row r="12" spans="1:74">
      <c r="A12" s="18"/>
      <c r="B12" s="18" t="s">
        <v>82</v>
      </c>
      <c r="C12" s="18" t="s">
        <v>80</v>
      </c>
      <c r="D12" s="18" t="s">
        <v>77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8"/>
      <c r="AF12" s="18"/>
      <c r="AG12" s="18"/>
      <c r="AH12" s="18">
        <v>5</v>
      </c>
      <c r="AI12" s="18"/>
      <c r="AJ12" s="18"/>
      <c r="AK12" s="18"/>
      <c r="AL12" s="18"/>
      <c r="AM12" s="18"/>
      <c r="AN12" s="18"/>
      <c r="AO12" s="18"/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5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>
        <f>SUM(E12:BP12)</f>
        <v>5</v>
      </c>
      <c r="BR12" s="18">
        <v>5</v>
      </c>
      <c r="BS12" s="22">
        <v>1</v>
      </c>
      <c r="BT12" s="22" t="s">
        <v>196</v>
      </c>
      <c r="BU12">
        <f>SUM(P12:AD12)</f>
        <v>0</v>
      </c>
      <c r="BV12" s="23">
        <f>AF12+AH12+AI12+AJ12+AO12+AP12</f>
        <v>5</v>
      </c>
    </row>
    <row r="13" spans="1:74">
      <c r="A13" s="18"/>
      <c r="B13" s="18" t="s">
        <v>82</v>
      </c>
      <c r="C13" s="18" t="s">
        <v>80</v>
      </c>
      <c r="D13" s="18" t="s">
        <v>73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8"/>
      <c r="AF13" s="18"/>
      <c r="AG13" s="18"/>
      <c r="AH13" s="18"/>
      <c r="AI13" s="18">
        <v>5</v>
      </c>
      <c r="AJ13" s="18"/>
      <c r="AK13" s="18"/>
      <c r="AL13" s="18"/>
      <c r="AM13" s="18"/>
      <c r="AN13" s="18"/>
      <c r="AO13" s="18"/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5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>
        <f>SUM(E13:BP13)</f>
        <v>5</v>
      </c>
      <c r="BR13" s="18">
        <v>5</v>
      </c>
      <c r="BS13" s="22">
        <v>1</v>
      </c>
      <c r="BT13" s="22" t="s">
        <v>227</v>
      </c>
      <c r="BU13">
        <f>SUM(P13:AD13)</f>
        <v>0</v>
      </c>
      <c r="BV13" s="23">
        <f>AF13+AH13+AI13+AJ13+AO13+AP13</f>
        <v>5</v>
      </c>
    </row>
    <row r="14" spans="1:74">
      <c r="A14" s="1"/>
      <c r="B14" s="1" t="s">
        <v>167</v>
      </c>
      <c r="C14" s="1" t="s">
        <v>45</v>
      </c>
      <c r="D14" s="1" t="s">
        <v>151</v>
      </c>
      <c r="E14" s="6"/>
      <c r="F14" s="6"/>
      <c r="G14" s="6"/>
      <c r="H14" s="6"/>
      <c r="I14" s="6"/>
      <c r="J14" s="6"/>
      <c r="K14" s="6"/>
      <c r="L14" s="6">
        <v>10</v>
      </c>
      <c r="M14" s="6"/>
      <c r="N14" s="6"/>
      <c r="O14" s="6"/>
      <c r="P14" s="27"/>
      <c r="Q14" s="27"/>
      <c r="R14" s="27">
        <v>10</v>
      </c>
      <c r="S14" s="27"/>
      <c r="T14" s="27"/>
      <c r="U14" s="27">
        <v>10</v>
      </c>
      <c r="V14" s="27"/>
      <c r="W14" s="27"/>
      <c r="X14" s="27"/>
      <c r="Y14" s="27"/>
      <c r="Z14" s="27"/>
      <c r="AA14" s="27"/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>
        <v>10</v>
      </c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40</v>
      </c>
      <c r="BR14" s="1">
        <v>9</v>
      </c>
      <c r="BS14" s="17">
        <v>1</v>
      </c>
      <c r="BT14" s="17" t="s">
        <v>219</v>
      </c>
      <c r="BU14">
        <f>SUM(P14:AD14)</f>
        <v>20</v>
      </c>
      <c r="BV14" s="23">
        <f>AF14+AH14+AI14+AJ14+AO14+AP14</f>
        <v>0</v>
      </c>
    </row>
    <row r="15" spans="1:74">
      <c r="A15" s="1"/>
      <c r="B15" s="1" t="s">
        <v>165</v>
      </c>
      <c r="C15" s="1" t="s">
        <v>45</v>
      </c>
      <c r="D15" s="1" t="s">
        <v>153</v>
      </c>
      <c r="E15" s="6"/>
      <c r="F15" s="6"/>
      <c r="G15" s="6"/>
      <c r="H15" s="6"/>
      <c r="I15" s="6"/>
      <c r="J15" s="6"/>
      <c r="K15" s="6"/>
      <c r="L15" s="6">
        <v>10</v>
      </c>
      <c r="M15" s="6"/>
      <c r="N15" s="6"/>
      <c r="O15" s="6"/>
      <c r="P15" s="27"/>
      <c r="Q15" s="27"/>
      <c r="R15" s="27">
        <v>10</v>
      </c>
      <c r="S15" s="27"/>
      <c r="T15" s="27"/>
      <c r="U15" s="27">
        <v>10</v>
      </c>
      <c r="V15" s="27"/>
      <c r="W15" s="27"/>
      <c r="X15" s="27"/>
      <c r="Y15" s="27"/>
      <c r="Z15" s="27"/>
      <c r="AA15" s="27"/>
      <c r="AB15" s="27"/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9</v>
      </c>
      <c r="BS15" s="17">
        <v>1</v>
      </c>
      <c r="BT15" s="17" t="s">
        <v>219</v>
      </c>
      <c r="BU15">
        <f>SUM(P15:AD15)</f>
        <v>20</v>
      </c>
      <c r="BV15" s="23">
        <f>AF15+AH15+AI15+AJ15+AO15+AP15</f>
        <v>0</v>
      </c>
    </row>
    <row r="16" spans="1:74">
      <c r="A16" s="1"/>
      <c r="B16" s="1" t="s">
        <v>175</v>
      </c>
      <c r="C16" s="1" t="s">
        <v>102</v>
      </c>
      <c r="D16" s="1" t="s">
        <v>88</v>
      </c>
      <c r="E16" s="6">
        <v>10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/>
      <c r="R16" s="27">
        <v>10</v>
      </c>
      <c r="S16" s="27"/>
      <c r="T16" s="27"/>
      <c r="U16" s="27">
        <v>10</v>
      </c>
      <c r="V16" s="27"/>
      <c r="W16" s="27"/>
      <c r="X16" s="27"/>
      <c r="Y16" s="27"/>
      <c r="Z16" s="27"/>
      <c r="AA16" s="27"/>
      <c r="AB16" s="27"/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>
        <v>10</v>
      </c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9</v>
      </c>
      <c r="BS16" s="17">
        <v>1</v>
      </c>
      <c r="BT16" s="17" t="s">
        <v>220</v>
      </c>
      <c r="BU16">
        <f>SUM(P16:AD16)</f>
        <v>20</v>
      </c>
      <c r="BV16" s="23">
        <f>AF16+AH16+AI16+AJ16+AO16+AP16</f>
        <v>0</v>
      </c>
    </row>
    <row r="17" spans="1:74">
      <c r="A17" s="1"/>
      <c r="B17" s="1" t="s">
        <v>209</v>
      </c>
      <c r="C17" s="1" t="s">
        <v>105</v>
      </c>
      <c r="D17" s="1" t="s">
        <v>88</v>
      </c>
      <c r="E17" s="6">
        <v>10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/>
      <c r="R17" s="27">
        <v>10</v>
      </c>
      <c r="S17" s="27"/>
      <c r="T17" s="27"/>
      <c r="U17" s="27">
        <v>10</v>
      </c>
      <c r="V17" s="27"/>
      <c r="W17" s="27"/>
      <c r="X17" s="27"/>
      <c r="Y17" s="27"/>
      <c r="Z17" s="27"/>
      <c r="AA17" s="27"/>
      <c r="AB17" s="27"/>
      <c r="AC17" s="27"/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>
        <v>10</v>
      </c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9</v>
      </c>
      <c r="BS17" s="17">
        <v>1</v>
      </c>
      <c r="BT17" s="17" t="s">
        <v>221</v>
      </c>
      <c r="BU17">
        <f>SUM(P17:AD17)</f>
        <v>20</v>
      </c>
      <c r="BV17" s="23">
        <f>AF17+AH17+AI17+AJ17+AO17+AP17</f>
        <v>0</v>
      </c>
    </row>
    <row r="18" spans="1:74">
      <c r="A18" s="29"/>
      <c r="B18" s="29" t="s">
        <v>163</v>
      </c>
      <c r="C18" s="29" t="s">
        <v>108</v>
      </c>
      <c r="D18" s="29" t="s">
        <v>88</v>
      </c>
      <c r="E18" s="30">
        <v>10</v>
      </c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1"/>
      <c r="Q18" s="31"/>
      <c r="R18" s="31">
        <v>10</v>
      </c>
      <c r="S18" s="31"/>
      <c r="T18" s="31"/>
      <c r="U18" s="31">
        <v>10</v>
      </c>
      <c r="V18" s="31"/>
      <c r="W18" s="31"/>
      <c r="X18" s="31"/>
      <c r="Y18" s="31"/>
      <c r="Z18" s="31"/>
      <c r="AA18" s="31"/>
      <c r="AB18" s="31"/>
      <c r="AC18" s="31"/>
      <c r="AD18" s="31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32"/>
      <c r="AR18" s="32"/>
      <c r="AS18" s="32"/>
      <c r="AT18" s="32"/>
      <c r="AU18" s="32">
        <v>10</v>
      </c>
      <c r="AV18" s="32"/>
      <c r="AW18" s="33"/>
      <c r="AX18" s="33"/>
      <c r="AY18" s="33"/>
      <c r="AZ18" s="33"/>
      <c r="BA18" s="33"/>
      <c r="BB18" s="33"/>
      <c r="BC18" s="34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>
        <f>SUM(E18:BP18)</f>
        <v>40</v>
      </c>
      <c r="BR18" s="29">
        <v>9</v>
      </c>
      <c r="BS18" s="35">
        <v>1</v>
      </c>
      <c r="BT18" s="35" t="s">
        <v>221</v>
      </c>
      <c r="BU18">
        <f>SUM(P18:AD18)</f>
        <v>20</v>
      </c>
      <c r="BV18" s="23">
        <f>AF18+AH18+AI18+AJ18+AO18+AP18</f>
        <v>0</v>
      </c>
    </row>
    <row r="19" spans="1:74">
      <c r="A19" s="1"/>
      <c r="B19" s="3" t="s">
        <v>148</v>
      </c>
      <c r="C19" s="3" t="s">
        <v>43</v>
      </c>
      <c r="D19" s="1" t="s">
        <v>142</v>
      </c>
      <c r="E19" s="6">
        <v>10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7"/>
      <c r="Q19" s="27"/>
      <c r="R19" s="27">
        <v>10</v>
      </c>
      <c r="S19" s="27"/>
      <c r="T19" s="27"/>
      <c r="U19" s="27">
        <v>10</v>
      </c>
      <c r="V19" s="27"/>
      <c r="W19" s="27"/>
      <c r="X19" s="27"/>
      <c r="Y19" s="27"/>
      <c r="Z19" s="27"/>
      <c r="AA19" s="27"/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10</v>
      </c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9</v>
      </c>
      <c r="BS19" s="17">
        <v>1</v>
      </c>
      <c r="BT19" s="17" t="s">
        <v>221</v>
      </c>
      <c r="BU19">
        <f>SUM(P19:AD19)</f>
        <v>20</v>
      </c>
      <c r="BV19" s="23">
        <f>AF19+AH19+AI19+AJ19+AO19+AP19</f>
        <v>0</v>
      </c>
    </row>
    <row r="20" spans="1:74">
      <c r="A20" s="1"/>
      <c r="B20" s="1" t="s">
        <v>166</v>
      </c>
      <c r="C20" s="1" t="s">
        <v>45</v>
      </c>
      <c r="D20" s="1" t="s">
        <v>151</v>
      </c>
      <c r="E20" s="6">
        <v>10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7"/>
      <c r="Q20" s="27"/>
      <c r="R20" s="27">
        <v>10</v>
      </c>
      <c r="S20" s="27"/>
      <c r="T20" s="27"/>
      <c r="U20" s="27">
        <v>10</v>
      </c>
      <c r="V20" s="27"/>
      <c r="W20" s="27"/>
      <c r="X20" s="27"/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>
        <v>10</v>
      </c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9</v>
      </c>
      <c r="BS20" s="17">
        <v>1</v>
      </c>
      <c r="BT20" s="17" t="s">
        <v>221</v>
      </c>
      <c r="BU20">
        <f>SUM(P20:AD20)</f>
        <v>20</v>
      </c>
      <c r="BV20" s="23">
        <f>AF20+AH20+AI20+AJ20+AO20+AP20</f>
        <v>0</v>
      </c>
    </row>
    <row r="21" spans="1:74">
      <c r="A21" s="1"/>
      <c r="B21" s="3" t="s">
        <v>207</v>
      </c>
      <c r="C21" s="3" t="s">
        <v>108</v>
      </c>
      <c r="D21" s="1" t="s">
        <v>142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7"/>
      <c r="Q21" s="27"/>
      <c r="R21" s="27">
        <v>10</v>
      </c>
      <c r="S21" s="27"/>
      <c r="T21" s="27"/>
      <c r="U21" s="27">
        <v>10</v>
      </c>
      <c r="V21" s="27"/>
      <c r="W21" s="27"/>
      <c r="X21" s="27"/>
      <c r="Y21" s="27"/>
      <c r="Z21" s="27"/>
      <c r="AA21" s="27"/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9</v>
      </c>
      <c r="BS21" s="17">
        <v>1</v>
      </c>
      <c r="BT21" s="17" t="s">
        <v>220</v>
      </c>
      <c r="BU21">
        <f>SUM(P21:AD21)</f>
        <v>20</v>
      </c>
      <c r="BV21" s="23">
        <f>AF21+AH21+AI21+AJ21+AO21+AP21</f>
        <v>0</v>
      </c>
    </row>
    <row r="22" spans="1:74">
      <c r="A22" s="1"/>
      <c r="B22" s="1" t="s">
        <v>208</v>
      </c>
      <c r="C22" s="1" t="s">
        <v>106</v>
      </c>
      <c r="D22" s="1" t="s">
        <v>88</v>
      </c>
      <c r="E22" s="6"/>
      <c r="F22" s="6"/>
      <c r="G22" s="6"/>
      <c r="H22" s="6"/>
      <c r="I22" s="6"/>
      <c r="J22" s="6">
        <v>10</v>
      </c>
      <c r="K22" s="6"/>
      <c r="L22" s="6"/>
      <c r="M22" s="6"/>
      <c r="N22" s="6"/>
      <c r="O22" s="6"/>
      <c r="P22" s="27"/>
      <c r="Q22" s="27"/>
      <c r="R22" s="27"/>
      <c r="S22" s="27"/>
      <c r="T22" s="27"/>
      <c r="U22" s="27">
        <v>10</v>
      </c>
      <c r="V22" s="27"/>
      <c r="W22" s="27"/>
      <c r="X22" s="27"/>
      <c r="Y22" s="27"/>
      <c r="Z22" s="27"/>
      <c r="AA22" s="27">
        <v>10</v>
      </c>
      <c r="AB22" s="27"/>
      <c r="AC22" s="27"/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>
        <v>10</v>
      </c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10</v>
      </c>
      <c r="BS22" s="17">
        <v>1</v>
      </c>
      <c r="BT22" s="17" t="s">
        <v>215</v>
      </c>
      <c r="BU22">
        <f>SUM(P22:AD22)</f>
        <v>20</v>
      </c>
      <c r="BV22" s="23">
        <f>AF22+AH22+AI22+AJ22+AO22+AP22</f>
        <v>0</v>
      </c>
    </row>
    <row r="23" spans="1:74">
      <c r="A23" s="1"/>
      <c r="B23" s="1" t="s">
        <v>174</v>
      </c>
      <c r="C23" s="1" t="s">
        <v>102</v>
      </c>
      <c r="D23" s="1" t="s">
        <v>151</v>
      </c>
      <c r="E23" s="6"/>
      <c r="F23" s="6"/>
      <c r="G23" s="6"/>
      <c r="H23" s="6"/>
      <c r="I23" s="6"/>
      <c r="J23" s="6">
        <v>10</v>
      </c>
      <c r="K23" s="6"/>
      <c r="L23" s="6"/>
      <c r="M23" s="6"/>
      <c r="N23" s="6"/>
      <c r="O23" s="6"/>
      <c r="P23" s="27"/>
      <c r="Q23" s="27"/>
      <c r="R23" s="27"/>
      <c r="S23" s="27"/>
      <c r="T23" s="27"/>
      <c r="U23" s="27">
        <v>10</v>
      </c>
      <c r="V23" s="27"/>
      <c r="W23" s="27"/>
      <c r="X23" s="27"/>
      <c r="Y23" s="27"/>
      <c r="Z23" s="27"/>
      <c r="AA23" s="27">
        <v>10</v>
      </c>
      <c r="AB23" s="27"/>
      <c r="AC23" s="27"/>
      <c r="AD23" s="27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>
        <v>10</v>
      </c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10</v>
      </c>
      <c r="BS23" s="17">
        <v>1</v>
      </c>
      <c r="BT23" s="17" t="s">
        <v>215</v>
      </c>
      <c r="BU23">
        <f>SUM(P23:AD23)</f>
        <v>20</v>
      </c>
      <c r="BV23" s="23">
        <f>AF23+AH23+AI23+AJ23+AO23+AP23</f>
        <v>0</v>
      </c>
    </row>
    <row r="24" spans="1:74">
      <c r="A24" s="1"/>
      <c r="B24" s="1" t="s">
        <v>202</v>
      </c>
      <c r="C24" s="1" t="s">
        <v>32</v>
      </c>
      <c r="D24" s="1" t="s">
        <v>153</v>
      </c>
      <c r="E24" s="6"/>
      <c r="F24" s="6"/>
      <c r="G24" s="6"/>
      <c r="H24" s="6"/>
      <c r="I24" s="6"/>
      <c r="J24" s="6">
        <v>10</v>
      </c>
      <c r="K24" s="6"/>
      <c r="L24" s="6"/>
      <c r="M24" s="6"/>
      <c r="N24" s="6"/>
      <c r="O24" s="6"/>
      <c r="P24" s="27"/>
      <c r="Q24" s="27"/>
      <c r="R24" s="27"/>
      <c r="S24" s="27"/>
      <c r="T24" s="27"/>
      <c r="U24" s="27">
        <v>10</v>
      </c>
      <c r="V24" s="27"/>
      <c r="W24" s="27"/>
      <c r="X24" s="27"/>
      <c r="Y24" s="27"/>
      <c r="Z24" s="27"/>
      <c r="AA24" s="27">
        <v>10</v>
      </c>
      <c r="AB24" s="27"/>
      <c r="AC24" s="27"/>
      <c r="AD24" s="27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10</v>
      </c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10</v>
      </c>
      <c r="BS24" s="17">
        <v>1</v>
      </c>
      <c r="BT24" s="17" t="s">
        <v>215</v>
      </c>
      <c r="BU24">
        <f>SUM(P24:AD24)</f>
        <v>20</v>
      </c>
      <c r="BV24" s="23">
        <f>AF24+AH24+AI24+AJ24+AO24+AP24</f>
        <v>0</v>
      </c>
    </row>
    <row r="25" spans="1:74">
      <c r="A25" s="1"/>
      <c r="B25" s="3" t="s">
        <v>204</v>
      </c>
      <c r="C25" s="3" t="s">
        <v>108</v>
      </c>
      <c r="D25" s="1" t="s">
        <v>142</v>
      </c>
      <c r="E25" s="6"/>
      <c r="F25" s="6"/>
      <c r="G25" s="6"/>
      <c r="H25" s="6"/>
      <c r="I25" s="6"/>
      <c r="J25" s="6">
        <v>10</v>
      </c>
      <c r="K25" s="6"/>
      <c r="L25" s="6"/>
      <c r="M25" s="6"/>
      <c r="N25" s="6"/>
      <c r="O25" s="6"/>
      <c r="P25" s="27"/>
      <c r="Q25" s="27"/>
      <c r="R25" s="27"/>
      <c r="S25" s="27"/>
      <c r="T25" s="27"/>
      <c r="U25" s="27">
        <v>10</v>
      </c>
      <c r="V25" s="27"/>
      <c r="W25" s="27"/>
      <c r="X25" s="27"/>
      <c r="Y25" s="27"/>
      <c r="Z25" s="27"/>
      <c r="AA25" s="27">
        <v>10</v>
      </c>
      <c r="AB25" s="27"/>
      <c r="AC25" s="27"/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10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10</v>
      </c>
      <c r="BS25" s="17">
        <v>1</v>
      </c>
      <c r="BT25" s="17" t="s">
        <v>215</v>
      </c>
      <c r="BU25">
        <f>SUM(P25:AD25)</f>
        <v>20</v>
      </c>
      <c r="BV25" s="23">
        <f>AF25+AH25+AI25+AJ25+AO25+AP25</f>
        <v>0</v>
      </c>
    </row>
    <row r="26" spans="1:74">
      <c r="A26" s="1">
        <v>98</v>
      </c>
      <c r="B26" s="3" t="s">
        <v>111</v>
      </c>
      <c r="C26" s="3" t="s">
        <v>45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1">
        <v>50</v>
      </c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50</v>
      </c>
      <c r="BR26" s="1">
        <v>18</v>
      </c>
      <c r="BS26" s="17">
        <v>1</v>
      </c>
      <c r="BT26" s="17" t="s">
        <v>230</v>
      </c>
      <c r="BU26">
        <f>SUM(P26:AD26)</f>
        <v>0</v>
      </c>
      <c r="BV26" s="23">
        <f>AF26+AH26+AI26+AJ26+AO26+AP26</f>
        <v>0</v>
      </c>
    </row>
    <row r="27" spans="1:74">
      <c r="A27" s="1"/>
      <c r="B27" s="1" t="s">
        <v>157</v>
      </c>
      <c r="C27" s="1" t="s">
        <v>74</v>
      </c>
      <c r="D27" s="1" t="s">
        <v>75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>
        <v>40</v>
      </c>
      <c r="AW27" s="2">
        <v>40</v>
      </c>
      <c r="AX27" s="2"/>
      <c r="AY27" s="2"/>
      <c r="AZ27" s="2"/>
      <c r="BA27" s="2"/>
      <c r="BB27" s="2">
        <v>40</v>
      </c>
      <c r="BC27" s="14">
        <v>10</v>
      </c>
      <c r="BD27" s="1"/>
      <c r="BE27" s="1">
        <v>50</v>
      </c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180</v>
      </c>
      <c r="BR27" s="1">
        <v>27</v>
      </c>
      <c r="BS27" s="17">
        <v>1</v>
      </c>
      <c r="BT27" s="17" t="s">
        <v>234</v>
      </c>
      <c r="BU27">
        <f>SUM(P27:AD27)</f>
        <v>0</v>
      </c>
      <c r="BV27" s="23">
        <f>AF27+AH27+AI27+AJ27+AO27+AP27</f>
        <v>0</v>
      </c>
    </row>
    <row r="28" spans="1:74" s="42" customFormat="1">
      <c r="A28" s="1"/>
      <c r="B28" s="1" t="s">
        <v>183</v>
      </c>
      <c r="C28" s="1" t="s">
        <v>107</v>
      </c>
      <c r="D28" s="1" t="s">
        <v>25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>
        <v>50</v>
      </c>
      <c r="BL28" s="1">
        <v>50</v>
      </c>
      <c r="BM28" s="1"/>
      <c r="BN28" s="1"/>
      <c r="BO28" s="1">
        <v>50</v>
      </c>
      <c r="BP28" s="1">
        <v>50</v>
      </c>
      <c r="BQ28" s="1">
        <f>SUM(E28:BP28)</f>
        <v>200</v>
      </c>
      <c r="BR28" s="1">
        <v>47</v>
      </c>
      <c r="BS28" s="17">
        <v>1</v>
      </c>
      <c r="BT28" s="17" t="s">
        <v>235</v>
      </c>
      <c r="BU28">
        <f>SUM(P28:AD28)</f>
        <v>0</v>
      </c>
      <c r="BV28" s="23">
        <f>AF28+AH28+AI28+AJ28+AO28+AP28</f>
        <v>0</v>
      </c>
    </row>
    <row r="29" spans="1:74" s="42" customFormat="1">
      <c r="A29" s="1">
        <v>102</v>
      </c>
      <c r="B29" s="3" t="s">
        <v>128</v>
      </c>
      <c r="C29" s="3" t="s">
        <v>45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>
        <v>50</v>
      </c>
      <c r="BL29" s="1">
        <v>50</v>
      </c>
      <c r="BM29" s="1"/>
      <c r="BN29" s="1"/>
      <c r="BO29" s="1">
        <v>50</v>
      </c>
      <c r="BP29" s="1">
        <v>50</v>
      </c>
      <c r="BQ29" s="1">
        <f>SUM(E29:BP29)</f>
        <v>200</v>
      </c>
      <c r="BR29" s="1">
        <v>47</v>
      </c>
      <c r="BS29" s="17">
        <v>1</v>
      </c>
      <c r="BT29" s="17" t="s">
        <v>197</v>
      </c>
      <c r="BU29">
        <f>SUM(P29:AD29)</f>
        <v>0</v>
      </c>
      <c r="BV29" s="23">
        <f>AF29+AH29+AI29+AJ29+AO29+AP29</f>
        <v>0</v>
      </c>
    </row>
    <row r="30" spans="1:74" s="42" customFormat="1">
      <c r="A30" s="1">
        <v>85</v>
      </c>
      <c r="B30" s="3" t="s">
        <v>158</v>
      </c>
      <c r="C30" s="3" t="s">
        <v>43</v>
      </c>
      <c r="D30" s="1" t="s">
        <v>25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>
        <v>50</v>
      </c>
      <c r="BN30" s="1">
        <v>50</v>
      </c>
      <c r="BO30" s="1">
        <v>50</v>
      </c>
      <c r="BP30" s="1">
        <v>50</v>
      </c>
      <c r="BQ30" s="1">
        <f>SUM(E30:BP30)</f>
        <v>200</v>
      </c>
      <c r="BR30" s="1">
        <v>47</v>
      </c>
      <c r="BS30" s="17">
        <v>1</v>
      </c>
      <c r="BT30" s="17" t="s">
        <v>197</v>
      </c>
      <c r="BU30">
        <f>SUM(P30:AD30)</f>
        <v>0</v>
      </c>
      <c r="BV30" s="23">
        <f>AF30+AH30+AI30+AJ30+AO30+AP30</f>
        <v>0</v>
      </c>
    </row>
    <row r="31" spans="1:74" s="42" customFormat="1">
      <c r="A31" s="1"/>
      <c r="B31" s="1" t="s">
        <v>184</v>
      </c>
      <c r="C31" s="1" t="s">
        <v>83</v>
      </c>
      <c r="D31" s="1" t="s">
        <v>81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>
        <v>50</v>
      </c>
      <c r="BN31" s="1">
        <v>50</v>
      </c>
      <c r="BO31" s="1">
        <v>50</v>
      </c>
      <c r="BP31" s="1">
        <v>50</v>
      </c>
      <c r="BQ31" s="1">
        <f>SUM(E31:BP31)</f>
        <v>200</v>
      </c>
      <c r="BR31" s="1">
        <v>47</v>
      </c>
      <c r="BS31" s="17">
        <v>1</v>
      </c>
      <c r="BT31" s="17" t="s">
        <v>235</v>
      </c>
      <c r="BU31">
        <f>SUM(P31:AD31)</f>
        <v>0</v>
      </c>
      <c r="BV31" s="23">
        <f>AF31+AH31+AI31+AJ31+AO31+AP31</f>
        <v>0</v>
      </c>
    </row>
    <row r="32" spans="1:74" s="42" customFormat="1">
      <c r="A32" s="1"/>
      <c r="B32" s="3" t="s">
        <v>198</v>
      </c>
      <c r="C32" s="3" t="s">
        <v>56</v>
      </c>
      <c r="D32" s="1" t="s">
        <v>195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>
        <v>50</v>
      </c>
      <c r="BN32" s="1">
        <v>50</v>
      </c>
      <c r="BO32" s="1">
        <v>50</v>
      </c>
      <c r="BP32" s="1">
        <v>50</v>
      </c>
      <c r="BQ32" s="1">
        <f>SUM(E32:BP32)</f>
        <v>200</v>
      </c>
      <c r="BR32" s="1">
        <v>47</v>
      </c>
      <c r="BS32" s="17">
        <v>1</v>
      </c>
      <c r="BT32" s="17" t="s">
        <v>197</v>
      </c>
      <c r="BU32">
        <f>SUM(P32:AD32)</f>
        <v>0</v>
      </c>
      <c r="BV32" s="23">
        <f>AF32+AH32+AI32+AJ32+AO32+AP32</f>
        <v>0</v>
      </c>
    </row>
    <row r="33" spans="1:74" s="42" customFormat="1">
      <c r="A33" s="1">
        <v>99</v>
      </c>
      <c r="B33" s="3" t="s">
        <v>111</v>
      </c>
      <c r="C33" s="3" t="s">
        <v>45</v>
      </c>
      <c r="D33" s="1" t="s">
        <v>8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1">
        <v>200</v>
      </c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200</v>
      </c>
      <c r="BR33" s="1">
        <v>168</v>
      </c>
      <c r="BS33" s="17">
        <v>1</v>
      </c>
      <c r="BT33" s="17" t="s">
        <v>236</v>
      </c>
      <c r="BU33">
        <f>SUM(P33:AD33)</f>
        <v>0</v>
      </c>
      <c r="BV33" s="23">
        <f>AF33+AH33+AI33+AJ33+AO33+AP33</f>
        <v>0</v>
      </c>
    </row>
    <row r="34" spans="1:74" s="42" customFormat="1" ht="27">
      <c r="A34" s="1"/>
      <c r="B34" s="3" t="s">
        <v>205</v>
      </c>
      <c r="C34" s="3" t="s">
        <v>43</v>
      </c>
      <c r="D34" s="1" t="s">
        <v>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7"/>
      <c r="Q34" s="27"/>
      <c r="R34" s="27">
        <v>2</v>
      </c>
      <c r="S34" s="27"/>
      <c r="T34" s="27"/>
      <c r="U34" s="27">
        <v>2</v>
      </c>
      <c r="V34" s="27"/>
      <c r="W34" s="27"/>
      <c r="X34" s="27">
        <v>2</v>
      </c>
      <c r="Y34" s="27"/>
      <c r="Z34" s="27">
        <v>5</v>
      </c>
      <c r="AA34" s="27"/>
      <c r="AB34" s="27"/>
      <c r="AC34" s="27"/>
      <c r="AD34" s="27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11</v>
      </c>
      <c r="BR34" s="1">
        <v>3</v>
      </c>
      <c r="BS34" s="17">
        <v>2</v>
      </c>
      <c r="BT34" s="17" t="s">
        <v>217</v>
      </c>
      <c r="BU34">
        <f>SUM(P34:AD34)</f>
        <v>11</v>
      </c>
      <c r="BV34" s="23">
        <f>AF34+AH34+AI34+AJ34+AO34+AP34</f>
        <v>0</v>
      </c>
    </row>
    <row r="35" spans="1:74" s="42" customFormat="1" ht="27">
      <c r="A35" s="1"/>
      <c r="B35" s="1" t="s">
        <v>202</v>
      </c>
      <c r="C35" s="1" t="s">
        <v>32</v>
      </c>
      <c r="D35" s="1" t="s">
        <v>152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7"/>
      <c r="Q35" s="27"/>
      <c r="R35" s="27">
        <v>2</v>
      </c>
      <c r="S35" s="27"/>
      <c r="T35" s="27">
        <v>5</v>
      </c>
      <c r="U35" s="27"/>
      <c r="V35" s="27"/>
      <c r="W35" s="27"/>
      <c r="X35" s="27">
        <v>2</v>
      </c>
      <c r="Y35" s="27"/>
      <c r="Z35" s="27"/>
      <c r="AA35" s="27"/>
      <c r="AB35" s="27"/>
      <c r="AC35" s="27"/>
      <c r="AD35" s="27">
        <v>2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11</v>
      </c>
      <c r="BR35" s="1">
        <v>3</v>
      </c>
      <c r="BS35" s="17">
        <v>2</v>
      </c>
      <c r="BT35" s="17" t="s">
        <v>225</v>
      </c>
      <c r="BU35">
        <f>SUM(P35:AD35)</f>
        <v>11</v>
      </c>
      <c r="BV35" s="23">
        <f>AF35+AH35+AI35+AJ35+AO35+AP35</f>
        <v>0</v>
      </c>
    </row>
    <row r="36" spans="1:74" s="42" customFormat="1" ht="27">
      <c r="A36" s="1"/>
      <c r="B36" s="3" t="s">
        <v>204</v>
      </c>
      <c r="C36" s="3" t="s">
        <v>108</v>
      </c>
      <c r="D36" s="1" t="s">
        <v>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7"/>
      <c r="Q36" s="27"/>
      <c r="R36" s="27">
        <v>2</v>
      </c>
      <c r="S36" s="27"/>
      <c r="T36" s="27">
        <v>5</v>
      </c>
      <c r="U36" s="27"/>
      <c r="V36" s="27"/>
      <c r="W36" s="27"/>
      <c r="X36" s="27">
        <v>2</v>
      </c>
      <c r="Y36" s="27"/>
      <c r="Z36" s="27"/>
      <c r="AA36" s="27"/>
      <c r="AB36" s="27"/>
      <c r="AC36" s="27"/>
      <c r="AD36" s="27">
        <v>2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11</v>
      </c>
      <c r="BR36" s="1">
        <v>3</v>
      </c>
      <c r="BS36" s="17">
        <v>2</v>
      </c>
      <c r="BT36" s="17" t="s">
        <v>225</v>
      </c>
      <c r="BU36">
        <f>SUM(P36:AD36)</f>
        <v>11</v>
      </c>
      <c r="BV36" s="23">
        <f>AF36+AH36+AI36+AJ36+AO36+AP36</f>
        <v>0</v>
      </c>
    </row>
    <row r="37" spans="1:74" s="42" customFormat="1" ht="27">
      <c r="A37" s="1"/>
      <c r="B37" s="3" t="s">
        <v>169</v>
      </c>
      <c r="C37" s="3" t="s">
        <v>160</v>
      </c>
      <c r="D37" s="1" t="s"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7"/>
      <c r="Q37" s="27"/>
      <c r="R37" s="27">
        <v>2</v>
      </c>
      <c r="S37" s="27"/>
      <c r="T37" s="27"/>
      <c r="U37" s="27">
        <v>2</v>
      </c>
      <c r="V37" s="27"/>
      <c r="W37" s="27"/>
      <c r="X37" s="27"/>
      <c r="Y37" s="27"/>
      <c r="Z37" s="27"/>
      <c r="AA37" s="27"/>
      <c r="AB37" s="27"/>
      <c r="AC37" s="27">
        <v>5</v>
      </c>
      <c r="AD37" s="27">
        <v>2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11</v>
      </c>
      <c r="BR37" s="1">
        <v>4</v>
      </c>
      <c r="BS37" s="17">
        <v>2</v>
      </c>
      <c r="BT37" s="17" t="s">
        <v>226</v>
      </c>
      <c r="BU37">
        <f>SUM(P37:AD37)</f>
        <v>11</v>
      </c>
      <c r="BV37" s="23">
        <f>AF37+AH37+AI37+AJ37+AO37+AP37</f>
        <v>0</v>
      </c>
    </row>
    <row r="38" spans="1:74" s="42" customFormat="1" ht="27">
      <c r="A38" s="1"/>
      <c r="B38" s="3" t="s">
        <v>206</v>
      </c>
      <c r="C38" s="3" t="s">
        <v>108</v>
      </c>
      <c r="D38" s="1" t="s"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7"/>
      <c r="Q38" s="27"/>
      <c r="R38" s="27">
        <v>2</v>
      </c>
      <c r="S38" s="27"/>
      <c r="T38" s="27"/>
      <c r="U38" s="27">
        <v>2</v>
      </c>
      <c r="V38" s="27"/>
      <c r="W38" s="27"/>
      <c r="X38" s="27"/>
      <c r="Y38" s="27"/>
      <c r="Z38" s="27"/>
      <c r="AA38" s="27"/>
      <c r="AB38" s="27"/>
      <c r="AC38" s="27">
        <v>5</v>
      </c>
      <c r="AD38" s="27">
        <v>2</v>
      </c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11</v>
      </c>
      <c r="BR38" s="1">
        <v>4</v>
      </c>
      <c r="BS38" s="17">
        <v>2</v>
      </c>
      <c r="BT38" s="17" t="s">
        <v>226</v>
      </c>
      <c r="BU38">
        <f>SUM(P38:AD38)</f>
        <v>11</v>
      </c>
      <c r="BV38" s="23">
        <f>AF38+AH38+AI38+AJ38+AO38+AP38</f>
        <v>0</v>
      </c>
    </row>
    <row r="39" spans="1:74" s="42" customFormat="1" ht="27">
      <c r="A39" s="1"/>
      <c r="B39" s="1" t="s">
        <v>168</v>
      </c>
      <c r="C39" s="1" t="s">
        <v>162</v>
      </c>
      <c r="D39" s="1" t="s">
        <v>72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7"/>
      <c r="Q39" s="27"/>
      <c r="R39" s="27"/>
      <c r="S39" s="27"/>
      <c r="T39" s="27"/>
      <c r="U39" s="27">
        <v>2</v>
      </c>
      <c r="V39" s="27"/>
      <c r="W39" s="27"/>
      <c r="X39" s="27"/>
      <c r="Y39" s="27"/>
      <c r="Z39" s="27"/>
      <c r="AA39" s="27">
        <v>2</v>
      </c>
      <c r="AB39" s="27"/>
      <c r="AC39" s="27">
        <v>5</v>
      </c>
      <c r="AD39" s="27">
        <v>2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11</v>
      </c>
      <c r="BR39" s="1">
        <v>5</v>
      </c>
      <c r="BS39" s="17">
        <v>2</v>
      </c>
      <c r="BT39" s="17" t="s">
        <v>222</v>
      </c>
      <c r="BU39">
        <f>SUM(P39:AD39)</f>
        <v>11</v>
      </c>
      <c r="BV39" s="23">
        <f>AF39+AH39+AI39+AJ39+AO39+AP39</f>
        <v>0</v>
      </c>
    </row>
    <row r="40" spans="1:74" s="42" customFormat="1" ht="27">
      <c r="A40" s="1"/>
      <c r="B40" s="1" t="s">
        <v>97</v>
      </c>
      <c r="C40" s="1" t="s">
        <v>85</v>
      </c>
      <c r="D40" s="1" t="s">
        <v>87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7"/>
      <c r="Q40" s="27">
        <v>5</v>
      </c>
      <c r="R40" s="27">
        <v>2</v>
      </c>
      <c r="S40" s="27"/>
      <c r="T40" s="27">
        <v>5</v>
      </c>
      <c r="U40" s="27"/>
      <c r="V40" s="27"/>
      <c r="W40" s="27"/>
      <c r="X40" s="27"/>
      <c r="Y40" s="27"/>
      <c r="Z40" s="27">
        <v>5</v>
      </c>
      <c r="AA40" s="27"/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17</v>
      </c>
      <c r="BR40" s="1">
        <v>6</v>
      </c>
      <c r="BS40" s="17">
        <v>2</v>
      </c>
      <c r="BT40" s="17" t="s">
        <v>218</v>
      </c>
      <c r="BU40">
        <f>SUM(P40:AD40)</f>
        <v>17</v>
      </c>
      <c r="BV40" s="23">
        <f>AF40+AH40+AI40+AJ40+AO40+AP40</f>
        <v>0</v>
      </c>
    </row>
    <row r="41" spans="1:74" s="42" customFormat="1" ht="27">
      <c r="A41" s="1"/>
      <c r="B41" s="3" t="s">
        <v>146</v>
      </c>
      <c r="C41" s="3" t="s">
        <v>84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7"/>
      <c r="Q41" s="27">
        <v>5</v>
      </c>
      <c r="R41" s="27">
        <v>2</v>
      </c>
      <c r="S41" s="27"/>
      <c r="T41" s="27">
        <v>5</v>
      </c>
      <c r="U41" s="27"/>
      <c r="V41" s="27"/>
      <c r="W41" s="27"/>
      <c r="X41" s="27"/>
      <c r="Y41" s="27"/>
      <c r="Z41" s="27">
        <v>5</v>
      </c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17</v>
      </c>
      <c r="BR41" s="1">
        <v>6</v>
      </c>
      <c r="BS41" s="17">
        <v>2</v>
      </c>
      <c r="BT41" s="17" t="s">
        <v>218</v>
      </c>
      <c r="BU41">
        <f>SUM(P41:AD41)</f>
        <v>17</v>
      </c>
      <c r="BV41" s="23">
        <f>AF41+AH41+AI41+AJ41+AO41+AP41</f>
        <v>0</v>
      </c>
    </row>
    <row r="42" spans="1:74" s="42" customFormat="1" ht="27">
      <c r="A42" s="1"/>
      <c r="B42" s="1" t="s">
        <v>176</v>
      </c>
      <c r="C42" s="1" t="s">
        <v>108</v>
      </c>
      <c r="D42" s="1" t="s">
        <v>87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7"/>
      <c r="Q42" s="27">
        <v>5</v>
      </c>
      <c r="R42" s="27"/>
      <c r="S42" s="27"/>
      <c r="T42" s="27">
        <v>5</v>
      </c>
      <c r="U42" s="27"/>
      <c r="V42" s="27"/>
      <c r="W42" s="27"/>
      <c r="X42" s="27"/>
      <c r="Y42" s="27"/>
      <c r="Z42" s="27">
        <v>5</v>
      </c>
      <c r="AA42" s="27">
        <v>2</v>
      </c>
      <c r="AB42" s="27"/>
      <c r="AC42" s="27"/>
      <c r="AD42" s="27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17</v>
      </c>
      <c r="BR42" s="1">
        <v>7</v>
      </c>
      <c r="BS42" s="17">
        <v>2</v>
      </c>
      <c r="BT42" s="17" t="s">
        <v>212</v>
      </c>
      <c r="BU42">
        <f>SUM(P42:AD42)</f>
        <v>17</v>
      </c>
      <c r="BV42" s="23">
        <f>AF42+AH42+AI42+AJ42+AO42+AP42</f>
        <v>0</v>
      </c>
    </row>
    <row r="43" spans="1:74" s="42" customFormat="1" ht="27">
      <c r="A43" s="1"/>
      <c r="B43" s="1" t="s">
        <v>170</v>
      </c>
      <c r="C43" s="1" t="s">
        <v>102</v>
      </c>
      <c r="D43" s="1" t="s">
        <v>150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7"/>
      <c r="Q43" s="27">
        <v>5</v>
      </c>
      <c r="R43" s="27"/>
      <c r="S43" s="27"/>
      <c r="T43" s="27">
        <v>5</v>
      </c>
      <c r="U43" s="27"/>
      <c r="V43" s="27"/>
      <c r="W43" s="27"/>
      <c r="X43" s="27"/>
      <c r="Y43" s="27"/>
      <c r="Z43" s="27">
        <v>5</v>
      </c>
      <c r="AA43" s="27">
        <v>2</v>
      </c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17</v>
      </c>
      <c r="BR43" s="1">
        <v>7</v>
      </c>
      <c r="BS43" s="17">
        <v>2</v>
      </c>
      <c r="BT43" s="17" t="s">
        <v>212</v>
      </c>
      <c r="BU43">
        <f>SUM(P43:AD43)</f>
        <v>17</v>
      </c>
      <c r="BV43" s="23">
        <f>AF43+AH43+AI43+AJ43+AO43+AP43</f>
        <v>0</v>
      </c>
    </row>
    <row r="44" spans="1:74" s="42" customFormat="1" ht="27">
      <c r="A44" s="1"/>
      <c r="B44" s="1" t="s">
        <v>155</v>
      </c>
      <c r="C44" s="1" t="s">
        <v>106</v>
      </c>
      <c r="D44" s="1" t="s">
        <v>87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>
        <v>5</v>
      </c>
      <c r="R44" s="27"/>
      <c r="S44" s="27"/>
      <c r="T44" s="27">
        <v>5</v>
      </c>
      <c r="U44" s="27"/>
      <c r="V44" s="27"/>
      <c r="W44" s="27"/>
      <c r="X44" s="27">
        <v>2</v>
      </c>
      <c r="Y44" s="27"/>
      <c r="Z44" s="27">
        <v>5</v>
      </c>
      <c r="AA44" s="27"/>
      <c r="AB44" s="27"/>
      <c r="AC44" s="27"/>
      <c r="AD44" s="27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17</v>
      </c>
      <c r="BR44" s="1">
        <v>7</v>
      </c>
      <c r="BS44" s="17">
        <v>2</v>
      </c>
      <c r="BT44" s="17" t="s">
        <v>214</v>
      </c>
      <c r="BU44">
        <f>SUM(P44:AD44)</f>
        <v>17</v>
      </c>
      <c r="BV44" s="23">
        <f>AF44+AH44+AI44+AJ44+AO44+AP44</f>
        <v>0</v>
      </c>
    </row>
    <row r="45" spans="1:74" s="42" customFormat="1" ht="27">
      <c r="A45" s="1">
        <v>27</v>
      </c>
      <c r="B45" s="1" t="s">
        <v>50</v>
      </c>
      <c r="C45" s="1" t="s">
        <v>21</v>
      </c>
      <c r="D45" s="1" t="s">
        <v>17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1"/>
      <c r="AF45" s="1"/>
      <c r="AG45" s="1"/>
      <c r="AH45" s="1">
        <v>5</v>
      </c>
      <c r="AI45" s="1">
        <v>5</v>
      </c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10</v>
      </c>
      <c r="BR45" s="1">
        <v>10</v>
      </c>
      <c r="BS45" s="17">
        <v>2</v>
      </c>
      <c r="BT45" s="17" t="s">
        <v>239</v>
      </c>
      <c r="BU45">
        <f>SUM(P45:AD45)</f>
        <v>0</v>
      </c>
      <c r="BV45" s="23">
        <f>AF45+AH45+AI45+AJ45+AO45+AP45</f>
        <v>10</v>
      </c>
    </row>
    <row r="46" spans="1:74" s="42" customFormat="1" ht="27">
      <c r="A46" s="1">
        <v>88</v>
      </c>
      <c r="B46" s="3" t="s">
        <v>55</v>
      </c>
      <c r="C46" s="3" t="s">
        <v>56</v>
      </c>
      <c r="D46" s="1" t="s">
        <v>17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1"/>
      <c r="AF46" s="1"/>
      <c r="AG46" s="1"/>
      <c r="AH46" s="1">
        <v>5</v>
      </c>
      <c r="AI46" s="1">
        <v>5</v>
      </c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10</v>
      </c>
      <c r="BR46" s="1">
        <v>10</v>
      </c>
      <c r="BS46" s="17">
        <v>2</v>
      </c>
      <c r="BT46" s="17" t="s">
        <v>240</v>
      </c>
      <c r="BU46">
        <f>SUM(P46:AD46)</f>
        <v>0</v>
      </c>
      <c r="BV46" s="23">
        <f>AF46+AH46+AI46+AJ46+AO46+AP46</f>
        <v>10</v>
      </c>
    </row>
    <row r="47" spans="1:74" s="42" customFormat="1" ht="27">
      <c r="A47" s="1">
        <v>89</v>
      </c>
      <c r="B47" s="3" t="s">
        <v>55</v>
      </c>
      <c r="C47" s="3" t="s">
        <v>56</v>
      </c>
      <c r="D47" s="1" t="s">
        <v>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1"/>
      <c r="AF47" s="1">
        <v>5</v>
      </c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15</v>
      </c>
      <c r="BR47" s="1">
        <v>10</v>
      </c>
      <c r="BS47" s="17">
        <v>2</v>
      </c>
      <c r="BT47" s="17" t="s">
        <v>240</v>
      </c>
      <c r="BU47">
        <f>SUM(P47:AD47)</f>
        <v>0</v>
      </c>
      <c r="BV47" s="23">
        <f>AF47+AH47+AI47+AJ47+AO47+AP47</f>
        <v>15</v>
      </c>
    </row>
    <row r="48" spans="1:74" s="42" customFormat="1" ht="27">
      <c r="A48" s="1"/>
      <c r="B48" s="3" t="s">
        <v>169</v>
      </c>
      <c r="C48" s="3" t="s">
        <v>160</v>
      </c>
      <c r="D48" s="1" t="s">
        <v>88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>
        <v>10</v>
      </c>
      <c r="P48" s="27"/>
      <c r="Q48" s="27"/>
      <c r="R48" s="27">
        <v>10</v>
      </c>
      <c r="S48" s="27"/>
      <c r="T48" s="27"/>
      <c r="U48" s="27">
        <v>10</v>
      </c>
      <c r="V48" s="27"/>
      <c r="W48" s="27"/>
      <c r="X48" s="27"/>
      <c r="Y48" s="27"/>
      <c r="Z48" s="27"/>
      <c r="AA48" s="27"/>
      <c r="AB48" s="27"/>
      <c r="AC48" s="27"/>
      <c r="AD48" s="27">
        <v>10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40</v>
      </c>
      <c r="BR48" s="1">
        <v>13</v>
      </c>
      <c r="BS48" s="17">
        <v>2</v>
      </c>
      <c r="BT48" s="17" t="s">
        <v>241</v>
      </c>
      <c r="BU48">
        <f>SUM(P48:AD48)</f>
        <v>30</v>
      </c>
      <c r="BV48" s="23">
        <f>AF48+AH48+AI48+AJ48+AO48+AP48</f>
        <v>0</v>
      </c>
    </row>
    <row r="49" spans="1:74" s="42" customFormat="1" ht="27">
      <c r="A49" s="1"/>
      <c r="B49" s="1" t="s">
        <v>155</v>
      </c>
      <c r="C49" s="1" t="s">
        <v>106</v>
      </c>
      <c r="D49" s="1" t="s">
        <v>88</v>
      </c>
      <c r="E49" s="6"/>
      <c r="F49" s="6"/>
      <c r="G49" s="6"/>
      <c r="H49" s="6"/>
      <c r="I49" s="6"/>
      <c r="J49" s="6"/>
      <c r="K49" s="6"/>
      <c r="L49" s="6">
        <v>7</v>
      </c>
      <c r="M49" s="6"/>
      <c r="N49" s="6"/>
      <c r="O49" s="6"/>
      <c r="P49" s="27"/>
      <c r="Q49" s="27">
        <v>7</v>
      </c>
      <c r="R49" s="27"/>
      <c r="S49" s="27"/>
      <c r="T49" s="27">
        <v>7</v>
      </c>
      <c r="U49" s="27"/>
      <c r="V49" s="27"/>
      <c r="W49" s="27"/>
      <c r="X49" s="27">
        <v>7</v>
      </c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28</v>
      </c>
      <c r="BR49" s="1">
        <v>14</v>
      </c>
      <c r="BS49" s="17">
        <v>2</v>
      </c>
      <c r="BT49" s="17" t="s">
        <v>216</v>
      </c>
      <c r="BU49">
        <f>SUM(P49:AD49)</f>
        <v>21</v>
      </c>
      <c r="BV49" s="23">
        <f>AF49+AH49+AI49+AJ49+AO49+AP49</f>
        <v>0</v>
      </c>
    </row>
    <row r="50" spans="1:74" s="42" customFormat="1" ht="27">
      <c r="A50" s="1"/>
      <c r="B50" s="3" t="s">
        <v>205</v>
      </c>
      <c r="C50" s="3" t="s">
        <v>43</v>
      </c>
      <c r="D50" s="1" t="s">
        <v>142</v>
      </c>
      <c r="E50" s="6"/>
      <c r="F50" s="6"/>
      <c r="G50" s="6"/>
      <c r="H50" s="6"/>
      <c r="I50" s="6"/>
      <c r="J50" s="6"/>
      <c r="K50" s="6"/>
      <c r="L50" s="6"/>
      <c r="M50" s="6">
        <v>10</v>
      </c>
      <c r="N50" s="6"/>
      <c r="O50" s="6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>
        <v>10</v>
      </c>
      <c r="AB50" s="27"/>
      <c r="AC50" s="27"/>
      <c r="AD50" s="27">
        <v>10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40</v>
      </c>
      <c r="BR50" s="1">
        <v>14</v>
      </c>
      <c r="BS50" s="17">
        <v>2</v>
      </c>
      <c r="BT50" s="17" t="s">
        <v>231</v>
      </c>
      <c r="BU50">
        <f>SUM(P50:AD50)</f>
        <v>20</v>
      </c>
      <c r="BV50" s="23">
        <f>AF50+AH50+AI50+AJ50+AO50+AP50</f>
        <v>0</v>
      </c>
    </row>
    <row r="51" spans="1:74" s="42" customFormat="1" ht="27">
      <c r="A51" s="1"/>
      <c r="B51" s="3" t="s">
        <v>192</v>
      </c>
      <c r="C51" s="3" t="s">
        <v>21</v>
      </c>
      <c r="D51" s="1" t="s">
        <v>142</v>
      </c>
      <c r="E51" s="6"/>
      <c r="F51" s="6"/>
      <c r="G51" s="6"/>
      <c r="H51" s="6"/>
      <c r="I51" s="6"/>
      <c r="J51" s="6"/>
      <c r="K51" s="6"/>
      <c r="L51" s="6"/>
      <c r="M51" s="6">
        <v>10</v>
      </c>
      <c r="N51" s="6"/>
      <c r="O51" s="6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>
        <v>10</v>
      </c>
      <c r="AB51" s="27"/>
      <c r="AC51" s="27"/>
      <c r="AD51" s="27">
        <v>10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40</v>
      </c>
      <c r="BR51" s="1">
        <v>14</v>
      </c>
      <c r="BS51" s="17">
        <v>2</v>
      </c>
      <c r="BT51" s="17" t="s">
        <v>232</v>
      </c>
      <c r="BU51">
        <f>SUM(P51:AD51)</f>
        <v>20</v>
      </c>
      <c r="BV51" s="23">
        <f>AF51+AH51+AI51+AJ51+AO51+AP51</f>
        <v>0</v>
      </c>
    </row>
    <row r="52" spans="1:74" s="42" customFormat="1" ht="27">
      <c r="A52" s="1"/>
      <c r="B52" s="3" t="s">
        <v>173</v>
      </c>
      <c r="C52" s="3" t="s">
        <v>145</v>
      </c>
      <c r="D52" s="1" t="s">
        <v>142</v>
      </c>
      <c r="E52" s="6"/>
      <c r="F52" s="6"/>
      <c r="G52" s="6"/>
      <c r="H52" s="6"/>
      <c r="I52" s="6"/>
      <c r="J52" s="6"/>
      <c r="K52" s="6"/>
      <c r="L52" s="6"/>
      <c r="M52" s="6">
        <v>10</v>
      </c>
      <c r="N52" s="6"/>
      <c r="O52" s="6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>
        <v>10</v>
      </c>
      <c r="AB52" s="27"/>
      <c r="AC52" s="27"/>
      <c r="AD52" s="27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14</v>
      </c>
      <c r="BS52" s="17">
        <v>2</v>
      </c>
      <c r="BT52" s="17" t="s">
        <v>231</v>
      </c>
      <c r="BU52">
        <f>SUM(P52:AD52)</f>
        <v>20</v>
      </c>
      <c r="BV52" s="23">
        <f>AF52+AH52+AI52+AJ52+AO52+AP52</f>
        <v>0</v>
      </c>
    </row>
    <row r="53" spans="1:74" s="42" customFormat="1" ht="27">
      <c r="A53" s="1"/>
      <c r="B53" s="1" t="s">
        <v>168</v>
      </c>
      <c r="C53" s="1" t="s">
        <v>162</v>
      </c>
      <c r="D53" s="1" t="s">
        <v>161</v>
      </c>
      <c r="E53" s="6"/>
      <c r="F53" s="6"/>
      <c r="G53" s="6"/>
      <c r="H53" s="6"/>
      <c r="I53" s="6"/>
      <c r="J53" s="6"/>
      <c r="K53" s="6"/>
      <c r="L53" s="6"/>
      <c r="M53" s="6">
        <v>10</v>
      </c>
      <c r="N53" s="6"/>
      <c r="O53" s="6"/>
      <c r="P53" s="27"/>
      <c r="Q53" s="27"/>
      <c r="R53" s="27"/>
      <c r="S53" s="27"/>
      <c r="T53" s="27"/>
      <c r="U53" s="27">
        <v>10</v>
      </c>
      <c r="V53" s="27"/>
      <c r="W53" s="27"/>
      <c r="X53" s="27"/>
      <c r="Y53" s="27"/>
      <c r="Z53" s="27"/>
      <c r="AA53" s="27">
        <v>10</v>
      </c>
      <c r="AB53" s="27"/>
      <c r="AC53" s="27"/>
      <c r="AD53" s="27">
        <v>10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40</v>
      </c>
      <c r="BR53" s="1">
        <v>14</v>
      </c>
      <c r="BS53" s="17">
        <v>2</v>
      </c>
      <c r="BT53" s="17" t="s">
        <v>231</v>
      </c>
      <c r="BU53">
        <f>SUM(P53:AD53)</f>
        <v>30</v>
      </c>
      <c r="BV53" s="23">
        <f>AF53+AH53+AI53+AJ53+AO53+AP53</f>
        <v>0</v>
      </c>
    </row>
    <row r="54" spans="1:74" s="42" customFormat="1" ht="27">
      <c r="A54" s="1"/>
      <c r="B54" s="1" t="s">
        <v>178</v>
      </c>
      <c r="C54" s="1" t="s">
        <v>108</v>
      </c>
      <c r="D54" s="1" t="s">
        <v>88</v>
      </c>
      <c r="E54" s="6"/>
      <c r="F54" s="6"/>
      <c r="G54" s="6"/>
      <c r="H54" s="6">
        <v>10</v>
      </c>
      <c r="I54" s="6"/>
      <c r="J54" s="6"/>
      <c r="K54" s="6"/>
      <c r="L54" s="6"/>
      <c r="M54" s="6"/>
      <c r="N54" s="6"/>
      <c r="O54" s="6"/>
      <c r="P54" s="27"/>
      <c r="Q54" s="27"/>
      <c r="R54" s="27">
        <v>10</v>
      </c>
      <c r="S54" s="27"/>
      <c r="T54" s="27"/>
      <c r="U54" s="27">
        <v>10</v>
      </c>
      <c r="V54" s="27"/>
      <c r="W54" s="27"/>
      <c r="X54" s="27"/>
      <c r="Y54" s="27"/>
      <c r="Z54" s="27"/>
      <c r="AA54" s="27"/>
      <c r="AB54" s="27"/>
      <c r="AC54" s="27"/>
      <c r="AD54" s="27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>
        <v>10</v>
      </c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16</v>
      </c>
      <c r="BS54" s="17">
        <v>2</v>
      </c>
      <c r="BT54" s="17" t="s">
        <v>238</v>
      </c>
      <c r="BU54">
        <f>SUM(P54:AD54)</f>
        <v>20</v>
      </c>
      <c r="BV54" s="23">
        <f>AF54+AH54+AI54+AJ54+AO54+AP54</f>
        <v>0</v>
      </c>
    </row>
    <row r="55" spans="1:74" s="42" customFormat="1" ht="27">
      <c r="A55" s="1"/>
      <c r="B55" s="1" t="s">
        <v>97</v>
      </c>
      <c r="C55" s="1" t="s">
        <v>85</v>
      </c>
      <c r="D55" s="1" t="s">
        <v>88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>
        <v>10</v>
      </c>
      <c r="P55" s="27"/>
      <c r="Q55" s="27"/>
      <c r="R55" s="27">
        <v>10</v>
      </c>
      <c r="S55" s="27"/>
      <c r="T55" s="27"/>
      <c r="U55" s="27"/>
      <c r="V55" s="27"/>
      <c r="W55" s="27"/>
      <c r="X55" s="27">
        <v>10</v>
      </c>
      <c r="Y55" s="27"/>
      <c r="Z55" s="27"/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>
        <v>10</v>
      </c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40</v>
      </c>
      <c r="BR55" s="1">
        <v>19</v>
      </c>
      <c r="BS55" s="17">
        <v>2</v>
      </c>
      <c r="BT55" s="17" t="s">
        <v>237</v>
      </c>
      <c r="BU55">
        <f>SUM(P55:AD55)</f>
        <v>20</v>
      </c>
      <c r="BV55" s="23">
        <f>AF55+AH55+AI55+AJ55+AO55+AP55</f>
        <v>0</v>
      </c>
    </row>
    <row r="56" spans="1:74" s="42" customFormat="1" ht="27">
      <c r="A56" s="1"/>
      <c r="B56" s="3" t="s">
        <v>179</v>
      </c>
      <c r="C56" s="3" t="s">
        <v>84</v>
      </c>
      <c r="D56" s="1" t="s">
        <v>142</v>
      </c>
      <c r="E56" s="6"/>
      <c r="F56" s="6"/>
      <c r="G56" s="6"/>
      <c r="H56" s="6"/>
      <c r="I56" s="6">
        <v>10</v>
      </c>
      <c r="J56" s="6"/>
      <c r="K56" s="6"/>
      <c r="L56" s="6"/>
      <c r="M56" s="6"/>
      <c r="N56" s="6"/>
      <c r="O56" s="6"/>
      <c r="P56" s="27"/>
      <c r="Q56" s="27"/>
      <c r="R56" s="27">
        <v>10</v>
      </c>
      <c r="S56" s="27"/>
      <c r="T56" s="27"/>
      <c r="U56" s="27"/>
      <c r="V56" s="27"/>
      <c r="W56" s="27"/>
      <c r="X56" s="27">
        <v>10</v>
      </c>
      <c r="Y56" s="27"/>
      <c r="Z56" s="27"/>
      <c r="AA56" s="27"/>
      <c r="AB56" s="27"/>
      <c r="AC56" s="27"/>
      <c r="AD56" s="27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40</v>
      </c>
      <c r="BR56" s="1">
        <v>19</v>
      </c>
      <c r="BS56" s="17">
        <v>2</v>
      </c>
      <c r="BT56" s="17" t="s">
        <v>237</v>
      </c>
      <c r="BU56">
        <f>SUM(P56:AD56)</f>
        <v>20</v>
      </c>
      <c r="BV56" s="23">
        <f>AF56+AH56+AI56+AJ56+AO56+AP56</f>
        <v>0</v>
      </c>
    </row>
    <row r="57" spans="1:74" s="42" customFormat="1" ht="27">
      <c r="A57" s="1"/>
      <c r="B57" s="1" t="s">
        <v>203</v>
      </c>
      <c r="C57" s="1" t="s">
        <v>43</v>
      </c>
      <c r="D57" s="1" t="s">
        <v>151</v>
      </c>
      <c r="E57" s="6"/>
      <c r="F57" s="6"/>
      <c r="G57" s="6"/>
      <c r="H57" s="6"/>
      <c r="I57" s="6">
        <v>10</v>
      </c>
      <c r="J57" s="6"/>
      <c r="K57" s="6"/>
      <c r="L57" s="6"/>
      <c r="M57" s="6"/>
      <c r="N57" s="6"/>
      <c r="O57" s="6"/>
      <c r="P57" s="27"/>
      <c r="Q57" s="27"/>
      <c r="R57" s="27">
        <v>10</v>
      </c>
      <c r="S57" s="27"/>
      <c r="T57" s="27"/>
      <c r="U57" s="27"/>
      <c r="V57" s="27"/>
      <c r="W57" s="27"/>
      <c r="X57" s="27">
        <v>10</v>
      </c>
      <c r="Y57" s="27"/>
      <c r="Z57" s="27"/>
      <c r="AA57" s="27"/>
      <c r="AB57" s="27"/>
      <c r="AC57" s="27"/>
      <c r="AD57" s="27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>
        <v>10</v>
      </c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40</v>
      </c>
      <c r="BR57" s="1">
        <v>19</v>
      </c>
      <c r="BS57" s="17">
        <v>2</v>
      </c>
      <c r="BT57" s="17" t="s">
        <v>237</v>
      </c>
      <c r="BU57">
        <f>SUM(P57:AD57)</f>
        <v>20</v>
      </c>
      <c r="BV57" s="23">
        <f>AF57+AH57+AI57+AJ57+AO57+AP57</f>
        <v>0</v>
      </c>
    </row>
    <row r="58" spans="1:74" s="42" customFormat="1" ht="27">
      <c r="A58" s="1"/>
      <c r="B58" s="1" t="s">
        <v>181</v>
      </c>
      <c r="C58" s="1" t="s">
        <v>45</v>
      </c>
      <c r="D58" s="1" t="s">
        <v>151</v>
      </c>
      <c r="E58" s="6"/>
      <c r="F58" s="6"/>
      <c r="G58" s="6"/>
      <c r="H58" s="6"/>
      <c r="I58" s="6">
        <v>10</v>
      </c>
      <c r="J58" s="6"/>
      <c r="K58" s="6"/>
      <c r="L58" s="6"/>
      <c r="M58" s="6"/>
      <c r="N58" s="6"/>
      <c r="O58" s="6"/>
      <c r="P58" s="27"/>
      <c r="Q58" s="27"/>
      <c r="R58" s="27">
        <v>10</v>
      </c>
      <c r="S58" s="27"/>
      <c r="T58" s="27"/>
      <c r="U58" s="27"/>
      <c r="V58" s="27"/>
      <c r="W58" s="27"/>
      <c r="X58" s="27">
        <v>10</v>
      </c>
      <c r="Y58" s="27"/>
      <c r="Z58" s="27"/>
      <c r="AA58" s="27"/>
      <c r="AB58" s="27"/>
      <c r="AC58" s="27"/>
      <c r="AD58" s="27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>
        <v>10</v>
      </c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40</v>
      </c>
      <c r="BR58" s="1">
        <v>19</v>
      </c>
      <c r="BS58" s="17">
        <v>2</v>
      </c>
      <c r="BT58" s="17" t="s">
        <v>237</v>
      </c>
      <c r="BU58">
        <f>SUM(P58:AD58)</f>
        <v>20</v>
      </c>
      <c r="BV58" s="23">
        <f>AF58+AH58+AI58+AJ58+AO58+AP58</f>
        <v>0</v>
      </c>
    </row>
    <row r="59" spans="1:74" s="42" customFormat="1" ht="27">
      <c r="A59" s="1"/>
      <c r="B59" s="3" t="s">
        <v>206</v>
      </c>
      <c r="C59" s="3" t="s">
        <v>108</v>
      </c>
      <c r="D59" s="1" t="s">
        <v>142</v>
      </c>
      <c r="E59" s="6"/>
      <c r="F59" s="6"/>
      <c r="G59" s="6"/>
      <c r="H59" s="6"/>
      <c r="I59" s="6">
        <v>10</v>
      </c>
      <c r="J59" s="6"/>
      <c r="K59" s="6"/>
      <c r="L59" s="6"/>
      <c r="M59" s="6"/>
      <c r="N59" s="6"/>
      <c r="O59" s="6"/>
      <c r="P59" s="27"/>
      <c r="Q59" s="27"/>
      <c r="R59" s="27">
        <v>10</v>
      </c>
      <c r="S59" s="27"/>
      <c r="T59" s="27"/>
      <c r="U59" s="27"/>
      <c r="V59" s="27"/>
      <c r="W59" s="27"/>
      <c r="X59" s="27">
        <v>10</v>
      </c>
      <c r="Y59" s="27"/>
      <c r="Z59" s="27"/>
      <c r="AA59" s="27"/>
      <c r="AB59" s="27"/>
      <c r="AC59" s="27"/>
      <c r="AD59" s="27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10</v>
      </c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40</v>
      </c>
      <c r="BR59" s="1">
        <v>19</v>
      </c>
      <c r="BS59" s="17">
        <v>2</v>
      </c>
      <c r="BT59" s="17" t="s">
        <v>237</v>
      </c>
      <c r="BU59">
        <f>SUM(P59:AD59)</f>
        <v>20</v>
      </c>
      <c r="BV59" s="23">
        <f>AF59+AH59+AI59+AJ59+AO59+AP59</f>
        <v>0</v>
      </c>
    </row>
    <row r="60" spans="1:74" s="42" customFormat="1" ht="27">
      <c r="A60" s="1"/>
      <c r="B60" s="3" t="s">
        <v>193</v>
      </c>
      <c r="C60" s="3" t="s">
        <v>188</v>
      </c>
      <c r="D60" s="1" t="s">
        <v>142</v>
      </c>
      <c r="E60" s="6"/>
      <c r="F60" s="6"/>
      <c r="G60" s="6"/>
      <c r="H60" s="6"/>
      <c r="I60" s="6">
        <v>10</v>
      </c>
      <c r="J60" s="6"/>
      <c r="K60" s="6"/>
      <c r="L60" s="6"/>
      <c r="M60" s="6"/>
      <c r="N60" s="6"/>
      <c r="O60" s="6"/>
      <c r="P60" s="27"/>
      <c r="Q60" s="27"/>
      <c r="R60" s="27">
        <v>10</v>
      </c>
      <c r="S60" s="27"/>
      <c r="T60" s="27"/>
      <c r="U60" s="27"/>
      <c r="V60" s="27"/>
      <c r="W60" s="27"/>
      <c r="X60" s="27">
        <v>10</v>
      </c>
      <c r="Y60" s="27"/>
      <c r="Z60" s="27"/>
      <c r="AA60" s="27"/>
      <c r="AB60" s="27"/>
      <c r="AC60" s="27"/>
      <c r="AD60" s="27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10</v>
      </c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40</v>
      </c>
      <c r="BR60" s="1">
        <v>19</v>
      </c>
      <c r="BS60" s="17">
        <v>2</v>
      </c>
      <c r="BT60" s="17" t="s">
        <v>237</v>
      </c>
      <c r="BU60">
        <f>SUM(P60:AD60)</f>
        <v>20</v>
      </c>
      <c r="BV60" s="23">
        <f>AF60+AH60+AI60+AJ60+AO60+AP60</f>
        <v>0</v>
      </c>
    </row>
    <row r="61" spans="1:74" s="42" customFormat="1" ht="27">
      <c r="A61" s="1"/>
      <c r="B61" s="3" t="s">
        <v>199</v>
      </c>
      <c r="C61" s="3" t="s">
        <v>45</v>
      </c>
      <c r="D61" s="1" t="s">
        <v>200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>
        <v>40</v>
      </c>
      <c r="AS61" s="4"/>
      <c r="AT61" s="4"/>
      <c r="AU61" s="4"/>
      <c r="AV61" s="4"/>
      <c r="AW61" s="2"/>
      <c r="AX61" s="2">
        <v>40</v>
      </c>
      <c r="AY61" s="2"/>
      <c r="AZ61" s="2">
        <v>40</v>
      </c>
      <c r="BA61" s="2"/>
      <c r="BB61" s="2"/>
      <c r="BC61" s="14">
        <v>10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130</v>
      </c>
      <c r="BR61" s="1">
        <v>27</v>
      </c>
      <c r="BS61" s="17">
        <v>2</v>
      </c>
      <c r="BT61" s="17" t="s">
        <v>245</v>
      </c>
      <c r="BU61">
        <f>SUM(P61:AD61)</f>
        <v>0</v>
      </c>
      <c r="BV61" s="23">
        <f>AF61+AH61+AI61+AJ61+AO61+AP61</f>
        <v>0</v>
      </c>
    </row>
    <row r="62" spans="1:74" s="42" customFormat="1" ht="40.5">
      <c r="A62" s="1"/>
      <c r="B62" s="3" t="s">
        <v>156</v>
      </c>
      <c r="C62" s="3" t="s">
        <v>144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>
        <v>2</v>
      </c>
      <c r="Y62" s="27"/>
      <c r="Z62" s="27"/>
      <c r="AA62" s="27">
        <v>2</v>
      </c>
      <c r="AB62" s="27"/>
      <c r="AC62" s="27">
        <v>5</v>
      </c>
      <c r="AD62" s="27">
        <v>2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11</v>
      </c>
      <c r="BR62" s="1">
        <v>7</v>
      </c>
      <c r="BS62" s="17">
        <v>3</v>
      </c>
      <c r="BT62" s="17" t="s">
        <v>223</v>
      </c>
      <c r="BU62">
        <f>SUM(P62:AD62)</f>
        <v>11</v>
      </c>
      <c r="BV62" s="23">
        <f>AF62+AH62+AI62+AJ62+AO62+AP62</f>
        <v>0</v>
      </c>
    </row>
    <row r="63" spans="1:74" s="42" customFormat="1" ht="40.5">
      <c r="A63" s="1"/>
      <c r="B63" s="1" t="s">
        <v>167</v>
      </c>
      <c r="C63" s="1" t="s">
        <v>45</v>
      </c>
      <c r="D63" s="1" t="s">
        <v>150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7"/>
      <c r="Q63" s="27"/>
      <c r="R63" s="27"/>
      <c r="S63" s="27"/>
      <c r="T63" s="27"/>
      <c r="U63" s="27"/>
      <c r="V63" s="27"/>
      <c r="W63" s="27"/>
      <c r="X63" s="27">
        <v>2</v>
      </c>
      <c r="Y63" s="27"/>
      <c r="Z63" s="27"/>
      <c r="AA63" s="27">
        <v>2</v>
      </c>
      <c r="AB63" s="27"/>
      <c r="AC63" s="27">
        <v>5</v>
      </c>
      <c r="AD63" s="27">
        <v>2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11</v>
      </c>
      <c r="BR63" s="1">
        <v>7</v>
      </c>
      <c r="BS63" s="17">
        <v>3</v>
      </c>
      <c r="BT63" s="17" t="s">
        <v>224</v>
      </c>
      <c r="BU63">
        <f>SUM(P63:AD63)</f>
        <v>11</v>
      </c>
      <c r="BV63" s="23">
        <f>AF63+AH63+AI63+AJ63+AO63+AP63</f>
        <v>0</v>
      </c>
    </row>
    <row r="64" spans="1:74" s="42" customFormat="1" ht="40.5">
      <c r="A64" s="1">
        <v>28</v>
      </c>
      <c r="B64" s="1" t="s">
        <v>50</v>
      </c>
      <c r="C64" s="1" t="s">
        <v>21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1"/>
      <c r="AF64" s="1"/>
      <c r="AG64" s="1"/>
      <c r="AH64" s="1">
        <v>5</v>
      </c>
      <c r="AI64" s="1">
        <v>5</v>
      </c>
      <c r="AJ64" s="1">
        <v>5</v>
      </c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15</v>
      </c>
      <c r="BR64" s="1">
        <v>15</v>
      </c>
      <c r="BS64" s="17">
        <v>3</v>
      </c>
      <c r="BT64" s="17" t="s">
        <v>248</v>
      </c>
      <c r="BU64">
        <f>SUM(P64:AD64)</f>
        <v>0</v>
      </c>
      <c r="BV64" s="23">
        <f>AF64+AH64+AI64+AJ64+AO64+AP64</f>
        <v>15</v>
      </c>
    </row>
    <row r="65" spans="1:74" s="42" customFormat="1" ht="40.5">
      <c r="A65" s="1"/>
      <c r="B65" s="1" t="s">
        <v>177</v>
      </c>
      <c r="C65" s="1" t="s">
        <v>108</v>
      </c>
      <c r="D65" s="1" t="s">
        <v>88</v>
      </c>
      <c r="E65" s="6"/>
      <c r="F65" s="6"/>
      <c r="G65" s="6">
        <v>10</v>
      </c>
      <c r="H65" s="6"/>
      <c r="I65" s="6"/>
      <c r="J65" s="6"/>
      <c r="K65" s="6"/>
      <c r="L65" s="6"/>
      <c r="M65" s="6"/>
      <c r="N65" s="6"/>
      <c r="O65" s="6"/>
      <c r="P65" s="27"/>
      <c r="Q65" s="27"/>
      <c r="R65" s="27"/>
      <c r="S65" s="27"/>
      <c r="T65" s="27"/>
      <c r="U65" s="27"/>
      <c r="V65" s="27"/>
      <c r="W65" s="27"/>
      <c r="X65" s="27">
        <v>10</v>
      </c>
      <c r="Y65" s="27"/>
      <c r="Z65" s="27"/>
      <c r="AA65" s="27"/>
      <c r="AB65" s="27"/>
      <c r="AC65" s="27"/>
      <c r="AD65" s="27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>
        <v>10</v>
      </c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40</v>
      </c>
      <c r="BR65" s="1">
        <v>17</v>
      </c>
      <c r="BS65" s="17">
        <v>3</v>
      </c>
      <c r="BT65" s="17" t="s">
        <v>243</v>
      </c>
      <c r="BU65">
        <f>SUM(P65:AD65)</f>
        <v>20</v>
      </c>
      <c r="BV65" s="23">
        <f>AF65+AH65+AI65+AJ65+AO65+AP65</f>
        <v>0</v>
      </c>
    </row>
    <row r="66" spans="1:74" s="42" customFormat="1" ht="40.5">
      <c r="A66" s="1"/>
      <c r="B66" s="1" t="s">
        <v>154</v>
      </c>
      <c r="C66" s="1" t="s">
        <v>83</v>
      </c>
      <c r="D66" s="1" t="s">
        <v>110</v>
      </c>
      <c r="E66" s="6"/>
      <c r="F66" s="6"/>
      <c r="G66" s="6">
        <v>10</v>
      </c>
      <c r="H66" s="6"/>
      <c r="I66" s="6"/>
      <c r="J66" s="6"/>
      <c r="K66" s="6"/>
      <c r="L66" s="6"/>
      <c r="M66" s="6"/>
      <c r="N66" s="6"/>
      <c r="O66" s="6"/>
      <c r="P66" s="27"/>
      <c r="Q66" s="27"/>
      <c r="R66" s="27"/>
      <c r="S66" s="27"/>
      <c r="T66" s="27"/>
      <c r="U66" s="27"/>
      <c r="V66" s="27"/>
      <c r="W66" s="27"/>
      <c r="X66" s="27">
        <v>10</v>
      </c>
      <c r="Y66" s="27"/>
      <c r="Z66" s="27"/>
      <c r="AA66" s="27"/>
      <c r="AB66" s="27"/>
      <c r="AC66" s="27"/>
      <c r="AD66" s="27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>
        <v>10</v>
      </c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40</v>
      </c>
      <c r="BR66" s="1">
        <v>17</v>
      </c>
      <c r="BS66" s="17">
        <v>3</v>
      </c>
      <c r="BT66" s="17" t="s">
        <v>244</v>
      </c>
      <c r="BU66">
        <f>SUM(P66:AD66)</f>
        <v>20</v>
      </c>
      <c r="BV66" s="23">
        <f>AF66+AH66+AI66+AJ66+AO66+AP66</f>
        <v>0</v>
      </c>
    </row>
    <row r="67" spans="1:74" s="42" customFormat="1" ht="40.5">
      <c r="A67" s="1"/>
      <c r="B67" s="3" t="s">
        <v>191</v>
      </c>
      <c r="C67" s="3" t="s">
        <v>145</v>
      </c>
      <c r="D67" s="1" t="s">
        <v>142</v>
      </c>
      <c r="E67" s="6"/>
      <c r="F67" s="6"/>
      <c r="G67" s="6">
        <v>10</v>
      </c>
      <c r="H67" s="6"/>
      <c r="I67" s="6"/>
      <c r="J67" s="6"/>
      <c r="K67" s="6"/>
      <c r="L67" s="6"/>
      <c r="M67" s="6"/>
      <c r="N67" s="6"/>
      <c r="O67" s="6"/>
      <c r="P67" s="27"/>
      <c r="Q67" s="27"/>
      <c r="R67" s="27"/>
      <c r="S67" s="27"/>
      <c r="T67" s="27"/>
      <c r="U67" s="27"/>
      <c r="V67" s="27"/>
      <c r="W67" s="27"/>
      <c r="X67" s="27">
        <v>10</v>
      </c>
      <c r="Y67" s="27"/>
      <c r="Z67" s="27"/>
      <c r="AA67" s="27"/>
      <c r="AB67" s="27"/>
      <c r="AC67" s="27"/>
      <c r="AD67" s="27">
        <v>10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>
        <v>10</v>
      </c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40</v>
      </c>
      <c r="BR67" s="1">
        <v>17</v>
      </c>
      <c r="BS67" s="17">
        <v>3</v>
      </c>
      <c r="BT67" s="17" t="s">
        <v>244</v>
      </c>
      <c r="BU67">
        <f>SUM(P67:AD67)</f>
        <v>20</v>
      </c>
      <c r="BV67" s="23">
        <f>AF67+AH67+AI67+AJ67+AO67+AP67</f>
        <v>0</v>
      </c>
    </row>
    <row r="68" spans="1:74" s="42" customFormat="1" ht="40.5">
      <c r="A68" s="1"/>
      <c r="B68" s="1" t="s">
        <v>171</v>
      </c>
      <c r="C68" s="1" t="s">
        <v>102</v>
      </c>
      <c r="D68" s="1" t="s">
        <v>151</v>
      </c>
      <c r="E68" s="6"/>
      <c r="F68" s="6"/>
      <c r="G68" s="6">
        <v>10</v>
      </c>
      <c r="H68" s="6"/>
      <c r="I68" s="6"/>
      <c r="J68" s="6"/>
      <c r="K68" s="6"/>
      <c r="L68" s="6"/>
      <c r="M68" s="6"/>
      <c r="N68" s="6"/>
      <c r="O68" s="6"/>
      <c r="P68" s="27"/>
      <c r="Q68" s="27"/>
      <c r="R68" s="27"/>
      <c r="S68" s="27"/>
      <c r="T68" s="27"/>
      <c r="U68" s="27"/>
      <c r="V68" s="27"/>
      <c r="W68" s="27"/>
      <c r="X68" s="27">
        <v>10</v>
      </c>
      <c r="Y68" s="27"/>
      <c r="Z68" s="27"/>
      <c r="AA68" s="27"/>
      <c r="AB68" s="27"/>
      <c r="AC68" s="27"/>
      <c r="AD68" s="27">
        <v>10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>
        <v>10</v>
      </c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40</v>
      </c>
      <c r="BR68" s="1">
        <v>17</v>
      </c>
      <c r="BS68" s="17">
        <v>3</v>
      </c>
      <c r="BT68" s="17" t="s">
        <v>244</v>
      </c>
      <c r="BU68">
        <f>SUM(P68:AD68)</f>
        <v>20</v>
      </c>
      <c r="BV68" s="23">
        <f>AF68+AH68+AI68+AJ68+AO68+AP68</f>
        <v>0</v>
      </c>
    </row>
    <row r="69" spans="1:74" s="42" customFormat="1" ht="40.5">
      <c r="A69" s="1"/>
      <c r="B69" s="3" t="s">
        <v>201</v>
      </c>
      <c r="C69" s="3" t="s">
        <v>187</v>
      </c>
      <c r="D69" s="1" t="s">
        <v>142</v>
      </c>
      <c r="E69" s="6"/>
      <c r="F69" s="6"/>
      <c r="G69" s="6"/>
      <c r="H69" s="6"/>
      <c r="I69" s="6"/>
      <c r="J69" s="6">
        <v>10</v>
      </c>
      <c r="K69" s="6"/>
      <c r="L69" s="6"/>
      <c r="M69" s="6"/>
      <c r="N69" s="6"/>
      <c r="O69" s="6"/>
      <c r="P69" s="27"/>
      <c r="Q69" s="27"/>
      <c r="R69" s="27">
        <v>10</v>
      </c>
      <c r="S69" s="27"/>
      <c r="T69" s="27"/>
      <c r="U69" s="27"/>
      <c r="V69" s="27"/>
      <c r="W69" s="27"/>
      <c r="X69" s="27">
        <v>10</v>
      </c>
      <c r="Y69" s="27"/>
      <c r="Z69" s="27"/>
      <c r="AA69" s="27"/>
      <c r="AB69" s="27"/>
      <c r="AC69" s="27"/>
      <c r="AD69" s="27">
        <v>10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>
        <v>10</v>
      </c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50</v>
      </c>
      <c r="BR69" s="1">
        <v>23</v>
      </c>
      <c r="BS69" s="17">
        <v>3</v>
      </c>
      <c r="BT69" s="17" t="s">
        <v>247</v>
      </c>
      <c r="BU69">
        <f>SUM(P69:AD69)</f>
        <v>30</v>
      </c>
      <c r="BV69" s="23">
        <f>AF69+AH69+AI69+AJ69+AO69+AP69</f>
        <v>0</v>
      </c>
    </row>
    <row r="70" spans="1:74" s="42" customFormat="1" ht="40.5">
      <c r="A70" s="1"/>
      <c r="B70" s="3" t="s">
        <v>156</v>
      </c>
      <c r="C70" s="3" t="s">
        <v>144</v>
      </c>
      <c r="D70" s="1" t="s">
        <v>142</v>
      </c>
      <c r="E70" s="6"/>
      <c r="F70" s="6"/>
      <c r="G70" s="6"/>
      <c r="H70" s="6"/>
      <c r="I70" s="6"/>
      <c r="J70" s="6"/>
      <c r="K70" s="6"/>
      <c r="L70" s="6"/>
      <c r="M70" s="6"/>
      <c r="N70" s="6">
        <v>10</v>
      </c>
      <c r="O70" s="6"/>
      <c r="P70" s="27"/>
      <c r="Q70" s="27"/>
      <c r="R70" s="27"/>
      <c r="S70" s="27"/>
      <c r="T70" s="27"/>
      <c r="U70" s="27"/>
      <c r="V70" s="27"/>
      <c r="W70" s="27"/>
      <c r="X70" s="27">
        <v>10</v>
      </c>
      <c r="Y70" s="27"/>
      <c r="Z70" s="27"/>
      <c r="AA70" s="27">
        <v>10</v>
      </c>
      <c r="AB70" s="27"/>
      <c r="AC70" s="27"/>
      <c r="AD70" s="27">
        <v>10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24</v>
      </c>
      <c r="BS70" s="17">
        <v>3</v>
      </c>
      <c r="BT70" s="17" t="s">
        <v>242</v>
      </c>
      <c r="BU70">
        <f>SUM(P70:AD70)</f>
        <v>30</v>
      </c>
      <c r="BV70" s="23">
        <f>AF70+AH70+AI70+AJ70+AO70+AP70</f>
        <v>0</v>
      </c>
    </row>
    <row r="71" spans="1:74" s="42" customFormat="1" ht="40.5">
      <c r="A71" s="1"/>
      <c r="B71" s="3" t="s">
        <v>146</v>
      </c>
      <c r="C71" s="3" t="s">
        <v>84</v>
      </c>
      <c r="D71" s="1" t="s">
        <v>142</v>
      </c>
      <c r="E71" s="6"/>
      <c r="F71" s="6"/>
      <c r="G71" s="6"/>
      <c r="H71" s="6">
        <v>10</v>
      </c>
      <c r="I71" s="6"/>
      <c r="J71" s="6"/>
      <c r="K71" s="6"/>
      <c r="L71" s="6"/>
      <c r="M71" s="6"/>
      <c r="N71" s="6"/>
      <c r="O71" s="6"/>
      <c r="P71" s="27"/>
      <c r="Q71" s="27"/>
      <c r="R71" s="27">
        <v>10</v>
      </c>
      <c r="S71" s="27"/>
      <c r="T71" s="27"/>
      <c r="U71" s="27"/>
      <c r="V71" s="27"/>
      <c r="W71" s="27"/>
      <c r="X71" s="27">
        <v>10</v>
      </c>
      <c r="Y71" s="27"/>
      <c r="Z71" s="27"/>
      <c r="AA71" s="27"/>
      <c r="AB71" s="27"/>
      <c r="AC71" s="27"/>
      <c r="AD71" s="27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>
        <v>10</v>
      </c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40</v>
      </c>
      <c r="BR71" s="1">
        <v>26</v>
      </c>
      <c r="BS71" s="17">
        <v>3</v>
      </c>
      <c r="BT71" s="17" t="s">
        <v>246</v>
      </c>
      <c r="BU71">
        <f>SUM(P71:AD71)</f>
        <v>20</v>
      </c>
      <c r="BV71" s="23">
        <f>AF71+AH71+AI71+AJ71+AO71+AP71</f>
        <v>0</v>
      </c>
    </row>
    <row r="72" spans="1:74">
      <c r="A72" s="1"/>
      <c r="B72" s="1" t="s">
        <v>47</v>
      </c>
      <c r="C72" s="1"/>
      <c r="D72" s="1"/>
      <c r="E72" s="6">
        <f>SUM(E2:E71)</f>
        <v>60</v>
      </c>
      <c r="F72" s="6">
        <f>SUM(F2:F71)</f>
        <v>0</v>
      </c>
      <c r="G72" s="6">
        <f>SUM(G2:G71)</f>
        <v>50</v>
      </c>
      <c r="H72" s="6">
        <f>SUM(H2:H71)</f>
        <v>20</v>
      </c>
      <c r="I72" s="6">
        <f>SUM(I2:I71)</f>
        <v>50</v>
      </c>
      <c r="J72" s="6">
        <f>SUM(J2:J71)</f>
        <v>50</v>
      </c>
      <c r="K72" s="6">
        <f>SUM(K2:K71)</f>
        <v>0</v>
      </c>
      <c r="L72" s="6">
        <f>SUM(L2:L71)</f>
        <v>27</v>
      </c>
      <c r="M72" s="6">
        <f>SUM(M2:M71)</f>
        <v>40</v>
      </c>
      <c r="N72" s="6">
        <f>SUM(N2:N71)</f>
        <v>10</v>
      </c>
      <c r="O72" s="6">
        <f>SUM(O2:O71)</f>
        <v>20</v>
      </c>
      <c r="P72" s="27">
        <f>SUM(P2:P71)</f>
        <v>20</v>
      </c>
      <c r="Q72" s="27">
        <f>SUM(Q2:Q71)</f>
        <v>42</v>
      </c>
      <c r="R72" s="27">
        <f>SUM(R2:R71)</f>
        <v>194</v>
      </c>
      <c r="S72" s="27">
        <f>SUM(S2:S71)</f>
        <v>20</v>
      </c>
      <c r="T72" s="27">
        <f>SUM(T2:T71)</f>
        <v>42</v>
      </c>
      <c r="U72" s="27">
        <f>SUM(U2:U71)</f>
        <v>158</v>
      </c>
      <c r="V72" s="27">
        <f>SUM(V2:V71)</f>
        <v>40</v>
      </c>
      <c r="W72" s="27">
        <f>SUM(W2:W71)</f>
        <v>10</v>
      </c>
      <c r="X72" s="27">
        <f>SUM(X2:X71)</f>
        <v>149</v>
      </c>
      <c r="Y72" s="27">
        <f>SUM(Y2:Y71)</f>
        <v>30</v>
      </c>
      <c r="Z72" s="27">
        <f>SUM(Z2:Z71)</f>
        <v>35</v>
      </c>
      <c r="AA72" s="27">
        <f>SUM(AA2:AA71)</f>
        <v>100</v>
      </c>
      <c r="AB72" s="27">
        <f>SUM(AB2:AB71)</f>
        <v>60</v>
      </c>
      <c r="AC72" s="27">
        <f>SUM(AC2:AC71)</f>
        <v>35</v>
      </c>
      <c r="AD72" s="27">
        <f>SUM(AD2:AD71)</f>
        <v>124</v>
      </c>
      <c r="AE72" s="1">
        <f>SUM(AE2:AE71)</f>
        <v>250</v>
      </c>
      <c r="AF72" s="1">
        <f>SUM(AF2:AF71)</f>
        <v>5</v>
      </c>
      <c r="AG72" s="1">
        <f>SUM(AG2:AG71)</f>
        <v>0</v>
      </c>
      <c r="AH72" s="1">
        <f>SUM(AH2:AH71)</f>
        <v>30</v>
      </c>
      <c r="AI72" s="1">
        <f>SUM(AI2:AI71)</f>
        <v>30</v>
      </c>
      <c r="AJ72" s="1">
        <f>SUM(AJ2:AJ71)</f>
        <v>5</v>
      </c>
      <c r="AK72" s="1">
        <f>SUM(AK2:AK71)</f>
        <v>0</v>
      </c>
      <c r="AL72" s="1">
        <f>SUM(AL2:AL71)</f>
        <v>0</v>
      </c>
      <c r="AM72" s="1">
        <f>SUM(AM2:AM71)</f>
        <v>0</v>
      </c>
      <c r="AN72" s="1">
        <f>SUM(AN2:AN71)</f>
        <v>0</v>
      </c>
      <c r="AO72" s="1">
        <f>SUM(AO2:AO71)</f>
        <v>0</v>
      </c>
      <c r="AP72" s="1">
        <f>SUM(AP2:AP71)</f>
        <v>0</v>
      </c>
      <c r="AQ72" s="4">
        <f>SUM(AQ2:AQ71)</f>
        <v>90</v>
      </c>
      <c r="AR72" s="4">
        <f>SUM(AR2:AR71)</f>
        <v>50</v>
      </c>
      <c r="AS72" s="4">
        <f>SUM(AS2:AS71)</f>
        <v>40</v>
      </c>
      <c r="AT72" s="4">
        <f>SUM(AT2:AT71)</f>
        <v>60</v>
      </c>
      <c r="AU72" s="4">
        <f>SUM(AU2:AU71)</f>
        <v>70</v>
      </c>
      <c r="AV72" s="4">
        <f>SUM(AV2:AV71)</f>
        <v>100</v>
      </c>
      <c r="AW72" s="2">
        <f>SUM(AW2:AW71)</f>
        <v>80</v>
      </c>
      <c r="AX72" s="2">
        <f>SUM(AX2:AX71)</f>
        <v>40</v>
      </c>
      <c r="AY72" s="2">
        <f>SUM(AY2:AY71)</f>
        <v>0</v>
      </c>
      <c r="AZ72" s="2">
        <f>SUM(AZ2:AZ71)</f>
        <v>40</v>
      </c>
      <c r="BA72" s="2">
        <f>SUM(BA2:BA71)</f>
        <v>40</v>
      </c>
      <c r="BB72" s="2">
        <f>SUM(BB2:BB71)</f>
        <v>40</v>
      </c>
      <c r="BC72" s="1">
        <f>SUM(BC2:BC71)</f>
        <v>30</v>
      </c>
      <c r="BD72" s="1">
        <f>SUM(BD2:BD71)</f>
        <v>10</v>
      </c>
      <c r="BE72" s="1">
        <f>SUM(BE2:BE71)</f>
        <v>50</v>
      </c>
      <c r="BF72" s="1">
        <f>SUM(BF2:BF71)</f>
        <v>0</v>
      </c>
      <c r="BG72" s="1">
        <f>SUM(BG2:BG71)</f>
        <v>0</v>
      </c>
      <c r="BH72" s="1">
        <f>SUM(BH2:BH71)</f>
        <v>0</v>
      </c>
      <c r="BI72" s="1">
        <f>SUM(BI2:BI71)</f>
        <v>0</v>
      </c>
      <c r="BJ72" s="1">
        <f>SUM(BJ2:BJ71)</f>
        <v>0</v>
      </c>
      <c r="BK72" s="1">
        <f>SUM(BK2:BK71)</f>
        <v>100</v>
      </c>
      <c r="BL72" s="1">
        <f>SUM(BL2:BL71)</f>
        <v>100</v>
      </c>
      <c r="BM72" s="1">
        <f>SUM(BM2:BM71)</f>
        <v>150</v>
      </c>
      <c r="BN72" s="1">
        <f>SUM(BN2:BN71)</f>
        <v>150</v>
      </c>
      <c r="BO72" s="1">
        <f>SUM(BO2:BO71)</f>
        <v>250</v>
      </c>
      <c r="BP72" s="1">
        <f>SUM(BP2:BP71)</f>
        <v>250</v>
      </c>
      <c r="BQ72" s="1"/>
      <c r="BR72" s="1"/>
      <c r="BS72" s="17"/>
      <c r="BT72" s="17"/>
    </row>
    <row r="73" spans="1:74">
      <c r="A73" s="1"/>
      <c r="B73" s="3" t="s">
        <v>64</v>
      </c>
      <c r="C73" s="1"/>
      <c r="D73" s="1"/>
      <c r="E73" s="1">
        <v>52</v>
      </c>
      <c r="F73" s="1">
        <v>146</v>
      </c>
      <c r="G73" s="1">
        <v>7</v>
      </c>
      <c r="H73" s="1">
        <v>3</v>
      </c>
      <c r="I73" s="1">
        <v>200</v>
      </c>
      <c r="J73" s="1">
        <v>166</v>
      </c>
      <c r="K73" s="1">
        <v>119</v>
      </c>
      <c r="L73" s="1">
        <v>127</v>
      </c>
      <c r="M73" s="1">
        <v>145</v>
      </c>
      <c r="N73" s="1">
        <v>209</v>
      </c>
      <c r="O73" s="1">
        <v>125</v>
      </c>
      <c r="P73" s="14">
        <v>178</v>
      </c>
      <c r="Q73" s="14">
        <v>0</v>
      </c>
      <c r="R73" s="14">
        <v>1</v>
      </c>
      <c r="S73" s="14">
        <v>238</v>
      </c>
      <c r="T73" s="14">
        <v>32</v>
      </c>
      <c r="U73" s="14">
        <v>10</v>
      </c>
      <c r="V73" s="14">
        <v>155</v>
      </c>
      <c r="W73" s="14">
        <v>0</v>
      </c>
      <c r="X73" s="14">
        <v>0</v>
      </c>
      <c r="Y73" s="14">
        <v>149</v>
      </c>
      <c r="Z73" s="14">
        <v>8</v>
      </c>
      <c r="AA73" s="14">
        <v>0</v>
      </c>
      <c r="AB73" s="14">
        <v>225</v>
      </c>
      <c r="AC73" s="14">
        <v>2</v>
      </c>
      <c r="AD73" s="14">
        <v>6</v>
      </c>
      <c r="AE73" s="1">
        <v>32</v>
      </c>
      <c r="AF73" s="1">
        <v>5</v>
      </c>
      <c r="AG73" s="1">
        <v>3</v>
      </c>
      <c r="AH73" s="1">
        <v>0</v>
      </c>
      <c r="AI73" s="1">
        <v>0</v>
      </c>
      <c r="AJ73" s="1">
        <v>0</v>
      </c>
      <c r="AK73" s="1">
        <v>23</v>
      </c>
      <c r="AL73" s="1">
        <v>33</v>
      </c>
      <c r="AM73" s="1">
        <v>0</v>
      </c>
      <c r="AN73" s="1">
        <v>11</v>
      </c>
      <c r="AO73" s="1">
        <v>0</v>
      </c>
      <c r="AP73" s="1">
        <v>8</v>
      </c>
      <c r="AQ73" s="14">
        <v>83</v>
      </c>
      <c r="AR73" s="14">
        <v>36</v>
      </c>
      <c r="AS73" s="14">
        <v>60</v>
      </c>
      <c r="AT73" s="14">
        <v>67</v>
      </c>
      <c r="AU73" s="14">
        <v>76</v>
      </c>
      <c r="AV73" s="14">
        <v>114</v>
      </c>
      <c r="AW73" s="14">
        <v>69</v>
      </c>
      <c r="AX73" s="14">
        <v>54</v>
      </c>
      <c r="AY73" s="14">
        <v>23</v>
      </c>
      <c r="AZ73" s="14">
        <v>17</v>
      </c>
      <c r="BA73" s="14">
        <v>39</v>
      </c>
      <c r="BB73" s="14">
        <v>13</v>
      </c>
      <c r="BC73" s="14">
        <v>18</v>
      </c>
      <c r="BD73" s="1">
        <v>20</v>
      </c>
      <c r="BE73" s="1">
        <v>255</v>
      </c>
      <c r="BF73" s="1">
        <v>396</v>
      </c>
      <c r="BG73" s="1">
        <v>312</v>
      </c>
      <c r="BH73" s="1">
        <v>330</v>
      </c>
      <c r="BI73" s="1">
        <v>162</v>
      </c>
      <c r="BJ73" s="1">
        <v>195</v>
      </c>
      <c r="BK73" s="1">
        <v>131</v>
      </c>
      <c r="BL73" s="1">
        <v>127</v>
      </c>
      <c r="BM73" s="1">
        <v>324</v>
      </c>
      <c r="BN73" s="1">
        <v>141</v>
      </c>
      <c r="BO73" s="1">
        <v>3</v>
      </c>
      <c r="BP73" s="1">
        <v>217</v>
      </c>
      <c r="BQ73" s="1"/>
      <c r="BR73" s="1"/>
      <c r="BS73" s="17"/>
      <c r="BT73" s="17"/>
    </row>
    <row r="74" spans="1:74">
      <c r="A74" s="1"/>
      <c r="B74" s="3" t="s">
        <v>71</v>
      </c>
      <c r="C74" s="1"/>
      <c r="D74" s="1"/>
      <c r="E74" s="1">
        <f>E73-E72</f>
        <v>-8</v>
      </c>
      <c r="F74" s="1">
        <f>F73-F72</f>
        <v>146</v>
      </c>
      <c r="G74" s="1">
        <f>G73-G72</f>
        <v>-43</v>
      </c>
      <c r="H74" s="1">
        <f>H73-H72</f>
        <v>-17</v>
      </c>
      <c r="I74" s="1">
        <f>I73-I72</f>
        <v>150</v>
      </c>
      <c r="J74" s="1">
        <f>J73-J72</f>
        <v>116</v>
      </c>
      <c r="K74" s="1">
        <f>K73-K72</f>
        <v>119</v>
      </c>
      <c r="L74" s="1">
        <f>L73-L72</f>
        <v>100</v>
      </c>
      <c r="M74" s="1">
        <f>M73-M72</f>
        <v>105</v>
      </c>
      <c r="N74" s="1">
        <f>N73-N72</f>
        <v>199</v>
      </c>
      <c r="O74" s="1">
        <f>O73-O72</f>
        <v>105</v>
      </c>
      <c r="P74" s="1">
        <f>P73-P72</f>
        <v>158</v>
      </c>
      <c r="Q74" s="1">
        <f>Q73-Q72</f>
        <v>-42</v>
      </c>
      <c r="R74" s="1">
        <f>R73-R72</f>
        <v>-193</v>
      </c>
      <c r="S74" s="1">
        <f>S73-S72</f>
        <v>218</v>
      </c>
      <c r="T74" s="1">
        <f>T73-T72</f>
        <v>-10</v>
      </c>
      <c r="U74" s="1">
        <f>U73-U72</f>
        <v>-148</v>
      </c>
      <c r="V74" s="1">
        <f>V73-V72</f>
        <v>115</v>
      </c>
      <c r="W74" s="1">
        <f>W73-W72</f>
        <v>-10</v>
      </c>
      <c r="X74" s="1">
        <f>X73-X72</f>
        <v>-149</v>
      </c>
      <c r="Y74" s="1">
        <f>Y73-Y72</f>
        <v>119</v>
      </c>
      <c r="Z74" s="1">
        <f>Z73-Z72</f>
        <v>-27</v>
      </c>
      <c r="AA74" s="1">
        <f>AA73-AA72</f>
        <v>-100</v>
      </c>
      <c r="AB74" s="1">
        <f>AB73-AB72</f>
        <v>165</v>
      </c>
      <c r="AC74" s="1">
        <f>AC73-AC72</f>
        <v>-33</v>
      </c>
      <c r="AD74" s="1">
        <f>AD73-AD72</f>
        <v>-118</v>
      </c>
      <c r="AE74" s="1">
        <f>AE73-AE72</f>
        <v>-218</v>
      </c>
      <c r="AF74" s="1">
        <f>AF73-AF72</f>
        <v>0</v>
      </c>
      <c r="AG74" s="1">
        <f>AG73-AG72</f>
        <v>3</v>
      </c>
      <c r="AH74" s="1">
        <f>AH73-AH72</f>
        <v>-30</v>
      </c>
      <c r="AI74" s="1">
        <f>AI73-AI72</f>
        <v>-30</v>
      </c>
      <c r="AJ74" s="1">
        <f>AJ73-AJ72</f>
        <v>-5</v>
      </c>
      <c r="AK74" s="1">
        <f>AK73-AK72</f>
        <v>23</v>
      </c>
      <c r="AL74" s="1">
        <f>AL73-AL72</f>
        <v>33</v>
      </c>
      <c r="AM74" s="1">
        <f>AM73-AM72</f>
        <v>0</v>
      </c>
      <c r="AN74" s="1">
        <f>AN73-AN72</f>
        <v>11</v>
      </c>
      <c r="AO74" s="1">
        <f>AO73-AO72</f>
        <v>0</v>
      </c>
      <c r="AP74" s="1">
        <f>AP73-AP72</f>
        <v>8</v>
      </c>
      <c r="AQ74" s="1">
        <f>AQ73-AQ72</f>
        <v>-7</v>
      </c>
      <c r="AR74" s="1">
        <f>AR73-AR72</f>
        <v>-14</v>
      </c>
      <c r="AS74" s="1">
        <f>AS73-AS72</f>
        <v>20</v>
      </c>
      <c r="AT74" s="1">
        <f>AT73-AT72</f>
        <v>7</v>
      </c>
      <c r="AU74" s="1">
        <f>AU73-AU72</f>
        <v>6</v>
      </c>
      <c r="AV74" s="1">
        <f>AV73-AV72</f>
        <v>14</v>
      </c>
      <c r="AW74" s="1">
        <f>AW73-AW72</f>
        <v>-11</v>
      </c>
      <c r="AX74" s="1">
        <f>AX73-AX72</f>
        <v>14</v>
      </c>
      <c r="AY74" s="1">
        <f>AY73-AY72</f>
        <v>23</v>
      </c>
      <c r="AZ74" s="1">
        <f>AZ73-AZ72</f>
        <v>-23</v>
      </c>
      <c r="BA74" s="1">
        <f>BA73-BA72</f>
        <v>-1</v>
      </c>
      <c r="BB74" s="1">
        <f>BB73-BB72</f>
        <v>-27</v>
      </c>
      <c r="BC74" s="1">
        <f>BC73-BC72</f>
        <v>-12</v>
      </c>
      <c r="BD74" s="1">
        <f>BD73-BD72</f>
        <v>10</v>
      </c>
      <c r="BE74" s="1">
        <f>BE73-BE72</f>
        <v>205</v>
      </c>
      <c r="BF74" s="1">
        <f>BF73-BF72</f>
        <v>396</v>
      </c>
      <c r="BG74" s="1">
        <f>BG73-BG72</f>
        <v>312</v>
      </c>
      <c r="BH74" s="1">
        <f>BH73-BH72</f>
        <v>330</v>
      </c>
      <c r="BI74" s="1">
        <f>BI73-BI72</f>
        <v>162</v>
      </c>
      <c r="BJ74" s="1">
        <f>BJ73-BJ72</f>
        <v>195</v>
      </c>
      <c r="BK74" s="1">
        <f>BK73-BK72</f>
        <v>31</v>
      </c>
      <c r="BL74" s="1">
        <f>BL73-BL72</f>
        <v>27</v>
      </c>
      <c r="BM74" s="1">
        <f>BM73-BM72</f>
        <v>174</v>
      </c>
      <c r="BN74" s="1">
        <f>BN73-BN72</f>
        <v>-9</v>
      </c>
      <c r="BO74" s="1">
        <f>BO73-BO72</f>
        <v>-247</v>
      </c>
      <c r="BP74" s="1">
        <f>BP73-BP72</f>
        <v>-33</v>
      </c>
      <c r="BQ74" s="1"/>
      <c r="BR74" s="1"/>
      <c r="BS74" s="17"/>
      <c r="BT74" s="17"/>
    </row>
    <row r="75" spans="1:74">
      <c r="A75" s="1"/>
      <c r="B75" s="3" t="s">
        <v>112</v>
      </c>
      <c r="C75" s="1"/>
      <c r="D75" s="1"/>
      <c r="E75" s="1">
        <f>MAX(E2:E71)</f>
        <v>10</v>
      </c>
      <c r="F75" s="1">
        <f>MAX(F2:F71)</f>
        <v>0</v>
      </c>
      <c r="G75" s="1">
        <f>MAX(G2:G71)</f>
        <v>10</v>
      </c>
      <c r="H75" s="1">
        <f>MAX(H2:H71)</f>
        <v>10</v>
      </c>
      <c r="I75" s="1">
        <f>MAX(I2:I71)</f>
        <v>10</v>
      </c>
      <c r="J75" s="1">
        <f>MAX(J2:J71)</f>
        <v>10</v>
      </c>
      <c r="K75" s="1">
        <f>MAX(K2:K71)</f>
        <v>0</v>
      </c>
      <c r="L75" s="1">
        <f>MAX(L2:L71)</f>
        <v>10</v>
      </c>
      <c r="M75" s="1">
        <f>MAX(M2:M71)</f>
        <v>10</v>
      </c>
      <c r="N75" s="1">
        <f>MAX(N2:N71)</f>
        <v>10</v>
      </c>
      <c r="O75" s="1">
        <f>MAX(O2:O71)</f>
        <v>10</v>
      </c>
      <c r="P75" s="1">
        <f>MAX(P2:P71)</f>
        <v>10</v>
      </c>
      <c r="Q75" s="1">
        <f>MAX(Q2:Q71)</f>
        <v>7</v>
      </c>
      <c r="R75" s="1">
        <f>MAX(R2:R71)</f>
        <v>10</v>
      </c>
      <c r="S75" s="1">
        <f>MAX(S2:S71)</f>
        <v>10</v>
      </c>
      <c r="T75" s="1">
        <f>MAX(T2:T71)</f>
        <v>7</v>
      </c>
      <c r="U75" s="1">
        <f>MAX(U2:U71)</f>
        <v>10</v>
      </c>
      <c r="V75" s="1">
        <f>MAX(V2:V71)</f>
        <v>10</v>
      </c>
      <c r="W75" s="1">
        <f>MAX(W2:W71)</f>
        <v>5</v>
      </c>
      <c r="X75" s="1">
        <f>MAX(X2:X71)</f>
        <v>10</v>
      </c>
      <c r="Y75" s="1">
        <f>MAX(Y2:Y71)</f>
        <v>10</v>
      </c>
      <c r="Z75" s="1">
        <f>MAX(Z2:Z71)</f>
        <v>5</v>
      </c>
      <c r="AA75" s="1">
        <f>MAX(AA2:AA71)</f>
        <v>10</v>
      </c>
      <c r="AB75" s="1">
        <f>MAX(AB2:AB71)</f>
        <v>10</v>
      </c>
      <c r="AC75" s="1">
        <f>MAX(AC2:AC71)</f>
        <v>5</v>
      </c>
      <c r="AD75" s="1">
        <f>MAX(AD2:AD71)</f>
        <v>10</v>
      </c>
      <c r="AE75" s="1">
        <f>MAX(AE2:AE71)</f>
        <v>200</v>
      </c>
      <c r="AF75" s="1">
        <f>MAX(AF2:AF71)</f>
        <v>5</v>
      </c>
      <c r="AG75" s="1">
        <f>MAX(AG2:AG71)</f>
        <v>0</v>
      </c>
      <c r="AH75" s="1">
        <f>MAX(AH2:AH71)</f>
        <v>5</v>
      </c>
      <c r="AI75" s="1">
        <f>MAX(AI2:AI71)</f>
        <v>5</v>
      </c>
      <c r="AJ75" s="1">
        <f>MAX(AJ2:AJ71)</f>
        <v>5</v>
      </c>
      <c r="AK75" s="1">
        <f>MAX(AK2:AK71)</f>
        <v>0</v>
      </c>
      <c r="AL75" s="1">
        <f>MAX(AL2:AL71)</f>
        <v>0</v>
      </c>
      <c r="AM75" s="1">
        <f>MAX(AM2:AM71)</f>
        <v>0</v>
      </c>
      <c r="AN75" s="1">
        <f>MAX(AN2:AN71)</f>
        <v>0</v>
      </c>
      <c r="AO75" s="1">
        <f>MAX(AO2:AO71)</f>
        <v>0</v>
      </c>
      <c r="AP75" s="1">
        <f>MAX(AP2:AP71)</f>
        <v>0</v>
      </c>
      <c r="AQ75" s="1">
        <f>MAX(AQ2:AQ71)</f>
        <v>40</v>
      </c>
      <c r="AR75" s="1">
        <f>MAX(AR2:AR71)</f>
        <v>40</v>
      </c>
      <c r="AS75" s="1">
        <f>MAX(AS2:AS71)</f>
        <v>10</v>
      </c>
      <c r="AT75" s="1">
        <f>MAX(AT2:AT71)</f>
        <v>10</v>
      </c>
      <c r="AU75" s="1">
        <f>MAX(AU2:AU71)</f>
        <v>10</v>
      </c>
      <c r="AV75" s="1">
        <f>MAX(AV2:AV71)</f>
        <v>40</v>
      </c>
      <c r="AW75" s="1">
        <f>MAX(AW2:AW71)</f>
        <v>40</v>
      </c>
      <c r="AX75" s="1">
        <f>MAX(AX2:AX71)</f>
        <v>40</v>
      </c>
      <c r="AY75" s="1">
        <f>MAX(AY2:AY71)</f>
        <v>0</v>
      </c>
      <c r="AZ75" s="1">
        <f>MAX(AZ2:AZ71)</f>
        <v>40</v>
      </c>
      <c r="BA75" s="1">
        <f>MAX(BA2:BA71)</f>
        <v>40</v>
      </c>
      <c r="BB75" s="1">
        <f>MAX(BB2:BB71)</f>
        <v>40</v>
      </c>
      <c r="BC75" s="1">
        <f>MAX(BC2:BC71)</f>
        <v>10</v>
      </c>
      <c r="BD75" s="1">
        <f>MAX(BD2:BD71)</f>
        <v>10</v>
      </c>
      <c r="BE75" s="1">
        <f>MAX(BE2:BE71)</f>
        <v>50</v>
      </c>
      <c r="BF75" s="1">
        <f>MAX(BF2:BF71)</f>
        <v>0</v>
      </c>
      <c r="BG75" s="1">
        <f>MAX(BG2:BG71)</f>
        <v>0</v>
      </c>
      <c r="BH75" s="1">
        <f>MAX(BH2:BH71)</f>
        <v>0</v>
      </c>
      <c r="BI75" s="1">
        <f>MAX(BI2:BI71)</f>
        <v>0</v>
      </c>
      <c r="BJ75" s="1">
        <f>MAX(BJ2:BJ71)</f>
        <v>0</v>
      </c>
      <c r="BK75" s="1">
        <f>MAX(BK2:BK71)</f>
        <v>50</v>
      </c>
      <c r="BL75" s="1">
        <f>MAX(BL2:BL71)</f>
        <v>50</v>
      </c>
      <c r="BM75" s="1">
        <f>MAX(BM2:BM71)</f>
        <v>50</v>
      </c>
      <c r="BN75" s="1">
        <f>MAX(BN2:BN71)</f>
        <v>50</v>
      </c>
      <c r="BO75" s="1">
        <f>MAX(BO2:BO71)</f>
        <v>50</v>
      </c>
      <c r="BP75" s="1">
        <f>MAX(BP2:BP71)</f>
        <v>50</v>
      </c>
      <c r="BQ75" s="1"/>
      <c r="BR75" s="1"/>
      <c r="BS75" s="17"/>
      <c r="BT75" s="17"/>
    </row>
    <row r="76" spans="1:74">
      <c r="A76" s="1"/>
      <c r="B76" s="3" t="s">
        <v>113</v>
      </c>
      <c r="C76" s="1"/>
      <c r="D76" s="1"/>
      <c r="E76" s="1">
        <f>MIN(E2:E71)</f>
        <v>10</v>
      </c>
      <c r="F76" s="1">
        <f>MIN(F2:F71)</f>
        <v>0</v>
      </c>
      <c r="G76" s="1">
        <f>MIN(G2:G71)</f>
        <v>10</v>
      </c>
      <c r="H76" s="1">
        <f>MIN(H2:H71)</f>
        <v>10</v>
      </c>
      <c r="I76" s="1">
        <f>MIN(I2:I71)</f>
        <v>10</v>
      </c>
      <c r="J76" s="1">
        <f>MIN(J2:J71)</f>
        <v>10</v>
      </c>
      <c r="K76" s="1">
        <f>MIN(K2:K71)</f>
        <v>0</v>
      </c>
      <c r="L76" s="1">
        <f>MIN(L2:L71)</f>
        <v>7</v>
      </c>
      <c r="M76" s="1">
        <f>MIN(M2:M71)</f>
        <v>10</v>
      </c>
      <c r="N76" s="1">
        <f>MIN(N2:N71)</f>
        <v>10</v>
      </c>
      <c r="O76" s="1">
        <f>MIN(O2:O71)</f>
        <v>10</v>
      </c>
      <c r="P76" s="1">
        <f>MIN(P2:P71)</f>
        <v>10</v>
      </c>
      <c r="Q76" s="1">
        <f>MIN(Q2:Q71)</f>
        <v>5</v>
      </c>
      <c r="R76" s="1">
        <f>MIN(R2:R71)</f>
        <v>2</v>
      </c>
      <c r="S76" s="1">
        <f>MIN(S2:S71)</f>
        <v>10</v>
      </c>
      <c r="T76" s="1">
        <f>MIN(T2:T71)</f>
        <v>5</v>
      </c>
      <c r="U76" s="1">
        <f>MIN(U2:U71)</f>
        <v>2</v>
      </c>
      <c r="V76" s="1">
        <f>MIN(V2:V71)</f>
        <v>10</v>
      </c>
      <c r="W76" s="1">
        <f>MIN(W2:W71)</f>
        <v>5</v>
      </c>
      <c r="X76" s="1">
        <f>MIN(X2:X71)</f>
        <v>2</v>
      </c>
      <c r="Y76" s="1">
        <f>MIN(Y2:Y71)</f>
        <v>10</v>
      </c>
      <c r="Z76" s="1">
        <f>MIN(Z2:Z71)</f>
        <v>5</v>
      </c>
      <c r="AA76" s="1">
        <f>MIN(AA2:AA71)</f>
        <v>2</v>
      </c>
      <c r="AB76" s="1">
        <f>MIN(AB2:AB71)</f>
        <v>10</v>
      </c>
      <c r="AC76" s="1">
        <f>MIN(AC2:AC71)</f>
        <v>5</v>
      </c>
      <c r="AD76" s="1">
        <f>MIN(AD2:AD71)</f>
        <v>2</v>
      </c>
      <c r="AE76" s="1">
        <f>MIN(AE2:AE71)</f>
        <v>50</v>
      </c>
      <c r="AF76" s="1">
        <f>MIN(AF2:AF71)</f>
        <v>5</v>
      </c>
      <c r="AG76" s="1">
        <f>MIN(AG2:AG71)</f>
        <v>0</v>
      </c>
      <c r="AH76" s="1">
        <f>MIN(AH2:AH71)</f>
        <v>5</v>
      </c>
      <c r="AI76" s="1">
        <f>MIN(AI2:AI71)</f>
        <v>5</v>
      </c>
      <c r="AJ76" s="1">
        <f>MIN(AJ2:AJ71)</f>
        <v>5</v>
      </c>
      <c r="AK76" s="1">
        <f>MIN(AK2:AK71)</f>
        <v>0</v>
      </c>
      <c r="AL76" s="1">
        <f>MIN(AL2:AL71)</f>
        <v>0</v>
      </c>
      <c r="AM76" s="1">
        <f>MIN(AM2:AM71)</f>
        <v>0</v>
      </c>
      <c r="AN76" s="1">
        <f>MIN(AN2:AN71)</f>
        <v>0</v>
      </c>
      <c r="AO76" s="1">
        <f>MIN(AO2:AO71)</f>
        <v>0</v>
      </c>
      <c r="AP76" s="1">
        <f>MIN(AP2:AP71)</f>
        <v>0</v>
      </c>
      <c r="AQ76" s="1">
        <f>MIN(AQ2:AQ71)</f>
        <v>10</v>
      </c>
      <c r="AR76" s="1">
        <f>MIN(AR2:AR71)</f>
        <v>10</v>
      </c>
      <c r="AS76" s="1">
        <f>MIN(AS2:AS71)</f>
        <v>10</v>
      </c>
      <c r="AT76" s="1">
        <f>MIN(AT2:AT71)</f>
        <v>10</v>
      </c>
      <c r="AU76" s="1">
        <f>MIN(AU2:AU71)</f>
        <v>10</v>
      </c>
      <c r="AV76" s="1">
        <f>MIN(AV2:AV71)</f>
        <v>10</v>
      </c>
      <c r="AW76" s="1">
        <f>MIN(AW2:AW71)</f>
        <v>40</v>
      </c>
      <c r="AX76" s="1">
        <f>MIN(AX2:AX71)</f>
        <v>40</v>
      </c>
      <c r="AY76" s="1">
        <f>MIN(AY2:AY71)</f>
        <v>0</v>
      </c>
      <c r="AZ76" s="1">
        <f>MIN(AZ2:AZ71)</f>
        <v>40</v>
      </c>
      <c r="BA76" s="1">
        <f>MIN(BA2:BA71)</f>
        <v>40</v>
      </c>
      <c r="BB76" s="1">
        <f>MIN(BB2:BB71)</f>
        <v>40</v>
      </c>
      <c r="BC76" s="1">
        <f>MIN(BC2:BC71)</f>
        <v>10</v>
      </c>
      <c r="BD76" s="1">
        <f>MIN(BD2:BD71)</f>
        <v>10</v>
      </c>
      <c r="BE76" s="1">
        <f>MIN(BE2:BE71)</f>
        <v>50</v>
      </c>
      <c r="BF76" s="1">
        <f>MIN(BF2:BF71)</f>
        <v>0</v>
      </c>
      <c r="BG76" s="1">
        <f>MIN(BG2:BG71)</f>
        <v>0</v>
      </c>
      <c r="BH76" s="1">
        <f>MIN(BH2:BH71)</f>
        <v>0</v>
      </c>
      <c r="BI76" s="1">
        <f>MIN(BI2:BI71)</f>
        <v>0</v>
      </c>
      <c r="BJ76" s="1">
        <f>MIN(BJ2:BJ71)</f>
        <v>0</v>
      </c>
      <c r="BK76" s="1">
        <f>MIN(BK2:BK71)</f>
        <v>50</v>
      </c>
      <c r="BL76" s="1">
        <f>MIN(BL2:BL71)</f>
        <v>50</v>
      </c>
      <c r="BM76" s="1">
        <f>MIN(BM2:BM71)</f>
        <v>50</v>
      </c>
      <c r="BN76" s="1">
        <f>MIN(BN2:BN71)</f>
        <v>50</v>
      </c>
      <c r="BO76" s="1">
        <f>MIN(BO2:BO71)</f>
        <v>50</v>
      </c>
      <c r="BP76" s="1">
        <f>MIN(BP2:BP71)</f>
        <v>50</v>
      </c>
      <c r="BQ76" s="1"/>
      <c r="BR76" s="1"/>
      <c r="BS76" s="17"/>
      <c r="BT76" s="17"/>
    </row>
    <row r="77" spans="1:74">
      <c r="A77" s="1"/>
      <c r="B77" s="3" t="s">
        <v>114</v>
      </c>
      <c r="C77" s="1"/>
      <c r="D77" s="1"/>
      <c r="E77" s="1">
        <f>E73-E75</f>
        <v>42</v>
      </c>
      <c r="F77" s="1">
        <f>F73-F75</f>
        <v>146</v>
      </c>
      <c r="G77" s="1">
        <f>G73-G75</f>
        <v>-3</v>
      </c>
      <c r="H77" s="1">
        <f>H73-H75</f>
        <v>-7</v>
      </c>
      <c r="I77" s="1">
        <f>I73-I75</f>
        <v>190</v>
      </c>
      <c r="J77" s="1">
        <f>J73-J75</f>
        <v>156</v>
      </c>
      <c r="K77" s="1">
        <f>K73-K75</f>
        <v>119</v>
      </c>
      <c r="L77" s="1">
        <f>L73-L75</f>
        <v>117</v>
      </c>
      <c r="M77" s="1">
        <f>M73-M75</f>
        <v>135</v>
      </c>
      <c r="N77" s="1">
        <f>N73-N75</f>
        <v>199</v>
      </c>
      <c r="O77" s="1">
        <f>O73-O75</f>
        <v>115</v>
      </c>
      <c r="P77" s="1">
        <f>P73-P75</f>
        <v>168</v>
      </c>
      <c r="Q77" s="1">
        <f>Q73-Q75</f>
        <v>-7</v>
      </c>
      <c r="R77" s="1">
        <f>R73-R75</f>
        <v>-9</v>
      </c>
      <c r="S77" s="1">
        <f>S73-S75</f>
        <v>228</v>
      </c>
      <c r="T77" s="1">
        <f>T73-T75</f>
        <v>25</v>
      </c>
      <c r="U77" s="1">
        <f>U73-U75</f>
        <v>0</v>
      </c>
      <c r="V77" s="1">
        <f>V73-V75</f>
        <v>145</v>
      </c>
      <c r="W77" s="1">
        <f>W73-W75</f>
        <v>-5</v>
      </c>
      <c r="X77" s="1">
        <f>X73-X75</f>
        <v>-10</v>
      </c>
      <c r="Y77" s="1">
        <f>Y73-Y75</f>
        <v>139</v>
      </c>
      <c r="Z77" s="1">
        <f>Z73-Z75</f>
        <v>3</v>
      </c>
      <c r="AA77" s="1">
        <f>AA73-AA75</f>
        <v>-10</v>
      </c>
      <c r="AB77" s="1">
        <f>AB73-AB75</f>
        <v>215</v>
      </c>
      <c r="AC77" s="1">
        <f>AC73-AC75</f>
        <v>-3</v>
      </c>
      <c r="AD77" s="1">
        <f>AD73-AD75</f>
        <v>-4</v>
      </c>
      <c r="AE77" s="1">
        <f>AE73-AE75</f>
        <v>-168</v>
      </c>
      <c r="AF77" s="1">
        <f>AF73-AF75</f>
        <v>0</v>
      </c>
      <c r="AG77" s="1">
        <f>AG73-AG75</f>
        <v>3</v>
      </c>
      <c r="AH77" s="1">
        <f>AH73-AH75</f>
        <v>-5</v>
      </c>
      <c r="AI77" s="1">
        <f>AI73-AI75</f>
        <v>-5</v>
      </c>
      <c r="AJ77" s="1">
        <f>AJ73-AJ75</f>
        <v>-5</v>
      </c>
      <c r="AK77" s="1">
        <f>AK73-AK75</f>
        <v>23</v>
      </c>
      <c r="AL77" s="1">
        <f>AL73-AL75</f>
        <v>33</v>
      </c>
      <c r="AM77" s="1">
        <f>AM73-AM75</f>
        <v>0</v>
      </c>
      <c r="AN77" s="1">
        <f>AN73-AN75</f>
        <v>11</v>
      </c>
      <c r="AO77" s="1">
        <f>AO73-AO75</f>
        <v>0</v>
      </c>
      <c r="AP77" s="1">
        <f>AP73-AP75</f>
        <v>8</v>
      </c>
      <c r="AQ77" s="1">
        <f>AQ73-AQ75</f>
        <v>43</v>
      </c>
      <c r="AR77" s="1">
        <f>AR73-AR75</f>
        <v>-4</v>
      </c>
      <c r="AS77" s="1">
        <f>AS73-AS75</f>
        <v>50</v>
      </c>
      <c r="AT77" s="1">
        <f>AT73-AT75</f>
        <v>57</v>
      </c>
      <c r="AU77" s="1">
        <f>AU73-AU75</f>
        <v>66</v>
      </c>
      <c r="AV77" s="1">
        <f>AV73-AV75</f>
        <v>74</v>
      </c>
      <c r="AW77" s="1">
        <f>AW73-AW75</f>
        <v>29</v>
      </c>
      <c r="AX77" s="1">
        <f>AX73-AX75</f>
        <v>14</v>
      </c>
      <c r="AY77" s="1">
        <f>AY73-AY75</f>
        <v>23</v>
      </c>
      <c r="AZ77" s="1">
        <f>AZ73-AZ75</f>
        <v>-23</v>
      </c>
      <c r="BA77" s="1">
        <f>BA73-BA75</f>
        <v>-1</v>
      </c>
      <c r="BB77" s="1">
        <f>BB73-BB75</f>
        <v>-27</v>
      </c>
      <c r="BC77" s="1">
        <f>BC73-BC75</f>
        <v>8</v>
      </c>
      <c r="BD77" s="1">
        <f>BD73-BD75</f>
        <v>10</v>
      </c>
      <c r="BE77" s="1">
        <f>BE73-BE75</f>
        <v>205</v>
      </c>
      <c r="BF77" s="1">
        <f>BF73-BF75</f>
        <v>396</v>
      </c>
      <c r="BG77" s="1">
        <f>BG73-BG75</f>
        <v>312</v>
      </c>
      <c r="BH77" s="1">
        <f>BH73-BH75</f>
        <v>330</v>
      </c>
      <c r="BI77" s="1">
        <f>BI73-BI75</f>
        <v>162</v>
      </c>
      <c r="BJ77" s="1">
        <f>BJ73-BJ75</f>
        <v>195</v>
      </c>
      <c r="BK77" s="1">
        <f>BK73-BK75</f>
        <v>81</v>
      </c>
      <c r="BL77" s="1">
        <f>BL73-BL75</f>
        <v>77</v>
      </c>
      <c r="BM77" s="1">
        <f>BM73-BM75</f>
        <v>274</v>
      </c>
      <c r="BN77" s="1">
        <f>BN73-BN75</f>
        <v>91</v>
      </c>
      <c r="BO77" s="1">
        <f>BO73-BO75</f>
        <v>-47</v>
      </c>
      <c r="BP77" s="1">
        <f>BP73-BP75</f>
        <v>167</v>
      </c>
      <c r="BQ77" s="1"/>
      <c r="BR77" s="1"/>
      <c r="BS77" s="17"/>
      <c r="BT77" s="17"/>
    </row>
    <row r="78" spans="1:74" s="13" customFormat="1">
      <c r="A78" s="1"/>
      <c r="B78" s="3" t="s">
        <v>115</v>
      </c>
      <c r="C78" s="1"/>
      <c r="D78" s="1"/>
      <c r="E78" s="1">
        <f>E73-E76</f>
        <v>42</v>
      </c>
      <c r="F78" s="1">
        <f>F73-F76</f>
        <v>146</v>
      </c>
      <c r="G78" s="1">
        <f>G73-G76</f>
        <v>-3</v>
      </c>
      <c r="H78" s="1">
        <f>H73-H76</f>
        <v>-7</v>
      </c>
      <c r="I78" s="1">
        <f>I73-I76</f>
        <v>190</v>
      </c>
      <c r="J78" s="1">
        <f>J73-J76</f>
        <v>156</v>
      </c>
      <c r="K78" s="1">
        <f>K73-K76</f>
        <v>119</v>
      </c>
      <c r="L78" s="1">
        <f>L73-L76</f>
        <v>120</v>
      </c>
      <c r="M78" s="1">
        <f>M73-M76</f>
        <v>135</v>
      </c>
      <c r="N78" s="1">
        <f>N73-N76</f>
        <v>199</v>
      </c>
      <c r="O78" s="1">
        <f>O73-O76</f>
        <v>115</v>
      </c>
      <c r="P78" s="1">
        <f>P73-P76</f>
        <v>168</v>
      </c>
      <c r="Q78" s="1">
        <f>Q73-Q76</f>
        <v>-5</v>
      </c>
      <c r="R78" s="1">
        <f>R73-R76</f>
        <v>-1</v>
      </c>
      <c r="S78" s="1">
        <f>S73-S76</f>
        <v>228</v>
      </c>
      <c r="T78" s="1">
        <f>T73-T76</f>
        <v>27</v>
      </c>
      <c r="U78" s="1">
        <f>U73-U76</f>
        <v>8</v>
      </c>
      <c r="V78" s="1">
        <f>V73-V76</f>
        <v>145</v>
      </c>
      <c r="W78" s="1">
        <f>W73-W76</f>
        <v>-5</v>
      </c>
      <c r="X78" s="1">
        <f>X73-X76</f>
        <v>-2</v>
      </c>
      <c r="Y78" s="1">
        <f>Y73-Y76</f>
        <v>139</v>
      </c>
      <c r="Z78" s="1">
        <f>Z73-Z76</f>
        <v>3</v>
      </c>
      <c r="AA78" s="1">
        <f>AA73-AA76</f>
        <v>-2</v>
      </c>
      <c r="AB78" s="1">
        <f>AB73-AB76</f>
        <v>215</v>
      </c>
      <c r="AC78" s="1">
        <f>AC73-AC76</f>
        <v>-3</v>
      </c>
      <c r="AD78" s="1">
        <f>AD73-AD76</f>
        <v>4</v>
      </c>
      <c r="AE78" s="1">
        <f>AE73-AE76</f>
        <v>-18</v>
      </c>
      <c r="AF78" s="1">
        <f>AF73-AF76</f>
        <v>0</v>
      </c>
      <c r="AG78" s="1">
        <f>AG73-AG76</f>
        <v>3</v>
      </c>
      <c r="AH78" s="1">
        <f>AH73-AH76</f>
        <v>-5</v>
      </c>
      <c r="AI78" s="1">
        <f>AI73-AI76</f>
        <v>-5</v>
      </c>
      <c r="AJ78" s="1">
        <f>AJ73-AJ76</f>
        <v>-5</v>
      </c>
      <c r="AK78" s="1">
        <f>AK73-AK76</f>
        <v>23</v>
      </c>
      <c r="AL78" s="1">
        <f>AL73-AL76</f>
        <v>33</v>
      </c>
      <c r="AM78" s="1">
        <f>AM73-AM76</f>
        <v>0</v>
      </c>
      <c r="AN78" s="1">
        <f>AN73-AN76</f>
        <v>11</v>
      </c>
      <c r="AO78" s="1">
        <f>AO73-AO76</f>
        <v>0</v>
      </c>
      <c r="AP78" s="1">
        <f>AP73-AP76</f>
        <v>8</v>
      </c>
      <c r="AQ78" s="1">
        <f>AQ73-AQ76</f>
        <v>73</v>
      </c>
      <c r="AR78" s="1">
        <f>AR73-AR76</f>
        <v>26</v>
      </c>
      <c r="AS78" s="1">
        <f>AS73-AS76</f>
        <v>50</v>
      </c>
      <c r="AT78" s="1">
        <f>AT73-AT76</f>
        <v>57</v>
      </c>
      <c r="AU78" s="1">
        <f>AU73-AU76</f>
        <v>66</v>
      </c>
      <c r="AV78" s="1">
        <f>AV73-AV76</f>
        <v>104</v>
      </c>
      <c r="AW78" s="1">
        <f>AW73-AW76</f>
        <v>29</v>
      </c>
      <c r="AX78" s="1">
        <f>AX73-AX76</f>
        <v>14</v>
      </c>
      <c r="AY78" s="1">
        <f>AY73-AY76</f>
        <v>23</v>
      </c>
      <c r="AZ78" s="1">
        <f>AZ73-AZ76</f>
        <v>-23</v>
      </c>
      <c r="BA78" s="1">
        <f>BA73-BA76</f>
        <v>-1</v>
      </c>
      <c r="BB78" s="1">
        <f>BB73-BB76</f>
        <v>-27</v>
      </c>
      <c r="BC78" s="1">
        <f>BC73-BC76</f>
        <v>8</v>
      </c>
      <c r="BD78" s="1">
        <f>BD73-BD76</f>
        <v>10</v>
      </c>
      <c r="BE78" s="1">
        <f>BE73-BE76</f>
        <v>205</v>
      </c>
      <c r="BF78" s="1">
        <f>BF73-BF76</f>
        <v>396</v>
      </c>
      <c r="BG78" s="1">
        <f>BG73-BG76</f>
        <v>312</v>
      </c>
      <c r="BH78" s="1">
        <f>BH73-BH76</f>
        <v>330</v>
      </c>
      <c r="BI78" s="1">
        <f>BI73-BI76</f>
        <v>162</v>
      </c>
      <c r="BJ78" s="1">
        <f>BJ73-BJ76</f>
        <v>195</v>
      </c>
      <c r="BK78" s="1">
        <f>BK73-BK76</f>
        <v>81</v>
      </c>
      <c r="BL78" s="1">
        <f>BL73-BL76</f>
        <v>77</v>
      </c>
      <c r="BM78" s="1">
        <f>BM73-BM76</f>
        <v>274</v>
      </c>
      <c r="BN78" s="1">
        <f>BN73-BN76</f>
        <v>91</v>
      </c>
      <c r="BO78" s="1">
        <f>BO73-BO76</f>
        <v>-47</v>
      </c>
      <c r="BP78" s="1">
        <f>BP73-BP76</f>
        <v>167</v>
      </c>
      <c r="BQ78" s="1"/>
      <c r="BR78" s="1"/>
      <c r="BS78" s="17"/>
      <c r="BT78" s="17"/>
    </row>
    <row r="79" spans="1:74">
      <c r="AQ79" s="7" t="s">
        <v>130</v>
      </c>
      <c r="AR79" s="7" t="s">
        <v>133</v>
      </c>
      <c r="AS79" s="7" t="s">
        <v>134</v>
      </c>
      <c r="AT79" s="7" t="s">
        <v>131</v>
      </c>
      <c r="AU79" s="7" t="s">
        <v>132</v>
      </c>
      <c r="AV79" s="7" t="s">
        <v>129</v>
      </c>
      <c r="AW79" s="7" t="s">
        <v>135</v>
      </c>
      <c r="AX79" s="7" t="s">
        <v>136</v>
      </c>
      <c r="AY79" s="7" t="s">
        <v>137</v>
      </c>
      <c r="AZ79" s="7" t="s">
        <v>138</v>
      </c>
      <c r="BA79" s="7" t="s">
        <v>139</v>
      </c>
      <c r="BB79" s="7" t="s">
        <v>140</v>
      </c>
    </row>
  </sheetData>
  <autoFilter ref="A1:BV79">
    <sortState ref="A2:BV79">
      <sortCondition ref="BS2:BS79"/>
      <sortCondition ref="BR2:BR79"/>
    </sortState>
  </autoFilter>
  <sortState ref="A2:CT148">
    <sortCondition ref="BS2:BS148"/>
    <sortCondition ref="BR2:BR148"/>
  </sortState>
  <phoneticPr fontId="1" type="noConversion"/>
  <conditionalFormatting sqref="E75:BC75 BE75:BP75">
    <cfRule type="expression" dxfId="13" priority="13">
      <formula>"&lt;=$E$135"</formula>
    </cfRule>
  </conditionalFormatting>
  <conditionalFormatting sqref="E77:BC78 BE77:BP78">
    <cfRule type="cellIs" dxfId="12" priority="4" operator="lessThan">
      <formula>0</formula>
    </cfRule>
  </conditionalFormatting>
  <conditionalFormatting sqref="E74:BC74 BE74:BP74">
    <cfRule type="cellIs" dxfId="11" priority="5" operator="lessThan">
      <formula>0</formula>
    </cfRule>
  </conditionalFormatting>
  <conditionalFormatting sqref="BD75">
    <cfRule type="expression" dxfId="10" priority="3">
      <formula>"&lt;=$E$135"</formula>
    </cfRule>
  </conditionalFormatting>
  <conditionalFormatting sqref="BD77:BD78">
    <cfRule type="cellIs" dxfId="9" priority="1" operator="lessThan">
      <formula>0</formula>
    </cfRule>
  </conditionalFormatting>
  <conditionalFormatting sqref="BD74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78</xdr:row>
                    <xdr:rowOff>28575</xdr:rowOff>
                  </from>
                  <to>
                    <xdr:col>1</xdr:col>
                    <xdr:colOff>428625</xdr:colOff>
                    <xdr:row>79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109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159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149</v>
      </c>
      <c r="BV1" s="53"/>
    </row>
    <row r="2" spans="1:74" s="60" customFormat="1">
      <c r="A2" s="58"/>
      <c r="B2" s="59" t="s">
        <v>143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189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143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185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143</v>
      </c>
      <c r="C4" s="59" t="s">
        <v>21</v>
      </c>
      <c r="D4" s="58" t="s">
        <v>142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186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172</v>
      </c>
      <c r="C5" s="59" t="s">
        <v>145</v>
      </c>
      <c r="D5" s="58" t="s">
        <v>142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190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112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113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114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115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130</v>
      </c>
      <c r="AR13" s="56" t="s">
        <v>133</v>
      </c>
      <c r="AS13" s="56" t="s">
        <v>134</v>
      </c>
      <c r="AT13" s="56" t="s">
        <v>131</v>
      </c>
      <c r="AU13" s="56" t="s">
        <v>132</v>
      </c>
      <c r="AV13" s="56" t="s">
        <v>129</v>
      </c>
      <c r="AW13" s="56" t="s">
        <v>135</v>
      </c>
      <c r="AX13" s="56" t="s">
        <v>136</v>
      </c>
      <c r="AY13" s="56" t="s">
        <v>137</v>
      </c>
      <c r="AZ13" s="56" t="s">
        <v>138</v>
      </c>
      <c r="BA13" s="56" t="s">
        <v>139</v>
      </c>
      <c r="BB13" s="56" t="s">
        <v>140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116</v>
      </c>
      <c r="D27" t="s">
        <v>117</v>
      </c>
      <c r="E27" t="s">
        <v>118</v>
      </c>
      <c r="F27" t="s">
        <v>119</v>
      </c>
      <c r="G27" t="s">
        <v>120</v>
      </c>
      <c r="H27" t="s">
        <v>121</v>
      </c>
      <c r="I27" t="s">
        <v>122</v>
      </c>
      <c r="J27" t="s">
        <v>123</v>
      </c>
      <c r="K27" t="s">
        <v>124</v>
      </c>
      <c r="L27" t="s">
        <v>125</v>
      </c>
      <c r="M27" t="s">
        <v>126</v>
      </c>
      <c r="N27" t="s">
        <v>127</v>
      </c>
    </row>
    <row r="31" spans="3:18">
      <c r="C31">
        <v>-3</v>
      </c>
      <c r="D31" t="s">
        <v>116</v>
      </c>
    </row>
    <row r="32" spans="3:18">
      <c r="C32">
        <v>-8</v>
      </c>
      <c r="D32" t="s">
        <v>117</v>
      </c>
    </row>
    <row r="33" spans="3:4">
      <c r="C33">
        <v>-3</v>
      </c>
      <c r="D33" t="s">
        <v>118</v>
      </c>
    </row>
    <row r="34" spans="3:4">
      <c r="C34">
        <v>1</v>
      </c>
      <c r="D34" t="s">
        <v>119</v>
      </c>
    </row>
    <row r="35" spans="3:4">
      <c r="C35">
        <v>3</v>
      </c>
      <c r="D35" t="s">
        <v>120</v>
      </c>
    </row>
    <row r="36" spans="3:4">
      <c r="C36">
        <v>0</v>
      </c>
      <c r="D36" t="s">
        <v>121</v>
      </c>
    </row>
    <row r="37" spans="3:4">
      <c r="C37">
        <v>-3</v>
      </c>
      <c r="D37" t="s">
        <v>122</v>
      </c>
    </row>
    <row r="38" spans="3:4">
      <c r="C38">
        <v>30</v>
      </c>
      <c r="D38" t="s">
        <v>123</v>
      </c>
    </row>
    <row r="39" spans="3:4">
      <c r="C39">
        <v>5</v>
      </c>
      <c r="D39" t="s">
        <v>124</v>
      </c>
    </row>
    <row r="40" spans="3:4">
      <c r="C40">
        <v>-10</v>
      </c>
      <c r="D40" t="s">
        <v>125</v>
      </c>
    </row>
    <row r="41" spans="3:4">
      <c r="C41">
        <v>3</v>
      </c>
      <c r="D41" t="s">
        <v>126</v>
      </c>
    </row>
    <row r="42" spans="3:4">
      <c r="C42">
        <v>138</v>
      </c>
      <c r="D42" t="s">
        <v>127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112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113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114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115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2020-09-14T07:53:30Z</dcterms:modified>
</cp:coreProperties>
</file>