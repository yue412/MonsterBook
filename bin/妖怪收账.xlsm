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5320" windowHeight="13425" tabRatio="364"/>
  </bookViews>
  <sheets>
    <sheet name="Sheet1" sheetId="1" r:id="rId1"/>
    <sheet name="Sheet1 (2)" sheetId="9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Sheet1!$A$1:$BV$15</definedName>
    <definedName name="_xlnm._FilterDatabase" localSheetId="1" hidden="1">'Sheet1 (2)'!$A$1:$BV$13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6" i="4" l="1"/>
  <c r="BQ4" i="1" l="1"/>
  <c r="BU4" i="1"/>
  <c r="BV4" i="1"/>
  <c r="BQ5" i="1" l="1"/>
  <c r="BU5" i="1"/>
  <c r="BV5" i="1"/>
  <c r="BP10" i="9" l="1"/>
  <c r="BP12" i="9" s="1"/>
  <c r="BO10" i="9"/>
  <c r="BO12" i="9" s="1"/>
  <c r="BN10" i="9"/>
  <c r="BN12" i="9" s="1"/>
  <c r="BM10" i="9"/>
  <c r="BM12" i="9" s="1"/>
  <c r="BL10" i="9"/>
  <c r="BL12" i="9" s="1"/>
  <c r="BK10" i="9"/>
  <c r="BK12" i="9" s="1"/>
  <c r="BJ10" i="9"/>
  <c r="BJ12" i="9" s="1"/>
  <c r="BI10" i="9"/>
  <c r="BI12" i="9" s="1"/>
  <c r="BH10" i="9"/>
  <c r="BH12" i="9" s="1"/>
  <c r="BG10" i="9"/>
  <c r="BG12" i="9" s="1"/>
  <c r="BF10" i="9"/>
  <c r="BF12" i="9" s="1"/>
  <c r="BE10" i="9"/>
  <c r="BE12" i="9" s="1"/>
  <c r="BD10" i="9"/>
  <c r="BD12" i="9" s="1"/>
  <c r="BC10" i="9"/>
  <c r="BC12" i="9" s="1"/>
  <c r="BB10" i="9"/>
  <c r="BB12" i="9" s="1"/>
  <c r="BA10" i="9"/>
  <c r="BA12" i="9" s="1"/>
  <c r="AZ10" i="9"/>
  <c r="AZ12" i="9" s="1"/>
  <c r="AY10" i="9"/>
  <c r="AY12" i="9" s="1"/>
  <c r="AX10" i="9"/>
  <c r="AX12" i="9" s="1"/>
  <c r="AW10" i="9"/>
  <c r="AW12" i="9" s="1"/>
  <c r="AV10" i="9"/>
  <c r="AV12" i="9" s="1"/>
  <c r="AU10" i="9"/>
  <c r="AU12" i="9" s="1"/>
  <c r="AT10" i="9"/>
  <c r="AT12" i="9" s="1"/>
  <c r="AS10" i="9"/>
  <c r="AS12" i="9" s="1"/>
  <c r="AR10" i="9"/>
  <c r="AR12" i="9" s="1"/>
  <c r="AQ10" i="9"/>
  <c r="AQ12" i="9" s="1"/>
  <c r="AP10" i="9"/>
  <c r="AP12" i="9" s="1"/>
  <c r="AO10" i="9"/>
  <c r="AO12" i="9" s="1"/>
  <c r="AN10" i="9"/>
  <c r="AN12" i="9" s="1"/>
  <c r="AM10" i="9"/>
  <c r="AM12" i="9" s="1"/>
  <c r="AL10" i="9"/>
  <c r="AL12" i="9" s="1"/>
  <c r="AK10" i="9"/>
  <c r="AK12" i="9" s="1"/>
  <c r="AJ10" i="9"/>
  <c r="AJ12" i="9" s="1"/>
  <c r="AI10" i="9"/>
  <c r="AI12" i="9" s="1"/>
  <c r="AH10" i="9"/>
  <c r="AH12" i="9" s="1"/>
  <c r="AG10" i="9"/>
  <c r="AG12" i="9" s="1"/>
  <c r="AF10" i="9"/>
  <c r="AF12" i="9" s="1"/>
  <c r="AE10" i="9"/>
  <c r="AE12" i="9" s="1"/>
  <c r="AD10" i="9"/>
  <c r="AD12" i="9" s="1"/>
  <c r="AC10" i="9"/>
  <c r="AC12" i="9" s="1"/>
  <c r="AB10" i="9"/>
  <c r="AB12" i="9" s="1"/>
  <c r="AA10" i="9"/>
  <c r="AA12" i="9" s="1"/>
  <c r="Z10" i="9"/>
  <c r="Z12" i="9" s="1"/>
  <c r="Y10" i="9"/>
  <c r="Y12" i="9" s="1"/>
  <c r="X10" i="9"/>
  <c r="X12" i="9" s="1"/>
  <c r="W10" i="9"/>
  <c r="W12" i="9" s="1"/>
  <c r="V10" i="9"/>
  <c r="V12" i="9" s="1"/>
  <c r="U10" i="9"/>
  <c r="U12" i="9" s="1"/>
  <c r="T10" i="9"/>
  <c r="T12" i="9" s="1"/>
  <c r="S10" i="9"/>
  <c r="S12" i="9" s="1"/>
  <c r="R10" i="9"/>
  <c r="R12" i="9" s="1"/>
  <c r="Q10" i="9"/>
  <c r="Q12" i="9" s="1"/>
  <c r="P10" i="9"/>
  <c r="P12" i="9" s="1"/>
  <c r="O10" i="9"/>
  <c r="O12" i="9" s="1"/>
  <c r="N10" i="9"/>
  <c r="N12" i="9" s="1"/>
  <c r="M10" i="9"/>
  <c r="M12" i="9" s="1"/>
  <c r="L10" i="9"/>
  <c r="L12" i="9" s="1"/>
  <c r="K10" i="9"/>
  <c r="K12" i="9" s="1"/>
  <c r="J10" i="9"/>
  <c r="J12" i="9" s="1"/>
  <c r="I10" i="9"/>
  <c r="I12" i="9" s="1"/>
  <c r="H10" i="9"/>
  <c r="H12" i="9" s="1"/>
  <c r="G10" i="9"/>
  <c r="G12" i="9" s="1"/>
  <c r="F10" i="9"/>
  <c r="F12" i="9" s="1"/>
  <c r="E10" i="9"/>
  <c r="E12" i="9" s="1"/>
  <c r="BP9" i="9"/>
  <c r="BP11" i="9" s="1"/>
  <c r="BO9" i="9"/>
  <c r="BO11" i="9" s="1"/>
  <c r="BN9" i="9"/>
  <c r="BN11" i="9" s="1"/>
  <c r="BM9" i="9"/>
  <c r="BM11" i="9" s="1"/>
  <c r="BL9" i="9"/>
  <c r="BL11" i="9" s="1"/>
  <c r="BK9" i="9"/>
  <c r="BK11" i="9" s="1"/>
  <c r="BJ9" i="9"/>
  <c r="BJ11" i="9" s="1"/>
  <c r="BI9" i="9"/>
  <c r="BI11" i="9" s="1"/>
  <c r="BH9" i="9"/>
  <c r="BH11" i="9" s="1"/>
  <c r="BG9" i="9"/>
  <c r="BG11" i="9" s="1"/>
  <c r="BF9" i="9"/>
  <c r="BF11" i="9" s="1"/>
  <c r="BE9" i="9"/>
  <c r="BE11" i="9" s="1"/>
  <c r="BD9" i="9"/>
  <c r="BD11" i="9" s="1"/>
  <c r="BC9" i="9"/>
  <c r="BC11" i="9" s="1"/>
  <c r="BB9" i="9"/>
  <c r="BB11" i="9" s="1"/>
  <c r="BA9" i="9"/>
  <c r="BA11" i="9" s="1"/>
  <c r="AZ9" i="9"/>
  <c r="AZ11" i="9" s="1"/>
  <c r="AY9" i="9"/>
  <c r="AY11" i="9" s="1"/>
  <c r="AX9" i="9"/>
  <c r="AX11" i="9" s="1"/>
  <c r="AW9" i="9"/>
  <c r="AW11" i="9" s="1"/>
  <c r="AV9" i="9"/>
  <c r="AV11" i="9" s="1"/>
  <c r="AU9" i="9"/>
  <c r="AU11" i="9" s="1"/>
  <c r="AT9" i="9"/>
  <c r="AT11" i="9" s="1"/>
  <c r="AS9" i="9"/>
  <c r="AS11" i="9" s="1"/>
  <c r="AR9" i="9"/>
  <c r="AR11" i="9" s="1"/>
  <c r="AQ9" i="9"/>
  <c r="AQ11" i="9" s="1"/>
  <c r="AP9" i="9"/>
  <c r="AP11" i="9" s="1"/>
  <c r="AO9" i="9"/>
  <c r="AO11" i="9" s="1"/>
  <c r="AN9" i="9"/>
  <c r="AN11" i="9" s="1"/>
  <c r="AM9" i="9"/>
  <c r="AM11" i="9" s="1"/>
  <c r="AL9" i="9"/>
  <c r="AL11" i="9" s="1"/>
  <c r="AK9" i="9"/>
  <c r="AK11" i="9" s="1"/>
  <c r="AJ9" i="9"/>
  <c r="AJ11" i="9" s="1"/>
  <c r="AI9" i="9"/>
  <c r="AI11" i="9" s="1"/>
  <c r="AH9" i="9"/>
  <c r="AH11" i="9" s="1"/>
  <c r="AG9" i="9"/>
  <c r="AG11" i="9" s="1"/>
  <c r="AF9" i="9"/>
  <c r="AF11" i="9" s="1"/>
  <c r="AE9" i="9"/>
  <c r="AE11" i="9" s="1"/>
  <c r="AD9" i="9"/>
  <c r="AD11" i="9" s="1"/>
  <c r="AC9" i="9"/>
  <c r="AC11" i="9" s="1"/>
  <c r="AB9" i="9"/>
  <c r="AB11" i="9" s="1"/>
  <c r="AA9" i="9"/>
  <c r="AA11" i="9" s="1"/>
  <c r="Z9" i="9"/>
  <c r="Z11" i="9" s="1"/>
  <c r="Y9" i="9"/>
  <c r="Y11" i="9" s="1"/>
  <c r="X9" i="9"/>
  <c r="X11" i="9" s="1"/>
  <c r="W9" i="9"/>
  <c r="W11" i="9" s="1"/>
  <c r="V9" i="9"/>
  <c r="V11" i="9" s="1"/>
  <c r="U9" i="9"/>
  <c r="U11" i="9" s="1"/>
  <c r="T9" i="9"/>
  <c r="T11" i="9" s="1"/>
  <c r="S9" i="9"/>
  <c r="S11" i="9" s="1"/>
  <c r="R9" i="9"/>
  <c r="R11" i="9" s="1"/>
  <c r="Q9" i="9"/>
  <c r="Q11" i="9" s="1"/>
  <c r="P9" i="9"/>
  <c r="P11" i="9" s="1"/>
  <c r="O9" i="9"/>
  <c r="O11" i="9" s="1"/>
  <c r="N9" i="9"/>
  <c r="N11" i="9" s="1"/>
  <c r="M9" i="9"/>
  <c r="M11" i="9" s="1"/>
  <c r="L9" i="9"/>
  <c r="L11" i="9" s="1"/>
  <c r="K9" i="9"/>
  <c r="K11" i="9" s="1"/>
  <c r="J9" i="9"/>
  <c r="J11" i="9" s="1"/>
  <c r="I9" i="9"/>
  <c r="I11" i="9" s="1"/>
  <c r="H9" i="9"/>
  <c r="H11" i="9" s="1"/>
  <c r="G9" i="9"/>
  <c r="G11" i="9" s="1"/>
  <c r="F9" i="9"/>
  <c r="F11" i="9" s="1"/>
  <c r="E9" i="9"/>
  <c r="E11" i="9" s="1"/>
  <c r="BP6" i="9"/>
  <c r="BP8" i="9" s="1"/>
  <c r="BO6" i="9"/>
  <c r="BO8" i="9" s="1"/>
  <c r="BN6" i="9"/>
  <c r="BN8" i="9" s="1"/>
  <c r="BM6" i="9"/>
  <c r="BM8" i="9" s="1"/>
  <c r="BL6" i="9"/>
  <c r="BL8" i="9" s="1"/>
  <c r="BK6" i="9"/>
  <c r="BK8" i="9" s="1"/>
  <c r="BJ6" i="9"/>
  <c r="BJ8" i="9" s="1"/>
  <c r="BI6" i="9"/>
  <c r="BI8" i="9" s="1"/>
  <c r="BH6" i="9"/>
  <c r="BH8" i="9" s="1"/>
  <c r="BG6" i="9"/>
  <c r="BG8" i="9" s="1"/>
  <c r="BF6" i="9"/>
  <c r="BF8" i="9" s="1"/>
  <c r="BE6" i="9"/>
  <c r="BE8" i="9" s="1"/>
  <c r="BD6" i="9"/>
  <c r="BD8" i="9" s="1"/>
  <c r="BC6" i="9"/>
  <c r="BC8" i="9" s="1"/>
  <c r="BB6" i="9"/>
  <c r="BB8" i="9" s="1"/>
  <c r="BA6" i="9"/>
  <c r="BA8" i="9" s="1"/>
  <c r="AZ6" i="9"/>
  <c r="AZ8" i="9" s="1"/>
  <c r="AY6" i="9"/>
  <c r="AY8" i="9" s="1"/>
  <c r="AX6" i="9"/>
  <c r="AX8" i="9" s="1"/>
  <c r="AW6" i="9"/>
  <c r="AW8" i="9" s="1"/>
  <c r="AV6" i="9"/>
  <c r="AV8" i="9" s="1"/>
  <c r="AU6" i="9"/>
  <c r="AU8" i="9" s="1"/>
  <c r="AT6" i="9"/>
  <c r="AT8" i="9" s="1"/>
  <c r="AS6" i="9"/>
  <c r="AS8" i="9" s="1"/>
  <c r="AR6" i="9"/>
  <c r="AR8" i="9" s="1"/>
  <c r="AQ6" i="9"/>
  <c r="AQ8" i="9" s="1"/>
  <c r="AP6" i="9"/>
  <c r="AP8" i="9" s="1"/>
  <c r="AO6" i="9"/>
  <c r="AO8" i="9" s="1"/>
  <c r="AN6" i="9"/>
  <c r="AN8" i="9" s="1"/>
  <c r="AM6" i="9"/>
  <c r="AM8" i="9" s="1"/>
  <c r="AL6" i="9"/>
  <c r="AL8" i="9" s="1"/>
  <c r="AK6" i="9"/>
  <c r="AK8" i="9" s="1"/>
  <c r="AJ6" i="9"/>
  <c r="AJ8" i="9" s="1"/>
  <c r="AI6" i="9"/>
  <c r="AI8" i="9" s="1"/>
  <c r="AH6" i="9"/>
  <c r="AH8" i="9" s="1"/>
  <c r="AG6" i="9"/>
  <c r="AG8" i="9" s="1"/>
  <c r="AF6" i="9"/>
  <c r="AF8" i="9" s="1"/>
  <c r="AE6" i="9"/>
  <c r="AE8" i="9" s="1"/>
  <c r="AD6" i="9"/>
  <c r="AD8" i="9" s="1"/>
  <c r="AC6" i="9"/>
  <c r="AC8" i="9" s="1"/>
  <c r="AB6" i="9"/>
  <c r="AB8" i="9" s="1"/>
  <c r="AA6" i="9"/>
  <c r="AA8" i="9" s="1"/>
  <c r="Z6" i="9"/>
  <c r="Z8" i="9" s="1"/>
  <c r="Y6" i="9"/>
  <c r="Y8" i="9" s="1"/>
  <c r="X6" i="9"/>
  <c r="X8" i="9" s="1"/>
  <c r="W6" i="9"/>
  <c r="W8" i="9" s="1"/>
  <c r="V6" i="9"/>
  <c r="V8" i="9" s="1"/>
  <c r="U6" i="9"/>
  <c r="U8" i="9" s="1"/>
  <c r="T6" i="9"/>
  <c r="T8" i="9" s="1"/>
  <c r="S6" i="9"/>
  <c r="S8" i="9" s="1"/>
  <c r="R6" i="9"/>
  <c r="R8" i="9" s="1"/>
  <c r="Q6" i="9"/>
  <c r="Q8" i="9" s="1"/>
  <c r="P6" i="9"/>
  <c r="P8" i="9" s="1"/>
  <c r="O6" i="9"/>
  <c r="O8" i="9" s="1"/>
  <c r="N6" i="9"/>
  <c r="N8" i="9" s="1"/>
  <c r="M6" i="9"/>
  <c r="M8" i="9" s="1"/>
  <c r="L6" i="9"/>
  <c r="L8" i="9" s="1"/>
  <c r="K6" i="9"/>
  <c r="K8" i="9" s="1"/>
  <c r="J6" i="9"/>
  <c r="J8" i="9" s="1"/>
  <c r="I6" i="9"/>
  <c r="I8" i="9" s="1"/>
  <c r="H6" i="9"/>
  <c r="H8" i="9" s="1"/>
  <c r="G6" i="9"/>
  <c r="G8" i="9" s="1"/>
  <c r="F6" i="9"/>
  <c r="F8" i="9" s="1"/>
  <c r="E6" i="9"/>
  <c r="E8" i="9" s="1"/>
  <c r="BV5" i="9"/>
  <c r="BU5" i="9"/>
  <c r="BQ5" i="9"/>
  <c r="BV4" i="9"/>
  <c r="BU4" i="9"/>
  <c r="BQ4" i="9"/>
  <c r="BV3" i="9"/>
  <c r="BU3" i="9"/>
  <c r="BQ3" i="9"/>
  <c r="BV2" i="9"/>
  <c r="BU2" i="9"/>
  <c r="BQ2" i="9"/>
  <c r="BU6" i="1" l="1"/>
  <c r="BV6" i="1"/>
  <c r="BU7" i="1"/>
  <c r="BV7" i="1"/>
  <c r="BU2" i="1"/>
  <c r="BV2" i="1"/>
  <c r="BU3" i="1" l="1"/>
  <c r="BV3" i="1"/>
  <c r="BQ6" i="1" l="1"/>
  <c r="BQ7" i="1" l="1"/>
  <c r="BQ2" i="1"/>
  <c r="BQ3" i="1"/>
  <c r="BO8" i="1" l="1"/>
  <c r="X8" i="1"/>
  <c r="X10" i="1" s="1"/>
  <c r="X12" i="1"/>
  <c r="R8" i="1"/>
  <c r="R10" i="1" s="1"/>
  <c r="R12" i="1"/>
  <c r="W8" i="1"/>
  <c r="W10" i="1" s="1"/>
  <c r="W12" i="1"/>
  <c r="W11" i="1"/>
  <c r="W13" i="1" s="1"/>
  <c r="Z8" i="1"/>
  <c r="Z12" i="1"/>
  <c r="AE8" i="1"/>
  <c r="S8" i="1"/>
  <c r="S10" i="1" s="1"/>
  <c r="S12" i="1"/>
  <c r="AD8" i="1"/>
  <c r="AD10" i="1" s="1"/>
  <c r="AD12" i="1"/>
  <c r="J8" i="1"/>
  <c r="J10" i="1" s="1"/>
  <c r="J12" i="1"/>
  <c r="Y8" i="1"/>
  <c r="BM8" i="1"/>
  <c r="BM10" i="1" s="1"/>
  <c r="BM11" i="1"/>
  <c r="BM13" i="1" s="1"/>
  <c r="BM12" i="1" s="1"/>
  <c r="BM14" i="1" s="1"/>
  <c r="V8" i="1"/>
  <c r="AF8" i="1"/>
  <c r="AF10" i="1" s="1"/>
  <c r="AF12" i="1"/>
  <c r="AF14" i="1" s="1"/>
  <c r="G8" i="1"/>
  <c r="G10" i="1" s="1"/>
  <c r="G12" i="1"/>
  <c r="AH8" i="1"/>
  <c r="AH10" i="1" s="1"/>
  <c r="AH11" i="1"/>
  <c r="AH13" i="1" s="1"/>
  <c r="AH12" i="1"/>
  <c r="AH14" i="1" s="1"/>
  <c r="BN8" i="1"/>
  <c r="BN12" i="1"/>
  <c r="E8" i="1"/>
  <c r="E11" i="1"/>
  <c r="E13" i="1" s="1"/>
  <c r="K8" i="1"/>
  <c r="K10" i="1" s="1"/>
  <c r="K12" i="1"/>
  <c r="N8" i="1"/>
  <c r="N10" i="1" s="1"/>
  <c r="N11" i="1"/>
  <c r="N13" i="1" s="1"/>
  <c r="N12" i="1"/>
  <c r="BP8" i="1"/>
  <c r="BP10" i="1" s="1"/>
  <c r="BP12" i="1"/>
  <c r="P8" i="1"/>
  <c r="P10" i="1" s="1"/>
  <c r="P11" i="1"/>
  <c r="P13" i="1" s="1"/>
  <c r="P12" i="1"/>
  <c r="P14" i="1" s="1"/>
  <c r="O8" i="1"/>
  <c r="AO8" i="1"/>
  <c r="Q8" i="1"/>
  <c r="Q12" i="1"/>
  <c r="AG8" i="1"/>
  <c r="AG10" i="1" s="1"/>
  <c r="AG11" i="1"/>
  <c r="AG13" i="1" s="1"/>
  <c r="AG12" i="1" s="1"/>
  <c r="AG14" i="1" s="1"/>
  <c r="AC8" i="1"/>
  <c r="AC10" i="1" s="1"/>
  <c r="AC12" i="1"/>
  <c r="AC11" i="1"/>
  <c r="AC13" i="1" s="1"/>
  <c r="M8" i="1"/>
  <c r="M10" i="1" s="1"/>
  <c r="M11" i="1"/>
  <c r="M13" i="1" s="1"/>
  <c r="M12" i="1" s="1"/>
  <c r="M14" i="1" s="1"/>
  <c r="L8" i="1"/>
  <c r="F8" i="1"/>
  <c r="AK8" i="1"/>
  <c r="AK10" i="1" s="1"/>
  <c r="AK11" i="1"/>
  <c r="AK13" i="1" s="1"/>
  <c r="AK12" i="1" s="1"/>
  <c r="AK14" i="1" s="1"/>
  <c r="H8" i="1"/>
  <c r="H12" i="1"/>
  <c r="AA8" i="1"/>
  <c r="AA10" i="1" s="1"/>
  <c r="AA12" i="1"/>
  <c r="AL8" i="1"/>
  <c r="AL10" i="1" s="1"/>
  <c r="AL11" i="1"/>
  <c r="AL13" i="1" s="1"/>
  <c r="AL12" i="1"/>
  <c r="AL14" i="1" s="1"/>
  <c r="AB8" i="1"/>
  <c r="AB10" i="1" s="1"/>
  <c r="AB12" i="1"/>
  <c r="AB14" i="1" s="1"/>
  <c r="AB11" i="1"/>
  <c r="AB13" i="1" s="1"/>
  <c r="BC8" i="1"/>
  <c r="BC10" i="1" s="1"/>
  <c r="BC12" i="1"/>
  <c r="BC11" i="1"/>
  <c r="BC13" i="1" s="1"/>
  <c r="AJ8" i="1"/>
  <c r="AJ10" i="1" s="1"/>
  <c r="AJ11" i="1"/>
  <c r="AJ13" i="1" s="1"/>
  <c r="AJ12" i="1" s="1"/>
  <c r="AJ14" i="1" s="1"/>
  <c r="AP8" i="1"/>
  <c r="I8" i="1"/>
  <c r="I10" i="1" s="1"/>
  <c r="I12" i="1"/>
  <c r="BL8" i="1"/>
  <c r="BL12" i="1"/>
  <c r="T8" i="1"/>
  <c r="T12" i="1"/>
  <c r="AI8" i="1"/>
  <c r="AI10" i="1" s="1"/>
  <c r="AI11" i="1"/>
  <c r="AI13" i="1" s="1"/>
  <c r="AI12" i="1" s="1"/>
  <c r="AI14" i="1" s="1"/>
  <c r="U8" i="1"/>
  <c r="U10" i="1" s="1"/>
  <c r="U12" i="1"/>
  <c r="AN8" i="1"/>
  <c r="BK8" i="1"/>
  <c r="BK10" i="1" s="1"/>
  <c r="BK12" i="1"/>
  <c r="BK14" i="1" s="1"/>
  <c r="AM8" i="1"/>
  <c r="AM10" i="1" s="1"/>
  <c r="AM11" i="1"/>
  <c r="AM13" i="1" s="1"/>
  <c r="AM12" i="1" s="1"/>
  <c r="AM14" i="1" s="1"/>
  <c r="BF12" i="1"/>
  <c r="BF11" i="1"/>
  <c r="BF13" i="1" s="1"/>
  <c r="BH11" i="1"/>
  <c r="BH13" i="1" s="1"/>
  <c r="BD12" i="1"/>
  <c r="BD11" i="1"/>
  <c r="BD13" i="1" s="1"/>
  <c r="K11" i="1"/>
  <c r="K13" i="1" s="1"/>
  <c r="AF11" i="1"/>
  <c r="AF13" i="1" s="1"/>
  <c r="I11" i="1"/>
  <c r="I13" i="1" s="1"/>
  <c r="X11" i="1"/>
  <c r="X13" i="1" s="1"/>
  <c r="J11" i="1"/>
  <c r="J13" i="1" s="1"/>
  <c r="U11" i="1"/>
  <c r="U13" i="1" s="1"/>
  <c r="AA11" i="1"/>
  <c r="AA13" i="1" s="1"/>
  <c r="R11" i="1"/>
  <c r="R13" i="1" s="1"/>
  <c r="G11" i="1"/>
  <c r="G13" i="1" s="1"/>
  <c r="AD11" i="1"/>
  <c r="AD13" i="1" s="1"/>
  <c r="BP11" i="1"/>
  <c r="BP13" i="1" s="1"/>
  <c r="S11" i="1"/>
  <c r="S13" i="1" s="1"/>
  <c r="F11" i="1"/>
  <c r="F13" i="1" s="1"/>
  <c r="BK11" i="1"/>
  <c r="BK13" i="1" s="1"/>
  <c r="AN11" i="1" l="1"/>
  <c r="AN13" i="1" s="1"/>
  <c r="AN12" i="1" s="1"/>
  <c r="AN14" i="1" s="1"/>
  <c r="AN10" i="1"/>
  <c r="AE12" i="1"/>
  <c r="AE10" i="1"/>
  <c r="H11" i="1"/>
  <c r="H13" i="1" s="1"/>
  <c r="H10" i="1"/>
  <c r="Q11" i="1"/>
  <c r="Q13" i="1" s="1"/>
  <c r="Q10" i="1"/>
  <c r="V12" i="1"/>
  <c r="V10" i="1"/>
  <c r="Z11" i="1"/>
  <c r="Z13" i="1" s="1"/>
  <c r="Z10" i="1"/>
  <c r="AO11" i="1"/>
  <c r="AO13" i="1" s="1"/>
  <c r="AO12" i="1" s="1"/>
  <c r="AO14" i="1" s="1"/>
  <c r="AO10" i="1"/>
  <c r="F12" i="1"/>
  <c r="F14" i="1" s="1"/>
  <c r="F10" i="1"/>
  <c r="O12" i="1"/>
  <c r="O10" i="1"/>
  <c r="E12" i="1"/>
  <c r="E14" i="1" s="1"/>
  <c r="E10" i="1"/>
  <c r="T11" i="1"/>
  <c r="T13" i="1" s="1"/>
  <c r="T10" i="1"/>
  <c r="L11" i="1"/>
  <c r="L13" i="1" s="1"/>
  <c r="L12" i="1" s="1"/>
  <c r="L14" i="1" s="1"/>
  <c r="L10" i="1"/>
  <c r="Y11" i="1"/>
  <c r="Y13" i="1" s="1"/>
  <c r="Y12" i="1" s="1"/>
  <c r="Y14" i="1" s="1"/>
  <c r="Y10" i="1"/>
  <c r="BN11" i="1"/>
  <c r="BN13" i="1" s="1"/>
  <c r="BN10" i="1"/>
  <c r="BL11" i="1"/>
  <c r="BL13" i="1" s="1"/>
  <c r="BL10" i="1"/>
  <c r="AP11" i="1"/>
  <c r="AP13" i="1" s="1"/>
  <c r="AP12" i="1" s="1"/>
  <c r="AP14" i="1" s="1"/>
  <c r="AP10" i="1"/>
  <c r="BO11" i="1"/>
  <c r="BO13" i="1" s="1"/>
  <c r="BO12" i="1" s="1"/>
  <c r="BO14" i="1" s="1"/>
  <c r="BO10" i="1"/>
  <c r="Z14" i="1"/>
  <c r="AU8" i="1"/>
  <c r="AU12" i="1"/>
  <c r="J14" i="1"/>
  <c r="W14" i="1"/>
  <c r="BF14" i="1"/>
  <c r="H14" i="1"/>
  <c r="BG12" i="1"/>
  <c r="BG14" i="1" s="1"/>
  <c r="T14" i="1"/>
  <c r="BI11" i="1"/>
  <c r="BI13" i="1" s="1"/>
  <c r="BE11" i="1"/>
  <c r="BE13" i="1" s="1"/>
  <c r="AR8" i="1"/>
  <c r="AR12" i="1"/>
  <c r="AR14" i="1" s="1"/>
  <c r="N14" i="1"/>
  <c r="AY8" i="1"/>
  <c r="AY10" i="1" s="1"/>
  <c r="AY12" i="1"/>
  <c r="AY11" i="1"/>
  <c r="AY13" i="1" s="1"/>
  <c r="AW8" i="1"/>
  <c r="AW12" i="1"/>
  <c r="AW14" i="1" s="1"/>
  <c r="BJ11" i="1"/>
  <c r="BJ13" i="1" s="1"/>
  <c r="AS8" i="1"/>
  <c r="AS10" i="1" s="1"/>
  <c r="AS11" i="1"/>
  <c r="AS13" i="1" s="1"/>
  <c r="AS12" i="1" s="1"/>
  <c r="AS14" i="1" s="1"/>
  <c r="BI12" i="1"/>
  <c r="BI14" i="1" s="1"/>
  <c r="BE12" i="1"/>
  <c r="BE14" i="1" s="1"/>
  <c r="G14" i="1"/>
  <c r="AD14" i="1"/>
  <c r="R14" i="1"/>
  <c r="AA14" i="1"/>
  <c r="BD14" i="1"/>
  <c r="AT8" i="1"/>
  <c r="AT12" i="1"/>
  <c r="BG11" i="1"/>
  <c r="BG13" i="1" s="1"/>
  <c r="BB8" i="1"/>
  <c r="BB12" i="1"/>
  <c r="BB14" i="1" s="1"/>
  <c r="BP14" i="1"/>
  <c r="Q14" i="1"/>
  <c r="BL14" i="1"/>
  <c r="BA8" i="1"/>
  <c r="BA10" i="1" s="1"/>
  <c r="BA11" i="1"/>
  <c r="BA13" i="1" s="1"/>
  <c r="BA12" i="1"/>
  <c r="BA14" i="1" s="1"/>
  <c r="AC14" i="1"/>
  <c r="BN14" i="1"/>
  <c r="BJ12" i="1"/>
  <c r="BJ14" i="1" s="1"/>
  <c r="I14" i="1"/>
  <c r="K14" i="1"/>
  <c r="X14" i="1"/>
  <c r="V11" i="1"/>
  <c r="V13" i="1" s="1"/>
  <c r="AV8" i="1"/>
  <c r="AV10" i="1" s="1"/>
  <c r="AV11" i="1"/>
  <c r="AV13" i="1" s="1"/>
  <c r="AV12" i="1" s="1"/>
  <c r="AV14" i="1" s="1"/>
  <c r="O11" i="1"/>
  <c r="O13" i="1" s="1"/>
  <c r="O14" i="1" s="1"/>
  <c r="U14" i="1"/>
  <c r="BC14" i="1"/>
  <c r="AQ8" i="1"/>
  <c r="AQ10" i="1" s="1"/>
  <c r="AQ12" i="1"/>
  <c r="AQ11" i="1"/>
  <c r="AQ13" i="1" s="1"/>
  <c r="S14" i="1"/>
  <c r="BH12" i="1"/>
  <c r="BH14" i="1" s="1"/>
  <c r="AZ8" i="1"/>
  <c r="AZ10" i="1" s="1"/>
  <c r="AZ12" i="1"/>
  <c r="AZ11" i="1"/>
  <c r="AZ13" i="1" s="1"/>
  <c r="AE11" i="1"/>
  <c r="AE13" i="1" s="1"/>
  <c r="AE14" i="1" s="1"/>
  <c r="V14" i="1" l="1"/>
  <c r="AU11" i="1"/>
  <c r="AU13" i="1" s="1"/>
  <c r="AU10" i="1"/>
  <c r="AT11" i="1"/>
  <c r="AT13" i="1" s="1"/>
  <c r="AT10" i="1"/>
  <c r="AW11" i="1"/>
  <c r="AW13" i="1" s="1"/>
  <c r="AW10" i="1"/>
  <c r="BB11" i="1"/>
  <c r="BB13" i="1" s="1"/>
  <c r="BB10" i="1"/>
  <c r="AR11" i="1"/>
  <c r="AR13" i="1" s="1"/>
  <c r="AR10" i="1"/>
  <c r="AQ14" i="1"/>
  <c r="AU14" i="1"/>
  <c r="AT14" i="1"/>
  <c r="AY14" i="1"/>
  <c r="AZ14" i="1"/>
  <c r="AX8" i="1"/>
  <c r="AX10" i="1" s="1"/>
  <c r="AX11" i="1"/>
  <c r="AX13" i="1" s="1"/>
  <c r="AX12" i="1"/>
  <c r="AX14" i="1" s="1"/>
  <c r="BH8" i="1"/>
  <c r="BH10" i="1" s="1"/>
  <c r="BI8" i="1"/>
  <c r="BI10" i="1" s="1"/>
  <c r="BF8" i="1"/>
  <c r="BF10" i="1" s="1"/>
  <c r="BJ8" i="1"/>
  <c r="BJ10" i="1" s="1"/>
  <c r="BG8" i="1"/>
  <c r="BG10" i="1" s="1"/>
  <c r="BD8" i="1"/>
  <c r="BD10" i="1" s="1"/>
  <c r="BE8" i="1"/>
  <c r="BE10" i="1" s="1"/>
</calcChain>
</file>

<file path=xl/sharedStrings.xml><?xml version="1.0" encoding="utf-8"?>
<sst xmlns="http://schemas.openxmlformats.org/spreadsheetml/2006/main" count="309" uniqueCount="138">
  <si>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</si>
  <si>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</si>
  <si>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</si>
  <si>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</si>
  <si>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</si>
  <si>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</si>
  <si>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</si>
  <si>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</si>
  <si>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</si>
  <si>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</si>
  <si>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</si>
  <si>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</si>
  <si>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</si>
  <si>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</si>
  <si>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</si>
  <si>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</si>
  <si>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</si>
  <si>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</si>
  <si>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</si>
  <si>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</si>
  <si>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</si>
  <si>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</si>
  <si>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</si>
  <si>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</si>
  <si>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</si>
  <si>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</si>
  <si>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</si>
  <si>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</si>
  <si>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</si>
  <si>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</si>
  <si>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</si>
  <si>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</si>
  <si>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</si>
  <si>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</si>
  <si>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</si>
  <si>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</si>
  <si>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</si>
  <si>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</si>
  <si>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</si>
  <si>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</si>
  <si>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</si>
  <si>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</si>
  <si>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</si>
  <si>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</si>
  <si>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</si>
  <si>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</si>
  <si>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</si>
  <si>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灯笼</t>
    <phoneticPr fontId="1" type="noConversion"/>
  </si>
  <si>
    <t>红糖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</si>
  <si>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</si>
  <si>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</si>
  <si>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</si>
  <si>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</si>
  <si>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</si>
  <si>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</si>
  <si>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</si>
  <si>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</si>
  <si>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</si>
  <si>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</si>
  <si>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</si>
  <si>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</si>
  <si>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</si>
  <si>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</si>
  <si>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</si>
  <si>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</si>
  <si>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</si>
  <si>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</si>
  <si>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幻</t>
    <phoneticPr fontId="1" type="noConversion"/>
  </si>
  <si>
    <t>逆鳞</t>
    <phoneticPr fontId="1" type="noConversion"/>
  </si>
  <si>
    <t>糯米</t>
    <phoneticPr fontId="1" type="noConversion"/>
  </si>
  <si>
    <t>粽叶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</si>
  <si>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</si>
  <si>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</si>
  <si>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</si>
  <si>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</si>
  <si>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</si>
  <si>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</si>
  <si>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</si>
  <si>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</si>
  <si>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</si>
  <si>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</si>
  <si>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</si>
  <si>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</si>
  <si>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钱袋大</t>
    <phoneticPr fontId="1" type="noConversion"/>
  </si>
  <si>
    <t>筹码大</t>
    <phoneticPr fontId="1" type="noConversion"/>
  </si>
  <si>
    <t>庄家令牌大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</si>
  <si>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</si>
  <si>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</si>
  <si>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</si>
  <si>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</si>
  <si>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</si>
  <si>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</si>
  <si>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</si>
  <si>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</si>
  <si>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</si>
  <si>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</si>
  <si>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</si>
  <si>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</si>
  <si>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</si>
  <si>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</si>
  <si>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</si>
  <si>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</si>
  <si>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</si>
  <si>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</si>
  <si>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</si>
  <si>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</si>
  <si>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</si>
  <si>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</si>
  <si>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</si>
  <si>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</si>
  <si>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</si>
  <si>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</si>
  <si>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</si>
  <si>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</si>
  <si>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壮年</t>
    <phoneticPr fontId="1" type="noConversion"/>
  </si>
  <si>
    <t>四万</t>
    <phoneticPr fontId="1" type="noConversion"/>
  </si>
  <si>
    <t>火</t>
    <phoneticPr fontId="1" type="noConversion"/>
  </si>
  <si>
    <t>麻将</t>
    <phoneticPr fontId="1" type="noConversion"/>
  </si>
  <si>
    <t>星络典</t>
    <phoneticPr fontId="1" type="noConversion"/>
  </si>
  <si>
    <t>福球</t>
    <phoneticPr fontId="1" type="noConversion"/>
  </si>
  <si>
    <t>欠条中(5),_x000D_
骰子大(2),</t>
    <phoneticPr fontId="1" type="noConversion"/>
  </si>
  <si>
    <t>筹码大(9),_x000D_
庄家令牌大(10),</t>
    <phoneticPr fontId="1" type="noConversion"/>
  </si>
  <si>
    <t>骰子中(2),</t>
    <phoneticPr fontId="1" type="noConversion"/>
  </si>
  <si>
    <t>女娲石(10),_x000D_
骰子大(10),_x000D_
庄家令牌大(10),</t>
    <phoneticPr fontId="1" type="noConversion"/>
  </si>
  <si>
    <t>五福仙子</t>
    <phoneticPr fontId="1" type="noConversion"/>
  </si>
  <si>
    <t>人形兵器风间樱</t>
    <phoneticPr fontId="1" type="noConversion"/>
  </si>
  <si>
    <t>光</t>
    <phoneticPr fontId="1" type="noConversion"/>
  </si>
  <si>
    <t>魔法少女小甜甜</t>
    <phoneticPr fontId="1" type="noConversion"/>
  </si>
  <si>
    <t>火</t>
    <phoneticPr fontId="1" type="noConversion"/>
  </si>
  <si>
    <t>幻</t>
    <phoneticPr fontId="1" type="noConversion"/>
  </si>
  <si>
    <t>五福仙子</t>
    <phoneticPr fontId="1" type="noConversion"/>
  </si>
  <si>
    <t>八阿哥</t>
    <phoneticPr fontId="1" type="noConversion"/>
  </si>
  <si>
    <t>女娲石(10),</t>
    <phoneticPr fontId="1" type="noConversion"/>
  </si>
  <si>
    <t>桂花(2),</t>
    <phoneticPr fontId="1" type="noConversion"/>
  </si>
  <si>
    <t>桂花(2),</t>
    <phoneticPr fontId="1" type="noConversion"/>
  </si>
  <si>
    <t>金甲虫(174),</t>
    <phoneticPr fontId="1" type="noConversion"/>
  </si>
  <si>
    <t>逆鳞(8),</t>
    <phoneticPr fontId="1" type="noConversion"/>
  </si>
  <si>
    <t>逆鳞(8),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</si>
</sst>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76" formatCode="_ * #,##0_ ;_ * \-#,##0_ ;_ * &quot;-&quot;??_ ;_ @_ "/>
  </numFmts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3" fontId="9" fillId="0" borderId="0" applyFont="0" applyFill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6" fillId="5" borderId="0" xfId="0" applyFont="1" applyFill="1">
      <alignment vertical="center"/>
    </xf>
    <xf numFmtId="0" fontId="6" fillId="0" borderId="0" xfId="0" applyFont="1" applyAlignment="1">
      <alignment vertical="center" wrapText="1"/>
    </xf>
    <xf numFmtId="0" fontId="5" fillId="0" borderId="1" xfId="0" applyFont="1" applyBorder="1">
      <alignment vertical="center"/>
    </xf>
    <xf numFmtId="0" fontId="5" fillId="0" borderId="1" xfId="0" applyFont="1" applyFill="1" applyBorder="1">
      <alignment vertical="center"/>
    </xf>
    <xf numFmtId="0" fontId="8" fillId="0" borderId="0" xfId="0" applyFont="1">
      <alignment vertical="center"/>
    </xf>
    <xf numFmtId="176" fontId="0" fillId="0" borderId="0" xfId="1" applyNumberFormat="1" applyFont="1">
      <alignment vertical="center"/>
    </xf>
    <xf numFmtId="0" fontId="4" fillId="0" borderId="1" xfId="0" applyFont="1" applyFill="1" applyBorder="1">
      <alignment vertical="center"/>
    </xf>
    <xf numFmtId="0" fontId="4" fillId="0" borderId="0" xfId="0" applyFont="1">
      <alignment vertical="center"/>
    </xf>
  </cellXfs>
  <cellStyles count="2">
    <cellStyle name="常规" xfId="0" builtinId="0"/>
    <cellStyle name="千位分隔" xfId="1" builtinId="3"/>
  </cellStyles>
  <dxfs count="14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14</xdr:row>
          <xdr:rowOff>28575</xdr:rowOff>
        </xdr:from>
        <xdr:to>
          <xdr:col>1</xdr:col>
          <xdr:colOff>428625</xdr:colOff>
          <xdr:row>15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</xdr:row>
          <xdr:rowOff>28575</xdr:rowOff>
        </xdr:from>
        <xdr:to>
          <xdr:col>1</xdr:col>
          <xdr:colOff>428625</xdr:colOff>
          <xdr:row>13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15"/>
  <sheetViews>
    <sheetView tabSelected="1" workbookViewId="0">
      <pane xSplit="2" ySplit="1" topLeftCell="BK2" activePane="bottomRight" state="frozen"/>
      <selection pane="topRight" activeCell="C1" sqref="C1"/>
      <selection pane="bottomLeft" activeCell="A3" sqref="A3"/>
      <selection pane="bottomRight" activeCell="B7" sqref="B7"/>
    </sheetView>
  </sheetViews>
  <sheetFormatPr defaultRowHeight="13.5"/>
  <cols>
    <col min="1" max="1" width="9.75" bestFit="1" customWidth="1"/>
    <col min="2" max="2" width="11.5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2" width="12.625" style="7" customWidth="1"/>
    <col min="53" max="53" width="12.87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53</v>
      </c>
      <c r="B1" s="8" t="s">
        <v>54</v>
      </c>
      <c r="C1" s="8" t="s">
        <v>56</v>
      </c>
      <c r="D1" s="8" t="s">
        <v>55</v>
      </c>
      <c r="E1" s="9" t="s">
        <v>1</v>
      </c>
      <c r="F1" s="9" t="s">
        <v>2</v>
      </c>
      <c r="G1" s="9" t="s">
        <v>10</v>
      </c>
      <c r="H1" s="9" t="s">
        <v>18</v>
      </c>
      <c r="I1" s="9" t="s">
        <v>19</v>
      </c>
      <c r="J1" s="9" t="s">
        <v>52</v>
      </c>
      <c r="K1" s="9" t="s">
        <v>20</v>
      </c>
      <c r="L1" s="9" t="s">
        <v>33</v>
      </c>
      <c r="M1" s="9" t="s">
        <v>35</v>
      </c>
      <c r="N1" s="9" t="s">
        <v>38</v>
      </c>
      <c r="O1" s="9" t="s">
        <v>34</v>
      </c>
      <c r="P1" s="26" t="s">
        <v>71</v>
      </c>
      <c r="Q1" s="26" t="s">
        <v>82</v>
      </c>
      <c r="R1" s="26" t="s">
        <v>77</v>
      </c>
      <c r="S1" s="26" t="s">
        <v>72</v>
      </c>
      <c r="T1" s="26" t="s">
        <v>80</v>
      </c>
      <c r="U1" s="26" t="s">
        <v>83</v>
      </c>
      <c r="V1" s="26" t="s">
        <v>73</v>
      </c>
      <c r="W1" s="26" t="s">
        <v>79</v>
      </c>
      <c r="X1" s="26" t="s">
        <v>78</v>
      </c>
      <c r="Y1" s="26" t="s">
        <v>74</v>
      </c>
      <c r="Z1" s="26" t="s">
        <v>81</v>
      </c>
      <c r="AA1" s="26" t="s">
        <v>84</v>
      </c>
      <c r="AB1" s="26" t="s">
        <v>76</v>
      </c>
      <c r="AC1" s="26" t="s">
        <v>75</v>
      </c>
      <c r="AD1" s="26" t="s">
        <v>85</v>
      </c>
      <c r="AE1" s="8" t="s">
        <v>7</v>
      </c>
      <c r="AF1" s="8" t="s">
        <v>23</v>
      </c>
      <c r="AG1" s="8" t="s">
        <v>24</v>
      </c>
      <c r="AH1" s="8" t="s">
        <v>45</v>
      </c>
      <c r="AI1" s="8" t="s">
        <v>46</v>
      </c>
      <c r="AJ1" s="8" t="s">
        <v>47</v>
      </c>
      <c r="AK1" s="8" t="s">
        <v>48</v>
      </c>
      <c r="AL1" s="8" t="s">
        <v>49</v>
      </c>
      <c r="AM1" s="8" t="s">
        <v>39</v>
      </c>
      <c r="AN1" s="8" t="s">
        <v>40</v>
      </c>
      <c r="AO1" s="8" t="s">
        <v>69</v>
      </c>
      <c r="AP1" s="8" t="s">
        <v>70</v>
      </c>
      <c r="AQ1" s="10" t="s">
        <v>31</v>
      </c>
      <c r="AR1" s="10" t="s">
        <v>3</v>
      </c>
      <c r="AS1" s="10" t="s">
        <v>22</v>
      </c>
      <c r="AT1" s="10" t="s">
        <v>41</v>
      </c>
      <c r="AU1" s="10" t="s">
        <v>43</v>
      </c>
      <c r="AV1" s="10" t="s">
        <v>37</v>
      </c>
      <c r="AW1" s="11" t="s">
        <v>4</v>
      </c>
      <c r="AX1" s="11" t="s">
        <v>5</v>
      </c>
      <c r="AY1" s="11" t="s">
        <v>32</v>
      </c>
      <c r="AZ1" s="11" t="s">
        <v>6</v>
      </c>
      <c r="BA1" s="11" t="s">
        <v>36</v>
      </c>
      <c r="BB1" s="11" t="s">
        <v>9</v>
      </c>
      <c r="BC1" s="24" t="s">
        <v>68</v>
      </c>
      <c r="BD1" s="8" t="s">
        <v>118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25</v>
      </c>
      <c r="BL1" s="8" t="s">
        <v>26</v>
      </c>
      <c r="BM1" s="8" t="s">
        <v>27</v>
      </c>
      <c r="BN1" s="8" t="s">
        <v>28</v>
      </c>
      <c r="BO1" s="8" t="s">
        <v>29</v>
      </c>
      <c r="BP1" s="8" t="s">
        <v>30</v>
      </c>
      <c r="BQ1" s="12" t="s">
        <v>60</v>
      </c>
      <c r="BR1" s="8" t="s">
        <v>61</v>
      </c>
      <c r="BS1" s="16" t="s">
        <v>62</v>
      </c>
      <c r="BT1" s="16"/>
      <c r="BU1" s="13" t="s">
        <v>117</v>
      </c>
    </row>
    <row r="2" spans="1:74" s="35" customFormat="1">
      <c r="A2" s="18">
        <v>88</v>
      </c>
      <c r="B2" s="55" t="s">
        <v>50</v>
      </c>
      <c r="C2" s="55" t="s">
        <v>51</v>
      </c>
      <c r="D2" s="18" t="s">
        <v>17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8"/>
      <c r="AF2" s="18"/>
      <c r="AG2" s="18"/>
      <c r="AH2" s="18">
        <v>5</v>
      </c>
      <c r="AI2" s="18">
        <v>5</v>
      </c>
      <c r="AJ2" s="18"/>
      <c r="AK2" s="18"/>
      <c r="AL2" s="18"/>
      <c r="AM2" s="18"/>
      <c r="AN2" s="18"/>
      <c r="AO2" s="18"/>
      <c r="AP2" s="18"/>
      <c r="AQ2" s="20"/>
      <c r="AR2" s="20"/>
      <c r="AS2" s="20"/>
      <c r="AT2" s="20"/>
      <c r="AU2" s="20"/>
      <c r="AV2" s="20"/>
      <c r="AW2" s="21"/>
      <c r="AX2" s="21"/>
      <c r="AY2" s="21"/>
      <c r="AZ2" s="21"/>
      <c r="BA2" s="21"/>
      <c r="BB2" s="21"/>
      <c r="BC2" s="25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>
        <f t="shared" ref="BQ2:BQ7" si="0">SUM(E2:BP2)</f>
        <v>10</v>
      </c>
      <c r="BR2" s="18">
        <v>2</v>
      </c>
      <c r="BS2" s="22">
        <v>1</v>
      </c>
      <c r="BT2" s="22" t="s">
        <v>133</v>
      </c>
      <c r="BU2" s="23">
        <f t="shared" ref="BU2:BU7" si="1">SUM(P2:AD2)</f>
        <v>0</v>
      </c>
      <c r="BV2" s="23">
        <f t="shared" ref="BV2:BV7" si="2">AF2+AH2+AI2+AJ2+AO2+AP2</f>
        <v>10</v>
      </c>
    </row>
    <row r="3" spans="1:74" s="35" customFormat="1">
      <c r="A3" s="18">
        <v>89</v>
      </c>
      <c r="B3" s="55" t="s">
        <v>50</v>
      </c>
      <c r="C3" s="55" t="s">
        <v>51</v>
      </c>
      <c r="D3" s="18" t="s">
        <v>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8"/>
      <c r="AF3" s="18">
        <v>5</v>
      </c>
      <c r="AG3" s="18"/>
      <c r="AH3" s="18">
        <v>5</v>
      </c>
      <c r="AI3" s="18">
        <v>5</v>
      </c>
      <c r="AJ3" s="18"/>
      <c r="AK3" s="18"/>
      <c r="AL3" s="18"/>
      <c r="AM3" s="18"/>
      <c r="AN3" s="18"/>
      <c r="AO3" s="18"/>
      <c r="AP3" s="18"/>
      <c r="AQ3" s="20"/>
      <c r="AR3" s="20"/>
      <c r="AS3" s="20"/>
      <c r="AT3" s="20"/>
      <c r="AU3" s="20"/>
      <c r="AV3" s="20"/>
      <c r="AW3" s="21"/>
      <c r="AX3" s="21"/>
      <c r="AY3" s="21"/>
      <c r="AZ3" s="21"/>
      <c r="BA3" s="21"/>
      <c r="BB3" s="21"/>
      <c r="BC3" s="25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>
        <f t="shared" si="0"/>
        <v>15</v>
      </c>
      <c r="BR3" s="18">
        <v>2</v>
      </c>
      <c r="BS3" s="22">
        <v>1</v>
      </c>
      <c r="BT3" s="22" t="s">
        <v>134</v>
      </c>
      <c r="BU3" s="23">
        <f t="shared" si="1"/>
        <v>0</v>
      </c>
      <c r="BV3" s="23">
        <f t="shared" si="2"/>
        <v>15</v>
      </c>
    </row>
    <row r="4" spans="1:74" s="23" customFormat="1">
      <c r="A4" s="18"/>
      <c r="B4" s="52" t="s">
        <v>127</v>
      </c>
      <c r="C4" s="52" t="s">
        <v>128</v>
      </c>
      <c r="D4" s="18" t="s">
        <v>129</v>
      </c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20"/>
      <c r="AR4" s="20"/>
      <c r="AS4" s="20">
        <v>40</v>
      </c>
      <c r="AT4" s="20"/>
      <c r="AU4" s="20"/>
      <c r="AV4" s="20"/>
      <c r="AW4" s="21">
        <v>40</v>
      </c>
      <c r="AX4" s="21"/>
      <c r="AY4" s="21"/>
      <c r="AZ4" s="21">
        <v>40</v>
      </c>
      <c r="BA4" s="21"/>
      <c r="BB4" s="21"/>
      <c r="BC4" s="25">
        <v>10</v>
      </c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>
        <f t="shared" si="0"/>
        <v>130</v>
      </c>
      <c r="BR4" s="18">
        <v>8</v>
      </c>
      <c r="BS4" s="22">
        <v>1</v>
      </c>
      <c r="BT4" s="22" t="s">
        <v>136</v>
      </c>
      <c r="BU4" s="23">
        <f t="shared" si="1"/>
        <v>0</v>
      </c>
      <c r="BV4" s="23">
        <f t="shared" si="2"/>
        <v>0</v>
      </c>
    </row>
    <row r="5" spans="1:74" s="23" customFormat="1">
      <c r="A5" s="18"/>
      <c r="B5" s="18" t="s">
        <v>125</v>
      </c>
      <c r="C5" s="18" t="s">
        <v>126</v>
      </c>
      <c r="D5" s="18" t="s">
        <v>67</v>
      </c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20"/>
      <c r="AR5" s="20"/>
      <c r="AS5" s="20">
        <v>40</v>
      </c>
      <c r="AT5" s="20"/>
      <c r="AU5" s="20"/>
      <c r="AV5" s="20"/>
      <c r="AW5" s="21"/>
      <c r="AX5" s="21">
        <v>40</v>
      </c>
      <c r="AY5" s="21"/>
      <c r="AZ5" s="21"/>
      <c r="BA5" s="21"/>
      <c r="BB5" s="21">
        <v>40</v>
      </c>
      <c r="BC5" s="25">
        <v>10</v>
      </c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>
        <f t="shared" si="0"/>
        <v>130</v>
      </c>
      <c r="BR5" s="18">
        <v>8</v>
      </c>
      <c r="BS5" s="22">
        <v>1</v>
      </c>
      <c r="BT5" s="22" t="s">
        <v>137</v>
      </c>
      <c r="BU5" s="23">
        <f t="shared" si="1"/>
        <v>0</v>
      </c>
      <c r="BV5" s="23">
        <f t="shared" si="2"/>
        <v>0</v>
      </c>
    </row>
    <row r="6" spans="1:74" s="35" customFormat="1">
      <c r="A6" s="18"/>
      <c r="B6" s="52" t="s">
        <v>124</v>
      </c>
      <c r="C6" s="52" t="s">
        <v>116</v>
      </c>
      <c r="D6" s="18" t="s">
        <v>114</v>
      </c>
      <c r="E6" s="19"/>
      <c r="F6" s="19"/>
      <c r="G6" s="19">
        <v>10</v>
      </c>
      <c r="H6" s="19"/>
      <c r="I6" s="19"/>
      <c r="J6" s="19"/>
      <c r="K6" s="19"/>
      <c r="L6" s="19"/>
      <c r="M6" s="19"/>
      <c r="N6" s="19"/>
      <c r="O6" s="19"/>
      <c r="P6" s="28"/>
      <c r="Q6" s="28"/>
      <c r="R6" s="28"/>
      <c r="S6" s="28"/>
      <c r="T6" s="28"/>
      <c r="U6" s="28"/>
      <c r="V6" s="28"/>
      <c r="W6" s="28"/>
      <c r="X6" s="28">
        <v>10</v>
      </c>
      <c r="Y6" s="28"/>
      <c r="Z6" s="28"/>
      <c r="AA6" s="28"/>
      <c r="AB6" s="28"/>
      <c r="AC6" s="28"/>
      <c r="AD6" s="28">
        <v>10</v>
      </c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AV6" s="20">
        <v>10</v>
      </c>
      <c r="AW6" s="21"/>
      <c r="AX6" s="21"/>
      <c r="AY6" s="21"/>
      <c r="AZ6" s="21"/>
      <c r="BA6" s="21"/>
      <c r="BB6" s="21"/>
      <c r="BC6" s="25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>
        <f t="shared" si="0"/>
        <v>40</v>
      </c>
      <c r="BR6" s="18">
        <v>10</v>
      </c>
      <c r="BS6" s="22">
        <v>1</v>
      </c>
      <c r="BT6" s="22" t="s">
        <v>132</v>
      </c>
      <c r="BU6" s="23">
        <f t="shared" si="1"/>
        <v>20</v>
      </c>
      <c r="BV6" s="23">
        <f t="shared" si="2"/>
        <v>0</v>
      </c>
    </row>
    <row r="7" spans="1:74" s="35" customFormat="1">
      <c r="A7" s="1">
        <v>99</v>
      </c>
      <c r="B7" s="3" t="s">
        <v>131</v>
      </c>
      <c r="C7" s="3" t="s">
        <v>42</v>
      </c>
      <c r="D7" s="1" t="s">
        <v>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1">
        <v>200</v>
      </c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 t="shared" si="0"/>
        <v>200</v>
      </c>
      <c r="BR7" s="1">
        <v>174</v>
      </c>
      <c r="BS7" s="17">
        <v>1</v>
      </c>
      <c r="BT7" s="17" t="s">
        <v>135</v>
      </c>
      <c r="BU7">
        <f t="shared" si="1"/>
        <v>0</v>
      </c>
      <c r="BV7" s="23">
        <f t="shared" si="2"/>
        <v>0</v>
      </c>
    </row>
    <row r="8" spans="1:74">
      <c r="A8" s="1"/>
      <c r="B8" s="1" t="s">
        <v>44</v>
      </c>
      <c r="C8" s="1"/>
      <c r="D8" s="1"/>
      <c r="E8" s="6">
        <f>SUM(E2:E7)</f>
        <v>0</v>
      </c>
      <c r="F8" s="6">
        <f>SUM(F2:F7)</f>
        <v>0</v>
      </c>
      <c r="G8" s="6">
        <f>SUM(G2:G7)</f>
        <v>10</v>
      </c>
      <c r="H8" s="6">
        <f>SUM(H2:H7)</f>
        <v>0</v>
      </c>
      <c r="I8" s="6">
        <f>SUM(I2:I7)</f>
        <v>0</v>
      </c>
      <c r="J8" s="6">
        <f>SUM(J2:J7)</f>
        <v>0</v>
      </c>
      <c r="K8" s="6">
        <f>SUM(K2:K7)</f>
        <v>0</v>
      </c>
      <c r="L8" s="6">
        <f>SUM(L2:L7)</f>
        <v>0</v>
      </c>
      <c r="M8" s="6">
        <f>SUM(M2:M7)</f>
        <v>0</v>
      </c>
      <c r="N8" s="6">
        <f>SUM(N2:N7)</f>
        <v>0</v>
      </c>
      <c r="O8" s="6">
        <f>SUM(O2:O7)</f>
        <v>0</v>
      </c>
      <c r="P8" s="27">
        <f>SUM(P2:P7)</f>
        <v>0</v>
      </c>
      <c r="Q8" s="27">
        <f>SUM(Q2:Q7)</f>
        <v>0</v>
      </c>
      <c r="R8" s="27">
        <f>SUM(R2:R7)</f>
        <v>0</v>
      </c>
      <c r="S8" s="27">
        <f>SUM(S2:S7)</f>
        <v>0</v>
      </c>
      <c r="T8" s="27">
        <f>SUM(T2:T7)</f>
        <v>0</v>
      </c>
      <c r="U8" s="27">
        <f>SUM(U2:U7)</f>
        <v>0</v>
      </c>
      <c r="V8" s="27">
        <f>SUM(V2:V7)</f>
        <v>0</v>
      </c>
      <c r="W8" s="27">
        <f>SUM(W2:W7)</f>
        <v>0</v>
      </c>
      <c r="X8" s="27">
        <f>SUM(X2:X7)</f>
        <v>10</v>
      </c>
      <c r="Y8" s="27">
        <f>SUM(Y2:Y7)</f>
        <v>0</v>
      </c>
      <c r="Z8" s="27">
        <f>SUM(Z2:Z7)</f>
        <v>0</v>
      </c>
      <c r="AA8" s="27">
        <f>SUM(AA2:AA7)</f>
        <v>0</v>
      </c>
      <c r="AB8" s="27">
        <f>SUM(AB2:AB7)</f>
        <v>0</v>
      </c>
      <c r="AC8" s="27">
        <f>SUM(AC2:AC7)</f>
        <v>0</v>
      </c>
      <c r="AD8" s="27">
        <f>SUM(AD2:AD7)</f>
        <v>10</v>
      </c>
      <c r="AE8" s="1">
        <f>SUM(AE2:AE7)</f>
        <v>200</v>
      </c>
      <c r="AF8" s="1">
        <f>SUM(AF2:AF7)</f>
        <v>5</v>
      </c>
      <c r="AG8" s="1">
        <f>SUM(AG2:AG7)</f>
        <v>0</v>
      </c>
      <c r="AH8" s="1">
        <f>SUM(AH2:AH7)</f>
        <v>10</v>
      </c>
      <c r="AI8" s="1">
        <f>SUM(AI2:AI7)</f>
        <v>10</v>
      </c>
      <c r="AJ8" s="1">
        <f>SUM(AJ2:AJ7)</f>
        <v>0</v>
      </c>
      <c r="AK8" s="1">
        <f>SUM(AK2:AK7)</f>
        <v>0</v>
      </c>
      <c r="AL8" s="1">
        <f>SUM(AL2:AL7)</f>
        <v>0</v>
      </c>
      <c r="AM8" s="1">
        <f>SUM(AM2:AM7)</f>
        <v>0</v>
      </c>
      <c r="AN8" s="1">
        <f>SUM(AN2:AN7)</f>
        <v>0</v>
      </c>
      <c r="AO8" s="1">
        <f>SUM(AO2:AO7)</f>
        <v>0</v>
      </c>
      <c r="AP8" s="1">
        <f>SUM(AP2:AP7)</f>
        <v>0</v>
      </c>
      <c r="AQ8" s="4">
        <f>SUM(AQ2:AQ7)</f>
        <v>0</v>
      </c>
      <c r="AR8" s="4">
        <f>SUM(AR2:AR7)</f>
        <v>0</v>
      </c>
      <c r="AS8" s="4">
        <f>SUM(AS2:AS7)</f>
        <v>80</v>
      </c>
      <c r="AT8" s="4">
        <f>SUM(AT2:AT7)</f>
        <v>0</v>
      </c>
      <c r="AU8" s="4">
        <f>SUM(AU2:AU7)</f>
        <v>0</v>
      </c>
      <c r="AV8" s="4">
        <f>SUM(AV2:AV7)</f>
        <v>10</v>
      </c>
      <c r="AW8" s="2">
        <f>SUM(AW2:AW7)</f>
        <v>40</v>
      </c>
      <c r="AX8" s="2">
        <f>SUM(AX2:AX7)</f>
        <v>40</v>
      </c>
      <c r="AY8" s="2">
        <f>SUM(AY2:AY7)</f>
        <v>0</v>
      </c>
      <c r="AZ8" s="2">
        <f>SUM(AZ2:AZ7)</f>
        <v>40</v>
      </c>
      <c r="BA8" s="2">
        <f>SUM(BA2:BA7)</f>
        <v>0</v>
      </c>
      <c r="BB8" s="2">
        <f>SUM(BB2:BB7)</f>
        <v>40</v>
      </c>
      <c r="BC8" s="1">
        <f>SUM(BC2:BC7)</f>
        <v>20</v>
      </c>
      <c r="BD8" s="1">
        <f>SUM(BD2:BD7)</f>
        <v>0</v>
      </c>
      <c r="BE8" s="1">
        <f>SUM(BE2:BE7)</f>
        <v>0</v>
      </c>
      <c r="BF8" s="1">
        <f>SUM(BF2:BF7)</f>
        <v>0</v>
      </c>
      <c r="BG8" s="1">
        <f>SUM(BG2:BG7)</f>
        <v>0</v>
      </c>
      <c r="BH8" s="1">
        <f>SUM(BH2:BH7)</f>
        <v>0</v>
      </c>
      <c r="BI8" s="1">
        <f>SUM(BI2:BI7)</f>
        <v>0</v>
      </c>
      <c r="BJ8" s="1">
        <f>SUM(BJ2:BJ7)</f>
        <v>0</v>
      </c>
      <c r="BK8" s="1">
        <f>SUM(BK2:BK7)</f>
        <v>0</v>
      </c>
      <c r="BL8" s="1">
        <f>SUM(BL2:BL7)</f>
        <v>0</v>
      </c>
      <c r="BM8" s="1">
        <f>SUM(BM2:BM7)</f>
        <v>0</v>
      </c>
      <c r="BN8" s="1">
        <f>SUM(BN2:BN7)</f>
        <v>0</v>
      </c>
      <c r="BO8" s="1">
        <f>SUM(BO2:BO7)</f>
        <v>0</v>
      </c>
      <c r="BP8" s="1">
        <f>SUM(BP2:BP7)</f>
        <v>0</v>
      </c>
      <c r="BQ8" s="1"/>
      <c r="BR8" s="1"/>
      <c r="BS8" s="17"/>
      <c r="BT8" s="17"/>
    </row>
    <row r="9" spans="1:74">
      <c r="A9" s="1"/>
      <c r="B9" s="3" t="s">
        <v>59</v>
      </c>
      <c r="C9" s="1"/>
      <c r="D9" s="1"/>
      <c r="E9" s="1">
        <v>21</v>
      </c>
      <c r="F9" s="1">
        <v>136</v>
      </c>
      <c r="G9" s="1">
        <v>0</v>
      </c>
      <c r="H9" s="1">
        <v>1</v>
      </c>
      <c r="I9" s="1">
        <v>182</v>
      </c>
      <c r="J9" s="1">
        <v>144</v>
      </c>
      <c r="K9" s="1">
        <v>130</v>
      </c>
      <c r="L9" s="1">
        <v>144</v>
      </c>
      <c r="M9" s="1">
        <v>132</v>
      </c>
      <c r="N9" s="1">
        <v>256</v>
      </c>
      <c r="O9" s="1">
        <v>152</v>
      </c>
      <c r="P9" s="14">
        <v>1781</v>
      </c>
      <c r="Q9" s="14">
        <v>692</v>
      </c>
      <c r="R9" s="14">
        <v>0</v>
      </c>
      <c r="S9" s="14">
        <v>1748</v>
      </c>
      <c r="T9" s="14">
        <v>614</v>
      </c>
      <c r="U9" s="14">
        <v>105</v>
      </c>
      <c r="V9" s="14">
        <v>1825</v>
      </c>
      <c r="W9" s="14">
        <v>534</v>
      </c>
      <c r="X9" s="14">
        <v>11</v>
      </c>
      <c r="Y9" s="14">
        <v>1862</v>
      </c>
      <c r="Z9" s="14">
        <v>688</v>
      </c>
      <c r="AA9" s="14">
        <v>27</v>
      </c>
      <c r="AB9" s="14">
        <v>1838</v>
      </c>
      <c r="AC9" s="14">
        <v>700</v>
      </c>
      <c r="AD9" s="14">
        <v>52</v>
      </c>
      <c r="AE9" s="1">
        <v>26</v>
      </c>
      <c r="AF9" s="1">
        <v>25</v>
      </c>
      <c r="AG9" s="1">
        <v>28</v>
      </c>
      <c r="AH9" s="1">
        <v>3</v>
      </c>
      <c r="AI9" s="1">
        <v>7</v>
      </c>
      <c r="AJ9" s="1">
        <v>13</v>
      </c>
      <c r="AK9" s="1">
        <v>23</v>
      </c>
      <c r="AL9" s="1">
        <v>33</v>
      </c>
      <c r="AM9" s="1">
        <v>0</v>
      </c>
      <c r="AN9" s="1">
        <v>11</v>
      </c>
      <c r="AO9" s="1">
        <v>0</v>
      </c>
      <c r="AP9" s="1">
        <v>8</v>
      </c>
      <c r="AQ9" s="14">
        <v>13</v>
      </c>
      <c r="AR9" s="14">
        <v>23</v>
      </c>
      <c r="AS9" s="14">
        <v>82</v>
      </c>
      <c r="AT9" s="14">
        <v>10</v>
      </c>
      <c r="AU9" s="14">
        <v>21</v>
      </c>
      <c r="AV9" s="14">
        <v>10</v>
      </c>
      <c r="AW9" s="14">
        <v>43</v>
      </c>
      <c r="AX9" s="14">
        <v>47</v>
      </c>
      <c r="AY9" s="14">
        <v>23</v>
      </c>
      <c r="AZ9" s="14">
        <v>49</v>
      </c>
      <c r="BA9" s="14">
        <v>9</v>
      </c>
      <c r="BB9" s="14">
        <v>41</v>
      </c>
      <c r="BC9" s="14">
        <v>2</v>
      </c>
      <c r="BD9" s="1">
        <v>34</v>
      </c>
      <c r="BE9" s="1">
        <v>255</v>
      </c>
      <c r="BF9" s="1">
        <v>396</v>
      </c>
      <c r="BG9" s="1">
        <v>312</v>
      </c>
      <c r="BH9" s="1">
        <v>330</v>
      </c>
      <c r="BI9" s="1">
        <v>162</v>
      </c>
      <c r="BJ9" s="1">
        <v>195</v>
      </c>
      <c r="BK9" s="1">
        <v>131</v>
      </c>
      <c r="BL9" s="1">
        <v>127</v>
      </c>
      <c r="BM9" s="1">
        <v>324</v>
      </c>
      <c r="BN9" s="1">
        <v>141</v>
      </c>
      <c r="BO9" s="1">
        <v>36</v>
      </c>
      <c r="BP9" s="1">
        <v>217</v>
      </c>
      <c r="BQ9" s="1"/>
      <c r="BR9" s="1"/>
      <c r="BS9" s="17"/>
      <c r="BT9" s="17"/>
    </row>
    <row r="10" spans="1:74">
      <c r="A10" s="1"/>
      <c r="B10" s="3" t="s">
        <v>66</v>
      </c>
      <c r="C10" s="1"/>
      <c r="D10" s="1"/>
      <c r="E10" s="1">
        <f t="shared" ref="E10:AJ10" si="3">E9-E8</f>
        <v>21</v>
      </c>
      <c r="F10" s="1">
        <f t="shared" si="3"/>
        <v>136</v>
      </c>
      <c r="G10" s="1">
        <f t="shared" si="3"/>
        <v>-10</v>
      </c>
      <c r="H10" s="1">
        <f t="shared" si="3"/>
        <v>1</v>
      </c>
      <c r="I10" s="1">
        <f t="shared" si="3"/>
        <v>182</v>
      </c>
      <c r="J10" s="1">
        <f t="shared" si="3"/>
        <v>144</v>
      </c>
      <c r="K10" s="1">
        <f t="shared" si="3"/>
        <v>130</v>
      </c>
      <c r="L10" s="1">
        <f t="shared" si="3"/>
        <v>144</v>
      </c>
      <c r="M10" s="1">
        <f t="shared" si="3"/>
        <v>132</v>
      </c>
      <c r="N10" s="1">
        <f t="shared" si="3"/>
        <v>256</v>
      </c>
      <c r="O10" s="1">
        <f t="shared" si="3"/>
        <v>152</v>
      </c>
      <c r="P10" s="1">
        <f t="shared" si="3"/>
        <v>1781</v>
      </c>
      <c r="Q10" s="1">
        <f t="shared" si="3"/>
        <v>692</v>
      </c>
      <c r="R10" s="1">
        <f t="shared" si="3"/>
        <v>0</v>
      </c>
      <c r="S10" s="1">
        <f t="shared" si="3"/>
        <v>1748</v>
      </c>
      <c r="T10" s="1">
        <f t="shared" si="3"/>
        <v>614</v>
      </c>
      <c r="U10" s="1">
        <f t="shared" si="3"/>
        <v>105</v>
      </c>
      <c r="V10" s="1">
        <f t="shared" si="3"/>
        <v>1825</v>
      </c>
      <c r="W10" s="1">
        <f t="shared" si="3"/>
        <v>534</v>
      </c>
      <c r="X10" s="1">
        <f t="shared" si="3"/>
        <v>1</v>
      </c>
      <c r="Y10" s="1">
        <f t="shared" si="3"/>
        <v>1862</v>
      </c>
      <c r="Z10" s="1">
        <f t="shared" si="3"/>
        <v>688</v>
      </c>
      <c r="AA10" s="1">
        <f t="shared" si="3"/>
        <v>27</v>
      </c>
      <c r="AB10" s="1">
        <f t="shared" si="3"/>
        <v>1838</v>
      </c>
      <c r="AC10" s="1">
        <f t="shared" si="3"/>
        <v>700</v>
      </c>
      <c r="AD10" s="1">
        <f t="shared" si="3"/>
        <v>42</v>
      </c>
      <c r="AE10" s="1">
        <f t="shared" si="3"/>
        <v>-174</v>
      </c>
      <c r="AF10" s="1">
        <f t="shared" si="3"/>
        <v>20</v>
      </c>
      <c r="AG10" s="1">
        <f t="shared" si="3"/>
        <v>28</v>
      </c>
      <c r="AH10" s="1">
        <f t="shared" si="3"/>
        <v>-7</v>
      </c>
      <c r="AI10" s="1">
        <f t="shared" si="3"/>
        <v>-3</v>
      </c>
      <c r="AJ10" s="1">
        <f t="shared" si="3"/>
        <v>13</v>
      </c>
      <c r="AK10" s="1">
        <f t="shared" ref="AK10:BP10" si="4">AK9-AK8</f>
        <v>23</v>
      </c>
      <c r="AL10" s="1">
        <f t="shared" si="4"/>
        <v>33</v>
      </c>
      <c r="AM10" s="1">
        <f t="shared" si="4"/>
        <v>0</v>
      </c>
      <c r="AN10" s="1">
        <f t="shared" si="4"/>
        <v>11</v>
      </c>
      <c r="AO10" s="1">
        <f t="shared" si="4"/>
        <v>0</v>
      </c>
      <c r="AP10" s="1">
        <f t="shared" si="4"/>
        <v>8</v>
      </c>
      <c r="AQ10" s="1">
        <f t="shared" si="4"/>
        <v>13</v>
      </c>
      <c r="AR10" s="1">
        <f t="shared" si="4"/>
        <v>23</v>
      </c>
      <c r="AS10" s="1">
        <f t="shared" si="4"/>
        <v>2</v>
      </c>
      <c r="AT10" s="1">
        <f t="shared" si="4"/>
        <v>10</v>
      </c>
      <c r="AU10" s="1">
        <f t="shared" si="4"/>
        <v>21</v>
      </c>
      <c r="AV10" s="1">
        <f t="shared" si="4"/>
        <v>0</v>
      </c>
      <c r="AW10" s="1">
        <f t="shared" si="4"/>
        <v>3</v>
      </c>
      <c r="AX10" s="1">
        <f t="shared" si="4"/>
        <v>7</v>
      </c>
      <c r="AY10" s="1">
        <f t="shared" si="4"/>
        <v>23</v>
      </c>
      <c r="AZ10" s="1">
        <f t="shared" si="4"/>
        <v>9</v>
      </c>
      <c r="BA10" s="1">
        <f t="shared" si="4"/>
        <v>9</v>
      </c>
      <c r="BB10" s="1">
        <f t="shared" si="4"/>
        <v>1</v>
      </c>
      <c r="BC10" s="1">
        <f t="shared" si="4"/>
        <v>-18</v>
      </c>
      <c r="BD10" s="1">
        <f t="shared" si="4"/>
        <v>34</v>
      </c>
      <c r="BE10" s="1">
        <f t="shared" si="4"/>
        <v>255</v>
      </c>
      <c r="BF10" s="1">
        <f t="shared" si="4"/>
        <v>396</v>
      </c>
      <c r="BG10" s="1">
        <f t="shared" si="4"/>
        <v>312</v>
      </c>
      <c r="BH10" s="1">
        <f t="shared" si="4"/>
        <v>330</v>
      </c>
      <c r="BI10" s="1">
        <f t="shared" si="4"/>
        <v>162</v>
      </c>
      <c r="BJ10" s="1">
        <f t="shared" si="4"/>
        <v>195</v>
      </c>
      <c r="BK10" s="1">
        <f t="shared" si="4"/>
        <v>131</v>
      </c>
      <c r="BL10" s="1">
        <f t="shared" si="4"/>
        <v>127</v>
      </c>
      <c r="BM10" s="1">
        <f t="shared" si="4"/>
        <v>324</v>
      </c>
      <c r="BN10" s="1">
        <f t="shared" si="4"/>
        <v>141</v>
      </c>
      <c r="BO10" s="1">
        <f t="shared" si="4"/>
        <v>36</v>
      </c>
      <c r="BP10" s="1">
        <f t="shared" si="4"/>
        <v>217</v>
      </c>
      <c r="BQ10" s="1"/>
      <c r="BR10" s="1"/>
      <c r="BS10" s="17"/>
      <c r="BT10" s="17"/>
    </row>
    <row r="11" spans="1:74">
      <c r="A11" s="1"/>
      <c r="B11" s="3" t="s">
        <v>86</v>
      </c>
      <c r="C11" s="1"/>
      <c r="D11" s="1"/>
      <c r="E11" s="1">
        <f>MAX(E2:E7)</f>
        <v>0</v>
      </c>
      <c r="F11" s="1">
        <f>MAX(F2:F7)</f>
        <v>0</v>
      </c>
      <c r="G11" s="1">
        <f>MAX(G2:G7)</f>
        <v>10</v>
      </c>
      <c r="H11" s="1">
        <f>MAX(H2:H7)</f>
        <v>0</v>
      </c>
      <c r="I11" s="1">
        <f>MAX(I2:I7)</f>
        <v>0</v>
      </c>
      <c r="J11" s="1">
        <f>MAX(J2:J7)</f>
        <v>0</v>
      </c>
      <c r="K11" s="1">
        <f>MAX(K2:K7)</f>
        <v>0</v>
      </c>
      <c r="L11" s="1">
        <f>MAX(L2:L7)</f>
        <v>0</v>
      </c>
      <c r="M11" s="1">
        <f>MAX(M2:M7)</f>
        <v>0</v>
      </c>
      <c r="N11" s="1">
        <f>MAX(N2:N7)</f>
        <v>0</v>
      </c>
      <c r="O11" s="1">
        <f>MAX(O2:O7)</f>
        <v>0</v>
      </c>
      <c r="P11" s="1">
        <f>MAX(P2:P7)</f>
        <v>0</v>
      </c>
      <c r="Q11" s="1">
        <f>MAX(Q2:Q7)</f>
        <v>0</v>
      </c>
      <c r="R11" s="1">
        <f>MAX(R2:R7)</f>
        <v>0</v>
      </c>
      <c r="S11" s="1">
        <f>MAX(S2:S7)</f>
        <v>0</v>
      </c>
      <c r="T11" s="1">
        <f>MAX(T2:T7)</f>
        <v>0</v>
      </c>
      <c r="U11" s="1">
        <f>MAX(U2:U7)</f>
        <v>0</v>
      </c>
      <c r="V11" s="1">
        <f>MAX(V2:V7)</f>
        <v>0</v>
      </c>
      <c r="W11" s="1">
        <f>MAX(W2:W7)</f>
        <v>0</v>
      </c>
      <c r="X11" s="1">
        <f>MAX(X2:X7)</f>
        <v>10</v>
      </c>
      <c r="Y11" s="1">
        <f>MAX(Y2:Y7)</f>
        <v>0</v>
      </c>
      <c r="Z11" s="1">
        <f>MAX(Z2:Z7)</f>
        <v>0</v>
      </c>
      <c r="AA11" s="1">
        <f>MAX(AA2:AA7)</f>
        <v>0</v>
      </c>
      <c r="AB11" s="1">
        <f>MAX(AB2:AB7)</f>
        <v>0</v>
      </c>
      <c r="AC11" s="1">
        <f>MAX(AC2:AC7)</f>
        <v>0</v>
      </c>
      <c r="AD11" s="1">
        <f>MAX(AD2:AD7)</f>
        <v>10</v>
      </c>
      <c r="AE11" s="1">
        <f>MAX(AE2:AE7)</f>
        <v>200</v>
      </c>
      <c r="AF11" s="1">
        <f>MAX(AF2:AF7)</f>
        <v>5</v>
      </c>
      <c r="AG11" s="1">
        <f>MAX(AG2:AG7)</f>
        <v>0</v>
      </c>
      <c r="AH11" s="1">
        <f>MAX(AH2:AH7)</f>
        <v>5</v>
      </c>
      <c r="AI11" s="1">
        <f>MAX(AI2:AI7)</f>
        <v>5</v>
      </c>
      <c r="AJ11" s="1">
        <f>MAX(AJ2:AJ7)</f>
        <v>0</v>
      </c>
      <c r="AK11" s="1">
        <f>MAX(AK2:AK7)</f>
        <v>0</v>
      </c>
      <c r="AL11" s="1">
        <f>MAX(AL2:AL7)</f>
        <v>0</v>
      </c>
      <c r="AM11" s="1">
        <f>MAX(AM2:AM7)</f>
        <v>0</v>
      </c>
      <c r="AN11" s="1">
        <f>MAX(AN2:AN7)</f>
        <v>0</v>
      </c>
      <c r="AO11" s="1">
        <f>MAX(AO2:AO7)</f>
        <v>0</v>
      </c>
      <c r="AP11" s="1">
        <f>MAX(AP2:AP7)</f>
        <v>0</v>
      </c>
      <c r="AQ11" s="1">
        <f>MAX(AQ2:AQ7)</f>
        <v>0</v>
      </c>
      <c r="AR11" s="1">
        <f>MAX(AR2:AR7)</f>
        <v>0</v>
      </c>
      <c r="AS11" s="1">
        <f>MAX(AS2:AS7)</f>
        <v>40</v>
      </c>
      <c r="AT11" s="1">
        <f>MAX(AT2:AT7)</f>
        <v>0</v>
      </c>
      <c r="AU11" s="1">
        <f>MAX(AU2:AU7)</f>
        <v>0</v>
      </c>
      <c r="AV11" s="1">
        <f>MAX(AV2:AV7)</f>
        <v>10</v>
      </c>
      <c r="AW11" s="1">
        <f>MAX(AW2:AW7)</f>
        <v>40</v>
      </c>
      <c r="AX11" s="1">
        <f>MAX(AX2:AX7)</f>
        <v>40</v>
      </c>
      <c r="AY11" s="1">
        <f>MAX(AY2:AY7)</f>
        <v>0</v>
      </c>
      <c r="AZ11" s="1">
        <f>MAX(AZ2:AZ7)</f>
        <v>40</v>
      </c>
      <c r="BA11" s="1">
        <f>MAX(BA2:BA7)</f>
        <v>0</v>
      </c>
      <c r="BB11" s="1">
        <f>MAX(BB2:BB7)</f>
        <v>40</v>
      </c>
      <c r="BC11" s="1">
        <f>MAX(BC2:BC7)</f>
        <v>10</v>
      </c>
      <c r="BD11" s="1">
        <f>MAX(BD2:BD7)</f>
        <v>0</v>
      </c>
      <c r="BE11" s="1">
        <f>MAX(BE2:BE7)</f>
        <v>0</v>
      </c>
      <c r="BF11" s="1">
        <f>MAX(BF2:BF7)</f>
        <v>0</v>
      </c>
      <c r="BG11" s="1">
        <f>MAX(BG2:BG7)</f>
        <v>0</v>
      </c>
      <c r="BH11" s="1">
        <f>MAX(BH2:BH7)</f>
        <v>0</v>
      </c>
      <c r="BI11" s="1">
        <f>MAX(BI2:BI7)</f>
        <v>0</v>
      </c>
      <c r="BJ11" s="1">
        <f>MAX(BJ2:BJ7)</f>
        <v>0</v>
      </c>
      <c r="BK11" s="1">
        <f>MAX(BK2:BK7)</f>
        <v>0</v>
      </c>
      <c r="BL11" s="1">
        <f>MAX(BL2:BL7)</f>
        <v>0</v>
      </c>
      <c r="BM11" s="1">
        <f>MAX(BM2:BM7)</f>
        <v>0</v>
      </c>
      <c r="BN11" s="1">
        <f>MAX(BN2:BN7)</f>
        <v>0</v>
      </c>
      <c r="BO11" s="1">
        <f>MAX(BO2:BO7)</f>
        <v>0</v>
      </c>
      <c r="BP11" s="1">
        <f>MAX(BP2:BP7)</f>
        <v>0</v>
      </c>
      <c r="BQ11" s="1"/>
      <c r="BR11" s="1"/>
      <c r="BS11" s="17"/>
      <c r="BT11" s="17"/>
    </row>
    <row r="12" spans="1:74">
      <c r="A12" s="1"/>
      <c r="B12" s="3" t="s">
        <v>87</v>
      </c>
      <c r="C12" s="1"/>
      <c r="D12" s="1"/>
      <c r="E12" s="1">
        <f>MIN(E2:E7)</f>
        <v>0</v>
      </c>
      <c r="F12" s="1">
        <f>MIN(F2:F7)</f>
        <v>0</v>
      </c>
      <c r="G12" s="1">
        <f>MIN(G2:G7)</f>
        <v>10</v>
      </c>
      <c r="H12" s="1">
        <f>MIN(H2:H7)</f>
        <v>0</v>
      </c>
      <c r="I12" s="1">
        <f>MIN(I2:I7)</f>
        <v>0</v>
      </c>
      <c r="J12" s="1">
        <f>MIN(J2:J7)</f>
        <v>0</v>
      </c>
      <c r="K12" s="1">
        <f>MIN(K2:K7)</f>
        <v>0</v>
      </c>
      <c r="L12" s="1">
        <f>MIN(L2:L7)</f>
        <v>0</v>
      </c>
      <c r="M12" s="1">
        <f>MIN(M2:M7)</f>
        <v>0</v>
      </c>
      <c r="N12" s="1">
        <f>MIN(N2:N7)</f>
        <v>0</v>
      </c>
      <c r="O12" s="1">
        <f>MIN(O2:O7)</f>
        <v>0</v>
      </c>
      <c r="P12" s="1">
        <f>MIN(P2:P7)</f>
        <v>0</v>
      </c>
      <c r="Q12" s="1">
        <f>MIN(Q2:Q7)</f>
        <v>0</v>
      </c>
      <c r="R12" s="1">
        <f>MIN(R2:R7)</f>
        <v>0</v>
      </c>
      <c r="S12" s="1">
        <f>MIN(S2:S7)</f>
        <v>0</v>
      </c>
      <c r="T12" s="1">
        <f>MIN(T2:T7)</f>
        <v>0</v>
      </c>
      <c r="U12" s="1">
        <f>MIN(U2:U7)</f>
        <v>0</v>
      </c>
      <c r="V12" s="1">
        <f>MIN(V2:V7)</f>
        <v>0</v>
      </c>
      <c r="W12" s="1">
        <f>MIN(W2:W7)</f>
        <v>0</v>
      </c>
      <c r="X12" s="1">
        <f>MIN(X2:X7)</f>
        <v>10</v>
      </c>
      <c r="Y12" s="1">
        <f>MIN(Y2:Y7)</f>
        <v>0</v>
      </c>
      <c r="Z12" s="1">
        <f>MIN(Z2:Z7)</f>
        <v>0</v>
      </c>
      <c r="AA12" s="1">
        <f>MIN(AA2:AA7)</f>
        <v>0</v>
      </c>
      <c r="AB12" s="1">
        <f>MIN(AB2:AB7)</f>
        <v>0</v>
      </c>
      <c r="AC12" s="1">
        <f>MIN(AC2:AC7)</f>
        <v>0</v>
      </c>
      <c r="AD12" s="1">
        <f>MIN(AD2:AD7)</f>
        <v>10</v>
      </c>
      <c r="AE12" s="1">
        <f>MIN(AE2:AE7)</f>
        <v>200</v>
      </c>
      <c r="AF12" s="1">
        <f>MIN(AF2:AF7)</f>
        <v>5</v>
      </c>
      <c r="AG12" s="1">
        <f>MIN(AG2:AG7)</f>
        <v>0</v>
      </c>
      <c r="AH12" s="1">
        <f>MIN(AH2:AH7)</f>
        <v>5</v>
      </c>
      <c r="AI12" s="1">
        <f>MIN(AI2:AI7)</f>
        <v>5</v>
      </c>
      <c r="AJ12" s="1">
        <f>MIN(AJ2:AJ7)</f>
        <v>0</v>
      </c>
      <c r="AK12" s="1">
        <f>MIN(AK2:AK7)</f>
        <v>0</v>
      </c>
      <c r="AL12" s="1">
        <f>MIN(AL2:AL7)</f>
        <v>0</v>
      </c>
      <c r="AM12" s="1">
        <f>MIN(AM2:AM7)</f>
        <v>0</v>
      </c>
      <c r="AN12" s="1">
        <f>MIN(AN2:AN7)</f>
        <v>0</v>
      </c>
      <c r="AO12" s="1">
        <f>MIN(AO2:AO7)</f>
        <v>0</v>
      </c>
      <c r="AP12" s="1">
        <f>MIN(AP2:AP7)</f>
        <v>0</v>
      </c>
      <c r="AQ12" s="1">
        <f>MIN(AQ2:AQ7)</f>
        <v>0</v>
      </c>
      <c r="AR12" s="1">
        <f>MIN(AR2:AR7)</f>
        <v>0</v>
      </c>
      <c r="AS12" s="1">
        <f>MIN(AS2:AS7)</f>
        <v>40</v>
      </c>
      <c r="AT12" s="1">
        <f>MIN(AT2:AT7)</f>
        <v>0</v>
      </c>
      <c r="AU12" s="1">
        <f>MIN(AU2:AU7)</f>
        <v>0</v>
      </c>
      <c r="AV12" s="1">
        <f>MIN(AV2:AV7)</f>
        <v>10</v>
      </c>
      <c r="AW12" s="1">
        <f>MIN(AW2:AW7)</f>
        <v>40</v>
      </c>
      <c r="AX12" s="1">
        <f>MIN(AX2:AX7)</f>
        <v>40</v>
      </c>
      <c r="AY12" s="1">
        <f>MIN(AY2:AY7)</f>
        <v>0</v>
      </c>
      <c r="AZ12" s="1">
        <f>MIN(AZ2:AZ7)</f>
        <v>40</v>
      </c>
      <c r="BA12" s="1">
        <f>MIN(BA2:BA7)</f>
        <v>0</v>
      </c>
      <c r="BB12" s="1">
        <f>MIN(BB2:BB7)</f>
        <v>40</v>
      </c>
      <c r="BC12" s="1">
        <f>MIN(BC2:BC7)</f>
        <v>10</v>
      </c>
      <c r="BD12" s="1">
        <f>MIN(BD2:BD7)</f>
        <v>0</v>
      </c>
      <c r="BE12" s="1">
        <f>MIN(BE2:BE7)</f>
        <v>0</v>
      </c>
      <c r="BF12" s="1">
        <f>MIN(BF2:BF7)</f>
        <v>0</v>
      </c>
      <c r="BG12" s="1">
        <f>MIN(BG2:BG7)</f>
        <v>0</v>
      </c>
      <c r="BH12" s="1">
        <f>MIN(BH2:BH7)</f>
        <v>0</v>
      </c>
      <c r="BI12" s="1">
        <f>MIN(BI2:BI7)</f>
        <v>0</v>
      </c>
      <c r="BJ12" s="1">
        <f>MIN(BJ2:BJ7)</f>
        <v>0</v>
      </c>
      <c r="BK12" s="1">
        <f>MIN(BK2:BK7)</f>
        <v>0</v>
      </c>
      <c r="BL12" s="1">
        <f>MIN(BL2:BL7)</f>
        <v>0</v>
      </c>
      <c r="BM12" s="1">
        <f>MIN(BM2:BM7)</f>
        <v>0</v>
      </c>
      <c r="BN12" s="1">
        <f>MIN(BN2:BN7)</f>
        <v>0</v>
      </c>
      <c r="BO12" s="1">
        <f>MIN(BO2:BO7)</f>
        <v>0</v>
      </c>
      <c r="BP12" s="1">
        <f>MIN(BP2:BP7)</f>
        <v>0</v>
      </c>
      <c r="BQ12" s="1"/>
      <c r="BR12" s="1"/>
      <c r="BS12" s="17"/>
      <c r="BT12" s="17"/>
    </row>
    <row r="13" spans="1:74">
      <c r="A13" s="1"/>
      <c r="B13" s="3" t="s">
        <v>88</v>
      </c>
      <c r="C13" s="1"/>
      <c r="D13" s="1"/>
      <c r="E13" s="1">
        <f t="shared" ref="E13:AJ13" si="5">E9-E11</f>
        <v>21</v>
      </c>
      <c r="F13" s="1">
        <f t="shared" si="5"/>
        <v>136</v>
      </c>
      <c r="G13" s="1">
        <f t="shared" si="5"/>
        <v>-10</v>
      </c>
      <c r="H13" s="1">
        <f t="shared" si="5"/>
        <v>1</v>
      </c>
      <c r="I13" s="1">
        <f t="shared" si="5"/>
        <v>182</v>
      </c>
      <c r="J13" s="1">
        <f t="shared" si="5"/>
        <v>144</v>
      </c>
      <c r="K13" s="1">
        <f t="shared" si="5"/>
        <v>130</v>
      </c>
      <c r="L13" s="1">
        <f t="shared" si="5"/>
        <v>144</v>
      </c>
      <c r="M13" s="1">
        <f t="shared" si="5"/>
        <v>132</v>
      </c>
      <c r="N13" s="1">
        <f t="shared" si="5"/>
        <v>256</v>
      </c>
      <c r="O13" s="1">
        <f t="shared" si="5"/>
        <v>152</v>
      </c>
      <c r="P13" s="1">
        <f t="shared" si="5"/>
        <v>1781</v>
      </c>
      <c r="Q13" s="1">
        <f t="shared" si="5"/>
        <v>692</v>
      </c>
      <c r="R13" s="1">
        <f t="shared" si="5"/>
        <v>0</v>
      </c>
      <c r="S13" s="1">
        <f t="shared" si="5"/>
        <v>1748</v>
      </c>
      <c r="T13" s="1">
        <f t="shared" si="5"/>
        <v>614</v>
      </c>
      <c r="U13" s="1">
        <f t="shared" si="5"/>
        <v>105</v>
      </c>
      <c r="V13" s="1">
        <f t="shared" si="5"/>
        <v>1825</v>
      </c>
      <c r="W13" s="1">
        <f t="shared" si="5"/>
        <v>534</v>
      </c>
      <c r="X13" s="1">
        <f t="shared" si="5"/>
        <v>1</v>
      </c>
      <c r="Y13" s="1">
        <f t="shared" si="5"/>
        <v>1862</v>
      </c>
      <c r="Z13" s="1">
        <f t="shared" si="5"/>
        <v>688</v>
      </c>
      <c r="AA13" s="1">
        <f t="shared" si="5"/>
        <v>27</v>
      </c>
      <c r="AB13" s="1">
        <f t="shared" si="5"/>
        <v>1838</v>
      </c>
      <c r="AC13" s="1">
        <f t="shared" si="5"/>
        <v>700</v>
      </c>
      <c r="AD13" s="1">
        <f t="shared" si="5"/>
        <v>42</v>
      </c>
      <c r="AE13" s="1">
        <f t="shared" si="5"/>
        <v>-174</v>
      </c>
      <c r="AF13" s="1">
        <f t="shared" si="5"/>
        <v>20</v>
      </c>
      <c r="AG13" s="1">
        <f t="shared" si="5"/>
        <v>28</v>
      </c>
      <c r="AH13" s="1">
        <f t="shared" si="5"/>
        <v>-2</v>
      </c>
      <c r="AI13" s="1">
        <f t="shared" si="5"/>
        <v>2</v>
      </c>
      <c r="AJ13" s="1">
        <f t="shared" si="5"/>
        <v>13</v>
      </c>
      <c r="AK13" s="1">
        <f t="shared" ref="AK13:BP13" si="6">AK9-AK11</f>
        <v>23</v>
      </c>
      <c r="AL13" s="1">
        <f t="shared" si="6"/>
        <v>33</v>
      </c>
      <c r="AM13" s="1">
        <f t="shared" si="6"/>
        <v>0</v>
      </c>
      <c r="AN13" s="1">
        <f t="shared" si="6"/>
        <v>11</v>
      </c>
      <c r="AO13" s="1">
        <f t="shared" si="6"/>
        <v>0</v>
      </c>
      <c r="AP13" s="1">
        <f t="shared" si="6"/>
        <v>8</v>
      </c>
      <c r="AQ13" s="1">
        <f t="shared" si="6"/>
        <v>13</v>
      </c>
      <c r="AR13" s="1">
        <f t="shared" si="6"/>
        <v>23</v>
      </c>
      <c r="AS13" s="1">
        <f t="shared" si="6"/>
        <v>42</v>
      </c>
      <c r="AT13" s="1">
        <f t="shared" si="6"/>
        <v>10</v>
      </c>
      <c r="AU13" s="1">
        <f t="shared" si="6"/>
        <v>21</v>
      </c>
      <c r="AV13" s="1">
        <f t="shared" si="6"/>
        <v>0</v>
      </c>
      <c r="AW13" s="1">
        <f t="shared" si="6"/>
        <v>3</v>
      </c>
      <c r="AX13" s="1">
        <f t="shared" si="6"/>
        <v>7</v>
      </c>
      <c r="AY13" s="1">
        <f t="shared" si="6"/>
        <v>23</v>
      </c>
      <c r="AZ13" s="1">
        <f t="shared" si="6"/>
        <v>9</v>
      </c>
      <c r="BA13" s="1">
        <f t="shared" si="6"/>
        <v>9</v>
      </c>
      <c r="BB13" s="1">
        <f t="shared" si="6"/>
        <v>1</v>
      </c>
      <c r="BC13" s="1">
        <f t="shared" si="6"/>
        <v>-8</v>
      </c>
      <c r="BD13" s="1">
        <f t="shared" si="6"/>
        <v>34</v>
      </c>
      <c r="BE13" s="1">
        <f t="shared" si="6"/>
        <v>255</v>
      </c>
      <c r="BF13" s="1">
        <f t="shared" si="6"/>
        <v>396</v>
      </c>
      <c r="BG13" s="1">
        <f t="shared" si="6"/>
        <v>312</v>
      </c>
      <c r="BH13" s="1">
        <f t="shared" si="6"/>
        <v>330</v>
      </c>
      <c r="BI13" s="1">
        <f t="shared" si="6"/>
        <v>162</v>
      </c>
      <c r="BJ13" s="1">
        <f t="shared" si="6"/>
        <v>195</v>
      </c>
      <c r="BK13" s="1">
        <f t="shared" si="6"/>
        <v>131</v>
      </c>
      <c r="BL13" s="1">
        <f t="shared" si="6"/>
        <v>127</v>
      </c>
      <c r="BM13" s="1">
        <f t="shared" si="6"/>
        <v>324</v>
      </c>
      <c r="BN13" s="1">
        <f t="shared" si="6"/>
        <v>141</v>
      </c>
      <c r="BO13" s="1">
        <f t="shared" si="6"/>
        <v>36</v>
      </c>
      <c r="BP13" s="1">
        <f t="shared" si="6"/>
        <v>217</v>
      </c>
      <c r="BQ13" s="1"/>
      <c r="BR13" s="1"/>
      <c r="BS13" s="17"/>
      <c r="BT13" s="17"/>
    </row>
    <row r="14" spans="1:74" s="13" customFormat="1">
      <c r="A14" s="1"/>
      <c r="B14" s="3" t="s">
        <v>89</v>
      </c>
      <c r="C14" s="1"/>
      <c r="D14" s="1"/>
      <c r="E14" s="1">
        <f t="shared" ref="E14:AJ14" si="7">E9-E12</f>
        <v>21</v>
      </c>
      <c r="F14" s="1">
        <f t="shared" si="7"/>
        <v>136</v>
      </c>
      <c r="G14" s="1">
        <f t="shared" si="7"/>
        <v>-10</v>
      </c>
      <c r="H14" s="1">
        <f t="shared" si="7"/>
        <v>1</v>
      </c>
      <c r="I14" s="1">
        <f t="shared" si="7"/>
        <v>182</v>
      </c>
      <c r="J14" s="1">
        <f t="shared" si="7"/>
        <v>144</v>
      </c>
      <c r="K14" s="1">
        <f t="shared" si="7"/>
        <v>130</v>
      </c>
      <c r="L14" s="1">
        <f t="shared" si="7"/>
        <v>144</v>
      </c>
      <c r="M14" s="1">
        <f t="shared" si="7"/>
        <v>132</v>
      </c>
      <c r="N14" s="1">
        <f t="shared" si="7"/>
        <v>256</v>
      </c>
      <c r="O14" s="1">
        <f t="shared" si="7"/>
        <v>152</v>
      </c>
      <c r="P14" s="1">
        <f t="shared" si="7"/>
        <v>1781</v>
      </c>
      <c r="Q14" s="1">
        <f t="shared" si="7"/>
        <v>692</v>
      </c>
      <c r="R14" s="1">
        <f t="shared" si="7"/>
        <v>0</v>
      </c>
      <c r="S14" s="1">
        <f t="shared" si="7"/>
        <v>1748</v>
      </c>
      <c r="T14" s="1">
        <f t="shared" si="7"/>
        <v>614</v>
      </c>
      <c r="U14" s="1">
        <f t="shared" si="7"/>
        <v>105</v>
      </c>
      <c r="V14" s="1">
        <f t="shared" si="7"/>
        <v>1825</v>
      </c>
      <c r="W14" s="1">
        <f t="shared" si="7"/>
        <v>534</v>
      </c>
      <c r="X14" s="1">
        <f t="shared" si="7"/>
        <v>1</v>
      </c>
      <c r="Y14" s="1">
        <f t="shared" si="7"/>
        <v>1862</v>
      </c>
      <c r="Z14" s="1">
        <f t="shared" si="7"/>
        <v>688</v>
      </c>
      <c r="AA14" s="1">
        <f t="shared" si="7"/>
        <v>27</v>
      </c>
      <c r="AB14" s="1">
        <f t="shared" si="7"/>
        <v>1838</v>
      </c>
      <c r="AC14" s="1">
        <f t="shared" si="7"/>
        <v>700</v>
      </c>
      <c r="AD14" s="1">
        <f t="shared" si="7"/>
        <v>42</v>
      </c>
      <c r="AE14" s="1">
        <f t="shared" si="7"/>
        <v>-174</v>
      </c>
      <c r="AF14" s="1">
        <f t="shared" si="7"/>
        <v>20</v>
      </c>
      <c r="AG14" s="1">
        <f t="shared" si="7"/>
        <v>28</v>
      </c>
      <c r="AH14" s="1">
        <f t="shared" si="7"/>
        <v>-2</v>
      </c>
      <c r="AI14" s="1">
        <f t="shared" si="7"/>
        <v>2</v>
      </c>
      <c r="AJ14" s="1">
        <f t="shared" si="7"/>
        <v>13</v>
      </c>
      <c r="AK14" s="1">
        <f t="shared" ref="AK14:BP14" si="8">AK9-AK12</f>
        <v>23</v>
      </c>
      <c r="AL14" s="1">
        <f t="shared" si="8"/>
        <v>33</v>
      </c>
      <c r="AM14" s="1">
        <f t="shared" si="8"/>
        <v>0</v>
      </c>
      <c r="AN14" s="1">
        <f t="shared" si="8"/>
        <v>11</v>
      </c>
      <c r="AO14" s="1">
        <f t="shared" si="8"/>
        <v>0</v>
      </c>
      <c r="AP14" s="1">
        <f t="shared" si="8"/>
        <v>8</v>
      </c>
      <c r="AQ14" s="1">
        <f t="shared" si="8"/>
        <v>13</v>
      </c>
      <c r="AR14" s="1">
        <f t="shared" si="8"/>
        <v>23</v>
      </c>
      <c r="AS14" s="1">
        <f t="shared" si="8"/>
        <v>42</v>
      </c>
      <c r="AT14" s="1">
        <f t="shared" si="8"/>
        <v>10</v>
      </c>
      <c r="AU14" s="1">
        <f t="shared" si="8"/>
        <v>21</v>
      </c>
      <c r="AV14" s="1">
        <f t="shared" si="8"/>
        <v>0</v>
      </c>
      <c r="AW14" s="1">
        <f t="shared" si="8"/>
        <v>3</v>
      </c>
      <c r="AX14" s="1">
        <f t="shared" si="8"/>
        <v>7</v>
      </c>
      <c r="AY14" s="1">
        <f t="shared" si="8"/>
        <v>23</v>
      </c>
      <c r="AZ14" s="1">
        <f t="shared" si="8"/>
        <v>9</v>
      </c>
      <c r="BA14" s="1">
        <f t="shared" si="8"/>
        <v>9</v>
      </c>
      <c r="BB14" s="1">
        <f t="shared" si="8"/>
        <v>1</v>
      </c>
      <c r="BC14" s="1">
        <f t="shared" si="8"/>
        <v>-8</v>
      </c>
      <c r="BD14" s="1">
        <f t="shared" si="8"/>
        <v>34</v>
      </c>
      <c r="BE14" s="1">
        <f t="shared" si="8"/>
        <v>255</v>
      </c>
      <c r="BF14" s="1">
        <f t="shared" si="8"/>
        <v>396</v>
      </c>
      <c r="BG14" s="1">
        <f t="shared" si="8"/>
        <v>312</v>
      </c>
      <c r="BH14" s="1">
        <f t="shared" si="8"/>
        <v>330</v>
      </c>
      <c r="BI14" s="1">
        <f t="shared" si="8"/>
        <v>162</v>
      </c>
      <c r="BJ14" s="1">
        <f t="shared" si="8"/>
        <v>195</v>
      </c>
      <c r="BK14" s="1">
        <f t="shared" si="8"/>
        <v>131</v>
      </c>
      <c r="BL14" s="1">
        <f t="shared" si="8"/>
        <v>127</v>
      </c>
      <c r="BM14" s="1">
        <f t="shared" si="8"/>
        <v>324</v>
      </c>
      <c r="BN14" s="1">
        <f t="shared" si="8"/>
        <v>141</v>
      </c>
      <c r="BO14" s="1">
        <f t="shared" si="8"/>
        <v>36</v>
      </c>
      <c r="BP14" s="1">
        <f t="shared" si="8"/>
        <v>217</v>
      </c>
      <c r="BQ14" s="1"/>
      <c r="BR14" s="1"/>
      <c r="BS14" s="17"/>
      <c r="BT14" s="17"/>
    </row>
    <row r="15" spans="1:74">
      <c r="AQ15" s="7" t="s">
        <v>103</v>
      </c>
      <c r="AR15" s="7" t="s">
        <v>106</v>
      </c>
      <c r="AS15" s="7" t="s">
        <v>107</v>
      </c>
      <c r="AT15" s="7" t="s">
        <v>104</v>
      </c>
      <c r="AU15" s="7" t="s">
        <v>105</v>
      </c>
      <c r="AV15" s="7" t="s">
        <v>102</v>
      </c>
      <c r="AW15" s="7" t="s">
        <v>108</v>
      </c>
      <c r="AX15" s="7" t="s">
        <v>109</v>
      </c>
      <c r="AY15" s="7" t="s">
        <v>110</v>
      </c>
      <c r="AZ15" s="7" t="s">
        <v>111</v>
      </c>
      <c r="BA15" s="7" t="s">
        <v>112</v>
      </c>
      <c r="BB15" s="7" t="s">
        <v>113</v>
      </c>
    </row>
  </sheetData>
  <autoFilter ref="A1:BV15">
    <sortState ref="A2:BV18">
      <sortCondition ref="BS2:BS18"/>
      <sortCondition ref="BR2:BR18"/>
    </sortState>
  </autoFilter>
  <sortState ref="A2:CT148">
    <sortCondition ref="BS2:BS148"/>
    <sortCondition ref="BR2:BR148"/>
  </sortState>
  <phoneticPr fontId="1" type="noConversion"/>
  <conditionalFormatting sqref="E11:BC11 BE11:BP11">
    <cfRule type="expression" dxfId="13" priority="13">
      <formula>"&lt;=$E$135"</formula>
    </cfRule>
  </conditionalFormatting>
  <conditionalFormatting sqref="E13:BC14 BE13:BP14">
    <cfRule type="cellIs" dxfId="12" priority="4" operator="lessThan">
      <formula>0</formula>
    </cfRule>
  </conditionalFormatting>
  <conditionalFormatting sqref="E10:BC10 BE10:BP10">
    <cfRule type="cellIs" dxfId="11" priority="5" operator="lessThan">
      <formula>0</formula>
    </cfRule>
  </conditionalFormatting>
  <conditionalFormatting sqref="BD11">
    <cfRule type="expression" dxfId="10" priority="3">
      <formula>"&lt;=$E$135"</formula>
    </cfRule>
  </conditionalFormatting>
  <conditionalFormatting sqref="BD13:BD14">
    <cfRule type="cellIs" dxfId="9" priority="1" operator="lessThan">
      <formula>0</formula>
    </cfRule>
  </conditionalFormatting>
  <conditionalFormatting sqref="BD10">
    <cfRule type="cellIs" dxfId="8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14</xdr:row>
                    <xdr:rowOff>28575</xdr:rowOff>
                  </from>
                  <to>
                    <xdr:col>1</xdr:col>
                    <xdr:colOff>428625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V13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5" sqref="B5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38" t="s">
        <v>53</v>
      </c>
      <c r="B1" s="38" t="s">
        <v>54</v>
      </c>
      <c r="C1" s="38" t="s">
        <v>56</v>
      </c>
      <c r="D1" s="38" t="s">
        <v>55</v>
      </c>
      <c r="E1" s="39" t="s">
        <v>1</v>
      </c>
      <c r="F1" s="39" t="s">
        <v>2</v>
      </c>
      <c r="G1" s="39" t="s">
        <v>10</v>
      </c>
      <c r="H1" s="39" t="s">
        <v>18</v>
      </c>
      <c r="I1" s="39" t="s">
        <v>19</v>
      </c>
      <c r="J1" s="39" t="s">
        <v>52</v>
      </c>
      <c r="K1" s="39" t="s">
        <v>20</v>
      </c>
      <c r="L1" s="39" t="s">
        <v>33</v>
      </c>
      <c r="M1" s="39" t="s">
        <v>35</v>
      </c>
      <c r="N1" s="39" t="s">
        <v>38</v>
      </c>
      <c r="O1" s="39" t="s">
        <v>34</v>
      </c>
      <c r="P1" s="40" t="s">
        <v>71</v>
      </c>
      <c r="Q1" s="40" t="s">
        <v>82</v>
      </c>
      <c r="R1" s="40" t="s">
        <v>77</v>
      </c>
      <c r="S1" s="40" t="s">
        <v>72</v>
      </c>
      <c r="T1" s="40" t="s">
        <v>80</v>
      </c>
      <c r="U1" s="40" t="s">
        <v>83</v>
      </c>
      <c r="V1" s="40" t="s">
        <v>73</v>
      </c>
      <c r="W1" s="40" t="s">
        <v>79</v>
      </c>
      <c r="X1" s="40" t="s">
        <v>78</v>
      </c>
      <c r="Y1" s="40" t="s">
        <v>74</v>
      </c>
      <c r="Z1" s="40" t="s">
        <v>81</v>
      </c>
      <c r="AA1" s="40" t="s">
        <v>84</v>
      </c>
      <c r="AB1" s="40" t="s">
        <v>76</v>
      </c>
      <c r="AC1" s="40" t="s">
        <v>75</v>
      </c>
      <c r="AD1" s="40" t="s">
        <v>85</v>
      </c>
      <c r="AE1" s="38" t="s">
        <v>7</v>
      </c>
      <c r="AF1" s="38" t="s">
        <v>23</v>
      </c>
      <c r="AG1" s="38" t="s">
        <v>24</v>
      </c>
      <c r="AH1" s="38" t="s">
        <v>45</v>
      </c>
      <c r="AI1" s="38" t="s">
        <v>46</v>
      </c>
      <c r="AJ1" s="38" t="s">
        <v>47</v>
      </c>
      <c r="AK1" s="38" t="s">
        <v>48</v>
      </c>
      <c r="AL1" s="38" t="s">
        <v>49</v>
      </c>
      <c r="AM1" s="38" t="s">
        <v>39</v>
      </c>
      <c r="AN1" s="38" t="s">
        <v>40</v>
      </c>
      <c r="AO1" s="38" t="s">
        <v>69</v>
      </c>
      <c r="AP1" s="38" t="s">
        <v>70</v>
      </c>
      <c r="AQ1" s="41" t="s">
        <v>31</v>
      </c>
      <c r="AR1" s="41" t="s">
        <v>3</v>
      </c>
      <c r="AS1" s="41" t="s">
        <v>22</v>
      </c>
      <c r="AT1" s="41" t="s">
        <v>41</v>
      </c>
      <c r="AU1" s="41" t="s">
        <v>43</v>
      </c>
      <c r="AV1" s="41" t="s">
        <v>37</v>
      </c>
      <c r="AW1" s="42" t="s">
        <v>4</v>
      </c>
      <c r="AX1" s="42" t="s">
        <v>5</v>
      </c>
      <c r="AY1" s="42" t="s">
        <v>32</v>
      </c>
      <c r="AZ1" s="42" t="s">
        <v>6</v>
      </c>
      <c r="BA1" s="42" t="s">
        <v>36</v>
      </c>
      <c r="BB1" s="42" t="s">
        <v>9</v>
      </c>
      <c r="BC1" s="43" t="s">
        <v>68</v>
      </c>
      <c r="BD1" s="38" t="s">
        <v>118</v>
      </c>
      <c r="BE1" s="38" t="s">
        <v>14</v>
      </c>
      <c r="BF1" s="38" t="s">
        <v>13</v>
      </c>
      <c r="BG1" s="38" t="s">
        <v>11</v>
      </c>
      <c r="BH1" s="38" t="s">
        <v>12</v>
      </c>
      <c r="BI1" s="38" t="s">
        <v>15</v>
      </c>
      <c r="BJ1" s="38" t="s">
        <v>16</v>
      </c>
      <c r="BK1" s="38" t="s">
        <v>25</v>
      </c>
      <c r="BL1" s="38" t="s">
        <v>26</v>
      </c>
      <c r="BM1" s="38" t="s">
        <v>27</v>
      </c>
      <c r="BN1" s="38" t="s">
        <v>28</v>
      </c>
      <c r="BO1" s="38" t="s">
        <v>29</v>
      </c>
      <c r="BP1" s="38" t="s">
        <v>30</v>
      </c>
      <c r="BQ1" s="44" t="s">
        <v>60</v>
      </c>
      <c r="BR1" s="38" t="s">
        <v>61</v>
      </c>
      <c r="BS1" s="45" t="s">
        <v>62</v>
      </c>
      <c r="BT1" s="45"/>
      <c r="BU1" s="46" t="s">
        <v>117</v>
      </c>
      <c r="BV1" s="46"/>
    </row>
    <row r="2" spans="1:74" s="53" customFormat="1">
      <c r="A2" s="51"/>
      <c r="B2" s="52" t="s">
        <v>115</v>
      </c>
      <c r="C2" s="52" t="s">
        <v>21</v>
      </c>
      <c r="D2" s="51" t="s">
        <v>17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20"/>
      <c r="AR2" s="20"/>
      <c r="AS2" s="20"/>
      <c r="AT2" s="20"/>
      <c r="AU2" s="20"/>
      <c r="AV2" s="20"/>
      <c r="AW2" s="21"/>
      <c r="AX2" s="21"/>
      <c r="AY2" s="21"/>
      <c r="AZ2" s="21"/>
      <c r="BA2" s="21"/>
      <c r="BB2" s="21"/>
      <c r="BC2" s="25"/>
      <c r="BD2" s="51"/>
      <c r="BE2" s="51"/>
      <c r="BF2" s="51"/>
      <c r="BG2" s="51"/>
      <c r="BH2" s="51"/>
      <c r="BI2" s="51"/>
      <c r="BJ2" s="51"/>
      <c r="BK2" s="51"/>
      <c r="BL2" s="51"/>
      <c r="BM2" s="51"/>
      <c r="BN2" s="51"/>
      <c r="BO2" s="51"/>
      <c r="BP2" s="51"/>
      <c r="BQ2" s="51">
        <f t="shared" ref="BQ2:BQ3" si="0">SUM(E2:BP2)</f>
        <v>35</v>
      </c>
      <c r="BR2" s="51">
        <v>2</v>
      </c>
      <c r="BS2" s="22">
        <v>1</v>
      </c>
      <c r="BT2" s="22" t="s">
        <v>122</v>
      </c>
      <c r="BU2" s="23">
        <f t="shared" ref="BU2:BU3" si="1">SUM(P2:AD2)</f>
        <v>35</v>
      </c>
      <c r="BV2" s="23">
        <f t="shared" ref="BV2:BV3" si="2">AF2+AH2+AI2+AJ2+AO2+AP2</f>
        <v>0</v>
      </c>
    </row>
    <row r="3" spans="1:74" s="23" customFormat="1" ht="27">
      <c r="A3" s="51"/>
      <c r="B3" s="52" t="s">
        <v>115</v>
      </c>
      <c r="C3" s="52" t="s">
        <v>21</v>
      </c>
      <c r="D3" s="51" t="s">
        <v>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8"/>
      <c r="Q3" s="28">
        <v>5</v>
      </c>
      <c r="R3" s="28"/>
      <c r="S3" s="28"/>
      <c r="T3" s="28">
        <v>5</v>
      </c>
      <c r="U3" s="28"/>
      <c r="V3" s="28"/>
      <c r="W3" s="28"/>
      <c r="X3" s="28">
        <v>2</v>
      </c>
      <c r="Y3" s="28"/>
      <c r="Z3" s="28">
        <v>5</v>
      </c>
      <c r="AA3" s="28"/>
      <c r="AB3" s="28"/>
      <c r="AC3" s="28"/>
      <c r="AD3" s="28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20"/>
      <c r="AR3" s="20"/>
      <c r="AS3" s="20"/>
      <c r="AT3" s="20"/>
      <c r="AU3" s="20"/>
      <c r="AV3" s="20"/>
      <c r="AW3" s="21"/>
      <c r="AX3" s="21"/>
      <c r="AY3" s="21"/>
      <c r="AZ3" s="21"/>
      <c r="BA3" s="21"/>
      <c r="BB3" s="21"/>
      <c r="BC3" s="25"/>
      <c r="BD3" s="51"/>
      <c r="BE3" s="51"/>
      <c r="BF3" s="51"/>
      <c r="BG3" s="51"/>
      <c r="BH3" s="51"/>
      <c r="BI3" s="51"/>
      <c r="BJ3" s="51"/>
      <c r="BK3" s="51"/>
      <c r="BL3" s="51"/>
      <c r="BM3" s="51"/>
      <c r="BN3" s="51"/>
      <c r="BO3" s="51"/>
      <c r="BP3" s="51"/>
      <c r="BQ3" s="51">
        <f t="shared" si="0"/>
        <v>17</v>
      </c>
      <c r="BR3" s="51">
        <v>7</v>
      </c>
      <c r="BS3" s="22">
        <v>2</v>
      </c>
      <c r="BT3" s="22" t="s">
        <v>120</v>
      </c>
      <c r="BU3" s="23">
        <f t="shared" si="1"/>
        <v>17</v>
      </c>
      <c r="BV3" s="23">
        <f t="shared" si="2"/>
        <v>0</v>
      </c>
    </row>
    <row r="4" spans="1:74" s="23" customFormat="1" ht="27">
      <c r="A4" s="51"/>
      <c r="B4" s="52" t="s">
        <v>115</v>
      </c>
      <c r="C4" s="52" t="s">
        <v>21</v>
      </c>
      <c r="D4" s="51" t="s">
        <v>114</v>
      </c>
      <c r="E4" s="19"/>
      <c r="F4" s="19"/>
      <c r="G4" s="19"/>
      <c r="H4" s="19"/>
      <c r="I4" s="19"/>
      <c r="J4" s="19"/>
      <c r="K4" s="19"/>
      <c r="L4" s="19"/>
      <c r="M4" s="19">
        <v>10</v>
      </c>
      <c r="N4" s="19"/>
      <c r="O4" s="19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>
        <v>10</v>
      </c>
      <c r="AB4" s="28"/>
      <c r="AC4" s="28"/>
      <c r="AD4" s="28">
        <v>10</v>
      </c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20"/>
      <c r="AR4" s="20"/>
      <c r="AS4" s="20">
        <v>10</v>
      </c>
      <c r="AT4" s="20"/>
      <c r="AU4" s="20"/>
      <c r="AV4" s="20"/>
      <c r="AW4" s="21"/>
      <c r="AX4" s="21"/>
      <c r="AY4" s="21"/>
      <c r="AZ4" s="21"/>
      <c r="BA4" s="21"/>
      <c r="BB4" s="21"/>
      <c r="BC4" s="25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1"/>
      <c r="BO4" s="51"/>
      <c r="BP4" s="51"/>
      <c r="BQ4" s="51">
        <f t="shared" ref="BQ4:BQ5" si="3">SUM(E4:BP4)</f>
        <v>40</v>
      </c>
      <c r="BR4" s="51">
        <v>19</v>
      </c>
      <c r="BS4" s="22">
        <v>2</v>
      </c>
      <c r="BT4" s="22" t="s">
        <v>121</v>
      </c>
      <c r="BU4" s="23">
        <f t="shared" ref="BU4:BU5" si="4">SUM(P4:AD4)</f>
        <v>20</v>
      </c>
      <c r="BV4" s="23">
        <f t="shared" ref="BV4:BV5" si="5">AF4+AH4+AI4+AJ4+AO4+AP4</f>
        <v>0</v>
      </c>
    </row>
    <row r="5" spans="1:74" s="23" customFormat="1" ht="40.5">
      <c r="A5" s="51"/>
      <c r="B5" s="52" t="s">
        <v>119</v>
      </c>
      <c r="C5" s="52" t="s">
        <v>116</v>
      </c>
      <c r="D5" s="51" t="s">
        <v>114</v>
      </c>
      <c r="E5" s="19"/>
      <c r="F5" s="19"/>
      <c r="G5" s="19">
        <v>10</v>
      </c>
      <c r="H5" s="19"/>
      <c r="I5" s="19"/>
      <c r="J5" s="19"/>
      <c r="K5" s="19"/>
      <c r="L5" s="19"/>
      <c r="M5" s="19"/>
      <c r="N5" s="19"/>
      <c r="O5" s="19"/>
      <c r="P5" s="28"/>
      <c r="Q5" s="28"/>
      <c r="R5" s="28"/>
      <c r="S5" s="28"/>
      <c r="T5" s="28"/>
      <c r="U5" s="28"/>
      <c r="V5" s="28"/>
      <c r="W5" s="28"/>
      <c r="X5" s="28">
        <v>10</v>
      </c>
      <c r="Y5" s="28"/>
      <c r="Z5" s="28"/>
      <c r="AA5" s="28"/>
      <c r="AB5" s="28"/>
      <c r="AC5" s="28"/>
      <c r="AD5" s="28">
        <v>10</v>
      </c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20"/>
      <c r="AR5" s="20"/>
      <c r="AS5" s="20"/>
      <c r="AT5" s="20"/>
      <c r="AU5" s="20"/>
      <c r="AV5" s="20">
        <v>10</v>
      </c>
      <c r="AW5" s="21"/>
      <c r="AX5" s="21"/>
      <c r="AY5" s="21"/>
      <c r="AZ5" s="21"/>
      <c r="BA5" s="21"/>
      <c r="BB5" s="21"/>
      <c r="BC5" s="25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1"/>
      <c r="BO5" s="51"/>
      <c r="BP5" s="51"/>
      <c r="BQ5" s="51">
        <f t="shared" si="3"/>
        <v>40</v>
      </c>
      <c r="BR5" s="51">
        <v>30</v>
      </c>
      <c r="BS5" s="22">
        <v>3</v>
      </c>
      <c r="BT5" s="22" t="s">
        <v>123</v>
      </c>
      <c r="BU5" s="23">
        <f t="shared" si="4"/>
        <v>20</v>
      </c>
      <c r="BV5" s="23">
        <f t="shared" si="5"/>
        <v>0</v>
      </c>
    </row>
    <row r="6" spans="1:74">
      <c r="A6" s="47"/>
      <c r="B6" s="47" t="s">
        <v>44</v>
      </c>
      <c r="C6" s="47"/>
      <c r="D6" s="47"/>
      <c r="E6" s="29">
        <f t="shared" ref="E6:AJ6" si="6">SUM(E2:E5)</f>
        <v>0</v>
      </c>
      <c r="F6" s="29">
        <f t="shared" si="6"/>
        <v>0</v>
      </c>
      <c r="G6" s="29">
        <f t="shared" si="6"/>
        <v>10</v>
      </c>
      <c r="H6" s="29">
        <f t="shared" si="6"/>
        <v>0</v>
      </c>
      <c r="I6" s="29">
        <f t="shared" si="6"/>
        <v>0</v>
      </c>
      <c r="J6" s="29">
        <f t="shared" si="6"/>
        <v>0</v>
      </c>
      <c r="K6" s="29">
        <f t="shared" si="6"/>
        <v>0</v>
      </c>
      <c r="L6" s="29">
        <f t="shared" si="6"/>
        <v>0</v>
      </c>
      <c r="M6" s="29">
        <f t="shared" si="6"/>
        <v>10</v>
      </c>
      <c r="N6" s="29">
        <f t="shared" si="6"/>
        <v>0</v>
      </c>
      <c r="O6" s="29">
        <f t="shared" si="6"/>
        <v>0</v>
      </c>
      <c r="P6" s="30">
        <f t="shared" si="6"/>
        <v>10</v>
      </c>
      <c r="Q6" s="30">
        <f t="shared" si="6"/>
        <v>5</v>
      </c>
      <c r="R6" s="30">
        <f t="shared" si="6"/>
        <v>0</v>
      </c>
      <c r="S6" s="30">
        <f t="shared" si="6"/>
        <v>10</v>
      </c>
      <c r="T6" s="30">
        <f t="shared" si="6"/>
        <v>5</v>
      </c>
      <c r="U6" s="30">
        <f t="shared" si="6"/>
        <v>0</v>
      </c>
      <c r="V6" s="30">
        <f t="shared" si="6"/>
        <v>0</v>
      </c>
      <c r="W6" s="30">
        <f t="shared" si="6"/>
        <v>5</v>
      </c>
      <c r="X6" s="30">
        <f t="shared" si="6"/>
        <v>12</v>
      </c>
      <c r="Y6" s="30">
        <f t="shared" si="6"/>
        <v>0</v>
      </c>
      <c r="Z6" s="30">
        <f t="shared" si="6"/>
        <v>5</v>
      </c>
      <c r="AA6" s="30">
        <f t="shared" si="6"/>
        <v>10</v>
      </c>
      <c r="AB6" s="30">
        <f t="shared" si="6"/>
        <v>10</v>
      </c>
      <c r="AC6" s="30">
        <f t="shared" si="6"/>
        <v>0</v>
      </c>
      <c r="AD6" s="30">
        <f t="shared" si="6"/>
        <v>20</v>
      </c>
      <c r="AE6" s="47">
        <f t="shared" si="6"/>
        <v>0</v>
      </c>
      <c r="AF6" s="47">
        <f t="shared" si="6"/>
        <v>0</v>
      </c>
      <c r="AG6" s="47">
        <f t="shared" si="6"/>
        <v>0</v>
      </c>
      <c r="AH6" s="47">
        <f t="shared" si="6"/>
        <v>0</v>
      </c>
      <c r="AI6" s="47">
        <f t="shared" si="6"/>
        <v>0</v>
      </c>
      <c r="AJ6" s="47">
        <f t="shared" si="6"/>
        <v>0</v>
      </c>
      <c r="AK6" s="47">
        <f t="shared" ref="AK6:BP6" si="7">SUM(AK2:AK5)</f>
        <v>0</v>
      </c>
      <c r="AL6" s="47">
        <f t="shared" si="7"/>
        <v>0</v>
      </c>
      <c r="AM6" s="47">
        <f t="shared" si="7"/>
        <v>0</v>
      </c>
      <c r="AN6" s="47">
        <f t="shared" si="7"/>
        <v>0</v>
      </c>
      <c r="AO6" s="47">
        <f t="shared" si="7"/>
        <v>0</v>
      </c>
      <c r="AP6" s="47">
        <f t="shared" si="7"/>
        <v>0</v>
      </c>
      <c r="AQ6" s="31">
        <f t="shared" si="7"/>
        <v>0</v>
      </c>
      <c r="AR6" s="31">
        <f t="shared" si="7"/>
        <v>0</v>
      </c>
      <c r="AS6" s="31">
        <f t="shared" si="7"/>
        <v>10</v>
      </c>
      <c r="AT6" s="31">
        <f t="shared" si="7"/>
        <v>0</v>
      </c>
      <c r="AU6" s="31">
        <f t="shared" si="7"/>
        <v>0</v>
      </c>
      <c r="AV6" s="31">
        <f t="shared" si="7"/>
        <v>10</v>
      </c>
      <c r="AW6" s="32">
        <f t="shared" si="7"/>
        <v>0</v>
      </c>
      <c r="AX6" s="32">
        <f t="shared" si="7"/>
        <v>0</v>
      </c>
      <c r="AY6" s="32">
        <f t="shared" si="7"/>
        <v>0</v>
      </c>
      <c r="AZ6" s="32">
        <f t="shared" si="7"/>
        <v>0</v>
      </c>
      <c r="BA6" s="32">
        <f t="shared" si="7"/>
        <v>0</v>
      </c>
      <c r="BB6" s="32">
        <f t="shared" si="7"/>
        <v>0</v>
      </c>
      <c r="BC6" s="47">
        <f t="shared" si="7"/>
        <v>0</v>
      </c>
      <c r="BD6" s="47">
        <f t="shared" si="7"/>
        <v>0</v>
      </c>
      <c r="BE6" s="47">
        <f t="shared" si="7"/>
        <v>0</v>
      </c>
      <c r="BF6" s="47">
        <f t="shared" si="7"/>
        <v>0</v>
      </c>
      <c r="BG6" s="47">
        <f t="shared" si="7"/>
        <v>0</v>
      </c>
      <c r="BH6" s="47">
        <f t="shared" si="7"/>
        <v>0</v>
      </c>
      <c r="BI6" s="47">
        <f t="shared" si="7"/>
        <v>0</v>
      </c>
      <c r="BJ6" s="47">
        <f t="shared" si="7"/>
        <v>0</v>
      </c>
      <c r="BK6" s="47">
        <f t="shared" si="7"/>
        <v>0</v>
      </c>
      <c r="BL6" s="47">
        <f t="shared" si="7"/>
        <v>0</v>
      </c>
      <c r="BM6" s="47">
        <f t="shared" si="7"/>
        <v>0</v>
      </c>
      <c r="BN6" s="47">
        <f t="shared" si="7"/>
        <v>0</v>
      </c>
      <c r="BO6" s="47">
        <f t="shared" si="7"/>
        <v>0</v>
      </c>
      <c r="BP6" s="47">
        <f t="shared" si="7"/>
        <v>0</v>
      </c>
      <c r="BQ6" s="47"/>
      <c r="BR6" s="47"/>
      <c r="BS6" s="34"/>
      <c r="BT6" s="34"/>
      <c r="BU6" s="35"/>
      <c r="BV6" s="35"/>
    </row>
    <row r="7" spans="1:74">
      <c r="A7" s="47"/>
      <c r="B7" s="48" t="s">
        <v>59</v>
      </c>
      <c r="C7" s="47"/>
      <c r="D7" s="47"/>
      <c r="E7" s="47">
        <v>14</v>
      </c>
      <c r="F7" s="47">
        <v>67</v>
      </c>
      <c r="G7" s="47">
        <v>0</v>
      </c>
      <c r="H7" s="47">
        <v>0</v>
      </c>
      <c r="I7" s="47">
        <v>130</v>
      </c>
      <c r="J7" s="47">
        <v>130</v>
      </c>
      <c r="K7" s="47">
        <v>102</v>
      </c>
      <c r="L7" s="47">
        <v>86</v>
      </c>
      <c r="M7" s="47">
        <v>93</v>
      </c>
      <c r="N7" s="47">
        <v>153</v>
      </c>
      <c r="O7" s="47">
        <v>77</v>
      </c>
      <c r="P7" s="33">
        <v>268</v>
      </c>
      <c r="Q7" s="33">
        <v>97</v>
      </c>
      <c r="R7" s="33">
        <v>30</v>
      </c>
      <c r="S7" s="33">
        <v>328</v>
      </c>
      <c r="T7" s="33">
        <v>114</v>
      </c>
      <c r="U7" s="33">
        <v>31</v>
      </c>
      <c r="V7" s="33">
        <v>229</v>
      </c>
      <c r="W7" s="33">
        <v>100</v>
      </c>
      <c r="X7" s="33">
        <v>22</v>
      </c>
      <c r="Y7" s="33">
        <v>223</v>
      </c>
      <c r="Z7" s="33">
        <v>108</v>
      </c>
      <c r="AA7" s="33">
        <v>23</v>
      </c>
      <c r="AB7" s="33">
        <v>315</v>
      </c>
      <c r="AC7" s="33">
        <v>87</v>
      </c>
      <c r="AD7" s="33">
        <v>18</v>
      </c>
      <c r="AE7" s="47">
        <v>28</v>
      </c>
      <c r="AF7" s="47">
        <v>3</v>
      </c>
      <c r="AG7" s="47">
        <v>3</v>
      </c>
      <c r="AH7" s="47">
        <v>0</v>
      </c>
      <c r="AI7" s="47">
        <v>0</v>
      </c>
      <c r="AJ7" s="47">
        <v>0</v>
      </c>
      <c r="AK7" s="47">
        <v>23</v>
      </c>
      <c r="AL7" s="47">
        <v>33</v>
      </c>
      <c r="AM7" s="47">
        <v>0</v>
      </c>
      <c r="AN7" s="47">
        <v>7</v>
      </c>
      <c r="AO7" s="47">
        <v>2</v>
      </c>
      <c r="AP7" s="47">
        <v>6</v>
      </c>
      <c r="AQ7" s="33">
        <v>66</v>
      </c>
      <c r="AR7" s="33">
        <v>25</v>
      </c>
      <c r="AS7" s="33">
        <v>56</v>
      </c>
      <c r="AT7" s="33">
        <v>40</v>
      </c>
      <c r="AU7" s="33">
        <v>31</v>
      </c>
      <c r="AV7" s="33">
        <v>146</v>
      </c>
      <c r="AW7" s="33">
        <v>34</v>
      </c>
      <c r="AX7" s="33">
        <v>58</v>
      </c>
      <c r="AY7" s="33">
        <v>0</v>
      </c>
      <c r="AZ7" s="33">
        <v>6</v>
      </c>
      <c r="BA7" s="33">
        <v>15</v>
      </c>
      <c r="BB7" s="33">
        <v>14</v>
      </c>
      <c r="BC7" s="33">
        <v>3</v>
      </c>
      <c r="BD7" s="47">
        <v>2</v>
      </c>
      <c r="BE7" s="47">
        <v>255</v>
      </c>
      <c r="BF7" s="47">
        <v>396</v>
      </c>
      <c r="BG7" s="47">
        <v>312</v>
      </c>
      <c r="BH7" s="47">
        <v>330</v>
      </c>
      <c r="BI7" s="47">
        <v>162</v>
      </c>
      <c r="BJ7" s="47">
        <v>195</v>
      </c>
      <c r="BK7" s="47">
        <v>131</v>
      </c>
      <c r="BL7" s="47">
        <v>127</v>
      </c>
      <c r="BM7" s="47">
        <v>241</v>
      </c>
      <c r="BN7" s="47">
        <v>101</v>
      </c>
      <c r="BO7" s="47">
        <v>3</v>
      </c>
      <c r="BP7" s="47">
        <v>73</v>
      </c>
      <c r="BQ7" s="47"/>
      <c r="BR7" s="47"/>
      <c r="BS7" s="34"/>
      <c r="BT7" s="34"/>
      <c r="BU7" s="35"/>
      <c r="BV7" s="35"/>
    </row>
    <row r="8" spans="1:74">
      <c r="A8" s="47"/>
      <c r="B8" s="48" t="s">
        <v>66</v>
      </c>
      <c r="C8" s="47"/>
      <c r="D8" s="47"/>
      <c r="E8" s="47">
        <f t="shared" ref="E8:BP8" si="8">E7-E6</f>
        <v>14</v>
      </c>
      <c r="F8" s="47">
        <f t="shared" si="8"/>
        <v>67</v>
      </c>
      <c r="G8" s="47">
        <f t="shared" si="8"/>
        <v>-10</v>
      </c>
      <c r="H8" s="47">
        <f t="shared" si="8"/>
        <v>0</v>
      </c>
      <c r="I8" s="47">
        <f t="shared" si="8"/>
        <v>130</v>
      </c>
      <c r="J8" s="47">
        <f t="shared" si="8"/>
        <v>130</v>
      </c>
      <c r="K8" s="47">
        <f t="shared" si="8"/>
        <v>102</v>
      </c>
      <c r="L8" s="47">
        <f t="shared" si="8"/>
        <v>86</v>
      </c>
      <c r="M8" s="47">
        <f t="shared" si="8"/>
        <v>83</v>
      </c>
      <c r="N8" s="47">
        <f t="shared" si="8"/>
        <v>153</v>
      </c>
      <c r="O8" s="47">
        <f t="shared" si="8"/>
        <v>77</v>
      </c>
      <c r="P8" s="47">
        <f t="shared" si="8"/>
        <v>258</v>
      </c>
      <c r="Q8" s="47">
        <f t="shared" si="8"/>
        <v>92</v>
      </c>
      <c r="R8" s="47">
        <f t="shared" si="8"/>
        <v>30</v>
      </c>
      <c r="S8" s="47">
        <f t="shared" si="8"/>
        <v>318</v>
      </c>
      <c r="T8" s="47">
        <f t="shared" si="8"/>
        <v>109</v>
      </c>
      <c r="U8" s="47">
        <f t="shared" si="8"/>
        <v>31</v>
      </c>
      <c r="V8" s="47">
        <f t="shared" si="8"/>
        <v>229</v>
      </c>
      <c r="W8" s="47">
        <f t="shared" si="8"/>
        <v>95</v>
      </c>
      <c r="X8" s="47">
        <f t="shared" si="8"/>
        <v>10</v>
      </c>
      <c r="Y8" s="47">
        <f t="shared" si="8"/>
        <v>223</v>
      </c>
      <c r="Z8" s="47">
        <f t="shared" si="8"/>
        <v>103</v>
      </c>
      <c r="AA8" s="47">
        <f t="shared" si="8"/>
        <v>13</v>
      </c>
      <c r="AB8" s="47">
        <f t="shared" si="8"/>
        <v>305</v>
      </c>
      <c r="AC8" s="47">
        <f t="shared" si="8"/>
        <v>87</v>
      </c>
      <c r="AD8" s="47">
        <f t="shared" si="8"/>
        <v>-2</v>
      </c>
      <c r="AE8" s="47">
        <f t="shared" si="8"/>
        <v>28</v>
      </c>
      <c r="AF8" s="47">
        <f t="shared" si="8"/>
        <v>3</v>
      </c>
      <c r="AG8" s="47">
        <f t="shared" si="8"/>
        <v>3</v>
      </c>
      <c r="AH8" s="47">
        <f t="shared" si="8"/>
        <v>0</v>
      </c>
      <c r="AI8" s="47">
        <f t="shared" si="8"/>
        <v>0</v>
      </c>
      <c r="AJ8" s="47">
        <f t="shared" si="8"/>
        <v>0</v>
      </c>
      <c r="AK8" s="47">
        <f t="shared" si="8"/>
        <v>23</v>
      </c>
      <c r="AL8" s="47">
        <f t="shared" si="8"/>
        <v>33</v>
      </c>
      <c r="AM8" s="47">
        <f t="shared" si="8"/>
        <v>0</v>
      </c>
      <c r="AN8" s="47">
        <f t="shared" si="8"/>
        <v>7</v>
      </c>
      <c r="AO8" s="47">
        <f t="shared" si="8"/>
        <v>2</v>
      </c>
      <c r="AP8" s="47">
        <f t="shared" si="8"/>
        <v>6</v>
      </c>
      <c r="AQ8" s="47">
        <f t="shared" si="8"/>
        <v>66</v>
      </c>
      <c r="AR8" s="47">
        <f t="shared" si="8"/>
        <v>25</v>
      </c>
      <c r="AS8" s="47">
        <f t="shared" si="8"/>
        <v>46</v>
      </c>
      <c r="AT8" s="47">
        <f t="shared" si="8"/>
        <v>40</v>
      </c>
      <c r="AU8" s="47">
        <f t="shared" si="8"/>
        <v>31</v>
      </c>
      <c r="AV8" s="47">
        <f t="shared" si="8"/>
        <v>136</v>
      </c>
      <c r="AW8" s="47">
        <f t="shared" si="8"/>
        <v>34</v>
      </c>
      <c r="AX8" s="47">
        <f t="shared" si="8"/>
        <v>58</v>
      </c>
      <c r="AY8" s="47">
        <f t="shared" si="8"/>
        <v>0</v>
      </c>
      <c r="AZ8" s="47">
        <f t="shared" si="8"/>
        <v>6</v>
      </c>
      <c r="BA8" s="47">
        <f t="shared" si="8"/>
        <v>15</v>
      </c>
      <c r="BB8" s="47">
        <f t="shared" si="8"/>
        <v>14</v>
      </c>
      <c r="BC8" s="47">
        <f t="shared" si="8"/>
        <v>3</v>
      </c>
      <c r="BD8" s="47">
        <f t="shared" si="8"/>
        <v>2</v>
      </c>
      <c r="BE8" s="47">
        <f t="shared" si="8"/>
        <v>255</v>
      </c>
      <c r="BF8" s="47">
        <f t="shared" si="8"/>
        <v>396</v>
      </c>
      <c r="BG8" s="47">
        <f t="shared" si="8"/>
        <v>312</v>
      </c>
      <c r="BH8" s="47">
        <f t="shared" si="8"/>
        <v>330</v>
      </c>
      <c r="BI8" s="47">
        <f t="shared" si="8"/>
        <v>162</v>
      </c>
      <c r="BJ8" s="47">
        <f t="shared" si="8"/>
        <v>195</v>
      </c>
      <c r="BK8" s="47">
        <f t="shared" si="8"/>
        <v>131</v>
      </c>
      <c r="BL8" s="47">
        <f t="shared" si="8"/>
        <v>127</v>
      </c>
      <c r="BM8" s="47">
        <f t="shared" si="8"/>
        <v>241</v>
      </c>
      <c r="BN8" s="47">
        <f t="shared" si="8"/>
        <v>101</v>
      </c>
      <c r="BO8" s="47">
        <f t="shared" si="8"/>
        <v>3</v>
      </c>
      <c r="BP8" s="47">
        <f t="shared" si="8"/>
        <v>73</v>
      </c>
      <c r="BQ8" s="47"/>
      <c r="BR8" s="47"/>
      <c r="BS8" s="34"/>
      <c r="BT8" s="34"/>
      <c r="BU8" s="35"/>
      <c r="BV8" s="35"/>
    </row>
    <row r="9" spans="1:74">
      <c r="A9" s="47"/>
      <c r="B9" s="48" t="s">
        <v>86</v>
      </c>
      <c r="C9" s="47"/>
      <c r="D9" s="47"/>
      <c r="E9" s="47">
        <f t="shared" ref="E9:AJ9" si="9">MAX(E2:E5)</f>
        <v>0</v>
      </c>
      <c r="F9" s="47">
        <f t="shared" si="9"/>
        <v>0</v>
      </c>
      <c r="G9" s="47">
        <f t="shared" si="9"/>
        <v>10</v>
      </c>
      <c r="H9" s="47">
        <f t="shared" si="9"/>
        <v>0</v>
      </c>
      <c r="I9" s="47">
        <f t="shared" si="9"/>
        <v>0</v>
      </c>
      <c r="J9" s="47">
        <f t="shared" si="9"/>
        <v>0</v>
      </c>
      <c r="K9" s="47">
        <f t="shared" si="9"/>
        <v>0</v>
      </c>
      <c r="L9" s="47">
        <f t="shared" si="9"/>
        <v>0</v>
      </c>
      <c r="M9" s="47">
        <f t="shared" si="9"/>
        <v>10</v>
      </c>
      <c r="N9" s="47">
        <f t="shared" si="9"/>
        <v>0</v>
      </c>
      <c r="O9" s="47">
        <f t="shared" si="9"/>
        <v>0</v>
      </c>
      <c r="P9" s="47">
        <f t="shared" si="9"/>
        <v>10</v>
      </c>
      <c r="Q9" s="47">
        <f t="shared" si="9"/>
        <v>5</v>
      </c>
      <c r="R9" s="47">
        <f t="shared" si="9"/>
        <v>0</v>
      </c>
      <c r="S9" s="47">
        <f t="shared" si="9"/>
        <v>10</v>
      </c>
      <c r="T9" s="47">
        <f t="shared" si="9"/>
        <v>5</v>
      </c>
      <c r="U9" s="47">
        <f t="shared" si="9"/>
        <v>0</v>
      </c>
      <c r="V9" s="47">
        <f t="shared" si="9"/>
        <v>0</v>
      </c>
      <c r="W9" s="47">
        <f t="shared" si="9"/>
        <v>5</v>
      </c>
      <c r="X9" s="47">
        <f t="shared" si="9"/>
        <v>10</v>
      </c>
      <c r="Y9" s="47">
        <f t="shared" si="9"/>
        <v>0</v>
      </c>
      <c r="Z9" s="47">
        <f t="shared" si="9"/>
        <v>5</v>
      </c>
      <c r="AA9" s="47">
        <f t="shared" si="9"/>
        <v>10</v>
      </c>
      <c r="AB9" s="47">
        <f t="shared" si="9"/>
        <v>10</v>
      </c>
      <c r="AC9" s="47">
        <f t="shared" si="9"/>
        <v>0</v>
      </c>
      <c r="AD9" s="47">
        <f t="shared" si="9"/>
        <v>10</v>
      </c>
      <c r="AE9" s="47">
        <f t="shared" si="9"/>
        <v>0</v>
      </c>
      <c r="AF9" s="47">
        <f t="shared" si="9"/>
        <v>0</v>
      </c>
      <c r="AG9" s="47">
        <f t="shared" si="9"/>
        <v>0</v>
      </c>
      <c r="AH9" s="47">
        <f t="shared" si="9"/>
        <v>0</v>
      </c>
      <c r="AI9" s="47">
        <f t="shared" si="9"/>
        <v>0</v>
      </c>
      <c r="AJ9" s="47">
        <f t="shared" si="9"/>
        <v>0</v>
      </c>
      <c r="AK9" s="47">
        <f t="shared" ref="AK9:BP9" si="10">MAX(AK2:AK5)</f>
        <v>0</v>
      </c>
      <c r="AL9" s="47">
        <f t="shared" si="10"/>
        <v>0</v>
      </c>
      <c r="AM9" s="47">
        <f t="shared" si="10"/>
        <v>0</v>
      </c>
      <c r="AN9" s="47">
        <f t="shared" si="10"/>
        <v>0</v>
      </c>
      <c r="AO9" s="47">
        <f t="shared" si="10"/>
        <v>0</v>
      </c>
      <c r="AP9" s="47">
        <f t="shared" si="10"/>
        <v>0</v>
      </c>
      <c r="AQ9" s="47">
        <f t="shared" si="10"/>
        <v>0</v>
      </c>
      <c r="AR9" s="47">
        <f t="shared" si="10"/>
        <v>0</v>
      </c>
      <c r="AS9" s="47">
        <f t="shared" si="10"/>
        <v>10</v>
      </c>
      <c r="AT9" s="47">
        <f t="shared" si="10"/>
        <v>0</v>
      </c>
      <c r="AU9" s="47">
        <f t="shared" si="10"/>
        <v>0</v>
      </c>
      <c r="AV9" s="47">
        <f t="shared" si="10"/>
        <v>10</v>
      </c>
      <c r="AW9" s="47">
        <f t="shared" si="10"/>
        <v>0</v>
      </c>
      <c r="AX9" s="47">
        <f t="shared" si="10"/>
        <v>0</v>
      </c>
      <c r="AY9" s="47">
        <f t="shared" si="10"/>
        <v>0</v>
      </c>
      <c r="AZ9" s="47">
        <f t="shared" si="10"/>
        <v>0</v>
      </c>
      <c r="BA9" s="47">
        <f t="shared" si="10"/>
        <v>0</v>
      </c>
      <c r="BB9" s="47">
        <f t="shared" si="10"/>
        <v>0</v>
      </c>
      <c r="BC9" s="47">
        <f t="shared" si="10"/>
        <v>0</v>
      </c>
      <c r="BD9" s="47">
        <f t="shared" si="10"/>
        <v>0</v>
      </c>
      <c r="BE9" s="47">
        <f t="shared" si="10"/>
        <v>0</v>
      </c>
      <c r="BF9" s="47">
        <f t="shared" si="10"/>
        <v>0</v>
      </c>
      <c r="BG9" s="47">
        <f t="shared" si="10"/>
        <v>0</v>
      </c>
      <c r="BH9" s="47">
        <f t="shared" si="10"/>
        <v>0</v>
      </c>
      <c r="BI9" s="47">
        <f t="shared" si="10"/>
        <v>0</v>
      </c>
      <c r="BJ9" s="47">
        <f t="shared" si="10"/>
        <v>0</v>
      </c>
      <c r="BK9" s="47">
        <f t="shared" si="10"/>
        <v>0</v>
      </c>
      <c r="BL9" s="47">
        <f t="shared" si="10"/>
        <v>0</v>
      </c>
      <c r="BM9" s="47">
        <f t="shared" si="10"/>
        <v>0</v>
      </c>
      <c r="BN9" s="47">
        <f t="shared" si="10"/>
        <v>0</v>
      </c>
      <c r="BO9" s="47">
        <f t="shared" si="10"/>
        <v>0</v>
      </c>
      <c r="BP9" s="47">
        <f t="shared" si="10"/>
        <v>0</v>
      </c>
      <c r="BQ9" s="47"/>
      <c r="BR9" s="47"/>
      <c r="BS9" s="34"/>
      <c r="BT9" s="34"/>
      <c r="BU9" s="35"/>
      <c r="BV9" s="35"/>
    </row>
    <row r="10" spans="1:74">
      <c r="A10" s="47"/>
      <c r="B10" s="48" t="s">
        <v>87</v>
      </c>
      <c r="C10" s="47"/>
      <c r="D10" s="47"/>
      <c r="E10" s="47">
        <f t="shared" ref="E10:AJ10" si="11">MIN(E2:E5)</f>
        <v>0</v>
      </c>
      <c r="F10" s="47">
        <f t="shared" si="11"/>
        <v>0</v>
      </c>
      <c r="G10" s="47">
        <f t="shared" si="11"/>
        <v>10</v>
      </c>
      <c r="H10" s="47">
        <f t="shared" si="11"/>
        <v>0</v>
      </c>
      <c r="I10" s="47">
        <f t="shared" si="11"/>
        <v>0</v>
      </c>
      <c r="J10" s="47">
        <f t="shared" si="11"/>
        <v>0</v>
      </c>
      <c r="K10" s="47">
        <f t="shared" si="11"/>
        <v>0</v>
      </c>
      <c r="L10" s="47">
        <f t="shared" si="11"/>
        <v>0</v>
      </c>
      <c r="M10" s="47">
        <f t="shared" si="11"/>
        <v>10</v>
      </c>
      <c r="N10" s="47">
        <f t="shared" si="11"/>
        <v>0</v>
      </c>
      <c r="O10" s="47">
        <f t="shared" si="11"/>
        <v>0</v>
      </c>
      <c r="P10" s="47">
        <f t="shared" si="11"/>
        <v>10</v>
      </c>
      <c r="Q10" s="47">
        <f t="shared" si="11"/>
        <v>5</v>
      </c>
      <c r="R10" s="47">
        <f t="shared" si="11"/>
        <v>0</v>
      </c>
      <c r="S10" s="47">
        <f t="shared" si="11"/>
        <v>10</v>
      </c>
      <c r="T10" s="47">
        <f t="shared" si="11"/>
        <v>5</v>
      </c>
      <c r="U10" s="47">
        <f t="shared" si="11"/>
        <v>0</v>
      </c>
      <c r="V10" s="47">
        <f t="shared" si="11"/>
        <v>0</v>
      </c>
      <c r="W10" s="47">
        <f t="shared" si="11"/>
        <v>5</v>
      </c>
      <c r="X10" s="47">
        <f t="shared" si="11"/>
        <v>2</v>
      </c>
      <c r="Y10" s="47">
        <f t="shared" si="11"/>
        <v>0</v>
      </c>
      <c r="Z10" s="47">
        <f t="shared" si="11"/>
        <v>5</v>
      </c>
      <c r="AA10" s="47">
        <f t="shared" si="11"/>
        <v>10</v>
      </c>
      <c r="AB10" s="47">
        <f t="shared" si="11"/>
        <v>10</v>
      </c>
      <c r="AC10" s="47">
        <f t="shared" si="11"/>
        <v>0</v>
      </c>
      <c r="AD10" s="47">
        <f t="shared" si="11"/>
        <v>10</v>
      </c>
      <c r="AE10" s="47">
        <f t="shared" si="11"/>
        <v>0</v>
      </c>
      <c r="AF10" s="47">
        <f t="shared" si="11"/>
        <v>0</v>
      </c>
      <c r="AG10" s="47">
        <f t="shared" si="11"/>
        <v>0</v>
      </c>
      <c r="AH10" s="47">
        <f t="shared" si="11"/>
        <v>0</v>
      </c>
      <c r="AI10" s="47">
        <f t="shared" si="11"/>
        <v>0</v>
      </c>
      <c r="AJ10" s="47">
        <f t="shared" si="11"/>
        <v>0</v>
      </c>
      <c r="AK10" s="47">
        <f t="shared" ref="AK10:BP10" si="12">MIN(AK2:AK5)</f>
        <v>0</v>
      </c>
      <c r="AL10" s="47">
        <f t="shared" si="12"/>
        <v>0</v>
      </c>
      <c r="AM10" s="47">
        <f t="shared" si="12"/>
        <v>0</v>
      </c>
      <c r="AN10" s="47">
        <f t="shared" si="12"/>
        <v>0</v>
      </c>
      <c r="AO10" s="47">
        <f t="shared" si="12"/>
        <v>0</v>
      </c>
      <c r="AP10" s="47">
        <f t="shared" si="12"/>
        <v>0</v>
      </c>
      <c r="AQ10" s="47">
        <f t="shared" si="12"/>
        <v>0</v>
      </c>
      <c r="AR10" s="47">
        <f t="shared" si="12"/>
        <v>0</v>
      </c>
      <c r="AS10" s="47">
        <f t="shared" si="12"/>
        <v>10</v>
      </c>
      <c r="AT10" s="47">
        <f t="shared" si="12"/>
        <v>0</v>
      </c>
      <c r="AU10" s="47">
        <f t="shared" si="12"/>
        <v>0</v>
      </c>
      <c r="AV10" s="47">
        <f t="shared" si="12"/>
        <v>10</v>
      </c>
      <c r="AW10" s="47">
        <f t="shared" si="12"/>
        <v>0</v>
      </c>
      <c r="AX10" s="47">
        <f t="shared" si="12"/>
        <v>0</v>
      </c>
      <c r="AY10" s="47">
        <f t="shared" si="12"/>
        <v>0</v>
      </c>
      <c r="AZ10" s="47">
        <f t="shared" si="12"/>
        <v>0</v>
      </c>
      <c r="BA10" s="47">
        <f t="shared" si="12"/>
        <v>0</v>
      </c>
      <c r="BB10" s="47">
        <f t="shared" si="12"/>
        <v>0</v>
      </c>
      <c r="BC10" s="47">
        <f t="shared" si="12"/>
        <v>0</v>
      </c>
      <c r="BD10" s="47">
        <f t="shared" si="12"/>
        <v>0</v>
      </c>
      <c r="BE10" s="47">
        <f t="shared" si="12"/>
        <v>0</v>
      </c>
      <c r="BF10" s="47">
        <f t="shared" si="12"/>
        <v>0</v>
      </c>
      <c r="BG10" s="47">
        <f t="shared" si="12"/>
        <v>0</v>
      </c>
      <c r="BH10" s="47">
        <f t="shared" si="12"/>
        <v>0</v>
      </c>
      <c r="BI10" s="47">
        <f t="shared" si="12"/>
        <v>0</v>
      </c>
      <c r="BJ10" s="47">
        <f t="shared" si="12"/>
        <v>0</v>
      </c>
      <c r="BK10" s="47">
        <f t="shared" si="12"/>
        <v>0</v>
      </c>
      <c r="BL10" s="47">
        <f t="shared" si="12"/>
        <v>0</v>
      </c>
      <c r="BM10" s="47">
        <f t="shared" si="12"/>
        <v>0</v>
      </c>
      <c r="BN10" s="47">
        <f t="shared" si="12"/>
        <v>0</v>
      </c>
      <c r="BO10" s="47">
        <f t="shared" si="12"/>
        <v>0</v>
      </c>
      <c r="BP10" s="47">
        <f t="shared" si="12"/>
        <v>0</v>
      </c>
      <c r="BQ10" s="47"/>
      <c r="BR10" s="47"/>
      <c r="BS10" s="34"/>
      <c r="BT10" s="34"/>
      <c r="BU10" s="35"/>
      <c r="BV10" s="35"/>
    </row>
    <row r="11" spans="1:74">
      <c r="A11" s="47"/>
      <c r="B11" s="48" t="s">
        <v>88</v>
      </c>
      <c r="C11" s="47"/>
      <c r="D11" s="47"/>
      <c r="E11" s="47">
        <f t="shared" ref="E11:BP11" si="13">E7-E9</f>
        <v>14</v>
      </c>
      <c r="F11" s="47">
        <f t="shared" si="13"/>
        <v>67</v>
      </c>
      <c r="G11" s="47">
        <f t="shared" si="13"/>
        <v>-10</v>
      </c>
      <c r="H11" s="47">
        <f t="shared" si="13"/>
        <v>0</v>
      </c>
      <c r="I11" s="47">
        <f t="shared" si="13"/>
        <v>130</v>
      </c>
      <c r="J11" s="47">
        <f t="shared" si="13"/>
        <v>130</v>
      </c>
      <c r="K11" s="47">
        <f t="shared" si="13"/>
        <v>102</v>
      </c>
      <c r="L11" s="47">
        <f t="shared" si="13"/>
        <v>86</v>
      </c>
      <c r="M11" s="47">
        <f t="shared" si="13"/>
        <v>83</v>
      </c>
      <c r="N11" s="47">
        <f t="shared" si="13"/>
        <v>153</v>
      </c>
      <c r="O11" s="47">
        <f t="shared" si="13"/>
        <v>77</v>
      </c>
      <c r="P11" s="47">
        <f t="shared" si="13"/>
        <v>258</v>
      </c>
      <c r="Q11" s="47">
        <f t="shared" si="13"/>
        <v>92</v>
      </c>
      <c r="R11" s="47">
        <f t="shared" si="13"/>
        <v>30</v>
      </c>
      <c r="S11" s="47">
        <f t="shared" si="13"/>
        <v>318</v>
      </c>
      <c r="T11" s="47">
        <f t="shared" si="13"/>
        <v>109</v>
      </c>
      <c r="U11" s="47">
        <f t="shared" si="13"/>
        <v>31</v>
      </c>
      <c r="V11" s="47">
        <f t="shared" si="13"/>
        <v>229</v>
      </c>
      <c r="W11" s="47">
        <f t="shared" si="13"/>
        <v>95</v>
      </c>
      <c r="X11" s="47">
        <f t="shared" si="13"/>
        <v>12</v>
      </c>
      <c r="Y11" s="47">
        <f t="shared" si="13"/>
        <v>223</v>
      </c>
      <c r="Z11" s="47">
        <f t="shared" si="13"/>
        <v>103</v>
      </c>
      <c r="AA11" s="47">
        <f t="shared" si="13"/>
        <v>13</v>
      </c>
      <c r="AB11" s="47">
        <f t="shared" si="13"/>
        <v>305</v>
      </c>
      <c r="AC11" s="47">
        <f t="shared" si="13"/>
        <v>87</v>
      </c>
      <c r="AD11" s="47">
        <f t="shared" si="13"/>
        <v>8</v>
      </c>
      <c r="AE11" s="47">
        <f t="shared" si="13"/>
        <v>28</v>
      </c>
      <c r="AF11" s="47">
        <f t="shared" si="13"/>
        <v>3</v>
      </c>
      <c r="AG11" s="47">
        <f t="shared" si="13"/>
        <v>3</v>
      </c>
      <c r="AH11" s="47">
        <f t="shared" si="13"/>
        <v>0</v>
      </c>
      <c r="AI11" s="47">
        <f t="shared" si="13"/>
        <v>0</v>
      </c>
      <c r="AJ11" s="47">
        <f t="shared" si="13"/>
        <v>0</v>
      </c>
      <c r="AK11" s="47">
        <f t="shared" si="13"/>
        <v>23</v>
      </c>
      <c r="AL11" s="47">
        <f t="shared" si="13"/>
        <v>33</v>
      </c>
      <c r="AM11" s="47">
        <f t="shared" si="13"/>
        <v>0</v>
      </c>
      <c r="AN11" s="47">
        <f t="shared" si="13"/>
        <v>7</v>
      </c>
      <c r="AO11" s="47">
        <f t="shared" si="13"/>
        <v>2</v>
      </c>
      <c r="AP11" s="47">
        <f t="shared" si="13"/>
        <v>6</v>
      </c>
      <c r="AQ11" s="47">
        <f t="shared" si="13"/>
        <v>66</v>
      </c>
      <c r="AR11" s="47">
        <f t="shared" si="13"/>
        <v>25</v>
      </c>
      <c r="AS11" s="47">
        <f t="shared" si="13"/>
        <v>46</v>
      </c>
      <c r="AT11" s="47">
        <f t="shared" si="13"/>
        <v>40</v>
      </c>
      <c r="AU11" s="47">
        <f t="shared" si="13"/>
        <v>31</v>
      </c>
      <c r="AV11" s="47">
        <f t="shared" si="13"/>
        <v>136</v>
      </c>
      <c r="AW11" s="47">
        <f t="shared" si="13"/>
        <v>34</v>
      </c>
      <c r="AX11" s="47">
        <f t="shared" si="13"/>
        <v>58</v>
      </c>
      <c r="AY11" s="47">
        <f t="shared" si="13"/>
        <v>0</v>
      </c>
      <c r="AZ11" s="47">
        <f t="shared" si="13"/>
        <v>6</v>
      </c>
      <c r="BA11" s="47">
        <f t="shared" si="13"/>
        <v>15</v>
      </c>
      <c r="BB11" s="47">
        <f t="shared" si="13"/>
        <v>14</v>
      </c>
      <c r="BC11" s="47">
        <f t="shared" si="13"/>
        <v>3</v>
      </c>
      <c r="BD11" s="47">
        <f t="shared" si="13"/>
        <v>2</v>
      </c>
      <c r="BE11" s="47">
        <f t="shared" si="13"/>
        <v>255</v>
      </c>
      <c r="BF11" s="47">
        <f t="shared" si="13"/>
        <v>396</v>
      </c>
      <c r="BG11" s="47">
        <f t="shared" si="13"/>
        <v>312</v>
      </c>
      <c r="BH11" s="47">
        <f t="shared" si="13"/>
        <v>330</v>
      </c>
      <c r="BI11" s="47">
        <f t="shared" si="13"/>
        <v>162</v>
      </c>
      <c r="BJ11" s="47">
        <f t="shared" si="13"/>
        <v>195</v>
      </c>
      <c r="BK11" s="47">
        <f t="shared" si="13"/>
        <v>131</v>
      </c>
      <c r="BL11" s="47">
        <f t="shared" si="13"/>
        <v>127</v>
      </c>
      <c r="BM11" s="47">
        <f t="shared" si="13"/>
        <v>241</v>
      </c>
      <c r="BN11" s="47">
        <f t="shared" si="13"/>
        <v>101</v>
      </c>
      <c r="BO11" s="47">
        <f t="shared" si="13"/>
        <v>3</v>
      </c>
      <c r="BP11" s="47">
        <f t="shared" si="13"/>
        <v>73</v>
      </c>
      <c r="BQ11" s="47"/>
      <c r="BR11" s="47"/>
      <c r="BS11" s="34"/>
      <c r="BT11" s="34"/>
      <c r="BU11" s="35"/>
      <c r="BV11" s="35"/>
    </row>
    <row r="12" spans="1:74" s="13" customFormat="1">
      <c r="A12" s="47"/>
      <c r="B12" s="48" t="s">
        <v>89</v>
      </c>
      <c r="C12" s="47"/>
      <c r="D12" s="47"/>
      <c r="E12" s="47">
        <f t="shared" ref="E12:BP12" si="14">E7-E10</f>
        <v>14</v>
      </c>
      <c r="F12" s="47">
        <f t="shared" si="14"/>
        <v>67</v>
      </c>
      <c r="G12" s="47">
        <f t="shared" si="14"/>
        <v>-10</v>
      </c>
      <c r="H12" s="47">
        <f t="shared" si="14"/>
        <v>0</v>
      </c>
      <c r="I12" s="47">
        <f t="shared" si="14"/>
        <v>130</v>
      </c>
      <c r="J12" s="47">
        <f t="shared" si="14"/>
        <v>130</v>
      </c>
      <c r="K12" s="47">
        <f t="shared" si="14"/>
        <v>102</v>
      </c>
      <c r="L12" s="47">
        <f t="shared" si="14"/>
        <v>86</v>
      </c>
      <c r="M12" s="47">
        <f t="shared" si="14"/>
        <v>83</v>
      </c>
      <c r="N12" s="47">
        <f t="shared" si="14"/>
        <v>153</v>
      </c>
      <c r="O12" s="47">
        <f t="shared" si="14"/>
        <v>77</v>
      </c>
      <c r="P12" s="47">
        <f t="shared" si="14"/>
        <v>258</v>
      </c>
      <c r="Q12" s="47">
        <f t="shared" si="14"/>
        <v>92</v>
      </c>
      <c r="R12" s="47">
        <f t="shared" si="14"/>
        <v>30</v>
      </c>
      <c r="S12" s="47">
        <f t="shared" si="14"/>
        <v>318</v>
      </c>
      <c r="T12" s="47">
        <f t="shared" si="14"/>
        <v>109</v>
      </c>
      <c r="U12" s="47">
        <f t="shared" si="14"/>
        <v>31</v>
      </c>
      <c r="V12" s="47">
        <f t="shared" si="14"/>
        <v>229</v>
      </c>
      <c r="W12" s="47">
        <f t="shared" si="14"/>
        <v>95</v>
      </c>
      <c r="X12" s="47">
        <f t="shared" si="14"/>
        <v>20</v>
      </c>
      <c r="Y12" s="47">
        <f t="shared" si="14"/>
        <v>223</v>
      </c>
      <c r="Z12" s="47">
        <f t="shared" si="14"/>
        <v>103</v>
      </c>
      <c r="AA12" s="47">
        <f t="shared" si="14"/>
        <v>13</v>
      </c>
      <c r="AB12" s="47">
        <f t="shared" si="14"/>
        <v>305</v>
      </c>
      <c r="AC12" s="47">
        <f t="shared" si="14"/>
        <v>87</v>
      </c>
      <c r="AD12" s="47">
        <f t="shared" si="14"/>
        <v>8</v>
      </c>
      <c r="AE12" s="47">
        <f t="shared" si="14"/>
        <v>28</v>
      </c>
      <c r="AF12" s="47">
        <f t="shared" si="14"/>
        <v>3</v>
      </c>
      <c r="AG12" s="47">
        <f t="shared" si="14"/>
        <v>3</v>
      </c>
      <c r="AH12" s="47">
        <f t="shared" si="14"/>
        <v>0</v>
      </c>
      <c r="AI12" s="47">
        <f t="shared" si="14"/>
        <v>0</v>
      </c>
      <c r="AJ12" s="47">
        <f t="shared" si="14"/>
        <v>0</v>
      </c>
      <c r="AK12" s="47">
        <f t="shared" si="14"/>
        <v>23</v>
      </c>
      <c r="AL12" s="47">
        <f t="shared" si="14"/>
        <v>33</v>
      </c>
      <c r="AM12" s="47">
        <f t="shared" si="14"/>
        <v>0</v>
      </c>
      <c r="AN12" s="47">
        <f t="shared" si="14"/>
        <v>7</v>
      </c>
      <c r="AO12" s="47">
        <f t="shared" si="14"/>
        <v>2</v>
      </c>
      <c r="AP12" s="47">
        <f t="shared" si="14"/>
        <v>6</v>
      </c>
      <c r="AQ12" s="47">
        <f t="shared" si="14"/>
        <v>66</v>
      </c>
      <c r="AR12" s="47">
        <f t="shared" si="14"/>
        <v>25</v>
      </c>
      <c r="AS12" s="47">
        <f t="shared" si="14"/>
        <v>46</v>
      </c>
      <c r="AT12" s="47">
        <f t="shared" si="14"/>
        <v>40</v>
      </c>
      <c r="AU12" s="47">
        <f t="shared" si="14"/>
        <v>31</v>
      </c>
      <c r="AV12" s="47">
        <f t="shared" si="14"/>
        <v>136</v>
      </c>
      <c r="AW12" s="47">
        <f t="shared" si="14"/>
        <v>34</v>
      </c>
      <c r="AX12" s="47">
        <f t="shared" si="14"/>
        <v>58</v>
      </c>
      <c r="AY12" s="47">
        <f t="shared" si="14"/>
        <v>0</v>
      </c>
      <c r="AZ12" s="47">
        <f t="shared" si="14"/>
        <v>6</v>
      </c>
      <c r="BA12" s="47">
        <f t="shared" si="14"/>
        <v>15</v>
      </c>
      <c r="BB12" s="47">
        <f t="shared" si="14"/>
        <v>14</v>
      </c>
      <c r="BC12" s="47">
        <f t="shared" si="14"/>
        <v>3</v>
      </c>
      <c r="BD12" s="47">
        <f t="shared" si="14"/>
        <v>2</v>
      </c>
      <c r="BE12" s="47">
        <f t="shared" si="14"/>
        <v>255</v>
      </c>
      <c r="BF12" s="47">
        <f t="shared" si="14"/>
        <v>396</v>
      </c>
      <c r="BG12" s="47">
        <f t="shared" si="14"/>
        <v>312</v>
      </c>
      <c r="BH12" s="47">
        <f t="shared" si="14"/>
        <v>330</v>
      </c>
      <c r="BI12" s="47">
        <f t="shared" si="14"/>
        <v>162</v>
      </c>
      <c r="BJ12" s="47">
        <f t="shared" si="14"/>
        <v>195</v>
      </c>
      <c r="BK12" s="47">
        <f t="shared" si="14"/>
        <v>131</v>
      </c>
      <c r="BL12" s="47">
        <f t="shared" si="14"/>
        <v>127</v>
      </c>
      <c r="BM12" s="47">
        <f t="shared" si="14"/>
        <v>241</v>
      </c>
      <c r="BN12" s="47">
        <f t="shared" si="14"/>
        <v>101</v>
      </c>
      <c r="BO12" s="47">
        <f t="shared" si="14"/>
        <v>3</v>
      </c>
      <c r="BP12" s="47">
        <f t="shared" si="14"/>
        <v>73</v>
      </c>
      <c r="BQ12" s="47"/>
      <c r="BR12" s="47"/>
      <c r="BS12" s="34"/>
      <c r="BT12" s="34"/>
      <c r="BU12" s="46"/>
      <c r="BV12" s="46"/>
    </row>
    <row r="13" spans="1:74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49" t="s">
        <v>103</v>
      </c>
      <c r="AR13" s="49" t="s">
        <v>106</v>
      </c>
      <c r="AS13" s="49" t="s">
        <v>107</v>
      </c>
      <c r="AT13" s="49" t="s">
        <v>104</v>
      </c>
      <c r="AU13" s="49" t="s">
        <v>105</v>
      </c>
      <c r="AV13" s="49" t="s">
        <v>102</v>
      </c>
      <c r="AW13" s="49" t="s">
        <v>108</v>
      </c>
      <c r="AX13" s="49" t="s">
        <v>109</v>
      </c>
      <c r="AY13" s="49" t="s">
        <v>110</v>
      </c>
      <c r="AZ13" s="49" t="s">
        <v>111</v>
      </c>
      <c r="BA13" s="49" t="s">
        <v>112</v>
      </c>
      <c r="BB13" s="49" t="s">
        <v>113</v>
      </c>
      <c r="BC13" s="49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50"/>
      <c r="BT13" s="50"/>
      <c r="BU13" s="35"/>
      <c r="BV13" s="35"/>
    </row>
  </sheetData>
  <autoFilter ref="A1:BV13">
    <sortState ref="A14:BV117">
      <sortCondition ref="BS2:BS117"/>
      <sortCondition ref="BR2:BR117"/>
    </sortState>
  </autoFilter>
  <phoneticPr fontId="1" type="noConversion"/>
  <conditionalFormatting sqref="E9:BC9 BE9:BP9">
    <cfRule type="expression" dxfId="7" priority="6">
      <formula>"&lt;=$E$135"</formula>
    </cfRule>
  </conditionalFormatting>
  <conditionalFormatting sqref="E11:BC12 BE11:BP12">
    <cfRule type="cellIs" dxfId="6" priority="4" operator="lessThan">
      <formula>0</formula>
    </cfRule>
  </conditionalFormatting>
  <conditionalFormatting sqref="E8:BC8 BE8:BP8">
    <cfRule type="cellIs" dxfId="5" priority="5" operator="lessThan">
      <formula>0</formula>
    </cfRule>
  </conditionalFormatting>
  <conditionalFormatting sqref="BD9">
    <cfRule type="expression" dxfId="4" priority="3">
      <formula>"&lt;=$E$135"</formula>
    </cfRule>
  </conditionalFormatting>
  <conditionalFormatting sqref="BD11:BD12">
    <cfRule type="cellIs" dxfId="3" priority="1" operator="lessThan">
      <formula>0</formula>
    </cfRule>
  </conditionalFormatting>
  <conditionalFormatting sqref="BD8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</xdr:row>
                    <xdr:rowOff>28575</xdr:rowOff>
                  </from>
                  <to>
                    <xdr:col>1</xdr:col>
                    <xdr:colOff>428625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57</v>
      </c>
      <c r="B1" s="5" t="s">
        <v>54</v>
      </c>
      <c r="C1" s="5" t="s">
        <v>58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36</v>
      </c>
      <c r="C3" s="1">
        <v>120</v>
      </c>
    </row>
    <row r="4" spans="1:3">
      <c r="A4" s="1">
        <v>4</v>
      </c>
      <c r="B4" s="4" t="s">
        <v>37</v>
      </c>
      <c r="C4" s="1">
        <v>85</v>
      </c>
    </row>
    <row r="5" spans="1:3">
      <c r="A5" s="1">
        <v>3</v>
      </c>
      <c r="B5" s="4" t="s">
        <v>31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22</v>
      </c>
      <c r="C10" s="1">
        <v>45</v>
      </c>
    </row>
    <row r="11" spans="1:3">
      <c r="A11" s="1">
        <v>5</v>
      </c>
      <c r="B11" s="4" t="s">
        <v>41</v>
      </c>
      <c r="C11" s="1">
        <v>45</v>
      </c>
    </row>
    <row r="12" spans="1:3">
      <c r="A12" s="1">
        <v>11</v>
      </c>
      <c r="B12" s="2" t="s">
        <v>32</v>
      </c>
      <c r="C12" s="1">
        <v>10</v>
      </c>
    </row>
    <row r="13" spans="1:3">
      <c r="A13" s="1">
        <v>6</v>
      </c>
      <c r="B13" s="4" t="s">
        <v>43</v>
      </c>
      <c r="C13" s="1">
        <v>8</v>
      </c>
    </row>
    <row r="19" spans="3:18">
      <c r="G19" s="10" t="s">
        <v>31</v>
      </c>
      <c r="H19" s="10" t="s">
        <v>3</v>
      </c>
      <c r="I19" s="10" t="s">
        <v>22</v>
      </c>
      <c r="J19" s="10" t="s">
        <v>41</v>
      </c>
      <c r="K19" s="10" t="s">
        <v>43</v>
      </c>
      <c r="L19" s="10" t="s">
        <v>37</v>
      </c>
      <c r="M19" s="11" t="s">
        <v>4</v>
      </c>
      <c r="N19" s="11" t="s">
        <v>5</v>
      </c>
      <c r="O19" s="11" t="s">
        <v>32</v>
      </c>
      <c r="P19" s="11" t="s">
        <v>6</v>
      </c>
      <c r="Q19" s="11" t="s">
        <v>36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90</v>
      </c>
      <c r="D27" t="s">
        <v>91</v>
      </c>
      <c r="E27" t="s">
        <v>92</v>
      </c>
      <c r="F27" t="s">
        <v>93</v>
      </c>
      <c r="G27" t="s">
        <v>94</v>
      </c>
      <c r="H27" t="s">
        <v>95</v>
      </c>
      <c r="I27" t="s">
        <v>96</v>
      </c>
      <c r="J27" t="s">
        <v>97</v>
      </c>
      <c r="K27" t="s">
        <v>98</v>
      </c>
      <c r="L27" t="s">
        <v>99</v>
      </c>
      <c r="M27" t="s">
        <v>100</v>
      </c>
      <c r="N27" t="s">
        <v>101</v>
      </c>
    </row>
    <row r="31" spans="3:18">
      <c r="C31">
        <v>-3</v>
      </c>
      <c r="D31" t="s">
        <v>90</v>
      </c>
    </row>
    <row r="32" spans="3:18">
      <c r="C32">
        <v>-8</v>
      </c>
      <c r="D32" t="s">
        <v>91</v>
      </c>
    </row>
    <row r="33" spans="3:4">
      <c r="C33">
        <v>-3</v>
      </c>
      <c r="D33" t="s">
        <v>92</v>
      </c>
    </row>
    <row r="34" spans="3:4">
      <c r="C34">
        <v>1</v>
      </c>
      <c r="D34" t="s">
        <v>93</v>
      </c>
    </row>
    <row r="35" spans="3:4">
      <c r="C35">
        <v>3</v>
      </c>
      <c r="D35" t="s">
        <v>94</v>
      </c>
    </row>
    <row r="36" spans="3:4">
      <c r="C36">
        <v>0</v>
      </c>
      <c r="D36" t="s">
        <v>95</v>
      </c>
    </row>
    <row r="37" spans="3:4">
      <c r="C37">
        <v>-3</v>
      </c>
      <c r="D37" t="s">
        <v>96</v>
      </c>
    </row>
    <row r="38" spans="3:4">
      <c r="C38">
        <v>30</v>
      </c>
      <c r="D38" t="s">
        <v>97</v>
      </c>
    </row>
    <row r="39" spans="3:4">
      <c r="C39">
        <v>5</v>
      </c>
      <c r="D39" t="s">
        <v>98</v>
      </c>
    </row>
    <row r="40" spans="3:4">
      <c r="C40">
        <v>-10</v>
      </c>
      <c r="D40" t="s">
        <v>99</v>
      </c>
    </row>
    <row r="41" spans="3:4">
      <c r="C41">
        <v>3</v>
      </c>
      <c r="D41" t="s">
        <v>100</v>
      </c>
    </row>
    <row r="42" spans="3:4">
      <c r="C42">
        <v>138</v>
      </c>
      <c r="D42" t="s">
        <v>101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63</v>
      </c>
      <c r="B1" s="8" t="s">
        <v>64</v>
      </c>
      <c r="C1" s="8" t="s">
        <v>65</v>
      </c>
    </row>
    <row r="2" spans="1:3">
      <c r="A2" s="1">
        <v>5</v>
      </c>
      <c r="B2" s="10" t="s">
        <v>43</v>
      </c>
      <c r="C2" s="1">
        <v>0</v>
      </c>
    </row>
    <row r="3" spans="1:3">
      <c r="A3" s="1">
        <v>9</v>
      </c>
      <c r="B3" s="11" t="s">
        <v>32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41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31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22</v>
      </c>
      <c r="C11" s="1">
        <v>5</v>
      </c>
    </row>
    <row r="12" spans="1:3">
      <c r="A12" s="1">
        <v>11</v>
      </c>
      <c r="B12" s="11" t="s">
        <v>36</v>
      </c>
      <c r="C12" s="1">
        <v>5</v>
      </c>
    </row>
    <row r="13" spans="1:3">
      <c r="A13" s="1">
        <v>6</v>
      </c>
      <c r="B13" s="10" t="s">
        <v>37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56"/>
  <sheetViews>
    <sheetView topLeftCell="A39" workbookViewId="0">
      <selection activeCell="D54" sqref="D54"/>
    </sheetView>
  </sheetViews>
  <sheetFormatPr defaultRowHeight="13.5"/>
  <cols>
    <col min="2" max="2" width="9" bestFit="1" customWidth="1"/>
    <col min="4" max="4" width="17.25" bestFit="1" customWidth="1"/>
  </cols>
  <sheetData>
    <row r="40" spans="2:14" ht="27">
      <c r="B40" s="16" t="s">
        <v>54</v>
      </c>
      <c r="C40" s="36" t="s">
        <v>31</v>
      </c>
      <c r="D40" s="36" t="s">
        <v>3</v>
      </c>
      <c r="E40" s="36" t="s">
        <v>22</v>
      </c>
      <c r="F40" s="36" t="s">
        <v>41</v>
      </c>
      <c r="G40" s="36" t="s">
        <v>43</v>
      </c>
      <c r="H40" s="36" t="s">
        <v>37</v>
      </c>
      <c r="I40" s="37" t="s">
        <v>4</v>
      </c>
      <c r="J40" s="37" t="s">
        <v>5</v>
      </c>
      <c r="K40" s="37" t="s">
        <v>32</v>
      </c>
      <c r="L40" s="37" t="s">
        <v>6</v>
      </c>
      <c r="M40" s="37" t="s">
        <v>36</v>
      </c>
      <c r="N40" s="37" t="s">
        <v>9</v>
      </c>
    </row>
    <row r="41" spans="2:14">
      <c r="B41" s="1" t="s">
        <v>44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59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66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86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87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88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89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  <row r="54" spans="3:5" s="56" customFormat="1">
      <c r="C54" s="56" t="s">
        <v>130</v>
      </c>
      <c r="D54" s="56">
        <v>500000</v>
      </c>
      <c r="E54" s="56">
        <v>870000</v>
      </c>
    </row>
    <row r="56" spans="3:5">
      <c r="D56" s="54">
        <f>SUM(D53:H54)</f>
        <v>1370000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2020-12-25T05:40:26Z</dcterms:modified>
</cp:coreProperties>
</file>