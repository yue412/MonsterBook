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Sheet1!$A$1:$BP$157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57" i="1" l="1"/>
  <c r="AD159" i="1" s="1"/>
  <c r="BP156" i="1" l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S156" i="1"/>
  <c r="P157" i="1"/>
  <c r="P159" i="1" s="1"/>
  <c r="Q157" i="1"/>
  <c r="Q159" i="1" s="1"/>
  <c r="R157" i="1"/>
  <c r="R159" i="1" s="1"/>
  <c r="S157" i="1"/>
  <c r="S159" i="1" s="1"/>
  <c r="T157" i="1"/>
  <c r="T159" i="1" s="1"/>
  <c r="U157" i="1"/>
  <c r="U159" i="1" s="1"/>
  <c r="V157" i="1"/>
  <c r="V159" i="1" s="1"/>
  <c r="W157" i="1"/>
  <c r="W159" i="1" s="1"/>
  <c r="X157" i="1"/>
  <c r="X159" i="1" s="1"/>
  <c r="Y157" i="1"/>
  <c r="Y159" i="1" s="1"/>
  <c r="Z157" i="1"/>
  <c r="Z159" i="1" s="1"/>
  <c r="AA157" i="1"/>
  <c r="AA159" i="1" s="1"/>
  <c r="AB157" i="1"/>
  <c r="AB159" i="1" s="1"/>
  <c r="AC157" i="1"/>
  <c r="AC159" i="1" s="1"/>
  <c r="CF156" i="1" l="1"/>
  <c r="CM156" i="1" s="1"/>
  <c r="AO157" i="1"/>
  <c r="AO159" i="1" s="1"/>
  <c r="AP157" i="1"/>
  <c r="AP159" i="1" s="1"/>
  <c r="BC157" i="1"/>
  <c r="BC159" i="1" s="1"/>
  <c r="CO156" i="1" l="1"/>
  <c r="CK156" i="1"/>
  <c r="CI156" i="1"/>
  <c r="CN156" i="1"/>
  <c r="CP156" i="1"/>
  <c r="CJ156" i="1"/>
  <c r="CL156" i="1"/>
  <c r="CG156" i="1"/>
  <c r="CQ156" i="1"/>
  <c r="CH156" i="1"/>
  <c r="CR156" i="1"/>
  <c r="CS3" i="1"/>
  <c r="CS4" i="1"/>
  <c r="CS5" i="1"/>
  <c r="CS60" i="1"/>
  <c r="CS6" i="1"/>
  <c r="CS7" i="1"/>
  <c r="CS8" i="1"/>
  <c r="CS46" i="1"/>
  <c r="CS102" i="1"/>
  <c r="CS40" i="1"/>
  <c r="CS62" i="1"/>
  <c r="CS63" i="1"/>
  <c r="CS64" i="1"/>
  <c r="CS65" i="1"/>
  <c r="CS66" i="1"/>
  <c r="CS67" i="1"/>
  <c r="CS68" i="1"/>
  <c r="CS59" i="1"/>
  <c r="CS100" i="1"/>
  <c r="CS12" i="1"/>
  <c r="CS14" i="1"/>
  <c r="CS15" i="1"/>
  <c r="CS51" i="1"/>
  <c r="CS41" i="1"/>
  <c r="CS39" i="1"/>
  <c r="CS108" i="1"/>
  <c r="CS73" i="1"/>
  <c r="CS58" i="1"/>
  <c r="CS75" i="1"/>
  <c r="CS77" i="1"/>
  <c r="CS80" i="1"/>
  <c r="CS81" i="1"/>
  <c r="CS9" i="1"/>
  <c r="CS57" i="1"/>
  <c r="CS42" i="1"/>
  <c r="CS10" i="1"/>
  <c r="CS50" i="1"/>
  <c r="CS16" i="1"/>
  <c r="CS17" i="1"/>
  <c r="CS101" i="1"/>
  <c r="CS110" i="1"/>
  <c r="CS111" i="1"/>
  <c r="CS11" i="1"/>
  <c r="CS13" i="1"/>
  <c r="CS130" i="1"/>
  <c r="CS131" i="1"/>
  <c r="CS117" i="1"/>
  <c r="CS95" i="1"/>
  <c r="CS109" i="1"/>
  <c r="CS79" i="1"/>
  <c r="CS78" i="1"/>
  <c r="CS54" i="1"/>
  <c r="CS114" i="1"/>
  <c r="CS139" i="1"/>
  <c r="CS133" i="1"/>
  <c r="CS140" i="1"/>
  <c r="CS150" i="1"/>
  <c r="CS151" i="1"/>
  <c r="CS2" i="1"/>
  <c r="CS157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6" i="1"/>
  <c r="BU6" i="1"/>
  <c r="BV6" i="1"/>
  <c r="BW6" i="1"/>
  <c r="BX6" i="1"/>
  <c r="BY6" i="1"/>
  <c r="BZ6" i="1"/>
  <c r="CA6" i="1"/>
  <c r="CB6" i="1"/>
  <c r="CC6" i="1"/>
  <c r="CD6" i="1"/>
  <c r="CE6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BU2" i="1"/>
  <c r="BV2" i="1"/>
  <c r="BW2" i="1"/>
  <c r="BX2" i="1"/>
  <c r="BY2" i="1"/>
  <c r="BZ2" i="1"/>
  <c r="CA2" i="1"/>
  <c r="CB2" i="1"/>
  <c r="CC2" i="1"/>
  <c r="CD2" i="1"/>
  <c r="CE2" i="1"/>
  <c r="BT2" i="1"/>
  <c r="CF102" i="1" l="1"/>
  <c r="CR102" i="1" s="1"/>
  <c r="CF63" i="1"/>
  <c r="CR63" i="1" s="1"/>
  <c r="CF62" i="1"/>
  <c r="CN62" i="1" s="1"/>
  <c r="CF46" i="1"/>
  <c r="CH46" i="1" s="1"/>
  <c r="CA157" i="1"/>
  <c r="CC157" i="1"/>
  <c r="BX157" i="1"/>
  <c r="BZ157" i="1"/>
  <c r="BV157" i="1"/>
  <c r="BU157" i="1"/>
  <c r="CD157" i="1"/>
  <c r="BY157" i="1"/>
  <c r="CB157" i="1"/>
  <c r="CE157" i="1"/>
  <c r="CF54" i="1"/>
  <c r="CK54" i="1" s="1"/>
  <c r="CF100" i="1"/>
  <c r="CM100" i="1" s="1"/>
  <c r="CF80" i="1"/>
  <c r="CI80" i="1" s="1"/>
  <c r="CF16" i="1"/>
  <c r="CJ16" i="1" s="1"/>
  <c r="CF109" i="1"/>
  <c r="CG109" i="1" s="1"/>
  <c r="CF5" i="1"/>
  <c r="CN5" i="1" s="1"/>
  <c r="CF4" i="1"/>
  <c r="CN4" i="1" s="1"/>
  <c r="CF3" i="1"/>
  <c r="CN3" i="1" s="1"/>
  <c r="CF151" i="1"/>
  <c r="CG151" i="1" s="1"/>
  <c r="CF114" i="1"/>
  <c r="CK114" i="1" s="1"/>
  <c r="CF139" i="1"/>
  <c r="CK139" i="1" s="1"/>
  <c r="CF78" i="1"/>
  <c r="CR78" i="1" s="1"/>
  <c r="CF131" i="1"/>
  <c r="CJ131" i="1" s="1"/>
  <c r="CF50" i="1"/>
  <c r="CH50" i="1" s="1"/>
  <c r="CF11" i="1"/>
  <c r="CR11" i="1" s="1"/>
  <c r="CF12" i="1"/>
  <c r="CQ12" i="1" s="1"/>
  <c r="CF51" i="1"/>
  <c r="CR51" i="1" s="1"/>
  <c r="CF14" i="1"/>
  <c r="CH14" i="1" s="1"/>
  <c r="CF10" i="1"/>
  <c r="CN10" i="1" s="1"/>
  <c r="CF59" i="1"/>
  <c r="CH59" i="1" s="1"/>
  <c r="CF77" i="1"/>
  <c r="CL77" i="1" s="1"/>
  <c r="CF58" i="1"/>
  <c r="CH58" i="1" s="1"/>
  <c r="CF41" i="1"/>
  <c r="CO41" i="1" s="1"/>
  <c r="CF40" i="1"/>
  <c r="CO40" i="1" s="1"/>
  <c r="CF67" i="1"/>
  <c r="CH67" i="1" s="1"/>
  <c r="CF66" i="1"/>
  <c r="CP66" i="1" s="1"/>
  <c r="CF65" i="1"/>
  <c r="CN65" i="1" s="1"/>
  <c r="CF64" i="1"/>
  <c r="CR64" i="1" s="1"/>
  <c r="CF42" i="1"/>
  <c r="CG42" i="1" s="1"/>
  <c r="CF60" i="1"/>
  <c r="CQ60" i="1" s="1"/>
  <c r="CF6" i="1"/>
  <c r="CL6" i="1" s="1"/>
  <c r="CF17" i="1"/>
  <c r="CJ17" i="1" s="1"/>
  <c r="CF8" i="1"/>
  <c r="CN8" i="1" s="1"/>
  <c r="CF7" i="1"/>
  <c r="CI7" i="1" s="1"/>
  <c r="CF150" i="1"/>
  <c r="CR150" i="1" s="1"/>
  <c r="CF108" i="1"/>
  <c r="CJ108" i="1" s="1"/>
  <c r="CF140" i="1"/>
  <c r="CO140" i="1" s="1"/>
  <c r="CF79" i="1"/>
  <c r="CN79" i="1" s="1"/>
  <c r="CF130" i="1"/>
  <c r="CR130" i="1" s="1"/>
  <c r="CF9" i="1"/>
  <c r="CP9" i="1" s="1"/>
  <c r="CF13" i="1"/>
  <c r="CR13" i="1" s="1"/>
  <c r="CF73" i="1"/>
  <c r="CH73" i="1" s="1"/>
  <c r="CF15" i="1"/>
  <c r="CK15" i="1" s="1"/>
  <c r="CF111" i="1"/>
  <c r="CN111" i="1" s="1"/>
  <c r="CF110" i="1"/>
  <c r="CL110" i="1" s="1"/>
  <c r="CF117" i="1"/>
  <c r="CN117" i="1" s="1"/>
  <c r="CF101" i="1"/>
  <c r="CI101" i="1" s="1"/>
  <c r="CF57" i="1"/>
  <c r="CH57" i="1" s="1"/>
  <c r="CF81" i="1"/>
  <c r="CO81" i="1" s="1"/>
  <c r="CF75" i="1"/>
  <c r="CM75" i="1" s="1"/>
  <c r="CF39" i="1"/>
  <c r="CR39" i="1" s="1"/>
  <c r="CF68" i="1"/>
  <c r="CM68" i="1" s="1"/>
  <c r="CF2" i="1"/>
  <c r="CH2" i="1" s="1"/>
  <c r="CF95" i="1"/>
  <c r="CK95" i="1" s="1"/>
  <c r="CF133" i="1"/>
  <c r="CG133" i="1" s="1"/>
  <c r="BW157" i="1"/>
  <c r="BT157" i="1"/>
  <c r="BP51" i="1"/>
  <c r="BP9" i="1"/>
  <c r="BP11" i="1"/>
  <c r="BP140" i="1"/>
  <c r="BP3" i="1"/>
  <c r="BP62" i="1"/>
  <c r="BP63" i="1"/>
  <c r="BP64" i="1"/>
  <c r="BP101" i="1"/>
  <c r="BP117" i="1"/>
  <c r="BP151" i="1"/>
  <c r="BP57" i="1"/>
  <c r="BP110" i="1"/>
  <c r="BP130" i="1"/>
  <c r="BP65" i="1"/>
  <c r="BP66" i="1"/>
  <c r="BP73" i="1"/>
  <c r="BP4" i="1"/>
  <c r="BP46" i="1"/>
  <c r="BP100" i="1"/>
  <c r="BP7" i="1"/>
  <c r="BP59" i="1"/>
  <c r="BP60" i="1"/>
  <c r="BP139" i="1"/>
  <c r="BP5" i="1"/>
  <c r="BP75" i="1"/>
  <c r="BP67" i="1"/>
  <c r="BP77" i="1"/>
  <c r="BP79" i="1"/>
  <c r="BP54" i="1"/>
  <c r="BP50" i="1"/>
  <c r="BP13" i="1"/>
  <c r="BP95" i="1"/>
  <c r="BP133" i="1"/>
  <c r="BP10" i="1"/>
  <c r="BP12" i="1"/>
  <c r="BP8" i="1"/>
  <c r="BP42" i="1"/>
  <c r="BP150" i="1"/>
  <c r="BP111" i="1"/>
  <c r="BP131" i="1"/>
  <c r="BP68" i="1"/>
  <c r="BP40" i="1"/>
  <c r="BP41" i="1"/>
  <c r="BP78" i="1"/>
  <c r="BP16" i="1"/>
  <c r="BP109" i="1"/>
  <c r="BP17" i="1"/>
  <c r="BP39" i="1"/>
  <c r="BP80" i="1"/>
  <c r="BP81" i="1"/>
  <c r="J157" i="1"/>
  <c r="J159" i="1" s="1"/>
  <c r="K157" i="1"/>
  <c r="K159" i="1" s="1"/>
  <c r="L157" i="1"/>
  <c r="L159" i="1" s="1"/>
  <c r="M157" i="1"/>
  <c r="M159" i="1" s="1"/>
  <c r="N157" i="1"/>
  <c r="N159" i="1" s="1"/>
  <c r="O157" i="1"/>
  <c r="O159" i="1" s="1"/>
  <c r="AE157" i="1"/>
  <c r="AE159" i="1" s="1"/>
  <c r="AF157" i="1"/>
  <c r="AF159" i="1" s="1"/>
  <c r="AG157" i="1"/>
  <c r="AG159" i="1" s="1"/>
  <c r="AH157" i="1"/>
  <c r="AH159" i="1" s="1"/>
  <c r="AI157" i="1"/>
  <c r="AI159" i="1" s="1"/>
  <c r="AJ157" i="1"/>
  <c r="AJ159" i="1" s="1"/>
  <c r="AK157" i="1"/>
  <c r="AK159" i="1" s="1"/>
  <c r="AL157" i="1"/>
  <c r="AL159" i="1" s="1"/>
  <c r="AM157" i="1"/>
  <c r="AM159" i="1" s="1"/>
  <c r="AN157" i="1"/>
  <c r="AN159" i="1" s="1"/>
  <c r="AR157" i="1"/>
  <c r="AR159" i="1" s="1"/>
  <c r="AS157" i="1"/>
  <c r="AS159" i="1" s="1"/>
  <c r="AQ157" i="1"/>
  <c r="AQ159" i="1" s="1"/>
  <c r="AV157" i="1"/>
  <c r="AV159" i="1" s="1"/>
  <c r="AT157" i="1"/>
  <c r="AT159" i="1" s="1"/>
  <c r="AU157" i="1"/>
  <c r="AU159" i="1" s="1"/>
  <c r="BP58" i="1"/>
  <c r="BP114" i="1"/>
  <c r="BP2" i="1"/>
  <c r="BP14" i="1"/>
  <c r="BP15" i="1"/>
  <c r="BP6" i="1"/>
  <c r="BP102" i="1"/>
  <c r="BP108" i="1"/>
  <c r="BF157" i="1"/>
  <c r="BF159" i="1" s="1"/>
  <c r="BG157" i="1"/>
  <c r="BG159" i="1" s="1"/>
  <c r="BE157" i="1"/>
  <c r="BE159" i="1" s="1"/>
  <c r="BD157" i="1"/>
  <c r="BD159" i="1" s="1"/>
  <c r="BH157" i="1"/>
  <c r="BH159" i="1" s="1"/>
  <c r="BI157" i="1"/>
  <c r="BI159" i="1" s="1"/>
  <c r="BJ157" i="1"/>
  <c r="BJ159" i="1" s="1"/>
  <c r="BK157" i="1"/>
  <c r="BK159" i="1" s="1"/>
  <c r="BL157" i="1"/>
  <c r="BL159" i="1" s="1"/>
  <c r="BM157" i="1"/>
  <c r="BM159" i="1" s="1"/>
  <c r="BN157" i="1"/>
  <c r="BN159" i="1" s="1"/>
  <c r="BO157" i="1"/>
  <c r="BO159" i="1" s="1"/>
  <c r="F157" i="1"/>
  <c r="F159" i="1" s="1"/>
  <c r="G157" i="1"/>
  <c r="G159" i="1" s="1"/>
  <c r="H157" i="1"/>
  <c r="H159" i="1" s="1"/>
  <c r="I157" i="1"/>
  <c r="I159" i="1" s="1"/>
  <c r="AW157" i="1"/>
  <c r="AW159" i="1" s="1"/>
  <c r="AX157" i="1"/>
  <c r="AX159" i="1" s="1"/>
  <c r="AZ157" i="1"/>
  <c r="AZ159" i="1" s="1"/>
  <c r="BB157" i="1"/>
  <c r="BB159" i="1" s="1"/>
  <c r="AY157" i="1"/>
  <c r="AY159" i="1" s="1"/>
  <c r="BA157" i="1"/>
  <c r="BA159" i="1" s="1"/>
  <c r="E157" i="1"/>
  <c r="E159" i="1" s="1"/>
  <c r="CO46" i="1" l="1"/>
  <c r="CN67" i="1"/>
  <c r="CH17" i="1"/>
  <c r="CK67" i="1"/>
  <c r="CP4" i="1"/>
  <c r="CP6" i="1"/>
  <c r="CJ51" i="1"/>
  <c r="CI100" i="1"/>
  <c r="CJ5" i="1"/>
  <c r="CQ7" i="1"/>
  <c r="CG46" i="1"/>
  <c r="CM17" i="1"/>
  <c r="CH100" i="1"/>
  <c r="CP100" i="1"/>
  <c r="CG100" i="1"/>
  <c r="CR100" i="1"/>
  <c r="CN12" i="1"/>
  <c r="CK100" i="1"/>
  <c r="CI54" i="1"/>
  <c r="CP54" i="1"/>
  <c r="CQ54" i="1"/>
  <c r="CH54" i="1"/>
  <c r="CL17" i="1"/>
  <c r="CO54" i="1"/>
  <c r="CQ17" i="1"/>
  <c r="CG54" i="1"/>
  <c r="CP40" i="1"/>
  <c r="CO13" i="1"/>
  <c r="CR110" i="1"/>
  <c r="CP67" i="1"/>
  <c r="CN7" i="1"/>
  <c r="CI17" i="1"/>
  <c r="CQ16" i="1"/>
  <c r="CJ4" i="1"/>
  <c r="CL4" i="1"/>
  <c r="CM54" i="1"/>
  <c r="CM110" i="1"/>
  <c r="CK64" i="1"/>
  <c r="CN78" i="1"/>
  <c r="CN16" i="1"/>
  <c r="CO78" i="1"/>
  <c r="CM16" i="1"/>
  <c r="CI16" i="1"/>
  <c r="CR16" i="1"/>
  <c r="CL59" i="1"/>
  <c r="CN2" i="1"/>
  <c r="CK16" i="1"/>
  <c r="CL114" i="1"/>
  <c r="CQ8" i="1"/>
  <c r="CI10" i="1"/>
  <c r="CQ114" i="1"/>
  <c r="CJ114" i="1"/>
  <c r="CH16" i="1"/>
  <c r="CP16" i="1"/>
  <c r="CH60" i="1"/>
  <c r="CG12" i="1"/>
  <c r="CG16" i="1"/>
  <c r="CO12" i="1"/>
  <c r="CR46" i="1"/>
  <c r="CO16" i="1"/>
  <c r="CL46" i="1"/>
  <c r="CR3" i="1"/>
  <c r="CL16" i="1"/>
  <c r="CI78" i="1"/>
  <c r="CO114" i="1"/>
  <c r="CQ78" i="1"/>
  <c r="CM64" i="1"/>
  <c r="CP60" i="1"/>
  <c r="CJ12" i="1"/>
  <c r="CR109" i="1"/>
  <c r="CQ109" i="1"/>
  <c r="CP109" i="1"/>
  <c r="CM41" i="1"/>
  <c r="CN109" i="1"/>
  <c r="CM109" i="1"/>
  <c r="CJ109" i="1"/>
  <c r="CJ80" i="1"/>
  <c r="CO109" i="1"/>
  <c r="CP75" i="1"/>
  <c r="CH109" i="1"/>
  <c r="CG75" i="1"/>
  <c r="CK109" i="1"/>
  <c r="CI109" i="1"/>
  <c r="CR17" i="1"/>
  <c r="CR77" i="1"/>
  <c r="CL131" i="1"/>
  <c r="CQ63" i="1"/>
  <c r="CQ131" i="1"/>
  <c r="CK77" i="1"/>
  <c r="CK108" i="1"/>
  <c r="CN63" i="1"/>
  <c r="CN13" i="1"/>
  <c r="CP63" i="1"/>
  <c r="CL108" i="1"/>
  <c r="CH63" i="1"/>
  <c r="CO108" i="1"/>
  <c r="CO63" i="1"/>
  <c r="CN131" i="1"/>
  <c r="CI108" i="1"/>
  <c r="CK63" i="1"/>
  <c r="CM131" i="1"/>
  <c r="CH108" i="1"/>
  <c r="CO131" i="1"/>
  <c r="CI131" i="1"/>
  <c r="CR108" i="1"/>
  <c r="CI63" i="1"/>
  <c r="CQ77" i="1"/>
  <c r="CH131" i="1"/>
  <c r="CQ108" i="1"/>
  <c r="CP77" i="1"/>
  <c r="CG131" i="1"/>
  <c r="CN108" i="1"/>
  <c r="CO6" i="1"/>
  <c r="CR2" i="1"/>
  <c r="CM117" i="1"/>
  <c r="CJ77" i="1"/>
  <c r="CM77" i="1"/>
  <c r="CR131" i="1"/>
  <c r="CI95" i="1"/>
  <c r="CJ63" i="1"/>
  <c r="CR7" i="1"/>
  <c r="CO17" i="1"/>
  <c r="CK150" i="1"/>
  <c r="CO60" i="1"/>
  <c r="CR12" i="1"/>
  <c r="CG67" i="1"/>
  <c r="CP41" i="1"/>
  <c r="CL78" i="1"/>
  <c r="CL7" i="1"/>
  <c r="CI40" i="1"/>
  <c r="CR101" i="1"/>
  <c r="CJ54" i="1"/>
  <c r="CL41" i="1"/>
  <c r="CM3" i="1"/>
  <c r="CJ100" i="1"/>
  <c r="CM2" i="1"/>
  <c r="CK140" i="1"/>
  <c r="CJ2" i="1"/>
  <c r="CM14" i="1"/>
  <c r="CP15" i="1"/>
  <c r="CQ130" i="1"/>
  <c r="CI3" i="1"/>
  <c r="CN100" i="1"/>
  <c r="CJ46" i="1"/>
  <c r="CI2" i="1"/>
  <c r="CM150" i="1"/>
  <c r="CP13" i="1"/>
  <c r="CL130" i="1"/>
  <c r="CG3" i="1"/>
  <c r="CM101" i="1"/>
  <c r="CG17" i="1"/>
  <c r="CM46" i="1"/>
  <c r="CN60" i="1"/>
  <c r="CK10" i="1"/>
  <c r="CM12" i="1"/>
  <c r="CQ67" i="1"/>
  <c r="CR54" i="1"/>
  <c r="CH78" i="1"/>
  <c r="CP51" i="1"/>
  <c r="CM7" i="1"/>
  <c r="CI133" i="1"/>
  <c r="CO100" i="1"/>
  <c r="CN14" i="1"/>
  <c r="CL133" i="1"/>
  <c r="CL60" i="1"/>
  <c r="CQ10" i="1"/>
  <c r="CO133" i="1"/>
  <c r="CL12" i="1"/>
  <c r="CM6" i="1"/>
  <c r="CO101" i="1"/>
  <c r="CI46" i="1"/>
  <c r="CG50" i="1"/>
  <c r="CH4" i="1"/>
  <c r="CG7" i="1"/>
  <c r="CR133" i="1"/>
  <c r="CL100" i="1"/>
  <c r="CK60" i="1"/>
  <c r="CO10" i="1"/>
  <c r="CK12" i="1"/>
  <c r="CG6" i="1"/>
  <c r="CL101" i="1"/>
  <c r="CQ46" i="1"/>
  <c r="CI67" i="1"/>
  <c r="CR50" i="1"/>
  <c r="CQ62" i="1"/>
  <c r="CN133" i="1"/>
  <c r="CH101" i="1"/>
  <c r="CI50" i="1"/>
  <c r="CK101" i="1"/>
  <c r="CO50" i="1"/>
  <c r="CO7" i="1"/>
  <c r="CP62" i="1"/>
  <c r="CM133" i="1"/>
  <c r="CN17" i="1"/>
  <c r="CN40" i="1"/>
  <c r="CN75" i="1"/>
  <c r="CL109" i="1"/>
  <c r="CK6" i="1"/>
  <c r="CR9" i="1"/>
  <c r="CL50" i="1"/>
  <c r="CM62" i="1"/>
  <c r="CJ133" i="1"/>
  <c r="CI75" i="1"/>
  <c r="CK9" i="1"/>
  <c r="CJ62" i="1"/>
  <c r="CQ140" i="1"/>
  <c r="CM58" i="1"/>
  <c r="CI62" i="1"/>
  <c r="CP140" i="1"/>
  <c r="CI58" i="1"/>
  <c r="CG62" i="1"/>
  <c r="CN140" i="1"/>
  <c r="CL62" i="1"/>
  <c r="CK133" i="1"/>
  <c r="CQ101" i="1"/>
  <c r="CJ140" i="1"/>
  <c r="CN50" i="1"/>
  <c r="CQ50" i="1"/>
  <c r="CK62" i="1"/>
  <c r="CN101" i="1"/>
  <c r="CG140" i="1"/>
  <c r="CP50" i="1"/>
  <c r="CJ50" i="1"/>
  <c r="CG101" i="1"/>
  <c r="CL140" i="1"/>
  <c r="CM50" i="1"/>
  <c r="CJ13" i="1"/>
  <c r="CQ4" i="1"/>
  <c r="CO3" i="1"/>
  <c r="CI139" i="1"/>
  <c r="CK7" i="1"/>
  <c r="CK17" i="1"/>
  <c r="CM40" i="1"/>
  <c r="CP10" i="1"/>
  <c r="CH75" i="1"/>
  <c r="CN151" i="1"/>
  <c r="CJ110" i="1"/>
  <c r="CM67" i="1"/>
  <c r="CN9" i="1"/>
  <c r="CL8" i="1"/>
  <c r="CQ14" i="1"/>
  <c r="CH13" i="1"/>
  <c r="CK130" i="1"/>
  <c r="CO64" i="1"/>
  <c r="CH7" i="1"/>
  <c r="CG150" i="1"/>
  <c r="CJ40" i="1"/>
  <c r="CG10" i="1"/>
  <c r="CQ75" i="1"/>
  <c r="CQ110" i="1"/>
  <c r="CJ67" i="1"/>
  <c r="CH9" i="1"/>
  <c r="CK8" i="1"/>
  <c r="CP14" i="1"/>
  <c r="CQ150" i="1"/>
  <c r="CJ102" i="1"/>
  <c r="CG13" i="1"/>
  <c r="CL64" i="1"/>
  <c r="CL150" i="1"/>
  <c r="CL2" i="1"/>
  <c r="CG40" i="1"/>
  <c r="CL10" i="1"/>
  <c r="CO75" i="1"/>
  <c r="CK110" i="1"/>
  <c r="CR67" i="1"/>
  <c r="CO9" i="1"/>
  <c r="CJ14" i="1"/>
  <c r="CN54" i="1"/>
  <c r="CP78" i="1"/>
  <c r="CI4" i="1"/>
  <c r="CQ3" i="1"/>
  <c r="CK65" i="1"/>
  <c r="CQ6" i="1"/>
  <c r="CL9" i="1"/>
  <c r="CI14" i="1"/>
  <c r="CJ3" i="1"/>
  <c r="CQ39" i="1"/>
  <c r="CG39" i="1"/>
  <c r="CJ75" i="1"/>
  <c r="CM13" i="1"/>
  <c r="CJ130" i="1"/>
  <c r="CL3" i="1"/>
  <c r="CQ64" i="1"/>
  <c r="CP7" i="1"/>
  <c r="CH80" i="1"/>
  <c r="CO150" i="1"/>
  <c r="CM60" i="1"/>
  <c r="CL40" i="1"/>
  <c r="CM10" i="1"/>
  <c r="CQ59" i="1"/>
  <c r="CM9" i="1"/>
  <c r="CP110" i="1"/>
  <c r="CK151" i="1"/>
  <c r="CN6" i="1"/>
  <c r="CO67" i="1"/>
  <c r="CJ9" i="1"/>
  <c r="CQ2" i="1"/>
  <c r="CG14" i="1"/>
  <c r="CP150" i="1"/>
  <c r="CL54" i="1"/>
  <c r="CG15" i="1"/>
  <c r="CL13" i="1"/>
  <c r="CP130" i="1"/>
  <c r="CM4" i="1"/>
  <c r="CK3" i="1"/>
  <c r="CJ64" i="1"/>
  <c r="CM39" i="1"/>
  <c r="CJ7" i="1"/>
  <c r="CO80" i="1"/>
  <c r="CQ100" i="1"/>
  <c r="CP17" i="1"/>
  <c r="CP2" i="1"/>
  <c r="CI60" i="1"/>
  <c r="CK40" i="1"/>
  <c r="CJ10" i="1"/>
  <c r="CM59" i="1"/>
  <c r="CN110" i="1"/>
  <c r="CJ6" i="1"/>
  <c r="CL67" i="1"/>
  <c r="CI9" i="1"/>
  <c r="CO2" i="1"/>
  <c r="CO14" i="1"/>
  <c r="CN150" i="1"/>
  <c r="CR15" i="1"/>
  <c r="CK13" i="1"/>
  <c r="CM130" i="1"/>
  <c r="CR4" i="1"/>
  <c r="CH3" i="1"/>
  <c r="CN64" i="1"/>
  <c r="CJ39" i="1"/>
  <c r="CH10" i="1"/>
  <c r="CR10" i="1"/>
  <c r="CI110" i="1"/>
  <c r="CR6" i="1"/>
  <c r="CQ9" i="1"/>
  <c r="CJ150" i="1"/>
  <c r="CI13" i="1"/>
  <c r="CJ78" i="1"/>
  <c r="CN130" i="1"/>
  <c r="CK4" i="1"/>
  <c r="CP3" i="1"/>
  <c r="CI64" i="1"/>
  <c r="CO39" i="1"/>
  <c r="CH110" i="1"/>
  <c r="CG9" i="1"/>
  <c r="CQ13" i="1"/>
  <c r="CO130" i="1"/>
  <c r="CP64" i="1"/>
  <c r="CL39" i="1"/>
  <c r="CK39" i="1"/>
  <c r="CP39" i="1"/>
  <c r="CG2" i="1"/>
  <c r="CI150" i="1"/>
  <c r="CK78" i="1"/>
  <c r="CI130" i="1"/>
  <c r="CI39" i="1"/>
  <c r="CR57" i="1"/>
  <c r="CR79" i="1"/>
  <c r="CO57" i="1"/>
  <c r="CO79" i="1"/>
  <c r="CL57" i="1"/>
  <c r="CL79" i="1"/>
  <c r="CI42" i="1"/>
  <c r="CK79" i="1"/>
  <c r="CH42" i="1"/>
  <c r="CQ11" i="1"/>
  <c r="CP42" i="1"/>
  <c r="CM11" i="1"/>
  <c r="CH79" i="1"/>
  <c r="CR42" i="1"/>
  <c r="CJ11" i="1"/>
  <c r="CM42" i="1"/>
  <c r="CM8" i="1"/>
  <c r="CO42" i="1"/>
  <c r="CH11" i="1"/>
  <c r="CP57" i="1"/>
  <c r="CQ81" i="1"/>
  <c r="CJ8" i="1"/>
  <c r="CL42" i="1"/>
  <c r="CP11" i="1"/>
  <c r="CM57" i="1"/>
  <c r="CJ81" i="1"/>
  <c r="CM81" i="1"/>
  <c r="CG8" i="1"/>
  <c r="CK42" i="1"/>
  <c r="CI117" i="1"/>
  <c r="CO95" i="1"/>
  <c r="CI11" i="1"/>
  <c r="CJ57" i="1"/>
  <c r="CQ79" i="1"/>
  <c r="CN42" i="1"/>
  <c r="CR8" i="1"/>
  <c r="CM65" i="1"/>
  <c r="CO11" i="1"/>
  <c r="CI57" i="1"/>
  <c r="CP79" i="1"/>
  <c r="CO8" i="1"/>
  <c r="CH117" i="1"/>
  <c r="CL63" i="1"/>
  <c r="CL65" i="1"/>
  <c r="CP58" i="1"/>
  <c r="CL11" i="1"/>
  <c r="CG57" i="1"/>
  <c r="CJ79" i="1"/>
  <c r="CK11" i="1"/>
  <c r="CJ73" i="1"/>
  <c r="CO102" i="1"/>
  <c r="CL80" i="1"/>
  <c r="CR73" i="1"/>
  <c r="CK59" i="1"/>
  <c r="CI81" i="1"/>
  <c r="CP114" i="1"/>
  <c r="CK41" i="1"/>
  <c r="CL102" i="1"/>
  <c r="CI15" i="1"/>
  <c r="CI5" i="1"/>
  <c r="CJ65" i="1"/>
  <c r="CO51" i="1"/>
  <c r="CK80" i="1"/>
  <c r="CO73" i="1"/>
  <c r="CG114" i="1"/>
  <c r="CG81" i="1"/>
  <c r="CN114" i="1"/>
  <c r="CK102" i="1"/>
  <c r="CJ15" i="1"/>
  <c r="CR5" i="1"/>
  <c r="CH65" i="1"/>
  <c r="CL51" i="1"/>
  <c r="CQ80" i="1"/>
  <c r="CL73" i="1"/>
  <c r="CL81" i="1"/>
  <c r="CM114" i="1"/>
  <c r="CQ15" i="1"/>
  <c r="CL5" i="1"/>
  <c r="CI65" i="1"/>
  <c r="CK51" i="1"/>
  <c r="CK73" i="1"/>
  <c r="CI151" i="1"/>
  <c r="CK81" i="1"/>
  <c r="CN15" i="1"/>
  <c r="CK5" i="1"/>
  <c r="CG65" i="1"/>
  <c r="CJ59" i="1"/>
  <c r="CH151" i="1"/>
  <c r="CM73" i="1"/>
  <c r="CM15" i="1"/>
  <c r="CH5" i="1"/>
  <c r="CR95" i="1"/>
  <c r="CR65" i="1"/>
  <c r="CM80" i="1"/>
  <c r="CI59" i="1"/>
  <c r="CR151" i="1"/>
  <c r="CN59" i="1"/>
  <c r="CQ41" i="1"/>
  <c r="CQ102" i="1"/>
  <c r="CH15" i="1"/>
  <c r="CO65" i="1"/>
  <c r="CN39" i="1"/>
  <c r="CP80" i="1"/>
  <c r="CQ151" i="1"/>
  <c r="CM102" i="1"/>
  <c r="CQ51" i="1"/>
  <c r="CN80" i="1"/>
  <c r="CG59" i="1"/>
  <c r="CI114" i="1"/>
  <c r="CP59" i="1"/>
  <c r="CO151" i="1"/>
  <c r="CJ41" i="1"/>
  <c r="CH102" i="1"/>
  <c r="CO15" i="1"/>
  <c r="CQ5" i="1"/>
  <c r="CP65" i="1"/>
  <c r="CJ66" i="1"/>
  <c r="CH39" i="1"/>
  <c r="CN51" i="1"/>
  <c r="CG80" i="1"/>
  <c r="CQ73" i="1"/>
  <c r="CR59" i="1"/>
  <c r="CP81" i="1"/>
  <c r="CH114" i="1"/>
  <c r="CI41" i="1"/>
  <c r="CP102" i="1"/>
  <c r="CL15" i="1"/>
  <c r="CP5" i="1"/>
  <c r="CQ65" i="1"/>
  <c r="CQ66" i="1"/>
  <c r="CM51" i="1"/>
  <c r="CR80" i="1"/>
  <c r="CP73" i="1"/>
  <c r="CO59" i="1"/>
  <c r="CN41" i="1"/>
  <c r="CN81" i="1"/>
  <c r="CR114" i="1"/>
  <c r="CL151" i="1"/>
  <c r="CG41" i="1"/>
  <c r="CI102" i="1"/>
  <c r="CM5" i="1"/>
  <c r="CI66" i="1"/>
  <c r="CI51" i="1"/>
  <c r="CJ68" i="1"/>
  <c r="CH62" i="1"/>
  <c r="CK57" i="1"/>
  <c r="CH133" i="1"/>
  <c r="CG108" i="1"/>
  <c r="CG77" i="1"/>
  <c r="CK131" i="1"/>
  <c r="CI8" i="1"/>
  <c r="CJ60" i="1"/>
  <c r="CH40" i="1"/>
  <c r="CN73" i="1"/>
  <c r="CP108" i="1"/>
  <c r="CR75" i="1"/>
  <c r="CM79" i="1"/>
  <c r="CP151" i="1"/>
  <c r="CH81" i="1"/>
  <c r="CG110" i="1"/>
  <c r="CP101" i="1"/>
  <c r="CI140" i="1"/>
  <c r="CN46" i="1"/>
  <c r="CK2" i="1"/>
  <c r="CQ42" i="1"/>
  <c r="CH41" i="1"/>
  <c r="CR14" i="1"/>
  <c r="CK50" i="1"/>
  <c r="CN102" i="1"/>
  <c r="CM78" i="1"/>
  <c r="CG5" i="1"/>
  <c r="CH68" i="1"/>
  <c r="CJ117" i="1"/>
  <c r="CH130" i="1"/>
  <c r="CH95" i="1"/>
  <c r="CG4" i="1"/>
  <c r="CM63" i="1"/>
  <c r="CH64" i="1"/>
  <c r="CN66" i="1"/>
  <c r="CN58" i="1"/>
  <c r="CH51" i="1"/>
  <c r="CN11" i="1"/>
  <c r="CH139" i="1"/>
  <c r="CI111" i="1"/>
  <c r="CN68" i="1"/>
  <c r="CR139" i="1"/>
  <c r="CH77" i="1"/>
  <c r="CR62" i="1"/>
  <c r="CH111" i="1"/>
  <c r="CQ133" i="1"/>
  <c r="CM140" i="1"/>
  <c r="CO77" i="1"/>
  <c r="CH8" i="1"/>
  <c r="CG60" i="1"/>
  <c r="CR40" i="1"/>
  <c r="CI73" i="1"/>
  <c r="CM108" i="1"/>
  <c r="CL75" i="1"/>
  <c r="CI12" i="1"/>
  <c r="CI79" i="1"/>
  <c r="CM151" i="1"/>
  <c r="CR81" i="1"/>
  <c r="CO110" i="1"/>
  <c r="CJ101" i="1"/>
  <c r="CR140" i="1"/>
  <c r="CK46" i="1"/>
  <c r="CN57" i="1"/>
  <c r="CP8" i="1"/>
  <c r="CJ42" i="1"/>
  <c r="CR41" i="1"/>
  <c r="CL14" i="1"/>
  <c r="CH150" i="1"/>
  <c r="CG102" i="1"/>
  <c r="CG78" i="1"/>
  <c r="CO5" i="1"/>
  <c r="CG68" i="1"/>
  <c r="CG117" i="1"/>
  <c r="CG130" i="1"/>
  <c r="CQ95" i="1"/>
  <c r="CO4" i="1"/>
  <c r="CG63" i="1"/>
  <c r="CG64" i="1"/>
  <c r="CG66" i="1"/>
  <c r="CG58" i="1"/>
  <c r="CG51" i="1"/>
  <c r="CG11" i="1"/>
  <c r="CQ139" i="1"/>
  <c r="CO62" i="1"/>
  <c r="CQ57" i="1"/>
  <c r="CQ111" i="1"/>
  <c r="CP133" i="1"/>
  <c r="CH140" i="1"/>
  <c r="CP46" i="1"/>
  <c r="CP131" i="1"/>
  <c r="CQ40" i="1"/>
  <c r="CR60" i="1"/>
  <c r="CG73" i="1"/>
  <c r="CK75" i="1"/>
  <c r="CG79" i="1"/>
  <c r="CJ151" i="1"/>
  <c r="CK14" i="1"/>
  <c r="CR68" i="1"/>
  <c r="CR117" i="1"/>
  <c r="CP95" i="1"/>
  <c r="CR66" i="1"/>
  <c r="CR58" i="1"/>
  <c r="CP139" i="1"/>
  <c r="CM111" i="1"/>
  <c r="CP111" i="1"/>
  <c r="CO68" i="1"/>
  <c r="CO117" i="1"/>
  <c r="CN95" i="1"/>
  <c r="CO66" i="1"/>
  <c r="CO58" i="1"/>
  <c r="CN139" i="1"/>
  <c r="CI6" i="1"/>
  <c r="CH6" i="1"/>
  <c r="CJ111" i="1"/>
  <c r="CL68" i="1"/>
  <c r="CL117" i="1"/>
  <c r="CM95" i="1"/>
  <c r="CL66" i="1"/>
  <c r="CL58" i="1"/>
  <c r="CM139" i="1"/>
  <c r="CG111" i="1"/>
  <c r="CK68" i="1"/>
  <c r="CK117" i="1"/>
  <c r="CJ95" i="1"/>
  <c r="CK66" i="1"/>
  <c r="CK58" i="1"/>
  <c r="CJ139" i="1"/>
  <c r="CH12" i="1"/>
  <c r="CP12" i="1"/>
  <c r="CR111" i="1"/>
  <c r="CQ68" i="1"/>
  <c r="CP117" i="1"/>
  <c r="CG95" i="1"/>
  <c r="CM66" i="1"/>
  <c r="CQ58" i="1"/>
  <c r="CG139" i="1"/>
  <c r="CO111" i="1"/>
  <c r="CP68" i="1"/>
  <c r="CO139" i="1"/>
  <c r="CL111" i="1"/>
  <c r="CI68" i="1"/>
  <c r="CQ117" i="1"/>
  <c r="CL95" i="1"/>
  <c r="CH66" i="1"/>
  <c r="CJ58" i="1"/>
  <c r="CL139" i="1"/>
  <c r="CI77" i="1"/>
  <c r="CN77" i="1"/>
  <c r="CK111" i="1"/>
  <c r="CR157" i="1" l="1"/>
  <c r="CN157" i="1"/>
  <c r="CJ157" i="1"/>
  <c r="CH157" i="1"/>
  <c r="CM157" i="1"/>
  <c r="CL157" i="1"/>
  <c r="CQ157" i="1"/>
  <c r="CG157" i="1"/>
  <c r="CK157" i="1"/>
  <c r="CP157" i="1"/>
  <c r="CO157" i="1"/>
  <c r="CI157" i="1"/>
</calcChain>
</file>

<file path=xl/sharedStrings.xml><?xml version="1.0" encoding="utf-8"?>
<sst xmlns="http://schemas.openxmlformats.org/spreadsheetml/2006/main" count="733" uniqueCount="285">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</sst>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161</xdr:row>
          <xdr:rowOff>28575</xdr:rowOff>
        </xdr:from>
        <xdr:to>
          <xdr:col>1</xdr:col>
          <xdr:colOff>428625</xdr:colOff>
          <xdr:row>162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59"/>
  <sheetViews>
    <sheetView tabSelected="1" workbookViewId="0">
      <pane xSplit="2" ySplit="1" topLeftCell="C89" activePane="bottomRight" state="frozen"/>
      <selection pane="topRight" activeCell="C1" sqref="C1"/>
      <selection pane="bottomLeft" activeCell="A3" sqref="A3"/>
      <selection pane="bottomRight" activeCell="B92" sqref="B9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95</v>
      </c>
      <c r="B1" s="8" t="s">
        <v>96</v>
      </c>
      <c r="C1" s="8" t="s">
        <v>98</v>
      </c>
      <c r="D1" s="8" t="s">
        <v>97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92</v>
      </c>
      <c r="K1" s="9" t="s">
        <v>30</v>
      </c>
      <c r="L1" s="9" t="s">
        <v>54</v>
      </c>
      <c r="M1" s="9" t="s">
        <v>60</v>
      </c>
      <c r="N1" s="9" t="s">
        <v>65</v>
      </c>
      <c r="O1" s="9" t="s">
        <v>59</v>
      </c>
      <c r="P1" s="31" t="s">
        <v>159</v>
      </c>
      <c r="Q1" s="31" t="s">
        <v>171</v>
      </c>
      <c r="R1" s="31" t="s">
        <v>165</v>
      </c>
      <c r="S1" s="31" t="s">
        <v>160</v>
      </c>
      <c r="T1" s="31" t="s">
        <v>169</v>
      </c>
      <c r="U1" s="31" t="s">
        <v>175</v>
      </c>
      <c r="V1" s="31" t="s">
        <v>161</v>
      </c>
      <c r="W1" s="31" t="s">
        <v>168</v>
      </c>
      <c r="X1" s="31" t="s">
        <v>166</v>
      </c>
      <c r="Y1" s="31" t="s">
        <v>162</v>
      </c>
      <c r="Z1" s="31" t="s">
        <v>170</v>
      </c>
      <c r="AA1" s="31" t="s">
        <v>177</v>
      </c>
      <c r="AB1" s="31" t="s">
        <v>164</v>
      </c>
      <c r="AC1" s="31" t="s">
        <v>163</v>
      </c>
      <c r="AD1" s="31" t="s">
        <v>193</v>
      </c>
      <c r="AE1" s="8" t="s">
        <v>10</v>
      </c>
      <c r="AF1" s="8" t="s">
        <v>36</v>
      </c>
      <c r="AG1" s="8" t="s">
        <v>37</v>
      </c>
      <c r="AH1" s="8" t="s">
        <v>81</v>
      </c>
      <c r="AI1" s="8" t="s">
        <v>82</v>
      </c>
      <c r="AJ1" s="8" t="s">
        <v>84</v>
      </c>
      <c r="AK1" s="8" t="s">
        <v>85</v>
      </c>
      <c r="AL1" s="8" t="s">
        <v>87</v>
      </c>
      <c r="AM1" s="8" t="s">
        <v>66</v>
      </c>
      <c r="AN1" s="8" t="s">
        <v>68</v>
      </c>
      <c r="AO1" s="8" t="s">
        <v>127</v>
      </c>
      <c r="AP1" s="8" t="s">
        <v>128</v>
      </c>
      <c r="AQ1" s="10" t="s">
        <v>50</v>
      </c>
      <c r="AR1" s="10" t="s">
        <v>5</v>
      </c>
      <c r="AS1" s="10" t="s">
        <v>34</v>
      </c>
      <c r="AT1" s="10" t="s">
        <v>71</v>
      </c>
      <c r="AU1" s="10" t="s">
        <v>79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123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103</v>
      </c>
      <c r="BQ1" s="8" t="s">
        <v>104</v>
      </c>
      <c r="BR1" s="16" t="s">
        <v>105</v>
      </c>
      <c r="BS1" s="16"/>
      <c r="BT1" s="10" t="s">
        <v>50</v>
      </c>
      <c r="BU1" s="10" t="s">
        <v>5</v>
      </c>
      <c r="BV1" s="10" t="s">
        <v>34</v>
      </c>
      <c r="BW1" s="10" t="s">
        <v>71</v>
      </c>
      <c r="BX1" s="10" t="s">
        <v>79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71</v>
      </c>
      <c r="CK1" s="10" t="s">
        <v>79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7" si="0">SUM(E2:BO2)</f>
        <v>80</v>
      </c>
      <c r="BQ2" s="1">
        <v>0</v>
      </c>
      <c r="BR2" s="17">
        <v>0</v>
      </c>
      <c r="BS2" s="17"/>
      <c r="BT2" s="1" t="str">
        <f>IF(AQ2&gt;AQ$158, AQ2-AQ$158,"")</f>
        <v/>
      </c>
      <c r="BU2" s="1" t="str">
        <f>IF(AR2&gt;AR$158, AR2-AR$158,"")</f>
        <v/>
      </c>
      <c r="BV2" s="1" t="str">
        <f>IF(AS2&gt;AS$158, AS2-AS$158,"")</f>
        <v/>
      </c>
      <c r="BW2" s="1" t="str">
        <f>IF(AT2&gt;AT$158, AT2-AT$158,"")</f>
        <v/>
      </c>
      <c r="BX2" s="1" t="str">
        <f>IF(AU2&gt;AU$158, AU2-AU$158,"")</f>
        <v/>
      </c>
      <c r="BY2" s="1" t="str">
        <f>IF(AV2&gt;AV$158, AV2-AV$158,"")</f>
        <v/>
      </c>
      <c r="BZ2" s="1" t="str">
        <f>IF(AW2&gt;AW$158, AW2-AW$158,"")</f>
        <v/>
      </c>
      <c r="CA2" s="1" t="str">
        <f>IF(AX2&gt;AX$158, AX2-AX$158,"")</f>
        <v/>
      </c>
      <c r="CB2" s="1" t="str">
        <f>IF(AY2&gt;AY$158, AY2-AY$158,"")</f>
        <v/>
      </c>
      <c r="CC2" s="1" t="str">
        <f>IF(AZ2&gt;AZ$158, AZ2-AZ$158,"")</f>
        <v/>
      </c>
      <c r="CD2" s="1" t="str">
        <f>IF(BA2&gt;BA$158, BA2-BA$158,"")</f>
        <v/>
      </c>
      <c r="CE2" s="1" t="str">
        <f>IF(BB2&gt;BB$158, BB2-BB$158,"")</f>
        <v/>
      </c>
      <c r="CF2" s="1">
        <f>12-COUNTA(BT2:CE2)</f>
        <v>0</v>
      </c>
      <c r="CG2" s="1" t="str">
        <f t="shared" ref="CG2:CG17" si="1">IF($CF2=1,BT2,"")</f>
        <v/>
      </c>
      <c r="CH2" s="1" t="str">
        <f t="shared" ref="CH2:CH17" si="2">IF($CF2=1,BU2,"")</f>
        <v/>
      </c>
      <c r="CI2" s="1" t="str">
        <f t="shared" ref="CI2:CI17" si="3">IF($CF2=1,BV2,"")</f>
        <v/>
      </c>
      <c r="CJ2" s="1" t="str">
        <f t="shared" ref="CJ2:CJ17" si="4">IF($CF2=1,BW2,"")</f>
        <v/>
      </c>
      <c r="CK2" s="1" t="str">
        <f t="shared" ref="CK2:CK17" si="5">IF($CF2=1,BX2,"")</f>
        <v/>
      </c>
      <c r="CL2" s="1" t="str">
        <f t="shared" ref="CL2:CL17" si="6">IF($CF2=1,BY2,"")</f>
        <v/>
      </c>
      <c r="CM2" s="1" t="str">
        <f t="shared" ref="CM2:CM17" si="7">IF($CF2=1,BZ2,"")</f>
        <v/>
      </c>
      <c r="CN2" s="1" t="str">
        <f t="shared" ref="CN2:CN17" si="8">IF($CF2=1,CA2,"")</f>
        <v/>
      </c>
      <c r="CO2" s="1" t="str">
        <f t="shared" ref="CO2:CO17" si="9">IF($CF2=1,CB2,"")</f>
        <v/>
      </c>
      <c r="CP2" s="1" t="str">
        <f t="shared" ref="CP2:CP17" si="10">IF($CF2=1,CC2,"")</f>
        <v/>
      </c>
      <c r="CQ2" s="1" t="str">
        <f t="shared" ref="CQ2:CQ17" si="11">IF($CF2=1,CD2,"")</f>
        <v/>
      </c>
      <c r="CR2" s="1" t="str">
        <f t="shared" ref="CR2:CR17" si="12">IF($CF2=1,CE2,"")</f>
        <v/>
      </c>
      <c r="CS2" s="18">
        <f t="shared" ref="CS2:CS17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IF(AQ3&gt;AQ$158, AQ3-AQ$158,"")</f>
        <v/>
      </c>
      <c r="BU3" s="1" t="str">
        <f>IF(AR3&gt;AR$158, AR3-AR$158,"")</f>
        <v/>
      </c>
      <c r="BV3" s="1" t="str">
        <f>IF(AS3&gt;AS$158, AS3-AS$158,"")</f>
        <v/>
      </c>
      <c r="BW3" s="1" t="str">
        <f>IF(AT3&gt;AT$158, AT3-AT$158,"")</f>
        <v/>
      </c>
      <c r="BX3" s="1" t="str">
        <f>IF(AU3&gt;AU$158, AU3-AU$158,"")</f>
        <v/>
      </c>
      <c r="BY3" s="1" t="str">
        <f>IF(AV3&gt;AV$158, AV3-AV$158,"")</f>
        <v/>
      </c>
      <c r="BZ3" s="1" t="str">
        <f>IF(AW3&gt;AW$158, AW3-AW$158,"")</f>
        <v/>
      </c>
      <c r="CA3" s="1" t="str">
        <f>IF(AX3&gt;AX$158, AX3-AX$158,"")</f>
        <v/>
      </c>
      <c r="CB3" s="1" t="str">
        <f>IF(AY3&gt;AY$158, AY3-AY$158,"")</f>
        <v/>
      </c>
      <c r="CC3" s="1" t="str">
        <f>IF(AZ3&gt;AZ$158, AZ3-AZ$158,"")</f>
        <v/>
      </c>
      <c r="CD3" s="1" t="str">
        <f>IF(BA3&gt;BA$158, BA3-BA$158,"")</f>
        <v/>
      </c>
      <c r="CE3" s="1" t="str">
        <f>IF(BB3&gt;BB$158, BB3-BB$158,"")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IF(AQ4&gt;AQ$158, AQ4-AQ$158,"")</f>
        <v/>
      </c>
      <c r="BU4" s="1" t="str">
        <f>IF(AR4&gt;AR$158, AR4-AR$158,"")</f>
        <v/>
      </c>
      <c r="BV4" s="1" t="str">
        <f>IF(AS4&gt;AS$158, AS4-AS$158,"")</f>
        <v/>
      </c>
      <c r="BW4" s="1" t="str">
        <f>IF(AT4&gt;AT$158, AT4-AT$158,"")</f>
        <v/>
      </c>
      <c r="BX4" s="1" t="str">
        <f>IF(AU4&gt;AU$158, AU4-AU$158,"")</f>
        <v/>
      </c>
      <c r="BY4" s="1" t="str">
        <f>IF(AV4&gt;AV$158, AV4-AV$158,"")</f>
        <v/>
      </c>
      <c r="BZ4" s="1" t="str">
        <f>IF(AW4&gt;AW$158, AW4-AW$158,"")</f>
        <v/>
      </c>
      <c r="CA4" s="1" t="str">
        <f>IF(AX4&gt;AX$158, AX4-AX$158,"")</f>
        <v/>
      </c>
      <c r="CB4" s="1" t="str">
        <f>IF(AY4&gt;AY$158, AY4-AY$158,"")</f>
        <v/>
      </c>
      <c r="CC4" s="1" t="str">
        <f>IF(AZ4&gt;AZ$158, AZ4-AZ$158,"")</f>
        <v/>
      </c>
      <c r="CD4" s="1" t="str">
        <f>IF(BA4&gt;BA$158, BA4-BA$158,"")</f>
        <v/>
      </c>
      <c r="CE4" s="1" t="str">
        <f>IF(BB4&gt;BB$158, BB4-BB$158,"")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IF(AQ5&gt;AQ$158, AQ5-AQ$158,"")</f>
        <v/>
      </c>
      <c r="BU5" s="1" t="str">
        <f>IF(AR5&gt;AR$158, AR5-AR$158,"")</f>
        <v/>
      </c>
      <c r="BV5" s="1" t="str">
        <f>IF(AS5&gt;AS$158, AS5-AS$158,"")</f>
        <v/>
      </c>
      <c r="BW5" s="1" t="str">
        <f>IF(AT5&gt;AT$158, AT5-AT$158,"")</f>
        <v/>
      </c>
      <c r="BX5" s="1" t="str">
        <f>IF(AU5&gt;AU$158, AU5-AU$158,"")</f>
        <v/>
      </c>
      <c r="BY5" s="1" t="str">
        <f>IF(AV5&gt;AV$158, AV5-AV$158,"")</f>
        <v/>
      </c>
      <c r="BZ5" s="1" t="str">
        <f>IF(AW5&gt;AW$158, AW5-AW$158,"")</f>
        <v/>
      </c>
      <c r="CA5" s="1" t="str">
        <f>IF(AX5&gt;AX$158, AX5-AX$158,"")</f>
        <v/>
      </c>
      <c r="CB5" s="1" t="str">
        <f>IF(AY5&gt;AY$158, AY5-AY$158,"")</f>
        <v/>
      </c>
      <c r="CC5" s="1" t="str">
        <f>IF(AZ5&gt;AZ$158, AZ5-AZ$158,"")</f>
        <v/>
      </c>
      <c r="CD5" s="1" t="str">
        <f>IF(BA5&gt;BA$158, BA5-BA$158,"")</f>
        <v/>
      </c>
      <c r="CE5" s="1" t="str">
        <f>IF(BB5&gt;BB$158, BB5-BB$158,"")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IF(AQ6&gt;AQ$158, AQ6-AQ$158,"")</f>
        <v/>
      </c>
      <c r="BU6" s="19" t="str">
        <f>IF(AR6&gt;AR$158, AR6-AR$158,"")</f>
        <v/>
      </c>
      <c r="BV6" s="19" t="str">
        <f>IF(AS6&gt;AS$158, AS6-AS$158,"")</f>
        <v/>
      </c>
      <c r="BW6" s="19" t="str">
        <f>IF(AT6&gt;AT$158, AT6-AT$158,"")</f>
        <v/>
      </c>
      <c r="BX6" s="19" t="str">
        <f>IF(AU6&gt;AU$158, AU6-AU$158,"")</f>
        <v/>
      </c>
      <c r="BY6" s="19" t="str">
        <f>IF(AV6&gt;AV$158, AV6-AV$158,"")</f>
        <v/>
      </c>
      <c r="BZ6" s="19" t="str">
        <f>IF(AW6&gt;AW$158, AW6-AW$158,"")</f>
        <v/>
      </c>
      <c r="CA6" s="19" t="str">
        <f>IF(AX6&gt;AX$158, AX6-AX$158,"")</f>
        <v/>
      </c>
      <c r="CB6" s="19" t="str">
        <f>IF(AY6&gt;AY$158, AY6-AY$158,"")</f>
        <v/>
      </c>
      <c r="CC6" s="19" t="str">
        <f>IF(AZ6&gt;AZ$158, AZ6-AZ$158,"")</f>
        <v/>
      </c>
      <c r="CD6" s="19" t="str">
        <f>IF(BA6&gt;BA$158, BA6-BA$158,"")</f>
        <v/>
      </c>
      <c r="CE6" s="19" t="str">
        <f>IF(BB6&gt;BB$158, BB6-BB$158,"")</f>
        <v/>
      </c>
      <c r="CF6" s="19">
        <f t="shared" ref="CF6:CF17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IF(AQ7&gt;AQ$158, AQ7-AQ$158,"")</f>
        <v/>
      </c>
      <c r="BU7" s="19" t="str">
        <f>IF(AR7&gt;AR$158, AR7-AR$158,"")</f>
        <v/>
      </c>
      <c r="BV7" s="19" t="str">
        <f>IF(AS7&gt;AS$158, AS7-AS$158,"")</f>
        <v/>
      </c>
      <c r="BW7" s="19" t="str">
        <f>IF(AT7&gt;AT$158, AT7-AT$158,"")</f>
        <v/>
      </c>
      <c r="BX7" s="19" t="str">
        <f>IF(AU7&gt;AU$158, AU7-AU$158,"")</f>
        <v/>
      </c>
      <c r="BY7" s="19" t="str">
        <f>IF(AV7&gt;AV$158, AV7-AV$158,"")</f>
        <v/>
      </c>
      <c r="BZ7" s="19" t="str">
        <f>IF(AW7&gt;AW$158, AW7-AW$158,"")</f>
        <v/>
      </c>
      <c r="CA7" s="19" t="str">
        <f>IF(AX7&gt;AX$158, AX7-AX$158,"")</f>
        <v/>
      </c>
      <c r="CB7" s="19" t="str">
        <f>IF(AY7&gt;AY$158, AY7-AY$158,"")</f>
        <v/>
      </c>
      <c r="CC7" s="19" t="str">
        <f>IF(AZ7&gt;AZ$158, AZ7-AZ$158,"")</f>
        <v/>
      </c>
      <c r="CD7" s="19" t="str">
        <f>IF(BA7&gt;BA$158, BA7-BA$158,"")</f>
        <v/>
      </c>
      <c r="CE7" s="19" t="str">
        <f>IF(BB7&gt;BB$158, BB7-BB$158,"")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75</v>
      </c>
      <c r="C8" s="26" t="s">
        <v>70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IF(AQ8&gt;AQ$158, AQ8-AQ$158,"")</f>
        <v/>
      </c>
      <c r="BU8" s="19" t="str">
        <f>IF(AR8&gt;AR$158, AR8-AR$158,"")</f>
        <v/>
      </c>
      <c r="BV8" s="19" t="str">
        <f>IF(AS8&gt;AS$158, AS8-AS$158,"")</f>
        <v/>
      </c>
      <c r="BW8" s="19" t="str">
        <f>IF(AT8&gt;AT$158, AT8-AT$158,"")</f>
        <v/>
      </c>
      <c r="BX8" s="19" t="str">
        <f>IF(AU8&gt;AU$158, AU8-AU$158,"")</f>
        <v/>
      </c>
      <c r="BY8" s="19" t="str">
        <f>IF(AV8&gt;AV$158, AV8-AV$158,"")</f>
        <v/>
      </c>
      <c r="BZ8" s="19" t="str">
        <f>IF(AW8&gt;AW$158, AW8-AW$158,"")</f>
        <v/>
      </c>
      <c r="CA8" s="19" t="str">
        <f>IF(AX8&gt;AX$158, AX8-AX$158,"")</f>
        <v/>
      </c>
      <c r="CB8" s="19" t="str">
        <f>IF(AY8&gt;AY$158, AY8-AY$158,"")</f>
        <v/>
      </c>
      <c r="CC8" s="19" t="str">
        <f>IF(AZ8&gt;AZ$158, AZ8-AZ$158,"")</f>
        <v/>
      </c>
      <c r="CD8" s="19" t="str">
        <f>IF(BA8&gt;BA$158, BA8-BA$158,"")</f>
        <v/>
      </c>
      <c r="CE8" s="19" t="str">
        <f>IF(BB8&gt;BB$158, BB8-BB$158,"")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18</v>
      </c>
      <c r="BQ9" s="1">
        <v>0</v>
      </c>
      <c r="BR9" s="17">
        <v>0</v>
      </c>
      <c r="BS9" s="17"/>
      <c r="BT9" s="1" t="str">
        <f>IF(AQ9&gt;AQ$158, AQ9-AQ$158,"")</f>
        <v/>
      </c>
      <c r="BU9" s="1" t="str">
        <f>IF(AR9&gt;AR$158, AR9-AR$158,"")</f>
        <v/>
      </c>
      <c r="BV9" s="1" t="str">
        <f>IF(AS9&gt;AS$158, AS9-AS$158,"")</f>
        <v/>
      </c>
      <c r="BW9" s="1" t="str">
        <f>IF(AT9&gt;AT$158, AT9-AT$158,"")</f>
        <v/>
      </c>
      <c r="BX9" s="1" t="str">
        <f>IF(AU9&gt;AU$158, AU9-AU$158,"")</f>
        <v/>
      </c>
      <c r="BY9" s="1" t="str">
        <f>IF(AV9&gt;AV$158, AV9-AV$158,"")</f>
        <v/>
      </c>
      <c r="BZ9" s="1" t="str">
        <f>IF(AW9&gt;AW$158, AW9-AW$158,"")</f>
        <v/>
      </c>
      <c r="CA9" s="1" t="str">
        <f>IF(AX9&gt;AX$158, AX9-AX$158,"")</f>
        <v/>
      </c>
      <c r="CB9" s="1" t="str">
        <f>IF(AY9&gt;AY$158, AY9-AY$158,"")</f>
        <v/>
      </c>
      <c r="CC9" s="1" t="str">
        <f>IF(AZ9&gt;AZ$158, AZ9-AZ$158,"")</f>
        <v/>
      </c>
      <c r="CD9" s="1" t="str">
        <f>IF(BA9&gt;BA$158, BA9-BA$158,"")</f>
        <v/>
      </c>
      <c r="CE9" s="1" t="str">
        <f>IF(BB9&gt;BB$158, BB9-BB$158,"")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10</v>
      </c>
    </row>
    <row r="10" spans="1:97" s="25" customFormat="1" x14ac:dyDescent="0.15">
      <c r="A10" s="1">
        <v>81</v>
      </c>
      <c r="B10" s="3" t="s">
        <v>73</v>
      </c>
      <c r="C10" s="3" t="s">
        <v>70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32</v>
      </c>
      <c r="BQ10" s="1">
        <v>0</v>
      </c>
      <c r="BR10" s="17">
        <v>0</v>
      </c>
      <c r="BS10" s="17"/>
      <c r="BT10" s="1" t="str">
        <f>IF(AQ10&gt;AQ$158, AQ10-AQ$158,"")</f>
        <v/>
      </c>
      <c r="BU10" s="1" t="str">
        <f>IF(AR10&gt;AR$158, AR10-AR$158,"")</f>
        <v/>
      </c>
      <c r="BV10" s="1" t="str">
        <f>IF(AS10&gt;AS$158, AS10-AS$158,"")</f>
        <v/>
      </c>
      <c r="BW10" s="1" t="str">
        <f>IF(AT10&gt;AT$158, AT10-AT$158,"")</f>
        <v/>
      </c>
      <c r="BX10" s="1" t="str">
        <f>IF(AU10&gt;AU$158, AU10-AU$158,"")</f>
        <v/>
      </c>
      <c r="BY10" s="1" t="str">
        <f>IF(AV10&gt;AV$158, AV10-AV$158,"")</f>
        <v/>
      </c>
      <c r="BZ10" s="1" t="str">
        <f>IF(AW10&gt;AW$158, AW10-AW$158,"")</f>
        <v/>
      </c>
      <c r="CA10" s="1" t="str">
        <f>IF(AX10&gt;AX$158, AX10-AX$158,"")</f>
        <v/>
      </c>
      <c r="CB10" s="1" t="str">
        <f>IF(AY10&gt;AY$158, AY10-AY$158,"")</f>
        <v/>
      </c>
      <c r="CC10" s="1" t="str">
        <f>IF(AZ10&gt;AZ$158, AZ10-AZ$158,"")</f>
        <v/>
      </c>
      <c r="CD10" s="1" t="str">
        <f>IF(BA10&gt;BA$158, BA10-BA$158,"")</f>
        <v/>
      </c>
      <c r="CE10" s="1" t="str">
        <f>IF(BB10&gt;BB$158, BB10-BB$158,"")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20</v>
      </c>
    </row>
    <row r="11" spans="1:97" x14ac:dyDescent="0.15">
      <c r="A11" s="19">
        <v>13</v>
      </c>
      <c r="B11" s="19" t="s">
        <v>114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 t="shared" si="0"/>
        <v>0</v>
      </c>
      <c r="BQ11" s="19">
        <v>0</v>
      </c>
      <c r="BR11" s="23">
        <v>0</v>
      </c>
      <c r="BS11" s="23"/>
      <c r="BT11" s="19" t="str">
        <f>IF(AQ11&gt;AQ$158, AQ11-AQ$158,"")</f>
        <v/>
      </c>
      <c r="BU11" s="19" t="str">
        <f>IF(AR11&gt;AR$158, AR11-AR$158,"")</f>
        <v/>
      </c>
      <c r="BV11" s="19" t="str">
        <f>IF(AS11&gt;AS$158, AS11-AS$158,"")</f>
        <v/>
      </c>
      <c r="BW11" s="19" t="str">
        <f>IF(AT11&gt;AT$158, AT11-AT$158,"")</f>
        <v/>
      </c>
      <c r="BX11" s="19" t="str">
        <f>IF(AU11&gt;AU$158, AU11-AU$158,"")</f>
        <v/>
      </c>
      <c r="BY11" s="19" t="str">
        <f>IF(AV11&gt;AV$158, AV11-AV$158,"")</f>
        <v/>
      </c>
      <c r="BZ11" s="19" t="str">
        <f>IF(AW11&gt;AW$158, AW11-AW$158,"")</f>
        <v/>
      </c>
      <c r="CA11" s="19" t="str">
        <f>IF(AX11&gt;AX$158, AX11-AX$158,"")</f>
        <v/>
      </c>
      <c r="CB11" s="19" t="str">
        <f>IF(AY11&gt;AY$158, AY11-AY$158,"")</f>
        <v/>
      </c>
      <c r="CC11" s="19" t="str">
        <f>IF(AZ11&gt;AZ$158, AZ11-AZ$158,"")</f>
        <v/>
      </c>
      <c r="CD11" s="19" t="str">
        <f>IF(BA11&gt;BA$158, BA11-BA$158,"")</f>
        <v/>
      </c>
      <c r="CE11" s="19" t="str">
        <f>IF(BB11&gt;BB$158, BB11-BB$158,"")</f>
        <v/>
      </c>
      <c r="CF11" s="19">
        <f t="shared" si="14"/>
        <v>0</v>
      </c>
      <c r="CG11" s="19" t="str">
        <f t="shared" si="1"/>
        <v/>
      </c>
      <c r="CH11" s="19" t="str">
        <f t="shared" si="2"/>
        <v/>
      </c>
      <c r="CI11" s="19" t="str">
        <f t="shared" si="3"/>
        <v/>
      </c>
      <c r="CJ11" s="19" t="str">
        <f t="shared" si="4"/>
        <v/>
      </c>
      <c r="CK11" s="19" t="str">
        <f t="shared" si="5"/>
        <v/>
      </c>
      <c r="CL11" s="19" t="str">
        <f t="shared" si="6"/>
        <v/>
      </c>
      <c r="CM11" s="19" t="str">
        <f t="shared" si="7"/>
        <v/>
      </c>
      <c r="CN11" s="19" t="str">
        <f t="shared" si="8"/>
        <v/>
      </c>
      <c r="CO11" s="19" t="str">
        <f t="shared" si="9"/>
        <v/>
      </c>
      <c r="CP11" s="19" t="str">
        <f t="shared" si="10"/>
        <v/>
      </c>
      <c r="CQ11" s="19" t="str">
        <f t="shared" si="11"/>
        <v/>
      </c>
      <c r="CR11" s="19" t="str">
        <f t="shared" si="12"/>
        <v/>
      </c>
      <c r="CS11" s="24">
        <f t="shared" si="13"/>
        <v>0</v>
      </c>
    </row>
    <row r="12" spans="1:97" x14ac:dyDescent="0.15">
      <c r="A12" s="1">
        <v>82</v>
      </c>
      <c r="B12" s="3" t="s">
        <v>74</v>
      </c>
      <c r="C12" s="3" t="s">
        <v>70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32</v>
      </c>
      <c r="BQ12" s="1">
        <v>0</v>
      </c>
      <c r="BR12" s="17">
        <v>0</v>
      </c>
      <c r="BS12" s="17"/>
      <c r="BT12" s="1" t="str">
        <f>IF(AQ12&gt;AQ$158, AQ12-AQ$158,"")</f>
        <v/>
      </c>
      <c r="BU12" s="1" t="str">
        <f>IF(AR12&gt;AR$158, AR12-AR$158,"")</f>
        <v/>
      </c>
      <c r="BV12" s="1" t="str">
        <f>IF(AS12&gt;AS$158, AS12-AS$158,"")</f>
        <v/>
      </c>
      <c r="BW12" s="1" t="str">
        <f>IF(AT12&gt;AT$158, AT12-AT$158,"")</f>
        <v/>
      </c>
      <c r="BX12" s="1" t="str">
        <f>IF(AU12&gt;AU$158, AU12-AU$158,"")</f>
        <v/>
      </c>
      <c r="BY12" s="1" t="str">
        <f>IF(AV12&gt;AV$158, AV12-AV$158,"")</f>
        <v/>
      </c>
      <c r="BZ12" s="1" t="str">
        <f>IF(AW12&gt;AW$158, AW12-AW$158,"")</f>
        <v/>
      </c>
      <c r="CA12" s="1" t="str">
        <f>IF(AX12&gt;AX$158, AX12-AX$158,"")</f>
        <v/>
      </c>
      <c r="CB12" s="1" t="str">
        <f>IF(AY12&gt;AY$158, AY12-AY$158,"")</f>
        <v/>
      </c>
      <c r="CC12" s="1" t="str">
        <f>IF(AZ12&gt;AZ$158, AZ12-AZ$158,"")</f>
        <v/>
      </c>
      <c r="CD12" s="1" t="str">
        <f>IF(BA12&gt;BA$158, BA12-BA$158,"")</f>
        <v/>
      </c>
      <c r="CE12" s="1" t="str">
        <f>IF(BB12&gt;BB$158, BB12-BB$158,"")</f>
        <v/>
      </c>
      <c r="CF12" s="1">
        <f t="shared" si="14"/>
        <v>0</v>
      </c>
      <c r="CG12" s="1" t="str">
        <f t="shared" si="1"/>
        <v/>
      </c>
      <c r="CH12" s="1" t="str">
        <f t="shared" si="2"/>
        <v/>
      </c>
      <c r="CI12" s="1" t="str">
        <f t="shared" si="3"/>
        <v/>
      </c>
      <c r="CJ12" s="1" t="str">
        <f t="shared" si="4"/>
        <v/>
      </c>
      <c r="CK12" s="1" t="str">
        <f t="shared" si="5"/>
        <v/>
      </c>
      <c r="CL12" s="1" t="str">
        <f t="shared" si="6"/>
        <v/>
      </c>
      <c r="CM12" s="1" t="str">
        <f t="shared" si="7"/>
        <v/>
      </c>
      <c r="CN12" s="1" t="str">
        <f t="shared" si="8"/>
        <v/>
      </c>
      <c r="CO12" s="1" t="str">
        <f t="shared" si="9"/>
        <v/>
      </c>
      <c r="CP12" s="1" t="str">
        <f t="shared" si="10"/>
        <v/>
      </c>
      <c r="CQ12" s="1" t="str">
        <f t="shared" si="11"/>
        <v/>
      </c>
      <c r="CR12" s="1" t="str">
        <f t="shared" si="12"/>
        <v/>
      </c>
      <c r="CS12" s="18">
        <f t="shared" si="13"/>
        <v>20</v>
      </c>
    </row>
    <row r="13" spans="1:97" x14ac:dyDescent="0.15">
      <c r="A13" s="1">
        <v>72</v>
      </c>
      <c r="B13" s="3" t="s">
        <v>101</v>
      </c>
      <c r="C13" s="1" t="s">
        <v>62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>
        <v>6</v>
      </c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/>
      <c r="AY13" s="2"/>
      <c r="AZ13" s="2"/>
      <c r="BA13" s="2">
        <v>10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32</v>
      </c>
      <c r="BQ13" s="1">
        <v>0</v>
      </c>
      <c r="BR13" s="17">
        <v>0</v>
      </c>
      <c r="BS13" s="17"/>
      <c r="BT13" s="1" t="str">
        <f>IF(AQ13&gt;AQ$158, AQ13-AQ$158,"")</f>
        <v/>
      </c>
      <c r="BU13" s="1" t="str">
        <f>IF(AR13&gt;AR$158, AR13-AR$158,"")</f>
        <v/>
      </c>
      <c r="BV13" s="1" t="str">
        <f>IF(AS13&gt;AS$158, AS13-AS$158,"")</f>
        <v/>
      </c>
      <c r="BW13" s="1" t="str">
        <f>IF(AT13&gt;AT$158, AT13-AT$158,"")</f>
        <v/>
      </c>
      <c r="BX13" s="1" t="str">
        <f>IF(AU13&gt;AU$158, AU13-AU$158,"")</f>
        <v/>
      </c>
      <c r="BY13" s="1" t="str">
        <f>IF(AV13&gt;AV$158, AV13-AV$158,"")</f>
        <v/>
      </c>
      <c r="BZ13" s="1" t="str">
        <f>IF(AW13&gt;AW$158, AW13-AW$158,"")</f>
        <v/>
      </c>
      <c r="CA13" s="1" t="str">
        <f>IF(AX13&gt;AX$158, AX13-AX$158,"")</f>
        <v/>
      </c>
      <c r="CB13" s="1" t="str">
        <f>IF(AY13&gt;AY$158, AY13-AY$158,"")</f>
        <v/>
      </c>
      <c r="CC13" s="1" t="str">
        <f>IF(AZ13&gt;AZ$158, AZ13-AZ$158,"")</f>
        <v/>
      </c>
      <c r="CD13" s="1" t="str">
        <f>IF(BA13&gt;BA$158, BA13-BA$158,"")</f>
        <v/>
      </c>
      <c r="CE13" s="1" t="str">
        <f>IF(BB13&gt;BB$158, BB13-BB$158,"")</f>
        <v/>
      </c>
      <c r="CF13" s="1">
        <f t="shared" si="14"/>
        <v>0</v>
      </c>
      <c r="CG13" s="1" t="str">
        <f t="shared" si="1"/>
        <v/>
      </c>
      <c r="CH13" s="1" t="str">
        <f t="shared" si="2"/>
        <v/>
      </c>
      <c r="CI13" s="1" t="str">
        <f t="shared" si="3"/>
        <v/>
      </c>
      <c r="CJ13" s="1" t="str">
        <f t="shared" si="4"/>
        <v/>
      </c>
      <c r="CK13" s="1" t="str">
        <f t="shared" si="5"/>
        <v/>
      </c>
      <c r="CL13" s="1" t="str">
        <f t="shared" si="6"/>
        <v/>
      </c>
      <c r="CM13" s="1" t="str">
        <f t="shared" si="7"/>
        <v/>
      </c>
      <c r="CN13" s="1" t="str">
        <f t="shared" si="8"/>
        <v/>
      </c>
      <c r="CO13" s="1" t="str">
        <f t="shared" si="9"/>
        <v/>
      </c>
      <c r="CP13" s="1" t="str">
        <f t="shared" si="10"/>
        <v/>
      </c>
      <c r="CQ13" s="1" t="str">
        <f t="shared" si="11"/>
        <v/>
      </c>
      <c r="CR13" s="1" t="str">
        <f t="shared" si="12"/>
        <v/>
      </c>
      <c r="CS13" s="18">
        <f t="shared" si="13"/>
        <v>20</v>
      </c>
    </row>
    <row r="14" spans="1:97" x14ac:dyDescent="0.15">
      <c r="A14" s="1">
        <v>5</v>
      </c>
      <c r="B14" s="1" t="s">
        <v>22</v>
      </c>
      <c r="C14" s="1" t="s">
        <v>2</v>
      </c>
      <c r="D14" s="1" t="s">
        <v>12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10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20</v>
      </c>
      <c r="BQ14" s="1">
        <v>0</v>
      </c>
      <c r="BR14" s="17">
        <v>0</v>
      </c>
      <c r="BS14" s="17"/>
      <c r="BT14" s="1" t="str">
        <f>IF(AQ14&gt;AQ$158, AQ14-AQ$158,"")</f>
        <v/>
      </c>
      <c r="BU14" s="1" t="str">
        <f>IF(AR14&gt;AR$158, AR14-AR$158,"")</f>
        <v/>
      </c>
      <c r="BV14" s="1" t="str">
        <f>IF(AS14&gt;AS$158, AS14-AS$158,"")</f>
        <v/>
      </c>
      <c r="BW14" s="1" t="str">
        <f>IF(AT14&gt;AT$158, AT14-AT$158,"")</f>
        <v/>
      </c>
      <c r="BX14" s="1" t="str">
        <f>IF(AU14&gt;AU$158, AU14-AU$158,"")</f>
        <v/>
      </c>
      <c r="BY14" s="1" t="str">
        <f>IF(AV14&gt;AV$158, AV14-AV$158,"")</f>
        <v/>
      </c>
      <c r="BZ14" s="1" t="str">
        <f>IF(AW14&gt;AW$158, AW14-AW$158,"")</f>
        <v/>
      </c>
      <c r="CA14" s="1" t="str">
        <f>IF(AX14&gt;AX$158, AX14-AX$158,"")</f>
        <v/>
      </c>
      <c r="CB14" s="1" t="str">
        <f>IF(AY14&gt;AY$158, AY14-AY$158,"")</f>
        <v/>
      </c>
      <c r="CC14" s="1" t="str">
        <f>IF(AZ14&gt;AZ$158, AZ14-AZ$158,"")</f>
        <v/>
      </c>
      <c r="CD14" s="1" t="str">
        <f>IF(BA14&gt;BA$158, BA14-BA$158,"")</f>
        <v/>
      </c>
      <c r="CE14" s="1" t="str">
        <f>IF(BB14&gt;BB$158, BB14-BB$158,"")</f>
        <v/>
      </c>
      <c r="CF14" s="1">
        <f t="shared" si="14"/>
        <v>0</v>
      </c>
      <c r="CG14" s="1" t="str">
        <f t="shared" si="1"/>
        <v/>
      </c>
      <c r="CH14" s="1" t="str">
        <f t="shared" si="2"/>
        <v/>
      </c>
      <c r="CI14" s="1" t="str">
        <f t="shared" si="3"/>
        <v/>
      </c>
      <c r="CJ14" s="1" t="str">
        <f t="shared" si="4"/>
        <v/>
      </c>
      <c r="CK14" s="1" t="str">
        <f t="shared" si="5"/>
        <v/>
      </c>
      <c r="CL14" s="1" t="str">
        <f t="shared" si="6"/>
        <v/>
      </c>
      <c r="CM14" s="1" t="str">
        <f t="shared" si="7"/>
        <v/>
      </c>
      <c r="CN14" s="1" t="str">
        <f t="shared" si="8"/>
        <v/>
      </c>
      <c r="CO14" s="1" t="str">
        <f t="shared" si="9"/>
        <v/>
      </c>
      <c r="CP14" s="1" t="str">
        <f t="shared" si="10"/>
        <v/>
      </c>
      <c r="CQ14" s="1" t="str">
        <f t="shared" si="11"/>
        <v/>
      </c>
      <c r="CR14" s="1" t="str">
        <f t="shared" si="12"/>
        <v/>
      </c>
      <c r="CS14" s="18">
        <f t="shared" si="13"/>
        <v>20</v>
      </c>
    </row>
    <row r="15" spans="1:97" x14ac:dyDescent="0.15">
      <c r="A15" s="1">
        <v>6</v>
      </c>
      <c r="B15" s="1" t="s">
        <v>55</v>
      </c>
      <c r="C15" s="1" t="s">
        <v>2</v>
      </c>
      <c r="D15" s="1" t="s">
        <v>23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>
        <v>10</v>
      </c>
      <c r="AS15" s="4"/>
      <c r="AT15" s="4"/>
      <c r="AU15" s="4"/>
      <c r="AV15" s="4"/>
      <c r="AW15" s="2"/>
      <c r="AX15" s="2"/>
      <c r="AY15" s="2"/>
      <c r="AZ15" s="2"/>
      <c r="BA15" s="2"/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20</v>
      </c>
      <c r="BQ15" s="1">
        <v>0</v>
      </c>
      <c r="BR15" s="17">
        <v>0</v>
      </c>
      <c r="BS15" s="17"/>
      <c r="BT15" s="1" t="str">
        <f>IF(AQ15&gt;AQ$158, AQ15-AQ$158,"")</f>
        <v/>
      </c>
      <c r="BU15" s="1" t="str">
        <f>IF(AR15&gt;AR$158, AR15-AR$158,"")</f>
        <v/>
      </c>
      <c r="BV15" s="1" t="str">
        <f>IF(AS15&gt;AS$158, AS15-AS$158,"")</f>
        <v/>
      </c>
      <c r="BW15" s="1" t="str">
        <f>IF(AT15&gt;AT$158, AT15-AT$158,"")</f>
        <v/>
      </c>
      <c r="BX15" s="1" t="str">
        <f>IF(AU15&gt;AU$158, AU15-AU$158,"")</f>
        <v/>
      </c>
      <c r="BY15" s="1" t="str">
        <f>IF(AV15&gt;AV$158, AV15-AV$158,"")</f>
        <v/>
      </c>
      <c r="BZ15" s="1" t="str">
        <f>IF(AW15&gt;AW$158, AW15-AW$158,"")</f>
        <v/>
      </c>
      <c r="CA15" s="1" t="str">
        <f>IF(AX15&gt;AX$158, AX15-AX$158,"")</f>
        <v/>
      </c>
      <c r="CB15" s="1" t="str">
        <f>IF(AY15&gt;AY$158, AY15-AY$158,"")</f>
        <v/>
      </c>
      <c r="CC15" s="1" t="str">
        <f>IF(AZ15&gt;AZ$158, AZ15-AZ$158,"")</f>
        <v/>
      </c>
      <c r="CD15" s="1" t="str">
        <f>IF(BA15&gt;BA$158, BA15-BA$158,"")</f>
        <v/>
      </c>
      <c r="CE15" s="1" t="str">
        <f>IF(BB15&gt;BB$158, BB15-BB$158,"")</f>
        <v/>
      </c>
      <c r="CF15" s="1">
        <f t="shared" si="14"/>
        <v>0</v>
      </c>
      <c r="CG15" s="1" t="str">
        <f t="shared" si="1"/>
        <v/>
      </c>
      <c r="CH15" s="1" t="str">
        <f t="shared" si="2"/>
        <v/>
      </c>
      <c r="CI15" s="1" t="str">
        <f t="shared" si="3"/>
        <v/>
      </c>
      <c r="CJ15" s="1" t="str">
        <f t="shared" si="4"/>
        <v/>
      </c>
      <c r="CK15" s="1" t="str">
        <f t="shared" si="5"/>
        <v/>
      </c>
      <c r="CL15" s="1" t="str">
        <f t="shared" si="6"/>
        <v/>
      </c>
      <c r="CM15" s="1" t="str">
        <f t="shared" si="7"/>
        <v/>
      </c>
      <c r="CN15" s="1" t="str">
        <f t="shared" si="8"/>
        <v/>
      </c>
      <c r="CO15" s="1" t="str">
        <f t="shared" si="9"/>
        <v/>
      </c>
      <c r="CP15" s="1" t="str">
        <f t="shared" si="10"/>
        <v/>
      </c>
      <c r="CQ15" s="1" t="str">
        <f t="shared" si="11"/>
        <v/>
      </c>
      <c r="CR15" s="1" t="str">
        <f t="shared" si="12"/>
        <v/>
      </c>
      <c r="CS15" s="18">
        <f t="shared" si="13"/>
        <v>20</v>
      </c>
    </row>
    <row r="16" spans="1:97" x14ac:dyDescent="0.15">
      <c r="A16" s="1">
        <v>94</v>
      </c>
      <c r="B16" s="3" t="s">
        <v>93</v>
      </c>
      <c r="C16" s="3" t="s">
        <v>77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IF(AQ16&gt;AQ$158, AQ16-AQ$158,"")</f>
        <v/>
      </c>
      <c r="BU16" s="1" t="str">
        <f>IF(AR16&gt;AR$158, AR16-AR$158,"")</f>
        <v/>
      </c>
      <c r="BV16" s="1" t="str">
        <f>IF(AS16&gt;AS$158, AS16-AS$158,"")</f>
        <v/>
      </c>
      <c r="BW16" s="1" t="str">
        <f>IF(AT16&gt;AT$158, AT16-AT$158,"")</f>
        <v/>
      </c>
      <c r="BX16" s="1" t="str">
        <f>IF(AU16&gt;AU$158, AU16-AU$158,"")</f>
        <v/>
      </c>
      <c r="BY16" s="1" t="str">
        <f>IF(AV16&gt;AV$158, AV16-AV$158,"")</f>
        <v/>
      </c>
      <c r="BZ16" s="1" t="str">
        <f>IF(AW16&gt;AW$158, AW16-AW$158,"")</f>
        <v/>
      </c>
      <c r="CA16" s="1" t="str">
        <f>IF(AX16&gt;AX$158, AX16-AX$158,"")</f>
        <v/>
      </c>
      <c r="CB16" s="1" t="str">
        <f>IF(AY16&gt;AY$158, AY16-AY$158,"")</f>
        <v/>
      </c>
      <c r="CC16" s="1" t="str">
        <f>IF(AZ16&gt;AZ$158, AZ16-AZ$158,"")</f>
        <v/>
      </c>
      <c r="CD16" s="1" t="str">
        <f>IF(BA16&gt;BA$158, BA16-BA$158,"")</f>
        <v/>
      </c>
      <c r="CE16" s="1" t="str">
        <f>IF(BB16&gt;BB$158, BB16-BB$158,"")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20</v>
      </c>
    </row>
    <row r="17" spans="1:97" x14ac:dyDescent="0.15">
      <c r="A17" s="1">
        <v>96</v>
      </c>
      <c r="B17" s="3" t="s">
        <v>76</v>
      </c>
      <c r="C17" s="3" t="s">
        <v>77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>
        <v>10</v>
      </c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20</v>
      </c>
      <c r="BQ17" s="1">
        <v>0</v>
      </c>
      <c r="BR17" s="17">
        <v>0</v>
      </c>
      <c r="BS17" s="17"/>
      <c r="BT17" s="1" t="str">
        <f>IF(AQ17&gt;AQ$158, AQ17-AQ$158,"")</f>
        <v/>
      </c>
      <c r="BU17" s="1" t="str">
        <f>IF(AR17&gt;AR$158, AR17-AR$158,"")</f>
        <v/>
      </c>
      <c r="BV17" s="1" t="str">
        <f>IF(AS17&gt;AS$158, AS17-AS$158,"")</f>
        <v/>
      </c>
      <c r="BW17" s="1" t="str">
        <f>IF(AT17&gt;AT$158, AT17-AT$158,"")</f>
        <v/>
      </c>
      <c r="BX17" s="1" t="str">
        <f>IF(AU17&gt;AU$158, AU17-AU$158,"")</f>
        <v/>
      </c>
      <c r="BY17" s="1" t="str">
        <f>IF(AV17&gt;AV$158, AV17-AV$158,"")</f>
        <v/>
      </c>
      <c r="BZ17" s="1" t="str">
        <f>IF(AW17&gt;AW$158, AW17-AW$158,"")</f>
        <v/>
      </c>
      <c r="CA17" s="1" t="str">
        <f>IF(AX17&gt;AX$158, AX17-AX$158,"")</f>
        <v/>
      </c>
      <c r="CB17" s="1" t="str">
        <f>IF(AY17&gt;AY$158, AY17-AY$158,"")</f>
        <v/>
      </c>
      <c r="CC17" s="1" t="str">
        <f>IF(AZ17&gt;AZ$158, AZ17-AZ$158,"")</f>
        <v/>
      </c>
      <c r="CD17" s="1" t="str">
        <f>IF(BA17&gt;BA$158, BA17-BA$158,"")</f>
        <v/>
      </c>
      <c r="CE17" s="1" t="str">
        <f>IF(BB17&gt;BB$158, BB17-BB$158,"")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/>
      <c r="B18" s="1" t="s">
        <v>120</v>
      </c>
      <c r="C18" s="1" t="s">
        <v>121</v>
      </c>
      <c r="D18" s="1" t="s">
        <v>119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>
        <v>20</v>
      </c>
      <c r="BE18" s="1">
        <v>20</v>
      </c>
      <c r="BF18" s="1">
        <v>20</v>
      </c>
      <c r="BG18" s="1">
        <v>20</v>
      </c>
      <c r="BH18" s="1"/>
      <c r="BI18" s="1"/>
      <c r="BJ18" s="1"/>
      <c r="BK18" s="1"/>
      <c r="BL18" s="1"/>
      <c r="BM18" s="1"/>
      <c r="BN18" s="1"/>
      <c r="BO18" s="1"/>
      <c r="BP18" s="1"/>
      <c r="BQ18" s="1">
        <v>0</v>
      </c>
      <c r="BR18" s="17">
        <v>0</v>
      </c>
      <c r="BS18" s="17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/>
      <c r="B19" s="1" t="s">
        <v>131</v>
      </c>
      <c r="C19" s="1" t="s">
        <v>132</v>
      </c>
      <c r="D19" s="1" t="s">
        <v>119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>
        <v>20</v>
      </c>
      <c r="BG19" s="1">
        <v>20</v>
      </c>
      <c r="BH19" s="1">
        <v>20</v>
      </c>
      <c r="BI19" s="1">
        <v>20</v>
      </c>
      <c r="BJ19" s="1"/>
      <c r="BK19" s="1"/>
      <c r="BL19" s="1"/>
      <c r="BM19" s="1"/>
      <c r="BN19" s="1"/>
      <c r="BO19" s="1"/>
      <c r="BP19" s="1"/>
      <c r="BQ19" s="1">
        <v>0</v>
      </c>
      <c r="BR19" s="17">
        <v>0</v>
      </c>
      <c r="BS19" s="17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x14ac:dyDescent="0.15">
      <c r="A20" s="1"/>
      <c r="B20" s="1" t="s">
        <v>134</v>
      </c>
      <c r="C20" s="1" t="s">
        <v>132</v>
      </c>
      <c r="D20" s="1" t="s">
        <v>118</v>
      </c>
      <c r="E20" s="6"/>
      <c r="F20" s="6"/>
      <c r="G20" s="6"/>
      <c r="H20" s="6"/>
      <c r="I20" s="6"/>
      <c r="J20" s="6"/>
      <c r="K20" s="6"/>
      <c r="L20" s="6"/>
      <c r="M20" s="6"/>
      <c r="N20" s="6">
        <v>5</v>
      </c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v>0</v>
      </c>
      <c r="BR20" s="17">
        <v>0</v>
      </c>
      <c r="BS20" s="17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/>
      <c r="B21" s="1" t="s">
        <v>137</v>
      </c>
      <c r="C21" s="1" t="s">
        <v>117</v>
      </c>
      <c r="D21" s="1" t="s">
        <v>119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>
        <v>20</v>
      </c>
      <c r="BE21" s="1">
        <v>20</v>
      </c>
      <c r="BF21" s="1">
        <v>20</v>
      </c>
      <c r="BG21" s="1">
        <v>20</v>
      </c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139</v>
      </c>
      <c r="C22" s="1" t="s">
        <v>117</v>
      </c>
      <c r="D22" s="1" t="s">
        <v>118</v>
      </c>
      <c r="E22" s="6"/>
      <c r="F22" s="6"/>
      <c r="G22" s="6"/>
      <c r="H22" s="6"/>
      <c r="I22" s="6"/>
      <c r="J22" s="6"/>
      <c r="K22" s="6">
        <v>5</v>
      </c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s="25" customFormat="1" x14ac:dyDescent="0.15">
      <c r="A23" s="1"/>
      <c r="B23" s="1" t="s">
        <v>140</v>
      </c>
      <c r="C23" s="1" t="s">
        <v>141</v>
      </c>
      <c r="D23" s="1" t="s">
        <v>118</v>
      </c>
      <c r="E23" s="6"/>
      <c r="F23" s="6"/>
      <c r="G23" s="6">
        <v>2</v>
      </c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142</v>
      </c>
      <c r="C24" s="1" t="s">
        <v>141</v>
      </c>
      <c r="D24" s="1" t="s">
        <v>118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146</v>
      </c>
      <c r="C25" s="1" t="s">
        <v>144</v>
      </c>
      <c r="D25" s="1" t="s">
        <v>118</v>
      </c>
      <c r="E25" s="6"/>
      <c r="F25" s="6"/>
      <c r="G25" s="6"/>
      <c r="H25" s="6"/>
      <c r="I25" s="6"/>
      <c r="J25" s="6">
        <v>5</v>
      </c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/>
      <c r="B26" s="1" t="s">
        <v>148</v>
      </c>
      <c r="C26" s="1" t="s">
        <v>144</v>
      </c>
      <c r="D26" s="1" t="s">
        <v>118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>
        <v>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149</v>
      </c>
      <c r="C27" s="1" t="s">
        <v>144</v>
      </c>
      <c r="D27" s="1" t="s">
        <v>118</v>
      </c>
      <c r="E27" s="6"/>
      <c r="F27" s="6"/>
      <c r="G27" s="6"/>
      <c r="H27" s="6"/>
      <c r="I27" s="6"/>
      <c r="J27" s="6"/>
      <c r="K27" s="6">
        <v>5</v>
      </c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151</v>
      </c>
      <c r="C28" s="1" t="s">
        <v>144</v>
      </c>
      <c r="D28" s="1" t="s">
        <v>118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186</v>
      </c>
      <c r="C29" s="1" t="s">
        <v>185</v>
      </c>
      <c r="D29" s="1" t="s">
        <v>157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187</v>
      </c>
      <c r="C30" s="1" t="s">
        <v>188</v>
      </c>
      <c r="D30" s="1" t="s">
        <v>157</v>
      </c>
      <c r="E30" s="6"/>
      <c r="F30" s="6"/>
      <c r="G30" s="6"/>
      <c r="H30" s="6"/>
      <c r="I30" s="6"/>
      <c r="J30" s="6">
        <v>5</v>
      </c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189</v>
      </c>
      <c r="C31" s="1" t="s">
        <v>190</v>
      </c>
      <c r="D31" s="1" t="s">
        <v>158</v>
      </c>
      <c r="E31" s="6"/>
      <c r="F31" s="6"/>
      <c r="G31" s="6"/>
      <c r="H31" s="6"/>
      <c r="I31" s="6"/>
      <c r="J31" s="6"/>
      <c r="K31" s="6"/>
      <c r="L31" s="6">
        <v>6</v>
      </c>
      <c r="M31" s="6"/>
      <c r="N31" s="6"/>
      <c r="O31" s="6">
        <v>6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10</v>
      </c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196</v>
      </c>
      <c r="C32" s="1" t="s">
        <v>190</v>
      </c>
      <c r="D32" s="1" t="s">
        <v>157</v>
      </c>
      <c r="E32" s="6"/>
      <c r="F32" s="6"/>
      <c r="G32" s="6"/>
      <c r="H32" s="6"/>
      <c r="I32" s="6"/>
      <c r="J32" s="6"/>
      <c r="K32" s="6">
        <v>5</v>
      </c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s="25" customFormat="1" x14ac:dyDescent="0.15">
      <c r="A33" s="1"/>
      <c r="B33" s="1" t="s">
        <v>173</v>
      </c>
      <c r="C33" s="1" t="s">
        <v>174</v>
      </c>
      <c r="D33" s="1" t="s">
        <v>156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>
        <v>10</v>
      </c>
      <c r="Q33" s="32"/>
      <c r="R33" s="32"/>
      <c r="S33" s="32">
        <v>10</v>
      </c>
      <c r="T33" s="32"/>
      <c r="U33" s="32"/>
      <c r="V33" s="32">
        <v>10</v>
      </c>
      <c r="W33" s="32"/>
      <c r="X33" s="32"/>
      <c r="Y33" s="32">
        <v>10</v>
      </c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181</v>
      </c>
      <c r="C34" s="1" t="s">
        <v>179</v>
      </c>
      <c r="D34" s="1" t="s">
        <v>156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>
        <v>10</v>
      </c>
      <c r="Q34" s="32"/>
      <c r="R34" s="32"/>
      <c r="S34" s="32">
        <v>10</v>
      </c>
      <c r="T34" s="32"/>
      <c r="U34" s="32"/>
      <c r="V34" s="32">
        <v>10</v>
      </c>
      <c r="W34" s="32"/>
      <c r="X34" s="32"/>
      <c r="Y34" s="32">
        <v>10</v>
      </c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183</v>
      </c>
      <c r="C35" s="1" t="s">
        <v>185</v>
      </c>
      <c r="D35" s="1" t="s">
        <v>156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>
        <v>10</v>
      </c>
      <c r="Q35" s="32"/>
      <c r="R35" s="32"/>
      <c r="S35" s="32">
        <v>10</v>
      </c>
      <c r="T35" s="32"/>
      <c r="U35" s="32"/>
      <c r="V35" s="32">
        <v>10</v>
      </c>
      <c r="W35" s="32"/>
      <c r="X35" s="32"/>
      <c r="Y35" s="32">
        <v>10</v>
      </c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192</v>
      </c>
      <c r="C36" s="1" t="s">
        <v>190</v>
      </c>
      <c r="D36" s="1" t="s">
        <v>156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>
        <v>10</v>
      </c>
      <c r="Q36" s="32"/>
      <c r="R36" s="32"/>
      <c r="S36" s="32">
        <v>10</v>
      </c>
      <c r="T36" s="32"/>
      <c r="U36" s="32"/>
      <c r="V36" s="32">
        <v>10</v>
      </c>
      <c r="W36" s="32"/>
      <c r="X36" s="32"/>
      <c r="Y36" s="32">
        <v>10</v>
      </c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195</v>
      </c>
      <c r="C37" s="1" t="s">
        <v>190</v>
      </c>
      <c r="D37" s="1" t="s">
        <v>156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197</v>
      </c>
      <c r="C38" s="1" t="s">
        <v>190</v>
      </c>
      <c r="D38" s="1" t="s">
        <v>156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>
        <v>97</v>
      </c>
      <c r="B39" s="3" t="s">
        <v>78</v>
      </c>
      <c r="C39" s="3" t="s">
        <v>77</v>
      </c>
      <c r="D39" s="1" t="s">
        <v>24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>
        <v>10</v>
      </c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10</v>
      </c>
      <c r="BQ39" s="1">
        <v>0</v>
      </c>
      <c r="BR39" s="17">
        <v>0</v>
      </c>
      <c r="BS39" s="17"/>
      <c r="BT39" s="1" t="str">
        <f t="shared" ref="BT39:CE42" si="15">IF(AQ39&gt;AQ$158, AQ39-AQ$158,"")</f>
        <v/>
      </c>
      <c r="BU39" s="1" t="str">
        <f t="shared" si="15"/>
        <v/>
      </c>
      <c r="BV39" s="1" t="str">
        <f t="shared" si="15"/>
        <v/>
      </c>
      <c r="BW39" s="1" t="str">
        <f t="shared" si="15"/>
        <v/>
      </c>
      <c r="BX39" s="1" t="str">
        <f t="shared" si="15"/>
        <v/>
      </c>
      <c r="BY39" s="1" t="str">
        <f t="shared" si="15"/>
        <v/>
      </c>
      <c r="BZ39" s="1" t="str">
        <f t="shared" si="15"/>
        <v/>
      </c>
      <c r="CA39" s="1" t="str">
        <f t="shared" si="15"/>
        <v/>
      </c>
      <c r="CB39" s="1" t="str">
        <f t="shared" si="15"/>
        <v/>
      </c>
      <c r="CC39" s="1" t="str">
        <f t="shared" si="15"/>
        <v/>
      </c>
      <c r="CD39" s="1" t="str">
        <f t="shared" si="15"/>
        <v/>
      </c>
      <c r="CE39" s="1" t="str">
        <f t="shared" si="15"/>
        <v/>
      </c>
      <c r="CF39" s="1">
        <f>COUNTIF(BT39:CE39, "&gt;0")</f>
        <v>0</v>
      </c>
      <c r="CG39" s="1" t="str">
        <f t="shared" ref="CG39:CR42" si="16">IF($CF39=1,BT39,"")</f>
        <v/>
      </c>
      <c r="CH39" s="1" t="str">
        <f t="shared" si="16"/>
        <v/>
      </c>
      <c r="CI39" s="1" t="str">
        <f t="shared" si="16"/>
        <v/>
      </c>
      <c r="CJ39" s="1" t="str">
        <f t="shared" si="16"/>
        <v/>
      </c>
      <c r="CK39" s="1" t="str">
        <f t="shared" si="16"/>
        <v/>
      </c>
      <c r="CL39" s="1" t="str">
        <f t="shared" si="16"/>
        <v/>
      </c>
      <c r="CM39" s="1" t="str">
        <f t="shared" si="16"/>
        <v/>
      </c>
      <c r="CN39" s="1" t="str">
        <f t="shared" si="16"/>
        <v/>
      </c>
      <c r="CO39" s="1" t="str">
        <f t="shared" si="16"/>
        <v/>
      </c>
      <c r="CP39" s="1" t="str">
        <f t="shared" si="16"/>
        <v/>
      </c>
      <c r="CQ39" s="1" t="str">
        <f t="shared" si="16"/>
        <v/>
      </c>
      <c r="CR39" s="1" t="str">
        <f t="shared" si="16"/>
        <v/>
      </c>
      <c r="CS39" s="18">
        <f>SUM(AE39:BO39)</f>
        <v>10</v>
      </c>
    </row>
    <row r="40" spans="1:97" x14ac:dyDescent="0.15">
      <c r="A40" s="1">
        <v>91</v>
      </c>
      <c r="B40" s="3" t="s">
        <v>90</v>
      </c>
      <c r="C40" s="3" t="s">
        <v>89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>
        <v>5</v>
      </c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5</v>
      </c>
      <c r="BQ40" s="1">
        <v>1</v>
      </c>
      <c r="BR40" s="17">
        <v>1</v>
      </c>
      <c r="BS40" s="17" t="s">
        <v>204</v>
      </c>
      <c r="BT40" s="1" t="str">
        <f t="shared" si="15"/>
        <v/>
      </c>
      <c r="BU40" s="1" t="str">
        <f t="shared" si="15"/>
        <v/>
      </c>
      <c r="BV40" s="1" t="str">
        <f t="shared" si="15"/>
        <v/>
      </c>
      <c r="BW40" s="1" t="str">
        <f t="shared" si="15"/>
        <v/>
      </c>
      <c r="BX40" s="1" t="str">
        <f t="shared" si="15"/>
        <v/>
      </c>
      <c r="BY40" s="1" t="str">
        <f t="shared" si="15"/>
        <v/>
      </c>
      <c r="BZ40" s="1" t="str">
        <f t="shared" si="15"/>
        <v/>
      </c>
      <c r="CA40" s="1" t="str">
        <f t="shared" si="15"/>
        <v/>
      </c>
      <c r="CB40" s="1" t="str">
        <f t="shared" si="15"/>
        <v/>
      </c>
      <c r="CC40" s="1" t="str">
        <f t="shared" si="15"/>
        <v/>
      </c>
      <c r="CD40" s="1" t="str">
        <f t="shared" si="15"/>
        <v/>
      </c>
      <c r="CE40" s="1" t="str">
        <f t="shared" si="15"/>
        <v/>
      </c>
      <c r="CF40" s="1">
        <f>COUNTIF(BT40:CE40, "&gt;0")</f>
        <v>0</v>
      </c>
      <c r="CG40" s="1" t="str">
        <f t="shared" si="16"/>
        <v/>
      </c>
      <c r="CH40" s="1" t="str">
        <f t="shared" si="16"/>
        <v/>
      </c>
      <c r="CI40" s="1" t="str">
        <f t="shared" si="16"/>
        <v/>
      </c>
      <c r="CJ40" s="1" t="str">
        <f t="shared" si="16"/>
        <v/>
      </c>
      <c r="CK40" s="1" t="str">
        <f t="shared" si="16"/>
        <v/>
      </c>
      <c r="CL40" s="1" t="str">
        <f t="shared" si="16"/>
        <v/>
      </c>
      <c r="CM40" s="1" t="str">
        <f t="shared" si="16"/>
        <v/>
      </c>
      <c r="CN40" s="1" t="str">
        <f t="shared" si="16"/>
        <v/>
      </c>
      <c r="CO40" s="1" t="str">
        <f t="shared" si="16"/>
        <v/>
      </c>
      <c r="CP40" s="1" t="str">
        <f t="shared" si="16"/>
        <v/>
      </c>
      <c r="CQ40" s="1" t="str">
        <f t="shared" si="16"/>
        <v/>
      </c>
      <c r="CR40" s="1" t="str">
        <f t="shared" si="16"/>
        <v/>
      </c>
      <c r="CS40" s="18">
        <f>SUM(AE40:BO40)</f>
        <v>5</v>
      </c>
    </row>
    <row r="41" spans="1:97" x14ac:dyDescent="0.15">
      <c r="A41" s="19">
        <v>92</v>
      </c>
      <c r="B41" s="27" t="s">
        <v>91</v>
      </c>
      <c r="C41" s="27" t="s">
        <v>89</v>
      </c>
      <c r="D41" s="19" t="s">
        <v>24</v>
      </c>
      <c r="E41" s="20">
        <v>10</v>
      </c>
      <c r="F41" s="20"/>
      <c r="G41" s="20"/>
      <c r="H41" s="20"/>
      <c r="I41" s="20">
        <v>10</v>
      </c>
      <c r="J41" s="20">
        <v>10</v>
      </c>
      <c r="K41" s="20"/>
      <c r="L41" s="20"/>
      <c r="M41" s="20"/>
      <c r="N41" s="20"/>
      <c r="O41" s="20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21"/>
      <c r="AR41" s="21"/>
      <c r="AS41" s="21"/>
      <c r="AT41" s="21"/>
      <c r="AU41" s="21"/>
      <c r="AV41" s="21"/>
      <c r="AW41" s="22"/>
      <c r="AX41" s="22"/>
      <c r="AY41" s="22"/>
      <c r="AZ41" s="22"/>
      <c r="BA41" s="22"/>
      <c r="BB41" s="22"/>
      <c r="BC41" s="30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>
        <f>SUM(E41:BO41)</f>
        <v>30</v>
      </c>
      <c r="BQ41" s="19">
        <v>2</v>
      </c>
      <c r="BR41" s="23">
        <v>1</v>
      </c>
      <c r="BS41" s="23" t="s">
        <v>243</v>
      </c>
      <c r="BT41" s="19" t="str">
        <f t="shared" si="15"/>
        <v/>
      </c>
      <c r="BU41" s="19" t="str">
        <f t="shared" si="15"/>
        <v/>
      </c>
      <c r="BV41" s="19" t="str">
        <f t="shared" si="15"/>
        <v/>
      </c>
      <c r="BW41" s="19" t="str">
        <f t="shared" si="15"/>
        <v/>
      </c>
      <c r="BX41" s="19" t="str">
        <f t="shared" si="15"/>
        <v/>
      </c>
      <c r="BY41" s="19" t="str">
        <f t="shared" si="15"/>
        <v/>
      </c>
      <c r="BZ41" s="19" t="str">
        <f t="shared" si="15"/>
        <v/>
      </c>
      <c r="CA41" s="19" t="str">
        <f t="shared" si="15"/>
        <v/>
      </c>
      <c r="CB41" s="19" t="str">
        <f t="shared" si="15"/>
        <v/>
      </c>
      <c r="CC41" s="19" t="str">
        <f t="shared" si="15"/>
        <v/>
      </c>
      <c r="CD41" s="19" t="str">
        <f t="shared" si="15"/>
        <v/>
      </c>
      <c r="CE41" s="19" t="str">
        <f t="shared" si="15"/>
        <v/>
      </c>
      <c r="CF41" s="19">
        <f>COUNTIF(BT41:CE41, "&gt;0")</f>
        <v>0</v>
      </c>
      <c r="CG41" s="19" t="str">
        <f t="shared" si="16"/>
        <v/>
      </c>
      <c r="CH41" s="19" t="str">
        <f t="shared" si="16"/>
        <v/>
      </c>
      <c r="CI41" s="19" t="str">
        <f t="shared" si="16"/>
        <v/>
      </c>
      <c r="CJ41" s="19" t="str">
        <f t="shared" si="16"/>
        <v/>
      </c>
      <c r="CK41" s="19" t="str">
        <f t="shared" si="16"/>
        <v/>
      </c>
      <c r="CL41" s="19" t="str">
        <f t="shared" si="16"/>
        <v/>
      </c>
      <c r="CM41" s="19" t="str">
        <f t="shared" si="16"/>
        <v/>
      </c>
      <c r="CN41" s="19" t="str">
        <f t="shared" si="16"/>
        <v/>
      </c>
      <c r="CO41" s="19" t="str">
        <f t="shared" si="16"/>
        <v/>
      </c>
      <c r="CP41" s="19" t="str">
        <f t="shared" si="16"/>
        <v/>
      </c>
      <c r="CQ41" s="19" t="str">
        <f t="shared" si="16"/>
        <v/>
      </c>
      <c r="CR41" s="19" t="str">
        <f t="shared" si="16"/>
        <v/>
      </c>
      <c r="CS41" s="24">
        <f>SUM(AE41:BO41)</f>
        <v>0</v>
      </c>
    </row>
    <row r="42" spans="1:97" x14ac:dyDescent="0.15">
      <c r="A42" s="1">
        <v>84</v>
      </c>
      <c r="B42" s="3" t="s">
        <v>75</v>
      </c>
      <c r="C42" s="3" t="s">
        <v>70</v>
      </c>
      <c r="D42" s="1" t="s">
        <v>13</v>
      </c>
      <c r="E42" s="6"/>
      <c r="F42" s="6"/>
      <c r="G42" s="6">
        <v>5</v>
      </c>
      <c r="H42" s="6">
        <v>5</v>
      </c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>
        <v>5</v>
      </c>
      <c r="BB42" s="2">
        <v>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20</v>
      </c>
      <c r="BQ42" s="1">
        <v>2</v>
      </c>
      <c r="BR42" s="17">
        <v>1</v>
      </c>
      <c r="BS42" s="17" t="s">
        <v>244</v>
      </c>
      <c r="BT42" s="1" t="str">
        <f t="shared" si="15"/>
        <v/>
      </c>
      <c r="BU42" s="1" t="str">
        <f t="shared" si="15"/>
        <v/>
      </c>
      <c r="BV42" s="1" t="str">
        <f t="shared" si="15"/>
        <v/>
      </c>
      <c r="BW42" s="1" t="str">
        <f t="shared" si="15"/>
        <v/>
      </c>
      <c r="BX42" s="1" t="str">
        <f t="shared" si="15"/>
        <v/>
      </c>
      <c r="BY42" s="1" t="str">
        <f t="shared" si="15"/>
        <v/>
      </c>
      <c r="BZ42" s="1" t="str">
        <f t="shared" si="15"/>
        <v/>
      </c>
      <c r="CA42" s="1" t="str">
        <f t="shared" si="15"/>
        <v/>
      </c>
      <c r="CB42" s="1" t="str">
        <f t="shared" si="15"/>
        <v/>
      </c>
      <c r="CC42" s="1" t="str">
        <f t="shared" si="15"/>
        <v/>
      </c>
      <c r="CD42" s="1" t="str">
        <f t="shared" si="15"/>
        <v/>
      </c>
      <c r="CE42" s="1" t="str">
        <f t="shared" si="15"/>
        <v/>
      </c>
      <c r="CF42" s="1">
        <f>COUNTIF(BT42:CE42, "&gt;0")</f>
        <v>0</v>
      </c>
      <c r="CG42" s="1" t="str">
        <f t="shared" si="16"/>
        <v/>
      </c>
      <c r="CH42" s="1" t="str">
        <f t="shared" si="16"/>
        <v/>
      </c>
      <c r="CI42" s="1" t="str">
        <f t="shared" si="16"/>
        <v/>
      </c>
      <c r="CJ42" s="1" t="str">
        <f t="shared" si="16"/>
        <v/>
      </c>
      <c r="CK42" s="1" t="str">
        <f t="shared" si="16"/>
        <v/>
      </c>
      <c r="CL42" s="1" t="str">
        <f t="shared" si="16"/>
        <v/>
      </c>
      <c r="CM42" s="1" t="str">
        <f t="shared" si="16"/>
        <v/>
      </c>
      <c r="CN42" s="1" t="str">
        <f t="shared" si="16"/>
        <v/>
      </c>
      <c r="CO42" s="1" t="str">
        <f t="shared" si="16"/>
        <v/>
      </c>
      <c r="CP42" s="1" t="str">
        <f t="shared" si="16"/>
        <v/>
      </c>
      <c r="CQ42" s="1" t="str">
        <f t="shared" si="16"/>
        <v/>
      </c>
      <c r="CR42" s="1" t="str">
        <f t="shared" si="16"/>
        <v/>
      </c>
      <c r="CS42" s="18">
        <f>SUM(AE42:BO42)</f>
        <v>10</v>
      </c>
    </row>
    <row r="43" spans="1:97" x14ac:dyDescent="0.15">
      <c r="A43" s="1"/>
      <c r="B43" s="1" t="s">
        <v>134</v>
      </c>
      <c r="C43" s="1" t="s">
        <v>132</v>
      </c>
      <c r="D43" s="1" t="s">
        <v>119</v>
      </c>
      <c r="E43" s="6">
        <v>10</v>
      </c>
      <c r="F43" s="6"/>
      <c r="G43" s="6">
        <v>10</v>
      </c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>
        <v>10</v>
      </c>
      <c r="AS43" s="4"/>
      <c r="AT43" s="4"/>
      <c r="AU43" s="4"/>
      <c r="AV43" s="4"/>
      <c r="AW43" s="2"/>
      <c r="AX43" s="2"/>
      <c r="AY43" s="2"/>
      <c r="AZ43" s="2"/>
      <c r="BA43" s="2"/>
      <c r="BB43" s="2">
        <v>10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2</v>
      </c>
      <c r="BR43" s="17">
        <v>1</v>
      </c>
      <c r="BS43" s="17" t="s">
        <v>243</v>
      </c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150</v>
      </c>
      <c r="C44" s="1" t="s">
        <v>144</v>
      </c>
      <c r="D44" s="1" t="s">
        <v>118</v>
      </c>
      <c r="E44" s="6"/>
      <c r="F44" s="6"/>
      <c r="G44" s="6"/>
      <c r="H44" s="6">
        <v>5</v>
      </c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2</v>
      </c>
      <c r="BR44" s="17">
        <v>1</v>
      </c>
      <c r="BS44" s="17" t="s">
        <v>244</v>
      </c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187</v>
      </c>
      <c r="C45" s="1" t="s">
        <v>188</v>
      </c>
      <c r="D45" s="1" t="s">
        <v>158</v>
      </c>
      <c r="E45" s="6">
        <v>10</v>
      </c>
      <c r="F45" s="6"/>
      <c r="G45" s="6">
        <v>10</v>
      </c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>
        <v>10</v>
      </c>
      <c r="AS45" s="4"/>
      <c r="AT45" s="4"/>
      <c r="AU45" s="4"/>
      <c r="AV45" s="4"/>
      <c r="AW45" s="2"/>
      <c r="AX45" s="2"/>
      <c r="AY45" s="2"/>
      <c r="AZ45" s="2"/>
      <c r="BA45" s="2"/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2</v>
      </c>
      <c r="BR45" s="17">
        <v>1</v>
      </c>
      <c r="BS45" s="17" t="s">
        <v>243</v>
      </c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9">
        <v>37</v>
      </c>
      <c r="B46" s="19" t="s">
        <v>52</v>
      </c>
      <c r="C46" s="19" t="s">
        <v>49</v>
      </c>
      <c r="D46" s="19" t="s">
        <v>25</v>
      </c>
      <c r="E46" s="20"/>
      <c r="F46" s="20">
        <v>5</v>
      </c>
      <c r="G46" s="20"/>
      <c r="H46" s="20"/>
      <c r="I46" s="20"/>
      <c r="J46" s="20"/>
      <c r="K46" s="20"/>
      <c r="L46" s="20"/>
      <c r="M46" s="20"/>
      <c r="N46" s="20"/>
      <c r="O46" s="20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21"/>
      <c r="AR46" s="21"/>
      <c r="AS46" s="21"/>
      <c r="AT46" s="21"/>
      <c r="AU46" s="21"/>
      <c r="AV46" s="21"/>
      <c r="AW46" s="22"/>
      <c r="AX46" s="22"/>
      <c r="AY46" s="22"/>
      <c r="AZ46" s="22"/>
      <c r="BA46" s="22"/>
      <c r="BB46" s="22"/>
      <c r="BC46" s="30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>
        <f>SUM(E46:BO46)</f>
        <v>5</v>
      </c>
      <c r="BQ46" s="19">
        <v>2</v>
      </c>
      <c r="BR46" s="23">
        <v>1</v>
      </c>
      <c r="BS46" s="23" t="s">
        <v>245</v>
      </c>
      <c r="BT46" s="19" t="str">
        <f t="shared" ref="BT46:CE46" si="17">IF(AQ46&gt;AQ$158, AQ46-AQ$158,"")</f>
        <v/>
      </c>
      <c r="BU46" s="19" t="str">
        <f t="shared" si="17"/>
        <v/>
      </c>
      <c r="BV46" s="19" t="str">
        <f t="shared" si="17"/>
        <v/>
      </c>
      <c r="BW46" s="19" t="str">
        <f t="shared" si="17"/>
        <v/>
      </c>
      <c r="BX46" s="19" t="str">
        <f t="shared" si="17"/>
        <v/>
      </c>
      <c r="BY46" s="19" t="str">
        <f t="shared" si="17"/>
        <v/>
      </c>
      <c r="BZ46" s="19" t="str">
        <f t="shared" si="17"/>
        <v/>
      </c>
      <c r="CA46" s="19" t="str">
        <f t="shared" si="17"/>
        <v/>
      </c>
      <c r="CB46" s="19" t="str">
        <f t="shared" si="17"/>
        <v/>
      </c>
      <c r="CC46" s="19" t="str">
        <f t="shared" si="17"/>
        <v/>
      </c>
      <c r="CD46" s="19" t="str">
        <f t="shared" si="17"/>
        <v/>
      </c>
      <c r="CE46" s="19" t="str">
        <f t="shared" si="17"/>
        <v/>
      </c>
      <c r="CF46" s="19">
        <f>COUNTIF(BT46:CE46, "&gt;0")</f>
        <v>0</v>
      </c>
      <c r="CG46" s="19" t="str">
        <f t="shared" ref="CG46:CR46" si="18">IF($CF46=1,BT46,"")</f>
        <v/>
      </c>
      <c r="CH46" s="19" t="str">
        <f t="shared" si="18"/>
        <v/>
      </c>
      <c r="CI46" s="19" t="str">
        <f t="shared" si="18"/>
        <v/>
      </c>
      <c r="CJ46" s="19" t="str">
        <f t="shared" si="18"/>
        <v/>
      </c>
      <c r="CK46" s="19" t="str">
        <f t="shared" si="18"/>
        <v/>
      </c>
      <c r="CL46" s="19" t="str">
        <f t="shared" si="18"/>
        <v/>
      </c>
      <c r="CM46" s="19" t="str">
        <f t="shared" si="18"/>
        <v/>
      </c>
      <c r="CN46" s="19" t="str">
        <f t="shared" si="18"/>
        <v/>
      </c>
      <c r="CO46" s="19" t="str">
        <f t="shared" si="18"/>
        <v/>
      </c>
      <c r="CP46" s="19" t="str">
        <f t="shared" si="18"/>
        <v/>
      </c>
      <c r="CQ46" s="19" t="str">
        <f t="shared" si="18"/>
        <v/>
      </c>
      <c r="CR46" s="19" t="str">
        <f t="shared" si="18"/>
        <v/>
      </c>
      <c r="CS46" s="24">
        <f>SUM(AE46:BO46)</f>
        <v>0</v>
      </c>
    </row>
    <row r="47" spans="1:97" s="25" customFormat="1" x14ac:dyDescent="0.15">
      <c r="A47" s="1"/>
      <c r="B47" s="1" t="s">
        <v>129</v>
      </c>
      <c r="C47" s="1" t="s">
        <v>121</v>
      </c>
      <c r="D47" s="1" t="s">
        <v>118</v>
      </c>
      <c r="E47" s="6"/>
      <c r="F47" s="6">
        <v>5</v>
      </c>
      <c r="G47" s="6"/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2</v>
      </c>
      <c r="BR47" s="17">
        <v>1</v>
      </c>
      <c r="BS47" s="17" t="s">
        <v>245</v>
      </c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147</v>
      </c>
      <c r="C48" s="1" t="s">
        <v>144</v>
      </c>
      <c r="D48" s="1" t="s">
        <v>118</v>
      </c>
      <c r="E48" s="6"/>
      <c r="F48" s="6">
        <v>5</v>
      </c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245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130</v>
      </c>
      <c r="C49" s="1" t="s">
        <v>121</v>
      </c>
      <c r="D49" s="1" t="s">
        <v>126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2</v>
      </c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200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>
        <v>69</v>
      </c>
      <c r="B50" s="3" t="s">
        <v>69</v>
      </c>
      <c r="C50" s="1" t="s">
        <v>62</v>
      </c>
      <c r="D50" s="1" t="s">
        <v>13</v>
      </c>
      <c r="E50" s="6"/>
      <c r="F50" s="6"/>
      <c r="G50" s="6"/>
      <c r="H50" s="6">
        <v>6</v>
      </c>
      <c r="I50" s="6">
        <v>6</v>
      </c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>
        <v>10</v>
      </c>
      <c r="AW50" s="2"/>
      <c r="AX50" s="2">
        <v>10</v>
      </c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3</v>
      </c>
      <c r="BR50" s="17">
        <v>1</v>
      </c>
      <c r="BS50" s="17" t="s">
        <v>246</v>
      </c>
      <c r="BT50" s="1" t="str">
        <f t="shared" ref="BT50:CE51" si="19">IF(AQ50&gt;AQ$158, AQ50-AQ$158,"")</f>
        <v/>
      </c>
      <c r="BU50" s="1" t="str">
        <f t="shared" si="19"/>
        <v/>
      </c>
      <c r="BV50" s="1" t="str">
        <f t="shared" si="19"/>
        <v/>
      </c>
      <c r="BW50" s="1" t="str">
        <f t="shared" si="19"/>
        <v/>
      </c>
      <c r="BX50" s="1" t="str">
        <f t="shared" si="19"/>
        <v/>
      </c>
      <c r="BY50" s="1" t="str">
        <f t="shared" si="19"/>
        <v/>
      </c>
      <c r="BZ50" s="1" t="str">
        <f t="shared" si="19"/>
        <v/>
      </c>
      <c r="CA50" s="1" t="str">
        <f t="shared" si="19"/>
        <v/>
      </c>
      <c r="CB50" s="1" t="str">
        <f t="shared" si="19"/>
        <v/>
      </c>
      <c r="CC50" s="1" t="str">
        <f t="shared" si="19"/>
        <v/>
      </c>
      <c r="CD50" s="1" t="str">
        <f t="shared" si="19"/>
        <v/>
      </c>
      <c r="CE50" s="1" t="str">
        <f t="shared" si="19"/>
        <v/>
      </c>
      <c r="CF50" s="1">
        <f>COUNTIF(BT50:CE50, "&gt;0")</f>
        <v>0</v>
      </c>
      <c r="CG50" s="1" t="str">
        <f t="shared" ref="CG50:CR51" si="20">IF($CF50=1,BT50,"")</f>
        <v/>
      </c>
      <c r="CH50" s="1" t="str">
        <f t="shared" si="20"/>
        <v/>
      </c>
      <c r="CI50" s="1" t="str">
        <f t="shared" si="20"/>
        <v/>
      </c>
      <c r="CJ50" s="1" t="str">
        <f t="shared" si="20"/>
        <v/>
      </c>
      <c r="CK50" s="1" t="str">
        <f t="shared" si="20"/>
        <v/>
      </c>
      <c r="CL50" s="1" t="str">
        <f t="shared" si="20"/>
        <v/>
      </c>
      <c r="CM50" s="1" t="str">
        <f t="shared" si="20"/>
        <v/>
      </c>
      <c r="CN50" s="1" t="str">
        <f t="shared" si="20"/>
        <v/>
      </c>
      <c r="CO50" s="1" t="str">
        <f t="shared" si="20"/>
        <v/>
      </c>
      <c r="CP50" s="1" t="str">
        <f t="shared" si="20"/>
        <v/>
      </c>
      <c r="CQ50" s="1" t="str">
        <f t="shared" si="20"/>
        <v/>
      </c>
      <c r="CR50" s="1" t="str">
        <f t="shared" si="20"/>
        <v/>
      </c>
      <c r="CS50" s="18">
        <f>SUM(AE50:BO50)</f>
        <v>20</v>
      </c>
    </row>
    <row r="51" spans="1:97" x14ac:dyDescent="0.15">
      <c r="A51" s="1">
        <v>8</v>
      </c>
      <c r="B51" s="1" t="s">
        <v>56</v>
      </c>
      <c r="C51" s="1" t="s">
        <v>2</v>
      </c>
      <c r="D51" s="1" t="s">
        <v>26</v>
      </c>
      <c r="E51" s="6">
        <v>6</v>
      </c>
      <c r="F51" s="6"/>
      <c r="G51" s="6"/>
      <c r="H51" s="6">
        <v>6</v>
      </c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3</v>
      </c>
      <c r="BR51" s="17">
        <v>1</v>
      </c>
      <c r="BS51" s="17" t="s">
        <v>246</v>
      </c>
      <c r="BT51" s="1" t="str">
        <f t="shared" si="19"/>
        <v/>
      </c>
      <c r="BU51" s="1" t="str">
        <f t="shared" si="19"/>
        <v/>
      </c>
      <c r="BV51" s="1" t="str">
        <f t="shared" si="19"/>
        <v/>
      </c>
      <c r="BW51" s="1" t="str">
        <f t="shared" si="19"/>
        <v/>
      </c>
      <c r="BX51" s="1" t="str">
        <f t="shared" si="19"/>
        <v/>
      </c>
      <c r="BY51" s="1" t="str">
        <f t="shared" si="19"/>
        <v/>
      </c>
      <c r="BZ51" s="1" t="str">
        <f t="shared" si="19"/>
        <v/>
      </c>
      <c r="CA51" s="1" t="str">
        <f t="shared" si="19"/>
        <v/>
      </c>
      <c r="CB51" s="1" t="str">
        <f t="shared" si="19"/>
        <v/>
      </c>
      <c r="CC51" s="1" t="str">
        <f t="shared" si="19"/>
        <v/>
      </c>
      <c r="CD51" s="1" t="str">
        <f t="shared" si="19"/>
        <v/>
      </c>
      <c r="CE51" s="1" t="str">
        <f t="shared" si="19"/>
        <v/>
      </c>
      <c r="CF51" s="1">
        <f>COUNTIF(BT51:CE51, "&gt;0")</f>
        <v>0</v>
      </c>
      <c r="CG51" s="1" t="str">
        <f t="shared" si="20"/>
        <v/>
      </c>
      <c r="CH51" s="1" t="str">
        <f t="shared" si="20"/>
        <v/>
      </c>
      <c r="CI51" s="1" t="str">
        <f t="shared" si="20"/>
        <v/>
      </c>
      <c r="CJ51" s="1" t="str">
        <f t="shared" si="20"/>
        <v/>
      </c>
      <c r="CK51" s="1" t="str">
        <f t="shared" si="20"/>
        <v/>
      </c>
      <c r="CL51" s="1" t="str">
        <f t="shared" si="20"/>
        <v/>
      </c>
      <c r="CM51" s="1" t="str">
        <f t="shared" si="20"/>
        <v/>
      </c>
      <c r="CN51" s="1" t="str">
        <f t="shared" si="20"/>
        <v/>
      </c>
      <c r="CO51" s="1" t="str">
        <f t="shared" si="20"/>
        <v/>
      </c>
      <c r="CP51" s="1" t="str">
        <f t="shared" si="20"/>
        <v/>
      </c>
      <c r="CQ51" s="1" t="str">
        <f t="shared" si="20"/>
        <v/>
      </c>
      <c r="CR51" s="1" t="str">
        <f t="shared" si="20"/>
        <v/>
      </c>
      <c r="CS51" s="18">
        <f>SUM(AE51:BO51)</f>
        <v>20</v>
      </c>
    </row>
    <row r="52" spans="1:97" x14ac:dyDescent="0.15">
      <c r="A52" s="1"/>
      <c r="B52" s="1" t="s">
        <v>199</v>
      </c>
      <c r="C52" s="1" t="s">
        <v>141</v>
      </c>
      <c r="D52" s="1" t="s">
        <v>119</v>
      </c>
      <c r="E52" s="6"/>
      <c r="F52" s="6"/>
      <c r="G52" s="6">
        <v>6</v>
      </c>
      <c r="H52" s="6">
        <v>6</v>
      </c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>
        <v>10</v>
      </c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3</v>
      </c>
      <c r="BR52" s="17">
        <v>1</v>
      </c>
      <c r="BS52" s="17" t="s">
        <v>246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150</v>
      </c>
      <c r="C53" s="1" t="s">
        <v>144</v>
      </c>
      <c r="D53" s="1" t="s">
        <v>119</v>
      </c>
      <c r="E53" s="6"/>
      <c r="F53" s="6"/>
      <c r="G53" s="6"/>
      <c r="H53" s="6">
        <v>6</v>
      </c>
      <c r="I53" s="6"/>
      <c r="J53" s="6">
        <v>6</v>
      </c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8</v>
      </c>
      <c r="AU53" s="4"/>
      <c r="AV53" s="4"/>
      <c r="AW53" s="2"/>
      <c r="AX53" s="2"/>
      <c r="AY53" s="2">
        <v>8</v>
      </c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3</v>
      </c>
      <c r="BR53" s="17">
        <v>1</v>
      </c>
      <c r="BS53" s="17" t="s">
        <v>246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>
        <v>68</v>
      </c>
      <c r="B54" s="3" t="s">
        <v>113</v>
      </c>
      <c r="C54" s="1" t="s">
        <v>62</v>
      </c>
      <c r="D54" s="1" t="s">
        <v>13</v>
      </c>
      <c r="E54" s="6"/>
      <c r="F54" s="6">
        <v>6</v>
      </c>
      <c r="G54" s="6"/>
      <c r="H54" s="6"/>
      <c r="I54" s="6"/>
      <c r="J54" s="6"/>
      <c r="K54" s="6"/>
      <c r="L54" s="6"/>
      <c r="M54" s="6"/>
      <c r="N54" s="6">
        <v>6</v>
      </c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>
        <v>10</v>
      </c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3</v>
      </c>
      <c r="BR54" s="17">
        <v>1</v>
      </c>
      <c r="BS54" s="17" t="s">
        <v>202</v>
      </c>
      <c r="BT54" s="1" t="str">
        <f t="shared" ref="BT54:CE54" si="21">IF(AQ54&gt;AQ$158, AQ54-AQ$158,"")</f>
        <v/>
      </c>
      <c r="BU54" s="1" t="str">
        <f t="shared" si="21"/>
        <v/>
      </c>
      <c r="BV54" s="1" t="str">
        <f t="shared" si="21"/>
        <v/>
      </c>
      <c r="BW54" s="1" t="str">
        <f t="shared" si="21"/>
        <v/>
      </c>
      <c r="BX54" s="1" t="str">
        <f t="shared" si="21"/>
        <v/>
      </c>
      <c r="BY54" s="1" t="str">
        <f t="shared" si="21"/>
        <v/>
      </c>
      <c r="BZ54" s="1" t="str">
        <f t="shared" si="21"/>
        <v/>
      </c>
      <c r="CA54" s="1" t="str">
        <f t="shared" si="21"/>
        <v/>
      </c>
      <c r="CB54" s="1" t="str">
        <f t="shared" si="21"/>
        <v/>
      </c>
      <c r="CC54" s="1" t="str">
        <f t="shared" si="21"/>
        <v/>
      </c>
      <c r="CD54" s="1" t="str">
        <f t="shared" si="21"/>
        <v/>
      </c>
      <c r="CE54" s="1" t="str">
        <f t="shared" si="21"/>
        <v/>
      </c>
      <c r="CF54" s="1">
        <f>COUNTIF(BT54:CE54, "&gt;0")</f>
        <v>0</v>
      </c>
      <c r="CG54" s="1" t="str">
        <f t="shared" ref="CG54:CR54" si="22">IF($CF54=1,BT54,"")</f>
        <v/>
      </c>
      <c r="CH54" s="1" t="str">
        <f t="shared" si="22"/>
        <v/>
      </c>
      <c r="CI54" s="1" t="str">
        <f t="shared" si="22"/>
        <v/>
      </c>
      <c r="CJ54" s="1" t="str">
        <f t="shared" si="22"/>
        <v/>
      </c>
      <c r="CK54" s="1" t="str">
        <f t="shared" si="22"/>
        <v/>
      </c>
      <c r="CL54" s="1" t="str">
        <f t="shared" si="22"/>
        <v/>
      </c>
      <c r="CM54" s="1" t="str">
        <f t="shared" si="22"/>
        <v/>
      </c>
      <c r="CN54" s="1" t="str">
        <f t="shared" si="22"/>
        <v/>
      </c>
      <c r="CO54" s="1" t="str">
        <f t="shared" si="22"/>
        <v/>
      </c>
      <c r="CP54" s="1" t="str">
        <f t="shared" si="22"/>
        <v/>
      </c>
      <c r="CQ54" s="1" t="str">
        <f t="shared" si="22"/>
        <v/>
      </c>
      <c r="CR54" s="1" t="str">
        <f t="shared" si="22"/>
        <v/>
      </c>
      <c r="CS54" s="18">
        <f>SUM(AE54:BO54)</f>
        <v>20</v>
      </c>
    </row>
    <row r="55" spans="1:97" x14ac:dyDescent="0.15">
      <c r="A55" s="1"/>
      <c r="B55" s="1" t="s">
        <v>148</v>
      </c>
      <c r="C55" s="1" t="s">
        <v>144</v>
      </c>
      <c r="D55" s="1" t="s">
        <v>119</v>
      </c>
      <c r="E55" s="6"/>
      <c r="F55" s="6">
        <v>6</v>
      </c>
      <c r="G55" s="6"/>
      <c r="H55" s="6"/>
      <c r="I55" s="6"/>
      <c r="J55" s="6"/>
      <c r="K55" s="6"/>
      <c r="L55" s="6"/>
      <c r="M55" s="6"/>
      <c r="N55" s="6"/>
      <c r="O55" s="6">
        <v>6</v>
      </c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>
        <v>10</v>
      </c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v>3</v>
      </c>
      <c r="BR55" s="17">
        <v>1</v>
      </c>
      <c r="BS55" s="17" t="s">
        <v>202</v>
      </c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x14ac:dyDescent="0.15">
      <c r="A56" s="1"/>
      <c r="B56" s="1" t="s">
        <v>195</v>
      </c>
      <c r="C56" s="1" t="s">
        <v>190</v>
      </c>
      <c r="D56" s="1" t="s">
        <v>158</v>
      </c>
      <c r="E56" s="6"/>
      <c r="F56" s="6"/>
      <c r="G56" s="6">
        <v>5</v>
      </c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>
        <v>5</v>
      </c>
      <c r="W56" s="32"/>
      <c r="X56" s="32"/>
      <c r="Y56" s="32">
        <v>5</v>
      </c>
      <c r="Z56" s="32"/>
      <c r="AA56" s="32"/>
      <c r="AB56" s="32"/>
      <c r="AC56" s="32">
        <v>5</v>
      </c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3</v>
      </c>
      <c r="BR56" s="17">
        <v>1</v>
      </c>
      <c r="BS56" s="17" t="s">
        <v>247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>
        <v>24</v>
      </c>
      <c r="B57" s="1" t="s">
        <v>47</v>
      </c>
      <c r="C57" s="1" t="s">
        <v>32</v>
      </c>
      <c r="D57" s="1" t="s">
        <v>26</v>
      </c>
      <c r="E57" s="6"/>
      <c r="F57" s="6"/>
      <c r="G57" s="6"/>
      <c r="H57" s="6"/>
      <c r="I57" s="6">
        <v>4</v>
      </c>
      <c r="J57" s="6"/>
      <c r="K57" s="6">
        <v>4</v>
      </c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5</v>
      </c>
      <c r="AT57" s="4"/>
      <c r="AU57" s="4"/>
      <c r="AV57" s="4"/>
      <c r="AW57" s="2">
        <v>5</v>
      </c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18</v>
      </c>
      <c r="BQ57" s="1">
        <v>3</v>
      </c>
      <c r="BR57" s="17">
        <v>1</v>
      </c>
      <c r="BS57" s="17" t="s">
        <v>248</v>
      </c>
      <c r="BT57" s="1" t="str">
        <f t="shared" ref="BT57:CE60" si="23">IF(AQ57&gt;AQ$158, AQ57-AQ$158,"")</f>
        <v/>
      </c>
      <c r="BU57" s="1" t="str">
        <f t="shared" si="23"/>
        <v/>
      </c>
      <c r="BV57" s="1">
        <f t="shared" si="23"/>
        <v>3</v>
      </c>
      <c r="BW57" s="1" t="str">
        <f t="shared" si="23"/>
        <v/>
      </c>
      <c r="BX57" s="1" t="str">
        <f t="shared" si="23"/>
        <v/>
      </c>
      <c r="BY57" s="1" t="str">
        <f t="shared" si="23"/>
        <v/>
      </c>
      <c r="BZ57" s="1" t="str">
        <f t="shared" si="23"/>
        <v/>
      </c>
      <c r="CA57" s="1" t="str">
        <f t="shared" si="23"/>
        <v/>
      </c>
      <c r="CB57" s="1" t="str">
        <f t="shared" si="23"/>
        <v/>
      </c>
      <c r="CC57" s="1" t="str">
        <f t="shared" si="23"/>
        <v/>
      </c>
      <c r="CD57" s="1" t="str">
        <f t="shared" si="23"/>
        <v/>
      </c>
      <c r="CE57" s="1" t="str">
        <f t="shared" si="23"/>
        <v/>
      </c>
      <c r="CF57" s="1">
        <f>COUNTIF(BT57:CE57, "&gt;0")</f>
        <v>1</v>
      </c>
      <c r="CG57" s="1" t="str">
        <f t="shared" ref="CG57:CR60" si="24">IF($CF57=1,BT57,"")</f>
        <v/>
      </c>
      <c r="CH57" s="1" t="str">
        <f t="shared" si="24"/>
        <v/>
      </c>
      <c r="CI57" s="1">
        <f t="shared" si="24"/>
        <v>3</v>
      </c>
      <c r="CJ57" s="1" t="str">
        <f t="shared" si="24"/>
        <v/>
      </c>
      <c r="CK57" s="1" t="str">
        <f t="shared" si="24"/>
        <v/>
      </c>
      <c r="CL57" s="1" t="str">
        <f t="shared" si="24"/>
        <v/>
      </c>
      <c r="CM57" s="1" t="str">
        <f t="shared" si="24"/>
        <v/>
      </c>
      <c r="CN57" s="1" t="str">
        <f t="shared" si="24"/>
        <v/>
      </c>
      <c r="CO57" s="1" t="str">
        <f t="shared" si="24"/>
        <v/>
      </c>
      <c r="CP57" s="1" t="str">
        <f t="shared" si="24"/>
        <v/>
      </c>
      <c r="CQ57" s="1" t="str">
        <f t="shared" si="24"/>
        <v/>
      </c>
      <c r="CR57" s="1" t="str">
        <f t="shared" si="24"/>
        <v/>
      </c>
      <c r="CS57" s="18">
        <f>SUM(AE57:BO57)</f>
        <v>10</v>
      </c>
    </row>
    <row r="58" spans="1:97" x14ac:dyDescent="0.15">
      <c r="A58" s="1">
        <v>2</v>
      </c>
      <c r="B58" s="1" t="s">
        <v>8</v>
      </c>
      <c r="C58" s="1" t="s">
        <v>2</v>
      </c>
      <c r="D58" s="1" t="s">
        <v>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>
        <v>15</v>
      </c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>
        <v>15</v>
      </c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30</v>
      </c>
      <c r="BQ58" s="1">
        <v>3</v>
      </c>
      <c r="BR58" s="17">
        <v>1</v>
      </c>
      <c r="BS58" s="17" t="s">
        <v>211</v>
      </c>
      <c r="BT58" s="1" t="str">
        <f t="shared" si="23"/>
        <v/>
      </c>
      <c r="BU58" s="1" t="str">
        <f t="shared" si="23"/>
        <v/>
      </c>
      <c r="BV58" s="1" t="str">
        <f t="shared" si="23"/>
        <v/>
      </c>
      <c r="BW58" s="1" t="str">
        <f t="shared" si="23"/>
        <v/>
      </c>
      <c r="BX58" s="1" t="str">
        <f t="shared" si="23"/>
        <v/>
      </c>
      <c r="BY58" s="1" t="str">
        <f t="shared" si="23"/>
        <v/>
      </c>
      <c r="BZ58" s="1" t="str">
        <f t="shared" si="23"/>
        <v/>
      </c>
      <c r="CA58" s="1" t="str">
        <f t="shared" si="23"/>
        <v/>
      </c>
      <c r="CB58" s="1" t="str">
        <f t="shared" si="23"/>
        <v/>
      </c>
      <c r="CC58" s="1" t="str">
        <f t="shared" si="23"/>
        <v/>
      </c>
      <c r="CD58" s="1" t="str">
        <f t="shared" si="23"/>
        <v/>
      </c>
      <c r="CE58" s="1" t="str">
        <f t="shared" si="23"/>
        <v/>
      </c>
      <c r="CF58" s="1">
        <f>COUNTIF(BT58:CE58, "&gt;0")</f>
        <v>0</v>
      </c>
      <c r="CG58" s="1" t="str">
        <f t="shared" si="24"/>
        <v/>
      </c>
      <c r="CH58" s="1" t="str">
        <f t="shared" si="24"/>
        <v/>
      </c>
      <c r="CI58" s="1" t="str">
        <f t="shared" si="24"/>
        <v/>
      </c>
      <c r="CJ58" s="1" t="str">
        <f t="shared" si="24"/>
        <v/>
      </c>
      <c r="CK58" s="1" t="str">
        <f t="shared" si="24"/>
        <v/>
      </c>
      <c r="CL58" s="1" t="str">
        <f t="shared" si="24"/>
        <v/>
      </c>
      <c r="CM58" s="1" t="str">
        <f t="shared" si="24"/>
        <v/>
      </c>
      <c r="CN58" s="1" t="str">
        <f t="shared" si="24"/>
        <v/>
      </c>
      <c r="CO58" s="1" t="str">
        <f t="shared" si="24"/>
        <v/>
      </c>
      <c r="CP58" s="1" t="str">
        <f t="shared" si="24"/>
        <v/>
      </c>
      <c r="CQ58" s="1" t="str">
        <f t="shared" si="24"/>
        <v/>
      </c>
      <c r="CR58" s="1" t="str">
        <f t="shared" si="24"/>
        <v/>
      </c>
      <c r="CS58" s="18">
        <f>SUM(AE58:BO58)</f>
        <v>30</v>
      </c>
    </row>
    <row r="59" spans="1:97" x14ac:dyDescent="0.15">
      <c r="A59" s="1">
        <v>41</v>
      </c>
      <c r="B59" s="1" t="s">
        <v>57</v>
      </c>
      <c r="C59" s="1" t="s">
        <v>49</v>
      </c>
      <c r="D59" s="1" t="s">
        <v>13</v>
      </c>
      <c r="E59" s="6"/>
      <c r="F59" s="6"/>
      <c r="G59" s="6"/>
      <c r="H59" s="6"/>
      <c r="I59" s="6"/>
      <c r="J59" s="6"/>
      <c r="K59" s="6"/>
      <c r="L59" s="6">
        <v>6</v>
      </c>
      <c r="M59" s="6"/>
      <c r="N59" s="6"/>
      <c r="O59" s="6">
        <v>6</v>
      </c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10</v>
      </c>
      <c r="AR59" s="4"/>
      <c r="AS59" s="4"/>
      <c r="AT59" s="4"/>
      <c r="AU59" s="4"/>
      <c r="AV59" s="4"/>
      <c r="AW59" s="2"/>
      <c r="AX59" s="2">
        <v>10</v>
      </c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4</v>
      </c>
      <c r="BR59" s="17">
        <v>1</v>
      </c>
      <c r="BS59" s="17" t="s">
        <v>249</v>
      </c>
      <c r="BT59" s="1">
        <f t="shared" si="23"/>
        <v>4</v>
      </c>
      <c r="BU59" s="1" t="str">
        <f t="shared" si="23"/>
        <v/>
      </c>
      <c r="BV59" s="1" t="str">
        <f t="shared" si="23"/>
        <v/>
      </c>
      <c r="BW59" s="1" t="str">
        <f t="shared" si="23"/>
        <v/>
      </c>
      <c r="BX59" s="1" t="str">
        <f t="shared" si="23"/>
        <v/>
      </c>
      <c r="BY59" s="1" t="str">
        <f t="shared" si="23"/>
        <v/>
      </c>
      <c r="BZ59" s="1" t="str">
        <f t="shared" si="23"/>
        <v/>
      </c>
      <c r="CA59" s="1" t="str">
        <f t="shared" si="23"/>
        <v/>
      </c>
      <c r="CB59" s="1" t="str">
        <f t="shared" si="23"/>
        <v/>
      </c>
      <c r="CC59" s="1" t="str">
        <f t="shared" si="23"/>
        <v/>
      </c>
      <c r="CD59" s="1" t="str">
        <f t="shared" si="23"/>
        <v/>
      </c>
      <c r="CE59" s="1" t="str">
        <f t="shared" si="23"/>
        <v/>
      </c>
      <c r="CF59" s="1">
        <f>COUNTIF(BT59:CE59, "&gt;0")</f>
        <v>1</v>
      </c>
      <c r="CG59" s="1">
        <f t="shared" si="24"/>
        <v>4</v>
      </c>
      <c r="CH59" s="1" t="str">
        <f t="shared" si="24"/>
        <v/>
      </c>
      <c r="CI59" s="1" t="str">
        <f t="shared" si="24"/>
        <v/>
      </c>
      <c r="CJ59" s="1" t="str">
        <f t="shared" si="24"/>
        <v/>
      </c>
      <c r="CK59" s="1" t="str">
        <f t="shared" si="24"/>
        <v/>
      </c>
      <c r="CL59" s="1" t="str">
        <f t="shared" si="24"/>
        <v/>
      </c>
      <c r="CM59" s="1" t="str">
        <f t="shared" si="24"/>
        <v/>
      </c>
      <c r="CN59" s="1" t="str">
        <f t="shared" si="24"/>
        <v/>
      </c>
      <c r="CO59" s="1" t="str">
        <f t="shared" si="24"/>
        <v/>
      </c>
      <c r="CP59" s="1" t="str">
        <f t="shared" si="24"/>
        <v/>
      </c>
      <c r="CQ59" s="1" t="str">
        <f t="shared" si="24"/>
        <v/>
      </c>
      <c r="CR59" s="1" t="str">
        <f t="shared" si="24"/>
        <v/>
      </c>
      <c r="CS59" s="18">
        <f>SUM(AE59:BO59)</f>
        <v>20</v>
      </c>
    </row>
    <row r="60" spans="1:97" x14ac:dyDescent="0.15">
      <c r="A60" s="1">
        <v>45</v>
      </c>
      <c r="B60" s="1" t="s">
        <v>116</v>
      </c>
      <c r="C60" s="1" t="s">
        <v>49</v>
      </c>
      <c r="D60" s="1" t="s">
        <v>13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4</v>
      </c>
      <c r="BR60" s="17">
        <v>1</v>
      </c>
      <c r="BS60" s="17" t="s">
        <v>249</v>
      </c>
      <c r="BT60" s="1">
        <f t="shared" si="23"/>
        <v>4</v>
      </c>
      <c r="BU60" s="1" t="str">
        <f t="shared" si="23"/>
        <v/>
      </c>
      <c r="BV60" s="1" t="str">
        <f t="shared" si="23"/>
        <v/>
      </c>
      <c r="BW60" s="1" t="str">
        <f t="shared" si="23"/>
        <v/>
      </c>
      <c r="BX60" s="1" t="str">
        <f t="shared" si="23"/>
        <v/>
      </c>
      <c r="BY60" s="1" t="str">
        <f t="shared" si="23"/>
        <v/>
      </c>
      <c r="BZ60" s="1" t="str">
        <f t="shared" si="23"/>
        <v/>
      </c>
      <c r="CA60" s="1" t="str">
        <f t="shared" si="23"/>
        <v/>
      </c>
      <c r="CB60" s="1" t="str">
        <f t="shared" si="23"/>
        <v/>
      </c>
      <c r="CC60" s="1" t="str">
        <f t="shared" si="23"/>
        <v/>
      </c>
      <c r="CD60" s="1" t="str">
        <f t="shared" si="23"/>
        <v/>
      </c>
      <c r="CE60" s="1" t="str">
        <f t="shared" si="23"/>
        <v/>
      </c>
      <c r="CF60" s="1">
        <f>COUNTIF(BT60:CE60, "&gt;0")</f>
        <v>1</v>
      </c>
      <c r="CG60" s="1">
        <f t="shared" si="24"/>
        <v>4</v>
      </c>
      <c r="CH60" s="1" t="str">
        <f t="shared" si="24"/>
        <v/>
      </c>
      <c r="CI60" s="1" t="str">
        <f t="shared" si="24"/>
        <v/>
      </c>
      <c r="CJ60" s="1" t="str">
        <f t="shared" si="24"/>
        <v/>
      </c>
      <c r="CK60" s="1" t="str">
        <f t="shared" si="24"/>
        <v/>
      </c>
      <c r="CL60" s="1" t="str">
        <f t="shared" si="24"/>
        <v/>
      </c>
      <c r="CM60" s="1" t="str">
        <f t="shared" si="24"/>
        <v/>
      </c>
      <c r="CN60" s="1" t="str">
        <f t="shared" si="24"/>
        <v/>
      </c>
      <c r="CO60" s="1" t="str">
        <f t="shared" si="24"/>
        <v/>
      </c>
      <c r="CP60" s="1" t="str">
        <f t="shared" si="24"/>
        <v/>
      </c>
      <c r="CQ60" s="1" t="str">
        <f t="shared" si="24"/>
        <v/>
      </c>
      <c r="CR60" s="1" t="str">
        <f t="shared" si="24"/>
        <v/>
      </c>
      <c r="CS60" s="18">
        <f>SUM(AE60:BO60)</f>
        <v>20</v>
      </c>
    </row>
    <row r="61" spans="1:97" x14ac:dyDescent="0.15">
      <c r="A61" s="1"/>
      <c r="B61" s="1" t="s">
        <v>138</v>
      </c>
      <c r="C61" s="1" t="s">
        <v>117</v>
      </c>
      <c r="D61" s="1" t="s">
        <v>118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10</v>
      </c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>
        <v>10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4</v>
      </c>
      <c r="BR61" s="17">
        <v>1</v>
      </c>
      <c r="BS61" s="17" t="s">
        <v>249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>
        <v>17</v>
      </c>
      <c r="B62" s="1" t="s">
        <v>35</v>
      </c>
      <c r="C62" s="1" t="s">
        <v>32</v>
      </c>
      <c r="D62" s="1" t="s">
        <v>24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>
        <v>5</v>
      </c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ref="BP62:BP68" si="25">SUM(E62:BO62)</f>
        <v>5</v>
      </c>
      <c r="BQ62" s="1">
        <v>5</v>
      </c>
      <c r="BR62" s="17">
        <v>1</v>
      </c>
      <c r="BS62" s="17" t="s">
        <v>250</v>
      </c>
      <c r="BT62" s="1" t="str">
        <f t="shared" ref="BT62:CE68" si="26">IF(AQ62&gt;AQ$158, AQ62-AQ$158,"")</f>
        <v/>
      </c>
      <c r="BU62" s="1" t="str">
        <f t="shared" si="26"/>
        <v/>
      </c>
      <c r="BV62" s="1" t="str">
        <f t="shared" si="26"/>
        <v/>
      </c>
      <c r="BW62" s="1" t="str">
        <f t="shared" si="26"/>
        <v/>
      </c>
      <c r="BX62" s="1" t="str">
        <f t="shared" si="26"/>
        <v/>
      </c>
      <c r="BY62" s="1" t="str">
        <f t="shared" si="26"/>
        <v/>
      </c>
      <c r="BZ62" s="1" t="str">
        <f t="shared" si="26"/>
        <v/>
      </c>
      <c r="CA62" s="1" t="str">
        <f t="shared" si="26"/>
        <v/>
      </c>
      <c r="CB62" s="1" t="str">
        <f t="shared" si="26"/>
        <v/>
      </c>
      <c r="CC62" s="1" t="str">
        <f t="shared" si="26"/>
        <v/>
      </c>
      <c r="CD62" s="1" t="str">
        <f t="shared" si="26"/>
        <v/>
      </c>
      <c r="CE62" s="1" t="str">
        <f t="shared" si="26"/>
        <v/>
      </c>
      <c r="CF62" s="1">
        <f t="shared" ref="CF62:CF68" si="27">COUNTIF(BT62:CE62, "&gt;0")</f>
        <v>0</v>
      </c>
      <c r="CG62" s="1" t="str">
        <f t="shared" ref="CG62:CR68" si="28">IF($CF62=1,BT62,"")</f>
        <v/>
      </c>
      <c r="CH62" s="1" t="str">
        <f t="shared" si="28"/>
        <v/>
      </c>
      <c r="CI62" s="1" t="str">
        <f t="shared" si="28"/>
        <v/>
      </c>
      <c r="CJ62" s="1" t="str">
        <f t="shared" si="28"/>
        <v/>
      </c>
      <c r="CK62" s="1" t="str">
        <f t="shared" si="28"/>
        <v/>
      </c>
      <c r="CL62" s="1" t="str">
        <f t="shared" si="28"/>
        <v/>
      </c>
      <c r="CM62" s="1" t="str">
        <f t="shared" si="28"/>
        <v/>
      </c>
      <c r="CN62" s="1" t="str">
        <f t="shared" si="28"/>
        <v/>
      </c>
      <c r="CO62" s="1" t="str">
        <f t="shared" si="28"/>
        <v/>
      </c>
      <c r="CP62" s="1" t="str">
        <f t="shared" si="28"/>
        <v/>
      </c>
      <c r="CQ62" s="1" t="str">
        <f t="shared" si="28"/>
        <v/>
      </c>
      <c r="CR62" s="1" t="str">
        <f t="shared" si="28"/>
        <v/>
      </c>
      <c r="CS62" s="18">
        <f t="shared" ref="CS62:CS68" si="29">SUM(AE62:BO62)</f>
        <v>5</v>
      </c>
    </row>
    <row r="63" spans="1:97" x14ac:dyDescent="0.15">
      <c r="A63" s="1">
        <v>18</v>
      </c>
      <c r="B63" s="1" t="s">
        <v>35</v>
      </c>
      <c r="C63" s="1" t="s">
        <v>32</v>
      </c>
      <c r="D63" s="1" t="s">
        <v>25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>
        <v>5</v>
      </c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25"/>
        <v>5</v>
      </c>
      <c r="BQ63" s="1">
        <v>5</v>
      </c>
      <c r="BR63" s="17">
        <v>1</v>
      </c>
      <c r="BS63" s="17" t="s">
        <v>205</v>
      </c>
      <c r="BT63" s="1" t="str">
        <f t="shared" si="26"/>
        <v/>
      </c>
      <c r="BU63" s="1" t="str">
        <f t="shared" si="26"/>
        <v/>
      </c>
      <c r="BV63" s="1" t="str">
        <f t="shared" si="26"/>
        <v/>
      </c>
      <c r="BW63" s="1" t="str">
        <f t="shared" si="26"/>
        <v/>
      </c>
      <c r="BX63" s="1" t="str">
        <f t="shared" si="26"/>
        <v/>
      </c>
      <c r="BY63" s="1" t="str">
        <f t="shared" si="26"/>
        <v/>
      </c>
      <c r="BZ63" s="1" t="str">
        <f t="shared" si="26"/>
        <v/>
      </c>
      <c r="CA63" s="1" t="str">
        <f t="shared" si="26"/>
        <v/>
      </c>
      <c r="CB63" s="1" t="str">
        <f t="shared" si="26"/>
        <v/>
      </c>
      <c r="CC63" s="1" t="str">
        <f t="shared" si="26"/>
        <v/>
      </c>
      <c r="CD63" s="1" t="str">
        <f t="shared" si="26"/>
        <v/>
      </c>
      <c r="CE63" s="1" t="str">
        <f t="shared" si="26"/>
        <v/>
      </c>
      <c r="CF63" s="1">
        <f t="shared" si="27"/>
        <v>0</v>
      </c>
      <c r="CG63" s="1" t="str">
        <f t="shared" si="28"/>
        <v/>
      </c>
      <c r="CH63" s="1" t="str">
        <f t="shared" si="28"/>
        <v/>
      </c>
      <c r="CI63" s="1" t="str">
        <f t="shared" si="28"/>
        <v/>
      </c>
      <c r="CJ63" s="1" t="str">
        <f t="shared" si="28"/>
        <v/>
      </c>
      <c r="CK63" s="1" t="str">
        <f t="shared" si="28"/>
        <v/>
      </c>
      <c r="CL63" s="1" t="str">
        <f t="shared" si="28"/>
        <v/>
      </c>
      <c r="CM63" s="1" t="str">
        <f t="shared" si="28"/>
        <v/>
      </c>
      <c r="CN63" s="1" t="str">
        <f t="shared" si="28"/>
        <v/>
      </c>
      <c r="CO63" s="1" t="str">
        <f t="shared" si="28"/>
        <v/>
      </c>
      <c r="CP63" s="1" t="str">
        <f t="shared" si="28"/>
        <v/>
      </c>
      <c r="CQ63" s="1" t="str">
        <f t="shared" si="28"/>
        <v/>
      </c>
      <c r="CR63" s="1" t="str">
        <f t="shared" si="28"/>
        <v/>
      </c>
      <c r="CS63" s="18">
        <f t="shared" si="29"/>
        <v>5</v>
      </c>
    </row>
    <row r="64" spans="1:97" x14ac:dyDescent="0.15">
      <c r="A64" s="1">
        <v>19</v>
      </c>
      <c r="B64" s="1" t="s">
        <v>38</v>
      </c>
      <c r="C64" s="1" t="s">
        <v>32</v>
      </c>
      <c r="D64" s="1" t="s">
        <v>24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>
        <v>5</v>
      </c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25"/>
        <v>5</v>
      </c>
      <c r="BQ64" s="1">
        <v>5</v>
      </c>
      <c r="BR64" s="17">
        <v>1</v>
      </c>
      <c r="BS64" s="17" t="s">
        <v>205</v>
      </c>
      <c r="BT64" s="1" t="str">
        <f t="shared" si="26"/>
        <v/>
      </c>
      <c r="BU64" s="1" t="str">
        <f t="shared" si="26"/>
        <v/>
      </c>
      <c r="BV64" s="1" t="str">
        <f t="shared" si="26"/>
        <v/>
      </c>
      <c r="BW64" s="1" t="str">
        <f t="shared" si="26"/>
        <v/>
      </c>
      <c r="BX64" s="1" t="str">
        <f t="shared" si="26"/>
        <v/>
      </c>
      <c r="BY64" s="1" t="str">
        <f t="shared" si="26"/>
        <v/>
      </c>
      <c r="BZ64" s="1" t="str">
        <f t="shared" si="26"/>
        <v/>
      </c>
      <c r="CA64" s="1" t="str">
        <f t="shared" si="26"/>
        <v/>
      </c>
      <c r="CB64" s="1" t="str">
        <f t="shared" si="26"/>
        <v/>
      </c>
      <c r="CC64" s="1" t="str">
        <f t="shared" si="26"/>
        <v/>
      </c>
      <c r="CD64" s="1" t="str">
        <f t="shared" si="26"/>
        <v/>
      </c>
      <c r="CE64" s="1" t="str">
        <f t="shared" si="26"/>
        <v/>
      </c>
      <c r="CF64" s="1">
        <f t="shared" si="27"/>
        <v>0</v>
      </c>
      <c r="CG64" s="1" t="str">
        <f t="shared" si="28"/>
        <v/>
      </c>
      <c r="CH64" s="1" t="str">
        <f t="shared" si="28"/>
        <v/>
      </c>
      <c r="CI64" s="1" t="str">
        <f t="shared" si="28"/>
        <v/>
      </c>
      <c r="CJ64" s="1" t="str">
        <f t="shared" si="28"/>
        <v/>
      </c>
      <c r="CK64" s="1" t="str">
        <f t="shared" si="28"/>
        <v/>
      </c>
      <c r="CL64" s="1" t="str">
        <f t="shared" si="28"/>
        <v/>
      </c>
      <c r="CM64" s="1" t="str">
        <f t="shared" si="28"/>
        <v/>
      </c>
      <c r="CN64" s="1" t="str">
        <f t="shared" si="28"/>
        <v/>
      </c>
      <c r="CO64" s="1" t="str">
        <f t="shared" si="28"/>
        <v/>
      </c>
      <c r="CP64" s="1" t="str">
        <f t="shared" si="28"/>
        <v/>
      </c>
      <c r="CQ64" s="1" t="str">
        <f t="shared" si="28"/>
        <v/>
      </c>
      <c r="CR64" s="1" t="str">
        <f t="shared" si="28"/>
        <v/>
      </c>
      <c r="CS64" s="18">
        <f t="shared" si="29"/>
        <v>5</v>
      </c>
    </row>
    <row r="65" spans="1:97" x14ac:dyDescent="0.15">
      <c r="A65" s="1">
        <v>32</v>
      </c>
      <c r="B65" s="1" t="s">
        <v>86</v>
      </c>
      <c r="C65" s="1" t="s">
        <v>32</v>
      </c>
      <c r="D65" s="1" t="s">
        <v>24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>
        <v>5</v>
      </c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25"/>
        <v>5</v>
      </c>
      <c r="BQ65" s="1">
        <v>5</v>
      </c>
      <c r="BR65" s="17">
        <v>1</v>
      </c>
      <c r="BS65" s="17" t="s">
        <v>206</v>
      </c>
      <c r="BT65" s="1" t="str">
        <f t="shared" si="26"/>
        <v/>
      </c>
      <c r="BU65" s="1" t="str">
        <f t="shared" si="26"/>
        <v/>
      </c>
      <c r="BV65" s="1" t="str">
        <f t="shared" si="26"/>
        <v/>
      </c>
      <c r="BW65" s="1" t="str">
        <f t="shared" si="26"/>
        <v/>
      </c>
      <c r="BX65" s="1" t="str">
        <f t="shared" si="26"/>
        <v/>
      </c>
      <c r="BY65" s="1" t="str">
        <f t="shared" si="26"/>
        <v/>
      </c>
      <c r="BZ65" s="1" t="str">
        <f t="shared" si="26"/>
        <v/>
      </c>
      <c r="CA65" s="1" t="str">
        <f t="shared" si="26"/>
        <v/>
      </c>
      <c r="CB65" s="1" t="str">
        <f t="shared" si="26"/>
        <v/>
      </c>
      <c r="CC65" s="1" t="str">
        <f t="shared" si="26"/>
        <v/>
      </c>
      <c r="CD65" s="1" t="str">
        <f t="shared" si="26"/>
        <v/>
      </c>
      <c r="CE65" s="1" t="str">
        <f t="shared" si="26"/>
        <v/>
      </c>
      <c r="CF65" s="1">
        <f t="shared" si="27"/>
        <v>0</v>
      </c>
      <c r="CG65" s="1" t="str">
        <f t="shared" si="28"/>
        <v/>
      </c>
      <c r="CH65" s="1" t="str">
        <f t="shared" si="28"/>
        <v/>
      </c>
      <c r="CI65" s="1" t="str">
        <f t="shared" si="28"/>
        <v/>
      </c>
      <c r="CJ65" s="1" t="str">
        <f t="shared" si="28"/>
        <v/>
      </c>
      <c r="CK65" s="1" t="str">
        <f t="shared" si="28"/>
        <v/>
      </c>
      <c r="CL65" s="1" t="str">
        <f t="shared" si="28"/>
        <v/>
      </c>
      <c r="CM65" s="1" t="str">
        <f t="shared" si="28"/>
        <v/>
      </c>
      <c r="CN65" s="1" t="str">
        <f t="shared" si="28"/>
        <v/>
      </c>
      <c r="CO65" s="1" t="str">
        <f t="shared" si="28"/>
        <v/>
      </c>
      <c r="CP65" s="1" t="str">
        <f t="shared" si="28"/>
        <v/>
      </c>
      <c r="CQ65" s="1" t="str">
        <f t="shared" si="28"/>
        <v/>
      </c>
      <c r="CR65" s="1" t="str">
        <f t="shared" si="28"/>
        <v/>
      </c>
      <c r="CS65" s="18">
        <f t="shared" si="29"/>
        <v>5</v>
      </c>
    </row>
    <row r="66" spans="1:97" x14ac:dyDescent="0.15">
      <c r="A66" s="1">
        <v>33</v>
      </c>
      <c r="B66" s="1" t="s">
        <v>86</v>
      </c>
      <c r="C66" s="1" t="s">
        <v>32</v>
      </c>
      <c r="D66" s="1" t="s">
        <v>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>
        <v>5</v>
      </c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25"/>
        <v>5</v>
      </c>
      <c r="BQ66" s="1">
        <v>5</v>
      </c>
      <c r="BR66" s="17">
        <v>1</v>
      </c>
      <c r="BS66" s="17" t="s">
        <v>251</v>
      </c>
      <c r="BT66" s="1" t="str">
        <f t="shared" si="26"/>
        <v/>
      </c>
      <c r="BU66" s="1" t="str">
        <f t="shared" si="26"/>
        <v/>
      </c>
      <c r="BV66" s="1" t="str">
        <f t="shared" si="26"/>
        <v/>
      </c>
      <c r="BW66" s="1" t="str">
        <f t="shared" si="26"/>
        <v/>
      </c>
      <c r="BX66" s="1" t="str">
        <f t="shared" si="26"/>
        <v/>
      </c>
      <c r="BY66" s="1" t="str">
        <f t="shared" si="26"/>
        <v/>
      </c>
      <c r="BZ66" s="1" t="str">
        <f t="shared" si="26"/>
        <v/>
      </c>
      <c r="CA66" s="1" t="str">
        <f t="shared" si="26"/>
        <v/>
      </c>
      <c r="CB66" s="1" t="str">
        <f t="shared" si="26"/>
        <v/>
      </c>
      <c r="CC66" s="1" t="str">
        <f t="shared" si="26"/>
        <v/>
      </c>
      <c r="CD66" s="1" t="str">
        <f t="shared" si="26"/>
        <v/>
      </c>
      <c r="CE66" s="1" t="str">
        <f t="shared" si="26"/>
        <v/>
      </c>
      <c r="CF66" s="1">
        <f t="shared" si="27"/>
        <v>0</v>
      </c>
      <c r="CG66" s="1" t="str">
        <f t="shared" si="28"/>
        <v/>
      </c>
      <c r="CH66" s="1" t="str">
        <f t="shared" si="28"/>
        <v/>
      </c>
      <c r="CI66" s="1" t="str">
        <f t="shared" si="28"/>
        <v/>
      </c>
      <c r="CJ66" s="1" t="str">
        <f t="shared" si="28"/>
        <v/>
      </c>
      <c r="CK66" s="1" t="str">
        <f t="shared" si="28"/>
        <v/>
      </c>
      <c r="CL66" s="1" t="str">
        <f t="shared" si="28"/>
        <v/>
      </c>
      <c r="CM66" s="1" t="str">
        <f t="shared" si="28"/>
        <v/>
      </c>
      <c r="CN66" s="1" t="str">
        <f t="shared" si="28"/>
        <v/>
      </c>
      <c r="CO66" s="1" t="str">
        <f t="shared" si="28"/>
        <v/>
      </c>
      <c r="CP66" s="1" t="str">
        <f t="shared" si="28"/>
        <v/>
      </c>
      <c r="CQ66" s="1" t="str">
        <f t="shared" si="28"/>
        <v/>
      </c>
      <c r="CR66" s="1" t="str">
        <f t="shared" si="28"/>
        <v/>
      </c>
      <c r="CS66" s="18">
        <f t="shared" si="29"/>
        <v>5</v>
      </c>
    </row>
    <row r="67" spans="1:97" x14ac:dyDescent="0.15">
      <c r="A67" s="1">
        <v>63</v>
      </c>
      <c r="B67" s="3" t="s">
        <v>67</v>
      </c>
      <c r="C67" s="1" t="s">
        <v>62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>
        <v>5</v>
      </c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5"/>
        <v>5</v>
      </c>
      <c r="BQ67" s="1">
        <v>5</v>
      </c>
      <c r="BR67" s="17">
        <v>1</v>
      </c>
      <c r="BS67" s="17" t="s">
        <v>207</v>
      </c>
      <c r="BT67" s="1" t="str">
        <f t="shared" si="26"/>
        <v/>
      </c>
      <c r="BU67" s="1" t="str">
        <f t="shared" si="26"/>
        <v/>
      </c>
      <c r="BV67" s="1" t="str">
        <f t="shared" si="26"/>
        <v/>
      </c>
      <c r="BW67" s="1" t="str">
        <f t="shared" si="26"/>
        <v/>
      </c>
      <c r="BX67" s="1" t="str">
        <f t="shared" si="26"/>
        <v/>
      </c>
      <c r="BY67" s="1" t="str">
        <f t="shared" si="26"/>
        <v/>
      </c>
      <c r="BZ67" s="1" t="str">
        <f t="shared" si="26"/>
        <v/>
      </c>
      <c r="CA67" s="1" t="str">
        <f t="shared" si="26"/>
        <v/>
      </c>
      <c r="CB67" s="1" t="str">
        <f t="shared" si="26"/>
        <v/>
      </c>
      <c r="CC67" s="1" t="str">
        <f t="shared" si="26"/>
        <v/>
      </c>
      <c r="CD67" s="1" t="str">
        <f t="shared" si="26"/>
        <v/>
      </c>
      <c r="CE67" s="1" t="str">
        <f t="shared" si="26"/>
        <v/>
      </c>
      <c r="CF67" s="1">
        <f t="shared" si="27"/>
        <v>0</v>
      </c>
      <c r="CG67" s="1" t="str">
        <f t="shared" si="28"/>
        <v/>
      </c>
      <c r="CH67" s="1" t="str">
        <f t="shared" si="28"/>
        <v/>
      </c>
      <c r="CI67" s="1" t="str">
        <f t="shared" si="28"/>
        <v/>
      </c>
      <c r="CJ67" s="1" t="str">
        <f t="shared" si="28"/>
        <v/>
      </c>
      <c r="CK67" s="1" t="str">
        <f t="shared" si="28"/>
        <v/>
      </c>
      <c r="CL67" s="1" t="str">
        <f t="shared" si="28"/>
        <v/>
      </c>
      <c r="CM67" s="1" t="str">
        <f t="shared" si="28"/>
        <v/>
      </c>
      <c r="CN67" s="1" t="str">
        <f t="shared" si="28"/>
        <v/>
      </c>
      <c r="CO67" s="1" t="str">
        <f t="shared" si="28"/>
        <v/>
      </c>
      <c r="CP67" s="1" t="str">
        <f t="shared" si="28"/>
        <v/>
      </c>
      <c r="CQ67" s="1" t="str">
        <f t="shared" si="28"/>
        <v/>
      </c>
      <c r="CR67" s="1" t="str">
        <f t="shared" si="28"/>
        <v/>
      </c>
      <c r="CS67" s="18">
        <f t="shared" si="29"/>
        <v>5</v>
      </c>
    </row>
    <row r="68" spans="1:97" x14ac:dyDescent="0.15">
      <c r="A68" s="1">
        <v>90</v>
      </c>
      <c r="B68" s="3" t="s">
        <v>90</v>
      </c>
      <c r="C68" s="3" t="s">
        <v>89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>
        <v>5</v>
      </c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5"/>
        <v>5</v>
      </c>
      <c r="BQ68" s="1">
        <v>5</v>
      </c>
      <c r="BR68" s="17">
        <v>1</v>
      </c>
      <c r="BS68" s="17" t="s">
        <v>207</v>
      </c>
      <c r="BT68" s="1" t="str">
        <f t="shared" si="26"/>
        <v/>
      </c>
      <c r="BU68" s="1" t="str">
        <f t="shared" si="26"/>
        <v/>
      </c>
      <c r="BV68" s="1" t="str">
        <f t="shared" si="26"/>
        <v/>
      </c>
      <c r="BW68" s="1" t="str">
        <f t="shared" si="26"/>
        <v/>
      </c>
      <c r="BX68" s="1" t="str">
        <f t="shared" si="26"/>
        <v/>
      </c>
      <c r="BY68" s="1" t="str">
        <f t="shared" si="26"/>
        <v/>
      </c>
      <c r="BZ68" s="1" t="str">
        <f t="shared" si="26"/>
        <v/>
      </c>
      <c r="CA68" s="1" t="str">
        <f t="shared" si="26"/>
        <v/>
      </c>
      <c r="CB68" s="1" t="str">
        <f t="shared" si="26"/>
        <v/>
      </c>
      <c r="CC68" s="1" t="str">
        <f t="shared" si="26"/>
        <v/>
      </c>
      <c r="CD68" s="1" t="str">
        <f t="shared" si="26"/>
        <v/>
      </c>
      <c r="CE68" s="1" t="str">
        <f t="shared" si="26"/>
        <v/>
      </c>
      <c r="CF68" s="1">
        <f t="shared" si="27"/>
        <v>0</v>
      </c>
      <c r="CG68" s="1" t="str">
        <f t="shared" si="28"/>
        <v/>
      </c>
      <c r="CH68" s="1" t="str">
        <f t="shared" si="28"/>
        <v/>
      </c>
      <c r="CI68" s="1" t="str">
        <f t="shared" si="28"/>
        <v/>
      </c>
      <c r="CJ68" s="1" t="str">
        <f t="shared" si="28"/>
        <v/>
      </c>
      <c r="CK68" s="1" t="str">
        <f t="shared" si="28"/>
        <v/>
      </c>
      <c r="CL68" s="1" t="str">
        <f t="shared" si="28"/>
        <v/>
      </c>
      <c r="CM68" s="1" t="str">
        <f t="shared" si="28"/>
        <v/>
      </c>
      <c r="CN68" s="1" t="str">
        <f t="shared" si="28"/>
        <v/>
      </c>
      <c r="CO68" s="1" t="str">
        <f t="shared" si="28"/>
        <v/>
      </c>
      <c r="CP68" s="1" t="str">
        <f t="shared" si="28"/>
        <v/>
      </c>
      <c r="CQ68" s="1" t="str">
        <f t="shared" si="28"/>
        <v/>
      </c>
      <c r="CR68" s="1" t="str">
        <f t="shared" si="28"/>
        <v/>
      </c>
      <c r="CS68" s="18">
        <f t="shared" si="29"/>
        <v>5</v>
      </c>
    </row>
    <row r="69" spans="1:97" x14ac:dyDescent="0.15">
      <c r="A69" s="1"/>
      <c r="B69" s="1" t="s">
        <v>136</v>
      </c>
      <c r="C69" s="1" t="s">
        <v>132</v>
      </c>
      <c r="D69" s="1" t="s">
        <v>126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>
        <v>5</v>
      </c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v>5</v>
      </c>
      <c r="BR69" s="17">
        <v>1</v>
      </c>
      <c r="BS69" s="17" t="s">
        <v>251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x14ac:dyDescent="0.15">
      <c r="A70" s="1"/>
      <c r="B70" s="1" t="s">
        <v>136</v>
      </c>
      <c r="C70" s="1" t="s">
        <v>132</v>
      </c>
      <c r="D70" s="1" t="s">
        <v>119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>
        <v>5</v>
      </c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5</v>
      </c>
      <c r="BR70" s="17">
        <v>1</v>
      </c>
      <c r="BS70" s="17" t="s">
        <v>206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"/>
      <c r="B71" s="1" t="s">
        <v>149</v>
      </c>
      <c r="C71" s="1" t="s">
        <v>144</v>
      </c>
      <c r="D71" s="1" t="s">
        <v>119</v>
      </c>
      <c r="E71" s="6"/>
      <c r="F71" s="6"/>
      <c r="G71" s="6"/>
      <c r="H71" s="6">
        <v>10</v>
      </c>
      <c r="I71" s="6"/>
      <c r="J71" s="6">
        <v>10</v>
      </c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>
        <v>10</v>
      </c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v>7</v>
      </c>
      <c r="BR71" s="17">
        <v>1</v>
      </c>
      <c r="BS71" s="17" t="s">
        <v>252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x14ac:dyDescent="0.15">
      <c r="A72" s="1"/>
      <c r="B72" s="1" t="s">
        <v>124</v>
      </c>
      <c r="C72" s="1" t="s">
        <v>121</v>
      </c>
      <c r="D72" s="1" t="s">
        <v>118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>
        <v>10</v>
      </c>
      <c r="AT72" s="4"/>
      <c r="AU72" s="4"/>
      <c r="AV72" s="4"/>
      <c r="AW72" s="2"/>
      <c r="AX72" s="2"/>
      <c r="AY72" s="2"/>
      <c r="AZ72" s="2"/>
      <c r="BA72" s="2"/>
      <c r="BB72" s="2">
        <v>10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8</v>
      </c>
      <c r="BR72" s="17">
        <v>1</v>
      </c>
      <c r="BS72" s="17" t="s">
        <v>210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>
        <v>34</v>
      </c>
      <c r="B73" s="1" t="s">
        <v>48</v>
      </c>
      <c r="C73" s="1" t="s">
        <v>49</v>
      </c>
      <c r="D73" s="1" t="s">
        <v>25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15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>
        <v>15</v>
      </c>
      <c r="BC73" s="14"/>
      <c r="BD73" s="1"/>
      <c r="BE73" s="1"/>
      <c r="BF73" s="1"/>
      <c r="BG73" s="1"/>
      <c r="BH73" s="1">
        <v>15</v>
      </c>
      <c r="BI73" s="1">
        <v>15</v>
      </c>
      <c r="BJ73" s="1"/>
      <c r="BK73" s="1"/>
      <c r="BL73" s="1"/>
      <c r="BM73" s="1"/>
      <c r="BN73" s="1"/>
      <c r="BO73" s="1"/>
      <c r="BP73" s="1">
        <f>SUM(E73:BO73)</f>
        <v>60</v>
      </c>
      <c r="BQ73" s="1">
        <v>9</v>
      </c>
      <c r="BR73" s="17">
        <v>1</v>
      </c>
      <c r="BS73" s="17" t="s">
        <v>253</v>
      </c>
      <c r="BT73" s="1">
        <f t="shared" ref="BT73:CE73" si="30">IF(AQ73&gt;AQ$158, AQ73-AQ$158,"")</f>
        <v>9</v>
      </c>
      <c r="BU73" s="1" t="str">
        <f t="shared" si="30"/>
        <v/>
      </c>
      <c r="BV73" s="1" t="str">
        <f t="shared" si="30"/>
        <v/>
      </c>
      <c r="BW73" s="1" t="str">
        <f t="shared" si="30"/>
        <v/>
      </c>
      <c r="BX73" s="1" t="str">
        <f t="shared" si="30"/>
        <v/>
      </c>
      <c r="BY73" s="1" t="str">
        <f t="shared" si="30"/>
        <v/>
      </c>
      <c r="BZ73" s="1" t="str">
        <f t="shared" si="30"/>
        <v/>
      </c>
      <c r="CA73" s="1" t="str">
        <f t="shared" si="30"/>
        <v/>
      </c>
      <c r="CB73" s="1" t="str">
        <f t="shared" si="30"/>
        <v/>
      </c>
      <c r="CC73" s="1" t="str">
        <f t="shared" si="30"/>
        <v/>
      </c>
      <c r="CD73" s="1" t="str">
        <f t="shared" si="30"/>
        <v/>
      </c>
      <c r="CE73" s="1" t="str">
        <f t="shared" si="30"/>
        <v/>
      </c>
      <c r="CF73" s="1">
        <f>COUNTIF(BT73:CE73, "&gt;0")</f>
        <v>1</v>
      </c>
      <c r="CG73" s="1">
        <f t="shared" ref="CG73:CR73" si="31">IF($CF73=1,BT73,"")</f>
        <v>9</v>
      </c>
      <c r="CH73" s="1" t="str">
        <f t="shared" si="31"/>
        <v/>
      </c>
      <c r="CI73" s="1" t="str">
        <f t="shared" si="31"/>
        <v/>
      </c>
      <c r="CJ73" s="1" t="str">
        <f t="shared" si="31"/>
        <v/>
      </c>
      <c r="CK73" s="1" t="str">
        <f t="shared" si="31"/>
        <v/>
      </c>
      <c r="CL73" s="1" t="str">
        <f t="shared" si="31"/>
        <v/>
      </c>
      <c r="CM73" s="1" t="str">
        <f t="shared" si="31"/>
        <v/>
      </c>
      <c r="CN73" s="1" t="str">
        <f t="shared" si="31"/>
        <v/>
      </c>
      <c r="CO73" s="1" t="str">
        <f t="shared" si="31"/>
        <v/>
      </c>
      <c r="CP73" s="1" t="str">
        <f t="shared" si="31"/>
        <v/>
      </c>
      <c r="CQ73" s="1" t="str">
        <f t="shared" si="31"/>
        <v/>
      </c>
      <c r="CR73" s="1" t="str">
        <f t="shared" si="31"/>
        <v/>
      </c>
      <c r="CS73" s="18">
        <f>SUM(AE73:BO73)</f>
        <v>60</v>
      </c>
    </row>
    <row r="74" spans="1:97" x14ac:dyDescent="0.15">
      <c r="A74" s="1"/>
      <c r="B74" s="1" t="s">
        <v>137</v>
      </c>
      <c r="C74" s="1" t="s">
        <v>117</v>
      </c>
      <c r="D74" s="1" t="s">
        <v>118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15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>
        <v>15</v>
      </c>
      <c r="BC74" s="14"/>
      <c r="BD74" s="1"/>
      <c r="BE74" s="1"/>
      <c r="BF74" s="1"/>
      <c r="BG74" s="1"/>
      <c r="BH74" s="1">
        <v>15</v>
      </c>
      <c r="BI74" s="1">
        <v>15</v>
      </c>
      <c r="BJ74" s="1"/>
      <c r="BK74" s="1"/>
      <c r="BL74" s="1"/>
      <c r="BM74" s="1"/>
      <c r="BN74" s="1"/>
      <c r="BO74" s="1"/>
      <c r="BP74" s="1"/>
      <c r="BQ74" s="1">
        <v>9</v>
      </c>
      <c r="BR74" s="17">
        <v>1</v>
      </c>
      <c r="BS74" s="17" t="s">
        <v>253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>
        <v>62</v>
      </c>
      <c r="B75" s="1" t="s">
        <v>115</v>
      </c>
      <c r="C75" s="1" t="s">
        <v>62</v>
      </c>
      <c r="D75" s="1" t="s">
        <v>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>
        <v>15</v>
      </c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15</v>
      </c>
      <c r="BQ75" s="1">
        <v>11</v>
      </c>
      <c r="BR75" s="17">
        <v>1</v>
      </c>
      <c r="BS75" s="17" t="s">
        <v>212</v>
      </c>
      <c r="BT75" s="1" t="str">
        <f t="shared" ref="BT75:CE75" si="32">IF(AQ75&gt;AQ$158, AQ75-AQ$158,"")</f>
        <v/>
      </c>
      <c r="BU75" s="1" t="str">
        <f t="shared" si="32"/>
        <v/>
      </c>
      <c r="BV75" s="1" t="str">
        <f t="shared" si="32"/>
        <v/>
      </c>
      <c r="BW75" s="1" t="str">
        <f t="shared" si="32"/>
        <v/>
      </c>
      <c r="BX75" s="1" t="str">
        <f t="shared" si="32"/>
        <v/>
      </c>
      <c r="BY75" s="1" t="str">
        <f t="shared" si="32"/>
        <v/>
      </c>
      <c r="BZ75" s="1" t="str">
        <f t="shared" si="32"/>
        <v/>
      </c>
      <c r="CA75" s="1" t="str">
        <f t="shared" si="32"/>
        <v/>
      </c>
      <c r="CB75" s="1" t="str">
        <f t="shared" si="32"/>
        <v/>
      </c>
      <c r="CC75" s="1" t="str">
        <f t="shared" si="32"/>
        <v/>
      </c>
      <c r="CD75" s="1" t="str">
        <f t="shared" si="32"/>
        <v/>
      </c>
      <c r="CE75" s="1" t="str">
        <f t="shared" si="32"/>
        <v/>
      </c>
      <c r="CF75" s="1">
        <f>COUNTIF(BT75:CE75, "&gt;0")</f>
        <v>0</v>
      </c>
      <c r="CG75" s="1" t="str">
        <f t="shared" ref="CG75:CR75" si="33">IF($CF75=1,BT75,"")</f>
        <v/>
      </c>
      <c r="CH75" s="1" t="str">
        <f t="shared" si="33"/>
        <v/>
      </c>
      <c r="CI75" s="1" t="str">
        <f t="shared" si="33"/>
        <v/>
      </c>
      <c r="CJ75" s="1" t="str">
        <f t="shared" si="33"/>
        <v/>
      </c>
      <c r="CK75" s="1" t="str">
        <f t="shared" si="33"/>
        <v/>
      </c>
      <c r="CL75" s="1" t="str">
        <f t="shared" si="33"/>
        <v/>
      </c>
      <c r="CM75" s="1" t="str">
        <f t="shared" si="33"/>
        <v/>
      </c>
      <c r="CN75" s="1" t="str">
        <f t="shared" si="33"/>
        <v/>
      </c>
      <c r="CO75" s="1" t="str">
        <f t="shared" si="33"/>
        <v/>
      </c>
      <c r="CP75" s="1" t="str">
        <f t="shared" si="33"/>
        <v/>
      </c>
      <c r="CQ75" s="1" t="str">
        <f t="shared" si="33"/>
        <v/>
      </c>
      <c r="CR75" s="1" t="str">
        <f t="shared" si="33"/>
        <v/>
      </c>
      <c r="CS75" s="18">
        <f>SUM(AE75:BO75)</f>
        <v>15</v>
      </c>
    </row>
    <row r="76" spans="1:97" x14ac:dyDescent="0.15">
      <c r="A76" s="1"/>
      <c r="B76" s="1" t="s">
        <v>281</v>
      </c>
      <c r="C76" s="1" t="s">
        <v>32</v>
      </c>
      <c r="D76" s="1" t="s">
        <v>198</v>
      </c>
      <c r="E76" s="6">
        <v>20</v>
      </c>
      <c r="F76" s="6"/>
      <c r="G76" s="6"/>
      <c r="H76" s="6"/>
      <c r="I76" s="6">
        <v>20</v>
      </c>
      <c r="J76" s="6">
        <v>20</v>
      </c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12</v>
      </c>
      <c r="BR76" s="17">
        <v>1</v>
      </c>
      <c r="BS76" s="17" t="s">
        <v>254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>
        <v>64</v>
      </c>
      <c r="B77" s="3" t="s">
        <v>67</v>
      </c>
      <c r="C77" s="1" t="s">
        <v>62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>
        <v>15</v>
      </c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15</v>
      </c>
      <c r="BQ77" s="1">
        <v>15</v>
      </c>
      <c r="BR77" s="17">
        <v>1</v>
      </c>
      <c r="BS77" s="17" t="s">
        <v>213</v>
      </c>
      <c r="BT77" s="1" t="str">
        <f t="shared" ref="BT77:CE81" si="34">IF(AQ77&gt;AQ$158, AQ77-AQ$158,"")</f>
        <v/>
      </c>
      <c r="BU77" s="1" t="str">
        <f t="shared" si="34"/>
        <v/>
      </c>
      <c r="BV77" s="1" t="str">
        <f t="shared" si="34"/>
        <v/>
      </c>
      <c r="BW77" s="1" t="str">
        <f t="shared" si="34"/>
        <v/>
      </c>
      <c r="BX77" s="1" t="str">
        <f t="shared" si="34"/>
        <v/>
      </c>
      <c r="BY77" s="1" t="str">
        <f t="shared" si="34"/>
        <v/>
      </c>
      <c r="BZ77" s="1" t="str">
        <f t="shared" si="34"/>
        <v/>
      </c>
      <c r="CA77" s="1" t="str">
        <f t="shared" si="34"/>
        <v/>
      </c>
      <c r="CB77" s="1" t="str">
        <f t="shared" si="34"/>
        <v/>
      </c>
      <c r="CC77" s="1" t="str">
        <f t="shared" si="34"/>
        <v/>
      </c>
      <c r="CD77" s="1" t="str">
        <f t="shared" si="34"/>
        <v/>
      </c>
      <c r="CE77" s="1" t="str">
        <f t="shared" si="34"/>
        <v/>
      </c>
      <c r="CF77" s="1">
        <f>COUNTIF(BT77:CE77, "&gt;0")</f>
        <v>0</v>
      </c>
      <c r="CG77" s="1" t="str">
        <f t="shared" ref="CG77:CR81" si="35">IF($CF77=1,BT77,"")</f>
        <v/>
      </c>
      <c r="CH77" s="1" t="str">
        <f t="shared" si="35"/>
        <v/>
      </c>
      <c r="CI77" s="1" t="str">
        <f t="shared" si="35"/>
        <v/>
      </c>
      <c r="CJ77" s="1" t="str">
        <f t="shared" si="35"/>
        <v/>
      </c>
      <c r="CK77" s="1" t="str">
        <f t="shared" si="35"/>
        <v/>
      </c>
      <c r="CL77" s="1" t="str">
        <f t="shared" si="35"/>
        <v/>
      </c>
      <c r="CM77" s="1" t="str">
        <f t="shared" si="35"/>
        <v/>
      </c>
      <c r="CN77" s="1" t="str">
        <f t="shared" si="35"/>
        <v/>
      </c>
      <c r="CO77" s="1" t="str">
        <f t="shared" si="35"/>
        <v/>
      </c>
      <c r="CP77" s="1" t="str">
        <f t="shared" si="35"/>
        <v/>
      </c>
      <c r="CQ77" s="1" t="str">
        <f t="shared" si="35"/>
        <v/>
      </c>
      <c r="CR77" s="1" t="str">
        <f t="shared" si="35"/>
        <v/>
      </c>
      <c r="CS77" s="18">
        <f>SUM(AE77:BO77)</f>
        <v>15</v>
      </c>
    </row>
    <row r="78" spans="1:97" x14ac:dyDescent="0.15">
      <c r="A78" s="19">
        <v>93</v>
      </c>
      <c r="B78" s="27" t="s">
        <v>91</v>
      </c>
      <c r="C78" s="27" t="s">
        <v>89</v>
      </c>
      <c r="D78" s="19" t="s">
        <v>1</v>
      </c>
      <c r="E78" s="20"/>
      <c r="F78" s="20">
        <v>20</v>
      </c>
      <c r="G78" s="20"/>
      <c r="H78" s="20"/>
      <c r="I78" s="20"/>
      <c r="J78" s="20"/>
      <c r="K78" s="20">
        <v>20</v>
      </c>
      <c r="L78" s="20"/>
      <c r="M78" s="20"/>
      <c r="N78" s="20">
        <v>20</v>
      </c>
      <c r="O78" s="20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21"/>
      <c r="AR78" s="21"/>
      <c r="AS78" s="21"/>
      <c r="AT78" s="21"/>
      <c r="AU78" s="21"/>
      <c r="AV78" s="21"/>
      <c r="AW78" s="22"/>
      <c r="AX78" s="22"/>
      <c r="AY78" s="22"/>
      <c r="AZ78" s="22"/>
      <c r="BA78" s="22"/>
      <c r="BB78" s="22"/>
      <c r="BC78" s="30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>
        <f>SUM(E78:BO78)</f>
        <v>60</v>
      </c>
      <c r="BQ78" s="19">
        <v>17</v>
      </c>
      <c r="BR78" s="23">
        <v>1</v>
      </c>
      <c r="BS78" s="23" t="s">
        <v>255</v>
      </c>
      <c r="BT78" s="19" t="str">
        <f t="shared" si="34"/>
        <v/>
      </c>
      <c r="BU78" s="19" t="str">
        <f t="shared" si="34"/>
        <v/>
      </c>
      <c r="BV78" s="19" t="str">
        <f t="shared" si="34"/>
        <v/>
      </c>
      <c r="BW78" s="19" t="str">
        <f t="shared" si="34"/>
        <v/>
      </c>
      <c r="BX78" s="19" t="str">
        <f t="shared" si="34"/>
        <v/>
      </c>
      <c r="BY78" s="19" t="str">
        <f t="shared" si="34"/>
        <v/>
      </c>
      <c r="BZ78" s="19" t="str">
        <f t="shared" si="34"/>
        <v/>
      </c>
      <c r="CA78" s="19" t="str">
        <f t="shared" si="34"/>
        <v/>
      </c>
      <c r="CB78" s="19" t="str">
        <f t="shared" si="34"/>
        <v/>
      </c>
      <c r="CC78" s="19" t="str">
        <f t="shared" si="34"/>
        <v/>
      </c>
      <c r="CD78" s="19" t="str">
        <f t="shared" si="34"/>
        <v/>
      </c>
      <c r="CE78" s="19" t="str">
        <f t="shared" si="34"/>
        <v/>
      </c>
      <c r="CF78" s="19">
        <f>COUNTIF(BT78:CE78, "&gt;0")</f>
        <v>0</v>
      </c>
      <c r="CG78" s="19" t="str">
        <f t="shared" si="35"/>
        <v/>
      </c>
      <c r="CH78" s="19" t="str">
        <f t="shared" si="35"/>
        <v/>
      </c>
      <c r="CI78" s="19" t="str">
        <f t="shared" si="35"/>
        <v/>
      </c>
      <c r="CJ78" s="19" t="str">
        <f t="shared" si="35"/>
        <v/>
      </c>
      <c r="CK78" s="19" t="str">
        <f t="shared" si="35"/>
        <v/>
      </c>
      <c r="CL78" s="19" t="str">
        <f t="shared" si="35"/>
        <v/>
      </c>
      <c r="CM78" s="19" t="str">
        <f t="shared" si="35"/>
        <v/>
      </c>
      <c r="CN78" s="19" t="str">
        <f t="shared" si="35"/>
        <v/>
      </c>
      <c r="CO78" s="19" t="str">
        <f t="shared" si="35"/>
        <v/>
      </c>
      <c r="CP78" s="19" t="str">
        <f t="shared" si="35"/>
        <v/>
      </c>
      <c r="CQ78" s="19" t="str">
        <f t="shared" si="35"/>
        <v/>
      </c>
      <c r="CR78" s="19" t="str">
        <f t="shared" si="35"/>
        <v/>
      </c>
      <c r="CS78" s="24">
        <f>SUM(AE78:BO78)</f>
        <v>0</v>
      </c>
    </row>
    <row r="79" spans="1:97" x14ac:dyDescent="0.15">
      <c r="A79" s="1">
        <v>65</v>
      </c>
      <c r="B79" s="3" t="s">
        <v>67</v>
      </c>
      <c r="C79" s="1" t="s">
        <v>62</v>
      </c>
      <c r="D79" s="1" t="s">
        <v>13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>
        <v>25</v>
      </c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>
        <v>10</v>
      </c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55</v>
      </c>
      <c r="BQ79" s="1">
        <v>25</v>
      </c>
      <c r="BR79" s="17">
        <v>1</v>
      </c>
      <c r="BS79" s="17" t="s">
        <v>256</v>
      </c>
      <c r="BT79" s="1" t="str">
        <f t="shared" si="34"/>
        <v/>
      </c>
      <c r="BU79" s="1" t="str">
        <f t="shared" si="34"/>
        <v/>
      </c>
      <c r="BV79" s="1" t="str">
        <f t="shared" si="34"/>
        <v/>
      </c>
      <c r="BW79" s="1" t="str">
        <f t="shared" si="34"/>
        <v/>
      </c>
      <c r="BX79" s="1" t="str">
        <f t="shared" si="34"/>
        <v/>
      </c>
      <c r="BY79" s="1" t="str">
        <f t="shared" si="34"/>
        <v/>
      </c>
      <c r="BZ79" s="1" t="str">
        <f t="shared" si="34"/>
        <v/>
      </c>
      <c r="CA79" s="1" t="str">
        <f t="shared" si="34"/>
        <v/>
      </c>
      <c r="CB79" s="1" t="str">
        <f t="shared" si="34"/>
        <v/>
      </c>
      <c r="CC79" s="1" t="str">
        <f t="shared" si="34"/>
        <v/>
      </c>
      <c r="CD79" s="1" t="str">
        <f t="shared" si="34"/>
        <v/>
      </c>
      <c r="CE79" s="1" t="str">
        <f t="shared" si="34"/>
        <v/>
      </c>
      <c r="CF79" s="1">
        <f>COUNTIF(BT79:CE79, "&gt;0")</f>
        <v>0</v>
      </c>
      <c r="CG79" s="1" t="str">
        <f t="shared" si="35"/>
        <v/>
      </c>
      <c r="CH79" s="1" t="str">
        <f t="shared" si="35"/>
        <v/>
      </c>
      <c r="CI79" s="1" t="str">
        <f t="shared" si="35"/>
        <v/>
      </c>
      <c r="CJ79" s="1" t="str">
        <f t="shared" si="35"/>
        <v/>
      </c>
      <c r="CK79" s="1" t="str">
        <f t="shared" si="35"/>
        <v/>
      </c>
      <c r="CL79" s="1" t="str">
        <f t="shared" si="35"/>
        <v/>
      </c>
      <c r="CM79" s="1" t="str">
        <f t="shared" si="35"/>
        <v/>
      </c>
      <c r="CN79" s="1" t="str">
        <f t="shared" si="35"/>
        <v/>
      </c>
      <c r="CO79" s="1" t="str">
        <f t="shared" si="35"/>
        <v/>
      </c>
      <c r="CP79" s="1" t="str">
        <f t="shared" si="35"/>
        <v/>
      </c>
      <c r="CQ79" s="1" t="str">
        <f t="shared" si="35"/>
        <v/>
      </c>
      <c r="CR79" s="1" t="str">
        <f t="shared" si="35"/>
        <v/>
      </c>
      <c r="CS79" s="18">
        <f>SUM(AE79:BO79)</f>
        <v>45</v>
      </c>
    </row>
    <row r="80" spans="1:97" x14ac:dyDescent="0.15">
      <c r="A80" s="1">
        <v>98</v>
      </c>
      <c r="B80" s="3" t="s">
        <v>78</v>
      </c>
      <c r="C80" s="3" t="s">
        <v>77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>
        <v>50</v>
      </c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50</v>
      </c>
      <c r="BQ80" s="1">
        <v>38</v>
      </c>
      <c r="BR80" s="17">
        <v>1</v>
      </c>
      <c r="BS80" s="17" t="s">
        <v>214</v>
      </c>
      <c r="BT80" s="1" t="str">
        <f t="shared" si="34"/>
        <v/>
      </c>
      <c r="BU80" s="1" t="str">
        <f t="shared" si="34"/>
        <v/>
      </c>
      <c r="BV80" s="1" t="str">
        <f t="shared" si="34"/>
        <v/>
      </c>
      <c r="BW80" s="1" t="str">
        <f t="shared" si="34"/>
        <v/>
      </c>
      <c r="BX80" s="1" t="str">
        <f t="shared" si="34"/>
        <v/>
      </c>
      <c r="BY80" s="1" t="str">
        <f t="shared" si="34"/>
        <v/>
      </c>
      <c r="BZ80" s="1" t="str">
        <f t="shared" si="34"/>
        <v/>
      </c>
      <c r="CA80" s="1" t="str">
        <f t="shared" si="34"/>
        <v/>
      </c>
      <c r="CB80" s="1" t="str">
        <f t="shared" si="34"/>
        <v/>
      </c>
      <c r="CC80" s="1" t="str">
        <f t="shared" si="34"/>
        <v/>
      </c>
      <c r="CD80" s="1" t="str">
        <f t="shared" si="34"/>
        <v/>
      </c>
      <c r="CE80" s="1" t="str">
        <f t="shared" si="34"/>
        <v/>
      </c>
      <c r="CF80" s="1">
        <f>COUNTIF(BT80:CE80, "&gt;0")</f>
        <v>0</v>
      </c>
      <c r="CG80" s="1" t="str">
        <f t="shared" si="35"/>
        <v/>
      </c>
      <c r="CH80" s="1" t="str">
        <f t="shared" si="35"/>
        <v/>
      </c>
      <c r="CI80" s="1" t="str">
        <f t="shared" si="35"/>
        <v/>
      </c>
      <c r="CJ80" s="1" t="str">
        <f t="shared" si="35"/>
        <v/>
      </c>
      <c r="CK80" s="1" t="str">
        <f t="shared" si="35"/>
        <v/>
      </c>
      <c r="CL80" s="1" t="str">
        <f t="shared" si="35"/>
        <v/>
      </c>
      <c r="CM80" s="1" t="str">
        <f t="shared" si="35"/>
        <v/>
      </c>
      <c r="CN80" s="1" t="str">
        <f t="shared" si="35"/>
        <v/>
      </c>
      <c r="CO80" s="1" t="str">
        <f t="shared" si="35"/>
        <v/>
      </c>
      <c r="CP80" s="1" t="str">
        <f t="shared" si="35"/>
        <v/>
      </c>
      <c r="CQ80" s="1" t="str">
        <f t="shared" si="35"/>
        <v/>
      </c>
      <c r="CR80" s="1" t="str">
        <f t="shared" si="35"/>
        <v/>
      </c>
      <c r="CS80" s="18">
        <f>SUM(AE80:BO80)</f>
        <v>50</v>
      </c>
    </row>
    <row r="81" spans="1:97" x14ac:dyDescent="0.15">
      <c r="A81" s="1">
        <v>99</v>
      </c>
      <c r="B81" s="3" t="s">
        <v>78</v>
      </c>
      <c r="C81" s="3" t="s">
        <v>77</v>
      </c>
      <c r="D81" s="1" t="s">
        <v>13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>
        <v>200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200</v>
      </c>
      <c r="BQ81" s="1">
        <v>188</v>
      </c>
      <c r="BR81" s="17">
        <v>1</v>
      </c>
      <c r="BS81" s="17" t="s">
        <v>215</v>
      </c>
      <c r="BT81" s="1" t="str">
        <f t="shared" si="34"/>
        <v/>
      </c>
      <c r="BU81" s="1" t="str">
        <f t="shared" si="34"/>
        <v/>
      </c>
      <c r="BV81" s="1" t="str">
        <f t="shared" si="34"/>
        <v/>
      </c>
      <c r="BW81" s="1" t="str">
        <f t="shared" si="34"/>
        <v/>
      </c>
      <c r="BX81" s="1" t="str">
        <f t="shared" si="34"/>
        <v/>
      </c>
      <c r="BY81" s="1" t="str">
        <f t="shared" si="34"/>
        <v/>
      </c>
      <c r="BZ81" s="1" t="str">
        <f t="shared" si="34"/>
        <v/>
      </c>
      <c r="CA81" s="1" t="str">
        <f t="shared" si="34"/>
        <v/>
      </c>
      <c r="CB81" s="1" t="str">
        <f t="shared" si="34"/>
        <v/>
      </c>
      <c r="CC81" s="1" t="str">
        <f t="shared" si="34"/>
        <v/>
      </c>
      <c r="CD81" s="1" t="str">
        <f t="shared" si="34"/>
        <v/>
      </c>
      <c r="CE81" s="1" t="str">
        <f t="shared" si="34"/>
        <v/>
      </c>
      <c r="CF81" s="1">
        <f>COUNTIF(BT81:CE81, "&gt;0")</f>
        <v>0</v>
      </c>
      <c r="CG81" s="1" t="str">
        <f t="shared" si="35"/>
        <v/>
      </c>
      <c r="CH81" s="1" t="str">
        <f t="shared" si="35"/>
        <v/>
      </c>
      <c r="CI81" s="1" t="str">
        <f t="shared" si="35"/>
        <v/>
      </c>
      <c r="CJ81" s="1" t="str">
        <f t="shared" si="35"/>
        <v/>
      </c>
      <c r="CK81" s="1" t="str">
        <f t="shared" si="35"/>
        <v/>
      </c>
      <c r="CL81" s="1" t="str">
        <f t="shared" si="35"/>
        <v/>
      </c>
      <c r="CM81" s="1" t="str">
        <f t="shared" si="35"/>
        <v/>
      </c>
      <c r="CN81" s="1" t="str">
        <f t="shared" si="35"/>
        <v/>
      </c>
      <c r="CO81" s="1" t="str">
        <f t="shared" si="35"/>
        <v/>
      </c>
      <c r="CP81" s="1" t="str">
        <f t="shared" si="35"/>
        <v/>
      </c>
      <c r="CQ81" s="1" t="str">
        <f t="shared" si="35"/>
        <v/>
      </c>
      <c r="CR81" s="1" t="str">
        <f t="shared" si="35"/>
        <v/>
      </c>
      <c r="CS81" s="18">
        <f>SUM(AE81:BO81)</f>
        <v>200</v>
      </c>
    </row>
    <row r="82" spans="1:97" ht="27" x14ac:dyDescent="0.15">
      <c r="A82" s="1"/>
      <c r="B82" s="1" t="s">
        <v>280</v>
      </c>
      <c r="C82" s="1" t="s">
        <v>117</v>
      </c>
      <c r="D82" s="1" t="s">
        <v>119</v>
      </c>
      <c r="E82" s="6">
        <v>10</v>
      </c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>
        <v>15</v>
      </c>
      <c r="AU82" s="4"/>
      <c r="AV82" s="4"/>
      <c r="AW82" s="2"/>
      <c r="AX82" s="2"/>
      <c r="AY82" s="2"/>
      <c r="AZ82" s="2">
        <v>15</v>
      </c>
      <c r="BA82" s="2">
        <v>15</v>
      </c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v>5</v>
      </c>
      <c r="BR82" s="17">
        <v>2</v>
      </c>
      <c r="BS82" s="17" t="s">
        <v>257</v>
      </c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27" x14ac:dyDescent="0.15">
      <c r="A83" s="1"/>
      <c r="B83" s="1" t="s">
        <v>178</v>
      </c>
      <c r="C83" s="1" t="s">
        <v>179</v>
      </c>
      <c r="D83" s="1" t="s">
        <v>157</v>
      </c>
      <c r="E83" s="6"/>
      <c r="F83" s="6"/>
      <c r="G83" s="6"/>
      <c r="H83" s="6"/>
      <c r="I83" s="6"/>
      <c r="J83" s="6">
        <v>10</v>
      </c>
      <c r="K83" s="6"/>
      <c r="L83" s="6">
        <v>10</v>
      </c>
      <c r="M83" s="6">
        <v>10</v>
      </c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>
        <v>15</v>
      </c>
      <c r="AZ83" s="2">
        <v>15</v>
      </c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v>5</v>
      </c>
      <c r="BR83" s="17">
        <v>2</v>
      </c>
      <c r="BS83" s="17" t="s">
        <v>201</v>
      </c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27" x14ac:dyDescent="0.15">
      <c r="A84" s="1"/>
      <c r="B84" s="1" t="s">
        <v>282</v>
      </c>
      <c r="C84" s="1" t="s">
        <v>155</v>
      </c>
      <c r="D84" s="1" t="s">
        <v>157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>
        <v>10</v>
      </c>
      <c r="W84" s="32"/>
      <c r="X84" s="32"/>
      <c r="Y84" s="32">
        <v>10</v>
      </c>
      <c r="Z84" s="32"/>
      <c r="AA84" s="32"/>
      <c r="AB84" s="32">
        <v>10</v>
      </c>
      <c r="AC84" s="32">
        <v>5</v>
      </c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v>5</v>
      </c>
      <c r="BR84" s="17">
        <v>2</v>
      </c>
      <c r="BS84" s="17" t="s">
        <v>216</v>
      </c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27" x14ac:dyDescent="0.15">
      <c r="A85" s="1"/>
      <c r="B85" s="1" t="s">
        <v>167</v>
      </c>
      <c r="C85" s="1" t="s">
        <v>155</v>
      </c>
      <c r="D85" s="1" t="s">
        <v>156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>
        <v>10</v>
      </c>
      <c r="Q85" s="32"/>
      <c r="R85" s="32"/>
      <c r="S85" s="32">
        <v>10</v>
      </c>
      <c r="T85" s="32"/>
      <c r="U85" s="32"/>
      <c r="V85" s="32"/>
      <c r="W85" s="32">
        <v>5</v>
      </c>
      <c r="X85" s="32"/>
      <c r="Y85" s="32"/>
      <c r="Z85" s="32"/>
      <c r="AA85" s="32"/>
      <c r="AB85" s="32">
        <v>10</v>
      </c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v>5</v>
      </c>
      <c r="BR85" s="17">
        <v>2</v>
      </c>
      <c r="BS85" s="17" t="s">
        <v>259</v>
      </c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27" x14ac:dyDescent="0.15">
      <c r="A86" s="1"/>
      <c r="B86" s="1" t="s">
        <v>172</v>
      </c>
      <c r="C86" s="1" t="s">
        <v>155</v>
      </c>
      <c r="D86" s="1" t="s">
        <v>156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>
        <v>10</v>
      </c>
      <c r="Q86" s="32"/>
      <c r="R86" s="32"/>
      <c r="S86" s="32">
        <v>10</v>
      </c>
      <c r="T86" s="32"/>
      <c r="U86" s="32"/>
      <c r="V86" s="32"/>
      <c r="W86" s="32">
        <v>5</v>
      </c>
      <c r="X86" s="32"/>
      <c r="Y86" s="32"/>
      <c r="Z86" s="32"/>
      <c r="AA86" s="32"/>
      <c r="AB86" s="32">
        <v>10</v>
      </c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v>5</v>
      </c>
      <c r="BR86" s="17">
        <v>2</v>
      </c>
      <c r="BS86" s="17" t="s">
        <v>259</v>
      </c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27" x14ac:dyDescent="0.15">
      <c r="A87" s="1"/>
      <c r="B87" s="1" t="s">
        <v>176</v>
      </c>
      <c r="C87" s="1" t="s">
        <v>174</v>
      </c>
      <c r="D87" s="1" t="s">
        <v>156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>
        <v>10</v>
      </c>
      <c r="Q87" s="32"/>
      <c r="R87" s="32"/>
      <c r="S87" s="32">
        <v>10</v>
      </c>
      <c r="T87" s="32"/>
      <c r="U87" s="32"/>
      <c r="V87" s="32"/>
      <c r="W87" s="32">
        <v>5</v>
      </c>
      <c r="X87" s="32"/>
      <c r="Y87" s="32"/>
      <c r="Z87" s="32"/>
      <c r="AA87" s="32"/>
      <c r="AB87" s="32">
        <v>10</v>
      </c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259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182</v>
      </c>
      <c r="C88" s="1" t="s">
        <v>179</v>
      </c>
      <c r="D88" s="1" t="s">
        <v>156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>
        <v>10</v>
      </c>
      <c r="Q88" s="32"/>
      <c r="R88" s="32"/>
      <c r="S88" s="32">
        <v>10</v>
      </c>
      <c r="T88" s="32"/>
      <c r="U88" s="32"/>
      <c r="V88" s="32"/>
      <c r="W88" s="32">
        <v>5</v>
      </c>
      <c r="X88" s="32"/>
      <c r="Y88" s="32"/>
      <c r="Z88" s="32"/>
      <c r="AA88" s="32"/>
      <c r="AB88" s="32">
        <v>10</v>
      </c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259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183</v>
      </c>
      <c r="C89" s="1" t="s">
        <v>185</v>
      </c>
      <c r="D89" s="1" t="s">
        <v>157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>
        <v>10</v>
      </c>
      <c r="W89" s="32"/>
      <c r="X89" s="32"/>
      <c r="Y89" s="32">
        <v>10</v>
      </c>
      <c r="Z89" s="32"/>
      <c r="AA89" s="32"/>
      <c r="AB89" s="32">
        <v>10</v>
      </c>
      <c r="AC89" s="32">
        <v>5</v>
      </c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216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191</v>
      </c>
      <c r="C90" s="1" t="s">
        <v>190</v>
      </c>
      <c r="D90" s="1" t="s">
        <v>156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>
        <v>10</v>
      </c>
      <c r="Q90" s="32"/>
      <c r="R90" s="32"/>
      <c r="S90" s="32">
        <v>10</v>
      </c>
      <c r="T90" s="32"/>
      <c r="U90" s="32"/>
      <c r="V90" s="32"/>
      <c r="W90" s="32">
        <v>5</v>
      </c>
      <c r="X90" s="32"/>
      <c r="Y90" s="32"/>
      <c r="Z90" s="32"/>
      <c r="AA90" s="32"/>
      <c r="AB90" s="32">
        <v>10</v>
      </c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259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195</v>
      </c>
      <c r="C91" s="1" t="s">
        <v>190</v>
      </c>
      <c r="D91" s="1" t="s">
        <v>157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>
        <v>10</v>
      </c>
      <c r="W91" s="32"/>
      <c r="X91" s="32"/>
      <c r="Y91" s="32">
        <v>10</v>
      </c>
      <c r="Z91" s="32"/>
      <c r="AA91" s="32"/>
      <c r="AB91" s="32">
        <v>10</v>
      </c>
      <c r="AC91" s="32">
        <v>5</v>
      </c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216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197</v>
      </c>
      <c r="C92" s="1" t="s">
        <v>190</v>
      </c>
      <c r="D92" s="1" t="s">
        <v>157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>
        <v>10</v>
      </c>
      <c r="W92" s="32"/>
      <c r="X92" s="32"/>
      <c r="Y92" s="32">
        <v>10</v>
      </c>
      <c r="Z92" s="32"/>
      <c r="AA92" s="32"/>
      <c r="AB92" s="32">
        <v>10</v>
      </c>
      <c r="AC92" s="32">
        <v>5</v>
      </c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216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239</v>
      </c>
      <c r="C93" s="1" t="s">
        <v>144</v>
      </c>
      <c r="D93" s="1" t="s">
        <v>240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>
        <v>10</v>
      </c>
      <c r="Q93" s="32"/>
      <c r="R93" s="32"/>
      <c r="S93" s="32">
        <v>10</v>
      </c>
      <c r="T93" s="32"/>
      <c r="U93" s="32"/>
      <c r="V93" s="32"/>
      <c r="W93" s="32">
        <v>5</v>
      </c>
      <c r="X93" s="32"/>
      <c r="Y93" s="32"/>
      <c r="Z93" s="32"/>
      <c r="AA93" s="32"/>
      <c r="AB93" s="32">
        <v>10</v>
      </c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258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130</v>
      </c>
      <c r="C94" s="1" t="s">
        <v>121</v>
      </c>
      <c r="D94" s="1" t="s">
        <v>118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>
        <v>5</v>
      </c>
      <c r="AP94" s="1">
        <v>1</v>
      </c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6</v>
      </c>
      <c r="BR94" s="17">
        <v>2</v>
      </c>
      <c r="BS94" s="17" t="s">
        <v>217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>
        <v>77</v>
      </c>
      <c r="B95" s="3" t="s">
        <v>284</v>
      </c>
      <c r="C95" s="3" t="s">
        <v>70</v>
      </c>
      <c r="D95" s="1" t="s">
        <v>13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>
        <v>20</v>
      </c>
      <c r="AU95" s="4"/>
      <c r="AV95" s="4"/>
      <c r="AW95" s="2">
        <v>20</v>
      </c>
      <c r="AX95" s="2">
        <v>20</v>
      </c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>
        <v>20</v>
      </c>
      <c r="BI95" s="1"/>
      <c r="BJ95" s="1"/>
      <c r="BK95" s="1"/>
      <c r="BL95" s="1"/>
      <c r="BM95" s="1"/>
      <c r="BN95" s="1"/>
      <c r="BO95" s="1"/>
      <c r="BP95" s="1">
        <f>SUM(E95:BO95)</f>
        <v>90</v>
      </c>
      <c r="BQ95" s="1">
        <v>6</v>
      </c>
      <c r="BR95" s="17">
        <v>2</v>
      </c>
      <c r="BS95" s="17" t="s">
        <v>218</v>
      </c>
      <c r="BT95" s="1" t="str">
        <f t="shared" ref="BT95:CE95" si="36">IF(AQ95&gt;AQ$158, AQ95-AQ$158,"")</f>
        <v/>
      </c>
      <c r="BU95" s="1" t="str">
        <f t="shared" si="36"/>
        <v/>
      </c>
      <c r="BV95" s="1" t="str">
        <f t="shared" si="36"/>
        <v/>
      </c>
      <c r="BW95" s="1">
        <f t="shared" si="36"/>
        <v>5</v>
      </c>
      <c r="BX95" s="1" t="str">
        <f t="shared" si="36"/>
        <v/>
      </c>
      <c r="BY95" s="1" t="str">
        <f t="shared" si="36"/>
        <v/>
      </c>
      <c r="BZ95" s="1">
        <f t="shared" si="36"/>
        <v>1</v>
      </c>
      <c r="CA95" s="1" t="str">
        <f t="shared" si="36"/>
        <v/>
      </c>
      <c r="CB95" s="1" t="str">
        <f t="shared" si="36"/>
        <v/>
      </c>
      <c r="CC95" s="1" t="str">
        <f t="shared" si="36"/>
        <v/>
      </c>
      <c r="CD95" s="1" t="str">
        <f t="shared" si="36"/>
        <v/>
      </c>
      <c r="CE95" s="1" t="str">
        <f t="shared" si="36"/>
        <v/>
      </c>
      <c r="CF95" s="1">
        <f>COUNTIF(BT95:CE95, "&gt;0")</f>
        <v>2</v>
      </c>
      <c r="CG95" s="1" t="str">
        <f t="shared" ref="CG95:CR95" si="37">IF($CF95=1,BT95,"")</f>
        <v/>
      </c>
      <c r="CH95" s="1" t="str">
        <f t="shared" si="37"/>
        <v/>
      </c>
      <c r="CI95" s="1" t="str">
        <f t="shared" si="37"/>
        <v/>
      </c>
      <c r="CJ95" s="1" t="str">
        <f t="shared" si="37"/>
        <v/>
      </c>
      <c r="CK95" s="1" t="str">
        <f t="shared" si="37"/>
        <v/>
      </c>
      <c r="CL95" s="1" t="str">
        <f t="shared" si="37"/>
        <v/>
      </c>
      <c r="CM95" s="1" t="str">
        <f t="shared" si="37"/>
        <v/>
      </c>
      <c r="CN95" s="1" t="str">
        <f t="shared" si="37"/>
        <v/>
      </c>
      <c r="CO95" s="1" t="str">
        <f t="shared" si="37"/>
        <v/>
      </c>
      <c r="CP95" s="1" t="str">
        <f t="shared" si="37"/>
        <v/>
      </c>
      <c r="CQ95" s="1" t="str">
        <f t="shared" si="37"/>
        <v/>
      </c>
      <c r="CR95" s="1" t="str">
        <f t="shared" si="37"/>
        <v/>
      </c>
      <c r="CS95" s="18">
        <f>SUM(AE95:BO95)</f>
        <v>90</v>
      </c>
    </row>
    <row r="96" spans="1:97" ht="27" x14ac:dyDescent="0.15">
      <c r="A96" s="1"/>
      <c r="B96" s="1" t="s">
        <v>173</v>
      </c>
      <c r="C96" s="1" t="s">
        <v>174</v>
      </c>
      <c r="D96" s="1" t="s">
        <v>157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>
        <v>5</v>
      </c>
      <c r="R96" s="32"/>
      <c r="S96" s="32"/>
      <c r="T96" s="32"/>
      <c r="U96" s="32"/>
      <c r="V96" s="32">
        <v>10</v>
      </c>
      <c r="W96" s="32"/>
      <c r="X96" s="32"/>
      <c r="Y96" s="32">
        <v>10</v>
      </c>
      <c r="Z96" s="32"/>
      <c r="AA96" s="32"/>
      <c r="AB96" s="32">
        <v>10</v>
      </c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6</v>
      </c>
      <c r="BR96" s="17">
        <v>2</v>
      </c>
      <c r="BS96" s="17" t="s">
        <v>260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181</v>
      </c>
      <c r="C97" s="1" t="s">
        <v>179</v>
      </c>
      <c r="D97" s="1" t="s">
        <v>157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>
        <v>5</v>
      </c>
      <c r="R97" s="32"/>
      <c r="S97" s="32"/>
      <c r="T97" s="32"/>
      <c r="U97" s="32"/>
      <c r="V97" s="32">
        <v>10</v>
      </c>
      <c r="W97" s="32"/>
      <c r="X97" s="32"/>
      <c r="Y97" s="32">
        <v>10</v>
      </c>
      <c r="Z97" s="32"/>
      <c r="AA97" s="32"/>
      <c r="AB97" s="32">
        <v>10</v>
      </c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6</v>
      </c>
      <c r="BR97" s="17">
        <v>2</v>
      </c>
      <c r="BS97" s="17" t="s">
        <v>260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184</v>
      </c>
      <c r="C98" s="1" t="s">
        <v>185</v>
      </c>
      <c r="D98" s="1" t="s">
        <v>156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>
        <v>10</v>
      </c>
      <c r="Q98" s="32"/>
      <c r="R98" s="32"/>
      <c r="S98" s="32">
        <v>10</v>
      </c>
      <c r="T98" s="32"/>
      <c r="U98" s="32"/>
      <c r="V98" s="32"/>
      <c r="W98" s="32"/>
      <c r="X98" s="32"/>
      <c r="Y98" s="32"/>
      <c r="Z98" s="32">
        <v>5</v>
      </c>
      <c r="AA98" s="32"/>
      <c r="AB98" s="32">
        <v>10</v>
      </c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6</v>
      </c>
      <c r="BR98" s="17">
        <v>2</v>
      </c>
      <c r="BS98" s="17" t="s">
        <v>219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139</v>
      </c>
      <c r="C99" s="1" t="s">
        <v>117</v>
      </c>
      <c r="D99" s="1" t="s">
        <v>119</v>
      </c>
      <c r="E99" s="6"/>
      <c r="F99" s="6"/>
      <c r="G99" s="6"/>
      <c r="H99" s="6">
        <v>6</v>
      </c>
      <c r="I99" s="6"/>
      <c r="J99" s="6"/>
      <c r="K99" s="6">
        <v>6</v>
      </c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>
        <v>10</v>
      </c>
      <c r="AR99" s="4"/>
      <c r="AS99" s="4"/>
      <c r="AT99" s="4"/>
      <c r="AU99" s="4"/>
      <c r="AV99" s="4"/>
      <c r="AW99" s="2">
        <v>10</v>
      </c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7</v>
      </c>
      <c r="BR99" s="17">
        <v>2</v>
      </c>
      <c r="BS99" s="17" t="s">
        <v>261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>
        <v>39</v>
      </c>
      <c r="B100" s="1" t="s">
        <v>53</v>
      </c>
      <c r="C100" s="1" t="s">
        <v>49</v>
      </c>
      <c r="D100" s="1" t="s">
        <v>26</v>
      </c>
      <c r="E100" s="6"/>
      <c r="F100" s="6">
        <v>6</v>
      </c>
      <c r="G100" s="6"/>
      <c r="H100" s="6"/>
      <c r="I100" s="6"/>
      <c r="J100" s="6"/>
      <c r="K100" s="6"/>
      <c r="L100" s="6">
        <v>6</v>
      </c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10</v>
      </c>
      <c r="AR100" s="4"/>
      <c r="AS100" s="4"/>
      <c r="AT100" s="4"/>
      <c r="AU100" s="4"/>
      <c r="AV100" s="4"/>
      <c r="AW100" s="2"/>
      <c r="AX100" s="2">
        <v>10</v>
      </c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32</v>
      </c>
      <c r="BQ100" s="1">
        <v>7</v>
      </c>
      <c r="BR100" s="17">
        <v>2</v>
      </c>
      <c r="BS100" s="17" t="s">
        <v>262</v>
      </c>
      <c r="BT100" s="1">
        <f t="shared" ref="BT100:CE102" si="38">IF(AQ100&gt;AQ$158, AQ100-AQ$158,"")</f>
        <v>4</v>
      </c>
      <c r="BU100" s="1" t="str">
        <f t="shared" si="38"/>
        <v/>
      </c>
      <c r="BV100" s="1" t="str">
        <f t="shared" si="38"/>
        <v/>
      </c>
      <c r="BW100" s="1" t="str">
        <f t="shared" si="38"/>
        <v/>
      </c>
      <c r="BX100" s="1" t="str">
        <f t="shared" si="38"/>
        <v/>
      </c>
      <c r="BY100" s="1" t="str">
        <f t="shared" si="38"/>
        <v/>
      </c>
      <c r="BZ100" s="1" t="str">
        <f t="shared" si="38"/>
        <v/>
      </c>
      <c r="CA100" s="1" t="str">
        <f t="shared" si="38"/>
        <v/>
      </c>
      <c r="CB100" s="1" t="str">
        <f t="shared" si="38"/>
        <v/>
      </c>
      <c r="CC100" s="1" t="str">
        <f t="shared" si="38"/>
        <v/>
      </c>
      <c r="CD100" s="1" t="str">
        <f t="shared" si="38"/>
        <v/>
      </c>
      <c r="CE100" s="1" t="str">
        <f t="shared" si="38"/>
        <v/>
      </c>
      <c r="CF100" s="1">
        <f>COUNTIF(BT100:CE100, "&gt;0")</f>
        <v>1</v>
      </c>
      <c r="CG100" s="1">
        <f t="shared" ref="CG100:CR102" si="39">IF($CF100=1,BT100,"")</f>
        <v>4</v>
      </c>
      <c r="CH100" s="1" t="str">
        <f t="shared" si="39"/>
        <v/>
      </c>
      <c r="CI100" s="1" t="str">
        <f t="shared" si="39"/>
        <v/>
      </c>
      <c r="CJ100" s="1" t="str">
        <f t="shared" si="39"/>
        <v/>
      </c>
      <c r="CK100" s="1" t="str">
        <f t="shared" si="39"/>
        <v/>
      </c>
      <c r="CL100" s="1" t="str">
        <f t="shared" si="39"/>
        <v/>
      </c>
      <c r="CM100" s="1" t="str">
        <f t="shared" si="39"/>
        <v/>
      </c>
      <c r="CN100" s="1" t="str">
        <f t="shared" si="39"/>
        <v/>
      </c>
      <c r="CO100" s="1" t="str">
        <f t="shared" si="39"/>
        <v/>
      </c>
      <c r="CP100" s="1" t="str">
        <f t="shared" si="39"/>
        <v/>
      </c>
      <c r="CQ100" s="1" t="str">
        <f t="shared" si="39"/>
        <v/>
      </c>
      <c r="CR100" s="1" t="str">
        <f t="shared" si="39"/>
        <v/>
      </c>
      <c r="CS100" s="18">
        <f>SUM(AE100:BO100)</f>
        <v>20</v>
      </c>
    </row>
    <row r="101" spans="1:97" ht="27" x14ac:dyDescent="0.15">
      <c r="A101" s="1">
        <v>20</v>
      </c>
      <c r="B101" s="1" t="s">
        <v>38</v>
      </c>
      <c r="C101" s="1" t="s">
        <v>32</v>
      </c>
      <c r="D101" s="1" t="s">
        <v>25</v>
      </c>
      <c r="E101" s="6"/>
      <c r="F101" s="6">
        <v>5</v>
      </c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>
        <v>5</v>
      </c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10</v>
      </c>
      <c r="BQ101" s="1">
        <v>7</v>
      </c>
      <c r="BR101" s="17">
        <v>2</v>
      </c>
      <c r="BS101" s="17" t="s">
        <v>220</v>
      </c>
      <c r="BT101" s="1" t="str">
        <f t="shared" si="38"/>
        <v/>
      </c>
      <c r="BU101" s="1" t="str">
        <f t="shared" si="38"/>
        <v/>
      </c>
      <c r="BV101" s="1" t="str">
        <f t="shared" si="38"/>
        <v/>
      </c>
      <c r="BW101" s="1" t="str">
        <f t="shared" si="38"/>
        <v/>
      </c>
      <c r="BX101" s="1" t="str">
        <f t="shared" si="38"/>
        <v/>
      </c>
      <c r="BY101" s="1" t="str">
        <f t="shared" si="38"/>
        <v/>
      </c>
      <c r="BZ101" s="1" t="str">
        <f t="shared" si="38"/>
        <v/>
      </c>
      <c r="CA101" s="1" t="str">
        <f t="shared" si="38"/>
        <v/>
      </c>
      <c r="CB101" s="1" t="str">
        <f t="shared" si="38"/>
        <v/>
      </c>
      <c r="CC101" s="1" t="str">
        <f t="shared" si="38"/>
        <v/>
      </c>
      <c r="CD101" s="1" t="str">
        <f t="shared" si="38"/>
        <v/>
      </c>
      <c r="CE101" s="1" t="str">
        <f t="shared" si="38"/>
        <v/>
      </c>
      <c r="CF101" s="1">
        <f>COUNTIF(BT101:CE101, "&gt;0")</f>
        <v>0</v>
      </c>
      <c r="CG101" s="1" t="str">
        <f t="shared" si="39"/>
        <v/>
      </c>
      <c r="CH101" s="1" t="str">
        <f t="shared" si="39"/>
        <v/>
      </c>
      <c r="CI101" s="1" t="str">
        <f t="shared" si="39"/>
        <v/>
      </c>
      <c r="CJ101" s="1" t="str">
        <f t="shared" si="39"/>
        <v/>
      </c>
      <c r="CK101" s="1" t="str">
        <f t="shared" si="39"/>
        <v/>
      </c>
      <c r="CL101" s="1" t="str">
        <f t="shared" si="39"/>
        <v/>
      </c>
      <c r="CM101" s="1" t="str">
        <f t="shared" si="39"/>
        <v/>
      </c>
      <c r="CN101" s="1" t="str">
        <f t="shared" si="39"/>
        <v/>
      </c>
      <c r="CO101" s="1" t="str">
        <f t="shared" si="39"/>
        <v/>
      </c>
      <c r="CP101" s="1" t="str">
        <f t="shared" si="39"/>
        <v/>
      </c>
      <c r="CQ101" s="1" t="str">
        <f t="shared" si="39"/>
        <v/>
      </c>
      <c r="CR101" s="1" t="str">
        <f t="shared" si="39"/>
        <v/>
      </c>
      <c r="CS101" s="18">
        <f>SUM(AE101:BO101)</f>
        <v>5</v>
      </c>
    </row>
    <row r="102" spans="1:97" ht="27" x14ac:dyDescent="0.15">
      <c r="A102" s="1">
        <v>101</v>
      </c>
      <c r="B102" s="3" t="s">
        <v>111</v>
      </c>
      <c r="C102" s="3" t="s">
        <v>77</v>
      </c>
      <c r="D102" s="1" t="s">
        <v>13</v>
      </c>
      <c r="E102" s="6"/>
      <c r="F102" s="6"/>
      <c r="G102" s="6"/>
      <c r="H102" s="6">
        <v>6</v>
      </c>
      <c r="I102" s="6">
        <v>6</v>
      </c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>
        <v>8</v>
      </c>
      <c r="AV102" s="4"/>
      <c r="AW102" s="2">
        <v>8</v>
      </c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28</v>
      </c>
      <c r="BQ102" s="1">
        <v>8</v>
      </c>
      <c r="BR102" s="17">
        <v>2</v>
      </c>
      <c r="BS102" s="17" t="s">
        <v>263</v>
      </c>
      <c r="BT102" s="1" t="str">
        <f t="shared" si="38"/>
        <v/>
      </c>
      <c r="BU102" s="1" t="str">
        <f t="shared" si="38"/>
        <v/>
      </c>
      <c r="BV102" s="1" t="str">
        <f t="shared" si="38"/>
        <v/>
      </c>
      <c r="BW102" s="1" t="str">
        <f t="shared" si="38"/>
        <v/>
      </c>
      <c r="BX102" s="1">
        <f t="shared" si="38"/>
        <v>5</v>
      </c>
      <c r="BY102" s="1" t="str">
        <f t="shared" si="38"/>
        <v/>
      </c>
      <c r="BZ102" s="1" t="str">
        <f t="shared" si="38"/>
        <v/>
      </c>
      <c r="CA102" s="1" t="str">
        <f t="shared" si="38"/>
        <v/>
      </c>
      <c r="CB102" s="1" t="str">
        <f t="shared" si="38"/>
        <v/>
      </c>
      <c r="CC102" s="1" t="str">
        <f t="shared" si="38"/>
        <v/>
      </c>
      <c r="CD102" s="1" t="str">
        <f t="shared" si="38"/>
        <v/>
      </c>
      <c r="CE102" s="1" t="str">
        <f t="shared" si="38"/>
        <v/>
      </c>
      <c r="CF102" s="1">
        <f>COUNTIF(BT102:CE102, "&gt;0")</f>
        <v>1</v>
      </c>
      <c r="CG102" s="1" t="str">
        <f t="shared" si="39"/>
        <v/>
      </c>
      <c r="CH102" s="1" t="str">
        <f t="shared" si="39"/>
        <v/>
      </c>
      <c r="CI102" s="1" t="str">
        <f t="shared" si="39"/>
        <v/>
      </c>
      <c r="CJ102" s="1" t="str">
        <f t="shared" si="39"/>
        <v/>
      </c>
      <c r="CK102" s="1">
        <f t="shared" si="39"/>
        <v>5</v>
      </c>
      <c r="CL102" s="1" t="str">
        <f t="shared" si="39"/>
        <v/>
      </c>
      <c r="CM102" s="1" t="str">
        <f t="shared" si="39"/>
        <v/>
      </c>
      <c r="CN102" s="1" t="str">
        <f t="shared" si="39"/>
        <v/>
      </c>
      <c r="CO102" s="1" t="str">
        <f t="shared" si="39"/>
        <v/>
      </c>
      <c r="CP102" s="1" t="str">
        <f t="shared" si="39"/>
        <v/>
      </c>
      <c r="CQ102" s="1" t="str">
        <f t="shared" si="39"/>
        <v/>
      </c>
      <c r="CR102" s="1" t="str">
        <f t="shared" si="39"/>
        <v/>
      </c>
      <c r="CS102" s="18">
        <f>SUM(AE102:BO102)</f>
        <v>16</v>
      </c>
    </row>
    <row r="103" spans="1:97" ht="27" x14ac:dyDescent="0.15">
      <c r="A103" s="1"/>
      <c r="B103" s="1" t="s">
        <v>125</v>
      </c>
      <c r="C103" s="1" t="s">
        <v>121</v>
      </c>
      <c r="D103" s="1" t="s">
        <v>126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3</v>
      </c>
      <c r="AP103" s="1">
        <v>5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8</v>
      </c>
      <c r="BR103" s="17">
        <v>2</v>
      </c>
      <c r="BS103" s="17" t="s">
        <v>264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167</v>
      </c>
      <c r="C104" s="1" t="s">
        <v>155</v>
      </c>
      <c r="D104" s="1" t="s">
        <v>157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>
        <v>5</v>
      </c>
      <c r="R104" s="32">
        <v>2</v>
      </c>
      <c r="S104" s="32"/>
      <c r="T104" s="32">
        <v>5</v>
      </c>
      <c r="U104" s="32"/>
      <c r="V104" s="32"/>
      <c r="W104" s="32"/>
      <c r="X104" s="32"/>
      <c r="Y104" s="32"/>
      <c r="Z104" s="32">
        <v>5</v>
      </c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8</v>
      </c>
      <c r="BR104" s="17">
        <v>2</v>
      </c>
      <c r="BS104" s="17" t="s">
        <v>221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172</v>
      </c>
      <c r="C105" s="1" t="s">
        <v>155</v>
      </c>
      <c r="D105" s="1" t="s">
        <v>157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/>
      <c r="Q105" s="32">
        <v>5</v>
      </c>
      <c r="R105" s="32">
        <v>2</v>
      </c>
      <c r="S105" s="32"/>
      <c r="T105" s="32">
        <v>5</v>
      </c>
      <c r="U105" s="32"/>
      <c r="V105" s="32"/>
      <c r="W105" s="32"/>
      <c r="X105" s="32"/>
      <c r="Y105" s="32"/>
      <c r="Z105" s="32">
        <v>5</v>
      </c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8</v>
      </c>
      <c r="BR105" s="17">
        <v>2</v>
      </c>
      <c r="BS105" s="17" t="s">
        <v>221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/>
      <c r="B106" s="1" t="s">
        <v>182</v>
      </c>
      <c r="C106" s="1" t="s">
        <v>179</v>
      </c>
      <c r="D106" s="1" t="s">
        <v>157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>
        <v>5</v>
      </c>
      <c r="R106" s="32">
        <v>2</v>
      </c>
      <c r="S106" s="32"/>
      <c r="T106" s="32">
        <v>5</v>
      </c>
      <c r="U106" s="32"/>
      <c r="V106" s="32"/>
      <c r="W106" s="32"/>
      <c r="X106" s="32"/>
      <c r="Y106" s="32"/>
      <c r="Z106" s="32">
        <v>5</v>
      </c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8</v>
      </c>
      <c r="BR106" s="17">
        <v>2</v>
      </c>
      <c r="BS106" s="17" t="s">
        <v>221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184</v>
      </c>
      <c r="C107" s="1" t="s">
        <v>185</v>
      </c>
      <c r="D107" s="1" t="s">
        <v>157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>
        <v>5</v>
      </c>
      <c r="R107" s="32"/>
      <c r="S107" s="32"/>
      <c r="T107" s="32">
        <v>5</v>
      </c>
      <c r="U107" s="32"/>
      <c r="V107" s="32"/>
      <c r="W107" s="32"/>
      <c r="X107" s="32">
        <v>2</v>
      </c>
      <c r="Y107" s="32"/>
      <c r="Z107" s="32">
        <v>5</v>
      </c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8</v>
      </c>
      <c r="BR107" s="17">
        <v>2</v>
      </c>
      <c r="BS107" s="17" t="s">
        <v>221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>
        <v>1</v>
      </c>
      <c r="B108" s="1" t="s">
        <v>0</v>
      </c>
      <c r="C108" s="1" t="s">
        <v>2</v>
      </c>
      <c r="D108" s="1" t="s">
        <v>1</v>
      </c>
      <c r="E108" s="6">
        <v>10</v>
      </c>
      <c r="F108" s="6">
        <v>10</v>
      </c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>
        <v>10</v>
      </c>
      <c r="AS108" s="4"/>
      <c r="AT108" s="4"/>
      <c r="AU108" s="4"/>
      <c r="AV108" s="4"/>
      <c r="AW108" s="2">
        <v>15</v>
      </c>
      <c r="AX108" s="2">
        <v>15</v>
      </c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60</v>
      </c>
      <c r="BQ108" s="1">
        <v>9</v>
      </c>
      <c r="BR108" s="17">
        <v>2</v>
      </c>
      <c r="BS108" s="17" t="s">
        <v>265</v>
      </c>
      <c r="BT108" s="1" t="str">
        <f t="shared" ref="BT108:CE111" si="40">IF(AQ108&gt;AQ$158, AQ108-AQ$158,"")</f>
        <v/>
      </c>
      <c r="BU108" s="1" t="str">
        <f t="shared" si="40"/>
        <v/>
      </c>
      <c r="BV108" s="1" t="str">
        <f t="shared" si="40"/>
        <v/>
      </c>
      <c r="BW108" s="1" t="str">
        <f t="shared" si="40"/>
        <v/>
      </c>
      <c r="BX108" s="1" t="str">
        <f t="shared" si="40"/>
        <v/>
      </c>
      <c r="BY108" s="1" t="str">
        <f t="shared" si="40"/>
        <v/>
      </c>
      <c r="BZ108" s="1" t="str">
        <f t="shared" si="40"/>
        <v/>
      </c>
      <c r="CA108" s="1" t="str">
        <f t="shared" si="40"/>
        <v/>
      </c>
      <c r="CB108" s="1" t="str">
        <f t="shared" si="40"/>
        <v/>
      </c>
      <c r="CC108" s="1" t="str">
        <f t="shared" si="40"/>
        <v/>
      </c>
      <c r="CD108" s="1" t="str">
        <f t="shared" si="40"/>
        <v/>
      </c>
      <c r="CE108" s="1" t="str">
        <f t="shared" si="40"/>
        <v/>
      </c>
      <c r="CF108" s="1">
        <f>COUNTIF(BT108:CE108, "&gt;0")</f>
        <v>0</v>
      </c>
      <c r="CG108" s="1" t="str">
        <f t="shared" ref="CG108:CR111" si="41">IF($CF108=1,BT108,"")</f>
        <v/>
      </c>
      <c r="CH108" s="1" t="str">
        <f t="shared" si="41"/>
        <v/>
      </c>
      <c r="CI108" s="1" t="str">
        <f t="shared" si="41"/>
        <v/>
      </c>
      <c r="CJ108" s="1" t="str">
        <f t="shared" si="41"/>
        <v/>
      </c>
      <c r="CK108" s="1" t="str">
        <f t="shared" si="41"/>
        <v/>
      </c>
      <c r="CL108" s="1" t="str">
        <f t="shared" si="41"/>
        <v/>
      </c>
      <c r="CM108" s="1" t="str">
        <f t="shared" si="41"/>
        <v/>
      </c>
      <c r="CN108" s="1" t="str">
        <f t="shared" si="41"/>
        <v/>
      </c>
      <c r="CO108" s="1" t="str">
        <f t="shared" si="41"/>
        <v/>
      </c>
      <c r="CP108" s="1" t="str">
        <f t="shared" si="41"/>
        <v/>
      </c>
      <c r="CQ108" s="1" t="str">
        <f t="shared" si="41"/>
        <v/>
      </c>
      <c r="CR108" s="1" t="str">
        <f t="shared" si="41"/>
        <v/>
      </c>
      <c r="CS108" s="18">
        <f>SUM(AE108:BO108)</f>
        <v>40</v>
      </c>
    </row>
    <row r="109" spans="1:97" ht="27" x14ac:dyDescent="0.15">
      <c r="A109" s="1">
        <v>95</v>
      </c>
      <c r="B109" s="3" t="s">
        <v>94</v>
      </c>
      <c r="C109" s="3" t="s">
        <v>77</v>
      </c>
      <c r="D109" s="1" t="s">
        <v>1</v>
      </c>
      <c r="E109" s="6"/>
      <c r="F109" s="6"/>
      <c r="G109" s="6"/>
      <c r="H109" s="6"/>
      <c r="I109" s="6"/>
      <c r="J109" s="6"/>
      <c r="K109" s="6"/>
      <c r="L109" s="6">
        <v>15</v>
      </c>
      <c r="M109" s="6"/>
      <c r="N109" s="6"/>
      <c r="O109" s="6">
        <v>15</v>
      </c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>
        <v>15</v>
      </c>
      <c r="BB109" s="2">
        <v>15</v>
      </c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10</v>
      </c>
      <c r="BR109" s="17">
        <v>2</v>
      </c>
      <c r="BS109" s="17" t="s">
        <v>266</v>
      </c>
      <c r="BT109" s="1" t="str">
        <f t="shared" si="40"/>
        <v/>
      </c>
      <c r="BU109" s="1" t="str">
        <f t="shared" si="40"/>
        <v/>
      </c>
      <c r="BV109" s="1" t="str">
        <f t="shared" si="40"/>
        <v/>
      </c>
      <c r="BW109" s="1" t="str">
        <f t="shared" si="40"/>
        <v/>
      </c>
      <c r="BX109" s="1" t="str">
        <f t="shared" si="40"/>
        <v/>
      </c>
      <c r="BY109" s="1" t="str">
        <f t="shared" si="40"/>
        <v/>
      </c>
      <c r="BZ109" s="1" t="str">
        <f t="shared" si="40"/>
        <v/>
      </c>
      <c r="CA109" s="1" t="str">
        <f t="shared" si="40"/>
        <v/>
      </c>
      <c r="CB109" s="1" t="str">
        <f t="shared" si="40"/>
        <v/>
      </c>
      <c r="CC109" s="1" t="str">
        <f t="shared" si="40"/>
        <v/>
      </c>
      <c r="CD109" s="1">
        <f t="shared" si="40"/>
        <v>3</v>
      </c>
      <c r="CE109" s="1" t="str">
        <f t="shared" si="40"/>
        <v/>
      </c>
      <c r="CF109" s="1">
        <f>COUNTIF(BT109:CE109, "&gt;0")</f>
        <v>1</v>
      </c>
      <c r="CG109" s="1" t="str">
        <f t="shared" si="41"/>
        <v/>
      </c>
      <c r="CH109" s="1" t="str">
        <f t="shared" si="41"/>
        <v/>
      </c>
      <c r="CI109" s="1" t="str">
        <f t="shared" si="41"/>
        <v/>
      </c>
      <c r="CJ109" s="1" t="str">
        <f t="shared" si="41"/>
        <v/>
      </c>
      <c r="CK109" s="1" t="str">
        <f t="shared" si="41"/>
        <v/>
      </c>
      <c r="CL109" s="1" t="str">
        <f t="shared" si="41"/>
        <v/>
      </c>
      <c r="CM109" s="1" t="str">
        <f t="shared" si="41"/>
        <v/>
      </c>
      <c r="CN109" s="1" t="str">
        <f t="shared" si="41"/>
        <v/>
      </c>
      <c r="CO109" s="1" t="str">
        <f t="shared" si="41"/>
        <v/>
      </c>
      <c r="CP109" s="1" t="str">
        <f t="shared" si="41"/>
        <v/>
      </c>
      <c r="CQ109" s="1">
        <f t="shared" si="41"/>
        <v>3</v>
      </c>
      <c r="CR109" s="1" t="str">
        <f t="shared" si="41"/>
        <v/>
      </c>
      <c r="CS109" s="18">
        <f>SUM(AE109:BO109)</f>
        <v>30</v>
      </c>
    </row>
    <row r="110" spans="1:97" ht="27" x14ac:dyDescent="0.15">
      <c r="A110" s="1">
        <v>27</v>
      </c>
      <c r="B110" s="1" t="s">
        <v>83</v>
      </c>
      <c r="C110" s="1" t="s">
        <v>32</v>
      </c>
      <c r="D110" s="1" t="s">
        <v>24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"/>
      <c r="AF110" s="1"/>
      <c r="AG110" s="1"/>
      <c r="AH110" s="1">
        <v>5</v>
      </c>
      <c r="AI110" s="1">
        <v>5</v>
      </c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10</v>
      </c>
      <c r="BQ110" s="1">
        <v>10</v>
      </c>
      <c r="BR110" s="17">
        <v>2</v>
      </c>
      <c r="BS110" s="17" t="s">
        <v>222</v>
      </c>
      <c r="BT110" s="1" t="str">
        <f t="shared" si="40"/>
        <v/>
      </c>
      <c r="BU110" s="1" t="str">
        <f t="shared" si="40"/>
        <v/>
      </c>
      <c r="BV110" s="1" t="str">
        <f t="shared" si="40"/>
        <v/>
      </c>
      <c r="BW110" s="1" t="str">
        <f t="shared" si="40"/>
        <v/>
      </c>
      <c r="BX110" s="1" t="str">
        <f t="shared" si="40"/>
        <v/>
      </c>
      <c r="BY110" s="1" t="str">
        <f t="shared" si="40"/>
        <v/>
      </c>
      <c r="BZ110" s="1" t="str">
        <f t="shared" si="40"/>
        <v/>
      </c>
      <c r="CA110" s="1" t="str">
        <f t="shared" si="40"/>
        <v/>
      </c>
      <c r="CB110" s="1" t="str">
        <f t="shared" si="40"/>
        <v/>
      </c>
      <c r="CC110" s="1" t="str">
        <f t="shared" si="40"/>
        <v/>
      </c>
      <c r="CD110" s="1" t="str">
        <f t="shared" si="40"/>
        <v/>
      </c>
      <c r="CE110" s="1" t="str">
        <f t="shared" si="40"/>
        <v/>
      </c>
      <c r="CF110" s="1">
        <f>COUNTIF(BT110:CE110, "&gt;0")</f>
        <v>0</v>
      </c>
      <c r="CG110" s="1" t="str">
        <f t="shared" si="41"/>
        <v/>
      </c>
      <c r="CH110" s="1" t="str">
        <f t="shared" si="41"/>
        <v/>
      </c>
      <c r="CI110" s="1" t="str">
        <f t="shared" si="41"/>
        <v/>
      </c>
      <c r="CJ110" s="1" t="str">
        <f t="shared" si="41"/>
        <v/>
      </c>
      <c r="CK110" s="1" t="str">
        <f t="shared" si="41"/>
        <v/>
      </c>
      <c r="CL110" s="1" t="str">
        <f t="shared" si="41"/>
        <v/>
      </c>
      <c r="CM110" s="1" t="str">
        <f t="shared" si="41"/>
        <v/>
      </c>
      <c r="CN110" s="1" t="str">
        <f t="shared" si="41"/>
        <v/>
      </c>
      <c r="CO110" s="1" t="str">
        <f t="shared" si="41"/>
        <v/>
      </c>
      <c r="CP110" s="1" t="str">
        <f t="shared" si="41"/>
        <v/>
      </c>
      <c r="CQ110" s="1" t="str">
        <f t="shared" si="41"/>
        <v/>
      </c>
      <c r="CR110" s="1" t="str">
        <f t="shared" si="41"/>
        <v/>
      </c>
      <c r="CS110" s="18">
        <f>SUM(AE110:BO110)</f>
        <v>10</v>
      </c>
    </row>
    <row r="111" spans="1:97" ht="27" x14ac:dyDescent="0.15">
      <c r="A111" s="1">
        <v>88</v>
      </c>
      <c r="B111" s="3" t="s">
        <v>88</v>
      </c>
      <c r="C111" s="3" t="s">
        <v>89</v>
      </c>
      <c r="D111" s="1" t="s">
        <v>24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10</v>
      </c>
      <c r="BQ111" s="1">
        <v>10</v>
      </c>
      <c r="BR111" s="17">
        <v>2</v>
      </c>
      <c r="BS111" s="17" t="s">
        <v>222</v>
      </c>
      <c r="BT111" s="1" t="str">
        <f t="shared" si="40"/>
        <v/>
      </c>
      <c r="BU111" s="1" t="str">
        <f t="shared" si="40"/>
        <v/>
      </c>
      <c r="BV111" s="1" t="str">
        <f t="shared" si="40"/>
        <v/>
      </c>
      <c r="BW111" s="1" t="str">
        <f t="shared" si="40"/>
        <v/>
      </c>
      <c r="BX111" s="1" t="str">
        <f t="shared" si="40"/>
        <v/>
      </c>
      <c r="BY111" s="1" t="str">
        <f t="shared" si="40"/>
        <v/>
      </c>
      <c r="BZ111" s="1" t="str">
        <f t="shared" si="40"/>
        <v/>
      </c>
      <c r="CA111" s="1" t="str">
        <f t="shared" si="40"/>
        <v/>
      </c>
      <c r="CB111" s="1" t="str">
        <f t="shared" si="40"/>
        <v/>
      </c>
      <c r="CC111" s="1" t="str">
        <f t="shared" si="40"/>
        <v/>
      </c>
      <c r="CD111" s="1" t="str">
        <f t="shared" si="40"/>
        <v/>
      </c>
      <c r="CE111" s="1" t="str">
        <f t="shared" si="40"/>
        <v/>
      </c>
      <c r="CF111" s="1">
        <f>COUNTIF(BT111:CE111, "&gt;0")</f>
        <v>0</v>
      </c>
      <c r="CG111" s="1" t="str">
        <f t="shared" si="41"/>
        <v/>
      </c>
      <c r="CH111" s="1" t="str">
        <f t="shared" si="41"/>
        <v/>
      </c>
      <c r="CI111" s="1" t="str">
        <f t="shared" si="41"/>
        <v/>
      </c>
      <c r="CJ111" s="1" t="str">
        <f t="shared" si="41"/>
        <v/>
      </c>
      <c r="CK111" s="1" t="str">
        <f t="shared" si="41"/>
        <v/>
      </c>
      <c r="CL111" s="1" t="str">
        <f t="shared" si="41"/>
        <v/>
      </c>
      <c r="CM111" s="1" t="str">
        <f t="shared" si="41"/>
        <v/>
      </c>
      <c r="CN111" s="1" t="str">
        <f t="shared" si="41"/>
        <v/>
      </c>
      <c r="CO111" s="1" t="str">
        <f t="shared" si="41"/>
        <v/>
      </c>
      <c r="CP111" s="1" t="str">
        <f t="shared" si="41"/>
        <v/>
      </c>
      <c r="CQ111" s="1" t="str">
        <f t="shared" si="41"/>
        <v/>
      </c>
      <c r="CR111" s="1" t="str">
        <f t="shared" si="41"/>
        <v/>
      </c>
      <c r="CS111" s="18">
        <f>SUM(AE111:BO111)</f>
        <v>10</v>
      </c>
    </row>
    <row r="112" spans="1:97" ht="27" x14ac:dyDescent="0.15">
      <c r="A112" s="1"/>
      <c r="B112" s="1" t="s">
        <v>191</v>
      </c>
      <c r="C112" s="1" t="s">
        <v>190</v>
      </c>
      <c r="D112" s="1" t="s">
        <v>158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/>
      <c r="W112" s="32"/>
      <c r="X112" s="32">
        <v>10</v>
      </c>
      <c r="Y112" s="32"/>
      <c r="Z112" s="32"/>
      <c r="AA112" s="32"/>
      <c r="AB112" s="32"/>
      <c r="AC112" s="32"/>
      <c r="AD112" s="32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10</v>
      </c>
      <c r="BR112" s="17">
        <v>2</v>
      </c>
      <c r="BS112" s="17" t="s">
        <v>268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239</v>
      </c>
      <c r="C113" s="1" t="s">
        <v>144</v>
      </c>
      <c r="D113" s="1" t="s">
        <v>242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>
        <v>10</v>
      </c>
      <c r="Y113" s="32"/>
      <c r="Z113" s="32"/>
      <c r="AA113" s="32"/>
      <c r="AB113" s="32"/>
      <c r="AC113" s="32"/>
      <c r="AD113" s="32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10</v>
      </c>
      <c r="BR113" s="17">
        <v>2</v>
      </c>
      <c r="BS113" s="17" t="s">
        <v>267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>
        <v>3</v>
      </c>
      <c r="B114" s="1" t="s">
        <v>11</v>
      </c>
      <c r="C114" s="1" t="s">
        <v>2</v>
      </c>
      <c r="D114" s="1" t="s">
        <v>12</v>
      </c>
      <c r="E114" s="6">
        <v>15</v>
      </c>
      <c r="F114" s="6"/>
      <c r="G114" s="6">
        <v>15</v>
      </c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>
        <v>15</v>
      </c>
      <c r="AS114" s="4"/>
      <c r="AT114" s="4"/>
      <c r="AU114" s="4"/>
      <c r="AV114" s="4"/>
      <c r="AW114" s="2"/>
      <c r="AX114" s="2"/>
      <c r="AY114" s="2"/>
      <c r="AZ114" s="2"/>
      <c r="BA114" s="2"/>
      <c r="BB114" s="2">
        <v>15</v>
      </c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11</v>
      </c>
      <c r="BR114" s="17">
        <v>2</v>
      </c>
      <c r="BS114" s="17" t="s">
        <v>269</v>
      </c>
      <c r="BT114" s="1" t="str">
        <f t="shared" ref="BT114:CE114" si="42">IF(AQ114&gt;AQ$158, AQ114-AQ$158,"")</f>
        <v/>
      </c>
      <c r="BU114" s="1" t="str">
        <f t="shared" si="42"/>
        <v/>
      </c>
      <c r="BV114" s="1" t="str">
        <f t="shared" si="42"/>
        <v/>
      </c>
      <c r="BW114" s="1" t="str">
        <f t="shared" si="42"/>
        <v/>
      </c>
      <c r="BX114" s="1" t="str">
        <f t="shared" si="42"/>
        <v/>
      </c>
      <c r="BY114" s="1" t="str">
        <f t="shared" si="42"/>
        <v/>
      </c>
      <c r="BZ114" s="1" t="str">
        <f t="shared" si="42"/>
        <v/>
      </c>
      <c r="CA114" s="1" t="str">
        <f t="shared" si="42"/>
        <v/>
      </c>
      <c r="CB114" s="1" t="str">
        <f t="shared" si="42"/>
        <v/>
      </c>
      <c r="CC114" s="1" t="str">
        <f t="shared" si="42"/>
        <v/>
      </c>
      <c r="CD114" s="1" t="str">
        <f t="shared" si="42"/>
        <v/>
      </c>
      <c r="CE114" s="1" t="str">
        <f t="shared" si="42"/>
        <v/>
      </c>
      <c r="CF114" s="1">
        <f>COUNTIF(BT114:CE114, "&gt;0")</f>
        <v>0</v>
      </c>
      <c r="CG114" s="1" t="str">
        <f t="shared" ref="CG114:CR114" si="43">IF($CF114=1,BT114,"")</f>
        <v/>
      </c>
      <c r="CH114" s="1" t="str">
        <f t="shared" si="43"/>
        <v/>
      </c>
      <c r="CI114" s="1" t="str">
        <f t="shared" si="43"/>
        <v/>
      </c>
      <c r="CJ114" s="1" t="str">
        <f t="shared" si="43"/>
        <v/>
      </c>
      <c r="CK114" s="1" t="str">
        <f t="shared" si="43"/>
        <v/>
      </c>
      <c r="CL114" s="1" t="str">
        <f t="shared" si="43"/>
        <v/>
      </c>
      <c r="CM114" s="1" t="str">
        <f t="shared" si="43"/>
        <v/>
      </c>
      <c r="CN114" s="1" t="str">
        <f t="shared" si="43"/>
        <v/>
      </c>
      <c r="CO114" s="1" t="str">
        <f t="shared" si="43"/>
        <v/>
      </c>
      <c r="CP114" s="1" t="str">
        <f t="shared" si="43"/>
        <v/>
      </c>
      <c r="CQ114" s="1" t="str">
        <f t="shared" si="43"/>
        <v/>
      </c>
      <c r="CR114" s="1" t="str">
        <f t="shared" si="43"/>
        <v/>
      </c>
      <c r="CS114" s="18">
        <f>SUM(AE114:BO114)</f>
        <v>30</v>
      </c>
    </row>
    <row r="115" spans="1:97" ht="27" x14ac:dyDescent="0.15">
      <c r="A115" s="1"/>
      <c r="B115" s="1" t="s">
        <v>131</v>
      </c>
      <c r="C115" s="1" t="s">
        <v>132</v>
      </c>
      <c r="D115" s="1" t="s">
        <v>118</v>
      </c>
      <c r="E115" s="6">
        <v>15</v>
      </c>
      <c r="F115" s="6"/>
      <c r="G115" s="6">
        <v>15</v>
      </c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>
        <v>15</v>
      </c>
      <c r="AS115" s="4"/>
      <c r="AT115" s="4"/>
      <c r="AU115" s="4"/>
      <c r="AV115" s="4"/>
      <c r="AW115" s="2"/>
      <c r="AX115" s="2"/>
      <c r="AY115" s="2"/>
      <c r="AZ115" s="2"/>
      <c r="BA115" s="2"/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11</v>
      </c>
      <c r="BR115" s="17">
        <v>2</v>
      </c>
      <c r="BS115" s="17" t="s">
        <v>269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133</v>
      </c>
      <c r="C116" s="1" t="s">
        <v>132</v>
      </c>
      <c r="D116" s="1" t="s">
        <v>118</v>
      </c>
      <c r="E116" s="6">
        <v>15</v>
      </c>
      <c r="F116" s="6"/>
      <c r="G116" s="6">
        <v>15</v>
      </c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>
        <v>15</v>
      </c>
      <c r="AS116" s="4"/>
      <c r="AT116" s="4"/>
      <c r="AU116" s="4"/>
      <c r="AV116" s="4"/>
      <c r="AW116" s="2"/>
      <c r="AX116" s="2"/>
      <c r="AY116" s="2"/>
      <c r="AZ116" s="2"/>
      <c r="BA116" s="2"/>
      <c r="BB116" s="2">
        <v>15</v>
      </c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11</v>
      </c>
      <c r="BR116" s="17">
        <v>2</v>
      </c>
      <c r="BS116" s="17" t="s">
        <v>269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>
        <v>21</v>
      </c>
      <c r="B117" s="1" t="s">
        <v>39</v>
      </c>
      <c r="C117" s="1" t="s">
        <v>32</v>
      </c>
      <c r="D117" s="1" t="s">
        <v>26</v>
      </c>
      <c r="E117" s="6"/>
      <c r="F117" s="6"/>
      <c r="G117" s="6">
        <v>6</v>
      </c>
      <c r="H117" s="6">
        <v>6</v>
      </c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>
        <v>10</v>
      </c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32</v>
      </c>
      <c r="BQ117" s="1">
        <v>11</v>
      </c>
      <c r="BR117" s="17">
        <v>2</v>
      </c>
      <c r="BS117" s="17" t="s">
        <v>209</v>
      </c>
      <c r="BT117" s="1" t="str">
        <f t="shared" ref="BT117:CE117" si="44">IF(AQ117&gt;AQ$158, AQ117-AQ$158,"")</f>
        <v/>
      </c>
      <c r="BU117" s="1" t="str">
        <f t="shared" si="44"/>
        <v/>
      </c>
      <c r="BV117" s="1">
        <f t="shared" si="44"/>
        <v>8</v>
      </c>
      <c r="BW117" s="1" t="str">
        <f t="shared" si="44"/>
        <v/>
      </c>
      <c r="BX117" s="1" t="str">
        <f t="shared" si="44"/>
        <v/>
      </c>
      <c r="BY117" s="1" t="str">
        <f t="shared" si="44"/>
        <v/>
      </c>
      <c r="BZ117" s="1" t="str">
        <f t="shared" si="44"/>
        <v/>
      </c>
      <c r="CA117" s="1" t="str">
        <f t="shared" si="44"/>
        <v/>
      </c>
      <c r="CB117" s="1" t="str">
        <f t="shared" si="44"/>
        <v/>
      </c>
      <c r="CC117" s="1" t="str">
        <f t="shared" si="44"/>
        <v/>
      </c>
      <c r="CD117" s="1" t="str">
        <f t="shared" si="44"/>
        <v/>
      </c>
      <c r="CE117" s="1" t="str">
        <f t="shared" si="44"/>
        <v/>
      </c>
      <c r="CF117" s="1">
        <f>COUNTIF(BT117:CE117, "&gt;0")</f>
        <v>1</v>
      </c>
      <c r="CG117" s="1" t="str">
        <f t="shared" ref="CG117:CR117" si="45">IF($CF117=1,BT117,"")</f>
        <v/>
      </c>
      <c r="CH117" s="1" t="str">
        <f t="shared" si="45"/>
        <v/>
      </c>
      <c r="CI117" s="1">
        <f t="shared" si="45"/>
        <v>8</v>
      </c>
      <c r="CJ117" s="1" t="str">
        <f t="shared" si="45"/>
        <v/>
      </c>
      <c r="CK117" s="1" t="str">
        <f t="shared" si="45"/>
        <v/>
      </c>
      <c r="CL117" s="1" t="str">
        <f t="shared" si="45"/>
        <v/>
      </c>
      <c r="CM117" s="1" t="str">
        <f t="shared" si="45"/>
        <v/>
      </c>
      <c r="CN117" s="1" t="str">
        <f t="shared" si="45"/>
        <v/>
      </c>
      <c r="CO117" s="1" t="str">
        <f t="shared" si="45"/>
        <v/>
      </c>
      <c r="CP117" s="1" t="str">
        <f t="shared" si="45"/>
        <v/>
      </c>
      <c r="CQ117" s="1" t="str">
        <f t="shared" si="45"/>
        <v/>
      </c>
      <c r="CR117" s="1" t="str">
        <f t="shared" si="45"/>
        <v/>
      </c>
      <c r="CS117" s="18">
        <f>SUM(AE117:BO117)</f>
        <v>20</v>
      </c>
    </row>
    <row r="118" spans="1:97" ht="27" x14ac:dyDescent="0.15">
      <c r="A118" s="1"/>
      <c r="B118" s="1" t="s">
        <v>129</v>
      </c>
      <c r="C118" s="1" t="s">
        <v>121</v>
      </c>
      <c r="D118" s="1" t="s">
        <v>119</v>
      </c>
      <c r="E118" s="6">
        <v>6</v>
      </c>
      <c r="F118" s="6">
        <v>6</v>
      </c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>
        <v>10</v>
      </c>
      <c r="AT118" s="4"/>
      <c r="AU118" s="4"/>
      <c r="AV118" s="4"/>
      <c r="AW118" s="2"/>
      <c r="AX118" s="2">
        <v>10</v>
      </c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11</v>
      </c>
      <c r="BR118" s="17">
        <v>2</v>
      </c>
      <c r="BS118" s="17" t="s">
        <v>270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283</v>
      </c>
      <c r="C119" s="1" t="s">
        <v>155</v>
      </c>
      <c r="D119" s="1" t="s">
        <v>158</v>
      </c>
      <c r="E119" s="6"/>
      <c r="F119" s="6"/>
      <c r="G119" s="6"/>
      <c r="H119" s="6"/>
      <c r="I119" s="6">
        <v>10</v>
      </c>
      <c r="J119" s="6"/>
      <c r="K119" s="6"/>
      <c r="L119" s="6"/>
      <c r="M119" s="6"/>
      <c r="N119" s="6"/>
      <c r="O119" s="6"/>
      <c r="P119" s="32"/>
      <c r="Q119" s="32"/>
      <c r="R119" s="32">
        <v>10</v>
      </c>
      <c r="S119" s="32"/>
      <c r="T119" s="32"/>
      <c r="U119" s="32"/>
      <c r="V119" s="32"/>
      <c r="W119" s="32"/>
      <c r="X119" s="32">
        <v>10</v>
      </c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10</v>
      </c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12</v>
      </c>
      <c r="BR119" s="17">
        <v>2</v>
      </c>
      <c r="BS119" s="17" t="s">
        <v>223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125</v>
      </c>
      <c r="C120" s="1" t="s">
        <v>121</v>
      </c>
      <c r="D120" s="1" t="s">
        <v>118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>
        <v>5</v>
      </c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>
        <v>5</v>
      </c>
      <c r="AP120" s="1">
        <v>10</v>
      </c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15</v>
      </c>
      <c r="BR120" s="17">
        <v>2</v>
      </c>
      <c r="BS120" s="17" t="s">
        <v>271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152</v>
      </c>
      <c r="C121" s="1" t="s">
        <v>153</v>
      </c>
      <c r="D121" s="1" t="s">
        <v>118</v>
      </c>
      <c r="E121" s="6"/>
      <c r="F121" s="6"/>
      <c r="G121" s="6"/>
      <c r="H121" s="6"/>
      <c r="I121" s="6"/>
      <c r="J121" s="6"/>
      <c r="K121" s="6"/>
      <c r="L121" s="6">
        <v>20</v>
      </c>
      <c r="M121" s="6"/>
      <c r="N121" s="6"/>
      <c r="O121" s="6">
        <v>20</v>
      </c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>
        <v>20</v>
      </c>
      <c r="BB121" s="2">
        <v>20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20</v>
      </c>
      <c r="BR121" s="17">
        <v>2</v>
      </c>
      <c r="BS121" s="17" t="s">
        <v>203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40.5" x14ac:dyDescent="0.15">
      <c r="A122" s="1"/>
      <c r="B122" s="1" t="s">
        <v>194</v>
      </c>
      <c r="C122" s="1" t="s">
        <v>190</v>
      </c>
      <c r="D122" s="1" t="s">
        <v>157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>
        <v>2</v>
      </c>
      <c r="V122" s="32"/>
      <c r="W122" s="32"/>
      <c r="X122" s="32"/>
      <c r="Y122" s="32"/>
      <c r="Z122" s="32"/>
      <c r="AA122" s="32">
        <v>2</v>
      </c>
      <c r="AB122" s="32"/>
      <c r="AC122" s="32">
        <v>5</v>
      </c>
      <c r="AD122" s="32">
        <v>2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6</v>
      </c>
      <c r="BR122" s="17">
        <v>3</v>
      </c>
      <c r="BS122" s="17" t="s">
        <v>226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40.5" x14ac:dyDescent="0.15">
      <c r="A123" s="1"/>
      <c r="B123" s="1" t="s">
        <v>184</v>
      </c>
      <c r="C123" s="1" t="s">
        <v>185</v>
      </c>
      <c r="D123" s="1" t="s">
        <v>158</v>
      </c>
      <c r="E123" s="6"/>
      <c r="F123" s="6"/>
      <c r="G123" s="6"/>
      <c r="H123" s="6"/>
      <c r="I123" s="6"/>
      <c r="J123" s="6"/>
      <c r="K123" s="6"/>
      <c r="L123" s="6">
        <v>7</v>
      </c>
      <c r="M123" s="6"/>
      <c r="N123" s="6"/>
      <c r="O123" s="6"/>
      <c r="P123" s="32"/>
      <c r="Q123" s="32">
        <v>7</v>
      </c>
      <c r="R123" s="32"/>
      <c r="S123" s="32"/>
      <c r="T123" s="32">
        <v>7</v>
      </c>
      <c r="U123" s="32"/>
      <c r="V123" s="32"/>
      <c r="W123" s="32"/>
      <c r="X123" s="32">
        <v>7</v>
      </c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9</v>
      </c>
      <c r="BR123" s="17">
        <v>3</v>
      </c>
      <c r="BS123" s="17" t="s">
        <v>227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40.5" x14ac:dyDescent="0.15">
      <c r="A124" s="1"/>
      <c r="B124" s="1" t="s">
        <v>176</v>
      </c>
      <c r="C124" s="1" t="s">
        <v>174</v>
      </c>
      <c r="D124" s="1" t="s">
        <v>157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>
        <v>5</v>
      </c>
      <c r="R124" s="32"/>
      <c r="S124" s="32"/>
      <c r="T124" s="32">
        <v>5</v>
      </c>
      <c r="U124" s="32"/>
      <c r="V124" s="32"/>
      <c r="W124" s="32"/>
      <c r="X124" s="32"/>
      <c r="Y124" s="32"/>
      <c r="Z124" s="32">
        <v>5</v>
      </c>
      <c r="AA124" s="32">
        <v>2</v>
      </c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9</v>
      </c>
      <c r="BR124" s="17">
        <v>3</v>
      </c>
      <c r="BS124" s="17" t="s">
        <v>228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40.5" x14ac:dyDescent="0.15">
      <c r="A125" s="1"/>
      <c r="B125" s="1" t="s">
        <v>191</v>
      </c>
      <c r="C125" s="1" t="s">
        <v>190</v>
      </c>
      <c r="D125" s="1" t="s">
        <v>157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>
        <v>5</v>
      </c>
      <c r="R125" s="32"/>
      <c r="S125" s="32"/>
      <c r="T125" s="32">
        <v>5</v>
      </c>
      <c r="U125" s="32"/>
      <c r="V125" s="32"/>
      <c r="W125" s="32"/>
      <c r="X125" s="32"/>
      <c r="Y125" s="32"/>
      <c r="Z125" s="32">
        <v>5</v>
      </c>
      <c r="AA125" s="32">
        <v>2</v>
      </c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9</v>
      </c>
      <c r="BR125" s="17">
        <v>3</v>
      </c>
      <c r="BS125" s="17" t="s">
        <v>228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40.5" x14ac:dyDescent="0.15">
      <c r="A126" s="1"/>
      <c r="B126" s="1" t="s">
        <v>239</v>
      </c>
      <c r="C126" s="1" t="s">
        <v>144</v>
      </c>
      <c r="D126" s="1" t="s">
        <v>241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>
        <v>5</v>
      </c>
      <c r="R126" s="32"/>
      <c r="S126" s="32"/>
      <c r="T126" s="32">
        <v>5</v>
      </c>
      <c r="U126" s="32"/>
      <c r="V126" s="32"/>
      <c r="W126" s="32"/>
      <c r="X126" s="32"/>
      <c r="Y126" s="32"/>
      <c r="Z126" s="32">
        <v>5</v>
      </c>
      <c r="AA126" s="32">
        <v>2</v>
      </c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9</v>
      </c>
      <c r="BR126" s="17">
        <v>3</v>
      </c>
      <c r="BS126" s="17" t="s">
        <v>272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192</v>
      </c>
      <c r="C127" s="1" t="s">
        <v>190</v>
      </c>
      <c r="D127" s="1" t="s">
        <v>157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>
        <v>5</v>
      </c>
      <c r="R127" s="32"/>
      <c r="S127" s="32"/>
      <c r="T127" s="32"/>
      <c r="U127" s="32"/>
      <c r="V127" s="32">
        <v>10</v>
      </c>
      <c r="W127" s="32"/>
      <c r="X127" s="32"/>
      <c r="Y127" s="32"/>
      <c r="Z127" s="32">
        <v>5</v>
      </c>
      <c r="AA127" s="32"/>
      <c r="AB127" s="32">
        <v>10</v>
      </c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10</v>
      </c>
      <c r="BR127" s="17">
        <v>3</v>
      </c>
      <c r="BS127" s="17" t="s">
        <v>229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194</v>
      </c>
      <c r="C128" s="1" t="s">
        <v>190</v>
      </c>
      <c r="D128" s="1" t="s">
        <v>156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>
        <v>5</v>
      </c>
      <c r="R128" s="32"/>
      <c r="S128" s="32"/>
      <c r="T128" s="32">
        <v>5</v>
      </c>
      <c r="U128" s="32"/>
      <c r="V128" s="32"/>
      <c r="W128" s="32">
        <v>5</v>
      </c>
      <c r="X128" s="32"/>
      <c r="Y128" s="32"/>
      <c r="Z128" s="32">
        <v>5</v>
      </c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11</v>
      </c>
      <c r="BR128" s="17">
        <v>3</v>
      </c>
      <c r="BS128" s="17" t="s">
        <v>230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182</v>
      </c>
      <c r="C129" s="1" t="s">
        <v>179</v>
      </c>
      <c r="D129" s="1" t="s">
        <v>158</v>
      </c>
      <c r="E129" s="6"/>
      <c r="F129" s="6"/>
      <c r="G129" s="6"/>
      <c r="H129" s="6"/>
      <c r="I129" s="6">
        <v>7</v>
      </c>
      <c r="J129" s="6"/>
      <c r="K129" s="6"/>
      <c r="L129" s="6"/>
      <c r="M129" s="6"/>
      <c r="N129" s="6"/>
      <c r="O129" s="6"/>
      <c r="P129" s="32"/>
      <c r="Q129" s="32">
        <v>7</v>
      </c>
      <c r="R129" s="32">
        <v>7</v>
      </c>
      <c r="S129" s="32"/>
      <c r="T129" s="32">
        <v>7</v>
      </c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13</v>
      </c>
      <c r="BR129" s="17">
        <v>3</v>
      </c>
      <c r="BS129" s="17" t="s">
        <v>231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>
        <v>28</v>
      </c>
      <c r="B130" s="1" t="s">
        <v>83</v>
      </c>
      <c r="C130" s="1" t="s">
        <v>32</v>
      </c>
      <c r="D130" s="1" t="s">
        <v>1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1"/>
      <c r="AF130" s="1"/>
      <c r="AG130" s="1"/>
      <c r="AH130" s="1">
        <v>5</v>
      </c>
      <c r="AI130" s="1">
        <v>5</v>
      </c>
      <c r="AJ130" s="1">
        <v>5</v>
      </c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15</v>
      </c>
      <c r="BQ130" s="1">
        <v>15</v>
      </c>
      <c r="BR130" s="17">
        <v>3</v>
      </c>
      <c r="BS130" s="17" t="s">
        <v>273</v>
      </c>
      <c r="BT130" s="1" t="str">
        <f t="shared" ref="BT130:CE131" si="46">IF(AQ130&gt;AQ$158, AQ130-AQ$158,"")</f>
        <v/>
      </c>
      <c r="BU130" s="1" t="str">
        <f t="shared" si="46"/>
        <v/>
      </c>
      <c r="BV130" s="1" t="str">
        <f t="shared" si="46"/>
        <v/>
      </c>
      <c r="BW130" s="1" t="str">
        <f t="shared" si="46"/>
        <v/>
      </c>
      <c r="BX130" s="1" t="str">
        <f t="shared" si="46"/>
        <v/>
      </c>
      <c r="BY130" s="1" t="str">
        <f t="shared" si="46"/>
        <v/>
      </c>
      <c r="BZ130" s="1" t="str">
        <f t="shared" si="46"/>
        <v/>
      </c>
      <c r="CA130" s="1" t="str">
        <f t="shared" si="46"/>
        <v/>
      </c>
      <c r="CB130" s="1" t="str">
        <f t="shared" si="46"/>
        <v/>
      </c>
      <c r="CC130" s="1" t="str">
        <f t="shared" si="46"/>
        <v/>
      </c>
      <c r="CD130" s="1" t="str">
        <f t="shared" si="46"/>
        <v/>
      </c>
      <c r="CE130" s="1" t="str">
        <f t="shared" si="46"/>
        <v/>
      </c>
      <c r="CF130" s="1">
        <f>COUNTIF(BT130:CE130, "&gt;0")</f>
        <v>0</v>
      </c>
      <c r="CG130" s="1" t="str">
        <f t="shared" ref="CG130:CR131" si="47">IF($CF130=1,BT130,"")</f>
        <v/>
      </c>
      <c r="CH130" s="1" t="str">
        <f t="shared" si="47"/>
        <v/>
      </c>
      <c r="CI130" s="1" t="str">
        <f t="shared" si="47"/>
        <v/>
      </c>
      <c r="CJ130" s="1" t="str">
        <f t="shared" si="47"/>
        <v/>
      </c>
      <c r="CK130" s="1" t="str">
        <f t="shared" si="47"/>
        <v/>
      </c>
      <c r="CL130" s="1" t="str">
        <f t="shared" si="47"/>
        <v/>
      </c>
      <c r="CM130" s="1" t="str">
        <f t="shared" si="47"/>
        <v/>
      </c>
      <c r="CN130" s="1" t="str">
        <f t="shared" si="47"/>
        <v/>
      </c>
      <c r="CO130" s="1" t="str">
        <f t="shared" si="47"/>
        <v/>
      </c>
      <c r="CP130" s="1" t="str">
        <f t="shared" si="47"/>
        <v/>
      </c>
      <c r="CQ130" s="1" t="str">
        <f t="shared" si="47"/>
        <v/>
      </c>
      <c r="CR130" s="1" t="str">
        <f t="shared" si="47"/>
        <v/>
      </c>
      <c r="CS130" s="18">
        <f>SUM(AE130:BO130)</f>
        <v>15</v>
      </c>
    </row>
    <row r="131" spans="1:97" ht="40.5" x14ac:dyDescent="0.15">
      <c r="A131" s="1">
        <v>89</v>
      </c>
      <c r="B131" s="3" t="s">
        <v>88</v>
      </c>
      <c r="C131" s="3" t="s">
        <v>89</v>
      </c>
      <c r="D131" s="1" t="s">
        <v>1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>
        <v>5</v>
      </c>
      <c r="AG131" s="1"/>
      <c r="AH131" s="1">
        <v>5</v>
      </c>
      <c r="AI131" s="1">
        <v>5</v>
      </c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15</v>
      </c>
      <c r="BQ131" s="1">
        <v>15</v>
      </c>
      <c r="BR131" s="17">
        <v>3</v>
      </c>
      <c r="BS131" s="17" t="s">
        <v>274</v>
      </c>
      <c r="BT131" s="1" t="str">
        <f t="shared" si="46"/>
        <v/>
      </c>
      <c r="BU131" s="1" t="str">
        <f t="shared" si="46"/>
        <v/>
      </c>
      <c r="BV131" s="1" t="str">
        <f t="shared" si="46"/>
        <v/>
      </c>
      <c r="BW131" s="1" t="str">
        <f t="shared" si="46"/>
        <v/>
      </c>
      <c r="BX131" s="1" t="str">
        <f t="shared" si="46"/>
        <v/>
      </c>
      <c r="BY131" s="1" t="str">
        <f t="shared" si="46"/>
        <v/>
      </c>
      <c r="BZ131" s="1" t="str">
        <f t="shared" si="46"/>
        <v/>
      </c>
      <c r="CA131" s="1" t="str">
        <f t="shared" si="46"/>
        <v/>
      </c>
      <c r="CB131" s="1" t="str">
        <f t="shared" si="46"/>
        <v/>
      </c>
      <c r="CC131" s="1" t="str">
        <f t="shared" si="46"/>
        <v/>
      </c>
      <c r="CD131" s="1" t="str">
        <f t="shared" si="46"/>
        <v/>
      </c>
      <c r="CE131" s="1" t="str">
        <f t="shared" si="46"/>
        <v/>
      </c>
      <c r="CF131" s="1">
        <f>COUNTIF(BT131:CE131, "&gt;0")</f>
        <v>0</v>
      </c>
      <c r="CG131" s="1" t="str">
        <f t="shared" si="47"/>
        <v/>
      </c>
      <c r="CH131" s="1" t="str">
        <f t="shared" si="47"/>
        <v/>
      </c>
      <c r="CI131" s="1" t="str">
        <f t="shared" si="47"/>
        <v/>
      </c>
      <c r="CJ131" s="1" t="str">
        <f t="shared" si="47"/>
        <v/>
      </c>
      <c r="CK131" s="1" t="str">
        <f t="shared" si="47"/>
        <v/>
      </c>
      <c r="CL131" s="1" t="str">
        <f t="shared" si="47"/>
        <v/>
      </c>
      <c r="CM131" s="1" t="str">
        <f t="shared" si="47"/>
        <v/>
      </c>
      <c r="CN131" s="1" t="str">
        <f t="shared" si="47"/>
        <v/>
      </c>
      <c r="CO131" s="1" t="str">
        <f t="shared" si="47"/>
        <v/>
      </c>
      <c r="CP131" s="1" t="str">
        <f t="shared" si="47"/>
        <v/>
      </c>
      <c r="CQ131" s="1" t="str">
        <f t="shared" si="47"/>
        <v/>
      </c>
      <c r="CR131" s="1" t="str">
        <f t="shared" si="47"/>
        <v/>
      </c>
      <c r="CS131" s="18">
        <f>SUM(AE131:BO131)</f>
        <v>15</v>
      </c>
    </row>
    <row r="132" spans="1:97" ht="40.5" x14ac:dyDescent="0.15">
      <c r="A132" s="1"/>
      <c r="B132" s="1" t="s">
        <v>180</v>
      </c>
      <c r="C132" s="1" t="s">
        <v>179</v>
      </c>
      <c r="D132" s="1" t="s">
        <v>157</v>
      </c>
      <c r="E132" s="6">
        <v>15</v>
      </c>
      <c r="F132" s="6"/>
      <c r="G132" s="6"/>
      <c r="H132" s="6"/>
      <c r="I132" s="6"/>
      <c r="J132" s="6"/>
      <c r="K132" s="6"/>
      <c r="L132" s="6"/>
      <c r="M132" s="6">
        <v>15</v>
      </c>
      <c r="N132" s="6"/>
      <c r="O132" s="6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>
        <v>15</v>
      </c>
      <c r="AX132" s="2"/>
      <c r="AY132" s="2"/>
      <c r="AZ132" s="2"/>
      <c r="BA132" s="2">
        <v>15</v>
      </c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18</v>
      </c>
      <c r="BR132" s="17">
        <v>3</v>
      </c>
      <c r="BS132" s="17" t="s">
        <v>275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>
        <v>78</v>
      </c>
      <c r="B133" s="3" t="s">
        <v>72</v>
      </c>
      <c r="C133" s="3" t="s">
        <v>70</v>
      </c>
      <c r="D133" s="1" t="s">
        <v>1</v>
      </c>
      <c r="E133" s="6"/>
      <c r="F133" s="6"/>
      <c r="G133" s="6">
        <v>15</v>
      </c>
      <c r="H133" s="6">
        <v>15</v>
      </c>
      <c r="I133" s="6"/>
      <c r="J133" s="6"/>
      <c r="K133" s="6"/>
      <c r="L133" s="6"/>
      <c r="M133" s="6"/>
      <c r="N133" s="6"/>
      <c r="O133" s="6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>
        <v>15</v>
      </c>
      <c r="BB133" s="2">
        <v>15</v>
      </c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60</v>
      </c>
      <c r="BQ133" s="1">
        <v>19</v>
      </c>
      <c r="BR133" s="17">
        <v>3</v>
      </c>
      <c r="BS133" s="17" t="s">
        <v>208</v>
      </c>
      <c r="BT133" s="1" t="str">
        <f t="shared" ref="BT133:CE133" si="48">IF(AQ133&gt;AQ$158, AQ133-AQ$158,"")</f>
        <v/>
      </c>
      <c r="BU133" s="1" t="str">
        <f t="shared" si="48"/>
        <v/>
      </c>
      <c r="BV133" s="1" t="str">
        <f t="shared" si="48"/>
        <v/>
      </c>
      <c r="BW133" s="1" t="str">
        <f t="shared" si="48"/>
        <v/>
      </c>
      <c r="BX133" s="1" t="str">
        <f t="shared" si="48"/>
        <v/>
      </c>
      <c r="BY133" s="1" t="str">
        <f t="shared" si="48"/>
        <v/>
      </c>
      <c r="BZ133" s="1" t="str">
        <f t="shared" si="48"/>
        <v/>
      </c>
      <c r="CA133" s="1" t="str">
        <f t="shared" si="48"/>
        <v/>
      </c>
      <c r="CB133" s="1" t="str">
        <f t="shared" si="48"/>
        <v/>
      </c>
      <c r="CC133" s="1" t="str">
        <f t="shared" si="48"/>
        <v/>
      </c>
      <c r="CD133" s="1">
        <f t="shared" si="48"/>
        <v>3</v>
      </c>
      <c r="CE133" s="1" t="str">
        <f t="shared" si="48"/>
        <v/>
      </c>
      <c r="CF133" s="1">
        <f>COUNTIF(BT133:CE133, "&gt;0")</f>
        <v>1</v>
      </c>
      <c r="CG133" s="1" t="str">
        <f t="shared" ref="CG133:CR133" si="49">IF($CF133=1,BT133,"")</f>
        <v/>
      </c>
      <c r="CH133" s="1" t="str">
        <f t="shared" si="49"/>
        <v/>
      </c>
      <c r="CI133" s="1" t="str">
        <f t="shared" si="49"/>
        <v/>
      </c>
      <c r="CJ133" s="1" t="str">
        <f t="shared" si="49"/>
        <v/>
      </c>
      <c r="CK133" s="1" t="str">
        <f t="shared" si="49"/>
        <v/>
      </c>
      <c r="CL133" s="1" t="str">
        <f t="shared" si="49"/>
        <v/>
      </c>
      <c r="CM133" s="1" t="str">
        <f t="shared" si="49"/>
        <v/>
      </c>
      <c r="CN133" s="1" t="str">
        <f t="shared" si="49"/>
        <v/>
      </c>
      <c r="CO133" s="1" t="str">
        <f t="shared" si="49"/>
        <v/>
      </c>
      <c r="CP133" s="1" t="str">
        <f t="shared" si="49"/>
        <v/>
      </c>
      <c r="CQ133" s="1">
        <f t="shared" si="49"/>
        <v>3</v>
      </c>
      <c r="CR133" s="1" t="str">
        <f t="shared" si="49"/>
        <v/>
      </c>
      <c r="CS133" s="18">
        <f>SUM(AE133:BO133)</f>
        <v>30</v>
      </c>
    </row>
    <row r="134" spans="1:97" ht="40.5" x14ac:dyDescent="0.15">
      <c r="A134" s="1"/>
      <c r="B134" s="1" t="s">
        <v>145</v>
      </c>
      <c r="C134" s="1" t="s">
        <v>144</v>
      </c>
      <c r="D134" s="1" t="s">
        <v>118</v>
      </c>
      <c r="E134" s="6"/>
      <c r="F134" s="6"/>
      <c r="G134" s="6">
        <v>15</v>
      </c>
      <c r="H134" s="6">
        <v>15</v>
      </c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>
        <v>15</v>
      </c>
      <c r="BB134" s="2">
        <v>15</v>
      </c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19</v>
      </c>
      <c r="BR134" s="17">
        <v>3</v>
      </c>
      <c r="BS134" s="17" t="s">
        <v>208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40.5" x14ac:dyDescent="0.15">
      <c r="A135" s="1"/>
      <c r="B135" s="1" t="s">
        <v>172</v>
      </c>
      <c r="C135" s="1" t="s">
        <v>155</v>
      </c>
      <c r="D135" s="1" t="s">
        <v>158</v>
      </c>
      <c r="E135" s="6"/>
      <c r="F135" s="6"/>
      <c r="G135" s="6"/>
      <c r="H135" s="6">
        <v>10</v>
      </c>
      <c r="I135" s="6"/>
      <c r="J135" s="6"/>
      <c r="K135" s="6"/>
      <c r="L135" s="6"/>
      <c r="M135" s="6"/>
      <c r="N135" s="6"/>
      <c r="O135" s="6"/>
      <c r="P135" s="32"/>
      <c r="Q135" s="32"/>
      <c r="R135" s="32">
        <v>10</v>
      </c>
      <c r="S135" s="32"/>
      <c r="T135" s="32"/>
      <c r="U135" s="32"/>
      <c r="V135" s="32"/>
      <c r="W135" s="32"/>
      <c r="X135" s="32">
        <v>10</v>
      </c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>
        <v>10</v>
      </c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19</v>
      </c>
      <c r="BR135" s="17">
        <v>3</v>
      </c>
      <c r="BS135" s="17" t="s">
        <v>232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40.5" x14ac:dyDescent="0.15">
      <c r="A136" s="1"/>
      <c r="B136" s="1" t="s">
        <v>183</v>
      </c>
      <c r="C136" s="1" t="s">
        <v>185</v>
      </c>
      <c r="D136" s="1" t="s">
        <v>158</v>
      </c>
      <c r="E136" s="6"/>
      <c r="F136" s="6"/>
      <c r="G136" s="6"/>
      <c r="H136" s="6"/>
      <c r="I136" s="6"/>
      <c r="J136" s="6">
        <v>10</v>
      </c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>
        <v>10</v>
      </c>
      <c r="V136" s="32"/>
      <c r="W136" s="32"/>
      <c r="X136" s="32"/>
      <c r="Y136" s="32"/>
      <c r="Z136" s="32"/>
      <c r="AA136" s="32">
        <v>10</v>
      </c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>
        <v>10</v>
      </c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23</v>
      </c>
      <c r="BR136" s="17">
        <v>3</v>
      </c>
      <c r="BS136" s="17" t="s">
        <v>224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40.5" x14ac:dyDescent="0.15">
      <c r="A137" s="1"/>
      <c r="B137" s="1" t="s">
        <v>197</v>
      </c>
      <c r="C137" s="1" t="s">
        <v>190</v>
      </c>
      <c r="D137" s="1" t="s">
        <v>158</v>
      </c>
      <c r="E137" s="6"/>
      <c r="F137" s="6"/>
      <c r="G137" s="6"/>
      <c r="H137" s="6"/>
      <c r="I137" s="6"/>
      <c r="J137" s="6">
        <v>10</v>
      </c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>
        <v>10</v>
      </c>
      <c r="V137" s="32"/>
      <c r="W137" s="32"/>
      <c r="X137" s="32"/>
      <c r="Y137" s="32"/>
      <c r="Z137" s="32"/>
      <c r="AA137" s="32">
        <v>10</v>
      </c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>
        <v>10</v>
      </c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23</v>
      </c>
      <c r="BR137" s="17">
        <v>3</v>
      </c>
      <c r="BS137" s="17" t="s">
        <v>224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125</v>
      </c>
      <c r="C138" s="1" t="s">
        <v>121</v>
      </c>
      <c r="D138" s="1" t="s">
        <v>119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10</v>
      </c>
      <c r="AP138" s="1">
        <v>10</v>
      </c>
      <c r="AQ138" s="4"/>
      <c r="AR138" s="4"/>
      <c r="AS138" s="4">
        <v>5</v>
      </c>
      <c r="AT138" s="4"/>
      <c r="AU138" s="4"/>
      <c r="AV138" s="4"/>
      <c r="AW138" s="2"/>
      <c r="AX138" s="2">
        <v>5</v>
      </c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23</v>
      </c>
      <c r="BR138" s="17">
        <v>3</v>
      </c>
      <c r="BS138" s="17" t="s">
        <v>236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>
        <v>54</v>
      </c>
      <c r="B139" s="1" t="s">
        <v>61</v>
      </c>
      <c r="C139" s="1" t="s">
        <v>62</v>
      </c>
      <c r="D139" s="1" t="s">
        <v>1</v>
      </c>
      <c r="E139" s="6"/>
      <c r="F139" s="6">
        <v>15</v>
      </c>
      <c r="G139" s="6"/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>
        <v>15</v>
      </c>
      <c r="AW139" s="2"/>
      <c r="AX139" s="2"/>
      <c r="AY139" s="2"/>
      <c r="AZ139" s="2"/>
      <c r="BA139" s="2">
        <v>15</v>
      </c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60</v>
      </c>
      <c r="BQ139" s="1">
        <v>27</v>
      </c>
      <c r="BR139" s="17">
        <v>3</v>
      </c>
      <c r="BS139" s="17" t="s">
        <v>233</v>
      </c>
      <c r="BT139" s="1" t="str">
        <f t="shared" ref="BT139:CE140" si="50">IF(AQ139&gt;AQ$158, AQ139-AQ$158,"")</f>
        <v/>
      </c>
      <c r="BU139" s="1" t="str">
        <f t="shared" si="50"/>
        <v/>
      </c>
      <c r="BV139" s="1" t="str">
        <f t="shared" si="50"/>
        <v/>
      </c>
      <c r="BW139" s="1" t="str">
        <f t="shared" si="50"/>
        <v/>
      </c>
      <c r="BX139" s="1" t="str">
        <f t="shared" si="50"/>
        <v/>
      </c>
      <c r="BY139" s="1" t="str">
        <f t="shared" si="50"/>
        <v/>
      </c>
      <c r="BZ139" s="1" t="str">
        <f t="shared" si="50"/>
        <v/>
      </c>
      <c r="CA139" s="1" t="str">
        <f t="shared" si="50"/>
        <v/>
      </c>
      <c r="CB139" s="1" t="str">
        <f t="shared" si="50"/>
        <v/>
      </c>
      <c r="CC139" s="1" t="str">
        <f t="shared" si="50"/>
        <v/>
      </c>
      <c r="CD139" s="1">
        <f t="shared" si="50"/>
        <v>3</v>
      </c>
      <c r="CE139" s="1" t="str">
        <f t="shared" si="50"/>
        <v/>
      </c>
      <c r="CF139" s="1">
        <f>COUNTIF(BT139:CE139, "&gt;0")</f>
        <v>1</v>
      </c>
      <c r="CG139" s="1" t="str">
        <f t="shared" ref="CG139:CR140" si="51">IF($CF139=1,BT139,"")</f>
        <v/>
      </c>
      <c r="CH139" s="1" t="str">
        <f t="shared" si="51"/>
        <v/>
      </c>
      <c r="CI139" s="1" t="str">
        <f t="shared" si="51"/>
        <v/>
      </c>
      <c r="CJ139" s="1" t="str">
        <f t="shared" si="51"/>
        <v/>
      </c>
      <c r="CK139" s="1" t="str">
        <f t="shared" si="51"/>
        <v/>
      </c>
      <c r="CL139" s="1" t="str">
        <f t="shared" si="51"/>
        <v/>
      </c>
      <c r="CM139" s="1" t="str">
        <f t="shared" si="51"/>
        <v/>
      </c>
      <c r="CN139" s="1" t="str">
        <f t="shared" si="51"/>
        <v/>
      </c>
      <c r="CO139" s="1" t="str">
        <f t="shared" si="51"/>
        <v/>
      </c>
      <c r="CP139" s="1" t="str">
        <f t="shared" si="51"/>
        <v/>
      </c>
      <c r="CQ139" s="1">
        <f t="shared" si="51"/>
        <v>3</v>
      </c>
      <c r="CR139" s="1" t="str">
        <f t="shared" si="51"/>
        <v/>
      </c>
      <c r="CS139" s="18">
        <f>SUM(AE139:BO139)</f>
        <v>30</v>
      </c>
    </row>
    <row r="140" spans="1:97" ht="40.5" x14ac:dyDescent="0.15">
      <c r="A140" s="1">
        <v>14</v>
      </c>
      <c r="B140" s="1" t="s">
        <v>31</v>
      </c>
      <c r="C140" s="1" t="s">
        <v>32</v>
      </c>
      <c r="D140" s="1" t="s">
        <v>33</v>
      </c>
      <c r="E140" s="6"/>
      <c r="F140" s="6"/>
      <c r="G140" s="6">
        <v>15</v>
      </c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>
        <v>15</v>
      </c>
      <c r="AT140" s="4"/>
      <c r="AU140" s="4"/>
      <c r="AV140" s="4"/>
      <c r="AW140" s="2"/>
      <c r="AX140" s="2"/>
      <c r="AY140" s="2"/>
      <c r="AZ140" s="2"/>
      <c r="BA140" s="2"/>
      <c r="BB140" s="2">
        <v>15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60</v>
      </c>
      <c r="BQ140" s="1">
        <v>29</v>
      </c>
      <c r="BR140" s="17">
        <v>3</v>
      </c>
      <c r="BS140" s="17" t="s">
        <v>225</v>
      </c>
      <c r="BT140" s="1" t="str">
        <f t="shared" si="50"/>
        <v/>
      </c>
      <c r="BU140" s="1" t="str">
        <f t="shared" si="50"/>
        <v/>
      </c>
      <c r="BV140" s="1">
        <f t="shared" si="50"/>
        <v>13</v>
      </c>
      <c r="BW140" s="1" t="str">
        <f t="shared" si="50"/>
        <v/>
      </c>
      <c r="BX140" s="1" t="str">
        <f t="shared" si="50"/>
        <v/>
      </c>
      <c r="BY140" s="1" t="str">
        <f t="shared" si="50"/>
        <v/>
      </c>
      <c r="BZ140" s="1" t="str">
        <f t="shared" si="50"/>
        <v/>
      </c>
      <c r="CA140" s="1" t="str">
        <f t="shared" si="50"/>
        <v/>
      </c>
      <c r="CB140" s="1" t="str">
        <f t="shared" si="50"/>
        <v/>
      </c>
      <c r="CC140" s="1" t="str">
        <f t="shared" si="50"/>
        <v/>
      </c>
      <c r="CD140" s="1" t="str">
        <f t="shared" si="50"/>
        <v/>
      </c>
      <c r="CE140" s="1" t="str">
        <f t="shared" si="50"/>
        <v/>
      </c>
      <c r="CF140" s="1">
        <f>COUNTIF(BT140:CE140, "&gt;0")</f>
        <v>1</v>
      </c>
      <c r="CG140" s="1" t="str">
        <f t="shared" si="51"/>
        <v/>
      </c>
      <c r="CH140" s="1" t="str">
        <f t="shared" si="51"/>
        <v/>
      </c>
      <c r="CI140" s="1">
        <f t="shared" si="51"/>
        <v>13</v>
      </c>
      <c r="CJ140" s="1" t="str">
        <f t="shared" si="51"/>
        <v/>
      </c>
      <c r="CK140" s="1" t="str">
        <f t="shared" si="51"/>
        <v/>
      </c>
      <c r="CL140" s="1" t="str">
        <f t="shared" si="51"/>
        <v/>
      </c>
      <c r="CM140" s="1" t="str">
        <f t="shared" si="51"/>
        <v/>
      </c>
      <c r="CN140" s="1" t="str">
        <f t="shared" si="51"/>
        <v/>
      </c>
      <c r="CO140" s="1" t="str">
        <f t="shared" si="51"/>
        <v/>
      </c>
      <c r="CP140" s="1" t="str">
        <f t="shared" si="51"/>
        <v/>
      </c>
      <c r="CQ140" s="1" t="str">
        <f t="shared" si="51"/>
        <v/>
      </c>
      <c r="CR140" s="1" t="str">
        <f t="shared" si="51"/>
        <v/>
      </c>
      <c r="CS140" s="18">
        <f>SUM(AE140:BO140)</f>
        <v>30</v>
      </c>
    </row>
    <row r="141" spans="1:97" ht="40.5" x14ac:dyDescent="0.15">
      <c r="A141" s="1"/>
      <c r="B141" s="1" t="s">
        <v>120</v>
      </c>
      <c r="C141" s="1" t="s">
        <v>121</v>
      </c>
      <c r="D141" s="1" t="s">
        <v>118</v>
      </c>
      <c r="E141" s="6"/>
      <c r="F141" s="6"/>
      <c r="G141" s="6">
        <v>15</v>
      </c>
      <c r="H141" s="6">
        <v>15</v>
      </c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>
        <v>15</v>
      </c>
      <c r="AT141" s="4"/>
      <c r="AU141" s="4"/>
      <c r="AV141" s="4"/>
      <c r="AW141" s="2"/>
      <c r="AX141" s="2"/>
      <c r="AY141" s="2"/>
      <c r="AZ141" s="2"/>
      <c r="BA141" s="2"/>
      <c r="BB141" s="2">
        <v>15</v>
      </c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29</v>
      </c>
      <c r="BR141" s="17">
        <v>3</v>
      </c>
      <c r="BS141" s="17" t="s">
        <v>225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143</v>
      </c>
      <c r="C142" s="1" t="s">
        <v>144</v>
      </c>
      <c r="D142" s="1" t="s">
        <v>118</v>
      </c>
      <c r="E142" s="6"/>
      <c r="F142" s="6"/>
      <c r="G142" s="6">
        <v>20</v>
      </c>
      <c r="H142" s="6">
        <v>20</v>
      </c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>
        <v>20</v>
      </c>
      <c r="BB142" s="2">
        <v>20</v>
      </c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34</v>
      </c>
      <c r="BR142" s="17">
        <v>3</v>
      </c>
      <c r="BS142" s="17" t="s">
        <v>276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54" x14ac:dyDescent="0.15">
      <c r="A143" s="1"/>
      <c r="B143" s="1" t="s">
        <v>176</v>
      </c>
      <c r="C143" s="1" t="s">
        <v>174</v>
      </c>
      <c r="D143" s="1" t="s">
        <v>158</v>
      </c>
      <c r="E143" s="6"/>
      <c r="F143" s="6"/>
      <c r="G143" s="6"/>
      <c r="H143" s="6">
        <v>7</v>
      </c>
      <c r="I143" s="6"/>
      <c r="J143" s="6"/>
      <c r="K143" s="6"/>
      <c r="L143" s="6"/>
      <c r="M143" s="6"/>
      <c r="N143" s="6"/>
      <c r="O143" s="6"/>
      <c r="P143" s="32"/>
      <c r="Q143" s="32">
        <v>7</v>
      </c>
      <c r="R143" s="32"/>
      <c r="S143" s="32"/>
      <c r="T143" s="32">
        <v>7</v>
      </c>
      <c r="U143" s="32"/>
      <c r="V143" s="32"/>
      <c r="W143" s="32"/>
      <c r="X143" s="32"/>
      <c r="Y143" s="32"/>
      <c r="Z143" s="32"/>
      <c r="AA143" s="32">
        <v>7</v>
      </c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18</v>
      </c>
      <c r="BR143" s="17">
        <v>4</v>
      </c>
      <c r="BS143" s="17" t="s">
        <v>277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54" x14ac:dyDescent="0.15">
      <c r="A144" s="1"/>
      <c r="B144" s="1" t="s">
        <v>167</v>
      </c>
      <c r="C144" s="1" t="s">
        <v>155</v>
      </c>
      <c r="D144" s="1" t="s">
        <v>158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>
        <v>10</v>
      </c>
      <c r="P144" s="32"/>
      <c r="Q144" s="32"/>
      <c r="R144" s="32">
        <v>10</v>
      </c>
      <c r="S144" s="32"/>
      <c r="T144" s="32"/>
      <c r="U144" s="32"/>
      <c r="V144" s="32"/>
      <c r="W144" s="32"/>
      <c r="X144" s="32">
        <v>10</v>
      </c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10</v>
      </c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22</v>
      </c>
      <c r="BR144" s="17">
        <v>4</v>
      </c>
      <c r="BS144" s="17" t="s">
        <v>235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/>
      <c r="B145" s="1" t="s">
        <v>173</v>
      </c>
      <c r="C145" s="1" t="s">
        <v>174</v>
      </c>
      <c r="D145" s="1" t="s">
        <v>158</v>
      </c>
      <c r="E145" s="6">
        <v>10</v>
      </c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/>
      <c r="R145" s="32">
        <v>10</v>
      </c>
      <c r="S145" s="32"/>
      <c r="T145" s="32"/>
      <c r="U145" s="32">
        <v>10</v>
      </c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>
        <v>10</v>
      </c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27</v>
      </c>
      <c r="BR145" s="17">
        <v>4</v>
      </c>
      <c r="BS145" s="17" t="s">
        <v>278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54" x14ac:dyDescent="0.15">
      <c r="A146" s="1"/>
      <c r="B146" s="1" t="s">
        <v>181</v>
      </c>
      <c r="C146" s="1" t="s">
        <v>179</v>
      </c>
      <c r="D146" s="1" t="s">
        <v>158</v>
      </c>
      <c r="E146" s="6">
        <v>10</v>
      </c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>
        <v>10</v>
      </c>
      <c r="S146" s="32"/>
      <c r="T146" s="32"/>
      <c r="U146" s="32">
        <v>10</v>
      </c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>
        <v>10</v>
      </c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27</v>
      </c>
      <c r="BR146" s="17">
        <v>4</v>
      </c>
      <c r="BS146" s="17" t="s">
        <v>278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54" x14ac:dyDescent="0.15">
      <c r="A147" s="1"/>
      <c r="B147" s="1" t="s">
        <v>194</v>
      </c>
      <c r="C147" s="1" t="s">
        <v>190</v>
      </c>
      <c r="D147" s="1" t="s">
        <v>158</v>
      </c>
      <c r="E147" s="6">
        <v>10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>
        <v>10</v>
      </c>
      <c r="S147" s="32"/>
      <c r="T147" s="32"/>
      <c r="U147" s="32">
        <v>10</v>
      </c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>
        <v>10</v>
      </c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27</v>
      </c>
      <c r="BR147" s="17">
        <v>4</v>
      </c>
      <c r="BS147" s="17" t="s">
        <v>278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192</v>
      </c>
      <c r="C148" s="1" t="s">
        <v>190</v>
      </c>
      <c r="D148" s="1" t="s">
        <v>158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32"/>
      <c r="Q148" s="32"/>
      <c r="R148" s="32">
        <v>10</v>
      </c>
      <c r="S148" s="32"/>
      <c r="T148" s="32"/>
      <c r="U148" s="32">
        <v>10</v>
      </c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>
        <v>10</v>
      </c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32</v>
      </c>
      <c r="BR148" s="17">
        <v>4</v>
      </c>
      <c r="BS148" s="17" t="s">
        <v>234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120</v>
      </c>
      <c r="C149" s="1" t="s">
        <v>121</v>
      </c>
      <c r="D149" s="1" t="s">
        <v>122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>
        <v>40</v>
      </c>
      <c r="AW149" s="2">
        <v>40</v>
      </c>
      <c r="AX149" s="2"/>
      <c r="AY149" s="2"/>
      <c r="AZ149" s="2"/>
      <c r="BA149" s="2"/>
      <c r="BB149" s="2">
        <v>40</v>
      </c>
      <c r="BC149" s="14">
        <v>10</v>
      </c>
      <c r="BD149" s="1">
        <v>50</v>
      </c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58</v>
      </c>
      <c r="BR149" s="17">
        <v>4</v>
      </c>
      <c r="BS149" s="17" t="s">
        <v>237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>
        <v>85</v>
      </c>
      <c r="B150" s="3" t="s">
        <v>75</v>
      </c>
      <c r="C150" s="3" t="s">
        <v>70</v>
      </c>
      <c r="D150" s="1" t="s">
        <v>40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>
        <v>50</v>
      </c>
      <c r="BM150" s="1">
        <v>50</v>
      </c>
      <c r="BN150" s="1">
        <v>50</v>
      </c>
      <c r="BO150" s="1">
        <v>50</v>
      </c>
      <c r="BP150" s="1">
        <f>SUM(E150:BO150)</f>
        <v>200</v>
      </c>
      <c r="BQ150" s="1">
        <v>195</v>
      </c>
      <c r="BR150" s="17">
        <v>4</v>
      </c>
      <c r="BS150" s="17" t="s">
        <v>279</v>
      </c>
      <c r="BT150" s="1" t="str">
        <f t="shared" ref="BT150:CE151" si="52">IF(AQ150&gt;AQ$158, AQ150-AQ$158,"")</f>
        <v/>
      </c>
      <c r="BU150" s="1" t="str">
        <f t="shared" si="52"/>
        <v/>
      </c>
      <c r="BV150" s="1" t="str">
        <f t="shared" si="52"/>
        <v/>
      </c>
      <c r="BW150" s="1" t="str">
        <f t="shared" si="52"/>
        <v/>
      </c>
      <c r="BX150" s="1" t="str">
        <f t="shared" si="52"/>
        <v/>
      </c>
      <c r="BY150" s="1" t="str">
        <f t="shared" si="52"/>
        <v/>
      </c>
      <c r="BZ150" s="1" t="str">
        <f t="shared" si="52"/>
        <v/>
      </c>
      <c r="CA150" s="1" t="str">
        <f t="shared" si="52"/>
        <v/>
      </c>
      <c r="CB150" s="1" t="str">
        <f t="shared" si="52"/>
        <v/>
      </c>
      <c r="CC150" s="1" t="str">
        <f t="shared" si="52"/>
        <v/>
      </c>
      <c r="CD150" s="1" t="str">
        <f t="shared" si="52"/>
        <v/>
      </c>
      <c r="CE150" s="1" t="str">
        <f t="shared" si="52"/>
        <v/>
      </c>
      <c r="CF150" s="1">
        <f>COUNTIF(BT150:CE150, "&gt;0")</f>
        <v>0</v>
      </c>
      <c r="CG150" s="1" t="str">
        <f t="shared" ref="CG150:CR151" si="53">IF($CF150=1,BT150,"")</f>
        <v/>
      </c>
      <c r="CH150" s="1" t="str">
        <f t="shared" si="53"/>
        <v/>
      </c>
      <c r="CI150" s="1" t="str">
        <f t="shared" si="53"/>
        <v/>
      </c>
      <c r="CJ150" s="1" t="str">
        <f t="shared" si="53"/>
        <v/>
      </c>
      <c r="CK150" s="1" t="str">
        <f t="shared" si="53"/>
        <v/>
      </c>
      <c r="CL150" s="1" t="str">
        <f t="shared" si="53"/>
        <v/>
      </c>
      <c r="CM150" s="1" t="str">
        <f t="shared" si="53"/>
        <v/>
      </c>
      <c r="CN150" s="1" t="str">
        <f t="shared" si="53"/>
        <v/>
      </c>
      <c r="CO150" s="1" t="str">
        <f t="shared" si="53"/>
        <v/>
      </c>
      <c r="CP150" s="1" t="str">
        <f t="shared" si="53"/>
        <v/>
      </c>
      <c r="CQ150" s="1" t="str">
        <f t="shared" si="53"/>
        <v/>
      </c>
      <c r="CR150" s="1" t="str">
        <f t="shared" si="53"/>
        <v/>
      </c>
      <c r="CS150" s="18">
        <f>SUM(AE150:BO150)</f>
        <v>200</v>
      </c>
    </row>
    <row r="151" spans="1:97" ht="54" x14ac:dyDescent="0.15">
      <c r="A151" s="1">
        <v>23</v>
      </c>
      <c r="B151" s="1" t="s">
        <v>112</v>
      </c>
      <c r="C151" s="1" t="s">
        <v>32</v>
      </c>
      <c r="D151" s="1" t="s">
        <v>40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>
        <v>50</v>
      </c>
      <c r="BK151" s="1">
        <v>50</v>
      </c>
      <c r="BL151" s="1"/>
      <c r="BM151" s="1"/>
      <c r="BN151" s="1">
        <v>50</v>
      </c>
      <c r="BO151" s="1">
        <v>50</v>
      </c>
      <c r="BP151" s="1">
        <f>SUM(E151:BO151)</f>
        <v>200</v>
      </c>
      <c r="BQ151" s="1">
        <v>195</v>
      </c>
      <c r="BR151" s="17">
        <v>4</v>
      </c>
      <c r="BS151" s="17" t="s">
        <v>238</v>
      </c>
      <c r="BT151" s="1" t="str">
        <f t="shared" si="52"/>
        <v/>
      </c>
      <c r="BU151" s="1" t="str">
        <f t="shared" si="52"/>
        <v/>
      </c>
      <c r="BV151" s="1" t="str">
        <f t="shared" si="52"/>
        <v/>
      </c>
      <c r="BW151" s="1" t="str">
        <f t="shared" si="52"/>
        <v/>
      </c>
      <c r="BX151" s="1" t="str">
        <f t="shared" si="52"/>
        <v/>
      </c>
      <c r="BY151" s="1" t="str">
        <f t="shared" si="52"/>
        <v/>
      </c>
      <c r="BZ151" s="1" t="str">
        <f t="shared" si="52"/>
        <v/>
      </c>
      <c r="CA151" s="1" t="str">
        <f t="shared" si="52"/>
        <v/>
      </c>
      <c r="CB151" s="1" t="str">
        <f t="shared" si="52"/>
        <v/>
      </c>
      <c r="CC151" s="1" t="str">
        <f t="shared" si="52"/>
        <v/>
      </c>
      <c r="CD151" s="1" t="str">
        <f t="shared" si="52"/>
        <v/>
      </c>
      <c r="CE151" s="1" t="str">
        <f t="shared" si="52"/>
        <v/>
      </c>
      <c r="CF151" s="1">
        <f>COUNTIF(BT151:CE151, "&gt;0")</f>
        <v>0</v>
      </c>
      <c r="CG151" s="1" t="str">
        <f t="shared" si="53"/>
        <v/>
      </c>
      <c r="CH151" s="1" t="str">
        <f t="shared" si="53"/>
        <v/>
      </c>
      <c r="CI151" s="1" t="str">
        <f t="shared" si="53"/>
        <v/>
      </c>
      <c r="CJ151" s="1" t="str">
        <f t="shared" si="53"/>
        <v/>
      </c>
      <c r="CK151" s="1" t="str">
        <f t="shared" si="53"/>
        <v/>
      </c>
      <c r="CL151" s="1" t="str">
        <f t="shared" si="53"/>
        <v/>
      </c>
      <c r="CM151" s="1" t="str">
        <f t="shared" si="53"/>
        <v/>
      </c>
      <c r="CN151" s="1" t="str">
        <f t="shared" si="53"/>
        <v/>
      </c>
      <c r="CO151" s="1" t="str">
        <f t="shared" si="53"/>
        <v/>
      </c>
      <c r="CP151" s="1" t="str">
        <f t="shared" si="53"/>
        <v/>
      </c>
      <c r="CQ151" s="1" t="str">
        <f t="shared" si="53"/>
        <v/>
      </c>
      <c r="CR151" s="1" t="str">
        <f t="shared" si="53"/>
        <v/>
      </c>
      <c r="CS151" s="18">
        <f>SUM(AE151:BO151)</f>
        <v>200</v>
      </c>
    </row>
    <row r="152" spans="1:97" ht="54" x14ac:dyDescent="0.15">
      <c r="A152" s="1"/>
      <c r="B152" s="1" t="s">
        <v>134</v>
      </c>
      <c r="C152" s="1" t="s">
        <v>132</v>
      </c>
      <c r="D152" s="1" t="s">
        <v>135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>
        <v>50</v>
      </c>
      <c r="BK152" s="1">
        <v>50</v>
      </c>
      <c r="BL152" s="1"/>
      <c r="BM152" s="1"/>
      <c r="BN152" s="1">
        <v>50</v>
      </c>
      <c r="BO152" s="1">
        <v>50</v>
      </c>
      <c r="BP152" s="1"/>
      <c r="BQ152" s="1">
        <v>195</v>
      </c>
      <c r="BR152" s="17">
        <v>4</v>
      </c>
      <c r="BS152" s="17" t="s">
        <v>238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149</v>
      </c>
      <c r="C153" s="1" t="s">
        <v>144</v>
      </c>
      <c r="D153" s="1" t="s">
        <v>135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/>
      <c r="BQ153" s="1">
        <v>195</v>
      </c>
      <c r="BR153" s="17">
        <v>4</v>
      </c>
      <c r="BS153" s="17" t="s">
        <v>279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/>
      <c r="B154" s="1" t="s">
        <v>154</v>
      </c>
      <c r="C154" s="1" t="s">
        <v>144</v>
      </c>
      <c r="D154" s="1" t="s">
        <v>135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/>
      <c r="BQ154" s="1">
        <v>195</v>
      </c>
      <c r="BR154" s="17">
        <v>4</v>
      </c>
      <c r="BS154" s="17" t="s">
        <v>279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54" x14ac:dyDescent="0.15">
      <c r="A155" s="1"/>
      <c r="B155" s="1" t="s">
        <v>187</v>
      </c>
      <c r="C155" s="1" t="s">
        <v>188</v>
      </c>
      <c r="D155" s="1" t="s">
        <v>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/>
      <c r="BQ155" s="1">
        <v>195</v>
      </c>
      <c r="BR155" s="17">
        <v>4</v>
      </c>
      <c r="BS155" s="17" t="s">
        <v>238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>
        <v>102</v>
      </c>
      <c r="B156" s="3" t="s">
        <v>110</v>
      </c>
      <c r="C156" s="3" t="s">
        <v>77</v>
      </c>
      <c r="D156" s="1" t="s">
        <v>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>
        <f>SUM(E156:BO156)</f>
        <v>200</v>
      </c>
      <c r="BQ156" s="1">
        <v>195</v>
      </c>
      <c r="BR156" s="17">
        <v>4</v>
      </c>
      <c r="BS156" s="17" t="s">
        <v>238</v>
      </c>
      <c r="BT156" s="1" t="str">
        <f t="shared" ref="BT156:CE156" si="54">IF(AQ156&gt;AQ$158, AQ156-AQ$158,"")</f>
        <v/>
      </c>
      <c r="BU156" s="1" t="str">
        <f t="shared" si="54"/>
        <v/>
      </c>
      <c r="BV156" s="1" t="str">
        <f t="shared" si="54"/>
        <v/>
      </c>
      <c r="BW156" s="1" t="str">
        <f t="shared" si="54"/>
        <v/>
      </c>
      <c r="BX156" s="1" t="str">
        <f t="shared" si="54"/>
        <v/>
      </c>
      <c r="BY156" s="1" t="str">
        <f t="shared" si="54"/>
        <v/>
      </c>
      <c r="BZ156" s="1" t="str">
        <f t="shared" si="54"/>
        <v/>
      </c>
      <c r="CA156" s="1" t="str">
        <f t="shared" si="54"/>
        <v/>
      </c>
      <c r="CB156" s="1" t="str">
        <f t="shared" si="54"/>
        <v/>
      </c>
      <c r="CC156" s="1" t="str">
        <f t="shared" si="54"/>
        <v/>
      </c>
      <c r="CD156" s="1" t="str">
        <f t="shared" si="54"/>
        <v/>
      </c>
      <c r="CE156" s="1" t="str">
        <f t="shared" si="54"/>
        <v/>
      </c>
      <c r="CF156" s="1">
        <f>COUNTIF(BT156:CE156, "&gt;0")</f>
        <v>0</v>
      </c>
      <c r="CG156" s="1" t="str">
        <f t="shared" ref="CG156:CR156" si="55">IF($CF156=1,BT156,"")</f>
        <v/>
      </c>
      <c r="CH156" s="1" t="str">
        <f t="shared" si="55"/>
        <v/>
      </c>
      <c r="CI156" s="1" t="str">
        <f t="shared" si="55"/>
        <v/>
      </c>
      <c r="CJ156" s="1" t="str">
        <f t="shared" si="55"/>
        <v/>
      </c>
      <c r="CK156" s="1" t="str">
        <f t="shared" si="55"/>
        <v/>
      </c>
      <c r="CL156" s="1" t="str">
        <f t="shared" si="55"/>
        <v/>
      </c>
      <c r="CM156" s="1" t="str">
        <f t="shared" si="55"/>
        <v/>
      </c>
      <c r="CN156" s="1" t="str">
        <f t="shared" si="55"/>
        <v/>
      </c>
      <c r="CO156" s="1" t="str">
        <f t="shared" si="55"/>
        <v/>
      </c>
      <c r="CP156" s="1" t="str">
        <f t="shared" si="55"/>
        <v/>
      </c>
      <c r="CQ156" s="1" t="str">
        <f t="shared" si="55"/>
        <v/>
      </c>
      <c r="CR156" s="1" t="str">
        <f t="shared" si="55"/>
        <v/>
      </c>
      <c r="CS156" s="18">
        <f>SUM(AE156:BO156)</f>
        <v>200</v>
      </c>
    </row>
    <row r="157" spans="1:97" x14ac:dyDescent="0.15">
      <c r="A157" s="1"/>
      <c r="B157" s="1" t="s">
        <v>80</v>
      </c>
      <c r="C157" s="1"/>
      <c r="D157" s="1"/>
      <c r="E157" s="6">
        <f>SUM(E2:E156)</f>
        <v>178</v>
      </c>
      <c r="F157" s="6">
        <f>SUM(F2:F156)</f>
        <v>89</v>
      </c>
      <c r="G157" s="6">
        <f>SUM(G2:G156)</f>
        <v>214</v>
      </c>
      <c r="H157" s="6">
        <f>SUM(H2:H156)</f>
        <v>184</v>
      </c>
      <c r="I157" s="6">
        <f>SUM(I2:I156)</f>
        <v>67</v>
      </c>
      <c r="J157" s="6">
        <f>SUM(J2:J156)</f>
        <v>86</v>
      </c>
      <c r="K157" s="6">
        <f>SUM(K2:K156)</f>
        <v>49</v>
      </c>
      <c r="L157" s="6">
        <f>SUM(L2:L156)</f>
        <v>88</v>
      </c>
      <c r="M157" s="6">
        <f>SUM(M2:M156)</f>
        <v>37</v>
      </c>
      <c r="N157" s="6">
        <f>SUM(N2:N156)</f>
        <v>37</v>
      </c>
      <c r="O157" s="6">
        <f>SUM(O2:O156)</f>
        <v>89</v>
      </c>
      <c r="P157" s="32">
        <f>SUM(P2:P156)</f>
        <v>130</v>
      </c>
      <c r="Q157" s="32">
        <f>SUM(Q2:Q156)</f>
        <v>76</v>
      </c>
      <c r="R157" s="32">
        <f>SUM(R2:R156)</f>
        <v>83</v>
      </c>
      <c r="S157" s="32">
        <f>SUM(S2:S156)</f>
        <v>130</v>
      </c>
      <c r="T157" s="32">
        <f>SUM(T2:T156)</f>
        <v>61</v>
      </c>
      <c r="U157" s="32">
        <f>SUM(U2:U156)</f>
        <v>62</v>
      </c>
      <c r="V157" s="32">
        <f>SUM(V2:V156)</f>
        <v>135</v>
      </c>
      <c r="W157" s="32">
        <f>SUM(W2:W156)</f>
        <v>35</v>
      </c>
      <c r="X157" s="32">
        <f>SUM(X2:X156)</f>
        <v>59</v>
      </c>
      <c r="Y157" s="32">
        <f>SUM(Y2:Y156)</f>
        <v>125</v>
      </c>
      <c r="Z157" s="32">
        <f>SUM(Z2:Z156)</f>
        <v>50</v>
      </c>
      <c r="AA157" s="32">
        <f>SUM(AA2:AA156)</f>
        <v>35</v>
      </c>
      <c r="AB157" s="32">
        <f>SUM(AB2:AB156)</f>
        <v>140</v>
      </c>
      <c r="AC157" s="32">
        <f>SUM(AC2:AC156)</f>
        <v>30</v>
      </c>
      <c r="AD157" s="32">
        <f>SUM(AD2:AD156)</f>
        <v>22</v>
      </c>
      <c r="AE157" s="1">
        <f>SUM(AE2:AE156)</f>
        <v>275</v>
      </c>
      <c r="AF157" s="1">
        <f>SUM(AF2:AF156)</f>
        <v>10</v>
      </c>
      <c r="AG157" s="1">
        <f>SUM(AG2:AG156)</f>
        <v>15</v>
      </c>
      <c r="AH157" s="1">
        <f>SUM(AH2:AH156)</f>
        <v>30</v>
      </c>
      <c r="AI157" s="1">
        <f>SUM(AI2:AI156)</f>
        <v>30</v>
      </c>
      <c r="AJ157" s="1">
        <f>SUM(AJ2:AJ156)</f>
        <v>5</v>
      </c>
      <c r="AK157" s="1">
        <f>SUM(AK2:AK156)</f>
        <v>0</v>
      </c>
      <c r="AL157" s="1">
        <f>SUM(AL2:AL156)</f>
        <v>0</v>
      </c>
      <c r="AM157" s="1">
        <f>SUM(AM2:AM156)</f>
        <v>20</v>
      </c>
      <c r="AN157" s="1">
        <f>SUM(AN2:AN156)</f>
        <v>50</v>
      </c>
      <c r="AO157" s="1">
        <f>SUM(AO2:AO156)</f>
        <v>25</v>
      </c>
      <c r="AP157" s="1">
        <f>SUM(AP2:AP156)</f>
        <v>26</v>
      </c>
      <c r="AQ157" s="4">
        <f>SUM(AQ2:AQ156)</f>
        <v>100</v>
      </c>
      <c r="AR157" s="4">
        <f>SUM(AR2:AR156)</f>
        <v>120</v>
      </c>
      <c r="AS157" s="4">
        <f>SUM(AS2:AS156)</f>
        <v>80</v>
      </c>
      <c r="AT157" s="4">
        <f>SUM(AT2:AT156)</f>
        <v>93</v>
      </c>
      <c r="AU157" s="4">
        <f>SUM(AU2:AU156)</f>
        <v>48</v>
      </c>
      <c r="AV157" s="4">
        <f>SUM(AV2:AV156)</f>
        <v>125</v>
      </c>
      <c r="AW157" s="2">
        <f>SUM(AW2:AW156)</f>
        <v>128</v>
      </c>
      <c r="AX157" s="2">
        <f>SUM(AX2:AX156)</f>
        <v>80</v>
      </c>
      <c r="AY157" s="2">
        <f>SUM(AY2:AY156)</f>
        <v>43</v>
      </c>
      <c r="AZ157" s="2">
        <f>SUM(AZ2:AZ156)</f>
        <v>75</v>
      </c>
      <c r="BA157" s="2">
        <f>SUM(BA2:BA156)</f>
        <v>205</v>
      </c>
      <c r="BB157" s="2">
        <f>SUM(BB2:BB156)</f>
        <v>385</v>
      </c>
      <c r="BC157" s="1">
        <f>SUM(BC2:BC156)</f>
        <v>10</v>
      </c>
      <c r="BD157" s="1">
        <f>SUM(BD2:BD156)</f>
        <v>150</v>
      </c>
      <c r="BE157" s="1">
        <f>SUM(BE2:BE156)</f>
        <v>100</v>
      </c>
      <c r="BF157" s="1">
        <f>SUM(BF2:BF156)</f>
        <v>120</v>
      </c>
      <c r="BG157" s="1">
        <f>SUM(BG2:BG156)</f>
        <v>120</v>
      </c>
      <c r="BH157" s="1">
        <f>SUM(BH2:BH156)</f>
        <v>110</v>
      </c>
      <c r="BI157" s="1">
        <f>SUM(BI2:BI156)</f>
        <v>90</v>
      </c>
      <c r="BJ157" s="1">
        <f>SUM(BJ2:BJ156)</f>
        <v>200</v>
      </c>
      <c r="BK157" s="1">
        <f>SUM(BK2:BK156)</f>
        <v>200</v>
      </c>
      <c r="BL157" s="1">
        <f>SUM(BL2:BL156)</f>
        <v>150</v>
      </c>
      <c r="BM157" s="1">
        <f>SUM(BM2:BM156)</f>
        <v>150</v>
      </c>
      <c r="BN157" s="1">
        <f>SUM(BN2:BN156)</f>
        <v>350</v>
      </c>
      <c r="BO157" s="1">
        <f>SUM(BO2:BO156)</f>
        <v>350</v>
      </c>
      <c r="BP157" s="1"/>
      <c r="BQ157" s="1"/>
      <c r="BR157" s="17"/>
      <c r="BS157" s="17"/>
      <c r="BT157" s="1">
        <f>MIN(BT2:BT156)</f>
        <v>4</v>
      </c>
      <c r="BU157" s="1">
        <f>MIN(BU2:BU156)</f>
        <v>0</v>
      </c>
      <c r="BV157" s="1">
        <f>MIN(BV2:BV156)</f>
        <v>3</v>
      </c>
      <c r="BW157" s="1">
        <f>MIN(BW2:BW156)</f>
        <v>5</v>
      </c>
      <c r="BX157" s="1">
        <f>MIN(BX2:BX156)</f>
        <v>5</v>
      </c>
      <c r="BY157" s="1">
        <f>MIN(BY2:BY156)</f>
        <v>0</v>
      </c>
      <c r="BZ157" s="1">
        <f>MIN(BZ2:BZ156)</f>
        <v>1</v>
      </c>
      <c r="CA157" s="1">
        <f>MIN(CA2:CA156)</f>
        <v>0</v>
      </c>
      <c r="CB157" s="1">
        <f>MIN(CB2:CB156)</f>
        <v>0</v>
      </c>
      <c r="CC157" s="1">
        <f>MIN(CC2:CC156)</f>
        <v>0</v>
      </c>
      <c r="CD157" s="1">
        <f>MIN(CD2:CD156)</f>
        <v>3</v>
      </c>
      <c r="CE157" s="1">
        <f>MIN(CE2:CE156)</f>
        <v>0</v>
      </c>
      <c r="CF157" s="1"/>
      <c r="CG157" s="1">
        <f>MIN(CG2:CG156)</f>
        <v>4</v>
      </c>
      <c r="CH157" s="1">
        <f>MIN(CH2:CH156)</f>
        <v>0</v>
      </c>
      <c r="CI157" s="1">
        <f>MIN(CI2:CI156)</f>
        <v>3</v>
      </c>
      <c r="CJ157" s="1">
        <f>MIN(CJ2:CJ156)</f>
        <v>0</v>
      </c>
      <c r="CK157" s="1">
        <f>MIN(CK2:CK156)</f>
        <v>5</v>
      </c>
      <c r="CL157" s="1">
        <f>MIN(CL2:CL156)</f>
        <v>0</v>
      </c>
      <c r="CM157" s="1">
        <f>MIN(CM2:CM156)</f>
        <v>0</v>
      </c>
      <c r="CN157" s="1">
        <f>MIN(CN2:CN156)</f>
        <v>0</v>
      </c>
      <c r="CO157" s="1">
        <f>MIN(CO2:CO156)</f>
        <v>0</v>
      </c>
      <c r="CP157" s="1">
        <f>MIN(CP2:CP156)</f>
        <v>0</v>
      </c>
      <c r="CQ157" s="1">
        <f>MIN(CQ2:CQ156)</f>
        <v>3</v>
      </c>
      <c r="CR157" s="1">
        <f>MIN(CR2:CR156)</f>
        <v>0</v>
      </c>
      <c r="CS157" s="18">
        <f>COUNTIF(CS2:CS156,"=0")</f>
        <v>7</v>
      </c>
    </row>
    <row r="158" spans="1:97" x14ac:dyDescent="0.15">
      <c r="A158" s="1"/>
      <c r="B158" s="3" t="s">
        <v>102</v>
      </c>
      <c r="C158" s="1"/>
      <c r="D158" s="1"/>
      <c r="E158" s="1">
        <v>8</v>
      </c>
      <c r="F158" s="1">
        <v>3</v>
      </c>
      <c r="G158" s="1">
        <v>11</v>
      </c>
      <c r="H158" s="1">
        <v>3</v>
      </c>
      <c r="I158" s="1">
        <v>26</v>
      </c>
      <c r="J158" s="1">
        <v>35</v>
      </c>
      <c r="K158" s="1">
        <v>22</v>
      </c>
      <c r="L158" s="1">
        <v>43</v>
      </c>
      <c r="M158" s="1">
        <v>7</v>
      </c>
      <c r="N158" s="1">
        <v>25</v>
      </c>
      <c r="O158" s="1">
        <v>8</v>
      </c>
      <c r="P158" s="14">
        <v>12</v>
      </c>
      <c r="Q158" s="14">
        <v>1</v>
      </c>
      <c r="R158" s="14">
        <v>2</v>
      </c>
      <c r="S158" s="14">
        <v>11</v>
      </c>
      <c r="T158" s="14">
        <v>5</v>
      </c>
      <c r="U158" s="14">
        <v>0</v>
      </c>
      <c r="V158" s="14">
        <v>12</v>
      </c>
      <c r="W158" s="14">
        <v>2</v>
      </c>
      <c r="X158" s="14">
        <v>6</v>
      </c>
      <c r="Y158" s="14">
        <v>10</v>
      </c>
      <c r="Z158" s="14">
        <v>1</v>
      </c>
      <c r="AA158" s="14">
        <v>1</v>
      </c>
      <c r="AB158" s="14">
        <v>8</v>
      </c>
      <c r="AC158" s="14">
        <v>2</v>
      </c>
      <c r="AD158" s="14">
        <v>4</v>
      </c>
      <c r="AE158" s="1">
        <v>12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33</v>
      </c>
      <c r="AL158" s="1">
        <v>43</v>
      </c>
      <c r="AM158" s="1">
        <v>4</v>
      </c>
      <c r="AN158" s="1">
        <v>0</v>
      </c>
      <c r="AO158" s="1">
        <v>0</v>
      </c>
      <c r="AP158" s="1">
        <v>0</v>
      </c>
      <c r="AQ158" s="14">
        <v>6</v>
      </c>
      <c r="AR158" s="14">
        <v>16</v>
      </c>
      <c r="AS158" s="14">
        <v>2</v>
      </c>
      <c r="AT158" s="14">
        <v>15</v>
      </c>
      <c r="AU158" s="14">
        <v>3</v>
      </c>
      <c r="AV158" s="14">
        <v>15</v>
      </c>
      <c r="AW158" s="14">
        <v>19</v>
      </c>
      <c r="AX158" s="14">
        <v>25</v>
      </c>
      <c r="AY158" s="14">
        <v>13</v>
      </c>
      <c r="AZ158" s="14">
        <v>16</v>
      </c>
      <c r="BA158" s="14">
        <v>12</v>
      </c>
      <c r="BB158" s="14">
        <v>158</v>
      </c>
      <c r="BC158" s="14"/>
      <c r="BD158" s="1">
        <v>48</v>
      </c>
      <c r="BE158" s="1">
        <v>48</v>
      </c>
      <c r="BF158" s="1">
        <v>81</v>
      </c>
      <c r="BG158" s="1">
        <v>90</v>
      </c>
      <c r="BH158" s="1">
        <v>48</v>
      </c>
      <c r="BI158" s="1">
        <v>44</v>
      </c>
      <c r="BJ158" s="1">
        <v>5</v>
      </c>
      <c r="BK158" s="1"/>
      <c r="BL158" s="1">
        <v>5</v>
      </c>
      <c r="BM158" s="1"/>
      <c r="BN158" s="1"/>
      <c r="BO158" s="1"/>
      <c r="BP158" s="1"/>
      <c r="BQ158" s="1"/>
      <c r="BR158" s="17"/>
      <c r="BS158" s="17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</row>
    <row r="159" spans="1:97" x14ac:dyDescent="0.15">
      <c r="A159" s="1"/>
      <c r="B159" s="3" t="s">
        <v>109</v>
      </c>
      <c r="C159" s="1"/>
      <c r="D159" s="1"/>
      <c r="E159" s="1">
        <f t="shared" ref="E159:AJ159" si="56">E158-E157</f>
        <v>-170</v>
      </c>
      <c r="F159" s="1">
        <f t="shared" si="56"/>
        <v>-86</v>
      </c>
      <c r="G159" s="1">
        <f t="shared" si="56"/>
        <v>-203</v>
      </c>
      <c r="H159" s="1">
        <f t="shared" si="56"/>
        <v>-181</v>
      </c>
      <c r="I159" s="1">
        <f t="shared" si="56"/>
        <v>-41</v>
      </c>
      <c r="J159" s="1">
        <f t="shared" si="56"/>
        <v>-51</v>
      </c>
      <c r="K159" s="1">
        <f t="shared" si="56"/>
        <v>-27</v>
      </c>
      <c r="L159" s="1">
        <f t="shared" si="56"/>
        <v>-45</v>
      </c>
      <c r="M159" s="1">
        <f t="shared" si="56"/>
        <v>-30</v>
      </c>
      <c r="N159" s="1">
        <f t="shared" si="56"/>
        <v>-12</v>
      </c>
      <c r="O159" s="1">
        <f t="shared" si="56"/>
        <v>-81</v>
      </c>
      <c r="P159" s="1">
        <f t="shared" si="56"/>
        <v>-118</v>
      </c>
      <c r="Q159" s="1">
        <f t="shared" si="56"/>
        <v>-75</v>
      </c>
      <c r="R159" s="1">
        <f t="shared" si="56"/>
        <v>-81</v>
      </c>
      <c r="S159" s="1">
        <f t="shared" si="56"/>
        <v>-119</v>
      </c>
      <c r="T159" s="1">
        <f t="shared" si="56"/>
        <v>-56</v>
      </c>
      <c r="U159" s="1">
        <f t="shared" si="56"/>
        <v>-62</v>
      </c>
      <c r="V159" s="1">
        <f t="shared" si="56"/>
        <v>-123</v>
      </c>
      <c r="W159" s="1">
        <f t="shared" si="56"/>
        <v>-33</v>
      </c>
      <c r="X159" s="1">
        <f t="shared" si="56"/>
        <v>-53</v>
      </c>
      <c r="Y159" s="1">
        <f t="shared" si="56"/>
        <v>-115</v>
      </c>
      <c r="Z159" s="1">
        <f t="shared" si="56"/>
        <v>-49</v>
      </c>
      <c r="AA159" s="1">
        <f t="shared" si="56"/>
        <v>-34</v>
      </c>
      <c r="AB159" s="1">
        <f t="shared" si="56"/>
        <v>-132</v>
      </c>
      <c r="AC159" s="1">
        <f t="shared" si="56"/>
        <v>-28</v>
      </c>
      <c r="AD159" s="1">
        <f t="shared" si="56"/>
        <v>-18</v>
      </c>
      <c r="AE159" s="1">
        <f t="shared" si="56"/>
        <v>-263</v>
      </c>
      <c r="AF159" s="1">
        <f t="shared" si="56"/>
        <v>-10</v>
      </c>
      <c r="AG159" s="1">
        <f t="shared" si="56"/>
        <v>-15</v>
      </c>
      <c r="AH159" s="1">
        <f t="shared" si="56"/>
        <v>-30</v>
      </c>
      <c r="AI159" s="1">
        <f t="shared" si="56"/>
        <v>-30</v>
      </c>
      <c r="AJ159" s="1">
        <f t="shared" si="56"/>
        <v>-5</v>
      </c>
      <c r="AK159" s="1">
        <f t="shared" ref="AK159:BO159" si="57">AK158-AK157</f>
        <v>33</v>
      </c>
      <c r="AL159" s="1">
        <f t="shared" si="57"/>
        <v>43</v>
      </c>
      <c r="AM159" s="1">
        <f t="shared" si="57"/>
        <v>-16</v>
      </c>
      <c r="AN159" s="1">
        <f t="shared" si="57"/>
        <v>-50</v>
      </c>
      <c r="AO159" s="1">
        <f t="shared" si="57"/>
        <v>-25</v>
      </c>
      <c r="AP159" s="1">
        <f t="shared" si="57"/>
        <v>-26</v>
      </c>
      <c r="AQ159" s="1">
        <f t="shared" si="57"/>
        <v>-94</v>
      </c>
      <c r="AR159" s="1">
        <f t="shared" si="57"/>
        <v>-104</v>
      </c>
      <c r="AS159" s="1">
        <f t="shared" si="57"/>
        <v>-78</v>
      </c>
      <c r="AT159" s="1">
        <f t="shared" si="57"/>
        <v>-78</v>
      </c>
      <c r="AU159" s="1">
        <f t="shared" si="57"/>
        <v>-45</v>
      </c>
      <c r="AV159" s="1">
        <f t="shared" si="57"/>
        <v>-110</v>
      </c>
      <c r="AW159" s="1">
        <f t="shared" si="57"/>
        <v>-109</v>
      </c>
      <c r="AX159" s="1">
        <f t="shared" si="57"/>
        <v>-55</v>
      </c>
      <c r="AY159" s="1">
        <f t="shared" si="57"/>
        <v>-30</v>
      </c>
      <c r="AZ159" s="1">
        <f t="shared" si="57"/>
        <v>-59</v>
      </c>
      <c r="BA159" s="1">
        <f t="shared" si="57"/>
        <v>-193</v>
      </c>
      <c r="BB159" s="1">
        <f t="shared" si="57"/>
        <v>-227</v>
      </c>
      <c r="BC159" s="1">
        <f t="shared" si="57"/>
        <v>-10</v>
      </c>
      <c r="BD159" s="1">
        <f t="shared" si="57"/>
        <v>-102</v>
      </c>
      <c r="BE159" s="1">
        <f t="shared" si="57"/>
        <v>-52</v>
      </c>
      <c r="BF159" s="1">
        <f t="shared" si="57"/>
        <v>-39</v>
      </c>
      <c r="BG159" s="1">
        <f t="shared" si="57"/>
        <v>-30</v>
      </c>
      <c r="BH159" s="1">
        <f t="shared" si="57"/>
        <v>-62</v>
      </c>
      <c r="BI159" s="1">
        <f t="shared" si="57"/>
        <v>-46</v>
      </c>
      <c r="BJ159" s="1">
        <f t="shared" si="57"/>
        <v>-195</v>
      </c>
      <c r="BK159" s="1">
        <f t="shared" si="57"/>
        <v>-200</v>
      </c>
      <c r="BL159" s="1">
        <f t="shared" si="57"/>
        <v>-145</v>
      </c>
      <c r="BM159" s="1">
        <f t="shared" si="57"/>
        <v>-150</v>
      </c>
      <c r="BN159" s="1">
        <f t="shared" si="57"/>
        <v>-350</v>
      </c>
      <c r="BO159" s="1">
        <f t="shared" si="57"/>
        <v>-350</v>
      </c>
      <c r="BP159" s="1"/>
      <c r="BQ159" s="1"/>
      <c r="BR159" s="17"/>
      <c r="BS159" s="17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</row>
  </sheetData>
  <autoFilter ref="A1:BP157"/>
  <sortState ref="A2:CS165">
    <sortCondition ref="BR2:BR165"/>
    <sortCondition ref="BQ2:BQ165"/>
  </sortState>
  <phoneticPr fontId="1" type="noConversion"/>
  <conditionalFormatting sqref="E48">
    <cfRule type="cellIs" dxfId="2" priority="4" operator="greaterThan">
      <formula>$E$158</formula>
    </cfRule>
  </conditionalFormatting>
  <conditionalFormatting sqref="E157">
    <cfRule type="cellIs" dxfId="1" priority="3" operator="greaterThan">
      <formula>$E$158</formula>
    </cfRule>
  </conditionalFormatting>
  <conditionalFormatting sqref="E159:BO1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161</xdr:row>
                    <xdr:rowOff>28575</xdr:rowOff>
                  </from>
                  <to>
                    <xdr:col>1</xdr:col>
                    <xdr:colOff>428625</xdr:colOff>
                    <xdr:row>162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99</v>
      </c>
      <c r="B1" s="5" t="s">
        <v>96</v>
      </c>
      <c r="C1" s="5" t="s">
        <v>100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71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79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71</v>
      </c>
      <c r="K19" s="10" t="s">
        <v>79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106</v>
      </c>
      <c r="B1" s="8" t="s">
        <v>107</v>
      </c>
      <c r="C1" s="8" t="s">
        <v>108</v>
      </c>
    </row>
    <row r="2" spans="1:3" x14ac:dyDescent="0.15">
      <c r="A2" s="1">
        <v>5</v>
      </c>
      <c r="B2" s="10" t="s">
        <v>79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71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79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71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2020-02-05T07:30:09Z</dcterms:modified>
</cp:coreProperties>
</file>