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5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Sheet1!$A$1:$BP$121</definedName>
    <definedName name="_xlnm._FilterDatabase" localSheetId="1" hidden="1">'Sheet1 (2)'!$A$1:$BP$17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13" i="1" l="1"/>
  <c r="AH11" i="5" l="1"/>
  <c r="AH13" i="5" s="1"/>
  <c r="AI11" i="5"/>
  <c r="AI13" i="5" s="1"/>
  <c r="AJ11" i="5"/>
  <c r="AJ13" i="5" s="1"/>
  <c r="AK11" i="5"/>
  <c r="AK13" i="5" s="1"/>
  <c r="AL11" i="5"/>
  <c r="AL13" i="5" s="1"/>
  <c r="AM11" i="5"/>
  <c r="AM13" i="5" s="1"/>
  <c r="AN11" i="5"/>
  <c r="AN13" i="5" s="1"/>
  <c r="AO11" i="5"/>
  <c r="AO13" i="5" s="1"/>
  <c r="AP11" i="5"/>
  <c r="AP13" i="5" s="1"/>
  <c r="AQ11" i="5"/>
  <c r="BT10" i="5" s="1"/>
  <c r="AH14" i="5"/>
  <c r="AH16" i="5" s="1"/>
  <c r="AI14" i="5"/>
  <c r="AI16" i="5" s="1"/>
  <c r="AJ14" i="5"/>
  <c r="AJ16" i="5" s="1"/>
  <c r="AK14" i="5"/>
  <c r="AK16" i="5" s="1"/>
  <c r="AL14" i="5"/>
  <c r="AM14" i="5"/>
  <c r="AM16" i="5" s="1"/>
  <c r="AN14" i="5"/>
  <c r="AN16" i="5" s="1"/>
  <c r="AO14" i="5"/>
  <c r="AO16" i="5" s="1"/>
  <c r="AP14" i="5"/>
  <c r="AP16" i="5" s="1"/>
  <c r="AQ14" i="5"/>
  <c r="AQ16" i="5" s="1"/>
  <c r="AH15" i="5"/>
  <c r="AH17" i="5" s="1"/>
  <c r="AI15" i="5"/>
  <c r="AI17" i="5" s="1"/>
  <c r="AJ15" i="5"/>
  <c r="AJ17" i="5" s="1"/>
  <c r="AK15" i="5"/>
  <c r="AK17" i="5" s="1"/>
  <c r="AL15" i="5"/>
  <c r="AL17" i="5" s="1"/>
  <c r="AM15" i="5"/>
  <c r="AM17" i="5" s="1"/>
  <c r="AN15" i="5"/>
  <c r="AO15" i="5"/>
  <c r="AO17" i="5" s="1"/>
  <c r="AP15" i="5"/>
  <c r="AP17" i="5" s="1"/>
  <c r="AQ15" i="5"/>
  <c r="AQ17" i="5" s="1"/>
  <c r="AL16" i="5"/>
  <c r="AN17" i="5"/>
  <c r="AS11" i="5"/>
  <c r="BV5" i="5" s="1"/>
  <c r="AS14" i="5"/>
  <c r="AS16" i="5" s="1"/>
  <c r="AS15" i="5"/>
  <c r="AS17" i="5" s="1"/>
  <c r="BO15" i="5"/>
  <c r="BO17" i="5" s="1"/>
  <c r="BN15" i="5"/>
  <c r="BN17" i="5" s="1"/>
  <c r="BM15" i="5"/>
  <c r="BM17" i="5" s="1"/>
  <c r="BL15" i="5"/>
  <c r="BL17" i="5" s="1"/>
  <c r="BK15" i="5"/>
  <c r="BK17" i="5" s="1"/>
  <c r="BJ15" i="5"/>
  <c r="BJ17" i="5" s="1"/>
  <c r="BI15" i="5"/>
  <c r="BI17" i="5" s="1"/>
  <c r="BH15" i="5"/>
  <c r="BH17" i="5" s="1"/>
  <c r="BG15" i="5"/>
  <c r="BG17" i="5" s="1"/>
  <c r="BF15" i="5"/>
  <c r="BF17" i="5" s="1"/>
  <c r="BE15" i="5"/>
  <c r="BE17" i="5" s="1"/>
  <c r="BD15" i="5"/>
  <c r="BD17" i="5" s="1"/>
  <c r="BC15" i="5"/>
  <c r="BC17" i="5" s="1"/>
  <c r="BB15" i="5"/>
  <c r="BB17" i="5" s="1"/>
  <c r="BA15" i="5"/>
  <c r="BA17" i="5" s="1"/>
  <c r="AZ15" i="5"/>
  <c r="AZ17" i="5" s="1"/>
  <c r="AY15" i="5"/>
  <c r="AY17" i="5" s="1"/>
  <c r="AX15" i="5"/>
  <c r="AX17" i="5" s="1"/>
  <c r="AW15" i="5"/>
  <c r="AW17" i="5" s="1"/>
  <c r="AV15" i="5"/>
  <c r="AV17" i="5" s="1"/>
  <c r="AU15" i="5"/>
  <c r="AU17" i="5" s="1"/>
  <c r="AT15" i="5"/>
  <c r="AT17" i="5" s="1"/>
  <c r="AR15" i="5"/>
  <c r="AR17" i="5" s="1"/>
  <c r="AG15" i="5"/>
  <c r="AG17" i="5" s="1"/>
  <c r="AF15" i="5"/>
  <c r="AF17" i="5" s="1"/>
  <c r="AE15" i="5"/>
  <c r="AE17" i="5" s="1"/>
  <c r="AD15" i="5"/>
  <c r="AD17" i="5" s="1"/>
  <c r="AC15" i="5"/>
  <c r="AC17" i="5" s="1"/>
  <c r="AB15" i="5"/>
  <c r="AB17" i="5" s="1"/>
  <c r="AA15" i="5"/>
  <c r="AA17" i="5" s="1"/>
  <c r="Z15" i="5"/>
  <c r="Z17" i="5" s="1"/>
  <c r="Y15" i="5"/>
  <c r="Y17" i="5" s="1"/>
  <c r="X15" i="5"/>
  <c r="X17" i="5" s="1"/>
  <c r="W15" i="5"/>
  <c r="W17" i="5" s="1"/>
  <c r="V15" i="5"/>
  <c r="V17" i="5" s="1"/>
  <c r="U15" i="5"/>
  <c r="U17" i="5" s="1"/>
  <c r="T15" i="5"/>
  <c r="T17" i="5" s="1"/>
  <c r="S15" i="5"/>
  <c r="S17" i="5" s="1"/>
  <c r="R15" i="5"/>
  <c r="R17" i="5" s="1"/>
  <c r="Q15" i="5"/>
  <c r="Q17" i="5" s="1"/>
  <c r="P15" i="5"/>
  <c r="P17" i="5" s="1"/>
  <c r="O15" i="5"/>
  <c r="O17" i="5" s="1"/>
  <c r="N15" i="5"/>
  <c r="N17" i="5" s="1"/>
  <c r="M15" i="5"/>
  <c r="M17" i="5" s="1"/>
  <c r="L15" i="5"/>
  <c r="L17" i="5" s="1"/>
  <c r="K15" i="5"/>
  <c r="K17" i="5" s="1"/>
  <c r="J15" i="5"/>
  <c r="J17" i="5" s="1"/>
  <c r="I15" i="5"/>
  <c r="I17" i="5" s="1"/>
  <c r="H15" i="5"/>
  <c r="H17" i="5" s="1"/>
  <c r="G15" i="5"/>
  <c r="G17" i="5" s="1"/>
  <c r="F15" i="5"/>
  <c r="F17" i="5" s="1"/>
  <c r="E15" i="5"/>
  <c r="E17" i="5" s="1"/>
  <c r="BO14" i="5"/>
  <c r="BO16" i="5" s="1"/>
  <c r="BN14" i="5"/>
  <c r="BN16" i="5" s="1"/>
  <c r="BM14" i="5"/>
  <c r="BM16" i="5" s="1"/>
  <c r="BL14" i="5"/>
  <c r="BL16" i="5" s="1"/>
  <c r="BK14" i="5"/>
  <c r="BK16" i="5" s="1"/>
  <c r="BJ14" i="5"/>
  <c r="BJ16" i="5" s="1"/>
  <c r="BI14" i="5"/>
  <c r="BI16" i="5" s="1"/>
  <c r="BH14" i="5"/>
  <c r="BH16" i="5" s="1"/>
  <c r="BG14" i="5"/>
  <c r="BG16" i="5" s="1"/>
  <c r="BF14" i="5"/>
  <c r="BF16" i="5" s="1"/>
  <c r="BE14" i="5"/>
  <c r="BE16" i="5" s="1"/>
  <c r="BD14" i="5"/>
  <c r="BD16" i="5" s="1"/>
  <c r="BC14" i="5"/>
  <c r="BC16" i="5" s="1"/>
  <c r="BB14" i="5"/>
  <c r="BB16" i="5" s="1"/>
  <c r="BA14" i="5"/>
  <c r="BA16" i="5" s="1"/>
  <c r="AZ14" i="5"/>
  <c r="AZ16" i="5" s="1"/>
  <c r="AY14" i="5"/>
  <c r="AY16" i="5" s="1"/>
  <c r="AX14" i="5"/>
  <c r="AX16" i="5" s="1"/>
  <c r="AW14" i="5"/>
  <c r="AW16" i="5" s="1"/>
  <c r="AV14" i="5"/>
  <c r="AV16" i="5" s="1"/>
  <c r="AU14" i="5"/>
  <c r="AU16" i="5" s="1"/>
  <c r="AT14" i="5"/>
  <c r="AT16" i="5" s="1"/>
  <c r="AR14" i="5"/>
  <c r="AR16" i="5" s="1"/>
  <c r="AG14" i="5"/>
  <c r="AG16" i="5" s="1"/>
  <c r="AF14" i="5"/>
  <c r="AF16" i="5" s="1"/>
  <c r="AE14" i="5"/>
  <c r="AE16" i="5" s="1"/>
  <c r="AD14" i="5"/>
  <c r="AD16" i="5" s="1"/>
  <c r="AC14" i="5"/>
  <c r="AC16" i="5" s="1"/>
  <c r="AB14" i="5"/>
  <c r="AB16" i="5" s="1"/>
  <c r="AA14" i="5"/>
  <c r="AA16" i="5" s="1"/>
  <c r="Z14" i="5"/>
  <c r="Z16" i="5" s="1"/>
  <c r="Y14" i="5"/>
  <c r="Y16" i="5" s="1"/>
  <c r="X14" i="5"/>
  <c r="X16" i="5" s="1"/>
  <c r="W14" i="5"/>
  <c r="W16" i="5" s="1"/>
  <c r="V14" i="5"/>
  <c r="V16" i="5" s="1"/>
  <c r="U14" i="5"/>
  <c r="U16" i="5" s="1"/>
  <c r="T14" i="5"/>
  <c r="T16" i="5" s="1"/>
  <c r="S14" i="5"/>
  <c r="S16" i="5" s="1"/>
  <c r="R14" i="5"/>
  <c r="R16" i="5" s="1"/>
  <c r="Q14" i="5"/>
  <c r="Q16" i="5" s="1"/>
  <c r="P14" i="5"/>
  <c r="P16" i="5" s="1"/>
  <c r="O14" i="5"/>
  <c r="O16" i="5" s="1"/>
  <c r="N14" i="5"/>
  <c r="N16" i="5" s="1"/>
  <c r="M14" i="5"/>
  <c r="M16" i="5" s="1"/>
  <c r="L14" i="5"/>
  <c r="L16" i="5" s="1"/>
  <c r="K14" i="5"/>
  <c r="K16" i="5" s="1"/>
  <c r="J14" i="5"/>
  <c r="J16" i="5" s="1"/>
  <c r="I14" i="5"/>
  <c r="I16" i="5" s="1"/>
  <c r="H14" i="5"/>
  <c r="H16" i="5" s="1"/>
  <c r="G14" i="5"/>
  <c r="G16" i="5" s="1"/>
  <c r="F14" i="5"/>
  <c r="F16" i="5" s="1"/>
  <c r="E14" i="5"/>
  <c r="E16" i="5" s="1"/>
  <c r="BO11" i="5"/>
  <c r="BO13" i="5" s="1"/>
  <c r="BN11" i="5"/>
  <c r="BN13" i="5" s="1"/>
  <c r="BM11" i="5"/>
  <c r="BM13" i="5" s="1"/>
  <c r="BL11" i="5"/>
  <c r="BL13" i="5" s="1"/>
  <c r="BK11" i="5"/>
  <c r="BK13" i="5" s="1"/>
  <c r="BJ11" i="5"/>
  <c r="BJ13" i="5" s="1"/>
  <c r="BI11" i="5"/>
  <c r="BI13" i="5" s="1"/>
  <c r="BH11" i="5"/>
  <c r="BH13" i="5" s="1"/>
  <c r="BG11" i="5"/>
  <c r="BG13" i="5" s="1"/>
  <c r="BF11" i="5"/>
  <c r="BF13" i="5" s="1"/>
  <c r="BE11" i="5"/>
  <c r="BE13" i="5" s="1"/>
  <c r="BD11" i="5"/>
  <c r="BD13" i="5" s="1"/>
  <c r="BC11" i="5"/>
  <c r="BC13" i="5" s="1"/>
  <c r="BB11" i="5"/>
  <c r="BA11" i="5"/>
  <c r="AZ11" i="5"/>
  <c r="CC6" i="5" s="1"/>
  <c r="AY11" i="5"/>
  <c r="AX11" i="5"/>
  <c r="AX13" i="5" s="1"/>
  <c r="AW11" i="5"/>
  <c r="AW13" i="5" s="1"/>
  <c r="AV11" i="5"/>
  <c r="BY8" i="5" s="1"/>
  <c r="AU11" i="5"/>
  <c r="BX8" i="5" s="1"/>
  <c r="AT11" i="5"/>
  <c r="AT13" i="5" s="1"/>
  <c r="AR11" i="5"/>
  <c r="AG11" i="5"/>
  <c r="AG13" i="5" s="1"/>
  <c r="AF11" i="5"/>
  <c r="AF13" i="5" s="1"/>
  <c r="AE11" i="5"/>
  <c r="AE13" i="5" s="1"/>
  <c r="AD11" i="5"/>
  <c r="AD13" i="5" s="1"/>
  <c r="AC11" i="5"/>
  <c r="AC13" i="5" s="1"/>
  <c r="AB11" i="5"/>
  <c r="AB13" i="5" s="1"/>
  <c r="AA11" i="5"/>
  <c r="AA13" i="5" s="1"/>
  <c r="Z11" i="5"/>
  <c r="Z13" i="5" s="1"/>
  <c r="Y11" i="5"/>
  <c r="Y13" i="5" s="1"/>
  <c r="X11" i="5"/>
  <c r="X13" i="5" s="1"/>
  <c r="W11" i="5"/>
  <c r="W13" i="5" s="1"/>
  <c r="V11" i="5"/>
  <c r="V13" i="5" s="1"/>
  <c r="U11" i="5"/>
  <c r="U13" i="5" s="1"/>
  <c r="T11" i="5"/>
  <c r="T13" i="5" s="1"/>
  <c r="S11" i="5"/>
  <c r="S13" i="5" s="1"/>
  <c r="R11" i="5"/>
  <c r="R13" i="5" s="1"/>
  <c r="Q11" i="5"/>
  <c r="Q13" i="5" s="1"/>
  <c r="P11" i="5"/>
  <c r="P13" i="5" s="1"/>
  <c r="O11" i="5"/>
  <c r="O13" i="5" s="1"/>
  <c r="N11" i="5"/>
  <c r="N13" i="5" s="1"/>
  <c r="M11" i="5"/>
  <c r="M13" i="5" s="1"/>
  <c r="L11" i="5"/>
  <c r="L13" i="5" s="1"/>
  <c r="K11" i="5"/>
  <c r="K13" i="5" s="1"/>
  <c r="J11" i="5"/>
  <c r="J13" i="5" s="1"/>
  <c r="I11" i="5"/>
  <c r="I13" i="5" s="1"/>
  <c r="H11" i="5"/>
  <c r="H13" i="5" s="1"/>
  <c r="G11" i="5"/>
  <c r="G13" i="5" s="1"/>
  <c r="F11" i="5"/>
  <c r="F13" i="5" s="1"/>
  <c r="E11" i="5"/>
  <c r="E13" i="5" s="1"/>
  <c r="CS10" i="5"/>
  <c r="BP10" i="5"/>
  <c r="CS9" i="5"/>
  <c r="BP9" i="5"/>
  <c r="CS8" i="5"/>
  <c r="BP8" i="5"/>
  <c r="BP7" i="5"/>
  <c r="CS6" i="5"/>
  <c r="BV6" i="5"/>
  <c r="BP6" i="5"/>
  <c r="BP5" i="5"/>
  <c r="CS4" i="5"/>
  <c r="BP4" i="5"/>
  <c r="CS3" i="5"/>
  <c r="BP3" i="5"/>
  <c r="CS2" i="5"/>
  <c r="BP2" i="5"/>
  <c r="BT6" i="5" l="1"/>
  <c r="BV9" i="5"/>
  <c r="BT7" i="5"/>
  <c r="BT2" i="5"/>
  <c r="BT4" i="5"/>
  <c r="BT9" i="5"/>
  <c r="AS13" i="5"/>
  <c r="BX2" i="5"/>
  <c r="AQ13" i="5"/>
  <c r="BX5" i="5"/>
  <c r="BX3" i="5"/>
  <c r="BX9" i="5"/>
  <c r="BX6" i="5"/>
  <c r="BX10" i="5"/>
  <c r="BX4" i="5"/>
  <c r="BX7" i="5"/>
  <c r="CC8" i="5"/>
  <c r="BV4" i="5"/>
  <c r="BV10" i="5"/>
  <c r="CC10" i="5"/>
  <c r="BT3" i="5"/>
  <c r="BT5" i="5"/>
  <c r="BW5" i="5"/>
  <c r="BT8" i="5"/>
  <c r="CC2" i="5"/>
  <c r="CC5" i="5"/>
  <c r="BY7" i="5"/>
  <c r="CC9" i="5"/>
  <c r="BY2" i="5"/>
  <c r="BY5" i="5"/>
  <c r="BY3" i="5"/>
  <c r="CC7" i="5"/>
  <c r="CC3" i="5"/>
  <c r="BY4" i="5"/>
  <c r="CC4" i="5"/>
  <c r="BW6" i="5"/>
  <c r="BY6" i="5"/>
  <c r="BU2" i="5"/>
  <c r="CA9" i="5"/>
  <c r="CB6" i="5"/>
  <c r="CA8" i="5"/>
  <c r="CA3" i="5"/>
  <c r="CA10" i="5"/>
  <c r="CB10" i="5"/>
  <c r="CA6" i="5"/>
  <c r="CA5" i="5"/>
  <c r="CA4" i="5"/>
  <c r="CA2" i="5"/>
  <c r="CA7" i="5"/>
  <c r="BU3" i="5"/>
  <c r="BU6" i="5"/>
  <c r="BU7" i="5"/>
  <c r="BW10" i="5"/>
  <c r="BY10" i="5"/>
  <c r="BU4" i="5"/>
  <c r="CD7" i="5"/>
  <c r="BY9" i="5"/>
  <c r="CD10" i="5"/>
  <c r="CB5" i="5"/>
  <c r="CD6" i="5"/>
  <c r="CD9" i="5"/>
  <c r="CD5" i="5"/>
  <c r="CD8" i="5"/>
  <c r="CE3" i="5"/>
  <c r="CE7" i="5"/>
  <c r="CE2" i="5"/>
  <c r="CE4" i="5"/>
  <c r="CE5" i="5"/>
  <c r="BZ2" i="5"/>
  <c r="BZ7" i="5"/>
  <c r="BZ8" i="5"/>
  <c r="BZ5" i="5"/>
  <c r="BZ6" i="5"/>
  <c r="BZ4" i="5"/>
  <c r="BZ9" i="5"/>
  <c r="BZ10" i="5"/>
  <c r="BZ3" i="5"/>
  <c r="AZ13" i="5"/>
  <c r="CB8" i="5"/>
  <c r="BW9" i="5"/>
  <c r="BW2" i="5"/>
  <c r="AV13" i="5"/>
  <c r="BW8" i="5"/>
  <c r="CB9" i="5"/>
  <c r="CS11" i="5"/>
  <c r="BW4" i="5"/>
  <c r="CB7" i="5"/>
  <c r="CB2" i="5"/>
  <c r="CD2" i="5"/>
  <c r="CB4" i="5"/>
  <c r="BV8" i="5"/>
  <c r="AU13" i="5"/>
  <c r="CB3" i="5"/>
  <c r="CD4" i="5"/>
  <c r="BV2" i="5"/>
  <c r="CD3" i="5"/>
  <c r="AY13" i="5"/>
  <c r="BW3" i="5"/>
  <c r="BV7" i="5"/>
  <c r="BW7" i="5"/>
  <c r="BV3" i="5"/>
  <c r="BU5" i="5"/>
  <c r="BU8" i="5"/>
  <c r="BU10" i="5"/>
  <c r="BU9" i="5"/>
  <c r="AR13" i="5"/>
  <c r="BB13" i="5"/>
  <c r="CE8" i="5"/>
  <c r="CE10" i="5"/>
  <c r="CE9" i="5"/>
  <c r="CE6" i="5"/>
  <c r="BA13" i="5"/>
  <c r="BP54" i="1"/>
  <c r="BP69" i="1"/>
  <c r="BP25" i="1"/>
  <c r="CA11" i="5" l="1"/>
  <c r="CC11" i="5"/>
  <c r="BZ11" i="5"/>
  <c r="BX11" i="5"/>
  <c r="BY11" i="5"/>
  <c r="CF6" i="5"/>
  <c r="CR6" i="5" s="1"/>
  <c r="CE11" i="5"/>
  <c r="CF4" i="5"/>
  <c r="CJ4" i="5" s="1"/>
  <c r="CF8" i="5"/>
  <c r="CM8" i="5" s="1"/>
  <c r="CF2" i="5"/>
  <c r="CL2" i="5" s="1"/>
  <c r="CB11" i="5"/>
  <c r="CF9" i="5"/>
  <c r="CL9" i="5" s="1"/>
  <c r="BV11" i="5"/>
  <c r="CF3" i="5"/>
  <c r="CD11" i="5"/>
  <c r="BT11" i="5"/>
  <c r="CF10" i="5"/>
  <c r="CN10" i="5" s="1"/>
  <c r="BU11" i="5"/>
  <c r="BW11" i="5"/>
  <c r="BC125" i="1"/>
  <c r="BC127" i="1" s="1"/>
  <c r="BD125" i="1"/>
  <c r="BD127" i="1" s="1"/>
  <c r="BE125" i="1"/>
  <c r="BE127" i="1" s="1"/>
  <c r="BF125" i="1"/>
  <c r="BF127" i="1" s="1"/>
  <c r="BG125" i="1"/>
  <c r="BG127" i="1" s="1"/>
  <c r="BH125" i="1"/>
  <c r="BH127" i="1" s="1"/>
  <c r="BI125" i="1"/>
  <c r="BI127" i="1" s="1"/>
  <c r="BJ125" i="1"/>
  <c r="BJ127" i="1" s="1"/>
  <c r="BK125" i="1"/>
  <c r="BK127" i="1" s="1"/>
  <c r="BL125" i="1"/>
  <c r="BL127" i="1" s="1"/>
  <c r="BM125" i="1"/>
  <c r="BM127" i="1" s="1"/>
  <c r="BN125" i="1"/>
  <c r="BN127" i="1" s="1"/>
  <c r="BO125" i="1"/>
  <c r="BO127" i="1" s="1"/>
  <c r="BC126" i="1"/>
  <c r="BC128" i="1" s="1"/>
  <c r="BD126" i="1"/>
  <c r="BD128" i="1" s="1"/>
  <c r="BE126" i="1"/>
  <c r="BE128" i="1" s="1"/>
  <c r="BF126" i="1"/>
  <c r="BF128" i="1" s="1"/>
  <c r="BG126" i="1"/>
  <c r="BG128" i="1" s="1"/>
  <c r="BH126" i="1"/>
  <c r="BH128" i="1" s="1"/>
  <c r="BI126" i="1"/>
  <c r="BI128" i="1" s="1"/>
  <c r="BJ126" i="1"/>
  <c r="BJ128" i="1" s="1"/>
  <c r="BK126" i="1"/>
  <c r="BK128" i="1" s="1"/>
  <c r="BL126" i="1"/>
  <c r="BL128" i="1" s="1"/>
  <c r="BM126" i="1"/>
  <c r="BM128" i="1" s="1"/>
  <c r="BN126" i="1"/>
  <c r="BN128" i="1" s="1"/>
  <c r="BO126" i="1"/>
  <c r="BO128" i="1" s="1"/>
  <c r="BA125" i="1"/>
  <c r="BA127" i="1" s="1"/>
  <c r="BB125" i="1"/>
  <c r="BB127" i="1" s="1"/>
  <c r="BA126" i="1"/>
  <c r="BA128" i="1" s="1"/>
  <c r="BB126" i="1"/>
  <c r="BB128" i="1" s="1"/>
  <c r="AQ125" i="1"/>
  <c r="AQ127" i="1" s="1"/>
  <c r="AR125" i="1"/>
  <c r="AR127" i="1" s="1"/>
  <c r="AS125" i="1"/>
  <c r="AS127" i="1" s="1"/>
  <c r="AT125" i="1"/>
  <c r="AT127" i="1" s="1"/>
  <c r="AU125" i="1"/>
  <c r="AU127" i="1" s="1"/>
  <c r="AV125" i="1"/>
  <c r="AV127" i="1" s="1"/>
  <c r="AW125" i="1"/>
  <c r="AW127" i="1" s="1"/>
  <c r="AX125" i="1"/>
  <c r="AX127" i="1" s="1"/>
  <c r="AY125" i="1"/>
  <c r="AY127" i="1" s="1"/>
  <c r="AZ125" i="1"/>
  <c r="AZ127" i="1" s="1"/>
  <c r="AQ126" i="1"/>
  <c r="AQ128" i="1" s="1"/>
  <c r="AR126" i="1"/>
  <c r="AR128" i="1" s="1"/>
  <c r="AS126" i="1"/>
  <c r="AS128" i="1" s="1"/>
  <c r="AT126" i="1"/>
  <c r="AT128" i="1" s="1"/>
  <c r="AU126" i="1"/>
  <c r="AU128" i="1" s="1"/>
  <c r="AV126" i="1"/>
  <c r="AV128" i="1" s="1"/>
  <c r="AW126" i="1"/>
  <c r="AW128" i="1" s="1"/>
  <c r="AX126" i="1"/>
  <c r="AX128" i="1" s="1"/>
  <c r="AY126" i="1"/>
  <c r="AY128" i="1" s="1"/>
  <c r="AZ126" i="1"/>
  <c r="AZ128" i="1" s="1"/>
  <c r="AI125" i="1"/>
  <c r="AI127" i="1" s="1"/>
  <c r="AJ125" i="1"/>
  <c r="AJ127" i="1" s="1"/>
  <c r="AK125" i="1"/>
  <c r="AK127" i="1" s="1"/>
  <c r="AL125" i="1"/>
  <c r="AL127" i="1" s="1"/>
  <c r="AM125" i="1"/>
  <c r="AM127" i="1" s="1"/>
  <c r="AN125" i="1"/>
  <c r="AN127" i="1" s="1"/>
  <c r="AO125" i="1"/>
  <c r="AO127" i="1" s="1"/>
  <c r="AP125" i="1"/>
  <c r="AP127" i="1" s="1"/>
  <c r="AI126" i="1"/>
  <c r="AI128" i="1" s="1"/>
  <c r="AJ126" i="1"/>
  <c r="AJ128" i="1" s="1"/>
  <c r="AK126" i="1"/>
  <c r="AK128" i="1" s="1"/>
  <c r="AL126" i="1"/>
  <c r="AL128" i="1" s="1"/>
  <c r="AM126" i="1"/>
  <c r="AM128" i="1" s="1"/>
  <c r="AN126" i="1"/>
  <c r="AN128" i="1" s="1"/>
  <c r="AO126" i="1"/>
  <c r="AO128" i="1" s="1"/>
  <c r="AP126" i="1"/>
  <c r="AP128" i="1" s="1"/>
  <c r="AC125" i="1"/>
  <c r="AC127" i="1" s="1"/>
  <c r="AD125" i="1"/>
  <c r="AD127" i="1" s="1"/>
  <c r="AE125" i="1"/>
  <c r="AE127" i="1" s="1"/>
  <c r="AF125" i="1"/>
  <c r="AF127" i="1" s="1"/>
  <c r="AG125" i="1"/>
  <c r="AG127" i="1" s="1"/>
  <c r="AH125" i="1"/>
  <c r="AH127" i="1" s="1"/>
  <c r="AC126" i="1"/>
  <c r="AC128" i="1" s="1"/>
  <c r="AD126" i="1"/>
  <c r="AD128" i="1" s="1"/>
  <c r="AE126" i="1"/>
  <c r="AE128" i="1" s="1"/>
  <c r="AF126" i="1"/>
  <c r="AF128" i="1" s="1"/>
  <c r="AG126" i="1"/>
  <c r="AG128" i="1" s="1"/>
  <c r="AH126" i="1"/>
  <c r="AH128" i="1" s="1"/>
  <c r="W125" i="1"/>
  <c r="W127" i="1" s="1"/>
  <c r="X125" i="1"/>
  <c r="X127" i="1" s="1"/>
  <c r="Y125" i="1"/>
  <c r="Y127" i="1" s="1"/>
  <c r="Z125" i="1"/>
  <c r="Z127" i="1" s="1"/>
  <c r="AA125" i="1"/>
  <c r="AA127" i="1" s="1"/>
  <c r="AB125" i="1"/>
  <c r="AB127" i="1" s="1"/>
  <c r="W126" i="1"/>
  <c r="W128" i="1" s="1"/>
  <c r="X126" i="1"/>
  <c r="X128" i="1" s="1"/>
  <c r="Y126" i="1"/>
  <c r="Y128" i="1" s="1"/>
  <c r="Z126" i="1"/>
  <c r="Z128" i="1" s="1"/>
  <c r="AA126" i="1"/>
  <c r="AA128" i="1" s="1"/>
  <c r="AB126" i="1"/>
  <c r="AB128" i="1" s="1"/>
  <c r="P125" i="1"/>
  <c r="P127" i="1" s="1"/>
  <c r="Q125" i="1"/>
  <c r="Q127" i="1" s="1"/>
  <c r="R125" i="1"/>
  <c r="R127" i="1" s="1"/>
  <c r="S125" i="1"/>
  <c r="S127" i="1" s="1"/>
  <c r="T125" i="1"/>
  <c r="T127" i="1" s="1"/>
  <c r="U125" i="1"/>
  <c r="U127" i="1" s="1"/>
  <c r="V125" i="1"/>
  <c r="V127" i="1" s="1"/>
  <c r="P126" i="1"/>
  <c r="P128" i="1" s="1"/>
  <c r="Q126" i="1"/>
  <c r="Q128" i="1" s="1"/>
  <c r="R126" i="1"/>
  <c r="R128" i="1" s="1"/>
  <c r="S126" i="1"/>
  <c r="S128" i="1" s="1"/>
  <c r="T126" i="1"/>
  <c r="T128" i="1" s="1"/>
  <c r="U126" i="1"/>
  <c r="U128" i="1" s="1"/>
  <c r="V126" i="1"/>
  <c r="V128" i="1" s="1"/>
  <c r="G125" i="1"/>
  <c r="G127" i="1" s="1"/>
  <c r="H125" i="1"/>
  <c r="H127" i="1" s="1"/>
  <c r="I125" i="1"/>
  <c r="I127" i="1" s="1"/>
  <c r="J125" i="1"/>
  <c r="J127" i="1" s="1"/>
  <c r="K125" i="1"/>
  <c r="K127" i="1" s="1"/>
  <c r="L125" i="1"/>
  <c r="L127" i="1" s="1"/>
  <c r="M125" i="1"/>
  <c r="M127" i="1" s="1"/>
  <c r="N125" i="1"/>
  <c r="N127" i="1" s="1"/>
  <c r="O125" i="1"/>
  <c r="O127" i="1" s="1"/>
  <c r="G126" i="1"/>
  <c r="G128" i="1" s="1"/>
  <c r="H126" i="1"/>
  <c r="H128" i="1" s="1"/>
  <c r="I126" i="1"/>
  <c r="I128" i="1" s="1"/>
  <c r="J126" i="1"/>
  <c r="J128" i="1" s="1"/>
  <c r="K126" i="1"/>
  <c r="K128" i="1" s="1"/>
  <c r="L126" i="1"/>
  <c r="L128" i="1" s="1"/>
  <c r="M126" i="1"/>
  <c r="M128" i="1" s="1"/>
  <c r="N126" i="1"/>
  <c r="N128" i="1" s="1"/>
  <c r="O126" i="1"/>
  <c r="O128" i="1" s="1"/>
  <c r="F125" i="1"/>
  <c r="F127" i="1" s="1"/>
  <c r="F126" i="1"/>
  <c r="F128" i="1" s="1"/>
  <c r="E126" i="1"/>
  <c r="E128" i="1" s="1"/>
  <c r="E125" i="1"/>
  <c r="E127" i="1" s="1"/>
  <c r="CG9" i="5" l="1"/>
  <c r="CM6" i="5"/>
  <c r="CO8" i="5"/>
  <c r="CQ8" i="5"/>
  <c r="CG8" i="5"/>
  <c r="CH8" i="5"/>
  <c r="CK9" i="5"/>
  <c r="CP4" i="5"/>
  <c r="CO9" i="5"/>
  <c r="CP9" i="5"/>
  <c r="CQ9" i="5"/>
  <c r="CI8" i="5"/>
  <c r="CN4" i="5"/>
  <c r="CK4" i="5"/>
  <c r="CN6" i="5"/>
  <c r="CI4" i="5"/>
  <c r="CR8" i="5"/>
  <c r="CG4" i="5"/>
  <c r="CL8" i="5"/>
  <c r="CH4" i="5"/>
  <c r="CN8" i="5"/>
  <c r="CO4" i="5"/>
  <c r="CQ2" i="5"/>
  <c r="CP2" i="5"/>
  <c r="CK2" i="5"/>
  <c r="CG2" i="5"/>
  <c r="CR9" i="5"/>
  <c r="CI2" i="5"/>
  <c r="CJ2" i="5"/>
  <c r="CH9" i="5"/>
  <c r="CP8" i="5"/>
  <c r="CH2" i="5"/>
  <c r="CQ4" i="5"/>
  <c r="CO2" i="5"/>
  <c r="CR4" i="5"/>
  <c r="CM2" i="5"/>
  <c r="CJ8" i="5"/>
  <c r="CM4" i="5"/>
  <c r="CR2" i="5"/>
  <c r="CM9" i="5"/>
  <c r="CN9" i="5"/>
  <c r="CK8" i="5"/>
  <c r="CL4" i="5"/>
  <c r="CI9" i="5"/>
  <c r="CG6" i="5"/>
  <c r="CI10" i="5"/>
  <c r="CH6" i="5"/>
  <c r="CO10" i="5"/>
  <c r="CO6" i="5"/>
  <c r="CI6" i="5"/>
  <c r="CP10" i="5"/>
  <c r="CK6" i="5"/>
  <c r="CR10" i="5"/>
  <c r="CJ6" i="5"/>
  <c r="CQ10" i="5"/>
  <c r="CH10" i="5"/>
  <c r="CL6" i="5"/>
  <c r="CG10" i="5"/>
  <c r="CJ9" i="5"/>
  <c r="CQ6" i="5"/>
  <c r="CJ10" i="5"/>
  <c r="CN2" i="5"/>
  <c r="CP6" i="5"/>
  <c r="CK10" i="5"/>
  <c r="CL10" i="5"/>
  <c r="CI3" i="5"/>
  <c r="CG3" i="5"/>
  <c r="CO3" i="5"/>
  <c r="CJ3" i="5"/>
  <c r="CR3" i="5"/>
  <c r="CQ3" i="5"/>
  <c r="CP3" i="5"/>
  <c r="CH3" i="5"/>
  <c r="CM3" i="5"/>
  <c r="CL3" i="5"/>
  <c r="CK3" i="5"/>
  <c r="CN3" i="5"/>
  <c r="CM10" i="5"/>
  <c r="BP3" i="1"/>
  <c r="BP4" i="1"/>
  <c r="BP5" i="1"/>
  <c r="BP6" i="1"/>
  <c r="BP7" i="1"/>
  <c r="BP8" i="1"/>
  <c r="BP26" i="1"/>
  <c r="BP14" i="1"/>
  <c r="BP23" i="1"/>
  <c r="BP27" i="1"/>
  <c r="BP18" i="1"/>
  <c r="BP19" i="1"/>
  <c r="BP28" i="1"/>
  <c r="BP29" i="1"/>
  <c r="BP30" i="1"/>
  <c r="BP31" i="1"/>
  <c r="BP32" i="1"/>
  <c r="BP33" i="1"/>
  <c r="BP20" i="1"/>
  <c r="BP34" i="1"/>
  <c r="BP35" i="1"/>
  <c r="BP39" i="1"/>
  <c r="BP11" i="1"/>
  <c r="BP49" i="1"/>
  <c r="BP50" i="1"/>
  <c r="BP51" i="1"/>
  <c r="BP53" i="1"/>
  <c r="BP12" i="1"/>
  <c r="BP17" i="1"/>
  <c r="BP56" i="1"/>
  <c r="BP57" i="1"/>
  <c r="BP58" i="1"/>
  <c r="BP59" i="1"/>
  <c r="BP60" i="1"/>
  <c r="BP66" i="1"/>
  <c r="BP42" i="1"/>
  <c r="BP62" i="1"/>
  <c r="BP63" i="1"/>
  <c r="BP37" i="1"/>
  <c r="BP10" i="1"/>
  <c r="BP40" i="1"/>
  <c r="BP41" i="1"/>
  <c r="BP61" i="1"/>
  <c r="BP15" i="1"/>
  <c r="BP55" i="1"/>
  <c r="BP68" i="1"/>
  <c r="BP77" i="1"/>
  <c r="BP78" i="1"/>
  <c r="BP79" i="1"/>
  <c r="BP80" i="1"/>
  <c r="BP81" i="1"/>
  <c r="BP83" i="1"/>
  <c r="BP87" i="1"/>
  <c r="BP9" i="1"/>
  <c r="BP64" i="1"/>
  <c r="BP89" i="1"/>
  <c r="BP90" i="1"/>
  <c r="BP38" i="1"/>
  <c r="BP16" i="1"/>
  <c r="BP24" i="1"/>
  <c r="BP67" i="1"/>
  <c r="BP74" i="1"/>
  <c r="BP75" i="1"/>
  <c r="BP93" i="1"/>
  <c r="BP70" i="1"/>
  <c r="BP71" i="1"/>
  <c r="BP72" i="1"/>
  <c r="BP43" i="1"/>
  <c r="BP46" i="1"/>
  <c r="BP47" i="1"/>
  <c r="BP48" i="1"/>
  <c r="BP52" i="1"/>
  <c r="BP44" i="1"/>
  <c r="BP45" i="1"/>
  <c r="BP21" i="1"/>
  <c r="BP22" i="1"/>
  <c r="BP36" i="1"/>
  <c r="BP76" i="1"/>
  <c r="BP84" i="1"/>
  <c r="BP98" i="1"/>
  <c r="BP88" i="1"/>
  <c r="BP99" i="1"/>
  <c r="BP100" i="1"/>
  <c r="BP101" i="1"/>
  <c r="BP102" i="1"/>
  <c r="BP103" i="1"/>
  <c r="BP104" i="1"/>
  <c r="BP105" i="1"/>
  <c r="BP106" i="1"/>
  <c r="BP107" i="1"/>
  <c r="BP108" i="1"/>
  <c r="BP109" i="1"/>
  <c r="BP85" i="1"/>
  <c r="BP86" i="1"/>
  <c r="BP110" i="1"/>
  <c r="BP111" i="1"/>
  <c r="BP92" i="1"/>
  <c r="BP91" i="1"/>
  <c r="BP73" i="1"/>
  <c r="BP112" i="1"/>
  <c r="BP113" i="1"/>
  <c r="BP114" i="1"/>
  <c r="BP115" i="1"/>
  <c r="BP116" i="1"/>
  <c r="BP117" i="1"/>
  <c r="BP82" i="1"/>
  <c r="BP94" i="1"/>
  <c r="BP65" i="1"/>
  <c r="BP118" i="1"/>
  <c r="BP119" i="1"/>
  <c r="BP120" i="1"/>
  <c r="BP121" i="1"/>
  <c r="BP95" i="1"/>
  <c r="BP96" i="1"/>
  <c r="BP97" i="1"/>
  <c r="CJ11" i="5" l="1"/>
  <c r="CP11" i="5"/>
  <c r="CL11" i="5"/>
  <c r="CO11" i="5"/>
  <c r="CI11" i="5"/>
  <c r="CK11" i="5"/>
  <c r="CM11" i="5"/>
  <c r="CQ11" i="5"/>
  <c r="CG11" i="5"/>
  <c r="CH11" i="5"/>
  <c r="CN11" i="5"/>
  <c r="CR11" i="5"/>
  <c r="CS121" i="1"/>
  <c r="CS3" i="1" l="1"/>
  <c r="CS4" i="1"/>
  <c r="CS5" i="1"/>
  <c r="CS38" i="1"/>
  <c r="CS26" i="1"/>
  <c r="CS27" i="1"/>
  <c r="CS18" i="1"/>
  <c r="CS19" i="1"/>
  <c r="CS28" i="1"/>
  <c r="CS29" i="1"/>
  <c r="CS30" i="1"/>
  <c r="CS31" i="1"/>
  <c r="CS14" i="1"/>
  <c r="CS37" i="1"/>
  <c r="CS42" i="1"/>
  <c r="CS66" i="1"/>
  <c r="CS34" i="1"/>
  <c r="CS49" i="1"/>
  <c r="CS50" i="1"/>
  <c r="CS51" i="1"/>
  <c r="CS9" i="1"/>
  <c r="CS16" i="1"/>
  <c r="CS20" i="1"/>
  <c r="CS62" i="1"/>
  <c r="CS63" i="1"/>
  <c r="CS24" i="1"/>
  <c r="CS89" i="1"/>
  <c r="CS90" i="1"/>
  <c r="CS61" i="1"/>
  <c r="CS55" i="1"/>
  <c r="CS94" i="1"/>
  <c r="CS46" i="1"/>
  <c r="CS82" i="1"/>
  <c r="CS21" i="1"/>
  <c r="CS44" i="1"/>
  <c r="CS95" i="1"/>
  <c r="CS118" i="1"/>
  <c r="CS2" i="1"/>
  <c r="CS122" i="1" l="1"/>
  <c r="BP2" i="1" l="1"/>
  <c r="BM122" i="1" l="1"/>
  <c r="BM124" i="1" s="1"/>
  <c r="AM122" i="1"/>
  <c r="AM124" i="1" s="1"/>
  <c r="L122" i="1"/>
  <c r="L124" i="1" s="1"/>
  <c r="AY122" i="1"/>
  <c r="BK122" i="1"/>
  <c r="BK124" i="1" s="1"/>
  <c r="AJ122" i="1"/>
  <c r="AJ124" i="1" s="1"/>
  <c r="AW122" i="1"/>
  <c r="BH122" i="1"/>
  <c r="BH124" i="1" s="1"/>
  <c r="AU122" i="1"/>
  <c r="AH122" i="1"/>
  <c r="AH124" i="1" s="1"/>
  <c r="AL122" i="1"/>
  <c r="AL124" i="1" s="1"/>
  <c r="BD122" i="1"/>
  <c r="BD124" i="1" s="1"/>
  <c r="BA122" i="1"/>
  <c r="BL122" i="1"/>
  <c r="BL124" i="1" s="1"/>
  <c r="AZ122" i="1"/>
  <c r="J122" i="1"/>
  <c r="J124" i="1" s="1"/>
  <c r="H122" i="1"/>
  <c r="H124" i="1" s="1"/>
  <c r="G122" i="1"/>
  <c r="G124" i="1" s="1"/>
  <c r="BG122" i="1"/>
  <c r="BG124" i="1" s="1"/>
  <c r="AQ122" i="1"/>
  <c r="AE122" i="1"/>
  <c r="AE124" i="1" s="1"/>
  <c r="F122" i="1"/>
  <c r="F124" i="1" s="1"/>
  <c r="BB122" i="1"/>
  <c r="BJ122" i="1"/>
  <c r="BJ124" i="1" s="1"/>
  <c r="AX122" i="1"/>
  <c r="AI122" i="1"/>
  <c r="AI124" i="1" s="1"/>
  <c r="I122" i="1"/>
  <c r="I124" i="1" s="1"/>
  <c r="AG122" i="1"/>
  <c r="AG124" i="1" s="1"/>
  <c r="BE122" i="1"/>
  <c r="BE124" i="1" s="1"/>
  <c r="AF122" i="1"/>
  <c r="AF124" i="1" s="1"/>
  <c r="BF122" i="1"/>
  <c r="BF124" i="1" s="1"/>
  <c r="AS122" i="1"/>
  <c r="O122" i="1"/>
  <c r="O124" i="1" s="1"/>
  <c r="BO122" i="1"/>
  <c r="BO124" i="1" s="1"/>
  <c r="AR122" i="1"/>
  <c r="N122" i="1"/>
  <c r="N124" i="1" s="1"/>
  <c r="K122" i="1"/>
  <c r="K124" i="1" s="1"/>
  <c r="AK122" i="1"/>
  <c r="AK124" i="1" s="1"/>
  <c r="BI122" i="1"/>
  <c r="BI124" i="1" s="1"/>
  <c r="AT122" i="1"/>
  <c r="AV122" i="1"/>
  <c r="E122" i="1"/>
  <c r="E124" i="1" s="1"/>
  <c r="BN122" i="1"/>
  <c r="BN124" i="1" s="1"/>
  <c r="AN122" i="1"/>
  <c r="AN124" i="1" s="1"/>
  <c r="M122" i="1"/>
  <c r="M124" i="1" s="1"/>
  <c r="AP122" i="1"/>
  <c r="AP124" i="1" s="1"/>
  <c r="BC122" i="1"/>
  <c r="BC124" i="1" s="1"/>
  <c r="AO122" i="1"/>
  <c r="AO124" i="1" s="1"/>
  <c r="V122" i="1"/>
  <c r="V124" i="1" s="1"/>
  <c r="Y122" i="1"/>
  <c r="Y124" i="1" s="1"/>
  <c r="W122" i="1"/>
  <c r="W124" i="1" s="1"/>
  <c r="S122" i="1"/>
  <c r="S124" i="1" s="1"/>
  <c r="X122" i="1"/>
  <c r="X124" i="1" s="1"/>
  <c r="R122" i="1"/>
  <c r="R124" i="1" s="1"/>
  <c r="Z122" i="1"/>
  <c r="Z124" i="1" s="1"/>
  <c r="U122" i="1"/>
  <c r="U124" i="1" s="1"/>
  <c r="T122" i="1"/>
  <c r="T124" i="1" s="1"/>
  <c r="AC122" i="1"/>
  <c r="AC124" i="1" s="1"/>
  <c r="Q122" i="1"/>
  <c r="Q124" i="1" s="1"/>
  <c r="AB122" i="1"/>
  <c r="AB124" i="1" s="1"/>
  <c r="P122" i="1"/>
  <c r="P124" i="1" s="1"/>
  <c r="AA122" i="1"/>
  <c r="AA124" i="1" s="1"/>
  <c r="AD122" i="1"/>
  <c r="AD124" i="1" s="1"/>
  <c r="AR124" i="1" l="1"/>
  <c r="BU14" i="1"/>
  <c r="BU32" i="1"/>
  <c r="BU50" i="1"/>
  <c r="BU66" i="1"/>
  <c r="BU89" i="1"/>
  <c r="BU5" i="1"/>
  <c r="BU19" i="1"/>
  <c r="BU39" i="1"/>
  <c r="BU56" i="1"/>
  <c r="BU10" i="1"/>
  <c r="BU81" i="1"/>
  <c r="BU71" i="1"/>
  <c r="BU52" i="1"/>
  <c r="BU44" i="1"/>
  <c r="BU45" i="1"/>
  <c r="BU21" i="1"/>
  <c r="BU22" i="1"/>
  <c r="BU36" i="1"/>
  <c r="BU76" i="1"/>
  <c r="BU84" i="1"/>
  <c r="BU98" i="1"/>
  <c r="BU88" i="1"/>
  <c r="BU99" i="1"/>
  <c r="BU100" i="1"/>
  <c r="BU101" i="1"/>
  <c r="BU102" i="1"/>
  <c r="BU103" i="1"/>
  <c r="BU104" i="1"/>
  <c r="BU105" i="1"/>
  <c r="BU106" i="1"/>
  <c r="BU107" i="1"/>
  <c r="BU108" i="1"/>
  <c r="BU109" i="1"/>
  <c r="BU85" i="1"/>
  <c r="BU86" i="1"/>
  <c r="BU110" i="1"/>
  <c r="BU111" i="1"/>
  <c r="BU92" i="1"/>
  <c r="BU91" i="1"/>
  <c r="BU73" i="1"/>
  <c r="BU112" i="1"/>
  <c r="BU113" i="1"/>
  <c r="BU114" i="1"/>
  <c r="BU115" i="1"/>
  <c r="BU20" i="1"/>
  <c r="BU42" i="1"/>
  <c r="BU68" i="1"/>
  <c r="BU38" i="1"/>
  <c r="BU26" i="1"/>
  <c r="BU31" i="1"/>
  <c r="BU49" i="1"/>
  <c r="BU60" i="1"/>
  <c r="BU15" i="1"/>
  <c r="BU64" i="1"/>
  <c r="BU93" i="1"/>
  <c r="BU47" i="1"/>
  <c r="BU4" i="1"/>
  <c r="BU18" i="1"/>
  <c r="BU17" i="1"/>
  <c r="BU37" i="1"/>
  <c r="BU80" i="1"/>
  <c r="BU23" i="1"/>
  <c r="BU33" i="1"/>
  <c r="BU51" i="1"/>
  <c r="BU55" i="1"/>
  <c r="BU90" i="1"/>
  <c r="BU46" i="1"/>
  <c r="BU6" i="1"/>
  <c r="BU28" i="1"/>
  <c r="BU57" i="1"/>
  <c r="BU40" i="1"/>
  <c r="BU83" i="1"/>
  <c r="BU7" i="1"/>
  <c r="BU27" i="1"/>
  <c r="BU59" i="1"/>
  <c r="BU16" i="1"/>
  <c r="BU3" i="1"/>
  <c r="BU30" i="1"/>
  <c r="BU78" i="1"/>
  <c r="BU94" i="1"/>
  <c r="BU118" i="1"/>
  <c r="BU120" i="1"/>
  <c r="BU97" i="1"/>
  <c r="BU8" i="1"/>
  <c r="BU53" i="1"/>
  <c r="BU48" i="1"/>
  <c r="BU117" i="1"/>
  <c r="BU65" i="1"/>
  <c r="BU119" i="1"/>
  <c r="BU96" i="1"/>
  <c r="BU34" i="1"/>
  <c r="BU24" i="1"/>
  <c r="BU70" i="1"/>
  <c r="BU43" i="1"/>
  <c r="BU95" i="1"/>
  <c r="BU75" i="1"/>
  <c r="BU82" i="1"/>
  <c r="BU121" i="1"/>
  <c r="BU62" i="1"/>
  <c r="BU116" i="1"/>
  <c r="BU87" i="1"/>
  <c r="BU67" i="1"/>
  <c r="BU35" i="1"/>
  <c r="BU41" i="1"/>
  <c r="BU79" i="1"/>
  <c r="BU58" i="1"/>
  <c r="BU63" i="1"/>
  <c r="BU12" i="1"/>
  <c r="BU9" i="1"/>
  <c r="BU29" i="1"/>
  <c r="BU61" i="1"/>
  <c r="BU74" i="1"/>
  <c r="BU72" i="1"/>
  <c r="BU11" i="1"/>
  <c r="BU77" i="1"/>
  <c r="BU2" i="1"/>
  <c r="AU124" i="1"/>
  <c r="BX3" i="1"/>
  <c r="BX4" i="1"/>
  <c r="BX5" i="1"/>
  <c r="BX6" i="1"/>
  <c r="BX7" i="1"/>
  <c r="BX8" i="1"/>
  <c r="BX26" i="1"/>
  <c r="BX14" i="1"/>
  <c r="BX23" i="1"/>
  <c r="BX27" i="1"/>
  <c r="BX18" i="1"/>
  <c r="BX19" i="1"/>
  <c r="BX28" i="1"/>
  <c r="BX29" i="1"/>
  <c r="BX30" i="1"/>
  <c r="BX31" i="1"/>
  <c r="BX32" i="1"/>
  <c r="BX33" i="1"/>
  <c r="BX20" i="1"/>
  <c r="BX34" i="1"/>
  <c r="BX35" i="1"/>
  <c r="BX39" i="1"/>
  <c r="BX11" i="1"/>
  <c r="BX49" i="1"/>
  <c r="BX50" i="1"/>
  <c r="BX51" i="1"/>
  <c r="BX53" i="1"/>
  <c r="BX12" i="1"/>
  <c r="BX17" i="1"/>
  <c r="BX56" i="1"/>
  <c r="BX57" i="1"/>
  <c r="BX58" i="1"/>
  <c r="BX59" i="1"/>
  <c r="BX60" i="1"/>
  <c r="BX66" i="1"/>
  <c r="BX42" i="1"/>
  <c r="BX62" i="1"/>
  <c r="BX63" i="1"/>
  <c r="BX37" i="1"/>
  <c r="BX10" i="1"/>
  <c r="BX40" i="1"/>
  <c r="BX41" i="1"/>
  <c r="BX61" i="1"/>
  <c r="BX15" i="1"/>
  <c r="BX55" i="1"/>
  <c r="BX68" i="1"/>
  <c r="BX77" i="1"/>
  <c r="BX78" i="1"/>
  <c r="BX79" i="1"/>
  <c r="BX80" i="1"/>
  <c r="BX81" i="1"/>
  <c r="BX83" i="1"/>
  <c r="BX87" i="1"/>
  <c r="BX9" i="1"/>
  <c r="BX64" i="1"/>
  <c r="BX89" i="1"/>
  <c r="BX90" i="1"/>
  <c r="BX38" i="1"/>
  <c r="BX16" i="1"/>
  <c r="BX24" i="1"/>
  <c r="BX67" i="1"/>
  <c r="BX75" i="1"/>
  <c r="BX72" i="1"/>
  <c r="BX74" i="1"/>
  <c r="BX70" i="1"/>
  <c r="BX48" i="1"/>
  <c r="BX93" i="1"/>
  <c r="BX47" i="1"/>
  <c r="BX36" i="1"/>
  <c r="BX106" i="1"/>
  <c r="BX108" i="1"/>
  <c r="BX21" i="1"/>
  <c r="BX104" i="1"/>
  <c r="BX85" i="1"/>
  <c r="BX111" i="1"/>
  <c r="BX114" i="1"/>
  <c r="BX98" i="1"/>
  <c r="BX73" i="1"/>
  <c r="BX76" i="1"/>
  <c r="BX107" i="1"/>
  <c r="BX44" i="1"/>
  <c r="BX102" i="1"/>
  <c r="BX43" i="1"/>
  <c r="BX100" i="1"/>
  <c r="BX22" i="1"/>
  <c r="BX105" i="1"/>
  <c r="BX109" i="1"/>
  <c r="BX110" i="1"/>
  <c r="BX88" i="1"/>
  <c r="BX117" i="1"/>
  <c r="BX82" i="1"/>
  <c r="BX94" i="1"/>
  <c r="BX65" i="1"/>
  <c r="BX118" i="1"/>
  <c r="BX119" i="1"/>
  <c r="BX120" i="1"/>
  <c r="BX121" i="1"/>
  <c r="BX95" i="1"/>
  <c r="BX96" i="1"/>
  <c r="BX97" i="1"/>
  <c r="BX112" i="1"/>
  <c r="BX71" i="1"/>
  <c r="BX46" i="1"/>
  <c r="BX45" i="1"/>
  <c r="BX103" i="1"/>
  <c r="BX116" i="1"/>
  <c r="BX101" i="1"/>
  <c r="BX86" i="1"/>
  <c r="BX115" i="1"/>
  <c r="BX84" i="1"/>
  <c r="BX52" i="1"/>
  <c r="BX92" i="1"/>
  <c r="BX99" i="1"/>
  <c r="BX91" i="1"/>
  <c r="BX113" i="1"/>
  <c r="BX2" i="1"/>
  <c r="BB124" i="1"/>
  <c r="CE23" i="1"/>
  <c r="CE33" i="1"/>
  <c r="CE51" i="1"/>
  <c r="CE55" i="1"/>
  <c r="CE90" i="1"/>
  <c r="CE6" i="1"/>
  <c r="CE28" i="1"/>
  <c r="CE57" i="1"/>
  <c r="CE40" i="1"/>
  <c r="CE83" i="1"/>
  <c r="CE93" i="1"/>
  <c r="CE47" i="1"/>
  <c r="CE34" i="1"/>
  <c r="CE53" i="1"/>
  <c r="CE77" i="1"/>
  <c r="CE16" i="1"/>
  <c r="CE14" i="1"/>
  <c r="CE32" i="1"/>
  <c r="CE50" i="1"/>
  <c r="CE66" i="1"/>
  <c r="CE89" i="1"/>
  <c r="CE67" i="1"/>
  <c r="CE75" i="1"/>
  <c r="CE43" i="1"/>
  <c r="CE5" i="1"/>
  <c r="CE19" i="1"/>
  <c r="CE39" i="1"/>
  <c r="CE56" i="1"/>
  <c r="CE10" i="1"/>
  <c r="CE81" i="1"/>
  <c r="CE20" i="1"/>
  <c r="CE42" i="1"/>
  <c r="CE68" i="1"/>
  <c r="CE38" i="1"/>
  <c r="CE72" i="1"/>
  <c r="CE7" i="1"/>
  <c r="CE29" i="1"/>
  <c r="CE58" i="1"/>
  <c r="CE41" i="1"/>
  <c r="CE87" i="1"/>
  <c r="CE12" i="1"/>
  <c r="CE9" i="1"/>
  <c r="CE46" i="1"/>
  <c r="CE45" i="1"/>
  <c r="CE109" i="1"/>
  <c r="CE110" i="1"/>
  <c r="CE27" i="1"/>
  <c r="CE59" i="1"/>
  <c r="CE37" i="1"/>
  <c r="CE52" i="1"/>
  <c r="CE101" i="1"/>
  <c r="CE106" i="1"/>
  <c r="CE116" i="1"/>
  <c r="CE117" i="1"/>
  <c r="CE82" i="1"/>
  <c r="CE65" i="1"/>
  <c r="CE118" i="1"/>
  <c r="CE120" i="1"/>
  <c r="CE121" i="1"/>
  <c r="CE96" i="1"/>
  <c r="CE97" i="1"/>
  <c r="CE24" i="1"/>
  <c r="CE21" i="1"/>
  <c r="CE104" i="1"/>
  <c r="CE108" i="1"/>
  <c r="CE115" i="1"/>
  <c r="CE3" i="1"/>
  <c r="CE11" i="1"/>
  <c r="CE17" i="1"/>
  <c r="CE64" i="1"/>
  <c r="CE74" i="1"/>
  <c r="CE36" i="1"/>
  <c r="CE94" i="1"/>
  <c r="CE119" i="1"/>
  <c r="CE95" i="1"/>
  <c r="CE18" i="1"/>
  <c r="CE30" i="1"/>
  <c r="CE15" i="1"/>
  <c r="CE99" i="1"/>
  <c r="CE86" i="1"/>
  <c r="CE92" i="1"/>
  <c r="CE112" i="1"/>
  <c r="CE8" i="1"/>
  <c r="CE60" i="1"/>
  <c r="CE4" i="1"/>
  <c r="CE49" i="1"/>
  <c r="CE78" i="1"/>
  <c r="CE98" i="1"/>
  <c r="CE31" i="1"/>
  <c r="CE62" i="1"/>
  <c r="CE26" i="1"/>
  <c r="CE70" i="1"/>
  <c r="CE76" i="1"/>
  <c r="CE85" i="1"/>
  <c r="CE111" i="1"/>
  <c r="CE73" i="1"/>
  <c r="CE114" i="1"/>
  <c r="CE71" i="1"/>
  <c r="CE88" i="1"/>
  <c r="CE91" i="1"/>
  <c r="CE35" i="1"/>
  <c r="CE48" i="1"/>
  <c r="CE100" i="1"/>
  <c r="CE103" i="1"/>
  <c r="CE79" i="1"/>
  <c r="CE22" i="1"/>
  <c r="CE105" i="1"/>
  <c r="CE107" i="1"/>
  <c r="CE63" i="1"/>
  <c r="CE113" i="1"/>
  <c r="CE80" i="1"/>
  <c r="CE102" i="1"/>
  <c r="CE84" i="1"/>
  <c r="CE44" i="1"/>
  <c r="CE61" i="1"/>
  <c r="CE2" i="1"/>
  <c r="AS124" i="1"/>
  <c r="BV3" i="1"/>
  <c r="BV27" i="1"/>
  <c r="BV12" i="1"/>
  <c r="BV63" i="1"/>
  <c r="BV79" i="1"/>
  <c r="BV67" i="1"/>
  <c r="BV75" i="1"/>
  <c r="BV72" i="1"/>
  <c r="BV14" i="1"/>
  <c r="BV32" i="1"/>
  <c r="BV50" i="1"/>
  <c r="BV66" i="1"/>
  <c r="BV89" i="1"/>
  <c r="BV5" i="1"/>
  <c r="BV19" i="1"/>
  <c r="BV39" i="1"/>
  <c r="BV56" i="1"/>
  <c r="BV10" i="1"/>
  <c r="BV81" i="1"/>
  <c r="BV71" i="1"/>
  <c r="BV52" i="1"/>
  <c r="BV44" i="1"/>
  <c r="BV45" i="1"/>
  <c r="BV21" i="1"/>
  <c r="BV22" i="1"/>
  <c r="BV36" i="1"/>
  <c r="BV76" i="1"/>
  <c r="BV84" i="1"/>
  <c r="BV98" i="1"/>
  <c r="BV88" i="1"/>
  <c r="BV99" i="1"/>
  <c r="BV100" i="1"/>
  <c r="BV101" i="1"/>
  <c r="BV102" i="1"/>
  <c r="BV103" i="1"/>
  <c r="BV104" i="1"/>
  <c r="BV105" i="1"/>
  <c r="BV106" i="1"/>
  <c r="BV107" i="1"/>
  <c r="BV108" i="1"/>
  <c r="BV109" i="1"/>
  <c r="BV35" i="1"/>
  <c r="BV62" i="1"/>
  <c r="BV78" i="1"/>
  <c r="BV24" i="1"/>
  <c r="BV26" i="1"/>
  <c r="BV31" i="1"/>
  <c r="BV49" i="1"/>
  <c r="BV60" i="1"/>
  <c r="BV15" i="1"/>
  <c r="BV64" i="1"/>
  <c r="BV93" i="1"/>
  <c r="BV47" i="1"/>
  <c r="BV4" i="1"/>
  <c r="BV18" i="1"/>
  <c r="BV17" i="1"/>
  <c r="BV37" i="1"/>
  <c r="BV80" i="1"/>
  <c r="BV23" i="1"/>
  <c r="BV33" i="1"/>
  <c r="BV51" i="1"/>
  <c r="BV55" i="1"/>
  <c r="BV90" i="1"/>
  <c r="BV46" i="1"/>
  <c r="BV29" i="1"/>
  <c r="BV42" i="1"/>
  <c r="BV61" i="1"/>
  <c r="BV20" i="1"/>
  <c r="BV11" i="1"/>
  <c r="BV77" i="1"/>
  <c r="BV74" i="1"/>
  <c r="BV70" i="1"/>
  <c r="BV43" i="1"/>
  <c r="BV110" i="1"/>
  <c r="BV113" i="1"/>
  <c r="BV30" i="1"/>
  <c r="BV91" i="1"/>
  <c r="BV8" i="1"/>
  <c r="BV53" i="1"/>
  <c r="BV83" i="1"/>
  <c r="BV34" i="1"/>
  <c r="BV40" i="1"/>
  <c r="BV57" i="1"/>
  <c r="BV48" i="1"/>
  <c r="BV117" i="1"/>
  <c r="BV82" i="1"/>
  <c r="BV94" i="1"/>
  <c r="BV65" i="1"/>
  <c r="BV118" i="1"/>
  <c r="BV119" i="1"/>
  <c r="BV120" i="1"/>
  <c r="BV121" i="1"/>
  <c r="BV95" i="1"/>
  <c r="BV96" i="1"/>
  <c r="BV97" i="1"/>
  <c r="BV28" i="1"/>
  <c r="BV87" i="1"/>
  <c r="BV68" i="1"/>
  <c r="BV6" i="1"/>
  <c r="BV41" i="1"/>
  <c r="BV86" i="1"/>
  <c r="BV92" i="1"/>
  <c r="BV112" i="1"/>
  <c r="BV115" i="1"/>
  <c r="BV58" i="1"/>
  <c r="BV38" i="1"/>
  <c r="BV9" i="1"/>
  <c r="BV7" i="1"/>
  <c r="BV59" i="1"/>
  <c r="BV16" i="1"/>
  <c r="BV73" i="1"/>
  <c r="BV114" i="1"/>
  <c r="BV85" i="1"/>
  <c r="BV116" i="1"/>
  <c r="BV111" i="1"/>
  <c r="BV2" i="1"/>
  <c r="AW124" i="1"/>
  <c r="BZ34" i="1"/>
  <c r="BZ53" i="1"/>
  <c r="BZ77" i="1"/>
  <c r="BZ16" i="1"/>
  <c r="BZ8" i="1"/>
  <c r="BZ30" i="1"/>
  <c r="BZ11" i="1"/>
  <c r="BZ59" i="1"/>
  <c r="BZ61" i="1"/>
  <c r="BZ9" i="1"/>
  <c r="BZ43" i="1"/>
  <c r="BZ3" i="1"/>
  <c r="BZ27" i="1"/>
  <c r="BZ12" i="1"/>
  <c r="BZ63" i="1"/>
  <c r="BZ79" i="1"/>
  <c r="BZ20" i="1"/>
  <c r="BZ42" i="1"/>
  <c r="BZ68" i="1"/>
  <c r="BZ38" i="1"/>
  <c r="BZ71" i="1"/>
  <c r="BZ7" i="1"/>
  <c r="BZ29" i="1"/>
  <c r="BZ58" i="1"/>
  <c r="BZ41" i="1"/>
  <c r="BZ87" i="1"/>
  <c r="BZ52" i="1"/>
  <c r="BZ44" i="1"/>
  <c r="BZ45" i="1"/>
  <c r="BZ21" i="1"/>
  <c r="BZ22" i="1"/>
  <c r="BZ36" i="1"/>
  <c r="BZ76" i="1"/>
  <c r="BZ84" i="1"/>
  <c r="BZ98" i="1"/>
  <c r="BZ88" i="1"/>
  <c r="BZ99" i="1"/>
  <c r="BZ100" i="1"/>
  <c r="BZ101" i="1"/>
  <c r="BZ102" i="1"/>
  <c r="BZ103" i="1"/>
  <c r="BZ104" i="1"/>
  <c r="BZ105" i="1"/>
  <c r="BZ106" i="1"/>
  <c r="BZ107" i="1"/>
  <c r="BZ108" i="1"/>
  <c r="BZ109" i="1"/>
  <c r="BZ85" i="1"/>
  <c r="BZ86" i="1"/>
  <c r="BZ110" i="1"/>
  <c r="BZ111" i="1"/>
  <c r="BZ92" i="1"/>
  <c r="BZ91" i="1"/>
  <c r="BZ73" i="1"/>
  <c r="BZ112" i="1"/>
  <c r="BZ113" i="1"/>
  <c r="BZ114" i="1"/>
  <c r="BZ35" i="1"/>
  <c r="BZ62" i="1"/>
  <c r="BZ78" i="1"/>
  <c r="BZ24" i="1"/>
  <c r="BZ74" i="1"/>
  <c r="BZ70" i="1"/>
  <c r="BZ48" i="1"/>
  <c r="BZ26" i="1"/>
  <c r="BZ31" i="1"/>
  <c r="BZ49" i="1"/>
  <c r="BZ60" i="1"/>
  <c r="BZ15" i="1"/>
  <c r="BZ64" i="1"/>
  <c r="BZ33" i="1"/>
  <c r="BZ37" i="1"/>
  <c r="BZ72" i="1"/>
  <c r="BZ47" i="1"/>
  <c r="BZ18" i="1"/>
  <c r="BZ81" i="1"/>
  <c r="BZ89" i="1"/>
  <c r="BZ4" i="1"/>
  <c r="BZ10" i="1"/>
  <c r="BZ56" i="1"/>
  <c r="BZ39" i="1"/>
  <c r="BZ83" i="1"/>
  <c r="BZ75" i="1"/>
  <c r="BZ19" i="1"/>
  <c r="BZ66" i="1"/>
  <c r="BZ40" i="1"/>
  <c r="BZ5" i="1"/>
  <c r="BZ50" i="1"/>
  <c r="BZ57" i="1"/>
  <c r="BZ90" i="1"/>
  <c r="BZ67" i="1"/>
  <c r="BZ32" i="1"/>
  <c r="BZ55" i="1"/>
  <c r="BZ80" i="1"/>
  <c r="BZ46" i="1"/>
  <c r="BZ115" i="1"/>
  <c r="BZ14" i="1"/>
  <c r="BZ28" i="1"/>
  <c r="BZ116" i="1"/>
  <c r="BZ117" i="1"/>
  <c r="BZ82" i="1"/>
  <c r="BZ94" i="1"/>
  <c r="BZ65" i="1"/>
  <c r="BZ118" i="1"/>
  <c r="BZ119" i="1"/>
  <c r="BZ120" i="1"/>
  <c r="BZ121" i="1"/>
  <c r="BZ95" i="1"/>
  <c r="BZ96" i="1"/>
  <c r="BZ97" i="1"/>
  <c r="BZ6" i="1"/>
  <c r="BZ51" i="1"/>
  <c r="BZ23" i="1"/>
  <c r="BZ93" i="1"/>
  <c r="BZ17" i="1"/>
  <c r="BZ2" i="1"/>
  <c r="AT124" i="1"/>
  <c r="BW3" i="1"/>
  <c r="BW4" i="1"/>
  <c r="BW5" i="1"/>
  <c r="BW6" i="1"/>
  <c r="BW7" i="1"/>
  <c r="BW8" i="1"/>
  <c r="BW26" i="1"/>
  <c r="BW14" i="1"/>
  <c r="BW23" i="1"/>
  <c r="BW27" i="1"/>
  <c r="BW18" i="1"/>
  <c r="BW19" i="1"/>
  <c r="BW28" i="1"/>
  <c r="BW29" i="1"/>
  <c r="BW30" i="1"/>
  <c r="BW31" i="1"/>
  <c r="BW32" i="1"/>
  <c r="BW33" i="1"/>
  <c r="BW20" i="1"/>
  <c r="BW34" i="1"/>
  <c r="BW35" i="1"/>
  <c r="BW39" i="1"/>
  <c r="BW11" i="1"/>
  <c r="BW49" i="1"/>
  <c r="BW50" i="1"/>
  <c r="BW51" i="1"/>
  <c r="BW53" i="1"/>
  <c r="BW12" i="1"/>
  <c r="BW17" i="1"/>
  <c r="BW56" i="1"/>
  <c r="BW57" i="1"/>
  <c r="BW58" i="1"/>
  <c r="BW59" i="1"/>
  <c r="BW60" i="1"/>
  <c r="BW66" i="1"/>
  <c r="BW42" i="1"/>
  <c r="BW62" i="1"/>
  <c r="BW63" i="1"/>
  <c r="BW37" i="1"/>
  <c r="BW10" i="1"/>
  <c r="BW40" i="1"/>
  <c r="BW41" i="1"/>
  <c r="BW61" i="1"/>
  <c r="BW15" i="1"/>
  <c r="BW55" i="1"/>
  <c r="BW68" i="1"/>
  <c r="BW77" i="1"/>
  <c r="BW78" i="1"/>
  <c r="BW79" i="1"/>
  <c r="BW80" i="1"/>
  <c r="BW81" i="1"/>
  <c r="BW83" i="1"/>
  <c r="BW87" i="1"/>
  <c r="BW9" i="1"/>
  <c r="BW64" i="1"/>
  <c r="BW89" i="1"/>
  <c r="BW90" i="1"/>
  <c r="BW38" i="1"/>
  <c r="BW16" i="1"/>
  <c r="BW24" i="1"/>
  <c r="BW67" i="1"/>
  <c r="BW74" i="1"/>
  <c r="BW75" i="1"/>
  <c r="BW93" i="1"/>
  <c r="BW70" i="1"/>
  <c r="BW71" i="1"/>
  <c r="BW72" i="1"/>
  <c r="BW43" i="1"/>
  <c r="BW46" i="1"/>
  <c r="BW47" i="1"/>
  <c r="BW48" i="1"/>
  <c r="BW99" i="1"/>
  <c r="BW98" i="1"/>
  <c r="BW85" i="1"/>
  <c r="BW111" i="1"/>
  <c r="BW73" i="1"/>
  <c r="BW114" i="1"/>
  <c r="BW102" i="1"/>
  <c r="BW44" i="1"/>
  <c r="BW100" i="1"/>
  <c r="BW76" i="1"/>
  <c r="BW107" i="1"/>
  <c r="BW22" i="1"/>
  <c r="BW105" i="1"/>
  <c r="BW109" i="1"/>
  <c r="BW110" i="1"/>
  <c r="BW91" i="1"/>
  <c r="BW113" i="1"/>
  <c r="BW88" i="1"/>
  <c r="BW45" i="1"/>
  <c r="BW103" i="1"/>
  <c r="BW116" i="1"/>
  <c r="BW84" i="1"/>
  <c r="BW36" i="1"/>
  <c r="BW106" i="1"/>
  <c r="BW52" i="1"/>
  <c r="BW101" i="1"/>
  <c r="BW86" i="1"/>
  <c r="BW92" i="1"/>
  <c r="BW112" i="1"/>
  <c r="BW115" i="1"/>
  <c r="BW108" i="1"/>
  <c r="BW97" i="1"/>
  <c r="BW117" i="1"/>
  <c r="BW82" i="1"/>
  <c r="BW121" i="1"/>
  <c r="BW118" i="1"/>
  <c r="BW94" i="1"/>
  <c r="BW95" i="1"/>
  <c r="BW104" i="1"/>
  <c r="BW65" i="1"/>
  <c r="BW96" i="1"/>
  <c r="BW119" i="1"/>
  <c r="BW120" i="1"/>
  <c r="BW21" i="1"/>
  <c r="BW2" i="1"/>
  <c r="AY124" i="1"/>
  <c r="CB3" i="1"/>
  <c r="CB4" i="1"/>
  <c r="CB5" i="1"/>
  <c r="CB6" i="1"/>
  <c r="CB7" i="1"/>
  <c r="CB8" i="1"/>
  <c r="CB26" i="1"/>
  <c r="CB14" i="1"/>
  <c r="CB23" i="1"/>
  <c r="CB27" i="1"/>
  <c r="CB18" i="1"/>
  <c r="CB19" i="1"/>
  <c r="CB28" i="1"/>
  <c r="CB29" i="1"/>
  <c r="CB30" i="1"/>
  <c r="CB31" i="1"/>
  <c r="CB32" i="1"/>
  <c r="CB33" i="1"/>
  <c r="CB20" i="1"/>
  <c r="CB34" i="1"/>
  <c r="CB35" i="1"/>
  <c r="CB39" i="1"/>
  <c r="CB11" i="1"/>
  <c r="CB49" i="1"/>
  <c r="CB50" i="1"/>
  <c r="CB51" i="1"/>
  <c r="CB53" i="1"/>
  <c r="CB12" i="1"/>
  <c r="CB17" i="1"/>
  <c r="CB56" i="1"/>
  <c r="CB57" i="1"/>
  <c r="CB58" i="1"/>
  <c r="CB59" i="1"/>
  <c r="CB60" i="1"/>
  <c r="CB66" i="1"/>
  <c r="CB42" i="1"/>
  <c r="CB62" i="1"/>
  <c r="CB63" i="1"/>
  <c r="CB37" i="1"/>
  <c r="CB10" i="1"/>
  <c r="CB40" i="1"/>
  <c r="CB41" i="1"/>
  <c r="CB61" i="1"/>
  <c r="CB15" i="1"/>
  <c r="CB55" i="1"/>
  <c r="CB68" i="1"/>
  <c r="CB77" i="1"/>
  <c r="CB78" i="1"/>
  <c r="CB79" i="1"/>
  <c r="CB80" i="1"/>
  <c r="CB81" i="1"/>
  <c r="CB83" i="1"/>
  <c r="CB87" i="1"/>
  <c r="CB9" i="1"/>
  <c r="CB64" i="1"/>
  <c r="CB89" i="1"/>
  <c r="CB90" i="1"/>
  <c r="CB38" i="1"/>
  <c r="CB16" i="1"/>
  <c r="CB24" i="1"/>
  <c r="CB67" i="1"/>
  <c r="CB74" i="1"/>
  <c r="CB75" i="1"/>
  <c r="CB93" i="1"/>
  <c r="CB70" i="1"/>
  <c r="CB71" i="1"/>
  <c r="CB72" i="1"/>
  <c r="CB43" i="1"/>
  <c r="CB46" i="1"/>
  <c r="CB47" i="1"/>
  <c r="CB48" i="1"/>
  <c r="CB52" i="1"/>
  <c r="CB44" i="1"/>
  <c r="CB45" i="1"/>
  <c r="CB21" i="1"/>
  <c r="CB22" i="1"/>
  <c r="CB36" i="1"/>
  <c r="CB76" i="1"/>
  <c r="CB84" i="1"/>
  <c r="CB98" i="1"/>
  <c r="CB88" i="1"/>
  <c r="CB99" i="1"/>
  <c r="CB100" i="1"/>
  <c r="CB101" i="1"/>
  <c r="CB102" i="1"/>
  <c r="CB103" i="1"/>
  <c r="CB104" i="1"/>
  <c r="CB105" i="1"/>
  <c r="CB106" i="1"/>
  <c r="CB116" i="1"/>
  <c r="CB118" i="1"/>
  <c r="CB95" i="1"/>
  <c r="CB108" i="1"/>
  <c r="CB115" i="1"/>
  <c r="CB85" i="1"/>
  <c r="CB114" i="1"/>
  <c r="CB111" i="1"/>
  <c r="CB73" i="1"/>
  <c r="CB117" i="1"/>
  <c r="CB94" i="1"/>
  <c r="CB119" i="1"/>
  <c r="CB96" i="1"/>
  <c r="CB109" i="1"/>
  <c r="CB110" i="1"/>
  <c r="CB91" i="1"/>
  <c r="CB113" i="1"/>
  <c r="CB82" i="1"/>
  <c r="CB120" i="1"/>
  <c r="CB97" i="1"/>
  <c r="CB65" i="1"/>
  <c r="CB121" i="1"/>
  <c r="CB92" i="1"/>
  <c r="CB112" i="1"/>
  <c r="CB107" i="1"/>
  <c r="CB86" i="1"/>
  <c r="CB2" i="1"/>
  <c r="AZ124" i="1"/>
  <c r="CC3" i="1"/>
  <c r="CC4" i="1"/>
  <c r="CC5" i="1"/>
  <c r="CC6" i="1"/>
  <c r="CC7" i="1"/>
  <c r="CC8" i="1"/>
  <c r="CC26" i="1"/>
  <c r="CC14" i="1"/>
  <c r="CC23" i="1"/>
  <c r="CC27" i="1"/>
  <c r="CC18" i="1"/>
  <c r="CC19" i="1"/>
  <c r="CC28" i="1"/>
  <c r="CC29" i="1"/>
  <c r="CC30" i="1"/>
  <c r="CC31" i="1"/>
  <c r="CC32" i="1"/>
  <c r="CC33" i="1"/>
  <c r="CC20" i="1"/>
  <c r="CC34" i="1"/>
  <c r="CC35" i="1"/>
  <c r="CC39" i="1"/>
  <c r="CC11" i="1"/>
  <c r="CC49" i="1"/>
  <c r="CC50" i="1"/>
  <c r="CC51" i="1"/>
  <c r="CC53" i="1"/>
  <c r="CC12" i="1"/>
  <c r="CC17" i="1"/>
  <c r="CC56" i="1"/>
  <c r="CC57" i="1"/>
  <c r="CC58" i="1"/>
  <c r="CC59" i="1"/>
  <c r="CC60" i="1"/>
  <c r="CC66" i="1"/>
  <c r="CC42" i="1"/>
  <c r="CC62" i="1"/>
  <c r="CC63" i="1"/>
  <c r="CC37" i="1"/>
  <c r="CC10" i="1"/>
  <c r="CC40" i="1"/>
  <c r="CC41" i="1"/>
  <c r="CC61" i="1"/>
  <c r="CC15" i="1"/>
  <c r="CC55" i="1"/>
  <c r="CC68" i="1"/>
  <c r="CC77" i="1"/>
  <c r="CC78" i="1"/>
  <c r="CC79" i="1"/>
  <c r="CC80" i="1"/>
  <c r="CC81" i="1"/>
  <c r="CC83" i="1"/>
  <c r="CC87" i="1"/>
  <c r="CC9" i="1"/>
  <c r="CC64" i="1"/>
  <c r="CC89" i="1"/>
  <c r="CC90" i="1"/>
  <c r="CC38" i="1"/>
  <c r="CC16" i="1"/>
  <c r="CC24" i="1"/>
  <c r="CC67" i="1"/>
  <c r="CC74" i="1"/>
  <c r="CC75" i="1"/>
  <c r="CC46" i="1"/>
  <c r="CC72" i="1"/>
  <c r="CC71" i="1"/>
  <c r="CC52" i="1"/>
  <c r="CC99" i="1"/>
  <c r="CC86" i="1"/>
  <c r="CC92" i="1"/>
  <c r="CC112" i="1"/>
  <c r="CC93" i="1"/>
  <c r="CC21" i="1"/>
  <c r="CC104" i="1"/>
  <c r="CC108" i="1"/>
  <c r="CC115" i="1"/>
  <c r="CC47" i="1"/>
  <c r="CC98" i="1"/>
  <c r="CC44" i="1"/>
  <c r="CC102" i="1"/>
  <c r="CC70" i="1"/>
  <c r="CC76" i="1"/>
  <c r="CC85" i="1"/>
  <c r="CC111" i="1"/>
  <c r="CC73" i="1"/>
  <c r="CC114" i="1"/>
  <c r="CC43" i="1"/>
  <c r="CC48" i="1"/>
  <c r="CC22" i="1"/>
  <c r="CC105" i="1"/>
  <c r="CC107" i="1"/>
  <c r="CC88" i="1"/>
  <c r="CC45" i="1"/>
  <c r="CC103" i="1"/>
  <c r="CC109" i="1"/>
  <c r="CC110" i="1"/>
  <c r="CC91" i="1"/>
  <c r="CC113" i="1"/>
  <c r="CC84" i="1"/>
  <c r="CC101" i="1"/>
  <c r="CC117" i="1"/>
  <c r="CC120" i="1"/>
  <c r="CC100" i="1"/>
  <c r="CC82" i="1"/>
  <c r="CC121" i="1"/>
  <c r="CC94" i="1"/>
  <c r="CC106" i="1"/>
  <c r="CC65" i="1"/>
  <c r="CC95" i="1"/>
  <c r="CC96" i="1"/>
  <c r="CC118" i="1"/>
  <c r="CC97" i="1"/>
  <c r="CC36" i="1"/>
  <c r="CC116" i="1"/>
  <c r="CC119" i="1"/>
  <c r="CC2" i="1"/>
  <c r="AV124" i="1"/>
  <c r="BY8" i="1"/>
  <c r="BY30" i="1"/>
  <c r="BY11" i="1"/>
  <c r="BY59" i="1"/>
  <c r="BY61" i="1"/>
  <c r="BY9" i="1"/>
  <c r="BY43" i="1"/>
  <c r="BY3" i="1"/>
  <c r="BY27" i="1"/>
  <c r="BY12" i="1"/>
  <c r="BY63" i="1"/>
  <c r="BY79" i="1"/>
  <c r="BY14" i="1"/>
  <c r="BY32" i="1"/>
  <c r="BY50" i="1"/>
  <c r="BY66" i="1"/>
  <c r="BY89" i="1"/>
  <c r="BY67" i="1"/>
  <c r="BY75" i="1"/>
  <c r="BY72" i="1"/>
  <c r="BY7" i="1"/>
  <c r="BY29" i="1"/>
  <c r="BY58" i="1"/>
  <c r="BY41" i="1"/>
  <c r="BY87" i="1"/>
  <c r="BY52" i="1"/>
  <c r="BY44" i="1"/>
  <c r="BY45" i="1"/>
  <c r="BY21" i="1"/>
  <c r="BY22" i="1"/>
  <c r="BY36" i="1"/>
  <c r="BY76" i="1"/>
  <c r="BY84" i="1"/>
  <c r="BY98" i="1"/>
  <c r="BY88" i="1"/>
  <c r="BY99" i="1"/>
  <c r="BY100" i="1"/>
  <c r="BY101" i="1"/>
  <c r="BY102" i="1"/>
  <c r="BY103" i="1"/>
  <c r="BY104" i="1"/>
  <c r="BY105" i="1"/>
  <c r="BY106" i="1"/>
  <c r="BY107" i="1"/>
  <c r="BY108" i="1"/>
  <c r="BY109" i="1"/>
  <c r="BY85" i="1"/>
  <c r="BY86" i="1"/>
  <c r="BY110" i="1"/>
  <c r="BY111" i="1"/>
  <c r="BY92" i="1"/>
  <c r="BY91" i="1"/>
  <c r="BY73" i="1"/>
  <c r="BY112" i="1"/>
  <c r="BY113" i="1"/>
  <c r="BY114" i="1"/>
  <c r="BY115" i="1"/>
  <c r="BY116" i="1"/>
  <c r="BY35" i="1"/>
  <c r="BY62" i="1"/>
  <c r="BY78" i="1"/>
  <c r="BY24" i="1"/>
  <c r="BY74" i="1"/>
  <c r="BY70" i="1"/>
  <c r="BY48" i="1"/>
  <c r="BY26" i="1"/>
  <c r="BY31" i="1"/>
  <c r="BY49" i="1"/>
  <c r="BY60" i="1"/>
  <c r="BY15" i="1"/>
  <c r="BY64" i="1"/>
  <c r="BY4" i="1"/>
  <c r="BY18" i="1"/>
  <c r="BY17" i="1"/>
  <c r="BY37" i="1"/>
  <c r="BY80" i="1"/>
  <c r="BY93" i="1"/>
  <c r="BY47" i="1"/>
  <c r="BY23" i="1"/>
  <c r="BY68" i="1"/>
  <c r="BY81" i="1"/>
  <c r="BY16" i="1"/>
  <c r="BY20" i="1"/>
  <c r="BY10" i="1"/>
  <c r="BY77" i="1"/>
  <c r="BY56" i="1"/>
  <c r="BY39" i="1"/>
  <c r="BY53" i="1"/>
  <c r="BY83" i="1"/>
  <c r="BY19" i="1"/>
  <c r="BY34" i="1"/>
  <c r="BY40" i="1"/>
  <c r="BY5" i="1"/>
  <c r="BY57" i="1"/>
  <c r="BY90" i="1"/>
  <c r="BY55" i="1"/>
  <c r="BY38" i="1"/>
  <c r="BY28" i="1"/>
  <c r="BY117" i="1"/>
  <c r="BY82" i="1"/>
  <c r="BY94" i="1"/>
  <c r="BY65" i="1"/>
  <c r="BY118" i="1"/>
  <c r="BY119" i="1"/>
  <c r="BY120" i="1"/>
  <c r="BY121" i="1"/>
  <c r="BY95" i="1"/>
  <c r="BY96" i="1"/>
  <c r="BY97" i="1"/>
  <c r="BY6" i="1"/>
  <c r="BY51" i="1"/>
  <c r="BY71" i="1"/>
  <c r="BY46" i="1"/>
  <c r="BY33" i="1"/>
  <c r="BY42" i="1"/>
  <c r="BY2" i="1"/>
  <c r="AQ124" i="1"/>
  <c r="BT5" i="1"/>
  <c r="BT19" i="1"/>
  <c r="BT39" i="1"/>
  <c r="BT56" i="1"/>
  <c r="BT10" i="1"/>
  <c r="BT81" i="1"/>
  <c r="BT71" i="1"/>
  <c r="BT52" i="1"/>
  <c r="BT44" i="1"/>
  <c r="BT45" i="1"/>
  <c r="BT21" i="1"/>
  <c r="BT22" i="1"/>
  <c r="BT36" i="1"/>
  <c r="BT76" i="1"/>
  <c r="BT84" i="1"/>
  <c r="BT98" i="1"/>
  <c r="BT88" i="1"/>
  <c r="BT99" i="1"/>
  <c r="BT100" i="1"/>
  <c r="BT101" i="1"/>
  <c r="BT102" i="1"/>
  <c r="BT103" i="1"/>
  <c r="BT104" i="1"/>
  <c r="BT105" i="1"/>
  <c r="BT106" i="1"/>
  <c r="BT107" i="1"/>
  <c r="BT108" i="1"/>
  <c r="BT109" i="1"/>
  <c r="BT85" i="1"/>
  <c r="BT86" i="1"/>
  <c r="BT110" i="1"/>
  <c r="BT111" i="1"/>
  <c r="BT92" i="1"/>
  <c r="BT91" i="1"/>
  <c r="BT73" i="1"/>
  <c r="BT112" i="1"/>
  <c r="BT113" i="1"/>
  <c r="BT114" i="1"/>
  <c r="BT115" i="1"/>
  <c r="BT116" i="1"/>
  <c r="BT20" i="1"/>
  <c r="BT42" i="1"/>
  <c r="BT68" i="1"/>
  <c r="BT38" i="1"/>
  <c r="BT7" i="1"/>
  <c r="BT29" i="1"/>
  <c r="BT58" i="1"/>
  <c r="BT41" i="1"/>
  <c r="BT87" i="1"/>
  <c r="BT74" i="1"/>
  <c r="BT70" i="1"/>
  <c r="BT48" i="1"/>
  <c r="BT4" i="1"/>
  <c r="BT18" i="1"/>
  <c r="BT17" i="1"/>
  <c r="BT37" i="1"/>
  <c r="BT80" i="1"/>
  <c r="BT23" i="1"/>
  <c r="BT33" i="1"/>
  <c r="BT51" i="1"/>
  <c r="BT55" i="1"/>
  <c r="BT90" i="1"/>
  <c r="BT46" i="1"/>
  <c r="BT6" i="1"/>
  <c r="BT28" i="1"/>
  <c r="BT57" i="1"/>
  <c r="BT40" i="1"/>
  <c r="BT83" i="1"/>
  <c r="BT34" i="1"/>
  <c r="BT53" i="1"/>
  <c r="BT77" i="1"/>
  <c r="BT16" i="1"/>
  <c r="BT43" i="1"/>
  <c r="BT3" i="1"/>
  <c r="BT11" i="1"/>
  <c r="BT93" i="1"/>
  <c r="BT72" i="1"/>
  <c r="BT8" i="1"/>
  <c r="BT15" i="1"/>
  <c r="BT31" i="1"/>
  <c r="BT60" i="1"/>
  <c r="BT24" i="1"/>
  <c r="BT49" i="1"/>
  <c r="BT78" i="1"/>
  <c r="BT89" i="1"/>
  <c r="BT75" i="1"/>
  <c r="BT117" i="1"/>
  <c r="BT82" i="1"/>
  <c r="BT94" i="1"/>
  <c r="BT65" i="1"/>
  <c r="BT118" i="1"/>
  <c r="BT119" i="1"/>
  <c r="BT120" i="1"/>
  <c r="BT121" i="1"/>
  <c r="BT95" i="1"/>
  <c r="BT96" i="1"/>
  <c r="BT97" i="1"/>
  <c r="BT62" i="1"/>
  <c r="BT26" i="1"/>
  <c r="BT66" i="1"/>
  <c r="BT67" i="1"/>
  <c r="BT35" i="1"/>
  <c r="BT50" i="1"/>
  <c r="BT79" i="1"/>
  <c r="BT32" i="1"/>
  <c r="BT63" i="1"/>
  <c r="BT27" i="1"/>
  <c r="BT14" i="1"/>
  <c r="BT12" i="1"/>
  <c r="BT9" i="1"/>
  <c r="BT59" i="1"/>
  <c r="BT61" i="1"/>
  <c r="BT64" i="1"/>
  <c r="BT30" i="1"/>
  <c r="BT47" i="1"/>
  <c r="BT2" i="1"/>
  <c r="AX124" i="1"/>
  <c r="CA6" i="1"/>
  <c r="CA28" i="1"/>
  <c r="CA57" i="1"/>
  <c r="CA40" i="1"/>
  <c r="CA83" i="1"/>
  <c r="CA46" i="1"/>
  <c r="CA34" i="1"/>
  <c r="CA53" i="1"/>
  <c r="CA77" i="1"/>
  <c r="CA16" i="1"/>
  <c r="CA8" i="1"/>
  <c r="CA30" i="1"/>
  <c r="CA11" i="1"/>
  <c r="CA59" i="1"/>
  <c r="CA61" i="1"/>
  <c r="CA9" i="1"/>
  <c r="CA43" i="1"/>
  <c r="CA5" i="1"/>
  <c r="CA19" i="1"/>
  <c r="CA39" i="1"/>
  <c r="CA56" i="1"/>
  <c r="CA10" i="1"/>
  <c r="CA81" i="1"/>
  <c r="CA20" i="1"/>
  <c r="CA42" i="1"/>
  <c r="CA68" i="1"/>
  <c r="CA38" i="1"/>
  <c r="CA71" i="1"/>
  <c r="CA7" i="1"/>
  <c r="CA29" i="1"/>
  <c r="CA58" i="1"/>
  <c r="CA41" i="1"/>
  <c r="CA87" i="1"/>
  <c r="CA52" i="1"/>
  <c r="CA44" i="1"/>
  <c r="CA45" i="1"/>
  <c r="CA21" i="1"/>
  <c r="CA22" i="1"/>
  <c r="CA36" i="1"/>
  <c r="CA76" i="1"/>
  <c r="CA84" i="1"/>
  <c r="CA98" i="1"/>
  <c r="CA88" i="1"/>
  <c r="CA99" i="1"/>
  <c r="CA100" i="1"/>
  <c r="CA101" i="1"/>
  <c r="CA102" i="1"/>
  <c r="CA103" i="1"/>
  <c r="CA104" i="1"/>
  <c r="CA105" i="1"/>
  <c r="CA106" i="1"/>
  <c r="CA35" i="1"/>
  <c r="CA62" i="1"/>
  <c r="CA78" i="1"/>
  <c r="CA24" i="1"/>
  <c r="CA74" i="1"/>
  <c r="CA70" i="1"/>
  <c r="CA48" i="1"/>
  <c r="CA51" i="1"/>
  <c r="CA80" i="1"/>
  <c r="CA86" i="1"/>
  <c r="CA112" i="1"/>
  <c r="CA33" i="1"/>
  <c r="CA3" i="1"/>
  <c r="CA23" i="1"/>
  <c r="CA17" i="1"/>
  <c r="CA64" i="1"/>
  <c r="CA93" i="1"/>
  <c r="CA15" i="1"/>
  <c r="CA72" i="1"/>
  <c r="CA47" i="1"/>
  <c r="CA18" i="1"/>
  <c r="CA60" i="1"/>
  <c r="CA85" i="1"/>
  <c r="CA111" i="1"/>
  <c r="CA73" i="1"/>
  <c r="CA114" i="1"/>
  <c r="CA49" i="1"/>
  <c r="CA4" i="1"/>
  <c r="CA31" i="1"/>
  <c r="CA89" i="1"/>
  <c r="CA107" i="1"/>
  <c r="CA26" i="1"/>
  <c r="CA75" i="1"/>
  <c r="CA66" i="1"/>
  <c r="CA109" i="1"/>
  <c r="CA110" i="1"/>
  <c r="CA91" i="1"/>
  <c r="CA113" i="1"/>
  <c r="CA116" i="1"/>
  <c r="CA94" i="1"/>
  <c r="CA118" i="1"/>
  <c r="CA121" i="1"/>
  <c r="CA97" i="1"/>
  <c r="CA50" i="1"/>
  <c r="CA79" i="1"/>
  <c r="CA90" i="1"/>
  <c r="CA67" i="1"/>
  <c r="CA14" i="1"/>
  <c r="CA82" i="1"/>
  <c r="CA119" i="1"/>
  <c r="CA95" i="1"/>
  <c r="CA92" i="1"/>
  <c r="CA32" i="1"/>
  <c r="CA63" i="1"/>
  <c r="CA55" i="1"/>
  <c r="CA12" i="1"/>
  <c r="CA117" i="1"/>
  <c r="CA65" i="1"/>
  <c r="CA120" i="1"/>
  <c r="CA96" i="1"/>
  <c r="CA27" i="1"/>
  <c r="CA108" i="1"/>
  <c r="CA115" i="1"/>
  <c r="CA37" i="1"/>
  <c r="CA2" i="1"/>
  <c r="BA124" i="1"/>
  <c r="CD3" i="1"/>
  <c r="CD4" i="1"/>
  <c r="CD5" i="1"/>
  <c r="CD6" i="1"/>
  <c r="CD7" i="1"/>
  <c r="CD8" i="1"/>
  <c r="CD26" i="1"/>
  <c r="CD14" i="1"/>
  <c r="CD23" i="1"/>
  <c r="CD27" i="1"/>
  <c r="CD18" i="1"/>
  <c r="CD19" i="1"/>
  <c r="CD28" i="1"/>
  <c r="CD29" i="1"/>
  <c r="CD30" i="1"/>
  <c r="CD31" i="1"/>
  <c r="CD32" i="1"/>
  <c r="CD33" i="1"/>
  <c r="CD20" i="1"/>
  <c r="CD34" i="1"/>
  <c r="CD35" i="1"/>
  <c r="CD39" i="1"/>
  <c r="CD11" i="1"/>
  <c r="CD49" i="1"/>
  <c r="CD50" i="1"/>
  <c r="CD51" i="1"/>
  <c r="CD53" i="1"/>
  <c r="CD12" i="1"/>
  <c r="CD17" i="1"/>
  <c r="CD56" i="1"/>
  <c r="CD57" i="1"/>
  <c r="CD58" i="1"/>
  <c r="CD59" i="1"/>
  <c r="CD60" i="1"/>
  <c r="CD66" i="1"/>
  <c r="CD42" i="1"/>
  <c r="CD62" i="1"/>
  <c r="CD63" i="1"/>
  <c r="CD37" i="1"/>
  <c r="CD10" i="1"/>
  <c r="CD40" i="1"/>
  <c r="CD41" i="1"/>
  <c r="CD61" i="1"/>
  <c r="CD15" i="1"/>
  <c r="CD55" i="1"/>
  <c r="CD68" i="1"/>
  <c r="CD77" i="1"/>
  <c r="CD78" i="1"/>
  <c r="CD79" i="1"/>
  <c r="CD80" i="1"/>
  <c r="CD81" i="1"/>
  <c r="CD83" i="1"/>
  <c r="CD87" i="1"/>
  <c r="CD9" i="1"/>
  <c r="CD64" i="1"/>
  <c r="CD89" i="1"/>
  <c r="CD90" i="1"/>
  <c r="CD38" i="1"/>
  <c r="CD16" i="1"/>
  <c r="CD24" i="1"/>
  <c r="CD67" i="1"/>
  <c r="CD74" i="1"/>
  <c r="CD75" i="1"/>
  <c r="CD93" i="1"/>
  <c r="CD47" i="1"/>
  <c r="CD46" i="1"/>
  <c r="CD72" i="1"/>
  <c r="CD71" i="1"/>
  <c r="CD36" i="1"/>
  <c r="CD106" i="1"/>
  <c r="CD116" i="1"/>
  <c r="CD117" i="1"/>
  <c r="CD82" i="1"/>
  <c r="CD94" i="1"/>
  <c r="CD65" i="1"/>
  <c r="CD118" i="1"/>
  <c r="CD119" i="1"/>
  <c r="CD120" i="1"/>
  <c r="CD121" i="1"/>
  <c r="CD95" i="1"/>
  <c r="CD96" i="1"/>
  <c r="CD97" i="1"/>
  <c r="CD92" i="1"/>
  <c r="CD112" i="1"/>
  <c r="CD98" i="1"/>
  <c r="CD76" i="1"/>
  <c r="CD99" i="1"/>
  <c r="CD86" i="1"/>
  <c r="CD21" i="1"/>
  <c r="CD104" i="1"/>
  <c r="CD108" i="1"/>
  <c r="CD115" i="1"/>
  <c r="CD44" i="1"/>
  <c r="CD102" i="1"/>
  <c r="CD70" i="1"/>
  <c r="CD85" i="1"/>
  <c r="CD43" i="1"/>
  <c r="CD48" i="1"/>
  <c r="CD100" i="1"/>
  <c r="CD45" i="1"/>
  <c r="CD103" i="1"/>
  <c r="CD109" i="1"/>
  <c r="CD110" i="1"/>
  <c r="CD84" i="1"/>
  <c r="CD22" i="1"/>
  <c r="CD105" i="1"/>
  <c r="CD107" i="1"/>
  <c r="CD91" i="1"/>
  <c r="CD88" i="1"/>
  <c r="CD113" i="1"/>
  <c r="CD101" i="1"/>
  <c r="CD73" i="1"/>
  <c r="CD52" i="1"/>
  <c r="CD114" i="1"/>
  <c r="CD111" i="1"/>
  <c r="CD2" i="1"/>
  <c r="CF30" i="1" l="1"/>
  <c r="CH30" i="1" s="1"/>
  <c r="CF121" i="1"/>
  <c r="CF24" i="1"/>
  <c r="CF4" i="1"/>
  <c r="CF42" i="1"/>
  <c r="CF50" i="1"/>
  <c r="CF90" i="1"/>
  <c r="BZ122" i="1"/>
  <c r="BV122" i="1"/>
  <c r="CF61" i="1"/>
  <c r="CF31" i="1"/>
  <c r="CF34" i="1"/>
  <c r="CF55" i="1"/>
  <c r="CF20" i="1"/>
  <c r="CF118" i="1"/>
  <c r="BW122" i="1"/>
  <c r="CF66" i="1"/>
  <c r="CF51" i="1"/>
  <c r="CB122" i="1"/>
  <c r="CF9" i="1"/>
  <c r="CF94" i="1"/>
  <c r="CC122" i="1"/>
  <c r="CA122" i="1"/>
  <c r="CF26" i="1"/>
  <c r="CF82" i="1"/>
  <c r="CF19" i="1"/>
  <c r="CF14" i="1"/>
  <c r="CF5" i="1"/>
  <c r="CF27" i="1"/>
  <c r="CF62" i="1"/>
  <c r="CF3" i="1"/>
  <c r="BT122" i="1"/>
  <c r="CF28" i="1"/>
  <c r="CF37" i="1"/>
  <c r="CF29" i="1"/>
  <c r="CE122" i="1"/>
  <c r="CD122" i="1"/>
  <c r="CF63" i="1"/>
  <c r="CF89" i="1"/>
  <c r="CF21" i="1"/>
  <c r="CF2" i="1"/>
  <c r="CF16" i="1"/>
  <c r="CF46" i="1"/>
  <c r="CF38" i="1"/>
  <c r="BU122" i="1"/>
  <c r="CF95" i="1"/>
  <c r="CF49" i="1"/>
  <c r="CF18" i="1"/>
  <c r="CF44" i="1"/>
  <c r="BY122" i="1"/>
  <c r="BX122" i="1"/>
  <c r="CL30" i="1" l="1"/>
  <c r="CG30" i="1"/>
  <c r="CQ30" i="1"/>
  <c r="CP30" i="1"/>
  <c r="CM30" i="1"/>
  <c r="CI30" i="1"/>
  <c r="CR30" i="1"/>
  <c r="CJ30" i="1"/>
  <c r="CO30" i="1"/>
  <c r="CK30" i="1"/>
  <c r="CN30" i="1"/>
  <c r="CG21" i="1"/>
  <c r="CQ21" i="1"/>
  <c r="CH21" i="1"/>
  <c r="CR21" i="1"/>
  <c r="CI21" i="1"/>
  <c r="CM21" i="1"/>
  <c r="CL21" i="1"/>
  <c r="CP21" i="1"/>
  <c r="CO21" i="1"/>
  <c r="CK21" i="1"/>
  <c r="CN21" i="1"/>
  <c r="CJ21" i="1"/>
  <c r="CN5" i="1"/>
  <c r="CM5" i="1"/>
  <c r="CR5" i="1"/>
  <c r="CI5" i="1"/>
  <c r="CK5" i="1"/>
  <c r="CJ5" i="1"/>
  <c r="CL5" i="1"/>
  <c r="CP5" i="1"/>
  <c r="CQ5" i="1"/>
  <c r="CG5" i="1"/>
  <c r="CH5" i="1"/>
  <c r="CO5" i="1"/>
  <c r="CK61" i="1"/>
  <c r="CQ61" i="1"/>
  <c r="CM61" i="1"/>
  <c r="CL61" i="1"/>
  <c r="CG61" i="1"/>
  <c r="CP61" i="1"/>
  <c r="CJ61" i="1"/>
  <c r="CI61" i="1"/>
  <c r="CN61" i="1"/>
  <c r="CO61" i="1"/>
  <c r="CR61" i="1"/>
  <c r="CH61" i="1"/>
  <c r="CO44" i="1"/>
  <c r="CJ44" i="1"/>
  <c r="CI44" i="1"/>
  <c r="CH44" i="1"/>
  <c r="CR44" i="1"/>
  <c r="CQ44" i="1"/>
  <c r="CM44" i="1"/>
  <c r="CP44" i="1"/>
  <c r="CG44" i="1"/>
  <c r="CK44" i="1"/>
  <c r="CN44" i="1"/>
  <c r="CL44" i="1"/>
  <c r="CR89" i="1"/>
  <c r="CG89" i="1"/>
  <c r="CI89" i="1"/>
  <c r="CN89" i="1"/>
  <c r="CL89" i="1"/>
  <c r="CJ89" i="1"/>
  <c r="CM89" i="1"/>
  <c r="CH89" i="1"/>
  <c r="CO89" i="1"/>
  <c r="CQ89" i="1"/>
  <c r="CK89" i="1"/>
  <c r="CP89" i="1"/>
  <c r="CO51" i="1"/>
  <c r="CR51" i="1"/>
  <c r="CN51" i="1"/>
  <c r="CQ51" i="1"/>
  <c r="CK51" i="1"/>
  <c r="CP51" i="1"/>
  <c r="CH51" i="1"/>
  <c r="CJ51" i="1"/>
  <c r="CM51" i="1"/>
  <c r="CL51" i="1"/>
  <c r="CG51" i="1"/>
  <c r="CI51" i="1"/>
  <c r="CR18" i="1"/>
  <c r="CK18" i="1"/>
  <c r="CM18" i="1"/>
  <c r="CL18" i="1"/>
  <c r="CN18" i="1"/>
  <c r="CG18" i="1"/>
  <c r="CP18" i="1"/>
  <c r="CI18" i="1"/>
  <c r="CH18" i="1"/>
  <c r="CJ18" i="1"/>
  <c r="CO18" i="1"/>
  <c r="CQ18" i="1"/>
  <c r="CN63" i="1"/>
  <c r="CH63" i="1"/>
  <c r="CR63" i="1"/>
  <c r="CJ63" i="1"/>
  <c r="CL63" i="1"/>
  <c r="CM63" i="1"/>
  <c r="CP63" i="1"/>
  <c r="CG63" i="1"/>
  <c r="CO63" i="1"/>
  <c r="CK63" i="1"/>
  <c r="CI63" i="1"/>
  <c r="CQ63" i="1"/>
  <c r="CJ66" i="1"/>
  <c r="CN66" i="1"/>
  <c r="CK66" i="1"/>
  <c r="CH66" i="1"/>
  <c r="CP66" i="1"/>
  <c r="CR66" i="1"/>
  <c r="CG66" i="1"/>
  <c r="CL66" i="1"/>
  <c r="CM66" i="1"/>
  <c r="CO66" i="1"/>
  <c r="CQ66" i="1"/>
  <c r="CI66" i="1"/>
  <c r="CL49" i="1"/>
  <c r="CG49" i="1"/>
  <c r="CI49" i="1"/>
  <c r="CK49" i="1"/>
  <c r="CN49" i="1"/>
  <c r="CO49" i="1"/>
  <c r="CJ49" i="1"/>
  <c r="CM49" i="1"/>
  <c r="CQ49" i="1"/>
  <c r="CR49" i="1"/>
  <c r="CH49" i="1"/>
  <c r="CP49" i="1"/>
  <c r="CM14" i="1"/>
  <c r="CN14" i="1"/>
  <c r="CL14" i="1"/>
  <c r="CI14" i="1"/>
  <c r="CO14" i="1"/>
  <c r="CQ14" i="1"/>
  <c r="CJ14" i="1"/>
  <c r="CH14" i="1"/>
  <c r="CP14" i="1"/>
  <c r="CG14" i="1"/>
  <c r="CR14" i="1"/>
  <c r="CK14" i="1"/>
  <c r="CJ90" i="1"/>
  <c r="CQ90" i="1"/>
  <c r="CP90" i="1"/>
  <c r="CM90" i="1"/>
  <c r="CK90" i="1"/>
  <c r="CO90" i="1"/>
  <c r="CI90" i="1"/>
  <c r="CR90" i="1"/>
  <c r="CH90" i="1"/>
  <c r="CL90" i="1"/>
  <c r="CN90" i="1"/>
  <c r="CG90" i="1"/>
  <c r="CR95" i="1"/>
  <c r="CL95" i="1"/>
  <c r="CJ95" i="1"/>
  <c r="CI95" i="1"/>
  <c r="CG95" i="1"/>
  <c r="CN95" i="1"/>
  <c r="CH95" i="1"/>
  <c r="CM95" i="1"/>
  <c r="CP95" i="1"/>
  <c r="CK95" i="1"/>
  <c r="CQ95" i="1"/>
  <c r="CO95" i="1"/>
  <c r="CP29" i="1"/>
  <c r="CR29" i="1"/>
  <c r="CM29" i="1"/>
  <c r="CK29" i="1"/>
  <c r="CL29" i="1"/>
  <c r="CQ29" i="1"/>
  <c r="CO29" i="1"/>
  <c r="CN29" i="1"/>
  <c r="CH29" i="1"/>
  <c r="CG29" i="1"/>
  <c r="CI29" i="1"/>
  <c r="CJ29" i="1"/>
  <c r="CR19" i="1"/>
  <c r="CO19" i="1"/>
  <c r="CJ19" i="1"/>
  <c r="CH19" i="1"/>
  <c r="CK19" i="1"/>
  <c r="CG19" i="1"/>
  <c r="CM19" i="1"/>
  <c r="CI19" i="1"/>
  <c r="CQ19" i="1"/>
  <c r="CN19" i="1"/>
  <c r="CP19" i="1"/>
  <c r="CL19" i="1"/>
  <c r="CI50" i="1"/>
  <c r="CN50" i="1"/>
  <c r="CM50" i="1"/>
  <c r="CJ50" i="1"/>
  <c r="CO50" i="1"/>
  <c r="CQ50" i="1"/>
  <c r="CR50" i="1"/>
  <c r="CK50" i="1"/>
  <c r="CH50" i="1"/>
  <c r="CL50" i="1"/>
  <c r="CP50" i="1"/>
  <c r="CG50" i="1"/>
  <c r="CQ37" i="1"/>
  <c r="CH37" i="1"/>
  <c r="CP37" i="1"/>
  <c r="CK37" i="1"/>
  <c r="CJ37" i="1"/>
  <c r="CG37" i="1"/>
  <c r="CI37" i="1"/>
  <c r="CN37" i="1"/>
  <c r="CO37" i="1"/>
  <c r="CR37" i="1"/>
  <c r="CM37" i="1"/>
  <c r="CL37" i="1"/>
  <c r="CK82" i="1"/>
  <c r="CJ82" i="1"/>
  <c r="CO82" i="1"/>
  <c r="CM82" i="1"/>
  <c r="CR82" i="1"/>
  <c r="CI82" i="1"/>
  <c r="CP82" i="1"/>
  <c r="CN82" i="1"/>
  <c r="CL82" i="1"/>
  <c r="CG82" i="1"/>
  <c r="CH82" i="1"/>
  <c r="CQ82" i="1"/>
  <c r="CR42" i="1"/>
  <c r="CP42" i="1"/>
  <c r="CN42" i="1"/>
  <c r="CJ42" i="1"/>
  <c r="CL42" i="1"/>
  <c r="CH42" i="1"/>
  <c r="CO42" i="1"/>
  <c r="CI42" i="1"/>
  <c r="CG42" i="1"/>
  <c r="CM42" i="1"/>
  <c r="CK42" i="1"/>
  <c r="CQ42" i="1"/>
  <c r="CN28" i="1"/>
  <c r="CK28" i="1"/>
  <c r="CR28" i="1"/>
  <c r="CH28" i="1"/>
  <c r="CG28" i="1"/>
  <c r="CL28" i="1"/>
  <c r="CJ28" i="1"/>
  <c r="CO28" i="1"/>
  <c r="CQ28" i="1"/>
  <c r="CP28" i="1"/>
  <c r="CI28" i="1"/>
  <c r="CM28" i="1"/>
  <c r="CO26" i="1"/>
  <c r="CR26" i="1"/>
  <c r="CI26" i="1"/>
  <c r="CJ26" i="1"/>
  <c r="CG26" i="1"/>
  <c r="CQ26" i="1"/>
  <c r="CM26" i="1"/>
  <c r="CH26" i="1"/>
  <c r="CP26" i="1"/>
  <c r="CN26" i="1"/>
  <c r="CK26" i="1"/>
  <c r="CL26" i="1"/>
  <c r="CG118" i="1"/>
  <c r="CI118" i="1"/>
  <c r="CM118" i="1"/>
  <c r="CK118" i="1"/>
  <c r="CR118" i="1"/>
  <c r="CL118" i="1"/>
  <c r="CQ118" i="1"/>
  <c r="CO118" i="1"/>
  <c r="CP118" i="1"/>
  <c r="CN118" i="1"/>
  <c r="CH118" i="1"/>
  <c r="CJ118" i="1"/>
  <c r="CN4" i="1"/>
  <c r="CL4" i="1"/>
  <c r="CQ4" i="1"/>
  <c r="CM4" i="1"/>
  <c r="CG4" i="1"/>
  <c r="CH4" i="1"/>
  <c r="CP4" i="1"/>
  <c r="CO4" i="1"/>
  <c r="CK4" i="1"/>
  <c r="CR4" i="1"/>
  <c r="CI4" i="1"/>
  <c r="CJ4" i="1"/>
  <c r="CQ38" i="1"/>
  <c r="CR38" i="1"/>
  <c r="CG38" i="1"/>
  <c r="CJ38" i="1"/>
  <c r="CK38" i="1"/>
  <c r="CP38" i="1"/>
  <c r="CI38" i="1"/>
  <c r="CH38" i="1"/>
  <c r="CL38" i="1"/>
  <c r="CN38" i="1"/>
  <c r="CO38" i="1"/>
  <c r="CM38" i="1"/>
  <c r="CI20" i="1"/>
  <c r="CH20" i="1"/>
  <c r="CR20" i="1"/>
  <c r="CK20" i="1"/>
  <c r="CJ20" i="1"/>
  <c r="CP20" i="1"/>
  <c r="CN20" i="1"/>
  <c r="CM20" i="1"/>
  <c r="CL20" i="1"/>
  <c r="CG20" i="1"/>
  <c r="CO20" i="1"/>
  <c r="CQ20" i="1"/>
  <c r="CK46" i="1"/>
  <c r="CP46" i="1"/>
  <c r="CL46" i="1"/>
  <c r="CI46" i="1"/>
  <c r="CR46" i="1"/>
  <c r="CQ46" i="1"/>
  <c r="CO46" i="1"/>
  <c r="CH46" i="1"/>
  <c r="CJ46" i="1"/>
  <c r="CM46" i="1"/>
  <c r="CG46" i="1"/>
  <c r="CN46" i="1"/>
  <c r="CN3" i="1"/>
  <c r="CR3" i="1"/>
  <c r="CI3" i="1"/>
  <c r="CO3" i="1"/>
  <c r="CK3" i="1"/>
  <c r="CJ3" i="1"/>
  <c r="CM3" i="1"/>
  <c r="CP3" i="1"/>
  <c r="CG3" i="1"/>
  <c r="CL3" i="1"/>
  <c r="CH3" i="1"/>
  <c r="CQ3" i="1"/>
  <c r="CG55" i="1"/>
  <c r="CM55" i="1"/>
  <c r="CJ55" i="1"/>
  <c r="CO55" i="1"/>
  <c r="CH55" i="1"/>
  <c r="CK55" i="1"/>
  <c r="CR55" i="1"/>
  <c r="CI55" i="1"/>
  <c r="CL55" i="1"/>
  <c r="CQ55" i="1"/>
  <c r="CP55" i="1"/>
  <c r="CN55" i="1"/>
  <c r="CN16" i="1"/>
  <c r="CM16" i="1"/>
  <c r="CI16" i="1"/>
  <c r="CG16" i="1"/>
  <c r="CL16" i="1"/>
  <c r="CP16" i="1"/>
  <c r="CO16" i="1"/>
  <c r="CQ16" i="1"/>
  <c r="CJ16" i="1"/>
  <c r="CK16" i="1"/>
  <c r="CH16" i="1"/>
  <c r="CR16" i="1"/>
  <c r="CL62" i="1"/>
  <c r="CO62" i="1"/>
  <c r="CM62" i="1"/>
  <c r="CP62" i="1"/>
  <c r="CQ62" i="1"/>
  <c r="CK62" i="1"/>
  <c r="CG62" i="1"/>
  <c r="CJ62" i="1"/>
  <c r="CH62" i="1"/>
  <c r="CR62" i="1"/>
  <c r="CN62" i="1"/>
  <c r="CI62" i="1"/>
  <c r="CN94" i="1"/>
  <c r="CP94" i="1"/>
  <c r="CR94" i="1"/>
  <c r="CI94" i="1"/>
  <c r="CO94" i="1"/>
  <c r="CL94" i="1"/>
  <c r="CJ94" i="1"/>
  <c r="CG94" i="1"/>
  <c r="CK94" i="1"/>
  <c r="CM94" i="1"/>
  <c r="CQ94" i="1"/>
  <c r="CH94" i="1"/>
  <c r="CH34" i="1"/>
  <c r="CK34" i="1"/>
  <c r="CQ34" i="1"/>
  <c r="CG34" i="1"/>
  <c r="CL34" i="1"/>
  <c r="CN34" i="1"/>
  <c r="CJ34" i="1"/>
  <c r="CI34" i="1"/>
  <c r="CO34" i="1"/>
  <c r="CM34" i="1"/>
  <c r="CR34" i="1"/>
  <c r="CP34" i="1"/>
  <c r="CR24" i="1"/>
  <c r="CI24" i="1"/>
  <c r="CN24" i="1"/>
  <c r="CP24" i="1"/>
  <c r="CM24" i="1"/>
  <c r="CK24" i="1"/>
  <c r="CO24" i="1"/>
  <c r="CQ24" i="1"/>
  <c r="CH24" i="1"/>
  <c r="CG24" i="1"/>
  <c r="CL24" i="1"/>
  <c r="CJ24" i="1"/>
  <c r="CH2" i="1"/>
  <c r="CO2" i="1"/>
  <c r="CR2" i="1"/>
  <c r="CL2" i="1"/>
  <c r="CK2" i="1"/>
  <c r="CI2" i="1"/>
  <c r="CQ2" i="1"/>
  <c r="CP2" i="1"/>
  <c r="CM2" i="1"/>
  <c r="CJ2" i="1"/>
  <c r="CN2" i="1"/>
  <c r="CG2" i="1"/>
  <c r="CN27" i="1"/>
  <c r="CH27" i="1"/>
  <c r="CJ27" i="1"/>
  <c r="CK27" i="1"/>
  <c r="CP27" i="1"/>
  <c r="CI27" i="1"/>
  <c r="CG27" i="1"/>
  <c r="CO27" i="1"/>
  <c r="CL27" i="1"/>
  <c r="CR27" i="1"/>
  <c r="CQ27" i="1"/>
  <c r="CM27" i="1"/>
  <c r="CG9" i="1"/>
  <c r="CM9" i="1"/>
  <c r="CO9" i="1"/>
  <c r="CQ9" i="1"/>
  <c r="CJ9" i="1"/>
  <c r="CL9" i="1"/>
  <c r="CI9" i="1"/>
  <c r="CK9" i="1"/>
  <c r="CH9" i="1"/>
  <c r="CP9" i="1"/>
  <c r="CN9" i="1"/>
  <c r="CR9" i="1"/>
  <c r="CM31" i="1"/>
  <c r="CL31" i="1"/>
  <c r="CH31" i="1"/>
  <c r="CI31" i="1"/>
  <c r="CR31" i="1"/>
  <c r="CQ31" i="1"/>
  <c r="CO31" i="1"/>
  <c r="CK31" i="1"/>
  <c r="CN31" i="1"/>
  <c r="CJ31" i="1"/>
  <c r="CP31" i="1"/>
  <c r="CG31" i="1"/>
  <c r="CM121" i="1"/>
  <c r="CN121" i="1"/>
  <c r="CP121" i="1"/>
  <c r="CL121" i="1"/>
  <c r="CG121" i="1"/>
  <c r="CR121" i="1"/>
  <c r="CK121" i="1"/>
  <c r="CJ121" i="1"/>
  <c r="CQ121" i="1"/>
  <c r="CH121" i="1"/>
  <c r="CO121" i="1"/>
  <c r="CI121" i="1"/>
  <c r="CQ122" i="1" l="1"/>
  <c r="CH122" i="1"/>
  <c r="CL122" i="1"/>
  <c r="CG122" i="1"/>
  <c r="CP122" i="1"/>
  <c r="CM122" i="1"/>
  <c r="CJ122" i="1"/>
  <c r="CK122" i="1"/>
  <c r="CO122" i="1"/>
  <c r="CI122" i="1"/>
  <c r="CR122" i="1"/>
  <c r="CN122" i="1"/>
</calcChain>
</file>

<file path=xl/sharedStrings.xml><?xml version="1.0" encoding="utf-8"?>
<sst xmlns="http://schemas.openxmlformats.org/spreadsheetml/2006/main" count="779" uniqueCount="292">
  <si>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</si>
  <si>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</si>
  <si>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</si>
  <si>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</si>
  <si>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</si>
  <si>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</si>
  <si>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</si>
  <si>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</si>
  <si>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</si>
  <si>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</si>
  <si>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</si>
  <si>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</si>
  <si>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</si>
  <si>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</si>
  <si>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</si>
  <si>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</si>
  <si>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</si>
  <si>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</si>
  <si>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</si>
  <si>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</si>
  <si>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</si>
  <si>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</si>
  <si>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</si>
  <si>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</si>
  <si>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</si>
  <si>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</si>
  <si>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</si>
  <si>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</si>
  <si>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</si>
  <si>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</si>
  <si>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</si>
  <si>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</si>
  <si>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</si>
  <si>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</si>
  <si>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</si>
  <si>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</si>
  <si>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</si>
  <si>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</si>
  <si>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</si>
  <si>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</si>
  <si>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</si>
  <si>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</si>
  <si>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</si>
  <si>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</si>
  <si>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</si>
  <si>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</si>
  <si>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</si>
  <si>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</si>
  <si>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</si>
  <si>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</si>
  <si>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</si>
  <si>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</si>
  <si>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</si>
  <si>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</si>
  <si>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</si>
  <si>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</si>
  <si>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</si>
  <si>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</si>
  <si>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</si>
  <si>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</si>
  <si>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</si>
  <si>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</si>
  <si>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</si>
  <si>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</si>
  <si>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</si>
  <si>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</si>
  <si>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</si>
  <si>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</si>
  <si>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</si>
  <si>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</si>
  <si>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</si>
  <si>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</si>
  <si>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</si>
  <si>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</si>
  <si>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</si>
  <si>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</si>
  <si>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</si>
  <si>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</si>
  <si>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</si>
  <si>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</si>
  <si>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</si>
  <si>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</si>
  <si>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</si>
  <si>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</si>
  <si>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</si>
  <si>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</si>
  <si>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</si>
  <si>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</si>
  <si>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</si>
  <si>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</si>
  <si>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</si>
  <si>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</si>
  <si>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</si>
  <si>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</si>
  <si>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</si>
  <si>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</si>
  <si>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</si>
  <si>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</si>
  <si>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</si>
  <si>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</si>
  <si>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</si>
  <si>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</si>
  <si>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</si>
  <si>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</si>
  <si>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</si>
  <si>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</si>
  <si>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</si>
  <si>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</si>
  <si>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</si>
  <si>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</si>
  <si>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</si>
  <si>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</si>
  <si>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</si>
  <si>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</si>
  <si>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</si>
  <si>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</si>
  <si>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</si>
  <si>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</si>
  <si>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</si>
  <si>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</si>
  <si>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</si>
  <si>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</si>
  <si>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</si>
  <si>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</si>
  <si>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</si>
  <si>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</si>
  <si>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</si>
  <si>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</si>
  <si>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</si>
  <si>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</si>
  <si>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</si>
  <si>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</si>
  <si>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</si>
  <si>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</si>
  <si>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</si>
  <si>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</si>
  <si>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</si>
  <si>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</si>
  <si>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</si>
  <si>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</si>
  <si>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</si>
  <si>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</si>
  <si>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</si>
  <si>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</si>
  <si>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</si>
  <si>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</si>
  <si>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</si>
  <si>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</si>
  <si>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</si>
  <si>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</si>
  <si>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</si>
  <si>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</si>
  <si>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</si>
  <si>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</si>
  <si>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</si>
  <si>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</si>
  <si>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</si>
  <si>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</si>
  <si>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</si>
  <si>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</si>
  <si>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</si>
  <si>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</si>
  <si>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</si>
  <si>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</si>
  <si>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</si>
  <si>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</si>
  <si>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</si>
  <si>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</si>
  <si>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</si>
  <si>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</si>
  <si>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</si>
  <si>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</si>
  <si>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</si>
  <si>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</si>
  <si>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</si>
  <si>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</si>
  <si>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</si>
  <si>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</si>
  <si>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</si>
  <si>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</si>
  <si>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</si>
  <si>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</si>
  <si>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</si>
  <si>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</si>
  <si>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</si>
  <si>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</si>
  <si>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</si>
  <si>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</si>
  <si>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</si>
  <si>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</si>
  <si>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</si>
  <si>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</si>
  <si>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</si>
  <si>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</si>
  <si>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</si>
  <si>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</si>
  <si>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</si>
  <si>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</si>
  <si>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</si>
  <si>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</si>
  <si>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</si>
  <si>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</si>
  <si>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</si>
  <si>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幸运符文叉大(10),</t>
    <phoneticPr fontId="1" type="noConversion"/>
  </si>
  <si>
    <t>愚山乾坤石(13),</t>
    <phoneticPr fontId="1" type="noConversion"/>
  </si>
  <si>
    <t>炼妖壶(7),_x000D_
愚山乾坤石(8),_x000D_
力量符文叉大(8),</t>
    <phoneticPr fontId="1" type="noConversion"/>
  </si>
  <si>
    <t>仙丹(3),</t>
    <phoneticPr fontId="1" type="noConversion"/>
  </si>
  <si>
    <t>炼妖壶(2),_x000D_
仙丹(3),</t>
    <phoneticPr fontId="1" type="noConversion"/>
  </si>
  <si>
    <t>六方天运骰(11),_x000D_
力量符文叉大(13),</t>
    <phoneticPr fontId="1" type="noConversion"/>
  </si>
  <si>
    <t>金镶玉</t>
    <phoneticPr fontId="1" type="noConversion"/>
  </si>
  <si>
    <t>彗星(5),</t>
    <phoneticPr fontId="1" type="noConversion"/>
  </si>
  <si>
    <t>欠条大(8),_x000D_
钱袋大(10),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</si>
  <si>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</si>
  <si>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</si>
  <si>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桂花酒(5),</t>
    <phoneticPr fontId="1" type="noConversion"/>
  </si>
  <si>
    <t>彗星(15),</t>
    <phoneticPr fontId="1" type="noConversion"/>
  </si>
  <si>
    <t>金甲虫(200),</t>
    <phoneticPr fontId="1" type="noConversion"/>
  </si>
  <si>
    <t>欠条中(4),_x000D_
筹码中(4),</t>
    <phoneticPr fontId="1" type="noConversion"/>
  </si>
  <si>
    <t>欠条大(8),_x000D_
骰子大(4),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</si>
  <si>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</si>
  <si>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</si>
  <si>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</si>
  <si>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桂花(5),</t>
    <phoneticPr fontId="1" type="noConversion"/>
  </si>
  <si>
    <t>骰子小(3),_x000D_
筹码小(5),_x000D_
庄家令牌中(3),</t>
    <phoneticPr fontId="1" type="noConversion"/>
  </si>
  <si>
    <t>螃蟹(5),_x000D_
桂花(5),_x000D_
桂花酒(5),</t>
    <phoneticPr fontId="1" type="noConversion"/>
  </si>
  <si>
    <t>欠条小(8),_x000D_
钱袋小(9),_x000D_
骰子小(8),_x000D_
筹码小(10),</t>
    <phoneticPr fontId="1" type="noConversion"/>
  </si>
  <si>
    <t>赤焰十字星(2),</t>
    <phoneticPr fontId="1" type="noConversion"/>
  </si>
  <si>
    <t>糯米(3),</t>
    <phoneticPr fontId="1" type="noConversion"/>
  </si>
  <si>
    <t>仙丹(1),</t>
    <phoneticPr fontId="1" type="noConversion"/>
  </si>
  <si>
    <t>金钗(3),</t>
    <phoneticPr fontId="1" type="noConversion"/>
  </si>
  <si>
    <t>愚山乾坤石(10),</t>
    <phoneticPr fontId="1" type="noConversion"/>
  </si>
  <si>
    <t>螃蟹(5),</t>
    <phoneticPr fontId="1" type="noConversion"/>
  </si>
  <si>
    <t>秘窟冰晶卵(5),</t>
    <phoneticPr fontId="1" type="noConversion"/>
  </si>
  <si>
    <t>愚山乾坤石(15),</t>
    <phoneticPr fontId="1" type="noConversion"/>
  </si>
  <si>
    <t>魅力符文叉大(7),</t>
    <phoneticPr fontId="1" type="noConversion"/>
  </si>
  <si>
    <t>愚山乾坤石(10),_x000D_
魅力符文叉大(7),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</si>
  <si>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</si>
  <si>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</si>
  <si>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</si>
  <si>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骰子大(4),_x000D_
庄家令牌大(6),_x000D_
赤焰十字星(2),</t>
    <phoneticPr fontId="1" type="noConversion"/>
  </si>
  <si>
    <t>超进阶素材火(50),_x000D_
超进阶素材光(45),_x000D_
超进阶素材暗(45),</t>
    <phoneticPr fontId="1" type="noConversion"/>
  </si>
  <si>
    <t>超进阶素材土(9),_x000D_
超进阶素材木(1),_x000D_
超进阶素材光(45),_x000D_
超进阶素材暗(45),</t>
    <phoneticPr fontId="1" type="noConversion"/>
  </si>
  <si>
    <t>仙丹(1),</t>
    <phoneticPr fontId="1" type="noConversion"/>
  </si>
  <si>
    <t>糯米(2),</t>
    <phoneticPr fontId="1" type="noConversion"/>
  </si>
  <si>
    <t>彗星(5),</t>
    <phoneticPr fontId="1" type="noConversion"/>
  </si>
  <si>
    <t>桂花(5),</t>
    <phoneticPr fontId="1" type="noConversion"/>
  </si>
  <si>
    <t>桂花酒(5),</t>
    <phoneticPr fontId="1" type="noConversion"/>
  </si>
  <si>
    <t>秘窟冰晶卵(5),</t>
    <phoneticPr fontId="1" type="noConversion"/>
  </si>
  <si>
    <t>魅力符文叉大(7),</t>
    <phoneticPr fontId="1" type="noConversion"/>
  </si>
  <si>
    <t>魅力符文叉大(12),</t>
    <phoneticPr fontId="1" type="noConversion"/>
  </si>
  <si>
    <t>愚山乾坤石(15),</t>
    <phoneticPr fontId="1" type="noConversion"/>
  </si>
  <si>
    <t>金甲虫(50),</t>
    <phoneticPr fontId="1" type="noConversion"/>
  </si>
  <si>
    <t>幸运符文叉大(1),</t>
    <phoneticPr fontId="1" type="noConversion"/>
  </si>
  <si>
    <t>力量符文叉大(3),_x000D_
幸运符文叉大(1),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</si>
  <si>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</si>
  <si>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</si>
  <si>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</si>
  <si>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六方天运骰(1),_x000D_
力量符文叉大(8),</t>
    <phoneticPr fontId="1" type="noConversion"/>
  </si>
  <si>
    <t>龙灵不朽藤(9),</t>
    <phoneticPr fontId="1" type="noConversion"/>
  </si>
  <si>
    <t>桂花(5),_x000D_
桂花酒(5),</t>
    <phoneticPr fontId="1" type="noConversion"/>
  </si>
  <si>
    <t>太一之轮(5),_x000D_
幸运符文叉大(1),</t>
    <phoneticPr fontId="1" type="noConversion"/>
  </si>
  <si>
    <t>幸运符文叉大(6),</t>
    <phoneticPr fontId="1" type="noConversion"/>
  </si>
  <si>
    <t>魅力符文叉大(12),_x000D_
幸运符文叉大(1),</t>
    <phoneticPr fontId="1" type="noConversion"/>
  </si>
  <si>
    <t>龙灵不朽藤(14),</t>
    <phoneticPr fontId="1" type="noConversion"/>
  </si>
  <si>
    <t>欠条大(8),_x000D_
钱袋大(10),</t>
    <phoneticPr fontId="1" type="noConversion"/>
  </si>
  <si>
    <t>钱袋大(10),_x000D_
筹码大(9),</t>
    <phoneticPr fontId="1" type="noConversion"/>
  </si>
  <si>
    <t>太一之轮(10),_x000D_
幸运符文叉大(6),</t>
    <phoneticPr fontId="1" type="noConversion"/>
  </si>
  <si>
    <t>赤焰十字星(32),_x000D_
力量符文叉大(28),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</si>
  <si>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</si>
  <si>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</si>
  <si>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骰子大(4),_x000D_
庄家令牌大(6),_x000D_
赤焰十字星(2),</t>
    <phoneticPr fontId="1" type="noConversion"/>
  </si>
  <si>
    <t>欠条中(6),_x000D_
欠条大(5),_x000D_
钱袋中(2),</t>
    <phoneticPr fontId="1" type="noConversion"/>
  </si>
  <si>
    <t>欠条中(6),_x000D_
钱袋中(2),_x000D_
筹码大(6),</t>
    <phoneticPr fontId="1" type="noConversion"/>
  </si>
  <si>
    <t>桂花(5),_x000D_
桂花酒(5),_x000D_
灯笼(5),</t>
    <phoneticPr fontId="1" type="noConversion"/>
  </si>
  <si>
    <t>糯米(5),_x000D_
粽叶(10),</t>
    <phoneticPr fontId="1" type="noConversion"/>
  </si>
  <si>
    <t>愚山乾坤石(10),_x000D_
力量符文叉大(3),</t>
    <phoneticPr fontId="1" type="noConversion"/>
  </si>
  <si>
    <t>欠条大(8),_x000D_
骰子大(4),_x000D_
愚山乾坤石(10),</t>
    <phoneticPr fontId="1" type="noConversion"/>
  </si>
  <si>
    <t>糯米(10),_x000D_
粽叶(10),_x000D_
龙灵不朽藤(4),</t>
    <phoneticPr fontId="1" type="noConversion"/>
  </si>
  <si>
    <t>彗星(25),_x000D_
赤焰十字星(2),_x000D_
魅力符文叉大(7),</t>
    <phoneticPr fontId="1" type="noConversion"/>
  </si>
  <si>
    <t>超进阶素材火(50),_x000D_
超进阶素材光(45),_x000D_
超进阶素材暗(45),</t>
    <phoneticPr fontId="1" type="noConversion"/>
  </si>
  <si>
    <t>欠条中(4),_x000D_
骰子小(8),_x000D_
筹码中(4),_x000D_
庄家令牌小(2),</t>
    <phoneticPr fontId="1" type="noConversion"/>
  </si>
  <si>
    <t>炼妖壶(1),_x000D_
赤焰十字星(7),_x000D_
幸运符文叉大(1),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</si>
  <si>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</si>
  <si>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</si>
  <si>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</si>
  <si>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</si>
  <si>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欠条大(8),_x000D_
骰子大(4),_x000D_
龙灵不朽藤(9),</t>
    <phoneticPr fontId="1" type="noConversion"/>
  </si>
  <si>
    <t>欠条小(8),_x000D_
钱袋小(9),_x000D_
骰子小(8),_x000D_
筹码小(10),</t>
    <phoneticPr fontId="1" type="noConversion"/>
  </si>
  <si>
    <t>超进阶素材土(9),_x000D_
超进阶素材木(1),_x000D_
超进阶素材光(45),_x000D_
超进阶素材暗(45),</t>
    <phoneticPr fontId="1" type="noConversion"/>
  </si>
  <si>
    <t>牛金宝</t>
    <phoneticPr fontId="1" type="noConversion"/>
  </si>
  <si>
    <t>圆福</t>
    <phoneticPr fontId="1" type="noConversion"/>
  </si>
  <si>
    <t>樱灵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</si>
</sst>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5" fillId="0" borderId="1" xfId="0" applyFont="1" applyBorder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128</xdr:row>
          <xdr:rowOff>28575</xdr:rowOff>
        </xdr:from>
        <xdr:to>
          <xdr:col>1</xdr:col>
          <xdr:colOff>428625</xdr:colOff>
          <xdr:row>129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</xdr:row>
          <xdr:rowOff>28575</xdr:rowOff>
        </xdr:from>
        <xdr:to>
          <xdr:col>1</xdr:col>
          <xdr:colOff>428625</xdr:colOff>
          <xdr:row>18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28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S22" sqref="BS19:BS22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78</v>
      </c>
      <c r="B1" s="8" t="s">
        <v>79</v>
      </c>
      <c r="C1" s="8" t="s">
        <v>81</v>
      </c>
      <c r="D1" s="8" t="s">
        <v>80</v>
      </c>
      <c r="E1" s="9" t="s">
        <v>3</v>
      </c>
      <c r="F1" s="9" t="s">
        <v>4</v>
      </c>
      <c r="G1" s="9" t="s">
        <v>14</v>
      </c>
      <c r="H1" s="9" t="s">
        <v>24</v>
      </c>
      <c r="I1" s="9" t="s">
        <v>25</v>
      </c>
      <c r="J1" s="9" t="s">
        <v>76</v>
      </c>
      <c r="K1" s="9" t="s">
        <v>26</v>
      </c>
      <c r="L1" s="9" t="s">
        <v>47</v>
      </c>
      <c r="M1" s="9" t="s">
        <v>49</v>
      </c>
      <c r="N1" s="9" t="s">
        <v>54</v>
      </c>
      <c r="O1" s="9" t="s">
        <v>48</v>
      </c>
      <c r="P1" s="27" t="s">
        <v>116</v>
      </c>
      <c r="Q1" s="27" t="s">
        <v>128</v>
      </c>
      <c r="R1" s="27" t="s">
        <v>122</v>
      </c>
      <c r="S1" s="27" t="s">
        <v>117</v>
      </c>
      <c r="T1" s="27" t="s">
        <v>126</v>
      </c>
      <c r="U1" s="27" t="s">
        <v>132</v>
      </c>
      <c r="V1" s="27" t="s">
        <v>118</v>
      </c>
      <c r="W1" s="27" t="s">
        <v>125</v>
      </c>
      <c r="X1" s="27" t="s">
        <v>123</v>
      </c>
      <c r="Y1" s="27" t="s">
        <v>119</v>
      </c>
      <c r="Z1" s="27" t="s">
        <v>127</v>
      </c>
      <c r="AA1" s="27" t="s">
        <v>134</v>
      </c>
      <c r="AB1" s="27" t="s">
        <v>121</v>
      </c>
      <c r="AC1" s="27" t="s">
        <v>120</v>
      </c>
      <c r="AD1" s="27" t="s">
        <v>145</v>
      </c>
      <c r="AE1" s="8" t="s">
        <v>9</v>
      </c>
      <c r="AF1" s="8" t="s">
        <v>32</v>
      </c>
      <c r="AG1" s="8" t="s">
        <v>33</v>
      </c>
      <c r="AH1" s="8" t="s">
        <v>66</v>
      </c>
      <c r="AI1" s="8" t="s">
        <v>67</v>
      </c>
      <c r="AJ1" s="8" t="s">
        <v>69</v>
      </c>
      <c r="AK1" s="8" t="s">
        <v>70</v>
      </c>
      <c r="AL1" s="8" t="s">
        <v>72</v>
      </c>
      <c r="AM1" s="8" t="s">
        <v>55</v>
      </c>
      <c r="AN1" s="8" t="s">
        <v>57</v>
      </c>
      <c r="AO1" s="8" t="s">
        <v>104</v>
      </c>
      <c r="AP1" s="8" t="s">
        <v>105</v>
      </c>
      <c r="AQ1" s="10" t="s">
        <v>44</v>
      </c>
      <c r="AR1" s="10" t="s">
        <v>5</v>
      </c>
      <c r="AS1" s="10" t="s">
        <v>30</v>
      </c>
      <c r="AT1" s="10" t="s">
        <v>59</v>
      </c>
      <c r="AU1" s="10" t="s">
        <v>64</v>
      </c>
      <c r="AV1" s="10" t="s">
        <v>53</v>
      </c>
      <c r="AW1" s="11" t="s">
        <v>6</v>
      </c>
      <c r="AX1" s="11" t="s">
        <v>7</v>
      </c>
      <c r="AY1" s="11" t="s">
        <v>45</v>
      </c>
      <c r="AZ1" s="11" t="s">
        <v>8</v>
      </c>
      <c r="BA1" s="11" t="s">
        <v>52</v>
      </c>
      <c r="BB1" s="11" t="s">
        <v>13</v>
      </c>
      <c r="BC1" s="25" t="s">
        <v>101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36</v>
      </c>
      <c r="BK1" s="8" t="s">
        <v>37</v>
      </c>
      <c r="BL1" s="8" t="s">
        <v>38</v>
      </c>
      <c r="BM1" s="8" t="s">
        <v>39</v>
      </c>
      <c r="BN1" s="8" t="s">
        <v>40</v>
      </c>
      <c r="BO1" s="8" t="s">
        <v>41</v>
      </c>
      <c r="BP1" s="12" t="s">
        <v>86</v>
      </c>
      <c r="BQ1" s="8" t="s">
        <v>87</v>
      </c>
      <c r="BR1" s="16" t="s">
        <v>88</v>
      </c>
      <c r="BS1" s="16"/>
      <c r="BT1" s="10" t="s">
        <v>44</v>
      </c>
      <c r="BU1" s="10" t="s">
        <v>5</v>
      </c>
      <c r="BV1" s="10" t="s">
        <v>30</v>
      </c>
      <c r="BW1" s="10" t="s">
        <v>59</v>
      </c>
      <c r="BX1" s="10" t="s">
        <v>64</v>
      </c>
      <c r="BY1" s="10" t="s">
        <v>53</v>
      </c>
      <c r="BZ1" s="11" t="s">
        <v>6</v>
      </c>
      <c r="CA1" s="11" t="s">
        <v>7</v>
      </c>
      <c r="CB1" s="11" t="s">
        <v>45</v>
      </c>
      <c r="CC1" s="11" t="s">
        <v>8</v>
      </c>
      <c r="CD1" s="11" t="s">
        <v>52</v>
      </c>
      <c r="CE1" s="11" t="s">
        <v>13</v>
      </c>
      <c r="CF1" s="8"/>
      <c r="CG1" s="10" t="s">
        <v>44</v>
      </c>
      <c r="CH1" s="10" t="s">
        <v>5</v>
      </c>
      <c r="CI1" s="10" t="s">
        <v>30</v>
      </c>
      <c r="CJ1" s="10" t="s">
        <v>59</v>
      </c>
      <c r="CK1" s="10" t="s">
        <v>64</v>
      </c>
      <c r="CL1" s="10" t="s">
        <v>53</v>
      </c>
      <c r="CM1" s="11" t="s">
        <v>6</v>
      </c>
      <c r="CN1" s="11" t="s">
        <v>7</v>
      </c>
      <c r="CO1" s="11" t="s">
        <v>45</v>
      </c>
      <c r="CP1" s="11" t="s">
        <v>8</v>
      </c>
      <c r="CQ1" s="11" t="s">
        <v>52</v>
      </c>
      <c r="CR1" s="11" t="s">
        <v>13</v>
      </c>
      <c r="CS1" s="8"/>
    </row>
    <row r="2" spans="1:97" s="49" customFormat="1" x14ac:dyDescent="0.15">
      <c r="A2" s="41">
        <v>4</v>
      </c>
      <c r="B2" s="41" t="s">
        <v>10</v>
      </c>
      <c r="C2" s="41" t="s">
        <v>2</v>
      </c>
      <c r="D2" s="41" t="s">
        <v>12</v>
      </c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4"/>
      <c r="AR2" s="44"/>
      <c r="AS2" s="44"/>
      <c r="AT2" s="44"/>
      <c r="AU2" s="44"/>
      <c r="AV2" s="44"/>
      <c r="AW2" s="45"/>
      <c r="AX2" s="45"/>
      <c r="AY2" s="45"/>
      <c r="AZ2" s="45"/>
      <c r="BA2" s="45"/>
      <c r="BB2" s="45"/>
      <c r="BC2" s="46"/>
      <c r="BD2" s="41"/>
      <c r="BE2" s="41"/>
      <c r="BF2" s="41">
        <v>20</v>
      </c>
      <c r="BG2" s="41">
        <v>20</v>
      </c>
      <c r="BH2" s="41">
        <v>20</v>
      </c>
      <c r="BI2" s="41">
        <v>20</v>
      </c>
      <c r="BJ2" s="41"/>
      <c r="BK2" s="41"/>
      <c r="BL2" s="41"/>
      <c r="BM2" s="41"/>
      <c r="BN2" s="41"/>
      <c r="BO2" s="41"/>
      <c r="BP2" s="41">
        <f>SUM(E2:BO2)</f>
        <v>80</v>
      </c>
      <c r="BQ2" s="41">
        <v>0</v>
      </c>
      <c r="BR2" s="47">
        <v>0</v>
      </c>
      <c r="BS2" s="47"/>
      <c r="BT2" s="41" t="str">
        <f>IF(AQ2&gt;AQ$122, AQ2-AQ$122,"")</f>
        <v/>
      </c>
      <c r="BU2" s="41" t="str">
        <f>IF(AR2&gt;AR$122, AR2-AR$122,"")</f>
        <v/>
      </c>
      <c r="BV2" s="41" t="str">
        <f>IF(AS2&gt;AS$122, AS2-AS$122,"")</f>
        <v/>
      </c>
      <c r="BW2" s="41" t="str">
        <f>IF(AT2&gt;AT$122, AT2-AT$122,"")</f>
        <v/>
      </c>
      <c r="BX2" s="41" t="str">
        <f>IF(AU2&gt;AU$122, AU2-AU$122,"")</f>
        <v/>
      </c>
      <c r="BY2" s="41" t="str">
        <f>IF(AV2&gt;AV$122, AV2-AV$122,"")</f>
        <v/>
      </c>
      <c r="BZ2" s="41" t="str">
        <f>IF(AW2&gt;AW$122, AW2-AW$122,"")</f>
        <v/>
      </c>
      <c r="CA2" s="41" t="str">
        <f>IF(AX2&gt;AX$122, AX2-AX$122,"")</f>
        <v/>
      </c>
      <c r="CB2" s="41" t="str">
        <f>IF(AY2&gt;AY$122, AY2-AY$122,"")</f>
        <v/>
      </c>
      <c r="CC2" s="41" t="str">
        <f>IF(AZ2&gt;AZ$122, AZ2-AZ$122,"")</f>
        <v/>
      </c>
      <c r="CD2" s="41" t="str">
        <f>IF(BA2&gt;BA$122, BA2-BA$122,"")</f>
        <v/>
      </c>
      <c r="CE2" s="41" t="str">
        <f>IF(BB2&gt;BB$122, BB2-BB$122,"")</f>
        <v/>
      </c>
      <c r="CF2" s="41">
        <f>12-COUNTA(BT2:CE2)</f>
        <v>0</v>
      </c>
      <c r="CG2" s="41" t="str">
        <f>IF($CF2=1,BT2,"")</f>
        <v/>
      </c>
      <c r="CH2" s="41" t="str">
        <f>IF($CF2=1,BU2,"")</f>
        <v/>
      </c>
      <c r="CI2" s="41" t="str">
        <f>IF($CF2=1,BV2,"")</f>
        <v/>
      </c>
      <c r="CJ2" s="41" t="str">
        <f>IF($CF2=1,BW2,"")</f>
        <v/>
      </c>
      <c r="CK2" s="41" t="str">
        <f>IF($CF2=1,BX2,"")</f>
        <v/>
      </c>
      <c r="CL2" s="41" t="str">
        <f>IF($CF2=1,BY2,"")</f>
        <v/>
      </c>
      <c r="CM2" s="41" t="str">
        <f>IF($CF2=1,BZ2,"")</f>
        <v/>
      </c>
      <c r="CN2" s="41" t="str">
        <f>IF($CF2=1,CA2,"")</f>
        <v/>
      </c>
      <c r="CO2" s="41" t="str">
        <f>IF($CF2=1,CB2,"")</f>
        <v/>
      </c>
      <c r="CP2" s="41" t="str">
        <f>IF($CF2=1,CC2,"")</f>
        <v/>
      </c>
      <c r="CQ2" s="41" t="str">
        <f>IF($CF2=1,CD2,"")</f>
        <v/>
      </c>
      <c r="CR2" s="41" t="str">
        <f>IF($CF2=1,CE2,"")</f>
        <v/>
      </c>
      <c r="CS2" s="48">
        <f>SUM(AE2:BO2)</f>
        <v>80</v>
      </c>
    </row>
    <row r="3" spans="1:97" x14ac:dyDescent="0.15">
      <c r="A3" s="1">
        <v>15</v>
      </c>
      <c r="B3" s="1" t="s">
        <v>27</v>
      </c>
      <c r="C3" s="1" t="s">
        <v>28</v>
      </c>
      <c r="D3" s="1" t="s">
        <v>23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IF(AQ3&gt;AQ$122, AQ3-AQ$122,"")</f>
        <v/>
      </c>
      <c r="BU3" s="1" t="str">
        <f>IF(AR3&gt;AR$122, AR3-AR$122,"")</f>
        <v/>
      </c>
      <c r="BV3" s="1" t="str">
        <f>IF(AS3&gt;AS$122, AS3-AS$122,"")</f>
        <v/>
      </c>
      <c r="BW3" s="1" t="str">
        <f>IF(AT3&gt;AT$122, AT3-AT$122,"")</f>
        <v/>
      </c>
      <c r="BX3" s="1" t="str">
        <f>IF(AU3&gt;AU$122, AU3-AU$122,"")</f>
        <v/>
      </c>
      <c r="BY3" s="1" t="str">
        <f>IF(AV3&gt;AV$122, AV3-AV$122,"")</f>
        <v/>
      </c>
      <c r="BZ3" s="1" t="str">
        <f>IF(AW3&gt;AW$122, AW3-AW$122,"")</f>
        <v/>
      </c>
      <c r="CA3" s="1" t="str">
        <f>IF(AX3&gt;AX$122, AX3-AX$122,"")</f>
        <v/>
      </c>
      <c r="CB3" s="1" t="str">
        <f>IF(AY3&gt;AY$122, AY3-AY$122,"")</f>
        <v/>
      </c>
      <c r="CC3" s="1" t="str">
        <f>IF(AZ3&gt;AZ$122, AZ3-AZ$122,"")</f>
        <v/>
      </c>
      <c r="CD3" s="1" t="str">
        <f>IF(BA3&gt;BA$122, BA3-BA$122,"")</f>
        <v/>
      </c>
      <c r="CE3" s="1" t="str">
        <f>IF(BB3&gt;BB$122, BB3-BB$122,"")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42</v>
      </c>
      <c r="C4" s="1" t="s">
        <v>43</v>
      </c>
      <c r="D4" s="1" t="s">
        <v>23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IF(AQ4&gt;AQ$122, AQ4-AQ$122,"")</f>
        <v/>
      </c>
      <c r="BU4" s="1" t="str">
        <f>IF(AR4&gt;AR$122, AR4-AR$122,"")</f>
        <v/>
      </c>
      <c r="BV4" s="1" t="str">
        <f>IF(AS4&gt;AS$122, AS4-AS$122,"")</f>
        <v/>
      </c>
      <c r="BW4" s="1" t="str">
        <f>IF(AT4&gt;AT$122, AT4-AT$122,"")</f>
        <v/>
      </c>
      <c r="BX4" s="1" t="str">
        <f>IF(AU4&gt;AU$122, AU4-AU$122,"")</f>
        <v/>
      </c>
      <c r="BY4" s="1" t="str">
        <f>IF(AV4&gt;AV$122, AV4-AV$122,"")</f>
        <v/>
      </c>
      <c r="BZ4" s="1" t="str">
        <f>IF(AW4&gt;AW$122, AW4-AW$122,"")</f>
        <v/>
      </c>
      <c r="CA4" s="1" t="str">
        <f>IF(AX4&gt;AX$122, AX4-AX$122,"")</f>
        <v/>
      </c>
      <c r="CB4" s="1" t="str">
        <f>IF(AY4&gt;AY$122, AY4-AY$122,"")</f>
        <v/>
      </c>
      <c r="CC4" s="1" t="str">
        <f>IF(AZ4&gt;AZ$122, AZ4-AZ$122,"")</f>
        <v/>
      </c>
      <c r="CD4" s="1" t="str">
        <f>IF(BA4&gt;BA$122, BA4-BA$122,"")</f>
        <v/>
      </c>
      <c r="CE4" s="1" t="str">
        <f>IF(BB4&gt;BB$122, BB4-BB$122,"")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50</v>
      </c>
      <c r="C5" s="1" t="s">
        <v>51</v>
      </c>
      <c r="D5" s="1" t="s">
        <v>12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IF(AQ5&gt;AQ$122, AQ5-AQ$122,"")</f>
        <v/>
      </c>
      <c r="BU5" s="1" t="str">
        <f>IF(AR5&gt;AR$122, AR5-AR$122,"")</f>
        <v/>
      </c>
      <c r="BV5" s="1" t="str">
        <f>IF(AS5&gt;AS$122, AS5-AS$122,"")</f>
        <v/>
      </c>
      <c r="BW5" s="1" t="str">
        <f>IF(AT5&gt;AT$122, AT5-AT$122,"")</f>
        <v/>
      </c>
      <c r="BX5" s="1" t="str">
        <f>IF(AU5&gt;AU$122, AU5-AU$122,"")</f>
        <v/>
      </c>
      <c r="BY5" s="1" t="str">
        <f>IF(AV5&gt;AV$122, AV5-AV$122,"")</f>
        <v/>
      </c>
      <c r="BZ5" s="1" t="str">
        <f>IF(AW5&gt;AW$122, AW5-AW$122,"")</f>
        <v/>
      </c>
      <c r="CA5" s="1" t="str">
        <f>IF(AX5&gt;AX$122, AX5-AX$122,"")</f>
        <v/>
      </c>
      <c r="CB5" s="1" t="str">
        <f>IF(AY5&gt;AY$122, AY5-AY$122,"")</f>
        <v/>
      </c>
      <c r="CC5" s="1" t="str">
        <f>IF(AZ5&gt;AZ$122, AZ5-AZ$122,"")</f>
        <v/>
      </c>
      <c r="CD5" s="1" t="str">
        <f>IF(BA5&gt;BA$122, BA5-BA$122,"")</f>
        <v/>
      </c>
      <c r="CE5" s="1" t="str">
        <f>IF(BB5&gt;BB$122, BB5-BB$122,"")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98</v>
      </c>
      <c r="C6" s="1" t="s">
        <v>99</v>
      </c>
      <c r="D6" s="1" t="s">
        <v>97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IF(AQ6&gt;AQ$122, AQ6-AQ$122,"")</f>
        <v/>
      </c>
      <c r="BU6" s="1" t="str">
        <f>IF(AR6&gt;AR$122, AR6-AR$122,"")</f>
        <v/>
      </c>
      <c r="BV6" s="1" t="str">
        <f>IF(AS6&gt;AS$122, AS6-AS$122,"")</f>
        <v/>
      </c>
      <c r="BW6" s="1" t="str">
        <f>IF(AT6&gt;AT$122, AT6-AT$122,"")</f>
        <v/>
      </c>
      <c r="BX6" s="1" t="str">
        <f>IF(AU6&gt;AU$122, AU6-AU$122,"")</f>
        <v/>
      </c>
      <c r="BY6" s="1" t="str">
        <f>IF(AV6&gt;AV$122, AV6-AV$122,"")</f>
        <v/>
      </c>
      <c r="BZ6" s="1" t="str">
        <f>IF(AW6&gt;AW$122, AW6-AW$122,"")</f>
        <v/>
      </c>
      <c r="CA6" s="1" t="str">
        <f>IF(AX6&gt;AX$122, AX6-AX$122,"")</f>
        <v/>
      </c>
      <c r="CB6" s="1" t="str">
        <f>IF(AY6&gt;AY$122, AY6-AY$122,"")</f>
        <v/>
      </c>
      <c r="CC6" s="1" t="str">
        <f>IF(AZ6&gt;AZ$122, AZ6-AZ$122,"")</f>
        <v/>
      </c>
      <c r="CD6" s="1" t="str">
        <f>IF(BA6&gt;BA$122, BA6-BA$122,"")</f>
        <v/>
      </c>
      <c r="CE6" s="1" t="str">
        <f>IF(BB6&gt;BB$122, BB6-BB$122,"")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162</v>
      </c>
      <c r="C7" s="1" t="s">
        <v>107</v>
      </c>
      <c r="D7" s="1" t="s">
        <v>97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IF(AQ7&gt;AQ$122, AQ7-AQ$122,"")</f>
        <v/>
      </c>
      <c r="BU7" s="1" t="str">
        <f>IF(AR7&gt;AR$122, AR7-AR$122,"")</f>
        <v/>
      </c>
      <c r="BV7" s="1" t="str">
        <f>IF(AS7&gt;AS$122, AS7-AS$122,"")</f>
        <v/>
      </c>
      <c r="BW7" s="1" t="str">
        <f>IF(AT7&gt;AT$122, AT7-AT$122,"")</f>
        <v/>
      </c>
      <c r="BX7" s="1" t="str">
        <f>IF(AU7&gt;AU$122, AU7-AU$122,"")</f>
        <v/>
      </c>
      <c r="BY7" s="1" t="str">
        <f>IF(AV7&gt;AV$122, AV7-AV$122,"")</f>
        <v/>
      </c>
      <c r="BZ7" s="1" t="str">
        <f>IF(AW7&gt;AW$122, AW7-AW$122,"")</f>
        <v/>
      </c>
      <c r="CA7" s="1" t="str">
        <f>IF(AX7&gt;AX$122, AX7-AX$122,"")</f>
        <v/>
      </c>
      <c r="CB7" s="1" t="str">
        <f>IF(AY7&gt;AY$122, AY7-AY$122,"")</f>
        <v/>
      </c>
      <c r="CC7" s="1" t="str">
        <f>IF(AZ7&gt;AZ$122, AZ7-AZ$122,"")</f>
        <v/>
      </c>
      <c r="CD7" s="1" t="str">
        <f>IF(BA7&gt;BA$122, BA7-BA$122,"")</f>
        <v/>
      </c>
      <c r="CE7" s="1" t="str">
        <f>IF(BB7&gt;BB$122, BB7-BB$122,"")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170</v>
      </c>
      <c r="C8" s="1" t="s">
        <v>95</v>
      </c>
      <c r="D8" s="1" t="s">
        <v>97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IF(AQ8&gt;AQ$122, AQ8-AQ$122,"")</f>
        <v/>
      </c>
      <c r="BU8" s="1" t="str">
        <f>IF(AR8&gt;AR$122, AR8-AR$122,"")</f>
        <v/>
      </c>
      <c r="BV8" s="1" t="str">
        <f>IF(AS8&gt;AS$122, AS8-AS$122,"")</f>
        <v/>
      </c>
      <c r="BW8" s="1" t="str">
        <f>IF(AT8&gt;AT$122, AT8-AT$122,"")</f>
        <v/>
      </c>
      <c r="BX8" s="1" t="str">
        <f>IF(AU8&gt;AU$122, AU8-AU$122,"")</f>
        <v/>
      </c>
      <c r="BY8" s="1" t="str">
        <f>IF(AV8&gt;AV$122, AV8-AV$122,"")</f>
        <v/>
      </c>
      <c r="BZ8" s="1" t="str">
        <f>IF(AW8&gt;AW$122, AW8-AW$122,"")</f>
        <v/>
      </c>
      <c r="CA8" s="1" t="str">
        <f>IF(AX8&gt;AX$122, AX8-AX$122,"")</f>
        <v/>
      </c>
      <c r="CB8" s="1" t="str">
        <f>IF(AY8&gt;AY$122, AY8-AY$122,"")</f>
        <v/>
      </c>
      <c r="CC8" s="1" t="str">
        <f>IF(AZ8&gt;AZ$122, AZ8-AZ$122,"")</f>
        <v/>
      </c>
      <c r="CD8" s="1" t="str">
        <f>IF(BA8&gt;BA$122, BA8-BA$122,"")</f>
        <v/>
      </c>
      <c r="CE8" s="1" t="str">
        <f>IF(BB8&gt;BB$122, BB8-BB$122,"")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s="39" customFormat="1" x14ac:dyDescent="0.15">
      <c r="A9" s="31">
        <v>84</v>
      </c>
      <c r="B9" s="32" t="s">
        <v>179</v>
      </c>
      <c r="C9" s="32" t="s">
        <v>58</v>
      </c>
      <c r="D9" s="31" t="s">
        <v>12</v>
      </c>
      <c r="E9" s="33"/>
      <c r="F9" s="33"/>
      <c r="G9" s="33">
        <v>5</v>
      </c>
      <c r="H9" s="33">
        <v>5</v>
      </c>
      <c r="I9" s="33"/>
      <c r="J9" s="33"/>
      <c r="K9" s="33"/>
      <c r="L9" s="33"/>
      <c r="M9" s="33"/>
      <c r="N9" s="33"/>
      <c r="O9" s="33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5"/>
      <c r="AR9" s="35"/>
      <c r="AS9" s="35"/>
      <c r="AT9" s="35"/>
      <c r="AU9" s="35"/>
      <c r="AV9" s="35"/>
      <c r="AW9" s="36"/>
      <c r="AX9" s="36"/>
      <c r="AY9" s="36"/>
      <c r="AZ9" s="36"/>
      <c r="BA9" s="36">
        <v>5</v>
      </c>
      <c r="BB9" s="36">
        <v>5</v>
      </c>
      <c r="BC9" s="37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>
        <f>SUM(E9:BO9)</f>
        <v>20</v>
      </c>
      <c r="BQ9" s="31">
        <v>0</v>
      </c>
      <c r="BR9" s="38">
        <v>0</v>
      </c>
      <c r="BS9" s="38"/>
      <c r="BT9" s="31" t="str">
        <f>IF(AQ9&gt;AQ$122, AQ9-AQ$122,"")</f>
        <v/>
      </c>
      <c r="BU9" s="31" t="str">
        <f>IF(AR9&gt;AR$122, AR9-AR$122,"")</f>
        <v/>
      </c>
      <c r="BV9" s="31" t="str">
        <f>IF(AS9&gt;AS$122, AS9-AS$122,"")</f>
        <v/>
      </c>
      <c r="BW9" s="31" t="str">
        <f>IF(AT9&gt;AT$122, AT9-AT$122,"")</f>
        <v/>
      </c>
      <c r="BX9" s="31" t="str">
        <f>IF(AU9&gt;AU$122, AU9-AU$122,"")</f>
        <v/>
      </c>
      <c r="BY9" s="31" t="str">
        <f>IF(AV9&gt;AV$122, AV9-AV$122,"")</f>
        <v/>
      </c>
      <c r="BZ9" s="31" t="str">
        <f>IF(AW9&gt;AW$122, AW9-AW$122,"")</f>
        <v/>
      </c>
      <c r="CA9" s="31" t="str">
        <f>IF(AX9&gt;AX$122, AX9-AX$122,"")</f>
        <v/>
      </c>
      <c r="CB9" s="31" t="str">
        <f>IF(AY9&gt;AY$122, AY9-AY$122,"")</f>
        <v/>
      </c>
      <c r="CC9" s="31" t="str">
        <f>IF(AZ9&gt;AZ$122, AZ9-AZ$122,"")</f>
        <v/>
      </c>
      <c r="CD9" s="31" t="str">
        <f>IF(BA9&gt;BA$122, BA9-BA$122,"")</f>
        <v/>
      </c>
      <c r="CE9" s="31" t="str">
        <f>IF(BB9&gt;BB$122, BB9-BB$122,"")</f>
        <v/>
      </c>
      <c r="CF9" s="31">
        <f>COUNTIF(BT9:CE9, "&gt;0")</f>
        <v>0</v>
      </c>
      <c r="CG9" s="31" t="str">
        <f>IF($CF9=1,BT9,"")</f>
        <v/>
      </c>
      <c r="CH9" s="31" t="str">
        <f>IF($CF9=1,BU9,"")</f>
        <v/>
      </c>
      <c r="CI9" s="31" t="str">
        <f>IF($CF9=1,BV9,"")</f>
        <v/>
      </c>
      <c r="CJ9" s="31" t="str">
        <f>IF($CF9=1,BW9,"")</f>
        <v/>
      </c>
      <c r="CK9" s="31" t="str">
        <f>IF($CF9=1,BX9,"")</f>
        <v/>
      </c>
      <c r="CL9" s="31" t="str">
        <f>IF($CF9=1,BY9,"")</f>
        <v/>
      </c>
      <c r="CM9" s="31" t="str">
        <f>IF($CF9=1,BZ9,"")</f>
        <v/>
      </c>
      <c r="CN9" s="31" t="str">
        <f>IF($CF9=1,CA9,"")</f>
        <v/>
      </c>
      <c r="CO9" s="31" t="str">
        <f>IF($CF9=1,CB9,"")</f>
        <v/>
      </c>
      <c r="CP9" s="31" t="str">
        <f>IF($CF9=1,CC9,"")</f>
        <v/>
      </c>
      <c r="CQ9" s="31" t="str">
        <f>IF($CF9=1,CD9,"")</f>
        <v/>
      </c>
      <c r="CR9" s="31" t="str">
        <f>IF($CF9=1,CE9,"")</f>
        <v/>
      </c>
      <c r="CS9" s="32">
        <f>SUM(AE9:BO9)</f>
        <v>10</v>
      </c>
    </row>
    <row r="10" spans="1:97" x14ac:dyDescent="0.15">
      <c r="A10" s="1"/>
      <c r="B10" s="1" t="s">
        <v>175</v>
      </c>
      <c r="C10" s="1" t="s">
        <v>110</v>
      </c>
      <c r="D10" s="1" t="s">
        <v>97</v>
      </c>
      <c r="E10" s="6"/>
      <c r="F10" s="6"/>
      <c r="G10" s="6"/>
      <c r="H10" s="6">
        <v>10</v>
      </c>
      <c r="I10" s="6"/>
      <c r="J10" s="6">
        <v>10</v>
      </c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>
        <v>10</v>
      </c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 s="1" t="str">
        <f>IF(AQ10&gt;AQ$122, AQ10-AQ$122,"")</f>
        <v/>
      </c>
      <c r="BU10" s="1" t="str">
        <f>IF(AR10&gt;AR$122, AR10-AR$122,"")</f>
        <v/>
      </c>
      <c r="BV10" s="1" t="str">
        <f>IF(AS10&gt;AS$122, AS10-AS$122,"")</f>
        <v/>
      </c>
      <c r="BW10" s="1" t="str">
        <f>IF(AT10&gt;AT$122, AT10-AT$122,"")</f>
        <v/>
      </c>
      <c r="BX10" s="1" t="str">
        <f>IF(AU10&gt;AU$122, AU10-AU$122,"")</f>
        <v/>
      </c>
      <c r="BY10" s="1" t="str">
        <f>IF(AV10&gt;AV$122, AV10-AV$122,"")</f>
        <v/>
      </c>
      <c r="BZ10" s="1" t="str">
        <f>IF(AW10&gt;AW$122, AW10-AW$122,"")</f>
        <v/>
      </c>
      <c r="CA10" s="1" t="str">
        <f>IF(AX10&gt;AX$122, AX10-AX$122,"")</f>
        <v/>
      </c>
      <c r="CB10" s="1" t="str">
        <f>IF(AY10&gt;AY$122, AY10-AY$122,"")</f>
        <v/>
      </c>
      <c r="CC10" s="1" t="str">
        <f>IF(AZ10&gt;AZ$122, AZ10-AZ$122,"")</f>
        <v/>
      </c>
      <c r="CD10" s="1" t="str">
        <f>IF(BA10&gt;BA$122, BA10-BA$122,"")</f>
        <v/>
      </c>
      <c r="CE10" s="1" t="str">
        <f>IF(BB10&gt;BB$122, BB10-BB$122,"")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3"/>
    </row>
    <row r="11" spans="1:97" x14ac:dyDescent="0.15">
      <c r="A11" s="1"/>
      <c r="B11" s="1" t="s">
        <v>177</v>
      </c>
      <c r="C11" s="1" t="s">
        <v>110</v>
      </c>
      <c r="D11" s="1" t="s">
        <v>96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10</v>
      </c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0</v>
      </c>
      <c r="BR11" s="17">
        <v>0</v>
      </c>
      <c r="BS11" s="17"/>
      <c r="BT11" s="1" t="str">
        <f>IF(AQ11&gt;AQ$122, AQ11-AQ$122,"")</f>
        <v/>
      </c>
      <c r="BU11" s="1" t="str">
        <f>IF(AR11&gt;AR$122, AR11-AR$122,"")</f>
        <v/>
      </c>
      <c r="BV11" s="1" t="str">
        <f>IF(AS11&gt;AS$122, AS11-AS$122,"")</f>
        <v/>
      </c>
      <c r="BW11" s="1" t="str">
        <f>IF(AT11&gt;AT$122, AT11-AT$122,"")</f>
        <v/>
      </c>
      <c r="BX11" s="1" t="str">
        <f>IF(AU11&gt;AU$122, AU11-AU$122,"")</f>
        <v/>
      </c>
      <c r="BY11" s="1" t="str">
        <f>IF(AV11&gt;AV$122, AV11-AV$122,"")</f>
        <v/>
      </c>
      <c r="BZ11" s="1" t="str">
        <f>IF(AW11&gt;AW$122, AW11-AW$122,"")</f>
        <v/>
      </c>
      <c r="CA11" s="1" t="str">
        <f>IF(AX11&gt;AX$122, AX11-AX$122,"")</f>
        <v/>
      </c>
      <c r="CB11" s="1" t="str">
        <f>IF(AY11&gt;AY$122, AY11-AY$122,"")</f>
        <v/>
      </c>
      <c r="CC11" s="1" t="str">
        <f>IF(AZ11&gt;AZ$122, AZ11-AZ$122,"")</f>
        <v/>
      </c>
      <c r="CD11" s="1" t="str">
        <f>IF(BA11&gt;BA$122, BA11-BA$122,"")</f>
        <v/>
      </c>
      <c r="CE11" s="1" t="str">
        <f>IF(BB11&gt;BB$122, BB11-BB$122,"")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3"/>
    </row>
    <row r="12" spans="1:97" s="23" customFormat="1" x14ac:dyDescent="0.15">
      <c r="A12" s="1"/>
      <c r="B12" s="1" t="s">
        <v>174</v>
      </c>
      <c r="C12" s="1" t="s">
        <v>95</v>
      </c>
      <c r="D12" s="1" t="s">
        <v>97</v>
      </c>
      <c r="E12" s="6"/>
      <c r="F12" s="6"/>
      <c r="G12" s="6"/>
      <c r="H12" s="6">
        <v>6</v>
      </c>
      <c r="I12" s="6"/>
      <c r="J12" s="6"/>
      <c r="K12" s="6">
        <v>6</v>
      </c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>
        <v>10</v>
      </c>
      <c r="AR12" s="4"/>
      <c r="AS12" s="4"/>
      <c r="AT12" s="4"/>
      <c r="AU12" s="4"/>
      <c r="AV12" s="4"/>
      <c r="AW12" s="2">
        <v>10</v>
      </c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0</v>
      </c>
      <c r="BR12" s="17">
        <v>0</v>
      </c>
      <c r="BS12" s="17"/>
      <c r="BT12" s="1" t="str">
        <f>IF(AQ12&gt;AQ$122, AQ12-AQ$122,"")</f>
        <v/>
      </c>
      <c r="BU12" s="1" t="str">
        <f>IF(AR12&gt;AR$122, AR12-AR$122,"")</f>
        <v/>
      </c>
      <c r="BV12" s="1" t="str">
        <f>IF(AS12&gt;AS$122, AS12-AS$122,"")</f>
        <v/>
      </c>
      <c r="BW12" s="1" t="str">
        <f>IF(AT12&gt;AT$122, AT12-AT$122,"")</f>
        <v/>
      </c>
      <c r="BX12" s="1" t="str">
        <f>IF(AU12&gt;AU$122, AU12-AU$122,"")</f>
        <v/>
      </c>
      <c r="BY12" s="1" t="str">
        <f>IF(AV12&gt;AV$122, AV12-AV$122,"")</f>
        <v/>
      </c>
      <c r="BZ12" s="1" t="str">
        <f>IF(AW12&gt;AW$122, AW12-AW$122,"")</f>
        <v/>
      </c>
      <c r="CA12" s="1" t="str">
        <f>IF(AX12&gt;AX$122, AX12-AX$122,"")</f>
        <v/>
      </c>
      <c r="CB12" s="1" t="str">
        <f>IF(AY12&gt;AY$122, AY12-AY$122,"")</f>
        <v/>
      </c>
      <c r="CC12" s="1" t="str">
        <f>IF(AZ12&gt;AZ$122, AZ12-AZ$122,"")</f>
        <v/>
      </c>
      <c r="CD12" s="1" t="str">
        <f>IF(BA12&gt;BA$122, BA12-BA$122,"")</f>
        <v/>
      </c>
      <c r="CE12" s="1" t="str">
        <f>IF(BB12&gt;BB$122, BB12-BB$122,"")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s="23" customFormat="1" x14ac:dyDescent="0.15">
      <c r="A13" s="1"/>
      <c r="B13" s="1" t="s">
        <v>219</v>
      </c>
      <c r="C13" s="1" t="s">
        <v>220</v>
      </c>
      <c r="D13" s="1" t="s">
        <v>221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>
        <v>15</v>
      </c>
      <c r="AV13" s="4"/>
      <c r="AW13" s="2"/>
      <c r="AX13" s="2"/>
      <c r="AY13" s="2">
        <v>15</v>
      </c>
      <c r="AZ13" s="2"/>
      <c r="BA13" s="2">
        <v>10</v>
      </c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40</v>
      </c>
      <c r="BQ13" s="1">
        <v>0</v>
      </c>
      <c r="BR13" s="17">
        <v>0</v>
      </c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3"/>
    </row>
    <row r="14" spans="1:97" x14ac:dyDescent="0.15">
      <c r="A14" s="1">
        <v>39</v>
      </c>
      <c r="B14" s="1" t="s">
        <v>46</v>
      </c>
      <c r="C14" s="1" t="s">
        <v>43</v>
      </c>
      <c r="D14" s="1" t="s">
        <v>23</v>
      </c>
      <c r="E14" s="6"/>
      <c r="F14" s="6">
        <v>6</v>
      </c>
      <c r="G14" s="6"/>
      <c r="H14" s="6"/>
      <c r="I14" s="6"/>
      <c r="J14" s="6"/>
      <c r="K14" s="6"/>
      <c r="L14" s="6">
        <v>6</v>
      </c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>
        <v>10</v>
      </c>
      <c r="AR14" s="4"/>
      <c r="AS14" s="4"/>
      <c r="AT14" s="4"/>
      <c r="AU14" s="4"/>
      <c r="AV14" s="4"/>
      <c r="AW14" s="2"/>
      <c r="AX14" s="2">
        <v>10</v>
      </c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32</v>
      </c>
      <c r="BQ14" s="1">
        <v>0</v>
      </c>
      <c r="BR14" s="17">
        <v>0</v>
      </c>
      <c r="BS14" s="17"/>
      <c r="BT14" s="1" t="str">
        <f>IF(AQ14&gt;AQ$122, AQ14-AQ$122,"")</f>
        <v/>
      </c>
      <c r="BU14" s="1" t="str">
        <f>IF(AR14&gt;AR$122, AR14-AR$122,"")</f>
        <v/>
      </c>
      <c r="BV14" s="1" t="str">
        <f>IF(AS14&gt;AS$122, AS14-AS$122,"")</f>
        <v/>
      </c>
      <c r="BW14" s="1" t="str">
        <f>IF(AT14&gt;AT$122, AT14-AT$122,"")</f>
        <v/>
      </c>
      <c r="BX14" s="1" t="str">
        <f>IF(AU14&gt;AU$122, AU14-AU$122,"")</f>
        <v/>
      </c>
      <c r="BY14" s="1" t="str">
        <f>IF(AV14&gt;AV$122, AV14-AV$122,"")</f>
        <v/>
      </c>
      <c r="BZ14" s="1" t="str">
        <f>IF(AW14&gt;AW$122, AW14-AW$122,"")</f>
        <v/>
      </c>
      <c r="CA14" s="1" t="str">
        <f>IF(AX14&gt;AX$122, AX14-AX$122,"")</f>
        <v/>
      </c>
      <c r="CB14" s="1" t="str">
        <f>IF(AY14&gt;AY$122, AY14-AY$122,"")</f>
        <v/>
      </c>
      <c r="CC14" s="1" t="str">
        <f>IF(AZ14&gt;AZ$122, AZ14-AZ$122,"")</f>
        <v/>
      </c>
      <c r="CD14" s="1" t="str">
        <f>IF(BA14&gt;BA$122, BA14-BA$122,"")</f>
        <v/>
      </c>
      <c r="CE14" s="1" t="str">
        <f>IF(BB14&gt;BB$122, BB14-BB$122,"")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3">
        <f>SUM(AE14:BO14)</f>
        <v>20</v>
      </c>
    </row>
    <row r="15" spans="1:97" x14ac:dyDescent="0.15">
      <c r="A15" s="1"/>
      <c r="B15" s="1" t="s">
        <v>159</v>
      </c>
      <c r="C15" s="1" t="s">
        <v>142</v>
      </c>
      <c r="D15" s="1" t="s">
        <v>115</v>
      </c>
      <c r="E15" s="6"/>
      <c r="F15" s="6"/>
      <c r="G15" s="6"/>
      <c r="H15" s="6"/>
      <c r="I15" s="6"/>
      <c r="J15" s="6"/>
      <c r="K15" s="6"/>
      <c r="L15" s="6">
        <v>6</v>
      </c>
      <c r="M15" s="6"/>
      <c r="N15" s="6"/>
      <c r="O15" s="6">
        <v>6</v>
      </c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>
        <v>10</v>
      </c>
      <c r="BB15" s="2">
        <v>10</v>
      </c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32</v>
      </c>
      <c r="BQ15" s="1">
        <v>0</v>
      </c>
      <c r="BR15" s="17">
        <v>0</v>
      </c>
      <c r="BS15" s="17"/>
      <c r="BT15" s="1" t="str">
        <f>IF(AQ15&gt;AQ$122, AQ15-AQ$122,"")</f>
        <v/>
      </c>
      <c r="BU15" s="1" t="str">
        <f>IF(AR15&gt;AR$122, AR15-AR$122,"")</f>
        <v/>
      </c>
      <c r="BV15" s="1" t="str">
        <f>IF(AS15&gt;AS$122, AS15-AS$122,"")</f>
        <v/>
      </c>
      <c r="BW15" s="1" t="str">
        <f>IF(AT15&gt;AT$122, AT15-AT$122,"")</f>
        <v/>
      </c>
      <c r="BX15" s="1" t="str">
        <f>IF(AU15&gt;AU$122, AU15-AU$122,"")</f>
        <v/>
      </c>
      <c r="BY15" s="1" t="str">
        <f>IF(AV15&gt;AV$122, AV15-AV$122,"")</f>
        <v/>
      </c>
      <c r="BZ15" s="1" t="str">
        <f>IF(AW15&gt;AW$122, AW15-AW$122,"")</f>
        <v/>
      </c>
      <c r="CA15" s="1" t="str">
        <f>IF(AX15&gt;AX$122, AX15-AX$122,"")</f>
        <v/>
      </c>
      <c r="CB15" s="1" t="str">
        <f>IF(AY15&gt;AY$122, AY15-AY$122,"")</f>
        <v/>
      </c>
      <c r="CC15" s="1" t="str">
        <f>IF(AZ15&gt;AZ$122, AZ15-AZ$122,"")</f>
        <v/>
      </c>
      <c r="CD15" s="1" t="str">
        <f>IF(BA15&gt;BA$122, BA15-BA$122,"")</f>
        <v/>
      </c>
      <c r="CE15" s="1" t="str">
        <f>IF(BB15&gt;BB$122, BB15-BB$122,"")</f>
        <v/>
      </c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3"/>
    </row>
    <row r="16" spans="1:97" x14ac:dyDescent="0.15">
      <c r="A16" s="1">
        <v>81</v>
      </c>
      <c r="B16" s="3" t="s">
        <v>61</v>
      </c>
      <c r="C16" s="3" t="s">
        <v>58</v>
      </c>
      <c r="D16" s="1" t="s">
        <v>12</v>
      </c>
      <c r="E16" s="6"/>
      <c r="F16" s="6"/>
      <c r="G16" s="6"/>
      <c r="H16" s="6"/>
      <c r="I16" s="6"/>
      <c r="J16" s="6"/>
      <c r="K16" s="6"/>
      <c r="L16" s="6">
        <v>6</v>
      </c>
      <c r="M16" s="6"/>
      <c r="N16" s="6"/>
      <c r="O16" s="6">
        <v>6</v>
      </c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>
        <v>10</v>
      </c>
      <c r="AU16" s="4"/>
      <c r="AV16" s="4"/>
      <c r="AW16" s="2"/>
      <c r="AX16" s="2"/>
      <c r="AY16" s="2"/>
      <c r="AZ16" s="2"/>
      <c r="BA16" s="2">
        <v>10</v>
      </c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32</v>
      </c>
      <c r="BQ16" s="1">
        <v>0</v>
      </c>
      <c r="BR16" s="17">
        <v>0</v>
      </c>
      <c r="BS16" s="17"/>
      <c r="BT16" s="1" t="str">
        <f>IF(AQ16&gt;AQ$122, AQ16-AQ$122,"")</f>
        <v/>
      </c>
      <c r="BU16" s="1" t="str">
        <f>IF(AR16&gt;AR$122, AR16-AR$122,"")</f>
        <v/>
      </c>
      <c r="BV16" s="1" t="str">
        <f>IF(AS16&gt;AS$122, AS16-AS$122,"")</f>
        <v/>
      </c>
      <c r="BW16" s="1" t="str">
        <f>IF(AT16&gt;AT$122, AT16-AT$122,"")</f>
        <v/>
      </c>
      <c r="BX16" s="1" t="str">
        <f>IF(AU16&gt;AU$122, AU16-AU$122,"")</f>
        <v/>
      </c>
      <c r="BY16" s="1" t="str">
        <f>IF(AV16&gt;AV$122, AV16-AV$122,"")</f>
        <v/>
      </c>
      <c r="BZ16" s="1" t="str">
        <f>IF(AW16&gt;AW$122, AW16-AW$122,"")</f>
        <v/>
      </c>
      <c r="CA16" s="1" t="str">
        <f>IF(AX16&gt;AX$122, AX16-AX$122,"")</f>
        <v/>
      </c>
      <c r="CB16" s="1" t="str">
        <f>IF(AY16&gt;AY$122, AY16-AY$122,"")</f>
        <v/>
      </c>
      <c r="CC16" s="1" t="str">
        <f>IF(AZ16&gt;AZ$122, AZ16-AZ$122,"")</f>
        <v/>
      </c>
      <c r="CD16" s="1" t="str">
        <f>IF(BA16&gt;BA$122, BA16-BA$122,"")</f>
        <v/>
      </c>
      <c r="CE16" s="1" t="str">
        <f>IF(BB16&gt;BB$122, BB16-BB$122,"")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20</v>
      </c>
    </row>
    <row r="17" spans="1:97" x14ac:dyDescent="0.15">
      <c r="A17" s="1"/>
      <c r="B17" s="1" t="s">
        <v>196</v>
      </c>
      <c r="C17" s="1" t="s">
        <v>110</v>
      </c>
      <c r="D17" s="1" t="s">
        <v>97</v>
      </c>
      <c r="E17" s="6"/>
      <c r="F17" s="6">
        <v>6</v>
      </c>
      <c r="G17" s="6"/>
      <c r="H17" s="6"/>
      <c r="I17" s="6"/>
      <c r="J17" s="6"/>
      <c r="K17" s="6"/>
      <c r="L17" s="6"/>
      <c r="M17" s="6"/>
      <c r="N17" s="6"/>
      <c r="O17" s="6">
        <v>6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>
        <v>10</v>
      </c>
      <c r="AU17" s="4"/>
      <c r="AV17" s="4"/>
      <c r="AW17" s="2"/>
      <c r="AX17" s="2"/>
      <c r="AY17" s="2">
        <v>10</v>
      </c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32</v>
      </c>
      <c r="BQ17" s="1">
        <v>0</v>
      </c>
      <c r="BR17" s="17">
        <v>0</v>
      </c>
      <c r="BS17" s="17"/>
      <c r="BT17" s="1" t="str">
        <f>IF(AQ17&gt;AQ$122, AQ17-AQ$122,"")</f>
        <v/>
      </c>
      <c r="BU17" s="1" t="str">
        <f>IF(AR17&gt;AR$122, AR17-AR$122,"")</f>
        <v/>
      </c>
      <c r="BV17" s="1" t="str">
        <f>IF(AS17&gt;AS$122, AS17-AS$122,"")</f>
        <v/>
      </c>
      <c r="BW17" s="1" t="str">
        <f>IF(AT17&gt;AT$122, AT17-AT$122,"")</f>
        <v/>
      </c>
      <c r="BX17" s="1" t="str">
        <f>IF(AU17&gt;AU$122, AU17-AU$122,"")</f>
        <v/>
      </c>
      <c r="BY17" s="1" t="str">
        <f>IF(AV17&gt;AV$122, AV17-AV$122,"")</f>
        <v/>
      </c>
      <c r="BZ17" s="1" t="str">
        <f>IF(AW17&gt;AW$122, AW17-AW$122,"")</f>
        <v/>
      </c>
      <c r="CA17" s="1" t="str">
        <f>IF(AX17&gt;AX$122, AX17-AX$122,"")</f>
        <v/>
      </c>
      <c r="CB17" s="1" t="str">
        <f>IF(AY17&gt;AY$122, AY17-AY$122,"")</f>
        <v/>
      </c>
      <c r="CC17" s="1" t="str">
        <f>IF(AZ17&gt;AZ$122, AZ17-AZ$122,"")</f>
        <v/>
      </c>
      <c r="CD17" s="1" t="str">
        <f>IF(BA17&gt;BA$122, BA17-BA$122,"")</f>
        <v/>
      </c>
      <c r="CE17" s="1" t="str">
        <f>IF(BB17&gt;BB$122, BB17-BB$122,"")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3"/>
    </row>
    <row r="18" spans="1:97" s="23" customFormat="1" x14ac:dyDescent="0.15">
      <c r="A18" s="1">
        <v>18</v>
      </c>
      <c r="B18" s="1" t="s">
        <v>31</v>
      </c>
      <c r="C18" s="1" t="s">
        <v>28</v>
      </c>
      <c r="D18" s="1" t="s">
        <v>22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>
        <v>5</v>
      </c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1</v>
      </c>
      <c r="BR18" s="17">
        <v>1</v>
      </c>
      <c r="BS18" s="17" t="s">
        <v>228</v>
      </c>
      <c r="BT18" s="1" t="str">
        <f>IF(AQ18&gt;AQ$122, AQ18-AQ$122,"")</f>
        <v/>
      </c>
      <c r="BU18" s="1" t="str">
        <f>IF(AR18&gt;AR$122, AR18-AR$122,"")</f>
        <v/>
      </c>
      <c r="BV18" s="1" t="str">
        <f>IF(AS18&gt;AS$122, AS18-AS$122,"")</f>
        <v/>
      </c>
      <c r="BW18" s="1" t="str">
        <f>IF(AT18&gt;AT$122, AT18-AT$122,"")</f>
        <v/>
      </c>
      <c r="BX18" s="1" t="str">
        <f>IF(AU18&gt;AU$122, AU18-AU$122,"")</f>
        <v/>
      </c>
      <c r="BY18" s="1" t="str">
        <f>IF(AV18&gt;AV$122, AV18-AV$122,"")</f>
        <v/>
      </c>
      <c r="BZ18" s="1" t="str">
        <f>IF(AW18&gt;AW$122, AW18-AW$122,"")</f>
        <v/>
      </c>
      <c r="CA18" s="1" t="str">
        <f>IF(AX18&gt;AX$122, AX18-AX$122,"")</f>
        <v/>
      </c>
      <c r="CB18" s="1" t="str">
        <f>IF(AY18&gt;AY$122, AY18-AY$122,"")</f>
        <v/>
      </c>
      <c r="CC18" s="1" t="str">
        <f>IF(AZ18&gt;AZ$122, AZ18-AZ$122,"")</f>
        <v/>
      </c>
      <c r="CD18" s="1" t="str">
        <f>IF(BA18&gt;BA$122, BA18-BA$122,"")</f>
        <v/>
      </c>
      <c r="CE18" s="1" t="str">
        <f>IF(BB18&gt;BB$122, BB18-BB$122,"")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s="50" customFormat="1" x14ac:dyDescent="0.15">
      <c r="A19" s="41">
        <v>19</v>
      </c>
      <c r="B19" s="41" t="s">
        <v>34</v>
      </c>
      <c r="C19" s="41" t="s">
        <v>28</v>
      </c>
      <c r="D19" s="41" t="s">
        <v>21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1"/>
      <c r="AF19" s="41"/>
      <c r="AG19" s="41">
        <v>5</v>
      </c>
      <c r="AH19" s="41"/>
      <c r="AI19" s="41"/>
      <c r="AJ19" s="41"/>
      <c r="AK19" s="41"/>
      <c r="AL19" s="41"/>
      <c r="AM19" s="41"/>
      <c r="AN19" s="41"/>
      <c r="AO19" s="41"/>
      <c r="AP19" s="41"/>
      <c r="AQ19" s="44"/>
      <c r="AR19" s="44"/>
      <c r="AS19" s="44"/>
      <c r="AT19" s="44"/>
      <c r="AU19" s="44"/>
      <c r="AV19" s="44"/>
      <c r="AW19" s="45"/>
      <c r="AX19" s="45"/>
      <c r="AY19" s="45"/>
      <c r="AZ19" s="45"/>
      <c r="BA19" s="45"/>
      <c r="BB19" s="45"/>
      <c r="BC19" s="46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>
        <f>SUM(E19:BO19)</f>
        <v>5</v>
      </c>
      <c r="BQ19" s="41">
        <v>1</v>
      </c>
      <c r="BR19" s="47">
        <v>1</v>
      </c>
      <c r="BS19" s="47" t="s">
        <v>242</v>
      </c>
      <c r="BT19" s="41" t="str">
        <f>IF(AQ19&gt;AQ$122, AQ19-AQ$122,"")</f>
        <v/>
      </c>
      <c r="BU19" s="41" t="str">
        <f>IF(AR19&gt;AR$122, AR19-AR$122,"")</f>
        <v/>
      </c>
      <c r="BV19" s="41" t="str">
        <f>IF(AS19&gt;AS$122, AS19-AS$122,"")</f>
        <v/>
      </c>
      <c r="BW19" s="41" t="str">
        <f>IF(AT19&gt;AT$122, AT19-AT$122,"")</f>
        <v/>
      </c>
      <c r="BX19" s="41" t="str">
        <f>IF(AU19&gt;AU$122, AU19-AU$122,"")</f>
        <v/>
      </c>
      <c r="BY19" s="41" t="str">
        <f>IF(AV19&gt;AV$122, AV19-AV$122,"")</f>
        <v/>
      </c>
      <c r="BZ19" s="41" t="str">
        <f>IF(AW19&gt;AW$122, AW19-AW$122,"")</f>
        <v/>
      </c>
      <c r="CA19" s="41" t="str">
        <f>IF(AX19&gt;AX$122, AX19-AX$122,"")</f>
        <v/>
      </c>
      <c r="CB19" s="41" t="str">
        <f>IF(AY19&gt;AY$122, AY19-AY$122,"")</f>
        <v/>
      </c>
      <c r="CC19" s="41" t="str">
        <f>IF(AZ19&gt;AZ$122, AZ19-AZ$122,"")</f>
        <v/>
      </c>
      <c r="CD19" s="41" t="str">
        <f>IF(BA19&gt;BA$122, BA19-BA$122,"")</f>
        <v/>
      </c>
      <c r="CE19" s="41" t="str">
        <f>IF(BB19&gt;BB$122, BB19-BB$122,"")</f>
        <v/>
      </c>
      <c r="CF19" s="41">
        <f>COUNTIF(BT19:CE19, "&gt;0")</f>
        <v>0</v>
      </c>
      <c r="CG19" s="41" t="str">
        <f>IF($CF19=1,BT19,"")</f>
        <v/>
      </c>
      <c r="CH19" s="41" t="str">
        <f>IF($CF19=1,BU19,"")</f>
        <v/>
      </c>
      <c r="CI19" s="41" t="str">
        <f>IF($CF19=1,BV19,"")</f>
        <v/>
      </c>
      <c r="CJ19" s="41" t="str">
        <f>IF($CF19=1,BW19,"")</f>
        <v/>
      </c>
      <c r="CK19" s="41" t="str">
        <f>IF($CF19=1,BX19,"")</f>
        <v/>
      </c>
      <c r="CL19" s="41" t="str">
        <f>IF($CF19=1,BY19,"")</f>
        <v/>
      </c>
      <c r="CM19" s="41" t="str">
        <f>IF($CF19=1,BZ19,"")</f>
        <v/>
      </c>
      <c r="CN19" s="41" t="str">
        <f>IF($CF19=1,CA19,"")</f>
        <v/>
      </c>
      <c r="CO19" s="41" t="str">
        <f>IF($CF19=1,CB19,"")</f>
        <v/>
      </c>
      <c r="CP19" s="41" t="str">
        <f>IF($CF19=1,CC19,"")</f>
        <v/>
      </c>
      <c r="CQ19" s="41" t="str">
        <f>IF($CF19=1,CD19,"")</f>
        <v/>
      </c>
      <c r="CR19" s="41" t="str">
        <f>IF($CF19=1,CE19,"")</f>
        <v/>
      </c>
      <c r="CS19" s="48">
        <f>SUM(AE19:BO19)</f>
        <v>5</v>
      </c>
    </row>
    <row r="20" spans="1:97" s="50" customFormat="1" x14ac:dyDescent="0.15">
      <c r="A20" s="41">
        <v>20</v>
      </c>
      <c r="B20" s="41" t="s">
        <v>34</v>
      </c>
      <c r="C20" s="41" t="s">
        <v>28</v>
      </c>
      <c r="D20" s="41" t="s">
        <v>22</v>
      </c>
      <c r="E20" s="42"/>
      <c r="F20" s="42">
        <v>5</v>
      </c>
      <c r="G20" s="42"/>
      <c r="H20" s="42"/>
      <c r="I20" s="42"/>
      <c r="J20" s="42"/>
      <c r="K20" s="42"/>
      <c r="L20" s="42"/>
      <c r="M20" s="42"/>
      <c r="N20" s="42"/>
      <c r="O20" s="42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1"/>
      <c r="AF20" s="41"/>
      <c r="AG20" s="41">
        <v>5</v>
      </c>
      <c r="AH20" s="41"/>
      <c r="AI20" s="41"/>
      <c r="AJ20" s="41"/>
      <c r="AK20" s="41"/>
      <c r="AL20" s="41"/>
      <c r="AM20" s="41"/>
      <c r="AN20" s="41"/>
      <c r="AO20" s="41"/>
      <c r="AP20" s="41"/>
      <c r="AQ20" s="44"/>
      <c r="AR20" s="44"/>
      <c r="AS20" s="44"/>
      <c r="AT20" s="44"/>
      <c r="AU20" s="44"/>
      <c r="AV20" s="44"/>
      <c r="AW20" s="45"/>
      <c r="AX20" s="45"/>
      <c r="AY20" s="45"/>
      <c r="AZ20" s="45"/>
      <c r="BA20" s="45"/>
      <c r="BB20" s="45"/>
      <c r="BC20" s="46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>
        <f>SUM(E20:BO20)</f>
        <v>10</v>
      </c>
      <c r="BQ20" s="41">
        <v>1</v>
      </c>
      <c r="BR20" s="47">
        <v>1</v>
      </c>
      <c r="BS20" s="47" t="s">
        <v>242</v>
      </c>
      <c r="BT20" s="41" t="str">
        <f>IF(AQ20&gt;AQ$122, AQ20-AQ$122,"")</f>
        <v/>
      </c>
      <c r="BU20" s="41" t="str">
        <f>IF(AR20&gt;AR$122, AR20-AR$122,"")</f>
        <v/>
      </c>
      <c r="BV20" s="41" t="str">
        <f>IF(AS20&gt;AS$122, AS20-AS$122,"")</f>
        <v/>
      </c>
      <c r="BW20" s="41" t="str">
        <f>IF(AT20&gt;AT$122, AT20-AT$122,"")</f>
        <v/>
      </c>
      <c r="BX20" s="41" t="str">
        <f>IF(AU20&gt;AU$122, AU20-AU$122,"")</f>
        <v/>
      </c>
      <c r="BY20" s="41" t="str">
        <f>IF(AV20&gt;AV$122, AV20-AV$122,"")</f>
        <v/>
      </c>
      <c r="BZ20" s="41" t="str">
        <f>IF(AW20&gt;AW$122, AW20-AW$122,"")</f>
        <v/>
      </c>
      <c r="CA20" s="41" t="str">
        <f>IF(AX20&gt;AX$122, AX20-AX$122,"")</f>
        <v/>
      </c>
      <c r="CB20" s="41" t="str">
        <f>IF(AY20&gt;AY$122, AY20-AY$122,"")</f>
        <v/>
      </c>
      <c r="CC20" s="41" t="str">
        <f>IF(AZ20&gt;AZ$122, AZ20-AZ$122,"")</f>
        <v/>
      </c>
      <c r="CD20" s="41" t="str">
        <f>IF(BA20&gt;BA$122, BA20-BA$122,"")</f>
        <v/>
      </c>
      <c r="CE20" s="41" t="str">
        <f>IF(BB20&gt;BB$122, BB20-BB$122,"")</f>
        <v/>
      </c>
      <c r="CF20" s="41">
        <f>COUNTIF(BT20:CE20, "&gt;0")</f>
        <v>0</v>
      </c>
      <c r="CG20" s="41" t="str">
        <f>IF($CF20=1,BT20,"")</f>
        <v/>
      </c>
      <c r="CH20" s="41" t="str">
        <f>IF($CF20=1,BU20,"")</f>
        <v/>
      </c>
      <c r="CI20" s="41" t="str">
        <f>IF($CF20=1,BV20,"")</f>
        <v/>
      </c>
      <c r="CJ20" s="41" t="str">
        <f>IF($CF20=1,BW20,"")</f>
        <v/>
      </c>
      <c r="CK20" s="41" t="str">
        <f>IF($CF20=1,BX20,"")</f>
        <v/>
      </c>
      <c r="CL20" s="41" t="str">
        <f>IF($CF20=1,BY20,"")</f>
        <v/>
      </c>
      <c r="CM20" s="41" t="str">
        <f>IF($CF20=1,BZ20,"")</f>
        <v/>
      </c>
      <c r="CN20" s="41" t="str">
        <f>IF($CF20=1,CA20,"")</f>
        <v/>
      </c>
      <c r="CO20" s="41" t="str">
        <f>IF($CF20=1,CB20,"")</f>
        <v/>
      </c>
      <c r="CP20" s="41" t="str">
        <f>IF($CF20=1,CC20,"")</f>
        <v/>
      </c>
      <c r="CQ20" s="41" t="str">
        <f>IF($CF20=1,CD20,"")</f>
        <v/>
      </c>
      <c r="CR20" s="41" t="str">
        <f>IF($CF20=1,CE20,"")</f>
        <v/>
      </c>
      <c r="CS20" s="48">
        <f>SUM(AE20:BO20)</f>
        <v>5</v>
      </c>
    </row>
    <row r="21" spans="1:97" s="50" customFormat="1" x14ac:dyDescent="0.15">
      <c r="A21" s="41">
        <v>78</v>
      </c>
      <c r="B21" s="48" t="s">
        <v>60</v>
      </c>
      <c r="C21" s="48" t="s">
        <v>58</v>
      </c>
      <c r="D21" s="41" t="s">
        <v>1</v>
      </c>
      <c r="E21" s="42"/>
      <c r="F21" s="42"/>
      <c r="G21" s="42">
        <v>15</v>
      </c>
      <c r="H21" s="42">
        <v>15</v>
      </c>
      <c r="I21" s="42"/>
      <c r="J21" s="42"/>
      <c r="K21" s="42"/>
      <c r="L21" s="42"/>
      <c r="M21" s="42"/>
      <c r="N21" s="42"/>
      <c r="O21" s="42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4"/>
      <c r="AR21" s="44"/>
      <c r="AS21" s="44"/>
      <c r="AT21" s="44"/>
      <c r="AU21" s="44"/>
      <c r="AV21" s="44"/>
      <c r="AW21" s="45"/>
      <c r="AX21" s="45"/>
      <c r="AY21" s="45"/>
      <c r="AZ21" s="45"/>
      <c r="BA21" s="45">
        <v>15</v>
      </c>
      <c r="BB21" s="45">
        <v>15</v>
      </c>
      <c r="BC21" s="46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>
        <f>SUM(E21:BO21)</f>
        <v>60</v>
      </c>
      <c r="BQ21" s="41">
        <v>1</v>
      </c>
      <c r="BR21" s="47">
        <v>1</v>
      </c>
      <c r="BS21" s="47" t="s">
        <v>252</v>
      </c>
      <c r="BT21" s="41" t="str">
        <f>IF(AQ21&gt;AQ$122, AQ21-AQ$122,"")</f>
        <v/>
      </c>
      <c r="BU21" s="41" t="str">
        <f>IF(AR21&gt;AR$122, AR21-AR$122,"")</f>
        <v/>
      </c>
      <c r="BV21" s="41" t="str">
        <f>IF(AS21&gt;AS$122, AS21-AS$122,"")</f>
        <v/>
      </c>
      <c r="BW21" s="41" t="str">
        <f>IF(AT21&gt;AT$122, AT21-AT$122,"")</f>
        <v/>
      </c>
      <c r="BX21" s="41" t="str">
        <f>IF(AU21&gt;AU$122, AU21-AU$122,"")</f>
        <v/>
      </c>
      <c r="BY21" s="41" t="str">
        <f>IF(AV21&gt;AV$122, AV21-AV$122,"")</f>
        <v/>
      </c>
      <c r="BZ21" s="41" t="str">
        <f>IF(AW21&gt;AW$122, AW21-AW$122,"")</f>
        <v/>
      </c>
      <c r="CA21" s="41" t="str">
        <f>IF(AX21&gt;AX$122, AX21-AX$122,"")</f>
        <v/>
      </c>
      <c r="CB21" s="41" t="str">
        <f>IF(AY21&gt;AY$122, AY21-AY$122,"")</f>
        <v/>
      </c>
      <c r="CC21" s="41" t="str">
        <f>IF(AZ21&gt;AZ$122, AZ21-AZ$122,"")</f>
        <v/>
      </c>
      <c r="CD21" s="41" t="str">
        <f>IF(BA21&gt;BA$122, BA21-BA$122,"")</f>
        <v/>
      </c>
      <c r="CE21" s="41" t="str">
        <f>IF(BB21&gt;BB$122, BB21-BB$122,"")</f>
        <v/>
      </c>
      <c r="CF21" s="41">
        <f>COUNTIF(BT21:CE21, "&gt;0")</f>
        <v>0</v>
      </c>
      <c r="CG21" s="41" t="str">
        <f>IF($CF21=1,BT21,"")</f>
        <v/>
      </c>
      <c r="CH21" s="41" t="str">
        <f>IF($CF21=1,BU21,"")</f>
        <v/>
      </c>
      <c r="CI21" s="41" t="str">
        <f>IF($CF21=1,BV21,"")</f>
        <v/>
      </c>
      <c r="CJ21" s="41" t="str">
        <f>IF($CF21=1,BW21,"")</f>
        <v/>
      </c>
      <c r="CK21" s="41" t="str">
        <f>IF($CF21=1,BX21,"")</f>
        <v/>
      </c>
      <c r="CL21" s="41" t="str">
        <f>IF($CF21=1,BY21,"")</f>
        <v/>
      </c>
      <c r="CM21" s="41" t="str">
        <f>IF($CF21=1,BZ21,"")</f>
        <v/>
      </c>
      <c r="CN21" s="41" t="str">
        <f>IF($CF21=1,CA21,"")</f>
        <v/>
      </c>
      <c r="CO21" s="41" t="str">
        <f>IF($CF21=1,CB21,"")</f>
        <v/>
      </c>
      <c r="CP21" s="41" t="str">
        <f>IF($CF21=1,CC21,"")</f>
        <v/>
      </c>
      <c r="CQ21" s="41" t="str">
        <f>IF($CF21=1,CD21,"")</f>
        <v/>
      </c>
      <c r="CR21" s="41" t="str">
        <f>IF($CF21=1,CE21,"")</f>
        <v/>
      </c>
      <c r="CS21" s="48">
        <f>SUM(AE21:BO21)</f>
        <v>30</v>
      </c>
    </row>
    <row r="22" spans="1:97" s="50" customFormat="1" x14ac:dyDescent="0.15">
      <c r="A22" s="41"/>
      <c r="B22" s="41" t="s">
        <v>173</v>
      </c>
      <c r="C22" s="41" t="s">
        <v>110</v>
      </c>
      <c r="D22" s="41" t="s">
        <v>96</v>
      </c>
      <c r="E22" s="42"/>
      <c r="F22" s="42"/>
      <c r="G22" s="42">
        <v>15</v>
      </c>
      <c r="H22" s="42">
        <v>15</v>
      </c>
      <c r="I22" s="42"/>
      <c r="J22" s="42"/>
      <c r="K22" s="42"/>
      <c r="L22" s="42"/>
      <c r="M22" s="42"/>
      <c r="N22" s="42"/>
      <c r="O22" s="42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4"/>
      <c r="AR22" s="44"/>
      <c r="AS22" s="44"/>
      <c r="AT22" s="44"/>
      <c r="AU22" s="44"/>
      <c r="AV22" s="44"/>
      <c r="AW22" s="45"/>
      <c r="AX22" s="45"/>
      <c r="AY22" s="45"/>
      <c r="AZ22" s="45"/>
      <c r="BA22" s="45">
        <v>15</v>
      </c>
      <c r="BB22" s="45">
        <v>15</v>
      </c>
      <c r="BC22" s="46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>
        <f>SUM(E22:BO22)</f>
        <v>60</v>
      </c>
      <c r="BQ22" s="41">
        <v>1</v>
      </c>
      <c r="BR22" s="47">
        <v>1</v>
      </c>
      <c r="BS22" s="47" t="s">
        <v>252</v>
      </c>
      <c r="BT22" s="41" t="str">
        <f>IF(AQ22&gt;AQ$122, AQ22-AQ$122,"")</f>
        <v/>
      </c>
      <c r="BU22" s="41" t="str">
        <f>IF(AR22&gt;AR$122, AR22-AR$122,"")</f>
        <v/>
      </c>
      <c r="BV22" s="41" t="str">
        <f>IF(AS22&gt;AS$122, AS22-AS$122,"")</f>
        <v/>
      </c>
      <c r="BW22" s="41" t="str">
        <f>IF(AT22&gt;AT$122, AT22-AT$122,"")</f>
        <v/>
      </c>
      <c r="BX22" s="41" t="str">
        <f>IF(AU22&gt;AU$122, AU22-AU$122,"")</f>
        <v/>
      </c>
      <c r="BY22" s="41" t="str">
        <f>IF(AV22&gt;AV$122, AV22-AV$122,"")</f>
        <v/>
      </c>
      <c r="BZ22" s="41" t="str">
        <f>IF(AW22&gt;AW$122, AW22-AW$122,"")</f>
        <v/>
      </c>
      <c r="CA22" s="41" t="str">
        <f>IF(AX22&gt;AX$122, AX22-AX$122,"")</f>
        <v/>
      </c>
      <c r="CB22" s="41" t="str">
        <f>IF(AY22&gt;AY$122, AY22-AY$122,"")</f>
        <v/>
      </c>
      <c r="CC22" s="41" t="str">
        <f>IF(AZ22&gt;AZ$122, AZ22-AZ$122,"")</f>
        <v/>
      </c>
      <c r="CD22" s="41" t="str">
        <f>IF(BA22&gt;BA$122, BA22-BA$122,"")</f>
        <v/>
      </c>
      <c r="CE22" s="41" t="str">
        <f>IF(BB22&gt;BB$122, BB22-BB$122,"")</f>
        <v/>
      </c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8"/>
    </row>
    <row r="23" spans="1:97" x14ac:dyDescent="0.15">
      <c r="A23" s="18"/>
      <c r="B23" s="18" t="s">
        <v>106</v>
      </c>
      <c r="C23" s="18" t="s">
        <v>99</v>
      </c>
      <c r="D23" s="18" t="s">
        <v>103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>
        <v>2</v>
      </c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>
        <f>SUM(E23:BO23)</f>
        <v>2</v>
      </c>
      <c r="BQ23" s="18">
        <v>2</v>
      </c>
      <c r="BR23" s="22">
        <v>1</v>
      </c>
      <c r="BS23" s="22" t="s">
        <v>243</v>
      </c>
      <c r="BT23" s="18" t="str">
        <f>IF(AQ23&gt;AQ$122, AQ23-AQ$122,"")</f>
        <v/>
      </c>
      <c r="BU23" s="18" t="str">
        <f>IF(AR23&gt;AR$122, AR23-AR$122,"")</f>
        <v/>
      </c>
      <c r="BV23" s="18" t="str">
        <f>IF(AS23&gt;AS$122, AS23-AS$122,"")</f>
        <v/>
      </c>
      <c r="BW23" s="18" t="str">
        <f>IF(AT23&gt;AT$122, AT23-AT$122,"")</f>
        <v/>
      </c>
      <c r="BX23" s="18" t="str">
        <f>IF(AU23&gt;AU$122, AU23-AU$122,"")</f>
        <v/>
      </c>
      <c r="BY23" s="18" t="str">
        <f>IF(AV23&gt;AV$122, AV23-AV$122,"")</f>
        <v/>
      </c>
      <c r="BZ23" s="18" t="str">
        <f>IF(AW23&gt;AW$122, AW23-AW$122,"")</f>
        <v/>
      </c>
      <c r="CA23" s="18" t="str">
        <f>IF(AX23&gt;AX$122, AX23-AX$122,"")</f>
        <v/>
      </c>
      <c r="CB23" s="18" t="str">
        <f>IF(AY23&gt;AY$122, AY23-AY$122,"")</f>
        <v/>
      </c>
      <c r="CC23" s="18" t="str">
        <f>IF(AZ23&gt;AZ$122, AZ23-AZ$122,"")</f>
        <v/>
      </c>
      <c r="CD23" s="18" t="str">
        <f>IF(BA23&gt;BA$122, BA23-BA$122,"")</f>
        <v/>
      </c>
      <c r="CE23" s="18" t="str">
        <f>IF(BB23&gt;BB$122, BB23-BB$122,"")</f>
        <v/>
      </c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30"/>
    </row>
    <row r="24" spans="1:97" x14ac:dyDescent="0.15">
      <c r="A24" s="1">
        <v>72</v>
      </c>
      <c r="B24" s="3" t="s">
        <v>84</v>
      </c>
      <c r="C24" s="1" t="s">
        <v>51</v>
      </c>
      <c r="D24" s="1" t="s">
        <v>12</v>
      </c>
      <c r="E24" s="6"/>
      <c r="F24" s="6"/>
      <c r="G24" s="6"/>
      <c r="H24" s="6"/>
      <c r="I24" s="6"/>
      <c r="J24" s="6"/>
      <c r="K24" s="6"/>
      <c r="L24" s="6">
        <v>6</v>
      </c>
      <c r="M24" s="6">
        <v>6</v>
      </c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>
        <v>10</v>
      </c>
      <c r="AW24" s="2"/>
      <c r="AX24" s="2"/>
      <c r="AY24" s="2"/>
      <c r="AZ24" s="2"/>
      <c r="BA24" s="2">
        <v>10</v>
      </c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32</v>
      </c>
      <c r="BQ24" s="1">
        <v>2</v>
      </c>
      <c r="BR24" s="17">
        <v>1</v>
      </c>
      <c r="BS24" s="17" t="s">
        <v>226</v>
      </c>
      <c r="BT24" s="1" t="str">
        <f>IF(AQ24&gt;AQ$122, AQ24-AQ$122,"")</f>
        <v/>
      </c>
      <c r="BU24" s="1" t="str">
        <f>IF(AR24&gt;AR$122, AR24-AR$122,"")</f>
        <v/>
      </c>
      <c r="BV24" s="1" t="str">
        <f>IF(AS24&gt;AS$122, AS24-AS$122,"")</f>
        <v/>
      </c>
      <c r="BW24" s="1" t="str">
        <f>IF(AT24&gt;AT$122, AT24-AT$122,"")</f>
        <v/>
      </c>
      <c r="BX24" s="1" t="str">
        <f>IF(AU24&gt;AU$122, AU24-AU$122,"")</f>
        <v/>
      </c>
      <c r="BY24" s="1" t="str">
        <f>IF(AV24&gt;AV$122, AV24-AV$122,"")</f>
        <v/>
      </c>
      <c r="BZ24" s="1" t="str">
        <f>IF(AW24&gt;AW$122, AW24-AW$122,"")</f>
        <v/>
      </c>
      <c r="CA24" s="1" t="str">
        <f>IF(AX24&gt;AX$122, AX24-AX$122,"")</f>
        <v/>
      </c>
      <c r="CB24" s="1" t="str">
        <f>IF(AY24&gt;AY$122, AY24-AY$122,"")</f>
        <v/>
      </c>
      <c r="CC24" s="1" t="str">
        <f>IF(AZ24&gt;AZ$122, AZ24-AZ$122,"")</f>
        <v/>
      </c>
      <c r="CD24" s="1" t="str">
        <f>IF(BA24&gt;BA$122, BA24-BA$122,"")</f>
        <v/>
      </c>
      <c r="CE24" s="1" t="str">
        <f>IF(BB24&gt;BB$122, BB24-BB$122,"")</f>
        <v/>
      </c>
      <c r="CF24" s="1">
        <f>COUNTIF(BT24:CE24, "&gt;0")</f>
        <v>0</v>
      </c>
      <c r="CG24" s="1" t="str">
        <f>IF($CF24=1,BT24,"")</f>
        <v/>
      </c>
      <c r="CH24" s="1" t="str">
        <f>IF($CF24=1,BU24,"")</f>
        <v/>
      </c>
      <c r="CI24" s="1" t="str">
        <f>IF($CF24=1,BV24,"")</f>
        <v/>
      </c>
      <c r="CJ24" s="1" t="str">
        <f>IF($CF24=1,BW24,"")</f>
        <v/>
      </c>
      <c r="CK24" s="1" t="str">
        <f>IF($CF24=1,BX24,"")</f>
        <v/>
      </c>
      <c r="CL24" s="1" t="str">
        <f>IF($CF24=1,BY24,"")</f>
        <v/>
      </c>
      <c r="CM24" s="1" t="str">
        <f>IF($CF24=1,BZ24,"")</f>
        <v/>
      </c>
      <c r="CN24" s="1" t="str">
        <f>IF($CF24=1,CA24,"")</f>
        <v/>
      </c>
      <c r="CO24" s="1" t="str">
        <f>IF($CF24=1,CB24,"")</f>
        <v/>
      </c>
      <c r="CP24" s="1" t="str">
        <f>IF($CF24=1,CC24,"")</f>
        <v/>
      </c>
      <c r="CQ24" s="1" t="str">
        <f>IF($CF24=1,CD24,"")</f>
        <v/>
      </c>
      <c r="CR24" s="1" t="str">
        <f>IF($CF24=1,CE24,"")</f>
        <v/>
      </c>
      <c r="CS24" s="3">
        <f>SUM(AE24:BO24)</f>
        <v>20</v>
      </c>
    </row>
    <row r="25" spans="1:97" x14ac:dyDescent="0.15">
      <c r="A25" s="18"/>
      <c r="B25" s="18" t="s">
        <v>199</v>
      </c>
      <c r="C25" s="18" t="s">
        <v>28</v>
      </c>
      <c r="D25" s="18" t="s">
        <v>200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>
        <v>3</v>
      </c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3</v>
      </c>
      <c r="BQ25" s="18">
        <v>3</v>
      </c>
      <c r="BR25" s="22">
        <v>1</v>
      </c>
      <c r="BS25" s="22" t="s">
        <v>227</v>
      </c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30"/>
    </row>
    <row r="26" spans="1:97" x14ac:dyDescent="0.15">
      <c r="A26" s="1">
        <v>91</v>
      </c>
      <c r="B26" s="3" t="s">
        <v>75</v>
      </c>
      <c r="C26" s="3" t="s">
        <v>74</v>
      </c>
      <c r="D26" s="1" t="s">
        <v>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>
        <v>5</v>
      </c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5</v>
      </c>
      <c r="BQ26" s="1">
        <v>3</v>
      </c>
      <c r="BR26" s="17">
        <v>1</v>
      </c>
      <c r="BS26" s="17" t="s">
        <v>229</v>
      </c>
      <c r="BT26" s="1" t="str">
        <f>IF(AQ26&gt;AQ$122, AQ26-AQ$122,"")</f>
        <v/>
      </c>
      <c r="BU26" s="1" t="str">
        <f>IF(AR26&gt;AR$122, AR26-AR$122,"")</f>
        <v/>
      </c>
      <c r="BV26" s="1" t="str">
        <f>IF(AS26&gt;AS$122, AS26-AS$122,"")</f>
        <v/>
      </c>
      <c r="BW26" s="1" t="str">
        <f>IF(AT26&gt;AT$122, AT26-AT$122,"")</f>
        <v/>
      </c>
      <c r="BX26" s="1" t="str">
        <f>IF(AU26&gt;AU$122, AU26-AU$122,"")</f>
        <v/>
      </c>
      <c r="BY26" s="1" t="str">
        <f>IF(AV26&gt;AV$122, AV26-AV$122,"")</f>
        <v/>
      </c>
      <c r="BZ26" s="1" t="str">
        <f>IF(AW26&gt;AW$122, AW26-AW$122,"")</f>
        <v/>
      </c>
      <c r="CA26" s="1" t="str">
        <f>IF(AX26&gt;AX$122, AX26-AX$122,"")</f>
        <v/>
      </c>
      <c r="CB26" s="1" t="str">
        <f>IF(AY26&gt;AY$122, AY26-AY$122,"")</f>
        <v/>
      </c>
      <c r="CC26" s="1" t="str">
        <f>IF(AZ26&gt;AZ$122, AZ26-AZ$122,"")</f>
        <v/>
      </c>
      <c r="CD26" s="1" t="str">
        <f>IF(BA26&gt;BA$122, BA26-BA$122,"")</f>
        <v/>
      </c>
      <c r="CE26" s="1" t="str">
        <f>IF(BB26&gt;BB$122, BB26-BB$122,"")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3">
        <f>SUM(AE26:BO26)</f>
        <v>5</v>
      </c>
    </row>
    <row r="27" spans="1:97" x14ac:dyDescent="0.15">
      <c r="A27" s="18">
        <v>17</v>
      </c>
      <c r="B27" s="18" t="s">
        <v>31</v>
      </c>
      <c r="C27" s="18" t="s">
        <v>28</v>
      </c>
      <c r="D27" s="18" t="s">
        <v>21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18"/>
      <c r="AF27" s="18">
        <v>5</v>
      </c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20"/>
      <c r="AR27" s="20"/>
      <c r="AS27" s="20"/>
      <c r="AT27" s="20"/>
      <c r="AU27" s="20"/>
      <c r="AV27" s="20"/>
      <c r="AW27" s="21"/>
      <c r="AX27" s="21"/>
      <c r="AY27" s="21"/>
      <c r="AZ27" s="21"/>
      <c r="BA27" s="21"/>
      <c r="BB27" s="21"/>
      <c r="BC27" s="26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>
        <f>SUM(E27:BO27)</f>
        <v>5</v>
      </c>
      <c r="BQ27" s="18">
        <v>5</v>
      </c>
      <c r="BR27" s="22">
        <v>1</v>
      </c>
      <c r="BS27" s="22" t="s">
        <v>231</v>
      </c>
      <c r="BT27" s="18" t="str">
        <f>IF(AQ27&gt;AQ$122, AQ27-AQ$122,"")</f>
        <v/>
      </c>
      <c r="BU27" s="18" t="str">
        <f>IF(AR27&gt;AR$122, AR27-AR$122,"")</f>
        <v/>
      </c>
      <c r="BV27" s="18" t="str">
        <f>IF(AS27&gt;AS$122, AS27-AS$122,"")</f>
        <v/>
      </c>
      <c r="BW27" s="18" t="str">
        <f>IF(AT27&gt;AT$122, AT27-AT$122,"")</f>
        <v/>
      </c>
      <c r="BX27" s="18" t="str">
        <f>IF(AU27&gt;AU$122, AU27-AU$122,"")</f>
        <v/>
      </c>
      <c r="BY27" s="18" t="str">
        <f>IF(AV27&gt;AV$122, AV27-AV$122,"")</f>
        <v/>
      </c>
      <c r="BZ27" s="18" t="str">
        <f>IF(AW27&gt;AW$122, AW27-AW$122,"")</f>
        <v/>
      </c>
      <c r="CA27" s="18" t="str">
        <f>IF(AX27&gt;AX$122, AX27-AX$122,"")</f>
        <v/>
      </c>
      <c r="CB27" s="18" t="str">
        <f>IF(AY27&gt;AY$122, AY27-AY$122,"")</f>
        <v/>
      </c>
      <c r="CC27" s="18" t="str">
        <f>IF(AZ27&gt;AZ$122, AZ27-AZ$122,"")</f>
        <v/>
      </c>
      <c r="CD27" s="18" t="str">
        <f>IF(BA27&gt;BA$122, BA27-BA$122,"")</f>
        <v/>
      </c>
      <c r="CE27" s="18" t="str">
        <f>IF(BB27&gt;BB$122, BB27-BB$122,"")</f>
        <v/>
      </c>
      <c r="CF27" s="18">
        <f>COUNTIF(BT27:CE27, "&gt;0")</f>
        <v>0</v>
      </c>
      <c r="CG27" s="18" t="str">
        <f>IF($CF27=1,BT27,"")</f>
        <v/>
      </c>
      <c r="CH27" s="18" t="str">
        <f>IF($CF27=1,BU27,"")</f>
        <v/>
      </c>
      <c r="CI27" s="18" t="str">
        <f>IF($CF27=1,BV27,"")</f>
        <v/>
      </c>
      <c r="CJ27" s="18" t="str">
        <f>IF($CF27=1,BW27,"")</f>
        <v/>
      </c>
      <c r="CK27" s="18" t="str">
        <f>IF($CF27=1,BX27,"")</f>
        <v/>
      </c>
      <c r="CL27" s="18" t="str">
        <f>IF($CF27=1,BY27,"")</f>
        <v/>
      </c>
      <c r="CM27" s="18" t="str">
        <f>IF($CF27=1,BZ27,"")</f>
        <v/>
      </c>
      <c r="CN27" s="18" t="str">
        <f>IF($CF27=1,CA27,"")</f>
        <v/>
      </c>
      <c r="CO27" s="18" t="str">
        <f>IF($CF27=1,CB27,"")</f>
        <v/>
      </c>
      <c r="CP27" s="18" t="str">
        <f>IF($CF27=1,CC27,"")</f>
        <v/>
      </c>
      <c r="CQ27" s="18" t="str">
        <f>IF($CF27=1,CD27,"")</f>
        <v/>
      </c>
      <c r="CR27" s="18" t="str">
        <f>IF($CF27=1,CE27,"")</f>
        <v/>
      </c>
      <c r="CS27" s="30">
        <f>SUM(AE27:BO27)</f>
        <v>5</v>
      </c>
    </row>
    <row r="28" spans="1:97" x14ac:dyDescent="0.15">
      <c r="A28" s="18">
        <v>32</v>
      </c>
      <c r="B28" s="18" t="s">
        <v>71</v>
      </c>
      <c r="C28" s="18" t="s">
        <v>28</v>
      </c>
      <c r="D28" s="18" t="s">
        <v>21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/>
      <c r="AG28" s="18"/>
      <c r="AH28" s="18"/>
      <c r="AI28" s="18">
        <v>5</v>
      </c>
      <c r="AJ28" s="18"/>
      <c r="AK28" s="18"/>
      <c r="AL28" s="18"/>
      <c r="AM28" s="18"/>
      <c r="AN28" s="18"/>
      <c r="AO28" s="18"/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>
        <f>SUM(E28:BO28)</f>
        <v>5</v>
      </c>
      <c r="BQ28" s="18">
        <v>5</v>
      </c>
      <c r="BR28" s="22">
        <v>1</v>
      </c>
      <c r="BS28" s="22" t="s">
        <v>214</v>
      </c>
      <c r="BT28" s="18" t="str">
        <f>IF(AQ28&gt;AQ$122, AQ28-AQ$122,"")</f>
        <v/>
      </c>
      <c r="BU28" s="18" t="str">
        <f>IF(AR28&gt;AR$122, AR28-AR$122,"")</f>
        <v/>
      </c>
      <c r="BV28" s="18" t="str">
        <f>IF(AS28&gt;AS$122, AS28-AS$122,"")</f>
        <v/>
      </c>
      <c r="BW28" s="18" t="str">
        <f>IF(AT28&gt;AT$122, AT28-AT$122,"")</f>
        <v/>
      </c>
      <c r="BX28" s="18" t="str">
        <f>IF(AU28&gt;AU$122, AU28-AU$122,"")</f>
        <v/>
      </c>
      <c r="BY28" s="18" t="str">
        <f>IF(AV28&gt;AV$122, AV28-AV$122,"")</f>
        <v/>
      </c>
      <c r="BZ28" s="18" t="str">
        <f>IF(AW28&gt;AW$122, AW28-AW$122,"")</f>
        <v/>
      </c>
      <c r="CA28" s="18" t="str">
        <f>IF(AX28&gt;AX$122, AX28-AX$122,"")</f>
        <v/>
      </c>
      <c r="CB28" s="18" t="str">
        <f>IF(AY28&gt;AY$122, AY28-AY$122,"")</f>
        <v/>
      </c>
      <c r="CC28" s="18" t="str">
        <f>IF(AZ28&gt;AZ$122, AZ28-AZ$122,"")</f>
        <v/>
      </c>
      <c r="CD28" s="18" t="str">
        <f>IF(BA28&gt;BA$122, BA28-BA$122,"")</f>
        <v/>
      </c>
      <c r="CE28" s="18" t="str">
        <f>IF(BB28&gt;BB$122, BB28-BB$122,"")</f>
        <v/>
      </c>
      <c r="CF28" s="18">
        <f>COUNTIF(BT28:CE28, "&gt;0")</f>
        <v>0</v>
      </c>
      <c r="CG28" s="18" t="str">
        <f>IF($CF28=1,BT28,"")</f>
        <v/>
      </c>
      <c r="CH28" s="18" t="str">
        <f>IF($CF28=1,BU28,"")</f>
        <v/>
      </c>
      <c r="CI28" s="18" t="str">
        <f>IF($CF28=1,BV28,"")</f>
        <v/>
      </c>
      <c r="CJ28" s="18" t="str">
        <f>IF($CF28=1,BW28,"")</f>
        <v/>
      </c>
      <c r="CK28" s="18" t="str">
        <f>IF($CF28=1,BX28,"")</f>
        <v/>
      </c>
      <c r="CL28" s="18" t="str">
        <f>IF($CF28=1,BY28,"")</f>
        <v/>
      </c>
      <c r="CM28" s="18" t="str">
        <f>IF($CF28=1,BZ28,"")</f>
        <v/>
      </c>
      <c r="CN28" s="18" t="str">
        <f>IF($CF28=1,CA28,"")</f>
        <v/>
      </c>
      <c r="CO28" s="18" t="str">
        <f>IF($CF28=1,CB28,"")</f>
        <v/>
      </c>
      <c r="CP28" s="18" t="str">
        <f>IF($CF28=1,CC28,"")</f>
        <v/>
      </c>
      <c r="CQ28" s="18" t="str">
        <f>IF($CF28=1,CD28,"")</f>
        <v/>
      </c>
      <c r="CR28" s="18" t="str">
        <f>IF($CF28=1,CE28,"")</f>
        <v/>
      </c>
      <c r="CS28" s="30">
        <f>SUM(AE28:BO28)</f>
        <v>5</v>
      </c>
    </row>
    <row r="29" spans="1:97" x14ac:dyDescent="0.15">
      <c r="A29" s="18">
        <v>33</v>
      </c>
      <c r="B29" s="18" t="s">
        <v>71</v>
      </c>
      <c r="C29" s="18" t="s">
        <v>28</v>
      </c>
      <c r="D29" s="18" t="s">
        <v>1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18"/>
      <c r="AF29" s="18"/>
      <c r="AG29" s="18"/>
      <c r="AH29" s="18">
        <v>5</v>
      </c>
      <c r="AI29" s="18"/>
      <c r="AJ29" s="18"/>
      <c r="AK29" s="18"/>
      <c r="AL29" s="18"/>
      <c r="AM29" s="18"/>
      <c r="AN29" s="18"/>
      <c r="AO29" s="18"/>
      <c r="AP29" s="18"/>
      <c r="AQ29" s="20"/>
      <c r="AR29" s="20"/>
      <c r="AS29" s="20"/>
      <c r="AT29" s="20"/>
      <c r="AU29" s="20"/>
      <c r="AV29" s="20"/>
      <c r="AW29" s="21"/>
      <c r="AX29" s="21"/>
      <c r="AY29" s="21"/>
      <c r="AZ29" s="21"/>
      <c r="BA29" s="21"/>
      <c r="BB29" s="21"/>
      <c r="BC29" s="26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>
        <f>SUM(E29:BO29)</f>
        <v>5</v>
      </c>
      <c r="BQ29" s="18">
        <v>5</v>
      </c>
      <c r="BR29" s="22">
        <v>1</v>
      </c>
      <c r="BS29" s="22" t="s">
        <v>222</v>
      </c>
      <c r="BT29" s="18" t="str">
        <f>IF(AQ29&gt;AQ$122, AQ29-AQ$122,"")</f>
        <v/>
      </c>
      <c r="BU29" s="18" t="str">
        <f>IF(AR29&gt;AR$122, AR29-AR$122,"")</f>
        <v/>
      </c>
      <c r="BV29" s="18" t="str">
        <f>IF(AS29&gt;AS$122, AS29-AS$122,"")</f>
        <v/>
      </c>
      <c r="BW29" s="18" t="str">
        <f>IF(AT29&gt;AT$122, AT29-AT$122,"")</f>
        <v/>
      </c>
      <c r="BX29" s="18" t="str">
        <f>IF(AU29&gt;AU$122, AU29-AU$122,"")</f>
        <v/>
      </c>
      <c r="BY29" s="18" t="str">
        <f>IF(AV29&gt;AV$122, AV29-AV$122,"")</f>
        <v/>
      </c>
      <c r="BZ29" s="18" t="str">
        <f>IF(AW29&gt;AW$122, AW29-AW$122,"")</f>
        <v/>
      </c>
      <c r="CA29" s="18" t="str">
        <f>IF(AX29&gt;AX$122, AX29-AX$122,"")</f>
        <v/>
      </c>
      <c r="CB29" s="18" t="str">
        <f>IF(AY29&gt;AY$122, AY29-AY$122,"")</f>
        <v/>
      </c>
      <c r="CC29" s="18" t="str">
        <f>IF(AZ29&gt;AZ$122, AZ29-AZ$122,"")</f>
        <v/>
      </c>
      <c r="CD29" s="18" t="str">
        <f>IF(BA29&gt;BA$122, BA29-BA$122,"")</f>
        <v/>
      </c>
      <c r="CE29" s="18" t="str">
        <f>IF(BB29&gt;BB$122, BB29-BB$122,"")</f>
        <v/>
      </c>
      <c r="CF29" s="18">
        <f>COUNTIF(BT29:CE29, "&gt;0")</f>
        <v>0</v>
      </c>
      <c r="CG29" s="18" t="str">
        <f>IF($CF29=1,BT29,"")</f>
        <v/>
      </c>
      <c r="CH29" s="18" t="str">
        <f>IF($CF29=1,BU29,"")</f>
        <v/>
      </c>
      <c r="CI29" s="18" t="str">
        <f>IF($CF29=1,BV29,"")</f>
        <v/>
      </c>
      <c r="CJ29" s="18" t="str">
        <f>IF($CF29=1,BW29,"")</f>
        <v/>
      </c>
      <c r="CK29" s="18" t="str">
        <f>IF($CF29=1,BX29,"")</f>
        <v/>
      </c>
      <c r="CL29" s="18" t="str">
        <f>IF($CF29=1,BY29,"")</f>
        <v/>
      </c>
      <c r="CM29" s="18" t="str">
        <f>IF($CF29=1,BZ29,"")</f>
        <v/>
      </c>
      <c r="CN29" s="18" t="str">
        <f>IF($CF29=1,CA29,"")</f>
        <v/>
      </c>
      <c r="CO29" s="18" t="str">
        <f>IF($CF29=1,CB29,"")</f>
        <v/>
      </c>
      <c r="CP29" s="18" t="str">
        <f>IF($CF29=1,CC29,"")</f>
        <v/>
      </c>
      <c r="CQ29" s="18" t="str">
        <f>IF($CF29=1,CD29,"")</f>
        <v/>
      </c>
      <c r="CR29" s="18" t="str">
        <f>IF($CF29=1,CE29,"")</f>
        <v/>
      </c>
      <c r="CS29" s="30">
        <f>SUM(AE29:BO29)</f>
        <v>5</v>
      </c>
    </row>
    <row r="30" spans="1:97" x14ac:dyDescent="0.15">
      <c r="A30" s="18">
        <v>63</v>
      </c>
      <c r="B30" s="30" t="s">
        <v>56</v>
      </c>
      <c r="C30" s="18" t="s">
        <v>51</v>
      </c>
      <c r="D30" s="18" t="s">
        <v>21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/>
      <c r="AI30" s="18"/>
      <c r="AJ30" s="18"/>
      <c r="AK30" s="18"/>
      <c r="AL30" s="18"/>
      <c r="AM30" s="18"/>
      <c r="AN30" s="18">
        <v>5</v>
      </c>
      <c r="AO30" s="18"/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>
        <f>SUM(E30:BO30)</f>
        <v>5</v>
      </c>
      <c r="BQ30" s="18">
        <v>5</v>
      </c>
      <c r="BR30" s="22">
        <v>1</v>
      </c>
      <c r="BS30" s="22" t="s">
        <v>210</v>
      </c>
      <c r="BT30" s="18" t="str">
        <f>IF(AQ30&gt;AQ$122, AQ30-AQ$122,"")</f>
        <v/>
      </c>
      <c r="BU30" s="18" t="str">
        <f>IF(AR30&gt;AR$122, AR30-AR$122,"")</f>
        <v/>
      </c>
      <c r="BV30" s="18" t="str">
        <f>IF(AS30&gt;AS$122, AS30-AS$122,"")</f>
        <v/>
      </c>
      <c r="BW30" s="18" t="str">
        <f>IF(AT30&gt;AT$122, AT30-AT$122,"")</f>
        <v/>
      </c>
      <c r="BX30" s="18" t="str">
        <f>IF(AU30&gt;AU$122, AU30-AU$122,"")</f>
        <v/>
      </c>
      <c r="BY30" s="18" t="str">
        <f>IF(AV30&gt;AV$122, AV30-AV$122,"")</f>
        <v/>
      </c>
      <c r="BZ30" s="18" t="str">
        <f>IF(AW30&gt;AW$122, AW30-AW$122,"")</f>
        <v/>
      </c>
      <c r="CA30" s="18" t="str">
        <f>IF(AX30&gt;AX$122, AX30-AX$122,"")</f>
        <v/>
      </c>
      <c r="CB30" s="18" t="str">
        <f>IF(AY30&gt;AY$122, AY30-AY$122,"")</f>
        <v/>
      </c>
      <c r="CC30" s="18" t="str">
        <f>IF(AZ30&gt;AZ$122, AZ30-AZ$122,"")</f>
        <v/>
      </c>
      <c r="CD30" s="18" t="str">
        <f>IF(BA30&gt;BA$122, BA30-BA$122,"")</f>
        <v/>
      </c>
      <c r="CE30" s="18" t="str">
        <f>IF(BB30&gt;BB$122, BB30-BB$122,"")</f>
        <v/>
      </c>
      <c r="CF30" s="18">
        <f>COUNTIF(BT30:CE30, "&gt;0")</f>
        <v>0</v>
      </c>
      <c r="CG30" s="18" t="str">
        <f>IF($CF30=1,BT30,"")</f>
        <v/>
      </c>
      <c r="CH30" s="18" t="str">
        <f>IF($CF30=1,BU30,"")</f>
        <v/>
      </c>
      <c r="CI30" s="18" t="str">
        <f>IF($CF30=1,BV30,"")</f>
        <v/>
      </c>
      <c r="CJ30" s="18" t="str">
        <f>IF($CF30=1,BW30,"")</f>
        <v/>
      </c>
      <c r="CK30" s="18" t="str">
        <f>IF($CF30=1,BX30,"")</f>
        <v/>
      </c>
      <c r="CL30" s="18" t="str">
        <f>IF($CF30=1,BY30,"")</f>
        <v/>
      </c>
      <c r="CM30" s="18" t="str">
        <f>IF($CF30=1,BZ30,"")</f>
        <v/>
      </c>
      <c r="CN30" s="18" t="str">
        <f>IF($CF30=1,CA30,"")</f>
        <v/>
      </c>
      <c r="CO30" s="18" t="str">
        <f>IF($CF30=1,CB30,"")</f>
        <v/>
      </c>
      <c r="CP30" s="18" t="str">
        <f>IF($CF30=1,CC30,"")</f>
        <v/>
      </c>
      <c r="CQ30" s="18" t="str">
        <f>IF($CF30=1,CD30,"")</f>
        <v/>
      </c>
      <c r="CR30" s="18" t="str">
        <f>IF($CF30=1,CE30,"")</f>
        <v/>
      </c>
      <c r="CS30" s="30">
        <f>SUM(AE30:BO30)</f>
        <v>5</v>
      </c>
    </row>
    <row r="31" spans="1:97" x14ac:dyDescent="0.15">
      <c r="A31" s="18">
        <v>90</v>
      </c>
      <c r="B31" s="30" t="s">
        <v>75</v>
      </c>
      <c r="C31" s="30" t="s">
        <v>74</v>
      </c>
      <c r="D31" s="18" t="s">
        <v>21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/>
      <c r="AI31" s="18"/>
      <c r="AJ31" s="18"/>
      <c r="AK31" s="18"/>
      <c r="AL31" s="18"/>
      <c r="AM31" s="18"/>
      <c r="AN31" s="18">
        <v>5</v>
      </c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>
        <f>SUM(E31:BO31)</f>
        <v>5</v>
      </c>
      <c r="BQ31" s="18">
        <v>5</v>
      </c>
      <c r="BR31" s="22">
        <v>1</v>
      </c>
      <c r="BS31" s="22" t="s">
        <v>244</v>
      </c>
      <c r="BT31" s="18" t="str">
        <f>IF(AQ31&gt;AQ$122, AQ31-AQ$122,"")</f>
        <v/>
      </c>
      <c r="BU31" s="18" t="str">
        <f>IF(AR31&gt;AR$122, AR31-AR$122,"")</f>
        <v/>
      </c>
      <c r="BV31" s="18" t="str">
        <f>IF(AS31&gt;AS$122, AS31-AS$122,"")</f>
        <v/>
      </c>
      <c r="BW31" s="18" t="str">
        <f>IF(AT31&gt;AT$122, AT31-AT$122,"")</f>
        <v/>
      </c>
      <c r="BX31" s="18" t="str">
        <f>IF(AU31&gt;AU$122, AU31-AU$122,"")</f>
        <v/>
      </c>
      <c r="BY31" s="18" t="str">
        <f>IF(AV31&gt;AV$122, AV31-AV$122,"")</f>
        <v/>
      </c>
      <c r="BZ31" s="18" t="str">
        <f>IF(AW31&gt;AW$122, AW31-AW$122,"")</f>
        <v/>
      </c>
      <c r="CA31" s="18" t="str">
        <f>IF(AX31&gt;AX$122, AX31-AX$122,"")</f>
        <v/>
      </c>
      <c r="CB31" s="18" t="str">
        <f>IF(AY31&gt;AY$122, AY31-AY$122,"")</f>
        <v/>
      </c>
      <c r="CC31" s="18" t="str">
        <f>IF(AZ31&gt;AZ$122, AZ31-AZ$122,"")</f>
        <v/>
      </c>
      <c r="CD31" s="18" t="str">
        <f>IF(BA31&gt;BA$122, BA31-BA$122,"")</f>
        <v/>
      </c>
      <c r="CE31" s="18" t="str">
        <f>IF(BB31&gt;BB$122, BB31-BB$122,"")</f>
        <v/>
      </c>
      <c r="CF31" s="18">
        <f>COUNTIF(BT31:CE31, "&gt;0")</f>
        <v>0</v>
      </c>
      <c r="CG31" s="18" t="str">
        <f>IF($CF31=1,BT31,"")</f>
        <v/>
      </c>
      <c r="CH31" s="18" t="str">
        <f>IF($CF31=1,BU31,"")</f>
        <v/>
      </c>
      <c r="CI31" s="18" t="str">
        <f>IF($CF31=1,BV31,"")</f>
        <v/>
      </c>
      <c r="CJ31" s="18" t="str">
        <f>IF($CF31=1,BW31,"")</f>
        <v/>
      </c>
      <c r="CK31" s="18" t="str">
        <f>IF($CF31=1,BX31,"")</f>
        <v/>
      </c>
      <c r="CL31" s="18" t="str">
        <f>IF($CF31=1,BY31,"")</f>
        <v/>
      </c>
      <c r="CM31" s="18" t="str">
        <f>IF($CF31=1,BZ31,"")</f>
        <v/>
      </c>
      <c r="CN31" s="18" t="str">
        <f>IF($CF31=1,CA31,"")</f>
        <v/>
      </c>
      <c r="CO31" s="18" t="str">
        <f>IF($CF31=1,CB31,"")</f>
        <v/>
      </c>
      <c r="CP31" s="18" t="str">
        <f>IF($CF31=1,CC31,"")</f>
        <v/>
      </c>
      <c r="CQ31" s="18" t="str">
        <f>IF($CF31=1,CD31,"")</f>
        <v/>
      </c>
      <c r="CR31" s="18" t="str">
        <f>IF($CF31=1,CE31,"")</f>
        <v/>
      </c>
      <c r="CS31" s="30">
        <f>SUM(AE31:BO31)</f>
        <v>5</v>
      </c>
    </row>
    <row r="32" spans="1:97" x14ac:dyDescent="0.15">
      <c r="A32" s="18"/>
      <c r="B32" s="18" t="s">
        <v>109</v>
      </c>
      <c r="C32" s="18" t="s">
        <v>107</v>
      </c>
      <c r="D32" s="18" t="s">
        <v>103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>
        <v>5</v>
      </c>
      <c r="AI32" s="18"/>
      <c r="AJ32" s="18"/>
      <c r="AK32" s="18"/>
      <c r="AL32" s="18"/>
      <c r="AM32" s="18"/>
      <c r="AN32" s="18"/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>
        <f>SUM(E32:BO32)</f>
        <v>5</v>
      </c>
      <c r="BQ32" s="18">
        <v>5</v>
      </c>
      <c r="BR32" s="22">
        <v>1</v>
      </c>
      <c r="BS32" s="22" t="s">
        <v>245</v>
      </c>
      <c r="BT32" s="18" t="str">
        <f>IF(AQ32&gt;AQ$122, AQ32-AQ$122,"")</f>
        <v/>
      </c>
      <c r="BU32" s="18" t="str">
        <f>IF(AR32&gt;AR$122, AR32-AR$122,"")</f>
        <v/>
      </c>
      <c r="BV32" s="18" t="str">
        <f>IF(AS32&gt;AS$122, AS32-AS$122,"")</f>
        <v/>
      </c>
      <c r="BW32" s="18" t="str">
        <f>IF(AT32&gt;AT$122, AT32-AT$122,"")</f>
        <v/>
      </c>
      <c r="BX32" s="18" t="str">
        <f>IF(AU32&gt;AU$122, AU32-AU$122,"")</f>
        <v/>
      </c>
      <c r="BY32" s="18" t="str">
        <f>IF(AV32&gt;AV$122, AV32-AV$122,"")</f>
        <v/>
      </c>
      <c r="BZ32" s="18" t="str">
        <f>IF(AW32&gt;AW$122, AW32-AW$122,"")</f>
        <v/>
      </c>
      <c r="CA32" s="18" t="str">
        <f>IF(AX32&gt;AX$122, AX32-AX$122,"")</f>
        <v/>
      </c>
      <c r="CB32" s="18" t="str">
        <f>IF(AY32&gt;AY$122, AY32-AY$122,"")</f>
        <v/>
      </c>
      <c r="CC32" s="18" t="str">
        <f>IF(AZ32&gt;AZ$122, AZ32-AZ$122,"")</f>
        <v/>
      </c>
      <c r="CD32" s="18" t="str">
        <f>IF(BA32&gt;BA$122, BA32-BA$122,"")</f>
        <v/>
      </c>
      <c r="CE32" s="18" t="str">
        <f>IF(BB32&gt;BB$122, BB32-BB$122,"")</f>
        <v/>
      </c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30"/>
    </row>
    <row r="33" spans="1:97" x14ac:dyDescent="0.15">
      <c r="A33" s="18"/>
      <c r="B33" s="18" t="s">
        <v>109</v>
      </c>
      <c r="C33" s="18" t="s">
        <v>107</v>
      </c>
      <c r="D33" s="18" t="s">
        <v>97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/>
      <c r="AI33" s="18">
        <v>5</v>
      </c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>
        <f>SUM(E33:BO33)</f>
        <v>5</v>
      </c>
      <c r="BQ33" s="18">
        <v>5</v>
      </c>
      <c r="BR33" s="22">
        <v>1</v>
      </c>
      <c r="BS33" s="22" t="s">
        <v>246</v>
      </c>
      <c r="BT33" s="18" t="str">
        <f>IF(AQ33&gt;AQ$122, AQ33-AQ$122,"")</f>
        <v/>
      </c>
      <c r="BU33" s="18" t="str">
        <f>IF(AR33&gt;AR$122, AR33-AR$122,"")</f>
        <v/>
      </c>
      <c r="BV33" s="18" t="str">
        <f>IF(AS33&gt;AS$122, AS33-AS$122,"")</f>
        <v/>
      </c>
      <c r="BW33" s="18" t="str">
        <f>IF(AT33&gt;AT$122, AT33-AT$122,"")</f>
        <v/>
      </c>
      <c r="BX33" s="18" t="str">
        <f>IF(AU33&gt;AU$122, AU33-AU$122,"")</f>
        <v/>
      </c>
      <c r="BY33" s="18" t="str">
        <f>IF(AV33&gt;AV$122, AV33-AV$122,"")</f>
        <v/>
      </c>
      <c r="BZ33" s="18" t="str">
        <f>IF(AW33&gt;AW$122, AW33-AW$122,"")</f>
        <v/>
      </c>
      <c r="CA33" s="18" t="str">
        <f>IF(AX33&gt;AX$122, AX33-AX$122,"")</f>
        <v/>
      </c>
      <c r="CB33" s="18" t="str">
        <f>IF(AY33&gt;AY$122, AY33-AY$122,"")</f>
        <v/>
      </c>
      <c r="CC33" s="18" t="str">
        <f>IF(AZ33&gt;AZ$122, AZ33-AZ$122,"")</f>
        <v/>
      </c>
      <c r="CD33" s="18" t="str">
        <f>IF(BA33&gt;BA$122, BA33-BA$122,"")</f>
        <v/>
      </c>
      <c r="CE33" s="18" t="str">
        <f>IF(BB33&gt;BB$122, BB33-BB$122,"")</f>
        <v/>
      </c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30"/>
    </row>
    <row r="34" spans="1:97" x14ac:dyDescent="0.15">
      <c r="A34" s="1">
        <v>34</v>
      </c>
      <c r="B34" s="1" t="s">
        <v>42</v>
      </c>
      <c r="C34" s="1" t="s">
        <v>43</v>
      </c>
      <c r="D34" s="1" t="s">
        <v>22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>
        <v>15</v>
      </c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>
        <v>15</v>
      </c>
      <c r="BC34" s="14"/>
      <c r="BD34" s="1"/>
      <c r="BE34" s="1"/>
      <c r="BF34" s="1"/>
      <c r="BG34" s="1"/>
      <c r="BH34" s="1">
        <v>15</v>
      </c>
      <c r="BI34" s="1">
        <v>15</v>
      </c>
      <c r="BJ34" s="1"/>
      <c r="BK34" s="1"/>
      <c r="BL34" s="1"/>
      <c r="BM34" s="1"/>
      <c r="BN34" s="1"/>
      <c r="BO34" s="1"/>
      <c r="BP34" s="1">
        <f>SUM(E34:BO34)</f>
        <v>60</v>
      </c>
      <c r="BQ34" s="1">
        <v>5</v>
      </c>
      <c r="BR34" s="17">
        <v>1</v>
      </c>
      <c r="BS34" s="17" t="s">
        <v>247</v>
      </c>
      <c r="BT34" s="1" t="str">
        <f>IF(AQ34&gt;AQ$122, AQ34-AQ$122,"")</f>
        <v/>
      </c>
      <c r="BU34" s="1" t="str">
        <f>IF(AR34&gt;AR$122, AR34-AR$122,"")</f>
        <v/>
      </c>
      <c r="BV34" s="1" t="str">
        <f>IF(AS34&gt;AS$122, AS34-AS$122,"")</f>
        <v/>
      </c>
      <c r="BW34" s="1" t="str">
        <f>IF(AT34&gt;AT$122, AT34-AT$122,"")</f>
        <v/>
      </c>
      <c r="BX34" s="1" t="str">
        <f>IF(AU34&gt;AU$122, AU34-AU$122,"")</f>
        <v/>
      </c>
      <c r="BY34" s="1" t="str">
        <f>IF(AV34&gt;AV$122, AV34-AV$122,"")</f>
        <v/>
      </c>
      <c r="BZ34" s="1" t="str">
        <f>IF(AW34&gt;AW$122, AW34-AW$122,"")</f>
        <v/>
      </c>
      <c r="CA34" s="1" t="str">
        <f>IF(AX34&gt;AX$122, AX34-AX$122,"")</f>
        <v/>
      </c>
      <c r="CB34" s="1" t="str">
        <f>IF(AY34&gt;AY$122, AY34-AY$122,"")</f>
        <v/>
      </c>
      <c r="CC34" s="1" t="str">
        <f>IF(AZ34&gt;AZ$122, AZ34-AZ$122,"")</f>
        <v/>
      </c>
      <c r="CD34" s="1" t="str">
        <f>IF(BA34&gt;BA$122, BA34-BA$122,"")</f>
        <v/>
      </c>
      <c r="CE34" s="1" t="str">
        <f>IF(BB34&gt;BB$122, BB34-BB$122,"")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3">
        <f>SUM(AE34:BO34)</f>
        <v>60</v>
      </c>
    </row>
    <row r="35" spans="1:97" x14ac:dyDescent="0.15">
      <c r="A35" s="1"/>
      <c r="B35" s="1" t="s">
        <v>171</v>
      </c>
      <c r="C35" s="1" t="s">
        <v>95</v>
      </c>
      <c r="D35" s="1" t="s">
        <v>96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>
        <v>15</v>
      </c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>
        <v>15</v>
      </c>
      <c r="BC35" s="14"/>
      <c r="BD35" s="1"/>
      <c r="BE35" s="1"/>
      <c r="BF35" s="1"/>
      <c r="BG35" s="1"/>
      <c r="BH35" s="1">
        <v>15</v>
      </c>
      <c r="BI35" s="1">
        <v>15</v>
      </c>
      <c r="BJ35" s="1"/>
      <c r="BK35" s="1"/>
      <c r="BL35" s="1"/>
      <c r="BM35" s="1"/>
      <c r="BN35" s="1"/>
      <c r="BO35" s="1"/>
      <c r="BP35" s="1">
        <f>SUM(E35:BO35)</f>
        <v>60</v>
      </c>
      <c r="BQ35" s="1">
        <v>5</v>
      </c>
      <c r="BR35" s="17">
        <v>1</v>
      </c>
      <c r="BS35" s="17" t="s">
        <v>232</v>
      </c>
      <c r="BT35" s="1" t="str">
        <f>IF(AQ35&gt;AQ$122, AQ35-AQ$122,"")</f>
        <v/>
      </c>
      <c r="BU35" s="1" t="str">
        <f>IF(AR35&gt;AR$122, AR35-AR$122,"")</f>
        <v/>
      </c>
      <c r="BV35" s="1" t="str">
        <f>IF(AS35&gt;AS$122, AS35-AS$122,"")</f>
        <v/>
      </c>
      <c r="BW35" s="1" t="str">
        <f>IF(AT35&gt;AT$122, AT35-AT$122,"")</f>
        <v/>
      </c>
      <c r="BX35" s="1" t="str">
        <f>IF(AU35&gt;AU$122, AU35-AU$122,"")</f>
        <v/>
      </c>
      <c r="BY35" s="1" t="str">
        <f>IF(AV35&gt;AV$122, AV35-AV$122,"")</f>
        <v/>
      </c>
      <c r="BZ35" s="1" t="str">
        <f>IF(AW35&gt;AW$122, AW35-AW$122,"")</f>
        <v/>
      </c>
      <c r="CA35" s="1" t="str">
        <f>IF(AX35&gt;AX$122, AX35-AX$122,"")</f>
        <v/>
      </c>
      <c r="CB35" s="1" t="str">
        <f>IF(AY35&gt;AY$122, AY35-AY$122,"")</f>
        <v/>
      </c>
      <c r="CC35" s="1" t="str">
        <f>IF(AZ35&gt;AZ$122, AZ35-AZ$122,"")</f>
        <v/>
      </c>
      <c r="CD35" s="1" t="str">
        <f>IF(BA35&gt;BA$122, BA35-BA$122,"")</f>
        <v/>
      </c>
      <c r="CE35" s="1" t="str">
        <f>IF(BB35&gt;BB$122, BB35-BB$122,"")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x14ac:dyDescent="0.15">
      <c r="A36" s="1"/>
      <c r="B36" s="1" t="s">
        <v>172</v>
      </c>
      <c r="C36" s="1" t="s">
        <v>110</v>
      </c>
      <c r="D36" s="1" t="s">
        <v>96</v>
      </c>
      <c r="E36" s="6"/>
      <c r="F36" s="6"/>
      <c r="G36" s="6">
        <v>20</v>
      </c>
      <c r="H36" s="6">
        <v>20</v>
      </c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>
        <v>20</v>
      </c>
      <c r="BB36" s="2">
        <v>20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80</v>
      </c>
      <c r="BQ36" s="1">
        <v>6</v>
      </c>
      <c r="BR36" s="17">
        <v>1</v>
      </c>
      <c r="BS36" s="17" t="s">
        <v>261</v>
      </c>
      <c r="BT36" s="1" t="str">
        <f>IF(AQ36&gt;AQ$122, AQ36-AQ$122,"")</f>
        <v/>
      </c>
      <c r="BU36" s="1" t="str">
        <f>IF(AR36&gt;AR$122, AR36-AR$122,"")</f>
        <v/>
      </c>
      <c r="BV36" s="1" t="str">
        <f>IF(AS36&gt;AS$122, AS36-AS$122,"")</f>
        <v/>
      </c>
      <c r="BW36" s="1" t="str">
        <f>IF(AT36&gt;AT$122, AT36-AT$122,"")</f>
        <v/>
      </c>
      <c r="BX36" s="1" t="str">
        <f>IF(AU36&gt;AU$122, AU36-AU$122,"")</f>
        <v/>
      </c>
      <c r="BY36" s="1" t="str">
        <f>IF(AV36&gt;AV$122, AV36-AV$122,"")</f>
        <v/>
      </c>
      <c r="BZ36" s="1" t="str">
        <f>IF(AW36&gt;AW$122, AW36-AW$122,"")</f>
        <v/>
      </c>
      <c r="CA36" s="1" t="str">
        <f>IF(AX36&gt;AX$122, AX36-AX$122,"")</f>
        <v/>
      </c>
      <c r="CB36" s="1" t="str">
        <f>IF(AY36&gt;AY$122, AY36-AY$122,"")</f>
        <v/>
      </c>
      <c r="CC36" s="1" t="str">
        <f>IF(AZ36&gt;AZ$122, AZ36-AZ$122,"")</f>
        <v/>
      </c>
      <c r="CD36" s="1" t="str">
        <f>IF(BA36&gt;BA$122, BA36-BA$122,"")</f>
        <v/>
      </c>
      <c r="CE36" s="1" t="str">
        <f>IF(BB36&gt;BB$122, BB36-BB$122,"")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x14ac:dyDescent="0.15">
      <c r="A37" s="1">
        <v>82</v>
      </c>
      <c r="B37" s="3" t="s">
        <v>62</v>
      </c>
      <c r="C37" s="3" t="s">
        <v>58</v>
      </c>
      <c r="D37" s="1" t="s">
        <v>12</v>
      </c>
      <c r="E37" s="6"/>
      <c r="F37" s="6"/>
      <c r="G37" s="6"/>
      <c r="H37" s="6"/>
      <c r="I37" s="6"/>
      <c r="J37" s="6"/>
      <c r="K37" s="6"/>
      <c r="L37" s="6">
        <v>6</v>
      </c>
      <c r="M37" s="6"/>
      <c r="N37" s="6">
        <v>6</v>
      </c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>
        <v>10</v>
      </c>
      <c r="AU37" s="4"/>
      <c r="AV37" s="4"/>
      <c r="AW37" s="2"/>
      <c r="AX37" s="2"/>
      <c r="AY37" s="2"/>
      <c r="AZ37" s="2">
        <v>10</v>
      </c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32</v>
      </c>
      <c r="BQ37" s="1">
        <v>7</v>
      </c>
      <c r="BR37" s="17">
        <v>1</v>
      </c>
      <c r="BS37" s="17" t="s">
        <v>248</v>
      </c>
      <c r="BT37" s="1" t="str">
        <f>IF(AQ37&gt;AQ$122, AQ37-AQ$122,"")</f>
        <v/>
      </c>
      <c r="BU37" s="1" t="str">
        <f>IF(AR37&gt;AR$122, AR37-AR$122,"")</f>
        <v/>
      </c>
      <c r="BV37" s="1" t="str">
        <f>IF(AS37&gt;AS$122, AS37-AS$122,"")</f>
        <v/>
      </c>
      <c r="BW37" s="1" t="str">
        <f>IF(AT37&gt;AT$122, AT37-AT$122,"")</f>
        <v/>
      </c>
      <c r="BX37" s="1" t="str">
        <f>IF(AU37&gt;AU$122, AU37-AU$122,"")</f>
        <v/>
      </c>
      <c r="BY37" s="1" t="str">
        <f>IF(AV37&gt;AV$122, AV37-AV$122,"")</f>
        <v/>
      </c>
      <c r="BZ37" s="1" t="str">
        <f>IF(AW37&gt;AW$122, AW37-AW$122,"")</f>
        <v/>
      </c>
      <c r="CA37" s="1" t="str">
        <f>IF(AX37&gt;AX$122, AX37-AX$122,"")</f>
        <v/>
      </c>
      <c r="CB37" s="1" t="str">
        <f>IF(AY37&gt;AY$122, AY37-AY$122,"")</f>
        <v/>
      </c>
      <c r="CC37" s="1" t="str">
        <f>IF(AZ37&gt;AZ$122, AZ37-AZ$122,"")</f>
        <v/>
      </c>
      <c r="CD37" s="1" t="str">
        <f>IF(BA37&gt;BA$122, BA37-BA$122,"")</f>
        <v/>
      </c>
      <c r="CE37" s="1" t="str">
        <f>IF(BB37&gt;BB$122, BB37-BB$122,"")</f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3">
        <f>SUM(AE37:BO37)</f>
        <v>20</v>
      </c>
    </row>
    <row r="38" spans="1:97" x14ac:dyDescent="0.15">
      <c r="A38" s="1">
        <v>45</v>
      </c>
      <c r="B38" s="1" t="s">
        <v>94</v>
      </c>
      <c r="C38" s="1" t="s">
        <v>43</v>
      </c>
      <c r="D38" s="1" t="s">
        <v>12</v>
      </c>
      <c r="E38" s="6">
        <v>6</v>
      </c>
      <c r="F38" s="6"/>
      <c r="G38" s="6"/>
      <c r="H38" s="6"/>
      <c r="I38" s="6"/>
      <c r="J38" s="6"/>
      <c r="K38" s="6"/>
      <c r="L38" s="6"/>
      <c r="M38" s="6">
        <v>6</v>
      </c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>
        <v>10</v>
      </c>
      <c r="AR38" s="4"/>
      <c r="AS38" s="4"/>
      <c r="AT38" s="4"/>
      <c r="AU38" s="4"/>
      <c r="AV38" s="4"/>
      <c r="AW38" s="2"/>
      <c r="AX38" s="2"/>
      <c r="AY38" s="2"/>
      <c r="AZ38" s="2">
        <v>10</v>
      </c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32</v>
      </c>
      <c r="BQ38" s="1">
        <v>7</v>
      </c>
      <c r="BR38" s="17">
        <v>1</v>
      </c>
      <c r="BS38" s="17" t="s">
        <v>234</v>
      </c>
      <c r="BT38" s="1" t="str">
        <f>IF(AQ38&gt;AQ$122, AQ38-AQ$122,"")</f>
        <v/>
      </c>
      <c r="BU38" s="1" t="str">
        <f>IF(AR38&gt;AR$122, AR38-AR$122,"")</f>
        <v/>
      </c>
      <c r="BV38" s="1" t="str">
        <f>IF(AS38&gt;AS$122, AS38-AS$122,"")</f>
        <v/>
      </c>
      <c r="BW38" s="1" t="str">
        <f>IF(AT38&gt;AT$122, AT38-AT$122,"")</f>
        <v/>
      </c>
      <c r="BX38" s="1" t="str">
        <f>IF(AU38&gt;AU$122, AU38-AU$122,"")</f>
        <v/>
      </c>
      <c r="BY38" s="1" t="str">
        <f>IF(AV38&gt;AV$122, AV38-AV$122,"")</f>
        <v/>
      </c>
      <c r="BZ38" s="1" t="str">
        <f>IF(AW38&gt;AW$122, AW38-AW$122,"")</f>
        <v/>
      </c>
      <c r="CA38" s="1" t="str">
        <f>IF(AX38&gt;AX$122, AX38-AX$122,"")</f>
        <v/>
      </c>
      <c r="CB38" s="1" t="str">
        <f>IF(AY38&gt;AY$122, AY38-AY$122,"")</f>
        <v/>
      </c>
      <c r="CC38" s="1" t="str">
        <f>IF(AZ38&gt;AZ$122, AZ38-AZ$122,"")</f>
        <v/>
      </c>
      <c r="CD38" s="1" t="str">
        <f>IF(BA38&gt;BA$122, BA38-BA$122,"")</f>
        <v/>
      </c>
      <c r="CE38" s="1" t="str">
        <f>IF(BB38&gt;BB$122, BB38-BB$122,"")</f>
        <v/>
      </c>
      <c r="CF38" s="1">
        <f>COUNTIF(BT38:CE38, "&gt;0")</f>
        <v>0</v>
      </c>
      <c r="CG38" s="1" t="str">
        <f>IF($CF38=1,BT38,"")</f>
        <v/>
      </c>
      <c r="CH38" s="1" t="str">
        <f>IF($CF38=1,BU38,"")</f>
        <v/>
      </c>
      <c r="CI38" s="1" t="str">
        <f>IF($CF38=1,BV38,"")</f>
        <v/>
      </c>
      <c r="CJ38" s="1" t="str">
        <f>IF($CF38=1,BW38,"")</f>
        <v/>
      </c>
      <c r="CK38" s="1" t="str">
        <f>IF($CF38=1,BX38,"")</f>
        <v/>
      </c>
      <c r="CL38" s="1" t="str">
        <f>IF($CF38=1,BY38,"")</f>
        <v/>
      </c>
      <c r="CM38" s="1" t="str">
        <f>IF($CF38=1,BZ38,"")</f>
        <v/>
      </c>
      <c r="CN38" s="1" t="str">
        <f>IF($CF38=1,CA38,"")</f>
        <v/>
      </c>
      <c r="CO38" s="1" t="str">
        <f>IF($CF38=1,CB38,"")</f>
        <v/>
      </c>
      <c r="CP38" s="1" t="str">
        <f>IF($CF38=1,CC38,"")</f>
        <v/>
      </c>
      <c r="CQ38" s="1" t="str">
        <f>IF($CF38=1,CD38,"")</f>
        <v/>
      </c>
      <c r="CR38" s="1" t="str">
        <f>IF($CF38=1,CE38,"")</f>
        <v/>
      </c>
      <c r="CS38" s="3">
        <f>SUM(AE38:BO38)</f>
        <v>20</v>
      </c>
    </row>
    <row r="39" spans="1:97" x14ac:dyDescent="0.15">
      <c r="A39" s="1"/>
      <c r="B39" s="1" t="s">
        <v>178</v>
      </c>
      <c r="C39" s="1" t="s">
        <v>99</v>
      </c>
      <c r="D39" s="1" t="s">
        <v>97</v>
      </c>
      <c r="E39" s="6">
        <v>6</v>
      </c>
      <c r="F39" s="6">
        <v>6</v>
      </c>
      <c r="G39" s="6"/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>
        <v>10</v>
      </c>
      <c r="AT39" s="4"/>
      <c r="AU39" s="4"/>
      <c r="AV39" s="4"/>
      <c r="AW39" s="2"/>
      <c r="AX39" s="2">
        <v>10</v>
      </c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32</v>
      </c>
      <c r="BQ39" s="1">
        <v>9</v>
      </c>
      <c r="BR39" s="17">
        <v>1</v>
      </c>
      <c r="BS39" s="17" t="s">
        <v>258</v>
      </c>
      <c r="BT39" s="1" t="str">
        <f>IF(AQ39&gt;AQ$122, AQ39-AQ$122,"")</f>
        <v/>
      </c>
      <c r="BU39" s="1" t="str">
        <f>IF(AR39&gt;AR$122, AR39-AR$122,"")</f>
        <v/>
      </c>
      <c r="BV39" s="1" t="str">
        <f>IF(AS39&gt;AS$122, AS39-AS$122,"")</f>
        <v/>
      </c>
      <c r="BW39" s="1" t="str">
        <f>IF(AT39&gt;AT$122, AT39-AT$122,"")</f>
        <v/>
      </c>
      <c r="BX39" s="1" t="str">
        <f>IF(AU39&gt;AU$122, AU39-AU$122,"")</f>
        <v/>
      </c>
      <c r="BY39" s="1" t="str">
        <f>IF(AV39&gt;AV$122, AV39-AV$122,"")</f>
        <v/>
      </c>
      <c r="BZ39" s="1" t="str">
        <f>IF(AW39&gt;AW$122, AW39-AW$122,"")</f>
        <v/>
      </c>
      <c r="CA39" s="1" t="str">
        <f>IF(AX39&gt;AX$122, AX39-AX$122,"")</f>
        <v/>
      </c>
      <c r="CB39" s="1" t="str">
        <f>IF(AY39&gt;AY$122, AY39-AY$122,"")</f>
        <v/>
      </c>
      <c r="CC39" s="1" t="str">
        <f>IF(AZ39&gt;AZ$122, AZ39-AZ$122,"")</f>
        <v/>
      </c>
      <c r="CD39" s="1" t="str">
        <f>IF(BA39&gt;BA$122, BA39-BA$122,"")</f>
        <v/>
      </c>
      <c r="CE39" s="1" t="str">
        <f>IF(BB39&gt;BB$122, BB39-BB$122,"")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x14ac:dyDescent="0.15">
      <c r="A40" s="1"/>
      <c r="B40" s="1" t="s">
        <v>167</v>
      </c>
      <c r="C40" s="1" t="s">
        <v>107</v>
      </c>
      <c r="D40" s="1" t="s">
        <v>97</v>
      </c>
      <c r="E40" s="6">
        <v>10</v>
      </c>
      <c r="F40" s="6"/>
      <c r="G40" s="6">
        <v>10</v>
      </c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>
        <v>10</v>
      </c>
      <c r="AS40" s="4"/>
      <c r="AT40" s="4"/>
      <c r="AU40" s="4"/>
      <c r="AV40" s="4"/>
      <c r="AW40" s="2"/>
      <c r="AX40" s="2"/>
      <c r="AY40" s="2"/>
      <c r="AZ40" s="2"/>
      <c r="BA40" s="2"/>
      <c r="BB40" s="2">
        <v>10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40</v>
      </c>
      <c r="BQ40" s="1">
        <v>10</v>
      </c>
      <c r="BR40" s="17">
        <v>1</v>
      </c>
      <c r="BS40" s="17" t="s">
        <v>230</v>
      </c>
      <c r="BT40" s="1" t="str">
        <f>IF(AQ40&gt;AQ$122, AQ40-AQ$122,"")</f>
        <v/>
      </c>
      <c r="BU40" s="1" t="str">
        <f>IF(AR40&gt;AR$122, AR40-AR$122,"")</f>
        <v/>
      </c>
      <c r="BV40" s="1" t="str">
        <f>IF(AS40&gt;AS$122, AS40-AS$122,"")</f>
        <v/>
      </c>
      <c r="BW40" s="1" t="str">
        <f>IF(AT40&gt;AT$122, AT40-AT$122,"")</f>
        <v/>
      </c>
      <c r="BX40" s="1" t="str">
        <f>IF(AU40&gt;AU$122, AU40-AU$122,"")</f>
        <v/>
      </c>
      <c r="BY40" s="1" t="str">
        <f>IF(AV40&gt;AV$122, AV40-AV$122,"")</f>
        <v/>
      </c>
      <c r="BZ40" s="1" t="str">
        <f>IF(AW40&gt;AW$122, AW40-AW$122,"")</f>
        <v/>
      </c>
      <c r="CA40" s="1" t="str">
        <f>IF(AX40&gt;AX$122, AX40-AX$122,"")</f>
        <v/>
      </c>
      <c r="CB40" s="1" t="str">
        <f>IF(AY40&gt;AY$122, AY40-AY$122,"")</f>
        <v/>
      </c>
      <c r="CC40" s="1" t="str">
        <f>IF(AZ40&gt;AZ$122, AZ40-AZ$122,"")</f>
        <v/>
      </c>
      <c r="CD40" s="1" t="str">
        <f>IF(BA40&gt;BA$122, BA40-BA$122,"")</f>
        <v/>
      </c>
      <c r="CE40" s="1" t="str">
        <f>IF(BB40&gt;BB$122, BB40-BB$122,"")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s="23" customFormat="1" x14ac:dyDescent="0.15">
      <c r="A41" s="1"/>
      <c r="B41" s="1" t="s">
        <v>165</v>
      </c>
      <c r="C41" s="1" t="s">
        <v>141</v>
      </c>
      <c r="D41" s="1" t="s">
        <v>115</v>
      </c>
      <c r="E41" s="6">
        <v>10</v>
      </c>
      <c r="F41" s="6"/>
      <c r="G41" s="6">
        <v>10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10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10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40</v>
      </c>
      <c r="BQ41" s="1">
        <v>10</v>
      </c>
      <c r="BR41" s="17">
        <v>1</v>
      </c>
      <c r="BS41" s="17" t="s">
        <v>230</v>
      </c>
      <c r="BT41" s="1" t="str">
        <f>IF(AQ41&gt;AQ$122, AQ41-AQ$122,"")</f>
        <v/>
      </c>
      <c r="BU41" s="1" t="str">
        <f>IF(AR41&gt;AR$122, AR41-AR$122,"")</f>
        <v/>
      </c>
      <c r="BV41" s="1" t="str">
        <f>IF(AS41&gt;AS$122, AS41-AS$122,"")</f>
        <v/>
      </c>
      <c r="BW41" s="1" t="str">
        <f>IF(AT41&gt;AT$122, AT41-AT$122,"")</f>
        <v/>
      </c>
      <c r="BX41" s="1" t="str">
        <f>IF(AU41&gt;AU$122, AU41-AU$122,"")</f>
        <v/>
      </c>
      <c r="BY41" s="1" t="str">
        <f>IF(AV41&gt;AV$122, AV41-AV$122,"")</f>
        <v/>
      </c>
      <c r="BZ41" s="1" t="str">
        <f>IF(AW41&gt;AW$122, AW41-AW$122,"")</f>
        <v/>
      </c>
      <c r="CA41" s="1" t="str">
        <f>IF(AX41&gt;AX$122, AX41-AX$122,"")</f>
        <v/>
      </c>
      <c r="CB41" s="1" t="str">
        <f>IF(AY41&gt;AY$122, AY41-AY$122,"")</f>
        <v/>
      </c>
      <c r="CC41" s="1" t="str">
        <f>IF(AZ41&gt;AZ$122, AZ41-AZ$122,"")</f>
        <v/>
      </c>
      <c r="CD41" s="1" t="str">
        <f>IF(BA41&gt;BA$122, BA41-BA$122,"")</f>
        <v/>
      </c>
      <c r="CE41" s="1" t="str">
        <f>IF(BB41&gt;BB$122, BB41-BB$122,"")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x14ac:dyDescent="0.15">
      <c r="A42" s="1">
        <v>8</v>
      </c>
      <c r="B42" s="1" t="s">
        <v>160</v>
      </c>
      <c r="C42" s="1" t="s">
        <v>2</v>
      </c>
      <c r="D42" s="1" t="s">
        <v>23</v>
      </c>
      <c r="E42" s="6">
        <v>6</v>
      </c>
      <c r="F42" s="6"/>
      <c r="G42" s="6"/>
      <c r="H42" s="6">
        <v>6</v>
      </c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>
        <v>10</v>
      </c>
      <c r="AS42" s="4"/>
      <c r="AT42" s="4"/>
      <c r="AU42" s="4"/>
      <c r="AV42" s="4"/>
      <c r="AW42" s="2"/>
      <c r="AX42" s="2"/>
      <c r="AY42" s="2"/>
      <c r="AZ42" s="2"/>
      <c r="BA42" s="2"/>
      <c r="BB42" s="2">
        <v>10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32</v>
      </c>
      <c r="BQ42" s="1">
        <v>10</v>
      </c>
      <c r="BR42" s="17">
        <v>1</v>
      </c>
      <c r="BS42" s="17" t="s">
        <v>230</v>
      </c>
      <c r="BT42" s="1" t="str">
        <f>IF(AQ42&gt;AQ$122, AQ42-AQ$122,"")</f>
        <v/>
      </c>
      <c r="BU42" s="1" t="str">
        <f>IF(AR42&gt;AR$122, AR42-AR$122,"")</f>
        <v/>
      </c>
      <c r="BV42" s="1" t="str">
        <f>IF(AS42&gt;AS$122, AS42-AS$122,"")</f>
        <v/>
      </c>
      <c r="BW42" s="1" t="str">
        <f>IF(AT42&gt;AT$122, AT42-AT$122,"")</f>
        <v/>
      </c>
      <c r="BX42" s="1" t="str">
        <f>IF(AU42&gt;AU$122, AU42-AU$122,"")</f>
        <v/>
      </c>
      <c r="BY42" s="1" t="str">
        <f>IF(AV42&gt;AV$122, AV42-AV$122,"")</f>
        <v/>
      </c>
      <c r="BZ42" s="1" t="str">
        <f>IF(AW42&gt;AW$122, AW42-AW$122,"")</f>
        <v/>
      </c>
      <c r="CA42" s="1" t="str">
        <f>IF(AX42&gt;AX$122, AX42-AX$122,"")</f>
        <v/>
      </c>
      <c r="CB42" s="1" t="str">
        <f>IF(AY42&gt;AY$122, AY42-AY$122,"")</f>
        <v/>
      </c>
      <c r="CC42" s="1" t="str">
        <f>IF(AZ42&gt;AZ$122, AZ42-AZ$122,"")</f>
        <v/>
      </c>
      <c r="CD42" s="1" t="str">
        <f>IF(BA42&gt;BA$122, BA42-BA$122,"")</f>
        <v/>
      </c>
      <c r="CE42" s="1" t="str">
        <f>IF(BB42&gt;BB$122, BB42-BB$122,"")</f>
        <v/>
      </c>
      <c r="CF42" s="1">
        <f>COUNTIF(BT42:CE42, "&gt;0")</f>
        <v>0</v>
      </c>
      <c r="CG42" s="1" t="str">
        <f>IF($CF42=1,BT42,"")</f>
        <v/>
      </c>
      <c r="CH42" s="1" t="str">
        <f>IF($CF42=1,BU42,"")</f>
        <v/>
      </c>
      <c r="CI42" s="1" t="str">
        <f>IF($CF42=1,BV42,"")</f>
        <v/>
      </c>
      <c r="CJ42" s="1" t="str">
        <f>IF($CF42=1,BW42,"")</f>
        <v/>
      </c>
      <c r="CK42" s="1" t="str">
        <f>IF($CF42=1,BX42,"")</f>
        <v/>
      </c>
      <c r="CL42" s="1" t="str">
        <f>IF($CF42=1,BY42,"")</f>
        <v/>
      </c>
      <c r="CM42" s="1" t="str">
        <f>IF($CF42=1,BZ42,"")</f>
        <v/>
      </c>
      <c r="CN42" s="1" t="str">
        <f>IF($CF42=1,CA42,"")</f>
        <v/>
      </c>
      <c r="CO42" s="1" t="str">
        <f>IF($CF42=1,CB42,"")</f>
        <v/>
      </c>
      <c r="CP42" s="1" t="str">
        <f>IF($CF42=1,CC42,"")</f>
        <v/>
      </c>
      <c r="CQ42" s="1" t="str">
        <f>IF($CF42=1,CD42,"")</f>
        <v/>
      </c>
      <c r="CR42" s="1" t="str">
        <f>IF($CF42=1,CE42,"")</f>
        <v/>
      </c>
      <c r="CS42" s="3">
        <f>SUM(AE42:BO42)</f>
        <v>20</v>
      </c>
    </row>
    <row r="43" spans="1:97" x14ac:dyDescent="0.15">
      <c r="A43" s="1"/>
      <c r="B43" s="1" t="s">
        <v>168</v>
      </c>
      <c r="C43" s="1" t="s">
        <v>135</v>
      </c>
      <c r="D43" s="1" t="s">
        <v>114</v>
      </c>
      <c r="E43" s="6"/>
      <c r="F43" s="6"/>
      <c r="G43" s="6"/>
      <c r="H43" s="6"/>
      <c r="I43" s="6"/>
      <c r="J43" s="6">
        <v>10</v>
      </c>
      <c r="K43" s="6"/>
      <c r="L43" s="6">
        <v>10</v>
      </c>
      <c r="M43" s="6">
        <v>10</v>
      </c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>
        <v>15</v>
      </c>
      <c r="AZ43" s="2">
        <v>15</v>
      </c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60</v>
      </c>
      <c r="BQ43" s="1">
        <v>12</v>
      </c>
      <c r="BR43" s="17">
        <v>1</v>
      </c>
      <c r="BS43" s="17" t="s">
        <v>249</v>
      </c>
      <c r="BT43" s="1" t="str">
        <f>IF(AQ43&gt;AQ$122, AQ43-AQ$122,"")</f>
        <v/>
      </c>
      <c r="BU43" s="1" t="str">
        <f>IF(AR43&gt;AR$122, AR43-AR$122,"")</f>
        <v/>
      </c>
      <c r="BV43" s="1" t="str">
        <f>IF(AS43&gt;AS$122, AS43-AS$122,"")</f>
        <v/>
      </c>
      <c r="BW43" s="1" t="str">
        <f>IF(AT43&gt;AT$122, AT43-AT$122,"")</f>
        <v/>
      </c>
      <c r="BX43" s="1" t="str">
        <f>IF(AU43&gt;AU$122, AU43-AU$122,"")</f>
        <v/>
      </c>
      <c r="BY43" s="1" t="str">
        <f>IF(AV43&gt;AV$122, AV43-AV$122,"")</f>
        <v/>
      </c>
      <c r="BZ43" s="1" t="str">
        <f>IF(AW43&gt;AW$122, AW43-AW$122,"")</f>
        <v/>
      </c>
      <c r="CA43" s="1" t="str">
        <f>IF(AX43&gt;AX$122, AX43-AX$122,"")</f>
        <v/>
      </c>
      <c r="CB43" s="1" t="str">
        <f>IF(AY43&gt;AY$122, AY43-AY$122,"")</f>
        <v/>
      </c>
      <c r="CC43" s="1" t="str">
        <f>IF(AZ43&gt;AZ$122, AZ43-AZ$122,"")</f>
        <v/>
      </c>
      <c r="CD43" s="1" t="str">
        <f>IF(BA43&gt;BA$122, BA43-BA$122,"")</f>
        <v/>
      </c>
      <c r="CE43" s="1" t="str">
        <f>IF(BB43&gt;BB$122, BB43-BB$122,"")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x14ac:dyDescent="0.15">
      <c r="A44" s="1">
        <v>14</v>
      </c>
      <c r="B44" s="1" t="s">
        <v>27</v>
      </c>
      <c r="C44" s="1" t="s">
        <v>28</v>
      </c>
      <c r="D44" s="1" t="s">
        <v>29</v>
      </c>
      <c r="E44" s="6"/>
      <c r="F44" s="6"/>
      <c r="G44" s="6">
        <v>15</v>
      </c>
      <c r="H44" s="6">
        <v>15</v>
      </c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>
        <v>15</v>
      </c>
      <c r="AT44" s="4"/>
      <c r="AU44" s="4"/>
      <c r="AV44" s="4"/>
      <c r="AW44" s="2"/>
      <c r="AX44" s="2"/>
      <c r="AY44" s="2"/>
      <c r="AZ44" s="2"/>
      <c r="BA44" s="2"/>
      <c r="BB44" s="2">
        <v>15</v>
      </c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60</v>
      </c>
      <c r="BQ44" s="1">
        <v>14</v>
      </c>
      <c r="BR44" s="17">
        <v>1</v>
      </c>
      <c r="BS44" s="17" t="s">
        <v>263</v>
      </c>
      <c r="BT44" s="1" t="str">
        <f>IF(AQ44&gt;AQ$122, AQ44-AQ$122,"")</f>
        <v/>
      </c>
      <c r="BU44" s="1" t="str">
        <f>IF(AR44&gt;AR$122, AR44-AR$122,"")</f>
        <v/>
      </c>
      <c r="BV44" s="1" t="str">
        <f>IF(AS44&gt;AS$122, AS44-AS$122,"")</f>
        <v/>
      </c>
      <c r="BW44" s="1" t="str">
        <f>IF(AT44&gt;AT$122, AT44-AT$122,"")</f>
        <v/>
      </c>
      <c r="BX44" s="1" t="str">
        <f>IF(AU44&gt;AU$122, AU44-AU$122,"")</f>
        <v/>
      </c>
      <c r="BY44" s="1" t="str">
        <f>IF(AV44&gt;AV$122, AV44-AV$122,"")</f>
        <v/>
      </c>
      <c r="BZ44" s="1" t="str">
        <f>IF(AW44&gt;AW$122, AW44-AW$122,"")</f>
        <v/>
      </c>
      <c r="CA44" s="1" t="str">
        <f>IF(AX44&gt;AX$122, AX44-AX$122,"")</f>
        <v/>
      </c>
      <c r="CB44" s="1" t="str">
        <f>IF(AY44&gt;AY$122, AY44-AY$122,"")</f>
        <v/>
      </c>
      <c r="CC44" s="1" t="str">
        <f>IF(AZ44&gt;AZ$122, AZ44-AZ$122,"")</f>
        <v/>
      </c>
      <c r="CD44" s="1" t="str">
        <f>IF(BA44&gt;BA$122, BA44-BA$122,"")</f>
        <v/>
      </c>
      <c r="CE44" s="1" t="str">
        <f>IF(BB44&gt;BB$122, BB44-BB$122,"")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3">
        <f>SUM(AE44:BO44)</f>
        <v>30</v>
      </c>
    </row>
    <row r="45" spans="1:97" x14ac:dyDescent="0.15">
      <c r="A45" s="1"/>
      <c r="B45" s="1" t="s">
        <v>98</v>
      </c>
      <c r="C45" s="1" t="s">
        <v>99</v>
      </c>
      <c r="D45" s="1" t="s">
        <v>96</v>
      </c>
      <c r="E45" s="6"/>
      <c r="F45" s="6"/>
      <c r="G45" s="6">
        <v>15</v>
      </c>
      <c r="H45" s="6">
        <v>15</v>
      </c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>
        <v>15</v>
      </c>
      <c r="AT45" s="4"/>
      <c r="AU45" s="4"/>
      <c r="AV45" s="4"/>
      <c r="AW45" s="2"/>
      <c r="AX45" s="2"/>
      <c r="AY45" s="2"/>
      <c r="AZ45" s="2"/>
      <c r="BA45" s="2"/>
      <c r="BB45" s="2">
        <v>15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60</v>
      </c>
      <c r="BQ45" s="1">
        <v>14</v>
      </c>
      <c r="BR45" s="17">
        <v>1</v>
      </c>
      <c r="BS45" s="17" t="s">
        <v>263</v>
      </c>
      <c r="BT45" s="1" t="str">
        <f>IF(AQ45&gt;AQ$122, AQ45-AQ$122,"")</f>
        <v/>
      </c>
      <c r="BU45" s="1" t="str">
        <f>IF(AR45&gt;AR$122, AR45-AR$122,"")</f>
        <v/>
      </c>
      <c r="BV45" s="1" t="str">
        <f>IF(AS45&gt;AS$122, AS45-AS$122,"")</f>
        <v/>
      </c>
      <c r="BW45" s="1" t="str">
        <f>IF(AT45&gt;AT$122, AT45-AT$122,"")</f>
        <v/>
      </c>
      <c r="BX45" s="1" t="str">
        <f>IF(AU45&gt;AU$122, AU45-AU$122,"")</f>
        <v/>
      </c>
      <c r="BY45" s="1" t="str">
        <f>IF(AV45&gt;AV$122, AV45-AV$122,"")</f>
        <v/>
      </c>
      <c r="BZ45" s="1" t="str">
        <f>IF(AW45&gt;AW$122, AW45-AW$122,"")</f>
        <v/>
      </c>
      <c r="CA45" s="1" t="str">
        <f>IF(AX45&gt;AX$122, AX45-AX$122,"")</f>
        <v/>
      </c>
      <c r="CB45" s="1" t="str">
        <f>IF(AY45&gt;AY$122, AY45-AY$122,"")</f>
        <v/>
      </c>
      <c r="CC45" s="1" t="str">
        <f>IF(AZ45&gt;AZ$122, AZ45-AZ$122,"")</f>
        <v/>
      </c>
      <c r="CD45" s="1" t="str">
        <f>IF(BA45&gt;BA$122, BA45-BA$122,"")</f>
        <v/>
      </c>
      <c r="CE45" s="1" t="str">
        <f>IF(BB45&gt;BB$122, BB45-BB$122,"")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s="49" customFormat="1" x14ac:dyDescent="0.15">
      <c r="A46" s="41">
        <v>3</v>
      </c>
      <c r="B46" s="41" t="s">
        <v>10</v>
      </c>
      <c r="C46" s="41" t="s">
        <v>2</v>
      </c>
      <c r="D46" s="41" t="s">
        <v>11</v>
      </c>
      <c r="E46" s="42">
        <v>15</v>
      </c>
      <c r="F46" s="42"/>
      <c r="G46" s="42">
        <v>15</v>
      </c>
      <c r="H46" s="42"/>
      <c r="I46" s="42"/>
      <c r="J46" s="42"/>
      <c r="K46" s="42"/>
      <c r="L46" s="42"/>
      <c r="M46" s="42"/>
      <c r="N46" s="42"/>
      <c r="O46" s="42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4"/>
      <c r="AR46" s="44">
        <v>15</v>
      </c>
      <c r="AS46" s="44"/>
      <c r="AT46" s="44"/>
      <c r="AU46" s="44"/>
      <c r="AV46" s="44"/>
      <c r="AW46" s="45"/>
      <c r="AX46" s="45"/>
      <c r="AY46" s="45"/>
      <c r="AZ46" s="45"/>
      <c r="BA46" s="45"/>
      <c r="BB46" s="45">
        <v>15</v>
      </c>
      <c r="BC46" s="46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>
        <f>SUM(E46:BO46)</f>
        <v>60</v>
      </c>
      <c r="BQ46" s="41">
        <v>15</v>
      </c>
      <c r="BR46" s="47">
        <v>1</v>
      </c>
      <c r="BS46" s="47" t="s">
        <v>250</v>
      </c>
      <c r="BT46" s="41" t="str">
        <f>IF(AQ46&gt;AQ$122, AQ46-AQ$122,"")</f>
        <v/>
      </c>
      <c r="BU46" s="41" t="str">
        <f>IF(AR46&gt;AR$122, AR46-AR$122,"")</f>
        <v/>
      </c>
      <c r="BV46" s="41" t="str">
        <f>IF(AS46&gt;AS$122, AS46-AS$122,"")</f>
        <v/>
      </c>
      <c r="BW46" s="41" t="str">
        <f>IF(AT46&gt;AT$122, AT46-AT$122,"")</f>
        <v/>
      </c>
      <c r="BX46" s="41" t="str">
        <f>IF(AU46&gt;AU$122, AU46-AU$122,"")</f>
        <v/>
      </c>
      <c r="BY46" s="41" t="str">
        <f>IF(AV46&gt;AV$122, AV46-AV$122,"")</f>
        <v/>
      </c>
      <c r="BZ46" s="41" t="str">
        <f>IF(AW46&gt;AW$122, AW46-AW$122,"")</f>
        <v/>
      </c>
      <c r="CA46" s="41" t="str">
        <f>IF(AX46&gt;AX$122, AX46-AX$122,"")</f>
        <v/>
      </c>
      <c r="CB46" s="41" t="str">
        <f>IF(AY46&gt;AY$122, AY46-AY$122,"")</f>
        <v/>
      </c>
      <c r="CC46" s="41" t="str">
        <f>IF(AZ46&gt;AZ$122, AZ46-AZ$122,"")</f>
        <v/>
      </c>
      <c r="CD46" s="41" t="str">
        <f>IF(BA46&gt;BA$122, BA46-BA$122,"")</f>
        <v/>
      </c>
      <c r="CE46" s="41" t="str">
        <f>IF(BB46&gt;BB$122, BB46-BB$122,"")</f>
        <v/>
      </c>
      <c r="CF46" s="41">
        <f>COUNTIF(BT46:CE46, "&gt;0")</f>
        <v>0</v>
      </c>
      <c r="CG46" s="41" t="str">
        <f>IF($CF46=1,BT46,"")</f>
        <v/>
      </c>
      <c r="CH46" s="41" t="str">
        <f>IF($CF46=1,BU46,"")</f>
        <v/>
      </c>
      <c r="CI46" s="41" t="str">
        <f>IF($CF46=1,BV46,"")</f>
        <v/>
      </c>
      <c r="CJ46" s="41" t="str">
        <f>IF($CF46=1,BW46,"")</f>
        <v/>
      </c>
      <c r="CK46" s="41" t="str">
        <f>IF($CF46=1,BX46,"")</f>
        <v/>
      </c>
      <c r="CL46" s="41" t="str">
        <f>IF($CF46=1,BY46,"")</f>
        <v/>
      </c>
      <c r="CM46" s="41" t="str">
        <f>IF($CF46=1,BZ46,"")</f>
        <v/>
      </c>
      <c r="CN46" s="41" t="str">
        <f>IF($CF46=1,CA46,"")</f>
        <v/>
      </c>
      <c r="CO46" s="41" t="str">
        <f>IF($CF46=1,CB46,"")</f>
        <v/>
      </c>
      <c r="CP46" s="41" t="str">
        <f>IF($CF46=1,CC46,"")</f>
        <v/>
      </c>
      <c r="CQ46" s="41" t="str">
        <f>IF($CF46=1,CD46,"")</f>
        <v/>
      </c>
      <c r="CR46" s="41" t="str">
        <f>IF($CF46=1,CE46,"")</f>
        <v/>
      </c>
      <c r="CS46" s="48">
        <f>SUM(AE46:BO46)</f>
        <v>30</v>
      </c>
    </row>
    <row r="47" spans="1:97" x14ac:dyDescent="0.15">
      <c r="A47" s="1"/>
      <c r="B47" s="1" t="s">
        <v>161</v>
      </c>
      <c r="C47" s="1" t="s">
        <v>107</v>
      </c>
      <c r="D47" s="1" t="s">
        <v>96</v>
      </c>
      <c r="E47" s="6">
        <v>15</v>
      </c>
      <c r="F47" s="6"/>
      <c r="G47" s="6">
        <v>15</v>
      </c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>
        <v>15</v>
      </c>
      <c r="AS47" s="4"/>
      <c r="AT47" s="4"/>
      <c r="AU47" s="4"/>
      <c r="AV47" s="4"/>
      <c r="AW47" s="2"/>
      <c r="AX47" s="2"/>
      <c r="AY47" s="2"/>
      <c r="AZ47" s="2"/>
      <c r="BA47" s="2"/>
      <c r="BB47" s="2">
        <v>15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60</v>
      </c>
      <c r="BQ47" s="1">
        <v>15</v>
      </c>
      <c r="BR47" s="17">
        <v>1</v>
      </c>
      <c r="BS47" s="17" t="s">
        <v>250</v>
      </c>
      <c r="BT47" s="1" t="str">
        <f>IF(AQ47&gt;AQ$122, AQ47-AQ$122,"")</f>
        <v/>
      </c>
      <c r="BU47" s="1" t="str">
        <f>IF(AR47&gt;AR$122, AR47-AR$122,"")</f>
        <v/>
      </c>
      <c r="BV47" s="1" t="str">
        <f>IF(AS47&gt;AS$122, AS47-AS$122,"")</f>
        <v/>
      </c>
      <c r="BW47" s="1" t="str">
        <f>IF(AT47&gt;AT$122, AT47-AT$122,"")</f>
        <v/>
      </c>
      <c r="BX47" s="1" t="str">
        <f>IF(AU47&gt;AU$122, AU47-AU$122,"")</f>
        <v/>
      </c>
      <c r="BY47" s="1" t="str">
        <f>IF(AV47&gt;AV$122, AV47-AV$122,"")</f>
        <v/>
      </c>
      <c r="BZ47" s="1" t="str">
        <f>IF(AW47&gt;AW$122, AW47-AW$122,"")</f>
        <v/>
      </c>
      <c r="CA47" s="1" t="str">
        <f>IF(AX47&gt;AX$122, AX47-AX$122,"")</f>
        <v/>
      </c>
      <c r="CB47" s="1" t="str">
        <f>IF(AY47&gt;AY$122, AY47-AY$122,"")</f>
        <v/>
      </c>
      <c r="CC47" s="1" t="str">
        <f>IF(AZ47&gt;AZ$122, AZ47-AZ$122,"")</f>
        <v/>
      </c>
      <c r="CD47" s="1" t="str">
        <f>IF(BA47&gt;BA$122, BA47-BA$122,"")</f>
        <v/>
      </c>
      <c r="CE47" s="1" t="str">
        <f>IF(BB47&gt;BB$122, BB47-BB$122,"")</f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3"/>
    </row>
    <row r="48" spans="1:97" s="49" customFormat="1" x14ac:dyDescent="0.15">
      <c r="A48" s="41"/>
      <c r="B48" s="41" t="s">
        <v>163</v>
      </c>
      <c r="C48" s="41" t="s">
        <v>107</v>
      </c>
      <c r="D48" s="41" t="s">
        <v>96</v>
      </c>
      <c r="E48" s="42">
        <v>15</v>
      </c>
      <c r="F48" s="42"/>
      <c r="G48" s="42">
        <v>15</v>
      </c>
      <c r="H48" s="42"/>
      <c r="I48" s="42"/>
      <c r="J48" s="42"/>
      <c r="K48" s="42"/>
      <c r="L48" s="42"/>
      <c r="M48" s="42"/>
      <c r="N48" s="42"/>
      <c r="O48" s="42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4"/>
      <c r="AR48" s="44">
        <v>15</v>
      </c>
      <c r="AS48" s="44"/>
      <c r="AT48" s="44"/>
      <c r="AU48" s="44"/>
      <c r="AV48" s="44"/>
      <c r="AW48" s="45"/>
      <c r="AX48" s="45"/>
      <c r="AY48" s="45"/>
      <c r="AZ48" s="45"/>
      <c r="BA48" s="45"/>
      <c r="BB48" s="45">
        <v>15</v>
      </c>
      <c r="BC48" s="46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>
        <f>SUM(E48:BO48)</f>
        <v>60</v>
      </c>
      <c r="BQ48" s="41">
        <v>15</v>
      </c>
      <c r="BR48" s="47">
        <v>1</v>
      </c>
      <c r="BS48" s="47" t="s">
        <v>233</v>
      </c>
      <c r="BT48" s="41" t="str">
        <f>IF(AQ48&gt;AQ$122, AQ48-AQ$122,"")</f>
        <v/>
      </c>
      <c r="BU48" s="41" t="str">
        <f>IF(AR48&gt;AR$122, AR48-AR$122,"")</f>
        <v/>
      </c>
      <c r="BV48" s="41" t="str">
        <f>IF(AS48&gt;AS$122, AS48-AS$122,"")</f>
        <v/>
      </c>
      <c r="BW48" s="41" t="str">
        <f>IF(AT48&gt;AT$122, AT48-AT$122,"")</f>
        <v/>
      </c>
      <c r="BX48" s="41" t="str">
        <f>IF(AU48&gt;AU$122, AU48-AU$122,"")</f>
        <v/>
      </c>
      <c r="BY48" s="41" t="str">
        <f>IF(AV48&gt;AV$122, AV48-AV$122,"")</f>
        <v/>
      </c>
      <c r="BZ48" s="41" t="str">
        <f>IF(AW48&gt;AW$122, AW48-AW$122,"")</f>
        <v/>
      </c>
      <c r="CA48" s="41" t="str">
        <f>IF(AX48&gt;AX$122, AX48-AX$122,"")</f>
        <v/>
      </c>
      <c r="CB48" s="41" t="str">
        <f>IF(AY48&gt;AY$122, AY48-AY$122,"")</f>
        <v/>
      </c>
      <c r="CC48" s="41" t="str">
        <f>IF(AZ48&gt;AZ$122, AZ48-AZ$122,"")</f>
        <v/>
      </c>
      <c r="CD48" s="41" t="str">
        <f>IF(BA48&gt;BA$122, BA48-BA$122,"")</f>
        <v/>
      </c>
      <c r="CE48" s="41" t="str">
        <f>IF(BB48&gt;BB$122, BB48-BB$122,"")</f>
        <v/>
      </c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8"/>
    </row>
    <row r="49" spans="1:97" x14ac:dyDescent="0.15">
      <c r="A49" s="18">
        <v>64</v>
      </c>
      <c r="B49" s="24" t="s">
        <v>56</v>
      </c>
      <c r="C49" s="18" t="s">
        <v>51</v>
      </c>
      <c r="D49" s="18" t="s">
        <v>1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18"/>
      <c r="AF49" s="18"/>
      <c r="AG49" s="18"/>
      <c r="AH49" s="18"/>
      <c r="AI49" s="18"/>
      <c r="AJ49" s="18"/>
      <c r="AK49" s="18"/>
      <c r="AL49" s="18"/>
      <c r="AM49" s="18"/>
      <c r="AN49" s="18">
        <v>15</v>
      </c>
      <c r="AO49" s="18"/>
      <c r="AP49" s="18"/>
      <c r="AQ49" s="20"/>
      <c r="AR49" s="20"/>
      <c r="AS49" s="20"/>
      <c r="AT49" s="20"/>
      <c r="AU49" s="20"/>
      <c r="AV49" s="20"/>
      <c r="AW49" s="21"/>
      <c r="AX49" s="21"/>
      <c r="AY49" s="21"/>
      <c r="AZ49" s="21"/>
      <c r="BA49" s="21"/>
      <c r="BB49" s="21"/>
      <c r="BC49" s="26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>
        <f>SUM(E49:BO49)</f>
        <v>15</v>
      </c>
      <c r="BQ49" s="18">
        <v>15</v>
      </c>
      <c r="BR49" s="22">
        <v>1</v>
      </c>
      <c r="BS49" s="22" t="s">
        <v>215</v>
      </c>
      <c r="BT49" s="18" t="str">
        <f>IF(AQ49&gt;AQ$122, AQ49-AQ$122,"")</f>
        <v/>
      </c>
      <c r="BU49" s="18" t="str">
        <f>IF(AR49&gt;AR$122, AR49-AR$122,"")</f>
        <v/>
      </c>
      <c r="BV49" s="18" t="str">
        <f>IF(AS49&gt;AS$122, AS49-AS$122,"")</f>
        <v/>
      </c>
      <c r="BW49" s="18" t="str">
        <f>IF(AT49&gt;AT$122, AT49-AT$122,"")</f>
        <v/>
      </c>
      <c r="BX49" s="18" t="str">
        <f>IF(AU49&gt;AU$122, AU49-AU$122,"")</f>
        <v/>
      </c>
      <c r="BY49" s="18" t="str">
        <f>IF(AV49&gt;AV$122, AV49-AV$122,"")</f>
        <v/>
      </c>
      <c r="BZ49" s="18" t="str">
        <f>IF(AW49&gt;AW$122, AW49-AW$122,"")</f>
        <v/>
      </c>
      <c r="CA49" s="18" t="str">
        <f>IF(AX49&gt;AX$122, AX49-AX$122,"")</f>
        <v/>
      </c>
      <c r="CB49" s="18" t="str">
        <f>IF(AY49&gt;AY$122, AY49-AY$122,"")</f>
        <v/>
      </c>
      <c r="CC49" s="18" t="str">
        <f>IF(AZ49&gt;AZ$122, AZ49-AZ$122,"")</f>
        <v/>
      </c>
      <c r="CD49" s="18" t="str">
        <f>IF(BA49&gt;BA$122, BA49-BA$122,"")</f>
        <v/>
      </c>
      <c r="CE49" s="18" t="str">
        <f>IF(BB49&gt;BB$122, BB49-BB$122,"")</f>
        <v/>
      </c>
      <c r="CF49" s="18">
        <f>COUNTIF(BT49:CE49, "&gt;0")</f>
        <v>0</v>
      </c>
      <c r="CG49" s="18" t="str">
        <f>IF($CF49=1,BT49,"")</f>
        <v/>
      </c>
      <c r="CH49" s="18" t="str">
        <f>IF($CF49=1,BU49,"")</f>
        <v/>
      </c>
      <c r="CI49" s="18" t="str">
        <f>IF($CF49=1,BV49,"")</f>
        <v/>
      </c>
      <c r="CJ49" s="18" t="str">
        <f>IF($CF49=1,BW49,"")</f>
        <v/>
      </c>
      <c r="CK49" s="18" t="str">
        <f>IF($CF49=1,BX49,"")</f>
        <v/>
      </c>
      <c r="CL49" s="18" t="str">
        <f>IF($CF49=1,BY49,"")</f>
        <v/>
      </c>
      <c r="CM49" s="18" t="str">
        <f>IF($CF49=1,BZ49,"")</f>
        <v/>
      </c>
      <c r="CN49" s="18" t="str">
        <f>IF($CF49=1,CA49,"")</f>
        <v/>
      </c>
      <c r="CO49" s="18" t="str">
        <f>IF($CF49=1,CB49,"")</f>
        <v/>
      </c>
      <c r="CP49" s="18" t="str">
        <f>IF($CF49=1,CC49,"")</f>
        <v/>
      </c>
      <c r="CQ49" s="18" t="str">
        <f>IF($CF49=1,CD49,"")</f>
        <v/>
      </c>
      <c r="CR49" s="18" t="str">
        <f>IF($CF49=1,CE49,"")</f>
        <v/>
      </c>
      <c r="CS49" s="24">
        <f>SUM(AE49:BO49)</f>
        <v>15</v>
      </c>
    </row>
    <row r="50" spans="1:97" x14ac:dyDescent="0.15">
      <c r="A50" s="1">
        <v>98</v>
      </c>
      <c r="B50" s="3" t="s">
        <v>158</v>
      </c>
      <c r="C50" s="3" t="s">
        <v>63</v>
      </c>
      <c r="D50" s="1" t="s">
        <v>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>
        <v>50</v>
      </c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50</v>
      </c>
      <c r="BQ50" s="1">
        <v>50</v>
      </c>
      <c r="BR50" s="17">
        <v>1</v>
      </c>
      <c r="BS50" s="17" t="s">
        <v>251</v>
      </c>
      <c r="BT50" s="1" t="str">
        <f>IF(AQ50&gt;AQ$122, AQ50-AQ$122,"")</f>
        <v/>
      </c>
      <c r="BU50" s="1" t="str">
        <f>IF(AR50&gt;AR$122, AR50-AR$122,"")</f>
        <v/>
      </c>
      <c r="BV50" s="1" t="str">
        <f>IF(AS50&gt;AS$122, AS50-AS$122,"")</f>
        <v/>
      </c>
      <c r="BW50" s="1" t="str">
        <f>IF(AT50&gt;AT$122, AT50-AT$122,"")</f>
        <v/>
      </c>
      <c r="BX50" s="1" t="str">
        <f>IF(AU50&gt;AU$122, AU50-AU$122,"")</f>
        <v/>
      </c>
      <c r="BY50" s="1" t="str">
        <f>IF(AV50&gt;AV$122, AV50-AV$122,"")</f>
        <v/>
      </c>
      <c r="BZ50" s="1" t="str">
        <f>IF(AW50&gt;AW$122, AW50-AW$122,"")</f>
        <v/>
      </c>
      <c r="CA50" s="1" t="str">
        <f>IF(AX50&gt;AX$122, AX50-AX$122,"")</f>
        <v/>
      </c>
      <c r="CB50" s="1" t="str">
        <f>IF(AY50&gt;AY$122, AY50-AY$122,"")</f>
        <v/>
      </c>
      <c r="CC50" s="1" t="str">
        <f>IF(AZ50&gt;AZ$122, AZ50-AZ$122,"")</f>
        <v/>
      </c>
      <c r="CD50" s="1" t="str">
        <f>IF(BA50&gt;BA$122, BA50-BA$122,"")</f>
        <v/>
      </c>
      <c r="CE50" s="1" t="str">
        <f>IF(BB50&gt;BB$122, BB50-BB$122,"")</f>
        <v/>
      </c>
      <c r="CF50" s="1">
        <f>COUNTIF(BT50:CE50, "&gt;0")</f>
        <v>0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 t="str">
        <f>IF($CF50=1,BY50,"")</f>
        <v/>
      </c>
      <c r="CM50" s="1" t="str">
        <f>IF($CF50=1,BZ50,"")</f>
        <v/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3">
        <f>SUM(AE50:BO50)</f>
        <v>50</v>
      </c>
    </row>
    <row r="51" spans="1:97" x14ac:dyDescent="0.15">
      <c r="A51" s="1">
        <v>99</v>
      </c>
      <c r="B51" s="3" t="s">
        <v>158</v>
      </c>
      <c r="C51" s="3" t="s">
        <v>63</v>
      </c>
      <c r="D51" s="1" t="s">
        <v>12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>
        <v>200</v>
      </c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200</v>
      </c>
      <c r="BQ51" s="1">
        <v>200</v>
      </c>
      <c r="BR51" s="17">
        <v>1</v>
      </c>
      <c r="BS51" s="17" t="s">
        <v>216</v>
      </c>
      <c r="BT51" s="1" t="str">
        <f>IF(AQ51&gt;AQ$122, AQ51-AQ$122,"")</f>
        <v/>
      </c>
      <c r="BU51" s="1" t="str">
        <f>IF(AR51&gt;AR$122, AR51-AR$122,"")</f>
        <v/>
      </c>
      <c r="BV51" s="1" t="str">
        <f>IF(AS51&gt;AS$122, AS51-AS$122,"")</f>
        <v/>
      </c>
      <c r="BW51" s="1" t="str">
        <f>IF(AT51&gt;AT$122, AT51-AT$122,"")</f>
        <v/>
      </c>
      <c r="BX51" s="1" t="str">
        <f>IF(AU51&gt;AU$122, AU51-AU$122,"")</f>
        <v/>
      </c>
      <c r="BY51" s="1" t="str">
        <f>IF(AV51&gt;AV$122, AV51-AV$122,"")</f>
        <v/>
      </c>
      <c r="BZ51" s="1" t="str">
        <f>IF(AW51&gt;AW$122, AW51-AW$122,"")</f>
        <v/>
      </c>
      <c r="CA51" s="1" t="str">
        <f>IF(AX51&gt;AX$122, AX51-AX$122,"")</f>
        <v/>
      </c>
      <c r="CB51" s="1" t="str">
        <f>IF(AY51&gt;AY$122, AY51-AY$122,"")</f>
        <v/>
      </c>
      <c r="CC51" s="1" t="str">
        <f>IF(AZ51&gt;AZ$122, AZ51-AZ$122,"")</f>
        <v/>
      </c>
      <c r="CD51" s="1" t="str">
        <f>IF(BA51&gt;BA$122, BA51-BA$122,"")</f>
        <v/>
      </c>
      <c r="CE51" s="1" t="str">
        <f>IF(BB51&gt;BB$122, BB51-BB$122,"")</f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3">
        <f>SUM(AE51:BO51)</f>
        <v>200</v>
      </c>
    </row>
    <row r="52" spans="1:97" ht="27" x14ac:dyDescent="0.15">
      <c r="A52" s="1"/>
      <c r="B52" s="1" t="s">
        <v>169</v>
      </c>
      <c r="C52" s="1" t="s">
        <v>135</v>
      </c>
      <c r="D52" s="1" t="s">
        <v>114</v>
      </c>
      <c r="E52" s="6">
        <v>15</v>
      </c>
      <c r="F52" s="6"/>
      <c r="G52" s="6"/>
      <c r="H52" s="6"/>
      <c r="I52" s="6"/>
      <c r="J52" s="6"/>
      <c r="K52" s="6"/>
      <c r="L52" s="6"/>
      <c r="M52" s="6">
        <v>15</v>
      </c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>
        <v>15</v>
      </c>
      <c r="AX52" s="2"/>
      <c r="AY52" s="2"/>
      <c r="AZ52" s="2"/>
      <c r="BA52" s="2">
        <v>15</v>
      </c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60</v>
      </c>
      <c r="BQ52" s="1">
        <v>4</v>
      </c>
      <c r="BR52" s="17">
        <v>2</v>
      </c>
      <c r="BS52" s="17" t="s">
        <v>253</v>
      </c>
      <c r="BT52" s="1" t="str">
        <f>IF(AQ52&gt;AQ$122, AQ52-AQ$122,"")</f>
        <v/>
      </c>
      <c r="BU52" s="1" t="str">
        <f>IF(AR52&gt;AR$122, AR52-AR$122,"")</f>
        <v/>
      </c>
      <c r="BV52" s="1" t="str">
        <f>IF(AS52&gt;AS$122, AS52-AS$122,"")</f>
        <v/>
      </c>
      <c r="BW52" s="1" t="str">
        <f>IF(AT52&gt;AT$122, AT52-AT$122,"")</f>
        <v/>
      </c>
      <c r="BX52" s="1" t="str">
        <f>IF(AU52&gt;AU$122, AU52-AU$122,"")</f>
        <v/>
      </c>
      <c r="BY52" s="1" t="str">
        <f>IF(AV52&gt;AV$122, AV52-AV$122,"")</f>
        <v/>
      </c>
      <c r="BZ52" s="1" t="str">
        <f>IF(AW52&gt;AW$122, AW52-AW$122,"")</f>
        <v/>
      </c>
      <c r="CA52" s="1" t="str">
        <f>IF(AX52&gt;AX$122, AX52-AX$122,"")</f>
        <v/>
      </c>
      <c r="CB52" s="1" t="str">
        <f>IF(AY52&gt;AY$122, AY52-AY$122,"")</f>
        <v/>
      </c>
      <c r="CC52" s="1" t="str">
        <f>IF(AZ52&gt;AZ$122, AZ52-AZ$122,"")</f>
        <v/>
      </c>
      <c r="CD52" s="1" t="str">
        <f>IF(BA52&gt;BA$122, BA52-BA$122,"")</f>
        <v/>
      </c>
      <c r="CE52" s="1" t="str">
        <f>IF(BB52&gt;BB$122, BB52-BB$122,"")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106</v>
      </c>
      <c r="C53" s="1" t="s">
        <v>99</v>
      </c>
      <c r="D53" s="1" t="s">
        <v>96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>
        <v>5</v>
      </c>
      <c r="AP53" s="1">
        <v>1</v>
      </c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6</v>
      </c>
      <c r="BQ53" s="1">
        <v>6</v>
      </c>
      <c r="BR53" s="17">
        <v>2</v>
      </c>
      <c r="BS53" s="17" t="s">
        <v>254</v>
      </c>
      <c r="BT53" s="1" t="str">
        <f>IF(AQ53&gt;AQ$122, AQ53-AQ$122,"")</f>
        <v/>
      </c>
      <c r="BU53" s="1" t="str">
        <f>IF(AR53&gt;AR$122, AR53-AR$122,"")</f>
        <v/>
      </c>
      <c r="BV53" s="1" t="str">
        <f>IF(AS53&gt;AS$122, AS53-AS$122,"")</f>
        <v/>
      </c>
      <c r="BW53" s="1" t="str">
        <f>IF(AT53&gt;AT$122, AT53-AT$122,"")</f>
        <v/>
      </c>
      <c r="BX53" s="1" t="str">
        <f>IF(AU53&gt;AU$122, AU53-AU$122,"")</f>
        <v/>
      </c>
      <c r="BY53" s="1" t="str">
        <f>IF(AV53&gt;AV$122, AV53-AV$122,"")</f>
        <v/>
      </c>
      <c r="BZ53" s="1" t="str">
        <f>IF(AW53&gt;AW$122, AW53-AW$122,"")</f>
        <v/>
      </c>
      <c r="CA53" s="1" t="str">
        <f>IF(AX53&gt;AX$122, AX53-AX$122,"")</f>
        <v/>
      </c>
      <c r="CB53" s="1" t="str">
        <f>IF(AY53&gt;AY$122, AY53-AY$122,"")</f>
        <v/>
      </c>
      <c r="CC53" s="1" t="str">
        <f>IF(AZ53&gt;AZ$122, AZ53-AZ$122,"")</f>
        <v/>
      </c>
      <c r="CD53" s="1" t="str">
        <f>IF(BA53&gt;BA$122, BA53-BA$122,"")</f>
        <v/>
      </c>
      <c r="CE53" s="1" t="str">
        <f>IF(BB53&gt;BB$122, BB53-BB$122,"")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199</v>
      </c>
      <c r="C54" s="1" t="s">
        <v>28</v>
      </c>
      <c r="D54" s="1" t="s">
        <v>22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>
        <v>5</v>
      </c>
      <c r="AP54" s="1">
        <v>1</v>
      </c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6</v>
      </c>
      <c r="BQ54" s="1">
        <v>6</v>
      </c>
      <c r="BR54" s="17">
        <v>2</v>
      </c>
      <c r="BS54" s="17" t="s">
        <v>254</v>
      </c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>
        <v>95</v>
      </c>
      <c r="B55" s="3" t="s">
        <v>77</v>
      </c>
      <c r="C55" s="3" t="s">
        <v>63</v>
      </c>
      <c r="D55" s="1" t="s">
        <v>1</v>
      </c>
      <c r="E55" s="6"/>
      <c r="F55" s="6"/>
      <c r="G55" s="6"/>
      <c r="H55" s="6"/>
      <c r="I55" s="6"/>
      <c r="J55" s="6"/>
      <c r="K55" s="6"/>
      <c r="L55" s="6">
        <v>15</v>
      </c>
      <c r="M55" s="6"/>
      <c r="N55" s="6"/>
      <c r="O55" s="6">
        <v>15</v>
      </c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>
        <v>15</v>
      </c>
      <c r="BB55" s="2">
        <v>15</v>
      </c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60</v>
      </c>
      <c r="BQ55" s="1">
        <v>6</v>
      </c>
      <c r="BR55" s="17">
        <v>2</v>
      </c>
      <c r="BS55" s="17" t="s">
        <v>260</v>
      </c>
      <c r="BT55" s="1" t="str">
        <f>IF(AQ55&gt;AQ$122, AQ55-AQ$122,"")</f>
        <v/>
      </c>
      <c r="BU55" s="1" t="str">
        <f>IF(AR55&gt;AR$122, AR55-AR$122,"")</f>
        <v/>
      </c>
      <c r="BV55" s="1" t="str">
        <f>IF(AS55&gt;AS$122, AS55-AS$122,"")</f>
        <v/>
      </c>
      <c r="BW55" s="1" t="str">
        <f>IF(AT55&gt;AT$122, AT55-AT$122,"")</f>
        <v/>
      </c>
      <c r="BX55" s="1" t="str">
        <f>IF(AU55&gt;AU$122, AU55-AU$122,"")</f>
        <v/>
      </c>
      <c r="BY55" s="1" t="str">
        <f>IF(AV55&gt;AV$122, AV55-AV$122,"")</f>
        <v/>
      </c>
      <c r="BZ55" s="1" t="str">
        <f>IF(AW55&gt;AW$122, AW55-AW$122,"")</f>
        <v/>
      </c>
      <c r="CA55" s="1" t="str">
        <f>IF(AX55&gt;AX$122, AX55-AX$122,"")</f>
        <v/>
      </c>
      <c r="CB55" s="1" t="str">
        <f>IF(AY55&gt;AY$122, AY55-AY$122,"")</f>
        <v/>
      </c>
      <c r="CC55" s="1" t="str">
        <f>IF(AZ55&gt;AZ$122, AZ55-AZ$122,"")</f>
        <v/>
      </c>
      <c r="CD55" s="1" t="str">
        <f>IF(BA55&gt;BA$122, BA55-BA$122,"")</f>
        <v/>
      </c>
      <c r="CE55" s="1" t="str">
        <f>IF(BB55&gt;BB$122, BB55-BB$122,"")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3">
        <f>SUM(AE55:BO55)</f>
        <v>30</v>
      </c>
    </row>
    <row r="56" spans="1:97" ht="27" x14ac:dyDescent="0.15">
      <c r="A56" s="1"/>
      <c r="B56" s="1" t="s">
        <v>102</v>
      </c>
      <c r="C56" s="1" t="s">
        <v>99</v>
      </c>
      <c r="D56" s="1" t="s">
        <v>103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>
        <v>3</v>
      </c>
      <c r="AP56" s="1">
        <v>5</v>
      </c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8</v>
      </c>
      <c r="BQ56" s="1">
        <v>8</v>
      </c>
      <c r="BR56" s="17">
        <v>2</v>
      </c>
      <c r="BS56" s="17" t="s">
        <v>255</v>
      </c>
      <c r="BT56" s="1" t="str">
        <f>IF(AQ56&gt;AQ$122, AQ56-AQ$122,"")</f>
        <v/>
      </c>
      <c r="BU56" s="1" t="str">
        <f>IF(AR56&gt;AR$122, AR56-AR$122,"")</f>
        <v/>
      </c>
      <c r="BV56" s="1" t="str">
        <f>IF(AS56&gt;AS$122, AS56-AS$122,"")</f>
        <v/>
      </c>
      <c r="BW56" s="1" t="str">
        <f>IF(AT56&gt;AT$122, AT56-AT$122,"")</f>
        <v/>
      </c>
      <c r="BX56" s="1" t="str">
        <f>IF(AU56&gt;AU$122, AU56-AU$122,"")</f>
        <v/>
      </c>
      <c r="BY56" s="1" t="str">
        <f>IF(AV56&gt;AV$122, AV56-AV$122,"")</f>
        <v/>
      </c>
      <c r="BZ56" s="1" t="str">
        <f>IF(AW56&gt;AW$122, AW56-AW$122,"")</f>
        <v/>
      </c>
      <c r="CA56" s="1" t="str">
        <f>IF(AX56&gt;AX$122, AX56-AX$122,"")</f>
        <v/>
      </c>
      <c r="CB56" s="1" t="str">
        <f>IF(AY56&gt;AY$122, AY56-AY$122,"")</f>
        <v/>
      </c>
      <c r="CC56" s="1" t="str">
        <f>IF(AZ56&gt;AZ$122, AZ56-AZ$122,"")</f>
        <v/>
      </c>
      <c r="CD56" s="1" t="str">
        <f>IF(BA56&gt;BA$122, BA56-BA$122,"")</f>
        <v/>
      </c>
      <c r="CE56" s="1" t="str">
        <f>IF(BB56&gt;BB$122, BB56-BB$122,"")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/>
      <c r="B57" s="1" t="s">
        <v>124</v>
      </c>
      <c r="C57" s="1" t="s">
        <v>112</v>
      </c>
      <c r="D57" s="1" t="s">
        <v>114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8</v>
      </c>
      <c r="BR57" s="17">
        <v>2</v>
      </c>
      <c r="BS57" s="17" t="s">
        <v>217</v>
      </c>
      <c r="BT57" s="1" t="str">
        <f>IF(AQ57&gt;AQ$122, AQ57-AQ$122,"")</f>
        <v/>
      </c>
      <c r="BU57" s="1" t="str">
        <f>IF(AR57&gt;AR$122, AR57-AR$122,"")</f>
        <v/>
      </c>
      <c r="BV57" s="1" t="str">
        <f>IF(AS57&gt;AS$122, AS57-AS$122,"")</f>
        <v/>
      </c>
      <c r="BW57" s="1" t="str">
        <f>IF(AT57&gt;AT$122, AT57-AT$122,"")</f>
        <v/>
      </c>
      <c r="BX57" s="1" t="str">
        <f>IF(AU57&gt;AU$122, AU57-AU$122,"")</f>
        <v/>
      </c>
      <c r="BY57" s="1" t="str">
        <f>IF(AV57&gt;AV$122, AV57-AV$122,"")</f>
        <v/>
      </c>
      <c r="BZ57" s="1" t="str">
        <f>IF(AW57&gt;AW$122, AW57-AW$122,"")</f>
        <v/>
      </c>
      <c r="CA57" s="1" t="str">
        <f>IF(AX57&gt;AX$122, AX57-AX$122,"")</f>
        <v/>
      </c>
      <c r="CB57" s="1" t="str">
        <f>IF(AY57&gt;AY$122, AY57-AY$122,"")</f>
        <v/>
      </c>
      <c r="CC57" s="1" t="str">
        <f>IF(AZ57&gt;AZ$122, AZ57-AZ$122,"")</f>
        <v/>
      </c>
      <c r="CD57" s="1" t="str">
        <f>IF(BA57&gt;BA$122, BA57-BA$122,"")</f>
        <v/>
      </c>
      <c r="CE57" s="1" t="str">
        <f>IF(BB57&gt;BB$122, BB57-BB$122,"")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129</v>
      </c>
      <c r="C58" s="1" t="s">
        <v>112</v>
      </c>
      <c r="D58" s="1" t="s">
        <v>114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>
        <v>2</v>
      </c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8</v>
      </c>
      <c r="BR58" s="17">
        <v>2</v>
      </c>
      <c r="BS58" s="17" t="s">
        <v>256</v>
      </c>
      <c r="BT58" s="1" t="str">
        <f>IF(AQ58&gt;AQ$122, AQ58-AQ$122,"")</f>
        <v/>
      </c>
      <c r="BU58" s="1" t="str">
        <f>IF(AR58&gt;AR$122, AR58-AR$122,"")</f>
        <v/>
      </c>
      <c r="BV58" s="1" t="str">
        <f>IF(AS58&gt;AS$122, AS58-AS$122,"")</f>
        <v/>
      </c>
      <c r="BW58" s="1" t="str">
        <f>IF(AT58&gt;AT$122, AT58-AT$122,"")</f>
        <v/>
      </c>
      <c r="BX58" s="1" t="str">
        <f>IF(AU58&gt;AU$122, AU58-AU$122,"")</f>
        <v/>
      </c>
      <c r="BY58" s="1" t="str">
        <f>IF(AV58&gt;AV$122, AV58-AV$122,"")</f>
        <v/>
      </c>
      <c r="BZ58" s="1" t="str">
        <f>IF(AW58&gt;AW$122, AW58-AW$122,"")</f>
        <v/>
      </c>
      <c r="CA58" s="1" t="str">
        <f>IF(AX58&gt;AX$122, AX58-AX$122,"")</f>
        <v/>
      </c>
      <c r="CB58" s="1" t="str">
        <f>IF(AY58&gt;AY$122, AY58-AY$122,"")</f>
        <v/>
      </c>
      <c r="CC58" s="1" t="str">
        <f>IF(AZ58&gt;AZ$122, AZ58-AZ$122,"")</f>
        <v/>
      </c>
      <c r="CD58" s="1" t="str">
        <f>IF(BA58&gt;BA$122, BA58-BA$122,"")</f>
        <v/>
      </c>
      <c r="CE58" s="1" t="str">
        <f>IF(BB58&gt;BB$122, BB58-BB$122,"")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137</v>
      </c>
      <c r="C59" s="1" t="s">
        <v>135</v>
      </c>
      <c r="D59" s="1" t="s">
        <v>114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>
        <v>2</v>
      </c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17</v>
      </c>
      <c r="BQ59" s="1">
        <v>8</v>
      </c>
      <c r="BR59" s="17">
        <v>2</v>
      </c>
      <c r="BS59" s="17" t="s">
        <v>256</v>
      </c>
      <c r="BT59" s="1" t="str">
        <f>IF(AQ59&gt;AQ$122, AQ59-AQ$122,"")</f>
        <v/>
      </c>
      <c r="BU59" s="1" t="str">
        <f>IF(AR59&gt;AR$122, AR59-AR$122,"")</f>
        <v/>
      </c>
      <c r="BV59" s="1" t="str">
        <f>IF(AS59&gt;AS$122, AS59-AS$122,"")</f>
        <v/>
      </c>
      <c r="BW59" s="1" t="str">
        <f>IF(AT59&gt;AT$122, AT59-AT$122,"")</f>
        <v/>
      </c>
      <c r="BX59" s="1" t="str">
        <f>IF(AU59&gt;AU$122, AU59-AU$122,"")</f>
        <v/>
      </c>
      <c r="BY59" s="1" t="str">
        <f>IF(AV59&gt;AV$122, AV59-AV$122,"")</f>
        <v/>
      </c>
      <c r="BZ59" s="1" t="str">
        <f>IF(AW59&gt;AW$122, AW59-AW$122,"")</f>
        <v/>
      </c>
      <c r="CA59" s="1" t="str">
        <f>IF(AX59&gt;AX$122, AX59-AX$122,"")</f>
        <v/>
      </c>
      <c r="CB59" s="1" t="str">
        <f>IF(AY59&gt;AY$122, AY59-AY$122,"")</f>
        <v/>
      </c>
      <c r="CC59" s="1" t="str">
        <f>IF(AZ59&gt;AZ$122, AZ59-AZ$122,"")</f>
        <v/>
      </c>
      <c r="CD59" s="1" t="str">
        <f>IF(BA59&gt;BA$122, BA59-BA$122,"")</f>
        <v/>
      </c>
      <c r="CE59" s="1" t="str">
        <f>IF(BB59&gt;BB$122, BB59-BB$122,"")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/>
      <c r="B60" s="1" t="s">
        <v>139</v>
      </c>
      <c r="C60" s="1" t="s">
        <v>140</v>
      </c>
      <c r="D60" s="1" t="s">
        <v>114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>
        <v>2</v>
      </c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17</v>
      </c>
      <c r="BQ60" s="1">
        <v>8</v>
      </c>
      <c r="BR60" s="17">
        <v>2</v>
      </c>
      <c r="BS60" s="17" t="s">
        <v>256</v>
      </c>
      <c r="BT60" s="1" t="str">
        <f>IF(AQ60&gt;AQ$122, AQ60-AQ$122,"")</f>
        <v/>
      </c>
      <c r="BU60" s="1" t="str">
        <f>IF(AR60&gt;AR$122, AR60-AR$122,"")</f>
        <v/>
      </c>
      <c r="BV60" s="1" t="str">
        <f>IF(AS60&gt;AS$122, AS60-AS$122,"")</f>
        <v/>
      </c>
      <c r="BW60" s="1" t="str">
        <f>IF(AT60&gt;AT$122, AT60-AT$122,"")</f>
        <v/>
      </c>
      <c r="BX60" s="1" t="str">
        <f>IF(AU60&gt;AU$122, AU60-AU$122,"")</f>
        <v/>
      </c>
      <c r="BY60" s="1" t="str">
        <f>IF(AV60&gt;AV$122, AV60-AV$122,"")</f>
        <v/>
      </c>
      <c r="BZ60" s="1" t="str">
        <f>IF(AW60&gt;AW$122, AW60-AW$122,"")</f>
        <v/>
      </c>
      <c r="CA60" s="1" t="str">
        <f>IF(AX60&gt;AX$122, AX60-AX$122,"")</f>
        <v/>
      </c>
      <c r="CB60" s="1" t="str">
        <f>IF(AY60&gt;AY$122, AY60-AY$122,"")</f>
        <v/>
      </c>
      <c r="CC60" s="1" t="str">
        <f>IF(AZ60&gt;AZ$122, AZ60-AZ$122,"")</f>
        <v/>
      </c>
      <c r="CD60" s="1" t="str">
        <f>IF(BA60&gt;BA$122, BA60-BA$122,"")</f>
        <v/>
      </c>
      <c r="CE60" s="1" t="str">
        <f>IF(BB60&gt;BB$122, BB60-BB$122,"")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3"/>
    </row>
    <row r="61" spans="1:97" s="49" customFormat="1" ht="27" x14ac:dyDescent="0.15">
      <c r="A61" s="41">
        <v>77</v>
      </c>
      <c r="B61" s="48" t="s">
        <v>156</v>
      </c>
      <c r="C61" s="48" t="s">
        <v>58</v>
      </c>
      <c r="D61" s="41" t="s">
        <v>12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4"/>
      <c r="AR61" s="44"/>
      <c r="AS61" s="44"/>
      <c r="AT61" s="44">
        <v>20</v>
      </c>
      <c r="AU61" s="44"/>
      <c r="AV61" s="44"/>
      <c r="AW61" s="45">
        <v>20</v>
      </c>
      <c r="AX61" s="45">
        <v>20</v>
      </c>
      <c r="AY61" s="45"/>
      <c r="AZ61" s="45"/>
      <c r="BA61" s="45"/>
      <c r="BB61" s="45">
        <v>10</v>
      </c>
      <c r="BC61" s="46"/>
      <c r="BD61" s="41"/>
      <c r="BE61" s="41"/>
      <c r="BF61" s="41"/>
      <c r="BG61" s="41"/>
      <c r="BH61" s="41">
        <v>20</v>
      </c>
      <c r="BI61" s="41"/>
      <c r="BJ61" s="41"/>
      <c r="BK61" s="41"/>
      <c r="BL61" s="41"/>
      <c r="BM61" s="41"/>
      <c r="BN61" s="41"/>
      <c r="BO61" s="41"/>
      <c r="BP61" s="41">
        <f>SUM(E61:BO61)</f>
        <v>90</v>
      </c>
      <c r="BQ61" s="41">
        <v>9</v>
      </c>
      <c r="BR61" s="47">
        <v>2</v>
      </c>
      <c r="BS61" s="47" t="s">
        <v>257</v>
      </c>
      <c r="BT61" s="41" t="str">
        <f>IF(AQ61&gt;AQ$122, AQ61-AQ$122,"")</f>
        <v/>
      </c>
      <c r="BU61" s="41" t="str">
        <f>IF(AR61&gt;AR$122, AR61-AR$122,"")</f>
        <v/>
      </c>
      <c r="BV61" s="41" t="str">
        <f>IF(AS61&gt;AS$122, AS61-AS$122,"")</f>
        <v/>
      </c>
      <c r="BW61" s="41" t="str">
        <f>IF(AT61&gt;AT$122, AT61-AT$122,"")</f>
        <v/>
      </c>
      <c r="BX61" s="41" t="str">
        <f>IF(AU61&gt;AU$122, AU61-AU$122,"")</f>
        <v/>
      </c>
      <c r="BY61" s="41" t="str">
        <f>IF(AV61&gt;AV$122, AV61-AV$122,"")</f>
        <v/>
      </c>
      <c r="BZ61" s="41" t="str">
        <f>IF(AW61&gt;AW$122, AW61-AW$122,"")</f>
        <v/>
      </c>
      <c r="CA61" s="41" t="str">
        <f>IF(AX61&gt;AX$122, AX61-AX$122,"")</f>
        <v/>
      </c>
      <c r="CB61" s="41" t="str">
        <f>IF(AY61&gt;AY$122, AY61-AY$122,"")</f>
        <v/>
      </c>
      <c r="CC61" s="41" t="str">
        <f>IF(AZ61&gt;AZ$122, AZ61-AZ$122,"")</f>
        <v/>
      </c>
      <c r="CD61" s="41" t="str">
        <f>IF(BA61&gt;BA$122, BA61-BA$122,"")</f>
        <v/>
      </c>
      <c r="CE61" s="41" t="str">
        <f>IF(BB61&gt;BB$122, BB61-BB$122,"")</f>
        <v/>
      </c>
      <c r="CF61" s="41">
        <f>COUNTIF(BT61:CE61, "&gt;0")</f>
        <v>0</v>
      </c>
      <c r="CG61" s="41" t="str">
        <f>IF($CF61=1,BT61,"")</f>
        <v/>
      </c>
      <c r="CH61" s="41" t="str">
        <f>IF($CF61=1,BU61,"")</f>
        <v/>
      </c>
      <c r="CI61" s="41" t="str">
        <f>IF($CF61=1,BV61,"")</f>
        <v/>
      </c>
      <c r="CJ61" s="41" t="str">
        <f>IF($CF61=1,BW61,"")</f>
        <v/>
      </c>
      <c r="CK61" s="41" t="str">
        <f>IF($CF61=1,BX61,"")</f>
        <v/>
      </c>
      <c r="CL61" s="41" t="str">
        <f>IF($CF61=1,BY61,"")</f>
        <v/>
      </c>
      <c r="CM61" s="41" t="str">
        <f>IF($CF61=1,BZ61,"")</f>
        <v/>
      </c>
      <c r="CN61" s="41" t="str">
        <f>IF($CF61=1,CA61,"")</f>
        <v/>
      </c>
      <c r="CO61" s="41" t="str">
        <f>IF($CF61=1,CB61,"")</f>
        <v/>
      </c>
      <c r="CP61" s="41" t="str">
        <f>IF($CF61=1,CC61,"")</f>
        <v/>
      </c>
      <c r="CQ61" s="41" t="str">
        <f>IF($CF61=1,CD61,"")</f>
        <v/>
      </c>
      <c r="CR61" s="41" t="str">
        <f>IF($CF61=1,CE61,"")</f>
        <v/>
      </c>
      <c r="CS61" s="48">
        <f>SUM(AE61:BO61)</f>
        <v>90</v>
      </c>
    </row>
    <row r="62" spans="1:97" ht="27" x14ac:dyDescent="0.15">
      <c r="A62" s="1">
        <v>27</v>
      </c>
      <c r="B62" s="1" t="s">
        <v>68</v>
      </c>
      <c r="C62" s="1" t="s">
        <v>28</v>
      </c>
      <c r="D62" s="1" t="s">
        <v>21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>
        <v>5</v>
      </c>
      <c r="AI62" s="1">
        <v>5</v>
      </c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10</v>
      </c>
      <c r="BQ62" s="1">
        <v>10</v>
      </c>
      <c r="BR62" s="17">
        <v>2</v>
      </c>
      <c r="BS62" s="17" t="s">
        <v>259</v>
      </c>
      <c r="BT62" s="1" t="str">
        <f>IF(AQ62&gt;AQ$122, AQ62-AQ$122,"")</f>
        <v/>
      </c>
      <c r="BU62" s="1" t="str">
        <f>IF(AR62&gt;AR$122, AR62-AR$122,"")</f>
        <v/>
      </c>
      <c r="BV62" s="1" t="str">
        <f>IF(AS62&gt;AS$122, AS62-AS$122,"")</f>
        <v/>
      </c>
      <c r="BW62" s="1" t="str">
        <f>IF(AT62&gt;AT$122, AT62-AT$122,"")</f>
        <v/>
      </c>
      <c r="BX62" s="1" t="str">
        <f>IF(AU62&gt;AU$122, AU62-AU$122,"")</f>
        <v/>
      </c>
      <c r="BY62" s="1" t="str">
        <f>IF(AV62&gt;AV$122, AV62-AV$122,"")</f>
        <v/>
      </c>
      <c r="BZ62" s="1" t="str">
        <f>IF(AW62&gt;AW$122, AW62-AW$122,"")</f>
        <v/>
      </c>
      <c r="CA62" s="1" t="str">
        <f>IF(AX62&gt;AX$122, AX62-AX$122,"")</f>
        <v/>
      </c>
      <c r="CB62" s="1" t="str">
        <f>IF(AY62&gt;AY$122, AY62-AY$122,"")</f>
        <v/>
      </c>
      <c r="CC62" s="1" t="str">
        <f>IF(AZ62&gt;AZ$122, AZ62-AZ$122,"")</f>
        <v/>
      </c>
      <c r="CD62" s="1" t="str">
        <f>IF(BA62&gt;BA$122, BA62-BA$122,"")</f>
        <v/>
      </c>
      <c r="CE62" s="1" t="str">
        <f>IF(BB62&gt;BB$122, BB62-BB$122,"")</f>
        <v/>
      </c>
      <c r="CF62" s="1">
        <f>COUNTIF(BT62:CE62, "&gt;0")</f>
        <v>0</v>
      </c>
      <c r="CG62" s="1" t="str">
        <f>IF($CF62=1,BT62,"")</f>
        <v/>
      </c>
      <c r="CH62" s="1" t="str">
        <f>IF($CF62=1,BU62,"")</f>
        <v/>
      </c>
      <c r="CI62" s="1" t="str">
        <f>IF($CF62=1,BV62,"")</f>
        <v/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 t="str">
        <f>IF($CF62=1,CD62,"")</f>
        <v/>
      </c>
      <c r="CR62" s="1" t="str">
        <f>IF($CF62=1,CE62,"")</f>
        <v/>
      </c>
      <c r="CS62" s="3">
        <f>SUM(AE62:BO62)</f>
        <v>10</v>
      </c>
    </row>
    <row r="63" spans="1:97" ht="27" x14ac:dyDescent="0.15">
      <c r="A63" s="1">
        <v>88</v>
      </c>
      <c r="B63" s="3" t="s">
        <v>73</v>
      </c>
      <c r="C63" s="3" t="s">
        <v>74</v>
      </c>
      <c r="D63" s="1" t="s">
        <v>21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>
        <v>5</v>
      </c>
      <c r="AI63" s="1">
        <v>5</v>
      </c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10</v>
      </c>
      <c r="BQ63" s="1">
        <v>10</v>
      </c>
      <c r="BR63" s="17">
        <v>2</v>
      </c>
      <c r="BS63" s="17" t="s">
        <v>259</v>
      </c>
      <c r="BT63" s="1" t="str">
        <f>IF(AQ63&gt;AQ$122, AQ63-AQ$122,"")</f>
        <v/>
      </c>
      <c r="BU63" s="1" t="str">
        <f>IF(AR63&gt;AR$122, AR63-AR$122,"")</f>
        <v/>
      </c>
      <c r="BV63" s="1" t="str">
        <f>IF(AS63&gt;AS$122, AS63-AS$122,"")</f>
        <v/>
      </c>
      <c r="BW63" s="1" t="str">
        <f>IF(AT63&gt;AT$122, AT63-AT$122,"")</f>
        <v/>
      </c>
      <c r="BX63" s="1" t="str">
        <f>IF(AU63&gt;AU$122, AU63-AU$122,"")</f>
        <v/>
      </c>
      <c r="BY63" s="1" t="str">
        <f>IF(AV63&gt;AV$122, AV63-AV$122,"")</f>
        <v/>
      </c>
      <c r="BZ63" s="1" t="str">
        <f>IF(AW63&gt;AW$122, AW63-AW$122,"")</f>
        <v/>
      </c>
      <c r="CA63" s="1" t="str">
        <f>IF(AX63&gt;AX$122, AX63-AX$122,"")</f>
        <v/>
      </c>
      <c r="CB63" s="1" t="str">
        <f>IF(AY63&gt;AY$122, AY63-AY$122,"")</f>
        <v/>
      </c>
      <c r="CC63" s="1" t="str">
        <f>IF(AZ63&gt;AZ$122, AZ63-AZ$122,"")</f>
        <v/>
      </c>
      <c r="CD63" s="1" t="str">
        <f>IF(BA63&gt;BA$122, BA63-BA$122,"")</f>
        <v/>
      </c>
      <c r="CE63" s="1" t="str">
        <f>IF(BB63&gt;BB$122, BB63-BB$122,"")</f>
        <v/>
      </c>
      <c r="CF63" s="1">
        <f>COUNTIF(BT63:CE63, "&gt;0")</f>
        <v>0</v>
      </c>
      <c r="CG63" s="1" t="str">
        <f>IF($CF63=1,BT63,"")</f>
        <v/>
      </c>
      <c r="CH63" s="1" t="str">
        <f>IF($CF63=1,BU63,"")</f>
        <v/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3">
        <f>SUM(AE63:BO63)</f>
        <v>10</v>
      </c>
    </row>
    <row r="64" spans="1:97" ht="27" x14ac:dyDescent="0.15">
      <c r="A64" s="1"/>
      <c r="B64" s="1" t="s">
        <v>155</v>
      </c>
      <c r="C64" s="1" t="s">
        <v>112</v>
      </c>
      <c r="D64" s="1" t="s">
        <v>115</v>
      </c>
      <c r="E64" s="6"/>
      <c r="F64" s="6"/>
      <c r="G64" s="6"/>
      <c r="H64" s="6"/>
      <c r="I64" s="6">
        <v>10</v>
      </c>
      <c r="J64" s="6"/>
      <c r="K64" s="6"/>
      <c r="L64" s="6"/>
      <c r="M64" s="6"/>
      <c r="N64" s="6"/>
      <c r="O64" s="6"/>
      <c r="P64" s="28"/>
      <c r="Q64" s="28"/>
      <c r="R64" s="28">
        <v>10</v>
      </c>
      <c r="S64" s="28"/>
      <c r="T64" s="28"/>
      <c r="U64" s="28"/>
      <c r="V64" s="28"/>
      <c r="W64" s="28"/>
      <c r="X64" s="28">
        <v>10</v>
      </c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>
        <v>10</v>
      </c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12</v>
      </c>
      <c r="BR64" s="17">
        <v>2</v>
      </c>
      <c r="BS64" s="17" t="s">
        <v>218</v>
      </c>
      <c r="BT64" s="1" t="str">
        <f>IF(AQ64&gt;AQ$122, AQ64-AQ$122,"")</f>
        <v/>
      </c>
      <c r="BU64" s="1" t="str">
        <f>IF(AR64&gt;AR$122, AR64-AR$122,"")</f>
        <v/>
      </c>
      <c r="BV64" s="1" t="str">
        <f>IF(AS64&gt;AS$122, AS64-AS$122,"")</f>
        <v/>
      </c>
      <c r="BW64" s="1" t="str">
        <f>IF(AT64&gt;AT$122, AT64-AT$122,"")</f>
        <v/>
      </c>
      <c r="BX64" s="1" t="str">
        <f>IF(AU64&gt;AU$122, AU64-AU$122,"")</f>
        <v/>
      </c>
      <c r="BY64" s="1" t="str">
        <f>IF(AV64&gt;AV$122, AV64-AV$122,"")</f>
        <v/>
      </c>
      <c r="BZ64" s="1" t="str">
        <f>IF(AW64&gt;AW$122, AW64-AW$122,"")</f>
        <v/>
      </c>
      <c r="CA64" s="1" t="str">
        <f>IF(AX64&gt;AX$122, AX64-AX$122,"")</f>
        <v/>
      </c>
      <c r="CB64" s="1" t="str">
        <f>IF(AY64&gt;AY$122, AY64-AY$122,"")</f>
        <v/>
      </c>
      <c r="CC64" s="1" t="str">
        <f>IF(AZ64&gt;AZ$122, AZ64-AZ$122,"")</f>
        <v/>
      </c>
      <c r="CD64" s="1" t="str">
        <f>IF(BA64&gt;BA$122, BA64-BA$122,"")</f>
        <v/>
      </c>
      <c r="CE64" s="1" t="str">
        <f>IF(BB64&gt;BB$122, BB64-BB$122,"")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/>
      <c r="B65" s="1" t="s">
        <v>153</v>
      </c>
      <c r="C65" s="1" t="s">
        <v>95</v>
      </c>
      <c r="D65" s="1" t="s">
        <v>97</v>
      </c>
      <c r="E65" s="6">
        <v>10</v>
      </c>
      <c r="F65" s="6"/>
      <c r="G65" s="6">
        <v>10</v>
      </c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>
        <v>15</v>
      </c>
      <c r="AU65" s="4"/>
      <c r="AV65" s="4"/>
      <c r="AW65" s="2"/>
      <c r="AX65" s="2"/>
      <c r="AY65" s="2"/>
      <c r="AZ65" s="2">
        <v>15</v>
      </c>
      <c r="BA65" s="2">
        <v>15</v>
      </c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65</v>
      </c>
      <c r="BQ65" s="1">
        <v>13</v>
      </c>
      <c r="BR65" s="17">
        <v>2</v>
      </c>
      <c r="BS65" s="17" t="s">
        <v>262</v>
      </c>
      <c r="BT65" s="1" t="str">
        <f>IF(AQ65&gt;AQ$122, AQ65-AQ$122,"")</f>
        <v/>
      </c>
      <c r="BU65" s="1" t="str">
        <f>IF(AR65&gt;AR$122, AR65-AR$122,"")</f>
        <v/>
      </c>
      <c r="BV65" s="1" t="str">
        <f>IF(AS65&gt;AS$122, AS65-AS$122,"")</f>
        <v/>
      </c>
      <c r="BW65" s="1" t="str">
        <f>IF(AT65&gt;AT$122, AT65-AT$122,"")</f>
        <v/>
      </c>
      <c r="BX65" s="1" t="str">
        <f>IF(AU65&gt;AU$122, AU65-AU$122,"")</f>
        <v/>
      </c>
      <c r="BY65" s="1" t="str">
        <f>IF(AV65&gt;AV$122, AV65-AV$122,"")</f>
        <v/>
      </c>
      <c r="BZ65" s="1" t="str">
        <f>IF(AW65&gt;AW$122, AW65-AW$122,"")</f>
        <v/>
      </c>
      <c r="CA65" s="1" t="str">
        <f>IF(AX65&gt;AX$122, AX65-AX$122,"")</f>
        <v/>
      </c>
      <c r="CB65" s="1" t="str">
        <f>IF(AY65&gt;AY$122, AY65-AY$122,"")</f>
        <v/>
      </c>
      <c r="CC65" s="1" t="str">
        <f>IF(AZ65&gt;AZ$122, AZ65-AZ$122,"")</f>
        <v/>
      </c>
      <c r="CD65" s="1" t="str">
        <f>IF(BA65&gt;BA$122, BA65-BA$122,"")</f>
        <v/>
      </c>
      <c r="CE65" s="1" t="str">
        <f>IF(BB65&gt;BB$122, BB65-BB$122,"")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s="49" customFormat="1" ht="27" x14ac:dyDescent="0.15">
      <c r="A66" s="41">
        <v>1</v>
      </c>
      <c r="B66" s="41" t="s">
        <v>0</v>
      </c>
      <c r="C66" s="41" t="s">
        <v>2</v>
      </c>
      <c r="D66" s="41" t="s">
        <v>1</v>
      </c>
      <c r="E66" s="42">
        <v>10</v>
      </c>
      <c r="F66" s="42">
        <v>10</v>
      </c>
      <c r="G66" s="42"/>
      <c r="H66" s="42"/>
      <c r="I66" s="42"/>
      <c r="J66" s="42"/>
      <c r="K66" s="42"/>
      <c r="L66" s="42"/>
      <c r="M66" s="42"/>
      <c r="N66" s="42"/>
      <c r="O66" s="42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4"/>
      <c r="AR66" s="44">
        <v>10</v>
      </c>
      <c r="AS66" s="44"/>
      <c r="AT66" s="44"/>
      <c r="AU66" s="44"/>
      <c r="AV66" s="44"/>
      <c r="AW66" s="45">
        <v>15</v>
      </c>
      <c r="AX66" s="45">
        <v>15</v>
      </c>
      <c r="AY66" s="45"/>
      <c r="AZ66" s="45"/>
      <c r="BA66" s="45"/>
      <c r="BB66" s="45"/>
      <c r="BC66" s="46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>
        <f>SUM(E66:BO66)</f>
        <v>60</v>
      </c>
      <c r="BQ66" s="41">
        <v>13</v>
      </c>
      <c r="BR66" s="47">
        <v>2</v>
      </c>
      <c r="BS66" s="47" t="s">
        <v>275</v>
      </c>
      <c r="BT66" s="41" t="str">
        <f>IF(AQ66&gt;AQ$122, AQ66-AQ$122,"")</f>
        <v/>
      </c>
      <c r="BU66" s="41" t="str">
        <f>IF(AR66&gt;AR$122, AR66-AR$122,"")</f>
        <v/>
      </c>
      <c r="BV66" s="41" t="str">
        <f>IF(AS66&gt;AS$122, AS66-AS$122,"")</f>
        <v/>
      </c>
      <c r="BW66" s="41" t="str">
        <f>IF(AT66&gt;AT$122, AT66-AT$122,"")</f>
        <v/>
      </c>
      <c r="BX66" s="41" t="str">
        <f>IF(AU66&gt;AU$122, AU66-AU$122,"")</f>
        <v/>
      </c>
      <c r="BY66" s="41" t="str">
        <f>IF(AV66&gt;AV$122, AV66-AV$122,"")</f>
        <v/>
      </c>
      <c r="BZ66" s="41" t="str">
        <f>IF(AW66&gt;AW$122, AW66-AW$122,"")</f>
        <v/>
      </c>
      <c r="CA66" s="41" t="str">
        <f>IF(AX66&gt;AX$122, AX66-AX$122,"")</f>
        <v/>
      </c>
      <c r="CB66" s="41" t="str">
        <f>IF(AY66&gt;AY$122, AY66-AY$122,"")</f>
        <v/>
      </c>
      <c r="CC66" s="41" t="str">
        <f>IF(AZ66&gt;AZ$122, AZ66-AZ$122,"")</f>
        <v/>
      </c>
      <c r="CD66" s="41" t="str">
        <f>IF(BA66&gt;BA$122, BA66-BA$122,"")</f>
        <v/>
      </c>
      <c r="CE66" s="41" t="str">
        <f>IF(BB66&gt;BB$122, BB66-BB$122,"")</f>
        <v/>
      </c>
      <c r="CF66" s="41">
        <f>COUNTIF(BT66:CE66, "&gt;0")</f>
        <v>0</v>
      </c>
      <c r="CG66" s="41" t="str">
        <f>IF($CF66=1,BT66,"")</f>
        <v/>
      </c>
      <c r="CH66" s="41" t="str">
        <f>IF($CF66=1,BU66,"")</f>
        <v/>
      </c>
      <c r="CI66" s="41" t="str">
        <f>IF($CF66=1,BV66,"")</f>
        <v/>
      </c>
      <c r="CJ66" s="41" t="str">
        <f>IF($CF66=1,BW66,"")</f>
        <v/>
      </c>
      <c r="CK66" s="41" t="str">
        <f>IF($CF66=1,BX66,"")</f>
        <v/>
      </c>
      <c r="CL66" s="41" t="str">
        <f>IF($CF66=1,BY66,"")</f>
        <v/>
      </c>
      <c r="CM66" s="41" t="str">
        <f>IF($CF66=1,BZ66,"")</f>
        <v/>
      </c>
      <c r="CN66" s="41" t="str">
        <f>IF($CF66=1,CA66,"")</f>
        <v/>
      </c>
      <c r="CO66" s="41" t="str">
        <f>IF($CF66=1,CB66,"")</f>
        <v/>
      </c>
      <c r="CP66" s="41" t="str">
        <f>IF($CF66=1,CC66,"")</f>
        <v/>
      </c>
      <c r="CQ66" s="41" t="str">
        <f>IF($CF66=1,CD66,"")</f>
        <v/>
      </c>
      <c r="CR66" s="41" t="str">
        <f>IF($CF66=1,CE66,"")</f>
        <v/>
      </c>
      <c r="CS66" s="48">
        <f>SUM(AE66:BO66)</f>
        <v>40</v>
      </c>
    </row>
    <row r="67" spans="1:97" ht="27" x14ac:dyDescent="0.15">
      <c r="A67" s="1"/>
      <c r="B67" s="1" t="s">
        <v>102</v>
      </c>
      <c r="C67" s="1" t="s">
        <v>99</v>
      </c>
      <c r="D67" s="1" t="s">
        <v>96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>
        <v>5</v>
      </c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>
        <v>5</v>
      </c>
      <c r="AP67" s="1">
        <v>10</v>
      </c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20</v>
      </c>
      <c r="BQ67" s="1">
        <v>15</v>
      </c>
      <c r="BR67" s="17">
        <v>2</v>
      </c>
      <c r="BS67" s="17" t="s">
        <v>274</v>
      </c>
      <c r="BT67" s="1" t="str">
        <f>IF(AQ67&gt;AQ$122, AQ67-AQ$122,"")</f>
        <v/>
      </c>
      <c r="BU67" s="1" t="str">
        <f>IF(AR67&gt;AR$122, AR67-AR$122,"")</f>
        <v/>
      </c>
      <c r="BV67" s="1" t="str">
        <f>IF(AS67&gt;AS$122, AS67-AS$122,"")</f>
        <v/>
      </c>
      <c r="BW67" s="1" t="str">
        <f>IF(AT67&gt;AT$122, AT67-AT$122,"")</f>
        <v/>
      </c>
      <c r="BX67" s="1" t="str">
        <f>IF(AU67&gt;AU$122, AU67-AU$122,"")</f>
        <v/>
      </c>
      <c r="BY67" s="1" t="str">
        <f>IF(AV67&gt;AV$122, AV67-AV$122,"")</f>
        <v/>
      </c>
      <c r="BZ67" s="1" t="str">
        <f>IF(AW67&gt;AW$122, AW67-AW$122,"")</f>
        <v/>
      </c>
      <c r="CA67" s="1" t="str">
        <f>IF(AX67&gt;AX$122, AX67-AX$122,"")</f>
        <v/>
      </c>
      <c r="CB67" s="1" t="str">
        <f>IF(AY67&gt;AY$122, AY67-AY$122,"")</f>
        <v/>
      </c>
      <c r="CC67" s="1" t="str">
        <f>IF(AZ67&gt;AZ$122, AZ67-AZ$122,"")</f>
        <v/>
      </c>
      <c r="CD67" s="1" t="str">
        <f>IF(BA67&gt;BA$122, BA67-BA$122,"")</f>
        <v/>
      </c>
      <c r="CE67" s="1" t="str">
        <f>IF(BB67&gt;BB$122, BB67-BB$122,"")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/>
      <c r="B68" s="1" t="s">
        <v>157</v>
      </c>
      <c r="C68" s="1" t="s">
        <v>111</v>
      </c>
      <c r="D68" s="1" t="s">
        <v>96</v>
      </c>
      <c r="E68" s="6"/>
      <c r="F68" s="6"/>
      <c r="G68" s="6"/>
      <c r="H68" s="6"/>
      <c r="I68" s="6"/>
      <c r="J68" s="6"/>
      <c r="K68" s="6"/>
      <c r="L68" s="6">
        <v>20</v>
      </c>
      <c r="M68" s="6"/>
      <c r="N68" s="6"/>
      <c r="O68" s="6">
        <v>20</v>
      </c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>
        <v>20</v>
      </c>
      <c r="BB68" s="2">
        <v>20</v>
      </c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80</v>
      </c>
      <c r="BQ68" s="1">
        <v>16</v>
      </c>
      <c r="BR68" s="17">
        <v>2</v>
      </c>
      <c r="BS68" s="17" t="s">
        <v>266</v>
      </c>
      <c r="BT68" s="1" t="str">
        <f>IF(AQ68&gt;AQ$122, AQ68-AQ$122,"")</f>
        <v/>
      </c>
      <c r="BU68" s="1" t="str">
        <f>IF(AR68&gt;AR$122, AR68-AR$122,"")</f>
        <v/>
      </c>
      <c r="BV68" s="1" t="str">
        <f>IF(AS68&gt;AS$122, AS68-AS$122,"")</f>
        <v/>
      </c>
      <c r="BW68" s="1" t="str">
        <f>IF(AT68&gt;AT$122, AT68-AT$122,"")</f>
        <v/>
      </c>
      <c r="BX68" s="1" t="str">
        <f>IF(AU68&gt;AU$122, AU68-AU$122,"")</f>
        <v/>
      </c>
      <c r="BY68" s="1" t="str">
        <f>IF(AV68&gt;AV$122, AV68-AV$122,"")</f>
        <v/>
      </c>
      <c r="BZ68" s="1" t="str">
        <f>IF(AW68&gt;AW$122, AW68-AW$122,"")</f>
        <v/>
      </c>
      <c r="CA68" s="1" t="str">
        <f>IF(AX68&gt;AX$122, AX68-AX$122,"")</f>
        <v/>
      </c>
      <c r="CB68" s="1" t="str">
        <f>IF(AY68&gt;AY$122, AY68-AY$122,"")</f>
        <v/>
      </c>
      <c r="CC68" s="1" t="str">
        <f>IF(AZ68&gt;AZ$122, AZ68-AZ$122,"")</f>
        <v/>
      </c>
      <c r="CD68" s="1" t="str">
        <f>IF(BA68&gt;BA$122, BA68-BA$122,"")</f>
        <v/>
      </c>
      <c r="CE68" s="1" t="str">
        <f>IF(BB68&gt;BB$122, BB68-BB$122,"")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202</v>
      </c>
      <c r="C69" s="1" t="s">
        <v>2</v>
      </c>
      <c r="D69" s="1" t="s">
        <v>201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>
        <v>10</v>
      </c>
      <c r="AS69" s="4"/>
      <c r="AT69" s="4"/>
      <c r="AU69" s="4"/>
      <c r="AV69" s="4"/>
      <c r="AW69" s="2"/>
      <c r="AX69" s="2"/>
      <c r="AY69" s="2"/>
      <c r="AZ69" s="2">
        <v>10</v>
      </c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20</v>
      </c>
      <c r="BQ69" s="1">
        <v>17</v>
      </c>
      <c r="BR69" s="17">
        <v>2</v>
      </c>
      <c r="BS69" s="17" t="s">
        <v>235</v>
      </c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130</v>
      </c>
      <c r="C70" s="1" t="s">
        <v>131</v>
      </c>
      <c r="D70" s="1" t="s">
        <v>115</v>
      </c>
      <c r="E70" s="6">
        <v>10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>
        <v>10</v>
      </c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>
        <v>10</v>
      </c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18</v>
      </c>
      <c r="BR70" s="17">
        <v>2</v>
      </c>
      <c r="BS70" s="17" t="s">
        <v>264</v>
      </c>
      <c r="BT70" s="1" t="str">
        <f>IF(AQ70&gt;AQ$122, AQ70-AQ$122,"")</f>
        <v/>
      </c>
      <c r="BU70" s="1" t="str">
        <f>IF(AR70&gt;AR$122, AR70-AR$122,"")</f>
        <v/>
      </c>
      <c r="BV70" s="1" t="str">
        <f>IF(AS70&gt;AS$122, AS70-AS$122,"")</f>
        <v/>
      </c>
      <c r="BW70" s="1" t="str">
        <f>IF(AT70&gt;AT$122, AT70-AT$122,"")</f>
        <v/>
      </c>
      <c r="BX70" s="1" t="str">
        <f>IF(AU70&gt;AU$122, AU70-AU$122,"")</f>
        <v/>
      </c>
      <c r="BY70" s="1" t="str">
        <f>IF(AV70&gt;AV$122, AV70-AV$122,"")</f>
        <v/>
      </c>
      <c r="BZ70" s="1" t="str">
        <f>IF(AW70&gt;AW$122, AW70-AW$122,"")</f>
        <v/>
      </c>
      <c r="CA70" s="1" t="str">
        <f>IF(AX70&gt;AX$122, AX70-AX$122,"")</f>
        <v/>
      </c>
      <c r="CB70" s="1" t="str">
        <f>IF(AY70&gt;AY$122, AY70-AY$122,"")</f>
        <v/>
      </c>
      <c r="CC70" s="1" t="str">
        <f>IF(AZ70&gt;AZ$122, AZ70-AZ$122,"")</f>
        <v/>
      </c>
      <c r="CD70" s="1" t="str">
        <f>IF(BA70&gt;BA$122, BA70-BA$122,"")</f>
        <v/>
      </c>
      <c r="CE70" s="1" t="str">
        <f>IF(BB70&gt;BB$122, BB70-BB$122,"")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136</v>
      </c>
      <c r="C71" s="1" t="s">
        <v>135</v>
      </c>
      <c r="D71" s="1" t="s">
        <v>115</v>
      </c>
      <c r="E71" s="6">
        <v>10</v>
      </c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>
        <v>10</v>
      </c>
      <c r="S71" s="28"/>
      <c r="T71" s="28"/>
      <c r="U71" s="28">
        <v>10</v>
      </c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>
        <v>10</v>
      </c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40</v>
      </c>
      <c r="BQ71" s="1">
        <v>18</v>
      </c>
      <c r="BR71" s="17">
        <v>2</v>
      </c>
      <c r="BS71" s="17" t="s">
        <v>211</v>
      </c>
      <c r="BT71" s="1" t="str">
        <f>IF(AQ71&gt;AQ$122, AQ71-AQ$122,"")</f>
        <v/>
      </c>
      <c r="BU71" s="1" t="str">
        <f>IF(AR71&gt;AR$122, AR71-AR$122,"")</f>
        <v/>
      </c>
      <c r="BV71" s="1" t="str">
        <f>IF(AS71&gt;AS$122, AS71-AS$122,"")</f>
        <v/>
      </c>
      <c r="BW71" s="1" t="str">
        <f>IF(AT71&gt;AT$122, AT71-AT$122,"")</f>
        <v/>
      </c>
      <c r="BX71" s="1" t="str">
        <f>IF(AU71&gt;AU$122, AU71-AU$122,"")</f>
        <v/>
      </c>
      <c r="BY71" s="1" t="str">
        <f>IF(AV71&gt;AV$122, AV71-AV$122,"")</f>
        <v/>
      </c>
      <c r="BZ71" s="1" t="str">
        <f>IF(AW71&gt;AW$122, AW71-AW$122,"")</f>
        <v/>
      </c>
      <c r="CA71" s="1" t="str">
        <f>IF(AX71&gt;AX$122, AX71-AX$122,"")</f>
        <v/>
      </c>
      <c r="CB71" s="1" t="str">
        <f>IF(AY71&gt;AY$122, AY71-AY$122,"")</f>
        <v/>
      </c>
      <c r="CC71" s="1" t="str">
        <f>IF(AZ71&gt;AZ$122, AZ71-AZ$122,"")</f>
        <v/>
      </c>
      <c r="CD71" s="1" t="str">
        <f>IF(BA71&gt;BA$122, BA71-BA$122,"")</f>
        <v/>
      </c>
      <c r="CE71" s="1" t="str">
        <f>IF(BB71&gt;BB$122, BB71-BB$122,"")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146</v>
      </c>
      <c r="C72" s="1" t="s">
        <v>142</v>
      </c>
      <c r="D72" s="1" t="s">
        <v>115</v>
      </c>
      <c r="E72" s="6">
        <v>10</v>
      </c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>
        <v>10</v>
      </c>
      <c r="S72" s="28"/>
      <c r="T72" s="28"/>
      <c r="U72" s="28">
        <v>10</v>
      </c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>
        <v>10</v>
      </c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40</v>
      </c>
      <c r="BQ72" s="1">
        <v>18</v>
      </c>
      <c r="BR72" s="17">
        <v>2</v>
      </c>
      <c r="BS72" s="17" t="s">
        <v>264</v>
      </c>
      <c r="BT72" s="1" t="str">
        <f>IF(AQ72&gt;AQ$122, AQ72-AQ$122,"")</f>
        <v/>
      </c>
      <c r="BU72" s="1" t="str">
        <f>IF(AR72&gt;AR$122, AR72-AR$122,"")</f>
        <v/>
      </c>
      <c r="BV72" s="1" t="str">
        <f>IF(AS72&gt;AS$122, AS72-AS$122,"")</f>
        <v/>
      </c>
      <c r="BW72" s="1" t="str">
        <f>IF(AT72&gt;AT$122, AT72-AT$122,"")</f>
        <v/>
      </c>
      <c r="BX72" s="1" t="str">
        <f>IF(AU72&gt;AU$122, AU72-AU$122,"")</f>
        <v/>
      </c>
      <c r="BY72" s="1" t="str">
        <f>IF(AV72&gt;AV$122, AV72-AV$122,"")</f>
        <v/>
      </c>
      <c r="BZ72" s="1" t="str">
        <f>IF(AW72&gt;AW$122, AW72-AW$122,"")</f>
        <v/>
      </c>
      <c r="CA72" s="1" t="str">
        <f>IF(AX72&gt;AX$122, AX72-AX$122,"")</f>
        <v/>
      </c>
      <c r="CB72" s="1" t="str">
        <f>IF(AY72&gt;AY$122, AY72-AY$122,"")</f>
        <v/>
      </c>
      <c r="CC72" s="1" t="str">
        <f>IF(AZ72&gt;AZ$122, AZ72-AZ$122,"")</f>
        <v/>
      </c>
      <c r="CD72" s="1" t="str">
        <f>IF(BA72&gt;BA$122, BA72-BA$122,"")</f>
        <v/>
      </c>
      <c r="CE72" s="1" t="str">
        <f>IF(BB72&gt;BB$122, BB72-BB$122,"")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"/>
      <c r="B73" s="1" t="s">
        <v>144</v>
      </c>
      <c r="C73" s="1" t="s">
        <v>142</v>
      </c>
      <c r="D73" s="1" t="s">
        <v>115</v>
      </c>
      <c r="E73" s="6"/>
      <c r="F73" s="6"/>
      <c r="G73" s="6"/>
      <c r="H73" s="6">
        <v>10</v>
      </c>
      <c r="I73" s="6"/>
      <c r="J73" s="6"/>
      <c r="K73" s="6"/>
      <c r="L73" s="6"/>
      <c r="M73" s="6"/>
      <c r="N73" s="6"/>
      <c r="O73" s="6"/>
      <c r="P73" s="28"/>
      <c r="Q73" s="28"/>
      <c r="R73" s="28">
        <v>10</v>
      </c>
      <c r="S73" s="28"/>
      <c r="T73" s="28"/>
      <c r="U73" s="28">
        <v>10</v>
      </c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>
        <v>10</v>
      </c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40</v>
      </c>
      <c r="BQ73" s="1">
        <v>18</v>
      </c>
      <c r="BR73" s="17">
        <v>2</v>
      </c>
      <c r="BS73" s="17" t="s">
        <v>264</v>
      </c>
      <c r="BT73" s="1" t="str">
        <f>IF(AQ73&gt;AQ$122, AQ73-AQ$122,"")</f>
        <v/>
      </c>
      <c r="BU73" s="1" t="str">
        <f>IF(AR73&gt;AR$122, AR73-AR$122,"")</f>
        <v/>
      </c>
      <c r="BV73" s="1" t="str">
        <f>IF(AS73&gt;AS$122, AS73-AS$122,"")</f>
        <v/>
      </c>
      <c r="BW73" s="1" t="str">
        <f>IF(AT73&gt;AT$122, AT73-AT$122,"")</f>
        <v/>
      </c>
      <c r="BX73" s="1" t="str">
        <f>IF(AU73&gt;AU$122, AU73-AU$122,"")</f>
        <v/>
      </c>
      <c r="BY73" s="1" t="str">
        <f>IF(AV73&gt;AV$122, AV73-AV$122,"")</f>
        <v/>
      </c>
      <c r="BZ73" s="1" t="str">
        <f>IF(AW73&gt;AW$122, AW73-AW$122,"")</f>
        <v/>
      </c>
      <c r="CA73" s="1" t="str">
        <f>IF(AX73&gt;AX$122, AX73-AX$122,"")</f>
        <v/>
      </c>
      <c r="CB73" s="1" t="str">
        <f>IF(AY73&gt;AY$122, AY73-AY$122,"")</f>
        <v/>
      </c>
      <c r="CC73" s="1" t="str">
        <f>IF(AZ73&gt;AZ$122, AZ73-AZ$122,"")</f>
        <v/>
      </c>
      <c r="CD73" s="1" t="str">
        <f>IF(BA73&gt;BA$122, BA73-BA$122,"")</f>
        <v/>
      </c>
      <c r="CE73" s="1" t="str">
        <f>IF(BB73&gt;BB$122, BB73-BB$122,"")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27" x14ac:dyDescent="0.15">
      <c r="A74" s="1"/>
      <c r="B74" s="1" t="s">
        <v>138</v>
      </c>
      <c r="C74" s="1" t="s">
        <v>140</v>
      </c>
      <c r="D74" s="1" t="s">
        <v>115</v>
      </c>
      <c r="E74" s="6"/>
      <c r="F74" s="6"/>
      <c r="G74" s="6"/>
      <c r="H74" s="6"/>
      <c r="I74" s="6"/>
      <c r="J74" s="6">
        <v>10</v>
      </c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>
        <v>10</v>
      </c>
      <c r="V74" s="28"/>
      <c r="W74" s="28"/>
      <c r="X74" s="28"/>
      <c r="Y74" s="28"/>
      <c r="Z74" s="28"/>
      <c r="AA74" s="28">
        <v>10</v>
      </c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10</v>
      </c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40</v>
      </c>
      <c r="BQ74" s="1">
        <v>19</v>
      </c>
      <c r="BR74" s="17">
        <v>2</v>
      </c>
      <c r="BS74" s="17" t="s">
        <v>265</v>
      </c>
      <c r="BT74" s="1" t="str">
        <f>IF(AQ74&gt;AQ$122, AQ74-AQ$122,"")</f>
        <v/>
      </c>
      <c r="BU74" s="1" t="str">
        <f>IF(AR74&gt;AR$122, AR74-AR$122,"")</f>
        <v/>
      </c>
      <c r="BV74" s="1" t="str">
        <f>IF(AS74&gt;AS$122, AS74-AS$122,"")</f>
        <v/>
      </c>
      <c r="BW74" s="1" t="str">
        <f>IF(AT74&gt;AT$122, AT74-AT$122,"")</f>
        <v/>
      </c>
      <c r="BX74" s="1" t="str">
        <f>IF(AU74&gt;AU$122, AU74-AU$122,"")</f>
        <v/>
      </c>
      <c r="BY74" s="1" t="str">
        <f>IF(AV74&gt;AV$122, AV74-AV$122,"")</f>
        <v/>
      </c>
      <c r="BZ74" s="1" t="str">
        <f>IF(AW74&gt;AW$122, AW74-AW$122,"")</f>
        <v/>
      </c>
      <c r="CA74" s="1" t="str">
        <f>IF(AX74&gt;AX$122, AX74-AX$122,"")</f>
        <v/>
      </c>
      <c r="CB74" s="1" t="str">
        <f>IF(AY74&gt;AY$122, AY74-AY$122,"")</f>
        <v/>
      </c>
      <c r="CC74" s="1" t="str">
        <f>IF(AZ74&gt;AZ$122, AZ74-AZ$122,"")</f>
        <v/>
      </c>
      <c r="CD74" s="1" t="str">
        <f>IF(BA74&gt;BA$122, BA74-BA$122,"")</f>
        <v/>
      </c>
      <c r="CE74" s="1" t="str">
        <f>IF(BB74&gt;BB$122, BB74-BB$122,"")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27" x14ac:dyDescent="0.15">
      <c r="A75" s="1"/>
      <c r="B75" s="1" t="s">
        <v>148</v>
      </c>
      <c r="C75" s="1" t="s">
        <v>142</v>
      </c>
      <c r="D75" s="1" t="s">
        <v>115</v>
      </c>
      <c r="E75" s="6"/>
      <c r="F75" s="6"/>
      <c r="G75" s="6"/>
      <c r="H75" s="6"/>
      <c r="I75" s="6"/>
      <c r="J75" s="6">
        <v>10</v>
      </c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>
        <v>10</v>
      </c>
      <c r="V75" s="28"/>
      <c r="W75" s="28"/>
      <c r="X75" s="28"/>
      <c r="Y75" s="28"/>
      <c r="Z75" s="28"/>
      <c r="AA75" s="28">
        <v>10</v>
      </c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>
        <v>10</v>
      </c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40</v>
      </c>
      <c r="BQ75" s="1">
        <v>19</v>
      </c>
      <c r="BR75" s="17">
        <v>2</v>
      </c>
      <c r="BS75" s="17" t="s">
        <v>265</v>
      </c>
      <c r="BT75" s="1" t="str">
        <f>IF(AQ75&gt;AQ$122, AQ75-AQ$122,"")</f>
        <v/>
      </c>
      <c r="BU75" s="1" t="str">
        <f>IF(AR75&gt;AR$122, AR75-AR$122,"")</f>
        <v/>
      </c>
      <c r="BV75" s="1" t="str">
        <f>IF(AS75&gt;AS$122, AS75-AS$122,"")</f>
        <v/>
      </c>
      <c r="BW75" s="1" t="str">
        <f>IF(AT75&gt;AT$122, AT75-AT$122,"")</f>
        <v/>
      </c>
      <c r="BX75" s="1" t="str">
        <f>IF(AU75&gt;AU$122, AU75-AU$122,"")</f>
        <v/>
      </c>
      <c r="BY75" s="1" t="str">
        <f>IF(AV75&gt;AV$122, AV75-AV$122,"")</f>
        <v/>
      </c>
      <c r="BZ75" s="1" t="str">
        <f>IF(AW75&gt;AW$122, AW75-AW$122,"")</f>
        <v/>
      </c>
      <c r="CA75" s="1" t="str">
        <f>IF(AX75&gt;AX$122, AX75-AX$122,"")</f>
        <v/>
      </c>
      <c r="CB75" s="1" t="str">
        <f>IF(AY75&gt;AY$122, AY75-AY$122,"")</f>
        <v/>
      </c>
      <c r="CC75" s="1" t="str">
        <f>IF(AZ75&gt;AZ$122, AZ75-AZ$122,"")</f>
        <v/>
      </c>
      <c r="CD75" s="1" t="str">
        <f>IF(BA75&gt;BA$122, BA75-BA$122,"")</f>
        <v/>
      </c>
      <c r="CE75" s="1" t="str">
        <f>IF(BB75&gt;BB$122, BB75-BB$122,"")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27" x14ac:dyDescent="0.15">
      <c r="A76" s="1"/>
      <c r="B76" s="1" t="s">
        <v>98</v>
      </c>
      <c r="C76" s="1" t="s">
        <v>99</v>
      </c>
      <c r="D76" s="1" t="s">
        <v>100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>
        <v>40</v>
      </c>
      <c r="AW76" s="2">
        <v>40</v>
      </c>
      <c r="AX76" s="2"/>
      <c r="AY76" s="2"/>
      <c r="AZ76" s="2"/>
      <c r="BA76" s="2"/>
      <c r="BB76" s="2">
        <v>40</v>
      </c>
      <c r="BC76" s="14">
        <v>10</v>
      </c>
      <c r="BD76" s="1">
        <v>50</v>
      </c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180</v>
      </c>
      <c r="BQ76" s="1">
        <v>60</v>
      </c>
      <c r="BR76" s="17">
        <v>2</v>
      </c>
      <c r="BS76" s="17" t="s">
        <v>267</v>
      </c>
      <c r="BT76" s="1" t="str">
        <f>IF(AQ76&gt;AQ$122, AQ76-AQ$122,"")</f>
        <v/>
      </c>
      <c r="BU76" s="1" t="str">
        <f>IF(AR76&gt;AR$122, AR76-AR$122,"")</f>
        <v/>
      </c>
      <c r="BV76" s="1" t="str">
        <f>IF(AS76&gt;AS$122, AS76-AS$122,"")</f>
        <v/>
      </c>
      <c r="BW76" s="1" t="str">
        <f>IF(AT76&gt;AT$122, AT76-AT$122,"")</f>
        <v/>
      </c>
      <c r="BX76" s="1" t="str">
        <f>IF(AU76&gt;AU$122, AU76-AU$122,"")</f>
        <v/>
      </c>
      <c r="BY76" s="1" t="str">
        <f>IF(AV76&gt;AV$122, AV76-AV$122,"")</f>
        <v/>
      </c>
      <c r="BZ76" s="1" t="str">
        <f>IF(AW76&gt;AW$122, AW76-AW$122,"")</f>
        <v/>
      </c>
      <c r="CA76" s="1" t="str">
        <f>IF(AX76&gt;AX$122, AX76-AX$122,"")</f>
        <v/>
      </c>
      <c r="CB76" s="1" t="str">
        <f>IF(AY76&gt;AY$122, AY76-AY$122,"")</f>
        <v/>
      </c>
      <c r="CC76" s="1" t="str">
        <f>IF(AZ76&gt;AZ$122, AZ76-AZ$122,"")</f>
        <v/>
      </c>
      <c r="CD76" s="1" t="str">
        <f>IF(BA76&gt;BA$122, BA76-BA$122,"")</f>
        <v/>
      </c>
      <c r="CE76" s="1" t="str">
        <f>IF(BB76&gt;BB$122, BB76-BB$122,"")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146</v>
      </c>
      <c r="C77" s="1" t="s">
        <v>142</v>
      </c>
      <c r="D77" s="1" t="s">
        <v>114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>
        <v>2</v>
      </c>
      <c r="V77" s="28"/>
      <c r="W77" s="28"/>
      <c r="X77" s="28"/>
      <c r="Y77" s="28"/>
      <c r="Z77" s="28"/>
      <c r="AA77" s="28">
        <v>2</v>
      </c>
      <c r="AB77" s="28"/>
      <c r="AC77" s="28">
        <v>5</v>
      </c>
      <c r="AD77" s="28">
        <v>2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11</v>
      </c>
      <c r="BQ77" s="1">
        <v>6</v>
      </c>
      <c r="BR77" s="17">
        <v>3</v>
      </c>
      <c r="BS77" s="17" t="s">
        <v>236</v>
      </c>
      <c r="BT77" s="1" t="str">
        <f>IF(AQ77&gt;AQ$122, AQ77-AQ$122,"")</f>
        <v/>
      </c>
      <c r="BU77" s="1" t="str">
        <f>IF(AR77&gt;AR$122, AR77-AR$122,"")</f>
        <v/>
      </c>
      <c r="BV77" s="1" t="str">
        <f>IF(AS77&gt;AS$122, AS77-AS$122,"")</f>
        <v/>
      </c>
      <c r="BW77" s="1" t="str">
        <f>IF(AT77&gt;AT$122, AT77-AT$122,"")</f>
        <v/>
      </c>
      <c r="BX77" s="1" t="str">
        <f>IF(AU77&gt;AU$122, AU77-AU$122,"")</f>
        <v/>
      </c>
      <c r="BY77" s="1" t="str">
        <f>IF(AV77&gt;AV$122, AV77-AV$122,"")</f>
        <v/>
      </c>
      <c r="BZ77" s="1" t="str">
        <f>IF(AW77&gt;AW$122, AW77-AW$122,"")</f>
        <v/>
      </c>
      <c r="CA77" s="1" t="str">
        <f>IF(AX77&gt;AX$122, AX77-AX$122,"")</f>
        <v/>
      </c>
      <c r="CB77" s="1" t="str">
        <f>IF(AY77&gt;AY$122, AY77-AY$122,"")</f>
        <v/>
      </c>
      <c r="CC77" s="1" t="str">
        <f>IF(AZ77&gt;AZ$122, AZ77-AZ$122,"")</f>
        <v/>
      </c>
      <c r="CD77" s="1" t="str">
        <f>IF(BA77&gt;BA$122, BA77-BA$122,"")</f>
        <v/>
      </c>
      <c r="CE77" s="1" t="str">
        <f>IF(BB77&gt;BB$122, BB77-BB$122,"")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139</v>
      </c>
      <c r="C78" s="1" t="s">
        <v>140</v>
      </c>
      <c r="D78" s="1" t="s">
        <v>115</v>
      </c>
      <c r="E78" s="6"/>
      <c r="F78" s="6"/>
      <c r="G78" s="6"/>
      <c r="H78" s="6"/>
      <c r="I78" s="6"/>
      <c r="J78" s="6"/>
      <c r="K78" s="6"/>
      <c r="L78" s="6">
        <v>7</v>
      </c>
      <c r="M78" s="6"/>
      <c r="N78" s="6"/>
      <c r="O78" s="6"/>
      <c r="P78" s="28"/>
      <c r="Q78" s="28">
        <v>7</v>
      </c>
      <c r="R78" s="28"/>
      <c r="S78" s="28"/>
      <c r="T78" s="28">
        <v>7</v>
      </c>
      <c r="U78" s="28"/>
      <c r="V78" s="28"/>
      <c r="W78" s="28"/>
      <c r="X78" s="28">
        <v>7</v>
      </c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28</v>
      </c>
      <c r="BQ78" s="1">
        <v>9</v>
      </c>
      <c r="BR78" s="17">
        <v>3</v>
      </c>
      <c r="BS78" s="17" t="s">
        <v>237</v>
      </c>
      <c r="BT78" s="1" t="str">
        <f>IF(AQ78&gt;AQ$122, AQ78-AQ$122,"")</f>
        <v/>
      </c>
      <c r="BU78" s="1" t="str">
        <f>IF(AR78&gt;AR$122, AR78-AR$122,"")</f>
        <v/>
      </c>
      <c r="BV78" s="1" t="str">
        <f>IF(AS78&gt;AS$122, AS78-AS$122,"")</f>
        <v/>
      </c>
      <c r="BW78" s="1" t="str">
        <f>IF(AT78&gt;AT$122, AT78-AT$122,"")</f>
        <v/>
      </c>
      <c r="BX78" s="1" t="str">
        <f>IF(AU78&gt;AU$122, AU78-AU$122,"")</f>
        <v/>
      </c>
      <c r="BY78" s="1" t="str">
        <f>IF(AV78&gt;AV$122, AV78-AV$122,"")</f>
        <v/>
      </c>
      <c r="BZ78" s="1" t="str">
        <f>IF(AW78&gt;AW$122, AW78-AW$122,"")</f>
        <v/>
      </c>
      <c r="CA78" s="1" t="str">
        <f>IF(AX78&gt;AX$122, AX78-AX$122,"")</f>
        <v/>
      </c>
      <c r="CB78" s="1" t="str">
        <f>IF(AY78&gt;AY$122, AY78-AY$122,"")</f>
        <v/>
      </c>
      <c r="CC78" s="1" t="str">
        <f>IF(AZ78&gt;AZ$122, AZ78-AZ$122,"")</f>
        <v/>
      </c>
      <c r="CD78" s="1" t="str">
        <f>IF(BA78&gt;BA$122, BA78-BA$122,"")</f>
        <v/>
      </c>
      <c r="CE78" s="1" t="str">
        <f>IF(BB78&gt;BB$122, BB78-BB$122,"")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133</v>
      </c>
      <c r="C79" s="1" t="s">
        <v>131</v>
      </c>
      <c r="D79" s="1" t="s">
        <v>114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>
        <v>2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9</v>
      </c>
      <c r="BR79" s="17">
        <v>3</v>
      </c>
      <c r="BS79" s="17" t="s">
        <v>268</v>
      </c>
      <c r="BT79" s="1" t="str">
        <f>IF(AQ79&gt;AQ$122, AQ79-AQ$122,"")</f>
        <v/>
      </c>
      <c r="BU79" s="1" t="str">
        <f>IF(AR79&gt;AR$122, AR79-AR$122,"")</f>
        <v/>
      </c>
      <c r="BV79" s="1" t="str">
        <f>IF(AS79&gt;AS$122, AS79-AS$122,"")</f>
        <v/>
      </c>
      <c r="BW79" s="1" t="str">
        <f>IF(AT79&gt;AT$122, AT79-AT$122,"")</f>
        <v/>
      </c>
      <c r="BX79" s="1" t="str">
        <f>IF(AU79&gt;AU$122, AU79-AU$122,"")</f>
        <v/>
      </c>
      <c r="BY79" s="1" t="str">
        <f>IF(AV79&gt;AV$122, AV79-AV$122,"")</f>
        <v/>
      </c>
      <c r="BZ79" s="1" t="str">
        <f>IF(AW79&gt;AW$122, AW79-AW$122,"")</f>
        <v/>
      </c>
      <c r="CA79" s="1" t="str">
        <f>IF(AX79&gt;AX$122, AX79-AX$122,"")</f>
        <v/>
      </c>
      <c r="CB79" s="1" t="str">
        <f>IF(AY79&gt;AY$122, AY79-AY$122,"")</f>
        <v/>
      </c>
      <c r="CC79" s="1" t="str">
        <f>IF(AZ79&gt;AZ$122, AZ79-AZ$122,"")</f>
        <v/>
      </c>
      <c r="CD79" s="1" t="str">
        <f>IF(BA79&gt;BA$122, BA79-BA$122,"")</f>
        <v/>
      </c>
      <c r="CE79" s="1" t="str">
        <f>IF(BB79&gt;BB$122, BB79-BB$122,"")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143</v>
      </c>
      <c r="C80" s="1" t="s">
        <v>142</v>
      </c>
      <c r="D80" s="1" t="s">
        <v>114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/>
      <c r="X80" s="28"/>
      <c r="Y80" s="28"/>
      <c r="Z80" s="28">
        <v>5</v>
      </c>
      <c r="AA80" s="28">
        <v>2</v>
      </c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17</v>
      </c>
      <c r="BQ80" s="1">
        <v>9</v>
      </c>
      <c r="BR80" s="17">
        <v>3</v>
      </c>
      <c r="BS80" s="17" t="s">
        <v>238</v>
      </c>
      <c r="BT80" s="1" t="str">
        <f>IF(AQ80&gt;AQ$122, AQ80-AQ$122,"")</f>
        <v/>
      </c>
      <c r="BU80" s="1" t="str">
        <f>IF(AR80&gt;AR$122, AR80-AR$122,"")</f>
        <v/>
      </c>
      <c r="BV80" s="1" t="str">
        <f>IF(AS80&gt;AS$122, AS80-AS$122,"")</f>
        <v/>
      </c>
      <c r="BW80" s="1" t="str">
        <f>IF(AT80&gt;AT$122, AT80-AT$122,"")</f>
        <v/>
      </c>
      <c r="BX80" s="1" t="str">
        <f>IF(AU80&gt;AU$122, AU80-AU$122,"")</f>
        <v/>
      </c>
      <c r="BY80" s="1" t="str">
        <f>IF(AV80&gt;AV$122, AV80-AV$122,"")</f>
        <v/>
      </c>
      <c r="BZ80" s="1" t="str">
        <f>IF(AW80&gt;AW$122, AW80-AW$122,"")</f>
        <v/>
      </c>
      <c r="CA80" s="1" t="str">
        <f>IF(AX80&gt;AX$122, AX80-AX$122,"")</f>
        <v/>
      </c>
      <c r="CB80" s="1" t="str">
        <f>IF(AY80&gt;AY$122, AY80-AY$122,"")</f>
        <v/>
      </c>
      <c r="CC80" s="1" t="str">
        <f>IF(AZ80&gt;AZ$122, AZ80-AZ$122,"")</f>
        <v/>
      </c>
      <c r="CD80" s="1" t="str">
        <f>IF(BA80&gt;BA$122, BA80-BA$122,"")</f>
        <v/>
      </c>
      <c r="CE80" s="1" t="str">
        <f>IF(BB80&gt;BB$122, BB80-BB$122,"")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149</v>
      </c>
      <c r="C81" s="1" t="s">
        <v>110</v>
      </c>
      <c r="D81" s="1" t="s">
        <v>151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>
        <v>5</v>
      </c>
      <c r="U81" s="28"/>
      <c r="V81" s="28"/>
      <c r="W81" s="28"/>
      <c r="X81" s="28"/>
      <c r="Y81" s="28"/>
      <c r="Z81" s="28">
        <v>5</v>
      </c>
      <c r="AA81" s="28">
        <v>2</v>
      </c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17</v>
      </c>
      <c r="BQ81" s="1">
        <v>9</v>
      </c>
      <c r="BR81" s="17">
        <v>3</v>
      </c>
      <c r="BS81" s="17" t="s">
        <v>238</v>
      </c>
      <c r="BT81" s="1" t="str">
        <f>IF(AQ81&gt;AQ$122, AQ81-AQ$122,"")</f>
        <v/>
      </c>
      <c r="BU81" s="1" t="str">
        <f>IF(AR81&gt;AR$122, AR81-AR$122,"")</f>
        <v/>
      </c>
      <c r="BV81" s="1" t="str">
        <f>IF(AS81&gt;AS$122, AS81-AS$122,"")</f>
        <v/>
      </c>
      <c r="BW81" s="1" t="str">
        <f>IF(AT81&gt;AT$122, AT81-AT$122,"")</f>
        <v/>
      </c>
      <c r="BX81" s="1" t="str">
        <f>IF(AU81&gt;AU$122, AU81-AU$122,"")</f>
        <v/>
      </c>
      <c r="BY81" s="1" t="str">
        <f>IF(AV81&gt;AV$122, AV81-AV$122,"")</f>
        <v/>
      </c>
      <c r="BZ81" s="1" t="str">
        <f>IF(AW81&gt;AW$122, AW81-AW$122,"")</f>
        <v/>
      </c>
      <c r="CA81" s="1" t="str">
        <f>IF(AX81&gt;AX$122, AX81-AX$122,"")</f>
        <v/>
      </c>
      <c r="CB81" s="1" t="str">
        <f>IF(AY81&gt;AY$122, AY81-AY$122,"")</f>
        <v/>
      </c>
      <c r="CC81" s="1" t="str">
        <f>IF(AZ81&gt;AZ$122, AZ81-AZ$122,"")</f>
        <v/>
      </c>
      <c r="CD81" s="1" t="str">
        <f>IF(BA81&gt;BA$122, BA81-BA$122,"")</f>
        <v/>
      </c>
      <c r="CE81" s="1" t="str">
        <f>IF(BB81&gt;BB$122, BB81-BB$122,"")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>
        <v>54</v>
      </c>
      <c r="B82" s="1" t="s">
        <v>50</v>
      </c>
      <c r="C82" s="1" t="s">
        <v>51</v>
      </c>
      <c r="D82" s="1" t="s">
        <v>1</v>
      </c>
      <c r="E82" s="6"/>
      <c r="F82" s="6">
        <v>15</v>
      </c>
      <c r="G82" s="6"/>
      <c r="H82" s="6">
        <v>15</v>
      </c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>
        <v>15</v>
      </c>
      <c r="AW82" s="2"/>
      <c r="AX82" s="2"/>
      <c r="AY82" s="2"/>
      <c r="AZ82" s="2"/>
      <c r="BA82" s="2">
        <v>15</v>
      </c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60</v>
      </c>
      <c r="BQ82" s="1">
        <v>9</v>
      </c>
      <c r="BR82" s="17">
        <v>3</v>
      </c>
      <c r="BS82" s="17" t="s">
        <v>281</v>
      </c>
      <c r="BT82" s="1" t="str">
        <f>IF(AQ82&gt;AQ$122, AQ82-AQ$122,"")</f>
        <v/>
      </c>
      <c r="BU82" s="1" t="str">
        <f>IF(AR82&gt;AR$122, AR82-AR$122,"")</f>
        <v/>
      </c>
      <c r="BV82" s="1" t="str">
        <f>IF(AS82&gt;AS$122, AS82-AS$122,"")</f>
        <v/>
      </c>
      <c r="BW82" s="1" t="str">
        <f>IF(AT82&gt;AT$122, AT82-AT$122,"")</f>
        <v/>
      </c>
      <c r="BX82" s="1" t="str">
        <f>IF(AU82&gt;AU$122, AU82-AU$122,"")</f>
        <v/>
      </c>
      <c r="BY82" s="1" t="str">
        <f>IF(AV82&gt;AV$122, AV82-AV$122,"")</f>
        <v/>
      </c>
      <c r="BZ82" s="1" t="str">
        <f>IF(AW82&gt;AW$122, AW82-AW$122,"")</f>
        <v/>
      </c>
      <c r="CA82" s="1" t="str">
        <f>IF(AX82&gt;AX$122, AX82-AX$122,"")</f>
        <v/>
      </c>
      <c r="CB82" s="1" t="str">
        <f>IF(AY82&gt;AY$122, AY82-AY$122,"")</f>
        <v/>
      </c>
      <c r="CC82" s="1" t="str">
        <f>IF(AZ82&gt;AZ$122, AZ82-AZ$122,"")</f>
        <v/>
      </c>
      <c r="CD82" s="1" t="str">
        <f>IF(BA82&gt;BA$122, BA82-BA$122,"")</f>
        <v/>
      </c>
      <c r="CE82" s="1" t="str">
        <f>IF(BB82&gt;BB$122, BB82-BB$122,"")</f>
        <v/>
      </c>
      <c r="CF82" s="1">
        <f>COUNTIF(BT82:CE82, "&gt;0")</f>
        <v>0</v>
      </c>
      <c r="CG82" s="1" t="str">
        <f>IF($CF82=1,BT82,"")</f>
        <v/>
      </c>
      <c r="CH82" s="1" t="str">
        <f>IF($CF82=1,BU82,"")</f>
        <v/>
      </c>
      <c r="CI82" s="1" t="str">
        <f>IF($CF82=1,BV82,"")</f>
        <v/>
      </c>
      <c r="CJ82" s="1" t="str">
        <f>IF($CF82=1,BW82,"")</f>
        <v/>
      </c>
      <c r="CK82" s="1" t="str">
        <f>IF($CF82=1,BX82,"")</f>
        <v/>
      </c>
      <c r="CL82" s="1" t="str">
        <f>IF($CF82=1,BY82,"")</f>
        <v/>
      </c>
      <c r="CM82" s="1" t="str">
        <f>IF($CF82=1,BZ82,"")</f>
        <v/>
      </c>
      <c r="CN82" s="1" t="str">
        <f>IF($CF82=1,CA82,"")</f>
        <v/>
      </c>
      <c r="CO82" s="1" t="str">
        <f>IF($CF82=1,CB82,"")</f>
        <v/>
      </c>
      <c r="CP82" s="1" t="str">
        <f>IF($CF82=1,CC82,"")</f>
        <v/>
      </c>
      <c r="CQ82" s="1" t="str">
        <f>IF($CF82=1,CD82,"")</f>
        <v/>
      </c>
      <c r="CR82" s="1" t="str">
        <f>IF($CF82=1,CE82,"")</f>
        <v/>
      </c>
      <c r="CS82" s="3">
        <f>SUM(AE82:BO82)</f>
        <v>30</v>
      </c>
    </row>
    <row r="83" spans="1:97" ht="40.5" x14ac:dyDescent="0.15">
      <c r="A83" s="1"/>
      <c r="B83" s="1" t="s">
        <v>146</v>
      </c>
      <c r="C83" s="1" t="s">
        <v>142</v>
      </c>
      <c r="D83" s="1" t="s">
        <v>113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>
        <v>5</v>
      </c>
      <c r="U83" s="28"/>
      <c r="V83" s="28"/>
      <c r="W83" s="28">
        <v>5</v>
      </c>
      <c r="X83" s="28"/>
      <c r="Y83" s="28"/>
      <c r="Z83" s="28">
        <v>5</v>
      </c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20</v>
      </c>
      <c r="BQ83" s="1">
        <v>11</v>
      </c>
      <c r="BR83" s="17">
        <v>3</v>
      </c>
      <c r="BS83" s="17" t="s">
        <v>269</v>
      </c>
      <c r="BT83" s="1" t="str">
        <f>IF(AQ83&gt;AQ$122, AQ83-AQ$122,"")</f>
        <v/>
      </c>
      <c r="BU83" s="1" t="str">
        <f>IF(AR83&gt;AR$122, AR83-AR$122,"")</f>
        <v/>
      </c>
      <c r="BV83" s="1" t="str">
        <f>IF(AS83&gt;AS$122, AS83-AS$122,"")</f>
        <v/>
      </c>
      <c r="BW83" s="1" t="str">
        <f>IF(AT83&gt;AT$122, AT83-AT$122,"")</f>
        <v/>
      </c>
      <c r="BX83" s="1" t="str">
        <f>IF(AU83&gt;AU$122, AU83-AU$122,"")</f>
        <v/>
      </c>
      <c r="BY83" s="1" t="str">
        <f>IF(AV83&gt;AV$122, AV83-AV$122,"")</f>
        <v/>
      </c>
      <c r="BZ83" s="1" t="str">
        <f>IF(AW83&gt;AW$122, AW83-AW$122,"")</f>
        <v/>
      </c>
      <c r="CA83" s="1" t="str">
        <f>IF(AX83&gt;AX$122, AX83-AX$122,"")</f>
        <v/>
      </c>
      <c r="CB83" s="1" t="str">
        <f>IF(AY83&gt;AY$122, AY83-AY$122,"")</f>
        <v/>
      </c>
      <c r="CC83" s="1" t="str">
        <f>IF(AZ83&gt;AZ$122, AZ83-AZ$122,"")</f>
        <v/>
      </c>
      <c r="CD83" s="1" t="str">
        <f>IF(BA83&gt;BA$122, BA83-BA$122,"")</f>
        <v/>
      </c>
      <c r="CE83" s="1" t="str">
        <f>IF(BB83&gt;BB$122, BB83-BB$122,"")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147</v>
      </c>
      <c r="C84" s="1" t="s">
        <v>142</v>
      </c>
      <c r="D84" s="1" t="s">
        <v>115</v>
      </c>
      <c r="E84" s="6"/>
      <c r="F84" s="6"/>
      <c r="G84" s="6">
        <v>5</v>
      </c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>
        <v>5</v>
      </c>
      <c r="W84" s="28"/>
      <c r="X84" s="28"/>
      <c r="Y84" s="28">
        <v>5</v>
      </c>
      <c r="Z84" s="28"/>
      <c r="AA84" s="28"/>
      <c r="AB84" s="28"/>
      <c r="AC84" s="28">
        <v>5</v>
      </c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20</v>
      </c>
      <c r="BQ84" s="1">
        <v>11</v>
      </c>
      <c r="BR84" s="17">
        <v>3</v>
      </c>
      <c r="BS84" s="17" t="s">
        <v>223</v>
      </c>
      <c r="BT84" s="1" t="str">
        <f>IF(AQ84&gt;AQ$122, AQ84-AQ$122,"")</f>
        <v/>
      </c>
      <c r="BU84" s="1" t="str">
        <f>IF(AR84&gt;AR$122, AR84-AR$122,"")</f>
        <v/>
      </c>
      <c r="BV84" s="1" t="str">
        <f>IF(AS84&gt;AS$122, AS84-AS$122,"")</f>
        <v/>
      </c>
      <c r="BW84" s="1" t="str">
        <f>IF(AT84&gt;AT$122, AT84-AT$122,"")</f>
        <v/>
      </c>
      <c r="BX84" s="1" t="str">
        <f>IF(AU84&gt;AU$122, AU84-AU$122,"")</f>
        <v/>
      </c>
      <c r="BY84" s="1" t="str">
        <f>IF(AV84&gt;AV$122, AV84-AV$122,"")</f>
        <v/>
      </c>
      <c r="BZ84" s="1" t="str">
        <f>IF(AW84&gt;AW$122, AW84-AW$122,"")</f>
        <v/>
      </c>
      <c r="CA84" s="1" t="str">
        <f>IF(AX84&gt;AX$122, AX84-AX$122,"")</f>
        <v/>
      </c>
      <c r="CB84" s="1" t="str">
        <f>IF(AY84&gt;AY$122, AY84-AY$122,"")</f>
        <v/>
      </c>
      <c r="CC84" s="1" t="str">
        <f>IF(AZ84&gt;AZ$122, AZ84-AZ$122,"")</f>
        <v/>
      </c>
      <c r="CD84" s="1" t="str">
        <f>IF(BA84&gt;BA$122, BA84-BA$122,"")</f>
        <v/>
      </c>
      <c r="CE84" s="1" t="str">
        <f>IF(BB84&gt;BB$122, BB84-BB$122,"")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143</v>
      </c>
      <c r="C85" s="1" t="s">
        <v>142</v>
      </c>
      <c r="D85" s="1" t="s">
        <v>115</v>
      </c>
      <c r="E85" s="6"/>
      <c r="F85" s="6"/>
      <c r="G85" s="6">
        <v>10</v>
      </c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>
        <v>10</v>
      </c>
      <c r="Y85" s="28"/>
      <c r="Z85" s="28"/>
      <c r="AA85" s="28"/>
      <c r="AB85" s="28"/>
      <c r="AC85" s="28"/>
      <c r="AD85" s="28">
        <v>10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>
        <v>10</v>
      </c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12</v>
      </c>
      <c r="BR85" s="17">
        <v>3</v>
      </c>
      <c r="BS85" s="17" t="s">
        <v>239</v>
      </c>
      <c r="BT85" s="1" t="str">
        <f>IF(AQ85&gt;AQ$122, AQ85-AQ$122,"")</f>
        <v/>
      </c>
      <c r="BU85" s="1" t="str">
        <f>IF(AR85&gt;AR$122, AR85-AR$122,"")</f>
        <v/>
      </c>
      <c r="BV85" s="1" t="str">
        <f>IF(AS85&gt;AS$122, AS85-AS$122,"")</f>
        <v/>
      </c>
      <c r="BW85" s="1" t="str">
        <f>IF(AT85&gt;AT$122, AT85-AT$122,"")</f>
        <v/>
      </c>
      <c r="BX85" s="1" t="str">
        <f>IF(AU85&gt;AU$122, AU85-AU$122,"")</f>
        <v/>
      </c>
      <c r="BY85" s="1" t="str">
        <f>IF(AV85&gt;AV$122, AV85-AV$122,"")</f>
        <v/>
      </c>
      <c r="BZ85" s="1" t="str">
        <f>IF(AW85&gt;AW$122, AW85-AW$122,"")</f>
        <v/>
      </c>
      <c r="CA85" s="1" t="str">
        <f>IF(AX85&gt;AX$122, AX85-AX$122,"")</f>
        <v/>
      </c>
      <c r="CB85" s="1" t="str">
        <f>IF(AY85&gt;AY$122, AY85-AY$122,"")</f>
        <v/>
      </c>
      <c r="CC85" s="1" t="str">
        <f>IF(AZ85&gt;AZ$122, AZ85-AZ$122,"")</f>
        <v/>
      </c>
      <c r="CD85" s="1" t="str">
        <f>IF(BA85&gt;BA$122, BA85-BA$122,"")</f>
        <v/>
      </c>
      <c r="CE85" s="1" t="str">
        <f>IF(BB85&gt;BB$122, BB85-BB$122,"")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149</v>
      </c>
      <c r="C86" s="1" t="s">
        <v>110</v>
      </c>
      <c r="D86" s="1" t="s">
        <v>152</v>
      </c>
      <c r="E86" s="6"/>
      <c r="F86" s="6"/>
      <c r="G86" s="6">
        <v>10</v>
      </c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>
        <v>10</v>
      </c>
      <c r="Y86" s="28"/>
      <c r="Z86" s="28"/>
      <c r="AA86" s="28"/>
      <c r="AB86" s="28"/>
      <c r="AC86" s="28"/>
      <c r="AD86" s="28">
        <v>10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>
        <v>10</v>
      </c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12</v>
      </c>
      <c r="BR86" s="17">
        <v>3</v>
      </c>
      <c r="BS86" s="17" t="s">
        <v>270</v>
      </c>
      <c r="BT86" s="1" t="str">
        <f>IF(AQ86&gt;AQ$122, AQ86-AQ$122,"")</f>
        <v/>
      </c>
      <c r="BU86" s="1" t="str">
        <f>IF(AR86&gt;AR$122, AR86-AR$122,"")</f>
        <v/>
      </c>
      <c r="BV86" s="1" t="str">
        <f>IF(AS86&gt;AS$122, AS86-AS$122,"")</f>
        <v/>
      </c>
      <c r="BW86" s="1" t="str">
        <f>IF(AT86&gt;AT$122, AT86-AT$122,"")</f>
        <v/>
      </c>
      <c r="BX86" s="1" t="str">
        <f>IF(AU86&gt;AU$122, AU86-AU$122,"")</f>
        <v/>
      </c>
      <c r="BY86" s="1" t="str">
        <f>IF(AV86&gt;AV$122, AV86-AV$122,"")</f>
        <v/>
      </c>
      <c r="BZ86" s="1" t="str">
        <f>IF(AW86&gt;AW$122, AW86-AW$122,"")</f>
        <v/>
      </c>
      <c r="CA86" s="1" t="str">
        <f>IF(AX86&gt;AX$122, AX86-AX$122,"")</f>
        <v/>
      </c>
      <c r="CB86" s="1" t="str">
        <f>IF(AY86&gt;AY$122, AY86-AY$122,"")</f>
        <v/>
      </c>
      <c r="CC86" s="1" t="str">
        <f>IF(AZ86&gt;AZ$122, AZ86-AZ$122,"")</f>
        <v/>
      </c>
      <c r="CD86" s="1" t="str">
        <f>IF(BA86&gt;BA$122, BA86-BA$122,"")</f>
        <v/>
      </c>
      <c r="CE86" s="1" t="str">
        <f>IF(BB86&gt;BB$122, BB86-BB$122,"")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137</v>
      </c>
      <c r="C87" s="1" t="s">
        <v>135</v>
      </c>
      <c r="D87" s="1" t="s">
        <v>115</v>
      </c>
      <c r="E87" s="6"/>
      <c r="F87" s="6"/>
      <c r="G87" s="6"/>
      <c r="H87" s="6"/>
      <c r="I87" s="6">
        <v>7</v>
      </c>
      <c r="J87" s="6"/>
      <c r="K87" s="6"/>
      <c r="L87" s="6"/>
      <c r="M87" s="6"/>
      <c r="N87" s="6"/>
      <c r="O87" s="6"/>
      <c r="P87" s="28"/>
      <c r="Q87" s="28">
        <v>7</v>
      </c>
      <c r="R87" s="28">
        <v>7</v>
      </c>
      <c r="S87" s="28"/>
      <c r="T87" s="28">
        <v>7</v>
      </c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28</v>
      </c>
      <c r="BQ87" s="1">
        <v>13</v>
      </c>
      <c r="BR87" s="17">
        <v>3</v>
      </c>
      <c r="BS87" s="17" t="s">
        <v>271</v>
      </c>
      <c r="BT87" s="1" t="str">
        <f>IF(AQ87&gt;AQ$122, AQ87-AQ$122,"")</f>
        <v/>
      </c>
      <c r="BU87" s="1" t="str">
        <f>IF(AR87&gt;AR$122, AR87-AR$122,"")</f>
        <v/>
      </c>
      <c r="BV87" s="1" t="str">
        <f>IF(AS87&gt;AS$122, AS87-AS$122,"")</f>
        <v/>
      </c>
      <c r="BW87" s="1" t="str">
        <f>IF(AT87&gt;AT$122, AT87-AT$122,"")</f>
        <v/>
      </c>
      <c r="BX87" s="1" t="str">
        <f>IF(AU87&gt;AU$122, AU87-AU$122,"")</f>
        <v/>
      </c>
      <c r="BY87" s="1" t="str">
        <f>IF(AV87&gt;AV$122, AV87-AV$122,"")</f>
        <v/>
      </c>
      <c r="BZ87" s="1" t="str">
        <f>IF(AW87&gt;AW$122, AW87-AW$122,"")</f>
        <v/>
      </c>
      <c r="CA87" s="1" t="str">
        <f>IF(AX87&gt;AX$122, AX87-AX$122,"")</f>
        <v/>
      </c>
      <c r="CB87" s="1" t="str">
        <f>IF(AY87&gt;AY$122, AY87-AY$122,"")</f>
        <v/>
      </c>
      <c r="CC87" s="1" t="str">
        <f>IF(AZ87&gt;AZ$122, AZ87-AZ$122,"")</f>
        <v/>
      </c>
      <c r="CD87" s="1" t="str">
        <f>IF(BA87&gt;BA$122, BA87-BA$122,"")</f>
        <v/>
      </c>
      <c r="CE87" s="1" t="str">
        <f>IF(BB87&gt;BB$122, BB87-BB$122,"")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133</v>
      </c>
      <c r="C88" s="1" t="s">
        <v>131</v>
      </c>
      <c r="D88" s="1" t="s">
        <v>115</v>
      </c>
      <c r="E88" s="6"/>
      <c r="F88" s="6"/>
      <c r="G88" s="6"/>
      <c r="H88" s="6">
        <v>7</v>
      </c>
      <c r="I88" s="6"/>
      <c r="J88" s="6"/>
      <c r="K88" s="6"/>
      <c r="L88" s="6"/>
      <c r="M88" s="6"/>
      <c r="N88" s="6"/>
      <c r="O88" s="6"/>
      <c r="P88" s="28"/>
      <c r="Q88" s="28">
        <v>7</v>
      </c>
      <c r="R88" s="28"/>
      <c r="S88" s="28"/>
      <c r="T88" s="28">
        <v>7</v>
      </c>
      <c r="U88" s="28"/>
      <c r="V88" s="28"/>
      <c r="W88" s="28"/>
      <c r="X88" s="28"/>
      <c r="Y88" s="28"/>
      <c r="Z88" s="28"/>
      <c r="AA88" s="28">
        <v>7</v>
      </c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28</v>
      </c>
      <c r="BQ88" s="1">
        <v>14</v>
      </c>
      <c r="BR88" s="17">
        <v>3</v>
      </c>
      <c r="BS88" s="17" t="s">
        <v>272</v>
      </c>
      <c r="BT88" s="1" t="str">
        <f>IF(AQ88&gt;AQ$122, AQ88-AQ$122,"")</f>
        <v/>
      </c>
      <c r="BU88" s="1" t="str">
        <f>IF(AR88&gt;AR$122, AR88-AR$122,"")</f>
        <v/>
      </c>
      <c r="BV88" s="1" t="str">
        <f>IF(AS88&gt;AS$122, AS88-AS$122,"")</f>
        <v/>
      </c>
      <c r="BW88" s="1" t="str">
        <f>IF(AT88&gt;AT$122, AT88-AT$122,"")</f>
        <v/>
      </c>
      <c r="BX88" s="1" t="str">
        <f>IF(AU88&gt;AU$122, AU88-AU$122,"")</f>
        <v/>
      </c>
      <c r="BY88" s="1" t="str">
        <f>IF(AV88&gt;AV$122, AV88-AV$122,"")</f>
        <v/>
      </c>
      <c r="BZ88" s="1" t="str">
        <f>IF(AW88&gt;AW$122, AW88-AW$122,"")</f>
        <v/>
      </c>
      <c r="CA88" s="1" t="str">
        <f>IF(AX88&gt;AX$122, AX88-AX$122,"")</f>
        <v/>
      </c>
      <c r="CB88" s="1" t="str">
        <f>IF(AY88&gt;AY$122, AY88-AY$122,"")</f>
        <v/>
      </c>
      <c r="CC88" s="1" t="str">
        <f>IF(AZ88&gt;AZ$122, AZ88-AZ$122,"")</f>
        <v/>
      </c>
      <c r="CD88" s="1" t="str">
        <f>IF(BA88&gt;BA$122, BA88-BA$122,"")</f>
        <v/>
      </c>
      <c r="CE88" s="1" t="str">
        <f>IF(BB88&gt;BB$122, BB88-BB$122,"")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>
        <v>28</v>
      </c>
      <c r="B89" s="1" t="s">
        <v>68</v>
      </c>
      <c r="C89" s="1" t="s">
        <v>28</v>
      </c>
      <c r="D89" s="1" t="s">
        <v>1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>
        <v>5</v>
      </c>
      <c r="AI89" s="1">
        <v>5</v>
      </c>
      <c r="AJ89" s="1">
        <v>5</v>
      </c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15</v>
      </c>
      <c r="BQ89" s="1">
        <v>15</v>
      </c>
      <c r="BR89" s="17">
        <v>3</v>
      </c>
      <c r="BS89" s="17" t="s">
        <v>273</v>
      </c>
      <c r="BT89" s="1" t="str">
        <f>IF(AQ89&gt;AQ$122, AQ89-AQ$122,"")</f>
        <v/>
      </c>
      <c r="BU89" s="1" t="str">
        <f>IF(AR89&gt;AR$122, AR89-AR$122,"")</f>
        <v/>
      </c>
      <c r="BV89" s="1" t="str">
        <f>IF(AS89&gt;AS$122, AS89-AS$122,"")</f>
        <v/>
      </c>
      <c r="BW89" s="1" t="str">
        <f>IF(AT89&gt;AT$122, AT89-AT$122,"")</f>
        <v/>
      </c>
      <c r="BX89" s="1" t="str">
        <f>IF(AU89&gt;AU$122, AU89-AU$122,"")</f>
        <v/>
      </c>
      <c r="BY89" s="1" t="str">
        <f>IF(AV89&gt;AV$122, AV89-AV$122,"")</f>
        <v/>
      </c>
      <c r="BZ89" s="1" t="str">
        <f>IF(AW89&gt;AW$122, AW89-AW$122,"")</f>
        <v/>
      </c>
      <c r="CA89" s="1" t="str">
        <f>IF(AX89&gt;AX$122, AX89-AX$122,"")</f>
        <v/>
      </c>
      <c r="CB89" s="1" t="str">
        <f>IF(AY89&gt;AY$122, AY89-AY$122,"")</f>
        <v/>
      </c>
      <c r="CC89" s="1" t="str">
        <f>IF(AZ89&gt;AZ$122, AZ89-AZ$122,"")</f>
        <v/>
      </c>
      <c r="CD89" s="1" t="str">
        <f>IF(BA89&gt;BA$122, BA89-BA$122,"")</f>
        <v/>
      </c>
      <c r="CE89" s="1" t="str">
        <f>IF(BB89&gt;BB$122, BB89-BB$122,"")</f>
        <v/>
      </c>
      <c r="CF89" s="1">
        <f>COUNTIF(BT89:CE89, "&gt;0")</f>
        <v>0</v>
      </c>
      <c r="CG89" s="1" t="str">
        <f>IF($CF89=1,BT89,"")</f>
        <v/>
      </c>
      <c r="CH89" s="1" t="str">
        <f>IF($CF89=1,BU89,"")</f>
        <v/>
      </c>
      <c r="CI89" s="1" t="str">
        <f>IF($CF89=1,BV89,"")</f>
        <v/>
      </c>
      <c r="CJ89" s="1" t="str">
        <f>IF($CF89=1,BW89,"")</f>
        <v/>
      </c>
      <c r="CK89" s="1" t="str">
        <f>IF($CF89=1,BX89,"")</f>
        <v/>
      </c>
      <c r="CL89" s="1" t="str">
        <f>IF($CF89=1,BY89,"")</f>
        <v/>
      </c>
      <c r="CM89" s="1" t="str">
        <f>IF($CF89=1,BZ89,"")</f>
        <v/>
      </c>
      <c r="CN89" s="1" t="str">
        <f>IF($CF89=1,CA89,"")</f>
        <v/>
      </c>
      <c r="CO89" s="1" t="str">
        <f>IF($CF89=1,CB89,"")</f>
        <v/>
      </c>
      <c r="CP89" s="1" t="str">
        <f>IF($CF89=1,CC89,"")</f>
        <v/>
      </c>
      <c r="CQ89" s="1" t="str">
        <f>IF($CF89=1,CD89,"")</f>
        <v/>
      </c>
      <c r="CR89" s="1" t="str">
        <f>IF($CF89=1,CE89,"")</f>
        <v/>
      </c>
      <c r="CS89" s="3">
        <f>SUM(AE89:BO89)</f>
        <v>15</v>
      </c>
    </row>
    <row r="90" spans="1:97" ht="40.5" x14ac:dyDescent="0.15">
      <c r="A90" s="1">
        <v>89</v>
      </c>
      <c r="B90" s="3" t="s">
        <v>73</v>
      </c>
      <c r="C90" s="3" t="s">
        <v>74</v>
      </c>
      <c r="D90" s="1" t="s">
        <v>1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>
        <v>5</v>
      </c>
      <c r="AG90" s="1"/>
      <c r="AH90" s="1">
        <v>5</v>
      </c>
      <c r="AI90" s="1">
        <v>5</v>
      </c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15</v>
      </c>
      <c r="BQ90" s="1">
        <v>15</v>
      </c>
      <c r="BR90" s="17">
        <v>3</v>
      </c>
      <c r="BS90" s="17" t="s">
        <v>224</v>
      </c>
      <c r="BT90" s="1" t="str">
        <f>IF(AQ90&gt;AQ$122, AQ90-AQ$122,"")</f>
        <v/>
      </c>
      <c r="BU90" s="1" t="str">
        <f>IF(AR90&gt;AR$122, AR90-AR$122,"")</f>
        <v/>
      </c>
      <c r="BV90" s="1" t="str">
        <f>IF(AS90&gt;AS$122, AS90-AS$122,"")</f>
        <v/>
      </c>
      <c r="BW90" s="1" t="str">
        <f>IF(AT90&gt;AT$122, AT90-AT$122,"")</f>
        <v/>
      </c>
      <c r="BX90" s="1" t="str">
        <f>IF(AU90&gt;AU$122, AU90-AU$122,"")</f>
        <v/>
      </c>
      <c r="BY90" s="1" t="str">
        <f>IF(AV90&gt;AV$122, AV90-AV$122,"")</f>
        <v/>
      </c>
      <c r="BZ90" s="1" t="str">
        <f>IF(AW90&gt;AW$122, AW90-AW$122,"")</f>
        <v/>
      </c>
      <c r="CA90" s="1" t="str">
        <f>IF(AX90&gt;AX$122, AX90-AX$122,"")</f>
        <v/>
      </c>
      <c r="CB90" s="1" t="str">
        <f>IF(AY90&gt;AY$122, AY90-AY$122,"")</f>
        <v/>
      </c>
      <c r="CC90" s="1" t="str">
        <f>IF(AZ90&gt;AZ$122, AZ90-AZ$122,"")</f>
        <v/>
      </c>
      <c r="CD90" s="1" t="str">
        <f>IF(BA90&gt;BA$122, BA90-BA$122,"")</f>
        <v/>
      </c>
      <c r="CE90" s="1" t="str">
        <f>IF(BB90&gt;BB$122, BB90-BB$122,"")</f>
        <v/>
      </c>
      <c r="CF90" s="1">
        <f>COUNTIF(BT90:CE90, "&gt;0")</f>
        <v>0</v>
      </c>
      <c r="CG90" s="1" t="str">
        <f>IF($CF90=1,BT90,"")</f>
        <v/>
      </c>
      <c r="CH90" s="1" t="str">
        <f>IF($CF90=1,BU90,"")</f>
        <v/>
      </c>
      <c r="CI90" s="1" t="str">
        <f>IF($CF90=1,BV90,"")</f>
        <v/>
      </c>
      <c r="CJ90" s="1" t="str">
        <f>IF($CF90=1,BW90,"")</f>
        <v/>
      </c>
      <c r="CK90" s="1" t="str">
        <f>IF($CF90=1,BX90,"")</f>
        <v/>
      </c>
      <c r="CL90" s="1" t="str">
        <f>IF($CF90=1,BY90,"")</f>
        <v/>
      </c>
      <c r="CM90" s="1" t="str">
        <f>IF($CF90=1,BZ90,"")</f>
        <v/>
      </c>
      <c r="CN90" s="1" t="str">
        <f>IF($CF90=1,CA90,"")</f>
        <v/>
      </c>
      <c r="CO90" s="1" t="str">
        <f>IF($CF90=1,CB90,"")</f>
        <v/>
      </c>
      <c r="CP90" s="1" t="str">
        <f>IF($CF90=1,CC90,"")</f>
        <v/>
      </c>
      <c r="CQ90" s="1" t="str">
        <f>IF($CF90=1,CD90,"")</f>
        <v/>
      </c>
      <c r="CR90" s="1" t="str">
        <f>IF($CF90=1,CE90,"")</f>
        <v/>
      </c>
      <c r="CS90" s="3">
        <f>SUM(AE90:BO90)</f>
        <v>15</v>
      </c>
    </row>
    <row r="91" spans="1:97" ht="40.5" x14ac:dyDescent="0.15">
      <c r="A91" s="1"/>
      <c r="B91" s="1" t="s">
        <v>124</v>
      </c>
      <c r="C91" s="1" t="s">
        <v>112</v>
      </c>
      <c r="D91" s="1" t="s">
        <v>115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>
        <v>10</v>
      </c>
      <c r="P91" s="28"/>
      <c r="Q91" s="28"/>
      <c r="R91" s="28">
        <v>10</v>
      </c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>
        <v>10</v>
      </c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21</v>
      </c>
      <c r="BR91" s="17">
        <v>3</v>
      </c>
      <c r="BS91" s="17" t="s">
        <v>286</v>
      </c>
      <c r="BT91" s="1" t="str">
        <f>IF(AQ91&gt;AQ$122, AQ91-AQ$122,"")</f>
        <v/>
      </c>
      <c r="BU91" s="1" t="str">
        <f>IF(AR91&gt;AR$122, AR91-AR$122,"")</f>
        <v/>
      </c>
      <c r="BV91" s="1" t="str">
        <f>IF(AS91&gt;AS$122, AS91-AS$122,"")</f>
        <v/>
      </c>
      <c r="BW91" s="1" t="str">
        <f>IF(AT91&gt;AT$122, AT91-AT$122,"")</f>
        <v/>
      </c>
      <c r="BX91" s="1" t="str">
        <f>IF(AU91&gt;AU$122, AU91-AU$122,"")</f>
        <v/>
      </c>
      <c r="BY91" s="1" t="str">
        <f>IF(AV91&gt;AV$122, AV91-AV$122,"")</f>
        <v/>
      </c>
      <c r="BZ91" s="1" t="str">
        <f>IF(AW91&gt;AW$122, AW91-AW$122,"")</f>
        <v/>
      </c>
      <c r="CA91" s="1" t="str">
        <f>IF(AX91&gt;AX$122, AX91-AX$122,"")</f>
        <v/>
      </c>
      <c r="CB91" s="1" t="str">
        <f>IF(AY91&gt;AY$122, AY91-AY$122,"")</f>
        <v/>
      </c>
      <c r="CC91" s="1" t="str">
        <f>IF(AZ91&gt;AZ$122, AZ91-AZ$122,"")</f>
        <v/>
      </c>
      <c r="CD91" s="1" t="str">
        <f>IF(BA91&gt;BA$122, BA91-BA$122,"")</f>
        <v/>
      </c>
      <c r="CE91" s="1" t="str">
        <f>IF(BB91&gt;BB$122, BB91-BB$122,"")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129</v>
      </c>
      <c r="C92" s="1" t="s">
        <v>112</v>
      </c>
      <c r="D92" s="1" t="s">
        <v>115</v>
      </c>
      <c r="E92" s="6"/>
      <c r="F92" s="6"/>
      <c r="G92" s="6"/>
      <c r="H92" s="6">
        <v>10</v>
      </c>
      <c r="I92" s="6"/>
      <c r="J92" s="6"/>
      <c r="K92" s="6"/>
      <c r="L92" s="6"/>
      <c r="M92" s="6"/>
      <c r="N92" s="6"/>
      <c r="O92" s="6"/>
      <c r="P92" s="28"/>
      <c r="Q92" s="28"/>
      <c r="R92" s="28">
        <v>10</v>
      </c>
      <c r="S92" s="28"/>
      <c r="T92" s="28"/>
      <c r="U92" s="28"/>
      <c r="V92" s="28"/>
      <c r="W92" s="28"/>
      <c r="X92" s="28">
        <v>10</v>
      </c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22</v>
      </c>
      <c r="BR92" s="17">
        <v>3</v>
      </c>
      <c r="BS92" s="17" t="s">
        <v>276</v>
      </c>
      <c r="BT92" s="1" t="str">
        <f>IF(AQ92&gt;AQ$122, AQ92-AQ$122,"")</f>
        <v/>
      </c>
      <c r="BU92" s="1" t="str">
        <f>IF(AR92&gt;AR$122, AR92-AR$122,"")</f>
        <v/>
      </c>
      <c r="BV92" s="1" t="str">
        <f>IF(AS92&gt;AS$122, AS92-AS$122,"")</f>
        <v/>
      </c>
      <c r="BW92" s="1" t="str">
        <f>IF(AT92&gt;AT$122, AT92-AT$122,"")</f>
        <v/>
      </c>
      <c r="BX92" s="1" t="str">
        <f>IF(AU92&gt;AU$122, AU92-AU$122,"")</f>
        <v/>
      </c>
      <c r="BY92" s="1" t="str">
        <f>IF(AV92&gt;AV$122, AV92-AV$122,"")</f>
        <v/>
      </c>
      <c r="BZ92" s="1" t="str">
        <f>IF(AW92&gt;AW$122, AW92-AW$122,"")</f>
        <v/>
      </c>
      <c r="CA92" s="1" t="str">
        <f>IF(AX92&gt;AX$122, AX92-AX$122,"")</f>
        <v/>
      </c>
      <c r="CB92" s="1" t="str">
        <f>IF(AY92&gt;AY$122, AY92-AY$122,"")</f>
        <v/>
      </c>
      <c r="CC92" s="1" t="str">
        <f>IF(AZ92&gt;AZ$122, AZ92-AZ$122,"")</f>
        <v/>
      </c>
      <c r="CD92" s="1" t="str">
        <f>IF(BA92&gt;BA$122, BA92-BA$122,"")</f>
        <v/>
      </c>
      <c r="CE92" s="1" t="str">
        <f>IF(BB92&gt;BB$122, BB92-BB$122,"")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/>
      <c r="B93" s="1" t="s">
        <v>102</v>
      </c>
      <c r="C93" s="1" t="s">
        <v>99</v>
      </c>
      <c r="D93" s="1" t="s">
        <v>97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>
        <v>10</v>
      </c>
      <c r="AP93" s="1">
        <v>10</v>
      </c>
      <c r="AQ93" s="4"/>
      <c r="AR93" s="4"/>
      <c r="AS93" s="4">
        <v>5</v>
      </c>
      <c r="AT93" s="4"/>
      <c r="AU93" s="4"/>
      <c r="AV93" s="4"/>
      <c r="AW93" s="2"/>
      <c r="AX93" s="2">
        <v>5</v>
      </c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30</v>
      </c>
      <c r="BQ93" s="1">
        <v>24</v>
      </c>
      <c r="BR93" s="17">
        <v>3</v>
      </c>
      <c r="BS93" s="17" t="s">
        <v>277</v>
      </c>
      <c r="BT93" s="1" t="str">
        <f>IF(AQ93&gt;AQ$122, AQ93-AQ$122,"")</f>
        <v/>
      </c>
      <c r="BU93" s="1" t="str">
        <f>IF(AR93&gt;AR$122, AR93-AR$122,"")</f>
        <v/>
      </c>
      <c r="BV93" s="1" t="str">
        <f>IF(AS93&gt;AS$122, AS93-AS$122,"")</f>
        <v/>
      </c>
      <c r="BW93" s="1" t="str">
        <f>IF(AT93&gt;AT$122, AT93-AT$122,"")</f>
        <v/>
      </c>
      <c r="BX93" s="1" t="str">
        <f>IF(AU93&gt;AU$122, AU93-AU$122,"")</f>
        <v/>
      </c>
      <c r="BY93" s="1" t="str">
        <f>IF(AV93&gt;AV$122, AV93-AV$122,"")</f>
        <v/>
      </c>
      <c r="BZ93" s="1" t="str">
        <f>IF(AW93&gt;AW$122, AW93-AW$122,"")</f>
        <v/>
      </c>
      <c r="CA93" s="1" t="str">
        <f>IF(AX93&gt;AX$122, AX93-AX$122,"")</f>
        <v/>
      </c>
      <c r="CB93" s="1" t="str">
        <f>IF(AY93&gt;AY$122, AY93-AY$122,"")</f>
        <v/>
      </c>
      <c r="CC93" s="1" t="str">
        <f>IF(AZ93&gt;AZ$122, AZ93-AZ$122,"")</f>
        <v/>
      </c>
      <c r="CD93" s="1" t="str">
        <f>IF(BA93&gt;BA$122, BA93-BA$122,"")</f>
        <v/>
      </c>
      <c r="CE93" s="1" t="str">
        <f>IF(BB93&gt;BB$122, BB93-BB$122,"")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40.5" x14ac:dyDescent="0.15">
      <c r="A94" s="18">
        <v>65</v>
      </c>
      <c r="B94" s="24" t="s">
        <v>56</v>
      </c>
      <c r="C94" s="18" t="s">
        <v>51</v>
      </c>
      <c r="D94" s="18" t="s">
        <v>12</v>
      </c>
      <c r="E94" s="19"/>
      <c r="F94" s="19"/>
      <c r="G94" s="19">
        <v>10</v>
      </c>
      <c r="H94" s="19"/>
      <c r="I94" s="19"/>
      <c r="J94" s="19"/>
      <c r="K94" s="19"/>
      <c r="L94" s="19"/>
      <c r="M94" s="19"/>
      <c r="N94" s="19"/>
      <c r="O94" s="1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18"/>
      <c r="AF94" s="18"/>
      <c r="AG94" s="18"/>
      <c r="AH94" s="18"/>
      <c r="AI94" s="18"/>
      <c r="AJ94" s="18"/>
      <c r="AK94" s="18"/>
      <c r="AL94" s="18"/>
      <c r="AM94" s="18"/>
      <c r="AN94" s="18">
        <v>25</v>
      </c>
      <c r="AO94" s="18"/>
      <c r="AP94" s="18"/>
      <c r="AQ94" s="20"/>
      <c r="AR94" s="20"/>
      <c r="AS94" s="20"/>
      <c r="AT94" s="20"/>
      <c r="AU94" s="20"/>
      <c r="AV94" s="20">
        <v>10</v>
      </c>
      <c r="AW94" s="21"/>
      <c r="AX94" s="21"/>
      <c r="AY94" s="21"/>
      <c r="AZ94" s="21">
        <v>10</v>
      </c>
      <c r="BA94" s="21"/>
      <c r="BB94" s="21"/>
      <c r="BC94" s="26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>
        <f>SUM(E94:BO94)</f>
        <v>55</v>
      </c>
      <c r="BQ94" s="18">
        <v>34</v>
      </c>
      <c r="BR94" s="22">
        <v>3</v>
      </c>
      <c r="BS94" s="22" t="s">
        <v>278</v>
      </c>
      <c r="BT94" s="18" t="str">
        <f>IF(AQ94&gt;AQ$122, AQ94-AQ$122,"")</f>
        <v/>
      </c>
      <c r="BU94" s="18" t="str">
        <f>IF(AR94&gt;AR$122, AR94-AR$122,"")</f>
        <v/>
      </c>
      <c r="BV94" s="18" t="str">
        <f>IF(AS94&gt;AS$122, AS94-AS$122,"")</f>
        <v/>
      </c>
      <c r="BW94" s="18" t="str">
        <f>IF(AT94&gt;AT$122, AT94-AT$122,"")</f>
        <v/>
      </c>
      <c r="BX94" s="18" t="str">
        <f>IF(AU94&gt;AU$122, AU94-AU$122,"")</f>
        <v/>
      </c>
      <c r="BY94" s="18" t="str">
        <f>IF(AV94&gt;AV$122, AV94-AV$122,"")</f>
        <v/>
      </c>
      <c r="BZ94" s="18" t="str">
        <f>IF(AW94&gt;AW$122, AW94-AW$122,"")</f>
        <v/>
      </c>
      <c r="CA94" s="18" t="str">
        <f>IF(AX94&gt;AX$122, AX94-AX$122,"")</f>
        <v/>
      </c>
      <c r="CB94" s="18" t="str">
        <f>IF(AY94&gt;AY$122, AY94-AY$122,"")</f>
        <v/>
      </c>
      <c r="CC94" s="18" t="str">
        <f>IF(AZ94&gt;AZ$122, AZ94-AZ$122,"")</f>
        <v/>
      </c>
      <c r="CD94" s="18" t="str">
        <f>IF(BA94&gt;BA$122, BA94-BA$122,"")</f>
        <v/>
      </c>
      <c r="CE94" s="18" t="str">
        <f>IF(BB94&gt;BB$122, BB94-BB$122,"")</f>
        <v/>
      </c>
      <c r="CF94" s="18">
        <f>COUNTIF(BT94:CE94, "&gt;0")</f>
        <v>0</v>
      </c>
      <c r="CG94" s="18" t="str">
        <f>IF($CF94=1,BT94,"")</f>
        <v/>
      </c>
      <c r="CH94" s="18" t="str">
        <f>IF($CF94=1,BU94,"")</f>
        <v/>
      </c>
      <c r="CI94" s="18" t="str">
        <f>IF($CF94=1,BV94,"")</f>
        <v/>
      </c>
      <c r="CJ94" s="18" t="str">
        <f>IF($CF94=1,BW94,"")</f>
        <v/>
      </c>
      <c r="CK94" s="18" t="str">
        <f>IF($CF94=1,BX94,"")</f>
        <v/>
      </c>
      <c r="CL94" s="18" t="str">
        <f>IF($CF94=1,BY94,"")</f>
        <v/>
      </c>
      <c r="CM94" s="18" t="str">
        <f>IF($CF94=1,BZ94,"")</f>
        <v/>
      </c>
      <c r="CN94" s="18" t="str">
        <f>IF($CF94=1,CA94,"")</f>
        <v/>
      </c>
      <c r="CO94" s="18" t="str">
        <f>IF($CF94=1,CB94,"")</f>
        <v/>
      </c>
      <c r="CP94" s="18" t="str">
        <f>IF($CF94=1,CC94,"")</f>
        <v/>
      </c>
      <c r="CQ94" s="18" t="str">
        <f>IF($CF94=1,CD94,"")</f>
        <v/>
      </c>
      <c r="CR94" s="18" t="str">
        <f>IF($CF94=1,CE94,"")</f>
        <v/>
      </c>
      <c r="CS94" s="24">
        <f>SUM(AE94:BO94)</f>
        <v>45</v>
      </c>
    </row>
    <row r="95" spans="1:97" ht="40.5" x14ac:dyDescent="0.15">
      <c r="A95" s="1">
        <v>85</v>
      </c>
      <c r="B95" s="3" t="s">
        <v>179</v>
      </c>
      <c r="C95" s="3" t="s">
        <v>58</v>
      </c>
      <c r="D95" s="1" t="s">
        <v>35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>
        <v>50</v>
      </c>
      <c r="BM95" s="1">
        <v>50</v>
      </c>
      <c r="BN95" s="1">
        <v>50</v>
      </c>
      <c r="BO95" s="1">
        <v>50</v>
      </c>
      <c r="BP95" s="1">
        <f>SUM(E95:BO95)</f>
        <v>200</v>
      </c>
      <c r="BQ95" s="1">
        <v>140</v>
      </c>
      <c r="BR95" s="17">
        <v>3</v>
      </c>
      <c r="BS95" s="17" t="s">
        <v>279</v>
      </c>
      <c r="BT95" s="1" t="str">
        <f>IF(AQ95&gt;AQ$122, AQ95-AQ$122,"")</f>
        <v/>
      </c>
      <c r="BU95" s="1" t="str">
        <f>IF(AR95&gt;AR$122, AR95-AR$122,"")</f>
        <v/>
      </c>
      <c r="BV95" s="1" t="str">
        <f>IF(AS95&gt;AS$122, AS95-AS$122,"")</f>
        <v/>
      </c>
      <c r="BW95" s="1" t="str">
        <f>IF(AT95&gt;AT$122, AT95-AT$122,"")</f>
        <v/>
      </c>
      <c r="BX95" s="1" t="str">
        <f>IF(AU95&gt;AU$122, AU95-AU$122,"")</f>
        <v/>
      </c>
      <c r="BY95" s="1" t="str">
        <f>IF(AV95&gt;AV$122, AV95-AV$122,"")</f>
        <v/>
      </c>
      <c r="BZ95" s="1" t="str">
        <f>IF(AW95&gt;AW$122, AW95-AW$122,"")</f>
        <v/>
      </c>
      <c r="CA95" s="1" t="str">
        <f>IF(AX95&gt;AX$122, AX95-AX$122,"")</f>
        <v/>
      </c>
      <c r="CB95" s="1" t="str">
        <f>IF(AY95&gt;AY$122, AY95-AY$122,"")</f>
        <v/>
      </c>
      <c r="CC95" s="1" t="str">
        <f>IF(AZ95&gt;AZ$122, AZ95-AZ$122,"")</f>
        <v/>
      </c>
      <c r="CD95" s="1" t="str">
        <f>IF(BA95&gt;BA$122, BA95-BA$122,"")</f>
        <v/>
      </c>
      <c r="CE95" s="1" t="str">
        <f>IF(BB95&gt;BB$122, BB95-BB$122,"")</f>
        <v/>
      </c>
      <c r="CF95" s="1">
        <f>COUNTIF(BT95:CE95, "&gt;0")</f>
        <v>0</v>
      </c>
      <c r="CG95" s="1" t="str">
        <f>IF($CF95=1,BT95,"")</f>
        <v/>
      </c>
      <c r="CH95" s="1" t="str">
        <f>IF($CF95=1,BU95,"")</f>
        <v/>
      </c>
      <c r="CI95" s="1" t="str">
        <f>IF($CF95=1,BV95,"")</f>
        <v/>
      </c>
      <c r="CJ95" s="1" t="str">
        <f>IF($CF95=1,BW95,"")</f>
        <v/>
      </c>
      <c r="CK95" s="1" t="str">
        <f>IF($CF95=1,BX95,"")</f>
        <v/>
      </c>
      <c r="CL95" s="1" t="str">
        <f>IF($CF95=1,BY95,"")</f>
        <v/>
      </c>
      <c r="CM95" s="1" t="str">
        <f>IF($CF95=1,BZ95,"")</f>
        <v/>
      </c>
      <c r="CN95" s="1" t="str">
        <f>IF($CF95=1,CA95,"")</f>
        <v/>
      </c>
      <c r="CO95" s="1" t="str">
        <f>IF($CF95=1,CB95,"")</f>
        <v/>
      </c>
      <c r="CP95" s="1" t="str">
        <f>IF($CF95=1,CC95,"")</f>
        <v/>
      </c>
      <c r="CQ95" s="1" t="str">
        <f>IF($CF95=1,CD95,"")</f>
        <v/>
      </c>
      <c r="CR95" s="1" t="str">
        <f>IF($CF95=1,CE95,"")</f>
        <v/>
      </c>
      <c r="CS95" s="3">
        <f>SUM(AE95:BO95)</f>
        <v>200</v>
      </c>
    </row>
    <row r="96" spans="1:97" ht="40.5" x14ac:dyDescent="0.15">
      <c r="A96" s="1"/>
      <c r="B96" s="1" t="s">
        <v>176</v>
      </c>
      <c r="C96" s="1" t="s">
        <v>110</v>
      </c>
      <c r="D96" s="1" t="s">
        <v>108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>
        <v>50</v>
      </c>
      <c r="BM96" s="1">
        <v>50</v>
      </c>
      <c r="BN96" s="1">
        <v>50</v>
      </c>
      <c r="BO96" s="1">
        <v>50</v>
      </c>
      <c r="BP96" s="1">
        <f>SUM(E96:BO96)</f>
        <v>200</v>
      </c>
      <c r="BQ96" s="1">
        <v>140</v>
      </c>
      <c r="BR96" s="17">
        <v>3</v>
      </c>
      <c r="BS96" s="17" t="s">
        <v>240</v>
      </c>
      <c r="BT96" s="1" t="str">
        <f>IF(AQ96&gt;AQ$122, AQ96-AQ$122,"")</f>
        <v/>
      </c>
      <c r="BU96" s="1" t="str">
        <f>IF(AR96&gt;AR$122, AR96-AR$122,"")</f>
        <v/>
      </c>
      <c r="BV96" s="1" t="str">
        <f>IF(AS96&gt;AS$122, AS96-AS$122,"")</f>
        <v/>
      </c>
      <c r="BW96" s="1" t="str">
        <f>IF(AT96&gt;AT$122, AT96-AT$122,"")</f>
        <v/>
      </c>
      <c r="BX96" s="1" t="str">
        <f>IF(AU96&gt;AU$122, AU96-AU$122,"")</f>
        <v/>
      </c>
      <c r="BY96" s="1" t="str">
        <f>IF(AV96&gt;AV$122, AV96-AV$122,"")</f>
        <v/>
      </c>
      <c r="BZ96" s="1" t="str">
        <f>IF(AW96&gt;AW$122, AW96-AW$122,"")</f>
        <v/>
      </c>
      <c r="CA96" s="1" t="str">
        <f>IF(AX96&gt;AX$122, AX96-AX$122,"")</f>
        <v/>
      </c>
      <c r="CB96" s="1" t="str">
        <f>IF(AY96&gt;AY$122, AY96-AY$122,"")</f>
        <v/>
      </c>
      <c r="CC96" s="1" t="str">
        <f>IF(AZ96&gt;AZ$122, AZ96-AZ$122,"")</f>
        <v/>
      </c>
      <c r="CD96" s="1" t="str">
        <f>IF(BA96&gt;BA$122, BA96-BA$122,"")</f>
        <v/>
      </c>
      <c r="CE96" s="1" t="str">
        <f>IF(BB96&gt;BB$122, BB96-BB$122,"")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40.5" x14ac:dyDescent="0.15">
      <c r="A97" s="1"/>
      <c r="B97" s="1" t="s">
        <v>197</v>
      </c>
      <c r="C97" s="1" t="s">
        <v>110</v>
      </c>
      <c r="D97" s="1" t="s">
        <v>108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>
        <v>50</v>
      </c>
      <c r="BM97" s="1">
        <v>50</v>
      </c>
      <c r="BN97" s="1">
        <v>50</v>
      </c>
      <c r="BO97" s="1">
        <v>50</v>
      </c>
      <c r="BP97" s="1">
        <f>SUM(E97:BO97)</f>
        <v>200</v>
      </c>
      <c r="BQ97" s="1">
        <v>140</v>
      </c>
      <c r="BR97" s="17">
        <v>3</v>
      </c>
      <c r="BS97" s="17" t="s">
        <v>240</v>
      </c>
      <c r="BT97" s="1" t="str">
        <f>IF(AQ97&gt;AQ$122, AQ97-AQ$122,"")</f>
        <v/>
      </c>
      <c r="BU97" s="1" t="str">
        <f>IF(AR97&gt;AR$122, AR97-AR$122,"")</f>
        <v/>
      </c>
      <c r="BV97" s="1" t="str">
        <f>IF(AS97&gt;AS$122, AS97-AS$122,"")</f>
        <v/>
      </c>
      <c r="BW97" s="1" t="str">
        <f>IF(AT97&gt;AT$122, AT97-AT$122,"")</f>
        <v/>
      </c>
      <c r="BX97" s="1" t="str">
        <f>IF(AU97&gt;AU$122, AU97-AU$122,"")</f>
        <v/>
      </c>
      <c r="BY97" s="1" t="str">
        <f>IF(AV97&gt;AV$122, AV97-AV$122,"")</f>
        <v/>
      </c>
      <c r="BZ97" s="1" t="str">
        <f>IF(AW97&gt;AW$122, AW97-AW$122,"")</f>
        <v/>
      </c>
      <c r="CA97" s="1" t="str">
        <f>IF(AX97&gt;AX$122, AX97-AX$122,"")</f>
        <v/>
      </c>
      <c r="CB97" s="1" t="str">
        <f>IF(AY97&gt;AY$122, AY97-AY$122,"")</f>
        <v/>
      </c>
      <c r="CC97" s="1" t="str">
        <f>IF(AZ97&gt;AZ$122, AZ97-AZ$122,"")</f>
        <v/>
      </c>
      <c r="CD97" s="1" t="str">
        <f>IF(BA97&gt;BA$122, BA97-BA$122,"")</f>
        <v/>
      </c>
      <c r="CE97" s="1" t="str">
        <f>IF(BB97&gt;BB$122, BB97-BB$122,"")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144</v>
      </c>
      <c r="C98" s="1" t="s">
        <v>142</v>
      </c>
      <c r="D98" s="1" t="s">
        <v>114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>
        <v>5</v>
      </c>
      <c r="R98" s="28"/>
      <c r="S98" s="28"/>
      <c r="T98" s="28"/>
      <c r="U98" s="28"/>
      <c r="V98" s="28">
        <v>10</v>
      </c>
      <c r="W98" s="28"/>
      <c r="X98" s="28"/>
      <c r="Y98" s="28"/>
      <c r="Z98" s="28">
        <v>5</v>
      </c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30</v>
      </c>
      <c r="BQ98" s="1">
        <v>18</v>
      </c>
      <c r="BR98" s="17">
        <v>4</v>
      </c>
      <c r="BS98" s="17" t="s">
        <v>280</v>
      </c>
      <c r="BT98" s="1" t="str">
        <f>IF(AQ98&gt;AQ$122, AQ98-AQ$122,"")</f>
        <v/>
      </c>
      <c r="BU98" s="1" t="str">
        <f>IF(AR98&gt;AR$122, AR98-AR$122,"")</f>
        <v/>
      </c>
      <c r="BV98" s="1" t="str">
        <f>IF(AS98&gt;AS$122, AS98-AS$122,"")</f>
        <v/>
      </c>
      <c r="BW98" s="1" t="str">
        <f>IF(AT98&gt;AT$122, AT98-AT$122,"")</f>
        <v/>
      </c>
      <c r="BX98" s="1" t="str">
        <f>IF(AU98&gt;AU$122, AU98-AU$122,"")</f>
        <v/>
      </c>
      <c r="BY98" s="1" t="str">
        <f>IF(AV98&gt;AV$122, AV98-AV$122,"")</f>
        <v/>
      </c>
      <c r="BZ98" s="1" t="str">
        <f>IF(AW98&gt;AW$122, AW98-AW$122,"")</f>
        <v/>
      </c>
      <c r="CA98" s="1" t="str">
        <f>IF(AX98&gt;AX$122, AX98-AX$122,"")</f>
        <v/>
      </c>
      <c r="CB98" s="1" t="str">
        <f>IF(AY98&gt;AY$122, AY98-AY$122,"")</f>
        <v/>
      </c>
      <c r="CC98" s="1" t="str">
        <f>IF(AZ98&gt;AZ$122, AZ98-AZ$122,"")</f>
        <v/>
      </c>
      <c r="CD98" s="1" t="str">
        <f>IF(BA98&gt;BA$122, BA98-BA$122,"")</f>
        <v/>
      </c>
      <c r="CE98" s="1" t="str">
        <f>IF(BB98&gt;BB$122, BB98-BB$122,"")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124</v>
      </c>
      <c r="C99" s="1" t="s">
        <v>112</v>
      </c>
      <c r="D99" s="1" t="s">
        <v>113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282</v>
      </c>
      <c r="BT99" s="1" t="str">
        <f>IF(AQ99&gt;AQ$122, AQ99-AQ$122,"")</f>
        <v/>
      </c>
      <c r="BU99" s="1" t="str">
        <f>IF(AR99&gt;AR$122, AR99-AR$122,"")</f>
        <v/>
      </c>
      <c r="BV99" s="1" t="str">
        <f>IF(AS99&gt;AS$122, AS99-AS$122,"")</f>
        <v/>
      </c>
      <c r="BW99" s="1" t="str">
        <f>IF(AT99&gt;AT$122, AT99-AT$122,"")</f>
        <v/>
      </c>
      <c r="BX99" s="1" t="str">
        <f>IF(AU99&gt;AU$122, AU99-AU$122,"")</f>
        <v/>
      </c>
      <c r="BY99" s="1" t="str">
        <f>IF(AV99&gt;AV$122, AV99-AV$122,"")</f>
        <v/>
      </c>
      <c r="BZ99" s="1" t="str">
        <f>IF(AW99&gt;AW$122, AW99-AW$122,"")</f>
        <v/>
      </c>
      <c r="CA99" s="1" t="str">
        <f>IF(AX99&gt;AX$122, AX99-AX$122,"")</f>
        <v/>
      </c>
      <c r="CB99" s="1" t="str">
        <f>IF(AY99&gt;AY$122, AY99-AY$122,"")</f>
        <v/>
      </c>
      <c r="CC99" s="1" t="str">
        <f>IF(AZ99&gt;AZ$122, AZ99-AZ$122,"")</f>
        <v/>
      </c>
      <c r="CD99" s="1" t="str">
        <f>IF(BA99&gt;BA$122, BA99-BA$122,"")</f>
        <v/>
      </c>
      <c r="CE99" s="1" t="str">
        <f>IF(BB99&gt;BB$122, BB99-BB$122,"")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129</v>
      </c>
      <c r="C100" s="1" t="s">
        <v>112</v>
      </c>
      <c r="D100" s="1" t="s">
        <v>113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282</v>
      </c>
      <c r="BT100" s="1" t="str">
        <f>IF(AQ100&gt;AQ$122, AQ100-AQ$122,"")</f>
        <v/>
      </c>
      <c r="BU100" s="1" t="str">
        <f>IF(AR100&gt;AR$122, AR100-AR$122,"")</f>
        <v/>
      </c>
      <c r="BV100" s="1" t="str">
        <f>IF(AS100&gt;AS$122, AS100-AS$122,"")</f>
        <v/>
      </c>
      <c r="BW100" s="1" t="str">
        <f>IF(AT100&gt;AT$122, AT100-AT$122,"")</f>
        <v/>
      </c>
      <c r="BX100" s="1" t="str">
        <f>IF(AU100&gt;AU$122, AU100-AU$122,"")</f>
        <v/>
      </c>
      <c r="BY100" s="1" t="str">
        <f>IF(AV100&gt;AV$122, AV100-AV$122,"")</f>
        <v/>
      </c>
      <c r="BZ100" s="1" t="str">
        <f>IF(AW100&gt;AW$122, AW100-AW$122,"")</f>
        <v/>
      </c>
      <c r="CA100" s="1" t="str">
        <f>IF(AX100&gt;AX$122, AX100-AX$122,"")</f>
        <v/>
      </c>
      <c r="CB100" s="1" t="str">
        <f>IF(AY100&gt;AY$122, AY100-AY$122,"")</f>
        <v/>
      </c>
      <c r="CC100" s="1" t="str">
        <f>IF(AZ100&gt;AZ$122, AZ100-AZ$122,"")</f>
        <v/>
      </c>
      <c r="CD100" s="1" t="str">
        <f>IF(BA100&gt;BA$122, BA100-BA$122,"")</f>
        <v/>
      </c>
      <c r="CE100" s="1" t="str">
        <f>IF(BB100&gt;BB$122, BB100-BB$122,"")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133</v>
      </c>
      <c r="C101" s="1" t="s">
        <v>131</v>
      </c>
      <c r="D101" s="1" t="s">
        <v>113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282</v>
      </c>
      <c r="BT101" s="1" t="str">
        <f>IF(AQ101&gt;AQ$122, AQ101-AQ$122,"")</f>
        <v/>
      </c>
      <c r="BU101" s="1" t="str">
        <f>IF(AR101&gt;AR$122, AR101-AR$122,"")</f>
        <v/>
      </c>
      <c r="BV101" s="1" t="str">
        <f>IF(AS101&gt;AS$122, AS101-AS$122,"")</f>
        <v/>
      </c>
      <c r="BW101" s="1" t="str">
        <f>IF(AT101&gt;AT$122, AT101-AT$122,"")</f>
        <v/>
      </c>
      <c r="BX101" s="1" t="str">
        <f>IF(AU101&gt;AU$122, AU101-AU$122,"")</f>
        <v/>
      </c>
      <c r="BY101" s="1" t="str">
        <f>IF(AV101&gt;AV$122, AV101-AV$122,"")</f>
        <v/>
      </c>
      <c r="BZ101" s="1" t="str">
        <f>IF(AW101&gt;AW$122, AW101-AW$122,"")</f>
        <v/>
      </c>
      <c r="CA101" s="1" t="str">
        <f>IF(AX101&gt;AX$122, AX101-AX$122,"")</f>
        <v/>
      </c>
      <c r="CB101" s="1" t="str">
        <f>IF(AY101&gt;AY$122, AY101-AY$122,"")</f>
        <v/>
      </c>
      <c r="CC101" s="1" t="str">
        <f>IF(AZ101&gt;AZ$122, AZ101-AZ$122,"")</f>
        <v/>
      </c>
      <c r="CD101" s="1" t="str">
        <f>IF(BA101&gt;BA$122, BA101-BA$122,"")</f>
        <v/>
      </c>
      <c r="CE101" s="1" t="str">
        <f>IF(BB101&gt;BB$122, BB101-BB$122,"")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137</v>
      </c>
      <c r="C102" s="1" t="s">
        <v>135</v>
      </c>
      <c r="D102" s="1" t="s">
        <v>113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282</v>
      </c>
      <c r="BT102" s="1" t="str">
        <f>IF(AQ102&gt;AQ$122, AQ102-AQ$122,"")</f>
        <v/>
      </c>
      <c r="BU102" s="1" t="str">
        <f>IF(AR102&gt;AR$122, AR102-AR$122,"")</f>
        <v/>
      </c>
      <c r="BV102" s="1" t="str">
        <f>IF(AS102&gt;AS$122, AS102-AS$122,"")</f>
        <v/>
      </c>
      <c r="BW102" s="1" t="str">
        <f>IF(AT102&gt;AT$122, AT102-AT$122,"")</f>
        <v/>
      </c>
      <c r="BX102" s="1" t="str">
        <f>IF(AU102&gt;AU$122, AU102-AU$122,"")</f>
        <v/>
      </c>
      <c r="BY102" s="1" t="str">
        <f>IF(AV102&gt;AV$122, AV102-AV$122,"")</f>
        <v/>
      </c>
      <c r="BZ102" s="1" t="str">
        <f>IF(AW102&gt;AW$122, AW102-AW$122,"")</f>
        <v/>
      </c>
      <c r="CA102" s="1" t="str">
        <f>IF(AX102&gt;AX$122, AX102-AX$122,"")</f>
        <v/>
      </c>
      <c r="CB102" s="1" t="str">
        <f>IF(AY102&gt;AY$122, AY102-AY$122,"")</f>
        <v/>
      </c>
      <c r="CC102" s="1" t="str">
        <f>IF(AZ102&gt;AZ$122, AZ102-AZ$122,"")</f>
        <v/>
      </c>
      <c r="CD102" s="1" t="str">
        <f>IF(BA102&gt;BA$122, BA102-BA$122,"")</f>
        <v/>
      </c>
      <c r="CE102" s="1" t="str">
        <f>IF(BB102&gt;BB$122, BB102-BB$122,"")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143</v>
      </c>
      <c r="C103" s="1" t="s">
        <v>142</v>
      </c>
      <c r="D103" s="1" t="s">
        <v>113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282</v>
      </c>
      <c r="BT103" s="1" t="str">
        <f>IF(AQ103&gt;AQ$122, AQ103-AQ$122,"")</f>
        <v/>
      </c>
      <c r="BU103" s="1" t="str">
        <f>IF(AR103&gt;AR$122, AR103-AR$122,"")</f>
        <v/>
      </c>
      <c r="BV103" s="1" t="str">
        <f>IF(AS103&gt;AS$122, AS103-AS$122,"")</f>
        <v/>
      </c>
      <c r="BW103" s="1" t="str">
        <f>IF(AT103&gt;AT$122, AT103-AT$122,"")</f>
        <v/>
      </c>
      <c r="BX103" s="1" t="str">
        <f>IF(AU103&gt;AU$122, AU103-AU$122,"")</f>
        <v/>
      </c>
      <c r="BY103" s="1" t="str">
        <f>IF(AV103&gt;AV$122, AV103-AV$122,"")</f>
        <v/>
      </c>
      <c r="BZ103" s="1" t="str">
        <f>IF(AW103&gt;AW$122, AW103-AW$122,"")</f>
        <v/>
      </c>
      <c r="CA103" s="1" t="str">
        <f>IF(AX103&gt;AX$122, AX103-AX$122,"")</f>
        <v/>
      </c>
      <c r="CB103" s="1" t="str">
        <f>IF(AY103&gt;AY$122, AY103-AY$122,"")</f>
        <v/>
      </c>
      <c r="CC103" s="1" t="str">
        <f>IF(AZ103&gt;AZ$122, AZ103-AZ$122,"")</f>
        <v/>
      </c>
      <c r="CD103" s="1" t="str">
        <f>IF(BA103&gt;BA$122, BA103-BA$122,"")</f>
        <v/>
      </c>
      <c r="CE103" s="1" t="str">
        <f>IF(BB103&gt;BB$122, BB103-BB$122,"")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149</v>
      </c>
      <c r="C104" s="1" t="s">
        <v>110</v>
      </c>
      <c r="D104" s="1" t="s">
        <v>150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282</v>
      </c>
      <c r="BT104" s="1" t="str">
        <f>IF(AQ104&gt;AQ$122, AQ104-AQ$122,"")</f>
        <v/>
      </c>
      <c r="BU104" s="1" t="str">
        <f>IF(AR104&gt;AR$122, AR104-AR$122,"")</f>
        <v/>
      </c>
      <c r="BV104" s="1" t="str">
        <f>IF(AS104&gt;AS$122, AS104-AS$122,"")</f>
        <v/>
      </c>
      <c r="BW104" s="1" t="str">
        <f>IF(AT104&gt;AT$122, AT104-AT$122,"")</f>
        <v/>
      </c>
      <c r="BX104" s="1" t="str">
        <f>IF(AU104&gt;AU$122, AU104-AU$122,"")</f>
        <v/>
      </c>
      <c r="BY104" s="1" t="str">
        <f>IF(AV104&gt;AV$122, AV104-AV$122,"")</f>
        <v/>
      </c>
      <c r="BZ104" s="1" t="str">
        <f>IF(AW104&gt;AW$122, AW104-AW$122,"")</f>
        <v/>
      </c>
      <c r="CA104" s="1" t="str">
        <f>IF(AX104&gt;AX$122, AX104-AX$122,"")</f>
        <v/>
      </c>
      <c r="CB104" s="1" t="str">
        <f>IF(AY104&gt;AY$122, AY104-AY$122,"")</f>
        <v/>
      </c>
      <c r="CC104" s="1" t="str">
        <f>IF(AZ104&gt;AZ$122, AZ104-AZ$122,"")</f>
        <v/>
      </c>
      <c r="CD104" s="1" t="str">
        <f>IF(BA104&gt;BA$122, BA104-BA$122,"")</f>
        <v/>
      </c>
      <c r="CE104" s="1" t="str">
        <f>IF(BB104&gt;BB$122, BB104-BB$122,"")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154</v>
      </c>
      <c r="C105" s="1" t="s">
        <v>112</v>
      </c>
      <c r="D105" s="1" t="s">
        <v>114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>
        <v>10</v>
      </c>
      <c r="W105" s="28"/>
      <c r="X105" s="28"/>
      <c r="Y105" s="28">
        <v>10</v>
      </c>
      <c r="Z105" s="28"/>
      <c r="AA105" s="28"/>
      <c r="AB105" s="28">
        <v>10</v>
      </c>
      <c r="AC105" s="28">
        <v>5</v>
      </c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212</v>
      </c>
      <c r="BT105" s="1" t="str">
        <f>IF(AQ105&gt;AQ$122, AQ105-AQ$122,"")</f>
        <v/>
      </c>
      <c r="BU105" s="1" t="str">
        <f>IF(AR105&gt;AR$122, AR105-AR$122,"")</f>
        <v/>
      </c>
      <c r="BV105" s="1" t="str">
        <f>IF(AS105&gt;AS$122, AS105-AS$122,"")</f>
        <v/>
      </c>
      <c r="BW105" s="1" t="str">
        <f>IF(AT105&gt;AT$122, AT105-AT$122,"")</f>
        <v/>
      </c>
      <c r="BX105" s="1" t="str">
        <f>IF(AU105&gt;AU$122, AU105-AU$122,"")</f>
        <v/>
      </c>
      <c r="BY105" s="1" t="str">
        <f>IF(AV105&gt;AV$122, AV105-AV$122,"")</f>
        <v/>
      </c>
      <c r="BZ105" s="1" t="str">
        <f>IF(AW105&gt;AW$122, AW105-AW$122,"")</f>
        <v/>
      </c>
      <c r="CA105" s="1" t="str">
        <f>IF(AX105&gt;AX$122, AX105-AX$122,"")</f>
        <v/>
      </c>
      <c r="CB105" s="1" t="str">
        <f>IF(AY105&gt;AY$122, AY105-AY$122,"")</f>
        <v/>
      </c>
      <c r="CC105" s="1" t="str">
        <f>IF(AZ105&gt;AZ$122, AZ105-AZ$122,"")</f>
        <v/>
      </c>
      <c r="CD105" s="1" t="str">
        <f>IF(BA105&gt;BA$122, BA105-BA$122,"")</f>
        <v/>
      </c>
      <c r="CE105" s="1" t="str">
        <f>IF(BB105&gt;BB$122, BB105-BB$122,"")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138</v>
      </c>
      <c r="C106" s="1" t="s">
        <v>140</v>
      </c>
      <c r="D106" s="1" t="s">
        <v>114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212</v>
      </c>
      <c r="BT106" s="1" t="str">
        <f>IF(AQ106&gt;AQ$122, AQ106-AQ$122,"")</f>
        <v/>
      </c>
      <c r="BU106" s="1" t="str">
        <f>IF(AR106&gt;AR$122, AR106-AR$122,"")</f>
        <v/>
      </c>
      <c r="BV106" s="1" t="str">
        <f>IF(AS106&gt;AS$122, AS106-AS$122,"")</f>
        <v/>
      </c>
      <c r="BW106" s="1" t="str">
        <f>IF(AT106&gt;AT$122, AT106-AT$122,"")</f>
        <v/>
      </c>
      <c r="BX106" s="1" t="str">
        <f>IF(AU106&gt;AU$122, AU106-AU$122,"")</f>
        <v/>
      </c>
      <c r="BY106" s="1" t="str">
        <f>IF(AV106&gt;AV$122, AV106-AV$122,"")</f>
        <v/>
      </c>
      <c r="BZ106" s="1" t="str">
        <f>IF(AW106&gt;AW$122, AW106-AW$122,"")</f>
        <v/>
      </c>
      <c r="CA106" s="1" t="str">
        <f>IF(AX106&gt;AX$122, AX106-AX$122,"")</f>
        <v/>
      </c>
      <c r="CB106" s="1" t="str">
        <f>IF(AY106&gt;AY$122, AY106-AY$122,"")</f>
        <v/>
      </c>
      <c r="CC106" s="1" t="str">
        <f>IF(AZ106&gt;AZ$122, AZ106-AZ$122,"")</f>
        <v/>
      </c>
      <c r="CD106" s="1" t="str">
        <f>IF(BA106&gt;BA$122, BA106-BA$122,"")</f>
        <v/>
      </c>
      <c r="CE106" s="1" t="str">
        <f>IF(BB106&gt;BB$122, BB106-BB$122,"")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147</v>
      </c>
      <c r="C107" s="1" t="s">
        <v>142</v>
      </c>
      <c r="D107" s="1" t="s">
        <v>114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283</v>
      </c>
      <c r="BT107" s="1" t="str">
        <f>IF(AQ107&gt;AQ$122, AQ107-AQ$122,"")</f>
        <v/>
      </c>
      <c r="BU107" s="1" t="str">
        <f>IF(AR107&gt;AR$122, AR107-AR$122,"")</f>
        <v/>
      </c>
      <c r="BV107" s="1" t="str">
        <f>IF(AS107&gt;AS$122, AS107-AS$122,"")</f>
        <v/>
      </c>
      <c r="BW107" s="1" t="str">
        <f>IF(AT107&gt;AT$122, AT107-AT$122,"")</f>
        <v/>
      </c>
      <c r="BX107" s="1" t="str">
        <f>IF(AU107&gt;AU$122, AU107-AU$122,"")</f>
        <v/>
      </c>
      <c r="BY107" s="1" t="str">
        <f>IF(AV107&gt;AV$122, AV107-AV$122,"")</f>
        <v/>
      </c>
      <c r="BZ107" s="1" t="str">
        <f>IF(AW107&gt;AW$122, AW107-AW$122,"")</f>
        <v/>
      </c>
      <c r="CA107" s="1" t="str">
        <f>IF(AX107&gt;AX$122, AX107-AX$122,"")</f>
        <v/>
      </c>
      <c r="CB107" s="1" t="str">
        <f>IF(AY107&gt;AY$122, AY107-AY$122,"")</f>
        <v/>
      </c>
      <c r="CC107" s="1" t="str">
        <f>IF(AZ107&gt;AZ$122, AZ107-AZ$122,"")</f>
        <v/>
      </c>
      <c r="CD107" s="1" t="str">
        <f>IF(BA107&gt;BA$122, BA107-BA$122,"")</f>
        <v/>
      </c>
      <c r="CE107" s="1" t="str">
        <f>IF(BB107&gt;BB$122, BB107-BB$122,"")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148</v>
      </c>
      <c r="C108" s="1" t="s">
        <v>142</v>
      </c>
      <c r="D108" s="1" t="s">
        <v>114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23</v>
      </c>
      <c r="BR108" s="17">
        <v>4</v>
      </c>
      <c r="BS108" s="17" t="s">
        <v>212</v>
      </c>
      <c r="BT108" s="1" t="str">
        <f>IF(AQ108&gt;AQ$122, AQ108-AQ$122,"")</f>
        <v/>
      </c>
      <c r="BU108" s="1" t="str">
        <f>IF(AR108&gt;AR$122, AR108-AR$122,"")</f>
        <v/>
      </c>
      <c r="BV108" s="1" t="str">
        <f>IF(AS108&gt;AS$122, AS108-AS$122,"")</f>
        <v/>
      </c>
      <c r="BW108" s="1" t="str">
        <f>IF(AT108&gt;AT$122, AT108-AT$122,"")</f>
        <v/>
      </c>
      <c r="BX108" s="1" t="str">
        <f>IF(AU108&gt;AU$122, AU108-AU$122,"")</f>
        <v/>
      </c>
      <c r="BY108" s="1" t="str">
        <f>IF(AV108&gt;AV$122, AV108-AV$122,"")</f>
        <v/>
      </c>
      <c r="BZ108" s="1" t="str">
        <f>IF(AW108&gt;AW$122, AW108-AW$122,"")</f>
        <v/>
      </c>
      <c r="CA108" s="1" t="str">
        <f>IF(AX108&gt;AX$122, AX108-AX$122,"")</f>
        <v/>
      </c>
      <c r="CB108" s="1" t="str">
        <f>IF(AY108&gt;AY$122, AY108-AY$122,"")</f>
        <v/>
      </c>
      <c r="CC108" s="1" t="str">
        <f>IF(AZ108&gt;AZ$122, AZ108-AZ$122,"")</f>
        <v/>
      </c>
      <c r="CD108" s="1" t="str">
        <f>IF(BA108&gt;BA$122, BA108-BA$122,"")</f>
        <v/>
      </c>
      <c r="CE108" s="1" t="str">
        <f>IF(BB108&gt;BB$122, BB108-BB$122,"")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139</v>
      </c>
      <c r="C109" s="1" t="s">
        <v>140</v>
      </c>
      <c r="D109" s="1" t="s">
        <v>113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>
        <v>10</v>
      </c>
      <c r="Q109" s="28"/>
      <c r="R109" s="28"/>
      <c r="S109" s="28">
        <v>10</v>
      </c>
      <c r="T109" s="28"/>
      <c r="U109" s="28"/>
      <c r="V109" s="28"/>
      <c r="W109" s="28"/>
      <c r="X109" s="28"/>
      <c r="Y109" s="28"/>
      <c r="Z109" s="28">
        <v>5</v>
      </c>
      <c r="AA109" s="28"/>
      <c r="AB109" s="28">
        <v>10</v>
      </c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284</v>
      </c>
      <c r="BT109" s="1" t="str">
        <f>IF(AQ109&gt;AQ$122, AQ109-AQ$122,"")</f>
        <v/>
      </c>
      <c r="BU109" s="1" t="str">
        <f>IF(AR109&gt;AR$122, AR109-AR$122,"")</f>
        <v/>
      </c>
      <c r="BV109" s="1" t="str">
        <f>IF(AS109&gt;AS$122, AS109-AS$122,"")</f>
        <v/>
      </c>
      <c r="BW109" s="1" t="str">
        <f>IF(AT109&gt;AT$122, AT109-AT$122,"")</f>
        <v/>
      </c>
      <c r="BX109" s="1" t="str">
        <f>IF(AU109&gt;AU$122, AU109-AU$122,"")</f>
        <v/>
      </c>
      <c r="BY109" s="1" t="str">
        <f>IF(AV109&gt;AV$122, AV109-AV$122,"")</f>
        <v/>
      </c>
      <c r="BZ109" s="1" t="str">
        <f>IF(AW109&gt;AW$122, AW109-AW$122,"")</f>
        <v/>
      </c>
      <c r="CA109" s="1" t="str">
        <f>IF(AX109&gt;AX$122, AX109-AX$122,"")</f>
        <v/>
      </c>
      <c r="CB109" s="1" t="str">
        <f>IF(AY109&gt;AY$122, AY109-AY$122,"")</f>
        <v/>
      </c>
      <c r="CC109" s="1" t="str">
        <f>IF(AZ109&gt;AZ$122, AZ109-AZ$122,"")</f>
        <v/>
      </c>
      <c r="CD109" s="1" t="str">
        <f>IF(BA109&gt;BA$122, BA109-BA$122,"")</f>
        <v/>
      </c>
      <c r="CE109" s="1" t="str">
        <f>IF(BB109&gt;BB$122, BB109-BB$122,"")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130</v>
      </c>
      <c r="C110" s="1" t="s">
        <v>131</v>
      </c>
      <c r="D110" s="1" t="s">
        <v>114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>
        <v>5</v>
      </c>
      <c r="R110" s="28"/>
      <c r="S110" s="28"/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>
        <v>10</v>
      </c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24</v>
      </c>
      <c r="BR110" s="17">
        <v>4</v>
      </c>
      <c r="BS110" s="17" t="s">
        <v>285</v>
      </c>
      <c r="BT110" s="1" t="str">
        <f>IF(AQ110&gt;AQ$122, AQ110-AQ$122,"")</f>
        <v/>
      </c>
      <c r="BU110" s="1" t="str">
        <f>IF(AR110&gt;AR$122, AR110-AR$122,"")</f>
        <v/>
      </c>
      <c r="BV110" s="1" t="str">
        <f>IF(AS110&gt;AS$122, AS110-AS$122,"")</f>
        <v/>
      </c>
      <c r="BW110" s="1" t="str">
        <f>IF(AT110&gt;AT$122, AT110-AT$122,"")</f>
        <v/>
      </c>
      <c r="BX110" s="1" t="str">
        <f>IF(AU110&gt;AU$122, AU110-AU$122,"")</f>
        <v/>
      </c>
      <c r="BY110" s="1" t="str">
        <f>IF(AV110&gt;AV$122, AV110-AV$122,"")</f>
        <v/>
      </c>
      <c r="BZ110" s="1" t="str">
        <f>IF(AW110&gt;AW$122, AW110-AW$122,"")</f>
        <v/>
      </c>
      <c r="CA110" s="1" t="str">
        <f>IF(AX110&gt;AX$122, AX110-AX$122,"")</f>
        <v/>
      </c>
      <c r="CB110" s="1" t="str">
        <f>IF(AY110&gt;AY$122, AY110-AY$122,"")</f>
        <v/>
      </c>
      <c r="CC110" s="1" t="str">
        <f>IF(AZ110&gt;AZ$122, AZ110-AZ$122,"")</f>
        <v/>
      </c>
      <c r="CD110" s="1" t="str">
        <f>IF(BA110&gt;BA$122, BA110-BA$122,"")</f>
        <v/>
      </c>
      <c r="CE110" s="1" t="str">
        <f>IF(BB110&gt;BB$122, BB110-BB$122,"")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136</v>
      </c>
      <c r="C111" s="1" t="s">
        <v>135</v>
      </c>
      <c r="D111" s="1" t="s">
        <v>114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>
        <v>5</v>
      </c>
      <c r="R111" s="28"/>
      <c r="S111" s="28"/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>
        <v>10</v>
      </c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24</v>
      </c>
      <c r="BR111" s="17">
        <v>4</v>
      </c>
      <c r="BS111" s="17" t="s">
        <v>213</v>
      </c>
      <c r="BT111" s="1" t="str">
        <f>IF(AQ111&gt;AQ$122, AQ111-AQ$122,"")</f>
        <v/>
      </c>
      <c r="BU111" s="1" t="str">
        <f>IF(AR111&gt;AR$122, AR111-AR$122,"")</f>
        <v/>
      </c>
      <c r="BV111" s="1" t="str">
        <f>IF(AS111&gt;AS$122, AS111-AS$122,"")</f>
        <v/>
      </c>
      <c r="BW111" s="1" t="str">
        <f>IF(AT111&gt;AT$122, AT111-AT$122,"")</f>
        <v/>
      </c>
      <c r="BX111" s="1" t="str">
        <f>IF(AU111&gt;AU$122, AU111-AU$122,"")</f>
        <v/>
      </c>
      <c r="BY111" s="1" t="str">
        <f>IF(AV111&gt;AV$122, AV111-AV$122,"")</f>
        <v/>
      </c>
      <c r="BZ111" s="1" t="str">
        <f>IF(AW111&gt;AW$122, AW111-AW$122,"")</f>
        <v/>
      </c>
      <c r="CA111" s="1" t="str">
        <f>IF(AX111&gt;AX$122, AX111-AX$122,"")</f>
        <v/>
      </c>
      <c r="CB111" s="1" t="str">
        <f>IF(AY111&gt;AY$122, AY111-AY$122,"")</f>
        <v/>
      </c>
      <c r="CC111" s="1" t="str">
        <f>IF(AZ111&gt;AZ$122, AZ111-AZ$122,"")</f>
        <v/>
      </c>
      <c r="CD111" s="1" t="str">
        <f>IF(BA111&gt;BA$122, BA111-BA$122,"")</f>
        <v/>
      </c>
      <c r="CE111" s="1" t="str">
        <f>IF(BB111&gt;BB$122, BB111-BB$122,"")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130</v>
      </c>
      <c r="C112" s="1" t="s">
        <v>131</v>
      </c>
      <c r="D112" s="1" t="s">
        <v>113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35</v>
      </c>
      <c r="BR112" s="17">
        <v>4</v>
      </c>
      <c r="BS112" s="17" t="s">
        <v>287</v>
      </c>
      <c r="BT112" s="1" t="str">
        <f>IF(AQ112&gt;AQ$122, AQ112-AQ$122,"")</f>
        <v/>
      </c>
      <c r="BU112" s="1" t="str">
        <f>IF(AR112&gt;AR$122, AR112-AR$122,"")</f>
        <v/>
      </c>
      <c r="BV112" s="1" t="str">
        <f>IF(AS112&gt;AS$122, AS112-AS$122,"")</f>
        <v/>
      </c>
      <c r="BW112" s="1" t="str">
        <f>IF(AT112&gt;AT$122, AT112-AT$122,"")</f>
        <v/>
      </c>
      <c r="BX112" s="1" t="str">
        <f>IF(AU112&gt;AU$122, AU112-AU$122,"")</f>
        <v/>
      </c>
      <c r="BY112" s="1" t="str">
        <f>IF(AV112&gt;AV$122, AV112-AV$122,"")</f>
        <v/>
      </c>
      <c r="BZ112" s="1" t="str">
        <f>IF(AW112&gt;AW$122, AW112-AW$122,"")</f>
        <v/>
      </c>
      <c r="CA112" s="1" t="str">
        <f>IF(AX112&gt;AX$122, AX112-AX$122,"")</f>
        <v/>
      </c>
      <c r="CB112" s="1" t="str">
        <f>IF(AY112&gt;AY$122, AY112-AY$122,"")</f>
        <v/>
      </c>
      <c r="CC112" s="1" t="str">
        <f>IF(AZ112&gt;AZ$122, AZ112-AZ$122,"")</f>
        <v/>
      </c>
      <c r="CD112" s="1" t="str">
        <f>IF(BA112&gt;BA$122, BA112-BA$122,"")</f>
        <v/>
      </c>
      <c r="CE112" s="1" t="str">
        <f>IF(BB112&gt;BB$122, BB112-BB$122,"")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136</v>
      </c>
      <c r="C113" s="1" t="s">
        <v>135</v>
      </c>
      <c r="D113" s="1" t="s">
        <v>113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287</v>
      </c>
      <c r="BT113" s="1" t="str">
        <f>IF(AQ113&gt;AQ$122, AQ113-AQ$122,"")</f>
        <v/>
      </c>
      <c r="BU113" s="1" t="str">
        <f>IF(AR113&gt;AR$122, AR113-AR$122,"")</f>
        <v/>
      </c>
      <c r="BV113" s="1" t="str">
        <f>IF(AS113&gt;AS$122, AS113-AS$122,"")</f>
        <v/>
      </c>
      <c r="BW113" s="1" t="str">
        <f>IF(AT113&gt;AT$122, AT113-AT$122,"")</f>
        <v/>
      </c>
      <c r="BX113" s="1" t="str">
        <f>IF(AU113&gt;AU$122, AU113-AU$122,"")</f>
        <v/>
      </c>
      <c r="BY113" s="1" t="str">
        <f>IF(AV113&gt;AV$122, AV113-AV$122,"")</f>
        <v/>
      </c>
      <c r="BZ113" s="1" t="str">
        <f>IF(AW113&gt;AW$122, AW113-AW$122,"")</f>
        <v/>
      </c>
      <c r="CA113" s="1" t="str">
        <f>IF(AX113&gt;AX$122, AX113-AX$122,"")</f>
        <v/>
      </c>
      <c r="CB113" s="1" t="str">
        <f>IF(AY113&gt;AY$122, AY113-AY$122,"")</f>
        <v/>
      </c>
      <c r="CC113" s="1" t="str">
        <f>IF(AZ113&gt;AZ$122, AZ113-AZ$122,"")</f>
        <v/>
      </c>
      <c r="CD113" s="1" t="str">
        <f>IF(BA113&gt;BA$122, BA113-BA$122,"")</f>
        <v/>
      </c>
      <c r="CE113" s="1" t="str">
        <f>IF(BB113&gt;BB$122, BB113-BB$122,"")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138</v>
      </c>
      <c r="C114" s="1" t="s">
        <v>140</v>
      </c>
      <c r="D114" s="1" t="s">
        <v>113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225</v>
      </c>
      <c r="BT114" s="1" t="str">
        <f>IF(AQ114&gt;AQ$122, AQ114-AQ$122,"")</f>
        <v/>
      </c>
      <c r="BU114" s="1" t="str">
        <f>IF(AR114&gt;AR$122, AR114-AR$122,"")</f>
        <v/>
      </c>
      <c r="BV114" s="1" t="str">
        <f>IF(AS114&gt;AS$122, AS114-AS$122,"")</f>
        <v/>
      </c>
      <c r="BW114" s="1" t="str">
        <f>IF(AT114&gt;AT$122, AT114-AT$122,"")</f>
        <v/>
      </c>
      <c r="BX114" s="1" t="str">
        <f>IF(AU114&gt;AU$122, AU114-AU$122,"")</f>
        <v/>
      </c>
      <c r="BY114" s="1" t="str">
        <f>IF(AV114&gt;AV$122, AV114-AV$122,"")</f>
        <v/>
      </c>
      <c r="BZ114" s="1" t="str">
        <f>IF(AW114&gt;AW$122, AW114-AW$122,"")</f>
        <v/>
      </c>
      <c r="CA114" s="1" t="str">
        <f>IF(AX114&gt;AX$122, AX114-AX$122,"")</f>
        <v/>
      </c>
      <c r="CB114" s="1" t="str">
        <f>IF(AY114&gt;AY$122, AY114-AY$122,"")</f>
        <v/>
      </c>
      <c r="CC114" s="1" t="str">
        <f>IF(AZ114&gt;AZ$122, AZ114-AZ$122,"")</f>
        <v/>
      </c>
      <c r="CD114" s="1" t="str">
        <f>IF(BA114&gt;BA$122, BA114-BA$122,"")</f>
        <v/>
      </c>
      <c r="CE114" s="1" t="str">
        <f>IF(BB114&gt;BB$122, BB114-BB$122,"")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144</v>
      </c>
      <c r="C115" s="1" t="s">
        <v>142</v>
      </c>
      <c r="D115" s="1" t="s">
        <v>113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225</v>
      </c>
      <c r="BT115" s="1" t="str">
        <f>IF(AQ115&gt;AQ$122, AQ115-AQ$122,"")</f>
        <v/>
      </c>
      <c r="BU115" s="1" t="str">
        <f>IF(AR115&gt;AR$122, AR115-AR$122,"")</f>
        <v/>
      </c>
      <c r="BV115" s="1" t="str">
        <f>IF(AS115&gt;AS$122, AS115-AS$122,"")</f>
        <v/>
      </c>
      <c r="BW115" s="1" t="str">
        <f>IF(AT115&gt;AT$122, AT115-AT$122,"")</f>
        <v/>
      </c>
      <c r="BX115" s="1" t="str">
        <f>IF(AU115&gt;AU$122, AU115-AU$122,"")</f>
        <v/>
      </c>
      <c r="BY115" s="1" t="str">
        <f>IF(AV115&gt;AV$122, AV115-AV$122,"")</f>
        <v/>
      </c>
      <c r="BZ115" s="1" t="str">
        <f>IF(AW115&gt;AW$122, AW115-AW$122,"")</f>
        <v/>
      </c>
      <c r="CA115" s="1" t="str">
        <f>IF(AX115&gt;AX$122, AX115-AX$122,"")</f>
        <v/>
      </c>
      <c r="CB115" s="1" t="str">
        <f>IF(AY115&gt;AY$122, AY115-AY$122,"")</f>
        <v/>
      </c>
      <c r="CC115" s="1" t="str">
        <f>IF(AZ115&gt;AZ$122, AZ115-AZ$122,"")</f>
        <v/>
      </c>
      <c r="CD115" s="1" t="str">
        <f>IF(BA115&gt;BA$122, BA115-BA$122,"")</f>
        <v/>
      </c>
      <c r="CE115" s="1" t="str">
        <f>IF(BB115&gt;BB$122, BB115-BB$122,"")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147</v>
      </c>
      <c r="C116" s="1" t="s">
        <v>142</v>
      </c>
      <c r="D116" s="1" t="s">
        <v>113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287</v>
      </c>
      <c r="BT116" s="1" t="str">
        <f>IF(AQ116&gt;AQ$122, AQ116-AQ$122,"")</f>
        <v/>
      </c>
      <c r="BU116" s="1" t="str">
        <f>IF(AR116&gt;AR$122, AR116-AR$122,"")</f>
        <v/>
      </c>
      <c r="BV116" s="1" t="str">
        <f>IF(AS116&gt;AS$122, AS116-AS$122,"")</f>
        <v/>
      </c>
      <c r="BW116" s="1" t="str">
        <f>IF(AT116&gt;AT$122, AT116-AT$122,"")</f>
        <v/>
      </c>
      <c r="BX116" s="1" t="str">
        <f>IF(AU116&gt;AU$122, AU116-AU$122,"")</f>
        <v/>
      </c>
      <c r="BY116" s="1" t="str">
        <f>IF(AV116&gt;AV$122, AV116-AV$122,"")</f>
        <v/>
      </c>
      <c r="BZ116" s="1" t="str">
        <f>IF(AW116&gt;AW$122, AW116-AW$122,"")</f>
        <v/>
      </c>
      <c r="CA116" s="1" t="str">
        <f>IF(AX116&gt;AX$122, AX116-AX$122,"")</f>
        <v/>
      </c>
      <c r="CB116" s="1" t="str">
        <f>IF(AY116&gt;AY$122, AY116-AY$122,"")</f>
        <v/>
      </c>
      <c r="CC116" s="1" t="str">
        <f>IF(AZ116&gt;AZ$122, AZ116-AZ$122,"")</f>
        <v/>
      </c>
      <c r="CD116" s="1" t="str">
        <f>IF(BA116&gt;BA$122, BA116-BA$122,"")</f>
        <v/>
      </c>
      <c r="CE116" s="1" t="str">
        <f>IF(BB116&gt;BB$122, BB116-BB$122,"")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148</v>
      </c>
      <c r="C117" s="1" t="s">
        <v>142</v>
      </c>
      <c r="D117" s="1" t="s">
        <v>113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287</v>
      </c>
      <c r="BT117" s="1" t="str">
        <f>IF(AQ117&gt;AQ$122, AQ117-AQ$122,"")</f>
        <v/>
      </c>
      <c r="BU117" s="1" t="str">
        <f>IF(AR117&gt;AR$122, AR117-AR$122,"")</f>
        <v/>
      </c>
      <c r="BV117" s="1" t="str">
        <f>IF(AS117&gt;AS$122, AS117-AS$122,"")</f>
        <v/>
      </c>
      <c r="BW117" s="1" t="str">
        <f>IF(AT117&gt;AT$122, AT117-AT$122,"")</f>
        <v/>
      </c>
      <c r="BX117" s="1" t="str">
        <f>IF(AU117&gt;AU$122, AU117-AU$122,"")</f>
        <v/>
      </c>
      <c r="BY117" s="1" t="str">
        <f>IF(AV117&gt;AV$122, AV117-AV$122,"")</f>
        <v/>
      </c>
      <c r="BZ117" s="1" t="str">
        <f>IF(AW117&gt;AW$122, AW117-AW$122,"")</f>
        <v/>
      </c>
      <c r="CA117" s="1" t="str">
        <f>IF(AX117&gt;AX$122, AX117-AX$122,"")</f>
        <v/>
      </c>
      <c r="CB117" s="1" t="str">
        <f>IF(AY117&gt;AY$122, AY117-AY$122,"")</f>
        <v/>
      </c>
      <c r="CC117" s="1" t="str">
        <f>IF(AZ117&gt;AZ$122, AZ117-AZ$122,"")</f>
        <v/>
      </c>
      <c r="CD117" s="1" t="str">
        <f>IF(BA117&gt;BA$122, BA117-BA$122,"")</f>
        <v/>
      </c>
      <c r="CE117" s="1" t="str">
        <f>IF(BB117&gt;BB$122, BB117-BB$122,"")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>
        <v>23</v>
      </c>
      <c r="B118" s="1" t="s">
        <v>93</v>
      </c>
      <c r="C118" s="1" t="s">
        <v>28</v>
      </c>
      <c r="D118" s="1" t="s">
        <v>35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>
        <v>50</v>
      </c>
      <c r="BK118" s="1">
        <v>50</v>
      </c>
      <c r="BL118" s="1"/>
      <c r="BM118" s="1"/>
      <c r="BN118" s="1">
        <v>50</v>
      </c>
      <c r="BO118" s="1">
        <v>50</v>
      </c>
      <c r="BP118" s="1">
        <f>SUM(E118:BO118)</f>
        <v>200</v>
      </c>
      <c r="BQ118" s="1">
        <v>100</v>
      </c>
      <c r="BR118" s="17">
        <v>4</v>
      </c>
      <c r="BS118" s="17" t="s">
        <v>241</v>
      </c>
      <c r="BT118" s="1" t="str">
        <f>IF(AQ118&gt;AQ$122, AQ118-AQ$122,"")</f>
        <v/>
      </c>
      <c r="BU118" s="1" t="str">
        <f>IF(AR118&gt;AR$122, AR118-AR$122,"")</f>
        <v/>
      </c>
      <c r="BV118" s="1" t="str">
        <f>IF(AS118&gt;AS$122, AS118-AS$122,"")</f>
        <v/>
      </c>
      <c r="BW118" s="1" t="str">
        <f>IF(AT118&gt;AT$122, AT118-AT$122,"")</f>
        <v/>
      </c>
      <c r="BX118" s="1" t="str">
        <f>IF(AU118&gt;AU$122, AU118-AU$122,"")</f>
        <v/>
      </c>
      <c r="BY118" s="1" t="str">
        <f>IF(AV118&gt;AV$122, AV118-AV$122,"")</f>
        <v/>
      </c>
      <c r="BZ118" s="1" t="str">
        <f>IF(AW118&gt;AW$122, AW118-AW$122,"")</f>
        <v/>
      </c>
      <c r="CA118" s="1" t="str">
        <f>IF(AX118&gt;AX$122, AX118-AX$122,"")</f>
        <v/>
      </c>
      <c r="CB118" s="1" t="str">
        <f>IF(AY118&gt;AY$122, AY118-AY$122,"")</f>
        <v/>
      </c>
      <c r="CC118" s="1" t="str">
        <f>IF(AZ118&gt;AZ$122, AZ118-AZ$122,"")</f>
        <v/>
      </c>
      <c r="CD118" s="1" t="str">
        <f>IF(BA118&gt;BA$122, BA118-BA$122,"")</f>
        <v/>
      </c>
      <c r="CE118" s="1" t="str">
        <f>IF(BB118&gt;BB$122, BB118-BB$122,"")</f>
        <v/>
      </c>
      <c r="CF118" s="1">
        <f>COUNTIF(BT118:CE118, "&gt;0")</f>
        <v>0</v>
      </c>
      <c r="CG118" s="1" t="str">
        <f>IF($CF118=1,BT118,"")</f>
        <v/>
      </c>
      <c r="CH118" s="1" t="str">
        <f>IF($CF118=1,BU118,"")</f>
        <v/>
      </c>
      <c r="CI118" s="1" t="str">
        <f>IF($CF118=1,BV118,"")</f>
        <v/>
      </c>
      <c r="CJ118" s="1" t="str">
        <f>IF($CF118=1,BW118,"")</f>
        <v/>
      </c>
      <c r="CK118" s="1" t="str">
        <f>IF($CF118=1,BX118,"")</f>
        <v/>
      </c>
      <c r="CL118" s="1" t="str">
        <f>IF($CF118=1,BY118,"")</f>
        <v/>
      </c>
      <c r="CM118" s="1" t="str">
        <f>IF($CF118=1,BZ118,"")</f>
        <v/>
      </c>
      <c r="CN118" s="1" t="str">
        <f>IF($CF118=1,CA118,"")</f>
        <v/>
      </c>
      <c r="CO118" s="1" t="str">
        <f>IF($CF118=1,CB118,"")</f>
        <v/>
      </c>
      <c r="CP118" s="1" t="str">
        <f>IF($CF118=1,CC118,"")</f>
        <v/>
      </c>
      <c r="CQ118" s="1" t="str">
        <f>IF($CF118=1,CD118,"")</f>
        <v/>
      </c>
      <c r="CR118" s="1" t="str">
        <f>IF($CF118=1,CE118,"")</f>
        <v/>
      </c>
      <c r="CS118" s="3">
        <f>SUM(AE118:BO118)</f>
        <v>200</v>
      </c>
    </row>
    <row r="119" spans="1:97" ht="54" x14ac:dyDescent="0.15">
      <c r="A119" s="1"/>
      <c r="B119" s="1" t="s">
        <v>166</v>
      </c>
      <c r="C119" s="1" t="s">
        <v>107</v>
      </c>
      <c r="D119" s="1" t="s">
        <v>108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>
        <v>50</v>
      </c>
      <c r="BK119" s="1">
        <v>50</v>
      </c>
      <c r="BL119" s="1"/>
      <c r="BM119" s="1"/>
      <c r="BN119" s="1">
        <v>50</v>
      </c>
      <c r="BO119" s="1">
        <v>50</v>
      </c>
      <c r="BP119" s="1">
        <f>SUM(E119:BO119)</f>
        <v>200</v>
      </c>
      <c r="BQ119" s="1">
        <v>100</v>
      </c>
      <c r="BR119" s="17">
        <v>4</v>
      </c>
      <c r="BS119" s="17" t="s">
        <v>288</v>
      </c>
      <c r="BT119" s="1" t="str">
        <f>IF(AQ119&gt;AQ$122, AQ119-AQ$122,"")</f>
        <v/>
      </c>
      <c r="BU119" s="1" t="str">
        <f>IF(AR119&gt;AR$122, AR119-AR$122,"")</f>
        <v/>
      </c>
      <c r="BV119" s="1" t="str">
        <f>IF(AS119&gt;AS$122, AS119-AS$122,"")</f>
        <v/>
      </c>
      <c r="BW119" s="1" t="str">
        <f>IF(AT119&gt;AT$122, AT119-AT$122,"")</f>
        <v/>
      </c>
      <c r="BX119" s="1" t="str">
        <f>IF(AU119&gt;AU$122, AU119-AU$122,"")</f>
        <v/>
      </c>
      <c r="BY119" s="1" t="str">
        <f>IF(AV119&gt;AV$122, AV119-AV$122,"")</f>
        <v/>
      </c>
      <c r="BZ119" s="1" t="str">
        <f>IF(AW119&gt;AW$122, AW119-AW$122,"")</f>
        <v/>
      </c>
      <c r="CA119" s="1" t="str">
        <f>IF(AX119&gt;AX$122, AX119-AX$122,"")</f>
        <v/>
      </c>
      <c r="CB119" s="1" t="str">
        <f>IF(AY119&gt;AY$122, AY119-AY$122,"")</f>
        <v/>
      </c>
      <c r="CC119" s="1" t="str">
        <f>IF(AZ119&gt;AZ$122, AZ119-AZ$122,"")</f>
        <v/>
      </c>
      <c r="CD119" s="1" t="str">
        <f>IF(BA119&gt;BA$122, BA119-BA$122,"")</f>
        <v/>
      </c>
      <c r="CE119" s="1" t="str">
        <f>IF(BB119&gt;BB$122, BB119-BB$122,"")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/>
      <c r="B120" s="1" t="s">
        <v>164</v>
      </c>
      <c r="C120" s="1" t="s">
        <v>141</v>
      </c>
      <c r="D120" s="1" t="s">
        <v>35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>
        <v>50</v>
      </c>
      <c r="BK120" s="1">
        <v>50</v>
      </c>
      <c r="BL120" s="1"/>
      <c r="BM120" s="1"/>
      <c r="BN120" s="1">
        <v>50</v>
      </c>
      <c r="BO120" s="1">
        <v>50</v>
      </c>
      <c r="BP120" s="1">
        <f>SUM(E120:BO120)</f>
        <v>200</v>
      </c>
      <c r="BQ120" s="1">
        <v>100</v>
      </c>
      <c r="BR120" s="17">
        <v>4</v>
      </c>
      <c r="BS120" s="17" t="s">
        <v>241</v>
      </c>
      <c r="BT120" s="1" t="str">
        <f>IF(AQ120&gt;AQ$122, AQ120-AQ$122,"")</f>
        <v/>
      </c>
      <c r="BU120" s="1" t="str">
        <f>IF(AR120&gt;AR$122, AR120-AR$122,"")</f>
        <v/>
      </c>
      <c r="BV120" s="1" t="str">
        <f>IF(AS120&gt;AS$122, AS120-AS$122,"")</f>
        <v/>
      </c>
      <c r="BW120" s="1" t="str">
        <f>IF(AT120&gt;AT$122, AT120-AT$122,"")</f>
        <v/>
      </c>
      <c r="BX120" s="1" t="str">
        <f>IF(AU120&gt;AU$122, AU120-AU$122,"")</f>
        <v/>
      </c>
      <c r="BY120" s="1" t="str">
        <f>IF(AV120&gt;AV$122, AV120-AV$122,"")</f>
        <v/>
      </c>
      <c r="BZ120" s="1" t="str">
        <f>IF(AW120&gt;AW$122, AW120-AW$122,"")</f>
        <v/>
      </c>
      <c r="CA120" s="1" t="str">
        <f>IF(AX120&gt;AX$122, AX120-AX$122,"")</f>
        <v/>
      </c>
      <c r="CB120" s="1" t="str">
        <f>IF(AY120&gt;AY$122, AY120-AY$122,"")</f>
        <v/>
      </c>
      <c r="CC120" s="1" t="str">
        <f>IF(AZ120&gt;AZ$122, AZ120-AZ$122,"")</f>
        <v/>
      </c>
      <c r="CD120" s="1" t="str">
        <f>IF(BA120&gt;BA$122, BA120-BA$122,"")</f>
        <v/>
      </c>
      <c r="CE120" s="1" t="str">
        <f>IF(BB120&gt;BB$122, BB120-BB$122,"")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3"/>
    </row>
    <row r="121" spans="1:97" ht="54" x14ac:dyDescent="0.15">
      <c r="A121" s="1">
        <v>102</v>
      </c>
      <c r="B121" s="3" t="s">
        <v>198</v>
      </c>
      <c r="C121" s="3" t="s">
        <v>63</v>
      </c>
      <c r="D121" s="1" t="s">
        <v>35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>
        <v>50</v>
      </c>
      <c r="BK121" s="1">
        <v>50</v>
      </c>
      <c r="BL121" s="1"/>
      <c r="BM121" s="1"/>
      <c r="BN121" s="1">
        <v>50</v>
      </c>
      <c r="BO121" s="1">
        <v>50</v>
      </c>
      <c r="BP121" s="1">
        <f>SUM(E121:BO121)</f>
        <v>200</v>
      </c>
      <c r="BQ121" s="1">
        <v>100</v>
      </c>
      <c r="BR121" s="17">
        <v>4</v>
      </c>
      <c r="BS121" s="17" t="s">
        <v>241</v>
      </c>
      <c r="BT121" s="1" t="str">
        <f>IF(AQ121&gt;AQ$122, AQ121-AQ$122,"")</f>
        <v/>
      </c>
      <c r="BU121" s="1" t="str">
        <f>IF(AR121&gt;AR$122, AR121-AR$122,"")</f>
        <v/>
      </c>
      <c r="BV121" s="1" t="str">
        <f>IF(AS121&gt;AS$122, AS121-AS$122,"")</f>
        <v/>
      </c>
      <c r="BW121" s="1" t="str">
        <f>IF(AT121&gt;AT$122, AT121-AT$122,"")</f>
        <v/>
      </c>
      <c r="BX121" s="1" t="str">
        <f>IF(AU121&gt;AU$122, AU121-AU$122,"")</f>
        <v/>
      </c>
      <c r="BY121" s="1" t="str">
        <f>IF(AV121&gt;AV$122, AV121-AV$122,"")</f>
        <v/>
      </c>
      <c r="BZ121" s="1" t="str">
        <f>IF(AW121&gt;AW$122, AW121-AW$122,"")</f>
        <v/>
      </c>
      <c r="CA121" s="1" t="str">
        <f>IF(AX121&gt;AX$122, AX121-AX$122,"")</f>
        <v/>
      </c>
      <c r="CB121" s="1" t="str">
        <f>IF(AY121&gt;AY$122, AY121-AY$122,"")</f>
        <v/>
      </c>
      <c r="CC121" s="1" t="str">
        <f>IF(AZ121&gt;AZ$122, AZ121-AZ$122,"")</f>
        <v/>
      </c>
      <c r="CD121" s="1" t="str">
        <f>IF(BA121&gt;BA$122, BA121-BA$122,"")</f>
        <v/>
      </c>
      <c r="CE121" s="1" t="str">
        <f>IF(BB121&gt;BB$122, BB121-BB$122,"")</f>
        <v/>
      </c>
      <c r="CF121" s="1">
        <f>COUNTIF(BT121:CE121, "&gt;0")</f>
        <v>0</v>
      </c>
      <c r="CG121" s="1" t="str">
        <f>IF($CF121=1,BT121,"")</f>
        <v/>
      </c>
      <c r="CH121" s="1" t="str">
        <f>IF($CF121=1,BU121,"")</f>
        <v/>
      </c>
      <c r="CI121" s="1" t="str">
        <f>IF($CF121=1,BV121,"")</f>
        <v/>
      </c>
      <c r="CJ121" s="1" t="str">
        <f>IF($CF121=1,BW121,"")</f>
        <v/>
      </c>
      <c r="CK121" s="1" t="str">
        <f>IF($CF121=1,BX121,"")</f>
        <v/>
      </c>
      <c r="CL121" s="1" t="str">
        <f>IF($CF121=1,BY121,"")</f>
        <v/>
      </c>
      <c r="CM121" s="1" t="str">
        <f>IF($CF121=1,BZ121,"")</f>
        <v/>
      </c>
      <c r="CN121" s="1" t="str">
        <f>IF($CF121=1,CA121,"")</f>
        <v/>
      </c>
      <c r="CO121" s="1" t="str">
        <f>IF($CF121=1,CB121,"")</f>
        <v/>
      </c>
      <c r="CP121" s="1" t="str">
        <f>IF($CF121=1,CC121,"")</f>
        <v/>
      </c>
      <c r="CQ121" s="1" t="str">
        <f>IF($CF121=1,CD121,"")</f>
        <v/>
      </c>
      <c r="CR121" s="1" t="str">
        <f>IF($CF121=1,CE121,"")</f>
        <v/>
      </c>
      <c r="CS121" s="3">
        <f>SUM(AE121:BO121)</f>
        <v>200</v>
      </c>
    </row>
    <row r="122" spans="1:97" x14ac:dyDescent="0.15">
      <c r="A122" s="1"/>
      <c r="B122" s="1" t="s">
        <v>65</v>
      </c>
      <c r="C122" s="1"/>
      <c r="D122" s="1"/>
      <c r="E122" s="6">
        <f>SUM(E3:E121)</f>
        <v>148</v>
      </c>
      <c r="F122" s="6">
        <f>SUM(F3:F121)</f>
        <v>48</v>
      </c>
      <c r="G122" s="6">
        <f>SUM(G3:G121)</f>
        <v>195</v>
      </c>
      <c r="H122" s="6">
        <f>SUM(H3:H121)</f>
        <v>149</v>
      </c>
      <c r="I122" s="6">
        <f>SUM(I3:I121)</f>
        <v>17</v>
      </c>
      <c r="J122" s="6">
        <f>SUM(J3:J121)</f>
        <v>40</v>
      </c>
      <c r="K122" s="6">
        <f>SUM(K3:K121)</f>
        <v>6</v>
      </c>
      <c r="L122" s="6">
        <f>SUM(L3:L121)</f>
        <v>82</v>
      </c>
      <c r="M122" s="6">
        <f>SUM(M3:M121)</f>
        <v>37</v>
      </c>
      <c r="N122" s="6">
        <f>SUM(N3:N121)</f>
        <v>6</v>
      </c>
      <c r="O122" s="6">
        <f>SUM(O3:O121)</f>
        <v>68</v>
      </c>
      <c r="P122" s="28">
        <f>SUM(P3:P121)</f>
        <v>130</v>
      </c>
      <c r="Q122" s="28">
        <f>SUM(Q3:Q121)</f>
        <v>76</v>
      </c>
      <c r="R122" s="28">
        <f>SUM(R3:R121)</f>
        <v>83</v>
      </c>
      <c r="S122" s="28">
        <f>SUM(S3:S121)</f>
        <v>130</v>
      </c>
      <c r="T122" s="28">
        <f>SUM(T3:T121)</f>
        <v>61</v>
      </c>
      <c r="U122" s="28">
        <f>SUM(U3:U121)</f>
        <v>62</v>
      </c>
      <c r="V122" s="28">
        <f>SUM(V3:V121)</f>
        <v>135</v>
      </c>
      <c r="W122" s="28">
        <f>SUM(W3:W121)</f>
        <v>35</v>
      </c>
      <c r="X122" s="28">
        <f>SUM(X3:X121)</f>
        <v>59</v>
      </c>
      <c r="Y122" s="28">
        <f>SUM(Y3:Y121)</f>
        <v>125</v>
      </c>
      <c r="Z122" s="28">
        <f>SUM(Z3:Z121)</f>
        <v>50</v>
      </c>
      <c r="AA122" s="28">
        <f>SUM(AA3:AA121)</f>
        <v>35</v>
      </c>
      <c r="AB122" s="28">
        <f>SUM(AB3:AB121)</f>
        <v>140</v>
      </c>
      <c r="AC122" s="28">
        <f>SUM(AC3:AC121)</f>
        <v>30</v>
      </c>
      <c r="AD122" s="28">
        <f>SUM(AD3:AD121)</f>
        <v>22</v>
      </c>
      <c r="AE122" s="1">
        <f>SUM(AE3:AE121)</f>
        <v>250</v>
      </c>
      <c r="AF122" s="1">
        <f>SUM(AF3:AF121)</f>
        <v>10</v>
      </c>
      <c r="AG122" s="1">
        <f>SUM(AG3:AG121)</f>
        <v>15</v>
      </c>
      <c r="AH122" s="1">
        <f>SUM(AH3:AH121)</f>
        <v>30</v>
      </c>
      <c r="AI122" s="1">
        <f>SUM(AI3:AI121)</f>
        <v>30</v>
      </c>
      <c r="AJ122" s="1">
        <f>SUM(AJ3:AJ121)</f>
        <v>5</v>
      </c>
      <c r="AK122" s="1">
        <f>SUM(AK3:AK121)</f>
        <v>0</v>
      </c>
      <c r="AL122" s="1">
        <f>SUM(AL3:AL121)</f>
        <v>0</v>
      </c>
      <c r="AM122" s="1">
        <f>SUM(AM3:AM121)</f>
        <v>5</v>
      </c>
      <c r="AN122" s="1">
        <f>SUM(AN3:AN121)</f>
        <v>50</v>
      </c>
      <c r="AO122" s="1">
        <f>SUM(AO3:AO121)</f>
        <v>33</v>
      </c>
      <c r="AP122" s="1">
        <f>SUM(AP3:AP121)</f>
        <v>27</v>
      </c>
      <c r="AQ122" s="4">
        <f>SUM(AQ3:AQ121)</f>
        <v>80</v>
      </c>
      <c r="AR122" s="4">
        <f>SUM(AR3:AR121)</f>
        <v>105</v>
      </c>
      <c r="AS122" s="4">
        <f>SUM(AS3:AS121)</f>
        <v>55</v>
      </c>
      <c r="AT122" s="4">
        <f>SUM(AT3:AT121)</f>
        <v>85</v>
      </c>
      <c r="AU122" s="4">
        <f>SUM(AU3:AU121)</f>
        <v>55</v>
      </c>
      <c r="AV122" s="4">
        <f>SUM(AV3:AV121)</f>
        <v>95</v>
      </c>
      <c r="AW122" s="2">
        <f>SUM(AW3:AW121)</f>
        <v>100</v>
      </c>
      <c r="AX122" s="2">
        <f>SUM(AX3:AX121)</f>
        <v>60</v>
      </c>
      <c r="AY122" s="2">
        <f>SUM(AY3:AY121)</f>
        <v>50</v>
      </c>
      <c r="AZ122" s="2">
        <f>SUM(AZ3:AZ121)</f>
        <v>70</v>
      </c>
      <c r="BA122" s="2">
        <f>SUM(BA3:BA121)</f>
        <v>185</v>
      </c>
      <c r="BB122" s="2">
        <f>SUM(BB3:BB121)</f>
        <v>295</v>
      </c>
      <c r="BC122" s="1">
        <f>SUM(BC3:BC121)</f>
        <v>10</v>
      </c>
      <c r="BD122" s="1">
        <f>SUM(BD3:BD121)</f>
        <v>150</v>
      </c>
      <c r="BE122" s="1">
        <f>SUM(BE3:BE121)</f>
        <v>100</v>
      </c>
      <c r="BF122" s="1">
        <f>SUM(BF3:BF121)</f>
        <v>100</v>
      </c>
      <c r="BG122" s="1">
        <f>SUM(BG3:BG121)</f>
        <v>100</v>
      </c>
      <c r="BH122" s="1">
        <f>SUM(BH3:BH121)</f>
        <v>90</v>
      </c>
      <c r="BI122" s="1">
        <f>SUM(BI3:BI121)</f>
        <v>70</v>
      </c>
      <c r="BJ122" s="1">
        <f>SUM(BJ3:BJ121)</f>
        <v>200</v>
      </c>
      <c r="BK122" s="1">
        <f>SUM(BK3:BK121)</f>
        <v>200</v>
      </c>
      <c r="BL122" s="1">
        <f>SUM(BL3:BL121)</f>
        <v>150</v>
      </c>
      <c r="BM122" s="1">
        <f>SUM(BM3:BM121)</f>
        <v>150</v>
      </c>
      <c r="BN122" s="1">
        <f>SUM(BN3:BN121)</f>
        <v>350</v>
      </c>
      <c r="BO122" s="1">
        <f>SUM(BO3:BO121)</f>
        <v>350</v>
      </c>
      <c r="BP122" s="1"/>
      <c r="BQ122" s="1"/>
      <c r="BR122" s="17"/>
      <c r="BS122" s="17"/>
      <c r="BT122" s="1">
        <f>MIN(BT3:BT121)</f>
        <v>0</v>
      </c>
      <c r="BU122" s="1">
        <f>MIN(BU3:BU121)</f>
        <v>0</v>
      </c>
      <c r="BV122" s="1">
        <f>MIN(BV3:BV121)</f>
        <v>0</v>
      </c>
      <c r="BW122" s="1">
        <f>MIN(BW3:BW121)</f>
        <v>0</v>
      </c>
      <c r="BX122" s="1">
        <f>MIN(BX3:BX121)</f>
        <v>0</v>
      </c>
      <c r="BY122" s="1">
        <f>MIN(BY3:BY121)</f>
        <v>0</v>
      </c>
      <c r="BZ122" s="1">
        <f>MIN(BZ3:BZ121)</f>
        <v>0</v>
      </c>
      <c r="CA122" s="1">
        <f>MIN(CA3:CA121)</f>
        <v>0</v>
      </c>
      <c r="CB122" s="1">
        <f>MIN(CB3:CB121)</f>
        <v>0</v>
      </c>
      <c r="CC122" s="1">
        <f>MIN(CC3:CC121)</f>
        <v>0</v>
      </c>
      <c r="CD122" s="1">
        <f>MIN(CD3:CD121)</f>
        <v>0</v>
      </c>
      <c r="CE122" s="1">
        <f>MIN(CE3:CE121)</f>
        <v>0</v>
      </c>
      <c r="CF122" s="1"/>
      <c r="CG122" s="1">
        <f>MIN(CG3:CG121)</f>
        <v>0</v>
      </c>
      <c r="CH122" s="1">
        <f>MIN(CH3:CH121)</f>
        <v>0</v>
      </c>
      <c r="CI122" s="1">
        <f>MIN(CI3:CI121)</f>
        <v>0</v>
      </c>
      <c r="CJ122" s="1">
        <f>MIN(CJ3:CJ121)</f>
        <v>0</v>
      </c>
      <c r="CK122" s="1">
        <f>MIN(CK3:CK121)</f>
        <v>0</v>
      </c>
      <c r="CL122" s="1">
        <f>MIN(CL3:CL121)</f>
        <v>0</v>
      </c>
      <c r="CM122" s="1">
        <f>MIN(CM3:CM121)</f>
        <v>0</v>
      </c>
      <c r="CN122" s="1">
        <f>MIN(CN3:CN121)</f>
        <v>0</v>
      </c>
      <c r="CO122" s="1">
        <f>MIN(CO3:CO121)</f>
        <v>0</v>
      </c>
      <c r="CP122" s="1">
        <f>MIN(CP3:CP121)</f>
        <v>0</v>
      </c>
      <c r="CQ122" s="1">
        <f>MIN(CQ3:CQ121)</f>
        <v>0</v>
      </c>
      <c r="CR122" s="1">
        <f>MIN(CR3:CR121)</f>
        <v>0</v>
      </c>
      <c r="CS122" s="3">
        <f>COUNTIF(CS3:CS121,"=0")</f>
        <v>0</v>
      </c>
    </row>
    <row r="123" spans="1:97" x14ac:dyDescent="0.15">
      <c r="A123" s="1"/>
      <c r="B123" s="3" t="s">
        <v>85</v>
      </c>
      <c r="C123" s="1"/>
      <c r="D123" s="1"/>
      <c r="E123" s="1">
        <v>38</v>
      </c>
      <c r="F123" s="1">
        <v>14</v>
      </c>
      <c r="G123" s="1">
        <v>44</v>
      </c>
      <c r="H123" s="1">
        <v>20</v>
      </c>
      <c r="I123" s="1">
        <v>34</v>
      </c>
      <c r="J123" s="1">
        <v>46</v>
      </c>
      <c r="K123" s="1">
        <v>20</v>
      </c>
      <c r="L123" s="1">
        <v>70</v>
      </c>
      <c r="M123" s="1">
        <v>33</v>
      </c>
      <c r="N123" s="1">
        <v>37</v>
      </c>
      <c r="O123" s="1">
        <v>10</v>
      </c>
      <c r="P123" s="14">
        <v>2</v>
      </c>
      <c r="Q123" s="14">
        <v>1</v>
      </c>
      <c r="R123" s="14">
        <v>2</v>
      </c>
      <c r="S123" s="14">
        <v>1</v>
      </c>
      <c r="T123" s="14">
        <v>5</v>
      </c>
      <c r="U123" s="14">
        <v>0</v>
      </c>
      <c r="V123" s="14">
        <v>2</v>
      </c>
      <c r="W123" s="14">
        <v>2</v>
      </c>
      <c r="X123" s="14">
        <v>6</v>
      </c>
      <c r="Y123" s="14">
        <v>0</v>
      </c>
      <c r="Z123" s="14">
        <v>1</v>
      </c>
      <c r="AA123" s="14">
        <v>1</v>
      </c>
      <c r="AB123" s="14">
        <v>8</v>
      </c>
      <c r="AC123" s="14">
        <v>2</v>
      </c>
      <c r="AD123" s="14">
        <v>4</v>
      </c>
      <c r="AE123" s="1">
        <v>0</v>
      </c>
      <c r="AF123" s="1">
        <v>0</v>
      </c>
      <c r="AG123" s="1">
        <v>4</v>
      </c>
      <c r="AH123" s="1">
        <v>0</v>
      </c>
      <c r="AI123" s="1">
        <v>0</v>
      </c>
      <c r="AJ123" s="1">
        <v>0</v>
      </c>
      <c r="AK123" s="1">
        <v>33</v>
      </c>
      <c r="AL123" s="1">
        <v>43</v>
      </c>
      <c r="AM123" s="1">
        <v>2</v>
      </c>
      <c r="AN123" s="1">
        <v>0</v>
      </c>
      <c r="AO123" s="1">
        <v>0</v>
      </c>
      <c r="AP123" s="1">
        <v>0</v>
      </c>
      <c r="AQ123" s="14">
        <v>10</v>
      </c>
      <c r="AR123" s="14">
        <v>0</v>
      </c>
      <c r="AS123" s="14">
        <v>1</v>
      </c>
      <c r="AT123" s="14">
        <v>19</v>
      </c>
      <c r="AU123" s="14">
        <v>17</v>
      </c>
      <c r="AV123" s="14">
        <v>8</v>
      </c>
      <c r="AW123" s="14">
        <v>12</v>
      </c>
      <c r="AX123" s="14">
        <v>34</v>
      </c>
      <c r="AY123" s="14">
        <v>20</v>
      </c>
      <c r="AZ123" s="14">
        <v>3</v>
      </c>
      <c r="BA123" s="14">
        <v>14</v>
      </c>
      <c r="BB123" s="14">
        <v>84</v>
      </c>
      <c r="BC123" s="14">
        <v>10</v>
      </c>
      <c r="BD123" s="1">
        <v>162</v>
      </c>
      <c r="BE123" s="1">
        <v>244</v>
      </c>
      <c r="BF123" s="1">
        <v>233</v>
      </c>
      <c r="BG123" s="1">
        <v>242</v>
      </c>
      <c r="BH123" s="1">
        <v>141</v>
      </c>
      <c r="BI123" s="1">
        <v>154</v>
      </c>
      <c r="BJ123" s="1">
        <v>41</v>
      </c>
      <c r="BK123" s="1">
        <v>49</v>
      </c>
      <c r="BL123" s="1">
        <v>81</v>
      </c>
      <c r="BM123" s="1"/>
      <c r="BN123" s="1">
        <v>5</v>
      </c>
      <c r="BO123" s="1">
        <v>5</v>
      </c>
      <c r="BP123" s="1"/>
      <c r="BQ123" s="1"/>
      <c r="BR123" s="17"/>
      <c r="BS123" s="17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</row>
    <row r="124" spans="1:97" x14ac:dyDescent="0.15">
      <c r="A124" s="1"/>
      <c r="B124" s="3" t="s">
        <v>92</v>
      </c>
      <c r="C124" s="1"/>
      <c r="D124" s="1"/>
      <c r="E124" s="1">
        <f>E123-E122</f>
        <v>-110</v>
      </c>
      <c r="F124" s="1">
        <f>F123-F122</f>
        <v>-34</v>
      </c>
      <c r="G124" s="1">
        <f>G123-G122</f>
        <v>-151</v>
      </c>
      <c r="H124" s="1">
        <f>H123-H122</f>
        <v>-129</v>
      </c>
      <c r="I124" s="1">
        <f>I123-I122</f>
        <v>17</v>
      </c>
      <c r="J124" s="1">
        <f>J123-J122</f>
        <v>6</v>
      </c>
      <c r="K124" s="1">
        <f>K123-K122</f>
        <v>14</v>
      </c>
      <c r="L124" s="1">
        <f>L123-L122</f>
        <v>-12</v>
      </c>
      <c r="M124" s="1">
        <f>M123-M122</f>
        <v>-4</v>
      </c>
      <c r="N124" s="1">
        <f>N123-N122</f>
        <v>31</v>
      </c>
      <c r="O124" s="1">
        <f>O123-O122</f>
        <v>-58</v>
      </c>
      <c r="P124" s="1">
        <f>P123-P122</f>
        <v>-128</v>
      </c>
      <c r="Q124" s="1">
        <f>Q123-Q122</f>
        <v>-75</v>
      </c>
      <c r="R124" s="1">
        <f>R123-R122</f>
        <v>-81</v>
      </c>
      <c r="S124" s="1">
        <f>S123-S122</f>
        <v>-129</v>
      </c>
      <c r="T124" s="1">
        <f>T123-T122</f>
        <v>-56</v>
      </c>
      <c r="U124" s="1">
        <f>U123-U122</f>
        <v>-62</v>
      </c>
      <c r="V124" s="1">
        <f>V123-V122</f>
        <v>-133</v>
      </c>
      <c r="W124" s="1">
        <f>W123-W122</f>
        <v>-33</v>
      </c>
      <c r="X124" s="1">
        <f>X123-X122</f>
        <v>-53</v>
      </c>
      <c r="Y124" s="1">
        <f>Y123-Y122</f>
        <v>-125</v>
      </c>
      <c r="Z124" s="1">
        <f>Z123-Z122</f>
        <v>-49</v>
      </c>
      <c r="AA124" s="1">
        <f>AA123-AA122</f>
        <v>-34</v>
      </c>
      <c r="AB124" s="1">
        <f>AB123-AB122</f>
        <v>-132</v>
      </c>
      <c r="AC124" s="1">
        <f>AC123-AC122</f>
        <v>-28</v>
      </c>
      <c r="AD124" s="1">
        <f>AD123-AD122</f>
        <v>-18</v>
      </c>
      <c r="AE124" s="1">
        <f>AE123-AE122</f>
        <v>-250</v>
      </c>
      <c r="AF124" s="1">
        <f>AF123-AF122</f>
        <v>-10</v>
      </c>
      <c r="AG124" s="1">
        <f>AG123-AG122</f>
        <v>-11</v>
      </c>
      <c r="AH124" s="1">
        <f>AH123-AH122</f>
        <v>-30</v>
      </c>
      <c r="AI124" s="1">
        <f>AI123-AI122</f>
        <v>-30</v>
      </c>
      <c r="AJ124" s="1">
        <f>AJ123-AJ122</f>
        <v>-5</v>
      </c>
      <c r="AK124" s="1">
        <f>AK123-AK122</f>
        <v>33</v>
      </c>
      <c r="AL124" s="1">
        <f>AL123-AL122</f>
        <v>43</v>
      </c>
      <c r="AM124" s="1">
        <f>AM123-AM122</f>
        <v>-3</v>
      </c>
      <c r="AN124" s="1">
        <f>AN123-AN122</f>
        <v>-50</v>
      </c>
      <c r="AO124" s="1">
        <f>AO123-AO122</f>
        <v>-33</v>
      </c>
      <c r="AP124" s="1">
        <f>AP123-AP122</f>
        <v>-27</v>
      </c>
      <c r="AQ124" s="1">
        <f>AQ123-AQ122</f>
        <v>-70</v>
      </c>
      <c r="AR124" s="1">
        <f>AR123-AR122</f>
        <v>-105</v>
      </c>
      <c r="AS124" s="1">
        <f>AS123-AS122</f>
        <v>-54</v>
      </c>
      <c r="AT124" s="1">
        <f>AT123-AT122</f>
        <v>-66</v>
      </c>
      <c r="AU124" s="1">
        <f>AU123-AU122</f>
        <v>-38</v>
      </c>
      <c r="AV124" s="1">
        <f>AV123-AV122</f>
        <v>-87</v>
      </c>
      <c r="AW124" s="1">
        <f>AW123-AW122</f>
        <v>-88</v>
      </c>
      <c r="AX124" s="1">
        <f>AX123-AX122</f>
        <v>-26</v>
      </c>
      <c r="AY124" s="1">
        <f>AY123-AY122</f>
        <v>-30</v>
      </c>
      <c r="AZ124" s="1">
        <f>AZ123-AZ122</f>
        <v>-67</v>
      </c>
      <c r="BA124" s="1">
        <f>BA123-BA122</f>
        <v>-171</v>
      </c>
      <c r="BB124" s="1">
        <f>BB123-BB122</f>
        <v>-211</v>
      </c>
      <c r="BC124" s="1">
        <f>BC123-BC122</f>
        <v>0</v>
      </c>
      <c r="BD124" s="1">
        <f>BD123-BD122</f>
        <v>12</v>
      </c>
      <c r="BE124" s="1">
        <f>BE123-BE122</f>
        <v>144</v>
      </c>
      <c r="BF124" s="1">
        <f>BF123-BF122</f>
        <v>133</v>
      </c>
      <c r="BG124" s="1">
        <f>BG123-BG122</f>
        <v>142</v>
      </c>
      <c r="BH124" s="1">
        <f>BH123-BH122</f>
        <v>51</v>
      </c>
      <c r="BI124" s="1">
        <f>BI123-BI122</f>
        <v>84</v>
      </c>
      <c r="BJ124" s="1">
        <f>BJ123-BJ122</f>
        <v>-159</v>
      </c>
      <c r="BK124" s="1">
        <f>BK123-BK122</f>
        <v>-151</v>
      </c>
      <c r="BL124" s="1">
        <f>BL123-BL122</f>
        <v>-69</v>
      </c>
      <c r="BM124" s="1">
        <f>BM123-BM122</f>
        <v>-150</v>
      </c>
      <c r="BN124" s="1">
        <f>BN123-BN122</f>
        <v>-345</v>
      </c>
      <c r="BO124" s="1">
        <f>BO123-BO122</f>
        <v>-345</v>
      </c>
      <c r="BP124" s="1"/>
      <c r="BQ124" s="1"/>
      <c r="BR124" s="17"/>
      <c r="BS124" s="17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</row>
    <row r="125" spans="1:97" x14ac:dyDescent="0.15">
      <c r="A125" s="1"/>
      <c r="B125" s="3" t="s">
        <v>180</v>
      </c>
      <c r="C125" s="1"/>
      <c r="D125" s="1"/>
      <c r="E125" s="1">
        <f>MAX(E3:E121)</f>
        <v>15</v>
      </c>
      <c r="F125" s="1">
        <f>MAX(F3:F121)</f>
        <v>15</v>
      </c>
      <c r="G125" s="1">
        <f>MAX(G3:G121)</f>
        <v>20</v>
      </c>
      <c r="H125" s="1">
        <f>MAX(H3:H121)</f>
        <v>20</v>
      </c>
      <c r="I125" s="1">
        <f>MAX(I3:I121)</f>
        <v>10</v>
      </c>
      <c r="J125" s="1">
        <f>MAX(J3:J121)</f>
        <v>10</v>
      </c>
      <c r="K125" s="1">
        <f>MAX(K3:K121)</f>
        <v>6</v>
      </c>
      <c r="L125" s="1">
        <f>MAX(L3:L121)</f>
        <v>20</v>
      </c>
      <c r="M125" s="1">
        <f>MAX(M3:M121)</f>
        <v>15</v>
      </c>
      <c r="N125" s="1">
        <f>MAX(N3:N121)</f>
        <v>6</v>
      </c>
      <c r="O125" s="1">
        <f>MAX(O3:O121)</f>
        <v>20</v>
      </c>
      <c r="P125" s="1">
        <f>MAX(P3:P121)</f>
        <v>10</v>
      </c>
      <c r="Q125" s="1">
        <f>MAX(Q3:Q121)</f>
        <v>7</v>
      </c>
      <c r="R125" s="1">
        <f>MAX(R3:R121)</f>
        <v>10</v>
      </c>
      <c r="S125" s="1">
        <f>MAX(S3:S121)</f>
        <v>10</v>
      </c>
      <c r="T125" s="1">
        <f>MAX(T3:T121)</f>
        <v>7</v>
      </c>
      <c r="U125" s="1">
        <f>MAX(U3:U121)</f>
        <v>10</v>
      </c>
      <c r="V125" s="1">
        <f>MAX(V3:V121)</f>
        <v>10</v>
      </c>
      <c r="W125" s="1">
        <f>MAX(W3:W121)</f>
        <v>5</v>
      </c>
      <c r="X125" s="1">
        <f>MAX(X3:X121)</f>
        <v>10</v>
      </c>
      <c r="Y125" s="1">
        <f>MAX(Y3:Y121)</f>
        <v>10</v>
      </c>
      <c r="Z125" s="1">
        <f>MAX(Z3:Z121)</f>
        <v>5</v>
      </c>
      <c r="AA125" s="1">
        <f>MAX(AA3:AA121)</f>
        <v>10</v>
      </c>
      <c r="AB125" s="1">
        <f>MAX(AB3:AB121)</f>
        <v>10</v>
      </c>
      <c r="AC125" s="1">
        <f>MAX(AC3:AC121)</f>
        <v>5</v>
      </c>
      <c r="AD125" s="1">
        <f>MAX(AD3:AD121)</f>
        <v>10</v>
      </c>
      <c r="AE125" s="1">
        <f>MAX(AE3:AE121)</f>
        <v>200</v>
      </c>
      <c r="AF125" s="1">
        <f>MAX(AF3:AF121)</f>
        <v>5</v>
      </c>
      <c r="AG125" s="1">
        <f>MAX(AG3:AG121)</f>
        <v>5</v>
      </c>
      <c r="AH125" s="1">
        <f>MAX(AH3:AH121)</f>
        <v>5</v>
      </c>
      <c r="AI125" s="1">
        <f>MAX(AI3:AI121)</f>
        <v>5</v>
      </c>
      <c r="AJ125" s="1">
        <f>MAX(AJ3:AJ121)</f>
        <v>5</v>
      </c>
      <c r="AK125" s="1">
        <f>MAX(AK3:AK121)</f>
        <v>0</v>
      </c>
      <c r="AL125" s="1">
        <f>MAX(AL3:AL121)</f>
        <v>0</v>
      </c>
      <c r="AM125" s="1">
        <f>MAX(AM3:AM121)</f>
        <v>5</v>
      </c>
      <c r="AN125" s="1">
        <f>MAX(AN3:AN121)</f>
        <v>25</v>
      </c>
      <c r="AO125" s="1">
        <f>MAX(AO3:AO121)</f>
        <v>10</v>
      </c>
      <c r="AP125" s="1">
        <f>MAX(AP3:AP121)</f>
        <v>10</v>
      </c>
      <c r="AQ125" s="1">
        <f>MAX(AQ3:AQ121)</f>
        <v>15</v>
      </c>
      <c r="AR125" s="1">
        <f>MAX(AR3:AR121)</f>
        <v>15</v>
      </c>
      <c r="AS125" s="1">
        <f>MAX(AS3:AS121)</f>
        <v>15</v>
      </c>
      <c r="AT125" s="1">
        <f>MAX(AT3:AT121)</f>
        <v>20</v>
      </c>
      <c r="AU125" s="1">
        <f>MAX(AU3:AU121)</f>
        <v>15</v>
      </c>
      <c r="AV125" s="1">
        <f>MAX(AV3:AV121)</f>
        <v>40</v>
      </c>
      <c r="AW125" s="1">
        <f>MAX(AW3:AW121)</f>
        <v>40</v>
      </c>
      <c r="AX125" s="1">
        <f>MAX(AX3:AX121)</f>
        <v>20</v>
      </c>
      <c r="AY125" s="1">
        <f>MAX(AY3:AY121)</f>
        <v>15</v>
      </c>
      <c r="AZ125" s="1">
        <f>MAX(AZ3:AZ121)</f>
        <v>15</v>
      </c>
      <c r="BA125" s="1">
        <f>MAX(BA3:BA121)</f>
        <v>20</v>
      </c>
      <c r="BB125" s="1">
        <f>MAX(BB3:BB121)</f>
        <v>40</v>
      </c>
      <c r="BC125" s="1">
        <f>MAX(BC3:BC121)</f>
        <v>10</v>
      </c>
      <c r="BD125" s="1">
        <f>MAX(BD3:BD121)</f>
        <v>50</v>
      </c>
      <c r="BE125" s="1">
        <f>MAX(BE3:BE121)</f>
        <v>20</v>
      </c>
      <c r="BF125" s="1">
        <f>MAX(BF3:BF121)</f>
        <v>20</v>
      </c>
      <c r="BG125" s="1">
        <f>MAX(BG3:BG121)</f>
        <v>20</v>
      </c>
      <c r="BH125" s="1">
        <f>MAX(BH3:BH121)</f>
        <v>20</v>
      </c>
      <c r="BI125" s="1">
        <f>MAX(BI3:BI121)</f>
        <v>20</v>
      </c>
      <c r="BJ125" s="1">
        <f>MAX(BJ3:BJ121)</f>
        <v>50</v>
      </c>
      <c r="BK125" s="1">
        <f>MAX(BK3:BK121)</f>
        <v>50</v>
      </c>
      <c r="BL125" s="1">
        <f>MAX(BL3:BL121)</f>
        <v>50</v>
      </c>
      <c r="BM125" s="1">
        <f>MAX(BM3:BM121)</f>
        <v>50</v>
      </c>
      <c r="BN125" s="1">
        <f>MAX(BN3:BN121)</f>
        <v>50</v>
      </c>
      <c r="BO125" s="1">
        <f>MAX(BO3:BO121)</f>
        <v>50</v>
      </c>
      <c r="BP125" s="1"/>
      <c r="BQ125" s="1"/>
      <c r="BR125" s="17"/>
      <c r="BS125" s="17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</row>
    <row r="126" spans="1:97" x14ac:dyDescent="0.15">
      <c r="A126" s="1"/>
      <c r="B126" s="3" t="s">
        <v>181</v>
      </c>
      <c r="C126" s="1"/>
      <c r="D126" s="1"/>
      <c r="E126" s="1">
        <f>MIN(E3:E121)</f>
        <v>6</v>
      </c>
      <c r="F126" s="1">
        <f>MIN(F3:F121)</f>
        <v>5</v>
      </c>
      <c r="G126" s="1">
        <f>MIN(G3:G121)</f>
        <v>5</v>
      </c>
      <c r="H126" s="1">
        <f>MIN(H3:H121)</f>
        <v>5</v>
      </c>
      <c r="I126" s="1">
        <f>MIN(I3:I121)</f>
        <v>7</v>
      </c>
      <c r="J126" s="1">
        <f>MIN(J3:J121)</f>
        <v>10</v>
      </c>
      <c r="K126" s="1">
        <f>MIN(K3:K121)</f>
        <v>6</v>
      </c>
      <c r="L126" s="1">
        <f>MIN(L3:L121)</f>
        <v>6</v>
      </c>
      <c r="M126" s="1">
        <f>MIN(M3:M121)</f>
        <v>6</v>
      </c>
      <c r="N126" s="1">
        <f>MIN(N3:N121)</f>
        <v>6</v>
      </c>
      <c r="O126" s="1">
        <f>MIN(O3:O121)</f>
        <v>5</v>
      </c>
      <c r="P126" s="1">
        <f>MIN(P3:P121)</f>
        <v>10</v>
      </c>
      <c r="Q126" s="1">
        <f>MIN(Q3:Q121)</f>
        <v>5</v>
      </c>
      <c r="R126" s="1">
        <f>MIN(R3:R121)</f>
        <v>2</v>
      </c>
      <c r="S126" s="1">
        <f>MIN(S3:S121)</f>
        <v>10</v>
      </c>
      <c r="T126" s="1">
        <f>MIN(T3:T121)</f>
        <v>5</v>
      </c>
      <c r="U126" s="1">
        <f>MIN(U3:U121)</f>
        <v>2</v>
      </c>
      <c r="V126" s="1">
        <f>MIN(V3:V121)</f>
        <v>5</v>
      </c>
      <c r="W126" s="1">
        <f>MIN(W3:W121)</f>
        <v>5</v>
      </c>
      <c r="X126" s="1">
        <f>MIN(X3:X121)</f>
        <v>2</v>
      </c>
      <c r="Y126" s="1">
        <f>MIN(Y3:Y121)</f>
        <v>5</v>
      </c>
      <c r="Z126" s="1">
        <f>MIN(Z3:Z121)</f>
        <v>5</v>
      </c>
      <c r="AA126" s="1">
        <f>MIN(AA3:AA121)</f>
        <v>2</v>
      </c>
      <c r="AB126" s="1">
        <f>MIN(AB3:AB121)</f>
        <v>10</v>
      </c>
      <c r="AC126" s="1">
        <f>MIN(AC3:AC121)</f>
        <v>5</v>
      </c>
      <c r="AD126" s="1">
        <f>MIN(AD3:AD121)</f>
        <v>2</v>
      </c>
      <c r="AE126" s="1">
        <f>MIN(AE3:AE121)</f>
        <v>50</v>
      </c>
      <c r="AF126" s="1">
        <f>MIN(AF3:AF121)</f>
        <v>5</v>
      </c>
      <c r="AG126" s="1">
        <f>MIN(AG3:AG121)</f>
        <v>5</v>
      </c>
      <c r="AH126" s="1">
        <f>MIN(AH3:AH121)</f>
        <v>5</v>
      </c>
      <c r="AI126" s="1">
        <f>MIN(AI3:AI121)</f>
        <v>5</v>
      </c>
      <c r="AJ126" s="1">
        <f>MIN(AJ3:AJ121)</f>
        <v>5</v>
      </c>
      <c r="AK126" s="1">
        <f>MIN(AK3:AK121)</f>
        <v>0</v>
      </c>
      <c r="AL126" s="1">
        <f>MIN(AL3:AL121)</f>
        <v>0</v>
      </c>
      <c r="AM126" s="1">
        <f>MIN(AM3:AM121)</f>
        <v>5</v>
      </c>
      <c r="AN126" s="1">
        <f>MIN(AN3:AN121)</f>
        <v>5</v>
      </c>
      <c r="AO126" s="1">
        <f>MIN(AO3:AO121)</f>
        <v>2</v>
      </c>
      <c r="AP126" s="1">
        <f>MIN(AP3:AP121)</f>
        <v>1</v>
      </c>
      <c r="AQ126" s="1">
        <f>MIN(AQ3:AQ121)</f>
        <v>10</v>
      </c>
      <c r="AR126" s="1">
        <f>MIN(AR3:AR121)</f>
        <v>10</v>
      </c>
      <c r="AS126" s="1">
        <f>MIN(AS3:AS121)</f>
        <v>5</v>
      </c>
      <c r="AT126" s="1">
        <f>MIN(AT3:AT121)</f>
        <v>10</v>
      </c>
      <c r="AU126" s="1">
        <f>MIN(AU3:AU121)</f>
        <v>10</v>
      </c>
      <c r="AV126" s="1">
        <f>MIN(AV3:AV121)</f>
        <v>10</v>
      </c>
      <c r="AW126" s="1">
        <f>MIN(AW3:AW121)</f>
        <v>10</v>
      </c>
      <c r="AX126" s="1">
        <f>MIN(AX3:AX121)</f>
        <v>5</v>
      </c>
      <c r="AY126" s="1">
        <f>MIN(AY3:AY121)</f>
        <v>10</v>
      </c>
      <c r="AZ126" s="1">
        <f>MIN(AZ3:AZ121)</f>
        <v>10</v>
      </c>
      <c r="BA126" s="1">
        <f>MIN(BA3:BA121)</f>
        <v>5</v>
      </c>
      <c r="BB126" s="1">
        <f>MIN(BB3:BB121)</f>
        <v>5</v>
      </c>
      <c r="BC126" s="1">
        <f>MIN(BC3:BC121)</f>
        <v>10</v>
      </c>
      <c r="BD126" s="1">
        <f>MIN(BD3:BD121)</f>
        <v>20</v>
      </c>
      <c r="BE126" s="1">
        <f>MIN(BE3:BE121)</f>
        <v>20</v>
      </c>
      <c r="BF126" s="1">
        <f>MIN(BF3:BF121)</f>
        <v>20</v>
      </c>
      <c r="BG126" s="1">
        <f>MIN(BG3:BG121)</f>
        <v>20</v>
      </c>
      <c r="BH126" s="1">
        <f>MIN(BH3:BH121)</f>
        <v>15</v>
      </c>
      <c r="BI126" s="1">
        <f>MIN(BI3:BI121)</f>
        <v>15</v>
      </c>
      <c r="BJ126" s="1">
        <f>MIN(BJ3:BJ121)</f>
        <v>50</v>
      </c>
      <c r="BK126" s="1">
        <f>MIN(BK3:BK121)</f>
        <v>50</v>
      </c>
      <c r="BL126" s="1">
        <f>MIN(BL3:BL121)</f>
        <v>50</v>
      </c>
      <c r="BM126" s="1">
        <f>MIN(BM3:BM121)</f>
        <v>50</v>
      </c>
      <c r="BN126" s="1">
        <f>MIN(BN3:BN121)</f>
        <v>50</v>
      </c>
      <c r="BO126" s="1">
        <f>MIN(BO3:BO121)</f>
        <v>50</v>
      </c>
      <c r="BP126" s="1"/>
      <c r="BQ126" s="1"/>
      <c r="BR126" s="17"/>
      <c r="BS126" s="17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</row>
    <row r="127" spans="1:97" x14ac:dyDescent="0.15">
      <c r="A127" s="1"/>
      <c r="B127" s="3" t="s">
        <v>182</v>
      </c>
      <c r="C127" s="1"/>
      <c r="D127" s="1"/>
      <c r="E127" s="1">
        <f>E123-E125</f>
        <v>23</v>
      </c>
      <c r="F127" s="1">
        <f>F123-F125</f>
        <v>-1</v>
      </c>
      <c r="G127" s="1">
        <f>G123-G125</f>
        <v>24</v>
      </c>
      <c r="H127" s="1">
        <f>H123-H125</f>
        <v>0</v>
      </c>
      <c r="I127" s="1">
        <f>I123-I125</f>
        <v>24</v>
      </c>
      <c r="J127" s="1">
        <f>J123-J125</f>
        <v>36</v>
      </c>
      <c r="K127" s="1">
        <f>K123-K125</f>
        <v>14</v>
      </c>
      <c r="L127" s="1">
        <f>L123-L125</f>
        <v>50</v>
      </c>
      <c r="M127" s="1">
        <f>M123-M125</f>
        <v>18</v>
      </c>
      <c r="N127" s="1">
        <f>N123-N125</f>
        <v>31</v>
      </c>
      <c r="O127" s="1">
        <f>O123-O125</f>
        <v>-10</v>
      </c>
      <c r="P127" s="1">
        <f>P123-P125</f>
        <v>-8</v>
      </c>
      <c r="Q127" s="1">
        <f>Q123-Q125</f>
        <v>-6</v>
      </c>
      <c r="R127" s="1">
        <f>R123-R125</f>
        <v>-8</v>
      </c>
      <c r="S127" s="1">
        <f>S123-S125</f>
        <v>-9</v>
      </c>
      <c r="T127" s="1">
        <f>T123-T125</f>
        <v>-2</v>
      </c>
      <c r="U127" s="1">
        <f>U123-U125</f>
        <v>-10</v>
      </c>
      <c r="V127" s="1">
        <f>V123-V125</f>
        <v>-8</v>
      </c>
      <c r="W127" s="1">
        <f>W123-W125</f>
        <v>-3</v>
      </c>
      <c r="X127" s="1">
        <f>X123-X125</f>
        <v>-4</v>
      </c>
      <c r="Y127" s="1">
        <f>Y123-Y125</f>
        <v>-10</v>
      </c>
      <c r="Z127" s="1">
        <f>Z123-Z125</f>
        <v>-4</v>
      </c>
      <c r="AA127" s="1">
        <f>AA123-AA125</f>
        <v>-9</v>
      </c>
      <c r="AB127" s="1">
        <f>AB123-AB125</f>
        <v>-2</v>
      </c>
      <c r="AC127" s="1">
        <f>AC123-AC125</f>
        <v>-3</v>
      </c>
      <c r="AD127" s="1">
        <f>AD123-AD125</f>
        <v>-6</v>
      </c>
      <c r="AE127" s="1">
        <f>AE123-AE125</f>
        <v>-200</v>
      </c>
      <c r="AF127" s="1">
        <f>AF123-AF125</f>
        <v>-5</v>
      </c>
      <c r="AG127" s="1">
        <f>AG123-AG125</f>
        <v>-1</v>
      </c>
      <c r="AH127" s="1">
        <f>AH123-AH125</f>
        <v>-5</v>
      </c>
      <c r="AI127" s="1">
        <f>AI123-AI125</f>
        <v>-5</v>
      </c>
      <c r="AJ127" s="1">
        <f>AJ123-AJ125</f>
        <v>-5</v>
      </c>
      <c r="AK127" s="1">
        <f>AK123-AK125</f>
        <v>33</v>
      </c>
      <c r="AL127" s="1">
        <f>AL123-AL125</f>
        <v>43</v>
      </c>
      <c r="AM127" s="1">
        <f>AM123-AM125</f>
        <v>-3</v>
      </c>
      <c r="AN127" s="1">
        <f>AN123-AN125</f>
        <v>-25</v>
      </c>
      <c r="AO127" s="1">
        <f>AO123-AO125</f>
        <v>-10</v>
      </c>
      <c r="AP127" s="1">
        <f>AP123-AP125</f>
        <v>-10</v>
      </c>
      <c r="AQ127" s="1">
        <f>AQ123-AQ125</f>
        <v>-5</v>
      </c>
      <c r="AR127" s="1">
        <f>AR123-AR125</f>
        <v>-15</v>
      </c>
      <c r="AS127" s="1">
        <f>AS123-AS125</f>
        <v>-14</v>
      </c>
      <c r="AT127" s="1">
        <f>AT123-AT125</f>
        <v>-1</v>
      </c>
      <c r="AU127" s="1">
        <f>AU123-AU125</f>
        <v>2</v>
      </c>
      <c r="AV127" s="1">
        <f>AV123-AV125</f>
        <v>-32</v>
      </c>
      <c r="AW127" s="1">
        <f>AW123-AW125</f>
        <v>-28</v>
      </c>
      <c r="AX127" s="1">
        <f>AX123-AX125</f>
        <v>14</v>
      </c>
      <c r="AY127" s="1">
        <f>AY123-AY125</f>
        <v>5</v>
      </c>
      <c r="AZ127" s="1">
        <f>AZ123-AZ125</f>
        <v>-12</v>
      </c>
      <c r="BA127" s="1">
        <f>BA123-BA125</f>
        <v>-6</v>
      </c>
      <c r="BB127" s="1">
        <f>BB123-BB125</f>
        <v>44</v>
      </c>
      <c r="BC127" s="1">
        <f>BC123-BC125</f>
        <v>0</v>
      </c>
      <c r="BD127" s="1">
        <f>BD123-BD125</f>
        <v>112</v>
      </c>
      <c r="BE127" s="1">
        <f>BE123-BE125</f>
        <v>224</v>
      </c>
      <c r="BF127" s="1">
        <f>BF123-BF125</f>
        <v>213</v>
      </c>
      <c r="BG127" s="1">
        <f>BG123-BG125</f>
        <v>222</v>
      </c>
      <c r="BH127" s="1">
        <f>BH123-BH125</f>
        <v>121</v>
      </c>
      <c r="BI127" s="1">
        <f>BI123-BI125</f>
        <v>134</v>
      </c>
      <c r="BJ127" s="1">
        <f>BJ123-BJ125</f>
        <v>-9</v>
      </c>
      <c r="BK127" s="1">
        <f>BK123-BK125</f>
        <v>-1</v>
      </c>
      <c r="BL127" s="1">
        <f>BL123-BL125</f>
        <v>31</v>
      </c>
      <c r="BM127" s="1">
        <f>BM123-BM125</f>
        <v>-50</v>
      </c>
      <c r="BN127" s="1">
        <f>BN123-BN125</f>
        <v>-45</v>
      </c>
      <c r="BO127" s="1">
        <f>BO123-BO125</f>
        <v>-45</v>
      </c>
      <c r="BP127" s="1"/>
      <c r="BQ127" s="1"/>
      <c r="BR127" s="17"/>
      <c r="BS127" s="17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</row>
    <row r="128" spans="1:97" s="13" customFormat="1" x14ac:dyDescent="0.15">
      <c r="A128" s="1"/>
      <c r="B128" s="3" t="s">
        <v>183</v>
      </c>
      <c r="C128" s="1"/>
      <c r="D128" s="1"/>
      <c r="E128" s="1">
        <f>E123-E126</f>
        <v>32</v>
      </c>
      <c r="F128" s="1">
        <f>F123-F126</f>
        <v>9</v>
      </c>
      <c r="G128" s="1">
        <f>G123-G126</f>
        <v>39</v>
      </c>
      <c r="H128" s="1">
        <f>H123-H126</f>
        <v>15</v>
      </c>
      <c r="I128" s="1">
        <f>I123-I126</f>
        <v>27</v>
      </c>
      <c r="J128" s="1">
        <f>J123-J126</f>
        <v>36</v>
      </c>
      <c r="K128" s="1">
        <f>K123-K126</f>
        <v>14</v>
      </c>
      <c r="L128" s="1">
        <f>L123-L126</f>
        <v>64</v>
      </c>
      <c r="M128" s="1">
        <f>M123-M126</f>
        <v>27</v>
      </c>
      <c r="N128" s="1">
        <f>N123-N126</f>
        <v>31</v>
      </c>
      <c r="O128" s="1">
        <f>O123-O126</f>
        <v>5</v>
      </c>
      <c r="P128" s="1">
        <f>P123-P126</f>
        <v>-8</v>
      </c>
      <c r="Q128" s="1">
        <f>Q123-Q126</f>
        <v>-4</v>
      </c>
      <c r="R128" s="1">
        <f>R123-R126</f>
        <v>0</v>
      </c>
      <c r="S128" s="1">
        <f>S123-S126</f>
        <v>-9</v>
      </c>
      <c r="T128" s="1">
        <f>T123-T126</f>
        <v>0</v>
      </c>
      <c r="U128" s="1">
        <f>U123-U126</f>
        <v>-2</v>
      </c>
      <c r="V128" s="1">
        <f>V123-V126</f>
        <v>-3</v>
      </c>
      <c r="W128" s="1">
        <f>W123-W126</f>
        <v>-3</v>
      </c>
      <c r="X128" s="1">
        <f>X123-X126</f>
        <v>4</v>
      </c>
      <c r="Y128" s="1">
        <f>Y123-Y126</f>
        <v>-5</v>
      </c>
      <c r="Z128" s="1">
        <f>Z123-Z126</f>
        <v>-4</v>
      </c>
      <c r="AA128" s="1">
        <f>AA123-AA126</f>
        <v>-1</v>
      </c>
      <c r="AB128" s="1">
        <f>AB123-AB126</f>
        <v>-2</v>
      </c>
      <c r="AC128" s="1">
        <f>AC123-AC126</f>
        <v>-3</v>
      </c>
      <c r="AD128" s="1">
        <f>AD123-AD126</f>
        <v>2</v>
      </c>
      <c r="AE128" s="1">
        <f>AE123-AE126</f>
        <v>-50</v>
      </c>
      <c r="AF128" s="1">
        <f>AF123-AF126</f>
        <v>-5</v>
      </c>
      <c r="AG128" s="1">
        <f>AG123-AG126</f>
        <v>-1</v>
      </c>
      <c r="AH128" s="1">
        <f>AH123-AH126</f>
        <v>-5</v>
      </c>
      <c r="AI128" s="1">
        <f>AI123-AI126</f>
        <v>-5</v>
      </c>
      <c r="AJ128" s="1">
        <f>AJ123-AJ126</f>
        <v>-5</v>
      </c>
      <c r="AK128" s="1">
        <f>AK123-AK126</f>
        <v>33</v>
      </c>
      <c r="AL128" s="1">
        <f>AL123-AL126</f>
        <v>43</v>
      </c>
      <c r="AM128" s="1">
        <f>AM123-AM126</f>
        <v>-3</v>
      </c>
      <c r="AN128" s="1">
        <f>AN123-AN126</f>
        <v>-5</v>
      </c>
      <c r="AO128" s="1">
        <f>AO123-AO126</f>
        <v>-2</v>
      </c>
      <c r="AP128" s="1">
        <f>AP123-AP126</f>
        <v>-1</v>
      </c>
      <c r="AQ128" s="1">
        <f>AQ123-AQ126</f>
        <v>0</v>
      </c>
      <c r="AR128" s="1">
        <f>AR123-AR126</f>
        <v>-10</v>
      </c>
      <c r="AS128" s="1">
        <f>AS123-AS126</f>
        <v>-4</v>
      </c>
      <c r="AT128" s="1">
        <f>AT123-AT126</f>
        <v>9</v>
      </c>
      <c r="AU128" s="1">
        <f>AU123-AU126</f>
        <v>7</v>
      </c>
      <c r="AV128" s="1">
        <f>AV123-AV126</f>
        <v>-2</v>
      </c>
      <c r="AW128" s="1">
        <f>AW123-AW126</f>
        <v>2</v>
      </c>
      <c r="AX128" s="1">
        <f>AX123-AX126</f>
        <v>29</v>
      </c>
      <c r="AY128" s="1">
        <f>AY123-AY126</f>
        <v>10</v>
      </c>
      <c r="AZ128" s="1">
        <f>AZ123-AZ126</f>
        <v>-7</v>
      </c>
      <c r="BA128" s="1">
        <f>BA123-BA126</f>
        <v>9</v>
      </c>
      <c r="BB128" s="1">
        <f>BB123-BB126</f>
        <v>79</v>
      </c>
      <c r="BC128" s="1">
        <f>BC123-BC126</f>
        <v>0</v>
      </c>
      <c r="BD128" s="1">
        <f>BD123-BD126</f>
        <v>142</v>
      </c>
      <c r="BE128" s="1">
        <f>BE123-BE126</f>
        <v>224</v>
      </c>
      <c r="BF128" s="1">
        <f>BF123-BF126</f>
        <v>213</v>
      </c>
      <c r="BG128" s="1">
        <f>BG123-BG126</f>
        <v>222</v>
      </c>
      <c r="BH128" s="1">
        <f>BH123-BH126</f>
        <v>126</v>
      </c>
      <c r="BI128" s="1">
        <f>BI123-BI126</f>
        <v>139</v>
      </c>
      <c r="BJ128" s="1">
        <f>BJ123-BJ126</f>
        <v>-9</v>
      </c>
      <c r="BK128" s="1">
        <f>BK123-BK126</f>
        <v>-1</v>
      </c>
      <c r="BL128" s="1">
        <f>BL123-BL126</f>
        <v>31</v>
      </c>
      <c r="BM128" s="1">
        <f>BM123-BM126</f>
        <v>-50</v>
      </c>
      <c r="BN128" s="1">
        <f>BN123-BN126</f>
        <v>-45</v>
      </c>
      <c r="BO128" s="1">
        <f>BO123-BO126</f>
        <v>-45</v>
      </c>
      <c r="BP128" s="1"/>
      <c r="BQ128" s="1"/>
      <c r="BR128" s="17"/>
      <c r="BS128" s="17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</row>
  </sheetData>
  <autoFilter ref="A1:BP121"/>
  <sortState ref="A2:CS128">
    <sortCondition ref="BR2:BR128"/>
    <sortCondition ref="BQ2:BQ128"/>
  </sortState>
  <phoneticPr fontId="1" type="noConversion"/>
  <conditionalFormatting sqref="E13">
    <cfRule type="cellIs" dxfId="6" priority="14" operator="greaterThan">
      <formula>$E$122</formula>
    </cfRule>
  </conditionalFormatting>
  <conditionalFormatting sqref="E125">
    <cfRule type="expression" dxfId="5" priority="10">
      <formula>"&lt;=$E$135"</formula>
    </cfRule>
  </conditionalFormatting>
  <conditionalFormatting sqref="E127:BO128">
    <cfRule type="cellIs" dxfId="4" priority="1" operator="lessThan">
      <formula>0</formula>
    </cfRule>
  </conditionalFormatting>
  <conditionalFormatting sqref="E124:BO124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128</xdr:row>
                    <xdr:rowOff>28575</xdr:rowOff>
                  </from>
                  <to>
                    <xdr:col>1</xdr:col>
                    <xdr:colOff>428625</xdr:colOff>
                    <xdr:row>129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7"/>
  <sheetViews>
    <sheetView workbookViewId="0">
      <pane xSplit="2" ySplit="1" topLeftCell="BN2" activePane="bottomRight" state="frozen"/>
      <selection pane="topRight" activeCell="C1" sqref="C1"/>
      <selection pane="bottomLeft" activeCell="A3" sqref="A3"/>
      <selection pane="bottomRight" activeCell="B9" sqref="B9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78</v>
      </c>
      <c r="B1" s="8" t="s">
        <v>79</v>
      </c>
      <c r="C1" s="8" t="s">
        <v>81</v>
      </c>
      <c r="D1" s="8" t="s">
        <v>80</v>
      </c>
      <c r="E1" s="9" t="s">
        <v>3</v>
      </c>
      <c r="F1" s="9" t="s">
        <v>4</v>
      </c>
      <c r="G1" s="9" t="s">
        <v>14</v>
      </c>
      <c r="H1" s="9" t="s">
        <v>24</v>
      </c>
      <c r="I1" s="9" t="s">
        <v>25</v>
      </c>
      <c r="J1" s="9" t="s">
        <v>76</v>
      </c>
      <c r="K1" s="9" t="s">
        <v>26</v>
      </c>
      <c r="L1" s="9" t="s">
        <v>47</v>
      </c>
      <c r="M1" s="9" t="s">
        <v>49</v>
      </c>
      <c r="N1" s="9" t="s">
        <v>54</v>
      </c>
      <c r="O1" s="9" t="s">
        <v>48</v>
      </c>
      <c r="P1" s="27" t="s">
        <v>116</v>
      </c>
      <c r="Q1" s="27" t="s">
        <v>128</v>
      </c>
      <c r="R1" s="27" t="s">
        <v>122</v>
      </c>
      <c r="S1" s="27" t="s">
        <v>117</v>
      </c>
      <c r="T1" s="27" t="s">
        <v>126</v>
      </c>
      <c r="U1" s="27" t="s">
        <v>132</v>
      </c>
      <c r="V1" s="27" t="s">
        <v>118</v>
      </c>
      <c r="W1" s="27" t="s">
        <v>125</v>
      </c>
      <c r="X1" s="27" t="s">
        <v>123</v>
      </c>
      <c r="Y1" s="27" t="s">
        <v>119</v>
      </c>
      <c r="Z1" s="27" t="s">
        <v>127</v>
      </c>
      <c r="AA1" s="27" t="s">
        <v>134</v>
      </c>
      <c r="AB1" s="27" t="s">
        <v>121</v>
      </c>
      <c r="AC1" s="27" t="s">
        <v>120</v>
      </c>
      <c r="AD1" s="27" t="s">
        <v>145</v>
      </c>
      <c r="AE1" s="8" t="s">
        <v>9</v>
      </c>
      <c r="AF1" s="8" t="s">
        <v>32</v>
      </c>
      <c r="AG1" s="8" t="s">
        <v>33</v>
      </c>
      <c r="AH1" s="8" t="s">
        <v>66</v>
      </c>
      <c r="AI1" s="8" t="s">
        <v>67</v>
      </c>
      <c r="AJ1" s="8" t="s">
        <v>69</v>
      </c>
      <c r="AK1" s="8" t="s">
        <v>70</v>
      </c>
      <c r="AL1" s="8" t="s">
        <v>72</v>
      </c>
      <c r="AM1" s="8" t="s">
        <v>55</v>
      </c>
      <c r="AN1" s="8" t="s">
        <v>57</v>
      </c>
      <c r="AO1" s="8" t="s">
        <v>104</v>
      </c>
      <c r="AP1" s="8" t="s">
        <v>105</v>
      </c>
      <c r="AQ1" s="10" t="s">
        <v>44</v>
      </c>
      <c r="AR1" s="10" t="s">
        <v>5</v>
      </c>
      <c r="AS1" s="10" t="s">
        <v>30</v>
      </c>
      <c r="AT1" s="10" t="s">
        <v>59</v>
      </c>
      <c r="AU1" s="10" t="s">
        <v>64</v>
      </c>
      <c r="AV1" s="10" t="s">
        <v>53</v>
      </c>
      <c r="AW1" s="11" t="s">
        <v>6</v>
      </c>
      <c r="AX1" s="11" t="s">
        <v>7</v>
      </c>
      <c r="AY1" s="11" t="s">
        <v>45</v>
      </c>
      <c r="AZ1" s="11" t="s">
        <v>8</v>
      </c>
      <c r="BA1" s="11" t="s">
        <v>52</v>
      </c>
      <c r="BB1" s="11" t="s">
        <v>13</v>
      </c>
      <c r="BC1" s="25" t="s">
        <v>101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36</v>
      </c>
      <c r="BK1" s="8" t="s">
        <v>37</v>
      </c>
      <c r="BL1" s="8" t="s">
        <v>38</v>
      </c>
      <c r="BM1" s="8" t="s">
        <v>39</v>
      </c>
      <c r="BN1" s="8" t="s">
        <v>40</v>
      </c>
      <c r="BO1" s="8" t="s">
        <v>41</v>
      </c>
      <c r="BP1" s="12" t="s">
        <v>65</v>
      </c>
      <c r="BQ1" s="8" t="s">
        <v>87</v>
      </c>
      <c r="BR1" s="16" t="s">
        <v>88</v>
      </c>
      <c r="BS1" s="16"/>
      <c r="BT1" s="10" t="s">
        <v>44</v>
      </c>
      <c r="BU1" s="10" t="s">
        <v>5</v>
      </c>
      <c r="BV1" s="10" t="s">
        <v>30</v>
      </c>
      <c r="BW1" s="10" t="s">
        <v>59</v>
      </c>
      <c r="BX1" s="10" t="s">
        <v>64</v>
      </c>
      <c r="BY1" s="10" t="s">
        <v>53</v>
      </c>
      <c r="BZ1" s="11" t="s">
        <v>6</v>
      </c>
      <c r="CA1" s="11" t="s">
        <v>7</v>
      </c>
      <c r="CB1" s="11" t="s">
        <v>45</v>
      </c>
      <c r="CC1" s="11" t="s">
        <v>8</v>
      </c>
      <c r="CD1" s="11" t="s">
        <v>52</v>
      </c>
      <c r="CE1" s="11" t="s">
        <v>13</v>
      </c>
      <c r="CF1" s="8"/>
      <c r="CG1" s="10" t="s">
        <v>44</v>
      </c>
      <c r="CH1" s="10" t="s">
        <v>5</v>
      </c>
      <c r="CI1" s="10" t="s">
        <v>30</v>
      </c>
      <c r="CJ1" s="10" t="s">
        <v>59</v>
      </c>
      <c r="CK1" s="10" t="s">
        <v>64</v>
      </c>
      <c r="CL1" s="10" t="s">
        <v>53</v>
      </c>
      <c r="CM1" s="11" t="s">
        <v>6</v>
      </c>
      <c r="CN1" s="11" t="s">
        <v>7</v>
      </c>
      <c r="CO1" s="11" t="s">
        <v>45</v>
      </c>
      <c r="CP1" s="11" t="s">
        <v>8</v>
      </c>
      <c r="CQ1" s="11" t="s">
        <v>52</v>
      </c>
      <c r="CR1" s="11" t="s">
        <v>13</v>
      </c>
      <c r="CS1" s="8"/>
    </row>
    <row r="2" spans="1:97" x14ac:dyDescent="0.15">
      <c r="A2" s="1">
        <v>4</v>
      </c>
      <c r="B2" s="1" t="s">
        <v>10</v>
      </c>
      <c r="C2" s="1" t="s">
        <v>2</v>
      </c>
      <c r="D2" s="1" t="s">
        <v>12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10" si="0">SUM(E2:BO2)</f>
        <v>80</v>
      </c>
      <c r="BQ2" s="1">
        <v>0</v>
      </c>
      <c r="BR2" s="17">
        <v>0</v>
      </c>
      <c r="BS2" s="17"/>
      <c r="BT2" s="1" t="str">
        <f t="shared" ref="BT2:BT10" si="1">IF(AQ2&gt;AQ$11, AQ2-AQ$11,"")</f>
        <v/>
      </c>
      <c r="BU2" s="1" t="str">
        <f t="shared" ref="BU2:BU10" si="2">IF(AR2&gt;AR$11, AR2-AR$11,"")</f>
        <v/>
      </c>
      <c r="BV2" s="1" t="str">
        <f t="shared" ref="BV2:BV10" si="3">IF(AS2&gt;AS$11, AS2-AS$11,"")</f>
        <v/>
      </c>
      <c r="BW2" s="1" t="str">
        <f t="shared" ref="BW2:BW10" si="4">IF(AT2&gt;AT$11, AT2-AT$11,"")</f>
        <v/>
      </c>
      <c r="BX2" s="1" t="str">
        <f t="shared" ref="BX2:BX10" si="5">IF(AU2&gt;AU$11, AU2-AU$11,"")</f>
        <v/>
      </c>
      <c r="BY2" s="1" t="str">
        <f t="shared" ref="BY2:BY10" si="6">IF(AV2&gt;AV$11, AV2-AV$11,"")</f>
        <v/>
      </c>
      <c r="BZ2" s="1" t="str">
        <f t="shared" ref="BZ2:BZ10" si="7">IF(AW2&gt;AW$11, AW2-AW$11,"")</f>
        <v/>
      </c>
      <c r="CA2" s="1" t="str">
        <f t="shared" ref="CA2:CA10" si="8">IF(AX2&gt;AX$11, AX2-AX$11,"")</f>
        <v/>
      </c>
      <c r="CB2" s="1" t="str">
        <f t="shared" ref="CB2:CB10" si="9">IF(AY2&gt;AY$11, AY2-AY$11,"")</f>
        <v/>
      </c>
      <c r="CC2" s="1" t="str">
        <f t="shared" ref="CC2:CC10" si="10">IF(AZ2&gt;AZ$11, AZ2-AZ$11,"")</f>
        <v/>
      </c>
      <c r="CD2" s="1" t="str">
        <f t="shared" ref="CD2:CD10" si="11">IF(BA2&gt;BA$11, BA2-BA$11,"")</f>
        <v/>
      </c>
      <c r="CE2" s="1" t="str">
        <f t="shared" ref="CE2:CE10" si="12">IF(BB2&gt;BB$11, BB2-BB$11,"")</f>
        <v/>
      </c>
      <c r="CF2" s="1">
        <f>12-COUNTA(BT2:CE2)</f>
        <v>0</v>
      </c>
      <c r="CG2" s="1" t="str">
        <f t="shared" ref="CG2:CR3" si="13">IF($CF2=1,BT2,"")</f>
        <v/>
      </c>
      <c r="CH2" s="1" t="str">
        <f t="shared" si="13"/>
        <v/>
      </c>
      <c r="CI2" s="1" t="str">
        <f t="shared" si="13"/>
        <v/>
      </c>
      <c r="CJ2" s="1" t="str">
        <f t="shared" si="13"/>
        <v/>
      </c>
      <c r="CK2" s="1" t="str">
        <f t="shared" si="13"/>
        <v/>
      </c>
      <c r="CL2" s="1" t="str">
        <f t="shared" si="13"/>
        <v/>
      </c>
      <c r="CM2" s="1" t="str">
        <f t="shared" si="13"/>
        <v/>
      </c>
      <c r="CN2" s="1" t="str">
        <f t="shared" si="13"/>
        <v/>
      </c>
      <c r="CO2" s="1" t="str">
        <f t="shared" si="13"/>
        <v/>
      </c>
      <c r="CP2" s="1" t="str">
        <f t="shared" si="13"/>
        <v/>
      </c>
      <c r="CQ2" s="1" t="str">
        <f t="shared" si="13"/>
        <v/>
      </c>
      <c r="CR2" s="1" t="str">
        <f t="shared" si="13"/>
        <v/>
      </c>
      <c r="CS2" s="3">
        <f>SUM(AE2:BO2)</f>
        <v>80</v>
      </c>
    </row>
    <row r="3" spans="1:97" s="23" customFormat="1" x14ac:dyDescent="0.15">
      <c r="A3" s="40">
        <v>19</v>
      </c>
      <c r="B3" s="40" t="s">
        <v>209</v>
      </c>
      <c r="C3" s="40" t="s">
        <v>28</v>
      </c>
      <c r="D3" s="40" t="s">
        <v>21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6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 t="shared" si="0"/>
        <v>5</v>
      </c>
      <c r="BQ3" s="40">
        <v>3</v>
      </c>
      <c r="BR3" s="22">
        <v>1</v>
      </c>
      <c r="BS3" s="22" t="s">
        <v>206</v>
      </c>
      <c r="BT3" s="40" t="str">
        <f t="shared" si="1"/>
        <v/>
      </c>
      <c r="BU3" s="40" t="str">
        <f t="shared" si="2"/>
        <v/>
      </c>
      <c r="BV3" s="40" t="str">
        <f t="shared" si="3"/>
        <v/>
      </c>
      <c r="BW3" s="40" t="str">
        <f t="shared" si="4"/>
        <v/>
      </c>
      <c r="BX3" s="40" t="str">
        <f t="shared" si="5"/>
        <v/>
      </c>
      <c r="BY3" s="40" t="str">
        <f t="shared" si="6"/>
        <v/>
      </c>
      <c r="BZ3" s="40" t="str">
        <f t="shared" si="7"/>
        <v/>
      </c>
      <c r="CA3" s="40" t="str">
        <f t="shared" si="8"/>
        <v/>
      </c>
      <c r="CB3" s="40" t="str">
        <f t="shared" si="9"/>
        <v/>
      </c>
      <c r="CC3" s="40" t="str">
        <f t="shared" si="10"/>
        <v/>
      </c>
      <c r="CD3" s="40" t="str">
        <f t="shared" si="11"/>
        <v/>
      </c>
      <c r="CE3" s="40" t="str">
        <f t="shared" si="12"/>
        <v/>
      </c>
      <c r="CF3" s="40">
        <f>COUNTIF(BT3:CE3, "&gt;0")</f>
        <v>0</v>
      </c>
      <c r="CG3" s="40" t="str">
        <f t="shared" si="13"/>
        <v/>
      </c>
      <c r="CH3" s="40" t="str">
        <f t="shared" si="13"/>
        <v/>
      </c>
      <c r="CI3" s="40" t="str">
        <f t="shared" si="13"/>
        <v/>
      </c>
      <c r="CJ3" s="40" t="str">
        <f t="shared" si="13"/>
        <v/>
      </c>
      <c r="CK3" s="40" t="str">
        <f t="shared" si="13"/>
        <v/>
      </c>
      <c r="CL3" s="40" t="str">
        <f t="shared" si="13"/>
        <v/>
      </c>
      <c r="CM3" s="40" t="str">
        <f t="shared" si="13"/>
        <v/>
      </c>
      <c r="CN3" s="40" t="str">
        <f t="shared" si="13"/>
        <v/>
      </c>
      <c r="CO3" s="40" t="str">
        <f t="shared" si="13"/>
        <v/>
      </c>
      <c r="CP3" s="40" t="str">
        <f t="shared" si="13"/>
        <v/>
      </c>
      <c r="CQ3" s="40" t="str">
        <f t="shared" si="13"/>
        <v/>
      </c>
      <c r="CR3" s="40" t="str">
        <f t="shared" si="13"/>
        <v/>
      </c>
      <c r="CS3" s="30">
        <f>SUM(AE3:BO3)</f>
        <v>5</v>
      </c>
    </row>
    <row r="4" spans="1:97" s="23" customFormat="1" x14ac:dyDescent="0.15">
      <c r="A4" s="18">
        <v>78</v>
      </c>
      <c r="B4" s="24" t="s">
        <v>60</v>
      </c>
      <c r="C4" s="24" t="s">
        <v>58</v>
      </c>
      <c r="D4" s="18" t="s">
        <v>1</v>
      </c>
      <c r="E4" s="19"/>
      <c r="F4" s="19"/>
      <c r="G4" s="19">
        <v>15</v>
      </c>
      <c r="H4" s="19">
        <v>15</v>
      </c>
      <c r="I4" s="19"/>
      <c r="J4" s="19"/>
      <c r="K4" s="19"/>
      <c r="L4" s="19"/>
      <c r="M4" s="19"/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20"/>
      <c r="AR4" s="20"/>
      <c r="AS4" s="20"/>
      <c r="AT4" s="20"/>
      <c r="AU4" s="20"/>
      <c r="AV4" s="20"/>
      <c r="AW4" s="21"/>
      <c r="AX4" s="21"/>
      <c r="AY4" s="21"/>
      <c r="AZ4" s="21"/>
      <c r="BA4" s="21">
        <v>15</v>
      </c>
      <c r="BB4" s="21">
        <v>15</v>
      </c>
      <c r="BC4" s="26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>
        <f t="shared" si="0"/>
        <v>60</v>
      </c>
      <c r="BQ4" s="18">
        <v>10</v>
      </c>
      <c r="BR4" s="22">
        <v>1</v>
      </c>
      <c r="BS4" s="22" t="s">
        <v>203</v>
      </c>
      <c r="BT4" s="18" t="str">
        <f t="shared" si="1"/>
        <v/>
      </c>
      <c r="BU4" s="18" t="str">
        <f t="shared" si="2"/>
        <v/>
      </c>
      <c r="BV4" s="18" t="str">
        <f t="shared" si="3"/>
        <v/>
      </c>
      <c r="BW4" s="18" t="str">
        <f t="shared" si="4"/>
        <v/>
      </c>
      <c r="BX4" s="18" t="str">
        <f t="shared" si="5"/>
        <v/>
      </c>
      <c r="BY4" s="18" t="str">
        <f t="shared" si="6"/>
        <v/>
      </c>
      <c r="BZ4" s="18" t="str">
        <f t="shared" si="7"/>
        <v/>
      </c>
      <c r="CA4" s="18" t="str">
        <f t="shared" si="8"/>
        <v/>
      </c>
      <c r="CB4" s="18" t="str">
        <f t="shared" si="9"/>
        <v/>
      </c>
      <c r="CC4" s="18" t="str">
        <f t="shared" si="10"/>
        <v/>
      </c>
      <c r="CD4" s="18" t="str">
        <f t="shared" si="11"/>
        <v/>
      </c>
      <c r="CE4" s="18" t="str">
        <f t="shared" si="12"/>
        <v/>
      </c>
      <c r="CF4" s="18">
        <f>COUNTIF(BT4:CE4, "&gt;0")</f>
        <v>0</v>
      </c>
      <c r="CG4" s="18" t="str">
        <f t="shared" ref="CG4:CR4" si="14">IF($CF4=1,BT4,"")</f>
        <v/>
      </c>
      <c r="CH4" s="18" t="str">
        <f t="shared" si="14"/>
        <v/>
      </c>
      <c r="CI4" s="18" t="str">
        <f t="shared" si="14"/>
        <v/>
      </c>
      <c r="CJ4" s="18" t="str">
        <f t="shared" si="14"/>
        <v/>
      </c>
      <c r="CK4" s="18" t="str">
        <f t="shared" si="14"/>
        <v/>
      </c>
      <c r="CL4" s="18" t="str">
        <f t="shared" si="14"/>
        <v/>
      </c>
      <c r="CM4" s="18" t="str">
        <f t="shared" si="14"/>
        <v/>
      </c>
      <c r="CN4" s="18" t="str">
        <f t="shared" si="14"/>
        <v/>
      </c>
      <c r="CO4" s="18" t="str">
        <f t="shared" si="14"/>
        <v/>
      </c>
      <c r="CP4" s="18" t="str">
        <f t="shared" si="14"/>
        <v/>
      </c>
      <c r="CQ4" s="18" t="str">
        <f t="shared" si="14"/>
        <v/>
      </c>
      <c r="CR4" s="18" t="str">
        <f t="shared" si="14"/>
        <v/>
      </c>
      <c r="CS4" s="24">
        <f>SUM(AE4:BO4)</f>
        <v>30</v>
      </c>
    </row>
    <row r="5" spans="1:97" s="23" customFormat="1" x14ac:dyDescent="0.15">
      <c r="A5" s="18"/>
      <c r="B5" s="18" t="s">
        <v>289</v>
      </c>
      <c r="C5" s="18" t="s">
        <v>74</v>
      </c>
      <c r="D5" s="18" t="s">
        <v>1</v>
      </c>
      <c r="E5" s="19"/>
      <c r="F5" s="19"/>
      <c r="G5" s="19">
        <v>15</v>
      </c>
      <c r="H5" s="19">
        <v>15</v>
      </c>
      <c r="I5" s="19"/>
      <c r="J5" s="19"/>
      <c r="K5" s="19"/>
      <c r="L5" s="19"/>
      <c r="M5" s="19"/>
      <c r="N5" s="19"/>
      <c r="O5" s="1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20"/>
      <c r="AR5" s="20"/>
      <c r="AS5" s="20"/>
      <c r="AT5" s="20"/>
      <c r="AU5" s="20"/>
      <c r="AV5" s="20"/>
      <c r="AW5" s="21"/>
      <c r="AX5" s="21"/>
      <c r="AY5" s="21"/>
      <c r="AZ5" s="21"/>
      <c r="BA5" s="21">
        <v>15</v>
      </c>
      <c r="BB5" s="21">
        <v>15</v>
      </c>
      <c r="BC5" s="26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>
        <f t="shared" si="0"/>
        <v>60</v>
      </c>
      <c r="BQ5" s="18">
        <v>10</v>
      </c>
      <c r="BR5" s="22">
        <v>1</v>
      </c>
      <c r="BS5" s="22" t="s">
        <v>203</v>
      </c>
      <c r="BT5" s="18" t="str">
        <f t="shared" si="1"/>
        <v/>
      </c>
      <c r="BU5" s="18" t="str">
        <f t="shared" si="2"/>
        <v/>
      </c>
      <c r="BV5" s="18" t="str">
        <f t="shared" si="3"/>
        <v/>
      </c>
      <c r="BW5" s="18" t="str">
        <f t="shared" si="4"/>
        <v/>
      </c>
      <c r="BX5" s="18" t="str">
        <f t="shared" si="5"/>
        <v/>
      </c>
      <c r="BY5" s="18" t="str">
        <f t="shared" si="6"/>
        <v/>
      </c>
      <c r="BZ5" s="18" t="str">
        <f t="shared" si="7"/>
        <v/>
      </c>
      <c r="CA5" s="18" t="str">
        <f t="shared" si="8"/>
        <v/>
      </c>
      <c r="CB5" s="18" t="str">
        <f t="shared" si="9"/>
        <v/>
      </c>
      <c r="CC5" s="18" t="str">
        <f t="shared" si="10"/>
        <v/>
      </c>
      <c r="CD5" s="18" t="str">
        <f t="shared" si="11"/>
        <v/>
      </c>
      <c r="CE5" s="18" t="str">
        <f t="shared" si="12"/>
        <v/>
      </c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30"/>
    </row>
    <row r="6" spans="1:97" x14ac:dyDescent="0.15">
      <c r="A6" s="1">
        <v>3</v>
      </c>
      <c r="B6" s="1" t="s">
        <v>10</v>
      </c>
      <c r="C6" s="1" t="s">
        <v>2</v>
      </c>
      <c r="D6" s="1" t="s">
        <v>1</v>
      </c>
      <c r="E6" s="6">
        <v>15</v>
      </c>
      <c r="F6" s="6"/>
      <c r="G6" s="6">
        <v>15</v>
      </c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>
        <v>15</v>
      </c>
      <c r="AS6" s="4"/>
      <c r="AT6" s="4"/>
      <c r="AU6" s="4"/>
      <c r="AV6" s="4"/>
      <c r="AW6" s="2"/>
      <c r="AX6" s="2"/>
      <c r="AY6" s="2"/>
      <c r="AZ6" s="2"/>
      <c r="BA6" s="2"/>
      <c r="BB6" s="2">
        <v>15</v>
      </c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 t="shared" si="0"/>
        <v>60</v>
      </c>
      <c r="BQ6" s="1">
        <v>13</v>
      </c>
      <c r="BR6" s="17">
        <v>1</v>
      </c>
      <c r="BS6" s="17" t="s">
        <v>204</v>
      </c>
      <c r="BT6" s="1" t="str">
        <f t="shared" si="1"/>
        <v/>
      </c>
      <c r="BU6" s="1" t="str">
        <f t="shared" si="2"/>
        <v/>
      </c>
      <c r="BV6" s="1" t="str">
        <f t="shared" si="3"/>
        <v/>
      </c>
      <c r="BW6" s="1" t="str">
        <f t="shared" si="4"/>
        <v/>
      </c>
      <c r="BX6" s="1" t="str">
        <f t="shared" si="5"/>
        <v/>
      </c>
      <c r="BY6" s="1" t="str">
        <f t="shared" si="6"/>
        <v/>
      </c>
      <c r="BZ6" s="1" t="str">
        <f t="shared" si="7"/>
        <v/>
      </c>
      <c r="CA6" s="1" t="str">
        <f t="shared" si="8"/>
        <v/>
      </c>
      <c r="CB6" s="1" t="str">
        <f t="shared" si="9"/>
        <v/>
      </c>
      <c r="CC6" s="1" t="str">
        <f t="shared" si="10"/>
        <v/>
      </c>
      <c r="CD6" s="1" t="str">
        <f t="shared" si="11"/>
        <v/>
      </c>
      <c r="CE6" s="1" t="str">
        <f t="shared" si="12"/>
        <v/>
      </c>
      <c r="CF6" s="1">
        <f>COUNTIF(BT6:CE6, "&gt;0")</f>
        <v>0</v>
      </c>
      <c r="CG6" s="1" t="str">
        <f t="shared" ref="CG6:CR6" si="15">IF($CF6=1,BT6,"")</f>
        <v/>
      </c>
      <c r="CH6" s="1" t="str">
        <f t="shared" si="15"/>
        <v/>
      </c>
      <c r="CI6" s="1" t="str">
        <f t="shared" si="15"/>
        <v/>
      </c>
      <c r="CJ6" s="1" t="str">
        <f t="shared" si="15"/>
        <v/>
      </c>
      <c r="CK6" s="1" t="str">
        <f t="shared" si="15"/>
        <v/>
      </c>
      <c r="CL6" s="1" t="str">
        <f t="shared" si="15"/>
        <v/>
      </c>
      <c r="CM6" s="1" t="str">
        <f t="shared" si="15"/>
        <v/>
      </c>
      <c r="CN6" s="1" t="str">
        <f t="shared" si="15"/>
        <v/>
      </c>
      <c r="CO6" s="1" t="str">
        <f t="shared" si="15"/>
        <v/>
      </c>
      <c r="CP6" s="1" t="str">
        <f t="shared" si="15"/>
        <v/>
      </c>
      <c r="CQ6" s="1" t="str">
        <f t="shared" si="15"/>
        <v/>
      </c>
      <c r="CR6" s="1" t="str">
        <f t="shared" si="15"/>
        <v/>
      </c>
      <c r="CS6" s="3">
        <f>SUM(AE6:BO6)</f>
        <v>30</v>
      </c>
    </row>
    <row r="7" spans="1:97" s="23" customFormat="1" x14ac:dyDescent="0.15">
      <c r="A7" s="18"/>
      <c r="B7" s="18" t="s">
        <v>290</v>
      </c>
      <c r="C7" s="18" t="s">
        <v>2</v>
      </c>
      <c r="D7" s="18" t="s">
        <v>1</v>
      </c>
      <c r="E7" s="19">
        <v>15</v>
      </c>
      <c r="F7" s="19"/>
      <c r="G7" s="19">
        <v>15</v>
      </c>
      <c r="H7" s="19"/>
      <c r="I7" s="19"/>
      <c r="J7" s="19"/>
      <c r="K7" s="19"/>
      <c r="L7" s="19"/>
      <c r="M7" s="19"/>
      <c r="N7" s="19"/>
      <c r="O7" s="1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20"/>
      <c r="AR7" s="20">
        <v>15</v>
      </c>
      <c r="AS7" s="20"/>
      <c r="AT7" s="20"/>
      <c r="AU7" s="20"/>
      <c r="AV7" s="20"/>
      <c r="AW7" s="21"/>
      <c r="AX7" s="21"/>
      <c r="AY7" s="21"/>
      <c r="AZ7" s="21"/>
      <c r="BA7" s="21"/>
      <c r="BB7" s="21">
        <v>15</v>
      </c>
      <c r="BC7" s="26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>
        <f t="shared" si="0"/>
        <v>60</v>
      </c>
      <c r="BQ7" s="18">
        <v>13</v>
      </c>
      <c r="BR7" s="22">
        <v>1</v>
      </c>
      <c r="BS7" s="22" t="s">
        <v>204</v>
      </c>
      <c r="BT7" s="18" t="str">
        <f t="shared" si="1"/>
        <v/>
      </c>
      <c r="BU7" s="18" t="str">
        <f t="shared" si="2"/>
        <v/>
      </c>
      <c r="BV7" s="18" t="str">
        <f t="shared" si="3"/>
        <v/>
      </c>
      <c r="BW7" s="18" t="str">
        <f t="shared" si="4"/>
        <v/>
      </c>
      <c r="BX7" s="18" t="str">
        <f t="shared" si="5"/>
        <v/>
      </c>
      <c r="BY7" s="18" t="str">
        <f t="shared" si="6"/>
        <v/>
      </c>
      <c r="BZ7" s="18" t="str">
        <f t="shared" si="7"/>
        <v/>
      </c>
      <c r="CA7" s="18" t="str">
        <f t="shared" si="8"/>
        <v/>
      </c>
      <c r="CB7" s="18" t="str">
        <f t="shared" si="9"/>
        <v/>
      </c>
      <c r="CC7" s="18" t="str">
        <f t="shared" si="10"/>
        <v/>
      </c>
      <c r="CD7" s="18" t="str">
        <f t="shared" si="11"/>
        <v/>
      </c>
      <c r="CE7" s="18" t="str">
        <f t="shared" si="12"/>
        <v/>
      </c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30"/>
    </row>
    <row r="8" spans="1:97" s="23" customFormat="1" ht="27" x14ac:dyDescent="0.15">
      <c r="A8" s="18">
        <v>20</v>
      </c>
      <c r="B8" s="18" t="s">
        <v>34</v>
      </c>
      <c r="C8" s="18" t="s">
        <v>28</v>
      </c>
      <c r="D8" s="18" t="s">
        <v>22</v>
      </c>
      <c r="E8" s="19"/>
      <c r="F8" s="19">
        <v>5</v>
      </c>
      <c r="G8" s="19"/>
      <c r="H8" s="19"/>
      <c r="I8" s="19"/>
      <c r="J8" s="19"/>
      <c r="K8" s="19"/>
      <c r="L8" s="19"/>
      <c r="M8" s="19"/>
      <c r="N8" s="19"/>
      <c r="O8" s="1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18"/>
      <c r="AF8" s="18"/>
      <c r="AG8" s="18">
        <v>5</v>
      </c>
      <c r="AH8" s="18"/>
      <c r="AI8" s="18"/>
      <c r="AJ8" s="18"/>
      <c r="AK8" s="18"/>
      <c r="AL8" s="18"/>
      <c r="AM8" s="18"/>
      <c r="AN8" s="18"/>
      <c r="AO8" s="18"/>
      <c r="AP8" s="18"/>
      <c r="AQ8" s="20"/>
      <c r="AR8" s="20"/>
      <c r="AS8" s="20"/>
      <c r="AT8" s="20"/>
      <c r="AU8" s="20"/>
      <c r="AV8" s="20"/>
      <c r="AW8" s="21"/>
      <c r="AX8" s="21"/>
      <c r="AY8" s="21"/>
      <c r="AZ8" s="21"/>
      <c r="BA8" s="21"/>
      <c r="BB8" s="21"/>
      <c r="BC8" s="26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>
        <f t="shared" si="0"/>
        <v>10</v>
      </c>
      <c r="BQ8" s="18">
        <v>5</v>
      </c>
      <c r="BR8" s="22">
        <v>2</v>
      </c>
      <c r="BS8" s="22" t="s">
        <v>207</v>
      </c>
      <c r="BT8" s="18" t="str">
        <f t="shared" si="1"/>
        <v/>
      </c>
      <c r="BU8" s="18" t="str">
        <f t="shared" si="2"/>
        <v/>
      </c>
      <c r="BV8" s="18" t="str">
        <f t="shared" si="3"/>
        <v/>
      </c>
      <c r="BW8" s="18" t="str">
        <f t="shared" si="4"/>
        <v/>
      </c>
      <c r="BX8" s="18" t="str">
        <f t="shared" si="5"/>
        <v/>
      </c>
      <c r="BY8" s="18" t="str">
        <f t="shared" si="6"/>
        <v/>
      </c>
      <c r="BZ8" s="18" t="str">
        <f t="shared" si="7"/>
        <v/>
      </c>
      <c r="CA8" s="18" t="str">
        <f t="shared" si="8"/>
        <v/>
      </c>
      <c r="CB8" s="18" t="str">
        <f t="shared" si="9"/>
        <v/>
      </c>
      <c r="CC8" s="18" t="str">
        <f t="shared" si="10"/>
        <v/>
      </c>
      <c r="CD8" s="18" t="str">
        <f t="shared" si="11"/>
        <v/>
      </c>
      <c r="CE8" s="18" t="str">
        <f t="shared" si="12"/>
        <v/>
      </c>
      <c r="CF8" s="18">
        <f>COUNTIF(BT8:CE8, "&gt;0")</f>
        <v>0</v>
      </c>
      <c r="CG8" s="18" t="str">
        <f t="shared" ref="CG8:CR10" si="16">IF($CF8=1,BT8,"")</f>
        <v/>
      </c>
      <c r="CH8" s="18" t="str">
        <f t="shared" si="16"/>
        <v/>
      </c>
      <c r="CI8" s="18" t="str">
        <f t="shared" si="16"/>
        <v/>
      </c>
      <c r="CJ8" s="18" t="str">
        <f t="shared" si="16"/>
        <v/>
      </c>
      <c r="CK8" s="18" t="str">
        <f t="shared" si="16"/>
        <v/>
      </c>
      <c r="CL8" s="18" t="str">
        <f t="shared" si="16"/>
        <v/>
      </c>
      <c r="CM8" s="18" t="str">
        <f t="shared" si="16"/>
        <v/>
      </c>
      <c r="CN8" s="18" t="str">
        <f t="shared" si="16"/>
        <v/>
      </c>
      <c r="CO8" s="18" t="str">
        <f t="shared" si="16"/>
        <v/>
      </c>
      <c r="CP8" s="18" t="str">
        <f t="shared" si="16"/>
        <v/>
      </c>
      <c r="CQ8" s="18" t="str">
        <f t="shared" si="16"/>
        <v/>
      </c>
      <c r="CR8" s="18" t="str">
        <f t="shared" si="16"/>
        <v/>
      </c>
      <c r="CS8" s="30">
        <f>SUM(AE8:BO8)</f>
        <v>5</v>
      </c>
    </row>
    <row r="9" spans="1:97" s="23" customFormat="1" ht="27" x14ac:dyDescent="0.15">
      <c r="A9" s="18">
        <v>77</v>
      </c>
      <c r="B9" s="24" t="s">
        <v>291</v>
      </c>
      <c r="C9" s="24" t="s">
        <v>58</v>
      </c>
      <c r="D9" s="18" t="s">
        <v>12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20"/>
      <c r="AR9" s="20"/>
      <c r="AS9" s="20"/>
      <c r="AT9" s="20">
        <v>20</v>
      </c>
      <c r="AU9" s="20"/>
      <c r="AV9" s="20"/>
      <c r="AW9" s="21">
        <v>20</v>
      </c>
      <c r="AX9" s="21">
        <v>20</v>
      </c>
      <c r="AY9" s="21"/>
      <c r="AZ9" s="21"/>
      <c r="BA9" s="21"/>
      <c r="BB9" s="21">
        <v>10</v>
      </c>
      <c r="BC9" s="26"/>
      <c r="BD9" s="18"/>
      <c r="BE9" s="18"/>
      <c r="BF9" s="18"/>
      <c r="BG9" s="18"/>
      <c r="BH9" s="18">
        <v>20</v>
      </c>
      <c r="BI9" s="18"/>
      <c r="BJ9" s="18"/>
      <c r="BK9" s="18"/>
      <c r="BL9" s="18"/>
      <c r="BM9" s="18"/>
      <c r="BN9" s="18"/>
      <c r="BO9" s="18"/>
      <c r="BP9" s="18">
        <f t="shared" si="0"/>
        <v>90</v>
      </c>
      <c r="BQ9" s="18">
        <v>24</v>
      </c>
      <c r="BR9" s="22">
        <v>2</v>
      </c>
      <c r="BS9" s="22" t="s">
        <v>208</v>
      </c>
      <c r="BT9" s="18" t="str">
        <f t="shared" si="1"/>
        <v/>
      </c>
      <c r="BU9" s="18" t="str">
        <f t="shared" si="2"/>
        <v/>
      </c>
      <c r="BV9" s="18" t="str">
        <f t="shared" si="3"/>
        <v/>
      </c>
      <c r="BW9" s="18" t="str">
        <f t="shared" si="4"/>
        <v/>
      </c>
      <c r="BX9" s="18" t="str">
        <f t="shared" si="5"/>
        <v/>
      </c>
      <c r="BY9" s="18" t="str">
        <f t="shared" si="6"/>
        <v/>
      </c>
      <c r="BZ9" s="18" t="str">
        <f t="shared" si="7"/>
        <v/>
      </c>
      <c r="CA9" s="18" t="str">
        <f t="shared" si="8"/>
        <v/>
      </c>
      <c r="CB9" s="18" t="str">
        <f t="shared" si="9"/>
        <v/>
      </c>
      <c r="CC9" s="18" t="str">
        <f t="shared" si="10"/>
        <v/>
      </c>
      <c r="CD9" s="18" t="str">
        <f t="shared" si="11"/>
        <v/>
      </c>
      <c r="CE9" s="18" t="str">
        <f t="shared" si="12"/>
        <v/>
      </c>
      <c r="CF9" s="18">
        <f>COUNTIF(BT9:CE9, "&gt;0")</f>
        <v>0</v>
      </c>
      <c r="CG9" s="18" t="str">
        <f t="shared" si="16"/>
        <v/>
      </c>
      <c r="CH9" s="18" t="str">
        <f t="shared" si="16"/>
        <v/>
      </c>
      <c r="CI9" s="18" t="str">
        <f t="shared" si="16"/>
        <v/>
      </c>
      <c r="CJ9" s="18" t="str">
        <f t="shared" si="16"/>
        <v/>
      </c>
      <c r="CK9" s="18" t="str">
        <f t="shared" si="16"/>
        <v/>
      </c>
      <c r="CL9" s="18" t="str">
        <f t="shared" si="16"/>
        <v/>
      </c>
      <c r="CM9" s="18" t="str">
        <f t="shared" si="16"/>
        <v/>
      </c>
      <c r="CN9" s="18" t="str">
        <f t="shared" si="16"/>
        <v/>
      </c>
      <c r="CO9" s="18" t="str">
        <f t="shared" si="16"/>
        <v/>
      </c>
      <c r="CP9" s="18" t="str">
        <f t="shared" si="16"/>
        <v/>
      </c>
      <c r="CQ9" s="18" t="str">
        <f t="shared" si="16"/>
        <v/>
      </c>
      <c r="CR9" s="18" t="str">
        <f t="shared" si="16"/>
        <v/>
      </c>
      <c r="CS9" s="24">
        <f>SUM(AE9:BO9)</f>
        <v>90</v>
      </c>
    </row>
    <row r="10" spans="1:97" s="23" customFormat="1" ht="40.5" x14ac:dyDescent="0.15">
      <c r="A10" s="18">
        <v>1</v>
      </c>
      <c r="B10" s="18" t="s">
        <v>0</v>
      </c>
      <c r="C10" s="18" t="s">
        <v>2</v>
      </c>
      <c r="D10" s="18" t="s">
        <v>1</v>
      </c>
      <c r="E10" s="19">
        <v>10</v>
      </c>
      <c r="F10" s="19">
        <v>10</v>
      </c>
      <c r="G10" s="19"/>
      <c r="H10" s="19"/>
      <c r="I10" s="19"/>
      <c r="J10" s="19"/>
      <c r="K10" s="19"/>
      <c r="L10" s="19"/>
      <c r="M10" s="19"/>
      <c r="N10" s="19"/>
      <c r="O10" s="1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20"/>
      <c r="AR10" s="20">
        <v>10</v>
      </c>
      <c r="AS10" s="20"/>
      <c r="AT10" s="20"/>
      <c r="AU10" s="20"/>
      <c r="AV10" s="20"/>
      <c r="AW10" s="21">
        <v>15</v>
      </c>
      <c r="AX10" s="21">
        <v>15</v>
      </c>
      <c r="AY10" s="21"/>
      <c r="AZ10" s="21"/>
      <c r="BA10" s="21"/>
      <c r="BB10" s="21"/>
      <c r="BC10" s="26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>
        <f t="shared" si="0"/>
        <v>60</v>
      </c>
      <c r="BQ10" s="18">
        <v>23</v>
      </c>
      <c r="BR10" s="22">
        <v>3</v>
      </c>
      <c r="BS10" s="22" t="s">
        <v>205</v>
      </c>
      <c r="BT10" s="18" t="str">
        <f t="shared" si="1"/>
        <v/>
      </c>
      <c r="BU10" s="18" t="str">
        <f t="shared" si="2"/>
        <v/>
      </c>
      <c r="BV10" s="18" t="str">
        <f t="shared" si="3"/>
        <v/>
      </c>
      <c r="BW10" s="18" t="str">
        <f t="shared" si="4"/>
        <v/>
      </c>
      <c r="BX10" s="18" t="str">
        <f t="shared" si="5"/>
        <v/>
      </c>
      <c r="BY10" s="18" t="str">
        <f t="shared" si="6"/>
        <v/>
      </c>
      <c r="BZ10" s="18" t="str">
        <f t="shared" si="7"/>
        <v/>
      </c>
      <c r="CA10" s="18" t="str">
        <f t="shared" si="8"/>
        <v/>
      </c>
      <c r="CB10" s="18" t="str">
        <f t="shared" si="9"/>
        <v/>
      </c>
      <c r="CC10" s="18" t="str">
        <f t="shared" si="10"/>
        <v/>
      </c>
      <c r="CD10" s="18" t="str">
        <f t="shared" si="11"/>
        <v/>
      </c>
      <c r="CE10" s="18" t="str">
        <f t="shared" si="12"/>
        <v/>
      </c>
      <c r="CF10" s="18">
        <f>COUNTIF(BT10:CE10, "&gt;0")</f>
        <v>0</v>
      </c>
      <c r="CG10" s="18" t="str">
        <f t="shared" si="16"/>
        <v/>
      </c>
      <c r="CH10" s="18" t="str">
        <f t="shared" si="16"/>
        <v/>
      </c>
      <c r="CI10" s="18" t="str">
        <f t="shared" si="16"/>
        <v/>
      </c>
      <c r="CJ10" s="18" t="str">
        <f t="shared" si="16"/>
        <v/>
      </c>
      <c r="CK10" s="18" t="str">
        <f t="shared" si="16"/>
        <v/>
      </c>
      <c r="CL10" s="18" t="str">
        <f t="shared" si="16"/>
        <v/>
      </c>
      <c r="CM10" s="18" t="str">
        <f t="shared" si="16"/>
        <v/>
      </c>
      <c r="CN10" s="18" t="str">
        <f t="shared" si="16"/>
        <v/>
      </c>
      <c r="CO10" s="18" t="str">
        <f t="shared" si="16"/>
        <v/>
      </c>
      <c r="CP10" s="18" t="str">
        <f t="shared" si="16"/>
        <v/>
      </c>
      <c r="CQ10" s="18" t="str">
        <f t="shared" si="16"/>
        <v/>
      </c>
      <c r="CR10" s="18" t="str">
        <f t="shared" si="16"/>
        <v/>
      </c>
      <c r="CS10" s="30">
        <f>SUM(AE10:BO10)</f>
        <v>40</v>
      </c>
    </row>
    <row r="11" spans="1:97" x14ac:dyDescent="0.15">
      <c r="A11" s="1"/>
      <c r="B11" s="1" t="s">
        <v>65</v>
      </c>
      <c r="C11" s="1"/>
      <c r="D11" s="1"/>
      <c r="E11" s="6">
        <f t="shared" ref="E11:AJ11" si="17">SUM(E3:E10)</f>
        <v>40</v>
      </c>
      <c r="F11" s="6">
        <f t="shared" si="17"/>
        <v>15</v>
      </c>
      <c r="G11" s="6">
        <f t="shared" si="17"/>
        <v>60</v>
      </c>
      <c r="H11" s="6">
        <f t="shared" si="17"/>
        <v>30</v>
      </c>
      <c r="I11" s="6">
        <f t="shared" si="17"/>
        <v>0</v>
      </c>
      <c r="J11" s="6">
        <f t="shared" si="17"/>
        <v>0</v>
      </c>
      <c r="K11" s="6">
        <f t="shared" si="17"/>
        <v>0</v>
      </c>
      <c r="L11" s="6">
        <f t="shared" si="17"/>
        <v>0</v>
      </c>
      <c r="M11" s="6">
        <f t="shared" si="17"/>
        <v>0</v>
      </c>
      <c r="N11" s="6">
        <f t="shared" si="17"/>
        <v>0</v>
      </c>
      <c r="O11" s="6">
        <f t="shared" si="17"/>
        <v>0</v>
      </c>
      <c r="P11" s="28">
        <f t="shared" si="17"/>
        <v>0</v>
      </c>
      <c r="Q11" s="28">
        <f t="shared" si="17"/>
        <v>0</v>
      </c>
      <c r="R11" s="28">
        <f t="shared" si="17"/>
        <v>0</v>
      </c>
      <c r="S11" s="28">
        <f t="shared" si="17"/>
        <v>0</v>
      </c>
      <c r="T11" s="28">
        <f t="shared" si="17"/>
        <v>0</v>
      </c>
      <c r="U11" s="28">
        <f t="shared" si="17"/>
        <v>0</v>
      </c>
      <c r="V11" s="28">
        <f t="shared" si="17"/>
        <v>0</v>
      </c>
      <c r="W11" s="28">
        <f t="shared" si="17"/>
        <v>0</v>
      </c>
      <c r="X11" s="28">
        <f t="shared" si="17"/>
        <v>0</v>
      </c>
      <c r="Y11" s="28">
        <f t="shared" si="17"/>
        <v>0</v>
      </c>
      <c r="Z11" s="28">
        <f t="shared" si="17"/>
        <v>0</v>
      </c>
      <c r="AA11" s="28">
        <f t="shared" si="17"/>
        <v>0</v>
      </c>
      <c r="AB11" s="28">
        <f t="shared" si="17"/>
        <v>0</v>
      </c>
      <c r="AC11" s="28">
        <f t="shared" si="17"/>
        <v>0</v>
      </c>
      <c r="AD11" s="28">
        <f t="shared" si="17"/>
        <v>0</v>
      </c>
      <c r="AE11" s="1">
        <f t="shared" si="17"/>
        <v>0</v>
      </c>
      <c r="AF11" s="1">
        <f t="shared" si="17"/>
        <v>0</v>
      </c>
      <c r="AG11" s="1">
        <f t="shared" si="17"/>
        <v>10</v>
      </c>
      <c r="AH11" s="1">
        <f t="shared" si="17"/>
        <v>0</v>
      </c>
      <c r="AI11" s="1">
        <f t="shared" si="17"/>
        <v>0</v>
      </c>
      <c r="AJ11" s="1">
        <f t="shared" si="17"/>
        <v>0</v>
      </c>
      <c r="AK11" s="1">
        <f t="shared" ref="AK11:BP11" si="18">SUM(AK3:AK10)</f>
        <v>0</v>
      </c>
      <c r="AL11" s="1">
        <f t="shared" si="18"/>
        <v>0</v>
      </c>
      <c r="AM11" s="1">
        <f t="shared" si="18"/>
        <v>0</v>
      </c>
      <c r="AN11" s="1">
        <f t="shared" si="18"/>
        <v>0</v>
      </c>
      <c r="AO11" s="1">
        <f t="shared" si="18"/>
        <v>0</v>
      </c>
      <c r="AP11" s="1">
        <f t="shared" si="18"/>
        <v>0</v>
      </c>
      <c r="AQ11" s="4">
        <f t="shared" si="18"/>
        <v>0</v>
      </c>
      <c r="AR11" s="4">
        <f t="shared" si="18"/>
        <v>40</v>
      </c>
      <c r="AS11" s="4">
        <f t="shared" si="18"/>
        <v>0</v>
      </c>
      <c r="AT11" s="4">
        <f t="shared" si="18"/>
        <v>20</v>
      </c>
      <c r="AU11" s="4">
        <f t="shared" si="18"/>
        <v>0</v>
      </c>
      <c r="AV11" s="4">
        <f t="shared" si="18"/>
        <v>0</v>
      </c>
      <c r="AW11" s="2">
        <f t="shared" si="18"/>
        <v>35</v>
      </c>
      <c r="AX11" s="2">
        <f t="shared" si="18"/>
        <v>35</v>
      </c>
      <c r="AY11" s="2">
        <f t="shared" si="18"/>
        <v>0</v>
      </c>
      <c r="AZ11" s="2">
        <f t="shared" si="18"/>
        <v>0</v>
      </c>
      <c r="BA11" s="2">
        <f t="shared" si="18"/>
        <v>30</v>
      </c>
      <c r="BB11" s="2">
        <f t="shared" si="18"/>
        <v>70</v>
      </c>
      <c r="BC11" s="1">
        <f t="shared" si="18"/>
        <v>0</v>
      </c>
      <c r="BD11" s="1">
        <f t="shared" si="18"/>
        <v>0</v>
      </c>
      <c r="BE11" s="1">
        <f t="shared" si="18"/>
        <v>0</v>
      </c>
      <c r="BF11" s="1">
        <f t="shared" si="18"/>
        <v>0</v>
      </c>
      <c r="BG11" s="1">
        <f t="shared" si="18"/>
        <v>0</v>
      </c>
      <c r="BH11" s="1">
        <f t="shared" si="18"/>
        <v>20</v>
      </c>
      <c r="BI11" s="1">
        <f t="shared" si="18"/>
        <v>0</v>
      </c>
      <c r="BJ11" s="1">
        <f t="shared" si="18"/>
        <v>0</v>
      </c>
      <c r="BK11" s="1">
        <f t="shared" si="18"/>
        <v>0</v>
      </c>
      <c r="BL11" s="1">
        <f t="shared" si="18"/>
        <v>0</v>
      </c>
      <c r="BM11" s="1">
        <f t="shared" si="18"/>
        <v>0</v>
      </c>
      <c r="BN11" s="1">
        <f t="shared" si="18"/>
        <v>0</v>
      </c>
      <c r="BO11" s="1">
        <f t="shared" si="18"/>
        <v>0</v>
      </c>
      <c r="BP11" s="1"/>
      <c r="BQ11" s="1"/>
      <c r="BR11" s="17"/>
      <c r="BS11" s="17"/>
      <c r="BT11" s="1">
        <f t="shared" ref="BT11:CE11" si="19">MIN(BT3:BT10)</f>
        <v>0</v>
      </c>
      <c r="BU11" s="1">
        <f t="shared" si="19"/>
        <v>0</v>
      </c>
      <c r="BV11" s="1">
        <f t="shared" si="19"/>
        <v>0</v>
      </c>
      <c r="BW11" s="1">
        <f t="shared" si="19"/>
        <v>0</v>
      </c>
      <c r="BX11" s="1">
        <f t="shared" si="19"/>
        <v>0</v>
      </c>
      <c r="BY11" s="1">
        <f t="shared" si="19"/>
        <v>0</v>
      </c>
      <c r="BZ11" s="1">
        <f t="shared" si="19"/>
        <v>0</v>
      </c>
      <c r="CA11" s="1">
        <f t="shared" si="19"/>
        <v>0</v>
      </c>
      <c r="CB11" s="1">
        <f t="shared" si="19"/>
        <v>0</v>
      </c>
      <c r="CC11" s="1">
        <f t="shared" si="19"/>
        <v>0</v>
      </c>
      <c r="CD11" s="1">
        <f t="shared" si="19"/>
        <v>0</v>
      </c>
      <c r="CE11" s="1">
        <f t="shared" si="19"/>
        <v>0</v>
      </c>
      <c r="CF11" s="1"/>
      <c r="CG11" s="1">
        <f t="shared" ref="CG11:CR11" si="20">MIN(CG3:CG10)</f>
        <v>0</v>
      </c>
      <c r="CH11" s="1">
        <f t="shared" si="20"/>
        <v>0</v>
      </c>
      <c r="CI11" s="1">
        <f t="shared" si="20"/>
        <v>0</v>
      </c>
      <c r="CJ11" s="1">
        <f t="shared" si="20"/>
        <v>0</v>
      </c>
      <c r="CK11" s="1">
        <f t="shared" si="20"/>
        <v>0</v>
      </c>
      <c r="CL11" s="1">
        <f t="shared" si="20"/>
        <v>0</v>
      </c>
      <c r="CM11" s="1">
        <f t="shared" si="20"/>
        <v>0</v>
      </c>
      <c r="CN11" s="1">
        <f t="shared" si="20"/>
        <v>0</v>
      </c>
      <c r="CO11" s="1">
        <f t="shared" si="20"/>
        <v>0</v>
      </c>
      <c r="CP11" s="1">
        <f t="shared" si="20"/>
        <v>0</v>
      </c>
      <c r="CQ11" s="1">
        <f t="shared" si="20"/>
        <v>0</v>
      </c>
      <c r="CR11" s="1">
        <f t="shared" si="20"/>
        <v>0</v>
      </c>
      <c r="CS11" s="3">
        <f>COUNTIF(CS3:CS10,"=0")</f>
        <v>0</v>
      </c>
    </row>
    <row r="12" spans="1:97" x14ac:dyDescent="0.15">
      <c r="A12" s="1"/>
      <c r="B12" s="3" t="s">
        <v>85</v>
      </c>
      <c r="C12" s="1"/>
      <c r="D12" s="1"/>
      <c r="E12" s="1">
        <v>33</v>
      </c>
      <c r="F12" s="1">
        <v>3</v>
      </c>
      <c r="G12" s="1">
        <v>42</v>
      </c>
      <c r="H12" s="1">
        <v>25</v>
      </c>
      <c r="I12" s="1">
        <v>34</v>
      </c>
      <c r="J12" s="1">
        <v>39</v>
      </c>
      <c r="K12" s="1">
        <v>13</v>
      </c>
      <c r="L12" s="1">
        <v>64</v>
      </c>
      <c r="M12" s="1">
        <v>42</v>
      </c>
      <c r="N12" s="1">
        <v>30</v>
      </c>
      <c r="O12" s="1">
        <v>3</v>
      </c>
      <c r="P12" s="14">
        <v>2</v>
      </c>
      <c r="Q12" s="14">
        <v>1</v>
      </c>
      <c r="R12" s="14">
        <v>2</v>
      </c>
      <c r="S12" s="14">
        <v>1</v>
      </c>
      <c r="T12" s="14">
        <v>5</v>
      </c>
      <c r="U12" s="14">
        <v>0</v>
      </c>
      <c r="V12" s="14">
        <v>2</v>
      </c>
      <c r="W12" s="14">
        <v>2</v>
      </c>
      <c r="X12" s="14">
        <v>6</v>
      </c>
      <c r="Y12" s="14">
        <v>0</v>
      </c>
      <c r="Z12" s="14">
        <v>1</v>
      </c>
      <c r="AA12" s="14">
        <v>1</v>
      </c>
      <c r="AB12" s="14">
        <v>8</v>
      </c>
      <c r="AC12" s="14">
        <v>2</v>
      </c>
      <c r="AD12" s="14">
        <v>4</v>
      </c>
      <c r="AE12" s="1">
        <v>13</v>
      </c>
      <c r="AF12" s="1">
        <v>0</v>
      </c>
      <c r="AG12" s="1">
        <v>2</v>
      </c>
      <c r="AH12" s="1">
        <v>0</v>
      </c>
      <c r="AI12" s="1">
        <v>0</v>
      </c>
      <c r="AJ12" s="1">
        <v>0</v>
      </c>
      <c r="AK12" s="1">
        <v>33</v>
      </c>
      <c r="AL12" s="1">
        <v>43</v>
      </c>
      <c r="AM12" s="1">
        <v>0</v>
      </c>
      <c r="AN12" s="1">
        <v>0</v>
      </c>
      <c r="AO12" s="1">
        <v>0</v>
      </c>
      <c r="AP12" s="1">
        <v>0</v>
      </c>
      <c r="AQ12" s="14">
        <v>5</v>
      </c>
      <c r="AR12" s="14">
        <v>5</v>
      </c>
      <c r="AS12" s="14">
        <v>2</v>
      </c>
      <c r="AT12" s="14">
        <v>10</v>
      </c>
      <c r="AU12" s="14">
        <v>9</v>
      </c>
      <c r="AV12" s="14">
        <v>14</v>
      </c>
      <c r="AW12" s="14">
        <v>9</v>
      </c>
      <c r="AX12" s="14">
        <v>29</v>
      </c>
      <c r="AY12" s="14">
        <v>20</v>
      </c>
      <c r="AZ12" s="14">
        <v>11</v>
      </c>
      <c r="BA12" s="14">
        <v>7</v>
      </c>
      <c r="BB12" s="14">
        <v>100</v>
      </c>
      <c r="BC12" s="14">
        <v>10</v>
      </c>
      <c r="BD12" s="1">
        <v>162</v>
      </c>
      <c r="BE12" s="1">
        <v>244</v>
      </c>
      <c r="BF12" s="1">
        <v>233</v>
      </c>
      <c r="BG12" s="1">
        <v>242</v>
      </c>
      <c r="BH12" s="1">
        <v>141</v>
      </c>
      <c r="BI12" s="1">
        <v>154</v>
      </c>
      <c r="BJ12" s="1">
        <v>33</v>
      </c>
      <c r="BK12" s="1">
        <v>33</v>
      </c>
      <c r="BL12" s="1">
        <v>65</v>
      </c>
      <c r="BM12" s="1"/>
      <c r="BN12" s="1">
        <v>5</v>
      </c>
      <c r="BO12" s="1"/>
      <c r="BP12" s="1"/>
      <c r="BQ12" s="1"/>
      <c r="BR12" s="17"/>
      <c r="BS12" s="17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</row>
    <row r="13" spans="1:97" x14ac:dyDescent="0.15">
      <c r="A13" s="1"/>
      <c r="B13" s="3" t="s">
        <v>92</v>
      </c>
      <c r="C13" s="1"/>
      <c r="D13" s="1"/>
      <c r="E13" s="1">
        <f t="shared" ref="E13:BO13" si="21">E12-E11</f>
        <v>-7</v>
      </c>
      <c r="F13" s="1">
        <f t="shared" si="21"/>
        <v>-12</v>
      </c>
      <c r="G13" s="1">
        <f t="shared" si="21"/>
        <v>-18</v>
      </c>
      <c r="H13" s="1">
        <f t="shared" si="21"/>
        <v>-5</v>
      </c>
      <c r="I13" s="1">
        <f t="shared" si="21"/>
        <v>34</v>
      </c>
      <c r="J13" s="1">
        <f t="shared" si="21"/>
        <v>39</v>
      </c>
      <c r="K13" s="1">
        <f t="shared" si="21"/>
        <v>13</v>
      </c>
      <c r="L13" s="1">
        <f t="shared" si="21"/>
        <v>64</v>
      </c>
      <c r="M13" s="1">
        <f t="shared" si="21"/>
        <v>42</v>
      </c>
      <c r="N13" s="1">
        <f t="shared" si="21"/>
        <v>30</v>
      </c>
      <c r="O13" s="1">
        <f t="shared" si="21"/>
        <v>3</v>
      </c>
      <c r="P13" s="1">
        <f t="shared" si="21"/>
        <v>2</v>
      </c>
      <c r="Q13" s="1">
        <f t="shared" si="21"/>
        <v>1</v>
      </c>
      <c r="R13" s="1">
        <f t="shared" si="21"/>
        <v>2</v>
      </c>
      <c r="S13" s="1">
        <f t="shared" si="21"/>
        <v>1</v>
      </c>
      <c r="T13" s="1">
        <f t="shared" si="21"/>
        <v>5</v>
      </c>
      <c r="U13" s="1">
        <f t="shared" si="21"/>
        <v>0</v>
      </c>
      <c r="V13" s="1">
        <f t="shared" si="21"/>
        <v>2</v>
      </c>
      <c r="W13" s="1">
        <f t="shared" si="21"/>
        <v>2</v>
      </c>
      <c r="X13" s="1">
        <f t="shared" si="21"/>
        <v>6</v>
      </c>
      <c r="Y13" s="1">
        <f t="shared" si="21"/>
        <v>0</v>
      </c>
      <c r="Z13" s="1">
        <f t="shared" si="21"/>
        <v>1</v>
      </c>
      <c r="AA13" s="1">
        <f t="shared" si="21"/>
        <v>1</v>
      </c>
      <c r="AB13" s="1">
        <f t="shared" si="21"/>
        <v>8</v>
      </c>
      <c r="AC13" s="1">
        <f t="shared" si="21"/>
        <v>2</v>
      </c>
      <c r="AD13" s="1">
        <f t="shared" si="21"/>
        <v>4</v>
      </c>
      <c r="AE13" s="1">
        <f t="shared" si="21"/>
        <v>13</v>
      </c>
      <c r="AF13" s="1">
        <f t="shared" si="21"/>
        <v>0</v>
      </c>
      <c r="AG13" s="1">
        <f t="shared" si="21"/>
        <v>-8</v>
      </c>
      <c r="AH13" s="1">
        <f t="shared" si="21"/>
        <v>0</v>
      </c>
      <c r="AI13" s="1">
        <f t="shared" si="21"/>
        <v>0</v>
      </c>
      <c r="AJ13" s="1">
        <f t="shared" si="21"/>
        <v>0</v>
      </c>
      <c r="AK13" s="1">
        <f t="shared" si="21"/>
        <v>33</v>
      </c>
      <c r="AL13" s="1">
        <f t="shared" si="21"/>
        <v>43</v>
      </c>
      <c r="AM13" s="1">
        <f t="shared" si="21"/>
        <v>0</v>
      </c>
      <c r="AN13" s="1">
        <f t="shared" si="21"/>
        <v>0</v>
      </c>
      <c r="AO13" s="1">
        <f t="shared" si="21"/>
        <v>0</v>
      </c>
      <c r="AP13" s="1">
        <f t="shared" si="21"/>
        <v>0</v>
      </c>
      <c r="AQ13" s="1">
        <f t="shared" si="21"/>
        <v>5</v>
      </c>
      <c r="AR13" s="1">
        <f t="shared" si="21"/>
        <v>-35</v>
      </c>
      <c r="AS13" s="1">
        <f t="shared" si="21"/>
        <v>2</v>
      </c>
      <c r="AT13" s="1">
        <f t="shared" si="21"/>
        <v>-10</v>
      </c>
      <c r="AU13" s="1">
        <f t="shared" si="21"/>
        <v>9</v>
      </c>
      <c r="AV13" s="1">
        <f t="shared" si="21"/>
        <v>14</v>
      </c>
      <c r="AW13" s="1">
        <f t="shared" si="21"/>
        <v>-26</v>
      </c>
      <c r="AX13" s="1">
        <f t="shared" si="21"/>
        <v>-6</v>
      </c>
      <c r="AY13" s="1">
        <f t="shared" si="21"/>
        <v>20</v>
      </c>
      <c r="AZ13" s="1">
        <f t="shared" si="21"/>
        <v>11</v>
      </c>
      <c r="BA13" s="1">
        <f t="shared" si="21"/>
        <v>-23</v>
      </c>
      <c r="BB13" s="1">
        <f t="shared" si="21"/>
        <v>30</v>
      </c>
      <c r="BC13" s="1">
        <f t="shared" si="21"/>
        <v>10</v>
      </c>
      <c r="BD13" s="1">
        <f t="shared" si="21"/>
        <v>162</v>
      </c>
      <c r="BE13" s="1">
        <f t="shared" si="21"/>
        <v>244</v>
      </c>
      <c r="BF13" s="1">
        <f t="shared" si="21"/>
        <v>233</v>
      </c>
      <c r="BG13" s="1">
        <f t="shared" si="21"/>
        <v>242</v>
      </c>
      <c r="BH13" s="1">
        <f t="shared" si="21"/>
        <v>121</v>
      </c>
      <c r="BI13" s="1">
        <f t="shared" si="21"/>
        <v>154</v>
      </c>
      <c r="BJ13" s="1">
        <f t="shared" si="21"/>
        <v>33</v>
      </c>
      <c r="BK13" s="1">
        <f t="shared" si="21"/>
        <v>33</v>
      </c>
      <c r="BL13" s="1">
        <f t="shared" si="21"/>
        <v>65</v>
      </c>
      <c r="BM13" s="1">
        <f t="shared" si="21"/>
        <v>0</v>
      </c>
      <c r="BN13" s="1">
        <f t="shared" si="21"/>
        <v>5</v>
      </c>
      <c r="BO13" s="1">
        <f t="shared" si="21"/>
        <v>0</v>
      </c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x14ac:dyDescent="0.15">
      <c r="A14" s="1"/>
      <c r="B14" s="3" t="s">
        <v>180</v>
      </c>
      <c r="C14" s="1"/>
      <c r="D14" s="1"/>
      <c r="E14" s="1">
        <f t="shared" ref="E14:AJ14" si="22">MAX(E3:E10)</f>
        <v>15</v>
      </c>
      <c r="F14" s="1">
        <f t="shared" si="22"/>
        <v>10</v>
      </c>
      <c r="G14" s="1">
        <f t="shared" si="22"/>
        <v>15</v>
      </c>
      <c r="H14" s="1">
        <f t="shared" si="22"/>
        <v>15</v>
      </c>
      <c r="I14" s="1">
        <f t="shared" si="22"/>
        <v>0</v>
      </c>
      <c r="J14" s="1">
        <f t="shared" si="22"/>
        <v>0</v>
      </c>
      <c r="K14" s="1">
        <f t="shared" si="22"/>
        <v>0</v>
      </c>
      <c r="L14" s="1">
        <f t="shared" si="22"/>
        <v>0</v>
      </c>
      <c r="M14" s="1">
        <f t="shared" si="22"/>
        <v>0</v>
      </c>
      <c r="N14" s="1">
        <f t="shared" si="22"/>
        <v>0</v>
      </c>
      <c r="O14" s="1">
        <f t="shared" si="22"/>
        <v>0</v>
      </c>
      <c r="P14" s="1">
        <f t="shared" si="22"/>
        <v>0</v>
      </c>
      <c r="Q14" s="1">
        <f t="shared" si="22"/>
        <v>0</v>
      </c>
      <c r="R14" s="1">
        <f t="shared" si="22"/>
        <v>0</v>
      </c>
      <c r="S14" s="1">
        <f t="shared" si="22"/>
        <v>0</v>
      </c>
      <c r="T14" s="1">
        <f t="shared" si="22"/>
        <v>0</v>
      </c>
      <c r="U14" s="1">
        <f t="shared" si="22"/>
        <v>0</v>
      </c>
      <c r="V14" s="1">
        <f t="shared" si="22"/>
        <v>0</v>
      </c>
      <c r="W14" s="1">
        <f t="shared" si="22"/>
        <v>0</v>
      </c>
      <c r="X14" s="1">
        <f t="shared" si="22"/>
        <v>0</v>
      </c>
      <c r="Y14" s="1">
        <f t="shared" si="22"/>
        <v>0</v>
      </c>
      <c r="Z14" s="1">
        <f t="shared" si="22"/>
        <v>0</v>
      </c>
      <c r="AA14" s="1">
        <f t="shared" si="22"/>
        <v>0</v>
      </c>
      <c r="AB14" s="1">
        <f t="shared" si="22"/>
        <v>0</v>
      </c>
      <c r="AC14" s="1">
        <f t="shared" si="22"/>
        <v>0</v>
      </c>
      <c r="AD14" s="1">
        <f t="shared" si="22"/>
        <v>0</v>
      </c>
      <c r="AE14" s="1">
        <f t="shared" si="22"/>
        <v>0</v>
      </c>
      <c r="AF14" s="1">
        <f t="shared" si="22"/>
        <v>0</v>
      </c>
      <c r="AG14" s="1">
        <f t="shared" si="22"/>
        <v>5</v>
      </c>
      <c r="AH14" s="1">
        <f t="shared" si="22"/>
        <v>0</v>
      </c>
      <c r="AI14" s="1">
        <f t="shared" si="22"/>
        <v>0</v>
      </c>
      <c r="AJ14" s="1">
        <f t="shared" si="22"/>
        <v>0</v>
      </c>
      <c r="AK14" s="1">
        <f t="shared" ref="AK14:BO14" si="23">MAX(AK3:AK10)</f>
        <v>0</v>
      </c>
      <c r="AL14" s="1">
        <f t="shared" si="23"/>
        <v>0</v>
      </c>
      <c r="AM14" s="1">
        <f t="shared" si="23"/>
        <v>0</v>
      </c>
      <c r="AN14" s="1">
        <f t="shared" si="23"/>
        <v>0</v>
      </c>
      <c r="AO14" s="1">
        <f t="shared" si="23"/>
        <v>0</v>
      </c>
      <c r="AP14" s="1">
        <f t="shared" si="23"/>
        <v>0</v>
      </c>
      <c r="AQ14" s="1">
        <f t="shared" si="23"/>
        <v>0</v>
      </c>
      <c r="AR14" s="1">
        <f t="shared" si="23"/>
        <v>15</v>
      </c>
      <c r="AS14" s="1">
        <f t="shared" si="23"/>
        <v>0</v>
      </c>
      <c r="AT14" s="1">
        <f t="shared" si="23"/>
        <v>20</v>
      </c>
      <c r="AU14" s="1">
        <f t="shared" si="23"/>
        <v>0</v>
      </c>
      <c r="AV14" s="1">
        <f t="shared" si="23"/>
        <v>0</v>
      </c>
      <c r="AW14" s="1">
        <f t="shared" si="23"/>
        <v>20</v>
      </c>
      <c r="AX14" s="1">
        <f t="shared" si="23"/>
        <v>20</v>
      </c>
      <c r="AY14" s="1">
        <f t="shared" si="23"/>
        <v>0</v>
      </c>
      <c r="AZ14" s="1">
        <f t="shared" si="23"/>
        <v>0</v>
      </c>
      <c r="BA14" s="1">
        <f t="shared" si="23"/>
        <v>15</v>
      </c>
      <c r="BB14" s="1">
        <f t="shared" si="23"/>
        <v>15</v>
      </c>
      <c r="BC14" s="1">
        <f t="shared" si="23"/>
        <v>0</v>
      </c>
      <c r="BD14" s="1">
        <f t="shared" si="23"/>
        <v>0</v>
      </c>
      <c r="BE14" s="1">
        <f t="shared" si="23"/>
        <v>0</v>
      </c>
      <c r="BF14" s="1">
        <f t="shared" si="23"/>
        <v>0</v>
      </c>
      <c r="BG14" s="1">
        <f t="shared" si="23"/>
        <v>0</v>
      </c>
      <c r="BH14" s="1">
        <f t="shared" si="23"/>
        <v>20</v>
      </c>
      <c r="BI14" s="1">
        <f t="shared" si="23"/>
        <v>0</v>
      </c>
      <c r="BJ14" s="1">
        <f t="shared" si="23"/>
        <v>0</v>
      </c>
      <c r="BK14" s="1">
        <f t="shared" si="23"/>
        <v>0</v>
      </c>
      <c r="BL14" s="1">
        <f t="shared" si="23"/>
        <v>0</v>
      </c>
      <c r="BM14" s="1">
        <f t="shared" si="23"/>
        <v>0</v>
      </c>
      <c r="BN14" s="1">
        <f t="shared" si="23"/>
        <v>0</v>
      </c>
      <c r="BO14" s="1">
        <f t="shared" si="23"/>
        <v>0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  <row r="15" spans="1:97" x14ac:dyDescent="0.15">
      <c r="A15" s="1"/>
      <c r="B15" s="3" t="s">
        <v>181</v>
      </c>
      <c r="C15" s="1"/>
      <c r="D15" s="1"/>
      <c r="E15" s="1">
        <f t="shared" ref="E15:AJ15" si="24">MIN(E3:E10)</f>
        <v>10</v>
      </c>
      <c r="F15" s="1">
        <f t="shared" si="24"/>
        <v>5</v>
      </c>
      <c r="G15" s="1">
        <f t="shared" si="24"/>
        <v>15</v>
      </c>
      <c r="H15" s="1">
        <f t="shared" si="24"/>
        <v>15</v>
      </c>
      <c r="I15" s="1">
        <f t="shared" si="24"/>
        <v>0</v>
      </c>
      <c r="J15" s="1">
        <f t="shared" si="24"/>
        <v>0</v>
      </c>
      <c r="K15" s="1">
        <f t="shared" si="24"/>
        <v>0</v>
      </c>
      <c r="L15" s="1">
        <f t="shared" si="24"/>
        <v>0</v>
      </c>
      <c r="M15" s="1">
        <f t="shared" si="24"/>
        <v>0</v>
      </c>
      <c r="N15" s="1">
        <f t="shared" si="24"/>
        <v>0</v>
      </c>
      <c r="O15" s="1">
        <f t="shared" si="24"/>
        <v>0</v>
      </c>
      <c r="P15" s="1">
        <f t="shared" si="24"/>
        <v>0</v>
      </c>
      <c r="Q15" s="1">
        <f t="shared" si="24"/>
        <v>0</v>
      </c>
      <c r="R15" s="1">
        <f t="shared" si="24"/>
        <v>0</v>
      </c>
      <c r="S15" s="1">
        <f t="shared" si="24"/>
        <v>0</v>
      </c>
      <c r="T15" s="1">
        <f t="shared" si="24"/>
        <v>0</v>
      </c>
      <c r="U15" s="1">
        <f t="shared" si="24"/>
        <v>0</v>
      </c>
      <c r="V15" s="1">
        <f t="shared" si="24"/>
        <v>0</v>
      </c>
      <c r="W15" s="1">
        <f t="shared" si="24"/>
        <v>0</v>
      </c>
      <c r="X15" s="1">
        <f t="shared" si="24"/>
        <v>0</v>
      </c>
      <c r="Y15" s="1">
        <f t="shared" si="24"/>
        <v>0</v>
      </c>
      <c r="Z15" s="1">
        <f t="shared" si="24"/>
        <v>0</v>
      </c>
      <c r="AA15" s="1">
        <f t="shared" si="24"/>
        <v>0</v>
      </c>
      <c r="AB15" s="1">
        <f t="shared" si="24"/>
        <v>0</v>
      </c>
      <c r="AC15" s="1">
        <f t="shared" si="24"/>
        <v>0</v>
      </c>
      <c r="AD15" s="1">
        <f t="shared" si="24"/>
        <v>0</v>
      </c>
      <c r="AE15" s="1">
        <f t="shared" si="24"/>
        <v>0</v>
      </c>
      <c r="AF15" s="1">
        <f t="shared" si="24"/>
        <v>0</v>
      </c>
      <c r="AG15" s="1">
        <f t="shared" si="24"/>
        <v>5</v>
      </c>
      <c r="AH15" s="1">
        <f t="shared" si="24"/>
        <v>0</v>
      </c>
      <c r="AI15" s="1">
        <f t="shared" si="24"/>
        <v>0</v>
      </c>
      <c r="AJ15" s="1">
        <f t="shared" si="24"/>
        <v>0</v>
      </c>
      <c r="AK15" s="1">
        <f t="shared" ref="AK15:BO15" si="25">MIN(AK3:AK10)</f>
        <v>0</v>
      </c>
      <c r="AL15" s="1">
        <f t="shared" si="25"/>
        <v>0</v>
      </c>
      <c r="AM15" s="1">
        <f t="shared" si="25"/>
        <v>0</v>
      </c>
      <c r="AN15" s="1">
        <f t="shared" si="25"/>
        <v>0</v>
      </c>
      <c r="AO15" s="1">
        <f t="shared" si="25"/>
        <v>0</v>
      </c>
      <c r="AP15" s="1">
        <f t="shared" si="25"/>
        <v>0</v>
      </c>
      <c r="AQ15" s="1">
        <f t="shared" si="25"/>
        <v>0</v>
      </c>
      <c r="AR15" s="1">
        <f t="shared" si="25"/>
        <v>10</v>
      </c>
      <c r="AS15" s="1">
        <f t="shared" si="25"/>
        <v>0</v>
      </c>
      <c r="AT15" s="1">
        <f t="shared" si="25"/>
        <v>20</v>
      </c>
      <c r="AU15" s="1">
        <f t="shared" si="25"/>
        <v>0</v>
      </c>
      <c r="AV15" s="1">
        <f t="shared" si="25"/>
        <v>0</v>
      </c>
      <c r="AW15" s="1">
        <f t="shared" si="25"/>
        <v>15</v>
      </c>
      <c r="AX15" s="1">
        <f t="shared" si="25"/>
        <v>15</v>
      </c>
      <c r="AY15" s="1">
        <f t="shared" si="25"/>
        <v>0</v>
      </c>
      <c r="AZ15" s="1">
        <f t="shared" si="25"/>
        <v>0</v>
      </c>
      <c r="BA15" s="1">
        <f t="shared" si="25"/>
        <v>15</v>
      </c>
      <c r="BB15" s="1">
        <f t="shared" si="25"/>
        <v>10</v>
      </c>
      <c r="BC15" s="1">
        <f t="shared" si="25"/>
        <v>0</v>
      </c>
      <c r="BD15" s="1">
        <f t="shared" si="25"/>
        <v>0</v>
      </c>
      <c r="BE15" s="1">
        <f t="shared" si="25"/>
        <v>0</v>
      </c>
      <c r="BF15" s="1">
        <f t="shared" si="25"/>
        <v>0</v>
      </c>
      <c r="BG15" s="1">
        <f t="shared" si="25"/>
        <v>0</v>
      </c>
      <c r="BH15" s="1">
        <f t="shared" si="25"/>
        <v>20</v>
      </c>
      <c r="BI15" s="1">
        <f t="shared" si="25"/>
        <v>0</v>
      </c>
      <c r="BJ15" s="1">
        <f t="shared" si="25"/>
        <v>0</v>
      </c>
      <c r="BK15" s="1">
        <f t="shared" si="25"/>
        <v>0</v>
      </c>
      <c r="BL15" s="1">
        <f t="shared" si="25"/>
        <v>0</v>
      </c>
      <c r="BM15" s="1">
        <f t="shared" si="25"/>
        <v>0</v>
      </c>
      <c r="BN15" s="1">
        <f t="shared" si="25"/>
        <v>0</v>
      </c>
      <c r="BO15" s="1">
        <f t="shared" si="25"/>
        <v>0</v>
      </c>
      <c r="BP15" s="1"/>
      <c r="BQ15" s="1"/>
      <c r="BR15" s="17"/>
      <c r="BS15" s="17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</row>
    <row r="16" spans="1:97" x14ac:dyDescent="0.15">
      <c r="A16" s="1"/>
      <c r="B16" s="3" t="s">
        <v>182</v>
      </c>
      <c r="C16" s="1"/>
      <c r="D16" s="1"/>
      <c r="E16" s="1">
        <f t="shared" ref="E16:BO16" si="26">E12-E14</f>
        <v>18</v>
      </c>
      <c r="F16" s="1">
        <f t="shared" si="26"/>
        <v>-7</v>
      </c>
      <c r="G16" s="1">
        <f t="shared" si="26"/>
        <v>27</v>
      </c>
      <c r="H16" s="1">
        <f t="shared" si="26"/>
        <v>10</v>
      </c>
      <c r="I16" s="1">
        <f t="shared" si="26"/>
        <v>34</v>
      </c>
      <c r="J16" s="1">
        <f t="shared" si="26"/>
        <v>39</v>
      </c>
      <c r="K16" s="1">
        <f t="shared" si="26"/>
        <v>13</v>
      </c>
      <c r="L16" s="1">
        <f t="shared" si="26"/>
        <v>64</v>
      </c>
      <c r="M16" s="1">
        <f t="shared" si="26"/>
        <v>42</v>
      </c>
      <c r="N16" s="1">
        <f t="shared" si="26"/>
        <v>30</v>
      </c>
      <c r="O16" s="1">
        <f t="shared" si="26"/>
        <v>3</v>
      </c>
      <c r="P16" s="1">
        <f t="shared" si="26"/>
        <v>2</v>
      </c>
      <c r="Q16" s="1">
        <f t="shared" si="26"/>
        <v>1</v>
      </c>
      <c r="R16" s="1">
        <f t="shared" si="26"/>
        <v>2</v>
      </c>
      <c r="S16" s="1">
        <f t="shared" si="26"/>
        <v>1</v>
      </c>
      <c r="T16" s="1">
        <f t="shared" si="26"/>
        <v>5</v>
      </c>
      <c r="U16" s="1">
        <f t="shared" si="26"/>
        <v>0</v>
      </c>
      <c r="V16" s="1">
        <f t="shared" si="26"/>
        <v>2</v>
      </c>
      <c r="W16" s="1">
        <f t="shared" si="26"/>
        <v>2</v>
      </c>
      <c r="X16" s="1">
        <f t="shared" si="26"/>
        <v>6</v>
      </c>
      <c r="Y16" s="1">
        <f t="shared" si="26"/>
        <v>0</v>
      </c>
      <c r="Z16" s="1">
        <f t="shared" si="26"/>
        <v>1</v>
      </c>
      <c r="AA16" s="1">
        <f t="shared" si="26"/>
        <v>1</v>
      </c>
      <c r="AB16" s="1">
        <f t="shared" si="26"/>
        <v>8</v>
      </c>
      <c r="AC16" s="1">
        <f t="shared" si="26"/>
        <v>2</v>
      </c>
      <c r="AD16" s="1">
        <f t="shared" si="26"/>
        <v>4</v>
      </c>
      <c r="AE16" s="1">
        <f t="shared" si="26"/>
        <v>13</v>
      </c>
      <c r="AF16" s="1">
        <f t="shared" si="26"/>
        <v>0</v>
      </c>
      <c r="AG16" s="1">
        <f t="shared" si="26"/>
        <v>-3</v>
      </c>
      <c r="AH16" s="1">
        <f t="shared" si="26"/>
        <v>0</v>
      </c>
      <c r="AI16" s="1">
        <f t="shared" si="26"/>
        <v>0</v>
      </c>
      <c r="AJ16" s="1">
        <f t="shared" si="26"/>
        <v>0</v>
      </c>
      <c r="AK16" s="1">
        <f t="shared" si="26"/>
        <v>33</v>
      </c>
      <c r="AL16" s="1">
        <f t="shared" si="26"/>
        <v>43</v>
      </c>
      <c r="AM16" s="1">
        <f t="shared" si="26"/>
        <v>0</v>
      </c>
      <c r="AN16" s="1">
        <f t="shared" si="26"/>
        <v>0</v>
      </c>
      <c r="AO16" s="1">
        <f t="shared" si="26"/>
        <v>0</v>
      </c>
      <c r="AP16" s="1">
        <f t="shared" si="26"/>
        <v>0</v>
      </c>
      <c r="AQ16" s="1">
        <f t="shared" si="26"/>
        <v>5</v>
      </c>
      <c r="AR16" s="1">
        <f t="shared" si="26"/>
        <v>-10</v>
      </c>
      <c r="AS16" s="1">
        <f t="shared" si="26"/>
        <v>2</v>
      </c>
      <c r="AT16" s="1">
        <f t="shared" si="26"/>
        <v>-10</v>
      </c>
      <c r="AU16" s="1">
        <f t="shared" si="26"/>
        <v>9</v>
      </c>
      <c r="AV16" s="1">
        <f t="shared" si="26"/>
        <v>14</v>
      </c>
      <c r="AW16" s="1">
        <f t="shared" si="26"/>
        <v>-11</v>
      </c>
      <c r="AX16" s="1">
        <f t="shared" si="26"/>
        <v>9</v>
      </c>
      <c r="AY16" s="1">
        <f t="shared" si="26"/>
        <v>20</v>
      </c>
      <c r="AZ16" s="1">
        <f t="shared" si="26"/>
        <v>11</v>
      </c>
      <c r="BA16" s="1">
        <f t="shared" si="26"/>
        <v>-8</v>
      </c>
      <c r="BB16" s="1">
        <f t="shared" si="26"/>
        <v>85</v>
      </c>
      <c r="BC16" s="1">
        <f t="shared" si="26"/>
        <v>10</v>
      </c>
      <c r="BD16" s="1">
        <f t="shared" si="26"/>
        <v>162</v>
      </c>
      <c r="BE16" s="1">
        <f t="shared" si="26"/>
        <v>244</v>
      </c>
      <c r="BF16" s="1">
        <f t="shared" si="26"/>
        <v>233</v>
      </c>
      <c r="BG16" s="1">
        <f t="shared" si="26"/>
        <v>242</v>
      </c>
      <c r="BH16" s="1">
        <f t="shared" si="26"/>
        <v>121</v>
      </c>
      <c r="BI16" s="1">
        <f t="shared" si="26"/>
        <v>154</v>
      </c>
      <c r="BJ16" s="1">
        <f t="shared" si="26"/>
        <v>33</v>
      </c>
      <c r="BK16" s="1">
        <f t="shared" si="26"/>
        <v>33</v>
      </c>
      <c r="BL16" s="1">
        <f t="shared" si="26"/>
        <v>65</v>
      </c>
      <c r="BM16" s="1">
        <f t="shared" si="26"/>
        <v>0</v>
      </c>
      <c r="BN16" s="1">
        <f t="shared" si="26"/>
        <v>5</v>
      </c>
      <c r="BO16" s="1">
        <f t="shared" si="26"/>
        <v>0</v>
      </c>
      <c r="BP16" s="1"/>
      <c r="BQ16" s="1"/>
      <c r="BR16" s="17"/>
      <c r="BS16" s="17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</row>
    <row r="17" spans="1:97" s="13" customFormat="1" x14ac:dyDescent="0.15">
      <c r="A17" s="1"/>
      <c r="B17" s="3" t="s">
        <v>183</v>
      </c>
      <c r="C17" s="1"/>
      <c r="D17" s="1"/>
      <c r="E17" s="1">
        <f t="shared" ref="E17:BO17" si="27">E12-E15</f>
        <v>23</v>
      </c>
      <c r="F17" s="1">
        <f t="shared" si="27"/>
        <v>-2</v>
      </c>
      <c r="G17" s="1">
        <f t="shared" si="27"/>
        <v>27</v>
      </c>
      <c r="H17" s="1">
        <f t="shared" si="27"/>
        <v>10</v>
      </c>
      <c r="I17" s="1">
        <f t="shared" si="27"/>
        <v>34</v>
      </c>
      <c r="J17" s="1">
        <f t="shared" si="27"/>
        <v>39</v>
      </c>
      <c r="K17" s="1">
        <f t="shared" si="27"/>
        <v>13</v>
      </c>
      <c r="L17" s="1">
        <f t="shared" si="27"/>
        <v>64</v>
      </c>
      <c r="M17" s="1">
        <f t="shared" si="27"/>
        <v>42</v>
      </c>
      <c r="N17" s="1">
        <f t="shared" si="27"/>
        <v>30</v>
      </c>
      <c r="O17" s="1">
        <f t="shared" si="27"/>
        <v>3</v>
      </c>
      <c r="P17" s="1">
        <f t="shared" si="27"/>
        <v>2</v>
      </c>
      <c r="Q17" s="1">
        <f t="shared" si="27"/>
        <v>1</v>
      </c>
      <c r="R17" s="1">
        <f t="shared" si="27"/>
        <v>2</v>
      </c>
      <c r="S17" s="1">
        <f t="shared" si="27"/>
        <v>1</v>
      </c>
      <c r="T17" s="1">
        <f t="shared" si="27"/>
        <v>5</v>
      </c>
      <c r="U17" s="1">
        <f t="shared" si="27"/>
        <v>0</v>
      </c>
      <c r="V17" s="1">
        <f t="shared" si="27"/>
        <v>2</v>
      </c>
      <c r="W17" s="1">
        <f t="shared" si="27"/>
        <v>2</v>
      </c>
      <c r="X17" s="1">
        <f t="shared" si="27"/>
        <v>6</v>
      </c>
      <c r="Y17" s="1">
        <f t="shared" si="27"/>
        <v>0</v>
      </c>
      <c r="Z17" s="1">
        <f t="shared" si="27"/>
        <v>1</v>
      </c>
      <c r="AA17" s="1">
        <f t="shared" si="27"/>
        <v>1</v>
      </c>
      <c r="AB17" s="1">
        <f t="shared" si="27"/>
        <v>8</v>
      </c>
      <c r="AC17" s="1">
        <f t="shared" si="27"/>
        <v>2</v>
      </c>
      <c r="AD17" s="1">
        <f t="shared" si="27"/>
        <v>4</v>
      </c>
      <c r="AE17" s="1">
        <f t="shared" si="27"/>
        <v>13</v>
      </c>
      <c r="AF17" s="1">
        <f t="shared" si="27"/>
        <v>0</v>
      </c>
      <c r="AG17" s="1">
        <f t="shared" si="27"/>
        <v>-3</v>
      </c>
      <c r="AH17" s="1">
        <f t="shared" si="27"/>
        <v>0</v>
      </c>
      <c r="AI17" s="1">
        <f t="shared" si="27"/>
        <v>0</v>
      </c>
      <c r="AJ17" s="1">
        <f t="shared" si="27"/>
        <v>0</v>
      </c>
      <c r="AK17" s="1">
        <f t="shared" si="27"/>
        <v>33</v>
      </c>
      <c r="AL17" s="1">
        <f t="shared" si="27"/>
        <v>43</v>
      </c>
      <c r="AM17" s="1">
        <f t="shared" si="27"/>
        <v>0</v>
      </c>
      <c r="AN17" s="1">
        <f t="shared" si="27"/>
        <v>0</v>
      </c>
      <c r="AO17" s="1">
        <f t="shared" si="27"/>
        <v>0</v>
      </c>
      <c r="AP17" s="1">
        <f t="shared" si="27"/>
        <v>0</v>
      </c>
      <c r="AQ17" s="1">
        <f t="shared" si="27"/>
        <v>5</v>
      </c>
      <c r="AR17" s="1">
        <f t="shared" si="27"/>
        <v>-5</v>
      </c>
      <c r="AS17" s="1">
        <f t="shared" si="27"/>
        <v>2</v>
      </c>
      <c r="AT17" s="1">
        <f t="shared" si="27"/>
        <v>-10</v>
      </c>
      <c r="AU17" s="1">
        <f t="shared" si="27"/>
        <v>9</v>
      </c>
      <c r="AV17" s="1">
        <f t="shared" si="27"/>
        <v>14</v>
      </c>
      <c r="AW17" s="1">
        <f t="shared" si="27"/>
        <v>-6</v>
      </c>
      <c r="AX17" s="1">
        <f t="shared" si="27"/>
        <v>14</v>
      </c>
      <c r="AY17" s="1">
        <f t="shared" si="27"/>
        <v>20</v>
      </c>
      <c r="AZ17" s="1">
        <f t="shared" si="27"/>
        <v>11</v>
      </c>
      <c r="BA17" s="1">
        <f t="shared" si="27"/>
        <v>-8</v>
      </c>
      <c r="BB17" s="1">
        <f t="shared" si="27"/>
        <v>90</v>
      </c>
      <c r="BC17" s="1">
        <f t="shared" si="27"/>
        <v>10</v>
      </c>
      <c r="BD17" s="1">
        <f t="shared" si="27"/>
        <v>162</v>
      </c>
      <c r="BE17" s="1">
        <f t="shared" si="27"/>
        <v>244</v>
      </c>
      <c r="BF17" s="1">
        <f t="shared" si="27"/>
        <v>233</v>
      </c>
      <c r="BG17" s="1">
        <f t="shared" si="27"/>
        <v>242</v>
      </c>
      <c r="BH17" s="1">
        <f t="shared" si="27"/>
        <v>121</v>
      </c>
      <c r="BI17" s="1">
        <f t="shared" si="27"/>
        <v>154</v>
      </c>
      <c r="BJ17" s="1">
        <f t="shared" si="27"/>
        <v>33</v>
      </c>
      <c r="BK17" s="1">
        <f t="shared" si="27"/>
        <v>33</v>
      </c>
      <c r="BL17" s="1">
        <f t="shared" si="27"/>
        <v>65</v>
      </c>
      <c r="BM17" s="1">
        <f t="shared" si="27"/>
        <v>0</v>
      </c>
      <c r="BN17" s="1">
        <f t="shared" si="27"/>
        <v>5</v>
      </c>
      <c r="BO17" s="1">
        <f t="shared" si="27"/>
        <v>0</v>
      </c>
      <c r="BP17" s="1"/>
      <c r="BQ17" s="1"/>
      <c r="BR17" s="17"/>
      <c r="BS17" s="17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</row>
  </sheetData>
  <autoFilter ref="A1:BP17"/>
  <phoneticPr fontId="1" type="noConversion"/>
  <conditionalFormatting sqref="E14">
    <cfRule type="expression" dxfId="2" priority="3">
      <formula>"&lt;=$E$135"</formula>
    </cfRule>
  </conditionalFormatting>
  <conditionalFormatting sqref="E16:BO17">
    <cfRule type="cellIs" dxfId="1" priority="1" operator="lessThan">
      <formula>0</formula>
    </cfRule>
  </conditionalFormatting>
  <conditionalFormatting sqref="E13:BO13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</xdr:row>
                    <xdr:rowOff>28575</xdr:rowOff>
                  </from>
                  <to>
                    <xdr:col>1</xdr:col>
                    <xdr:colOff>428625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82</v>
      </c>
      <c r="B1" s="5" t="s">
        <v>79</v>
      </c>
      <c r="C1" s="5" t="s">
        <v>83</v>
      </c>
    </row>
    <row r="2" spans="1:3" x14ac:dyDescent="0.15">
      <c r="A2" s="1">
        <v>10</v>
      </c>
      <c r="B2" s="2" t="s">
        <v>13</v>
      </c>
      <c r="C2" s="1">
        <v>190</v>
      </c>
    </row>
    <row r="3" spans="1:3" x14ac:dyDescent="0.15">
      <c r="A3" s="1">
        <v>12</v>
      </c>
      <c r="B3" s="2" t="s">
        <v>52</v>
      </c>
      <c r="C3" s="1">
        <v>120</v>
      </c>
    </row>
    <row r="4" spans="1:3" x14ac:dyDescent="0.15">
      <c r="A4" s="1">
        <v>4</v>
      </c>
      <c r="B4" s="4" t="s">
        <v>53</v>
      </c>
      <c r="C4" s="1">
        <v>85</v>
      </c>
    </row>
    <row r="5" spans="1:3" x14ac:dyDescent="0.15">
      <c r="A5" s="1">
        <v>3</v>
      </c>
      <c r="B5" s="4" t="s">
        <v>44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8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30</v>
      </c>
      <c r="C10" s="1">
        <v>45</v>
      </c>
    </row>
    <row r="11" spans="1:3" x14ac:dyDescent="0.15">
      <c r="A11" s="1">
        <v>5</v>
      </c>
      <c r="B11" s="4" t="s">
        <v>59</v>
      </c>
      <c r="C11" s="1">
        <v>45</v>
      </c>
    </row>
    <row r="12" spans="1:3" x14ac:dyDescent="0.15">
      <c r="A12" s="1">
        <v>11</v>
      </c>
      <c r="B12" s="2" t="s">
        <v>45</v>
      </c>
      <c r="C12" s="1">
        <v>10</v>
      </c>
    </row>
    <row r="13" spans="1:3" x14ac:dyDescent="0.15">
      <c r="A13" s="1">
        <v>6</v>
      </c>
      <c r="B13" s="4" t="s">
        <v>64</v>
      </c>
      <c r="C13" s="1">
        <v>8</v>
      </c>
    </row>
    <row r="19" spans="3:18" x14ac:dyDescent="0.15">
      <c r="G19" s="10" t="s">
        <v>44</v>
      </c>
      <c r="H19" s="10" t="s">
        <v>5</v>
      </c>
      <c r="I19" s="10" t="s">
        <v>30</v>
      </c>
      <c r="J19" s="10" t="s">
        <v>59</v>
      </c>
      <c r="K19" s="10" t="s">
        <v>64</v>
      </c>
      <c r="L19" s="10" t="s">
        <v>53</v>
      </c>
      <c r="M19" s="11" t="s">
        <v>6</v>
      </c>
      <c r="N19" s="11" t="s">
        <v>7</v>
      </c>
      <c r="O19" s="11" t="s">
        <v>45</v>
      </c>
      <c r="P19" s="11" t="s">
        <v>8</v>
      </c>
      <c r="Q19" s="11" t="s">
        <v>52</v>
      </c>
      <c r="R19" s="11" t="s">
        <v>13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184</v>
      </c>
      <c r="D27" t="s">
        <v>185</v>
      </c>
      <c r="E27" t="s">
        <v>186</v>
      </c>
      <c r="F27" t="s">
        <v>187</v>
      </c>
      <c r="G27" t="s">
        <v>188</v>
      </c>
      <c r="H27" t="s">
        <v>189</v>
      </c>
      <c r="I27" t="s">
        <v>190</v>
      </c>
      <c r="J27" t="s">
        <v>191</v>
      </c>
      <c r="K27" t="s">
        <v>192</v>
      </c>
      <c r="L27" t="s">
        <v>193</v>
      </c>
      <c r="M27" t="s">
        <v>194</v>
      </c>
      <c r="N27" t="s">
        <v>195</v>
      </c>
    </row>
    <row r="31" spans="3:18" x14ac:dyDescent="0.15">
      <c r="C31">
        <v>-3</v>
      </c>
      <c r="D31" t="s">
        <v>184</v>
      </c>
    </row>
    <row r="32" spans="3:18" x14ac:dyDescent="0.15">
      <c r="C32">
        <v>-8</v>
      </c>
      <c r="D32" t="s">
        <v>185</v>
      </c>
    </row>
    <row r="33" spans="3:4" x14ac:dyDescent="0.15">
      <c r="C33">
        <v>-3</v>
      </c>
      <c r="D33" t="s">
        <v>186</v>
      </c>
    </row>
    <row r="34" spans="3:4" x14ac:dyDescent="0.15">
      <c r="C34">
        <v>1</v>
      </c>
      <c r="D34" t="s">
        <v>187</v>
      </c>
    </row>
    <row r="35" spans="3:4" x14ac:dyDescent="0.15">
      <c r="C35">
        <v>3</v>
      </c>
      <c r="D35" t="s">
        <v>188</v>
      </c>
    </row>
    <row r="36" spans="3:4" x14ac:dyDescent="0.15">
      <c r="C36">
        <v>0</v>
      </c>
      <c r="D36" t="s">
        <v>189</v>
      </c>
    </row>
    <row r="37" spans="3:4" x14ac:dyDescent="0.15">
      <c r="C37">
        <v>-3</v>
      </c>
      <c r="D37" t="s">
        <v>190</v>
      </c>
    </row>
    <row r="38" spans="3:4" x14ac:dyDescent="0.15">
      <c r="C38">
        <v>30</v>
      </c>
      <c r="D38" t="s">
        <v>191</v>
      </c>
    </row>
    <row r="39" spans="3:4" x14ac:dyDescent="0.15">
      <c r="C39">
        <v>5</v>
      </c>
      <c r="D39" t="s">
        <v>192</v>
      </c>
    </row>
    <row r="40" spans="3:4" x14ac:dyDescent="0.15">
      <c r="C40">
        <v>-10</v>
      </c>
      <c r="D40" t="s">
        <v>193</v>
      </c>
    </row>
    <row r="41" spans="3:4" x14ac:dyDescent="0.15">
      <c r="C41">
        <v>3</v>
      </c>
      <c r="D41" t="s">
        <v>194</v>
      </c>
    </row>
    <row r="42" spans="3:4" x14ac:dyDescent="0.15">
      <c r="C42">
        <v>138</v>
      </c>
      <c r="D42" t="s">
        <v>195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89</v>
      </c>
      <c r="B1" s="8" t="s">
        <v>90</v>
      </c>
      <c r="C1" s="8" t="s">
        <v>91</v>
      </c>
    </row>
    <row r="2" spans="1:3" x14ac:dyDescent="0.15">
      <c r="A2" s="1">
        <v>5</v>
      </c>
      <c r="B2" s="10" t="s">
        <v>64</v>
      </c>
      <c r="C2" s="1">
        <v>0</v>
      </c>
    </row>
    <row r="3" spans="1:3" x14ac:dyDescent="0.15">
      <c r="A3" s="1">
        <v>9</v>
      </c>
      <c r="B3" s="11" t="s">
        <v>45</v>
      </c>
      <c r="C3" s="1">
        <v>0</v>
      </c>
    </row>
    <row r="4" spans="1:3" x14ac:dyDescent="0.15">
      <c r="A4" s="1">
        <v>10</v>
      </c>
      <c r="B4" s="11" t="s">
        <v>8</v>
      </c>
      <c r="C4" s="1">
        <v>0</v>
      </c>
    </row>
    <row r="5" spans="1:3" x14ac:dyDescent="0.15">
      <c r="A5" s="1">
        <v>4</v>
      </c>
      <c r="B5" s="10" t="s">
        <v>59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13</v>
      </c>
      <c r="C7" s="1">
        <v>3</v>
      </c>
    </row>
    <row r="8" spans="1:3" x14ac:dyDescent="0.15">
      <c r="A8" s="1">
        <v>1</v>
      </c>
      <c r="B8" s="10" t="s">
        <v>44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30</v>
      </c>
      <c r="C11" s="1">
        <v>5</v>
      </c>
    </row>
    <row r="12" spans="1:3" x14ac:dyDescent="0.15">
      <c r="A12" s="1">
        <v>11</v>
      </c>
      <c r="B12" s="11" t="s">
        <v>52</v>
      </c>
      <c r="C12" s="1">
        <v>5</v>
      </c>
    </row>
    <row r="13" spans="1:3" x14ac:dyDescent="0.15">
      <c r="A13" s="1">
        <v>6</v>
      </c>
      <c r="B13" s="10" t="s">
        <v>53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44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30</v>
      </c>
      <c r="C4">
        <v>0</v>
      </c>
    </row>
    <row r="5" spans="2:3" x14ac:dyDescent="0.15">
      <c r="B5" s="10" t="s">
        <v>64</v>
      </c>
      <c r="C5">
        <v>0</v>
      </c>
    </row>
    <row r="6" spans="2:3" x14ac:dyDescent="0.15">
      <c r="B6" s="11" t="s">
        <v>45</v>
      </c>
      <c r="C6">
        <v>0</v>
      </c>
    </row>
    <row r="7" spans="2:3" x14ac:dyDescent="0.15">
      <c r="B7" s="11" t="s">
        <v>8</v>
      </c>
      <c r="C7">
        <v>0</v>
      </c>
    </row>
    <row r="8" spans="2:3" x14ac:dyDescent="0.15">
      <c r="B8" s="11" t="s">
        <v>52</v>
      </c>
      <c r="C8">
        <v>0</v>
      </c>
    </row>
    <row r="9" spans="2:3" x14ac:dyDescent="0.15">
      <c r="B9" s="10" t="s">
        <v>59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13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53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2020-03-27T05:07:53Z</dcterms:modified>
</cp:coreProperties>
</file>