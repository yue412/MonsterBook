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Sheet1!$A$1:$BP$136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6" i="1"/>
  <c r="BU6" i="1"/>
  <c r="BV6" i="1"/>
  <c r="BW6" i="1"/>
  <c r="BX6" i="1"/>
  <c r="BY6" i="1"/>
  <c r="BZ6" i="1"/>
  <c r="CA6" i="1"/>
  <c r="CB6" i="1"/>
  <c r="CC6" i="1"/>
  <c r="CD6" i="1"/>
  <c r="CE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9" i="1"/>
  <c r="BU9" i="1"/>
  <c r="BV9" i="1"/>
  <c r="BW9" i="1"/>
  <c r="BX9" i="1"/>
  <c r="BY9" i="1"/>
  <c r="BZ9" i="1"/>
  <c r="CA9" i="1"/>
  <c r="CB9" i="1"/>
  <c r="CC9" i="1"/>
  <c r="CD9" i="1"/>
  <c r="CE9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P3" i="1"/>
  <c r="BP4" i="1"/>
  <c r="BP5" i="1"/>
  <c r="BP6" i="1"/>
  <c r="BP7" i="1"/>
  <c r="BP8" i="1"/>
  <c r="BP9" i="1"/>
  <c r="BP57" i="1"/>
  <c r="BP10" i="1"/>
  <c r="BP50" i="1"/>
  <c r="BP12" i="1"/>
  <c r="BP29" i="1"/>
  <c r="BP30" i="1"/>
  <c r="BP11" i="1"/>
  <c r="BP13" i="1"/>
  <c r="BP14" i="1"/>
  <c r="BP15" i="1"/>
  <c r="BP16" i="1"/>
  <c r="BP17" i="1"/>
  <c r="BP18" i="1"/>
  <c r="BP19" i="1"/>
  <c r="BP20" i="1"/>
  <c r="BP21" i="1"/>
  <c r="BP45" i="1"/>
  <c r="BP31" i="1"/>
  <c r="BP32" i="1"/>
  <c r="BP28" i="1"/>
  <c r="BP27" i="1"/>
  <c r="BP55" i="1"/>
  <c r="BP25" i="1"/>
  <c r="BP22" i="1"/>
  <c r="BP23" i="1"/>
  <c r="BP24" i="1"/>
  <c r="BP33" i="1"/>
  <c r="BP34" i="1"/>
  <c r="BP35" i="1"/>
  <c r="BP54" i="1"/>
  <c r="BP36" i="1"/>
  <c r="BP26" i="1"/>
  <c r="BP84" i="1"/>
  <c r="BP71" i="1"/>
  <c r="BP38" i="1"/>
  <c r="BP39" i="1"/>
  <c r="BP40" i="1"/>
  <c r="BP41" i="1"/>
  <c r="BP42" i="1"/>
  <c r="BP89" i="1"/>
  <c r="BP53" i="1"/>
  <c r="BP56" i="1"/>
  <c r="BP46" i="1"/>
  <c r="BP47" i="1"/>
  <c r="BP48" i="1"/>
  <c r="BP49" i="1"/>
  <c r="BP52" i="1"/>
  <c r="BP58" i="1"/>
  <c r="BP59" i="1"/>
  <c r="BP63" i="1"/>
  <c r="BP43" i="1"/>
  <c r="BP61" i="1"/>
  <c r="BP62" i="1"/>
  <c r="BP65" i="1"/>
  <c r="BP66" i="1"/>
  <c r="BP67" i="1"/>
  <c r="BP68" i="1"/>
  <c r="BP69" i="1"/>
  <c r="BP70" i="1"/>
  <c r="BP73" i="1"/>
  <c r="BP74" i="1"/>
  <c r="BP44" i="1"/>
  <c r="BP75" i="1"/>
  <c r="BP76" i="1"/>
  <c r="BP77" i="1"/>
  <c r="BP60" i="1"/>
  <c r="BP72" i="1"/>
  <c r="BP51" i="1"/>
  <c r="BP79" i="1"/>
  <c r="BP80" i="1"/>
  <c r="BP90" i="1"/>
  <c r="BP91" i="1"/>
  <c r="BP64" i="1"/>
  <c r="BP85" i="1"/>
  <c r="BP81" i="1"/>
  <c r="BP82" i="1"/>
  <c r="BP83" i="1"/>
  <c r="BP78" i="1"/>
  <c r="BP86" i="1"/>
  <c r="BP87" i="1"/>
  <c r="BP88" i="1"/>
  <c r="BP117" i="1"/>
  <c r="BP94" i="1"/>
  <c r="BP95" i="1"/>
  <c r="BP92" i="1"/>
  <c r="BP93" i="1"/>
  <c r="BP96" i="1"/>
  <c r="BP97" i="1"/>
  <c r="BP98" i="1"/>
  <c r="BP99" i="1"/>
  <c r="BP100" i="1"/>
  <c r="BP101" i="1"/>
  <c r="BP102" i="1"/>
  <c r="BP103" i="1"/>
  <c r="BP104" i="1"/>
  <c r="BP105" i="1"/>
  <c r="BP106" i="1"/>
  <c r="BP107" i="1"/>
  <c r="BP108" i="1"/>
  <c r="BP109" i="1"/>
  <c r="BP110" i="1"/>
  <c r="BP111" i="1"/>
  <c r="BP114" i="1"/>
  <c r="BP115" i="1"/>
  <c r="BP112" i="1"/>
  <c r="BP113" i="1"/>
  <c r="BP118" i="1"/>
  <c r="BP116" i="1"/>
  <c r="BP119" i="1"/>
  <c r="BP120" i="1"/>
  <c r="BP121" i="1"/>
  <c r="BP122" i="1"/>
  <c r="BP123" i="1"/>
  <c r="BP124" i="1"/>
  <c r="BP125" i="1"/>
  <c r="BP128" i="1"/>
  <c r="BP127" i="1"/>
  <c r="BP126" i="1"/>
  <c r="BP129" i="1"/>
  <c r="BP130" i="1"/>
  <c r="BP131" i="1"/>
  <c r="BP132" i="1"/>
  <c r="BP133" i="1"/>
  <c r="BP134" i="1"/>
  <c r="BP135" i="1"/>
  <c r="CF133" i="1" l="1"/>
  <c r="CF132" i="1"/>
  <c r="CF128" i="1"/>
  <c r="CF62" i="1"/>
  <c r="CF34" i="1"/>
  <c r="CF13" i="1"/>
  <c r="CF5" i="1"/>
  <c r="CF4" i="1"/>
  <c r="CF92" i="1"/>
  <c r="CF61" i="1"/>
  <c r="CF33" i="1"/>
  <c r="CF30" i="1"/>
  <c r="CF94" i="1"/>
  <c r="CF44" i="1"/>
  <c r="CF63" i="1"/>
  <c r="CF54" i="1"/>
  <c r="CF35" i="1"/>
  <c r="CF22" i="1"/>
  <c r="CF16" i="1"/>
  <c r="CF15" i="1"/>
  <c r="CF14" i="1"/>
  <c r="CF29" i="1"/>
  <c r="CF9" i="1"/>
  <c r="CF3" i="1"/>
  <c r="CF129" i="1"/>
  <c r="CF127" i="1"/>
  <c r="CF86" i="1"/>
  <c r="CF64" i="1"/>
  <c r="CF80" i="1"/>
  <c r="CF51" i="1"/>
  <c r="CF72" i="1"/>
  <c r="CF60" i="1"/>
  <c r="CF77" i="1"/>
  <c r="CF76" i="1"/>
  <c r="CF49" i="1"/>
  <c r="CF48" i="1"/>
  <c r="CF47" i="1"/>
  <c r="CF46" i="1"/>
  <c r="CF56" i="1"/>
  <c r="CF53" i="1"/>
  <c r="CF89" i="1"/>
  <c r="CF25" i="1"/>
  <c r="CF31" i="1"/>
  <c r="CF45" i="1"/>
  <c r="CF19" i="1"/>
  <c r="CF18" i="1"/>
  <c r="CF17" i="1"/>
  <c r="CF12" i="1"/>
  <c r="CF50" i="1"/>
  <c r="CF57" i="1"/>
  <c r="CS132" i="1"/>
  <c r="CM132" i="1" l="1"/>
  <c r="CO132" i="1" l="1"/>
  <c r="CK132" i="1"/>
  <c r="CI132" i="1"/>
  <c r="CN132" i="1"/>
  <c r="CP132" i="1"/>
  <c r="CJ132" i="1"/>
  <c r="CL132" i="1"/>
  <c r="CG132" i="1"/>
  <c r="CQ132" i="1"/>
  <c r="CH132" i="1"/>
  <c r="CR132" i="1"/>
  <c r="CS3" i="1"/>
  <c r="CS4" i="1"/>
  <c r="CS5" i="1"/>
  <c r="CS60" i="1"/>
  <c r="CS46" i="1"/>
  <c r="CS9" i="1"/>
  <c r="CS13" i="1"/>
  <c r="CS14" i="1"/>
  <c r="CS15" i="1"/>
  <c r="CS16" i="1"/>
  <c r="CS17" i="1"/>
  <c r="CS18" i="1"/>
  <c r="CS19" i="1"/>
  <c r="CS54" i="1"/>
  <c r="CS57" i="1"/>
  <c r="CS49" i="1"/>
  <c r="CS29" i="1"/>
  <c r="CS30" i="1"/>
  <c r="CS56" i="1"/>
  <c r="CS89" i="1"/>
  <c r="CS31" i="1"/>
  <c r="CS61" i="1"/>
  <c r="CS25" i="1"/>
  <c r="CS33" i="1"/>
  <c r="CS34" i="1"/>
  <c r="CS35" i="1"/>
  <c r="CS12" i="1"/>
  <c r="CS44" i="1"/>
  <c r="CS72" i="1"/>
  <c r="CS53" i="1"/>
  <c r="CS22" i="1"/>
  <c r="CS45" i="1"/>
  <c r="CS47" i="1"/>
  <c r="CS48" i="1"/>
  <c r="CS51" i="1"/>
  <c r="CS76" i="1"/>
  <c r="CS77" i="1"/>
  <c r="CS80" i="1"/>
  <c r="CS63" i="1"/>
  <c r="CS62" i="1"/>
  <c r="CS127" i="1"/>
  <c r="CS64" i="1"/>
  <c r="CS50" i="1"/>
  <c r="CS86" i="1"/>
  <c r="CS128" i="1"/>
  <c r="CS92" i="1"/>
  <c r="CS94" i="1"/>
  <c r="CS133" i="1"/>
  <c r="CS129" i="1"/>
  <c r="CS2" i="1"/>
  <c r="CS136" i="1" l="1"/>
  <c r="BU2" i="1"/>
  <c r="BV2" i="1"/>
  <c r="BW2" i="1"/>
  <c r="BX2" i="1"/>
  <c r="BY2" i="1"/>
  <c r="BZ2" i="1"/>
  <c r="CA2" i="1"/>
  <c r="CB2" i="1"/>
  <c r="CC2" i="1"/>
  <c r="CD2" i="1"/>
  <c r="CE2" i="1"/>
  <c r="BT2" i="1"/>
  <c r="CR46" i="1" l="1"/>
  <c r="CR14" i="1"/>
  <c r="CN13" i="1"/>
  <c r="CA136" i="1"/>
  <c r="CC136" i="1"/>
  <c r="BX136" i="1"/>
  <c r="BZ136" i="1"/>
  <c r="BV136" i="1"/>
  <c r="BU136" i="1"/>
  <c r="CD136" i="1"/>
  <c r="BY136" i="1"/>
  <c r="CB136" i="1"/>
  <c r="CE136" i="1"/>
  <c r="CK50" i="1"/>
  <c r="CM57" i="1"/>
  <c r="CI34" i="1"/>
  <c r="CJ22" i="1"/>
  <c r="CG62" i="1"/>
  <c r="CN5" i="1"/>
  <c r="CN4" i="1"/>
  <c r="CN3" i="1"/>
  <c r="CG129" i="1"/>
  <c r="CK86" i="1"/>
  <c r="CK128" i="1"/>
  <c r="CR64" i="1"/>
  <c r="CJ77" i="1"/>
  <c r="CH53" i="1"/>
  <c r="CQ49" i="1"/>
  <c r="CR56" i="1"/>
  <c r="CH29" i="1"/>
  <c r="CN72" i="1"/>
  <c r="CH54" i="1"/>
  <c r="CL33" i="1"/>
  <c r="CH61" i="1"/>
  <c r="CO9" i="1"/>
  <c r="CH18" i="1"/>
  <c r="CP17" i="1"/>
  <c r="CN16" i="1"/>
  <c r="CR15" i="1"/>
  <c r="CG44" i="1"/>
  <c r="CQ60" i="1"/>
  <c r="CR133" i="1"/>
  <c r="CJ89" i="1"/>
  <c r="CO94" i="1"/>
  <c r="CN127" i="1"/>
  <c r="CR76" i="1"/>
  <c r="CR51" i="1"/>
  <c r="CH31" i="1"/>
  <c r="CK30" i="1"/>
  <c r="CN48" i="1"/>
  <c r="CL47" i="1"/>
  <c r="CN80" i="1"/>
  <c r="CI45" i="1"/>
  <c r="CH12" i="1"/>
  <c r="CO35" i="1"/>
  <c r="CM25" i="1"/>
  <c r="CM19" i="1"/>
  <c r="CF2" i="1"/>
  <c r="CH2" i="1" s="1"/>
  <c r="CK63" i="1"/>
  <c r="CG92" i="1"/>
  <c r="BW136" i="1"/>
  <c r="BT136" i="1"/>
  <c r="BP2" i="1"/>
  <c r="CN18" i="1" l="1"/>
  <c r="CK18" i="1"/>
  <c r="CP4" i="1"/>
  <c r="CJ56" i="1"/>
  <c r="CI57" i="1"/>
  <c r="CJ5" i="1"/>
  <c r="CH57" i="1"/>
  <c r="CP57" i="1"/>
  <c r="CG57" i="1"/>
  <c r="CR57" i="1"/>
  <c r="CN49" i="1"/>
  <c r="CK57" i="1"/>
  <c r="CI50" i="1"/>
  <c r="CP50" i="1"/>
  <c r="CQ50" i="1"/>
  <c r="CH50" i="1"/>
  <c r="CO50" i="1"/>
  <c r="CG50" i="1"/>
  <c r="CP9" i="1"/>
  <c r="CO51" i="1"/>
  <c r="CR47" i="1"/>
  <c r="CP18" i="1"/>
  <c r="CQ22" i="1"/>
  <c r="CJ4" i="1"/>
  <c r="CL4" i="1"/>
  <c r="CM50" i="1"/>
  <c r="CM47" i="1"/>
  <c r="CK15" i="1"/>
  <c r="CN64" i="1"/>
  <c r="CN22" i="1"/>
  <c r="CO64" i="1"/>
  <c r="CM22" i="1"/>
  <c r="CI22" i="1"/>
  <c r="CR22" i="1"/>
  <c r="CL54" i="1"/>
  <c r="CN2" i="1"/>
  <c r="CK22" i="1"/>
  <c r="CL86" i="1"/>
  <c r="CI72" i="1"/>
  <c r="CQ86" i="1"/>
  <c r="CJ86" i="1"/>
  <c r="CH22" i="1"/>
  <c r="CP22" i="1"/>
  <c r="CH60" i="1"/>
  <c r="CG49" i="1"/>
  <c r="CG22" i="1"/>
  <c r="CO49" i="1"/>
  <c r="CO22" i="1"/>
  <c r="CR3" i="1"/>
  <c r="CL22" i="1"/>
  <c r="CI64" i="1"/>
  <c r="CO86" i="1"/>
  <c r="CQ64" i="1"/>
  <c r="CM15" i="1"/>
  <c r="CP60" i="1"/>
  <c r="CJ49" i="1"/>
  <c r="CR62" i="1"/>
  <c r="CQ62" i="1"/>
  <c r="CP62" i="1"/>
  <c r="CN62" i="1"/>
  <c r="CM62" i="1"/>
  <c r="CJ62" i="1"/>
  <c r="CJ34" i="1"/>
  <c r="CO62" i="1"/>
  <c r="CP25" i="1"/>
  <c r="CH62" i="1"/>
  <c r="CG25" i="1"/>
  <c r="CK62" i="1"/>
  <c r="CI62" i="1"/>
  <c r="CR33" i="1"/>
  <c r="CL77" i="1"/>
  <c r="CQ14" i="1"/>
  <c r="CQ77" i="1"/>
  <c r="CK33" i="1"/>
  <c r="CK89" i="1"/>
  <c r="CN14" i="1"/>
  <c r="CN51" i="1"/>
  <c r="CP14" i="1"/>
  <c r="CL89" i="1"/>
  <c r="CH14" i="1"/>
  <c r="CO89" i="1"/>
  <c r="CO14" i="1"/>
  <c r="CN77" i="1"/>
  <c r="CI89" i="1"/>
  <c r="CK14" i="1"/>
  <c r="CM77" i="1"/>
  <c r="CH89" i="1"/>
  <c r="CO77" i="1"/>
  <c r="CI77" i="1"/>
  <c r="CR89" i="1"/>
  <c r="CI14" i="1"/>
  <c r="CQ33" i="1"/>
  <c r="CH77" i="1"/>
  <c r="CQ89" i="1"/>
  <c r="CP33" i="1"/>
  <c r="CG77" i="1"/>
  <c r="CN89" i="1"/>
  <c r="CR2" i="1"/>
  <c r="CM80" i="1"/>
  <c r="CJ33" i="1"/>
  <c r="CM33" i="1"/>
  <c r="CR77" i="1"/>
  <c r="CI63" i="1"/>
  <c r="CJ14" i="1"/>
  <c r="CK133" i="1"/>
  <c r="CO60" i="1"/>
  <c r="CR49" i="1"/>
  <c r="CG18" i="1"/>
  <c r="CL64" i="1"/>
  <c r="CI9" i="1"/>
  <c r="CR45" i="1"/>
  <c r="CJ50" i="1"/>
  <c r="CM3" i="1"/>
  <c r="CJ57" i="1"/>
  <c r="CM2" i="1"/>
  <c r="CK94" i="1"/>
  <c r="CJ2" i="1"/>
  <c r="CM29" i="1"/>
  <c r="CP30" i="1"/>
  <c r="CQ76" i="1"/>
  <c r="CI3" i="1"/>
  <c r="CN57" i="1"/>
  <c r="CI2" i="1"/>
  <c r="CM133" i="1"/>
  <c r="CP51" i="1"/>
  <c r="CL76" i="1"/>
  <c r="CG3" i="1"/>
  <c r="CM45" i="1"/>
  <c r="CN60" i="1"/>
  <c r="CK72" i="1"/>
  <c r="CM49" i="1"/>
  <c r="CQ18" i="1"/>
  <c r="CR50" i="1"/>
  <c r="CH64" i="1"/>
  <c r="CP56" i="1"/>
  <c r="CI92" i="1"/>
  <c r="CO57" i="1"/>
  <c r="CN29" i="1"/>
  <c r="CL92" i="1"/>
  <c r="CL60" i="1"/>
  <c r="CQ72" i="1"/>
  <c r="CO92" i="1"/>
  <c r="CL49" i="1"/>
  <c r="CO45" i="1"/>
  <c r="CG53" i="1"/>
  <c r="CH4" i="1"/>
  <c r="CR92" i="1"/>
  <c r="CL57" i="1"/>
  <c r="CK60" i="1"/>
  <c r="CO72" i="1"/>
  <c r="CK49" i="1"/>
  <c r="CL45" i="1"/>
  <c r="CI18" i="1"/>
  <c r="CR53" i="1"/>
  <c r="CQ13" i="1"/>
  <c r="CN92" i="1"/>
  <c r="CH45" i="1"/>
  <c r="CI53" i="1"/>
  <c r="CK45" i="1"/>
  <c r="CO53" i="1"/>
  <c r="CP13" i="1"/>
  <c r="CM92" i="1"/>
  <c r="CN9" i="1"/>
  <c r="CN25" i="1"/>
  <c r="CL62" i="1"/>
  <c r="CL53" i="1"/>
  <c r="CM13" i="1"/>
  <c r="CJ92" i="1"/>
  <c r="CI25" i="1"/>
  <c r="CJ13" i="1"/>
  <c r="CQ94" i="1"/>
  <c r="CM61" i="1"/>
  <c r="CI13" i="1"/>
  <c r="CP94" i="1"/>
  <c r="CI61" i="1"/>
  <c r="CG13" i="1"/>
  <c r="CN94" i="1"/>
  <c r="CL13" i="1"/>
  <c r="CK92" i="1"/>
  <c r="CQ45" i="1"/>
  <c r="CJ94" i="1"/>
  <c r="CN53" i="1"/>
  <c r="CQ53" i="1"/>
  <c r="CK13" i="1"/>
  <c r="CN45" i="1"/>
  <c r="CG94" i="1"/>
  <c r="CP53" i="1"/>
  <c r="CJ53" i="1"/>
  <c r="CG45" i="1"/>
  <c r="CL94" i="1"/>
  <c r="CM53" i="1"/>
  <c r="CJ51" i="1"/>
  <c r="CQ4" i="1"/>
  <c r="CO3" i="1"/>
  <c r="CI128" i="1"/>
  <c r="CM9" i="1"/>
  <c r="CP72" i="1"/>
  <c r="CH25" i="1"/>
  <c r="CN129" i="1"/>
  <c r="CJ47" i="1"/>
  <c r="CM18" i="1"/>
  <c r="CQ29" i="1"/>
  <c r="CH51" i="1"/>
  <c r="CK76" i="1"/>
  <c r="CO15" i="1"/>
  <c r="CG133" i="1"/>
  <c r="CJ9" i="1"/>
  <c r="CG72" i="1"/>
  <c r="CQ25" i="1"/>
  <c r="CQ47" i="1"/>
  <c r="CJ18" i="1"/>
  <c r="CP29" i="1"/>
  <c r="CQ133" i="1"/>
  <c r="CJ46" i="1"/>
  <c r="CG51" i="1"/>
  <c r="CL15" i="1"/>
  <c r="CL133" i="1"/>
  <c r="CL2" i="1"/>
  <c r="CG9" i="1"/>
  <c r="CL72" i="1"/>
  <c r="CO25" i="1"/>
  <c r="CK47" i="1"/>
  <c r="CR18" i="1"/>
  <c r="CJ29" i="1"/>
  <c r="CN50" i="1"/>
  <c r="CP64" i="1"/>
  <c r="CI4" i="1"/>
  <c r="CQ3" i="1"/>
  <c r="CK16" i="1"/>
  <c r="CI29" i="1"/>
  <c r="CJ3" i="1"/>
  <c r="CJ25" i="1"/>
  <c r="CM51" i="1"/>
  <c r="CJ76" i="1"/>
  <c r="CL3" i="1"/>
  <c r="CQ15" i="1"/>
  <c r="CH34" i="1"/>
  <c r="CO133" i="1"/>
  <c r="CM60" i="1"/>
  <c r="CL9" i="1"/>
  <c r="CM72" i="1"/>
  <c r="CQ54" i="1"/>
  <c r="CP47" i="1"/>
  <c r="CK129" i="1"/>
  <c r="CO18" i="1"/>
  <c r="CQ2" i="1"/>
  <c r="CG29" i="1"/>
  <c r="CP133" i="1"/>
  <c r="CL50" i="1"/>
  <c r="CG30" i="1"/>
  <c r="CL51" i="1"/>
  <c r="CP76" i="1"/>
  <c r="CM4" i="1"/>
  <c r="CK3" i="1"/>
  <c r="CJ15" i="1"/>
  <c r="CO34" i="1"/>
  <c r="CQ57" i="1"/>
  <c r="CP2" i="1"/>
  <c r="CI60" i="1"/>
  <c r="CK9" i="1"/>
  <c r="CJ72" i="1"/>
  <c r="CM54" i="1"/>
  <c r="CN47" i="1"/>
  <c r="CL18" i="1"/>
  <c r="CO2" i="1"/>
  <c r="CO29" i="1"/>
  <c r="CN133" i="1"/>
  <c r="CR30" i="1"/>
  <c r="CK51" i="1"/>
  <c r="CM76" i="1"/>
  <c r="CR4" i="1"/>
  <c r="CH3" i="1"/>
  <c r="CN15" i="1"/>
  <c r="CH72" i="1"/>
  <c r="CR72" i="1"/>
  <c r="CI47" i="1"/>
  <c r="CJ133" i="1"/>
  <c r="CI51" i="1"/>
  <c r="CJ64" i="1"/>
  <c r="CN76" i="1"/>
  <c r="CK4" i="1"/>
  <c r="CP3" i="1"/>
  <c r="CI15" i="1"/>
  <c r="CH47" i="1"/>
  <c r="CQ51" i="1"/>
  <c r="CO76" i="1"/>
  <c r="CP15" i="1"/>
  <c r="CG2" i="1"/>
  <c r="CI133" i="1"/>
  <c r="CK64" i="1"/>
  <c r="CI76" i="1"/>
  <c r="CR12" i="1"/>
  <c r="CR127" i="1"/>
  <c r="CO12" i="1"/>
  <c r="CO127" i="1"/>
  <c r="CL12" i="1"/>
  <c r="CL127" i="1"/>
  <c r="CI44" i="1"/>
  <c r="CK127" i="1"/>
  <c r="CH44" i="1"/>
  <c r="CP44" i="1"/>
  <c r="CH127" i="1"/>
  <c r="CR44" i="1"/>
  <c r="CM44" i="1"/>
  <c r="CO44" i="1"/>
  <c r="CP12" i="1"/>
  <c r="CQ35" i="1"/>
  <c r="CL44" i="1"/>
  <c r="CM12" i="1"/>
  <c r="CJ35" i="1"/>
  <c r="CM35" i="1"/>
  <c r="CK44" i="1"/>
  <c r="CI80" i="1"/>
  <c r="CO63" i="1"/>
  <c r="CJ12" i="1"/>
  <c r="CQ127" i="1"/>
  <c r="CN44" i="1"/>
  <c r="CM16" i="1"/>
  <c r="CI12" i="1"/>
  <c r="CP127" i="1"/>
  <c r="CH80" i="1"/>
  <c r="CL14" i="1"/>
  <c r="CL16" i="1"/>
  <c r="CP61" i="1"/>
  <c r="CG12" i="1"/>
  <c r="CJ127" i="1"/>
  <c r="CJ31" i="1"/>
  <c r="CO46" i="1"/>
  <c r="CL34" i="1"/>
  <c r="CR31" i="1"/>
  <c r="CK54" i="1"/>
  <c r="CI35" i="1"/>
  <c r="CP86" i="1"/>
  <c r="CL46" i="1"/>
  <c r="CI30" i="1"/>
  <c r="CI5" i="1"/>
  <c r="CJ16" i="1"/>
  <c r="CO56" i="1"/>
  <c r="CK34" i="1"/>
  <c r="CO31" i="1"/>
  <c r="CG86" i="1"/>
  <c r="CG35" i="1"/>
  <c r="CN86" i="1"/>
  <c r="CK46" i="1"/>
  <c r="CJ30" i="1"/>
  <c r="CR5" i="1"/>
  <c r="CH16" i="1"/>
  <c r="CL56" i="1"/>
  <c r="CQ34" i="1"/>
  <c r="CL31" i="1"/>
  <c r="CL35" i="1"/>
  <c r="CM86" i="1"/>
  <c r="CQ30" i="1"/>
  <c r="CL5" i="1"/>
  <c r="CI16" i="1"/>
  <c r="CK56" i="1"/>
  <c r="CK31" i="1"/>
  <c r="CI129" i="1"/>
  <c r="CK35" i="1"/>
  <c r="CN30" i="1"/>
  <c r="CK5" i="1"/>
  <c r="CG16" i="1"/>
  <c r="CJ54" i="1"/>
  <c r="CH129" i="1"/>
  <c r="CM31" i="1"/>
  <c r="CM30" i="1"/>
  <c r="CH5" i="1"/>
  <c r="CR63" i="1"/>
  <c r="CR16" i="1"/>
  <c r="CM34" i="1"/>
  <c r="CI54" i="1"/>
  <c r="CR129" i="1"/>
  <c r="CN54" i="1"/>
  <c r="CQ46" i="1"/>
  <c r="CH30" i="1"/>
  <c r="CO16" i="1"/>
  <c r="CP34" i="1"/>
  <c r="CQ129" i="1"/>
  <c r="CM46" i="1"/>
  <c r="CQ56" i="1"/>
  <c r="CN34" i="1"/>
  <c r="CG54" i="1"/>
  <c r="CI86" i="1"/>
  <c r="CP54" i="1"/>
  <c r="CO129" i="1"/>
  <c r="CH46" i="1"/>
  <c r="CO30" i="1"/>
  <c r="CQ5" i="1"/>
  <c r="CP16" i="1"/>
  <c r="CJ17" i="1"/>
  <c r="CN56" i="1"/>
  <c r="CG34" i="1"/>
  <c r="CQ31" i="1"/>
  <c r="CR54" i="1"/>
  <c r="CP35" i="1"/>
  <c r="CH86" i="1"/>
  <c r="CP46" i="1"/>
  <c r="CL30" i="1"/>
  <c r="CP5" i="1"/>
  <c r="CQ16" i="1"/>
  <c r="CQ17" i="1"/>
  <c r="CM56" i="1"/>
  <c r="CR34" i="1"/>
  <c r="CP31" i="1"/>
  <c r="CO54" i="1"/>
  <c r="CN35" i="1"/>
  <c r="CR86" i="1"/>
  <c r="CL129" i="1"/>
  <c r="CI46" i="1"/>
  <c r="CM5" i="1"/>
  <c r="CI17" i="1"/>
  <c r="CI56" i="1"/>
  <c r="CJ19" i="1"/>
  <c r="CH13" i="1"/>
  <c r="CK12" i="1"/>
  <c r="CH92" i="1"/>
  <c r="CG89" i="1"/>
  <c r="CG33" i="1"/>
  <c r="CK77" i="1"/>
  <c r="CJ60" i="1"/>
  <c r="CH9" i="1"/>
  <c r="CN31" i="1"/>
  <c r="CP89" i="1"/>
  <c r="CR25" i="1"/>
  <c r="CM127" i="1"/>
  <c r="CP129" i="1"/>
  <c r="CH35" i="1"/>
  <c r="CG47" i="1"/>
  <c r="CP45" i="1"/>
  <c r="CI94" i="1"/>
  <c r="CK2" i="1"/>
  <c r="CQ44" i="1"/>
  <c r="CR29" i="1"/>
  <c r="CK53" i="1"/>
  <c r="CN46" i="1"/>
  <c r="CM64" i="1"/>
  <c r="CG5" i="1"/>
  <c r="CH19" i="1"/>
  <c r="CJ80" i="1"/>
  <c r="CH76" i="1"/>
  <c r="CH63" i="1"/>
  <c r="CG4" i="1"/>
  <c r="CM14" i="1"/>
  <c r="CH15" i="1"/>
  <c r="CN17" i="1"/>
  <c r="CN61" i="1"/>
  <c r="CH56" i="1"/>
  <c r="CH128" i="1"/>
  <c r="CI48" i="1"/>
  <c r="CN19" i="1"/>
  <c r="CR128" i="1"/>
  <c r="CH33" i="1"/>
  <c r="CR13" i="1"/>
  <c r="CH48" i="1"/>
  <c r="CQ92" i="1"/>
  <c r="CM94" i="1"/>
  <c r="CO33" i="1"/>
  <c r="CG60" i="1"/>
  <c r="CR9" i="1"/>
  <c r="CI31" i="1"/>
  <c r="CM89" i="1"/>
  <c r="CL25" i="1"/>
  <c r="CI49" i="1"/>
  <c r="CI127" i="1"/>
  <c r="CM129" i="1"/>
  <c r="CR35" i="1"/>
  <c r="CO47" i="1"/>
  <c r="CJ45" i="1"/>
  <c r="CR94" i="1"/>
  <c r="CN12" i="1"/>
  <c r="CJ44" i="1"/>
  <c r="CL29" i="1"/>
  <c r="CH133" i="1"/>
  <c r="CG46" i="1"/>
  <c r="CG64" i="1"/>
  <c r="CO5" i="1"/>
  <c r="CG19" i="1"/>
  <c r="CG80" i="1"/>
  <c r="CG76" i="1"/>
  <c r="CQ63" i="1"/>
  <c r="CO4" i="1"/>
  <c r="CG14" i="1"/>
  <c r="CG15" i="1"/>
  <c r="CG17" i="1"/>
  <c r="CG61" i="1"/>
  <c r="CG56" i="1"/>
  <c r="CQ128" i="1"/>
  <c r="CO13" i="1"/>
  <c r="CQ12" i="1"/>
  <c r="CQ48" i="1"/>
  <c r="CP92" i="1"/>
  <c r="CH94" i="1"/>
  <c r="CP77" i="1"/>
  <c r="CQ9" i="1"/>
  <c r="CR60" i="1"/>
  <c r="CG31" i="1"/>
  <c r="CK25" i="1"/>
  <c r="CG127" i="1"/>
  <c r="CJ129" i="1"/>
  <c r="CK29" i="1"/>
  <c r="CR19" i="1"/>
  <c r="CR80" i="1"/>
  <c r="CP63" i="1"/>
  <c r="CR17" i="1"/>
  <c r="CR61" i="1"/>
  <c r="CP128" i="1"/>
  <c r="CM48" i="1"/>
  <c r="CP48" i="1"/>
  <c r="CO19" i="1"/>
  <c r="CO80" i="1"/>
  <c r="CN63" i="1"/>
  <c r="CO17" i="1"/>
  <c r="CO61" i="1"/>
  <c r="CN128" i="1"/>
  <c r="CJ48" i="1"/>
  <c r="CL19" i="1"/>
  <c r="CL80" i="1"/>
  <c r="CM63" i="1"/>
  <c r="CL17" i="1"/>
  <c r="CL61" i="1"/>
  <c r="CM128" i="1"/>
  <c r="CG48" i="1"/>
  <c r="CK19" i="1"/>
  <c r="CK80" i="1"/>
  <c r="CJ63" i="1"/>
  <c r="CK17" i="1"/>
  <c r="CK61" i="1"/>
  <c r="CJ128" i="1"/>
  <c r="CH49" i="1"/>
  <c r="CP49" i="1"/>
  <c r="CR48" i="1"/>
  <c r="CQ19" i="1"/>
  <c r="CP80" i="1"/>
  <c r="CG63" i="1"/>
  <c r="CM17" i="1"/>
  <c r="CQ61" i="1"/>
  <c r="CG128" i="1"/>
  <c r="CO48" i="1"/>
  <c r="CP19" i="1"/>
  <c r="CO128" i="1"/>
  <c r="CL48" i="1"/>
  <c r="CI19" i="1"/>
  <c r="CQ80" i="1"/>
  <c r="CL63" i="1"/>
  <c r="CH17" i="1"/>
  <c r="CJ61" i="1"/>
  <c r="CL128" i="1"/>
  <c r="CI33" i="1"/>
  <c r="CN33" i="1"/>
  <c r="CK48" i="1"/>
  <c r="CR136" i="1" l="1"/>
  <c r="CN136" i="1"/>
  <c r="CJ136" i="1"/>
  <c r="CH136" i="1"/>
  <c r="CM136" i="1"/>
  <c r="CL136" i="1"/>
  <c r="CQ136" i="1"/>
  <c r="CG136" i="1"/>
  <c r="CK136" i="1"/>
  <c r="CP136" i="1"/>
  <c r="CO136" i="1"/>
  <c r="CI136" i="1"/>
  <c r="BM136" i="1" l="1"/>
  <c r="BM138" i="1" s="1"/>
  <c r="AM136" i="1"/>
  <c r="AM138" i="1" s="1"/>
  <c r="L136" i="1"/>
  <c r="L138" i="1" s="1"/>
  <c r="AY136" i="1"/>
  <c r="AY138" i="1" s="1"/>
  <c r="BK136" i="1"/>
  <c r="BK138" i="1" s="1"/>
  <c r="AJ136" i="1"/>
  <c r="AJ138" i="1" s="1"/>
  <c r="AW136" i="1"/>
  <c r="AW138" i="1" s="1"/>
  <c r="BH136" i="1"/>
  <c r="BH138" i="1" s="1"/>
  <c r="AU136" i="1"/>
  <c r="AU138" i="1" s="1"/>
  <c r="AH136" i="1"/>
  <c r="AH138" i="1" s="1"/>
  <c r="AL136" i="1"/>
  <c r="AL138" i="1" s="1"/>
  <c r="BD136" i="1"/>
  <c r="BD138" i="1" s="1"/>
  <c r="BA136" i="1"/>
  <c r="BA138" i="1" s="1"/>
  <c r="BL136" i="1"/>
  <c r="BL138" i="1" s="1"/>
  <c r="AZ136" i="1"/>
  <c r="AZ138" i="1" s="1"/>
  <c r="J136" i="1"/>
  <c r="J138" i="1" s="1"/>
  <c r="H136" i="1"/>
  <c r="H138" i="1" s="1"/>
  <c r="G136" i="1"/>
  <c r="G138" i="1" s="1"/>
  <c r="BG136" i="1"/>
  <c r="BG138" i="1" s="1"/>
  <c r="AQ136" i="1"/>
  <c r="AQ138" i="1" s="1"/>
  <c r="AE136" i="1"/>
  <c r="AE138" i="1" s="1"/>
  <c r="F136" i="1"/>
  <c r="F138" i="1" s="1"/>
  <c r="BB136" i="1"/>
  <c r="BB138" i="1" s="1"/>
  <c r="BJ136" i="1"/>
  <c r="BJ138" i="1" s="1"/>
  <c r="AX136" i="1"/>
  <c r="AX138" i="1" s="1"/>
  <c r="AI136" i="1"/>
  <c r="AI138" i="1" s="1"/>
  <c r="I136" i="1"/>
  <c r="I138" i="1" s="1"/>
  <c r="AG136" i="1"/>
  <c r="AG138" i="1" s="1"/>
  <c r="BE136" i="1"/>
  <c r="BE138" i="1" s="1"/>
  <c r="AF136" i="1"/>
  <c r="AF138" i="1" s="1"/>
  <c r="BF136" i="1"/>
  <c r="BF138" i="1" s="1"/>
  <c r="AS136" i="1"/>
  <c r="AS138" i="1" s="1"/>
  <c r="O136" i="1"/>
  <c r="O138" i="1" s="1"/>
  <c r="BO136" i="1"/>
  <c r="BO138" i="1" s="1"/>
  <c r="AR136" i="1"/>
  <c r="AR138" i="1" s="1"/>
  <c r="N136" i="1"/>
  <c r="N138" i="1" s="1"/>
  <c r="K136" i="1"/>
  <c r="K138" i="1" s="1"/>
  <c r="AK136" i="1"/>
  <c r="AK138" i="1" s="1"/>
  <c r="BI136" i="1"/>
  <c r="BI138" i="1" s="1"/>
  <c r="AT136" i="1"/>
  <c r="AT138" i="1" s="1"/>
  <c r="AV136" i="1"/>
  <c r="AV138" i="1" s="1"/>
  <c r="E136" i="1"/>
  <c r="E138" i="1" s="1"/>
  <c r="BN136" i="1"/>
  <c r="BN138" i="1" s="1"/>
  <c r="AN136" i="1"/>
  <c r="AN138" i="1" s="1"/>
  <c r="M136" i="1"/>
  <c r="M138" i="1" s="1"/>
  <c r="AP136" i="1"/>
  <c r="AP138" i="1" s="1"/>
  <c r="BC136" i="1"/>
  <c r="BC138" i="1" s="1"/>
  <c r="AO136" i="1"/>
  <c r="AO138" i="1" s="1"/>
  <c r="V136" i="1"/>
  <c r="V138" i="1" s="1"/>
  <c r="Y136" i="1"/>
  <c r="Y138" i="1" s="1"/>
  <c r="W136" i="1"/>
  <c r="W138" i="1" s="1"/>
  <c r="S136" i="1"/>
  <c r="S138" i="1" s="1"/>
  <c r="X136" i="1"/>
  <c r="X138" i="1" s="1"/>
  <c r="R136" i="1"/>
  <c r="R138" i="1" s="1"/>
  <c r="Z136" i="1"/>
  <c r="Z138" i="1" s="1"/>
  <c r="U136" i="1"/>
  <c r="U138" i="1" s="1"/>
  <c r="T136" i="1"/>
  <c r="T138" i="1" s="1"/>
  <c r="AC136" i="1"/>
  <c r="AC138" i="1" s="1"/>
  <c r="Q136" i="1"/>
  <c r="Q138" i="1" s="1"/>
  <c r="AB136" i="1"/>
  <c r="AB138" i="1" s="1"/>
  <c r="P136" i="1"/>
  <c r="P138" i="1" s="1"/>
  <c r="AA136" i="1"/>
  <c r="AA138" i="1" s="1"/>
  <c r="AD136" i="1"/>
  <c r="AD138" i="1" s="1"/>
</calcChain>
</file>

<file path=xl/sharedStrings.xml><?xml version="1.0" encoding="utf-8"?>
<sst xmlns="http://schemas.openxmlformats.org/spreadsheetml/2006/main" count="679" uniqueCount="297">
  <si>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</si>
  <si>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</si>
  <si>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</si>
  <si>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</si>
  <si>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</si>
  <si>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</si>
  <si>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</si>
  <si>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</si>
  <si>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</si>
  <si>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</si>
  <si>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</si>
  <si>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</si>
  <si>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</si>
  <si>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</si>
  <si>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</si>
  <si>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</si>
  <si>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</si>
  <si>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</si>
  <si>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</si>
  <si>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</si>
  <si>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</si>
  <si>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</si>
  <si>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</si>
  <si>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</si>
  <si>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</si>
  <si>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</si>
  <si>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</si>
  <si>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</si>
  <si>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</si>
  <si>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</si>
  <si>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</si>
  <si>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</si>
  <si>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</si>
  <si>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</si>
  <si>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</si>
  <si>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</si>
  <si>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</si>
  <si>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</si>
  <si>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</si>
  <si>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</si>
  <si>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</si>
  <si>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</si>
  <si>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</si>
  <si>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</si>
  <si>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</si>
  <si>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</si>
  <si>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</si>
  <si>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</si>
  <si>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</si>
  <si>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</si>
  <si>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</si>
  <si>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</si>
  <si>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</si>
  <si>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</si>
  <si>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</si>
  <si>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</si>
  <si>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</si>
  <si>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</si>
  <si>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</si>
  <si>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</si>
  <si>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</si>
  <si>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</si>
  <si>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</si>
  <si>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</si>
  <si>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</si>
  <si>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</si>
  <si>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</si>
  <si>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</si>
  <si>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</si>
  <si>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</si>
  <si>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</si>
  <si>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</si>
  <si>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</si>
  <si>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</si>
  <si>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</si>
  <si>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</si>
  <si>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</si>
  <si>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</si>
  <si>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</si>
  <si>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</si>
  <si>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</si>
  <si>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</si>
  <si>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</si>
  <si>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</si>
  <si>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</si>
  <si>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</si>
  <si>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</si>
  <si>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</si>
  <si>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</si>
  <si>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</si>
  <si>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</si>
  <si>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</si>
  <si>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</si>
  <si>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</si>
  <si>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</si>
  <si>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</si>
  <si>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</si>
  <si>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</si>
  <si>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</si>
  <si>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</si>
  <si>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</si>
  <si>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</si>
  <si>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</si>
  <si>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</si>
  <si>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</si>
  <si>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</si>
  <si>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</si>
  <si>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</si>
  <si>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</si>
  <si>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</si>
  <si>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</si>
  <si>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</si>
  <si>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</si>
  <si>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</si>
  <si>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</si>
  <si>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</si>
  <si>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</si>
  <si>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</si>
  <si>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</si>
  <si>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</si>
  <si>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</si>
  <si>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</si>
  <si>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</si>
  <si>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</si>
  <si>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</si>
  <si>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</si>
  <si>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</si>
  <si>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</si>
  <si>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</si>
  <si>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</si>
  <si>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</si>
  <si>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</si>
  <si>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</si>
  <si>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</si>
  <si>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</si>
  <si>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</si>
  <si>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</si>
  <si>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</si>
  <si>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</si>
  <si>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</si>
  <si>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</si>
  <si>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</si>
  <si>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</si>
  <si>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</si>
  <si>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</si>
  <si>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</si>
  <si>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</si>
  <si>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</si>
  <si>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</si>
  <si>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</si>
  <si>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</si>
  <si>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</si>
  <si>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</si>
  <si>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</si>
  <si>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</si>
  <si>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</si>
  <si>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</si>
  <si>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</si>
  <si>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</si>
  <si>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</si>
  <si>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</si>
  <si>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</si>
  <si>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</si>
  <si>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</si>
  <si>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</si>
  <si>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</si>
  <si>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</si>
  <si>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</si>
  <si>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</si>
  <si>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</si>
  <si>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</si>
  <si>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</si>
  <si>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</si>
  <si>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</si>
  <si>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</si>
  <si>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</si>
  <si>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</si>
  <si>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</si>
  <si>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</si>
  <si>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</si>
  <si>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</si>
  <si>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</si>
  <si>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</si>
  <si>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</si>
  <si>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</si>
  <si>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</si>
  <si>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</si>
  <si>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</si>
  <si>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</si>
  <si>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墓烛幽儿</t>
    <phoneticPr fontId="1" type="noConversion"/>
  </si>
  <si>
    <t>瘾者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</si>
  <si>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</si>
  <si>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</si>
  <si>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</si>
  <si>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糯米(2),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</si>
  <si>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</si>
  <si>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</si>
  <si>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</si>
  <si>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彗星(5),</t>
    <phoneticPr fontId="1" type="noConversion"/>
  </si>
  <si>
    <t>炼妖壶(4),_x000D_
仙丹(5),</t>
    <phoneticPr fontId="1" type="noConversion"/>
  </si>
  <si>
    <t>龙灵不朽藤(8),</t>
    <phoneticPr fontId="1" type="noConversion"/>
  </si>
  <si>
    <t>欠条中(4),_x000D_
筹码中(4),</t>
    <phoneticPr fontId="1" type="noConversion"/>
  </si>
  <si>
    <t>乹毷</t>
    <phoneticPr fontId="1" type="noConversion"/>
  </si>
  <si>
    <t>新兵尼禄</t>
    <phoneticPr fontId="1" type="noConversion"/>
  </si>
  <si>
    <t>欠条中(4),_x000D_
筹码中(4),_x000D_
筹码大(1),</t>
    <phoneticPr fontId="1" type="noConversion"/>
  </si>
  <si>
    <t>诸葛孔明</t>
    <phoneticPr fontId="1" type="noConversion"/>
  </si>
  <si>
    <t>诸葛孔明</t>
    <phoneticPr fontId="1" type="noConversion"/>
  </si>
  <si>
    <t>铁拐李</t>
    <phoneticPr fontId="1" type="noConversion"/>
  </si>
  <si>
    <t>莲藕大佛</t>
    <phoneticPr fontId="1" type="noConversion"/>
  </si>
  <si>
    <t>嘲风</t>
    <phoneticPr fontId="1" type="noConversion"/>
  </si>
  <si>
    <t>刘备</t>
    <phoneticPr fontId="1" type="noConversion"/>
  </si>
  <si>
    <t>地</t>
    <phoneticPr fontId="1" type="noConversion"/>
  </si>
  <si>
    <t>桂花(5),</t>
    <phoneticPr fontId="1" type="noConversion"/>
  </si>
  <si>
    <t>彗星(15),</t>
    <phoneticPr fontId="1" type="noConversion"/>
  </si>
  <si>
    <t>金甲虫(43),</t>
    <phoneticPr fontId="1" type="noConversion"/>
  </si>
  <si>
    <t>金甲虫(193),</t>
    <phoneticPr fontId="1" type="noConversion"/>
  </si>
  <si>
    <t>神农鼎(10),_x000D_
六方天运骰(2),</t>
    <phoneticPr fontId="1" type="noConversion"/>
  </si>
  <si>
    <t>女娲石(13),_x000D_
神农鼎(15),_x000D_
龙灵不朽藤(13),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</si>
  <si>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</si>
  <si>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</si>
  <si>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骰子小(8),_x000D_
筹码小(10),</t>
    <phoneticPr fontId="1" type="noConversion"/>
  </si>
  <si>
    <t>超进阶素材土(29),_x000D_
超进阶素材木(29),_x000D_
超进阶素材光(50),_x000D_
超进阶素材暗(50),</t>
    <phoneticPr fontId="1" type="noConversion"/>
  </si>
  <si>
    <t>太一之轮(2),</t>
    <phoneticPr fontId="1" type="noConversion"/>
  </si>
  <si>
    <t>秘窟冰晶卵(15),</t>
    <phoneticPr fontId="1" type="noConversion"/>
  </si>
  <si>
    <t>幸运符文叉大(5),</t>
    <phoneticPr fontId="1" type="noConversion"/>
  </si>
  <si>
    <t>金钗(6),</t>
    <phoneticPr fontId="1" type="noConversion"/>
  </si>
  <si>
    <t>神农鼎(6),</t>
    <phoneticPr fontId="1" type="noConversion"/>
  </si>
  <si>
    <t>东皇钟(6),</t>
    <phoneticPr fontId="1" type="noConversion"/>
  </si>
  <si>
    <t>愚山乾坤石(8),</t>
    <phoneticPr fontId="1" type="noConversion"/>
  </si>
  <si>
    <t>太一之轮(3),_x000D_
秘窟冰晶卵(10),</t>
    <phoneticPr fontId="1" type="noConversion"/>
  </si>
  <si>
    <t>龙灵不朽藤(3),</t>
    <phoneticPr fontId="1" type="noConversion"/>
  </si>
  <si>
    <t>炼妖壶(5),_x000D_
秘窟冰晶卵(10),</t>
    <phoneticPr fontId="1" type="noConversion"/>
  </si>
  <si>
    <t>糯米(5),_x000D_
粽叶(1),</t>
    <phoneticPr fontId="1" type="noConversion"/>
  </si>
  <si>
    <t>愚山乾坤石(3),_x000D_
魅力符文叉大(3),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</si>
  <si>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</si>
  <si>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</si>
  <si>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太一之轮(3),_x000D_
幸运符文叉大(5),</t>
    <phoneticPr fontId="1" type="noConversion"/>
  </si>
  <si>
    <t>秘窟冰晶卵(10),_x000D_
魅力符文叉大(8),</t>
    <phoneticPr fontId="1" type="noConversion"/>
  </si>
  <si>
    <t>桂花(5),_x000D_
桂花酒(5),</t>
    <phoneticPr fontId="1" type="noConversion"/>
  </si>
  <si>
    <t>六方天运骰(2),_x000D_
魅力符文叉大(8),</t>
    <phoneticPr fontId="1" type="noConversion"/>
  </si>
  <si>
    <t>炼妖壶(5),_x000D_
赤焰十字星(6),</t>
    <phoneticPr fontId="1" type="noConversion"/>
  </si>
  <si>
    <t>神农鼎(6),_x000D_
赤焰十字星(6),</t>
    <phoneticPr fontId="1" type="noConversion"/>
  </si>
  <si>
    <t>赤焰十字星(6),_x000D_
幸运符文叉大(5),</t>
    <phoneticPr fontId="1" type="noConversion"/>
  </si>
  <si>
    <t>炼妖壶(5),_x000D_
龙灵不朽藤(8),</t>
    <phoneticPr fontId="1" type="noConversion"/>
  </si>
  <si>
    <t>神农鼎(6),_x000D_
愚山乾坤石(8),</t>
    <phoneticPr fontId="1" type="noConversion"/>
  </si>
  <si>
    <t>女娲石(8),_x000D_
愚山乾坤石(8),</t>
    <phoneticPr fontId="1" type="noConversion"/>
  </si>
  <si>
    <t>女娲石(8),_x000D_
愚山乾坤石(8),</t>
    <phoneticPr fontId="1" type="noConversion"/>
  </si>
  <si>
    <t>金甲虫(8),_x000D_
魅力符文叉大(13),</t>
    <phoneticPr fontId="1" type="noConversion"/>
  </si>
  <si>
    <t>太一之轮(12),_x000D_
幸运符文叉大(10),</t>
    <phoneticPr fontId="1" type="noConversion"/>
  </si>
  <si>
    <t>六方天运骰(12),_x000D_
力量符文叉大(15),</t>
    <phoneticPr fontId="1" type="noConversion"/>
  </si>
  <si>
    <t>炼妖壶(19),_x000D_
轩辕剑(10),</t>
    <phoneticPr fontId="1" type="noConversion"/>
  </si>
  <si>
    <t>太一之轮(17),_x000D_
幸运符文叉大(15),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</si>
  <si>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</si>
  <si>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</si>
  <si>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</si>
  <si>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女娲石(3),_x000D_
神农鼎(5),</t>
    <phoneticPr fontId="1" type="noConversion"/>
  </si>
  <si>
    <t>炼妖壶(5),_x000D_
太一之轮(3),_x000D_
六方天运骰(2),</t>
    <phoneticPr fontId="1" type="noConversion"/>
  </si>
  <si>
    <t>神农鼎(6),_x000D_
力量符文叉大(3),</t>
    <phoneticPr fontId="1" type="noConversion"/>
  </si>
  <si>
    <t>欠条中(4),_x000D_
骰子中(3),_x000D_
筹码中(4),</t>
    <phoneticPr fontId="1" type="noConversion"/>
  </si>
  <si>
    <t>太一之轮(3),_x000D_
六方天运骰(2),_x000D_
幸运符文叉大(5),</t>
    <phoneticPr fontId="1" type="noConversion"/>
  </si>
  <si>
    <t>神农鼎(6),_x000D_
秘窟冰晶卵(10),_x000D_
力量符文叉大(5),</t>
    <phoneticPr fontId="1" type="noConversion"/>
  </si>
  <si>
    <t>欠条中(6),_x000D_
欠条大(5),_x000D_
钱袋中(2),</t>
    <phoneticPr fontId="1" type="noConversion"/>
  </si>
  <si>
    <t>欠条大(8),_x000D_
骰子大(4),_x000D_
六方天运骰(2),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</si>
  <si>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</si>
  <si>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</si>
  <si>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崆峒印(1),_x000D_
智慧符文叉大(2),_x000D_
魅力符文叉大(13),</t>
    <phoneticPr fontId="1" type="noConversion"/>
  </si>
  <si>
    <t>太一之轮(2),_x000D_
糯米(5),_x000D_
粽叶(10),</t>
    <phoneticPr fontId="1" type="noConversion"/>
  </si>
  <si>
    <t>女娲石(4),_x000D_
神农鼎(6),_x000D_
龙灵不朽藤(8),</t>
    <phoneticPr fontId="1" type="noConversion"/>
  </si>
  <si>
    <t>钱袋大(10),_x000D_
筹码大(9),_x000D_
秘窟冰晶卵(10),</t>
    <phoneticPr fontId="1" type="noConversion"/>
  </si>
  <si>
    <t>欠条大(8),_x000D_
钱袋大(10),_x000D_
月冕霓晴符(2),</t>
    <phoneticPr fontId="1" type="noConversion"/>
  </si>
  <si>
    <t>欠条大(8),_x000D_
钱袋大(10),_x000D_
月冕霓晴符(2),</t>
    <phoneticPr fontId="1" type="noConversion"/>
  </si>
  <si>
    <t>糯米(10),_x000D_
粽叶(10),_x000D_
龙灵不朽藤(3),</t>
    <phoneticPr fontId="1" type="noConversion"/>
  </si>
  <si>
    <t>东皇钟(1),_x000D_
女娲石(13),_x000D_
愚山乾坤石(13),</t>
    <phoneticPr fontId="1" type="noConversion"/>
  </si>
  <si>
    <t>东皇钟(1),_x000D_
女娲石(13),_x000D_
愚山乾坤石(13),</t>
    <phoneticPr fontId="1" type="noConversion"/>
  </si>
  <si>
    <t>炼妖壶(9),_x000D_
愚山乾坤石(8),_x000D_
力量符文叉大(10),</t>
    <phoneticPr fontId="1" type="noConversion"/>
  </si>
  <si>
    <t>女娲石(13),_x000D_
神农鼎(15),_x000D_
幸运符文叉大(10),</t>
    <phoneticPr fontId="1" type="noConversion"/>
  </si>
  <si>
    <t>女娲石(13),_x000D_
神农鼎(15),_x000D_
龙灵不朽藤(13),</t>
    <phoneticPr fontId="1" type="noConversion"/>
  </si>
  <si>
    <t>女娲石(18),_x000D_
神农鼎(20),_x000D_
幸运符文叉大(15),</t>
    <phoneticPr fontId="1" type="noConversion"/>
  </si>
  <si>
    <t>赤焰十字星(36),_x000D_
力量符文叉大(35),_x000D_
逆鳞(3),</t>
    <phoneticPr fontId="1" type="noConversion"/>
  </si>
  <si>
    <t>女娲石(3),_x000D_
骰子小(3),_x000D_
筹码小(5),_x000D_
庄家令牌中(3),</t>
    <phoneticPr fontId="1" type="noConversion"/>
  </si>
  <si>
    <t>欠条中(4),_x000D_
骰子小(8),_x000D_
筹码中(4),_x000D_
庄家令牌小(2),</t>
    <phoneticPr fontId="1" type="noConversion"/>
  </si>
  <si>
    <t>神农鼎(7),_x000D_
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</si>
  <si>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</si>
  <si>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</si>
  <si>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</si>
  <si>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</si>
  <si>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女娲石(8),_x000D_
骰子大(4),_x000D_
庄家令牌大(6),_x000D_
赤焰十字星(6),</t>
    <phoneticPr fontId="1" type="noConversion"/>
  </si>
  <si>
    <t>太一之轮(7),_x000D_
欠条大(8),_x000D_
骰子大(4),_x000D_
龙灵不朽藤(8),</t>
    <phoneticPr fontId="1" type="noConversion"/>
  </si>
  <si>
    <t>东皇钟(1),_x000D_
崆峒印(6),_x000D_
力量符文叉大(10),_x000D_
幸运符文叉大(10),</t>
    <phoneticPr fontId="1" type="noConversion"/>
  </si>
  <si>
    <t>神农鼎(10),_x000D_
欠条大(8),_x000D_
骰子大(4),_x000D_
愚山乾坤石(8),</t>
    <phoneticPr fontId="1" type="noConversion"/>
  </si>
  <si>
    <t>神农鼎(10),_x000D_
欠条大(8),_x000D_
钱袋大(10),_x000D_
月冕霓晴符(2),</t>
    <phoneticPr fontId="1" type="noConversion"/>
  </si>
  <si>
    <t>欠条小(8),_x000D_
钱袋小(9),_x000D_
骰子小(8),_x000D_
筹码小(10),</t>
    <phoneticPr fontId="1" type="noConversion"/>
  </si>
  <si>
    <t>女娲石(8),_x000D_
六方天运骰(7),_x000D_
魅力符文叉大(13),_x000D_
幸运符文叉大(10),</t>
    <phoneticPr fontId="1" type="noConversion"/>
  </si>
  <si>
    <t>女娲石(8),_x000D_
彗星(25),_x000D_
赤焰十字星(6),_x000D_
魅力符文叉大(8),</t>
    <phoneticPr fontId="1" type="noConversion"/>
  </si>
  <si>
    <t>炼妖壶(14),_x000D_
神农鼎(15),_x000D_
赤焰十字星(11),_x000D_
幸运符文叉大(10),</t>
    <phoneticPr fontId="1" type="noConversion"/>
  </si>
  <si>
    <t>超进阶素材土(29),_x000D_
超进阶素材木(29),_x000D_
超进阶素材光(50),_x000D_
超进阶素材暗(50),</t>
    <phoneticPr fontId="1" type="noConversion"/>
  </si>
  <si>
    <t>超进阶素材水(17),_x000D_
超进阶素材火(50),_x000D_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</si>
</sst>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140</xdr:row>
          <xdr:rowOff>28575</xdr:rowOff>
        </xdr:from>
        <xdr:to>
          <xdr:col>1</xdr:col>
          <xdr:colOff>428625</xdr:colOff>
          <xdr:row>141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8"/>
  <sheetViews>
    <sheetView tabSelected="1" workbookViewId="0">
      <pane xSplit="2" ySplit="1" topLeftCell="BN3" activePane="bottomRight" state="frozen"/>
      <selection pane="topRight" activeCell="C1" sqref="C1"/>
      <selection pane="bottomLeft" activeCell="A3" sqref="A3"/>
      <selection pane="bottomRight" activeCell="BS20" sqref="BS20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86</v>
      </c>
      <c r="B1" s="8" t="s">
        <v>87</v>
      </c>
      <c r="C1" s="8" t="s">
        <v>89</v>
      </c>
      <c r="D1" s="8" t="s">
        <v>88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83</v>
      </c>
      <c r="K1" s="9" t="s">
        <v>29</v>
      </c>
      <c r="L1" s="9" t="s">
        <v>52</v>
      </c>
      <c r="M1" s="9" t="s">
        <v>55</v>
      </c>
      <c r="N1" s="9" t="s">
        <v>60</v>
      </c>
      <c r="O1" s="9" t="s">
        <v>54</v>
      </c>
      <c r="P1" s="30" t="s">
        <v>128</v>
      </c>
      <c r="Q1" s="30" t="s">
        <v>140</v>
      </c>
      <c r="R1" s="30" t="s">
        <v>134</v>
      </c>
      <c r="S1" s="30" t="s">
        <v>129</v>
      </c>
      <c r="T1" s="30" t="s">
        <v>138</v>
      </c>
      <c r="U1" s="30" t="s">
        <v>144</v>
      </c>
      <c r="V1" s="30" t="s">
        <v>130</v>
      </c>
      <c r="W1" s="30" t="s">
        <v>137</v>
      </c>
      <c r="X1" s="30" t="s">
        <v>135</v>
      </c>
      <c r="Y1" s="30" t="s">
        <v>131</v>
      </c>
      <c r="Z1" s="30" t="s">
        <v>139</v>
      </c>
      <c r="AA1" s="30" t="s">
        <v>146</v>
      </c>
      <c r="AB1" s="30" t="s">
        <v>133</v>
      </c>
      <c r="AC1" s="30" t="s">
        <v>132</v>
      </c>
      <c r="AD1" s="30" t="s">
        <v>157</v>
      </c>
      <c r="AE1" s="8" t="s">
        <v>10</v>
      </c>
      <c r="AF1" s="8" t="s">
        <v>35</v>
      </c>
      <c r="AG1" s="8" t="s">
        <v>36</v>
      </c>
      <c r="AH1" s="8" t="s">
        <v>73</v>
      </c>
      <c r="AI1" s="8" t="s">
        <v>74</v>
      </c>
      <c r="AJ1" s="8" t="s">
        <v>76</v>
      </c>
      <c r="AK1" s="8" t="s">
        <v>77</v>
      </c>
      <c r="AL1" s="8" t="s">
        <v>79</v>
      </c>
      <c r="AM1" s="8" t="s">
        <v>61</v>
      </c>
      <c r="AN1" s="8" t="s">
        <v>63</v>
      </c>
      <c r="AO1" s="8" t="s">
        <v>116</v>
      </c>
      <c r="AP1" s="8" t="s">
        <v>117</v>
      </c>
      <c r="AQ1" s="10" t="s">
        <v>49</v>
      </c>
      <c r="AR1" s="10" t="s">
        <v>5</v>
      </c>
      <c r="AS1" s="10" t="s">
        <v>33</v>
      </c>
      <c r="AT1" s="10" t="s">
        <v>66</v>
      </c>
      <c r="AU1" s="10" t="s">
        <v>71</v>
      </c>
      <c r="AV1" s="10" t="s">
        <v>59</v>
      </c>
      <c r="AW1" s="11" t="s">
        <v>6</v>
      </c>
      <c r="AX1" s="11" t="s">
        <v>7</v>
      </c>
      <c r="AY1" s="11" t="s">
        <v>50</v>
      </c>
      <c r="AZ1" s="11" t="s">
        <v>9</v>
      </c>
      <c r="BA1" s="11" t="s">
        <v>58</v>
      </c>
      <c r="BB1" s="11" t="s">
        <v>14</v>
      </c>
      <c r="BC1" s="28" t="s">
        <v>113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94</v>
      </c>
      <c r="BQ1" s="8" t="s">
        <v>95</v>
      </c>
      <c r="BR1" s="16" t="s">
        <v>96</v>
      </c>
      <c r="BS1" s="16"/>
      <c r="BT1" s="10" t="s">
        <v>49</v>
      </c>
      <c r="BU1" s="10" t="s">
        <v>5</v>
      </c>
      <c r="BV1" s="10" t="s">
        <v>33</v>
      </c>
      <c r="BW1" s="10" t="s">
        <v>66</v>
      </c>
      <c r="BX1" s="10" t="s">
        <v>71</v>
      </c>
      <c r="BY1" s="10" t="s">
        <v>59</v>
      </c>
      <c r="BZ1" s="11" t="s">
        <v>6</v>
      </c>
      <c r="CA1" s="11" t="s">
        <v>7</v>
      </c>
      <c r="CB1" s="11" t="s">
        <v>50</v>
      </c>
      <c r="CC1" s="11" t="s">
        <v>9</v>
      </c>
      <c r="CD1" s="11" t="s">
        <v>58</v>
      </c>
      <c r="CE1" s="11" t="s">
        <v>14</v>
      </c>
      <c r="CF1" s="8"/>
      <c r="CG1" s="10" t="s">
        <v>49</v>
      </c>
      <c r="CH1" s="10" t="s">
        <v>5</v>
      </c>
      <c r="CI1" s="10" t="s">
        <v>33</v>
      </c>
      <c r="CJ1" s="10" t="s">
        <v>66</v>
      </c>
      <c r="CK1" s="10" t="s">
        <v>71</v>
      </c>
      <c r="CL1" s="10" t="s">
        <v>59</v>
      </c>
      <c r="CM1" s="11" t="s">
        <v>6</v>
      </c>
      <c r="CN1" s="11" t="s">
        <v>7</v>
      </c>
      <c r="CO1" s="11" t="s">
        <v>50</v>
      </c>
      <c r="CP1" s="11" t="s">
        <v>9</v>
      </c>
      <c r="CQ1" s="11" t="s">
        <v>58</v>
      </c>
      <c r="CR1" s="11" t="s">
        <v>14</v>
      </c>
      <c r="CS1" s="27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IF(AQ2&gt;AQ$137, AQ2-AQ$137,"")</f>
        <v/>
      </c>
      <c r="BU2" s="1" t="str">
        <f>IF(AR2&gt;AR$137, AR2-AR$137,"")</f>
        <v/>
      </c>
      <c r="BV2" s="1" t="str">
        <f>IF(AS2&gt;AS$137, AS2-AS$137,"")</f>
        <v/>
      </c>
      <c r="BW2" s="1" t="str">
        <f>IF(AT2&gt;AT$137, AT2-AT$137,"")</f>
        <v/>
      </c>
      <c r="BX2" s="1" t="str">
        <f>IF(AU2&gt;AU$137, AU2-AU$137,"")</f>
        <v/>
      </c>
      <c r="BY2" s="1" t="str">
        <f>IF(AV2&gt;AV$137, AV2-AV$137,"")</f>
        <v/>
      </c>
      <c r="BZ2" s="1" t="str">
        <f>IF(AW2&gt;AW$137, AW2-AW$137,"")</f>
        <v/>
      </c>
      <c r="CA2" s="1" t="str">
        <f>IF(AX2&gt;AX$137, AX2-AX$137,"")</f>
        <v/>
      </c>
      <c r="CB2" s="1" t="str">
        <f>IF(AY2&gt;AY$137, AY2-AY$137,"")</f>
        <v/>
      </c>
      <c r="CC2" s="1" t="str">
        <f>IF(AZ2&gt;AZ$137, AZ2-AZ$137,"")</f>
        <v/>
      </c>
      <c r="CD2" s="1" t="str">
        <f>IF(BA2&gt;BA$137, BA2-BA$137,"")</f>
        <v/>
      </c>
      <c r="CE2" s="1" t="str">
        <f>IF(BB2&gt;BB$137, BB2-BB$137,"")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18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IF(AQ3&gt;AQ$137, AQ3-AQ$137,"")</f>
        <v/>
      </c>
      <c r="BU3" s="1" t="str">
        <f>IF(AR3&gt;AR$137, AR3-AR$137,"")</f>
        <v/>
      </c>
      <c r="BV3" s="1" t="str">
        <f>IF(AS3&gt;AS$137, AS3-AS$137,"")</f>
        <v/>
      </c>
      <c r="BW3" s="1" t="str">
        <f>IF(AT3&gt;AT$137, AT3-AT$137,"")</f>
        <v/>
      </c>
      <c r="BX3" s="1" t="str">
        <f>IF(AU3&gt;AU$137, AU3-AU$137,"")</f>
        <v/>
      </c>
      <c r="BY3" s="1" t="str">
        <f>IF(AV3&gt;AV$137, AV3-AV$137,"")</f>
        <v/>
      </c>
      <c r="BZ3" s="1" t="str">
        <f>IF(AW3&gt;AW$137, AW3-AW$137,"")</f>
        <v/>
      </c>
      <c r="CA3" s="1" t="str">
        <f>IF(AX3&gt;AX$137, AX3-AX$137,"")</f>
        <v/>
      </c>
      <c r="CB3" s="1" t="str">
        <f>IF(AY3&gt;AY$137, AY3-AY$137,"")</f>
        <v/>
      </c>
      <c r="CC3" s="1" t="str">
        <f>IF(AZ3&gt;AZ$137, AZ3-AZ$137,"")</f>
        <v/>
      </c>
      <c r="CD3" s="1" t="str">
        <f>IF(BA3&gt;BA$137, BA3-BA$137,"")</f>
        <v/>
      </c>
      <c r="CE3" s="1" t="str">
        <f>IF(BB3&gt;BB$137, BB3-BB$137,"")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18">
        <f>SUM(AE3:BO3)</f>
        <v>80</v>
      </c>
    </row>
    <row r="4" spans="1:97" x14ac:dyDescent="0.15">
      <c r="A4" s="1">
        <v>35</v>
      </c>
      <c r="B4" s="1" t="s">
        <v>47</v>
      </c>
      <c r="C4" s="1" t="s">
        <v>48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IF(AQ4&gt;AQ$137, AQ4-AQ$137,"")</f>
        <v/>
      </c>
      <c r="BU4" s="1" t="str">
        <f>IF(AR4&gt;AR$137, AR4-AR$137,"")</f>
        <v/>
      </c>
      <c r="BV4" s="1" t="str">
        <f>IF(AS4&gt;AS$137, AS4-AS$137,"")</f>
        <v/>
      </c>
      <c r="BW4" s="1" t="str">
        <f>IF(AT4&gt;AT$137, AT4-AT$137,"")</f>
        <v/>
      </c>
      <c r="BX4" s="1" t="str">
        <f>IF(AU4&gt;AU$137, AU4-AU$137,"")</f>
        <v/>
      </c>
      <c r="BY4" s="1" t="str">
        <f>IF(AV4&gt;AV$137, AV4-AV$137,"")</f>
        <v/>
      </c>
      <c r="BZ4" s="1" t="str">
        <f>IF(AW4&gt;AW$137, AW4-AW$137,"")</f>
        <v/>
      </c>
      <c r="CA4" s="1" t="str">
        <f>IF(AX4&gt;AX$137, AX4-AX$137,"")</f>
        <v/>
      </c>
      <c r="CB4" s="1" t="str">
        <f>IF(AY4&gt;AY$137, AY4-AY$137,"")</f>
        <v/>
      </c>
      <c r="CC4" s="1" t="str">
        <f>IF(AZ4&gt;AZ$137, AZ4-AZ$137,"")</f>
        <v/>
      </c>
      <c r="CD4" s="1" t="str">
        <f>IF(BA4&gt;BA$137, BA4-BA$137,"")</f>
        <v/>
      </c>
      <c r="CE4" s="1" t="str">
        <f>IF(BB4&gt;BB$137, BB4-BB$137,"")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18">
        <f>SUM(AE4:BO4)</f>
        <v>80</v>
      </c>
    </row>
    <row r="5" spans="1:97" x14ac:dyDescent="0.15">
      <c r="A5" s="1">
        <v>55</v>
      </c>
      <c r="B5" s="1" t="s">
        <v>56</v>
      </c>
      <c r="C5" s="1" t="s">
        <v>57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IF(AQ5&gt;AQ$137, AQ5-AQ$137,"")</f>
        <v/>
      </c>
      <c r="BU5" s="1" t="str">
        <f>IF(AR5&gt;AR$137, AR5-AR$137,"")</f>
        <v/>
      </c>
      <c r="BV5" s="1" t="str">
        <f>IF(AS5&gt;AS$137, AS5-AS$137,"")</f>
        <v/>
      </c>
      <c r="BW5" s="1" t="str">
        <f>IF(AT5&gt;AT$137, AT5-AT$137,"")</f>
        <v/>
      </c>
      <c r="BX5" s="1" t="str">
        <f>IF(AU5&gt;AU$137, AU5-AU$137,"")</f>
        <v/>
      </c>
      <c r="BY5" s="1" t="str">
        <f>IF(AV5&gt;AV$137, AV5-AV$137,"")</f>
        <v/>
      </c>
      <c r="BZ5" s="1" t="str">
        <f>IF(AW5&gt;AW$137, AW5-AW$137,"")</f>
        <v/>
      </c>
      <c r="CA5" s="1" t="str">
        <f>IF(AX5&gt;AX$137, AX5-AX$137,"")</f>
        <v/>
      </c>
      <c r="CB5" s="1" t="str">
        <f>IF(AY5&gt;AY$137, AY5-AY$137,"")</f>
        <v/>
      </c>
      <c r="CC5" s="1" t="str">
        <f>IF(AZ5&gt;AZ$137, AZ5-AZ$137,"")</f>
        <v/>
      </c>
      <c r="CD5" s="1" t="str">
        <f>IF(BA5&gt;BA$137, BA5-BA$137,"")</f>
        <v/>
      </c>
      <c r="CE5" s="1" t="str">
        <f>IF(BB5&gt;BB$137, BB5-BB$137,"")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18">
        <f>SUM(AE5:BO5)</f>
        <v>80</v>
      </c>
    </row>
    <row r="6" spans="1:97" s="25" customFormat="1" x14ac:dyDescent="0.15">
      <c r="A6" s="1"/>
      <c r="B6" s="1" t="s">
        <v>110</v>
      </c>
      <c r="C6" s="1" t="s">
        <v>111</v>
      </c>
      <c r="D6" s="1" t="s">
        <v>109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IF(AQ6&gt;AQ$137, AQ6-AQ$137,"")</f>
        <v/>
      </c>
      <c r="BU6" s="1" t="str">
        <f>IF(AR6&gt;AR$137, AR6-AR$137,"")</f>
        <v/>
      </c>
      <c r="BV6" s="1" t="str">
        <f>IF(AS6&gt;AS$137, AS6-AS$137,"")</f>
        <v/>
      </c>
      <c r="BW6" s="1" t="str">
        <f>IF(AT6&gt;AT$137, AT6-AT$137,"")</f>
        <v/>
      </c>
      <c r="BX6" s="1" t="str">
        <f>IF(AU6&gt;AU$137, AU6-AU$137,"")</f>
        <v/>
      </c>
      <c r="BY6" s="1" t="str">
        <f>IF(AV6&gt;AV$137, AV6-AV$137,"")</f>
        <v/>
      </c>
      <c r="BZ6" s="1" t="str">
        <f>IF(AW6&gt;AW$137, AW6-AW$137,"")</f>
        <v/>
      </c>
      <c r="CA6" s="1" t="str">
        <f>IF(AX6&gt;AX$137, AX6-AX$137,"")</f>
        <v/>
      </c>
      <c r="CB6" s="1" t="str">
        <f>IF(AY6&gt;AY$137, AY6-AY$137,"")</f>
        <v/>
      </c>
      <c r="CC6" s="1" t="str">
        <f>IF(AZ6&gt;AZ$137, AZ6-AZ$137,"")</f>
        <v/>
      </c>
      <c r="CD6" s="1" t="str">
        <f>IF(BA6&gt;BA$137, BA6-BA$137,"")</f>
        <v/>
      </c>
      <c r="CE6" s="1" t="str">
        <f>IF(BB6&gt;BB$137, BB6-BB$137,"")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8"/>
    </row>
    <row r="7" spans="1:97" s="25" customFormat="1" x14ac:dyDescent="0.15">
      <c r="A7" s="1"/>
      <c r="B7" s="1" t="s">
        <v>177</v>
      </c>
      <c r="C7" s="1" t="s">
        <v>119</v>
      </c>
      <c r="D7" s="1" t="s">
        <v>109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IF(AQ7&gt;AQ$137, AQ7-AQ$137,"")</f>
        <v/>
      </c>
      <c r="BU7" s="1" t="str">
        <f>IF(AR7&gt;AR$137, AR7-AR$137,"")</f>
        <v/>
      </c>
      <c r="BV7" s="1" t="str">
        <f>IF(AS7&gt;AS$137, AS7-AS$137,"")</f>
        <v/>
      </c>
      <c r="BW7" s="1" t="str">
        <f>IF(AT7&gt;AT$137, AT7-AT$137,"")</f>
        <v/>
      </c>
      <c r="BX7" s="1" t="str">
        <f>IF(AU7&gt;AU$137, AU7-AU$137,"")</f>
        <v/>
      </c>
      <c r="BY7" s="1" t="str">
        <f>IF(AV7&gt;AV$137, AV7-AV$137,"")</f>
        <v/>
      </c>
      <c r="BZ7" s="1" t="str">
        <f>IF(AW7&gt;AW$137, AW7-AW$137,"")</f>
        <v/>
      </c>
      <c r="CA7" s="1" t="str">
        <f>IF(AX7&gt;AX$137, AX7-AX$137,"")</f>
        <v/>
      </c>
      <c r="CB7" s="1" t="str">
        <f>IF(AY7&gt;AY$137, AY7-AY$137,"")</f>
        <v/>
      </c>
      <c r="CC7" s="1" t="str">
        <f>IF(AZ7&gt;AZ$137, AZ7-AZ$137,"")</f>
        <v/>
      </c>
      <c r="CD7" s="1" t="str">
        <f>IF(BA7&gt;BA$137, BA7-BA$137,"")</f>
        <v/>
      </c>
      <c r="CE7" s="1" t="str">
        <f>IF(BB7&gt;BB$137, BB7-BB$137,"")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8"/>
    </row>
    <row r="8" spans="1:97" x14ac:dyDescent="0.15">
      <c r="A8" s="1"/>
      <c r="B8" s="1" t="s">
        <v>185</v>
      </c>
      <c r="C8" s="1" t="s">
        <v>107</v>
      </c>
      <c r="D8" s="1" t="s">
        <v>109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IF(AQ8&gt;AQ$137, AQ8-AQ$137,"")</f>
        <v/>
      </c>
      <c r="BU8" s="1" t="str">
        <f>IF(AR8&gt;AR$137, AR8-AR$137,"")</f>
        <v/>
      </c>
      <c r="BV8" s="1" t="str">
        <f>IF(AS8&gt;AS$137, AS8-AS$137,"")</f>
        <v/>
      </c>
      <c r="BW8" s="1" t="str">
        <f>IF(AT8&gt;AT$137, AT8-AT$137,"")</f>
        <v/>
      </c>
      <c r="BX8" s="1" t="str">
        <f>IF(AU8&gt;AU$137, AU8-AU$137,"")</f>
        <v/>
      </c>
      <c r="BY8" s="1" t="str">
        <f>IF(AV8&gt;AV$137, AV8-AV$137,"")</f>
        <v/>
      </c>
      <c r="BZ8" s="1" t="str">
        <f>IF(AW8&gt;AW$137, AW8-AW$137,"")</f>
        <v/>
      </c>
      <c r="CA8" s="1" t="str">
        <f>IF(AX8&gt;AX$137, AX8-AX$137,"")</f>
        <v/>
      </c>
      <c r="CB8" s="1" t="str">
        <f>IF(AY8&gt;AY$137, AY8-AY$137,"")</f>
        <v/>
      </c>
      <c r="CC8" s="1" t="str">
        <f>IF(AZ8&gt;AZ$137, AZ8-AZ$137,"")</f>
        <v/>
      </c>
      <c r="CD8" s="1" t="str">
        <f>IF(BA8&gt;BA$137, BA8-BA$137,"")</f>
        <v/>
      </c>
      <c r="CE8" s="1" t="str">
        <f>IF(BB8&gt;BB$137, BB8-BB$137,"")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8"/>
    </row>
    <row r="9" spans="1:97" x14ac:dyDescent="0.15">
      <c r="A9" s="1">
        <v>91</v>
      </c>
      <c r="B9" s="3" t="s">
        <v>82</v>
      </c>
      <c r="C9" s="3" t="s">
        <v>81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IF(AQ9&gt;AQ$137, AQ9-AQ$137,"")</f>
        <v/>
      </c>
      <c r="BU9" s="1" t="str">
        <f>IF(AR9&gt;AR$137, AR9-AR$137,"")</f>
        <v/>
      </c>
      <c r="BV9" s="1" t="str">
        <f>IF(AS9&gt;AS$137, AS9-AS$137,"")</f>
        <v/>
      </c>
      <c r="BW9" s="1" t="str">
        <f>IF(AT9&gt;AT$137, AT9-AT$137,"")</f>
        <v/>
      </c>
      <c r="BX9" s="1" t="str">
        <f>IF(AU9&gt;AU$137, AU9-AU$137,"")</f>
        <v/>
      </c>
      <c r="BY9" s="1" t="str">
        <f>IF(AV9&gt;AV$137, AV9-AV$137,"")</f>
        <v/>
      </c>
      <c r="BZ9" s="1" t="str">
        <f>IF(AW9&gt;AW$137, AW9-AW$137,"")</f>
        <v/>
      </c>
      <c r="CA9" s="1" t="str">
        <f>IF(AX9&gt;AX$137, AX9-AX$137,"")</f>
        <v/>
      </c>
      <c r="CB9" s="1" t="str">
        <f>IF(AY9&gt;AY$137, AY9-AY$137,"")</f>
        <v/>
      </c>
      <c r="CC9" s="1" t="str">
        <f>IF(AZ9&gt;AZ$137, AZ9-AZ$137,"")</f>
        <v/>
      </c>
      <c r="CD9" s="1" t="str">
        <f>IF(BA9&gt;BA$137, BA9-BA$137,"")</f>
        <v/>
      </c>
      <c r="CE9" s="1" t="str">
        <f>IF(BB9&gt;BB$137, BB9-BB$137,"")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18">
        <f>SUM(AE9:BO9)</f>
        <v>5</v>
      </c>
    </row>
    <row r="10" spans="1:97" s="25" customFormat="1" x14ac:dyDescent="0.15">
      <c r="A10" s="1"/>
      <c r="B10" s="1" t="s">
        <v>118</v>
      </c>
      <c r="C10" s="1" t="s">
        <v>111</v>
      </c>
      <c r="D10" s="1" t="s">
        <v>115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1"/>
      <c r="Q10" s="31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>
        <v>2</v>
      </c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2</v>
      </c>
      <c r="BQ10" s="1">
        <v>2</v>
      </c>
      <c r="BR10" s="17">
        <v>1</v>
      </c>
      <c r="BS10" s="17" t="s">
        <v>194</v>
      </c>
      <c r="BT10" s="1" t="str">
        <f>IF(AQ10&gt;AQ$137, AQ10-AQ$137,"")</f>
        <v/>
      </c>
      <c r="BU10" s="1" t="str">
        <f>IF(AR10&gt;AR$137, AR10-AR$137,"")</f>
        <v/>
      </c>
      <c r="BV10" s="1" t="str">
        <f>IF(AS10&gt;AS$137, AS10-AS$137,"")</f>
        <v/>
      </c>
      <c r="BW10" s="1" t="str">
        <f>IF(AT10&gt;AT$137, AT10-AT$137,"")</f>
        <v/>
      </c>
      <c r="BX10" s="1" t="str">
        <f>IF(AU10&gt;AU$137, AU10-AU$137,"")</f>
        <v/>
      </c>
      <c r="BY10" s="1" t="str">
        <f>IF(AV10&gt;AV$137, AV10-AV$137,"")</f>
        <v/>
      </c>
      <c r="BZ10" s="1" t="str">
        <f>IF(AW10&gt;AW$137, AW10-AW$137,"")</f>
        <v/>
      </c>
      <c r="CA10" s="1" t="str">
        <f>IF(AX10&gt;AX$137, AX10-AX$137,"")</f>
        <v/>
      </c>
      <c r="CB10" s="1" t="str">
        <f>IF(AY10&gt;AY$137, AY10-AY$137,"")</f>
        <v/>
      </c>
      <c r="CC10" s="1" t="str">
        <f>IF(AZ10&gt;AZ$137, AZ10-AZ$137,"")</f>
        <v/>
      </c>
      <c r="CD10" s="1" t="str">
        <f>IF(BA10&gt;BA$137, BA10-BA$137,"")</f>
        <v/>
      </c>
      <c r="CE10" s="1" t="str">
        <f>IF(BB10&gt;BB$137, BB10-BB$137,"")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8"/>
    </row>
    <row r="11" spans="1:97" x14ac:dyDescent="0.15">
      <c r="A11" s="1"/>
      <c r="B11" s="1" t="s">
        <v>190</v>
      </c>
      <c r="C11" s="1" t="s">
        <v>122</v>
      </c>
      <c r="D11" s="1" t="s">
        <v>108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>
        <v>5</v>
      </c>
      <c r="P11" s="31"/>
      <c r="Q11" s="31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5</v>
      </c>
      <c r="BQ11" s="1">
        <v>2</v>
      </c>
      <c r="BR11" s="17">
        <v>1</v>
      </c>
      <c r="BS11" s="17" t="s">
        <v>222</v>
      </c>
      <c r="BT11" s="1" t="str">
        <f>IF(AQ11&gt;AQ$137, AQ11-AQ$137,"")</f>
        <v/>
      </c>
      <c r="BU11" s="1" t="str">
        <f>IF(AR11&gt;AR$137, AR11-AR$137,"")</f>
        <v/>
      </c>
      <c r="BV11" s="1" t="str">
        <f>IF(AS11&gt;AS$137, AS11-AS$137,"")</f>
        <v/>
      </c>
      <c r="BW11" s="1" t="str">
        <f>IF(AT11&gt;AT$137, AT11-AT$137,"")</f>
        <v/>
      </c>
      <c r="BX11" s="1" t="str">
        <f>IF(AU11&gt;AU$137, AU11-AU$137,"")</f>
        <v/>
      </c>
      <c r="BY11" s="1" t="str">
        <f>IF(AV11&gt;AV$137, AV11-AV$137,"")</f>
        <v/>
      </c>
      <c r="BZ11" s="1" t="str">
        <f>IF(AW11&gt;AW$137, AW11-AW$137,"")</f>
        <v/>
      </c>
      <c r="CA11" s="1" t="str">
        <f>IF(AX11&gt;AX$137, AX11-AX$137,"")</f>
        <v/>
      </c>
      <c r="CB11" s="1" t="str">
        <f>IF(AY11&gt;AY$137, AY11-AY$137,"")</f>
        <v/>
      </c>
      <c r="CC11" s="1" t="str">
        <f>IF(AZ11&gt;AZ$137, AZ11-AZ$137,"")</f>
        <v/>
      </c>
      <c r="CD11" s="1" t="str">
        <f>IF(BA11&gt;BA$137, BA11-BA$137,"")</f>
        <v/>
      </c>
      <c r="CE11" s="1" t="str">
        <f>IF(BB11&gt;BB$137, BB11-BB$137,"")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8"/>
    </row>
    <row r="12" spans="1:97" s="25" customFormat="1" x14ac:dyDescent="0.15">
      <c r="A12" s="1">
        <v>24</v>
      </c>
      <c r="B12" s="1" t="s">
        <v>46</v>
      </c>
      <c r="C12" s="1" t="s">
        <v>31</v>
      </c>
      <c r="D12" s="1" t="s">
        <v>26</v>
      </c>
      <c r="E12" s="6"/>
      <c r="F12" s="6"/>
      <c r="G12" s="6"/>
      <c r="H12" s="6"/>
      <c r="I12" s="6">
        <v>4</v>
      </c>
      <c r="J12" s="6"/>
      <c r="K12" s="6">
        <v>4</v>
      </c>
      <c r="L12" s="6"/>
      <c r="M12" s="6"/>
      <c r="N12" s="6"/>
      <c r="O12" s="6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>
        <v>5</v>
      </c>
      <c r="AT12" s="4"/>
      <c r="AU12" s="4"/>
      <c r="AV12" s="4"/>
      <c r="AW12" s="2">
        <v>5</v>
      </c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18</v>
      </c>
      <c r="BQ12" s="1">
        <v>3</v>
      </c>
      <c r="BR12" s="17">
        <v>1</v>
      </c>
      <c r="BS12" s="17" t="s">
        <v>230</v>
      </c>
      <c r="BT12" s="1" t="str">
        <f>IF(AQ12&gt;AQ$137, AQ12-AQ$137,"")</f>
        <v/>
      </c>
      <c r="BU12" s="1" t="str">
        <f>IF(AR12&gt;AR$137, AR12-AR$137,"")</f>
        <v/>
      </c>
      <c r="BV12" s="1">
        <f>IF(AS12&gt;AS$137, AS12-AS$137,"")</f>
        <v>3</v>
      </c>
      <c r="BW12" s="1" t="str">
        <f>IF(AT12&gt;AT$137, AT12-AT$137,"")</f>
        <v/>
      </c>
      <c r="BX12" s="1" t="str">
        <f>IF(AU12&gt;AU$137, AU12-AU$137,"")</f>
        <v/>
      </c>
      <c r="BY12" s="1" t="str">
        <f>IF(AV12&gt;AV$137, AV12-AV$137,"")</f>
        <v/>
      </c>
      <c r="BZ12" s="1" t="str">
        <f>IF(AW12&gt;AW$137, AW12-AW$137,"")</f>
        <v/>
      </c>
      <c r="CA12" s="1" t="str">
        <f>IF(AX12&gt;AX$137, AX12-AX$137,"")</f>
        <v/>
      </c>
      <c r="CB12" s="1" t="str">
        <f>IF(AY12&gt;AY$137, AY12-AY$137,"")</f>
        <v/>
      </c>
      <c r="CC12" s="1" t="str">
        <f>IF(AZ12&gt;AZ$137, AZ12-AZ$137,"")</f>
        <v/>
      </c>
      <c r="CD12" s="1" t="str">
        <f>IF(BA12&gt;BA$137, BA12-BA$137,"")</f>
        <v/>
      </c>
      <c r="CE12" s="1" t="str">
        <f>IF(BB12&gt;BB$137, BB12-BB$137,"")</f>
        <v/>
      </c>
      <c r="CF12" s="1">
        <f>COUNTIF(BT12:CE12, "&gt;0")</f>
        <v>1</v>
      </c>
      <c r="CG12" s="1" t="str">
        <f>IF($CF12=1,BT12,"")</f>
        <v/>
      </c>
      <c r="CH12" s="1" t="str">
        <f>IF($CF12=1,BU12,"")</f>
        <v/>
      </c>
      <c r="CI12" s="1">
        <f>IF($CF12=1,BV12,"")</f>
        <v>3</v>
      </c>
      <c r="CJ12" s="1" t="str">
        <f>IF($CF12=1,BW12,"")</f>
        <v/>
      </c>
      <c r="CK12" s="1" t="str">
        <f>IF($CF12=1,BX12,"")</f>
        <v/>
      </c>
      <c r="CL12" s="1" t="str">
        <f>IF($CF12=1,BY12,"")</f>
        <v/>
      </c>
      <c r="CM12" s="1" t="str">
        <f>IF($CF12=1,BZ12,"")</f>
        <v/>
      </c>
      <c r="CN12" s="1" t="str">
        <f>IF($CF12=1,CA12,"")</f>
        <v/>
      </c>
      <c r="CO12" s="1" t="str">
        <f>IF($CF12=1,CB12,"")</f>
        <v/>
      </c>
      <c r="CP12" s="1" t="str">
        <f>IF($CF12=1,CC12,"")</f>
        <v/>
      </c>
      <c r="CQ12" s="1" t="str">
        <f>IF($CF12=1,CD12,"")</f>
        <v/>
      </c>
      <c r="CR12" s="1" t="str">
        <f>IF($CF12=1,CE12,"")</f>
        <v/>
      </c>
      <c r="CS12" s="18">
        <f>SUM(AE12:BO12)</f>
        <v>10</v>
      </c>
    </row>
    <row r="13" spans="1:97" x14ac:dyDescent="0.15">
      <c r="A13" s="1">
        <v>17</v>
      </c>
      <c r="B13" s="1" t="s">
        <v>34</v>
      </c>
      <c r="C13" s="1" t="s">
        <v>31</v>
      </c>
      <c r="D13" s="1" t="s">
        <v>24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1"/>
      <c r="AF13" s="1">
        <v>5</v>
      </c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5</v>
      </c>
      <c r="BQ13" s="1">
        <v>5</v>
      </c>
      <c r="BR13" s="17">
        <v>1</v>
      </c>
      <c r="BS13" s="17" t="s">
        <v>195</v>
      </c>
      <c r="BT13" s="1" t="str">
        <f>IF(AQ13&gt;AQ$137, AQ13-AQ$137,"")</f>
        <v/>
      </c>
      <c r="BU13" s="1" t="str">
        <f>IF(AR13&gt;AR$137, AR13-AR$137,"")</f>
        <v/>
      </c>
      <c r="BV13" s="1" t="str">
        <f>IF(AS13&gt;AS$137, AS13-AS$137,"")</f>
        <v/>
      </c>
      <c r="BW13" s="1" t="str">
        <f>IF(AT13&gt;AT$137, AT13-AT$137,"")</f>
        <v/>
      </c>
      <c r="BX13" s="1" t="str">
        <f>IF(AU13&gt;AU$137, AU13-AU$137,"")</f>
        <v/>
      </c>
      <c r="BY13" s="1" t="str">
        <f>IF(AV13&gt;AV$137, AV13-AV$137,"")</f>
        <v/>
      </c>
      <c r="BZ13" s="1" t="str">
        <f>IF(AW13&gt;AW$137, AW13-AW$137,"")</f>
        <v/>
      </c>
      <c r="CA13" s="1" t="str">
        <f>IF(AX13&gt;AX$137, AX13-AX$137,"")</f>
        <v/>
      </c>
      <c r="CB13" s="1" t="str">
        <f>IF(AY13&gt;AY$137, AY13-AY$137,"")</f>
        <v/>
      </c>
      <c r="CC13" s="1" t="str">
        <f>IF(AZ13&gt;AZ$137, AZ13-AZ$137,"")</f>
        <v/>
      </c>
      <c r="CD13" s="1" t="str">
        <f>IF(BA13&gt;BA$137, BA13-BA$137,"")</f>
        <v/>
      </c>
      <c r="CE13" s="1" t="str">
        <f>IF(BB13&gt;BB$137, BB13-BB$137,"")</f>
        <v/>
      </c>
      <c r="CF13" s="1">
        <f>COUNTIF(BT13:CE13, "&gt;0")</f>
        <v>0</v>
      </c>
      <c r="CG13" s="1" t="str">
        <f>IF($CF13=1,BT13,"")</f>
        <v/>
      </c>
      <c r="CH13" s="1" t="str">
        <f>IF($CF13=1,BU13,"")</f>
        <v/>
      </c>
      <c r="CI13" s="1" t="str">
        <f>IF($CF13=1,BV13,"")</f>
        <v/>
      </c>
      <c r="CJ13" s="1" t="str">
        <f>IF($CF13=1,BW13,"")</f>
        <v/>
      </c>
      <c r="CK13" s="1" t="str">
        <f>IF($CF13=1,BX13,"")</f>
        <v/>
      </c>
      <c r="CL13" s="1" t="str">
        <f>IF($CF13=1,BY13,"")</f>
        <v/>
      </c>
      <c r="CM13" s="1" t="str">
        <f>IF($CF13=1,BZ13,"")</f>
        <v/>
      </c>
      <c r="CN13" s="1" t="str">
        <f>IF($CF13=1,CA13,"")</f>
        <v/>
      </c>
      <c r="CO13" s="1" t="str">
        <f>IF($CF13=1,CB13,"")</f>
        <v/>
      </c>
      <c r="CP13" s="1" t="str">
        <f>IF($CF13=1,CC13,"")</f>
        <v/>
      </c>
      <c r="CQ13" s="1" t="str">
        <f>IF($CF13=1,CD13,"")</f>
        <v/>
      </c>
      <c r="CR13" s="1" t="str">
        <f>IF($CF13=1,CE13,"")</f>
        <v/>
      </c>
      <c r="CS13" s="18">
        <f>SUM(AE13:BO13)</f>
        <v>5</v>
      </c>
    </row>
    <row r="14" spans="1:97" x14ac:dyDescent="0.15">
      <c r="A14" s="1">
        <v>18</v>
      </c>
      <c r="B14" s="1" t="s">
        <v>34</v>
      </c>
      <c r="C14" s="1" t="s">
        <v>31</v>
      </c>
      <c r="D14" s="1" t="s">
        <v>25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1"/>
      <c r="AF14" s="1"/>
      <c r="AG14" s="1">
        <v>5</v>
      </c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5</v>
      </c>
      <c r="BQ14" s="1">
        <v>5</v>
      </c>
      <c r="BR14" s="17">
        <v>1</v>
      </c>
      <c r="BS14" s="17" t="s">
        <v>196</v>
      </c>
      <c r="BT14" s="1" t="str">
        <f>IF(AQ14&gt;AQ$137, AQ14-AQ$137,"")</f>
        <v/>
      </c>
      <c r="BU14" s="1" t="str">
        <f>IF(AR14&gt;AR$137, AR14-AR$137,"")</f>
        <v/>
      </c>
      <c r="BV14" s="1" t="str">
        <f>IF(AS14&gt;AS$137, AS14-AS$137,"")</f>
        <v/>
      </c>
      <c r="BW14" s="1" t="str">
        <f>IF(AT14&gt;AT$137, AT14-AT$137,"")</f>
        <v/>
      </c>
      <c r="BX14" s="1" t="str">
        <f>IF(AU14&gt;AU$137, AU14-AU$137,"")</f>
        <v/>
      </c>
      <c r="BY14" s="1" t="str">
        <f>IF(AV14&gt;AV$137, AV14-AV$137,"")</f>
        <v/>
      </c>
      <c r="BZ14" s="1" t="str">
        <f>IF(AW14&gt;AW$137, AW14-AW$137,"")</f>
        <v/>
      </c>
      <c r="CA14" s="1" t="str">
        <f>IF(AX14&gt;AX$137, AX14-AX$137,"")</f>
        <v/>
      </c>
      <c r="CB14" s="1" t="str">
        <f>IF(AY14&gt;AY$137, AY14-AY$137,"")</f>
        <v/>
      </c>
      <c r="CC14" s="1" t="str">
        <f>IF(AZ14&gt;AZ$137, AZ14-AZ$137,"")</f>
        <v/>
      </c>
      <c r="CD14" s="1" t="str">
        <f>IF(BA14&gt;BA$137, BA14-BA$137,"")</f>
        <v/>
      </c>
      <c r="CE14" s="1" t="str">
        <f>IF(BB14&gt;BB$137, BB14-BB$137,"")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18">
        <f>SUM(AE14:BO14)</f>
        <v>5</v>
      </c>
    </row>
    <row r="15" spans="1:97" x14ac:dyDescent="0.15">
      <c r="A15" s="1">
        <v>19</v>
      </c>
      <c r="B15" s="1" t="s">
        <v>37</v>
      </c>
      <c r="C15" s="1" t="s">
        <v>31</v>
      </c>
      <c r="D15" s="1" t="s">
        <v>24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1"/>
      <c r="AF15" s="1"/>
      <c r="AG15" s="1">
        <v>5</v>
      </c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5</v>
      </c>
      <c r="BQ15" s="1">
        <v>5</v>
      </c>
      <c r="BR15" s="17">
        <v>1</v>
      </c>
      <c r="BS15" s="17" t="s">
        <v>196</v>
      </c>
      <c r="BT15" s="1" t="str">
        <f>IF(AQ15&gt;AQ$137, AQ15-AQ$137,"")</f>
        <v/>
      </c>
      <c r="BU15" s="1" t="str">
        <f>IF(AR15&gt;AR$137, AR15-AR$137,"")</f>
        <v/>
      </c>
      <c r="BV15" s="1" t="str">
        <f>IF(AS15&gt;AS$137, AS15-AS$137,"")</f>
        <v/>
      </c>
      <c r="BW15" s="1" t="str">
        <f>IF(AT15&gt;AT$137, AT15-AT$137,"")</f>
        <v/>
      </c>
      <c r="BX15" s="1" t="str">
        <f>IF(AU15&gt;AU$137, AU15-AU$137,"")</f>
        <v/>
      </c>
      <c r="BY15" s="1" t="str">
        <f>IF(AV15&gt;AV$137, AV15-AV$137,"")</f>
        <v/>
      </c>
      <c r="BZ15" s="1" t="str">
        <f>IF(AW15&gt;AW$137, AW15-AW$137,"")</f>
        <v/>
      </c>
      <c r="CA15" s="1" t="str">
        <f>IF(AX15&gt;AX$137, AX15-AX$137,"")</f>
        <v/>
      </c>
      <c r="CB15" s="1" t="str">
        <f>IF(AY15&gt;AY$137, AY15-AY$137,"")</f>
        <v/>
      </c>
      <c r="CC15" s="1" t="str">
        <f>IF(AZ15&gt;AZ$137, AZ15-AZ$137,"")</f>
        <v/>
      </c>
      <c r="CD15" s="1" t="str">
        <f>IF(BA15&gt;BA$137, BA15-BA$137,"")</f>
        <v/>
      </c>
      <c r="CE15" s="1" t="str">
        <f>IF(BB15&gt;BB$137, BB15-BB$137,"")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18">
        <f>SUM(AE15:BO15)</f>
        <v>5</v>
      </c>
    </row>
    <row r="16" spans="1:97" x14ac:dyDescent="0.15">
      <c r="A16" s="1">
        <v>32</v>
      </c>
      <c r="B16" s="1" t="s">
        <v>78</v>
      </c>
      <c r="C16" s="1" t="s">
        <v>31</v>
      </c>
      <c r="D16" s="1" t="s">
        <v>24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1"/>
      <c r="AF16" s="1"/>
      <c r="AG16" s="1"/>
      <c r="AH16" s="1"/>
      <c r="AI16" s="1">
        <v>5</v>
      </c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5</v>
      </c>
      <c r="BR16" s="17">
        <v>1</v>
      </c>
      <c r="BS16" s="17" t="s">
        <v>197</v>
      </c>
      <c r="BT16" s="1" t="str">
        <f>IF(AQ16&gt;AQ$137, AQ16-AQ$137,"")</f>
        <v/>
      </c>
      <c r="BU16" s="1" t="str">
        <f>IF(AR16&gt;AR$137, AR16-AR$137,"")</f>
        <v/>
      </c>
      <c r="BV16" s="1" t="str">
        <f>IF(AS16&gt;AS$137, AS16-AS$137,"")</f>
        <v/>
      </c>
      <c r="BW16" s="1" t="str">
        <f>IF(AT16&gt;AT$137, AT16-AT$137,"")</f>
        <v/>
      </c>
      <c r="BX16" s="1" t="str">
        <f>IF(AU16&gt;AU$137, AU16-AU$137,"")</f>
        <v/>
      </c>
      <c r="BY16" s="1" t="str">
        <f>IF(AV16&gt;AV$137, AV16-AV$137,"")</f>
        <v/>
      </c>
      <c r="BZ16" s="1" t="str">
        <f>IF(AW16&gt;AW$137, AW16-AW$137,"")</f>
        <v/>
      </c>
      <c r="CA16" s="1" t="str">
        <f>IF(AX16&gt;AX$137, AX16-AX$137,"")</f>
        <v/>
      </c>
      <c r="CB16" s="1" t="str">
        <f>IF(AY16&gt;AY$137, AY16-AY$137,"")</f>
        <v/>
      </c>
      <c r="CC16" s="1" t="str">
        <f>IF(AZ16&gt;AZ$137, AZ16-AZ$137,"")</f>
        <v/>
      </c>
      <c r="CD16" s="1" t="str">
        <f>IF(BA16&gt;BA$137, BA16-BA$137,"")</f>
        <v/>
      </c>
      <c r="CE16" s="1" t="str">
        <f>IF(BB16&gt;BB$137, BB16-BB$137,"")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18">
        <f>SUM(AE16:BO16)</f>
        <v>5</v>
      </c>
    </row>
    <row r="17" spans="1:97" x14ac:dyDescent="0.15">
      <c r="A17" s="1">
        <v>33</v>
      </c>
      <c r="B17" s="1" t="s">
        <v>78</v>
      </c>
      <c r="C17" s="1" t="s">
        <v>31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1"/>
      <c r="AF17" s="1"/>
      <c r="AG17" s="1"/>
      <c r="AH17" s="1">
        <v>5</v>
      </c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5</v>
      </c>
      <c r="BQ17" s="1">
        <v>5</v>
      </c>
      <c r="BR17" s="17">
        <v>1</v>
      </c>
      <c r="BS17" s="17" t="s">
        <v>212</v>
      </c>
      <c r="BT17" s="1" t="str">
        <f>IF(AQ17&gt;AQ$137, AQ17-AQ$137,"")</f>
        <v/>
      </c>
      <c r="BU17" s="1" t="str">
        <f>IF(AR17&gt;AR$137, AR17-AR$137,"")</f>
        <v/>
      </c>
      <c r="BV17" s="1" t="str">
        <f>IF(AS17&gt;AS$137, AS17-AS$137,"")</f>
        <v/>
      </c>
      <c r="BW17" s="1" t="str">
        <f>IF(AT17&gt;AT$137, AT17-AT$137,"")</f>
        <v/>
      </c>
      <c r="BX17" s="1" t="str">
        <f>IF(AU17&gt;AU$137, AU17-AU$137,"")</f>
        <v/>
      </c>
      <c r="BY17" s="1" t="str">
        <f>IF(AV17&gt;AV$137, AV17-AV$137,"")</f>
        <v/>
      </c>
      <c r="BZ17" s="1" t="str">
        <f>IF(AW17&gt;AW$137, AW17-AW$137,"")</f>
        <v/>
      </c>
      <c r="CA17" s="1" t="str">
        <f>IF(AX17&gt;AX$137, AX17-AX$137,"")</f>
        <v/>
      </c>
      <c r="CB17" s="1" t="str">
        <f>IF(AY17&gt;AY$137, AY17-AY$137,"")</f>
        <v/>
      </c>
      <c r="CC17" s="1" t="str">
        <f>IF(AZ17&gt;AZ$137, AZ17-AZ$137,"")</f>
        <v/>
      </c>
      <c r="CD17" s="1" t="str">
        <f>IF(BA17&gt;BA$137, BA17-BA$137,"")</f>
        <v/>
      </c>
      <c r="CE17" s="1" t="str">
        <f>IF(BB17&gt;BB$137, BB17-BB$137,"")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18">
        <f>SUM(AE17:BO17)</f>
        <v>5</v>
      </c>
    </row>
    <row r="18" spans="1:97" x14ac:dyDescent="0.15">
      <c r="A18" s="1">
        <v>63</v>
      </c>
      <c r="B18" s="3" t="s">
        <v>62</v>
      </c>
      <c r="C18" s="1" t="s">
        <v>57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1"/>
      <c r="AF18" s="1"/>
      <c r="AG18" s="1"/>
      <c r="AH18" s="1"/>
      <c r="AI18" s="1"/>
      <c r="AJ18" s="1"/>
      <c r="AK18" s="1"/>
      <c r="AL18" s="1"/>
      <c r="AM18" s="1"/>
      <c r="AN18" s="1">
        <v>5</v>
      </c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198</v>
      </c>
      <c r="BT18" s="1" t="str">
        <f>IF(AQ18&gt;AQ$137, AQ18-AQ$137,"")</f>
        <v/>
      </c>
      <c r="BU18" s="1" t="str">
        <f>IF(AR18&gt;AR$137, AR18-AR$137,"")</f>
        <v/>
      </c>
      <c r="BV18" s="1" t="str">
        <f>IF(AS18&gt;AS$137, AS18-AS$137,"")</f>
        <v/>
      </c>
      <c r="BW18" s="1" t="str">
        <f>IF(AT18&gt;AT$137, AT18-AT$137,"")</f>
        <v/>
      </c>
      <c r="BX18" s="1" t="str">
        <f>IF(AU18&gt;AU$137, AU18-AU$137,"")</f>
        <v/>
      </c>
      <c r="BY18" s="1" t="str">
        <f>IF(AV18&gt;AV$137, AV18-AV$137,"")</f>
        <v/>
      </c>
      <c r="BZ18" s="1" t="str">
        <f>IF(AW18&gt;AW$137, AW18-AW$137,"")</f>
        <v/>
      </c>
      <c r="CA18" s="1" t="str">
        <f>IF(AX18&gt;AX$137, AX18-AX$137,"")</f>
        <v/>
      </c>
      <c r="CB18" s="1" t="str">
        <f>IF(AY18&gt;AY$137, AY18-AY$137,"")</f>
        <v/>
      </c>
      <c r="CC18" s="1" t="str">
        <f>IF(AZ18&gt;AZ$137, AZ18-AZ$137,"")</f>
        <v/>
      </c>
      <c r="CD18" s="1" t="str">
        <f>IF(BA18&gt;BA$137, BA18-BA$137,"")</f>
        <v/>
      </c>
      <c r="CE18" s="1" t="str">
        <f>IF(BB18&gt;BB$137, BB18-BB$137,"")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18">
        <f>SUM(AE18:BO18)</f>
        <v>5</v>
      </c>
    </row>
    <row r="19" spans="1:97" x14ac:dyDescent="0.15">
      <c r="A19" s="1">
        <v>90</v>
      </c>
      <c r="B19" s="3" t="s">
        <v>82</v>
      </c>
      <c r="C19" s="3" t="s">
        <v>81</v>
      </c>
      <c r="D19" s="1" t="s">
        <v>24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1"/>
      <c r="AF19" s="1"/>
      <c r="AG19" s="1"/>
      <c r="AH19" s="1"/>
      <c r="AI19" s="1"/>
      <c r="AJ19" s="1"/>
      <c r="AK19" s="1"/>
      <c r="AL19" s="1"/>
      <c r="AM19" s="1"/>
      <c r="AN19" s="1">
        <v>5</v>
      </c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198</v>
      </c>
      <c r="BT19" s="1" t="str">
        <f>IF(AQ19&gt;AQ$137, AQ19-AQ$137,"")</f>
        <v/>
      </c>
      <c r="BU19" s="1" t="str">
        <f>IF(AR19&gt;AR$137, AR19-AR$137,"")</f>
        <v/>
      </c>
      <c r="BV19" s="1" t="str">
        <f>IF(AS19&gt;AS$137, AS19-AS$137,"")</f>
        <v/>
      </c>
      <c r="BW19" s="1" t="str">
        <f>IF(AT19&gt;AT$137, AT19-AT$137,"")</f>
        <v/>
      </c>
      <c r="BX19" s="1" t="str">
        <f>IF(AU19&gt;AU$137, AU19-AU$137,"")</f>
        <v/>
      </c>
      <c r="BY19" s="1" t="str">
        <f>IF(AV19&gt;AV$137, AV19-AV$137,"")</f>
        <v/>
      </c>
      <c r="BZ19" s="1" t="str">
        <f>IF(AW19&gt;AW$137, AW19-AW$137,"")</f>
        <v/>
      </c>
      <c r="CA19" s="1" t="str">
        <f>IF(AX19&gt;AX$137, AX19-AX$137,"")</f>
        <v/>
      </c>
      <c r="CB19" s="1" t="str">
        <f>IF(AY19&gt;AY$137, AY19-AY$137,"")</f>
        <v/>
      </c>
      <c r="CC19" s="1" t="str">
        <f>IF(AZ19&gt;AZ$137, AZ19-AZ$137,"")</f>
        <v/>
      </c>
      <c r="CD19" s="1" t="str">
        <f>IF(BA19&gt;BA$137, BA19-BA$137,"")</f>
        <v/>
      </c>
      <c r="CE19" s="1" t="str">
        <f>IF(BB19&gt;BB$137, BB19-BB$137,"")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18">
        <f>SUM(AE19:BO19)</f>
        <v>5</v>
      </c>
    </row>
    <row r="20" spans="1:97" x14ac:dyDescent="0.15">
      <c r="A20" s="1"/>
      <c r="B20" s="1" t="s">
        <v>121</v>
      </c>
      <c r="C20" s="1" t="s">
        <v>119</v>
      </c>
      <c r="D20" s="1" t="s">
        <v>115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1"/>
      <c r="AF20" s="1"/>
      <c r="AG20" s="1"/>
      <c r="AH20" s="1">
        <v>5</v>
      </c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212</v>
      </c>
      <c r="BT20" s="1" t="str">
        <f>IF(AQ20&gt;AQ$137, AQ20-AQ$137,"")</f>
        <v/>
      </c>
      <c r="BU20" s="1" t="str">
        <f>IF(AR20&gt;AR$137, AR20-AR$137,"")</f>
        <v/>
      </c>
      <c r="BV20" s="1" t="str">
        <f>IF(AS20&gt;AS$137, AS20-AS$137,"")</f>
        <v/>
      </c>
      <c r="BW20" s="1" t="str">
        <f>IF(AT20&gt;AT$137, AT20-AT$137,"")</f>
        <v/>
      </c>
      <c r="BX20" s="1" t="str">
        <f>IF(AU20&gt;AU$137, AU20-AU$137,"")</f>
        <v/>
      </c>
      <c r="BY20" s="1" t="str">
        <f>IF(AV20&gt;AV$137, AV20-AV$137,"")</f>
        <v/>
      </c>
      <c r="BZ20" s="1" t="str">
        <f>IF(AW20&gt;AW$137, AW20-AW$137,"")</f>
        <v/>
      </c>
      <c r="CA20" s="1" t="str">
        <f>IF(AX20&gt;AX$137, AX20-AX$137,"")</f>
        <v/>
      </c>
      <c r="CB20" s="1" t="str">
        <f>IF(AY20&gt;AY$137, AY20-AY$137,"")</f>
        <v/>
      </c>
      <c r="CC20" s="1" t="str">
        <f>IF(AZ20&gt;AZ$137, AZ20-AZ$137,"")</f>
        <v/>
      </c>
      <c r="CD20" s="1" t="str">
        <f>IF(BA20&gt;BA$137, BA20-BA$137,"")</f>
        <v/>
      </c>
      <c r="CE20" s="1" t="str">
        <f>IF(BB20&gt;BB$137, BB20-BB$137,"")</f>
        <v/>
      </c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8"/>
    </row>
    <row r="21" spans="1:97" x14ac:dyDescent="0.15">
      <c r="A21" s="1"/>
      <c r="B21" s="1" t="s">
        <v>121</v>
      </c>
      <c r="C21" s="1" t="s">
        <v>119</v>
      </c>
      <c r="D21" s="1" t="s">
        <v>109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1"/>
      <c r="AF21" s="1"/>
      <c r="AG21" s="1"/>
      <c r="AH21" s="1"/>
      <c r="AI21" s="1">
        <v>5</v>
      </c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197</v>
      </c>
      <c r="BT21" s="1" t="str">
        <f>IF(AQ21&gt;AQ$137, AQ21-AQ$137,"")</f>
        <v/>
      </c>
      <c r="BU21" s="1" t="str">
        <f>IF(AR21&gt;AR$137, AR21-AR$137,"")</f>
        <v/>
      </c>
      <c r="BV21" s="1" t="str">
        <f>IF(AS21&gt;AS$137, AS21-AS$137,"")</f>
        <v/>
      </c>
      <c r="BW21" s="1" t="str">
        <f>IF(AT21&gt;AT$137, AT21-AT$137,"")</f>
        <v/>
      </c>
      <c r="BX21" s="1" t="str">
        <f>IF(AU21&gt;AU$137, AU21-AU$137,"")</f>
        <v/>
      </c>
      <c r="BY21" s="1" t="str">
        <f>IF(AV21&gt;AV$137, AV21-AV$137,"")</f>
        <v/>
      </c>
      <c r="BZ21" s="1" t="str">
        <f>IF(AW21&gt;AW$137, AW21-AW$137,"")</f>
        <v/>
      </c>
      <c r="CA21" s="1" t="str">
        <f>IF(AX21&gt;AX$137, AX21-AX$137,"")</f>
        <v/>
      </c>
      <c r="CB21" s="1" t="str">
        <f>IF(AY21&gt;AY$137, AY21-AY$137,"")</f>
        <v/>
      </c>
      <c r="CC21" s="1" t="str">
        <f>IF(AZ21&gt;AZ$137, AZ21-AZ$137,"")</f>
        <v/>
      </c>
      <c r="CD21" s="1" t="str">
        <f>IF(BA21&gt;BA$137, BA21-BA$137,"")</f>
        <v/>
      </c>
      <c r="CE21" s="1" t="str">
        <f>IF(BB21&gt;BB$137, BB21-BB$137,"")</f>
        <v/>
      </c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>
        <v>94</v>
      </c>
      <c r="B22" s="3" t="s">
        <v>84</v>
      </c>
      <c r="C22" s="3" t="s">
        <v>70</v>
      </c>
      <c r="D22" s="1" t="s">
        <v>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>
        <v>10</v>
      </c>
      <c r="BB22" s="2">
        <v>10</v>
      </c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20</v>
      </c>
      <c r="BQ22" s="1">
        <v>5</v>
      </c>
      <c r="BR22" s="17">
        <v>1</v>
      </c>
      <c r="BS22" s="17" t="s">
        <v>224</v>
      </c>
      <c r="BT22" s="1" t="str">
        <f>IF(AQ22&gt;AQ$137, AQ22-AQ$137,"")</f>
        <v/>
      </c>
      <c r="BU22" s="1" t="str">
        <f>IF(AR22&gt;AR$137, AR22-AR$137,"")</f>
        <v/>
      </c>
      <c r="BV22" s="1" t="str">
        <f>IF(AS22&gt;AS$137, AS22-AS$137,"")</f>
        <v/>
      </c>
      <c r="BW22" s="1" t="str">
        <f>IF(AT22&gt;AT$137, AT22-AT$137,"")</f>
        <v/>
      </c>
      <c r="BX22" s="1" t="str">
        <f>IF(AU22&gt;AU$137, AU22-AU$137,"")</f>
        <v/>
      </c>
      <c r="BY22" s="1" t="str">
        <f>IF(AV22&gt;AV$137, AV22-AV$137,"")</f>
        <v/>
      </c>
      <c r="BZ22" s="1" t="str">
        <f>IF(AW22&gt;AW$137, AW22-AW$137,"")</f>
        <v/>
      </c>
      <c r="CA22" s="1" t="str">
        <f>IF(AX22&gt;AX$137, AX22-AX$137,"")</f>
        <v/>
      </c>
      <c r="CB22" s="1" t="str">
        <f>IF(AY22&gt;AY$137, AY22-AY$137,"")</f>
        <v/>
      </c>
      <c r="CC22" s="1" t="str">
        <f>IF(AZ22&gt;AZ$137, AZ22-AZ$137,"")</f>
        <v/>
      </c>
      <c r="CD22" s="1">
        <f>IF(BA22&gt;BA$137, BA22-BA$137,"")</f>
        <v>5</v>
      </c>
      <c r="CE22" s="1" t="str">
        <f>IF(BB22&gt;BB$137, BB22-BB$137,"")</f>
        <v/>
      </c>
      <c r="CF22" s="1">
        <f>COUNTIF(BT22:CE22, "&gt;0")</f>
        <v>1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>
        <f>IF($CF22=1,CD22,"")</f>
        <v>5</v>
      </c>
      <c r="CR22" s="1" t="str">
        <f>IF($CF22=1,CE22,"")</f>
        <v/>
      </c>
      <c r="CS22" s="18">
        <f>SUM(AE22:BO22)</f>
        <v>20</v>
      </c>
    </row>
    <row r="23" spans="1:97" x14ac:dyDescent="0.15">
      <c r="A23" s="1"/>
      <c r="B23" s="1" t="s">
        <v>202</v>
      </c>
      <c r="C23" s="1" t="s">
        <v>122</v>
      </c>
      <c r="D23" s="1" t="s">
        <v>108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>
        <v>10</v>
      </c>
      <c r="BB23" s="2">
        <v>10</v>
      </c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20</v>
      </c>
      <c r="BQ23" s="1">
        <v>5</v>
      </c>
      <c r="BR23" s="17">
        <v>1</v>
      </c>
      <c r="BS23" s="17" t="s">
        <v>224</v>
      </c>
      <c r="BT23" s="1" t="str">
        <f>IF(AQ23&gt;AQ$137, AQ23-AQ$137,"")</f>
        <v/>
      </c>
      <c r="BU23" s="1" t="str">
        <f>IF(AR23&gt;AR$137, AR23-AR$137,"")</f>
        <v/>
      </c>
      <c r="BV23" s="1" t="str">
        <f>IF(AS23&gt;AS$137, AS23-AS$137,"")</f>
        <v/>
      </c>
      <c r="BW23" s="1" t="str">
        <f>IF(AT23&gt;AT$137, AT23-AT$137,"")</f>
        <v/>
      </c>
      <c r="BX23" s="1" t="str">
        <f>IF(AU23&gt;AU$137, AU23-AU$137,"")</f>
        <v/>
      </c>
      <c r="BY23" s="1" t="str">
        <f>IF(AV23&gt;AV$137, AV23-AV$137,"")</f>
        <v/>
      </c>
      <c r="BZ23" s="1" t="str">
        <f>IF(AW23&gt;AW$137, AW23-AW$137,"")</f>
        <v/>
      </c>
      <c r="CA23" s="1" t="str">
        <f>IF(AX23&gt;AX$137, AX23-AX$137,"")</f>
        <v/>
      </c>
      <c r="CB23" s="1" t="str">
        <f>IF(AY23&gt;AY$137, AY23-AY$137,"")</f>
        <v/>
      </c>
      <c r="CC23" s="1" t="str">
        <f>IF(AZ23&gt;AZ$137, AZ23-AZ$137,"")</f>
        <v/>
      </c>
      <c r="CD23" s="1">
        <f>IF(BA23&gt;BA$137, BA23-BA$137,"")</f>
        <v>5</v>
      </c>
      <c r="CE23" s="1" t="str">
        <f>IF(BB23&gt;BB$137, BB23-BB$137,"")</f>
        <v/>
      </c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8"/>
    </row>
    <row r="24" spans="1:97" x14ac:dyDescent="0.15">
      <c r="A24" s="1"/>
      <c r="B24" s="1" t="s">
        <v>189</v>
      </c>
      <c r="C24" s="1" t="s">
        <v>152</v>
      </c>
      <c r="D24" s="1" t="s">
        <v>126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>
        <v>10</v>
      </c>
      <c r="BB24" s="2">
        <v>10</v>
      </c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20</v>
      </c>
      <c r="BQ24" s="1">
        <v>5</v>
      </c>
      <c r="BR24" s="17">
        <v>1</v>
      </c>
      <c r="BS24" s="17" t="s">
        <v>224</v>
      </c>
      <c r="BT24" s="1" t="str">
        <f>IF(AQ24&gt;AQ$137, AQ24-AQ$137,"")</f>
        <v/>
      </c>
      <c r="BU24" s="1" t="str">
        <f>IF(AR24&gt;AR$137, AR24-AR$137,"")</f>
        <v/>
      </c>
      <c r="BV24" s="1" t="str">
        <f>IF(AS24&gt;AS$137, AS24-AS$137,"")</f>
        <v/>
      </c>
      <c r="BW24" s="1" t="str">
        <f>IF(AT24&gt;AT$137, AT24-AT$137,"")</f>
        <v/>
      </c>
      <c r="BX24" s="1" t="str">
        <f>IF(AU24&gt;AU$137, AU24-AU$137,"")</f>
        <v/>
      </c>
      <c r="BY24" s="1" t="str">
        <f>IF(AV24&gt;AV$137, AV24-AV$137,"")</f>
        <v/>
      </c>
      <c r="BZ24" s="1" t="str">
        <f>IF(AW24&gt;AW$137, AW24-AW$137,"")</f>
        <v/>
      </c>
      <c r="CA24" s="1" t="str">
        <f>IF(AX24&gt;AX$137, AX24-AX$137,"")</f>
        <v/>
      </c>
      <c r="CB24" s="1" t="str">
        <f>IF(AY24&gt;AY$137, AY24-AY$137,"")</f>
        <v/>
      </c>
      <c r="CC24" s="1" t="str">
        <f>IF(AZ24&gt;AZ$137, AZ24-AZ$137,"")</f>
        <v/>
      </c>
      <c r="CD24" s="1">
        <f>IF(BA24&gt;BA$137, BA24-BA$137,"")</f>
        <v>5</v>
      </c>
      <c r="CE24" s="1" t="str">
        <f>IF(BB24&gt;BB$137, BB24-BB$137,"")</f>
        <v/>
      </c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8"/>
    </row>
    <row r="25" spans="1:97" s="25" customFormat="1" x14ac:dyDescent="0.15">
      <c r="A25" s="1">
        <v>62</v>
      </c>
      <c r="B25" s="1" t="s">
        <v>105</v>
      </c>
      <c r="C25" s="1" t="s">
        <v>57</v>
      </c>
      <c r="D25" s="1" t="s">
        <v>1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1"/>
      <c r="AF25" s="1"/>
      <c r="AG25" s="1"/>
      <c r="AH25" s="1"/>
      <c r="AI25" s="1"/>
      <c r="AJ25" s="1"/>
      <c r="AK25" s="1"/>
      <c r="AL25" s="1"/>
      <c r="AM25" s="1">
        <v>15</v>
      </c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15</v>
      </c>
      <c r="BQ25" s="1">
        <v>6</v>
      </c>
      <c r="BR25" s="17">
        <v>1</v>
      </c>
      <c r="BS25" s="17" t="s">
        <v>225</v>
      </c>
      <c r="BT25" s="1" t="str">
        <f>IF(AQ25&gt;AQ$137, AQ25-AQ$137,"")</f>
        <v/>
      </c>
      <c r="BU25" s="1" t="str">
        <f>IF(AR25&gt;AR$137, AR25-AR$137,"")</f>
        <v/>
      </c>
      <c r="BV25" s="1" t="str">
        <f>IF(AS25&gt;AS$137, AS25-AS$137,"")</f>
        <v/>
      </c>
      <c r="BW25" s="1" t="str">
        <f>IF(AT25&gt;AT$137, AT25-AT$137,"")</f>
        <v/>
      </c>
      <c r="BX25" s="1" t="str">
        <f>IF(AU25&gt;AU$137, AU25-AU$137,"")</f>
        <v/>
      </c>
      <c r="BY25" s="1" t="str">
        <f>IF(AV25&gt;AV$137, AV25-AV$137,"")</f>
        <v/>
      </c>
      <c r="BZ25" s="1" t="str">
        <f>IF(AW25&gt;AW$137, AW25-AW$137,"")</f>
        <v/>
      </c>
      <c r="CA25" s="1" t="str">
        <f>IF(AX25&gt;AX$137, AX25-AX$137,"")</f>
        <v/>
      </c>
      <c r="CB25" s="1" t="str">
        <f>IF(AY25&gt;AY$137, AY25-AY$137,"")</f>
        <v/>
      </c>
      <c r="CC25" s="1" t="str">
        <f>IF(AZ25&gt;AZ$137, AZ25-AZ$137,"")</f>
        <v/>
      </c>
      <c r="CD25" s="1" t="str">
        <f>IF(BA25&gt;BA$137, BA25-BA$137,"")</f>
        <v/>
      </c>
      <c r="CE25" s="1" t="str">
        <f>IF(BB25&gt;BB$137, BB25-BB$137,"")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18">
        <f>SUM(AE25:BO25)</f>
        <v>15</v>
      </c>
    </row>
    <row r="26" spans="1:97" x14ac:dyDescent="0.15">
      <c r="A26" s="1"/>
      <c r="B26" s="1" t="s">
        <v>205</v>
      </c>
      <c r="C26" s="1" t="s">
        <v>122</v>
      </c>
      <c r="D26" s="1" t="s">
        <v>109</v>
      </c>
      <c r="E26" s="6"/>
      <c r="F26" s="6"/>
      <c r="G26" s="6"/>
      <c r="H26" s="6">
        <v>6</v>
      </c>
      <c r="I26" s="6"/>
      <c r="J26" s="6">
        <v>6</v>
      </c>
      <c r="K26" s="6"/>
      <c r="L26" s="6"/>
      <c r="M26" s="6"/>
      <c r="N26" s="6"/>
      <c r="O26" s="6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>
        <v>8</v>
      </c>
      <c r="AU26" s="4"/>
      <c r="AV26" s="4"/>
      <c r="AW26" s="2"/>
      <c r="AX26" s="2"/>
      <c r="AY26" s="2">
        <v>8</v>
      </c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28</v>
      </c>
      <c r="BQ26" s="1">
        <v>6</v>
      </c>
      <c r="BR26" s="17">
        <v>1</v>
      </c>
      <c r="BS26" s="17" t="s">
        <v>226</v>
      </c>
      <c r="BT26" s="1" t="str">
        <f>IF(AQ26&gt;AQ$137, AQ26-AQ$137,"")</f>
        <v/>
      </c>
      <c r="BU26" s="1" t="str">
        <f>IF(AR26&gt;AR$137, AR26-AR$137,"")</f>
        <v/>
      </c>
      <c r="BV26" s="1" t="str">
        <f>IF(AS26&gt;AS$137, AS26-AS$137,"")</f>
        <v/>
      </c>
      <c r="BW26" s="1" t="str">
        <f>IF(AT26&gt;AT$137, AT26-AT$137,"")</f>
        <v/>
      </c>
      <c r="BX26" s="1" t="str">
        <f>IF(AU26&gt;AU$137, AU26-AU$137,"")</f>
        <v/>
      </c>
      <c r="BY26" s="1" t="str">
        <f>IF(AV26&gt;AV$137, AV26-AV$137,"")</f>
        <v/>
      </c>
      <c r="BZ26" s="1" t="str">
        <f>IF(AW26&gt;AW$137, AW26-AW$137,"")</f>
        <v/>
      </c>
      <c r="CA26" s="1" t="str">
        <f>IF(AX26&gt;AX$137, AX26-AX$137,"")</f>
        <v/>
      </c>
      <c r="CB26" s="1" t="str">
        <f>IF(AY26&gt;AY$137, AY26-AY$137,"")</f>
        <v/>
      </c>
      <c r="CC26" s="1" t="str">
        <f>IF(AZ26&gt;AZ$137, AZ26-AZ$137,"")</f>
        <v/>
      </c>
      <c r="CD26" s="1" t="str">
        <f>IF(BA26&gt;BA$137, BA26-BA$137,"")</f>
        <v/>
      </c>
      <c r="CE26" s="1" t="str">
        <f>IF(BB26&gt;BB$137, BB26-BB$137,"")</f>
        <v/>
      </c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8"/>
    </row>
    <row r="27" spans="1:97" x14ac:dyDescent="0.15">
      <c r="A27" s="1"/>
      <c r="B27" s="1" t="s">
        <v>167</v>
      </c>
      <c r="C27" s="1" t="s">
        <v>31</v>
      </c>
      <c r="D27" s="1" t="s">
        <v>161</v>
      </c>
      <c r="E27" s="6">
        <v>20</v>
      </c>
      <c r="F27" s="6"/>
      <c r="G27" s="6"/>
      <c r="H27" s="6"/>
      <c r="I27" s="6">
        <v>20</v>
      </c>
      <c r="J27" s="6">
        <v>20</v>
      </c>
      <c r="K27" s="6"/>
      <c r="L27" s="6"/>
      <c r="M27" s="6"/>
      <c r="N27" s="6"/>
      <c r="O27" s="6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3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60</v>
      </c>
      <c r="BQ27" s="1">
        <v>6</v>
      </c>
      <c r="BR27" s="17">
        <v>1</v>
      </c>
      <c r="BS27" s="17" t="s">
        <v>227</v>
      </c>
      <c r="BT27" s="1" t="str">
        <f>IF(AQ27&gt;AQ$137, AQ27-AQ$137,"")</f>
        <v/>
      </c>
      <c r="BU27" s="1" t="str">
        <f>IF(AR27&gt;AR$137, AR27-AR$137,"")</f>
        <v/>
      </c>
      <c r="BV27" s="1" t="str">
        <f>IF(AS27&gt;AS$137, AS27-AS$137,"")</f>
        <v/>
      </c>
      <c r="BW27" s="1" t="str">
        <f>IF(AT27&gt;AT$137, AT27-AT$137,"")</f>
        <v/>
      </c>
      <c r="BX27" s="1" t="str">
        <f>IF(AU27&gt;AU$137, AU27-AU$137,"")</f>
        <v/>
      </c>
      <c r="BY27" s="1" t="str">
        <f>IF(AV27&gt;AV$137, AV27-AV$137,"")</f>
        <v/>
      </c>
      <c r="BZ27" s="1" t="str">
        <f>IF(AW27&gt;AW$137, AW27-AW$137,"")</f>
        <v/>
      </c>
      <c r="CA27" s="1" t="str">
        <f>IF(AX27&gt;AX$137, AX27-AX$137,"")</f>
        <v/>
      </c>
      <c r="CB27" s="1" t="str">
        <f>IF(AY27&gt;AY$137, AY27-AY$137,"")</f>
        <v/>
      </c>
      <c r="CC27" s="1" t="str">
        <f>IF(AZ27&gt;AZ$137, AZ27-AZ$137,"")</f>
        <v/>
      </c>
      <c r="CD27" s="1" t="str">
        <f>IF(BA27&gt;BA$137, BA27-BA$137,"")</f>
        <v/>
      </c>
      <c r="CE27" s="1" t="str">
        <f>IF(BB27&gt;BB$137, BB27-BB$137,"")</f>
        <v/>
      </c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8"/>
    </row>
    <row r="28" spans="1:97" x14ac:dyDescent="0.15">
      <c r="A28" s="1"/>
      <c r="B28" s="1" t="s">
        <v>172</v>
      </c>
      <c r="C28" s="1" t="s">
        <v>111</v>
      </c>
      <c r="D28" s="1" t="s">
        <v>108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3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>
        <v>10</v>
      </c>
      <c r="AT28" s="4"/>
      <c r="AU28" s="4"/>
      <c r="AV28" s="4"/>
      <c r="AW28" s="2"/>
      <c r="AX28" s="2"/>
      <c r="AY28" s="2"/>
      <c r="AZ28" s="2"/>
      <c r="BA28" s="2"/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20</v>
      </c>
      <c r="BQ28" s="1">
        <v>8</v>
      </c>
      <c r="BR28" s="17">
        <v>1</v>
      </c>
      <c r="BS28" s="17" t="s">
        <v>200</v>
      </c>
      <c r="BT28" s="1" t="str">
        <f>IF(AQ28&gt;AQ$137, AQ28-AQ$137,"")</f>
        <v/>
      </c>
      <c r="BU28" s="1" t="str">
        <f>IF(AR28&gt;AR$137, AR28-AR$137,"")</f>
        <v/>
      </c>
      <c r="BV28" s="1">
        <f>IF(AS28&gt;AS$137, AS28-AS$137,"")</f>
        <v>8</v>
      </c>
      <c r="BW28" s="1" t="str">
        <f>IF(AT28&gt;AT$137, AT28-AT$137,"")</f>
        <v/>
      </c>
      <c r="BX28" s="1" t="str">
        <f>IF(AU28&gt;AU$137, AU28-AU$137,"")</f>
        <v/>
      </c>
      <c r="BY28" s="1" t="str">
        <f>IF(AV28&gt;AV$137, AV28-AV$137,"")</f>
        <v/>
      </c>
      <c r="BZ28" s="1" t="str">
        <f>IF(AW28&gt;AW$137, AW28-AW$137,"")</f>
        <v/>
      </c>
      <c r="CA28" s="1" t="str">
        <f>IF(AX28&gt;AX$137, AX28-AX$137,"")</f>
        <v/>
      </c>
      <c r="CB28" s="1" t="str">
        <f>IF(AY28&gt;AY$137, AY28-AY$137,"")</f>
        <v/>
      </c>
      <c r="CC28" s="1" t="str">
        <f>IF(AZ28&gt;AZ$137, AZ28-AZ$137,"")</f>
        <v/>
      </c>
      <c r="CD28" s="1" t="str">
        <f>IF(BA28&gt;BA$137, BA28-BA$137,"")</f>
        <v/>
      </c>
      <c r="CE28" s="1" t="str">
        <f>IF(BB28&gt;BB$137, BB28-BB$137,"")</f>
        <v/>
      </c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8"/>
    </row>
    <row r="29" spans="1:97" x14ac:dyDescent="0.15">
      <c r="A29" s="1">
        <v>5</v>
      </c>
      <c r="B29" s="1" t="s">
        <v>22</v>
      </c>
      <c r="C29" s="1" t="s">
        <v>2</v>
      </c>
      <c r="D29" s="1" t="s">
        <v>12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>
        <v>10</v>
      </c>
      <c r="AS29" s="4"/>
      <c r="AT29" s="4"/>
      <c r="AU29" s="4"/>
      <c r="AV29" s="4"/>
      <c r="AW29" s="2"/>
      <c r="AX29" s="2"/>
      <c r="AY29" s="2"/>
      <c r="AZ29" s="2"/>
      <c r="BA29" s="2"/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20</v>
      </c>
      <c r="BQ29" s="1">
        <v>8</v>
      </c>
      <c r="BR29" s="17">
        <v>1</v>
      </c>
      <c r="BS29" s="17" t="s">
        <v>228</v>
      </c>
      <c r="BT29" s="1" t="str">
        <f>IF(AQ29&gt;AQ$137, AQ29-AQ$137,"")</f>
        <v/>
      </c>
      <c r="BU29" s="1">
        <f>IF(AR29&gt;AR$137, AR29-AR$137,"")</f>
        <v>8</v>
      </c>
      <c r="BV29" s="1" t="str">
        <f>IF(AS29&gt;AS$137, AS29-AS$137,"")</f>
        <v/>
      </c>
      <c r="BW29" s="1" t="str">
        <f>IF(AT29&gt;AT$137, AT29-AT$137,"")</f>
        <v/>
      </c>
      <c r="BX29" s="1" t="str">
        <f>IF(AU29&gt;AU$137, AU29-AU$137,"")</f>
        <v/>
      </c>
      <c r="BY29" s="1" t="str">
        <f>IF(AV29&gt;AV$137, AV29-AV$137,"")</f>
        <v/>
      </c>
      <c r="BZ29" s="1" t="str">
        <f>IF(AW29&gt;AW$137, AW29-AW$137,"")</f>
        <v/>
      </c>
      <c r="CA29" s="1" t="str">
        <f>IF(AX29&gt;AX$137, AX29-AX$137,"")</f>
        <v/>
      </c>
      <c r="CB29" s="1" t="str">
        <f>IF(AY29&gt;AY$137, AY29-AY$137,"")</f>
        <v/>
      </c>
      <c r="CC29" s="1" t="str">
        <f>IF(AZ29&gt;AZ$137, AZ29-AZ$137,"")</f>
        <v/>
      </c>
      <c r="CD29" s="1" t="str">
        <f>IF(BA29&gt;BA$137, BA29-BA$137,"")</f>
        <v/>
      </c>
      <c r="CE29" s="1" t="str">
        <f>IF(BB29&gt;BB$137, BB29-BB$137,"")</f>
        <v/>
      </c>
      <c r="CF29" s="1">
        <f>COUNTIF(BT29:CE29, "&gt;0")</f>
        <v>1</v>
      </c>
      <c r="CG29" s="1" t="str">
        <f>IF($CF29=1,BT29,"")</f>
        <v/>
      </c>
      <c r="CH29" s="1">
        <f>IF($CF29=1,BU29,"")</f>
        <v>8</v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18">
        <f>SUM(AE29:BO29)</f>
        <v>20</v>
      </c>
    </row>
    <row r="30" spans="1:97" x14ac:dyDescent="0.15">
      <c r="A30" s="1">
        <v>6</v>
      </c>
      <c r="B30" s="1" t="s">
        <v>53</v>
      </c>
      <c r="C30" s="1" t="s">
        <v>2</v>
      </c>
      <c r="D30" s="1" t="s">
        <v>23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1"/>
      <c r="Q30" s="31"/>
      <c r="R30" s="31"/>
      <c r="S30" s="31"/>
      <c r="T30" s="31"/>
      <c r="U30" s="31"/>
      <c r="V30" s="31"/>
      <c r="W30" s="31"/>
      <c r="X30" s="31"/>
      <c r="Y30" s="31"/>
      <c r="Z30" s="31"/>
      <c r="AA30" s="31"/>
      <c r="AB30" s="31"/>
      <c r="AC30" s="31"/>
      <c r="AD30" s="3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>
        <v>10</v>
      </c>
      <c r="AS30" s="4"/>
      <c r="AT30" s="4"/>
      <c r="AU30" s="4"/>
      <c r="AV30" s="4"/>
      <c r="AW30" s="2"/>
      <c r="AX30" s="2"/>
      <c r="AY30" s="2"/>
      <c r="AZ30" s="2"/>
      <c r="BA30" s="2"/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20</v>
      </c>
      <c r="BQ30" s="1">
        <v>8</v>
      </c>
      <c r="BR30" s="17">
        <v>1</v>
      </c>
      <c r="BS30" s="17" t="s">
        <v>228</v>
      </c>
      <c r="BT30" s="1" t="str">
        <f>IF(AQ30&gt;AQ$137, AQ30-AQ$137,"")</f>
        <v/>
      </c>
      <c r="BU30" s="1">
        <f>IF(AR30&gt;AR$137, AR30-AR$137,"")</f>
        <v>8</v>
      </c>
      <c r="BV30" s="1" t="str">
        <f>IF(AS30&gt;AS$137, AS30-AS$137,"")</f>
        <v/>
      </c>
      <c r="BW30" s="1" t="str">
        <f>IF(AT30&gt;AT$137, AT30-AT$137,"")</f>
        <v/>
      </c>
      <c r="BX30" s="1" t="str">
        <f>IF(AU30&gt;AU$137, AU30-AU$137,"")</f>
        <v/>
      </c>
      <c r="BY30" s="1" t="str">
        <f>IF(AV30&gt;AV$137, AV30-AV$137,"")</f>
        <v/>
      </c>
      <c r="BZ30" s="1" t="str">
        <f>IF(AW30&gt;AW$137, AW30-AW$137,"")</f>
        <v/>
      </c>
      <c r="CA30" s="1" t="str">
        <f>IF(AX30&gt;AX$137, AX30-AX$137,"")</f>
        <v/>
      </c>
      <c r="CB30" s="1" t="str">
        <f>IF(AY30&gt;AY$137, AY30-AY$137,"")</f>
        <v/>
      </c>
      <c r="CC30" s="1" t="str">
        <f>IF(AZ30&gt;AZ$137, AZ30-AZ$137,"")</f>
        <v/>
      </c>
      <c r="CD30" s="1" t="str">
        <f>IF(BA30&gt;BA$137, BA30-BA$137,"")</f>
        <v/>
      </c>
      <c r="CE30" s="1" t="str">
        <f>IF(BB30&gt;BB$137, BB30-BB$137,"")</f>
        <v/>
      </c>
      <c r="CF30" s="1">
        <f>COUNTIF(BT30:CE30, "&gt;0")</f>
        <v>1</v>
      </c>
      <c r="CG30" s="1" t="str">
        <f>IF($CF30=1,BT30,"")</f>
        <v/>
      </c>
      <c r="CH30" s="1">
        <f>IF($CF30=1,BU30,"")</f>
        <v>8</v>
      </c>
      <c r="CI30" s="1" t="str">
        <f>IF($CF30=1,BV30,"")</f>
        <v/>
      </c>
      <c r="CJ30" s="1" t="str">
        <f>IF($CF30=1,BW30,"")</f>
        <v/>
      </c>
      <c r="CK30" s="1" t="str">
        <f>IF($CF30=1,BX30,"")</f>
        <v/>
      </c>
      <c r="CL30" s="1" t="str">
        <f>IF($CF30=1,BY30,"")</f>
        <v/>
      </c>
      <c r="CM30" s="1" t="str">
        <f>IF($CF30=1,BZ30,"")</f>
        <v/>
      </c>
      <c r="CN30" s="1" t="str">
        <f>IF($CF30=1,CA30,"")</f>
        <v/>
      </c>
      <c r="CO30" s="1" t="str">
        <f>IF($CF30=1,CB30,"")</f>
        <v/>
      </c>
      <c r="CP30" s="1" t="str">
        <f>IF($CF30=1,CC30,"")</f>
        <v/>
      </c>
      <c r="CQ30" s="1" t="str">
        <f>IF($CF30=1,CD30,"")</f>
        <v/>
      </c>
      <c r="CR30" s="1" t="str">
        <f>IF($CF30=1,CE30,"")</f>
        <v/>
      </c>
      <c r="CS30" s="18">
        <f>SUM(AE30:BO30)</f>
        <v>20</v>
      </c>
    </row>
    <row r="31" spans="1:97" x14ac:dyDescent="0.15">
      <c r="A31" s="1">
        <v>34</v>
      </c>
      <c r="B31" s="1" t="s">
        <v>47</v>
      </c>
      <c r="C31" s="1" t="s">
        <v>48</v>
      </c>
      <c r="D31" s="1" t="s">
        <v>25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1"/>
      <c r="Q31" s="31"/>
      <c r="R31" s="31"/>
      <c r="S31" s="31"/>
      <c r="T31" s="31"/>
      <c r="U31" s="31"/>
      <c r="V31" s="31"/>
      <c r="W31" s="31"/>
      <c r="X31" s="31"/>
      <c r="Y31" s="31"/>
      <c r="Z31" s="31"/>
      <c r="AA31" s="31"/>
      <c r="AB31" s="31"/>
      <c r="AC31" s="31"/>
      <c r="AD31" s="3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>
        <v>15</v>
      </c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>
        <v>15</v>
      </c>
      <c r="BC31" s="14"/>
      <c r="BD31" s="1"/>
      <c r="BE31" s="1"/>
      <c r="BF31" s="1"/>
      <c r="BG31" s="1"/>
      <c r="BH31" s="1">
        <v>15</v>
      </c>
      <c r="BI31" s="1">
        <v>15</v>
      </c>
      <c r="BJ31" s="1"/>
      <c r="BK31" s="1"/>
      <c r="BL31" s="1"/>
      <c r="BM31" s="1"/>
      <c r="BN31" s="1"/>
      <c r="BO31" s="1"/>
      <c r="BP31" s="1">
        <f>SUM(E31:BO31)</f>
        <v>60</v>
      </c>
      <c r="BQ31" s="1">
        <v>15</v>
      </c>
      <c r="BR31" s="17">
        <v>1</v>
      </c>
      <c r="BS31" s="17" t="s">
        <v>223</v>
      </c>
      <c r="BT31" s="1">
        <f>IF(AQ31&gt;AQ$137, AQ31-AQ$137,"")</f>
        <v>15</v>
      </c>
      <c r="BU31" s="1" t="str">
        <f>IF(AR31&gt;AR$137, AR31-AR$137,"")</f>
        <v/>
      </c>
      <c r="BV31" s="1" t="str">
        <f>IF(AS31&gt;AS$137, AS31-AS$137,"")</f>
        <v/>
      </c>
      <c r="BW31" s="1" t="str">
        <f>IF(AT31&gt;AT$137, AT31-AT$137,"")</f>
        <v/>
      </c>
      <c r="BX31" s="1" t="str">
        <f>IF(AU31&gt;AU$137, AU31-AU$137,"")</f>
        <v/>
      </c>
      <c r="BY31" s="1" t="str">
        <f>IF(AV31&gt;AV$137, AV31-AV$137,"")</f>
        <v/>
      </c>
      <c r="BZ31" s="1" t="str">
        <f>IF(AW31&gt;AW$137, AW31-AW$137,"")</f>
        <v/>
      </c>
      <c r="CA31" s="1" t="str">
        <f>IF(AX31&gt;AX$137, AX31-AX$137,"")</f>
        <v/>
      </c>
      <c r="CB31" s="1" t="str">
        <f>IF(AY31&gt;AY$137, AY31-AY$137,"")</f>
        <v/>
      </c>
      <c r="CC31" s="1" t="str">
        <f>IF(AZ31&gt;AZ$137, AZ31-AZ$137,"")</f>
        <v/>
      </c>
      <c r="CD31" s="1" t="str">
        <f>IF(BA31&gt;BA$137, BA31-BA$137,"")</f>
        <v/>
      </c>
      <c r="CE31" s="1" t="str">
        <f>IF(BB31&gt;BB$137, BB31-BB$137,"")</f>
        <v/>
      </c>
      <c r="CF31" s="1">
        <f>COUNTIF(BT31:CE31, "&gt;0")</f>
        <v>1</v>
      </c>
      <c r="CG31" s="1">
        <f>IF($CF31=1,BT31,"")</f>
        <v>15</v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18">
        <f>SUM(AE31:BO31)</f>
        <v>60</v>
      </c>
    </row>
    <row r="32" spans="1:97" x14ac:dyDescent="0.15">
      <c r="A32" s="1"/>
      <c r="B32" s="1" t="s">
        <v>186</v>
      </c>
      <c r="C32" s="1" t="s">
        <v>107</v>
      </c>
      <c r="D32" s="1" t="s">
        <v>108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C32" s="31"/>
      <c r="AD32" s="3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>
        <v>15</v>
      </c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>
        <v>15</v>
      </c>
      <c r="BC32" s="14"/>
      <c r="BD32" s="1"/>
      <c r="BE32" s="1"/>
      <c r="BF32" s="1"/>
      <c r="BG32" s="1"/>
      <c r="BH32" s="1">
        <v>15</v>
      </c>
      <c r="BI32" s="1">
        <v>15</v>
      </c>
      <c r="BJ32" s="1"/>
      <c r="BK32" s="1"/>
      <c r="BL32" s="1"/>
      <c r="BM32" s="1"/>
      <c r="BN32" s="1"/>
      <c r="BO32" s="1"/>
      <c r="BP32" s="1">
        <f>SUM(E32:BO32)</f>
        <v>60</v>
      </c>
      <c r="BQ32" s="1">
        <v>15</v>
      </c>
      <c r="BR32" s="17">
        <v>1</v>
      </c>
      <c r="BS32" s="17" t="s">
        <v>223</v>
      </c>
      <c r="BT32" s="1">
        <f>IF(AQ32&gt;AQ$137, AQ32-AQ$137,"")</f>
        <v>15</v>
      </c>
      <c r="BU32" s="1" t="str">
        <f>IF(AR32&gt;AR$137, AR32-AR$137,"")</f>
        <v/>
      </c>
      <c r="BV32" s="1" t="str">
        <f>IF(AS32&gt;AS$137, AS32-AS$137,"")</f>
        <v/>
      </c>
      <c r="BW32" s="1" t="str">
        <f>IF(AT32&gt;AT$137, AT32-AT$137,"")</f>
        <v/>
      </c>
      <c r="BX32" s="1" t="str">
        <f>IF(AU32&gt;AU$137, AU32-AU$137,"")</f>
        <v/>
      </c>
      <c r="BY32" s="1" t="str">
        <f>IF(AV32&gt;AV$137, AV32-AV$137,"")</f>
        <v/>
      </c>
      <c r="BZ32" s="1" t="str">
        <f>IF(AW32&gt;AW$137, AW32-AW$137,"")</f>
        <v/>
      </c>
      <c r="CA32" s="1" t="str">
        <f>IF(AX32&gt;AX$137, AX32-AX$137,"")</f>
        <v/>
      </c>
      <c r="CB32" s="1" t="str">
        <f>IF(AY32&gt;AY$137, AY32-AY$137,"")</f>
        <v/>
      </c>
      <c r="CC32" s="1" t="str">
        <f>IF(AZ32&gt;AZ$137, AZ32-AZ$137,"")</f>
        <v/>
      </c>
      <c r="CD32" s="1" t="str">
        <f>IF(BA32&gt;BA$137, BA32-BA$137,"")</f>
        <v/>
      </c>
      <c r="CE32" s="1" t="str">
        <f>IF(BB32&gt;BB$137, BB32-BB$137,"")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8"/>
    </row>
    <row r="33" spans="1:97" x14ac:dyDescent="0.15">
      <c r="A33" s="1">
        <v>64</v>
      </c>
      <c r="B33" s="3" t="s">
        <v>62</v>
      </c>
      <c r="C33" s="1" t="s">
        <v>57</v>
      </c>
      <c r="D33" s="1" t="s">
        <v>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1"/>
      <c r="Q33" s="31"/>
      <c r="R33" s="31"/>
      <c r="S33" s="31"/>
      <c r="T33" s="31"/>
      <c r="U33" s="31"/>
      <c r="V33" s="31"/>
      <c r="W33" s="31"/>
      <c r="X33" s="31"/>
      <c r="Y33" s="31"/>
      <c r="Z33" s="31"/>
      <c r="AA33" s="31"/>
      <c r="AB33" s="31"/>
      <c r="AC33" s="31"/>
      <c r="AD33" s="31"/>
      <c r="AE33" s="1"/>
      <c r="AF33" s="1"/>
      <c r="AG33" s="1"/>
      <c r="AH33" s="1"/>
      <c r="AI33" s="1"/>
      <c r="AJ33" s="1"/>
      <c r="AK33" s="1"/>
      <c r="AL33" s="1"/>
      <c r="AM33" s="1"/>
      <c r="AN33" s="1">
        <v>15</v>
      </c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15</v>
      </c>
      <c r="BQ33" s="1">
        <v>15</v>
      </c>
      <c r="BR33" s="17">
        <v>1</v>
      </c>
      <c r="BS33" s="17" t="s">
        <v>213</v>
      </c>
      <c r="BT33" s="1" t="str">
        <f>IF(AQ33&gt;AQ$137, AQ33-AQ$137,"")</f>
        <v/>
      </c>
      <c r="BU33" s="1" t="str">
        <f>IF(AR33&gt;AR$137, AR33-AR$137,"")</f>
        <v/>
      </c>
      <c r="BV33" s="1" t="str">
        <f>IF(AS33&gt;AS$137, AS33-AS$137,"")</f>
        <v/>
      </c>
      <c r="BW33" s="1" t="str">
        <f>IF(AT33&gt;AT$137, AT33-AT$137,"")</f>
        <v/>
      </c>
      <c r="BX33" s="1" t="str">
        <f>IF(AU33&gt;AU$137, AU33-AU$137,"")</f>
        <v/>
      </c>
      <c r="BY33" s="1" t="str">
        <f>IF(AV33&gt;AV$137, AV33-AV$137,"")</f>
        <v/>
      </c>
      <c r="BZ33" s="1" t="str">
        <f>IF(AW33&gt;AW$137, AW33-AW$137,"")</f>
        <v/>
      </c>
      <c r="CA33" s="1" t="str">
        <f>IF(AX33&gt;AX$137, AX33-AX$137,"")</f>
        <v/>
      </c>
      <c r="CB33" s="1" t="str">
        <f>IF(AY33&gt;AY$137, AY33-AY$137,"")</f>
        <v/>
      </c>
      <c r="CC33" s="1" t="str">
        <f>IF(AZ33&gt;AZ$137, AZ33-AZ$137,"")</f>
        <v/>
      </c>
      <c r="CD33" s="1" t="str">
        <f>IF(BA33&gt;BA$137, BA33-BA$137,"")</f>
        <v/>
      </c>
      <c r="CE33" s="1" t="str">
        <f>IF(BB33&gt;BB$137, BB33-BB$137,"")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18">
        <f>SUM(AE33:BO33)</f>
        <v>15</v>
      </c>
    </row>
    <row r="34" spans="1:97" x14ac:dyDescent="0.15">
      <c r="A34" s="1">
        <v>98</v>
      </c>
      <c r="B34" s="3" t="s">
        <v>173</v>
      </c>
      <c r="C34" s="3" t="s">
        <v>70</v>
      </c>
      <c r="D34" s="1" t="s">
        <v>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1"/>
      <c r="Q34" s="31"/>
      <c r="R34" s="31"/>
      <c r="S34" s="31"/>
      <c r="T34" s="31"/>
      <c r="U34" s="31"/>
      <c r="V34" s="31"/>
      <c r="W34" s="31"/>
      <c r="X34" s="31"/>
      <c r="Y34" s="31"/>
      <c r="Z34" s="31"/>
      <c r="AA34" s="31"/>
      <c r="AB34" s="31"/>
      <c r="AC34" s="31"/>
      <c r="AD34" s="31"/>
      <c r="AE34" s="1">
        <v>50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50</v>
      </c>
      <c r="BQ34" s="1">
        <v>43</v>
      </c>
      <c r="BR34" s="17">
        <v>1</v>
      </c>
      <c r="BS34" s="17" t="s">
        <v>214</v>
      </c>
      <c r="BT34" s="1" t="str">
        <f>IF(AQ34&gt;AQ$137, AQ34-AQ$137,"")</f>
        <v/>
      </c>
      <c r="BU34" s="1" t="str">
        <f>IF(AR34&gt;AR$137, AR34-AR$137,"")</f>
        <v/>
      </c>
      <c r="BV34" s="1" t="str">
        <f>IF(AS34&gt;AS$137, AS34-AS$137,"")</f>
        <v/>
      </c>
      <c r="BW34" s="1" t="str">
        <f>IF(AT34&gt;AT$137, AT34-AT$137,"")</f>
        <v/>
      </c>
      <c r="BX34" s="1" t="str">
        <f>IF(AU34&gt;AU$137, AU34-AU$137,"")</f>
        <v/>
      </c>
      <c r="BY34" s="1" t="str">
        <f>IF(AV34&gt;AV$137, AV34-AV$137,"")</f>
        <v/>
      </c>
      <c r="BZ34" s="1" t="str">
        <f>IF(AW34&gt;AW$137, AW34-AW$137,"")</f>
        <v/>
      </c>
      <c r="CA34" s="1" t="str">
        <f>IF(AX34&gt;AX$137, AX34-AX$137,"")</f>
        <v/>
      </c>
      <c r="CB34" s="1" t="str">
        <f>IF(AY34&gt;AY$137, AY34-AY$137,"")</f>
        <v/>
      </c>
      <c r="CC34" s="1" t="str">
        <f>IF(AZ34&gt;AZ$137, AZ34-AZ$137,"")</f>
        <v/>
      </c>
      <c r="CD34" s="1" t="str">
        <f>IF(BA34&gt;BA$137, BA34-BA$137,"")</f>
        <v/>
      </c>
      <c r="CE34" s="1" t="str">
        <f>IF(BB34&gt;BB$137, BB34-BB$137,"")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18">
        <f>SUM(AE34:BO34)</f>
        <v>50</v>
      </c>
    </row>
    <row r="35" spans="1:97" x14ac:dyDescent="0.15">
      <c r="A35" s="1">
        <v>99</v>
      </c>
      <c r="B35" s="3" t="s">
        <v>173</v>
      </c>
      <c r="C35" s="3" t="s">
        <v>70</v>
      </c>
      <c r="D35" s="1" t="s">
        <v>13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  <c r="AE35" s="1">
        <v>200</v>
      </c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200</v>
      </c>
      <c r="BQ35" s="1">
        <v>193</v>
      </c>
      <c r="BR35" s="17">
        <v>1</v>
      </c>
      <c r="BS35" s="17" t="s">
        <v>215</v>
      </c>
      <c r="BT35" s="1" t="str">
        <f>IF(AQ35&gt;AQ$137, AQ35-AQ$137,"")</f>
        <v/>
      </c>
      <c r="BU35" s="1" t="str">
        <f>IF(AR35&gt;AR$137, AR35-AR$137,"")</f>
        <v/>
      </c>
      <c r="BV35" s="1" t="str">
        <f>IF(AS35&gt;AS$137, AS35-AS$137,"")</f>
        <v/>
      </c>
      <c r="BW35" s="1" t="str">
        <f>IF(AT35&gt;AT$137, AT35-AT$137,"")</f>
        <v/>
      </c>
      <c r="BX35" s="1" t="str">
        <f>IF(AU35&gt;AU$137, AU35-AU$137,"")</f>
        <v/>
      </c>
      <c r="BY35" s="1" t="str">
        <f>IF(AV35&gt;AV$137, AV35-AV$137,"")</f>
        <v/>
      </c>
      <c r="BZ35" s="1" t="str">
        <f>IF(AW35&gt;AW$137, AW35-AW$137,"")</f>
        <v/>
      </c>
      <c r="CA35" s="1" t="str">
        <f>IF(AX35&gt;AX$137, AX35-AX$137,"")</f>
        <v/>
      </c>
      <c r="CB35" s="1" t="str">
        <f>IF(AY35&gt;AY$137, AY35-AY$137,"")</f>
        <v/>
      </c>
      <c r="CC35" s="1" t="str">
        <f>IF(AZ35&gt;AZ$137, AZ35-AZ$137,"")</f>
        <v/>
      </c>
      <c r="CD35" s="1" t="str">
        <f>IF(BA35&gt;BA$137, BA35-BA$137,"")</f>
        <v/>
      </c>
      <c r="CE35" s="1" t="str">
        <f>IF(BB35&gt;BB$137, BB35-BB$137,"")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18">
        <f>SUM(AE35:BO35)</f>
        <v>200</v>
      </c>
    </row>
    <row r="36" spans="1:97" ht="27" x14ac:dyDescent="0.15">
      <c r="A36" s="1"/>
      <c r="B36" s="1" t="s">
        <v>118</v>
      </c>
      <c r="C36" s="1" t="s">
        <v>111</v>
      </c>
      <c r="D36" s="1" t="s">
        <v>108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>
        <v>5</v>
      </c>
      <c r="AP36" s="1">
        <v>1</v>
      </c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6</v>
      </c>
      <c r="BQ36" s="1">
        <v>6</v>
      </c>
      <c r="BR36" s="17">
        <v>2</v>
      </c>
      <c r="BS36" s="17" t="s">
        <v>232</v>
      </c>
      <c r="BT36" s="1" t="str">
        <f>IF(AQ36&gt;AQ$137, AQ36-AQ$137,"")</f>
        <v/>
      </c>
      <c r="BU36" s="1" t="str">
        <f>IF(AR36&gt;AR$137, AR36-AR$137,"")</f>
        <v/>
      </c>
      <c r="BV36" s="1" t="str">
        <f>IF(AS36&gt;AS$137, AS36-AS$137,"")</f>
        <v/>
      </c>
      <c r="BW36" s="1" t="str">
        <f>IF(AT36&gt;AT$137, AT36-AT$137,"")</f>
        <v/>
      </c>
      <c r="BX36" s="1" t="str">
        <f>IF(AU36&gt;AU$137, AU36-AU$137,"")</f>
        <v/>
      </c>
      <c r="BY36" s="1" t="str">
        <f>IF(AV36&gt;AV$137, AV36-AV$137,"")</f>
        <v/>
      </c>
      <c r="BZ36" s="1" t="str">
        <f>IF(AW36&gt;AW$137, AW36-AW$137,"")</f>
        <v/>
      </c>
      <c r="CA36" s="1" t="str">
        <f>IF(AX36&gt;AX$137, AX36-AX$137,"")</f>
        <v/>
      </c>
      <c r="CB36" s="1" t="str">
        <f>IF(AY36&gt;AY$137, AY36-AY$137,"")</f>
        <v/>
      </c>
      <c r="CC36" s="1" t="str">
        <f>IF(AZ36&gt;AZ$137, AZ36-AZ$137,"")</f>
        <v/>
      </c>
      <c r="CD36" s="1" t="str">
        <f>IF(BA36&gt;BA$137, BA36-BA$137,"")</f>
        <v/>
      </c>
      <c r="CE36" s="1" t="str">
        <f>IF(BB36&gt;BB$137, BB36-BB$137,"")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8"/>
    </row>
    <row r="37" spans="1:97" ht="27" x14ac:dyDescent="0.15">
      <c r="A37" s="1"/>
      <c r="B37" s="1" t="s">
        <v>210</v>
      </c>
      <c r="C37" s="1" t="s">
        <v>211</v>
      </c>
      <c r="D37" s="1" t="s">
        <v>109</v>
      </c>
      <c r="E37" s="6"/>
      <c r="F37" s="6"/>
      <c r="G37" s="6"/>
      <c r="H37" s="6"/>
      <c r="I37" s="6"/>
      <c r="J37" s="6">
        <v>4</v>
      </c>
      <c r="K37" s="6"/>
      <c r="L37" s="6"/>
      <c r="M37" s="6">
        <v>4</v>
      </c>
      <c r="N37" s="6"/>
      <c r="O37" s="6"/>
      <c r="P37" s="31"/>
      <c r="Q37" s="31"/>
      <c r="R37" s="31"/>
      <c r="S37" s="31"/>
      <c r="T37" s="31"/>
      <c r="U37" s="31"/>
      <c r="V37" s="31"/>
      <c r="W37" s="31"/>
      <c r="X37" s="31"/>
      <c r="Y37" s="31"/>
      <c r="Z37" s="31"/>
      <c r="AA37" s="31"/>
      <c r="AB37" s="31"/>
      <c r="AC37" s="31"/>
      <c r="AD37" s="3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>
        <v>5</v>
      </c>
      <c r="AS37" s="4"/>
      <c r="AT37" s="4"/>
      <c r="AU37" s="4"/>
      <c r="AV37" s="4"/>
      <c r="AW37" s="2"/>
      <c r="AX37" s="2"/>
      <c r="AY37" s="2"/>
      <c r="AZ37" s="2">
        <v>5</v>
      </c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v>6</v>
      </c>
      <c r="BR37" s="17">
        <v>2</v>
      </c>
      <c r="BS37" s="17" t="s">
        <v>233</v>
      </c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8"/>
    </row>
    <row r="38" spans="1:97" ht="27" x14ac:dyDescent="0.15">
      <c r="A38" s="1"/>
      <c r="B38" s="1" t="s">
        <v>114</v>
      </c>
      <c r="C38" s="1" t="s">
        <v>111</v>
      </c>
      <c r="D38" s="1" t="s">
        <v>115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1"/>
      <c r="Q38" s="31"/>
      <c r="R38" s="31"/>
      <c r="S38" s="31"/>
      <c r="T38" s="31"/>
      <c r="U38" s="31"/>
      <c r="V38" s="31"/>
      <c r="W38" s="31"/>
      <c r="X38" s="31"/>
      <c r="Y38" s="31"/>
      <c r="Z38" s="31"/>
      <c r="AA38" s="31"/>
      <c r="AB38" s="31"/>
      <c r="AC38" s="31"/>
      <c r="AD38" s="3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>
        <v>3</v>
      </c>
      <c r="AP38" s="1">
        <v>5</v>
      </c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8</v>
      </c>
      <c r="BQ38" s="1">
        <v>8</v>
      </c>
      <c r="BR38" s="17">
        <v>2</v>
      </c>
      <c r="BS38" s="17" t="s">
        <v>234</v>
      </c>
      <c r="BT38" s="1" t="str">
        <f>IF(AQ38&gt;AQ$137, AQ38-AQ$137,"")</f>
        <v/>
      </c>
      <c r="BU38" s="1" t="str">
        <f>IF(AR38&gt;AR$137, AR38-AR$137,"")</f>
        <v/>
      </c>
      <c r="BV38" s="1" t="str">
        <f>IF(AS38&gt;AS$137, AS38-AS$137,"")</f>
        <v/>
      </c>
      <c r="BW38" s="1" t="str">
        <f>IF(AT38&gt;AT$137, AT38-AT$137,"")</f>
        <v/>
      </c>
      <c r="BX38" s="1" t="str">
        <f>IF(AU38&gt;AU$137, AU38-AU$137,"")</f>
        <v/>
      </c>
      <c r="BY38" s="1" t="str">
        <f>IF(AV38&gt;AV$137, AV38-AV$137,"")</f>
        <v/>
      </c>
      <c r="BZ38" s="1" t="str">
        <f>IF(AW38&gt;AW$137, AW38-AW$137,"")</f>
        <v/>
      </c>
      <c r="CA38" s="1" t="str">
        <f>IF(AX38&gt;AX$137, AX38-AX$137,"")</f>
        <v/>
      </c>
      <c r="CB38" s="1" t="str">
        <f>IF(AY38&gt;AY$137, AY38-AY$137,"")</f>
        <v/>
      </c>
      <c r="CC38" s="1" t="str">
        <f>IF(AZ38&gt;AZ$137, AZ38-AZ$137,"")</f>
        <v/>
      </c>
      <c r="CD38" s="1" t="str">
        <f>IF(BA38&gt;BA$137, BA38-BA$137,"")</f>
        <v/>
      </c>
      <c r="CE38" s="1" t="str">
        <f>IF(BB38&gt;BB$137, BB38-BB$137,"")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ht="27" x14ac:dyDescent="0.15">
      <c r="A39" s="1"/>
      <c r="B39" s="1" t="s">
        <v>136</v>
      </c>
      <c r="C39" s="1" t="s">
        <v>124</v>
      </c>
      <c r="D39" s="1" t="s">
        <v>126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1"/>
      <c r="Q39" s="31">
        <v>5</v>
      </c>
      <c r="R39" s="31">
        <v>2</v>
      </c>
      <c r="S39" s="31"/>
      <c r="T39" s="31">
        <v>5</v>
      </c>
      <c r="U39" s="31"/>
      <c r="V39" s="31"/>
      <c r="W39" s="31"/>
      <c r="X39" s="31"/>
      <c r="Y39" s="31"/>
      <c r="Z39" s="31">
        <v>5</v>
      </c>
      <c r="AA39" s="31"/>
      <c r="AB39" s="31"/>
      <c r="AC39" s="31"/>
      <c r="AD39" s="3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17</v>
      </c>
      <c r="BQ39" s="1">
        <v>8</v>
      </c>
      <c r="BR39" s="17">
        <v>2</v>
      </c>
      <c r="BS39" s="17" t="s">
        <v>201</v>
      </c>
      <c r="BT39" s="1" t="str">
        <f>IF(AQ39&gt;AQ$137, AQ39-AQ$137,"")</f>
        <v/>
      </c>
      <c r="BU39" s="1" t="str">
        <f>IF(AR39&gt;AR$137, AR39-AR$137,"")</f>
        <v/>
      </c>
      <c r="BV39" s="1" t="str">
        <f>IF(AS39&gt;AS$137, AS39-AS$137,"")</f>
        <v/>
      </c>
      <c r="BW39" s="1" t="str">
        <f>IF(AT39&gt;AT$137, AT39-AT$137,"")</f>
        <v/>
      </c>
      <c r="BX39" s="1" t="str">
        <f>IF(AU39&gt;AU$137, AU39-AU$137,"")</f>
        <v/>
      </c>
      <c r="BY39" s="1" t="str">
        <f>IF(AV39&gt;AV$137, AV39-AV$137,"")</f>
        <v/>
      </c>
      <c r="BZ39" s="1" t="str">
        <f>IF(AW39&gt;AW$137, AW39-AW$137,"")</f>
        <v/>
      </c>
      <c r="CA39" s="1" t="str">
        <f>IF(AX39&gt;AX$137, AX39-AX$137,"")</f>
        <v/>
      </c>
      <c r="CB39" s="1" t="str">
        <f>IF(AY39&gt;AY$137, AY39-AY$137,"")</f>
        <v/>
      </c>
      <c r="CC39" s="1" t="str">
        <f>IF(AZ39&gt;AZ$137, AZ39-AZ$137,"")</f>
        <v/>
      </c>
      <c r="CD39" s="1" t="str">
        <f>IF(BA39&gt;BA$137, BA39-BA$137,"")</f>
        <v/>
      </c>
      <c r="CE39" s="1" t="str">
        <f>IF(BB39&gt;BB$137, BB39-BB$137,"")</f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ht="27" x14ac:dyDescent="0.15">
      <c r="A40" s="1"/>
      <c r="B40" s="1" t="s">
        <v>141</v>
      </c>
      <c r="C40" s="1" t="s">
        <v>124</v>
      </c>
      <c r="D40" s="1" t="s">
        <v>126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1"/>
      <c r="Q40" s="31">
        <v>5</v>
      </c>
      <c r="R40" s="31">
        <v>2</v>
      </c>
      <c r="S40" s="31"/>
      <c r="T40" s="31">
        <v>5</v>
      </c>
      <c r="U40" s="31"/>
      <c r="V40" s="31"/>
      <c r="W40" s="31"/>
      <c r="X40" s="31"/>
      <c r="Y40" s="31"/>
      <c r="Z40" s="31">
        <v>5</v>
      </c>
      <c r="AA40" s="31"/>
      <c r="AB40" s="31"/>
      <c r="AC40" s="31"/>
      <c r="AD40" s="3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17</v>
      </c>
      <c r="BQ40" s="1">
        <v>8</v>
      </c>
      <c r="BR40" s="17">
        <v>2</v>
      </c>
      <c r="BS40" s="17" t="s">
        <v>235</v>
      </c>
      <c r="BT40" s="1" t="str">
        <f>IF(AQ40&gt;AQ$137, AQ40-AQ$137,"")</f>
        <v/>
      </c>
      <c r="BU40" s="1" t="str">
        <f>IF(AR40&gt;AR$137, AR40-AR$137,"")</f>
        <v/>
      </c>
      <c r="BV40" s="1" t="str">
        <f>IF(AS40&gt;AS$137, AS40-AS$137,"")</f>
        <v/>
      </c>
      <c r="BW40" s="1" t="str">
        <f>IF(AT40&gt;AT$137, AT40-AT$137,"")</f>
        <v/>
      </c>
      <c r="BX40" s="1" t="str">
        <f>IF(AU40&gt;AU$137, AU40-AU$137,"")</f>
        <v/>
      </c>
      <c r="BY40" s="1" t="str">
        <f>IF(AV40&gt;AV$137, AV40-AV$137,"")</f>
        <v/>
      </c>
      <c r="BZ40" s="1" t="str">
        <f>IF(AW40&gt;AW$137, AW40-AW$137,"")</f>
        <v/>
      </c>
      <c r="CA40" s="1" t="str">
        <f>IF(AX40&gt;AX$137, AX40-AX$137,"")</f>
        <v/>
      </c>
      <c r="CB40" s="1" t="str">
        <f>IF(AY40&gt;AY$137, AY40-AY$137,"")</f>
        <v/>
      </c>
      <c r="CC40" s="1" t="str">
        <f>IF(AZ40&gt;AZ$137, AZ40-AZ$137,"")</f>
        <v/>
      </c>
      <c r="CD40" s="1" t="str">
        <f>IF(BA40&gt;BA$137, BA40-BA$137,"")</f>
        <v/>
      </c>
      <c r="CE40" s="1" t="str">
        <f>IF(BB40&gt;BB$137, BB40-BB$137,"")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8"/>
    </row>
    <row r="41" spans="1:97" ht="27" x14ac:dyDescent="0.15">
      <c r="A41" s="1"/>
      <c r="B41" s="1" t="s">
        <v>149</v>
      </c>
      <c r="C41" s="1" t="s">
        <v>147</v>
      </c>
      <c r="D41" s="1" t="s">
        <v>126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1"/>
      <c r="Q41" s="31">
        <v>5</v>
      </c>
      <c r="R41" s="31">
        <v>2</v>
      </c>
      <c r="S41" s="31"/>
      <c r="T41" s="31">
        <v>5</v>
      </c>
      <c r="U41" s="31"/>
      <c r="V41" s="31"/>
      <c r="W41" s="31"/>
      <c r="X41" s="31"/>
      <c r="Y41" s="31"/>
      <c r="Z41" s="31">
        <v>5</v>
      </c>
      <c r="AA41" s="31"/>
      <c r="AB41" s="31"/>
      <c r="AC41" s="31"/>
      <c r="AD41" s="3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17</v>
      </c>
      <c r="BQ41" s="1">
        <v>8</v>
      </c>
      <c r="BR41" s="17">
        <v>2</v>
      </c>
      <c r="BS41" s="17" t="s">
        <v>235</v>
      </c>
      <c r="BT41" s="1" t="str">
        <f>IF(AQ41&gt;AQ$137, AQ41-AQ$137,"")</f>
        <v/>
      </c>
      <c r="BU41" s="1" t="str">
        <f>IF(AR41&gt;AR$137, AR41-AR$137,"")</f>
        <v/>
      </c>
      <c r="BV41" s="1" t="str">
        <f>IF(AS41&gt;AS$137, AS41-AS$137,"")</f>
        <v/>
      </c>
      <c r="BW41" s="1" t="str">
        <f>IF(AT41&gt;AT$137, AT41-AT$137,"")</f>
        <v/>
      </c>
      <c r="BX41" s="1" t="str">
        <f>IF(AU41&gt;AU$137, AU41-AU$137,"")</f>
        <v/>
      </c>
      <c r="BY41" s="1" t="str">
        <f>IF(AV41&gt;AV$137, AV41-AV$137,"")</f>
        <v/>
      </c>
      <c r="BZ41" s="1" t="str">
        <f>IF(AW41&gt;AW$137, AW41-AW$137,"")</f>
        <v/>
      </c>
      <c r="CA41" s="1" t="str">
        <f>IF(AX41&gt;AX$137, AX41-AX$137,"")</f>
        <v/>
      </c>
      <c r="CB41" s="1" t="str">
        <f>IF(AY41&gt;AY$137, AY41-AY$137,"")</f>
        <v/>
      </c>
      <c r="CC41" s="1" t="str">
        <f>IF(AZ41&gt;AZ$137, AZ41-AZ$137,"")</f>
        <v/>
      </c>
      <c r="CD41" s="1" t="str">
        <f>IF(BA41&gt;BA$137, BA41-BA$137,"")</f>
        <v/>
      </c>
      <c r="CE41" s="1" t="str">
        <f>IF(BB41&gt;BB$137, BB41-BB$137,"")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8"/>
    </row>
    <row r="42" spans="1:97" ht="27" x14ac:dyDescent="0.15">
      <c r="A42" s="1"/>
      <c r="B42" s="1" t="s">
        <v>151</v>
      </c>
      <c r="C42" s="1" t="s">
        <v>152</v>
      </c>
      <c r="D42" s="1" t="s">
        <v>126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1"/>
      <c r="Q42" s="31">
        <v>5</v>
      </c>
      <c r="R42" s="31"/>
      <c r="S42" s="31"/>
      <c r="T42" s="31">
        <v>5</v>
      </c>
      <c r="U42" s="31"/>
      <c r="V42" s="31"/>
      <c r="W42" s="31"/>
      <c r="X42" s="31">
        <v>2</v>
      </c>
      <c r="Y42" s="31"/>
      <c r="Z42" s="31">
        <v>5</v>
      </c>
      <c r="AA42" s="31"/>
      <c r="AB42" s="31"/>
      <c r="AC42" s="31"/>
      <c r="AD42" s="3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17</v>
      </c>
      <c r="BQ42" s="1">
        <v>8</v>
      </c>
      <c r="BR42" s="17">
        <v>2</v>
      </c>
      <c r="BS42" s="17" t="s">
        <v>201</v>
      </c>
      <c r="BT42" s="1" t="str">
        <f>IF(AQ42&gt;AQ$137, AQ42-AQ$137,"")</f>
        <v/>
      </c>
      <c r="BU42" s="1" t="str">
        <f>IF(AR42&gt;AR$137, AR42-AR$137,"")</f>
        <v/>
      </c>
      <c r="BV42" s="1" t="str">
        <f>IF(AS42&gt;AS$137, AS42-AS$137,"")</f>
        <v/>
      </c>
      <c r="BW42" s="1" t="str">
        <f>IF(AT42&gt;AT$137, AT42-AT$137,"")</f>
        <v/>
      </c>
      <c r="BX42" s="1" t="str">
        <f>IF(AU42&gt;AU$137, AU42-AU$137,"")</f>
        <v/>
      </c>
      <c r="BY42" s="1" t="str">
        <f>IF(AV42&gt;AV$137, AV42-AV$137,"")</f>
        <v/>
      </c>
      <c r="BZ42" s="1" t="str">
        <f>IF(AW42&gt;AW$137, AW42-AW$137,"")</f>
        <v/>
      </c>
      <c r="CA42" s="1" t="str">
        <f>IF(AX42&gt;AX$137, AX42-AX$137,"")</f>
        <v/>
      </c>
      <c r="CB42" s="1" t="str">
        <f>IF(AY42&gt;AY$137, AY42-AY$137,"")</f>
        <v/>
      </c>
      <c r="CC42" s="1" t="str">
        <f>IF(AZ42&gt;AZ$137, AZ42-AZ$137,"")</f>
        <v/>
      </c>
      <c r="CD42" s="1" t="str">
        <f>IF(BA42&gt;BA$137, BA42-BA$137,"")</f>
        <v/>
      </c>
      <c r="CE42" s="1" t="str">
        <f>IF(BB42&gt;BB$137, BB42-BB$137,"")</f>
        <v/>
      </c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8"/>
    </row>
    <row r="43" spans="1:97" ht="27" x14ac:dyDescent="0.15">
      <c r="A43" s="1"/>
      <c r="B43" s="1" t="s">
        <v>174</v>
      </c>
      <c r="C43" s="1" t="s">
        <v>154</v>
      </c>
      <c r="D43" s="1" t="s">
        <v>127</v>
      </c>
      <c r="E43" s="6"/>
      <c r="F43" s="6"/>
      <c r="G43" s="6"/>
      <c r="H43" s="6"/>
      <c r="I43" s="6"/>
      <c r="J43" s="6"/>
      <c r="K43" s="6"/>
      <c r="L43" s="6">
        <v>6</v>
      </c>
      <c r="M43" s="6"/>
      <c r="N43" s="6"/>
      <c r="O43" s="6">
        <v>6</v>
      </c>
      <c r="P43" s="31"/>
      <c r="Q43" s="31"/>
      <c r="R43" s="31"/>
      <c r="S43" s="31"/>
      <c r="T43" s="31"/>
      <c r="U43" s="31"/>
      <c r="V43" s="31"/>
      <c r="W43" s="31"/>
      <c r="X43" s="31"/>
      <c r="Y43" s="31"/>
      <c r="Z43" s="31"/>
      <c r="AA43" s="31"/>
      <c r="AB43" s="31"/>
      <c r="AC43" s="31"/>
      <c r="AD43" s="3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>
        <v>10</v>
      </c>
      <c r="BB43" s="2">
        <v>10</v>
      </c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32</v>
      </c>
      <c r="BQ43" s="1">
        <v>8</v>
      </c>
      <c r="BR43" s="17">
        <v>2</v>
      </c>
      <c r="BS43" s="17" t="s">
        <v>236</v>
      </c>
      <c r="BT43" s="1" t="str">
        <f>IF(AQ43&gt;AQ$137, AQ43-AQ$137,"")</f>
        <v/>
      </c>
      <c r="BU43" s="1" t="str">
        <f>IF(AR43&gt;AR$137, AR43-AR$137,"")</f>
        <v/>
      </c>
      <c r="BV43" s="1" t="str">
        <f>IF(AS43&gt;AS$137, AS43-AS$137,"")</f>
        <v/>
      </c>
      <c r="BW43" s="1" t="str">
        <f>IF(AT43&gt;AT$137, AT43-AT$137,"")</f>
        <v/>
      </c>
      <c r="BX43" s="1" t="str">
        <f>IF(AU43&gt;AU$137, AU43-AU$137,"")</f>
        <v/>
      </c>
      <c r="BY43" s="1" t="str">
        <f>IF(AV43&gt;AV$137, AV43-AV$137,"")</f>
        <v/>
      </c>
      <c r="BZ43" s="1" t="str">
        <f>IF(AW43&gt;AW$137, AW43-AW$137,"")</f>
        <v/>
      </c>
      <c r="CA43" s="1" t="str">
        <f>IF(AX43&gt;AX$137, AX43-AX$137,"")</f>
        <v/>
      </c>
      <c r="CB43" s="1" t="str">
        <f>IF(AY43&gt;AY$137, AY43-AY$137,"")</f>
        <v/>
      </c>
      <c r="CC43" s="1" t="str">
        <f>IF(AZ43&gt;AZ$137, AZ43-AZ$137,"")</f>
        <v/>
      </c>
      <c r="CD43" s="1">
        <f>IF(BA43&gt;BA$137, BA43-BA$137,"")</f>
        <v>5</v>
      </c>
      <c r="CE43" s="1" t="str">
        <f>IF(BB43&gt;BB$137, BB43-BB$137,"")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8"/>
    </row>
    <row r="44" spans="1:97" ht="27" x14ac:dyDescent="0.15">
      <c r="A44" s="1">
        <v>84</v>
      </c>
      <c r="B44" s="3" t="s">
        <v>208</v>
      </c>
      <c r="C44" s="3" t="s">
        <v>65</v>
      </c>
      <c r="D44" s="1" t="s">
        <v>13</v>
      </c>
      <c r="E44" s="6"/>
      <c r="F44" s="6"/>
      <c r="G44" s="6">
        <v>5</v>
      </c>
      <c r="H44" s="6">
        <v>5</v>
      </c>
      <c r="I44" s="6"/>
      <c r="J44" s="6"/>
      <c r="K44" s="6"/>
      <c r="L44" s="6"/>
      <c r="M44" s="6"/>
      <c r="N44" s="6"/>
      <c r="O44" s="6"/>
      <c r="P44" s="31"/>
      <c r="Q44" s="31"/>
      <c r="R44" s="31"/>
      <c r="S44" s="31"/>
      <c r="T44" s="31"/>
      <c r="U44" s="31"/>
      <c r="V44" s="31"/>
      <c r="W44" s="31"/>
      <c r="X44" s="31"/>
      <c r="Y44" s="31"/>
      <c r="Z44" s="31"/>
      <c r="AA44" s="31"/>
      <c r="AB44" s="31"/>
      <c r="AC44" s="31"/>
      <c r="AD44" s="3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>
        <v>5</v>
      </c>
      <c r="BB44" s="2">
        <v>5</v>
      </c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20</v>
      </c>
      <c r="BQ44" s="1">
        <v>8</v>
      </c>
      <c r="BR44" s="17">
        <v>2</v>
      </c>
      <c r="BS44" s="17" t="s">
        <v>255</v>
      </c>
      <c r="BT44" s="1" t="str">
        <f>IF(AQ44&gt;AQ$137, AQ44-AQ$137,"")</f>
        <v/>
      </c>
      <c r="BU44" s="1" t="str">
        <f>IF(AR44&gt;AR$137, AR44-AR$137,"")</f>
        <v/>
      </c>
      <c r="BV44" s="1" t="str">
        <f>IF(AS44&gt;AS$137, AS44-AS$137,"")</f>
        <v/>
      </c>
      <c r="BW44" s="1" t="str">
        <f>IF(AT44&gt;AT$137, AT44-AT$137,"")</f>
        <v/>
      </c>
      <c r="BX44" s="1" t="str">
        <f>IF(AU44&gt;AU$137, AU44-AU$137,"")</f>
        <v/>
      </c>
      <c r="BY44" s="1" t="str">
        <f>IF(AV44&gt;AV$137, AV44-AV$137,"")</f>
        <v/>
      </c>
      <c r="BZ44" s="1" t="str">
        <f>IF(AW44&gt;AW$137, AW44-AW$137,"")</f>
        <v/>
      </c>
      <c r="CA44" s="1" t="str">
        <f>IF(AX44&gt;AX$137, AX44-AX$137,"")</f>
        <v/>
      </c>
      <c r="CB44" s="1" t="str">
        <f>IF(AY44&gt;AY$137, AY44-AY$137,"")</f>
        <v/>
      </c>
      <c r="CC44" s="1" t="str">
        <f>IF(AZ44&gt;AZ$137, AZ44-AZ$137,"")</f>
        <v/>
      </c>
      <c r="CD44" s="1" t="str">
        <f>IF(BA44&gt;BA$137, BA44-BA$137,"")</f>
        <v/>
      </c>
      <c r="CE44" s="1" t="str">
        <f>IF(BB44&gt;BB$137, BB44-BB$137,"")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18">
        <f>SUM(AE44:BO44)</f>
        <v>10</v>
      </c>
    </row>
    <row r="45" spans="1:97" ht="27" x14ac:dyDescent="0.15">
      <c r="A45" s="1">
        <v>20</v>
      </c>
      <c r="B45" s="1" t="s">
        <v>37</v>
      </c>
      <c r="C45" s="1" t="s">
        <v>31</v>
      </c>
      <c r="D45" s="1" t="s">
        <v>25</v>
      </c>
      <c r="E45" s="6"/>
      <c r="F45" s="6">
        <v>5</v>
      </c>
      <c r="G45" s="6"/>
      <c r="H45" s="6"/>
      <c r="I45" s="6"/>
      <c r="J45" s="6"/>
      <c r="K45" s="6"/>
      <c r="L45" s="6"/>
      <c r="M45" s="6"/>
      <c r="N45" s="6"/>
      <c r="O45" s="6"/>
      <c r="P45" s="31"/>
      <c r="Q45" s="31"/>
      <c r="R45" s="31"/>
      <c r="S45" s="31"/>
      <c r="T45" s="31"/>
      <c r="U45" s="31"/>
      <c r="V45" s="31"/>
      <c r="W45" s="31"/>
      <c r="X45" s="31"/>
      <c r="Y45" s="31"/>
      <c r="Z45" s="31"/>
      <c r="AA45" s="31"/>
      <c r="AB45" s="31"/>
      <c r="AC45" s="31"/>
      <c r="AD45" s="31"/>
      <c r="AE45" s="1"/>
      <c r="AF45" s="1"/>
      <c r="AG45" s="1">
        <v>5</v>
      </c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10</v>
      </c>
      <c r="BQ45" s="1">
        <v>9</v>
      </c>
      <c r="BR45" s="17">
        <v>2</v>
      </c>
      <c r="BS45" s="17" t="s">
        <v>199</v>
      </c>
      <c r="BT45" s="1" t="str">
        <f>IF(AQ45&gt;AQ$137, AQ45-AQ$137,"")</f>
        <v/>
      </c>
      <c r="BU45" s="1" t="str">
        <f>IF(AR45&gt;AR$137, AR45-AR$137,"")</f>
        <v/>
      </c>
      <c r="BV45" s="1" t="str">
        <f>IF(AS45&gt;AS$137, AS45-AS$137,"")</f>
        <v/>
      </c>
      <c r="BW45" s="1" t="str">
        <f>IF(AT45&gt;AT$137, AT45-AT$137,"")</f>
        <v/>
      </c>
      <c r="BX45" s="1" t="str">
        <f>IF(AU45&gt;AU$137, AU45-AU$137,"")</f>
        <v/>
      </c>
      <c r="BY45" s="1" t="str">
        <f>IF(AV45&gt;AV$137, AV45-AV$137,"")</f>
        <v/>
      </c>
      <c r="BZ45" s="1" t="str">
        <f>IF(AW45&gt;AW$137, AW45-AW$137,"")</f>
        <v/>
      </c>
      <c r="CA45" s="1" t="str">
        <f>IF(AX45&gt;AX$137, AX45-AX$137,"")</f>
        <v/>
      </c>
      <c r="CB45" s="1" t="str">
        <f>IF(AY45&gt;AY$137, AY45-AY$137,"")</f>
        <v/>
      </c>
      <c r="CC45" s="1" t="str">
        <f>IF(AZ45&gt;AZ$137, AZ45-AZ$137,"")</f>
        <v/>
      </c>
      <c r="CD45" s="1" t="str">
        <f>IF(BA45&gt;BA$137, BA45-BA$137,"")</f>
        <v/>
      </c>
      <c r="CE45" s="1" t="str">
        <f>IF(BB45&gt;BB$137, BB45-BB$137,"")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18">
        <f>SUM(AE45:BO45)</f>
        <v>5</v>
      </c>
    </row>
    <row r="46" spans="1:97" ht="27" x14ac:dyDescent="0.15">
      <c r="A46" s="1">
        <v>101</v>
      </c>
      <c r="B46" s="3" t="s">
        <v>102</v>
      </c>
      <c r="C46" s="3" t="s">
        <v>70</v>
      </c>
      <c r="D46" s="1" t="s">
        <v>13</v>
      </c>
      <c r="E46" s="6"/>
      <c r="F46" s="6"/>
      <c r="G46" s="6"/>
      <c r="H46" s="6">
        <v>6</v>
      </c>
      <c r="I46" s="6">
        <v>6</v>
      </c>
      <c r="J46" s="6"/>
      <c r="K46" s="6"/>
      <c r="L46" s="6"/>
      <c r="M46" s="6"/>
      <c r="N46" s="6"/>
      <c r="O46" s="6"/>
      <c r="P46" s="31"/>
      <c r="Q46" s="31"/>
      <c r="R46" s="31"/>
      <c r="S46" s="31"/>
      <c r="T46" s="31"/>
      <c r="U46" s="31"/>
      <c r="V46" s="31"/>
      <c r="W46" s="31"/>
      <c r="X46" s="31"/>
      <c r="Y46" s="31"/>
      <c r="Z46" s="31"/>
      <c r="AA46" s="31"/>
      <c r="AB46" s="31"/>
      <c r="AC46" s="31"/>
      <c r="AD46" s="3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>
        <v>8</v>
      </c>
      <c r="AV46" s="4"/>
      <c r="AW46" s="2">
        <v>8</v>
      </c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28</v>
      </c>
      <c r="BQ46" s="1">
        <v>9</v>
      </c>
      <c r="BR46" s="17">
        <v>2</v>
      </c>
      <c r="BS46" s="17" t="s">
        <v>257</v>
      </c>
      <c r="BT46" s="1" t="str">
        <f>IF(AQ46&gt;AQ$137, AQ46-AQ$137,"")</f>
        <v/>
      </c>
      <c r="BU46" s="1" t="str">
        <f>IF(AR46&gt;AR$137, AR46-AR$137,"")</f>
        <v/>
      </c>
      <c r="BV46" s="1" t="str">
        <f>IF(AS46&gt;AS$137, AS46-AS$137,"")</f>
        <v/>
      </c>
      <c r="BW46" s="1" t="str">
        <f>IF(AT46&gt;AT$137, AT46-AT$137,"")</f>
        <v/>
      </c>
      <c r="BX46" s="1" t="str">
        <f>IF(AU46&gt;AU$137, AU46-AU$137,"")</f>
        <v/>
      </c>
      <c r="BY46" s="1" t="str">
        <f>IF(AV46&gt;AV$137, AV46-AV$137,"")</f>
        <v/>
      </c>
      <c r="BZ46" s="1">
        <f>IF(AW46&gt;AW$137, AW46-AW$137,"")</f>
        <v>3</v>
      </c>
      <c r="CA46" s="1" t="str">
        <f>IF(AX46&gt;AX$137, AX46-AX$137,"")</f>
        <v/>
      </c>
      <c r="CB46" s="1" t="str">
        <f>IF(AY46&gt;AY$137, AY46-AY$137,"")</f>
        <v/>
      </c>
      <c r="CC46" s="1" t="str">
        <f>IF(AZ46&gt;AZ$137, AZ46-AZ$137,"")</f>
        <v/>
      </c>
      <c r="CD46" s="1" t="str">
        <f>IF(BA46&gt;BA$137, BA46-BA$137,"")</f>
        <v/>
      </c>
      <c r="CE46" s="1" t="str">
        <f>IF(BB46&gt;BB$137, BB46-BB$137,"")</f>
        <v/>
      </c>
      <c r="CF46" s="1">
        <f>COUNTIF(BT46:CE46, "&gt;0")</f>
        <v>1</v>
      </c>
      <c r="CG46" s="1" t="str">
        <f>IF($CF46=1,BT46,"")</f>
        <v/>
      </c>
      <c r="CH46" s="1" t="str">
        <f>IF($CF46=1,BU46,"")</f>
        <v/>
      </c>
      <c r="CI46" s="1" t="str">
        <f>IF($CF46=1,BV46,"")</f>
        <v/>
      </c>
      <c r="CJ46" s="1" t="str">
        <f>IF($CF46=1,BW46,"")</f>
        <v/>
      </c>
      <c r="CK46" s="1" t="str">
        <f>IF($CF46=1,BX46,"")</f>
        <v/>
      </c>
      <c r="CL46" s="1" t="str">
        <f>IF($CF46=1,BY46,"")</f>
        <v/>
      </c>
      <c r="CM46" s="1">
        <f>IF($CF46=1,BZ46,"")</f>
        <v>3</v>
      </c>
      <c r="CN46" s="1" t="str">
        <f>IF($CF46=1,CA46,"")</f>
        <v/>
      </c>
      <c r="CO46" s="1" t="str">
        <f>IF($CF46=1,CB46,"")</f>
        <v/>
      </c>
      <c r="CP46" s="1" t="str">
        <f>IF($CF46=1,CC46,"")</f>
        <v/>
      </c>
      <c r="CQ46" s="1" t="str">
        <f>IF($CF46=1,CD46,"")</f>
        <v/>
      </c>
      <c r="CR46" s="1" t="str">
        <f>IF($CF46=1,CE46,"")</f>
        <v/>
      </c>
      <c r="CS46" s="18">
        <f>SUM(AE46:BO46)</f>
        <v>16</v>
      </c>
    </row>
    <row r="47" spans="1:97" ht="27" x14ac:dyDescent="0.15">
      <c r="A47" s="1">
        <v>27</v>
      </c>
      <c r="B47" s="1" t="s">
        <v>75</v>
      </c>
      <c r="C47" s="1" t="s">
        <v>31</v>
      </c>
      <c r="D47" s="1" t="s">
        <v>24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31"/>
      <c r="Q47" s="31"/>
      <c r="R47" s="31"/>
      <c r="S47" s="31"/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1"/>
      <c r="AF47" s="1"/>
      <c r="AG47" s="1"/>
      <c r="AH47" s="1">
        <v>5</v>
      </c>
      <c r="AI47" s="1">
        <v>5</v>
      </c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10</v>
      </c>
      <c r="BQ47" s="1">
        <v>10</v>
      </c>
      <c r="BR47" s="17">
        <v>2</v>
      </c>
      <c r="BS47" s="17" t="s">
        <v>238</v>
      </c>
      <c r="BT47" s="1" t="str">
        <f>IF(AQ47&gt;AQ$137, AQ47-AQ$137,"")</f>
        <v/>
      </c>
      <c r="BU47" s="1" t="str">
        <f>IF(AR47&gt;AR$137, AR47-AR$137,"")</f>
        <v/>
      </c>
      <c r="BV47" s="1" t="str">
        <f>IF(AS47&gt;AS$137, AS47-AS$137,"")</f>
        <v/>
      </c>
      <c r="BW47" s="1" t="str">
        <f>IF(AT47&gt;AT$137, AT47-AT$137,"")</f>
        <v/>
      </c>
      <c r="BX47" s="1" t="str">
        <f>IF(AU47&gt;AU$137, AU47-AU$137,"")</f>
        <v/>
      </c>
      <c r="BY47" s="1" t="str">
        <f>IF(AV47&gt;AV$137, AV47-AV$137,"")</f>
        <v/>
      </c>
      <c r="BZ47" s="1" t="str">
        <f>IF(AW47&gt;AW$137, AW47-AW$137,"")</f>
        <v/>
      </c>
      <c r="CA47" s="1" t="str">
        <f>IF(AX47&gt;AX$137, AX47-AX$137,"")</f>
        <v/>
      </c>
      <c r="CB47" s="1" t="str">
        <f>IF(AY47&gt;AY$137, AY47-AY$137,"")</f>
        <v/>
      </c>
      <c r="CC47" s="1" t="str">
        <f>IF(AZ47&gt;AZ$137, AZ47-AZ$137,"")</f>
        <v/>
      </c>
      <c r="CD47" s="1" t="str">
        <f>IF(BA47&gt;BA$137, BA47-BA$137,"")</f>
        <v/>
      </c>
      <c r="CE47" s="1" t="str">
        <f>IF(BB47&gt;BB$137, BB47-BB$137,"")</f>
        <v/>
      </c>
      <c r="CF47" s="1">
        <f>COUNTIF(BT47:CE47, "&gt;0")</f>
        <v>0</v>
      </c>
      <c r="CG47" s="1" t="str">
        <f>IF($CF47=1,BT47,"")</f>
        <v/>
      </c>
      <c r="CH47" s="1" t="str">
        <f>IF($CF47=1,BU47,"")</f>
        <v/>
      </c>
      <c r="CI47" s="1" t="str">
        <f>IF($CF47=1,BV47,"")</f>
        <v/>
      </c>
      <c r="CJ47" s="1" t="str">
        <f>IF($CF47=1,BW47,"")</f>
        <v/>
      </c>
      <c r="CK47" s="1" t="str">
        <f>IF($CF47=1,BX47,"")</f>
        <v/>
      </c>
      <c r="CL47" s="1" t="str">
        <f>IF($CF47=1,BY47,"")</f>
        <v/>
      </c>
      <c r="CM47" s="1" t="str">
        <f>IF($CF47=1,BZ47,"")</f>
        <v/>
      </c>
      <c r="CN47" s="1" t="str">
        <f>IF($CF47=1,CA47,"")</f>
        <v/>
      </c>
      <c r="CO47" s="1" t="str">
        <f>IF($CF47=1,CB47,"")</f>
        <v/>
      </c>
      <c r="CP47" s="1" t="str">
        <f>IF($CF47=1,CC47,"")</f>
        <v/>
      </c>
      <c r="CQ47" s="1" t="str">
        <f>IF($CF47=1,CD47,"")</f>
        <v/>
      </c>
      <c r="CR47" s="1" t="str">
        <f>IF($CF47=1,CE47,"")</f>
        <v/>
      </c>
      <c r="CS47" s="18">
        <f>SUM(AE47:BO47)</f>
        <v>10</v>
      </c>
    </row>
    <row r="48" spans="1:97" ht="27" x14ac:dyDescent="0.15">
      <c r="A48" s="1">
        <v>88</v>
      </c>
      <c r="B48" s="3" t="s">
        <v>80</v>
      </c>
      <c r="C48" s="3" t="s">
        <v>81</v>
      </c>
      <c r="D48" s="1" t="s">
        <v>24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31"/>
      <c r="Q48" s="31"/>
      <c r="R48" s="31"/>
      <c r="S48" s="31"/>
      <c r="T48" s="31"/>
      <c r="U48" s="31"/>
      <c r="V48" s="31"/>
      <c r="W48" s="31"/>
      <c r="X48" s="31"/>
      <c r="Y48" s="31"/>
      <c r="Z48" s="31"/>
      <c r="AA48" s="31"/>
      <c r="AB48" s="31"/>
      <c r="AC48" s="31"/>
      <c r="AD48" s="31"/>
      <c r="AE48" s="1"/>
      <c r="AF48" s="1"/>
      <c r="AG48" s="1"/>
      <c r="AH48" s="1">
        <v>5</v>
      </c>
      <c r="AI48" s="1">
        <v>5</v>
      </c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10</v>
      </c>
      <c r="BQ48" s="1">
        <v>10</v>
      </c>
      <c r="BR48" s="17">
        <v>2</v>
      </c>
      <c r="BS48" s="17" t="s">
        <v>238</v>
      </c>
      <c r="BT48" s="1" t="str">
        <f>IF(AQ48&gt;AQ$137, AQ48-AQ$137,"")</f>
        <v/>
      </c>
      <c r="BU48" s="1" t="str">
        <f>IF(AR48&gt;AR$137, AR48-AR$137,"")</f>
        <v/>
      </c>
      <c r="BV48" s="1" t="str">
        <f>IF(AS48&gt;AS$137, AS48-AS$137,"")</f>
        <v/>
      </c>
      <c r="BW48" s="1" t="str">
        <f>IF(AT48&gt;AT$137, AT48-AT$137,"")</f>
        <v/>
      </c>
      <c r="BX48" s="1" t="str">
        <f>IF(AU48&gt;AU$137, AU48-AU$137,"")</f>
        <v/>
      </c>
      <c r="BY48" s="1" t="str">
        <f>IF(AV48&gt;AV$137, AV48-AV$137,"")</f>
        <v/>
      </c>
      <c r="BZ48" s="1" t="str">
        <f>IF(AW48&gt;AW$137, AW48-AW$137,"")</f>
        <v/>
      </c>
      <c r="CA48" s="1" t="str">
        <f>IF(AX48&gt;AX$137, AX48-AX$137,"")</f>
        <v/>
      </c>
      <c r="CB48" s="1" t="str">
        <f>IF(AY48&gt;AY$137, AY48-AY$137,"")</f>
        <v/>
      </c>
      <c r="CC48" s="1" t="str">
        <f>IF(AZ48&gt;AZ$137, AZ48-AZ$137,"")</f>
        <v/>
      </c>
      <c r="CD48" s="1" t="str">
        <f>IF(BA48&gt;BA$137, BA48-BA$137,"")</f>
        <v/>
      </c>
      <c r="CE48" s="1" t="str">
        <f>IF(BB48&gt;BB$137, BB48-BB$137,"")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18">
        <f>SUM(AE48:BO48)</f>
        <v>10</v>
      </c>
    </row>
    <row r="49" spans="1:97" ht="27" x14ac:dyDescent="0.15">
      <c r="A49" s="1">
        <v>82</v>
      </c>
      <c r="B49" s="3" t="s">
        <v>69</v>
      </c>
      <c r="C49" s="3" t="s">
        <v>65</v>
      </c>
      <c r="D49" s="1" t="s">
        <v>13</v>
      </c>
      <c r="E49" s="6"/>
      <c r="F49" s="6"/>
      <c r="G49" s="6"/>
      <c r="H49" s="6"/>
      <c r="I49" s="6"/>
      <c r="J49" s="6"/>
      <c r="K49" s="6"/>
      <c r="L49" s="6">
        <v>6</v>
      </c>
      <c r="M49" s="6"/>
      <c r="N49" s="6">
        <v>6</v>
      </c>
      <c r="O49" s="6"/>
      <c r="P49" s="31"/>
      <c r="Q49" s="31"/>
      <c r="R49" s="31"/>
      <c r="S49" s="31"/>
      <c r="T49" s="31"/>
      <c r="U49" s="31"/>
      <c r="V49" s="31"/>
      <c r="W49" s="31"/>
      <c r="X49" s="31"/>
      <c r="Y49" s="31"/>
      <c r="Z49" s="31"/>
      <c r="AA49" s="31"/>
      <c r="AB49" s="31"/>
      <c r="AC49" s="31"/>
      <c r="AD49" s="3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>
        <v>10</v>
      </c>
      <c r="AU49" s="4"/>
      <c r="AV49" s="4"/>
      <c r="AW49" s="2"/>
      <c r="AX49" s="2"/>
      <c r="AY49" s="2"/>
      <c r="AZ49" s="2">
        <v>10</v>
      </c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32</v>
      </c>
      <c r="BQ49" s="1">
        <v>10</v>
      </c>
      <c r="BR49" s="17">
        <v>2</v>
      </c>
      <c r="BS49" s="17" t="s">
        <v>239</v>
      </c>
      <c r="BT49" s="1" t="str">
        <f>IF(AQ49&gt;AQ$137, AQ49-AQ$137,"")</f>
        <v/>
      </c>
      <c r="BU49" s="1" t="str">
        <f>IF(AR49&gt;AR$137, AR49-AR$137,"")</f>
        <v/>
      </c>
      <c r="BV49" s="1" t="str">
        <f>IF(AS49&gt;AS$137, AS49-AS$137,"")</f>
        <v/>
      </c>
      <c r="BW49" s="1">
        <f>IF(AT49&gt;AT$137, AT49-AT$137,"")</f>
        <v>2</v>
      </c>
      <c r="BX49" s="1" t="str">
        <f>IF(AU49&gt;AU$137, AU49-AU$137,"")</f>
        <v/>
      </c>
      <c r="BY49" s="1" t="str">
        <f>IF(AV49&gt;AV$137, AV49-AV$137,"")</f>
        <v/>
      </c>
      <c r="BZ49" s="1" t="str">
        <f>IF(AW49&gt;AW$137, AW49-AW$137,"")</f>
        <v/>
      </c>
      <c r="CA49" s="1" t="str">
        <f>IF(AX49&gt;AX$137, AX49-AX$137,"")</f>
        <v/>
      </c>
      <c r="CB49" s="1" t="str">
        <f>IF(AY49&gt;AY$137, AY49-AY$137,"")</f>
        <v/>
      </c>
      <c r="CC49" s="1">
        <f>IF(AZ49&gt;AZ$137, AZ49-AZ$137,"")</f>
        <v>8</v>
      </c>
      <c r="CD49" s="1" t="str">
        <f>IF(BA49&gt;BA$137, BA49-BA$137,"")</f>
        <v/>
      </c>
      <c r="CE49" s="1" t="str">
        <f>IF(BB49&gt;BB$137, BB49-BB$137,"")</f>
        <v/>
      </c>
      <c r="CF49" s="1">
        <f>COUNTIF(BT49:CE49, "&gt;0")</f>
        <v>2</v>
      </c>
      <c r="CG49" s="1" t="str">
        <f>IF($CF49=1,BT49,"")</f>
        <v/>
      </c>
      <c r="CH49" s="1" t="str">
        <f>IF($CF49=1,BU49,"")</f>
        <v/>
      </c>
      <c r="CI49" s="1" t="str">
        <f>IF($CF49=1,BV49,"")</f>
        <v/>
      </c>
      <c r="CJ49" s="1" t="str">
        <f>IF($CF49=1,BW49,"")</f>
        <v/>
      </c>
      <c r="CK49" s="1" t="str">
        <f>IF($CF49=1,BX49,"")</f>
        <v/>
      </c>
      <c r="CL49" s="1" t="str">
        <f>IF($CF49=1,BY49,"")</f>
        <v/>
      </c>
      <c r="CM49" s="1" t="str">
        <f>IF($CF49=1,BZ49,"")</f>
        <v/>
      </c>
      <c r="CN49" s="1" t="str">
        <f>IF($CF49=1,CA49,"")</f>
        <v/>
      </c>
      <c r="CO49" s="1" t="str">
        <f>IF($CF49=1,CB49,"")</f>
        <v/>
      </c>
      <c r="CP49" s="1" t="str">
        <f>IF($CF49=1,CC49,"")</f>
        <v/>
      </c>
      <c r="CQ49" s="1" t="str">
        <f>IF($CF49=1,CD49,"")</f>
        <v/>
      </c>
      <c r="CR49" s="1" t="str">
        <f>IF($CF49=1,CE49,"")</f>
        <v/>
      </c>
      <c r="CS49" s="18">
        <f>SUM(AE49:BO49)</f>
        <v>20</v>
      </c>
    </row>
    <row r="50" spans="1:97" ht="27" x14ac:dyDescent="0.15">
      <c r="A50" s="1">
        <v>68</v>
      </c>
      <c r="B50" s="3" t="s">
        <v>104</v>
      </c>
      <c r="C50" s="1" t="s">
        <v>57</v>
      </c>
      <c r="D50" s="1" t="s">
        <v>13</v>
      </c>
      <c r="E50" s="6"/>
      <c r="F50" s="6">
        <v>6</v>
      </c>
      <c r="G50" s="6"/>
      <c r="H50" s="6"/>
      <c r="I50" s="6"/>
      <c r="J50" s="6"/>
      <c r="K50" s="6"/>
      <c r="L50" s="6"/>
      <c r="M50" s="6"/>
      <c r="N50" s="6">
        <v>6</v>
      </c>
      <c r="O50" s="6"/>
      <c r="P50" s="31"/>
      <c r="Q50" s="31"/>
      <c r="R50" s="31"/>
      <c r="S50" s="31"/>
      <c r="T50" s="31"/>
      <c r="U50" s="31"/>
      <c r="V50" s="31"/>
      <c r="W50" s="31"/>
      <c r="X50" s="31"/>
      <c r="Y50" s="31"/>
      <c r="Z50" s="31"/>
      <c r="AA50" s="31"/>
      <c r="AB50" s="31"/>
      <c r="AC50" s="31"/>
      <c r="AD50" s="3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>
        <v>10</v>
      </c>
      <c r="AW50" s="2"/>
      <c r="AX50" s="2"/>
      <c r="AY50" s="2"/>
      <c r="AZ50" s="2"/>
      <c r="BA50" s="2"/>
      <c r="BB50" s="2">
        <v>10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32</v>
      </c>
      <c r="BQ50" s="1">
        <v>11</v>
      </c>
      <c r="BR50" s="17">
        <v>2</v>
      </c>
      <c r="BS50" s="17" t="s">
        <v>240</v>
      </c>
      <c r="BT50" s="1" t="str">
        <f>IF(AQ50&gt;AQ$137, AQ50-AQ$137,"")</f>
        <v/>
      </c>
      <c r="BU50" s="1" t="str">
        <f>IF(AR50&gt;AR$137, AR50-AR$137,"")</f>
        <v/>
      </c>
      <c r="BV50" s="1" t="str">
        <f>IF(AS50&gt;AS$137, AS50-AS$137,"")</f>
        <v/>
      </c>
      <c r="BW50" s="1" t="str">
        <f>IF(AT50&gt;AT$137, AT50-AT$137,"")</f>
        <v/>
      </c>
      <c r="BX50" s="1" t="str">
        <f>IF(AU50&gt;AU$137, AU50-AU$137,"")</f>
        <v/>
      </c>
      <c r="BY50" s="1">
        <f>IF(AV50&gt;AV$137, AV50-AV$137,"")</f>
        <v>6</v>
      </c>
      <c r="BZ50" s="1" t="str">
        <f>IF(AW50&gt;AW$137, AW50-AW$137,"")</f>
        <v/>
      </c>
      <c r="CA50" s="1" t="str">
        <f>IF(AX50&gt;AX$137, AX50-AX$137,"")</f>
        <v/>
      </c>
      <c r="CB50" s="1" t="str">
        <f>IF(AY50&gt;AY$137, AY50-AY$137,"")</f>
        <v/>
      </c>
      <c r="CC50" s="1" t="str">
        <f>IF(AZ50&gt;AZ$137, AZ50-AZ$137,"")</f>
        <v/>
      </c>
      <c r="CD50" s="1" t="str">
        <f>IF(BA50&gt;BA$137, BA50-BA$137,"")</f>
        <v/>
      </c>
      <c r="CE50" s="1" t="str">
        <f>IF(BB50&gt;BB$137, BB50-BB$137,"")</f>
        <v/>
      </c>
      <c r="CF50" s="1">
        <f>COUNTIF(BT50:CE50, "&gt;0")</f>
        <v>1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>
        <f>IF($CF50=1,BY50,"")</f>
        <v>6</v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18">
        <f>SUM(AE50:BO50)</f>
        <v>20</v>
      </c>
    </row>
    <row r="51" spans="1:97" ht="27" x14ac:dyDescent="0.15">
      <c r="A51" s="1">
        <v>72</v>
      </c>
      <c r="B51" s="3" t="s">
        <v>92</v>
      </c>
      <c r="C51" s="1" t="s">
        <v>57</v>
      </c>
      <c r="D51" s="1" t="s">
        <v>13</v>
      </c>
      <c r="E51" s="6"/>
      <c r="F51" s="6"/>
      <c r="G51" s="6"/>
      <c r="H51" s="6"/>
      <c r="I51" s="6"/>
      <c r="J51" s="6"/>
      <c r="K51" s="6"/>
      <c r="L51" s="6">
        <v>6</v>
      </c>
      <c r="M51" s="6">
        <v>6</v>
      </c>
      <c r="N51" s="6"/>
      <c r="O51" s="6"/>
      <c r="P51" s="31"/>
      <c r="Q51" s="31"/>
      <c r="R51" s="31"/>
      <c r="S51" s="31"/>
      <c r="T51" s="31"/>
      <c r="U51" s="31"/>
      <c r="V51" s="31"/>
      <c r="W51" s="31"/>
      <c r="X51" s="31"/>
      <c r="Y51" s="31"/>
      <c r="Z51" s="31"/>
      <c r="AA51" s="31"/>
      <c r="AB51" s="31"/>
      <c r="AC51" s="31"/>
      <c r="AD51" s="3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>
        <v>10</v>
      </c>
      <c r="AW51" s="2"/>
      <c r="AX51" s="2"/>
      <c r="AY51" s="2"/>
      <c r="AZ51" s="2"/>
      <c r="BA51" s="2">
        <v>10</v>
      </c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32</v>
      </c>
      <c r="BQ51" s="1">
        <v>11</v>
      </c>
      <c r="BR51" s="17">
        <v>2</v>
      </c>
      <c r="BS51" s="17" t="s">
        <v>242</v>
      </c>
      <c r="BT51" s="1" t="str">
        <f>IF(AQ51&gt;AQ$137, AQ51-AQ$137,"")</f>
        <v/>
      </c>
      <c r="BU51" s="1" t="str">
        <f>IF(AR51&gt;AR$137, AR51-AR$137,"")</f>
        <v/>
      </c>
      <c r="BV51" s="1" t="str">
        <f>IF(AS51&gt;AS$137, AS51-AS$137,"")</f>
        <v/>
      </c>
      <c r="BW51" s="1" t="str">
        <f>IF(AT51&gt;AT$137, AT51-AT$137,"")</f>
        <v/>
      </c>
      <c r="BX51" s="1" t="str">
        <f>IF(AU51&gt;AU$137, AU51-AU$137,"")</f>
        <v/>
      </c>
      <c r="BY51" s="1">
        <f>IF(AV51&gt;AV$137, AV51-AV$137,"")</f>
        <v>6</v>
      </c>
      <c r="BZ51" s="1" t="str">
        <f>IF(AW51&gt;AW$137, AW51-AW$137,"")</f>
        <v/>
      </c>
      <c r="CA51" s="1" t="str">
        <f>IF(AX51&gt;AX$137, AX51-AX$137,"")</f>
        <v/>
      </c>
      <c r="CB51" s="1" t="str">
        <f>IF(AY51&gt;AY$137, AY51-AY$137,"")</f>
        <v/>
      </c>
      <c r="CC51" s="1" t="str">
        <f>IF(AZ51&gt;AZ$137, AZ51-AZ$137,"")</f>
        <v/>
      </c>
      <c r="CD51" s="1">
        <f>IF(BA51&gt;BA$137, BA51-BA$137,"")</f>
        <v>5</v>
      </c>
      <c r="CE51" s="1" t="str">
        <f>IF(BB51&gt;BB$137, BB51-BB$137,"")</f>
        <v/>
      </c>
      <c r="CF51" s="1">
        <f>COUNTIF(BT51:CE51, "&gt;0")</f>
        <v>2</v>
      </c>
      <c r="CG51" s="1" t="str">
        <f>IF($CF51=1,BT51,"")</f>
        <v/>
      </c>
      <c r="CH51" s="1" t="str">
        <f>IF($CF51=1,BU51,"")</f>
        <v/>
      </c>
      <c r="CI51" s="1" t="str">
        <f>IF($CF51=1,BV51,"")</f>
        <v/>
      </c>
      <c r="CJ51" s="1" t="str">
        <f>IF($CF51=1,BW51,"")</f>
        <v/>
      </c>
      <c r="CK51" s="1" t="str">
        <f>IF($CF51=1,BX51,"")</f>
        <v/>
      </c>
      <c r="CL51" s="1" t="str">
        <f>IF($CF51=1,BY51,"")</f>
        <v/>
      </c>
      <c r="CM51" s="1" t="str">
        <f>IF($CF51=1,BZ51,"")</f>
        <v/>
      </c>
      <c r="CN51" s="1" t="str">
        <f>IF($CF51=1,CA51,"")</f>
        <v/>
      </c>
      <c r="CO51" s="1" t="str">
        <f>IF($CF51=1,CB51,"")</f>
        <v/>
      </c>
      <c r="CP51" s="1" t="str">
        <f>IF($CF51=1,CC51,"")</f>
        <v/>
      </c>
      <c r="CQ51" s="1" t="str">
        <f>IF($CF51=1,CD51,"")</f>
        <v/>
      </c>
      <c r="CR51" s="1" t="str">
        <f>IF($CF51=1,CE51,"")</f>
        <v/>
      </c>
      <c r="CS51" s="18">
        <f>SUM(AE51:BO51)</f>
        <v>20</v>
      </c>
    </row>
    <row r="52" spans="1:97" ht="27" x14ac:dyDescent="0.15">
      <c r="A52" s="1"/>
      <c r="B52" s="1" t="s">
        <v>192</v>
      </c>
      <c r="C52" s="1" t="s">
        <v>122</v>
      </c>
      <c r="D52" s="1" t="s">
        <v>109</v>
      </c>
      <c r="E52" s="6"/>
      <c r="F52" s="6"/>
      <c r="G52" s="6"/>
      <c r="H52" s="6">
        <v>10</v>
      </c>
      <c r="I52" s="6"/>
      <c r="J52" s="6">
        <v>10</v>
      </c>
      <c r="K52" s="6"/>
      <c r="L52" s="6"/>
      <c r="M52" s="6"/>
      <c r="N52" s="6"/>
      <c r="O52" s="6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  <c r="AA52" s="31"/>
      <c r="AB52" s="31"/>
      <c r="AC52" s="31"/>
      <c r="AD52" s="3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>
        <v>10</v>
      </c>
      <c r="AU52" s="4"/>
      <c r="AV52" s="4"/>
      <c r="AW52" s="2"/>
      <c r="AX52" s="2"/>
      <c r="AY52" s="2">
        <v>10</v>
      </c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40</v>
      </c>
      <c r="BQ52" s="1">
        <v>12</v>
      </c>
      <c r="BR52" s="17">
        <v>2</v>
      </c>
      <c r="BS52" s="17" t="s">
        <v>216</v>
      </c>
      <c r="BT52" s="1" t="str">
        <f>IF(AQ52&gt;AQ$137, AQ52-AQ$137,"")</f>
        <v/>
      </c>
      <c r="BU52" s="1" t="str">
        <f>IF(AR52&gt;AR$137, AR52-AR$137,"")</f>
        <v/>
      </c>
      <c r="BV52" s="1" t="str">
        <f>IF(AS52&gt;AS$137, AS52-AS$137,"")</f>
        <v/>
      </c>
      <c r="BW52" s="1">
        <f>IF(AT52&gt;AT$137, AT52-AT$137,"")</f>
        <v>2</v>
      </c>
      <c r="BX52" s="1" t="str">
        <f>IF(AU52&gt;AU$137, AU52-AU$137,"")</f>
        <v/>
      </c>
      <c r="BY52" s="1" t="str">
        <f>IF(AV52&gt;AV$137, AV52-AV$137,"")</f>
        <v/>
      </c>
      <c r="BZ52" s="1" t="str">
        <f>IF(AW52&gt;AW$137, AW52-AW$137,"")</f>
        <v/>
      </c>
      <c r="CA52" s="1" t="str">
        <f>IF(AX52&gt;AX$137, AX52-AX$137,"")</f>
        <v/>
      </c>
      <c r="CB52" s="1" t="str">
        <f>IF(AY52&gt;AY$137, AY52-AY$137,"")</f>
        <v/>
      </c>
      <c r="CC52" s="1" t="str">
        <f>IF(AZ52&gt;AZ$137, AZ52-AZ$137,"")</f>
        <v/>
      </c>
      <c r="CD52" s="1" t="str">
        <f>IF(BA52&gt;BA$137, BA52-BA$137,"")</f>
        <v/>
      </c>
      <c r="CE52" s="1" t="str">
        <f>IF(BB52&gt;BB$137, BB52-BB$137,"")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ht="27" x14ac:dyDescent="0.15">
      <c r="A53" s="1">
        <v>69</v>
      </c>
      <c r="B53" s="3" t="s">
        <v>64</v>
      </c>
      <c r="C53" s="1" t="s">
        <v>57</v>
      </c>
      <c r="D53" s="1" t="s">
        <v>13</v>
      </c>
      <c r="E53" s="6"/>
      <c r="F53" s="6"/>
      <c r="G53" s="6"/>
      <c r="H53" s="6">
        <v>6</v>
      </c>
      <c r="I53" s="6">
        <v>6</v>
      </c>
      <c r="J53" s="6"/>
      <c r="K53" s="6"/>
      <c r="L53" s="6"/>
      <c r="M53" s="6"/>
      <c r="N53" s="6"/>
      <c r="O53" s="6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  <c r="AA53" s="31"/>
      <c r="AB53" s="31"/>
      <c r="AC53" s="31"/>
      <c r="AD53" s="3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10</v>
      </c>
      <c r="AW53" s="2"/>
      <c r="AX53" s="2">
        <v>10</v>
      </c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32</v>
      </c>
      <c r="BQ53" s="1">
        <v>12</v>
      </c>
      <c r="BR53" s="17">
        <v>2</v>
      </c>
      <c r="BS53" s="17" t="s">
        <v>241</v>
      </c>
      <c r="BT53" s="1" t="str">
        <f>IF(AQ53&gt;AQ$137, AQ53-AQ$137,"")</f>
        <v/>
      </c>
      <c r="BU53" s="1" t="str">
        <f>IF(AR53&gt;AR$137, AR53-AR$137,"")</f>
        <v/>
      </c>
      <c r="BV53" s="1" t="str">
        <f>IF(AS53&gt;AS$137, AS53-AS$137,"")</f>
        <v/>
      </c>
      <c r="BW53" s="1" t="str">
        <f>IF(AT53&gt;AT$137, AT53-AT$137,"")</f>
        <v/>
      </c>
      <c r="BX53" s="1" t="str">
        <f>IF(AU53&gt;AU$137, AU53-AU$137,"")</f>
        <v/>
      </c>
      <c r="BY53" s="1">
        <f>IF(AV53&gt;AV$137, AV53-AV$137,"")</f>
        <v>6</v>
      </c>
      <c r="BZ53" s="1" t="str">
        <f>IF(AW53&gt;AW$137, AW53-AW$137,"")</f>
        <v/>
      </c>
      <c r="CA53" s="1" t="str">
        <f>IF(AX53&gt;AX$137, AX53-AX$137,"")</f>
        <v/>
      </c>
      <c r="CB53" s="1" t="str">
        <f>IF(AY53&gt;AY$137, AY53-AY$137,"")</f>
        <v/>
      </c>
      <c r="CC53" s="1" t="str">
        <f>IF(AZ53&gt;AZ$137, AZ53-AZ$137,"")</f>
        <v/>
      </c>
      <c r="CD53" s="1" t="str">
        <f>IF(BA53&gt;BA$137, BA53-BA$137,"")</f>
        <v/>
      </c>
      <c r="CE53" s="1" t="str">
        <f>IF(BB53&gt;BB$137, BB53-BB$137,"")</f>
        <v/>
      </c>
      <c r="CF53" s="1">
        <f>COUNTIF(BT53:CE53, "&gt;0")</f>
        <v>1</v>
      </c>
      <c r="CG53" s="1" t="str">
        <f>IF($CF53=1,BT53,"")</f>
        <v/>
      </c>
      <c r="CH53" s="1" t="str">
        <f>IF($CF53=1,BU53,"")</f>
        <v/>
      </c>
      <c r="CI53" s="1" t="str">
        <f>IF($CF53=1,BV53,"")</f>
        <v/>
      </c>
      <c r="CJ53" s="1" t="str">
        <f>IF($CF53=1,BW53,"")</f>
        <v/>
      </c>
      <c r="CK53" s="1" t="str">
        <f>IF($CF53=1,BX53,"")</f>
        <v/>
      </c>
      <c r="CL53" s="1">
        <f>IF($CF53=1,BY53,"")</f>
        <v>6</v>
      </c>
      <c r="CM53" s="1" t="str">
        <f>IF($CF53=1,BZ53,"")</f>
        <v/>
      </c>
      <c r="CN53" s="1" t="str">
        <f>IF($CF53=1,CA53,"")</f>
        <v/>
      </c>
      <c r="CO53" s="1" t="str">
        <f>IF($CF53=1,CB53,"")</f>
        <v/>
      </c>
      <c r="CP53" s="1" t="str">
        <f>IF($CF53=1,CC53,"")</f>
        <v/>
      </c>
      <c r="CQ53" s="1" t="str">
        <f>IF($CF53=1,CD53,"")</f>
        <v/>
      </c>
      <c r="CR53" s="1" t="str">
        <f>IF($CF53=1,CE53,"")</f>
        <v/>
      </c>
      <c r="CS53" s="18">
        <f>SUM(AE53:BO53)</f>
        <v>20</v>
      </c>
    </row>
    <row r="54" spans="1:97" ht="27" x14ac:dyDescent="0.15">
      <c r="A54" s="1">
        <v>41</v>
      </c>
      <c r="B54" s="1" t="s">
        <v>209</v>
      </c>
      <c r="C54" s="1" t="s">
        <v>48</v>
      </c>
      <c r="D54" s="1" t="s">
        <v>13</v>
      </c>
      <c r="E54" s="6"/>
      <c r="F54" s="6"/>
      <c r="G54" s="6"/>
      <c r="H54" s="6"/>
      <c r="I54" s="6"/>
      <c r="J54" s="6"/>
      <c r="K54" s="6"/>
      <c r="L54" s="6">
        <v>6</v>
      </c>
      <c r="M54" s="6"/>
      <c r="N54" s="6"/>
      <c r="O54" s="6">
        <v>6</v>
      </c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  <c r="AA54" s="31"/>
      <c r="AB54" s="31"/>
      <c r="AC54" s="31"/>
      <c r="AD54" s="3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>
        <v>10</v>
      </c>
      <c r="AR54" s="4"/>
      <c r="AS54" s="4"/>
      <c r="AT54" s="4"/>
      <c r="AU54" s="4"/>
      <c r="AV54" s="4"/>
      <c r="AW54" s="2"/>
      <c r="AX54" s="2">
        <v>10</v>
      </c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13</v>
      </c>
      <c r="BR54" s="17">
        <v>2</v>
      </c>
      <c r="BS54" s="17" t="s">
        <v>229</v>
      </c>
      <c r="BT54" s="1">
        <f>IF(AQ54&gt;AQ$137, AQ54-AQ$137,"")</f>
        <v>10</v>
      </c>
      <c r="BU54" s="1" t="str">
        <f>IF(AR54&gt;AR$137, AR54-AR$137,"")</f>
        <v/>
      </c>
      <c r="BV54" s="1" t="str">
        <f>IF(AS54&gt;AS$137, AS54-AS$137,"")</f>
        <v/>
      </c>
      <c r="BW54" s="1" t="str">
        <f>IF(AT54&gt;AT$137, AT54-AT$137,"")</f>
        <v/>
      </c>
      <c r="BX54" s="1" t="str">
        <f>IF(AU54&gt;AU$137, AU54-AU$137,"")</f>
        <v/>
      </c>
      <c r="BY54" s="1" t="str">
        <f>IF(AV54&gt;AV$137, AV54-AV$137,"")</f>
        <v/>
      </c>
      <c r="BZ54" s="1" t="str">
        <f>IF(AW54&gt;AW$137, AW54-AW$137,"")</f>
        <v/>
      </c>
      <c r="CA54" s="1" t="str">
        <f>IF(AX54&gt;AX$137, AX54-AX$137,"")</f>
        <v/>
      </c>
      <c r="CB54" s="1" t="str">
        <f>IF(AY54&gt;AY$137, AY54-AY$137,"")</f>
        <v/>
      </c>
      <c r="CC54" s="1" t="str">
        <f>IF(AZ54&gt;AZ$137, AZ54-AZ$137,"")</f>
        <v/>
      </c>
      <c r="CD54" s="1" t="str">
        <f>IF(BA54&gt;BA$137, BA54-BA$137,"")</f>
        <v/>
      </c>
      <c r="CE54" s="1" t="str">
        <f>IF(BB54&gt;BB$137, BB54-BB$137,"")</f>
        <v/>
      </c>
      <c r="CF54" s="1">
        <f>COUNTIF(BT54:CE54, "&gt;0")</f>
        <v>1</v>
      </c>
      <c r="CG54" s="1">
        <f>IF($CF54=1,BT54,"")</f>
        <v>10</v>
      </c>
      <c r="CH54" s="1" t="str">
        <f>IF($CF54=1,BU54,"")</f>
        <v/>
      </c>
      <c r="CI54" s="1" t="str">
        <f>IF($CF54=1,BV54,"")</f>
        <v/>
      </c>
      <c r="CJ54" s="1" t="str">
        <f>IF($CF54=1,BW54,"")</f>
        <v/>
      </c>
      <c r="CK54" s="1" t="str">
        <f>IF($CF54=1,BX54,"")</f>
        <v/>
      </c>
      <c r="CL54" s="1" t="str">
        <f>IF($CF54=1,BY54,"")</f>
        <v/>
      </c>
      <c r="CM54" s="1" t="str">
        <f>IF($CF54=1,BZ54,"")</f>
        <v/>
      </c>
      <c r="CN54" s="1" t="str">
        <f>IF($CF54=1,CA54,"")</f>
        <v/>
      </c>
      <c r="CO54" s="1" t="str">
        <f>IF($CF54=1,CB54,"")</f>
        <v/>
      </c>
      <c r="CP54" s="1" t="str">
        <f>IF($CF54=1,CC54,"")</f>
        <v/>
      </c>
      <c r="CQ54" s="1" t="str">
        <f>IF($CF54=1,CD54,"")</f>
        <v/>
      </c>
      <c r="CR54" s="1" t="str">
        <f>IF($CF54=1,CE54,"")</f>
        <v/>
      </c>
      <c r="CS54" s="18">
        <f>SUM(AE54:BO54)</f>
        <v>20</v>
      </c>
    </row>
    <row r="55" spans="1:97" ht="27" x14ac:dyDescent="0.15">
      <c r="A55" s="1"/>
      <c r="B55" s="1" t="s">
        <v>207</v>
      </c>
      <c r="C55" s="1" t="s">
        <v>111</v>
      </c>
      <c r="D55" s="1" t="s">
        <v>109</v>
      </c>
      <c r="E55" s="6">
        <v>6</v>
      </c>
      <c r="F55" s="6">
        <v>6</v>
      </c>
      <c r="G55" s="6"/>
      <c r="H55" s="6"/>
      <c r="I55" s="6"/>
      <c r="J55" s="6"/>
      <c r="K55" s="6"/>
      <c r="L55" s="6"/>
      <c r="M55" s="6"/>
      <c r="N55" s="6"/>
      <c r="O55" s="6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  <c r="AA55" s="31"/>
      <c r="AB55" s="31"/>
      <c r="AC55" s="31"/>
      <c r="AD55" s="3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>
        <v>10</v>
      </c>
      <c r="AT55" s="4"/>
      <c r="AU55" s="4"/>
      <c r="AV55" s="4"/>
      <c r="AW55" s="2"/>
      <c r="AX55" s="2">
        <v>10</v>
      </c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32</v>
      </c>
      <c r="BQ55" s="1">
        <v>13</v>
      </c>
      <c r="BR55" s="17">
        <v>2</v>
      </c>
      <c r="BS55" s="17" t="s">
        <v>243</v>
      </c>
      <c r="BT55" s="1" t="str">
        <f>IF(AQ55&gt;AQ$137, AQ55-AQ$137,"")</f>
        <v/>
      </c>
      <c r="BU55" s="1" t="str">
        <f>IF(AR55&gt;AR$137, AR55-AR$137,"")</f>
        <v/>
      </c>
      <c r="BV55" s="1">
        <f>IF(AS55&gt;AS$137, AS55-AS$137,"")</f>
        <v>8</v>
      </c>
      <c r="BW55" s="1" t="str">
        <f>IF(AT55&gt;AT$137, AT55-AT$137,"")</f>
        <v/>
      </c>
      <c r="BX55" s="1" t="str">
        <f>IF(AU55&gt;AU$137, AU55-AU$137,"")</f>
        <v/>
      </c>
      <c r="BY55" s="1" t="str">
        <f>IF(AV55&gt;AV$137, AV55-AV$137,"")</f>
        <v/>
      </c>
      <c r="BZ55" s="1" t="str">
        <f>IF(AW55&gt;AW$137, AW55-AW$137,"")</f>
        <v/>
      </c>
      <c r="CA55" s="1" t="str">
        <f>IF(AX55&gt;AX$137, AX55-AX$137,"")</f>
        <v/>
      </c>
      <c r="CB55" s="1" t="str">
        <f>IF(AY55&gt;AY$137, AY55-AY$137,"")</f>
        <v/>
      </c>
      <c r="CC55" s="1" t="str">
        <f>IF(AZ55&gt;AZ$137, AZ55-AZ$137,"")</f>
        <v/>
      </c>
      <c r="CD55" s="1" t="str">
        <f>IF(BA55&gt;BA$137, BA55-BA$137,"")</f>
        <v/>
      </c>
      <c r="CE55" s="1" t="str">
        <f>IF(BB55&gt;BB$137, BB55-BB$137,"")</f>
        <v/>
      </c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8"/>
    </row>
    <row r="56" spans="1:97" ht="27" x14ac:dyDescent="0.15">
      <c r="A56" s="1">
        <v>8</v>
      </c>
      <c r="B56" s="1" t="s">
        <v>175</v>
      </c>
      <c r="C56" s="1" t="s">
        <v>2</v>
      </c>
      <c r="D56" s="1" t="s">
        <v>26</v>
      </c>
      <c r="E56" s="6">
        <v>6</v>
      </c>
      <c r="F56" s="6"/>
      <c r="G56" s="6"/>
      <c r="H56" s="6">
        <v>6</v>
      </c>
      <c r="I56" s="6"/>
      <c r="J56" s="6"/>
      <c r="K56" s="6"/>
      <c r="L56" s="6"/>
      <c r="M56" s="6"/>
      <c r="N56" s="6"/>
      <c r="O56" s="6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  <c r="AA56" s="31"/>
      <c r="AB56" s="31"/>
      <c r="AC56" s="31"/>
      <c r="AD56" s="3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>
        <v>10</v>
      </c>
      <c r="AS56" s="4"/>
      <c r="AT56" s="4"/>
      <c r="AU56" s="4"/>
      <c r="AV56" s="4"/>
      <c r="AW56" s="2"/>
      <c r="AX56" s="2"/>
      <c r="AY56" s="2"/>
      <c r="AZ56" s="2"/>
      <c r="BA56" s="2"/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32</v>
      </c>
      <c r="BQ56" s="1">
        <v>14</v>
      </c>
      <c r="BR56" s="17">
        <v>2</v>
      </c>
      <c r="BS56" s="17" t="s">
        <v>244</v>
      </c>
      <c r="BT56" s="1" t="str">
        <f>IF(AQ56&gt;AQ$137, AQ56-AQ$137,"")</f>
        <v/>
      </c>
      <c r="BU56" s="1">
        <f>IF(AR56&gt;AR$137, AR56-AR$137,"")</f>
        <v>8</v>
      </c>
      <c r="BV56" s="1" t="str">
        <f>IF(AS56&gt;AS$137, AS56-AS$137,"")</f>
        <v/>
      </c>
      <c r="BW56" s="1" t="str">
        <f>IF(AT56&gt;AT$137, AT56-AT$137,"")</f>
        <v/>
      </c>
      <c r="BX56" s="1" t="str">
        <f>IF(AU56&gt;AU$137, AU56-AU$137,"")</f>
        <v/>
      </c>
      <c r="BY56" s="1" t="str">
        <f>IF(AV56&gt;AV$137, AV56-AV$137,"")</f>
        <v/>
      </c>
      <c r="BZ56" s="1" t="str">
        <f>IF(AW56&gt;AW$137, AW56-AW$137,"")</f>
        <v/>
      </c>
      <c r="CA56" s="1" t="str">
        <f>IF(AX56&gt;AX$137, AX56-AX$137,"")</f>
        <v/>
      </c>
      <c r="CB56" s="1" t="str">
        <f>IF(AY56&gt;AY$137, AY56-AY$137,"")</f>
        <v/>
      </c>
      <c r="CC56" s="1" t="str">
        <f>IF(AZ56&gt;AZ$137, AZ56-AZ$137,"")</f>
        <v/>
      </c>
      <c r="CD56" s="1" t="str">
        <f>IF(BA56&gt;BA$137, BA56-BA$137,"")</f>
        <v/>
      </c>
      <c r="CE56" s="1" t="str">
        <f>IF(BB56&gt;BB$137, BB56-BB$137,"")</f>
        <v/>
      </c>
      <c r="CF56" s="1">
        <f>COUNTIF(BT56:CE56, "&gt;0")</f>
        <v>1</v>
      </c>
      <c r="CG56" s="1" t="str">
        <f>IF($CF56=1,BT56,"")</f>
        <v/>
      </c>
      <c r="CH56" s="1">
        <f>IF($CF56=1,BU56,"")</f>
        <v>8</v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18">
        <f>SUM(AE56:BO56)</f>
        <v>20</v>
      </c>
    </row>
    <row r="57" spans="1:97" ht="27" x14ac:dyDescent="0.15">
      <c r="A57" s="1">
        <v>39</v>
      </c>
      <c r="B57" s="1" t="s">
        <v>51</v>
      </c>
      <c r="C57" s="1" t="s">
        <v>48</v>
      </c>
      <c r="D57" s="1" t="s">
        <v>26</v>
      </c>
      <c r="E57" s="6"/>
      <c r="F57" s="6">
        <v>6</v>
      </c>
      <c r="G57" s="6"/>
      <c r="H57" s="6"/>
      <c r="I57" s="6"/>
      <c r="J57" s="6"/>
      <c r="K57" s="6"/>
      <c r="L57" s="6">
        <v>6</v>
      </c>
      <c r="M57" s="6"/>
      <c r="N57" s="6"/>
      <c r="O57" s="6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  <c r="AA57" s="31"/>
      <c r="AB57" s="31"/>
      <c r="AC57" s="31"/>
      <c r="AD57" s="3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>
        <v>10</v>
      </c>
      <c r="AR57" s="4"/>
      <c r="AS57" s="4"/>
      <c r="AT57" s="4"/>
      <c r="AU57" s="4"/>
      <c r="AV57" s="4"/>
      <c r="AW57" s="2"/>
      <c r="AX57" s="2">
        <v>10</v>
      </c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32</v>
      </c>
      <c r="BQ57" s="1">
        <v>15</v>
      </c>
      <c r="BR57" s="17">
        <v>2</v>
      </c>
      <c r="BS57" s="17" t="s">
        <v>231</v>
      </c>
      <c r="BT57" s="1">
        <f>IF(AQ57&gt;AQ$137, AQ57-AQ$137,"")</f>
        <v>10</v>
      </c>
      <c r="BU57" s="1" t="str">
        <f>IF(AR57&gt;AR$137, AR57-AR$137,"")</f>
        <v/>
      </c>
      <c r="BV57" s="1" t="str">
        <f>IF(AS57&gt;AS$137, AS57-AS$137,"")</f>
        <v/>
      </c>
      <c r="BW57" s="1" t="str">
        <f>IF(AT57&gt;AT$137, AT57-AT$137,"")</f>
        <v/>
      </c>
      <c r="BX57" s="1" t="str">
        <f>IF(AU57&gt;AU$137, AU57-AU$137,"")</f>
        <v/>
      </c>
      <c r="BY57" s="1" t="str">
        <f>IF(AV57&gt;AV$137, AV57-AV$137,"")</f>
        <v/>
      </c>
      <c r="BZ57" s="1" t="str">
        <f>IF(AW57&gt;AW$137, AW57-AW$137,"")</f>
        <v/>
      </c>
      <c r="CA57" s="1" t="str">
        <f>IF(AX57&gt;AX$137, AX57-AX$137,"")</f>
        <v/>
      </c>
      <c r="CB57" s="1" t="str">
        <f>IF(AY57&gt;AY$137, AY57-AY$137,"")</f>
        <v/>
      </c>
      <c r="CC57" s="1" t="str">
        <f>IF(AZ57&gt;AZ$137, AZ57-AZ$137,"")</f>
        <v/>
      </c>
      <c r="CD57" s="1" t="str">
        <f>IF(BA57&gt;BA$137, BA57-BA$137,"")</f>
        <v/>
      </c>
      <c r="CE57" s="1" t="str">
        <f>IF(BB57&gt;BB$137, BB57-BB$137,"")</f>
        <v/>
      </c>
      <c r="CF57" s="1">
        <f>COUNTIF(BT57:CE57, "&gt;0")</f>
        <v>1</v>
      </c>
      <c r="CG57" s="1">
        <f>IF($CF57=1,BT57,"")</f>
        <v>10</v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18">
        <f>SUM(AE57:BO57)</f>
        <v>20</v>
      </c>
    </row>
    <row r="58" spans="1:97" ht="27" x14ac:dyDescent="0.15">
      <c r="A58" s="1"/>
      <c r="B58" s="1" t="s">
        <v>182</v>
      </c>
      <c r="C58" s="1" t="s">
        <v>119</v>
      </c>
      <c r="D58" s="1" t="s">
        <v>109</v>
      </c>
      <c r="E58" s="6">
        <v>10</v>
      </c>
      <c r="F58" s="6"/>
      <c r="G58" s="6">
        <v>10</v>
      </c>
      <c r="H58" s="6"/>
      <c r="I58" s="6"/>
      <c r="J58" s="6"/>
      <c r="K58" s="6"/>
      <c r="L58" s="6"/>
      <c r="M58" s="6"/>
      <c r="N58" s="6"/>
      <c r="O58" s="6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>
        <v>10</v>
      </c>
      <c r="AS58" s="4"/>
      <c r="AT58" s="4"/>
      <c r="AU58" s="4"/>
      <c r="AV58" s="4"/>
      <c r="AW58" s="2"/>
      <c r="AX58" s="2"/>
      <c r="AY58" s="2"/>
      <c r="AZ58" s="2"/>
      <c r="BA58" s="2"/>
      <c r="BB58" s="2">
        <v>10</v>
      </c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40</v>
      </c>
      <c r="BQ58" s="1">
        <v>16</v>
      </c>
      <c r="BR58" s="17">
        <v>2</v>
      </c>
      <c r="BS58" s="17" t="s">
        <v>245</v>
      </c>
      <c r="BT58" s="1" t="str">
        <f>IF(AQ58&gt;AQ$137, AQ58-AQ$137,"")</f>
        <v/>
      </c>
      <c r="BU58" s="1">
        <f>IF(AR58&gt;AR$137, AR58-AR$137,"")</f>
        <v>8</v>
      </c>
      <c r="BV58" s="1" t="str">
        <f>IF(AS58&gt;AS$137, AS58-AS$137,"")</f>
        <v/>
      </c>
      <c r="BW58" s="1" t="str">
        <f>IF(AT58&gt;AT$137, AT58-AT$137,"")</f>
        <v/>
      </c>
      <c r="BX58" s="1" t="str">
        <f>IF(AU58&gt;AU$137, AU58-AU$137,"")</f>
        <v/>
      </c>
      <c r="BY58" s="1" t="str">
        <f>IF(AV58&gt;AV$137, AV58-AV$137,"")</f>
        <v/>
      </c>
      <c r="BZ58" s="1" t="str">
        <f>IF(AW58&gt;AW$137, AW58-AW$137,"")</f>
        <v/>
      </c>
      <c r="CA58" s="1" t="str">
        <f>IF(AX58&gt;AX$137, AX58-AX$137,"")</f>
        <v/>
      </c>
      <c r="CB58" s="1" t="str">
        <f>IF(AY58&gt;AY$137, AY58-AY$137,"")</f>
        <v/>
      </c>
      <c r="CC58" s="1" t="str">
        <f>IF(AZ58&gt;AZ$137, AZ58-AZ$137,"")</f>
        <v/>
      </c>
      <c r="CD58" s="1" t="str">
        <f>IF(BA58&gt;BA$137, BA58-BA$137,"")</f>
        <v/>
      </c>
      <c r="CE58" s="1" t="str">
        <f>IF(BB58&gt;BB$137, BB58-BB$137,"")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8"/>
    </row>
    <row r="59" spans="1:97" ht="27" x14ac:dyDescent="0.15">
      <c r="A59" s="1"/>
      <c r="B59" s="1" t="s">
        <v>180</v>
      </c>
      <c r="C59" s="1" t="s">
        <v>153</v>
      </c>
      <c r="D59" s="1" t="s">
        <v>127</v>
      </c>
      <c r="E59" s="6">
        <v>10</v>
      </c>
      <c r="F59" s="6"/>
      <c r="G59" s="6">
        <v>10</v>
      </c>
      <c r="H59" s="6"/>
      <c r="I59" s="6"/>
      <c r="J59" s="6"/>
      <c r="K59" s="6"/>
      <c r="L59" s="6"/>
      <c r="M59" s="6"/>
      <c r="N59" s="6"/>
      <c r="O59" s="6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  <c r="AA59" s="31"/>
      <c r="AB59" s="31"/>
      <c r="AC59" s="31"/>
      <c r="AD59" s="3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>
        <v>10</v>
      </c>
      <c r="AS59" s="4"/>
      <c r="AT59" s="4"/>
      <c r="AU59" s="4"/>
      <c r="AV59" s="4"/>
      <c r="AW59" s="2"/>
      <c r="AX59" s="2"/>
      <c r="AY59" s="2"/>
      <c r="AZ59" s="2"/>
      <c r="BA59" s="2"/>
      <c r="BB59" s="2">
        <v>10</v>
      </c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16</v>
      </c>
      <c r="BR59" s="17">
        <v>2</v>
      </c>
      <c r="BS59" s="17" t="s">
        <v>246</v>
      </c>
      <c r="BT59" s="1" t="str">
        <f>IF(AQ59&gt;AQ$137, AQ59-AQ$137,"")</f>
        <v/>
      </c>
      <c r="BU59" s="1">
        <f>IF(AR59&gt;AR$137, AR59-AR$137,"")</f>
        <v>8</v>
      </c>
      <c r="BV59" s="1" t="str">
        <f>IF(AS59&gt;AS$137, AS59-AS$137,"")</f>
        <v/>
      </c>
      <c r="BW59" s="1" t="str">
        <f>IF(AT59&gt;AT$137, AT59-AT$137,"")</f>
        <v/>
      </c>
      <c r="BX59" s="1" t="str">
        <f>IF(AU59&gt;AU$137, AU59-AU$137,"")</f>
        <v/>
      </c>
      <c r="BY59" s="1" t="str">
        <f>IF(AV59&gt;AV$137, AV59-AV$137,"")</f>
        <v/>
      </c>
      <c r="BZ59" s="1" t="str">
        <f>IF(AW59&gt;AW$137, AW59-AW$137,"")</f>
        <v/>
      </c>
      <c r="CA59" s="1" t="str">
        <f>IF(AX59&gt;AX$137, AX59-AX$137,"")</f>
        <v/>
      </c>
      <c r="CB59" s="1" t="str">
        <f>IF(AY59&gt;AY$137, AY59-AY$137,"")</f>
        <v/>
      </c>
      <c r="CC59" s="1" t="str">
        <f>IF(AZ59&gt;AZ$137, AZ59-AZ$137,"")</f>
        <v/>
      </c>
      <c r="CD59" s="1" t="str">
        <f>IF(BA59&gt;BA$137, BA59-BA$137,"")</f>
        <v/>
      </c>
      <c r="CE59" s="1" t="str">
        <f>IF(BB59&gt;BB$137, BB59-BB$137,"")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ht="27" x14ac:dyDescent="0.15">
      <c r="A60" s="1">
        <v>45</v>
      </c>
      <c r="B60" s="1" t="s">
        <v>106</v>
      </c>
      <c r="C60" s="1" t="s">
        <v>48</v>
      </c>
      <c r="D60" s="1" t="s">
        <v>13</v>
      </c>
      <c r="E60" s="6">
        <v>6</v>
      </c>
      <c r="F60" s="6"/>
      <c r="G60" s="6"/>
      <c r="H60" s="6"/>
      <c r="I60" s="6"/>
      <c r="J60" s="6"/>
      <c r="K60" s="6"/>
      <c r="L60" s="6"/>
      <c r="M60" s="6">
        <v>6</v>
      </c>
      <c r="N60" s="6"/>
      <c r="O60" s="6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  <c r="AA60" s="31"/>
      <c r="AB60" s="31"/>
      <c r="AC60" s="31"/>
      <c r="AD60" s="3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/>
      <c r="AX60" s="2"/>
      <c r="AY60" s="2"/>
      <c r="AZ60" s="2">
        <v>10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18</v>
      </c>
      <c r="BR60" s="17">
        <v>2</v>
      </c>
      <c r="BS60" s="17" t="s">
        <v>237</v>
      </c>
      <c r="BT60" s="1">
        <f>IF(AQ60&gt;AQ$137, AQ60-AQ$137,"")</f>
        <v>10</v>
      </c>
      <c r="BU60" s="1" t="str">
        <f>IF(AR60&gt;AR$137, AR60-AR$137,"")</f>
        <v/>
      </c>
      <c r="BV60" s="1" t="str">
        <f>IF(AS60&gt;AS$137, AS60-AS$137,"")</f>
        <v/>
      </c>
      <c r="BW60" s="1" t="str">
        <f>IF(AT60&gt;AT$137, AT60-AT$137,"")</f>
        <v/>
      </c>
      <c r="BX60" s="1" t="str">
        <f>IF(AU60&gt;AU$137, AU60-AU$137,"")</f>
        <v/>
      </c>
      <c r="BY60" s="1" t="str">
        <f>IF(AV60&gt;AV$137, AV60-AV$137,"")</f>
        <v/>
      </c>
      <c r="BZ60" s="1" t="str">
        <f>IF(AW60&gt;AW$137, AW60-AW$137,"")</f>
        <v/>
      </c>
      <c r="CA60" s="1" t="str">
        <f>IF(AX60&gt;AX$137, AX60-AX$137,"")</f>
        <v/>
      </c>
      <c r="CB60" s="1" t="str">
        <f>IF(AY60&gt;AY$137, AY60-AY$137,"")</f>
        <v/>
      </c>
      <c r="CC60" s="1">
        <f>IF(AZ60&gt;AZ$137, AZ60-AZ$137,"")</f>
        <v>8</v>
      </c>
      <c r="CD60" s="1" t="str">
        <f>IF(BA60&gt;BA$137, BA60-BA$137,"")</f>
        <v/>
      </c>
      <c r="CE60" s="1" t="str">
        <f>IF(BB60&gt;BB$137, BB60-BB$137,"")</f>
        <v/>
      </c>
      <c r="CF60" s="1">
        <f>COUNTIF(BT60:CE60, "&gt;0")</f>
        <v>2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18">
        <f>SUM(AE60:BO60)</f>
        <v>20</v>
      </c>
    </row>
    <row r="61" spans="1:97" ht="27" x14ac:dyDescent="0.15">
      <c r="A61" s="1">
        <v>2</v>
      </c>
      <c r="B61" s="1" t="s">
        <v>8</v>
      </c>
      <c r="C61" s="1" t="s">
        <v>2</v>
      </c>
      <c r="D61" s="1" t="s">
        <v>1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31"/>
      <c r="Q61" s="31"/>
      <c r="R61" s="31"/>
      <c r="S61" s="31"/>
      <c r="T61" s="31"/>
      <c r="U61" s="31"/>
      <c r="V61" s="31"/>
      <c r="W61" s="31"/>
      <c r="X61" s="31"/>
      <c r="Y61" s="31"/>
      <c r="Z61" s="31"/>
      <c r="AA61" s="31"/>
      <c r="AB61" s="31"/>
      <c r="AC61" s="31"/>
      <c r="AD61" s="31"/>
      <c r="AE61" s="1">
        <v>15</v>
      </c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>
        <v>15</v>
      </c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30</v>
      </c>
      <c r="BQ61" s="1">
        <v>21</v>
      </c>
      <c r="BR61" s="17">
        <v>2</v>
      </c>
      <c r="BS61" s="17" t="s">
        <v>247</v>
      </c>
      <c r="BT61" s="1" t="str">
        <f>IF(AQ61&gt;AQ$137, AQ61-AQ$137,"")</f>
        <v/>
      </c>
      <c r="BU61" s="1" t="str">
        <f>IF(AR61&gt;AR$137, AR61-AR$137,"")</f>
        <v/>
      </c>
      <c r="BV61" s="1" t="str">
        <f>IF(AS61&gt;AS$137, AS61-AS$137,"")</f>
        <v/>
      </c>
      <c r="BW61" s="1" t="str">
        <f>IF(AT61&gt;AT$137, AT61-AT$137,"")</f>
        <v/>
      </c>
      <c r="BX61" s="1" t="str">
        <f>IF(AU61&gt;AU$137, AU61-AU$137,"")</f>
        <v/>
      </c>
      <c r="BY61" s="1" t="str">
        <f>IF(AV61&gt;AV$137, AV61-AV$137,"")</f>
        <v/>
      </c>
      <c r="BZ61" s="1" t="str">
        <f>IF(AW61&gt;AW$137, AW61-AW$137,"")</f>
        <v/>
      </c>
      <c r="CA61" s="1" t="str">
        <f>IF(AX61&gt;AX$137, AX61-AX$137,"")</f>
        <v/>
      </c>
      <c r="CB61" s="1" t="str">
        <f>IF(AY61&gt;AY$137, AY61-AY$137,"")</f>
        <v/>
      </c>
      <c r="CC61" s="1">
        <f>IF(AZ61&gt;AZ$137, AZ61-AZ$137,"")</f>
        <v>13</v>
      </c>
      <c r="CD61" s="1" t="str">
        <f>IF(BA61&gt;BA$137, BA61-BA$137,"")</f>
        <v/>
      </c>
      <c r="CE61" s="1" t="str">
        <f>IF(BB61&gt;BB$137, BB61-BB$137,"")</f>
        <v/>
      </c>
      <c r="CF61" s="1">
        <f>COUNTIF(BT61:CE61, "&gt;0")</f>
        <v>1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>
        <f>IF($CF61=1,CC61,"")</f>
        <v>13</v>
      </c>
      <c r="CQ61" s="1" t="str">
        <f>IF($CF61=1,CD61,"")</f>
        <v/>
      </c>
      <c r="CR61" s="1" t="str">
        <f>IF($CF61=1,CE61,"")</f>
        <v/>
      </c>
      <c r="CS61" s="18">
        <f>SUM(AE61:BO61)</f>
        <v>30</v>
      </c>
    </row>
    <row r="62" spans="1:97" ht="27" x14ac:dyDescent="0.15">
      <c r="A62" s="1">
        <v>95</v>
      </c>
      <c r="B62" s="3" t="s">
        <v>85</v>
      </c>
      <c r="C62" s="3" t="s">
        <v>70</v>
      </c>
      <c r="D62" s="1" t="s">
        <v>1</v>
      </c>
      <c r="E62" s="6"/>
      <c r="F62" s="6"/>
      <c r="G62" s="6"/>
      <c r="H62" s="6"/>
      <c r="I62" s="6"/>
      <c r="J62" s="6"/>
      <c r="K62" s="6"/>
      <c r="L62" s="6">
        <v>15</v>
      </c>
      <c r="M62" s="6"/>
      <c r="N62" s="6"/>
      <c r="O62" s="6">
        <v>15</v>
      </c>
      <c r="P62" s="31"/>
      <c r="Q62" s="31"/>
      <c r="R62" s="31"/>
      <c r="S62" s="31"/>
      <c r="T62" s="31"/>
      <c r="U62" s="31"/>
      <c r="V62" s="31"/>
      <c r="W62" s="31"/>
      <c r="X62" s="31"/>
      <c r="Y62" s="31"/>
      <c r="Z62" s="31"/>
      <c r="AA62" s="31"/>
      <c r="AB62" s="31"/>
      <c r="AC62" s="31"/>
      <c r="AD62" s="3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>
        <v>15</v>
      </c>
      <c r="BB62" s="2">
        <v>15</v>
      </c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22</v>
      </c>
      <c r="BR62" s="17">
        <v>2</v>
      </c>
      <c r="BS62" s="17" t="s">
        <v>248</v>
      </c>
      <c r="BT62" s="1" t="str">
        <f>IF(AQ62&gt;AQ$137, AQ62-AQ$137,"")</f>
        <v/>
      </c>
      <c r="BU62" s="1" t="str">
        <f>IF(AR62&gt;AR$137, AR62-AR$137,"")</f>
        <v/>
      </c>
      <c r="BV62" s="1" t="str">
        <f>IF(AS62&gt;AS$137, AS62-AS$137,"")</f>
        <v/>
      </c>
      <c r="BW62" s="1" t="str">
        <f>IF(AT62&gt;AT$137, AT62-AT$137,"")</f>
        <v/>
      </c>
      <c r="BX62" s="1" t="str">
        <f>IF(AU62&gt;AU$137, AU62-AU$137,"")</f>
        <v/>
      </c>
      <c r="BY62" s="1" t="str">
        <f>IF(AV62&gt;AV$137, AV62-AV$137,"")</f>
        <v/>
      </c>
      <c r="BZ62" s="1" t="str">
        <f>IF(AW62&gt;AW$137, AW62-AW$137,"")</f>
        <v/>
      </c>
      <c r="CA62" s="1" t="str">
        <f>IF(AX62&gt;AX$137, AX62-AX$137,"")</f>
        <v/>
      </c>
      <c r="CB62" s="1" t="str">
        <f>IF(AY62&gt;AY$137, AY62-AY$137,"")</f>
        <v/>
      </c>
      <c r="CC62" s="1" t="str">
        <f>IF(AZ62&gt;AZ$137, AZ62-AZ$137,"")</f>
        <v/>
      </c>
      <c r="CD62" s="1">
        <f>IF(BA62&gt;BA$137, BA62-BA$137,"")</f>
        <v>10</v>
      </c>
      <c r="CE62" s="1" t="str">
        <f>IF(BB62&gt;BB$137, BB62-BB$137,"")</f>
        <v/>
      </c>
      <c r="CF62" s="1">
        <f>COUNTIF(BT62:CE62, "&gt;0")</f>
        <v>1</v>
      </c>
      <c r="CG62" s="1" t="str">
        <f>IF($CF62=1,BT62,"")</f>
        <v/>
      </c>
      <c r="CH62" s="1" t="str">
        <f>IF($CF62=1,BU62,"")</f>
        <v/>
      </c>
      <c r="CI62" s="1" t="str">
        <f>IF($CF62=1,BV62,"")</f>
        <v/>
      </c>
      <c r="CJ62" s="1" t="str">
        <f>IF($CF62=1,BW62,"")</f>
        <v/>
      </c>
      <c r="CK62" s="1" t="str">
        <f>IF($CF62=1,BX62,"")</f>
        <v/>
      </c>
      <c r="CL62" s="1" t="str">
        <f>IF($CF62=1,BY62,"")</f>
        <v/>
      </c>
      <c r="CM62" s="1" t="str">
        <f>IF($CF62=1,BZ62,"")</f>
        <v/>
      </c>
      <c r="CN62" s="1" t="str">
        <f>IF($CF62=1,CA62,"")</f>
        <v/>
      </c>
      <c r="CO62" s="1" t="str">
        <f>IF($CF62=1,CB62,"")</f>
        <v/>
      </c>
      <c r="CP62" s="1" t="str">
        <f>IF($CF62=1,CC62,"")</f>
        <v/>
      </c>
      <c r="CQ62" s="1">
        <f>IF($CF62=1,CD62,"")</f>
        <v>10</v>
      </c>
      <c r="CR62" s="1" t="str">
        <f>IF($CF62=1,CE62,"")</f>
        <v/>
      </c>
      <c r="CS62" s="18">
        <f>SUM(AE62:BO62)</f>
        <v>30</v>
      </c>
    </row>
    <row r="63" spans="1:97" ht="27" x14ac:dyDescent="0.15">
      <c r="A63" s="1">
        <v>77</v>
      </c>
      <c r="B63" s="3" t="s">
        <v>170</v>
      </c>
      <c r="C63" s="3" t="s">
        <v>65</v>
      </c>
      <c r="D63" s="1" t="s">
        <v>13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31"/>
      <c r="Q63" s="31"/>
      <c r="R63" s="31"/>
      <c r="S63" s="31"/>
      <c r="T63" s="31"/>
      <c r="U63" s="31"/>
      <c r="V63" s="31"/>
      <c r="W63" s="31"/>
      <c r="X63" s="31"/>
      <c r="Y63" s="31"/>
      <c r="Z63" s="31"/>
      <c r="AA63" s="31"/>
      <c r="AB63" s="31"/>
      <c r="AC63" s="31"/>
      <c r="AD63" s="3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>
        <v>20</v>
      </c>
      <c r="AU63" s="4"/>
      <c r="AV63" s="4"/>
      <c r="AW63" s="2">
        <v>20</v>
      </c>
      <c r="AX63" s="2">
        <v>20</v>
      </c>
      <c r="AY63" s="2"/>
      <c r="AZ63" s="2"/>
      <c r="BA63" s="2"/>
      <c r="BB63" s="2">
        <v>10</v>
      </c>
      <c r="BC63" s="14"/>
      <c r="BD63" s="1"/>
      <c r="BE63" s="1"/>
      <c r="BF63" s="1"/>
      <c r="BG63" s="1"/>
      <c r="BH63" s="1">
        <v>20</v>
      </c>
      <c r="BI63" s="1"/>
      <c r="BJ63" s="1"/>
      <c r="BK63" s="1"/>
      <c r="BL63" s="1"/>
      <c r="BM63" s="1"/>
      <c r="BN63" s="1"/>
      <c r="BO63" s="1"/>
      <c r="BP63" s="1">
        <f>SUM(E63:BO63)</f>
        <v>90</v>
      </c>
      <c r="BQ63" s="1">
        <v>27</v>
      </c>
      <c r="BR63" s="17">
        <v>2</v>
      </c>
      <c r="BS63" s="17" t="s">
        <v>249</v>
      </c>
      <c r="BT63" s="1" t="str">
        <f>IF(AQ63&gt;AQ$137, AQ63-AQ$137,"")</f>
        <v/>
      </c>
      <c r="BU63" s="1" t="str">
        <f>IF(AR63&gt;AR$137, AR63-AR$137,"")</f>
        <v/>
      </c>
      <c r="BV63" s="1" t="str">
        <f>IF(AS63&gt;AS$137, AS63-AS$137,"")</f>
        <v/>
      </c>
      <c r="BW63" s="1">
        <f>IF(AT63&gt;AT$137, AT63-AT$137,"")</f>
        <v>12</v>
      </c>
      <c r="BX63" s="1" t="str">
        <f>IF(AU63&gt;AU$137, AU63-AU$137,"")</f>
        <v/>
      </c>
      <c r="BY63" s="1" t="str">
        <f>IF(AV63&gt;AV$137, AV63-AV$137,"")</f>
        <v/>
      </c>
      <c r="BZ63" s="1">
        <f>IF(AW63&gt;AW$137, AW63-AW$137,"")</f>
        <v>15</v>
      </c>
      <c r="CA63" s="1" t="str">
        <f>IF(AX63&gt;AX$137, AX63-AX$137,"")</f>
        <v/>
      </c>
      <c r="CB63" s="1" t="str">
        <f>IF(AY63&gt;AY$137, AY63-AY$137,"")</f>
        <v/>
      </c>
      <c r="CC63" s="1" t="str">
        <f>IF(AZ63&gt;AZ$137, AZ63-AZ$137,"")</f>
        <v/>
      </c>
      <c r="CD63" s="1" t="str">
        <f>IF(BA63&gt;BA$137, BA63-BA$137,"")</f>
        <v/>
      </c>
      <c r="CE63" s="1" t="str">
        <f>IF(BB63&gt;BB$137, BB63-BB$137,"")</f>
        <v/>
      </c>
      <c r="CF63" s="1">
        <f>COUNTIF(BT63:CE63, "&gt;0")</f>
        <v>2</v>
      </c>
      <c r="CG63" s="1" t="str">
        <f>IF($CF63=1,BT63,"")</f>
        <v/>
      </c>
      <c r="CH63" s="1" t="str">
        <f>IF($CF63=1,BU63,"")</f>
        <v/>
      </c>
      <c r="CI63" s="1" t="str">
        <f>IF($CF63=1,BV63,"")</f>
        <v/>
      </c>
      <c r="CJ63" s="1" t="str">
        <f>IF($CF63=1,BW63,"")</f>
        <v/>
      </c>
      <c r="CK63" s="1" t="str">
        <f>IF($CF63=1,BX63,"")</f>
        <v/>
      </c>
      <c r="CL63" s="1" t="str">
        <f>IF($CF63=1,BY63,"")</f>
        <v/>
      </c>
      <c r="CM63" s="1" t="str">
        <f>IF($CF63=1,BZ63,"")</f>
        <v/>
      </c>
      <c r="CN63" s="1" t="str">
        <f>IF($CF63=1,CA63,"")</f>
        <v/>
      </c>
      <c r="CO63" s="1" t="str">
        <f>IF($CF63=1,CB63,"")</f>
        <v/>
      </c>
      <c r="CP63" s="1" t="str">
        <f>IF($CF63=1,CC63,"")</f>
        <v/>
      </c>
      <c r="CQ63" s="1" t="str">
        <f>IF($CF63=1,CD63,"")</f>
        <v/>
      </c>
      <c r="CR63" s="1" t="str">
        <f>IF($CF63=1,CE63,"")</f>
        <v/>
      </c>
      <c r="CS63" s="18">
        <f>SUM(AE63:BO63)</f>
        <v>90</v>
      </c>
    </row>
    <row r="64" spans="1:97" ht="27" x14ac:dyDescent="0.15">
      <c r="A64" s="19">
        <v>93</v>
      </c>
      <c r="B64" s="26" t="s">
        <v>203</v>
      </c>
      <c r="C64" s="26" t="s">
        <v>81</v>
      </c>
      <c r="D64" s="19" t="s">
        <v>1</v>
      </c>
      <c r="E64" s="20"/>
      <c r="F64" s="20">
        <v>20</v>
      </c>
      <c r="G64" s="20"/>
      <c r="H64" s="20"/>
      <c r="I64" s="20"/>
      <c r="J64" s="20"/>
      <c r="K64" s="20">
        <v>20</v>
      </c>
      <c r="L64" s="20"/>
      <c r="M64" s="20"/>
      <c r="N64" s="20">
        <v>20</v>
      </c>
      <c r="O64" s="20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21"/>
      <c r="AR64" s="21"/>
      <c r="AS64" s="21"/>
      <c r="AT64" s="21"/>
      <c r="AU64" s="21"/>
      <c r="AV64" s="21"/>
      <c r="AW64" s="22"/>
      <c r="AX64" s="22"/>
      <c r="AY64" s="22"/>
      <c r="AZ64" s="22"/>
      <c r="BA64" s="22"/>
      <c r="BB64" s="22"/>
      <c r="BC64" s="29"/>
      <c r="BD64" s="19"/>
      <c r="BE64" s="19"/>
      <c r="BF64" s="19"/>
      <c r="BG64" s="19"/>
      <c r="BH64" s="19"/>
      <c r="BI64" s="19"/>
      <c r="BJ64" s="19"/>
      <c r="BK64" s="19"/>
      <c r="BL64" s="19"/>
      <c r="BM64" s="19"/>
      <c r="BN64" s="19"/>
      <c r="BO64" s="19"/>
      <c r="BP64" s="1">
        <f>SUM(E64:BO64)</f>
        <v>60</v>
      </c>
      <c r="BQ64" s="19">
        <v>29</v>
      </c>
      <c r="BR64" s="23">
        <v>2</v>
      </c>
      <c r="BS64" s="23" t="s">
        <v>250</v>
      </c>
      <c r="BT64" s="1" t="str">
        <f>IF(AQ64&gt;AQ$137, AQ64-AQ$137,"")</f>
        <v/>
      </c>
      <c r="BU64" s="1" t="str">
        <f>IF(AR64&gt;AR$137, AR64-AR$137,"")</f>
        <v/>
      </c>
      <c r="BV64" s="1" t="str">
        <f>IF(AS64&gt;AS$137, AS64-AS$137,"")</f>
        <v/>
      </c>
      <c r="BW64" s="1" t="str">
        <f>IF(AT64&gt;AT$137, AT64-AT$137,"")</f>
        <v/>
      </c>
      <c r="BX64" s="1" t="str">
        <f>IF(AU64&gt;AU$137, AU64-AU$137,"")</f>
        <v/>
      </c>
      <c r="BY64" s="1" t="str">
        <f>IF(AV64&gt;AV$137, AV64-AV$137,"")</f>
        <v/>
      </c>
      <c r="BZ64" s="1" t="str">
        <f>IF(AW64&gt;AW$137, AW64-AW$137,"")</f>
        <v/>
      </c>
      <c r="CA64" s="1" t="str">
        <f>IF(AX64&gt;AX$137, AX64-AX$137,"")</f>
        <v/>
      </c>
      <c r="CB64" s="1" t="str">
        <f>IF(AY64&gt;AY$137, AY64-AY$137,"")</f>
        <v/>
      </c>
      <c r="CC64" s="1" t="str">
        <f>IF(AZ64&gt;AZ$137, AZ64-AZ$137,"")</f>
        <v/>
      </c>
      <c r="CD64" s="1" t="str">
        <f>IF(BA64&gt;BA$137, BA64-BA$137,"")</f>
        <v/>
      </c>
      <c r="CE64" s="1" t="str">
        <f>IF(BB64&gt;BB$137, BB64-BB$137,"")</f>
        <v/>
      </c>
      <c r="CF64" s="19">
        <f>COUNTIF(BT64:CE64, "&gt;0")</f>
        <v>0</v>
      </c>
      <c r="CG64" s="19" t="str">
        <f>IF($CF64=1,BT64,"")</f>
        <v/>
      </c>
      <c r="CH64" s="19" t="str">
        <f>IF($CF64=1,BU64,"")</f>
        <v/>
      </c>
      <c r="CI64" s="19" t="str">
        <f>IF($CF64=1,BV64,"")</f>
        <v/>
      </c>
      <c r="CJ64" s="19" t="str">
        <f>IF($CF64=1,BW64,"")</f>
        <v/>
      </c>
      <c r="CK64" s="19" t="str">
        <f>IF($CF64=1,BX64,"")</f>
        <v/>
      </c>
      <c r="CL64" s="19" t="str">
        <f>IF($CF64=1,BY64,"")</f>
        <v/>
      </c>
      <c r="CM64" s="19" t="str">
        <f>IF($CF64=1,BZ64,"")</f>
        <v/>
      </c>
      <c r="CN64" s="19" t="str">
        <f>IF($CF64=1,CA64,"")</f>
        <v/>
      </c>
      <c r="CO64" s="19" t="str">
        <f>IF($CF64=1,CB64,"")</f>
        <v/>
      </c>
      <c r="CP64" s="19" t="str">
        <f>IF($CF64=1,CC64,"")</f>
        <v/>
      </c>
      <c r="CQ64" s="19" t="str">
        <f>IF($CF64=1,CD64,"")</f>
        <v/>
      </c>
      <c r="CR64" s="19" t="str">
        <f>IF($CF64=1,CE64,"")</f>
        <v/>
      </c>
      <c r="CS64" s="24">
        <f>SUM(AE64:BO64)</f>
        <v>0</v>
      </c>
    </row>
    <row r="65" spans="1:97" ht="27" x14ac:dyDescent="0.15">
      <c r="A65" s="1"/>
      <c r="B65" s="1" t="s">
        <v>171</v>
      </c>
      <c r="C65" s="1" t="s">
        <v>123</v>
      </c>
      <c r="D65" s="1" t="s">
        <v>108</v>
      </c>
      <c r="E65" s="6"/>
      <c r="F65" s="6"/>
      <c r="G65" s="6"/>
      <c r="H65" s="6"/>
      <c r="I65" s="6"/>
      <c r="J65" s="6"/>
      <c r="K65" s="6"/>
      <c r="L65" s="6">
        <v>20</v>
      </c>
      <c r="M65" s="6"/>
      <c r="N65" s="6"/>
      <c r="O65" s="6">
        <v>20</v>
      </c>
      <c r="P65" s="31"/>
      <c r="Q65" s="31"/>
      <c r="R65" s="31"/>
      <c r="S65" s="31"/>
      <c r="T65" s="31"/>
      <c r="U65" s="31"/>
      <c r="V65" s="31"/>
      <c r="W65" s="31"/>
      <c r="X65" s="31"/>
      <c r="Y65" s="31"/>
      <c r="Z65" s="31"/>
      <c r="AA65" s="31"/>
      <c r="AB65" s="31"/>
      <c r="AC65" s="31"/>
      <c r="AD65" s="3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>
        <v>20</v>
      </c>
      <c r="BB65" s="2">
        <v>20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80</v>
      </c>
      <c r="BQ65" s="1">
        <v>32</v>
      </c>
      <c r="BR65" s="17">
        <v>2</v>
      </c>
      <c r="BS65" s="17" t="s">
        <v>251</v>
      </c>
      <c r="BT65" s="1" t="str">
        <f>IF(AQ65&gt;AQ$137, AQ65-AQ$137,"")</f>
        <v/>
      </c>
      <c r="BU65" s="1" t="str">
        <f>IF(AR65&gt;AR$137, AR65-AR$137,"")</f>
        <v/>
      </c>
      <c r="BV65" s="1" t="str">
        <f>IF(AS65&gt;AS$137, AS65-AS$137,"")</f>
        <v/>
      </c>
      <c r="BW65" s="1" t="str">
        <f>IF(AT65&gt;AT$137, AT65-AT$137,"")</f>
        <v/>
      </c>
      <c r="BX65" s="1" t="str">
        <f>IF(AU65&gt;AU$137, AU65-AU$137,"")</f>
        <v/>
      </c>
      <c r="BY65" s="1" t="str">
        <f>IF(AV65&gt;AV$137, AV65-AV$137,"")</f>
        <v/>
      </c>
      <c r="BZ65" s="1" t="str">
        <f>IF(AW65&gt;AW$137, AW65-AW$137,"")</f>
        <v/>
      </c>
      <c r="CA65" s="1" t="str">
        <f>IF(AX65&gt;AX$137, AX65-AX$137,"")</f>
        <v/>
      </c>
      <c r="CB65" s="1" t="str">
        <f>IF(AY65&gt;AY$137, AY65-AY$137,"")</f>
        <v/>
      </c>
      <c r="CC65" s="1" t="str">
        <f>IF(AZ65&gt;AZ$137, AZ65-AZ$137,"")</f>
        <v/>
      </c>
      <c r="CD65" s="1">
        <f>IF(BA65&gt;BA$137, BA65-BA$137,"")</f>
        <v>15</v>
      </c>
      <c r="CE65" s="1" t="str">
        <f>IF(BB65&gt;BB$137, BB65-BB$137,"")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8"/>
    </row>
    <row r="66" spans="1:97" ht="40.5" x14ac:dyDescent="0.15">
      <c r="A66" s="1"/>
      <c r="B66" s="1" t="s">
        <v>158</v>
      </c>
      <c r="C66" s="1" t="s">
        <v>154</v>
      </c>
      <c r="D66" s="1" t="s">
        <v>126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1"/>
      <c r="Q66" s="31"/>
      <c r="R66" s="31"/>
      <c r="S66" s="31"/>
      <c r="T66" s="31"/>
      <c r="U66" s="31">
        <v>2</v>
      </c>
      <c r="V66" s="31"/>
      <c r="W66" s="31"/>
      <c r="X66" s="31"/>
      <c r="Y66" s="31"/>
      <c r="Z66" s="31"/>
      <c r="AA66" s="31">
        <v>2</v>
      </c>
      <c r="AB66" s="31"/>
      <c r="AC66" s="31">
        <v>5</v>
      </c>
      <c r="AD66" s="31">
        <v>2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11</v>
      </c>
      <c r="BQ66" s="1">
        <v>6</v>
      </c>
      <c r="BR66" s="17">
        <v>3</v>
      </c>
      <c r="BS66" s="17" t="s">
        <v>252</v>
      </c>
      <c r="BT66" s="1" t="str">
        <f>IF(AQ66&gt;AQ$137, AQ66-AQ$137,"")</f>
        <v/>
      </c>
      <c r="BU66" s="1" t="str">
        <f>IF(AR66&gt;AR$137, AR66-AR$137,"")</f>
        <v/>
      </c>
      <c r="BV66" s="1" t="str">
        <f>IF(AS66&gt;AS$137, AS66-AS$137,"")</f>
        <v/>
      </c>
      <c r="BW66" s="1" t="str">
        <f>IF(AT66&gt;AT$137, AT66-AT$137,"")</f>
        <v/>
      </c>
      <c r="BX66" s="1" t="str">
        <f>IF(AU66&gt;AU$137, AU66-AU$137,"")</f>
        <v/>
      </c>
      <c r="BY66" s="1" t="str">
        <f>IF(AV66&gt;AV$137, AV66-AV$137,"")</f>
        <v/>
      </c>
      <c r="BZ66" s="1" t="str">
        <f>IF(AW66&gt;AW$137, AW66-AW$137,"")</f>
        <v/>
      </c>
      <c r="CA66" s="1" t="str">
        <f>IF(AX66&gt;AX$137, AX66-AX$137,"")</f>
        <v/>
      </c>
      <c r="CB66" s="1" t="str">
        <f>IF(AY66&gt;AY$137, AY66-AY$137,"")</f>
        <v/>
      </c>
      <c r="CC66" s="1" t="str">
        <f>IF(AZ66&gt;AZ$137, AZ66-AZ$137,"")</f>
        <v/>
      </c>
      <c r="CD66" s="1" t="str">
        <f>IF(BA66&gt;BA$137, BA66-BA$137,"")</f>
        <v/>
      </c>
      <c r="CE66" s="1" t="str">
        <f>IF(BB66&gt;BB$137, BB66-BB$137,"")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8"/>
    </row>
    <row r="67" spans="1:97" ht="40.5" x14ac:dyDescent="0.15">
      <c r="A67" s="1"/>
      <c r="B67" s="1" t="s">
        <v>151</v>
      </c>
      <c r="C67" s="1" t="s">
        <v>152</v>
      </c>
      <c r="D67" s="1" t="s">
        <v>127</v>
      </c>
      <c r="E67" s="6"/>
      <c r="F67" s="6"/>
      <c r="G67" s="6"/>
      <c r="H67" s="6"/>
      <c r="I67" s="6"/>
      <c r="J67" s="6"/>
      <c r="K67" s="6"/>
      <c r="L67" s="6">
        <v>7</v>
      </c>
      <c r="M67" s="6"/>
      <c r="N67" s="6"/>
      <c r="O67" s="6"/>
      <c r="P67" s="31"/>
      <c r="Q67" s="31">
        <v>7</v>
      </c>
      <c r="R67" s="31"/>
      <c r="S67" s="31"/>
      <c r="T67" s="31">
        <v>7</v>
      </c>
      <c r="U67" s="31"/>
      <c r="V67" s="31"/>
      <c r="W67" s="31"/>
      <c r="X67" s="31">
        <v>7</v>
      </c>
      <c r="Y67" s="31"/>
      <c r="Z67" s="31"/>
      <c r="AA67" s="31"/>
      <c r="AB67" s="31"/>
      <c r="AC67" s="31"/>
      <c r="AD67" s="3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28</v>
      </c>
      <c r="BQ67" s="1">
        <v>9</v>
      </c>
      <c r="BR67" s="17">
        <v>3</v>
      </c>
      <c r="BS67" s="17" t="s">
        <v>253</v>
      </c>
      <c r="BT67" s="1" t="str">
        <f>IF(AQ67&gt;AQ$137, AQ67-AQ$137,"")</f>
        <v/>
      </c>
      <c r="BU67" s="1" t="str">
        <f>IF(AR67&gt;AR$137, AR67-AR$137,"")</f>
        <v/>
      </c>
      <c r="BV67" s="1" t="str">
        <f>IF(AS67&gt;AS$137, AS67-AS$137,"")</f>
        <v/>
      </c>
      <c r="BW67" s="1" t="str">
        <f>IF(AT67&gt;AT$137, AT67-AT$137,"")</f>
        <v/>
      </c>
      <c r="BX67" s="1" t="str">
        <f>IF(AU67&gt;AU$137, AU67-AU$137,"")</f>
        <v/>
      </c>
      <c r="BY67" s="1" t="str">
        <f>IF(AV67&gt;AV$137, AV67-AV$137,"")</f>
        <v/>
      </c>
      <c r="BZ67" s="1" t="str">
        <f>IF(AW67&gt;AW$137, AW67-AW$137,"")</f>
        <v/>
      </c>
      <c r="CA67" s="1" t="str">
        <f>IF(AX67&gt;AX$137, AX67-AX$137,"")</f>
        <v/>
      </c>
      <c r="CB67" s="1" t="str">
        <f>IF(AY67&gt;AY$137, AY67-AY$137,"")</f>
        <v/>
      </c>
      <c r="CC67" s="1" t="str">
        <f>IF(AZ67&gt;AZ$137, AZ67-AZ$137,"")</f>
        <v/>
      </c>
      <c r="CD67" s="1" t="str">
        <f>IF(BA67&gt;BA$137, BA67-BA$137,"")</f>
        <v/>
      </c>
      <c r="CE67" s="1" t="str">
        <f>IF(BB67&gt;BB$137, BB67-BB$137,"")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8"/>
    </row>
    <row r="68" spans="1:97" ht="40.5" x14ac:dyDescent="0.15">
      <c r="A68" s="1"/>
      <c r="B68" s="1" t="s">
        <v>145</v>
      </c>
      <c r="C68" s="1" t="s">
        <v>143</v>
      </c>
      <c r="D68" s="1" t="s">
        <v>126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31"/>
      <c r="Q68" s="31">
        <v>5</v>
      </c>
      <c r="R68" s="31"/>
      <c r="S68" s="31"/>
      <c r="T68" s="31">
        <v>5</v>
      </c>
      <c r="U68" s="31"/>
      <c r="V68" s="31"/>
      <c r="W68" s="31"/>
      <c r="X68" s="31"/>
      <c r="Y68" s="31"/>
      <c r="Z68" s="31">
        <v>5</v>
      </c>
      <c r="AA68" s="31">
        <v>2</v>
      </c>
      <c r="AB68" s="31"/>
      <c r="AC68" s="31"/>
      <c r="AD68" s="3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17</v>
      </c>
      <c r="BQ68" s="1">
        <v>9</v>
      </c>
      <c r="BR68" s="17">
        <v>3</v>
      </c>
      <c r="BS68" s="17" t="s">
        <v>204</v>
      </c>
      <c r="BT68" s="1" t="str">
        <f>IF(AQ68&gt;AQ$137, AQ68-AQ$137,"")</f>
        <v/>
      </c>
      <c r="BU68" s="1" t="str">
        <f>IF(AR68&gt;AR$137, AR68-AR$137,"")</f>
        <v/>
      </c>
      <c r="BV68" s="1" t="str">
        <f>IF(AS68&gt;AS$137, AS68-AS$137,"")</f>
        <v/>
      </c>
      <c r="BW68" s="1" t="str">
        <f>IF(AT68&gt;AT$137, AT68-AT$137,"")</f>
        <v/>
      </c>
      <c r="BX68" s="1" t="str">
        <f>IF(AU68&gt;AU$137, AU68-AU$137,"")</f>
        <v/>
      </c>
      <c r="BY68" s="1" t="str">
        <f>IF(AV68&gt;AV$137, AV68-AV$137,"")</f>
        <v/>
      </c>
      <c r="BZ68" s="1" t="str">
        <f>IF(AW68&gt;AW$137, AW68-AW$137,"")</f>
        <v/>
      </c>
      <c r="CA68" s="1" t="str">
        <f>IF(AX68&gt;AX$137, AX68-AX$137,"")</f>
        <v/>
      </c>
      <c r="CB68" s="1" t="str">
        <f>IF(AY68&gt;AY$137, AY68-AY$137,"")</f>
        <v/>
      </c>
      <c r="CC68" s="1" t="str">
        <f>IF(AZ68&gt;AZ$137, AZ68-AZ$137,"")</f>
        <v/>
      </c>
      <c r="CD68" s="1" t="str">
        <f>IF(BA68&gt;BA$137, BA68-BA$137,"")</f>
        <v/>
      </c>
      <c r="CE68" s="1" t="str">
        <f>IF(BB68&gt;BB$137, BB68-BB$137,"")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8"/>
    </row>
    <row r="69" spans="1:97" ht="40.5" x14ac:dyDescent="0.15">
      <c r="A69" s="1"/>
      <c r="B69" s="1" t="s">
        <v>155</v>
      </c>
      <c r="C69" s="1" t="s">
        <v>154</v>
      </c>
      <c r="D69" s="1" t="s">
        <v>126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31"/>
      <c r="Q69" s="31">
        <v>5</v>
      </c>
      <c r="R69" s="31"/>
      <c r="S69" s="31"/>
      <c r="T69" s="31">
        <v>5</v>
      </c>
      <c r="U69" s="31"/>
      <c r="V69" s="31"/>
      <c r="W69" s="31"/>
      <c r="X69" s="31"/>
      <c r="Y69" s="31"/>
      <c r="Z69" s="31">
        <v>5</v>
      </c>
      <c r="AA69" s="31">
        <v>2</v>
      </c>
      <c r="AB69" s="31"/>
      <c r="AC69" s="31"/>
      <c r="AD69" s="3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17</v>
      </c>
      <c r="BQ69" s="1">
        <v>9</v>
      </c>
      <c r="BR69" s="17">
        <v>3</v>
      </c>
      <c r="BS69" s="17" t="s">
        <v>254</v>
      </c>
      <c r="BT69" s="1" t="str">
        <f>IF(AQ69&gt;AQ$137, AQ69-AQ$137,"")</f>
        <v/>
      </c>
      <c r="BU69" s="1" t="str">
        <f>IF(AR69&gt;AR$137, AR69-AR$137,"")</f>
        <v/>
      </c>
      <c r="BV69" s="1" t="str">
        <f>IF(AS69&gt;AS$137, AS69-AS$137,"")</f>
        <v/>
      </c>
      <c r="BW69" s="1" t="str">
        <f>IF(AT69&gt;AT$137, AT69-AT$137,"")</f>
        <v/>
      </c>
      <c r="BX69" s="1" t="str">
        <f>IF(AU69&gt;AU$137, AU69-AU$137,"")</f>
        <v/>
      </c>
      <c r="BY69" s="1" t="str">
        <f>IF(AV69&gt;AV$137, AV69-AV$137,"")</f>
        <v/>
      </c>
      <c r="BZ69" s="1" t="str">
        <f>IF(AW69&gt;AW$137, AW69-AW$137,"")</f>
        <v/>
      </c>
      <c r="CA69" s="1" t="str">
        <f>IF(AX69&gt;AX$137, AX69-AX$137,"")</f>
        <v/>
      </c>
      <c r="CB69" s="1" t="str">
        <f>IF(AY69&gt;AY$137, AY69-AY$137,"")</f>
        <v/>
      </c>
      <c r="CC69" s="1" t="str">
        <f>IF(AZ69&gt;AZ$137, AZ69-AZ$137,"")</f>
        <v/>
      </c>
      <c r="CD69" s="1" t="str">
        <f>IF(BA69&gt;BA$137, BA69-BA$137,"")</f>
        <v/>
      </c>
      <c r="CE69" s="1" t="str">
        <f>IF(BB69&gt;BB$137, BB69-BB$137,"")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ht="40.5" x14ac:dyDescent="0.15">
      <c r="A70" s="1"/>
      <c r="B70" s="1" t="s">
        <v>162</v>
      </c>
      <c r="C70" s="1" t="s">
        <v>122</v>
      </c>
      <c r="D70" s="1" t="s">
        <v>164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1"/>
      <c r="Q70" s="31">
        <v>5</v>
      </c>
      <c r="R70" s="31"/>
      <c r="S70" s="31"/>
      <c r="T70" s="31">
        <v>5</v>
      </c>
      <c r="U70" s="31"/>
      <c r="V70" s="31"/>
      <c r="W70" s="31"/>
      <c r="X70" s="31"/>
      <c r="Y70" s="31"/>
      <c r="Z70" s="31">
        <v>5</v>
      </c>
      <c r="AA70" s="31">
        <v>2</v>
      </c>
      <c r="AB70" s="31"/>
      <c r="AC70" s="31"/>
      <c r="AD70" s="3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17</v>
      </c>
      <c r="BQ70" s="1">
        <v>9</v>
      </c>
      <c r="BR70" s="17">
        <v>3</v>
      </c>
      <c r="BS70" s="17" t="s">
        <v>204</v>
      </c>
      <c r="BT70" s="1" t="str">
        <f>IF(AQ70&gt;AQ$137, AQ70-AQ$137,"")</f>
        <v/>
      </c>
      <c r="BU70" s="1" t="str">
        <f>IF(AR70&gt;AR$137, AR70-AR$137,"")</f>
        <v/>
      </c>
      <c r="BV70" s="1" t="str">
        <f>IF(AS70&gt;AS$137, AS70-AS$137,"")</f>
        <v/>
      </c>
      <c r="BW70" s="1" t="str">
        <f>IF(AT70&gt;AT$137, AT70-AT$137,"")</f>
        <v/>
      </c>
      <c r="BX70" s="1" t="str">
        <f>IF(AU70&gt;AU$137, AU70-AU$137,"")</f>
        <v/>
      </c>
      <c r="BY70" s="1" t="str">
        <f>IF(AV70&gt;AV$137, AV70-AV$137,"")</f>
        <v/>
      </c>
      <c r="BZ70" s="1" t="str">
        <f>IF(AW70&gt;AW$137, AW70-AW$137,"")</f>
        <v/>
      </c>
      <c r="CA70" s="1" t="str">
        <f>IF(AX70&gt;AX$137, AX70-AX$137,"")</f>
        <v/>
      </c>
      <c r="CB70" s="1" t="str">
        <f>IF(AY70&gt;AY$137, AY70-AY$137,"")</f>
        <v/>
      </c>
      <c r="CC70" s="1" t="str">
        <f>IF(AZ70&gt;AZ$137, AZ70-AZ$137,"")</f>
        <v/>
      </c>
      <c r="CD70" s="1" t="str">
        <f>IF(BA70&gt;BA$137, BA70-BA$137,"")</f>
        <v/>
      </c>
      <c r="CE70" s="1" t="str">
        <f>IF(BB70&gt;BB$137, BB70-BB$137,"")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ht="40.5" x14ac:dyDescent="0.15">
      <c r="A71" s="1"/>
      <c r="B71" s="1" t="s">
        <v>190</v>
      </c>
      <c r="C71" s="1" t="s">
        <v>122</v>
      </c>
      <c r="D71" s="1" t="s">
        <v>109</v>
      </c>
      <c r="E71" s="6"/>
      <c r="F71" s="6">
        <v>6</v>
      </c>
      <c r="G71" s="6"/>
      <c r="H71" s="6"/>
      <c r="I71" s="6"/>
      <c r="J71" s="6"/>
      <c r="K71" s="6"/>
      <c r="L71" s="6"/>
      <c r="M71" s="6"/>
      <c r="N71" s="6"/>
      <c r="O71" s="6">
        <v>6</v>
      </c>
      <c r="P71" s="31"/>
      <c r="Q71" s="31"/>
      <c r="R71" s="31"/>
      <c r="S71" s="31"/>
      <c r="T71" s="31"/>
      <c r="U71" s="31"/>
      <c r="V71" s="31"/>
      <c r="W71" s="31"/>
      <c r="X71" s="31"/>
      <c r="Y71" s="31"/>
      <c r="Z71" s="31"/>
      <c r="AA71" s="31"/>
      <c r="AB71" s="31"/>
      <c r="AC71" s="31"/>
      <c r="AD71" s="3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>
        <v>10</v>
      </c>
      <c r="AU71" s="4"/>
      <c r="AV71" s="4"/>
      <c r="AW71" s="2"/>
      <c r="AX71" s="2"/>
      <c r="AY71" s="2">
        <v>10</v>
      </c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32</v>
      </c>
      <c r="BQ71" s="1">
        <v>10</v>
      </c>
      <c r="BR71" s="17">
        <v>3</v>
      </c>
      <c r="BS71" s="17" t="s">
        <v>256</v>
      </c>
      <c r="BT71" s="1" t="str">
        <f>IF(AQ71&gt;AQ$137, AQ71-AQ$137,"")</f>
        <v/>
      </c>
      <c r="BU71" s="1" t="str">
        <f>IF(AR71&gt;AR$137, AR71-AR$137,"")</f>
        <v/>
      </c>
      <c r="BV71" s="1" t="str">
        <f>IF(AS71&gt;AS$137, AS71-AS$137,"")</f>
        <v/>
      </c>
      <c r="BW71" s="1">
        <f>IF(AT71&gt;AT$137, AT71-AT$137,"")</f>
        <v>2</v>
      </c>
      <c r="BX71" s="1" t="str">
        <f>IF(AU71&gt;AU$137, AU71-AU$137,"")</f>
        <v/>
      </c>
      <c r="BY71" s="1" t="str">
        <f>IF(AV71&gt;AV$137, AV71-AV$137,"")</f>
        <v/>
      </c>
      <c r="BZ71" s="1" t="str">
        <f>IF(AW71&gt;AW$137, AW71-AW$137,"")</f>
        <v/>
      </c>
      <c r="CA71" s="1" t="str">
        <f>IF(AX71&gt;AX$137, AX71-AX$137,"")</f>
        <v/>
      </c>
      <c r="CB71" s="1" t="str">
        <f>IF(AY71&gt;AY$137, AY71-AY$137,"")</f>
        <v/>
      </c>
      <c r="CC71" s="1" t="str">
        <f>IF(AZ71&gt;AZ$137, AZ71-AZ$137,"")</f>
        <v/>
      </c>
      <c r="CD71" s="1" t="str">
        <f>IF(BA71&gt;BA$137, BA71-BA$137,"")</f>
        <v/>
      </c>
      <c r="CE71" s="1" t="str">
        <f>IF(BB71&gt;BB$137, BB71-BB$137,"")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ht="40.5" x14ac:dyDescent="0.15">
      <c r="A72" s="1">
        <v>81</v>
      </c>
      <c r="B72" s="3" t="s">
        <v>68</v>
      </c>
      <c r="C72" s="3" t="s">
        <v>65</v>
      </c>
      <c r="D72" s="1" t="s">
        <v>13</v>
      </c>
      <c r="E72" s="6"/>
      <c r="F72" s="6"/>
      <c r="G72" s="6"/>
      <c r="H72" s="6"/>
      <c r="I72" s="6"/>
      <c r="J72" s="6"/>
      <c r="K72" s="6"/>
      <c r="L72" s="6">
        <v>6</v>
      </c>
      <c r="M72" s="6"/>
      <c r="N72" s="6"/>
      <c r="O72" s="6">
        <v>6</v>
      </c>
      <c r="P72" s="31"/>
      <c r="Q72" s="31"/>
      <c r="R72" s="31"/>
      <c r="S72" s="31"/>
      <c r="T72" s="31"/>
      <c r="U72" s="31"/>
      <c r="V72" s="31"/>
      <c r="W72" s="31"/>
      <c r="X72" s="31"/>
      <c r="Y72" s="31"/>
      <c r="Z72" s="31"/>
      <c r="AA72" s="31"/>
      <c r="AB72" s="31"/>
      <c r="AC72" s="31"/>
      <c r="AD72" s="3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>
        <v>10</v>
      </c>
      <c r="AU72" s="4"/>
      <c r="AV72" s="4"/>
      <c r="AW72" s="2"/>
      <c r="AX72" s="2"/>
      <c r="AY72" s="2"/>
      <c r="AZ72" s="2"/>
      <c r="BA72" s="2">
        <v>10</v>
      </c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32</v>
      </c>
      <c r="BQ72" s="1">
        <v>10</v>
      </c>
      <c r="BR72" s="17">
        <v>3</v>
      </c>
      <c r="BS72" s="17" t="s">
        <v>259</v>
      </c>
      <c r="BT72" s="1" t="str">
        <f>IF(AQ72&gt;AQ$137, AQ72-AQ$137,"")</f>
        <v/>
      </c>
      <c r="BU72" s="1" t="str">
        <f>IF(AR72&gt;AR$137, AR72-AR$137,"")</f>
        <v/>
      </c>
      <c r="BV72" s="1" t="str">
        <f>IF(AS72&gt;AS$137, AS72-AS$137,"")</f>
        <v/>
      </c>
      <c r="BW72" s="1">
        <f>IF(AT72&gt;AT$137, AT72-AT$137,"")</f>
        <v>2</v>
      </c>
      <c r="BX72" s="1" t="str">
        <f>IF(AU72&gt;AU$137, AU72-AU$137,"")</f>
        <v/>
      </c>
      <c r="BY72" s="1" t="str">
        <f>IF(AV72&gt;AV$137, AV72-AV$137,"")</f>
        <v/>
      </c>
      <c r="BZ72" s="1" t="str">
        <f>IF(AW72&gt;AW$137, AW72-AW$137,"")</f>
        <v/>
      </c>
      <c r="CA72" s="1" t="str">
        <f>IF(AX72&gt;AX$137, AX72-AX$137,"")</f>
        <v/>
      </c>
      <c r="CB72" s="1" t="str">
        <f>IF(AY72&gt;AY$137, AY72-AY$137,"")</f>
        <v/>
      </c>
      <c r="CC72" s="1" t="str">
        <f>IF(AZ72&gt;AZ$137, AZ72-AZ$137,"")</f>
        <v/>
      </c>
      <c r="CD72" s="1">
        <f>IF(BA72&gt;BA$137, BA72-BA$137,"")</f>
        <v>5</v>
      </c>
      <c r="CE72" s="1" t="str">
        <f>IF(BB72&gt;BB$137, BB72-BB$137,"")</f>
        <v/>
      </c>
      <c r="CF72" s="1">
        <f>COUNTIF(BT72:CE72, "&gt;0")</f>
        <v>2</v>
      </c>
      <c r="CG72" s="1" t="str">
        <f>IF($CF72=1,BT72,"")</f>
        <v/>
      </c>
      <c r="CH72" s="1" t="str">
        <f>IF($CF72=1,BU72,"")</f>
        <v/>
      </c>
      <c r="CI72" s="1" t="str">
        <f>IF($CF72=1,BV72,"")</f>
        <v/>
      </c>
      <c r="CJ72" s="1" t="str">
        <f>IF($CF72=1,BW72,"")</f>
        <v/>
      </c>
      <c r="CK72" s="1" t="str">
        <f>IF($CF72=1,BX72,"")</f>
        <v/>
      </c>
      <c r="CL72" s="1" t="str">
        <f>IF($CF72=1,BY72,"")</f>
        <v/>
      </c>
      <c r="CM72" s="1" t="str">
        <f>IF($CF72=1,BZ72,"")</f>
        <v/>
      </c>
      <c r="CN72" s="1" t="str">
        <f>IF($CF72=1,CA72,"")</f>
        <v/>
      </c>
      <c r="CO72" s="1" t="str">
        <f>IF($CF72=1,CB72,"")</f>
        <v/>
      </c>
      <c r="CP72" s="1" t="str">
        <f>IF($CF72=1,CC72,"")</f>
        <v/>
      </c>
      <c r="CQ72" s="1" t="str">
        <f>IF($CF72=1,CD72,"")</f>
        <v/>
      </c>
      <c r="CR72" s="1" t="str">
        <f>IF($CF72=1,CE72,"")</f>
        <v/>
      </c>
      <c r="CS72" s="18">
        <f>SUM(AE72:BO72)</f>
        <v>20</v>
      </c>
    </row>
    <row r="73" spans="1:97" ht="40.5" x14ac:dyDescent="0.15">
      <c r="A73" s="1"/>
      <c r="B73" s="1" t="s">
        <v>158</v>
      </c>
      <c r="C73" s="1" t="s">
        <v>154</v>
      </c>
      <c r="D73" s="1" t="s">
        <v>125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1"/>
      <c r="Q73" s="31">
        <v>5</v>
      </c>
      <c r="R73" s="31"/>
      <c r="S73" s="31"/>
      <c r="T73" s="31">
        <v>5</v>
      </c>
      <c r="U73" s="31"/>
      <c r="V73" s="31"/>
      <c r="W73" s="31">
        <v>5</v>
      </c>
      <c r="X73" s="31"/>
      <c r="Y73" s="31"/>
      <c r="Z73" s="31">
        <v>5</v>
      </c>
      <c r="AA73" s="31"/>
      <c r="AB73" s="31"/>
      <c r="AC73" s="31"/>
      <c r="AD73" s="3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20</v>
      </c>
      <c r="BQ73" s="1">
        <v>11</v>
      </c>
      <c r="BR73" s="17">
        <v>3</v>
      </c>
      <c r="BS73" s="17" t="s">
        <v>258</v>
      </c>
      <c r="BT73" s="1" t="str">
        <f>IF(AQ73&gt;AQ$137, AQ73-AQ$137,"")</f>
        <v/>
      </c>
      <c r="BU73" s="1" t="str">
        <f>IF(AR73&gt;AR$137, AR73-AR$137,"")</f>
        <v/>
      </c>
      <c r="BV73" s="1" t="str">
        <f>IF(AS73&gt;AS$137, AS73-AS$137,"")</f>
        <v/>
      </c>
      <c r="BW73" s="1" t="str">
        <f>IF(AT73&gt;AT$137, AT73-AT$137,"")</f>
        <v/>
      </c>
      <c r="BX73" s="1" t="str">
        <f>IF(AU73&gt;AU$137, AU73-AU$137,"")</f>
        <v/>
      </c>
      <c r="BY73" s="1" t="str">
        <f>IF(AV73&gt;AV$137, AV73-AV$137,"")</f>
        <v/>
      </c>
      <c r="BZ73" s="1" t="str">
        <f>IF(AW73&gt;AW$137, AW73-AW$137,"")</f>
        <v/>
      </c>
      <c r="CA73" s="1" t="str">
        <f>IF(AX73&gt;AX$137, AX73-AX$137,"")</f>
        <v/>
      </c>
      <c r="CB73" s="1" t="str">
        <f>IF(AY73&gt;AY$137, AY73-AY$137,"")</f>
        <v/>
      </c>
      <c r="CC73" s="1" t="str">
        <f>IF(AZ73&gt;AZ$137, AZ73-AZ$137,"")</f>
        <v/>
      </c>
      <c r="CD73" s="1" t="str">
        <f>IF(BA73&gt;BA$137, BA73-BA$137,"")</f>
        <v/>
      </c>
      <c r="CE73" s="1" t="str">
        <f>IF(BB73&gt;BB$137, BB73-BB$137,"")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ht="40.5" x14ac:dyDescent="0.15">
      <c r="A74" s="1"/>
      <c r="B74" s="1" t="s">
        <v>149</v>
      </c>
      <c r="C74" s="1" t="s">
        <v>147</v>
      </c>
      <c r="D74" s="1" t="s">
        <v>127</v>
      </c>
      <c r="E74" s="6"/>
      <c r="F74" s="6"/>
      <c r="G74" s="6"/>
      <c r="H74" s="6"/>
      <c r="I74" s="6">
        <v>7</v>
      </c>
      <c r="J74" s="6"/>
      <c r="K74" s="6"/>
      <c r="L74" s="6"/>
      <c r="M74" s="6"/>
      <c r="N74" s="6"/>
      <c r="O74" s="6"/>
      <c r="P74" s="31"/>
      <c r="Q74" s="31">
        <v>7</v>
      </c>
      <c r="R74" s="31">
        <v>7</v>
      </c>
      <c r="S74" s="31"/>
      <c r="T74" s="31">
        <v>7</v>
      </c>
      <c r="U74" s="31"/>
      <c r="V74" s="31"/>
      <c r="W74" s="31"/>
      <c r="X74" s="31"/>
      <c r="Y74" s="31"/>
      <c r="Z74" s="31"/>
      <c r="AA74" s="31"/>
      <c r="AB74" s="31"/>
      <c r="AC74" s="31"/>
      <c r="AD74" s="3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28</v>
      </c>
      <c r="BQ74" s="1">
        <v>13</v>
      </c>
      <c r="BR74" s="17">
        <v>3</v>
      </c>
      <c r="BS74" s="17" t="s">
        <v>261</v>
      </c>
      <c r="BT74" s="1" t="str">
        <f>IF(AQ74&gt;AQ$137, AQ74-AQ$137,"")</f>
        <v/>
      </c>
      <c r="BU74" s="1" t="str">
        <f>IF(AR74&gt;AR$137, AR74-AR$137,"")</f>
        <v/>
      </c>
      <c r="BV74" s="1" t="str">
        <f>IF(AS74&gt;AS$137, AS74-AS$137,"")</f>
        <v/>
      </c>
      <c r="BW74" s="1" t="str">
        <f>IF(AT74&gt;AT$137, AT74-AT$137,"")</f>
        <v/>
      </c>
      <c r="BX74" s="1" t="str">
        <f>IF(AU74&gt;AU$137, AU74-AU$137,"")</f>
        <v/>
      </c>
      <c r="BY74" s="1" t="str">
        <f>IF(AV74&gt;AV$137, AV74-AV$137,"")</f>
        <v/>
      </c>
      <c r="BZ74" s="1" t="str">
        <f>IF(AW74&gt;AW$137, AW74-AW$137,"")</f>
        <v/>
      </c>
      <c r="CA74" s="1" t="str">
        <f>IF(AX74&gt;AX$137, AX74-AX$137,"")</f>
        <v/>
      </c>
      <c r="CB74" s="1" t="str">
        <f>IF(AY74&gt;AY$137, AY74-AY$137,"")</f>
        <v/>
      </c>
      <c r="CC74" s="1" t="str">
        <f>IF(AZ74&gt;AZ$137, AZ74-AZ$137,"")</f>
        <v/>
      </c>
      <c r="CD74" s="1" t="str">
        <f>IF(BA74&gt;BA$137, BA74-BA$137,"")</f>
        <v/>
      </c>
      <c r="CE74" s="1" t="str">
        <f>IF(BB74&gt;BB$137, BB74-BB$137,"")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ht="40.5" x14ac:dyDescent="0.15">
      <c r="A75" s="1"/>
      <c r="B75" s="1" t="s">
        <v>169</v>
      </c>
      <c r="C75" s="1" t="s">
        <v>124</v>
      </c>
      <c r="D75" s="1" t="s">
        <v>127</v>
      </c>
      <c r="E75" s="6"/>
      <c r="F75" s="6"/>
      <c r="G75" s="6"/>
      <c r="H75" s="6"/>
      <c r="I75" s="6">
        <v>10</v>
      </c>
      <c r="J75" s="6"/>
      <c r="K75" s="6"/>
      <c r="L75" s="6"/>
      <c r="M75" s="6"/>
      <c r="N75" s="6"/>
      <c r="O75" s="6"/>
      <c r="P75" s="31"/>
      <c r="Q75" s="31"/>
      <c r="R75" s="31">
        <v>10</v>
      </c>
      <c r="S75" s="31"/>
      <c r="T75" s="31"/>
      <c r="U75" s="31"/>
      <c r="V75" s="31"/>
      <c r="W75" s="31"/>
      <c r="X75" s="31">
        <v>10</v>
      </c>
      <c r="Y75" s="31"/>
      <c r="Z75" s="31"/>
      <c r="AA75" s="31"/>
      <c r="AB75" s="31"/>
      <c r="AC75" s="31"/>
      <c r="AD75" s="3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>
        <v>10</v>
      </c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40</v>
      </c>
      <c r="BQ75" s="1">
        <v>14</v>
      </c>
      <c r="BR75" s="17">
        <v>3</v>
      </c>
      <c r="BS75" s="17" t="s">
        <v>262</v>
      </c>
      <c r="BT75" s="1" t="str">
        <f>IF(AQ75&gt;AQ$137, AQ75-AQ$137,"")</f>
        <v/>
      </c>
      <c r="BU75" s="1" t="str">
        <f>IF(AR75&gt;AR$137, AR75-AR$137,"")</f>
        <v/>
      </c>
      <c r="BV75" s="1" t="str">
        <f>IF(AS75&gt;AS$137, AS75-AS$137,"")</f>
        <v/>
      </c>
      <c r="BW75" s="1">
        <f>IF(AT75&gt;AT$137, AT75-AT$137,"")</f>
        <v>2</v>
      </c>
      <c r="BX75" s="1" t="str">
        <f>IF(AU75&gt;AU$137, AU75-AU$137,"")</f>
        <v/>
      </c>
      <c r="BY75" s="1" t="str">
        <f>IF(AV75&gt;AV$137, AV75-AV$137,"")</f>
        <v/>
      </c>
      <c r="BZ75" s="1" t="str">
        <f>IF(AW75&gt;AW$137, AW75-AW$137,"")</f>
        <v/>
      </c>
      <c r="CA75" s="1" t="str">
        <f>IF(AX75&gt;AX$137, AX75-AX$137,"")</f>
        <v/>
      </c>
      <c r="CB75" s="1" t="str">
        <f>IF(AY75&gt;AY$137, AY75-AY$137,"")</f>
        <v/>
      </c>
      <c r="CC75" s="1" t="str">
        <f>IF(AZ75&gt;AZ$137, AZ75-AZ$137,"")</f>
        <v/>
      </c>
      <c r="CD75" s="1" t="str">
        <f>IF(BA75&gt;BA$137, BA75-BA$137,"")</f>
        <v/>
      </c>
      <c r="CE75" s="1" t="str">
        <f>IF(BB75&gt;BB$137, BB75-BB$137,"")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ht="40.5" x14ac:dyDescent="0.15">
      <c r="A76" s="1">
        <v>28</v>
      </c>
      <c r="B76" s="1" t="s">
        <v>75</v>
      </c>
      <c r="C76" s="1" t="s">
        <v>31</v>
      </c>
      <c r="D76" s="1" t="s">
        <v>1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31"/>
      <c r="Q76" s="31"/>
      <c r="R76" s="31"/>
      <c r="S76" s="31"/>
      <c r="T76" s="31"/>
      <c r="U76" s="31"/>
      <c r="V76" s="31"/>
      <c r="W76" s="31"/>
      <c r="X76" s="31"/>
      <c r="Y76" s="31"/>
      <c r="Z76" s="31"/>
      <c r="AA76" s="31"/>
      <c r="AB76" s="31"/>
      <c r="AC76" s="31"/>
      <c r="AD76" s="31"/>
      <c r="AE76" s="1"/>
      <c r="AF76" s="1"/>
      <c r="AG76" s="1"/>
      <c r="AH76" s="1">
        <v>5</v>
      </c>
      <c r="AI76" s="1">
        <v>5</v>
      </c>
      <c r="AJ76" s="1">
        <v>5</v>
      </c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15</v>
      </c>
      <c r="BQ76" s="1">
        <v>15</v>
      </c>
      <c r="BR76" s="17">
        <v>3</v>
      </c>
      <c r="BS76" s="17" t="s">
        <v>263</v>
      </c>
      <c r="BT76" s="1" t="str">
        <f>IF(AQ76&gt;AQ$137, AQ76-AQ$137,"")</f>
        <v/>
      </c>
      <c r="BU76" s="1" t="str">
        <f>IF(AR76&gt;AR$137, AR76-AR$137,"")</f>
        <v/>
      </c>
      <c r="BV76" s="1" t="str">
        <f>IF(AS76&gt;AS$137, AS76-AS$137,"")</f>
        <v/>
      </c>
      <c r="BW76" s="1" t="str">
        <f>IF(AT76&gt;AT$137, AT76-AT$137,"")</f>
        <v/>
      </c>
      <c r="BX76" s="1" t="str">
        <f>IF(AU76&gt;AU$137, AU76-AU$137,"")</f>
        <v/>
      </c>
      <c r="BY76" s="1" t="str">
        <f>IF(AV76&gt;AV$137, AV76-AV$137,"")</f>
        <v/>
      </c>
      <c r="BZ76" s="1" t="str">
        <f>IF(AW76&gt;AW$137, AW76-AW$137,"")</f>
        <v/>
      </c>
      <c r="CA76" s="1" t="str">
        <f>IF(AX76&gt;AX$137, AX76-AX$137,"")</f>
        <v/>
      </c>
      <c r="CB76" s="1" t="str">
        <f>IF(AY76&gt;AY$137, AY76-AY$137,"")</f>
        <v/>
      </c>
      <c r="CC76" s="1" t="str">
        <f>IF(AZ76&gt;AZ$137, AZ76-AZ$137,"")</f>
        <v/>
      </c>
      <c r="CD76" s="1" t="str">
        <f>IF(BA76&gt;BA$137, BA76-BA$137,"")</f>
        <v/>
      </c>
      <c r="CE76" s="1" t="str">
        <f>IF(BB76&gt;BB$137, BB76-BB$137,"")</f>
        <v/>
      </c>
      <c r="CF76" s="1">
        <f>COUNTIF(BT76:CE76, "&gt;0")</f>
        <v>0</v>
      </c>
      <c r="CG76" s="1" t="str">
        <f>IF($CF76=1,BT76,"")</f>
        <v/>
      </c>
      <c r="CH76" s="1" t="str">
        <f>IF($CF76=1,BU76,"")</f>
        <v/>
      </c>
      <c r="CI76" s="1" t="str">
        <f>IF($CF76=1,BV76,"")</f>
        <v/>
      </c>
      <c r="CJ76" s="1" t="str">
        <f>IF($CF76=1,BW76,"")</f>
        <v/>
      </c>
      <c r="CK76" s="1" t="str">
        <f>IF($CF76=1,BX76,"")</f>
        <v/>
      </c>
      <c r="CL76" s="1" t="str">
        <f>IF($CF76=1,BY76,"")</f>
        <v/>
      </c>
      <c r="CM76" s="1" t="str">
        <f>IF($CF76=1,BZ76,"")</f>
        <v/>
      </c>
      <c r="CN76" s="1" t="str">
        <f>IF($CF76=1,CA76,"")</f>
        <v/>
      </c>
      <c r="CO76" s="1" t="str">
        <f>IF($CF76=1,CB76,"")</f>
        <v/>
      </c>
      <c r="CP76" s="1" t="str">
        <f>IF($CF76=1,CC76,"")</f>
        <v/>
      </c>
      <c r="CQ76" s="1" t="str">
        <f>IF($CF76=1,CD76,"")</f>
        <v/>
      </c>
      <c r="CR76" s="1" t="str">
        <f>IF($CF76=1,CE76,"")</f>
        <v/>
      </c>
      <c r="CS76" s="18">
        <f>SUM(AE76:BO76)</f>
        <v>15</v>
      </c>
    </row>
    <row r="77" spans="1:97" ht="40.5" x14ac:dyDescent="0.15">
      <c r="A77" s="1">
        <v>89</v>
      </c>
      <c r="B77" s="3" t="s">
        <v>80</v>
      </c>
      <c r="C77" s="3" t="s">
        <v>81</v>
      </c>
      <c r="D77" s="1" t="s">
        <v>1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31"/>
      <c r="Q77" s="31"/>
      <c r="R77" s="31"/>
      <c r="S77" s="31"/>
      <c r="T77" s="31"/>
      <c r="U77" s="31"/>
      <c r="V77" s="31"/>
      <c r="W77" s="31"/>
      <c r="X77" s="31"/>
      <c r="Y77" s="31"/>
      <c r="Z77" s="31"/>
      <c r="AA77" s="31"/>
      <c r="AB77" s="31"/>
      <c r="AC77" s="31"/>
      <c r="AD77" s="31"/>
      <c r="AE77" s="1"/>
      <c r="AF77" s="1">
        <v>5</v>
      </c>
      <c r="AG77" s="1"/>
      <c r="AH77" s="1">
        <v>5</v>
      </c>
      <c r="AI77" s="1">
        <v>5</v>
      </c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15</v>
      </c>
      <c r="BQ77" s="1">
        <v>15</v>
      </c>
      <c r="BR77" s="17">
        <v>3</v>
      </c>
      <c r="BS77" s="17" t="s">
        <v>264</v>
      </c>
      <c r="BT77" s="1" t="str">
        <f>IF(AQ77&gt;AQ$137, AQ77-AQ$137,"")</f>
        <v/>
      </c>
      <c r="BU77" s="1" t="str">
        <f>IF(AR77&gt;AR$137, AR77-AR$137,"")</f>
        <v/>
      </c>
      <c r="BV77" s="1" t="str">
        <f>IF(AS77&gt;AS$137, AS77-AS$137,"")</f>
        <v/>
      </c>
      <c r="BW77" s="1" t="str">
        <f>IF(AT77&gt;AT$137, AT77-AT$137,"")</f>
        <v/>
      </c>
      <c r="BX77" s="1" t="str">
        <f>IF(AU77&gt;AU$137, AU77-AU$137,"")</f>
        <v/>
      </c>
      <c r="BY77" s="1" t="str">
        <f>IF(AV77&gt;AV$137, AV77-AV$137,"")</f>
        <v/>
      </c>
      <c r="BZ77" s="1" t="str">
        <f>IF(AW77&gt;AW$137, AW77-AW$137,"")</f>
        <v/>
      </c>
      <c r="CA77" s="1" t="str">
        <f>IF(AX77&gt;AX$137, AX77-AX$137,"")</f>
        <v/>
      </c>
      <c r="CB77" s="1" t="str">
        <f>IF(AY77&gt;AY$137, AY77-AY$137,"")</f>
        <v/>
      </c>
      <c r="CC77" s="1" t="str">
        <f>IF(AZ77&gt;AZ$137, AZ77-AZ$137,"")</f>
        <v/>
      </c>
      <c r="CD77" s="1" t="str">
        <f>IF(BA77&gt;BA$137, BA77-BA$137,"")</f>
        <v/>
      </c>
      <c r="CE77" s="1" t="str">
        <f>IF(BB77&gt;BB$137, BB77-BB$137,"")</f>
        <v/>
      </c>
      <c r="CF77" s="1">
        <f>COUNTIF(BT77:CE77, "&gt;0")</f>
        <v>0</v>
      </c>
      <c r="CG77" s="1" t="str">
        <f>IF($CF77=1,BT77,"")</f>
        <v/>
      </c>
      <c r="CH77" s="1" t="str">
        <f>IF($CF77=1,BU77,"")</f>
        <v/>
      </c>
      <c r="CI77" s="1" t="str">
        <f>IF($CF77=1,BV77,"")</f>
        <v/>
      </c>
      <c r="CJ77" s="1" t="str">
        <f>IF($CF77=1,BW77,"")</f>
        <v/>
      </c>
      <c r="CK77" s="1" t="str">
        <f>IF($CF77=1,BX77,"")</f>
        <v/>
      </c>
      <c r="CL77" s="1" t="str">
        <f>IF($CF77=1,BY77,"")</f>
        <v/>
      </c>
      <c r="CM77" s="1" t="str">
        <f>IF($CF77=1,BZ77,"")</f>
        <v/>
      </c>
      <c r="CN77" s="1" t="str">
        <f>IF($CF77=1,CA77,"")</f>
        <v/>
      </c>
      <c r="CO77" s="1" t="str">
        <f>IF($CF77=1,CB77,"")</f>
        <v/>
      </c>
      <c r="CP77" s="1" t="str">
        <f>IF($CF77=1,CC77,"")</f>
        <v/>
      </c>
      <c r="CQ77" s="1" t="str">
        <f>IF($CF77=1,CD77,"")</f>
        <v/>
      </c>
      <c r="CR77" s="1" t="str">
        <f>IF($CF77=1,CE77,"")</f>
        <v/>
      </c>
      <c r="CS77" s="18">
        <f>SUM(AE77:BO77)</f>
        <v>15</v>
      </c>
    </row>
    <row r="78" spans="1:97" ht="40.5" x14ac:dyDescent="0.15">
      <c r="A78" s="1"/>
      <c r="B78" s="1" t="s">
        <v>183</v>
      </c>
      <c r="C78" s="1" t="s">
        <v>147</v>
      </c>
      <c r="D78" s="1" t="s">
        <v>126</v>
      </c>
      <c r="E78" s="6"/>
      <c r="F78" s="6"/>
      <c r="G78" s="6"/>
      <c r="H78" s="6"/>
      <c r="I78" s="6"/>
      <c r="J78" s="6">
        <v>10</v>
      </c>
      <c r="K78" s="6"/>
      <c r="L78" s="6">
        <v>10</v>
      </c>
      <c r="M78" s="6">
        <v>10</v>
      </c>
      <c r="N78" s="6"/>
      <c r="O78" s="6"/>
      <c r="P78" s="31"/>
      <c r="Q78" s="31"/>
      <c r="R78" s="31"/>
      <c r="S78" s="31"/>
      <c r="T78" s="31"/>
      <c r="U78" s="31"/>
      <c r="V78" s="31"/>
      <c r="W78" s="31"/>
      <c r="X78" s="31"/>
      <c r="Y78" s="31"/>
      <c r="Z78" s="31"/>
      <c r="AA78" s="31"/>
      <c r="AB78" s="31"/>
      <c r="AC78" s="31"/>
      <c r="AD78" s="3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>
        <v>15</v>
      </c>
      <c r="AZ78" s="2">
        <v>15</v>
      </c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60</v>
      </c>
      <c r="BQ78" s="1">
        <v>16</v>
      </c>
      <c r="BR78" s="17">
        <v>3</v>
      </c>
      <c r="BS78" s="17" t="s">
        <v>265</v>
      </c>
      <c r="BT78" s="1" t="str">
        <f>IF(AQ78&gt;AQ$137, AQ78-AQ$137,"")</f>
        <v/>
      </c>
      <c r="BU78" s="1" t="str">
        <f>IF(AR78&gt;AR$137, AR78-AR$137,"")</f>
        <v/>
      </c>
      <c r="BV78" s="1" t="str">
        <f>IF(AS78&gt;AS$137, AS78-AS$137,"")</f>
        <v/>
      </c>
      <c r="BW78" s="1" t="str">
        <f>IF(AT78&gt;AT$137, AT78-AT$137,"")</f>
        <v/>
      </c>
      <c r="BX78" s="1" t="str">
        <f>IF(AU78&gt;AU$137, AU78-AU$137,"")</f>
        <v/>
      </c>
      <c r="BY78" s="1" t="str">
        <f>IF(AV78&gt;AV$137, AV78-AV$137,"")</f>
        <v/>
      </c>
      <c r="BZ78" s="1" t="str">
        <f>IF(AW78&gt;AW$137, AW78-AW$137,"")</f>
        <v/>
      </c>
      <c r="CA78" s="1" t="str">
        <f>IF(AX78&gt;AX$137, AX78-AX$137,"")</f>
        <v/>
      </c>
      <c r="CB78" s="1">
        <f>IF(AY78&gt;AY$137, AY78-AY$137,"")</f>
        <v>2</v>
      </c>
      <c r="CC78" s="1">
        <f>IF(AZ78&gt;AZ$137, AZ78-AZ$137,"")</f>
        <v>13</v>
      </c>
      <c r="CD78" s="1" t="str">
        <f>IF(BA78&gt;BA$137, BA78-BA$137,"")</f>
        <v/>
      </c>
      <c r="CE78" s="1" t="str">
        <f>IF(BB78&gt;BB$137, BB78-BB$137,"")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ht="40.5" x14ac:dyDescent="0.15">
      <c r="A79" s="1"/>
      <c r="B79" s="1" t="s">
        <v>114</v>
      </c>
      <c r="C79" s="1" t="s">
        <v>111</v>
      </c>
      <c r="D79" s="1" t="s">
        <v>108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>
        <v>5</v>
      </c>
      <c r="P79" s="31"/>
      <c r="Q79" s="31"/>
      <c r="R79" s="31"/>
      <c r="S79" s="31"/>
      <c r="T79" s="31"/>
      <c r="U79" s="31"/>
      <c r="V79" s="31"/>
      <c r="W79" s="31"/>
      <c r="X79" s="31"/>
      <c r="Y79" s="31"/>
      <c r="Z79" s="31"/>
      <c r="AA79" s="31"/>
      <c r="AB79" s="31"/>
      <c r="AC79" s="31"/>
      <c r="AD79" s="3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>
        <v>5</v>
      </c>
      <c r="AP79" s="1">
        <v>10</v>
      </c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20</v>
      </c>
      <c r="BQ79" s="1">
        <v>17</v>
      </c>
      <c r="BR79" s="17">
        <v>3</v>
      </c>
      <c r="BS79" s="17" t="s">
        <v>266</v>
      </c>
      <c r="BT79" s="1" t="str">
        <f>IF(AQ79&gt;AQ$137, AQ79-AQ$137,"")</f>
        <v/>
      </c>
      <c r="BU79" s="1" t="str">
        <f>IF(AR79&gt;AR$137, AR79-AR$137,"")</f>
        <v/>
      </c>
      <c r="BV79" s="1" t="str">
        <f>IF(AS79&gt;AS$137, AS79-AS$137,"")</f>
        <v/>
      </c>
      <c r="BW79" s="1" t="str">
        <f>IF(AT79&gt;AT$137, AT79-AT$137,"")</f>
        <v/>
      </c>
      <c r="BX79" s="1" t="str">
        <f>IF(AU79&gt;AU$137, AU79-AU$137,"")</f>
        <v/>
      </c>
      <c r="BY79" s="1" t="str">
        <f>IF(AV79&gt;AV$137, AV79-AV$137,"")</f>
        <v/>
      </c>
      <c r="BZ79" s="1" t="str">
        <f>IF(AW79&gt;AW$137, AW79-AW$137,"")</f>
        <v/>
      </c>
      <c r="CA79" s="1" t="str">
        <f>IF(AX79&gt;AX$137, AX79-AX$137,"")</f>
        <v/>
      </c>
      <c r="CB79" s="1" t="str">
        <f>IF(AY79&gt;AY$137, AY79-AY$137,"")</f>
        <v/>
      </c>
      <c r="CC79" s="1" t="str">
        <f>IF(AZ79&gt;AZ$137, AZ79-AZ$137,"")</f>
        <v/>
      </c>
      <c r="CD79" s="1" t="str">
        <f>IF(BA79&gt;BA$137, BA79-BA$137,"")</f>
        <v/>
      </c>
      <c r="CE79" s="1" t="str">
        <f>IF(BB79&gt;BB$137, BB79-BB$137,"")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8"/>
    </row>
    <row r="80" spans="1:97" ht="40.5" x14ac:dyDescent="0.15">
      <c r="A80" s="1">
        <v>21</v>
      </c>
      <c r="B80" s="1" t="s">
        <v>38</v>
      </c>
      <c r="C80" s="1" t="s">
        <v>31</v>
      </c>
      <c r="D80" s="1" t="s">
        <v>26</v>
      </c>
      <c r="E80" s="6"/>
      <c r="F80" s="6"/>
      <c r="G80" s="6">
        <v>6</v>
      </c>
      <c r="H80" s="6">
        <v>6</v>
      </c>
      <c r="I80" s="6"/>
      <c r="J80" s="6"/>
      <c r="K80" s="6"/>
      <c r="L80" s="6"/>
      <c r="M80" s="6"/>
      <c r="N80" s="6"/>
      <c r="O80" s="6"/>
      <c r="P80" s="31"/>
      <c r="Q80" s="31"/>
      <c r="R80" s="31"/>
      <c r="S80" s="31"/>
      <c r="T80" s="31"/>
      <c r="U80" s="31"/>
      <c r="V80" s="31"/>
      <c r="W80" s="31"/>
      <c r="X80" s="31"/>
      <c r="Y80" s="31"/>
      <c r="Z80" s="31"/>
      <c r="AA80" s="31"/>
      <c r="AB80" s="31"/>
      <c r="AC80" s="31"/>
      <c r="AD80" s="3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>
        <v>10</v>
      </c>
      <c r="AT80" s="4"/>
      <c r="AU80" s="4"/>
      <c r="AV80" s="4"/>
      <c r="AW80" s="2"/>
      <c r="AX80" s="2"/>
      <c r="AY80" s="2"/>
      <c r="AZ80" s="2"/>
      <c r="BA80" s="2"/>
      <c r="BB80" s="2">
        <v>10</v>
      </c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32</v>
      </c>
      <c r="BQ80" s="1">
        <v>18</v>
      </c>
      <c r="BR80" s="17">
        <v>3</v>
      </c>
      <c r="BS80" s="17" t="s">
        <v>267</v>
      </c>
      <c r="BT80" s="1" t="str">
        <f>IF(AQ80&gt;AQ$137, AQ80-AQ$137,"")</f>
        <v/>
      </c>
      <c r="BU80" s="1" t="str">
        <f>IF(AR80&gt;AR$137, AR80-AR$137,"")</f>
        <v/>
      </c>
      <c r="BV80" s="1">
        <f>IF(AS80&gt;AS$137, AS80-AS$137,"")</f>
        <v>8</v>
      </c>
      <c r="BW80" s="1" t="str">
        <f>IF(AT80&gt;AT$137, AT80-AT$137,"")</f>
        <v/>
      </c>
      <c r="BX80" s="1" t="str">
        <f>IF(AU80&gt;AU$137, AU80-AU$137,"")</f>
        <v/>
      </c>
      <c r="BY80" s="1" t="str">
        <f>IF(AV80&gt;AV$137, AV80-AV$137,"")</f>
        <v/>
      </c>
      <c r="BZ80" s="1" t="str">
        <f>IF(AW80&gt;AW$137, AW80-AW$137,"")</f>
        <v/>
      </c>
      <c r="CA80" s="1" t="str">
        <f>IF(AX80&gt;AX$137, AX80-AX$137,"")</f>
        <v/>
      </c>
      <c r="CB80" s="1" t="str">
        <f>IF(AY80&gt;AY$137, AY80-AY$137,"")</f>
        <v/>
      </c>
      <c r="CC80" s="1" t="str">
        <f>IF(AZ80&gt;AZ$137, AZ80-AZ$137,"")</f>
        <v/>
      </c>
      <c r="CD80" s="1" t="str">
        <f>IF(BA80&gt;BA$137, BA80-BA$137,"")</f>
        <v/>
      </c>
      <c r="CE80" s="1" t="str">
        <f>IF(BB80&gt;BB$137, BB80-BB$137,"")</f>
        <v/>
      </c>
      <c r="CF80" s="1">
        <f>COUNTIF(BT80:CE80, "&gt;0")</f>
        <v>1</v>
      </c>
      <c r="CG80" s="1" t="str">
        <f>IF($CF80=1,BT80,"")</f>
        <v/>
      </c>
      <c r="CH80" s="1" t="str">
        <f>IF($CF80=1,BU80,"")</f>
        <v/>
      </c>
      <c r="CI80" s="1">
        <f>IF($CF80=1,BV80,"")</f>
        <v>8</v>
      </c>
      <c r="CJ80" s="1" t="str">
        <f>IF($CF80=1,BW80,"")</f>
        <v/>
      </c>
      <c r="CK80" s="1" t="str">
        <f>IF($CF80=1,BX80,"")</f>
        <v/>
      </c>
      <c r="CL80" s="1" t="str">
        <f>IF($CF80=1,BY80,"")</f>
        <v/>
      </c>
      <c r="CM80" s="1" t="str">
        <f>IF($CF80=1,BZ80,"")</f>
        <v/>
      </c>
      <c r="CN80" s="1" t="str">
        <f>IF($CF80=1,CA80,"")</f>
        <v/>
      </c>
      <c r="CO80" s="1" t="str">
        <f>IF($CF80=1,CB80,"")</f>
        <v/>
      </c>
      <c r="CP80" s="1" t="str">
        <f>IF($CF80=1,CC80,"")</f>
        <v/>
      </c>
      <c r="CQ80" s="1" t="str">
        <f>IF($CF80=1,CD80,"")</f>
        <v/>
      </c>
      <c r="CR80" s="1" t="str">
        <f>IF($CF80=1,CE80,"")</f>
        <v/>
      </c>
      <c r="CS80" s="18">
        <f>SUM(AE80:BO80)</f>
        <v>20</v>
      </c>
    </row>
    <row r="81" spans="1:97" ht="40.5" x14ac:dyDescent="0.15">
      <c r="A81" s="1"/>
      <c r="B81" s="1" t="s">
        <v>142</v>
      </c>
      <c r="C81" s="1" t="s">
        <v>143</v>
      </c>
      <c r="D81" s="1" t="s">
        <v>127</v>
      </c>
      <c r="E81" s="6">
        <v>10</v>
      </c>
      <c r="F81" s="6"/>
      <c r="G81" s="6"/>
      <c r="H81" s="6"/>
      <c r="I81" s="6"/>
      <c r="J81" s="6"/>
      <c r="K81" s="6"/>
      <c r="L81" s="6"/>
      <c r="M81" s="6"/>
      <c r="N81" s="6"/>
      <c r="O81" s="6"/>
      <c r="P81" s="31"/>
      <c r="Q81" s="31"/>
      <c r="R81" s="31">
        <v>10</v>
      </c>
      <c r="S81" s="31"/>
      <c r="T81" s="31"/>
      <c r="U81" s="31">
        <v>10</v>
      </c>
      <c r="V81" s="31"/>
      <c r="W81" s="31"/>
      <c r="X81" s="31"/>
      <c r="Y81" s="31"/>
      <c r="Z81" s="31"/>
      <c r="AA81" s="31"/>
      <c r="AB81" s="31"/>
      <c r="AC81" s="31"/>
      <c r="AD81" s="3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>
        <v>10</v>
      </c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40</v>
      </c>
      <c r="BQ81" s="1">
        <v>20</v>
      </c>
      <c r="BR81" s="17">
        <v>3</v>
      </c>
      <c r="BS81" s="17" t="s">
        <v>269</v>
      </c>
      <c r="BT81" s="1" t="str">
        <f>IF(AQ81&gt;AQ$137, AQ81-AQ$137,"")</f>
        <v/>
      </c>
      <c r="BU81" s="1" t="str">
        <f>IF(AR81&gt;AR$137, AR81-AR$137,"")</f>
        <v/>
      </c>
      <c r="BV81" s="1" t="str">
        <f>IF(AS81&gt;AS$137, AS81-AS$137,"")</f>
        <v/>
      </c>
      <c r="BW81" s="1" t="str">
        <f>IF(AT81&gt;AT$137, AT81-AT$137,"")</f>
        <v/>
      </c>
      <c r="BX81" s="1">
        <f>IF(AU81&gt;AU$137, AU81-AU$137,"")</f>
        <v>2</v>
      </c>
      <c r="BY81" s="1" t="str">
        <f>IF(AV81&gt;AV$137, AV81-AV$137,"")</f>
        <v/>
      </c>
      <c r="BZ81" s="1" t="str">
        <f>IF(AW81&gt;AW$137, AW81-AW$137,"")</f>
        <v/>
      </c>
      <c r="CA81" s="1" t="str">
        <f>IF(AX81&gt;AX$137, AX81-AX$137,"")</f>
        <v/>
      </c>
      <c r="CB81" s="1" t="str">
        <f>IF(AY81&gt;AY$137, AY81-AY$137,"")</f>
        <v/>
      </c>
      <c r="CC81" s="1" t="str">
        <f>IF(AZ81&gt;AZ$137, AZ81-AZ$137,"")</f>
        <v/>
      </c>
      <c r="CD81" s="1" t="str">
        <f>IF(BA81&gt;BA$137, BA81-BA$137,"")</f>
        <v/>
      </c>
      <c r="CE81" s="1" t="str">
        <f>IF(BB81&gt;BB$137, BB81-BB$137,"")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8"/>
    </row>
    <row r="82" spans="1:97" ht="40.5" x14ac:dyDescent="0.15">
      <c r="A82" s="1"/>
      <c r="B82" s="1" t="s">
        <v>148</v>
      </c>
      <c r="C82" s="1" t="s">
        <v>147</v>
      </c>
      <c r="D82" s="1" t="s">
        <v>127</v>
      </c>
      <c r="E82" s="6">
        <v>10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31"/>
      <c r="Q82" s="31"/>
      <c r="R82" s="31">
        <v>10</v>
      </c>
      <c r="S82" s="31"/>
      <c r="T82" s="31"/>
      <c r="U82" s="31">
        <v>10</v>
      </c>
      <c r="V82" s="31"/>
      <c r="W82" s="31"/>
      <c r="X82" s="31"/>
      <c r="Y82" s="31"/>
      <c r="Z82" s="31"/>
      <c r="AA82" s="31"/>
      <c r="AB82" s="31"/>
      <c r="AC82" s="31"/>
      <c r="AD82" s="3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>
        <v>10</v>
      </c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20</v>
      </c>
      <c r="BR82" s="17">
        <v>3</v>
      </c>
      <c r="BS82" s="17" t="s">
        <v>270</v>
      </c>
      <c r="BT82" s="1" t="str">
        <f>IF(AQ82&gt;AQ$137, AQ82-AQ$137,"")</f>
        <v/>
      </c>
      <c r="BU82" s="1" t="str">
        <f>IF(AR82&gt;AR$137, AR82-AR$137,"")</f>
        <v/>
      </c>
      <c r="BV82" s="1" t="str">
        <f>IF(AS82&gt;AS$137, AS82-AS$137,"")</f>
        <v/>
      </c>
      <c r="BW82" s="1" t="str">
        <f>IF(AT82&gt;AT$137, AT82-AT$137,"")</f>
        <v/>
      </c>
      <c r="BX82" s="1">
        <f>IF(AU82&gt;AU$137, AU82-AU$137,"")</f>
        <v>2</v>
      </c>
      <c r="BY82" s="1" t="str">
        <f>IF(AV82&gt;AV$137, AV82-AV$137,"")</f>
        <v/>
      </c>
      <c r="BZ82" s="1" t="str">
        <f>IF(AW82&gt;AW$137, AW82-AW$137,"")</f>
        <v/>
      </c>
      <c r="CA82" s="1" t="str">
        <f>IF(AX82&gt;AX$137, AX82-AX$137,"")</f>
        <v/>
      </c>
      <c r="CB82" s="1" t="str">
        <f>IF(AY82&gt;AY$137, AY82-AY$137,"")</f>
        <v/>
      </c>
      <c r="CC82" s="1" t="str">
        <f>IF(AZ82&gt;AZ$137, AZ82-AZ$137,"")</f>
        <v/>
      </c>
      <c r="CD82" s="1" t="str">
        <f>IF(BA82&gt;BA$137, BA82-BA$137,"")</f>
        <v/>
      </c>
      <c r="CE82" s="1" t="str">
        <f>IF(BB82&gt;BB$137, BB82-BB$137,"")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8"/>
    </row>
    <row r="83" spans="1:97" ht="40.5" x14ac:dyDescent="0.15">
      <c r="A83" s="1"/>
      <c r="B83" s="1" t="s">
        <v>158</v>
      </c>
      <c r="C83" s="1" t="s">
        <v>154</v>
      </c>
      <c r="D83" s="1" t="s">
        <v>127</v>
      </c>
      <c r="E83" s="6">
        <v>10</v>
      </c>
      <c r="F83" s="6"/>
      <c r="G83" s="6"/>
      <c r="H83" s="6"/>
      <c r="I83" s="6"/>
      <c r="J83" s="6"/>
      <c r="K83" s="6"/>
      <c r="L83" s="6"/>
      <c r="M83" s="6"/>
      <c r="N83" s="6"/>
      <c r="O83" s="6"/>
      <c r="P83" s="31"/>
      <c r="Q83" s="31"/>
      <c r="R83" s="31">
        <v>10</v>
      </c>
      <c r="S83" s="31"/>
      <c r="T83" s="31"/>
      <c r="U83" s="31">
        <v>10</v>
      </c>
      <c r="V83" s="31"/>
      <c r="W83" s="31"/>
      <c r="X83" s="31"/>
      <c r="Y83" s="31"/>
      <c r="Z83" s="31"/>
      <c r="AA83" s="31"/>
      <c r="AB83" s="31"/>
      <c r="AC83" s="31"/>
      <c r="AD83" s="3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>
        <v>10</v>
      </c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40</v>
      </c>
      <c r="BQ83" s="1">
        <v>20</v>
      </c>
      <c r="BR83" s="17">
        <v>3</v>
      </c>
      <c r="BS83" s="17" t="s">
        <v>269</v>
      </c>
      <c r="BT83" s="1" t="str">
        <f>IF(AQ83&gt;AQ$137, AQ83-AQ$137,"")</f>
        <v/>
      </c>
      <c r="BU83" s="1" t="str">
        <f>IF(AR83&gt;AR$137, AR83-AR$137,"")</f>
        <v/>
      </c>
      <c r="BV83" s="1" t="str">
        <f>IF(AS83&gt;AS$137, AS83-AS$137,"")</f>
        <v/>
      </c>
      <c r="BW83" s="1" t="str">
        <f>IF(AT83&gt;AT$137, AT83-AT$137,"")</f>
        <v/>
      </c>
      <c r="BX83" s="1">
        <f>IF(AU83&gt;AU$137, AU83-AU$137,"")</f>
        <v>2</v>
      </c>
      <c r="BY83" s="1" t="str">
        <f>IF(AV83&gt;AV$137, AV83-AV$137,"")</f>
        <v/>
      </c>
      <c r="BZ83" s="1" t="str">
        <f>IF(AW83&gt;AW$137, AW83-AW$137,"")</f>
        <v/>
      </c>
      <c r="CA83" s="1" t="str">
        <f>IF(AX83&gt;AX$137, AX83-AX$137,"")</f>
        <v/>
      </c>
      <c r="CB83" s="1" t="str">
        <f>IF(AY83&gt;AY$137, AY83-AY$137,"")</f>
        <v/>
      </c>
      <c r="CC83" s="1" t="str">
        <f>IF(AZ83&gt;AZ$137, AZ83-AZ$137,"")</f>
        <v/>
      </c>
      <c r="CD83" s="1" t="str">
        <f>IF(BA83&gt;BA$137, BA83-BA$137,"")</f>
        <v/>
      </c>
      <c r="CE83" s="1" t="str">
        <f>IF(BB83&gt;BB$137, BB83-BB$137,"")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8"/>
    </row>
    <row r="84" spans="1:97" ht="40.5" x14ac:dyDescent="0.15">
      <c r="A84" s="1"/>
      <c r="B84" s="1" t="s">
        <v>191</v>
      </c>
      <c r="C84" s="1" t="s">
        <v>107</v>
      </c>
      <c r="D84" s="1" t="s">
        <v>109</v>
      </c>
      <c r="E84" s="6"/>
      <c r="F84" s="6"/>
      <c r="G84" s="6"/>
      <c r="H84" s="6">
        <v>6</v>
      </c>
      <c r="I84" s="6"/>
      <c r="J84" s="6"/>
      <c r="K84" s="6">
        <v>6</v>
      </c>
      <c r="L84" s="6"/>
      <c r="M84" s="6"/>
      <c r="N84" s="6"/>
      <c r="O84" s="6"/>
      <c r="P84" s="31"/>
      <c r="Q84" s="31"/>
      <c r="R84" s="31"/>
      <c r="S84" s="31"/>
      <c r="T84" s="31"/>
      <c r="U84" s="31"/>
      <c r="V84" s="31"/>
      <c r="W84" s="31"/>
      <c r="X84" s="31"/>
      <c r="Y84" s="31"/>
      <c r="Z84" s="31"/>
      <c r="AA84" s="31"/>
      <c r="AB84" s="31"/>
      <c r="AC84" s="31"/>
      <c r="AD84" s="3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>
        <v>10</v>
      </c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32</v>
      </c>
      <c r="BQ84" s="1">
        <v>21</v>
      </c>
      <c r="BR84" s="17">
        <v>3</v>
      </c>
      <c r="BS84" s="17" t="s">
        <v>260</v>
      </c>
      <c r="BT84" s="1">
        <f>IF(AQ84&gt;AQ$137, AQ84-AQ$137,"")</f>
        <v>10</v>
      </c>
      <c r="BU84" s="1" t="str">
        <f>IF(AR84&gt;AR$137, AR84-AR$137,"")</f>
        <v/>
      </c>
      <c r="BV84" s="1" t="str">
        <f>IF(AS84&gt;AS$137, AS84-AS$137,"")</f>
        <v/>
      </c>
      <c r="BW84" s="1" t="str">
        <f>IF(AT84&gt;AT$137, AT84-AT$137,"")</f>
        <v/>
      </c>
      <c r="BX84" s="1" t="str">
        <f>IF(AU84&gt;AU$137, AU84-AU$137,"")</f>
        <v/>
      </c>
      <c r="BY84" s="1" t="str">
        <f>IF(AV84&gt;AV$137, AV84-AV$137,"")</f>
        <v/>
      </c>
      <c r="BZ84" s="1">
        <f>IF(AW84&gt;AW$137, AW84-AW$137,"")</f>
        <v>5</v>
      </c>
      <c r="CA84" s="1" t="str">
        <f>IF(AX84&gt;AX$137, AX84-AX$137,"")</f>
        <v/>
      </c>
      <c r="CB84" s="1" t="str">
        <f>IF(AY84&gt;AY$137, AY84-AY$137,"")</f>
        <v/>
      </c>
      <c r="CC84" s="1" t="str">
        <f>IF(AZ84&gt;AZ$137, AZ84-AZ$137,"")</f>
        <v/>
      </c>
      <c r="CD84" s="1" t="str">
        <f>IF(BA84&gt;BA$137, BA84-BA$137,"")</f>
        <v/>
      </c>
      <c r="CE84" s="1" t="str">
        <f>IF(BB84&gt;BB$137, BB84-BB$137,"")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8"/>
    </row>
    <row r="85" spans="1:97" ht="40.5" x14ac:dyDescent="0.15">
      <c r="A85" s="1"/>
      <c r="B85" s="1" t="s">
        <v>114</v>
      </c>
      <c r="C85" s="1" t="s">
        <v>111</v>
      </c>
      <c r="D85" s="1" t="s">
        <v>109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31"/>
      <c r="Q85" s="31"/>
      <c r="R85" s="31"/>
      <c r="S85" s="31"/>
      <c r="T85" s="31"/>
      <c r="U85" s="31"/>
      <c r="V85" s="31"/>
      <c r="W85" s="31"/>
      <c r="X85" s="31"/>
      <c r="Y85" s="31"/>
      <c r="Z85" s="31"/>
      <c r="AA85" s="31"/>
      <c r="AB85" s="31"/>
      <c r="AC85" s="31"/>
      <c r="AD85" s="3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>
        <v>10</v>
      </c>
      <c r="AP85" s="1">
        <v>10</v>
      </c>
      <c r="AQ85" s="4"/>
      <c r="AR85" s="4"/>
      <c r="AS85" s="4">
        <v>5</v>
      </c>
      <c r="AT85" s="4"/>
      <c r="AU85" s="4"/>
      <c r="AV85" s="4"/>
      <c r="AW85" s="2"/>
      <c r="AX85" s="2">
        <v>5</v>
      </c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30</v>
      </c>
      <c r="BQ85" s="1">
        <v>23</v>
      </c>
      <c r="BR85" s="17">
        <v>3</v>
      </c>
      <c r="BS85" s="17" t="s">
        <v>271</v>
      </c>
      <c r="BT85" s="1" t="str">
        <f>IF(AQ85&gt;AQ$137, AQ85-AQ$137,"")</f>
        <v/>
      </c>
      <c r="BU85" s="1" t="str">
        <f>IF(AR85&gt;AR$137, AR85-AR$137,"")</f>
        <v/>
      </c>
      <c r="BV85" s="1">
        <f>IF(AS85&gt;AS$137, AS85-AS$137,"")</f>
        <v>3</v>
      </c>
      <c r="BW85" s="1" t="str">
        <f>IF(AT85&gt;AT$137, AT85-AT$137,"")</f>
        <v/>
      </c>
      <c r="BX85" s="1" t="str">
        <f>IF(AU85&gt;AU$137, AU85-AU$137,"")</f>
        <v/>
      </c>
      <c r="BY85" s="1" t="str">
        <f>IF(AV85&gt;AV$137, AV85-AV$137,"")</f>
        <v/>
      </c>
      <c r="BZ85" s="1" t="str">
        <f>IF(AW85&gt;AW$137, AW85-AW$137,"")</f>
        <v/>
      </c>
      <c r="CA85" s="1" t="str">
        <f>IF(AX85&gt;AX$137, AX85-AX$137,"")</f>
        <v/>
      </c>
      <c r="CB85" s="1" t="str">
        <f>IF(AY85&gt;AY$137, AY85-AY$137,"")</f>
        <v/>
      </c>
      <c r="CC85" s="1" t="str">
        <f>IF(AZ85&gt;AZ$137, AZ85-AZ$137,"")</f>
        <v/>
      </c>
      <c r="CD85" s="1" t="str">
        <f>IF(BA85&gt;BA$137, BA85-BA$137,"")</f>
        <v/>
      </c>
      <c r="CE85" s="1" t="str">
        <f>IF(BB85&gt;BB$137, BB85-BB$137,"")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8"/>
    </row>
    <row r="86" spans="1:97" ht="40.5" x14ac:dyDescent="0.15">
      <c r="A86" s="1">
        <v>3</v>
      </c>
      <c r="B86" s="1" t="s">
        <v>11</v>
      </c>
      <c r="C86" s="1" t="s">
        <v>2</v>
      </c>
      <c r="D86" s="1" t="s">
        <v>12</v>
      </c>
      <c r="E86" s="6">
        <v>15</v>
      </c>
      <c r="F86" s="6"/>
      <c r="G86" s="6">
        <v>15</v>
      </c>
      <c r="H86" s="6"/>
      <c r="I86" s="6"/>
      <c r="J86" s="6"/>
      <c r="K86" s="6"/>
      <c r="L86" s="6"/>
      <c r="M86" s="6"/>
      <c r="N86" s="6"/>
      <c r="O86" s="6"/>
      <c r="P86" s="31"/>
      <c r="Q86" s="31"/>
      <c r="R86" s="31"/>
      <c r="S86" s="31"/>
      <c r="T86" s="31"/>
      <c r="U86" s="31"/>
      <c r="V86" s="31"/>
      <c r="W86" s="31"/>
      <c r="X86" s="31"/>
      <c r="Y86" s="31"/>
      <c r="Z86" s="31"/>
      <c r="AA86" s="31"/>
      <c r="AB86" s="31"/>
      <c r="AC86" s="31"/>
      <c r="AD86" s="3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>
        <v>15</v>
      </c>
      <c r="AS86" s="4"/>
      <c r="AT86" s="4"/>
      <c r="AU86" s="4"/>
      <c r="AV86" s="4"/>
      <c r="AW86" s="2"/>
      <c r="AX86" s="2"/>
      <c r="AY86" s="2"/>
      <c r="AZ86" s="2"/>
      <c r="BA86" s="2"/>
      <c r="BB86" s="2">
        <v>15</v>
      </c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60</v>
      </c>
      <c r="BQ86" s="1">
        <v>27</v>
      </c>
      <c r="BR86" s="17">
        <v>3</v>
      </c>
      <c r="BS86" s="17" t="s">
        <v>272</v>
      </c>
      <c r="BT86" s="1" t="str">
        <f>IF(AQ86&gt;AQ$137, AQ86-AQ$137,"")</f>
        <v/>
      </c>
      <c r="BU86" s="1">
        <f>IF(AR86&gt;AR$137, AR86-AR$137,"")</f>
        <v>13</v>
      </c>
      <c r="BV86" s="1" t="str">
        <f>IF(AS86&gt;AS$137, AS86-AS$137,"")</f>
        <v/>
      </c>
      <c r="BW86" s="1" t="str">
        <f>IF(AT86&gt;AT$137, AT86-AT$137,"")</f>
        <v/>
      </c>
      <c r="BX86" s="1" t="str">
        <f>IF(AU86&gt;AU$137, AU86-AU$137,"")</f>
        <v/>
      </c>
      <c r="BY86" s="1" t="str">
        <f>IF(AV86&gt;AV$137, AV86-AV$137,"")</f>
        <v/>
      </c>
      <c r="BZ86" s="1" t="str">
        <f>IF(AW86&gt;AW$137, AW86-AW$137,"")</f>
        <v/>
      </c>
      <c r="CA86" s="1" t="str">
        <f>IF(AX86&gt;AX$137, AX86-AX$137,"")</f>
        <v/>
      </c>
      <c r="CB86" s="1" t="str">
        <f>IF(AY86&gt;AY$137, AY86-AY$137,"")</f>
        <v/>
      </c>
      <c r="CC86" s="1" t="str">
        <f>IF(AZ86&gt;AZ$137, AZ86-AZ$137,"")</f>
        <v/>
      </c>
      <c r="CD86" s="1" t="str">
        <f>IF(BA86&gt;BA$137, BA86-BA$137,"")</f>
        <v/>
      </c>
      <c r="CE86" s="1" t="str">
        <f>IF(BB86&gt;BB$137, BB86-BB$137,"")</f>
        <v/>
      </c>
      <c r="CF86" s="1">
        <f>COUNTIF(BT86:CE86, "&gt;0")</f>
        <v>1</v>
      </c>
      <c r="CG86" s="1" t="str">
        <f>IF($CF86=1,BT86,"")</f>
        <v/>
      </c>
      <c r="CH86" s="1">
        <f>IF($CF86=1,BU86,"")</f>
        <v>13</v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18">
        <f>SUM(AE86:BO86)</f>
        <v>30</v>
      </c>
    </row>
    <row r="87" spans="1:97" ht="40.5" x14ac:dyDescent="0.15">
      <c r="A87" s="1"/>
      <c r="B87" s="1" t="s">
        <v>176</v>
      </c>
      <c r="C87" s="1" t="s">
        <v>119</v>
      </c>
      <c r="D87" s="1" t="s">
        <v>108</v>
      </c>
      <c r="E87" s="6">
        <v>15</v>
      </c>
      <c r="F87" s="6"/>
      <c r="G87" s="6">
        <v>15</v>
      </c>
      <c r="H87" s="6"/>
      <c r="I87" s="6"/>
      <c r="J87" s="6"/>
      <c r="K87" s="6"/>
      <c r="L87" s="6"/>
      <c r="M87" s="6"/>
      <c r="N87" s="6"/>
      <c r="O87" s="6"/>
      <c r="P87" s="31"/>
      <c r="Q87" s="31"/>
      <c r="R87" s="31"/>
      <c r="S87" s="31"/>
      <c r="T87" s="31"/>
      <c r="U87" s="31"/>
      <c r="V87" s="31"/>
      <c r="W87" s="31"/>
      <c r="X87" s="31"/>
      <c r="Y87" s="31"/>
      <c r="Z87" s="31"/>
      <c r="AA87" s="31"/>
      <c r="AB87" s="31"/>
      <c r="AC87" s="31"/>
      <c r="AD87" s="3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>
        <v>15</v>
      </c>
      <c r="AS87" s="4"/>
      <c r="AT87" s="4"/>
      <c r="AU87" s="4"/>
      <c r="AV87" s="4"/>
      <c r="AW87" s="2"/>
      <c r="AX87" s="2"/>
      <c r="AY87" s="2"/>
      <c r="AZ87" s="2"/>
      <c r="BA87" s="2"/>
      <c r="BB87" s="2">
        <v>15</v>
      </c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60</v>
      </c>
      <c r="BQ87" s="1">
        <v>27</v>
      </c>
      <c r="BR87" s="17">
        <v>3</v>
      </c>
      <c r="BS87" s="17" t="s">
        <v>273</v>
      </c>
      <c r="BT87" s="1" t="str">
        <f>IF(AQ87&gt;AQ$137, AQ87-AQ$137,"")</f>
        <v/>
      </c>
      <c r="BU87" s="1">
        <f>IF(AR87&gt;AR$137, AR87-AR$137,"")</f>
        <v>13</v>
      </c>
      <c r="BV87" s="1" t="str">
        <f>IF(AS87&gt;AS$137, AS87-AS$137,"")</f>
        <v/>
      </c>
      <c r="BW87" s="1" t="str">
        <f>IF(AT87&gt;AT$137, AT87-AT$137,"")</f>
        <v/>
      </c>
      <c r="BX87" s="1" t="str">
        <f>IF(AU87&gt;AU$137, AU87-AU$137,"")</f>
        <v/>
      </c>
      <c r="BY87" s="1" t="str">
        <f>IF(AV87&gt;AV$137, AV87-AV$137,"")</f>
        <v/>
      </c>
      <c r="BZ87" s="1" t="str">
        <f>IF(AW87&gt;AW$137, AW87-AW$137,"")</f>
        <v/>
      </c>
      <c r="CA87" s="1" t="str">
        <f>IF(AX87&gt;AX$137, AX87-AX$137,"")</f>
        <v/>
      </c>
      <c r="CB87" s="1" t="str">
        <f>IF(AY87&gt;AY$137, AY87-AY$137,"")</f>
        <v/>
      </c>
      <c r="CC87" s="1" t="str">
        <f>IF(AZ87&gt;AZ$137, AZ87-AZ$137,"")</f>
        <v/>
      </c>
      <c r="CD87" s="1" t="str">
        <f>IF(BA87&gt;BA$137, BA87-BA$137,"")</f>
        <v/>
      </c>
      <c r="CE87" s="1" t="str">
        <f>IF(BB87&gt;BB$137, BB87-BB$137,"")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40.5" x14ac:dyDescent="0.15">
      <c r="A88" s="1"/>
      <c r="B88" s="1" t="s">
        <v>178</v>
      </c>
      <c r="C88" s="1" t="s">
        <v>119</v>
      </c>
      <c r="D88" s="1" t="s">
        <v>108</v>
      </c>
      <c r="E88" s="6">
        <v>15</v>
      </c>
      <c r="F88" s="6"/>
      <c r="G88" s="6">
        <v>15</v>
      </c>
      <c r="H88" s="6"/>
      <c r="I88" s="6"/>
      <c r="J88" s="6"/>
      <c r="K88" s="6"/>
      <c r="L88" s="6"/>
      <c r="M88" s="6"/>
      <c r="N88" s="6"/>
      <c r="O88" s="6"/>
      <c r="P88" s="31"/>
      <c r="Q88" s="31"/>
      <c r="R88" s="31"/>
      <c r="S88" s="31"/>
      <c r="T88" s="31"/>
      <c r="U88" s="31"/>
      <c r="V88" s="31"/>
      <c r="W88" s="31"/>
      <c r="X88" s="31"/>
      <c r="Y88" s="31"/>
      <c r="Z88" s="31"/>
      <c r="AA88" s="31"/>
      <c r="AB88" s="31"/>
      <c r="AC88" s="31"/>
      <c r="AD88" s="3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>
        <v>15</v>
      </c>
      <c r="AS88" s="4"/>
      <c r="AT88" s="4"/>
      <c r="AU88" s="4"/>
      <c r="AV88" s="4"/>
      <c r="AW88" s="2"/>
      <c r="AX88" s="2"/>
      <c r="AY88" s="2"/>
      <c r="AZ88" s="2"/>
      <c r="BA88" s="2"/>
      <c r="BB88" s="2">
        <v>15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60</v>
      </c>
      <c r="BQ88" s="1">
        <v>27</v>
      </c>
      <c r="BR88" s="17">
        <v>3</v>
      </c>
      <c r="BS88" s="17" t="s">
        <v>272</v>
      </c>
      <c r="BT88" s="1" t="str">
        <f>IF(AQ88&gt;AQ$137, AQ88-AQ$137,"")</f>
        <v/>
      </c>
      <c r="BU88" s="1">
        <f>IF(AR88&gt;AR$137, AR88-AR$137,"")</f>
        <v>13</v>
      </c>
      <c r="BV88" s="1" t="str">
        <f>IF(AS88&gt;AS$137, AS88-AS$137,"")</f>
        <v/>
      </c>
      <c r="BW88" s="1" t="str">
        <f>IF(AT88&gt;AT$137, AT88-AT$137,"")</f>
        <v/>
      </c>
      <c r="BX88" s="1" t="str">
        <f>IF(AU88&gt;AU$137, AU88-AU$137,"")</f>
        <v/>
      </c>
      <c r="BY88" s="1" t="str">
        <f>IF(AV88&gt;AV$137, AV88-AV$137,"")</f>
        <v/>
      </c>
      <c r="BZ88" s="1" t="str">
        <f>IF(AW88&gt;AW$137, AW88-AW$137,"")</f>
        <v/>
      </c>
      <c r="CA88" s="1" t="str">
        <f>IF(AX88&gt;AX$137, AX88-AX$137,"")</f>
        <v/>
      </c>
      <c r="CB88" s="1" t="str">
        <f>IF(AY88&gt;AY$137, AY88-AY$137,"")</f>
        <v/>
      </c>
      <c r="CC88" s="1" t="str">
        <f>IF(AZ88&gt;AZ$137, AZ88-AZ$137,"")</f>
        <v/>
      </c>
      <c r="CD88" s="1" t="str">
        <f>IF(BA88&gt;BA$137, BA88-BA$137,"")</f>
        <v/>
      </c>
      <c r="CE88" s="1" t="str">
        <f>IF(BB88&gt;BB$137, BB88-BB$137,"")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8"/>
    </row>
    <row r="89" spans="1:97" ht="40.5" x14ac:dyDescent="0.15">
      <c r="A89" s="1">
        <v>1</v>
      </c>
      <c r="B89" s="1" t="s">
        <v>0</v>
      </c>
      <c r="C89" s="1" t="s">
        <v>2</v>
      </c>
      <c r="D89" s="1" t="s">
        <v>1</v>
      </c>
      <c r="E89" s="6">
        <v>10</v>
      </c>
      <c r="F89" s="6">
        <v>10</v>
      </c>
      <c r="G89" s="6"/>
      <c r="H89" s="6"/>
      <c r="I89" s="6"/>
      <c r="J89" s="6"/>
      <c r="K89" s="6"/>
      <c r="L89" s="6"/>
      <c r="M89" s="6"/>
      <c r="N89" s="6"/>
      <c r="O89" s="6"/>
      <c r="P89" s="31"/>
      <c r="Q89" s="31"/>
      <c r="R89" s="31"/>
      <c r="S89" s="31"/>
      <c r="T89" s="31"/>
      <c r="U89" s="31"/>
      <c r="V89" s="31"/>
      <c r="W89" s="31"/>
      <c r="X89" s="31"/>
      <c r="Y89" s="31"/>
      <c r="Z89" s="31"/>
      <c r="AA89" s="31"/>
      <c r="AB89" s="31"/>
      <c r="AC89" s="31"/>
      <c r="AD89" s="3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>
        <v>10</v>
      </c>
      <c r="AS89" s="4"/>
      <c r="AT89" s="4"/>
      <c r="AU89" s="4"/>
      <c r="AV89" s="4"/>
      <c r="AW89" s="2">
        <v>15</v>
      </c>
      <c r="AX89" s="2">
        <v>15</v>
      </c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60</v>
      </c>
      <c r="BQ89" s="1">
        <v>27</v>
      </c>
      <c r="BR89" s="17">
        <v>3</v>
      </c>
      <c r="BS89" s="17" t="s">
        <v>274</v>
      </c>
      <c r="BT89" s="1" t="str">
        <f>IF(AQ89&gt;AQ$137, AQ89-AQ$137,"")</f>
        <v/>
      </c>
      <c r="BU89" s="1">
        <f>IF(AR89&gt;AR$137, AR89-AR$137,"")</f>
        <v>8</v>
      </c>
      <c r="BV89" s="1" t="str">
        <f>IF(AS89&gt;AS$137, AS89-AS$137,"")</f>
        <v/>
      </c>
      <c r="BW89" s="1" t="str">
        <f>IF(AT89&gt;AT$137, AT89-AT$137,"")</f>
        <v/>
      </c>
      <c r="BX89" s="1" t="str">
        <f>IF(AU89&gt;AU$137, AU89-AU$137,"")</f>
        <v/>
      </c>
      <c r="BY89" s="1" t="str">
        <f>IF(AV89&gt;AV$137, AV89-AV$137,"")</f>
        <v/>
      </c>
      <c r="BZ89" s="1">
        <f>IF(AW89&gt;AW$137, AW89-AW$137,"")</f>
        <v>10</v>
      </c>
      <c r="CA89" s="1" t="str">
        <f>IF(AX89&gt;AX$137, AX89-AX$137,"")</f>
        <v/>
      </c>
      <c r="CB89" s="1" t="str">
        <f>IF(AY89&gt;AY$137, AY89-AY$137,"")</f>
        <v/>
      </c>
      <c r="CC89" s="1" t="str">
        <f>IF(AZ89&gt;AZ$137, AZ89-AZ$137,"")</f>
        <v/>
      </c>
      <c r="CD89" s="1" t="str">
        <f>IF(BA89&gt;BA$137, BA89-BA$137,"")</f>
        <v/>
      </c>
      <c r="CE89" s="1" t="str">
        <f>IF(BB89&gt;BB$137, BB89-BB$137,"")</f>
        <v/>
      </c>
      <c r="CF89" s="1">
        <f>COUNTIF(BT89:CE89, "&gt;0")</f>
        <v>2</v>
      </c>
      <c r="CG89" s="1" t="str">
        <f>IF($CF89=1,BT89,"")</f>
        <v/>
      </c>
      <c r="CH89" s="1" t="str">
        <f>IF($CF89=1,BU89,"")</f>
        <v/>
      </c>
      <c r="CI89" s="1" t="str">
        <f>IF($CF89=1,BV89,"")</f>
        <v/>
      </c>
      <c r="CJ89" s="1" t="str">
        <f>IF($CF89=1,BW89,"")</f>
        <v/>
      </c>
      <c r="CK89" s="1" t="str">
        <f>IF($CF89=1,BX89,"")</f>
        <v/>
      </c>
      <c r="CL89" s="1" t="str">
        <f>IF($CF89=1,BY89,"")</f>
        <v/>
      </c>
      <c r="CM89" s="1" t="str">
        <f>IF($CF89=1,BZ89,"")</f>
        <v/>
      </c>
      <c r="CN89" s="1" t="str">
        <f>IF($CF89=1,CA89,"")</f>
        <v/>
      </c>
      <c r="CO89" s="1" t="str">
        <f>IF($CF89=1,CB89,"")</f>
        <v/>
      </c>
      <c r="CP89" s="1" t="str">
        <f>IF($CF89=1,CC89,"")</f>
        <v/>
      </c>
      <c r="CQ89" s="1" t="str">
        <f>IF($CF89=1,CD89,"")</f>
        <v/>
      </c>
      <c r="CR89" s="1" t="str">
        <f>IF($CF89=1,CE89,"")</f>
        <v/>
      </c>
      <c r="CS89" s="18">
        <f>SUM(AE89:BO89)</f>
        <v>40</v>
      </c>
    </row>
    <row r="90" spans="1:97" ht="40.5" x14ac:dyDescent="0.15">
      <c r="A90" s="1"/>
      <c r="B90" s="1" t="s">
        <v>150</v>
      </c>
      <c r="C90" s="1" t="s">
        <v>152</v>
      </c>
      <c r="D90" s="1" t="s">
        <v>127</v>
      </c>
      <c r="E90" s="6"/>
      <c r="F90" s="6"/>
      <c r="G90" s="6"/>
      <c r="H90" s="6"/>
      <c r="I90" s="6"/>
      <c r="J90" s="6">
        <v>10</v>
      </c>
      <c r="K90" s="6"/>
      <c r="L90" s="6"/>
      <c r="M90" s="6"/>
      <c r="N90" s="6"/>
      <c r="O90" s="6"/>
      <c r="P90" s="31"/>
      <c r="Q90" s="31"/>
      <c r="R90" s="31"/>
      <c r="S90" s="31"/>
      <c r="T90" s="31"/>
      <c r="U90" s="31">
        <v>10</v>
      </c>
      <c r="V90" s="31"/>
      <c r="W90" s="31"/>
      <c r="X90" s="31"/>
      <c r="Y90" s="31"/>
      <c r="Z90" s="31"/>
      <c r="AA90" s="31">
        <v>10</v>
      </c>
      <c r="AB90" s="31"/>
      <c r="AC90" s="31"/>
      <c r="AD90" s="3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>
        <v>10</v>
      </c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29</v>
      </c>
      <c r="BR90" s="17">
        <v>3</v>
      </c>
      <c r="BS90" s="17" t="s">
        <v>268</v>
      </c>
      <c r="BT90" s="1">
        <f>IF(AQ90&gt;AQ$137, AQ90-AQ$137,"")</f>
        <v>10</v>
      </c>
      <c r="BU90" s="1" t="str">
        <f>IF(AR90&gt;AR$137, AR90-AR$137,"")</f>
        <v/>
      </c>
      <c r="BV90" s="1" t="str">
        <f>IF(AS90&gt;AS$137, AS90-AS$137,"")</f>
        <v/>
      </c>
      <c r="BW90" s="1" t="str">
        <f>IF(AT90&gt;AT$137, AT90-AT$137,"")</f>
        <v/>
      </c>
      <c r="BX90" s="1" t="str">
        <f>IF(AU90&gt;AU$137, AU90-AU$137,"")</f>
        <v/>
      </c>
      <c r="BY90" s="1" t="str">
        <f>IF(AV90&gt;AV$137, AV90-AV$137,"")</f>
        <v/>
      </c>
      <c r="BZ90" s="1" t="str">
        <f>IF(AW90&gt;AW$137, AW90-AW$137,"")</f>
        <v/>
      </c>
      <c r="CA90" s="1" t="str">
        <f>IF(AX90&gt;AX$137, AX90-AX$137,"")</f>
        <v/>
      </c>
      <c r="CB90" s="1" t="str">
        <f>IF(AY90&gt;AY$137, AY90-AY$137,"")</f>
        <v/>
      </c>
      <c r="CC90" s="1" t="str">
        <f>IF(AZ90&gt;AZ$137, AZ90-AZ$137,"")</f>
        <v/>
      </c>
      <c r="CD90" s="1" t="str">
        <f>IF(BA90&gt;BA$137, BA90-BA$137,"")</f>
        <v/>
      </c>
      <c r="CE90" s="1" t="str">
        <f>IF(BB90&gt;BB$137, BB90-BB$137,"")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40.5" x14ac:dyDescent="0.15">
      <c r="A91" s="1"/>
      <c r="B91" s="1" t="s">
        <v>160</v>
      </c>
      <c r="C91" s="1" t="s">
        <v>154</v>
      </c>
      <c r="D91" s="1" t="s">
        <v>127</v>
      </c>
      <c r="E91" s="6"/>
      <c r="F91" s="6"/>
      <c r="G91" s="6"/>
      <c r="H91" s="6"/>
      <c r="I91" s="6"/>
      <c r="J91" s="6">
        <v>10</v>
      </c>
      <c r="K91" s="6"/>
      <c r="L91" s="6"/>
      <c r="M91" s="6"/>
      <c r="N91" s="6"/>
      <c r="O91" s="6"/>
      <c r="P91" s="31"/>
      <c r="Q91" s="31"/>
      <c r="R91" s="31"/>
      <c r="S91" s="31"/>
      <c r="T91" s="31"/>
      <c r="U91" s="31">
        <v>10</v>
      </c>
      <c r="V91" s="31"/>
      <c r="W91" s="31"/>
      <c r="X91" s="31"/>
      <c r="Y91" s="31"/>
      <c r="Z91" s="31"/>
      <c r="AA91" s="31">
        <v>10</v>
      </c>
      <c r="AB91" s="31"/>
      <c r="AC91" s="31"/>
      <c r="AD91" s="3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>
        <v>10</v>
      </c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29</v>
      </c>
      <c r="BR91" s="17">
        <v>3</v>
      </c>
      <c r="BS91" s="17" t="s">
        <v>268</v>
      </c>
      <c r="BT91" s="1">
        <f>IF(AQ91&gt;AQ$137, AQ91-AQ$137,"")</f>
        <v>10</v>
      </c>
      <c r="BU91" s="1" t="str">
        <f>IF(AR91&gt;AR$137, AR91-AR$137,"")</f>
        <v/>
      </c>
      <c r="BV91" s="1" t="str">
        <f>IF(AS91&gt;AS$137, AS91-AS$137,"")</f>
        <v/>
      </c>
      <c r="BW91" s="1" t="str">
        <f>IF(AT91&gt;AT$137, AT91-AT$137,"")</f>
        <v/>
      </c>
      <c r="BX91" s="1" t="str">
        <f>IF(AU91&gt;AU$137, AU91-AU$137,"")</f>
        <v/>
      </c>
      <c r="BY91" s="1" t="str">
        <f>IF(AV91&gt;AV$137, AV91-AV$137,"")</f>
        <v/>
      </c>
      <c r="BZ91" s="1" t="str">
        <f>IF(AW91&gt;AW$137, AW91-AW$137,"")</f>
        <v/>
      </c>
      <c r="CA91" s="1" t="str">
        <f>IF(AX91&gt;AX$137, AX91-AX$137,"")</f>
        <v/>
      </c>
      <c r="CB91" s="1" t="str">
        <f>IF(AY91&gt;AY$137, AY91-AY$137,"")</f>
        <v/>
      </c>
      <c r="CC91" s="1" t="str">
        <f>IF(AZ91&gt;AZ$137, AZ91-AZ$137,"")</f>
        <v/>
      </c>
      <c r="CD91" s="1" t="str">
        <f>IF(BA91&gt;BA$137, BA91-BA$137,"")</f>
        <v/>
      </c>
      <c r="CE91" s="1" t="str">
        <f>IF(BB91&gt;BB$137, BB91-BB$137,"")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40.5" x14ac:dyDescent="0.15">
      <c r="A92" s="1">
        <v>78</v>
      </c>
      <c r="B92" s="3" t="s">
        <v>67</v>
      </c>
      <c r="C92" s="3" t="s">
        <v>65</v>
      </c>
      <c r="D92" s="1" t="s">
        <v>1</v>
      </c>
      <c r="E92" s="6"/>
      <c r="F92" s="6"/>
      <c r="G92" s="6">
        <v>15</v>
      </c>
      <c r="H92" s="6">
        <v>15</v>
      </c>
      <c r="I92" s="6"/>
      <c r="J92" s="6"/>
      <c r="K92" s="6"/>
      <c r="L92" s="6"/>
      <c r="M92" s="6"/>
      <c r="N92" s="6"/>
      <c r="O92" s="6"/>
      <c r="P92" s="31"/>
      <c r="Q92" s="31"/>
      <c r="R92" s="31"/>
      <c r="S92" s="31"/>
      <c r="T92" s="31"/>
      <c r="U92" s="31"/>
      <c r="V92" s="31"/>
      <c r="W92" s="31"/>
      <c r="X92" s="31"/>
      <c r="Y92" s="31"/>
      <c r="Z92" s="31"/>
      <c r="AA92" s="31"/>
      <c r="AB92" s="31"/>
      <c r="AC92" s="31"/>
      <c r="AD92" s="3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>
        <v>15</v>
      </c>
      <c r="BB92" s="2">
        <v>15</v>
      </c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60</v>
      </c>
      <c r="BQ92" s="1">
        <v>38</v>
      </c>
      <c r="BR92" s="17">
        <v>3</v>
      </c>
      <c r="BS92" s="17" t="s">
        <v>275</v>
      </c>
      <c r="BT92" s="1" t="str">
        <f>IF(AQ92&gt;AQ$137, AQ92-AQ$137,"")</f>
        <v/>
      </c>
      <c r="BU92" s="1" t="str">
        <f>IF(AR92&gt;AR$137, AR92-AR$137,"")</f>
        <v/>
      </c>
      <c r="BV92" s="1" t="str">
        <f>IF(AS92&gt;AS$137, AS92-AS$137,"")</f>
        <v/>
      </c>
      <c r="BW92" s="1" t="str">
        <f>IF(AT92&gt;AT$137, AT92-AT$137,"")</f>
        <v/>
      </c>
      <c r="BX92" s="1" t="str">
        <f>IF(AU92&gt;AU$137, AU92-AU$137,"")</f>
        <v/>
      </c>
      <c r="BY92" s="1" t="str">
        <f>IF(AV92&gt;AV$137, AV92-AV$137,"")</f>
        <v/>
      </c>
      <c r="BZ92" s="1" t="str">
        <f>IF(AW92&gt;AW$137, AW92-AW$137,"")</f>
        <v/>
      </c>
      <c r="CA92" s="1" t="str">
        <f>IF(AX92&gt;AX$137, AX92-AX$137,"")</f>
        <v/>
      </c>
      <c r="CB92" s="1" t="str">
        <f>IF(AY92&gt;AY$137, AY92-AY$137,"")</f>
        <v/>
      </c>
      <c r="CC92" s="1" t="str">
        <f>IF(AZ92&gt;AZ$137, AZ92-AZ$137,"")</f>
        <v/>
      </c>
      <c r="CD92" s="1">
        <f>IF(BA92&gt;BA$137, BA92-BA$137,"")</f>
        <v>10</v>
      </c>
      <c r="CE92" s="1" t="str">
        <f>IF(BB92&gt;BB$137, BB92-BB$137,"")</f>
        <v/>
      </c>
      <c r="CF92" s="1">
        <f>COUNTIF(BT92:CE92, "&gt;0")</f>
        <v>1</v>
      </c>
      <c r="CG92" s="1" t="str">
        <f>IF($CF92=1,BT92,"")</f>
        <v/>
      </c>
      <c r="CH92" s="1" t="str">
        <f>IF($CF92=1,BU92,"")</f>
        <v/>
      </c>
      <c r="CI92" s="1" t="str">
        <f>IF($CF92=1,BV92,"")</f>
        <v/>
      </c>
      <c r="CJ92" s="1" t="str">
        <f>IF($CF92=1,BW92,"")</f>
        <v/>
      </c>
      <c r="CK92" s="1" t="str">
        <f>IF($CF92=1,BX92,"")</f>
        <v/>
      </c>
      <c r="CL92" s="1" t="str">
        <f>IF($CF92=1,BY92,"")</f>
        <v/>
      </c>
      <c r="CM92" s="1" t="str">
        <f>IF($CF92=1,BZ92,"")</f>
        <v/>
      </c>
      <c r="CN92" s="1" t="str">
        <f>IF($CF92=1,CA92,"")</f>
        <v/>
      </c>
      <c r="CO92" s="1" t="str">
        <f>IF($CF92=1,CB92,"")</f>
        <v/>
      </c>
      <c r="CP92" s="1" t="str">
        <f>IF($CF92=1,CC92,"")</f>
        <v/>
      </c>
      <c r="CQ92" s="1">
        <f>IF($CF92=1,CD92,"")</f>
        <v>10</v>
      </c>
      <c r="CR92" s="1" t="str">
        <f>IF($CF92=1,CE92,"")</f>
        <v/>
      </c>
      <c r="CS92" s="18">
        <f>SUM(AE92:BO92)</f>
        <v>30</v>
      </c>
    </row>
    <row r="93" spans="1:97" ht="40.5" x14ac:dyDescent="0.15">
      <c r="A93" s="1"/>
      <c r="B93" s="1" t="s">
        <v>188</v>
      </c>
      <c r="C93" s="1" t="s">
        <v>122</v>
      </c>
      <c r="D93" s="1" t="s">
        <v>108</v>
      </c>
      <c r="E93" s="6"/>
      <c r="F93" s="6"/>
      <c r="G93" s="6">
        <v>15</v>
      </c>
      <c r="H93" s="6">
        <v>15</v>
      </c>
      <c r="I93" s="6"/>
      <c r="J93" s="6"/>
      <c r="K93" s="6"/>
      <c r="L93" s="6"/>
      <c r="M93" s="6"/>
      <c r="N93" s="6"/>
      <c r="O93" s="6"/>
      <c r="P93" s="31"/>
      <c r="Q93" s="31"/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>
        <v>15</v>
      </c>
      <c r="BB93" s="2">
        <v>15</v>
      </c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60</v>
      </c>
      <c r="BQ93" s="1">
        <v>38</v>
      </c>
      <c r="BR93" s="17">
        <v>3</v>
      </c>
      <c r="BS93" s="17" t="s">
        <v>275</v>
      </c>
      <c r="BT93" s="1" t="str">
        <f>IF(AQ93&gt;AQ$137, AQ93-AQ$137,"")</f>
        <v/>
      </c>
      <c r="BU93" s="1" t="str">
        <f>IF(AR93&gt;AR$137, AR93-AR$137,"")</f>
        <v/>
      </c>
      <c r="BV93" s="1" t="str">
        <f>IF(AS93&gt;AS$137, AS93-AS$137,"")</f>
        <v/>
      </c>
      <c r="BW93" s="1" t="str">
        <f>IF(AT93&gt;AT$137, AT93-AT$137,"")</f>
        <v/>
      </c>
      <c r="BX93" s="1" t="str">
        <f>IF(AU93&gt;AU$137, AU93-AU$137,"")</f>
        <v/>
      </c>
      <c r="BY93" s="1" t="str">
        <f>IF(AV93&gt;AV$137, AV93-AV$137,"")</f>
        <v/>
      </c>
      <c r="BZ93" s="1" t="str">
        <f>IF(AW93&gt;AW$137, AW93-AW$137,"")</f>
        <v/>
      </c>
      <c r="CA93" s="1" t="str">
        <f>IF(AX93&gt;AX$137, AX93-AX$137,"")</f>
        <v/>
      </c>
      <c r="CB93" s="1" t="str">
        <f>IF(AY93&gt;AY$137, AY93-AY$137,"")</f>
        <v/>
      </c>
      <c r="CC93" s="1" t="str">
        <f>IF(AZ93&gt;AZ$137, AZ93-AZ$137,"")</f>
        <v/>
      </c>
      <c r="CD93" s="1">
        <f>IF(BA93&gt;BA$137, BA93-BA$137,"")</f>
        <v>10</v>
      </c>
      <c r="CE93" s="1" t="str">
        <f>IF(BB93&gt;BB$137, BB93-BB$137,"")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40.5" x14ac:dyDescent="0.15">
      <c r="A94" s="1">
        <v>14</v>
      </c>
      <c r="B94" s="1" t="s">
        <v>30</v>
      </c>
      <c r="C94" s="1" t="s">
        <v>31</v>
      </c>
      <c r="D94" s="1" t="s">
        <v>32</v>
      </c>
      <c r="E94" s="6"/>
      <c r="F94" s="6"/>
      <c r="G94" s="6">
        <v>15</v>
      </c>
      <c r="H94" s="6">
        <v>15</v>
      </c>
      <c r="I94" s="6"/>
      <c r="J94" s="6"/>
      <c r="K94" s="6"/>
      <c r="L94" s="6"/>
      <c r="M94" s="6"/>
      <c r="N94" s="6"/>
      <c r="O94" s="6"/>
      <c r="P94" s="31"/>
      <c r="Q94" s="31"/>
      <c r="R94" s="31"/>
      <c r="S94" s="31"/>
      <c r="T94" s="31"/>
      <c r="U94" s="31"/>
      <c r="V94" s="31"/>
      <c r="W94" s="31"/>
      <c r="X94" s="31"/>
      <c r="Y94" s="31"/>
      <c r="Z94" s="31"/>
      <c r="AA94" s="31"/>
      <c r="AB94" s="31"/>
      <c r="AC94" s="31"/>
      <c r="AD94" s="3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>
        <v>15</v>
      </c>
      <c r="AT94" s="4"/>
      <c r="AU94" s="4"/>
      <c r="AV94" s="4"/>
      <c r="AW94" s="2"/>
      <c r="AX94" s="2"/>
      <c r="AY94" s="2"/>
      <c r="AZ94" s="2"/>
      <c r="BA94" s="2"/>
      <c r="BB94" s="2">
        <v>15</v>
      </c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60</v>
      </c>
      <c r="BQ94" s="1">
        <v>41</v>
      </c>
      <c r="BR94" s="17">
        <v>3</v>
      </c>
      <c r="BS94" s="17" t="s">
        <v>217</v>
      </c>
      <c r="BT94" s="1" t="str">
        <f>IF(AQ94&gt;AQ$137, AQ94-AQ$137,"")</f>
        <v/>
      </c>
      <c r="BU94" s="1" t="str">
        <f>IF(AR94&gt;AR$137, AR94-AR$137,"")</f>
        <v/>
      </c>
      <c r="BV94" s="1">
        <f>IF(AS94&gt;AS$137, AS94-AS$137,"")</f>
        <v>13</v>
      </c>
      <c r="BW94" s="1" t="str">
        <f>IF(AT94&gt;AT$137, AT94-AT$137,"")</f>
        <v/>
      </c>
      <c r="BX94" s="1" t="str">
        <f>IF(AU94&gt;AU$137, AU94-AU$137,"")</f>
        <v/>
      </c>
      <c r="BY94" s="1" t="str">
        <f>IF(AV94&gt;AV$137, AV94-AV$137,"")</f>
        <v/>
      </c>
      <c r="BZ94" s="1" t="str">
        <f>IF(AW94&gt;AW$137, AW94-AW$137,"")</f>
        <v/>
      </c>
      <c r="CA94" s="1" t="str">
        <f>IF(AX94&gt;AX$137, AX94-AX$137,"")</f>
        <v/>
      </c>
      <c r="CB94" s="1" t="str">
        <f>IF(AY94&gt;AY$137, AY94-AY$137,"")</f>
        <v/>
      </c>
      <c r="CC94" s="1" t="str">
        <f>IF(AZ94&gt;AZ$137, AZ94-AZ$137,"")</f>
        <v/>
      </c>
      <c r="CD94" s="1" t="str">
        <f>IF(BA94&gt;BA$137, BA94-BA$137,"")</f>
        <v/>
      </c>
      <c r="CE94" s="1" t="str">
        <f>IF(BB94&gt;BB$137, BB94-BB$137,"")</f>
        <v/>
      </c>
      <c r="CF94" s="1">
        <f>COUNTIF(BT94:CE94, "&gt;0")</f>
        <v>1</v>
      </c>
      <c r="CG94" s="1" t="str">
        <f>IF($CF94=1,BT94,"")</f>
        <v/>
      </c>
      <c r="CH94" s="1" t="str">
        <f>IF($CF94=1,BU94,"")</f>
        <v/>
      </c>
      <c r="CI94" s="1">
        <f>IF($CF94=1,BV94,"")</f>
        <v>13</v>
      </c>
      <c r="CJ94" s="1" t="str">
        <f>IF($CF94=1,BW94,"")</f>
        <v/>
      </c>
      <c r="CK94" s="1" t="str">
        <f>IF($CF94=1,BX94,"")</f>
        <v/>
      </c>
      <c r="CL94" s="1" t="str">
        <f>IF($CF94=1,BY94,"")</f>
        <v/>
      </c>
      <c r="CM94" s="1" t="str">
        <f>IF($CF94=1,BZ94,"")</f>
        <v/>
      </c>
      <c r="CN94" s="1" t="str">
        <f>IF($CF94=1,CA94,"")</f>
        <v/>
      </c>
      <c r="CO94" s="1" t="str">
        <f>IF($CF94=1,CB94,"")</f>
        <v/>
      </c>
      <c r="CP94" s="1" t="str">
        <f>IF($CF94=1,CC94,"")</f>
        <v/>
      </c>
      <c r="CQ94" s="1" t="str">
        <f>IF($CF94=1,CD94,"")</f>
        <v/>
      </c>
      <c r="CR94" s="1" t="str">
        <f>IF($CF94=1,CE94,"")</f>
        <v/>
      </c>
      <c r="CS94" s="18">
        <f>SUM(AE94:BO94)</f>
        <v>30</v>
      </c>
    </row>
    <row r="95" spans="1:97" ht="40.5" x14ac:dyDescent="0.15">
      <c r="A95" s="1"/>
      <c r="B95" s="1" t="s">
        <v>110</v>
      </c>
      <c r="C95" s="1" t="s">
        <v>111</v>
      </c>
      <c r="D95" s="1" t="s">
        <v>108</v>
      </c>
      <c r="E95" s="6"/>
      <c r="F95" s="6"/>
      <c r="G95" s="6">
        <v>15</v>
      </c>
      <c r="H95" s="6">
        <v>15</v>
      </c>
      <c r="I95" s="6"/>
      <c r="J95" s="6"/>
      <c r="K95" s="6"/>
      <c r="L95" s="6"/>
      <c r="M95" s="6"/>
      <c r="N95" s="6"/>
      <c r="O95" s="6"/>
      <c r="P95" s="31"/>
      <c r="Q95" s="31"/>
      <c r="R95" s="31"/>
      <c r="S95" s="31"/>
      <c r="T95" s="31"/>
      <c r="U95" s="31"/>
      <c r="V95" s="31"/>
      <c r="W95" s="31"/>
      <c r="X95" s="31"/>
      <c r="Y95" s="31"/>
      <c r="Z95" s="31"/>
      <c r="AA95" s="31"/>
      <c r="AB95" s="31"/>
      <c r="AC95" s="31"/>
      <c r="AD95" s="3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>
        <v>15</v>
      </c>
      <c r="AT95" s="4"/>
      <c r="AU95" s="4"/>
      <c r="AV95" s="4"/>
      <c r="AW95" s="2"/>
      <c r="AX95" s="2"/>
      <c r="AY95" s="2"/>
      <c r="AZ95" s="2"/>
      <c r="BA95" s="2"/>
      <c r="BB95" s="2">
        <v>15</v>
      </c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60</v>
      </c>
      <c r="BQ95" s="1">
        <v>41</v>
      </c>
      <c r="BR95" s="17">
        <v>3</v>
      </c>
      <c r="BS95" s="17" t="s">
        <v>276</v>
      </c>
      <c r="BT95" s="1" t="str">
        <f>IF(AQ95&gt;AQ$137, AQ95-AQ$137,"")</f>
        <v/>
      </c>
      <c r="BU95" s="1" t="str">
        <f>IF(AR95&gt;AR$137, AR95-AR$137,"")</f>
        <v/>
      </c>
      <c r="BV95" s="1">
        <f>IF(AS95&gt;AS$137, AS95-AS$137,"")</f>
        <v>13</v>
      </c>
      <c r="BW95" s="1" t="str">
        <f>IF(AT95&gt;AT$137, AT95-AT$137,"")</f>
        <v/>
      </c>
      <c r="BX95" s="1" t="str">
        <f>IF(AU95&gt;AU$137, AU95-AU$137,"")</f>
        <v/>
      </c>
      <c r="BY95" s="1" t="str">
        <f>IF(AV95&gt;AV$137, AV95-AV$137,"")</f>
        <v/>
      </c>
      <c r="BZ95" s="1" t="str">
        <f>IF(AW95&gt;AW$137, AW95-AW$137,"")</f>
        <v/>
      </c>
      <c r="CA95" s="1" t="str">
        <f>IF(AX95&gt;AX$137, AX95-AX$137,"")</f>
        <v/>
      </c>
      <c r="CB95" s="1" t="str">
        <f>IF(AY95&gt;AY$137, AY95-AY$137,"")</f>
        <v/>
      </c>
      <c r="CC95" s="1" t="str">
        <f>IF(AZ95&gt;AZ$137, AZ95-AZ$137,"")</f>
        <v/>
      </c>
      <c r="CD95" s="1" t="str">
        <f>IF(BA95&gt;BA$137, BA95-BA$137,"")</f>
        <v/>
      </c>
      <c r="CE95" s="1" t="str">
        <f>IF(BB95&gt;BB$137, BB95-BB$137,"")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40.5" x14ac:dyDescent="0.15">
      <c r="A96" s="1"/>
      <c r="B96" s="1" t="s">
        <v>187</v>
      </c>
      <c r="C96" s="1" t="s">
        <v>122</v>
      </c>
      <c r="D96" s="1" t="s">
        <v>108</v>
      </c>
      <c r="E96" s="6"/>
      <c r="F96" s="6"/>
      <c r="G96" s="6">
        <v>20</v>
      </c>
      <c r="H96" s="6">
        <v>20</v>
      </c>
      <c r="I96" s="6"/>
      <c r="J96" s="6"/>
      <c r="K96" s="6"/>
      <c r="L96" s="6"/>
      <c r="M96" s="6"/>
      <c r="N96" s="6"/>
      <c r="O96" s="6"/>
      <c r="P96" s="31"/>
      <c r="Q96" s="31"/>
      <c r="R96" s="31"/>
      <c r="S96" s="31"/>
      <c r="T96" s="31"/>
      <c r="U96" s="31"/>
      <c r="V96" s="31"/>
      <c r="W96" s="31"/>
      <c r="X96" s="31"/>
      <c r="Y96" s="31"/>
      <c r="Z96" s="31"/>
      <c r="AA96" s="31"/>
      <c r="AB96" s="31"/>
      <c r="AC96" s="31"/>
      <c r="AD96" s="3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>
        <v>20</v>
      </c>
      <c r="BB96" s="2">
        <v>20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80</v>
      </c>
      <c r="BQ96" s="1">
        <v>53</v>
      </c>
      <c r="BR96" s="17">
        <v>3</v>
      </c>
      <c r="BS96" s="17" t="s">
        <v>277</v>
      </c>
      <c r="BT96" s="1" t="str">
        <f>IF(AQ96&gt;AQ$137, AQ96-AQ$137,"")</f>
        <v/>
      </c>
      <c r="BU96" s="1" t="str">
        <f>IF(AR96&gt;AR$137, AR96-AR$137,"")</f>
        <v/>
      </c>
      <c r="BV96" s="1" t="str">
        <f>IF(AS96&gt;AS$137, AS96-AS$137,"")</f>
        <v/>
      </c>
      <c r="BW96" s="1" t="str">
        <f>IF(AT96&gt;AT$137, AT96-AT$137,"")</f>
        <v/>
      </c>
      <c r="BX96" s="1" t="str">
        <f>IF(AU96&gt;AU$137, AU96-AU$137,"")</f>
        <v/>
      </c>
      <c r="BY96" s="1" t="str">
        <f>IF(AV96&gt;AV$137, AV96-AV$137,"")</f>
        <v/>
      </c>
      <c r="BZ96" s="1" t="str">
        <f>IF(AW96&gt;AW$137, AW96-AW$137,"")</f>
        <v/>
      </c>
      <c r="CA96" s="1" t="str">
        <f>IF(AX96&gt;AX$137, AX96-AX$137,"")</f>
        <v/>
      </c>
      <c r="CB96" s="1" t="str">
        <f>IF(AY96&gt;AY$137, AY96-AY$137,"")</f>
        <v/>
      </c>
      <c r="CC96" s="1" t="str">
        <f>IF(AZ96&gt;AZ$137, AZ96-AZ$137,"")</f>
        <v/>
      </c>
      <c r="CD96" s="1">
        <f>IF(BA96&gt;BA$137, BA96-BA$137,"")</f>
        <v>15</v>
      </c>
      <c r="CE96" s="1" t="str">
        <f>IF(BB96&gt;BB$137, BB96-BB$137,"")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8"/>
    </row>
    <row r="97" spans="1:97" ht="40.5" x14ac:dyDescent="0.15">
      <c r="A97" s="1"/>
      <c r="B97" s="1" t="s">
        <v>110</v>
      </c>
      <c r="C97" s="1" t="s">
        <v>111</v>
      </c>
      <c r="D97" s="1" t="s">
        <v>112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31"/>
      <c r="Q97" s="31"/>
      <c r="R97" s="31"/>
      <c r="S97" s="31"/>
      <c r="T97" s="31"/>
      <c r="U97" s="31"/>
      <c r="V97" s="31"/>
      <c r="W97" s="31"/>
      <c r="X97" s="31"/>
      <c r="Y97" s="31"/>
      <c r="Z97" s="31"/>
      <c r="AA97" s="31"/>
      <c r="AB97" s="31"/>
      <c r="AC97" s="31"/>
      <c r="AD97" s="3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>
        <v>40</v>
      </c>
      <c r="AW97" s="2">
        <v>40</v>
      </c>
      <c r="AX97" s="2"/>
      <c r="AY97" s="2"/>
      <c r="AZ97" s="2"/>
      <c r="BA97" s="2"/>
      <c r="BB97" s="2">
        <v>40</v>
      </c>
      <c r="BC97" s="14">
        <v>10</v>
      </c>
      <c r="BD97" s="1">
        <v>50</v>
      </c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180</v>
      </c>
      <c r="BQ97" s="1">
        <v>74</v>
      </c>
      <c r="BR97" s="17">
        <v>3</v>
      </c>
      <c r="BS97" s="17" t="s">
        <v>278</v>
      </c>
      <c r="BT97" s="1" t="str">
        <f>IF(AQ97&gt;AQ$137, AQ97-AQ$137,"")</f>
        <v/>
      </c>
      <c r="BU97" s="1" t="str">
        <f>IF(AR97&gt;AR$137, AR97-AR$137,"")</f>
        <v/>
      </c>
      <c r="BV97" s="1" t="str">
        <f>IF(AS97&gt;AS$137, AS97-AS$137,"")</f>
        <v/>
      </c>
      <c r="BW97" s="1" t="str">
        <f>IF(AT97&gt;AT$137, AT97-AT$137,"")</f>
        <v/>
      </c>
      <c r="BX97" s="1" t="str">
        <f>IF(AU97&gt;AU$137, AU97-AU$137,"")</f>
        <v/>
      </c>
      <c r="BY97" s="1">
        <f>IF(AV97&gt;AV$137, AV97-AV$137,"")</f>
        <v>36</v>
      </c>
      <c r="BZ97" s="1">
        <f>IF(AW97&gt;AW$137, AW97-AW$137,"")</f>
        <v>35</v>
      </c>
      <c r="CA97" s="1" t="str">
        <f>IF(AX97&gt;AX$137, AX97-AX$137,"")</f>
        <v/>
      </c>
      <c r="CB97" s="1" t="str">
        <f>IF(AY97&gt;AY$137, AY97-AY$137,"")</f>
        <v/>
      </c>
      <c r="CC97" s="1" t="str">
        <f>IF(AZ97&gt;AZ$137, AZ97-AZ$137,"")</f>
        <v/>
      </c>
      <c r="CD97" s="1" t="str">
        <f>IF(BA97&gt;BA$137, BA97-BA$137,"")</f>
        <v/>
      </c>
      <c r="CE97" s="1" t="str">
        <f>IF(BB97&gt;BB$137, BB97-BB$137,"")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54" x14ac:dyDescent="0.15">
      <c r="A98" s="1"/>
      <c r="B98" s="1" t="s">
        <v>159</v>
      </c>
      <c r="C98" s="1" t="s">
        <v>154</v>
      </c>
      <c r="D98" s="1" t="s">
        <v>127</v>
      </c>
      <c r="E98" s="6"/>
      <c r="F98" s="6"/>
      <c r="G98" s="6">
        <v>5</v>
      </c>
      <c r="H98" s="6"/>
      <c r="I98" s="6"/>
      <c r="J98" s="6"/>
      <c r="K98" s="6"/>
      <c r="L98" s="6"/>
      <c r="M98" s="6"/>
      <c r="N98" s="6"/>
      <c r="O98" s="6"/>
      <c r="P98" s="31"/>
      <c r="Q98" s="31"/>
      <c r="R98" s="31"/>
      <c r="S98" s="31"/>
      <c r="T98" s="31"/>
      <c r="U98" s="31"/>
      <c r="V98" s="31">
        <v>5</v>
      </c>
      <c r="W98" s="31"/>
      <c r="X98" s="31"/>
      <c r="Y98" s="31">
        <v>5</v>
      </c>
      <c r="Z98" s="31"/>
      <c r="AA98" s="31"/>
      <c r="AB98" s="31"/>
      <c r="AC98" s="31">
        <v>5</v>
      </c>
      <c r="AD98" s="3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20</v>
      </c>
      <c r="BQ98" s="1">
        <v>14</v>
      </c>
      <c r="BR98" s="17">
        <v>4</v>
      </c>
      <c r="BS98" s="17" t="s">
        <v>279</v>
      </c>
      <c r="BT98" s="1" t="str">
        <f>IF(AQ98&gt;AQ$137, AQ98-AQ$137,"")</f>
        <v/>
      </c>
      <c r="BU98" s="1" t="str">
        <f>IF(AR98&gt;AR$137, AR98-AR$137,"")</f>
        <v/>
      </c>
      <c r="BV98" s="1" t="str">
        <f>IF(AS98&gt;AS$137, AS98-AS$137,"")</f>
        <v/>
      </c>
      <c r="BW98" s="1" t="str">
        <f>IF(AT98&gt;AT$137, AT98-AT$137,"")</f>
        <v/>
      </c>
      <c r="BX98" s="1" t="str">
        <f>IF(AU98&gt;AU$137, AU98-AU$137,"")</f>
        <v/>
      </c>
      <c r="BY98" s="1" t="str">
        <f>IF(AV98&gt;AV$137, AV98-AV$137,"")</f>
        <v/>
      </c>
      <c r="BZ98" s="1" t="str">
        <f>IF(AW98&gt;AW$137, AW98-AW$137,"")</f>
        <v/>
      </c>
      <c r="CA98" s="1" t="str">
        <f>IF(AX98&gt;AX$137, AX98-AX$137,"")</f>
        <v/>
      </c>
      <c r="CB98" s="1" t="str">
        <f>IF(AY98&gt;AY$137, AY98-AY$137,"")</f>
        <v/>
      </c>
      <c r="CC98" s="1" t="str">
        <f>IF(AZ98&gt;AZ$137, AZ98-AZ$137,"")</f>
        <v/>
      </c>
      <c r="CD98" s="1" t="str">
        <f>IF(BA98&gt;BA$137, BA98-BA$137,"")</f>
        <v/>
      </c>
      <c r="CE98" s="1" t="str">
        <f>IF(BB98&gt;BB$137, BB98-BB$137,"")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54" x14ac:dyDescent="0.15">
      <c r="A99" s="1"/>
      <c r="B99" s="1" t="s">
        <v>156</v>
      </c>
      <c r="C99" s="1" t="s">
        <v>154</v>
      </c>
      <c r="D99" s="1" t="s">
        <v>126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31"/>
      <c r="Q99" s="31">
        <v>5</v>
      </c>
      <c r="R99" s="31"/>
      <c r="S99" s="31"/>
      <c r="T99" s="31"/>
      <c r="U99" s="31"/>
      <c r="V99" s="31">
        <v>10</v>
      </c>
      <c r="W99" s="31"/>
      <c r="X99" s="31"/>
      <c r="Y99" s="31"/>
      <c r="Z99" s="31">
        <v>5</v>
      </c>
      <c r="AA99" s="31"/>
      <c r="AB99" s="31">
        <v>10</v>
      </c>
      <c r="AC99" s="31"/>
      <c r="AD99" s="3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30</v>
      </c>
      <c r="BQ99" s="1">
        <v>18</v>
      </c>
      <c r="BR99" s="17">
        <v>4</v>
      </c>
      <c r="BS99" s="17" t="s">
        <v>280</v>
      </c>
      <c r="BT99" s="1" t="str">
        <f>IF(AQ99&gt;AQ$137, AQ99-AQ$137,"")</f>
        <v/>
      </c>
      <c r="BU99" s="1" t="str">
        <f>IF(AR99&gt;AR$137, AR99-AR$137,"")</f>
        <v/>
      </c>
      <c r="BV99" s="1" t="str">
        <f>IF(AS99&gt;AS$137, AS99-AS$137,"")</f>
        <v/>
      </c>
      <c r="BW99" s="1" t="str">
        <f>IF(AT99&gt;AT$137, AT99-AT$137,"")</f>
        <v/>
      </c>
      <c r="BX99" s="1" t="str">
        <f>IF(AU99&gt;AU$137, AU99-AU$137,"")</f>
        <v/>
      </c>
      <c r="BY99" s="1" t="str">
        <f>IF(AV99&gt;AV$137, AV99-AV$137,"")</f>
        <v/>
      </c>
      <c r="BZ99" s="1" t="str">
        <f>IF(AW99&gt;AW$137, AW99-AW$137,"")</f>
        <v/>
      </c>
      <c r="CA99" s="1" t="str">
        <f>IF(AX99&gt;AX$137, AX99-AX$137,"")</f>
        <v/>
      </c>
      <c r="CB99" s="1" t="str">
        <f>IF(AY99&gt;AY$137, AY99-AY$137,"")</f>
        <v/>
      </c>
      <c r="CC99" s="1" t="str">
        <f>IF(AZ99&gt;AZ$137, AZ99-AZ$137,"")</f>
        <v/>
      </c>
      <c r="CD99" s="1" t="str">
        <f>IF(BA99&gt;BA$137, BA99-BA$137,"")</f>
        <v/>
      </c>
      <c r="CE99" s="1" t="str">
        <f>IF(BB99&gt;BB$137, BB99-BB$137,"")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54" x14ac:dyDescent="0.15">
      <c r="A100" s="1"/>
      <c r="B100" s="1" t="s">
        <v>145</v>
      </c>
      <c r="C100" s="1" t="s">
        <v>143</v>
      </c>
      <c r="D100" s="1" t="s">
        <v>127</v>
      </c>
      <c r="E100" s="6"/>
      <c r="F100" s="6"/>
      <c r="G100" s="6"/>
      <c r="H100" s="6">
        <v>7</v>
      </c>
      <c r="I100" s="6"/>
      <c r="J100" s="6"/>
      <c r="K100" s="6"/>
      <c r="L100" s="6"/>
      <c r="M100" s="6"/>
      <c r="N100" s="6"/>
      <c r="O100" s="6"/>
      <c r="P100" s="31"/>
      <c r="Q100" s="31">
        <v>7</v>
      </c>
      <c r="R100" s="31"/>
      <c r="S100" s="31"/>
      <c r="T100" s="31">
        <v>7</v>
      </c>
      <c r="U100" s="31"/>
      <c r="V100" s="31"/>
      <c r="W100" s="31"/>
      <c r="X100" s="31"/>
      <c r="Y100" s="31"/>
      <c r="Z100" s="31"/>
      <c r="AA100" s="31">
        <v>7</v>
      </c>
      <c r="AB100" s="31"/>
      <c r="AC100" s="31"/>
      <c r="AD100" s="3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28</v>
      </c>
      <c r="BQ100" s="1">
        <v>21</v>
      </c>
      <c r="BR100" s="17">
        <v>4</v>
      </c>
      <c r="BS100" s="17" t="s">
        <v>281</v>
      </c>
      <c r="BT100" s="1" t="str">
        <f>IF(AQ100&gt;AQ$137, AQ100-AQ$137,"")</f>
        <v/>
      </c>
      <c r="BU100" s="1" t="str">
        <f>IF(AR100&gt;AR$137, AR100-AR$137,"")</f>
        <v/>
      </c>
      <c r="BV100" s="1" t="str">
        <f>IF(AS100&gt;AS$137, AS100-AS$137,"")</f>
        <v/>
      </c>
      <c r="BW100" s="1" t="str">
        <f>IF(AT100&gt;AT$137, AT100-AT$137,"")</f>
        <v/>
      </c>
      <c r="BX100" s="1" t="str">
        <f>IF(AU100&gt;AU$137, AU100-AU$137,"")</f>
        <v/>
      </c>
      <c r="BY100" s="1" t="str">
        <f>IF(AV100&gt;AV$137, AV100-AV$137,"")</f>
        <v/>
      </c>
      <c r="BZ100" s="1" t="str">
        <f>IF(AW100&gt;AW$137, AW100-AW$137,"")</f>
        <v/>
      </c>
      <c r="CA100" s="1" t="str">
        <f>IF(AX100&gt;AX$137, AX100-AX$137,"")</f>
        <v/>
      </c>
      <c r="CB100" s="1" t="str">
        <f>IF(AY100&gt;AY$137, AY100-AY$137,"")</f>
        <v/>
      </c>
      <c r="CC100" s="1" t="str">
        <f>IF(AZ100&gt;AZ$137, AZ100-AZ$137,"")</f>
        <v/>
      </c>
      <c r="CD100" s="1" t="str">
        <f>IF(BA100&gt;BA$137, BA100-BA$137,"")</f>
        <v/>
      </c>
      <c r="CE100" s="1" t="str">
        <f>IF(BB100&gt;BB$137, BB100-BB$137,"")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8"/>
    </row>
    <row r="101" spans="1:97" ht="54" x14ac:dyDescent="0.15">
      <c r="A101" s="1"/>
      <c r="B101" s="1" t="s">
        <v>136</v>
      </c>
      <c r="C101" s="1" t="s">
        <v>124</v>
      </c>
      <c r="D101" s="1" t="s">
        <v>125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31">
        <v>10</v>
      </c>
      <c r="Q101" s="31"/>
      <c r="R101" s="31"/>
      <c r="S101" s="31">
        <v>10</v>
      </c>
      <c r="T101" s="31"/>
      <c r="U101" s="31"/>
      <c r="V101" s="31"/>
      <c r="W101" s="31">
        <v>5</v>
      </c>
      <c r="X101" s="31"/>
      <c r="Y101" s="31"/>
      <c r="Z101" s="31"/>
      <c r="AA101" s="31"/>
      <c r="AB101" s="31">
        <v>10</v>
      </c>
      <c r="AC101" s="31"/>
      <c r="AD101" s="3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22</v>
      </c>
      <c r="BR101" s="17">
        <v>4</v>
      </c>
      <c r="BS101" s="17" t="s">
        <v>282</v>
      </c>
      <c r="BT101" s="1" t="str">
        <f>IF(AQ101&gt;AQ$137, AQ101-AQ$137,"")</f>
        <v/>
      </c>
      <c r="BU101" s="1" t="str">
        <f>IF(AR101&gt;AR$137, AR101-AR$137,"")</f>
        <v/>
      </c>
      <c r="BV101" s="1" t="str">
        <f>IF(AS101&gt;AS$137, AS101-AS$137,"")</f>
        <v/>
      </c>
      <c r="BW101" s="1" t="str">
        <f>IF(AT101&gt;AT$137, AT101-AT$137,"")</f>
        <v/>
      </c>
      <c r="BX101" s="1" t="str">
        <f>IF(AU101&gt;AU$137, AU101-AU$137,"")</f>
        <v/>
      </c>
      <c r="BY101" s="1" t="str">
        <f>IF(AV101&gt;AV$137, AV101-AV$137,"")</f>
        <v/>
      </c>
      <c r="BZ101" s="1" t="str">
        <f>IF(AW101&gt;AW$137, AW101-AW$137,"")</f>
        <v/>
      </c>
      <c r="CA101" s="1" t="str">
        <f>IF(AX101&gt;AX$137, AX101-AX$137,"")</f>
        <v/>
      </c>
      <c r="CB101" s="1" t="str">
        <f>IF(AY101&gt;AY$137, AY101-AY$137,"")</f>
        <v/>
      </c>
      <c r="CC101" s="1" t="str">
        <f>IF(AZ101&gt;AZ$137, AZ101-AZ$137,"")</f>
        <v/>
      </c>
      <c r="CD101" s="1" t="str">
        <f>IF(BA101&gt;BA$137, BA101-BA$137,"")</f>
        <v/>
      </c>
      <c r="CE101" s="1" t="str">
        <f>IF(BB101&gt;BB$137, BB101-BB$137,"")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8"/>
    </row>
    <row r="102" spans="1:97" ht="54" x14ac:dyDescent="0.15">
      <c r="A102" s="1"/>
      <c r="B102" s="1" t="s">
        <v>141</v>
      </c>
      <c r="C102" s="1" t="s">
        <v>124</v>
      </c>
      <c r="D102" s="1" t="s">
        <v>125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31">
        <v>10</v>
      </c>
      <c r="Q102" s="31"/>
      <c r="R102" s="31"/>
      <c r="S102" s="31">
        <v>10</v>
      </c>
      <c r="T102" s="31"/>
      <c r="U102" s="31"/>
      <c r="V102" s="31"/>
      <c r="W102" s="31">
        <v>5</v>
      </c>
      <c r="X102" s="31"/>
      <c r="Y102" s="31"/>
      <c r="Z102" s="31"/>
      <c r="AA102" s="31"/>
      <c r="AB102" s="31">
        <v>10</v>
      </c>
      <c r="AC102" s="31"/>
      <c r="AD102" s="3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22</v>
      </c>
      <c r="BR102" s="17">
        <v>4</v>
      </c>
      <c r="BS102" s="17" t="s">
        <v>282</v>
      </c>
      <c r="BT102" s="1" t="str">
        <f>IF(AQ102&gt;AQ$137, AQ102-AQ$137,"")</f>
        <v/>
      </c>
      <c r="BU102" s="1" t="str">
        <f>IF(AR102&gt;AR$137, AR102-AR$137,"")</f>
        <v/>
      </c>
      <c r="BV102" s="1" t="str">
        <f>IF(AS102&gt;AS$137, AS102-AS$137,"")</f>
        <v/>
      </c>
      <c r="BW102" s="1" t="str">
        <f>IF(AT102&gt;AT$137, AT102-AT$137,"")</f>
        <v/>
      </c>
      <c r="BX102" s="1" t="str">
        <f>IF(AU102&gt;AU$137, AU102-AU$137,"")</f>
        <v/>
      </c>
      <c r="BY102" s="1" t="str">
        <f>IF(AV102&gt;AV$137, AV102-AV$137,"")</f>
        <v/>
      </c>
      <c r="BZ102" s="1" t="str">
        <f>IF(AW102&gt;AW$137, AW102-AW$137,"")</f>
        <v/>
      </c>
      <c r="CA102" s="1" t="str">
        <f>IF(AX102&gt;AX$137, AX102-AX$137,"")</f>
        <v/>
      </c>
      <c r="CB102" s="1" t="str">
        <f>IF(AY102&gt;AY$137, AY102-AY$137,"")</f>
        <v/>
      </c>
      <c r="CC102" s="1" t="str">
        <f>IF(AZ102&gt;AZ$137, AZ102-AZ$137,"")</f>
        <v/>
      </c>
      <c r="CD102" s="1" t="str">
        <f>IF(BA102&gt;BA$137, BA102-BA$137,"")</f>
        <v/>
      </c>
      <c r="CE102" s="1" t="str">
        <f>IF(BB102&gt;BB$137, BB102-BB$137,"")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54" x14ac:dyDescent="0.15">
      <c r="A103" s="1"/>
      <c r="B103" s="1" t="s">
        <v>145</v>
      </c>
      <c r="C103" s="1" t="s">
        <v>143</v>
      </c>
      <c r="D103" s="1" t="s">
        <v>125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31">
        <v>10</v>
      </c>
      <c r="Q103" s="31"/>
      <c r="R103" s="31"/>
      <c r="S103" s="31">
        <v>10</v>
      </c>
      <c r="T103" s="31"/>
      <c r="U103" s="31"/>
      <c r="V103" s="31"/>
      <c r="W103" s="31">
        <v>5</v>
      </c>
      <c r="X103" s="31"/>
      <c r="Y103" s="31"/>
      <c r="Z103" s="31"/>
      <c r="AA103" s="31"/>
      <c r="AB103" s="31">
        <v>10</v>
      </c>
      <c r="AC103" s="31"/>
      <c r="AD103" s="3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22</v>
      </c>
      <c r="BR103" s="17">
        <v>4</v>
      </c>
      <c r="BS103" s="17" t="s">
        <v>218</v>
      </c>
      <c r="BT103" s="1" t="str">
        <f>IF(AQ103&gt;AQ$137, AQ103-AQ$137,"")</f>
        <v/>
      </c>
      <c r="BU103" s="1" t="str">
        <f>IF(AR103&gt;AR$137, AR103-AR$137,"")</f>
        <v/>
      </c>
      <c r="BV103" s="1" t="str">
        <f>IF(AS103&gt;AS$137, AS103-AS$137,"")</f>
        <v/>
      </c>
      <c r="BW103" s="1" t="str">
        <f>IF(AT103&gt;AT$137, AT103-AT$137,"")</f>
        <v/>
      </c>
      <c r="BX103" s="1" t="str">
        <f>IF(AU103&gt;AU$137, AU103-AU$137,"")</f>
        <v/>
      </c>
      <c r="BY103" s="1" t="str">
        <f>IF(AV103&gt;AV$137, AV103-AV$137,"")</f>
        <v/>
      </c>
      <c r="BZ103" s="1" t="str">
        <f>IF(AW103&gt;AW$137, AW103-AW$137,"")</f>
        <v/>
      </c>
      <c r="CA103" s="1" t="str">
        <f>IF(AX103&gt;AX$137, AX103-AX$137,"")</f>
        <v/>
      </c>
      <c r="CB103" s="1" t="str">
        <f>IF(AY103&gt;AY$137, AY103-AY$137,"")</f>
        <v/>
      </c>
      <c r="CC103" s="1" t="str">
        <f>IF(AZ103&gt;AZ$137, AZ103-AZ$137,"")</f>
        <v/>
      </c>
      <c r="CD103" s="1" t="str">
        <f>IF(BA103&gt;BA$137, BA103-BA$137,"")</f>
        <v/>
      </c>
      <c r="CE103" s="1" t="str">
        <f>IF(BB103&gt;BB$137, BB103-BB$137,"")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8"/>
    </row>
    <row r="104" spans="1:97" ht="54" x14ac:dyDescent="0.15">
      <c r="A104" s="1"/>
      <c r="B104" s="1" t="s">
        <v>149</v>
      </c>
      <c r="C104" s="1" t="s">
        <v>147</v>
      </c>
      <c r="D104" s="1" t="s">
        <v>125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31">
        <v>10</v>
      </c>
      <c r="Q104" s="31"/>
      <c r="R104" s="31"/>
      <c r="S104" s="31">
        <v>10</v>
      </c>
      <c r="T104" s="31"/>
      <c r="U104" s="31"/>
      <c r="V104" s="31"/>
      <c r="W104" s="31">
        <v>5</v>
      </c>
      <c r="X104" s="31"/>
      <c r="Y104" s="31"/>
      <c r="Z104" s="31"/>
      <c r="AA104" s="31"/>
      <c r="AB104" s="31">
        <v>10</v>
      </c>
      <c r="AC104" s="31"/>
      <c r="AD104" s="3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218</v>
      </c>
      <c r="BT104" s="1" t="str">
        <f>IF(AQ104&gt;AQ$137, AQ104-AQ$137,"")</f>
        <v/>
      </c>
      <c r="BU104" s="1" t="str">
        <f>IF(AR104&gt;AR$137, AR104-AR$137,"")</f>
        <v/>
      </c>
      <c r="BV104" s="1" t="str">
        <f>IF(AS104&gt;AS$137, AS104-AS$137,"")</f>
        <v/>
      </c>
      <c r="BW104" s="1" t="str">
        <f>IF(AT104&gt;AT$137, AT104-AT$137,"")</f>
        <v/>
      </c>
      <c r="BX104" s="1" t="str">
        <f>IF(AU104&gt;AU$137, AU104-AU$137,"")</f>
        <v/>
      </c>
      <c r="BY104" s="1" t="str">
        <f>IF(AV104&gt;AV$137, AV104-AV$137,"")</f>
        <v/>
      </c>
      <c r="BZ104" s="1" t="str">
        <f>IF(AW104&gt;AW$137, AW104-AW$137,"")</f>
        <v/>
      </c>
      <c r="CA104" s="1" t="str">
        <f>IF(AX104&gt;AX$137, AX104-AX$137,"")</f>
        <v/>
      </c>
      <c r="CB104" s="1" t="str">
        <f>IF(AY104&gt;AY$137, AY104-AY$137,"")</f>
        <v/>
      </c>
      <c r="CC104" s="1" t="str">
        <f>IF(AZ104&gt;AZ$137, AZ104-AZ$137,"")</f>
        <v/>
      </c>
      <c r="CD104" s="1" t="str">
        <f>IF(BA104&gt;BA$137, BA104-BA$137,"")</f>
        <v/>
      </c>
      <c r="CE104" s="1" t="str">
        <f>IF(BB104&gt;BB$137, BB104-BB$137,"")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54" x14ac:dyDescent="0.15">
      <c r="A105" s="1"/>
      <c r="B105" s="1" t="s">
        <v>155</v>
      </c>
      <c r="C105" s="1" t="s">
        <v>154</v>
      </c>
      <c r="D105" s="1" t="s">
        <v>125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31">
        <v>10</v>
      </c>
      <c r="Q105" s="31"/>
      <c r="R105" s="31"/>
      <c r="S105" s="31">
        <v>10</v>
      </c>
      <c r="T105" s="31"/>
      <c r="U105" s="31"/>
      <c r="V105" s="31"/>
      <c r="W105" s="31">
        <v>5</v>
      </c>
      <c r="X105" s="31"/>
      <c r="Y105" s="31"/>
      <c r="Z105" s="31"/>
      <c r="AA105" s="31"/>
      <c r="AB105" s="31">
        <v>10</v>
      </c>
      <c r="AC105" s="31"/>
      <c r="AD105" s="3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218</v>
      </c>
      <c r="BT105" s="1" t="str">
        <f>IF(AQ105&gt;AQ$137, AQ105-AQ$137,"")</f>
        <v/>
      </c>
      <c r="BU105" s="1" t="str">
        <f>IF(AR105&gt;AR$137, AR105-AR$137,"")</f>
        <v/>
      </c>
      <c r="BV105" s="1" t="str">
        <f>IF(AS105&gt;AS$137, AS105-AS$137,"")</f>
        <v/>
      </c>
      <c r="BW105" s="1" t="str">
        <f>IF(AT105&gt;AT$137, AT105-AT$137,"")</f>
        <v/>
      </c>
      <c r="BX105" s="1" t="str">
        <f>IF(AU105&gt;AU$137, AU105-AU$137,"")</f>
        <v/>
      </c>
      <c r="BY105" s="1" t="str">
        <f>IF(AV105&gt;AV$137, AV105-AV$137,"")</f>
        <v/>
      </c>
      <c r="BZ105" s="1" t="str">
        <f>IF(AW105&gt;AW$137, AW105-AW$137,"")</f>
        <v/>
      </c>
      <c r="CA105" s="1" t="str">
        <f>IF(AX105&gt;AX$137, AX105-AX$137,"")</f>
        <v/>
      </c>
      <c r="CB105" s="1" t="str">
        <f>IF(AY105&gt;AY$137, AY105-AY$137,"")</f>
        <v/>
      </c>
      <c r="CC105" s="1" t="str">
        <f>IF(AZ105&gt;AZ$137, AZ105-AZ$137,"")</f>
        <v/>
      </c>
      <c r="CD105" s="1" t="str">
        <f>IF(BA105&gt;BA$137, BA105-BA$137,"")</f>
        <v/>
      </c>
      <c r="CE105" s="1" t="str">
        <f>IF(BB105&gt;BB$137, BB105-BB$137,"")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54" x14ac:dyDescent="0.15">
      <c r="A106" s="1"/>
      <c r="B106" s="1" t="s">
        <v>162</v>
      </c>
      <c r="C106" s="1" t="s">
        <v>122</v>
      </c>
      <c r="D106" s="1" t="s">
        <v>163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1">
        <v>10</v>
      </c>
      <c r="Q106" s="31"/>
      <c r="R106" s="31"/>
      <c r="S106" s="31">
        <v>10</v>
      </c>
      <c r="T106" s="31"/>
      <c r="U106" s="31"/>
      <c r="V106" s="31"/>
      <c r="W106" s="31">
        <v>5</v>
      </c>
      <c r="X106" s="31"/>
      <c r="Y106" s="31"/>
      <c r="Z106" s="31"/>
      <c r="AA106" s="31"/>
      <c r="AB106" s="31">
        <v>10</v>
      </c>
      <c r="AC106" s="31"/>
      <c r="AD106" s="3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22</v>
      </c>
      <c r="BR106" s="17">
        <v>4</v>
      </c>
      <c r="BS106" s="17" t="s">
        <v>282</v>
      </c>
      <c r="BT106" s="1" t="str">
        <f>IF(AQ106&gt;AQ$137, AQ106-AQ$137,"")</f>
        <v/>
      </c>
      <c r="BU106" s="1" t="str">
        <f>IF(AR106&gt;AR$137, AR106-AR$137,"")</f>
        <v/>
      </c>
      <c r="BV106" s="1" t="str">
        <f>IF(AS106&gt;AS$137, AS106-AS$137,"")</f>
        <v/>
      </c>
      <c r="BW106" s="1" t="str">
        <f>IF(AT106&gt;AT$137, AT106-AT$137,"")</f>
        <v/>
      </c>
      <c r="BX106" s="1" t="str">
        <f>IF(AU106&gt;AU$137, AU106-AU$137,"")</f>
        <v/>
      </c>
      <c r="BY106" s="1" t="str">
        <f>IF(AV106&gt;AV$137, AV106-AV$137,"")</f>
        <v/>
      </c>
      <c r="BZ106" s="1" t="str">
        <f>IF(AW106&gt;AW$137, AW106-AW$137,"")</f>
        <v/>
      </c>
      <c r="CA106" s="1" t="str">
        <f>IF(AX106&gt;AX$137, AX106-AX$137,"")</f>
        <v/>
      </c>
      <c r="CB106" s="1" t="str">
        <f>IF(AY106&gt;AY$137, AY106-AY$137,"")</f>
        <v/>
      </c>
      <c r="CC106" s="1" t="str">
        <f>IF(AZ106&gt;AZ$137, AZ106-AZ$137,"")</f>
        <v/>
      </c>
      <c r="CD106" s="1" t="str">
        <f>IF(BA106&gt;BA$137, BA106-BA$137,"")</f>
        <v/>
      </c>
      <c r="CE106" s="1" t="str">
        <f>IF(BB106&gt;BB$137, BB106-BB$137,"")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54" x14ac:dyDescent="0.15">
      <c r="A107" s="1"/>
      <c r="B107" s="1" t="s">
        <v>168</v>
      </c>
      <c r="C107" s="1" t="s">
        <v>124</v>
      </c>
      <c r="D107" s="1" t="s">
        <v>126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31"/>
      <c r="Q107" s="31"/>
      <c r="R107" s="31"/>
      <c r="S107" s="31"/>
      <c r="T107" s="31"/>
      <c r="U107" s="31"/>
      <c r="V107" s="31">
        <v>10</v>
      </c>
      <c r="W107" s="31"/>
      <c r="X107" s="31"/>
      <c r="Y107" s="31">
        <v>10</v>
      </c>
      <c r="Z107" s="31"/>
      <c r="AA107" s="31"/>
      <c r="AB107" s="31">
        <v>10</v>
      </c>
      <c r="AC107" s="31">
        <v>5</v>
      </c>
      <c r="AD107" s="3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23</v>
      </c>
      <c r="BR107" s="17">
        <v>4</v>
      </c>
      <c r="BS107" s="17" t="s">
        <v>283</v>
      </c>
      <c r="BT107" s="1" t="str">
        <f>IF(AQ107&gt;AQ$137, AQ107-AQ$137,"")</f>
        <v/>
      </c>
      <c r="BU107" s="1" t="str">
        <f>IF(AR107&gt;AR$137, AR107-AR$137,"")</f>
        <v/>
      </c>
      <c r="BV107" s="1" t="str">
        <f>IF(AS107&gt;AS$137, AS107-AS$137,"")</f>
        <v/>
      </c>
      <c r="BW107" s="1" t="str">
        <f>IF(AT107&gt;AT$137, AT107-AT$137,"")</f>
        <v/>
      </c>
      <c r="BX107" s="1" t="str">
        <f>IF(AU107&gt;AU$137, AU107-AU$137,"")</f>
        <v/>
      </c>
      <c r="BY107" s="1" t="str">
        <f>IF(AV107&gt;AV$137, AV107-AV$137,"")</f>
        <v/>
      </c>
      <c r="BZ107" s="1" t="str">
        <f>IF(AW107&gt;AW$137, AW107-AW$137,"")</f>
        <v/>
      </c>
      <c r="CA107" s="1" t="str">
        <f>IF(AX107&gt;AX$137, AX107-AX$137,"")</f>
        <v/>
      </c>
      <c r="CB107" s="1" t="str">
        <f>IF(AY107&gt;AY$137, AY107-AY$137,"")</f>
        <v/>
      </c>
      <c r="CC107" s="1" t="str">
        <f>IF(AZ107&gt;AZ$137, AZ107-AZ$137,"")</f>
        <v/>
      </c>
      <c r="CD107" s="1" t="str">
        <f>IF(BA107&gt;BA$137, BA107-BA$137,"")</f>
        <v/>
      </c>
      <c r="CE107" s="1" t="str">
        <f>IF(BB107&gt;BB$137, BB107-BB$137,"")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54" x14ac:dyDescent="0.15">
      <c r="A108" s="1"/>
      <c r="B108" s="1" t="s">
        <v>150</v>
      </c>
      <c r="C108" s="1" t="s">
        <v>152</v>
      </c>
      <c r="D108" s="1" t="s">
        <v>126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1"/>
      <c r="Q108" s="31"/>
      <c r="R108" s="31"/>
      <c r="S108" s="31"/>
      <c r="T108" s="31"/>
      <c r="U108" s="31"/>
      <c r="V108" s="31">
        <v>10</v>
      </c>
      <c r="W108" s="31"/>
      <c r="X108" s="31"/>
      <c r="Y108" s="31">
        <v>10</v>
      </c>
      <c r="Z108" s="31"/>
      <c r="AA108" s="31"/>
      <c r="AB108" s="31">
        <v>10</v>
      </c>
      <c r="AC108" s="31">
        <v>5</v>
      </c>
      <c r="AD108" s="3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23</v>
      </c>
      <c r="BR108" s="17">
        <v>4</v>
      </c>
      <c r="BS108" s="17" t="s">
        <v>219</v>
      </c>
      <c r="BT108" s="1" t="str">
        <f>IF(AQ108&gt;AQ$137, AQ108-AQ$137,"")</f>
        <v/>
      </c>
      <c r="BU108" s="1" t="str">
        <f>IF(AR108&gt;AR$137, AR108-AR$137,"")</f>
        <v/>
      </c>
      <c r="BV108" s="1" t="str">
        <f>IF(AS108&gt;AS$137, AS108-AS$137,"")</f>
        <v/>
      </c>
      <c r="BW108" s="1" t="str">
        <f>IF(AT108&gt;AT$137, AT108-AT$137,"")</f>
        <v/>
      </c>
      <c r="BX108" s="1" t="str">
        <f>IF(AU108&gt;AU$137, AU108-AU$137,"")</f>
        <v/>
      </c>
      <c r="BY108" s="1" t="str">
        <f>IF(AV108&gt;AV$137, AV108-AV$137,"")</f>
        <v/>
      </c>
      <c r="BZ108" s="1" t="str">
        <f>IF(AW108&gt;AW$137, AW108-AW$137,"")</f>
        <v/>
      </c>
      <c r="CA108" s="1" t="str">
        <f>IF(AX108&gt;AX$137, AX108-AX$137,"")</f>
        <v/>
      </c>
      <c r="CB108" s="1" t="str">
        <f>IF(AY108&gt;AY$137, AY108-AY$137,"")</f>
        <v/>
      </c>
      <c r="CC108" s="1" t="str">
        <f>IF(AZ108&gt;AZ$137, AZ108-AZ$137,"")</f>
        <v/>
      </c>
      <c r="CD108" s="1" t="str">
        <f>IF(BA108&gt;BA$137, BA108-BA$137,"")</f>
        <v/>
      </c>
      <c r="CE108" s="1" t="str">
        <f>IF(BB108&gt;BB$137, BB108-BB$137,"")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54" x14ac:dyDescent="0.15">
      <c r="A109" s="1"/>
      <c r="B109" s="1" t="s">
        <v>159</v>
      </c>
      <c r="C109" s="1" t="s">
        <v>154</v>
      </c>
      <c r="D109" s="1" t="s">
        <v>126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31"/>
      <c r="Q109" s="31"/>
      <c r="R109" s="31"/>
      <c r="S109" s="31"/>
      <c r="T109" s="31"/>
      <c r="U109" s="31"/>
      <c r="V109" s="31">
        <v>10</v>
      </c>
      <c r="W109" s="31"/>
      <c r="X109" s="31"/>
      <c r="Y109" s="31">
        <v>10</v>
      </c>
      <c r="Z109" s="31"/>
      <c r="AA109" s="31"/>
      <c r="AB109" s="31">
        <v>10</v>
      </c>
      <c r="AC109" s="31">
        <v>5</v>
      </c>
      <c r="AD109" s="3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23</v>
      </c>
      <c r="BR109" s="17">
        <v>4</v>
      </c>
      <c r="BS109" s="17" t="s">
        <v>219</v>
      </c>
      <c r="BT109" s="1" t="str">
        <f>IF(AQ109&gt;AQ$137, AQ109-AQ$137,"")</f>
        <v/>
      </c>
      <c r="BU109" s="1" t="str">
        <f>IF(AR109&gt;AR$137, AR109-AR$137,"")</f>
        <v/>
      </c>
      <c r="BV109" s="1" t="str">
        <f>IF(AS109&gt;AS$137, AS109-AS$137,"")</f>
        <v/>
      </c>
      <c r="BW109" s="1" t="str">
        <f>IF(AT109&gt;AT$137, AT109-AT$137,"")</f>
        <v/>
      </c>
      <c r="BX109" s="1" t="str">
        <f>IF(AU109&gt;AU$137, AU109-AU$137,"")</f>
        <v/>
      </c>
      <c r="BY109" s="1" t="str">
        <f>IF(AV109&gt;AV$137, AV109-AV$137,"")</f>
        <v/>
      </c>
      <c r="BZ109" s="1" t="str">
        <f>IF(AW109&gt;AW$137, AW109-AW$137,"")</f>
        <v/>
      </c>
      <c r="CA109" s="1" t="str">
        <f>IF(AX109&gt;AX$137, AX109-AX$137,"")</f>
        <v/>
      </c>
      <c r="CB109" s="1" t="str">
        <f>IF(AY109&gt;AY$137, AY109-AY$137,"")</f>
        <v/>
      </c>
      <c r="CC109" s="1" t="str">
        <f>IF(AZ109&gt;AZ$137, AZ109-AZ$137,"")</f>
        <v/>
      </c>
      <c r="CD109" s="1" t="str">
        <f>IF(BA109&gt;BA$137, BA109-BA$137,"")</f>
        <v/>
      </c>
      <c r="CE109" s="1" t="str">
        <f>IF(BB109&gt;BB$137, BB109-BB$137,"")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54" x14ac:dyDescent="0.15">
      <c r="A110" s="1"/>
      <c r="B110" s="1" t="s">
        <v>160</v>
      </c>
      <c r="C110" s="1" t="s">
        <v>154</v>
      </c>
      <c r="D110" s="1" t="s">
        <v>126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1"/>
      <c r="Q110" s="31"/>
      <c r="R110" s="31"/>
      <c r="S110" s="31"/>
      <c r="T110" s="31"/>
      <c r="U110" s="31"/>
      <c r="V110" s="31">
        <v>10</v>
      </c>
      <c r="W110" s="31"/>
      <c r="X110" s="31"/>
      <c r="Y110" s="31">
        <v>10</v>
      </c>
      <c r="Z110" s="31"/>
      <c r="AA110" s="31"/>
      <c r="AB110" s="31">
        <v>10</v>
      </c>
      <c r="AC110" s="31">
        <v>5</v>
      </c>
      <c r="AD110" s="3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283</v>
      </c>
      <c r="BT110" s="1" t="str">
        <f>IF(AQ110&gt;AQ$137, AQ110-AQ$137,"")</f>
        <v/>
      </c>
      <c r="BU110" s="1" t="str">
        <f>IF(AR110&gt;AR$137, AR110-AR$137,"")</f>
        <v/>
      </c>
      <c r="BV110" s="1" t="str">
        <f>IF(AS110&gt;AS$137, AS110-AS$137,"")</f>
        <v/>
      </c>
      <c r="BW110" s="1" t="str">
        <f>IF(AT110&gt;AT$137, AT110-AT$137,"")</f>
        <v/>
      </c>
      <c r="BX110" s="1" t="str">
        <f>IF(AU110&gt;AU$137, AU110-AU$137,"")</f>
        <v/>
      </c>
      <c r="BY110" s="1" t="str">
        <f>IF(AV110&gt;AV$137, AV110-AV$137,"")</f>
        <v/>
      </c>
      <c r="BZ110" s="1" t="str">
        <f>IF(AW110&gt;AW$137, AW110-AW$137,"")</f>
        <v/>
      </c>
      <c r="CA110" s="1" t="str">
        <f>IF(AX110&gt;AX$137, AX110-AX$137,"")</f>
        <v/>
      </c>
      <c r="CB110" s="1" t="str">
        <f>IF(AY110&gt;AY$137, AY110-AY$137,"")</f>
        <v/>
      </c>
      <c r="CC110" s="1" t="str">
        <f>IF(AZ110&gt;AZ$137, AZ110-AZ$137,"")</f>
        <v/>
      </c>
      <c r="CD110" s="1" t="str">
        <f>IF(BA110&gt;BA$137, BA110-BA$137,"")</f>
        <v/>
      </c>
      <c r="CE110" s="1" t="str">
        <f>IF(BB110&gt;BB$137, BB110-BB$137,"")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54" x14ac:dyDescent="0.15">
      <c r="A111" s="1"/>
      <c r="B111" s="1" t="s">
        <v>151</v>
      </c>
      <c r="C111" s="1" t="s">
        <v>152</v>
      </c>
      <c r="D111" s="1" t="s">
        <v>125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1">
        <v>10</v>
      </c>
      <c r="Q111" s="31"/>
      <c r="R111" s="31"/>
      <c r="S111" s="31">
        <v>10</v>
      </c>
      <c r="T111" s="31"/>
      <c r="U111" s="31"/>
      <c r="V111" s="31"/>
      <c r="W111" s="31"/>
      <c r="X111" s="31"/>
      <c r="Y111" s="31"/>
      <c r="Z111" s="31">
        <v>5</v>
      </c>
      <c r="AA111" s="31"/>
      <c r="AB111" s="31">
        <v>10</v>
      </c>
      <c r="AC111" s="31"/>
      <c r="AD111" s="3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23</v>
      </c>
      <c r="BR111" s="17">
        <v>4</v>
      </c>
      <c r="BS111" s="17" t="s">
        <v>284</v>
      </c>
      <c r="BT111" s="1" t="str">
        <f>IF(AQ111&gt;AQ$137, AQ111-AQ$137,"")</f>
        <v/>
      </c>
      <c r="BU111" s="1" t="str">
        <f>IF(AR111&gt;AR$137, AR111-AR$137,"")</f>
        <v/>
      </c>
      <c r="BV111" s="1" t="str">
        <f>IF(AS111&gt;AS$137, AS111-AS$137,"")</f>
        <v/>
      </c>
      <c r="BW111" s="1" t="str">
        <f>IF(AT111&gt;AT$137, AT111-AT$137,"")</f>
        <v/>
      </c>
      <c r="BX111" s="1" t="str">
        <f>IF(AU111&gt;AU$137, AU111-AU$137,"")</f>
        <v/>
      </c>
      <c r="BY111" s="1" t="str">
        <f>IF(AV111&gt;AV$137, AV111-AV$137,"")</f>
        <v/>
      </c>
      <c r="BZ111" s="1" t="str">
        <f>IF(AW111&gt;AW$137, AW111-AW$137,"")</f>
        <v/>
      </c>
      <c r="CA111" s="1" t="str">
        <f>IF(AX111&gt;AX$137, AX111-AX$137,"")</f>
        <v/>
      </c>
      <c r="CB111" s="1" t="str">
        <f>IF(AY111&gt;AY$137, AY111-AY$137,"")</f>
        <v/>
      </c>
      <c r="CC111" s="1" t="str">
        <f>IF(AZ111&gt;AZ$137, AZ111-AZ$137,"")</f>
        <v/>
      </c>
      <c r="CD111" s="1" t="str">
        <f>IF(BA111&gt;BA$137, BA111-BA$137,"")</f>
        <v/>
      </c>
      <c r="CE111" s="1" t="str">
        <f>IF(BB111&gt;BB$137, BB111-BB$137,"")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54" x14ac:dyDescent="0.15">
      <c r="A112" s="1"/>
      <c r="B112" s="1" t="s">
        <v>142</v>
      </c>
      <c r="C112" s="1" t="s">
        <v>143</v>
      </c>
      <c r="D112" s="1" t="s">
        <v>126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1"/>
      <c r="Q112" s="31">
        <v>5</v>
      </c>
      <c r="R112" s="31"/>
      <c r="S112" s="31"/>
      <c r="T112" s="31"/>
      <c r="U112" s="31"/>
      <c r="V112" s="31">
        <v>10</v>
      </c>
      <c r="W112" s="31"/>
      <c r="X112" s="31"/>
      <c r="Y112" s="31">
        <v>10</v>
      </c>
      <c r="Z112" s="31"/>
      <c r="AA112" s="31"/>
      <c r="AB112" s="31">
        <v>10</v>
      </c>
      <c r="AC112" s="31"/>
      <c r="AD112" s="3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24</v>
      </c>
      <c r="BR112" s="17">
        <v>4</v>
      </c>
      <c r="BS112" s="17" t="s">
        <v>285</v>
      </c>
      <c r="BT112" s="1" t="str">
        <f>IF(AQ112&gt;AQ$137, AQ112-AQ$137,"")</f>
        <v/>
      </c>
      <c r="BU112" s="1" t="str">
        <f>IF(AR112&gt;AR$137, AR112-AR$137,"")</f>
        <v/>
      </c>
      <c r="BV112" s="1" t="str">
        <f>IF(AS112&gt;AS$137, AS112-AS$137,"")</f>
        <v/>
      </c>
      <c r="BW112" s="1" t="str">
        <f>IF(AT112&gt;AT$137, AT112-AT$137,"")</f>
        <v/>
      </c>
      <c r="BX112" s="1" t="str">
        <f>IF(AU112&gt;AU$137, AU112-AU$137,"")</f>
        <v/>
      </c>
      <c r="BY112" s="1" t="str">
        <f>IF(AV112&gt;AV$137, AV112-AV$137,"")</f>
        <v/>
      </c>
      <c r="BZ112" s="1" t="str">
        <f>IF(AW112&gt;AW$137, AW112-AW$137,"")</f>
        <v/>
      </c>
      <c r="CA112" s="1" t="str">
        <f>IF(AX112&gt;AX$137, AX112-AX$137,"")</f>
        <v/>
      </c>
      <c r="CB112" s="1" t="str">
        <f>IF(AY112&gt;AY$137, AY112-AY$137,"")</f>
        <v/>
      </c>
      <c r="CC112" s="1" t="str">
        <f>IF(AZ112&gt;AZ$137, AZ112-AZ$137,"")</f>
        <v/>
      </c>
      <c r="CD112" s="1" t="str">
        <f>IF(BA112&gt;BA$137, BA112-BA$137,"")</f>
        <v/>
      </c>
      <c r="CE112" s="1" t="str">
        <f>IF(BB112&gt;BB$137, BB112-BB$137,"")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54" x14ac:dyDescent="0.15">
      <c r="A113" s="1"/>
      <c r="B113" s="1" t="s">
        <v>148</v>
      </c>
      <c r="C113" s="1" t="s">
        <v>147</v>
      </c>
      <c r="D113" s="1" t="s">
        <v>126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1"/>
      <c r="Q113" s="31">
        <v>5</v>
      </c>
      <c r="R113" s="31"/>
      <c r="S113" s="31"/>
      <c r="T113" s="31"/>
      <c r="U113" s="31"/>
      <c r="V113" s="31">
        <v>10</v>
      </c>
      <c r="W113" s="31"/>
      <c r="X113" s="31"/>
      <c r="Y113" s="31">
        <v>10</v>
      </c>
      <c r="Z113" s="31"/>
      <c r="AA113" s="31"/>
      <c r="AB113" s="31">
        <v>10</v>
      </c>
      <c r="AC113" s="31"/>
      <c r="AD113" s="3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24</v>
      </c>
      <c r="BR113" s="17">
        <v>4</v>
      </c>
      <c r="BS113" s="17" t="s">
        <v>285</v>
      </c>
      <c r="BT113" s="1" t="str">
        <f>IF(AQ113&gt;AQ$137, AQ113-AQ$137,"")</f>
        <v/>
      </c>
      <c r="BU113" s="1" t="str">
        <f>IF(AR113&gt;AR$137, AR113-AR$137,"")</f>
        <v/>
      </c>
      <c r="BV113" s="1" t="str">
        <f>IF(AS113&gt;AS$137, AS113-AS$137,"")</f>
        <v/>
      </c>
      <c r="BW113" s="1" t="str">
        <f>IF(AT113&gt;AT$137, AT113-AT$137,"")</f>
        <v/>
      </c>
      <c r="BX113" s="1" t="str">
        <f>IF(AU113&gt;AU$137, AU113-AU$137,"")</f>
        <v/>
      </c>
      <c r="BY113" s="1" t="str">
        <f>IF(AV113&gt;AV$137, AV113-AV$137,"")</f>
        <v/>
      </c>
      <c r="BZ113" s="1" t="str">
        <f>IF(AW113&gt;AW$137, AW113-AW$137,"")</f>
        <v/>
      </c>
      <c r="CA113" s="1" t="str">
        <f>IF(AX113&gt;AX$137, AX113-AX$137,"")</f>
        <v/>
      </c>
      <c r="CB113" s="1" t="str">
        <f>IF(AY113&gt;AY$137, AY113-AY$137,"")</f>
        <v/>
      </c>
      <c r="CC113" s="1" t="str">
        <f>IF(AZ113&gt;AZ$137, AZ113-AZ$137,"")</f>
        <v/>
      </c>
      <c r="CD113" s="1" t="str">
        <f>IF(BA113&gt;BA$137, BA113-BA$137,"")</f>
        <v/>
      </c>
      <c r="CE113" s="1" t="str">
        <f>IF(BB113&gt;BB$137, BB113-BB$137,"")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54" x14ac:dyDescent="0.15">
      <c r="A114" s="1"/>
      <c r="B114" s="1" t="s">
        <v>155</v>
      </c>
      <c r="C114" s="1" t="s">
        <v>154</v>
      </c>
      <c r="D114" s="1" t="s">
        <v>127</v>
      </c>
      <c r="E114" s="6"/>
      <c r="F114" s="6"/>
      <c r="G114" s="6">
        <v>10</v>
      </c>
      <c r="H114" s="6"/>
      <c r="I114" s="6"/>
      <c r="J114" s="6"/>
      <c r="K114" s="6"/>
      <c r="L114" s="6"/>
      <c r="M114" s="6"/>
      <c r="N114" s="6"/>
      <c r="O114" s="6"/>
      <c r="P114" s="31"/>
      <c r="Q114" s="31"/>
      <c r="R114" s="31"/>
      <c r="S114" s="31"/>
      <c r="T114" s="31"/>
      <c r="U114" s="31"/>
      <c r="V114" s="31"/>
      <c r="W114" s="31"/>
      <c r="X114" s="31">
        <v>10</v>
      </c>
      <c r="Y114" s="31"/>
      <c r="Z114" s="31"/>
      <c r="AA114" s="31"/>
      <c r="AB114" s="31"/>
      <c r="AC114" s="31"/>
      <c r="AD114" s="31">
        <v>10</v>
      </c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>
        <v>10</v>
      </c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24</v>
      </c>
      <c r="BR114" s="17">
        <v>4</v>
      </c>
      <c r="BS114" s="17" t="s">
        <v>286</v>
      </c>
      <c r="BT114" s="1" t="str">
        <f>IF(AQ114&gt;AQ$137, AQ114-AQ$137,"")</f>
        <v/>
      </c>
      <c r="BU114" s="1" t="str">
        <f>IF(AR114&gt;AR$137, AR114-AR$137,"")</f>
        <v/>
      </c>
      <c r="BV114" s="1" t="str">
        <f>IF(AS114&gt;AS$137, AS114-AS$137,"")</f>
        <v/>
      </c>
      <c r="BW114" s="1" t="str">
        <f>IF(AT114&gt;AT$137, AT114-AT$137,"")</f>
        <v/>
      </c>
      <c r="BX114" s="1" t="str">
        <f>IF(AU114&gt;AU$137, AU114-AU$137,"")</f>
        <v/>
      </c>
      <c r="BY114" s="1">
        <f>IF(AV114&gt;AV$137, AV114-AV$137,"")</f>
        <v>6</v>
      </c>
      <c r="BZ114" s="1" t="str">
        <f>IF(AW114&gt;AW$137, AW114-AW$137,"")</f>
        <v/>
      </c>
      <c r="CA114" s="1" t="str">
        <f>IF(AX114&gt;AX$137, AX114-AX$137,"")</f>
        <v/>
      </c>
      <c r="CB114" s="1" t="str">
        <f>IF(AY114&gt;AY$137, AY114-AY$137,"")</f>
        <v/>
      </c>
      <c r="CC114" s="1" t="str">
        <f>IF(AZ114&gt;AZ$137, AZ114-AZ$137,"")</f>
        <v/>
      </c>
      <c r="CD114" s="1" t="str">
        <f>IF(BA114&gt;BA$137, BA114-BA$137,"")</f>
        <v/>
      </c>
      <c r="CE114" s="1" t="str">
        <f>IF(BB114&gt;BB$137, BB114-BB$137,"")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54" x14ac:dyDescent="0.15">
      <c r="A115" s="1"/>
      <c r="B115" s="1" t="s">
        <v>162</v>
      </c>
      <c r="C115" s="1" t="s">
        <v>122</v>
      </c>
      <c r="D115" s="1" t="s">
        <v>165</v>
      </c>
      <c r="E115" s="6"/>
      <c r="F115" s="6"/>
      <c r="G115" s="6">
        <v>10</v>
      </c>
      <c r="H115" s="6"/>
      <c r="I115" s="6"/>
      <c r="J115" s="6"/>
      <c r="K115" s="6"/>
      <c r="L115" s="6"/>
      <c r="M115" s="6"/>
      <c r="N115" s="6"/>
      <c r="O115" s="6"/>
      <c r="P115" s="31"/>
      <c r="Q115" s="31"/>
      <c r="R115" s="31"/>
      <c r="S115" s="31"/>
      <c r="T115" s="31"/>
      <c r="U115" s="31"/>
      <c r="V115" s="31"/>
      <c r="W115" s="31"/>
      <c r="X115" s="31">
        <v>10</v>
      </c>
      <c r="Y115" s="31"/>
      <c r="Z115" s="31"/>
      <c r="AA115" s="31"/>
      <c r="AB115" s="31"/>
      <c r="AC115" s="31"/>
      <c r="AD115" s="31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>
        <v>10</v>
      </c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24</v>
      </c>
      <c r="BR115" s="17">
        <v>4</v>
      </c>
      <c r="BS115" s="17" t="s">
        <v>286</v>
      </c>
      <c r="BT115" s="1" t="str">
        <f>IF(AQ115&gt;AQ$137, AQ115-AQ$137,"")</f>
        <v/>
      </c>
      <c r="BU115" s="1" t="str">
        <f>IF(AR115&gt;AR$137, AR115-AR$137,"")</f>
        <v/>
      </c>
      <c r="BV115" s="1" t="str">
        <f>IF(AS115&gt;AS$137, AS115-AS$137,"")</f>
        <v/>
      </c>
      <c r="BW115" s="1" t="str">
        <f>IF(AT115&gt;AT$137, AT115-AT$137,"")</f>
        <v/>
      </c>
      <c r="BX115" s="1" t="str">
        <f>IF(AU115&gt;AU$137, AU115-AU$137,"")</f>
        <v/>
      </c>
      <c r="BY115" s="1">
        <f>IF(AV115&gt;AV$137, AV115-AV$137,"")</f>
        <v>6</v>
      </c>
      <c r="BZ115" s="1" t="str">
        <f>IF(AW115&gt;AW$137, AW115-AW$137,"")</f>
        <v/>
      </c>
      <c r="CA115" s="1" t="str">
        <f>IF(AX115&gt;AX$137, AX115-AX$137,"")</f>
        <v/>
      </c>
      <c r="CB115" s="1" t="str">
        <f>IF(AY115&gt;AY$137, AY115-AY$137,"")</f>
        <v/>
      </c>
      <c r="CC115" s="1" t="str">
        <f>IF(AZ115&gt;AZ$137, AZ115-AZ$137,"")</f>
        <v/>
      </c>
      <c r="CD115" s="1" t="str">
        <f>IF(BA115&gt;BA$137, BA115-BA$137,"")</f>
        <v/>
      </c>
      <c r="CE115" s="1" t="str">
        <f>IF(BB115&gt;BB$137, BB115-BB$137,"")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54" x14ac:dyDescent="0.15">
      <c r="A116" s="1"/>
      <c r="B116" s="1" t="s">
        <v>136</v>
      </c>
      <c r="C116" s="1" t="s">
        <v>124</v>
      </c>
      <c r="D116" s="1" t="s">
        <v>127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>
        <v>10</v>
      </c>
      <c r="P116" s="31"/>
      <c r="Q116" s="31"/>
      <c r="R116" s="31">
        <v>10</v>
      </c>
      <c r="S116" s="31"/>
      <c r="T116" s="31"/>
      <c r="U116" s="31"/>
      <c r="V116" s="31"/>
      <c r="W116" s="31"/>
      <c r="X116" s="31">
        <v>10</v>
      </c>
      <c r="Y116" s="31"/>
      <c r="Z116" s="31"/>
      <c r="AA116" s="31"/>
      <c r="AB116" s="31"/>
      <c r="AC116" s="31"/>
      <c r="AD116" s="3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>
        <v>10</v>
      </c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27</v>
      </c>
      <c r="BR116" s="17">
        <v>4</v>
      </c>
      <c r="BS116" s="17" t="s">
        <v>287</v>
      </c>
      <c r="BT116" s="1" t="str">
        <f>IF(AQ116&gt;AQ$137, AQ116-AQ$137,"")</f>
        <v/>
      </c>
      <c r="BU116" s="1" t="str">
        <f>IF(AR116&gt;AR$137, AR116-AR$137,"")</f>
        <v/>
      </c>
      <c r="BV116" s="1">
        <f>IF(AS116&gt;AS$137, AS116-AS$137,"")</f>
        <v>8</v>
      </c>
      <c r="BW116" s="1" t="str">
        <f>IF(AT116&gt;AT$137, AT116-AT$137,"")</f>
        <v/>
      </c>
      <c r="BX116" s="1" t="str">
        <f>IF(AU116&gt;AU$137, AU116-AU$137,"")</f>
        <v/>
      </c>
      <c r="BY116" s="1" t="str">
        <f>IF(AV116&gt;AV$137, AV116-AV$137,"")</f>
        <v/>
      </c>
      <c r="BZ116" s="1" t="str">
        <f>IF(AW116&gt;AW$137, AW116-AW$137,"")</f>
        <v/>
      </c>
      <c r="CA116" s="1" t="str">
        <f>IF(AX116&gt;AX$137, AX116-AX$137,"")</f>
        <v/>
      </c>
      <c r="CB116" s="1" t="str">
        <f>IF(AY116&gt;AY$137, AY116-AY$137,"")</f>
        <v/>
      </c>
      <c r="CC116" s="1" t="str">
        <f>IF(AZ116&gt;AZ$137, AZ116-AZ$137,"")</f>
        <v/>
      </c>
      <c r="CD116" s="1" t="str">
        <f>IF(BA116&gt;BA$137, BA116-BA$137,"")</f>
        <v/>
      </c>
      <c r="CE116" s="1" t="str">
        <f>IF(BB116&gt;BB$137, BB116-BB$137,"")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54" x14ac:dyDescent="0.15">
      <c r="A117" s="1"/>
      <c r="B117" s="1" t="s">
        <v>184</v>
      </c>
      <c r="C117" s="1" t="s">
        <v>147</v>
      </c>
      <c r="D117" s="1" t="s">
        <v>126</v>
      </c>
      <c r="E117" s="6">
        <v>15</v>
      </c>
      <c r="F117" s="6"/>
      <c r="G117" s="6"/>
      <c r="H117" s="6"/>
      <c r="I117" s="6"/>
      <c r="J117" s="6"/>
      <c r="K117" s="6"/>
      <c r="L117" s="6"/>
      <c r="M117" s="6">
        <v>15</v>
      </c>
      <c r="N117" s="6"/>
      <c r="O117" s="6"/>
      <c r="P117" s="31"/>
      <c r="Q117" s="31"/>
      <c r="R117" s="31"/>
      <c r="S117" s="31"/>
      <c r="T117" s="31"/>
      <c r="U117" s="31"/>
      <c r="V117" s="31"/>
      <c r="W117" s="31"/>
      <c r="X117" s="31"/>
      <c r="Y117" s="31"/>
      <c r="Z117" s="31"/>
      <c r="AA117" s="31"/>
      <c r="AB117" s="31"/>
      <c r="AC117" s="31"/>
      <c r="AD117" s="3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>
        <v>15</v>
      </c>
      <c r="AX117" s="2"/>
      <c r="AY117" s="2"/>
      <c r="AZ117" s="2"/>
      <c r="BA117" s="2">
        <v>15</v>
      </c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60</v>
      </c>
      <c r="BQ117" s="1">
        <v>27</v>
      </c>
      <c r="BR117" s="17">
        <v>4</v>
      </c>
      <c r="BS117" s="17" t="s">
        <v>288</v>
      </c>
      <c r="BT117" s="1" t="str">
        <f>IF(AQ117&gt;AQ$137, AQ117-AQ$137,"")</f>
        <v/>
      </c>
      <c r="BU117" s="1" t="str">
        <f>IF(AR117&gt;AR$137, AR117-AR$137,"")</f>
        <v/>
      </c>
      <c r="BV117" s="1" t="str">
        <f>IF(AS117&gt;AS$137, AS117-AS$137,"")</f>
        <v/>
      </c>
      <c r="BW117" s="1" t="str">
        <f>IF(AT117&gt;AT$137, AT117-AT$137,"")</f>
        <v/>
      </c>
      <c r="BX117" s="1" t="str">
        <f>IF(AU117&gt;AU$137, AU117-AU$137,"")</f>
        <v/>
      </c>
      <c r="BY117" s="1" t="str">
        <f>IF(AV117&gt;AV$137, AV117-AV$137,"")</f>
        <v/>
      </c>
      <c r="BZ117" s="1">
        <f>IF(AW117&gt;AW$137, AW117-AW$137,"")</f>
        <v>10</v>
      </c>
      <c r="CA117" s="1" t="str">
        <f>IF(AX117&gt;AX$137, AX117-AX$137,"")</f>
        <v/>
      </c>
      <c r="CB117" s="1" t="str">
        <f>IF(AY117&gt;AY$137, AY117-AY$137,"")</f>
        <v/>
      </c>
      <c r="CC117" s="1" t="str">
        <f>IF(AZ117&gt;AZ$137, AZ117-AZ$137,"")</f>
        <v/>
      </c>
      <c r="CD117" s="1">
        <f>IF(BA117&gt;BA$137, BA117-BA$137,"")</f>
        <v>10</v>
      </c>
      <c r="CE117" s="1" t="str">
        <f>IF(BB117&gt;BB$137, BB117-BB$137,"")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54" x14ac:dyDescent="0.15">
      <c r="A118" s="1"/>
      <c r="B118" s="1" t="s">
        <v>141</v>
      </c>
      <c r="C118" s="1" t="s">
        <v>124</v>
      </c>
      <c r="D118" s="1" t="s">
        <v>127</v>
      </c>
      <c r="E118" s="6"/>
      <c r="F118" s="6"/>
      <c r="G118" s="6"/>
      <c r="H118" s="6">
        <v>10</v>
      </c>
      <c r="I118" s="6"/>
      <c r="J118" s="6"/>
      <c r="K118" s="6"/>
      <c r="L118" s="6"/>
      <c r="M118" s="6"/>
      <c r="N118" s="6"/>
      <c r="O118" s="6"/>
      <c r="P118" s="31"/>
      <c r="Q118" s="31"/>
      <c r="R118" s="31">
        <v>10</v>
      </c>
      <c r="S118" s="31"/>
      <c r="T118" s="31"/>
      <c r="U118" s="31"/>
      <c r="V118" s="31"/>
      <c r="W118" s="31"/>
      <c r="X118" s="31">
        <v>10</v>
      </c>
      <c r="Y118" s="31"/>
      <c r="Z118" s="31"/>
      <c r="AA118" s="31"/>
      <c r="AB118" s="31"/>
      <c r="AC118" s="31"/>
      <c r="AD118" s="3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>
        <v>10</v>
      </c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30</v>
      </c>
      <c r="BR118" s="17">
        <v>4</v>
      </c>
      <c r="BS118" s="17" t="s">
        <v>289</v>
      </c>
      <c r="BT118" s="1" t="str">
        <f>IF(AQ118&gt;AQ$137, AQ118-AQ$137,"")</f>
        <v/>
      </c>
      <c r="BU118" s="1">
        <f>IF(AR118&gt;AR$137, AR118-AR$137,"")</f>
        <v>8</v>
      </c>
      <c r="BV118" s="1" t="str">
        <f>IF(AS118&gt;AS$137, AS118-AS$137,"")</f>
        <v/>
      </c>
      <c r="BW118" s="1" t="str">
        <f>IF(AT118&gt;AT$137, AT118-AT$137,"")</f>
        <v/>
      </c>
      <c r="BX118" s="1" t="str">
        <f>IF(AU118&gt;AU$137, AU118-AU$137,"")</f>
        <v/>
      </c>
      <c r="BY118" s="1" t="str">
        <f>IF(AV118&gt;AV$137, AV118-AV$137,"")</f>
        <v/>
      </c>
      <c r="BZ118" s="1" t="str">
        <f>IF(AW118&gt;AW$137, AW118-AW$137,"")</f>
        <v/>
      </c>
      <c r="CA118" s="1" t="str">
        <f>IF(AX118&gt;AX$137, AX118-AX$137,"")</f>
        <v/>
      </c>
      <c r="CB118" s="1" t="str">
        <f>IF(AY118&gt;AY$137, AY118-AY$137,"")</f>
        <v/>
      </c>
      <c r="CC118" s="1" t="str">
        <f>IF(AZ118&gt;AZ$137, AZ118-AZ$137,"")</f>
        <v/>
      </c>
      <c r="CD118" s="1" t="str">
        <f>IF(BA118&gt;BA$137, BA118-BA$137,"")</f>
        <v/>
      </c>
      <c r="CE118" s="1" t="str">
        <f>IF(BB118&gt;BB$137, BB118-BB$137,"")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54" x14ac:dyDescent="0.15">
      <c r="A119" s="1"/>
      <c r="B119" s="1" t="s">
        <v>156</v>
      </c>
      <c r="C119" s="1" t="s">
        <v>154</v>
      </c>
      <c r="D119" s="1" t="s">
        <v>127</v>
      </c>
      <c r="E119" s="6"/>
      <c r="F119" s="6"/>
      <c r="G119" s="6"/>
      <c r="H119" s="6">
        <v>10</v>
      </c>
      <c r="I119" s="6"/>
      <c r="J119" s="6"/>
      <c r="K119" s="6"/>
      <c r="L119" s="6"/>
      <c r="M119" s="6"/>
      <c r="N119" s="6"/>
      <c r="O119" s="6"/>
      <c r="P119" s="31"/>
      <c r="Q119" s="31"/>
      <c r="R119" s="31">
        <v>10</v>
      </c>
      <c r="S119" s="31"/>
      <c r="T119" s="31"/>
      <c r="U119" s="31">
        <v>10</v>
      </c>
      <c r="V119" s="31"/>
      <c r="W119" s="31"/>
      <c r="X119" s="31"/>
      <c r="Y119" s="31"/>
      <c r="Z119" s="31"/>
      <c r="AA119" s="31"/>
      <c r="AB119" s="31"/>
      <c r="AC119" s="31"/>
      <c r="AD119" s="3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30</v>
      </c>
      <c r="BR119" s="17">
        <v>4</v>
      </c>
      <c r="BS119" s="17" t="s">
        <v>290</v>
      </c>
      <c r="BT119" s="1" t="str">
        <f>IF(AQ119&gt;AQ$137, AQ119-AQ$137,"")</f>
        <v/>
      </c>
      <c r="BU119" s="1" t="str">
        <f>IF(AR119&gt;AR$137, AR119-AR$137,"")</f>
        <v/>
      </c>
      <c r="BV119" s="1" t="str">
        <f>IF(AS119&gt;AS$137, AS119-AS$137,"")</f>
        <v/>
      </c>
      <c r="BW119" s="1" t="str">
        <f>IF(AT119&gt;AT$137, AT119-AT$137,"")</f>
        <v/>
      </c>
      <c r="BX119" s="1">
        <f>IF(AU119&gt;AU$137, AU119-AU$137,"")</f>
        <v>2</v>
      </c>
      <c r="BY119" s="1" t="str">
        <f>IF(AV119&gt;AV$137, AV119-AV$137,"")</f>
        <v/>
      </c>
      <c r="BZ119" s="1" t="str">
        <f>IF(AW119&gt;AW$137, AW119-AW$137,"")</f>
        <v/>
      </c>
      <c r="CA119" s="1" t="str">
        <f>IF(AX119&gt;AX$137, AX119-AX$137,"")</f>
        <v/>
      </c>
      <c r="CB119" s="1" t="str">
        <f>IF(AY119&gt;AY$137, AY119-AY$137,"")</f>
        <v/>
      </c>
      <c r="CC119" s="1" t="str">
        <f>IF(AZ119&gt;AZ$137, AZ119-AZ$137,"")</f>
        <v/>
      </c>
      <c r="CD119" s="1" t="str">
        <f>IF(BA119&gt;BA$137, BA119-BA$137,"")</f>
        <v/>
      </c>
      <c r="CE119" s="1" t="str">
        <f>IF(BB119&gt;BB$137, BB119-BB$137,"")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54" x14ac:dyDescent="0.15">
      <c r="A120" s="1"/>
      <c r="B120" s="1" t="s">
        <v>142</v>
      </c>
      <c r="C120" s="1" t="s">
        <v>143</v>
      </c>
      <c r="D120" s="1" t="s">
        <v>125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1">
        <v>10</v>
      </c>
      <c r="Q120" s="31"/>
      <c r="R120" s="31"/>
      <c r="S120" s="31">
        <v>10</v>
      </c>
      <c r="T120" s="31"/>
      <c r="U120" s="31"/>
      <c r="V120" s="31">
        <v>10</v>
      </c>
      <c r="W120" s="31"/>
      <c r="X120" s="31"/>
      <c r="Y120" s="31">
        <v>10</v>
      </c>
      <c r="Z120" s="31"/>
      <c r="AA120" s="31"/>
      <c r="AB120" s="31"/>
      <c r="AC120" s="31"/>
      <c r="AD120" s="3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35</v>
      </c>
      <c r="BR120" s="17">
        <v>4</v>
      </c>
      <c r="BS120" s="17" t="s">
        <v>220</v>
      </c>
      <c r="BT120" s="1" t="str">
        <f>IF(AQ120&gt;AQ$137, AQ120-AQ$137,"")</f>
        <v/>
      </c>
      <c r="BU120" s="1" t="str">
        <f>IF(AR120&gt;AR$137, AR120-AR$137,"")</f>
        <v/>
      </c>
      <c r="BV120" s="1" t="str">
        <f>IF(AS120&gt;AS$137, AS120-AS$137,"")</f>
        <v/>
      </c>
      <c r="BW120" s="1" t="str">
        <f>IF(AT120&gt;AT$137, AT120-AT$137,"")</f>
        <v/>
      </c>
      <c r="BX120" s="1" t="str">
        <f>IF(AU120&gt;AU$137, AU120-AU$137,"")</f>
        <v/>
      </c>
      <c r="BY120" s="1" t="str">
        <f>IF(AV120&gt;AV$137, AV120-AV$137,"")</f>
        <v/>
      </c>
      <c r="BZ120" s="1" t="str">
        <f>IF(AW120&gt;AW$137, AW120-AW$137,"")</f>
        <v/>
      </c>
      <c r="CA120" s="1" t="str">
        <f>IF(AX120&gt;AX$137, AX120-AX$137,"")</f>
        <v/>
      </c>
      <c r="CB120" s="1" t="str">
        <f>IF(AY120&gt;AY$137, AY120-AY$137,"")</f>
        <v/>
      </c>
      <c r="CC120" s="1" t="str">
        <f>IF(AZ120&gt;AZ$137, AZ120-AZ$137,"")</f>
        <v/>
      </c>
      <c r="CD120" s="1" t="str">
        <f>IF(BA120&gt;BA$137, BA120-BA$137,"")</f>
        <v/>
      </c>
      <c r="CE120" s="1" t="str">
        <f>IF(BB120&gt;BB$137, BB120-BB$137,"")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54" x14ac:dyDescent="0.15">
      <c r="A121" s="1"/>
      <c r="B121" s="1" t="s">
        <v>148</v>
      </c>
      <c r="C121" s="1" t="s">
        <v>147</v>
      </c>
      <c r="D121" s="1" t="s">
        <v>125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1">
        <v>10</v>
      </c>
      <c r="Q121" s="31"/>
      <c r="R121" s="31"/>
      <c r="S121" s="31">
        <v>10</v>
      </c>
      <c r="T121" s="31"/>
      <c r="U121" s="31"/>
      <c r="V121" s="31">
        <v>10</v>
      </c>
      <c r="W121" s="31"/>
      <c r="X121" s="31"/>
      <c r="Y121" s="31">
        <v>10</v>
      </c>
      <c r="Z121" s="31"/>
      <c r="AA121" s="31"/>
      <c r="AB121" s="31"/>
      <c r="AC121" s="31"/>
      <c r="AD121" s="3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35</v>
      </c>
      <c r="BR121" s="17">
        <v>4</v>
      </c>
      <c r="BS121" s="17" t="s">
        <v>220</v>
      </c>
      <c r="BT121" s="1" t="str">
        <f>IF(AQ121&gt;AQ$137, AQ121-AQ$137,"")</f>
        <v/>
      </c>
      <c r="BU121" s="1" t="str">
        <f>IF(AR121&gt;AR$137, AR121-AR$137,"")</f>
        <v/>
      </c>
      <c r="BV121" s="1" t="str">
        <f>IF(AS121&gt;AS$137, AS121-AS$137,"")</f>
        <v/>
      </c>
      <c r="BW121" s="1" t="str">
        <f>IF(AT121&gt;AT$137, AT121-AT$137,"")</f>
        <v/>
      </c>
      <c r="BX121" s="1" t="str">
        <f>IF(AU121&gt;AU$137, AU121-AU$137,"")</f>
        <v/>
      </c>
      <c r="BY121" s="1" t="str">
        <f>IF(AV121&gt;AV$137, AV121-AV$137,"")</f>
        <v/>
      </c>
      <c r="BZ121" s="1" t="str">
        <f>IF(AW121&gt;AW$137, AW121-AW$137,"")</f>
        <v/>
      </c>
      <c r="CA121" s="1" t="str">
        <f>IF(AX121&gt;AX$137, AX121-AX$137,"")</f>
        <v/>
      </c>
      <c r="CB121" s="1" t="str">
        <f>IF(AY121&gt;AY$137, AY121-AY$137,"")</f>
        <v/>
      </c>
      <c r="CC121" s="1" t="str">
        <f>IF(AZ121&gt;AZ$137, AZ121-AZ$137,"")</f>
        <v/>
      </c>
      <c r="CD121" s="1" t="str">
        <f>IF(BA121&gt;BA$137, BA121-BA$137,"")</f>
        <v/>
      </c>
      <c r="CE121" s="1" t="str">
        <f>IF(BB121&gt;BB$137, BB121-BB$137,"")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54" x14ac:dyDescent="0.15">
      <c r="A122" s="1"/>
      <c r="B122" s="1" t="s">
        <v>150</v>
      </c>
      <c r="C122" s="1" t="s">
        <v>152</v>
      </c>
      <c r="D122" s="1" t="s">
        <v>125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1">
        <v>10</v>
      </c>
      <c r="Q122" s="31"/>
      <c r="R122" s="31"/>
      <c r="S122" s="31">
        <v>10</v>
      </c>
      <c r="T122" s="31"/>
      <c r="U122" s="31"/>
      <c r="V122" s="31">
        <v>10</v>
      </c>
      <c r="W122" s="31"/>
      <c r="X122" s="31"/>
      <c r="Y122" s="31">
        <v>10</v>
      </c>
      <c r="Z122" s="31"/>
      <c r="AA122" s="31"/>
      <c r="AB122" s="31"/>
      <c r="AC122" s="31"/>
      <c r="AD122" s="3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35</v>
      </c>
      <c r="BR122" s="17">
        <v>4</v>
      </c>
      <c r="BS122" s="17" t="s">
        <v>291</v>
      </c>
      <c r="BT122" s="1" t="str">
        <f>IF(AQ122&gt;AQ$137, AQ122-AQ$137,"")</f>
        <v/>
      </c>
      <c r="BU122" s="1" t="str">
        <f>IF(AR122&gt;AR$137, AR122-AR$137,"")</f>
        <v/>
      </c>
      <c r="BV122" s="1" t="str">
        <f>IF(AS122&gt;AS$137, AS122-AS$137,"")</f>
        <v/>
      </c>
      <c r="BW122" s="1" t="str">
        <f>IF(AT122&gt;AT$137, AT122-AT$137,"")</f>
        <v/>
      </c>
      <c r="BX122" s="1" t="str">
        <f>IF(AU122&gt;AU$137, AU122-AU$137,"")</f>
        <v/>
      </c>
      <c r="BY122" s="1" t="str">
        <f>IF(AV122&gt;AV$137, AV122-AV$137,"")</f>
        <v/>
      </c>
      <c r="BZ122" s="1" t="str">
        <f>IF(AW122&gt;AW$137, AW122-AW$137,"")</f>
        <v/>
      </c>
      <c r="CA122" s="1" t="str">
        <f>IF(AX122&gt;AX$137, AX122-AX$137,"")</f>
        <v/>
      </c>
      <c r="CB122" s="1" t="str">
        <f>IF(AY122&gt;AY$137, AY122-AY$137,"")</f>
        <v/>
      </c>
      <c r="CC122" s="1" t="str">
        <f>IF(AZ122&gt;AZ$137, AZ122-AZ$137,"")</f>
        <v/>
      </c>
      <c r="CD122" s="1" t="str">
        <f>IF(BA122&gt;BA$137, BA122-BA$137,"")</f>
        <v/>
      </c>
      <c r="CE122" s="1" t="str">
        <f>IF(BB122&gt;BB$137, BB122-BB$137,"")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54" x14ac:dyDescent="0.15">
      <c r="A123" s="1"/>
      <c r="B123" s="1" t="s">
        <v>156</v>
      </c>
      <c r="C123" s="1" t="s">
        <v>154</v>
      </c>
      <c r="D123" s="1" t="s">
        <v>125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1">
        <v>10</v>
      </c>
      <c r="Q123" s="31"/>
      <c r="R123" s="31"/>
      <c r="S123" s="31">
        <v>10</v>
      </c>
      <c r="T123" s="31"/>
      <c r="U123" s="31"/>
      <c r="V123" s="31">
        <v>10</v>
      </c>
      <c r="W123" s="31"/>
      <c r="X123" s="31"/>
      <c r="Y123" s="31">
        <v>10</v>
      </c>
      <c r="Z123" s="31"/>
      <c r="AA123" s="31"/>
      <c r="AB123" s="31"/>
      <c r="AC123" s="31"/>
      <c r="AD123" s="3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35</v>
      </c>
      <c r="BR123" s="17">
        <v>4</v>
      </c>
      <c r="BS123" s="17" t="s">
        <v>291</v>
      </c>
      <c r="BT123" s="1" t="str">
        <f>IF(AQ123&gt;AQ$137, AQ123-AQ$137,"")</f>
        <v/>
      </c>
      <c r="BU123" s="1" t="str">
        <f>IF(AR123&gt;AR$137, AR123-AR$137,"")</f>
        <v/>
      </c>
      <c r="BV123" s="1" t="str">
        <f>IF(AS123&gt;AS$137, AS123-AS$137,"")</f>
        <v/>
      </c>
      <c r="BW123" s="1" t="str">
        <f>IF(AT123&gt;AT$137, AT123-AT$137,"")</f>
        <v/>
      </c>
      <c r="BX123" s="1" t="str">
        <f>IF(AU123&gt;AU$137, AU123-AU$137,"")</f>
        <v/>
      </c>
      <c r="BY123" s="1" t="str">
        <f>IF(AV123&gt;AV$137, AV123-AV$137,"")</f>
        <v/>
      </c>
      <c r="BZ123" s="1" t="str">
        <f>IF(AW123&gt;AW$137, AW123-AW$137,"")</f>
        <v/>
      </c>
      <c r="CA123" s="1" t="str">
        <f>IF(AX123&gt;AX$137, AX123-AX$137,"")</f>
        <v/>
      </c>
      <c r="CB123" s="1" t="str">
        <f>IF(AY123&gt;AY$137, AY123-AY$137,"")</f>
        <v/>
      </c>
      <c r="CC123" s="1" t="str">
        <f>IF(AZ123&gt;AZ$137, AZ123-AZ$137,"")</f>
        <v/>
      </c>
      <c r="CD123" s="1" t="str">
        <f>IF(BA123&gt;BA$137, BA123-BA$137,"")</f>
        <v/>
      </c>
      <c r="CE123" s="1" t="str">
        <f>IF(BB123&gt;BB$137, BB123-BB$137,"")</f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54" x14ac:dyDescent="0.15">
      <c r="A124" s="1"/>
      <c r="B124" s="1" t="s">
        <v>159</v>
      </c>
      <c r="C124" s="1" t="s">
        <v>154</v>
      </c>
      <c r="D124" s="1" t="s">
        <v>125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1">
        <v>10</v>
      </c>
      <c r="Q124" s="31"/>
      <c r="R124" s="31"/>
      <c r="S124" s="31">
        <v>10</v>
      </c>
      <c r="T124" s="31"/>
      <c r="U124" s="31"/>
      <c r="V124" s="31">
        <v>10</v>
      </c>
      <c r="W124" s="31"/>
      <c r="X124" s="31"/>
      <c r="Y124" s="31">
        <v>10</v>
      </c>
      <c r="Z124" s="31"/>
      <c r="AA124" s="31"/>
      <c r="AB124" s="31"/>
      <c r="AC124" s="31"/>
      <c r="AD124" s="3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35</v>
      </c>
      <c r="BR124" s="17">
        <v>4</v>
      </c>
      <c r="BS124" s="17" t="s">
        <v>291</v>
      </c>
      <c r="BT124" s="1" t="str">
        <f>IF(AQ124&gt;AQ$137, AQ124-AQ$137,"")</f>
        <v/>
      </c>
      <c r="BU124" s="1" t="str">
        <f>IF(AR124&gt;AR$137, AR124-AR$137,"")</f>
        <v/>
      </c>
      <c r="BV124" s="1" t="str">
        <f>IF(AS124&gt;AS$137, AS124-AS$137,"")</f>
        <v/>
      </c>
      <c r="BW124" s="1" t="str">
        <f>IF(AT124&gt;AT$137, AT124-AT$137,"")</f>
        <v/>
      </c>
      <c r="BX124" s="1" t="str">
        <f>IF(AU124&gt;AU$137, AU124-AU$137,"")</f>
        <v/>
      </c>
      <c r="BY124" s="1" t="str">
        <f>IF(AV124&gt;AV$137, AV124-AV$137,"")</f>
        <v/>
      </c>
      <c r="BZ124" s="1" t="str">
        <f>IF(AW124&gt;AW$137, AW124-AW$137,"")</f>
        <v/>
      </c>
      <c r="CA124" s="1" t="str">
        <f>IF(AX124&gt;AX$137, AX124-AX$137,"")</f>
        <v/>
      </c>
      <c r="CB124" s="1" t="str">
        <f>IF(AY124&gt;AY$137, AY124-AY$137,"")</f>
        <v/>
      </c>
      <c r="CC124" s="1" t="str">
        <f>IF(AZ124&gt;AZ$137, AZ124-AZ$137,"")</f>
        <v/>
      </c>
      <c r="CD124" s="1" t="str">
        <f>IF(BA124&gt;BA$137, BA124-BA$137,"")</f>
        <v/>
      </c>
      <c r="CE124" s="1" t="str">
        <f>IF(BB124&gt;BB$137, BB124-BB$137,"")</f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54" x14ac:dyDescent="0.15">
      <c r="A125" s="1"/>
      <c r="B125" s="1" t="s">
        <v>160</v>
      </c>
      <c r="C125" s="1" t="s">
        <v>154</v>
      </c>
      <c r="D125" s="1" t="s">
        <v>125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31">
        <v>10</v>
      </c>
      <c r="Q125" s="31"/>
      <c r="R125" s="31"/>
      <c r="S125" s="31">
        <v>10</v>
      </c>
      <c r="T125" s="31"/>
      <c r="U125" s="31"/>
      <c r="V125" s="31">
        <v>10</v>
      </c>
      <c r="W125" s="31"/>
      <c r="X125" s="31"/>
      <c r="Y125" s="31">
        <v>10</v>
      </c>
      <c r="Z125" s="31"/>
      <c r="AA125" s="31"/>
      <c r="AB125" s="31"/>
      <c r="AC125" s="31"/>
      <c r="AD125" s="3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35</v>
      </c>
      <c r="BR125" s="17">
        <v>4</v>
      </c>
      <c r="BS125" s="17" t="s">
        <v>291</v>
      </c>
      <c r="BT125" s="1" t="str">
        <f>IF(AQ125&gt;AQ$137, AQ125-AQ$137,"")</f>
        <v/>
      </c>
      <c r="BU125" s="1" t="str">
        <f>IF(AR125&gt;AR$137, AR125-AR$137,"")</f>
        <v/>
      </c>
      <c r="BV125" s="1" t="str">
        <f>IF(AS125&gt;AS$137, AS125-AS$137,"")</f>
        <v/>
      </c>
      <c r="BW125" s="1" t="str">
        <f>IF(AT125&gt;AT$137, AT125-AT$137,"")</f>
        <v/>
      </c>
      <c r="BX125" s="1" t="str">
        <f>IF(AU125&gt;AU$137, AU125-AU$137,"")</f>
        <v/>
      </c>
      <c r="BY125" s="1" t="str">
        <f>IF(AV125&gt;AV$137, AV125-AV$137,"")</f>
        <v/>
      </c>
      <c r="BZ125" s="1" t="str">
        <f>IF(AW125&gt;AW$137, AW125-AW$137,"")</f>
        <v/>
      </c>
      <c r="CA125" s="1" t="str">
        <f>IF(AX125&gt;AX$137, AX125-AX$137,"")</f>
        <v/>
      </c>
      <c r="CB125" s="1" t="str">
        <f>IF(AY125&gt;AY$137, AY125-AY$137,"")</f>
        <v/>
      </c>
      <c r="CC125" s="1" t="str">
        <f>IF(AZ125&gt;AZ$137, AZ125-AZ$137,"")</f>
        <v/>
      </c>
      <c r="CD125" s="1" t="str">
        <f>IF(BA125&gt;BA$137, BA125-BA$137,"")</f>
        <v/>
      </c>
      <c r="CE125" s="1" t="str">
        <f>IF(BB125&gt;BB$137, BB125-BB$137,"")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54" x14ac:dyDescent="0.15">
      <c r="A126" s="1"/>
      <c r="B126" s="1" t="s">
        <v>166</v>
      </c>
      <c r="C126" s="1" t="s">
        <v>107</v>
      </c>
      <c r="D126" s="1" t="s">
        <v>109</v>
      </c>
      <c r="E126" s="6">
        <v>10</v>
      </c>
      <c r="F126" s="6"/>
      <c r="G126" s="6">
        <v>10</v>
      </c>
      <c r="H126" s="6"/>
      <c r="I126" s="6"/>
      <c r="J126" s="6"/>
      <c r="K126" s="6"/>
      <c r="L126" s="6"/>
      <c r="M126" s="6"/>
      <c r="N126" s="6"/>
      <c r="O126" s="6"/>
      <c r="P126" s="31"/>
      <c r="Q126" s="31"/>
      <c r="R126" s="31"/>
      <c r="S126" s="31"/>
      <c r="T126" s="31"/>
      <c r="U126" s="31"/>
      <c r="V126" s="31"/>
      <c r="W126" s="31"/>
      <c r="X126" s="31"/>
      <c r="Y126" s="31"/>
      <c r="Z126" s="31"/>
      <c r="AA126" s="31"/>
      <c r="AB126" s="31"/>
      <c r="AC126" s="31"/>
      <c r="AD126" s="3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>
        <v>15</v>
      </c>
      <c r="AU126" s="4"/>
      <c r="AV126" s="4"/>
      <c r="AW126" s="2"/>
      <c r="AX126" s="2"/>
      <c r="AY126" s="2"/>
      <c r="AZ126" s="2">
        <v>15</v>
      </c>
      <c r="BA126" s="2">
        <v>15</v>
      </c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65</v>
      </c>
      <c r="BQ126" s="1">
        <v>38</v>
      </c>
      <c r="BR126" s="17">
        <v>4</v>
      </c>
      <c r="BS126" s="17" t="s">
        <v>292</v>
      </c>
      <c r="BT126" s="1" t="str">
        <f>IF(AQ126&gt;AQ$137, AQ126-AQ$137,"")</f>
        <v/>
      </c>
      <c r="BU126" s="1" t="str">
        <f>IF(AR126&gt;AR$137, AR126-AR$137,"")</f>
        <v/>
      </c>
      <c r="BV126" s="1" t="str">
        <f>IF(AS126&gt;AS$137, AS126-AS$137,"")</f>
        <v/>
      </c>
      <c r="BW126" s="1">
        <f>IF(AT126&gt;AT$137, AT126-AT$137,"")</f>
        <v>7</v>
      </c>
      <c r="BX126" s="1" t="str">
        <f>IF(AU126&gt;AU$137, AU126-AU$137,"")</f>
        <v/>
      </c>
      <c r="BY126" s="1" t="str">
        <f>IF(AV126&gt;AV$137, AV126-AV$137,"")</f>
        <v/>
      </c>
      <c r="BZ126" s="1" t="str">
        <f>IF(AW126&gt;AW$137, AW126-AW$137,"")</f>
        <v/>
      </c>
      <c r="CA126" s="1" t="str">
        <f>IF(AX126&gt;AX$137, AX126-AX$137,"")</f>
        <v/>
      </c>
      <c r="CB126" s="1" t="str">
        <f>IF(AY126&gt;AY$137, AY126-AY$137,"")</f>
        <v/>
      </c>
      <c r="CC126" s="1">
        <f>IF(AZ126&gt;AZ$137, AZ126-AZ$137,"")</f>
        <v>13</v>
      </c>
      <c r="CD126" s="1">
        <f>IF(BA126&gt;BA$137, BA126-BA$137,"")</f>
        <v>10</v>
      </c>
      <c r="CE126" s="1" t="str">
        <f>IF(BB126&gt;BB$137, BB126-BB$137,"")</f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54" x14ac:dyDescent="0.15">
      <c r="A127" s="1">
        <v>65</v>
      </c>
      <c r="B127" s="3" t="s">
        <v>62</v>
      </c>
      <c r="C127" s="1" t="s">
        <v>57</v>
      </c>
      <c r="D127" s="1" t="s">
        <v>13</v>
      </c>
      <c r="E127" s="6"/>
      <c r="F127" s="6"/>
      <c r="G127" s="6">
        <v>10</v>
      </c>
      <c r="H127" s="6"/>
      <c r="I127" s="6"/>
      <c r="J127" s="6"/>
      <c r="K127" s="6"/>
      <c r="L127" s="6"/>
      <c r="M127" s="6"/>
      <c r="N127" s="6"/>
      <c r="O127" s="6"/>
      <c r="P127" s="31"/>
      <c r="Q127" s="31"/>
      <c r="R127" s="31"/>
      <c r="S127" s="31"/>
      <c r="T127" s="31"/>
      <c r="U127" s="31"/>
      <c r="V127" s="31"/>
      <c r="W127" s="31"/>
      <c r="X127" s="31"/>
      <c r="Y127" s="31"/>
      <c r="Z127" s="31"/>
      <c r="AA127" s="31"/>
      <c r="AB127" s="31"/>
      <c r="AC127" s="31"/>
      <c r="AD127" s="31"/>
      <c r="AE127" s="1"/>
      <c r="AF127" s="1"/>
      <c r="AG127" s="1"/>
      <c r="AH127" s="1"/>
      <c r="AI127" s="1"/>
      <c r="AJ127" s="1"/>
      <c r="AK127" s="1"/>
      <c r="AL127" s="1"/>
      <c r="AM127" s="1"/>
      <c r="AN127" s="1">
        <v>25</v>
      </c>
      <c r="AO127" s="1"/>
      <c r="AP127" s="1"/>
      <c r="AQ127" s="4"/>
      <c r="AR127" s="4"/>
      <c r="AS127" s="4"/>
      <c r="AT127" s="4"/>
      <c r="AU127" s="4"/>
      <c r="AV127" s="4">
        <v>10</v>
      </c>
      <c r="AW127" s="2"/>
      <c r="AX127" s="2"/>
      <c r="AY127" s="2"/>
      <c r="AZ127" s="2">
        <v>10</v>
      </c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55</v>
      </c>
      <c r="BQ127" s="1">
        <v>47</v>
      </c>
      <c r="BR127" s="17">
        <v>4</v>
      </c>
      <c r="BS127" s="17" t="s">
        <v>293</v>
      </c>
      <c r="BT127" s="1" t="str">
        <f>IF(AQ127&gt;AQ$137, AQ127-AQ$137,"")</f>
        <v/>
      </c>
      <c r="BU127" s="1" t="str">
        <f>IF(AR127&gt;AR$137, AR127-AR$137,"")</f>
        <v/>
      </c>
      <c r="BV127" s="1" t="str">
        <f>IF(AS127&gt;AS$137, AS127-AS$137,"")</f>
        <v/>
      </c>
      <c r="BW127" s="1" t="str">
        <f>IF(AT127&gt;AT$137, AT127-AT$137,"")</f>
        <v/>
      </c>
      <c r="BX127" s="1" t="str">
        <f>IF(AU127&gt;AU$137, AU127-AU$137,"")</f>
        <v/>
      </c>
      <c r="BY127" s="1">
        <f>IF(AV127&gt;AV$137, AV127-AV$137,"")</f>
        <v>6</v>
      </c>
      <c r="BZ127" s="1" t="str">
        <f>IF(AW127&gt;AW$137, AW127-AW$137,"")</f>
        <v/>
      </c>
      <c r="CA127" s="1" t="str">
        <f>IF(AX127&gt;AX$137, AX127-AX$137,"")</f>
        <v/>
      </c>
      <c r="CB127" s="1" t="str">
        <f>IF(AY127&gt;AY$137, AY127-AY$137,"")</f>
        <v/>
      </c>
      <c r="CC127" s="1">
        <f>IF(AZ127&gt;AZ$137, AZ127-AZ$137,"")</f>
        <v>8</v>
      </c>
      <c r="CD127" s="1" t="str">
        <f>IF(BA127&gt;BA$137, BA127-BA$137,"")</f>
        <v/>
      </c>
      <c r="CE127" s="1" t="str">
        <f>IF(BB127&gt;BB$137, BB127-BB$137,"")</f>
        <v/>
      </c>
      <c r="CF127" s="1">
        <f>COUNTIF(BT127:CE127, "&gt;0")</f>
        <v>2</v>
      </c>
      <c r="CG127" s="1" t="str">
        <f>IF($CF127=1,BT127,"")</f>
        <v/>
      </c>
      <c r="CH127" s="1" t="str">
        <f>IF($CF127=1,BU127,"")</f>
        <v/>
      </c>
      <c r="CI127" s="1" t="str">
        <f>IF($CF127=1,BV127,"")</f>
        <v/>
      </c>
      <c r="CJ127" s="1" t="str">
        <f>IF($CF127=1,BW127,"")</f>
        <v/>
      </c>
      <c r="CK127" s="1" t="str">
        <f>IF($CF127=1,BX127,"")</f>
        <v/>
      </c>
      <c r="CL127" s="1" t="str">
        <f>IF($CF127=1,BY127,"")</f>
        <v/>
      </c>
      <c r="CM127" s="1" t="str">
        <f>IF($CF127=1,BZ127,"")</f>
        <v/>
      </c>
      <c r="CN127" s="1" t="str">
        <f>IF($CF127=1,CA127,"")</f>
        <v/>
      </c>
      <c r="CO127" s="1" t="str">
        <f>IF($CF127=1,CB127,"")</f>
        <v/>
      </c>
      <c r="CP127" s="1" t="str">
        <f>IF($CF127=1,CC127,"")</f>
        <v/>
      </c>
      <c r="CQ127" s="1" t="str">
        <f>IF($CF127=1,CD127,"")</f>
        <v/>
      </c>
      <c r="CR127" s="1" t="str">
        <f>IF($CF127=1,CE127,"")</f>
        <v/>
      </c>
      <c r="CS127" s="18">
        <f>SUM(AE127:BO127)</f>
        <v>45</v>
      </c>
    </row>
    <row r="128" spans="1:97" ht="54" x14ac:dyDescent="0.15">
      <c r="A128" s="1">
        <v>54</v>
      </c>
      <c r="B128" s="1" t="s">
        <v>56</v>
      </c>
      <c r="C128" s="1" t="s">
        <v>57</v>
      </c>
      <c r="D128" s="1" t="s">
        <v>1</v>
      </c>
      <c r="E128" s="6"/>
      <c r="F128" s="6">
        <v>15</v>
      </c>
      <c r="G128" s="6"/>
      <c r="H128" s="6">
        <v>15</v>
      </c>
      <c r="I128" s="6"/>
      <c r="J128" s="6"/>
      <c r="K128" s="6"/>
      <c r="L128" s="6"/>
      <c r="M128" s="6"/>
      <c r="N128" s="6"/>
      <c r="O128" s="6"/>
      <c r="P128" s="31"/>
      <c r="Q128" s="31"/>
      <c r="R128" s="31"/>
      <c r="S128" s="31"/>
      <c r="T128" s="31"/>
      <c r="U128" s="31"/>
      <c r="V128" s="31"/>
      <c r="W128" s="31"/>
      <c r="X128" s="31"/>
      <c r="Y128" s="31"/>
      <c r="Z128" s="31"/>
      <c r="AA128" s="31"/>
      <c r="AB128" s="31"/>
      <c r="AC128" s="31"/>
      <c r="AD128" s="3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>
        <v>15</v>
      </c>
      <c r="AW128" s="2"/>
      <c r="AX128" s="2"/>
      <c r="AY128" s="2"/>
      <c r="AZ128" s="2"/>
      <c r="BA128" s="2">
        <v>15</v>
      </c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>SUM(E128:BO128)</f>
        <v>60</v>
      </c>
      <c r="BQ128" s="1">
        <v>50</v>
      </c>
      <c r="BR128" s="17">
        <v>4</v>
      </c>
      <c r="BS128" s="17" t="s">
        <v>294</v>
      </c>
      <c r="BT128" s="1" t="str">
        <f>IF(AQ128&gt;AQ$137, AQ128-AQ$137,"")</f>
        <v/>
      </c>
      <c r="BU128" s="1" t="str">
        <f>IF(AR128&gt;AR$137, AR128-AR$137,"")</f>
        <v/>
      </c>
      <c r="BV128" s="1" t="str">
        <f>IF(AS128&gt;AS$137, AS128-AS$137,"")</f>
        <v/>
      </c>
      <c r="BW128" s="1" t="str">
        <f>IF(AT128&gt;AT$137, AT128-AT$137,"")</f>
        <v/>
      </c>
      <c r="BX128" s="1" t="str">
        <f>IF(AU128&gt;AU$137, AU128-AU$137,"")</f>
        <v/>
      </c>
      <c r="BY128" s="1">
        <f>IF(AV128&gt;AV$137, AV128-AV$137,"")</f>
        <v>11</v>
      </c>
      <c r="BZ128" s="1" t="str">
        <f>IF(AW128&gt;AW$137, AW128-AW$137,"")</f>
        <v/>
      </c>
      <c r="CA128" s="1" t="str">
        <f>IF(AX128&gt;AX$137, AX128-AX$137,"")</f>
        <v/>
      </c>
      <c r="CB128" s="1" t="str">
        <f>IF(AY128&gt;AY$137, AY128-AY$137,"")</f>
        <v/>
      </c>
      <c r="CC128" s="1" t="str">
        <f>IF(AZ128&gt;AZ$137, AZ128-AZ$137,"")</f>
        <v/>
      </c>
      <c r="CD128" s="1">
        <f>IF(BA128&gt;BA$137, BA128-BA$137,"")</f>
        <v>10</v>
      </c>
      <c r="CE128" s="1" t="str">
        <f>IF(BB128&gt;BB$137, BB128-BB$137,"")</f>
        <v/>
      </c>
      <c r="CF128" s="1">
        <f>COUNTIF(BT128:CE128, "&gt;0")</f>
        <v>2</v>
      </c>
      <c r="CG128" s="1" t="str">
        <f>IF($CF128=1,BT128,"")</f>
        <v/>
      </c>
      <c r="CH128" s="1" t="str">
        <f>IF($CF128=1,BU128,"")</f>
        <v/>
      </c>
      <c r="CI128" s="1" t="str">
        <f>IF($CF128=1,BV128,"")</f>
        <v/>
      </c>
      <c r="CJ128" s="1" t="str">
        <f>IF($CF128=1,BW128,"")</f>
        <v/>
      </c>
      <c r="CK128" s="1" t="str">
        <f>IF($CF128=1,BX128,"")</f>
        <v/>
      </c>
      <c r="CL128" s="1" t="str">
        <f>IF($CF128=1,BY128,"")</f>
        <v/>
      </c>
      <c r="CM128" s="1" t="str">
        <f>IF($CF128=1,BZ128,"")</f>
        <v/>
      </c>
      <c r="CN128" s="1" t="str">
        <f>IF($CF128=1,CA128,"")</f>
        <v/>
      </c>
      <c r="CO128" s="1" t="str">
        <f>IF($CF128=1,CB128,"")</f>
        <v/>
      </c>
      <c r="CP128" s="1" t="str">
        <f>IF($CF128=1,CC128,"")</f>
        <v/>
      </c>
      <c r="CQ128" s="1" t="str">
        <f>IF($CF128=1,CD128,"")</f>
        <v/>
      </c>
      <c r="CR128" s="1" t="str">
        <f>IF($CF128=1,CE128,"")</f>
        <v/>
      </c>
      <c r="CS128" s="18">
        <f>SUM(AE128:BO128)</f>
        <v>30</v>
      </c>
    </row>
    <row r="129" spans="1:97" ht="54" x14ac:dyDescent="0.15">
      <c r="A129" s="1">
        <v>23</v>
      </c>
      <c r="B129" s="1" t="s">
        <v>103</v>
      </c>
      <c r="C129" s="1" t="s">
        <v>31</v>
      </c>
      <c r="D129" s="1" t="s">
        <v>39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1"/>
      <c r="Q129" s="31"/>
      <c r="R129" s="31"/>
      <c r="S129" s="31"/>
      <c r="T129" s="31"/>
      <c r="U129" s="31"/>
      <c r="V129" s="31"/>
      <c r="W129" s="31"/>
      <c r="X129" s="31"/>
      <c r="Y129" s="31"/>
      <c r="Z129" s="31"/>
      <c r="AA129" s="31"/>
      <c r="AB129" s="31"/>
      <c r="AC129" s="31"/>
      <c r="AD129" s="3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>
        <v>50</v>
      </c>
      <c r="BK129" s="1">
        <v>50</v>
      </c>
      <c r="BL129" s="1"/>
      <c r="BM129" s="1"/>
      <c r="BN129" s="1">
        <v>50</v>
      </c>
      <c r="BO129" s="1">
        <v>50</v>
      </c>
      <c r="BP129" s="1">
        <f>SUM(E129:BO129)</f>
        <v>200</v>
      </c>
      <c r="BQ129" s="1">
        <v>158</v>
      </c>
      <c r="BR129" s="17">
        <v>4</v>
      </c>
      <c r="BS129" s="17" t="s">
        <v>221</v>
      </c>
      <c r="BT129" s="1" t="str">
        <f>IF(AQ129&gt;AQ$137, AQ129-AQ$137,"")</f>
        <v/>
      </c>
      <c r="BU129" s="1" t="str">
        <f>IF(AR129&gt;AR$137, AR129-AR$137,"")</f>
        <v/>
      </c>
      <c r="BV129" s="1" t="str">
        <f>IF(AS129&gt;AS$137, AS129-AS$137,"")</f>
        <v/>
      </c>
      <c r="BW129" s="1" t="str">
        <f>IF(AT129&gt;AT$137, AT129-AT$137,"")</f>
        <v/>
      </c>
      <c r="BX129" s="1" t="str">
        <f>IF(AU129&gt;AU$137, AU129-AU$137,"")</f>
        <v/>
      </c>
      <c r="BY129" s="1" t="str">
        <f>IF(AV129&gt;AV$137, AV129-AV$137,"")</f>
        <v/>
      </c>
      <c r="BZ129" s="1" t="str">
        <f>IF(AW129&gt;AW$137, AW129-AW$137,"")</f>
        <v/>
      </c>
      <c r="CA129" s="1" t="str">
        <f>IF(AX129&gt;AX$137, AX129-AX$137,"")</f>
        <v/>
      </c>
      <c r="CB129" s="1" t="str">
        <f>IF(AY129&gt;AY$137, AY129-AY$137,"")</f>
        <v/>
      </c>
      <c r="CC129" s="1" t="str">
        <f>IF(AZ129&gt;AZ$137, AZ129-AZ$137,"")</f>
        <v/>
      </c>
      <c r="CD129" s="1" t="str">
        <f>IF(BA129&gt;BA$137, BA129-BA$137,"")</f>
        <v/>
      </c>
      <c r="CE129" s="1" t="str">
        <f>IF(BB129&gt;BB$137, BB129-BB$137,"")</f>
        <v/>
      </c>
      <c r="CF129" s="1">
        <f>COUNTIF(BT129:CE129, "&gt;0")</f>
        <v>0</v>
      </c>
      <c r="CG129" s="1" t="str">
        <f>IF($CF129=1,BT129,"")</f>
        <v/>
      </c>
      <c r="CH129" s="1" t="str">
        <f>IF($CF129=1,BU129,"")</f>
        <v/>
      </c>
      <c r="CI129" s="1" t="str">
        <f>IF($CF129=1,BV129,"")</f>
        <v/>
      </c>
      <c r="CJ129" s="1" t="str">
        <f>IF($CF129=1,BW129,"")</f>
        <v/>
      </c>
      <c r="CK129" s="1" t="str">
        <f>IF($CF129=1,BX129,"")</f>
        <v/>
      </c>
      <c r="CL129" s="1" t="str">
        <f>IF($CF129=1,BY129,"")</f>
        <v/>
      </c>
      <c r="CM129" s="1" t="str">
        <f>IF($CF129=1,BZ129,"")</f>
        <v/>
      </c>
      <c r="CN129" s="1" t="str">
        <f>IF($CF129=1,CA129,"")</f>
        <v/>
      </c>
      <c r="CO129" s="1" t="str">
        <f>IF($CF129=1,CB129,"")</f>
        <v/>
      </c>
      <c r="CP129" s="1" t="str">
        <f>IF($CF129=1,CC129,"")</f>
        <v/>
      </c>
      <c r="CQ129" s="1" t="str">
        <f>IF($CF129=1,CD129,"")</f>
        <v/>
      </c>
      <c r="CR129" s="1" t="str">
        <f>IF($CF129=1,CE129,"")</f>
        <v/>
      </c>
      <c r="CS129" s="18">
        <f>SUM(AE129:BO129)</f>
        <v>200</v>
      </c>
    </row>
    <row r="130" spans="1:97" ht="54" x14ac:dyDescent="0.15">
      <c r="A130" s="1"/>
      <c r="B130" s="1" t="s">
        <v>181</v>
      </c>
      <c r="C130" s="1" t="s">
        <v>119</v>
      </c>
      <c r="D130" s="1" t="s">
        <v>120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1"/>
      <c r="Q130" s="31"/>
      <c r="R130" s="31"/>
      <c r="S130" s="31"/>
      <c r="T130" s="31"/>
      <c r="U130" s="31"/>
      <c r="V130" s="31"/>
      <c r="W130" s="31"/>
      <c r="X130" s="31"/>
      <c r="Y130" s="31"/>
      <c r="Z130" s="31"/>
      <c r="AA130" s="31"/>
      <c r="AB130" s="31"/>
      <c r="AC130" s="31"/>
      <c r="AD130" s="3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>
        <v>50</v>
      </c>
      <c r="BK130" s="1">
        <v>50</v>
      </c>
      <c r="BL130" s="1"/>
      <c r="BM130" s="1"/>
      <c r="BN130" s="1">
        <v>50</v>
      </c>
      <c r="BO130" s="1">
        <v>50</v>
      </c>
      <c r="BP130" s="1">
        <f>SUM(E130:BO130)</f>
        <v>200</v>
      </c>
      <c r="BQ130" s="1">
        <v>158</v>
      </c>
      <c r="BR130" s="17">
        <v>4</v>
      </c>
      <c r="BS130" s="17" t="s">
        <v>221</v>
      </c>
      <c r="BT130" s="1" t="str">
        <f>IF(AQ130&gt;AQ$137, AQ130-AQ$137,"")</f>
        <v/>
      </c>
      <c r="BU130" s="1" t="str">
        <f>IF(AR130&gt;AR$137, AR130-AR$137,"")</f>
        <v/>
      </c>
      <c r="BV130" s="1" t="str">
        <f>IF(AS130&gt;AS$137, AS130-AS$137,"")</f>
        <v/>
      </c>
      <c r="BW130" s="1" t="str">
        <f>IF(AT130&gt;AT$137, AT130-AT$137,"")</f>
        <v/>
      </c>
      <c r="BX130" s="1" t="str">
        <f>IF(AU130&gt;AU$137, AU130-AU$137,"")</f>
        <v/>
      </c>
      <c r="BY130" s="1" t="str">
        <f>IF(AV130&gt;AV$137, AV130-AV$137,"")</f>
        <v/>
      </c>
      <c r="BZ130" s="1" t="str">
        <f>IF(AW130&gt;AW$137, AW130-AW$137,"")</f>
        <v/>
      </c>
      <c r="CA130" s="1" t="str">
        <f>IF(AX130&gt;AX$137, AX130-AX$137,"")</f>
        <v/>
      </c>
      <c r="CB130" s="1" t="str">
        <f>IF(AY130&gt;AY$137, AY130-AY$137,"")</f>
        <v/>
      </c>
      <c r="CC130" s="1" t="str">
        <f>IF(AZ130&gt;AZ$137, AZ130-AZ$137,"")</f>
        <v/>
      </c>
      <c r="CD130" s="1" t="str">
        <f>IF(BA130&gt;BA$137, BA130-BA$137,"")</f>
        <v/>
      </c>
      <c r="CE130" s="1" t="str">
        <f>IF(BB130&gt;BB$137, BB130-BB$137,"")</f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54" x14ac:dyDescent="0.15">
      <c r="A131" s="1"/>
      <c r="B131" s="1" t="s">
        <v>179</v>
      </c>
      <c r="C131" s="1" t="s">
        <v>153</v>
      </c>
      <c r="D131" s="1" t="s">
        <v>39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1"/>
      <c r="Q131" s="31"/>
      <c r="R131" s="31"/>
      <c r="S131" s="31"/>
      <c r="T131" s="31"/>
      <c r="U131" s="31"/>
      <c r="V131" s="31"/>
      <c r="W131" s="31"/>
      <c r="X131" s="31"/>
      <c r="Y131" s="31"/>
      <c r="Z131" s="31"/>
      <c r="AA131" s="31"/>
      <c r="AB131" s="31"/>
      <c r="AC131" s="31"/>
      <c r="AD131" s="3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>
        <v>50</v>
      </c>
      <c r="BK131" s="1">
        <v>50</v>
      </c>
      <c r="BL131" s="1"/>
      <c r="BM131" s="1"/>
      <c r="BN131" s="1">
        <v>50</v>
      </c>
      <c r="BO131" s="1">
        <v>50</v>
      </c>
      <c r="BP131" s="1">
        <f>SUM(E131:BO131)</f>
        <v>200</v>
      </c>
      <c r="BQ131" s="1">
        <v>158</v>
      </c>
      <c r="BR131" s="17">
        <v>4</v>
      </c>
      <c r="BS131" s="17" t="s">
        <v>295</v>
      </c>
      <c r="BT131" s="1" t="str">
        <f>IF(AQ131&gt;AQ$137, AQ131-AQ$137,"")</f>
        <v/>
      </c>
      <c r="BU131" s="1" t="str">
        <f>IF(AR131&gt;AR$137, AR131-AR$137,"")</f>
        <v/>
      </c>
      <c r="BV131" s="1" t="str">
        <f>IF(AS131&gt;AS$137, AS131-AS$137,"")</f>
        <v/>
      </c>
      <c r="BW131" s="1" t="str">
        <f>IF(AT131&gt;AT$137, AT131-AT$137,"")</f>
        <v/>
      </c>
      <c r="BX131" s="1" t="str">
        <f>IF(AU131&gt;AU$137, AU131-AU$137,"")</f>
        <v/>
      </c>
      <c r="BY131" s="1" t="str">
        <f>IF(AV131&gt;AV$137, AV131-AV$137,"")</f>
        <v/>
      </c>
      <c r="BZ131" s="1" t="str">
        <f>IF(AW131&gt;AW$137, AW131-AW$137,"")</f>
        <v/>
      </c>
      <c r="CA131" s="1" t="str">
        <f>IF(AX131&gt;AX$137, AX131-AX$137,"")</f>
        <v/>
      </c>
      <c r="CB131" s="1" t="str">
        <f>IF(AY131&gt;AY$137, AY131-AY$137,"")</f>
        <v/>
      </c>
      <c r="CC131" s="1" t="str">
        <f>IF(AZ131&gt;AZ$137, AZ131-AZ$137,"")</f>
        <v/>
      </c>
      <c r="CD131" s="1" t="str">
        <f>IF(BA131&gt;BA$137, BA131-BA$137,"")</f>
        <v/>
      </c>
      <c r="CE131" s="1" t="str">
        <f>IF(BB131&gt;BB$137, BB131-BB$137,"")</f>
        <v/>
      </c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54" x14ac:dyDescent="0.15">
      <c r="A132" s="1">
        <v>102</v>
      </c>
      <c r="B132" s="3" t="s">
        <v>101</v>
      </c>
      <c r="C132" s="3" t="s">
        <v>70</v>
      </c>
      <c r="D132" s="1" t="s">
        <v>39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1"/>
      <c r="Q132" s="31"/>
      <c r="R132" s="31"/>
      <c r="S132" s="31"/>
      <c r="T132" s="31"/>
      <c r="U132" s="31"/>
      <c r="V132" s="31"/>
      <c r="W132" s="31"/>
      <c r="X132" s="31"/>
      <c r="Y132" s="31"/>
      <c r="Z132" s="31"/>
      <c r="AA132" s="31"/>
      <c r="AB132" s="31"/>
      <c r="AC132" s="31"/>
      <c r="AD132" s="3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>
        <v>50</v>
      </c>
      <c r="BK132" s="1">
        <v>50</v>
      </c>
      <c r="BL132" s="1"/>
      <c r="BM132" s="1"/>
      <c r="BN132" s="1">
        <v>50</v>
      </c>
      <c r="BO132" s="1">
        <v>50</v>
      </c>
      <c r="BP132" s="1">
        <f>SUM(E132:BO132)</f>
        <v>200</v>
      </c>
      <c r="BQ132" s="1">
        <v>158</v>
      </c>
      <c r="BR132" s="17">
        <v>4</v>
      </c>
      <c r="BS132" s="17" t="s">
        <v>295</v>
      </c>
      <c r="BT132" s="1" t="str">
        <f>IF(AQ132&gt;AQ$137, AQ132-AQ$137,"")</f>
        <v/>
      </c>
      <c r="BU132" s="1" t="str">
        <f>IF(AR132&gt;AR$137, AR132-AR$137,"")</f>
        <v/>
      </c>
      <c r="BV132" s="1" t="str">
        <f>IF(AS132&gt;AS$137, AS132-AS$137,"")</f>
        <v/>
      </c>
      <c r="BW132" s="1" t="str">
        <f>IF(AT132&gt;AT$137, AT132-AT$137,"")</f>
        <v/>
      </c>
      <c r="BX132" s="1" t="str">
        <f>IF(AU132&gt;AU$137, AU132-AU$137,"")</f>
        <v/>
      </c>
      <c r="BY132" s="1" t="str">
        <f>IF(AV132&gt;AV$137, AV132-AV$137,"")</f>
        <v/>
      </c>
      <c r="BZ132" s="1" t="str">
        <f>IF(AW132&gt;AW$137, AW132-AW$137,"")</f>
        <v/>
      </c>
      <c r="CA132" s="1" t="str">
        <f>IF(AX132&gt;AX$137, AX132-AX$137,"")</f>
        <v/>
      </c>
      <c r="CB132" s="1" t="str">
        <f>IF(AY132&gt;AY$137, AY132-AY$137,"")</f>
        <v/>
      </c>
      <c r="CC132" s="1" t="str">
        <f>IF(AZ132&gt;AZ$137, AZ132-AZ$137,"")</f>
        <v/>
      </c>
      <c r="CD132" s="1" t="str">
        <f>IF(BA132&gt;BA$137, BA132-BA$137,"")</f>
        <v/>
      </c>
      <c r="CE132" s="1" t="str">
        <f>IF(BB132&gt;BB$137, BB132-BB$137,"")</f>
        <v/>
      </c>
      <c r="CF132" s="1">
        <f>COUNTIF(BT132:CE132, "&gt;0")</f>
        <v>0</v>
      </c>
      <c r="CG132" s="1" t="str">
        <f>IF($CF132=1,BT132,"")</f>
        <v/>
      </c>
      <c r="CH132" s="1" t="str">
        <f>IF($CF132=1,BU132,"")</f>
        <v/>
      </c>
      <c r="CI132" s="1" t="str">
        <f>IF($CF132=1,BV132,"")</f>
        <v/>
      </c>
      <c r="CJ132" s="1" t="str">
        <f>IF($CF132=1,BW132,"")</f>
        <v/>
      </c>
      <c r="CK132" s="1" t="str">
        <f>IF($CF132=1,BX132,"")</f>
        <v/>
      </c>
      <c r="CL132" s="1" t="str">
        <f>IF($CF132=1,BY132,"")</f>
        <v/>
      </c>
      <c r="CM132" s="1" t="str">
        <f>IF($CF132=1,BZ132,"")</f>
        <v/>
      </c>
      <c r="CN132" s="1" t="str">
        <f>IF($CF132=1,CA132,"")</f>
        <v/>
      </c>
      <c r="CO132" s="1" t="str">
        <f>IF($CF132=1,CB132,"")</f>
        <v/>
      </c>
      <c r="CP132" s="1" t="str">
        <f>IF($CF132=1,CC132,"")</f>
        <v/>
      </c>
      <c r="CQ132" s="1" t="str">
        <f>IF($CF132=1,CD132,"")</f>
        <v/>
      </c>
      <c r="CR132" s="1" t="str">
        <f>IF($CF132=1,CE132,"")</f>
        <v/>
      </c>
      <c r="CS132" s="18">
        <f>SUM(AE132:BO132)</f>
        <v>200</v>
      </c>
    </row>
    <row r="133" spans="1:97" ht="54" x14ac:dyDescent="0.15">
      <c r="A133" s="1">
        <v>85</v>
      </c>
      <c r="B133" s="3" t="s">
        <v>208</v>
      </c>
      <c r="C133" s="3" t="s">
        <v>65</v>
      </c>
      <c r="D133" s="1" t="s">
        <v>39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1"/>
      <c r="Q133" s="31"/>
      <c r="R133" s="31"/>
      <c r="S133" s="31"/>
      <c r="T133" s="31"/>
      <c r="U133" s="31"/>
      <c r="V133" s="31"/>
      <c r="W133" s="31"/>
      <c r="X133" s="31"/>
      <c r="Y133" s="31"/>
      <c r="Z133" s="31"/>
      <c r="AA133" s="31"/>
      <c r="AB133" s="31"/>
      <c r="AC133" s="31"/>
      <c r="AD133" s="3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>
        <v>50</v>
      </c>
      <c r="BM133" s="1">
        <v>50</v>
      </c>
      <c r="BN133" s="1">
        <v>50</v>
      </c>
      <c r="BO133" s="1">
        <v>50</v>
      </c>
      <c r="BP133" s="1">
        <f>SUM(E133:BO133)</f>
        <v>200</v>
      </c>
      <c r="BQ133" s="1">
        <v>167</v>
      </c>
      <c r="BR133" s="17">
        <v>4</v>
      </c>
      <c r="BS133" s="17" t="s">
        <v>296</v>
      </c>
      <c r="BT133" s="1" t="str">
        <f>IF(AQ133&gt;AQ$137, AQ133-AQ$137,"")</f>
        <v/>
      </c>
      <c r="BU133" s="1" t="str">
        <f>IF(AR133&gt;AR$137, AR133-AR$137,"")</f>
        <v/>
      </c>
      <c r="BV133" s="1" t="str">
        <f>IF(AS133&gt;AS$137, AS133-AS$137,"")</f>
        <v/>
      </c>
      <c r="BW133" s="1" t="str">
        <f>IF(AT133&gt;AT$137, AT133-AT$137,"")</f>
        <v/>
      </c>
      <c r="BX133" s="1" t="str">
        <f>IF(AU133&gt;AU$137, AU133-AU$137,"")</f>
        <v/>
      </c>
      <c r="BY133" s="1" t="str">
        <f>IF(AV133&gt;AV$137, AV133-AV$137,"")</f>
        <v/>
      </c>
      <c r="BZ133" s="1" t="str">
        <f>IF(AW133&gt;AW$137, AW133-AW$137,"")</f>
        <v/>
      </c>
      <c r="CA133" s="1" t="str">
        <f>IF(AX133&gt;AX$137, AX133-AX$137,"")</f>
        <v/>
      </c>
      <c r="CB133" s="1" t="str">
        <f>IF(AY133&gt;AY$137, AY133-AY$137,"")</f>
        <v/>
      </c>
      <c r="CC133" s="1" t="str">
        <f>IF(AZ133&gt;AZ$137, AZ133-AZ$137,"")</f>
        <v/>
      </c>
      <c r="CD133" s="1" t="str">
        <f>IF(BA133&gt;BA$137, BA133-BA$137,"")</f>
        <v/>
      </c>
      <c r="CE133" s="1" t="str">
        <f>IF(BB133&gt;BB$137, BB133-BB$137,"")</f>
        <v/>
      </c>
      <c r="CF133" s="1">
        <f>COUNTIF(BT133:CE133, "&gt;0")</f>
        <v>0</v>
      </c>
      <c r="CG133" s="1" t="str">
        <f>IF($CF133=1,BT133,"")</f>
        <v/>
      </c>
      <c r="CH133" s="1" t="str">
        <f>IF($CF133=1,BU133,"")</f>
        <v/>
      </c>
      <c r="CI133" s="1" t="str">
        <f>IF($CF133=1,BV133,"")</f>
        <v/>
      </c>
      <c r="CJ133" s="1" t="str">
        <f>IF($CF133=1,BW133,"")</f>
        <v/>
      </c>
      <c r="CK133" s="1" t="str">
        <f>IF($CF133=1,BX133,"")</f>
        <v/>
      </c>
      <c r="CL133" s="1" t="str">
        <f>IF($CF133=1,BY133,"")</f>
        <v/>
      </c>
      <c r="CM133" s="1" t="str">
        <f>IF($CF133=1,BZ133,"")</f>
        <v/>
      </c>
      <c r="CN133" s="1" t="str">
        <f>IF($CF133=1,CA133,"")</f>
        <v/>
      </c>
      <c r="CO133" s="1" t="str">
        <f>IF($CF133=1,CB133,"")</f>
        <v/>
      </c>
      <c r="CP133" s="1" t="str">
        <f>IF($CF133=1,CC133,"")</f>
        <v/>
      </c>
      <c r="CQ133" s="1" t="str">
        <f>IF($CF133=1,CD133,"")</f>
        <v/>
      </c>
      <c r="CR133" s="1" t="str">
        <f>IF($CF133=1,CE133,"")</f>
        <v/>
      </c>
      <c r="CS133" s="18">
        <f>SUM(AE133:BO133)</f>
        <v>200</v>
      </c>
    </row>
    <row r="134" spans="1:97" ht="54" x14ac:dyDescent="0.15">
      <c r="A134" s="1"/>
      <c r="B134" s="1" t="s">
        <v>193</v>
      </c>
      <c r="C134" s="1" t="s">
        <v>122</v>
      </c>
      <c r="D134" s="1" t="s">
        <v>120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31"/>
      <c r="Q134" s="31"/>
      <c r="R134" s="31"/>
      <c r="S134" s="31"/>
      <c r="T134" s="31"/>
      <c r="U134" s="31"/>
      <c r="V134" s="31"/>
      <c r="W134" s="31"/>
      <c r="X134" s="31"/>
      <c r="Y134" s="31"/>
      <c r="Z134" s="31"/>
      <c r="AA134" s="31"/>
      <c r="AB134" s="31"/>
      <c r="AC134" s="31"/>
      <c r="AD134" s="3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>
        <v>50</v>
      </c>
      <c r="BM134" s="1">
        <v>50</v>
      </c>
      <c r="BN134" s="1">
        <v>50</v>
      </c>
      <c r="BO134" s="1">
        <v>50</v>
      </c>
      <c r="BP134" s="1">
        <f>SUM(E134:BO134)</f>
        <v>200</v>
      </c>
      <c r="BQ134" s="1">
        <v>167</v>
      </c>
      <c r="BR134" s="17">
        <v>4</v>
      </c>
      <c r="BS134" s="17" t="s">
        <v>296</v>
      </c>
      <c r="BT134" s="1" t="str">
        <f>IF(AQ134&gt;AQ$137, AQ134-AQ$137,"")</f>
        <v/>
      </c>
      <c r="BU134" s="1" t="str">
        <f>IF(AR134&gt;AR$137, AR134-AR$137,"")</f>
        <v/>
      </c>
      <c r="BV134" s="1" t="str">
        <f>IF(AS134&gt;AS$137, AS134-AS$137,"")</f>
        <v/>
      </c>
      <c r="BW134" s="1" t="str">
        <f>IF(AT134&gt;AT$137, AT134-AT$137,"")</f>
        <v/>
      </c>
      <c r="BX134" s="1" t="str">
        <f>IF(AU134&gt;AU$137, AU134-AU$137,"")</f>
        <v/>
      </c>
      <c r="BY134" s="1" t="str">
        <f>IF(AV134&gt;AV$137, AV134-AV$137,"")</f>
        <v/>
      </c>
      <c r="BZ134" s="1" t="str">
        <f>IF(AW134&gt;AW$137, AW134-AW$137,"")</f>
        <v/>
      </c>
      <c r="CA134" s="1" t="str">
        <f>IF(AX134&gt;AX$137, AX134-AX$137,"")</f>
        <v/>
      </c>
      <c r="CB134" s="1" t="str">
        <f>IF(AY134&gt;AY$137, AY134-AY$137,"")</f>
        <v/>
      </c>
      <c r="CC134" s="1" t="str">
        <f>IF(AZ134&gt;AZ$137, AZ134-AZ$137,"")</f>
        <v/>
      </c>
      <c r="CD134" s="1" t="str">
        <f>IF(BA134&gt;BA$137, BA134-BA$137,"")</f>
        <v/>
      </c>
      <c r="CE134" s="1" t="str">
        <f>IF(BB134&gt;BB$137, BB134-BB$137,"")</f>
        <v/>
      </c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8"/>
    </row>
    <row r="135" spans="1:97" ht="54" x14ac:dyDescent="0.15">
      <c r="A135" s="1"/>
      <c r="B135" s="1" t="s">
        <v>206</v>
      </c>
      <c r="C135" s="1" t="s">
        <v>122</v>
      </c>
      <c r="D135" s="1" t="s">
        <v>120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31"/>
      <c r="Q135" s="31"/>
      <c r="R135" s="31"/>
      <c r="S135" s="31"/>
      <c r="T135" s="31"/>
      <c r="U135" s="31"/>
      <c r="V135" s="31"/>
      <c r="W135" s="31"/>
      <c r="X135" s="31"/>
      <c r="Y135" s="31"/>
      <c r="Z135" s="31"/>
      <c r="AA135" s="31"/>
      <c r="AB135" s="31"/>
      <c r="AC135" s="31"/>
      <c r="AD135" s="3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>
        <v>50</v>
      </c>
      <c r="BM135" s="1">
        <v>50</v>
      </c>
      <c r="BN135" s="1">
        <v>50</v>
      </c>
      <c r="BO135" s="1">
        <v>50</v>
      </c>
      <c r="BP135" s="1">
        <f>SUM(E135:BO135)</f>
        <v>200</v>
      </c>
      <c r="BQ135" s="1">
        <v>167</v>
      </c>
      <c r="BR135" s="17">
        <v>4</v>
      </c>
      <c r="BS135" s="17" t="s">
        <v>296</v>
      </c>
      <c r="BT135" s="1" t="str">
        <f>IF(AQ135&gt;AQ$137, AQ135-AQ$137,"")</f>
        <v/>
      </c>
      <c r="BU135" s="1" t="str">
        <f>IF(AR135&gt;AR$137, AR135-AR$137,"")</f>
        <v/>
      </c>
      <c r="BV135" s="1" t="str">
        <f>IF(AS135&gt;AS$137, AS135-AS$137,"")</f>
        <v/>
      </c>
      <c r="BW135" s="1" t="str">
        <f>IF(AT135&gt;AT$137, AT135-AT$137,"")</f>
        <v/>
      </c>
      <c r="BX135" s="1" t="str">
        <f>IF(AU135&gt;AU$137, AU135-AU$137,"")</f>
        <v/>
      </c>
      <c r="BY135" s="1" t="str">
        <f>IF(AV135&gt;AV$137, AV135-AV$137,"")</f>
        <v/>
      </c>
      <c r="BZ135" s="1" t="str">
        <f>IF(AW135&gt;AW$137, AW135-AW$137,"")</f>
        <v/>
      </c>
      <c r="CA135" s="1" t="str">
        <f>IF(AX135&gt;AX$137, AX135-AX$137,"")</f>
        <v/>
      </c>
      <c r="CB135" s="1" t="str">
        <f>IF(AY135&gt;AY$137, AY135-AY$137,"")</f>
        <v/>
      </c>
      <c r="CC135" s="1" t="str">
        <f>IF(AZ135&gt;AZ$137, AZ135-AZ$137,"")</f>
        <v/>
      </c>
      <c r="CD135" s="1" t="str">
        <f>IF(BA135&gt;BA$137, BA135-BA$137,"")</f>
        <v/>
      </c>
      <c r="CE135" s="1" t="str">
        <f>IF(BB135&gt;BB$137, BB135-BB$137,"")</f>
        <v/>
      </c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x14ac:dyDescent="0.15">
      <c r="A136" s="1"/>
      <c r="B136" s="1" t="s">
        <v>72</v>
      </c>
      <c r="C136" s="1"/>
      <c r="D136" s="1"/>
      <c r="E136" s="6">
        <f>SUM(E2:E135)</f>
        <v>168</v>
      </c>
      <c r="F136" s="6">
        <f>SUM(F2:F135)</f>
        <v>74</v>
      </c>
      <c r="G136" s="6">
        <f>SUM(G2:G135)</f>
        <v>201</v>
      </c>
      <c r="H136" s="6">
        <f>SUM(H2:H135)</f>
        <v>173</v>
      </c>
      <c r="I136" s="6">
        <f>SUM(I2:I135)</f>
        <v>53</v>
      </c>
      <c r="J136" s="6">
        <f>SUM(J2:J135)</f>
        <v>70</v>
      </c>
      <c r="K136" s="6">
        <f>SUM(K2:K135)</f>
        <v>30</v>
      </c>
      <c r="L136" s="6">
        <f>SUM(L2:L135)</f>
        <v>88</v>
      </c>
      <c r="M136" s="6">
        <f>SUM(M2:M135)</f>
        <v>41</v>
      </c>
      <c r="N136" s="6">
        <f>SUM(N2:N135)</f>
        <v>32</v>
      </c>
      <c r="O136" s="6">
        <f>SUM(O2:O135)</f>
        <v>79</v>
      </c>
      <c r="P136" s="31">
        <f>SUM(P2:P135)</f>
        <v>130</v>
      </c>
      <c r="Q136" s="31">
        <f>SUM(Q2:Q135)</f>
        <v>76</v>
      </c>
      <c r="R136" s="31">
        <f>SUM(R2:R135)</f>
        <v>83</v>
      </c>
      <c r="S136" s="31">
        <f>SUM(S2:S135)</f>
        <v>130</v>
      </c>
      <c r="T136" s="31">
        <f>SUM(T2:T135)</f>
        <v>61</v>
      </c>
      <c r="U136" s="31">
        <f>SUM(U2:U135)</f>
        <v>62</v>
      </c>
      <c r="V136" s="31">
        <f>SUM(V2:V135)</f>
        <v>135</v>
      </c>
      <c r="W136" s="31">
        <f>SUM(W2:W135)</f>
        <v>35</v>
      </c>
      <c r="X136" s="31">
        <f>SUM(X2:X135)</f>
        <v>59</v>
      </c>
      <c r="Y136" s="31">
        <f>SUM(Y2:Y135)</f>
        <v>125</v>
      </c>
      <c r="Z136" s="31">
        <f>SUM(Z2:Z135)</f>
        <v>50</v>
      </c>
      <c r="AA136" s="31">
        <f>SUM(AA2:AA135)</f>
        <v>35</v>
      </c>
      <c r="AB136" s="31">
        <f>SUM(AB2:AB135)</f>
        <v>140</v>
      </c>
      <c r="AC136" s="31">
        <f>SUM(AC2:AC135)</f>
        <v>30</v>
      </c>
      <c r="AD136" s="31">
        <f>SUM(AD2:AD135)</f>
        <v>22</v>
      </c>
      <c r="AE136" s="1">
        <f>SUM(AE2:AE135)</f>
        <v>265</v>
      </c>
      <c r="AF136" s="1">
        <f>SUM(AF2:AF135)</f>
        <v>10</v>
      </c>
      <c r="AG136" s="1">
        <f>SUM(AG2:AG135)</f>
        <v>15</v>
      </c>
      <c r="AH136" s="1">
        <f>SUM(AH2:AH135)</f>
        <v>30</v>
      </c>
      <c r="AI136" s="1">
        <f>SUM(AI2:AI135)</f>
        <v>30</v>
      </c>
      <c r="AJ136" s="1">
        <f>SUM(AJ2:AJ135)</f>
        <v>5</v>
      </c>
      <c r="AK136" s="1">
        <f>SUM(AK2:AK135)</f>
        <v>0</v>
      </c>
      <c r="AL136" s="1">
        <f>SUM(AL2:AL135)</f>
        <v>0</v>
      </c>
      <c r="AM136" s="1">
        <f>SUM(AM2:AM135)</f>
        <v>20</v>
      </c>
      <c r="AN136" s="1">
        <f>SUM(AN2:AN135)</f>
        <v>50</v>
      </c>
      <c r="AO136" s="1">
        <f>SUM(AO2:AO135)</f>
        <v>25</v>
      </c>
      <c r="AP136" s="1">
        <f>SUM(AP2:AP135)</f>
        <v>26</v>
      </c>
      <c r="AQ136" s="4">
        <f>SUM(AQ2:AQ135)</f>
        <v>90</v>
      </c>
      <c r="AR136" s="4">
        <f>SUM(AR2:AR135)</f>
        <v>120</v>
      </c>
      <c r="AS136" s="4">
        <f>SUM(AS2:AS135)</f>
        <v>80</v>
      </c>
      <c r="AT136" s="4">
        <f>SUM(AT2:AT135)</f>
        <v>93</v>
      </c>
      <c r="AU136" s="4">
        <f>SUM(AU2:AU135)</f>
        <v>48</v>
      </c>
      <c r="AV136" s="4">
        <f>SUM(AV2:AV135)</f>
        <v>115</v>
      </c>
      <c r="AW136" s="2">
        <f>SUM(AW2:AW135)</f>
        <v>113</v>
      </c>
      <c r="AX136" s="2">
        <f>SUM(AX2:AX135)</f>
        <v>80</v>
      </c>
      <c r="AY136" s="2">
        <f>SUM(AY2:AY135)</f>
        <v>43</v>
      </c>
      <c r="AZ136" s="2">
        <f>SUM(AZ2:AZ135)</f>
        <v>80</v>
      </c>
      <c r="BA136" s="2">
        <f>SUM(BA2:BA135)</f>
        <v>195</v>
      </c>
      <c r="BB136" s="2">
        <f>SUM(BB2:BB135)</f>
        <v>365</v>
      </c>
      <c r="BC136" s="1">
        <f>SUM(BC2:BC135)</f>
        <v>10</v>
      </c>
      <c r="BD136" s="1">
        <f>SUM(BD2:BD135)</f>
        <v>150</v>
      </c>
      <c r="BE136" s="1">
        <f>SUM(BE2:BE135)</f>
        <v>100</v>
      </c>
      <c r="BF136" s="1">
        <f>SUM(BF2:BF135)</f>
        <v>120</v>
      </c>
      <c r="BG136" s="1">
        <f>SUM(BG2:BG135)</f>
        <v>120</v>
      </c>
      <c r="BH136" s="1">
        <f>SUM(BH2:BH135)</f>
        <v>110</v>
      </c>
      <c r="BI136" s="1">
        <f>SUM(BI2:BI135)</f>
        <v>90</v>
      </c>
      <c r="BJ136" s="1">
        <f>SUM(BJ2:BJ135)</f>
        <v>200</v>
      </c>
      <c r="BK136" s="1">
        <f>SUM(BK2:BK135)</f>
        <v>200</v>
      </c>
      <c r="BL136" s="1">
        <f>SUM(BL2:BL135)</f>
        <v>150</v>
      </c>
      <c r="BM136" s="1">
        <f>SUM(BM2:BM135)</f>
        <v>150</v>
      </c>
      <c r="BN136" s="1">
        <f>SUM(BN2:BN135)</f>
        <v>350</v>
      </c>
      <c r="BO136" s="1">
        <f>SUM(BO2:BO135)</f>
        <v>350</v>
      </c>
      <c r="BP136" s="1"/>
      <c r="BQ136" s="1"/>
      <c r="BR136" s="17"/>
      <c r="BS136" s="17"/>
      <c r="BT136" s="1">
        <f>MIN(BT2:BT135)</f>
        <v>10</v>
      </c>
      <c r="BU136" s="1">
        <f>MIN(BU2:BU135)</f>
        <v>8</v>
      </c>
      <c r="BV136" s="1">
        <f>MIN(BV2:BV135)</f>
        <v>3</v>
      </c>
      <c r="BW136" s="1">
        <f>MIN(BW2:BW135)</f>
        <v>2</v>
      </c>
      <c r="BX136" s="1">
        <f>MIN(BX2:BX135)</f>
        <v>2</v>
      </c>
      <c r="BY136" s="1">
        <f>MIN(BY2:BY135)</f>
        <v>6</v>
      </c>
      <c r="BZ136" s="1">
        <f>MIN(BZ2:BZ135)</f>
        <v>3</v>
      </c>
      <c r="CA136" s="1">
        <f>MIN(CA2:CA135)</f>
        <v>0</v>
      </c>
      <c r="CB136" s="1">
        <f>MIN(CB2:CB135)</f>
        <v>2</v>
      </c>
      <c r="CC136" s="1">
        <f>MIN(CC2:CC135)</f>
        <v>8</v>
      </c>
      <c r="CD136" s="1">
        <f>MIN(CD2:CD135)</f>
        <v>5</v>
      </c>
      <c r="CE136" s="1">
        <f>MIN(CE2:CE135)</f>
        <v>0</v>
      </c>
      <c r="CF136" s="1"/>
      <c r="CG136" s="1">
        <f>MIN(CG2:CG135)</f>
        <v>10</v>
      </c>
      <c r="CH136" s="1">
        <f>MIN(CH2:CH135)</f>
        <v>8</v>
      </c>
      <c r="CI136" s="1">
        <f>MIN(CI2:CI135)</f>
        <v>3</v>
      </c>
      <c r="CJ136" s="1">
        <f>MIN(CJ2:CJ135)</f>
        <v>0</v>
      </c>
      <c r="CK136" s="1">
        <f>MIN(CK2:CK135)</f>
        <v>0</v>
      </c>
      <c r="CL136" s="1">
        <f>MIN(CL2:CL135)</f>
        <v>6</v>
      </c>
      <c r="CM136" s="1">
        <f>MIN(CM2:CM135)</f>
        <v>3</v>
      </c>
      <c r="CN136" s="1">
        <f>MIN(CN2:CN135)</f>
        <v>0</v>
      </c>
      <c r="CO136" s="1">
        <f>MIN(CO2:CO135)</f>
        <v>0</v>
      </c>
      <c r="CP136" s="1">
        <f>MIN(CP2:CP135)</f>
        <v>13</v>
      </c>
      <c r="CQ136" s="1">
        <f>MIN(CQ2:CQ135)</f>
        <v>5</v>
      </c>
      <c r="CR136" s="1">
        <f>MIN(CR2:CR135)</f>
        <v>0</v>
      </c>
      <c r="CS136" s="18">
        <f>COUNTIF(CS2:CS135,"=0")</f>
        <v>1</v>
      </c>
    </row>
    <row r="137" spans="1:97" x14ac:dyDescent="0.15">
      <c r="A137" s="1"/>
      <c r="B137" s="3" t="s">
        <v>93</v>
      </c>
      <c r="C137" s="1"/>
      <c r="D137" s="1"/>
      <c r="E137" s="1">
        <v>14</v>
      </c>
      <c r="F137" s="1">
        <v>1</v>
      </c>
      <c r="G137" s="1">
        <v>2</v>
      </c>
      <c r="H137" s="1">
        <v>0</v>
      </c>
      <c r="I137" s="1">
        <v>23</v>
      </c>
      <c r="J137" s="1">
        <v>26</v>
      </c>
      <c r="K137" s="1">
        <v>10</v>
      </c>
      <c r="L137" s="1">
        <v>47</v>
      </c>
      <c r="M137" s="1">
        <v>9</v>
      </c>
      <c r="N137" s="1">
        <v>22</v>
      </c>
      <c r="O137" s="1">
        <v>3</v>
      </c>
      <c r="P137" s="14">
        <v>2</v>
      </c>
      <c r="Q137" s="14">
        <v>1</v>
      </c>
      <c r="R137" s="14">
        <v>2</v>
      </c>
      <c r="S137" s="14">
        <v>1</v>
      </c>
      <c r="T137" s="14">
        <v>5</v>
      </c>
      <c r="U137" s="14">
        <v>0</v>
      </c>
      <c r="V137" s="14">
        <v>2</v>
      </c>
      <c r="W137" s="14">
        <v>2</v>
      </c>
      <c r="X137" s="14">
        <v>6</v>
      </c>
      <c r="Y137" s="14">
        <v>0</v>
      </c>
      <c r="Z137" s="14">
        <v>1</v>
      </c>
      <c r="AA137" s="14">
        <v>1</v>
      </c>
      <c r="AB137" s="14">
        <v>8</v>
      </c>
      <c r="AC137" s="14">
        <v>2</v>
      </c>
      <c r="AD137" s="14">
        <v>4</v>
      </c>
      <c r="AE137" s="1">
        <v>7</v>
      </c>
      <c r="AF137" s="1">
        <v>0</v>
      </c>
      <c r="AG137" s="1">
        <v>0</v>
      </c>
      <c r="AH137" s="1">
        <v>0</v>
      </c>
      <c r="AI137" s="1">
        <v>0</v>
      </c>
      <c r="AJ137" s="1">
        <v>0</v>
      </c>
      <c r="AK137" s="1">
        <v>33</v>
      </c>
      <c r="AL137" s="1">
        <v>43</v>
      </c>
      <c r="AM137" s="1">
        <v>9</v>
      </c>
      <c r="AN137" s="1">
        <v>0</v>
      </c>
      <c r="AO137" s="1">
        <v>0</v>
      </c>
      <c r="AP137" s="1">
        <v>0</v>
      </c>
      <c r="AQ137" s="14">
        <v>0</v>
      </c>
      <c r="AR137" s="14">
        <v>2</v>
      </c>
      <c r="AS137" s="14">
        <v>2</v>
      </c>
      <c r="AT137" s="14">
        <v>8</v>
      </c>
      <c r="AU137" s="14">
        <v>8</v>
      </c>
      <c r="AV137" s="14">
        <v>4</v>
      </c>
      <c r="AW137" s="14">
        <v>5</v>
      </c>
      <c r="AX137" s="14">
        <v>30</v>
      </c>
      <c r="AY137" s="14">
        <v>13</v>
      </c>
      <c r="AZ137" s="14">
        <v>2</v>
      </c>
      <c r="BA137" s="14">
        <v>5</v>
      </c>
      <c r="BB137" s="14">
        <v>140</v>
      </c>
      <c r="BC137" s="14">
        <v>7</v>
      </c>
      <c r="BD137" s="1">
        <v>98</v>
      </c>
      <c r="BE137" s="1">
        <v>124</v>
      </c>
      <c r="BF137" s="1">
        <v>133</v>
      </c>
      <c r="BG137" s="1">
        <v>142</v>
      </c>
      <c r="BH137" s="1">
        <v>77</v>
      </c>
      <c r="BI137" s="1">
        <v>90</v>
      </c>
      <c r="BJ137" s="1">
        <v>21</v>
      </c>
      <c r="BK137" s="1">
        <v>21</v>
      </c>
      <c r="BL137" s="1">
        <v>33</v>
      </c>
      <c r="BM137" s="1"/>
      <c r="BN137" s="1"/>
      <c r="BO137" s="1"/>
      <c r="BP137" s="1"/>
      <c r="BQ137" s="1"/>
      <c r="BR137" s="17"/>
      <c r="BS137" s="17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33"/>
    </row>
    <row r="138" spans="1:97" x14ac:dyDescent="0.15">
      <c r="A138" s="1"/>
      <c r="B138" s="3" t="s">
        <v>100</v>
      </c>
      <c r="C138" s="1"/>
      <c r="D138" s="1"/>
      <c r="E138" s="1">
        <f>E137-E136</f>
        <v>-154</v>
      </c>
      <c r="F138" s="1">
        <f>F137-F136</f>
        <v>-73</v>
      </c>
      <c r="G138" s="1">
        <f>G137-G136</f>
        <v>-199</v>
      </c>
      <c r="H138" s="1">
        <f>H137-H136</f>
        <v>-173</v>
      </c>
      <c r="I138" s="1">
        <f>I137-I136</f>
        <v>-30</v>
      </c>
      <c r="J138" s="1">
        <f>J137-J136</f>
        <v>-44</v>
      </c>
      <c r="K138" s="1">
        <f>K137-K136</f>
        <v>-20</v>
      </c>
      <c r="L138" s="1">
        <f>L137-L136</f>
        <v>-41</v>
      </c>
      <c r="M138" s="1">
        <f>M137-M136</f>
        <v>-32</v>
      </c>
      <c r="N138" s="1">
        <f>N137-N136</f>
        <v>-10</v>
      </c>
      <c r="O138" s="1">
        <f>O137-O136</f>
        <v>-76</v>
      </c>
      <c r="P138" s="1">
        <f>P137-P136</f>
        <v>-128</v>
      </c>
      <c r="Q138" s="1">
        <f>Q137-Q136</f>
        <v>-75</v>
      </c>
      <c r="R138" s="1">
        <f>R137-R136</f>
        <v>-81</v>
      </c>
      <c r="S138" s="1">
        <f>S137-S136</f>
        <v>-129</v>
      </c>
      <c r="T138" s="1">
        <f>T137-T136</f>
        <v>-56</v>
      </c>
      <c r="U138" s="1">
        <f>U137-U136</f>
        <v>-62</v>
      </c>
      <c r="V138" s="1">
        <f>V137-V136</f>
        <v>-133</v>
      </c>
      <c r="W138" s="1">
        <f>W137-W136</f>
        <v>-33</v>
      </c>
      <c r="X138" s="1">
        <f>X137-X136</f>
        <v>-53</v>
      </c>
      <c r="Y138" s="1">
        <f>Y137-Y136</f>
        <v>-125</v>
      </c>
      <c r="Z138" s="1">
        <f>Z137-Z136</f>
        <v>-49</v>
      </c>
      <c r="AA138" s="1">
        <f>AA137-AA136</f>
        <v>-34</v>
      </c>
      <c r="AB138" s="1">
        <f>AB137-AB136</f>
        <v>-132</v>
      </c>
      <c r="AC138" s="1">
        <f>AC137-AC136</f>
        <v>-28</v>
      </c>
      <c r="AD138" s="1">
        <f>AD137-AD136</f>
        <v>-18</v>
      </c>
      <c r="AE138" s="1">
        <f>AE137-AE136</f>
        <v>-258</v>
      </c>
      <c r="AF138" s="1">
        <f>AF137-AF136</f>
        <v>-10</v>
      </c>
      <c r="AG138" s="1">
        <f>AG137-AG136</f>
        <v>-15</v>
      </c>
      <c r="AH138" s="1">
        <f>AH137-AH136</f>
        <v>-30</v>
      </c>
      <c r="AI138" s="1">
        <f>AI137-AI136</f>
        <v>-30</v>
      </c>
      <c r="AJ138" s="1">
        <f>AJ137-AJ136</f>
        <v>-5</v>
      </c>
      <c r="AK138" s="1">
        <f>AK137-AK136</f>
        <v>33</v>
      </c>
      <c r="AL138" s="1">
        <f>AL137-AL136</f>
        <v>43</v>
      </c>
      <c r="AM138" s="1">
        <f>AM137-AM136</f>
        <v>-11</v>
      </c>
      <c r="AN138" s="1">
        <f>AN137-AN136</f>
        <v>-50</v>
      </c>
      <c r="AO138" s="1">
        <f>AO137-AO136</f>
        <v>-25</v>
      </c>
      <c r="AP138" s="1">
        <f>AP137-AP136</f>
        <v>-26</v>
      </c>
      <c r="AQ138" s="1">
        <f>AQ137-AQ136</f>
        <v>-90</v>
      </c>
      <c r="AR138" s="1">
        <f>AR137-AR136</f>
        <v>-118</v>
      </c>
      <c r="AS138" s="1">
        <f>AS137-AS136</f>
        <v>-78</v>
      </c>
      <c r="AT138" s="1">
        <f>AT137-AT136</f>
        <v>-85</v>
      </c>
      <c r="AU138" s="1">
        <f>AU137-AU136</f>
        <v>-40</v>
      </c>
      <c r="AV138" s="1">
        <f>AV137-AV136</f>
        <v>-111</v>
      </c>
      <c r="AW138" s="1">
        <f>AW137-AW136</f>
        <v>-108</v>
      </c>
      <c r="AX138" s="1">
        <f>AX137-AX136</f>
        <v>-50</v>
      </c>
      <c r="AY138" s="1">
        <f>AY137-AY136</f>
        <v>-30</v>
      </c>
      <c r="AZ138" s="1">
        <f>AZ137-AZ136</f>
        <v>-78</v>
      </c>
      <c r="BA138" s="1">
        <f>BA137-BA136</f>
        <v>-190</v>
      </c>
      <c r="BB138" s="1">
        <f>BB137-BB136</f>
        <v>-225</v>
      </c>
      <c r="BC138" s="1">
        <f>BC137-BC136</f>
        <v>-3</v>
      </c>
      <c r="BD138" s="1">
        <f>BD137-BD136</f>
        <v>-52</v>
      </c>
      <c r="BE138" s="1">
        <f>BE137-BE136</f>
        <v>24</v>
      </c>
      <c r="BF138" s="1">
        <f>BF137-BF136</f>
        <v>13</v>
      </c>
      <c r="BG138" s="1">
        <f>BG137-BG136</f>
        <v>22</v>
      </c>
      <c r="BH138" s="1">
        <f>BH137-BH136</f>
        <v>-33</v>
      </c>
      <c r="BI138" s="1">
        <f>BI137-BI136</f>
        <v>0</v>
      </c>
      <c r="BJ138" s="1">
        <f>BJ137-BJ136</f>
        <v>-179</v>
      </c>
      <c r="BK138" s="1">
        <f>BK137-BK136</f>
        <v>-179</v>
      </c>
      <c r="BL138" s="1">
        <f>BL137-BL136</f>
        <v>-117</v>
      </c>
      <c r="BM138" s="1">
        <f>BM137-BM136</f>
        <v>-150</v>
      </c>
      <c r="BN138" s="1">
        <f>BN137-BN136</f>
        <v>-350</v>
      </c>
      <c r="BO138" s="1">
        <f>BO137-BO136</f>
        <v>-350</v>
      </c>
      <c r="BP138" s="1"/>
      <c r="BQ138" s="1"/>
      <c r="BR138" s="17"/>
      <c r="BS138" s="17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33"/>
    </row>
  </sheetData>
  <autoFilter ref="A1:BP136"/>
  <sortState ref="A2:CS138">
    <sortCondition ref="BR2:BR138"/>
    <sortCondition ref="BQ2:BQ138"/>
  </sortState>
  <phoneticPr fontId="1" type="noConversion"/>
  <conditionalFormatting sqref="E26">
    <cfRule type="cellIs" dxfId="2" priority="4" operator="greaterThan">
      <formula>$E$137</formula>
    </cfRule>
  </conditionalFormatting>
  <conditionalFormatting sqref="E136">
    <cfRule type="cellIs" dxfId="1" priority="3" operator="greaterThan">
      <formula>$E$137</formula>
    </cfRule>
  </conditionalFormatting>
  <conditionalFormatting sqref="E138:BO13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140</xdr:row>
                    <xdr:rowOff>28575</xdr:rowOff>
                  </from>
                  <to>
                    <xdr:col>1</xdr:col>
                    <xdr:colOff>428625</xdr:colOff>
                    <xdr:row>141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90</v>
      </c>
      <c r="B1" s="5" t="s">
        <v>87</v>
      </c>
      <c r="C1" s="5" t="s">
        <v>91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58</v>
      </c>
      <c r="C3" s="1">
        <v>120</v>
      </c>
    </row>
    <row r="4" spans="1:3" x14ac:dyDescent="0.15">
      <c r="A4" s="1">
        <v>4</v>
      </c>
      <c r="B4" s="4" t="s">
        <v>59</v>
      </c>
      <c r="C4" s="1">
        <v>85</v>
      </c>
    </row>
    <row r="5" spans="1:3" x14ac:dyDescent="0.15">
      <c r="A5" s="1">
        <v>3</v>
      </c>
      <c r="B5" s="4" t="s">
        <v>49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66</v>
      </c>
      <c r="C11" s="1">
        <v>45</v>
      </c>
    </row>
    <row r="12" spans="1:3" x14ac:dyDescent="0.15">
      <c r="A12" s="1">
        <v>11</v>
      </c>
      <c r="B12" s="2" t="s">
        <v>50</v>
      </c>
      <c r="C12" s="1">
        <v>10</v>
      </c>
    </row>
    <row r="13" spans="1:3" x14ac:dyDescent="0.15">
      <c r="A13" s="1">
        <v>6</v>
      </c>
      <c r="B13" s="4" t="s">
        <v>71</v>
      </c>
      <c r="C13" s="1">
        <v>8</v>
      </c>
    </row>
    <row r="19" spans="7:18" x14ac:dyDescent="0.15">
      <c r="G19" s="10" t="s">
        <v>49</v>
      </c>
      <c r="H19" s="10" t="s">
        <v>5</v>
      </c>
      <c r="I19" s="10" t="s">
        <v>33</v>
      </c>
      <c r="J19" s="10" t="s">
        <v>66</v>
      </c>
      <c r="K19" s="10" t="s">
        <v>71</v>
      </c>
      <c r="L19" s="10" t="s">
        <v>59</v>
      </c>
      <c r="M19" s="11" t="s">
        <v>6</v>
      </c>
      <c r="N19" s="11" t="s">
        <v>7</v>
      </c>
      <c r="O19" s="11" t="s">
        <v>50</v>
      </c>
      <c r="P19" s="11" t="s">
        <v>9</v>
      </c>
      <c r="Q19" s="11" t="s">
        <v>58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97</v>
      </c>
      <c r="B1" s="8" t="s">
        <v>98</v>
      </c>
      <c r="C1" s="8" t="s">
        <v>99</v>
      </c>
    </row>
    <row r="2" spans="1:3" x14ac:dyDescent="0.15">
      <c r="A2" s="1">
        <v>5</v>
      </c>
      <c r="B2" s="10" t="s">
        <v>71</v>
      </c>
      <c r="C2" s="1">
        <v>0</v>
      </c>
    </row>
    <row r="3" spans="1:3" x14ac:dyDescent="0.15">
      <c r="A3" s="1">
        <v>9</v>
      </c>
      <c r="B3" s="11" t="s">
        <v>50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66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49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58</v>
      </c>
      <c r="C12" s="1">
        <v>5</v>
      </c>
    </row>
    <row r="13" spans="1:3" x14ac:dyDescent="0.15">
      <c r="A13" s="1">
        <v>6</v>
      </c>
      <c r="B13" s="10" t="s">
        <v>59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49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71</v>
      </c>
      <c r="C5">
        <v>0</v>
      </c>
    </row>
    <row r="6" spans="2:3" x14ac:dyDescent="0.15">
      <c r="B6" s="11" t="s">
        <v>50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58</v>
      </c>
      <c r="C8">
        <v>0</v>
      </c>
    </row>
    <row r="9" spans="2:3" x14ac:dyDescent="0.15">
      <c r="B9" s="10" t="s">
        <v>66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59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2020-02-20T01:26:29Z</dcterms:modified>
</cp:coreProperties>
</file>