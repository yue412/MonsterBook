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Sheet1!$A$1:$BV$156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27" i="1" l="1"/>
  <c r="BV127" i="1"/>
  <c r="BU63" i="1"/>
  <c r="BV63" i="1"/>
  <c r="BU45" i="1"/>
  <c r="BV45" i="1"/>
  <c r="BU112" i="1"/>
  <c r="BV112" i="1"/>
  <c r="BU81" i="1"/>
  <c r="BV81" i="1"/>
  <c r="BQ63" i="1"/>
  <c r="BQ45" i="1"/>
  <c r="BQ112" i="1"/>
  <c r="BQ81" i="1"/>
  <c r="BQ127" i="1"/>
  <c r="BU53" i="1" l="1"/>
  <c r="BV53" i="1"/>
  <c r="BU68" i="1"/>
  <c r="BV68" i="1"/>
  <c r="BQ53" i="1"/>
  <c r="BQ68" i="1"/>
  <c r="BU42" i="1" l="1"/>
  <c r="BV42" i="1"/>
  <c r="BU94" i="1"/>
  <c r="BV94" i="1"/>
  <c r="BU116" i="1"/>
  <c r="BV116" i="1"/>
  <c r="BU92" i="1"/>
  <c r="BV92" i="1"/>
  <c r="BU141" i="1"/>
  <c r="BV141" i="1"/>
  <c r="BQ42" i="1"/>
  <c r="BQ94" i="1"/>
  <c r="BQ116" i="1"/>
  <c r="BQ92" i="1"/>
  <c r="BQ141" i="1"/>
  <c r="BU3" i="1" l="1"/>
  <c r="BV3" i="1"/>
  <c r="BU4" i="1"/>
  <c r="BV4" i="1"/>
  <c r="BU5" i="1"/>
  <c r="BV5" i="1"/>
  <c r="BU6" i="1"/>
  <c r="BV6" i="1"/>
  <c r="BU7" i="1"/>
  <c r="BV7" i="1"/>
  <c r="BU8" i="1"/>
  <c r="BV8" i="1"/>
  <c r="BU47" i="1"/>
  <c r="BV47" i="1"/>
  <c r="BU48" i="1"/>
  <c r="BV48" i="1"/>
  <c r="BU9" i="1"/>
  <c r="BV9" i="1"/>
  <c r="BU10" i="1"/>
  <c r="BV10" i="1"/>
  <c r="BU11" i="1"/>
  <c r="BV11" i="1"/>
  <c r="BU12" i="1"/>
  <c r="BV12" i="1"/>
  <c r="BU13" i="1"/>
  <c r="BV13" i="1"/>
  <c r="BU14" i="1"/>
  <c r="BV14" i="1"/>
  <c r="BU15" i="1"/>
  <c r="BV15" i="1"/>
  <c r="BU16" i="1"/>
  <c r="BV16" i="1"/>
  <c r="BU17" i="1"/>
  <c r="BV17" i="1"/>
  <c r="BU18" i="1"/>
  <c r="BV18" i="1"/>
  <c r="BU49" i="1"/>
  <c r="BV49" i="1"/>
  <c r="BU19" i="1"/>
  <c r="BV19" i="1"/>
  <c r="BU50" i="1"/>
  <c r="BV50" i="1"/>
  <c r="BU20" i="1"/>
  <c r="BV20" i="1"/>
  <c r="BU21" i="1"/>
  <c r="BV21" i="1"/>
  <c r="BU22" i="1"/>
  <c r="BV22" i="1"/>
  <c r="BU23" i="1"/>
  <c r="BV23" i="1"/>
  <c r="BU24" i="1"/>
  <c r="BV24" i="1"/>
  <c r="BU25" i="1"/>
  <c r="BV25" i="1"/>
  <c r="BU26" i="1"/>
  <c r="BV26" i="1"/>
  <c r="BU27" i="1"/>
  <c r="BV27" i="1"/>
  <c r="BU28" i="1"/>
  <c r="BV28" i="1"/>
  <c r="BU73" i="1"/>
  <c r="BV73" i="1"/>
  <c r="BU74" i="1"/>
  <c r="BV74" i="1"/>
  <c r="BU51" i="1"/>
  <c r="BV51" i="1"/>
  <c r="BU52" i="1"/>
  <c r="BV52" i="1"/>
  <c r="BU29" i="1"/>
  <c r="BV29" i="1"/>
  <c r="BU30" i="1"/>
  <c r="BV30" i="1"/>
  <c r="BU31" i="1"/>
  <c r="BV31" i="1"/>
  <c r="BU32" i="1"/>
  <c r="BV32" i="1"/>
  <c r="BU33" i="1"/>
  <c r="BV33" i="1"/>
  <c r="BU34" i="1"/>
  <c r="BV34" i="1"/>
  <c r="BU35" i="1"/>
  <c r="BV35" i="1"/>
  <c r="BU36" i="1"/>
  <c r="BV36" i="1"/>
  <c r="BU37" i="1"/>
  <c r="BV37" i="1"/>
  <c r="BU38" i="1"/>
  <c r="BV38" i="1"/>
  <c r="BU39" i="1"/>
  <c r="BV39" i="1"/>
  <c r="BU54" i="1"/>
  <c r="BV54" i="1"/>
  <c r="BU55" i="1"/>
  <c r="BV55" i="1"/>
  <c r="BU56" i="1"/>
  <c r="BV56" i="1"/>
  <c r="BU57" i="1"/>
  <c r="BV57" i="1"/>
  <c r="BU58" i="1"/>
  <c r="BV58" i="1"/>
  <c r="BU130" i="1"/>
  <c r="BV130" i="1"/>
  <c r="BU59" i="1"/>
  <c r="BV59" i="1"/>
  <c r="BU60" i="1"/>
  <c r="BV60" i="1"/>
  <c r="BU131" i="1"/>
  <c r="BV131" i="1"/>
  <c r="BU113" i="1"/>
  <c r="BV113" i="1"/>
  <c r="BU114" i="1"/>
  <c r="BV114" i="1"/>
  <c r="BU115" i="1"/>
  <c r="BV115" i="1"/>
  <c r="BU91" i="1"/>
  <c r="BV91" i="1"/>
  <c r="BU132" i="1"/>
  <c r="BV132" i="1"/>
  <c r="BU93" i="1"/>
  <c r="BV93" i="1"/>
  <c r="BU95" i="1"/>
  <c r="BV95" i="1"/>
  <c r="BU129" i="1"/>
  <c r="BV129" i="1"/>
  <c r="BU46" i="1"/>
  <c r="BV46" i="1"/>
  <c r="BU102" i="1"/>
  <c r="BV102" i="1"/>
  <c r="BU103" i="1"/>
  <c r="BV103" i="1"/>
  <c r="BU104" i="1"/>
  <c r="BV104" i="1"/>
  <c r="BU105" i="1"/>
  <c r="BV105" i="1"/>
  <c r="BU106" i="1"/>
  <c r="BV106" i="1"/>
  <c r="BU107" i="1"/>
  <c r="BV107" i="1"/>
  <c r="BU61" i="1"/>
  <c r="BV61" i="1"/>
  <c r="BU43" i="1"/>
  <c r="BV43" i="1"/>
  <c r="BU75" i="1"/>
  <c r="BV75" i="1"/>
  <c r="BU64" i="1"/>
  <c r="BV64" i="1"/>
  <c r="BU62" i="1"/>
  <c r="BV62" i="1"/>
  <c r="BU76" i="1"/>
  <c r="BV76" i="1"/>
  <c r="BU65" i="1"/>
  <c r="BV65" i="1"/>
  <c r="BU66" i="1"/>
  <c r="BV66" i="1"/>
  <c r="BU67" i="1"/>
  <c r="BV67" i="1"/>
  <c r="BU69" i="1"/>
  <c r="BV69" i="1"/>
  <c r="BU70" i="1"/>
  <c r="BV70" i="1"/>
  <c r="BU71" i="1"/>
  <c r="BV71" i="1"/>
  <c r="BU72" i="1"/>
  <c r="BV72" i="1"/>
  <c r="BU99" i="1"/>
  <c r="BV99" i="1"/>
  <c r="BU40" i="1"/>
  <c r="BV40" i="1"/>
  <c r="BU41" i="1"/>
  <c r="BV41" i="1"/>
  <c r="BU122" i="1"/>
  <c r="BV122" i="1"/>
  <c r="BU123" i="1"/>
  <c r="BV123" i="1"/>
  <c r="BU124" i="1"/>
  <c r="BV124" i="1"/>
  <c r="BU125" i="1"/>
  <c r="BV125" i="1"/>
  <c r="BU126" i="1"/>
  <c r="BV126" i="1"/>
  <c r="BU147" i="1"/>
  <c r="BV147" i="1"/>
  <c r="BU77" i="1"/>
  <c r="BV77" i="1"/>
  <c r="BU78" i="1"/>
  <c r="BV78" i="1"/>
  <c r="BU108" i="1"/>
  <c r="BV108" i="1"/>
  <c r="BU89" i="1"/>
  <c r="BV89" i="1"/>
  <c r="BU90" i="1"/>
  <c r="BV90" i="1"/>
  <c r="BU96" i="1"/>
  <c r="BV96" i="1"/>
  <c r="BU97" i="1"/>
  <c r="BV97" i="1"/>
  <c r="BU109" i="1"/>
  <c r="BV109" i="1"/>
  <c r="BU110" i="1"/>
  <c r="BV110" i="1"/>
  <c r="BU134" i="1"/>
  <c r="BV134" i="1"/>
  <c r="BU135" i="1"/>
  <c r="BV135" i="1"/>
  <c r="BU136" i="1"/>
  <c r="BV136" i="1"/>
  <c r="BU137" i="1"/>
  <c r="BV137" i="1"/>
  <c r="BU138" i="1"/>
  <c r="BV138" i="1"/>
  <c r="BU142" i="1"/>
  <c r="BV142" i="1"/>
  <c r="BU98" i="1"/>
  <c r="BV98" i="1"/>
  <c r="BU100" i="1"/>
  <c r="BV100" i="1"/>
  <c r="BU101" i="1"/>
  <c r="BV101" i="1"/>
  <c r="BU117" i="1"/>
  <c r="BV117" i="1"/>
  <c r="BU118" i="1"/>
  <c r="BV118" i="1"/>
  <c r="BU119" i="1"/>
  <c r="BV119" i="1"/>
  <c r="BU120" i="1"/>
  <c r="BV120" i="1"/>
  <c r="BU121" i="1"/>
  <c r="BV121" i="1"/>
  <c r="BU111" i="1"/>
  <c r="BV111" i="1"/>
  <c r="BU128" i="1"/>
  <c r="BV128" i="1"/>
  <c r="BU44" i="1"/>
  <c r="BV44" i="1"/>
  <c r="BU80" i="1"/>
  <c r="BV80" i="1"/>
  <c r="BU79" i="1"/>
  <c r="BV79" i="1"/>
  <c r="BU145" i="1"/>
  <c r="BV145" i="1"/>
  <c r="BQ145" i="1"/>
  <c r="BQ129" i="1"/>
  <c r="BQ121" i="1"/>
  <c r="BQ79" i="1"/>
  <c r="BQ95" i="1" l="1"/>
  <c r="BQ142" i="1"/>
  <c r="BQ23" i="1" l="1"/>
  <c r="BQ24" i="1"/>
  <c r="BQ29" i="1"/>
  <c r="BQ41" i="1"/>
  <c r="BQ25" i="1"/>
  <c r="BQ26" i="1"/>
  <c r="BQ27" i="1"/>
  <c r="BQ28" i="1"/>
  <c r="BQ73" i="1"/>
  <c r="BQ74" i="1"/>
  <c r="BD153" i="1"/>
  <c r="BD155" i="1" s="1"/>
  <c r="BD152" i="1"/>
  <c r="BD154" i="1" s="1"/>
  <c r="BD149" i="1"/>
  <c r="BD151" i="1" s="1"/>
  <c r="BE149" i="1" l="1"/>
  <c r="BE151" i="1" s="1"/>
  <c r="BF149" i="1"/>
  <c r="BF151" i="1" s="1"/>
  <c r="BG149" i="1"/>
  <c r="BG151" i="1" s="1"/>
  <c r="BH149" i="1"/>
  <c r="BH151" i="1" s="1"/>
  <c r="BI149" i="1"/>
  <c r="BI151" i="1" s="1"/>
  <c r="BJ149" i="1"/>
  <c r="BJ151" i="1" s="1"/>
  <c r="BE152" i="1"/>
  <c r="BE154" i="1" s="1"/>
  <c r="BF152" i="1"/>
  <c r="BF154" i="1" s="1"/>
  <c r="BG152" i="1"/>
  <c r="BG154" i="1" s="1"/>
  <c r="BH152" i="1"/>
  <c r="BH154" i="1" s="1"/>
  <c r="BI152" i="1"/>
  <c r="BI154" i="1" s="1"/>
  <c r="BJ152" i="1"/>
  <c r="BJ154" i="1" s="1"/>
  <c r="BE153" i="1"/>
  <c r="BE155" i="1" s="1"/>
  <c r="BF153" i="1"/>
  <c r="BF155" i="1" s="1"/>
  <c r="BG153" i="1"/>
  <c r="BG155" i="1" s="1"/>
  <c r="BH153" i="1"/>
  <c r="BH155" i="1" s="1"/>
  <c r="BI153" i="1"/>
  <c r="BI155" i="1" s="1"/>
  <c r="BJ153" i="1"/>
  <c r="BJ155" i="1" s="1"/>
  <c r="BQ62" i="1" l="1"/>
  <c r="BU140" i="1" l="1"/>
  <c r="BV140" i="1"/>
  <c r="BU82" i="1"/>
  <c r="BV82" i="1"/>
  <c r="BU83" i="1"/>
  <c r="BV83" i="1"/>
  <c r="BU84" i="1"/>
  <c r="BV84" i="1"/>
  <c r="BU85" i="1"/>
  <c r="BV85" i="1"/>
  <c r="BU139" i="1"/>
  <c r="BV139" i="1"/>
  <c r="BU133" i="1"/>
  <c r="BV133" i="1"/>
  <c r="BU143" i="1"/>
  <c r="BV143" i="1"/>
  <c r="BU144" i="1"/>
  <c r="BV144" i="1"/>
  <c r="BU146" i="1"/>
  <c r="BV146" i="1"/>
  <c r="BU148" i="1"/>
  <c r="BV148" i="1"/>
  <c r="BU86" i="1"/>
  <c r="BV86" i="1"/>
  <c r="BU87" i="1"/>
  <c r="BV87" i="1"/>
  <c r="BU88" i="1"/>
  <c r="BV88" i="1"/>
  <c r="BQ110" i="1"/>
  <c r="BQ39" i="1"/>
  <c r="BQ132" i="1"/>
  <c r="BQ107" i="1"/>
  <c r="BQ16" i="1" l="1"/>
  <c r="BQ17" i="1"/>
  <c r="BQ18" i="1"/>
  <c r="BQ49" i="1"/>
  <c r="BQ126" i="1"/>
  <c r="BQ106" i="1"/>
  <c r="BQ19" i="1"/>
  <c r="BQ91" i="1"/>
  <c r="BQ119" i="1"/>
  <c r="BQ37" i="1"/>
  <c r="BQ50" i="1"/>
  <c r="BQ122" i="1"/>
  <c r="BQ38" i="1"/>
  <c r="BQ58" i="1"/>
  <c r="BQ146" i="1"/>
  <c r="BQ138" i="1"/>
  <c r="BQ131" i="1"/>
  <c r="BQ109" i="1"/>
  <c r="BQ20" i="1"/>
  <c r="BQ21" i="1"/>
  <c r="BQ120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44" i="1" l="1"/>
  <c r="BQ36" i="1"/>
  <c r="BQ147" i="1"/>
  <c r="BQ137" i="1"/>
  <c r="BQ103" i="1"/>
  <c r="BQ104" i="1"/>
  <c r="BQ105" i="1"/>
  <c r="BQ102" i="1"/>
  <c r="BQ111" i="1"/>
  <c r="BQ128" i="1"/>
  <c r="BQ118" i="1"/>
  <c r="BQ113" i="1"/>
  <c r="BQ114" i="1"/>
  <c r="BQ115" i="1"/>
  <c r="BQ123" i="1"/>
  <c r="BQ124" i="1"/>
  <c r="BQ125" i="1"/>
  <c r="BQ61" i="1"/>
  <c r="BQ14" i="1"/>
  <c r="BQ60" i="1"/>
  <c r="BQ48" i="1"/>
  <c r="BQ57" i="1"/>
  <c r="BQ11" i="1"/>
  <c r="BQ34" i="1"/>
  <c r="BQ130" i="1"/>
  <c r="BQ12" i="1"/>
  <c r="BQ35" i="1"/>
  <c r="BQ6" i="1"/>
  <c r="BQ93" i="1"/>
  <c r="BQ7" i="1"/>
  <c r="BQ8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K153" i="1"/>
  <c r="BL153" i="1"/>
  <c r="BM153" i="1"/>
  <c r="BN153" i="1"/>
  <c r="BO153" i="1"/>
  <c r="BP153" i="1"/>
  <c r="E153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K152" i="1"/>
  <c r="BL152" i="1"/>
  <c r="BM152" i="1"/>
  <c r="BN152" i="1"/>
  <c r="BO152" i="1"/>
  <c r="BP152" i="1"/>
  <c r="E152" i="1"/>
  <c r="BK149" i="1"/>
  <c r="BL149" i="1"/>
  <c r="BM149" i="1"/>
  <c r="BN149" i="1"/>
  <c r="BO149" i="1"/>
  <c r="BP149" i="1"/>
  <c r="BC149" i="1"/>
  <c r="AX149" i="1"/>
  <c r="AY149" i="1"/>
  <c r="AZ149" i="1"/>
  <c r="BA149" i="1"/>
  <c r="BB149" i="1"/>
  <c r="AW149" i="1"/>
  <c r="AR149" i="1"/>
  <c r="AS149" i="1"/>
  <c r="AT149" i="1"/>
  <c r="AU149" i="1"/>
  <c r="AV149" i="1"/>
  <c r="AQ149" i="1"/>
  <c r="AF149" i="1"/>
  <c r="AG149" i="1"/>
  <c r="AH149" i="1"/>
  <c r="AI149" i="1"/>
  <c r="AJ149" i="1"/>
  <c r="AK149" i="1"/>
  <c r="AL149" i="1"/>
  <c r="AM149" i="1"/>
  <c r="AN149" i="1"/>
  <c r="AO149" i="1"/>
  <c r="AP149" i="1"/>
  <c r="AE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P149" i="1"/>
  <c r="F149" i="1"/>
  <c r="G149" i="1"/>
  <c r="H149" i="1"/>
  <c r="I149" i="1"/>
  <c r="J149" i="1"/>
  <c r="K149" i="1"/>
  <c r="L149" i="1"/>
  <c r="M149" i="1"/>
  <c r="N149" i="1"/>
  <c r="O149" i="1"/>
  <c r="E149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46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97" i="1"/>
  <c r="BQ64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4" i="1"/>
  <c r="BK154" i="1"/>
  <c r="BL154" i="1"/>
  <c r="BM154" i="1"/>
  <c r="BN154" i="1"/>
  <c r="BO154" i="1"/>
  <c r="BP154" i="1"/>
  <c r="BC155" i="1"/>
  <c r="BK155" i="1"/>
  <c r="BL155" i="1"/>
  <c r="BM155" i="1"/>
  <c r="BN155" i="1"/>
  <c r="BO155" i="1"/>
  <c r="BP155" i="1"/>
  <c r="BA154" i="1"/>
  <c r="BB154" i="1"/>
  <c r="BA155" i="1"/>
  <c r="BB155" i="1"/>
  <c r="AQ154" i="1"/>
  <c r="AR154" i="1"/>
  <c r="AS154" i="1"/>
  <c r="AT154" i="1"/>
  <c r="AU154" i="1"/>
  <c r="AV154" i="1"/>
  <c r="AW154" i="1"/>
  <c r="AX154" i="1"/>
  <c r="AY154" i="1"/>
  <c r="AZ154" i="1"/>
  <c r="AQ155" i="1"/>
  <c r="AR155" i="1"/>
  <c r="AS155" i="1"/>
  <c r="AT155" i="1"/>
  <c r="AU155" i="1"/>
  <c r="AV155" i="1"/>
  <c r="AW155" i="1"/>
  <c r="AX155" i="1"/>
  <c r="AY155" i="1"/>
  <c r="AZ155" i="1"/>
  <c r="AI154" i="1"/>
  <c r="AJ154" i="1"/>
  <c r="AK154" i="1"/>
  <c r="AL154" i="1"/>
  <c r="AM154" i="1"/>
  <c r="AN154" i="1"/>
  <c r="AO154" i="1"/>
  <c r="AP154" i="1"/>
  <c r="AI155" i="1"/>
  <c r="AJ155" i="1"/>
  <c r="AK155" i="1"/>
  <c r="AL155" i="1"/>
  <c r="AM155" i="1"/>
  <c r="AN155" i="1"/>
  <c r="AO155" i="1"/>
  <c r="AP155" i="1"/>
  <c r="AC154" i="1"/>
  <c r="AD154" i="1"/>
  <c r="AE154" i="1"/>
  <c r="AF154" i="1"/>
  <c r="AG154" i="1"/>
  <c r="AH154" i="1"/>
  <c r="AC155" i="1"/>
  <c r="AD155" i="1"/>
  <c r="AE155" i="1"/>
  <c r="AF155" i="1"/>
  <c r="AG155" i="1"/>
  <c r="AH155" i="1"/>
  <c r="W154" i="1"/>
  <c r="X154" i="1"/>
  <c r="Y154" i="1"/>
  <c r="Z154" i="1"/>
  <c r="AA154" i="1"/>
  <c r="AB154" i="1"/>
  <c r="W155" i="1"/>
  <c r="X155" i="1"/>
  <c r="Y155" i="1"/>
  <c r="Z155" i="1"/>
  <c r="AA155" i="1"/>
  <c r="AB155" i="1"/>
  <c r="P154" i="1"/>
  <c r="Q154" i="1"/>
  <c r="R154" i="1"/>
  <c r="S154" i="1"/>
  <c r="T154" i="1"/>
  <c r="U154" i="1"/>
  <c r="V154" i="1"/>
  <c r="P155" i="1"/>
  <c r="Q155" i="1"/>
  <c r="R155" i="1"/>
  <c r="S155" i="1"/>
  <c r="T155" i="1"/>
  <c r="U155" i="1"/>
  <c r="V155" i="1"/>
  <c r="G154" i="1"/>
  <c r="H154" i="1"/>
  <c r="I154" i="1"/>
  <c r="J154" i="1"/>
  <c r="K154" i="1"/>
  <c r="L154" i="1"/>
  <c r="M154" i="1"/>
  <c r="N154" i="1"/>
  <c r="O154" i="1"/>
  <c r="G155" i="1"/>
  <c r="H155" i="1"/>
  <c r="I155" i="1"/>
  <c r="J155" i="1"/>
  <c r="K155" i="1"/>
  <c r="L155" i="1"/>
  <c r="M155" i="1"/>
  <c r="N155" i="1"/>
  <c r="O155" i="1"/>
  <c r="F154" i="1"/>
  <c r="F155" i="1"/>
  <c r="E155" i="1"/>
  <c r="E154" i="1"/>
  <c r="CH4" i="8" l="1"/>
  <c r="CI4" i="8"/>
  <c r="CK4" i="8"/>
  <c r="CJ4" i="8"/>
  <c r="CL4" i="8"/>
  <c r="CM4" i="8"/>
  <c r="CQ4" i="8"/>
  <c r="CN4" i="8"/>
  <c r="CG4" i="8"/>
  <c r="CO4" i="8"/>
  <c r="CP4" i="8"/>
  <c r="BQ2" i="1"/>
  <c r="BQ67" i="1"/>
  <c r="BQ22" i="1"/>
  <c r="BQ69" i="1"/>
  <c r="BQ70" i="1"/>
  <c r="BQ71" i="1"/>
  <c r="BQ72" i="1"/>
  <c r="BQ78" i="1"/>
  <c r="BQ89" i="1"/>
  <c r="BQ90" i="1"/>
  <c r="BQ96" i="1"/>
  <c r="BQ65" i="1"/>
  <c r="BQ98" i="1"/>
  <c r="BQ54" i="1"/>
  <c r="BQ55" i="1"/>
  <c r="BQ56" i="1"/>
  <c r="BQ59" i="1"/>
  <c r="BQ66" i="1"/>
  <c r="BQ100" i="1"/>
  <c r="BQ101" i="1"/>
  <c r="BQ77" i="1"/>
  <c r="BQ51" i="1"/>
  <c r="BQ52" i="1"/>
  <c r="BQ76" i="1"/>
  <c r="BQ47" i="1"/>
  <c r="BQ75" i="1"/>
  <c r="BQ139" i="1"/>
  <c r="BQ133" i="1"/>
  <c r="BQ40" i="1"/>
  <c r="BQ134" i="1"/>
  <c r="BQ135" i="1"/>
  <c r="BQ136" i="1"/>
  <c r="BQ99" i="1"/>
  <c r="BQ148" i="1"/>
  <c r="BQ44" i="1"/>
  <c r="BQ15" i="1"/>
  <c r="BQ30" i="1"/>
  <c r="BQ31" i="1"/>
  <c r="BQ32" i="1"/>
  <c r="BQ33" i="1"/>
  <c r="BQ9" i="1"/>
  <c r="BQ10" i="1"/>
  <c r="BQ13" i="1"/>
  <c r="BQ143" i="1"/>
  <c r="BQ117" i="1"/>
  <c r="BQ140" i="1"/>
  <c r="BQ3" i="1"/>
  <c r="BQ4" i="1"/>
  <c r="BQ5" i="1"/>
  <c r="BQ108" i="1"/>
  <c r="BQ80" i="1"/>
  <c r="BQ82" i="1"/>
  <c r="BQ83" i="1"/>
  <c r="BQ84" i="1"/>
  <c r="BQ85" i="1"/>
  <c r="BQ86" i="1"/>
  <c r="BQ87" i="1"/>
  <c r="BQ88" i="1"/>
  <c r="BQ43" i="1" l="1"/>
  <c r="BN151" i="1" l="1"/>
  <c r="AM151" i="1"/>
  <c r="L151" i="1"/>
  <c r="BL151" i="1"/>
  <c r="AJ151" i="1"/>
  <c r="AH151" i="1"/>
  <c r="AL151" i="1"/>
  <c r="BM151" i="1"/>
  <c r="J151" i="1"/>
  <c r="H151" i="1"/>
  <c r="G151" i="1"/>
  <c r="AE151" i="1"/>
  <c r="F151" i="1"/>
  <c r="BK151" i="1"/>
  <c r="AI151" i="1"/>
  <c r="I151" i="1"/>
  <c r="AG151" i="1"/>
  <c r="AF151" i="1"/>
  <c r="O151" i="1"/>
  <c r="BP151" i="1"/>
  <c r="N151" i="1"/>
  <c r="K151" i="1"/>
  <c r="AK151" i="1"/>
  <c r="E151" i="1"/>
  <c r="BO151" i="1"/>
  <c r="AN151" i="1"/>
  <c r="M151" i="1"/>
  <c r="AP151" i="1"/>
  <c r="BC151" i="1"/>
  <c r="AO151" i="1"/>
  <c r="V151" i="1"/>
  <c r="Y151" i="1"/>
  <c r="W151" i="1"/>
  <c r="S151" i="1"/>
  <c r="X151" i="1"/>
  <c r="R151" i="1"/>
  <c r="Z151" i="1"/>
  <c r="U151" i="1"/>
  <c r="T151" i="1"/>
  <c r="AC151" i="1"/>
  <c r="Q151" i="1"/>
  <c r="AB151" i="1"/>
  <c r="P151" i="1"/>
  <c r="AA151" i="1"/>
  <c r="AD151" i="1"/>
  <c r="AR151" i="1" l="1"/>
  <c r="AU151" i="1"/>
  <c r="BB151" i="1"/>
  <c r="AS151" i="1"/>
  <c r="AW151" i="1"/>
  <c r="AT151" i="1"/>
  <c r="AY151" i="1"/>
  <c r="AZ151" i="1"/>
  <c r="AV151" i="1"/>
  <c r="AQ151" i="1"/>
  <c r="AX151" i="1"/>
  <c r="BA151" i="1"/>
</calcChain>
</file>

<file path=xl/sharedStrings.xml><?xml version="1.0" encoding="utf-8"?>
<sst xmlns="http://schemas.openxmlformats.org/spreadsheetml/2006/main" count="857" uniqueCount="348">
  <si>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</si>
  <si>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</si>
  <si>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</si>
  <si>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</si>
  <si>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</si>
  <si>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</si>
  <si>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</si>
  <si>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</si>
  <si>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</si>
  <si>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</si>
  <si>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</si>
  <si>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</si>
  <si>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</si>
  <si>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</si>
  <si>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</si>
  <si>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</si>
  <si>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</si>
  <si>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</si>
  <si>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</si>
  <si>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</si>
  <si>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</si>
  <si>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</si>
  <si>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</si>
  <si>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</si>
  <si>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</si>
  <si>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</si>
  <si>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</si>
  <si>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</si>
  <si>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</si>
  <si>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</si>
  <si>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</si>
  <si>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</si>
  <si>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</si>
  <si>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</si>
  <si>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</si>
  <si>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</si>
  <si>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</si>
  <si>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</si>
  <si>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</si>
  <si>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</si>
  <si>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</si>
  <si>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</si>
  <si>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</si>
  <si>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</si>
  <si>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</si>
  <si>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</si>
  <si>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</si>
  <si>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</si>
  <si>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</si>
  <si>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</si>
  <si>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</si>
  <si>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</si>
  <si>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</si>
  <si>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</si>
  <si>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</si>
  <si>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</si>
  <si>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</si>
  <si>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</si>
  <si>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</si>
  <si>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</si>
  <si>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</si>
  <si>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</si>
  <si>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</si>
  <si>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</si>
  <si>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</si>
  <si>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</si>
  <si>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</si>
  <si>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</si>
  <si>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</si>
  <si>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</si>
  <si>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</si>
  <si>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</si>
  <si>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</si>
  <si>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</si>
  <si>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</si>
  <si>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</si>
  <si>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</si>
  <si>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</si>
  <si>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</si>
  <si>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</si>
  <si>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</si>
  <si>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</si>
  <si>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</si>
  <si>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</si>
  <si>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</si>
  <si>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</si>
  <si>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</si>
  <si>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</si>
  <si>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</si>
  <si>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</si>
  <si>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</si>
  <si>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</si>
  <si>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</si>
  <si>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</si>
  <si>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</si>
  <si>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</si>
  <si>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</si>
  <si>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</si>
  <si>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</si>
  <si>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</si>
  <si>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</si>
  <si>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</si>
  <si>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</si>
  <si>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</si>
  <si>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</si>
  <si>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</si>
  <si>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</si>
  <si>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</si>
  <si>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</si>
  <si>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</si>
  <si>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</si>
  <si>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</si>
  <si>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</si>
  <si>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</si>
  <si>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</si>
  <si>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</si>
  <si>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</si>
  <si>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</si>
  <si>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</si>
  <si>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</si>
  <si>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</si>
  <si>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</si>
  <si>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</si>
  <si>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</si>
  <si>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</si>
  <si>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</si>
  <si>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</si>
  <si>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</si>
  <si>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</si>
  <si>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</si>
  <si>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</si>
  <si>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</si>
  <si>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</si>
  <si>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</si>
  <si>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</si>
  <si>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</si>
  <si>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</si>
  <si>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</si>
  <si>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</si>
  <si>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</si>
  <si>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</si>
  <si>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</si>
  <si>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</si>
  <si>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</si>
  <si>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</si>
  <si>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</si>
  <si>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</si>
  <si>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</si>
  <si>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</si>
  <si>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</si>
  <si>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</si>
  <si>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</si>
  <si>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</si>
  <si>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</si>
  <si>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</si>
  <si>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</si>
  <si>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</si>
  <si>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</si>
  <si>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</si>
  <si>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</si>
  <si>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</si>
  <si>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</si>
  <si>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</si>
  <si>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</si>
  <si>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</si>
  <si>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</si>
  <si>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</si>
  <si>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</si>
  <si>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</si>
  <si>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</si>
  <si>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</si>
  <si>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</si>
  <si>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</si>
  <si>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</si>
  <si>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</si>
  <si>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</si>
  <si>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</si>
  <si>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</si>
  <si>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</si>
  <si>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</si>
  <si>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</si>
  <si>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</si>
  <si>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</si>
  <si>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</si>
  <si>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</si>
  <si>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</si>
  <si>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</si>
  <si>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</si>
  <si>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</si>
  <si>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</si>
  <si>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</si>
  <si>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</si>
  <si>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</si>
  <si>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</si>
  <si>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</si>
  <si>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</si>
  <si>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</si>
  <si>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</si>
  <si>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</si>
  <si>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</si>
  <si>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</si>
  <si>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</si>
  <si>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</si>
  <si>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</si>
  <si>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</si>
  <si>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</si>
  <si>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</si>
  <si>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</si>
  <si>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</si>
  <si>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</si>
  <si>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</si>
  <si>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</si>
  <si>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</si>
  <si>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</si>
  <si>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</si>
  <si>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</si>
  <si>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</si>
  <si>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</si>
  <si>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</si>
  <si>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</si>
  <si>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</si>
  <si>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</si>
  <si>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</si>
  <si>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</si>
  <si>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</si>
  <si>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</si>
  <si>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</si>
  <si>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</si>
  <si>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</si>
  <si>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</si>
  <si>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</si>
  <si>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</si>
  <si>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</si>
  <si>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</si>
  <si>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</si>
  <si>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</si>
  <si>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</si>
  <si>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</si>
  <si>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</si>
  <si>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</si>
  <si>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方片9</t>
    <phoneticPr fontId="1" type="noConversion"/>
  </si>
  <si>
    <t>水</t>
    <phoneticPr fontId="1" type="noConversion"/>
  </si>
  <si>
    <t>铜锣儿</t>
    <phoneticPr fontId="1" type="noConversion"/>
  </si>
  <si>
    <t>水瓶星</t>
    <phoneticPr fontId="1" type="noConversion"/>
  </si>
  <si>
    <t>勿忘我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</si>
  <si>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</si>
  <si>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</si>
  <si>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</si>
  <si>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天秤星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</si>
  <si>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</si>
  <si>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</si>
  <si>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</si>
  <si>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</si>
  <si>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</si>
  <si>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</si>
  <si>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</si>
  <si>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</si>
  <si>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暗</t>
    <phoneticPr fontId="1" type="noConversion"/>
  </si>
  <si>
    <t>毒尾</t>
    <phoneticPr fontId="1" type="noConversion"/>
  </si>
  <si>
    <t>暗</t>
    <phoneticPr fontId="1" type="noConversion"/>
  </si>
  <si>
    <t>丑牛小侍者</t>
    <phoneticPr fontId="1" type="noConversion"/>
  </si>
  <si>
    <t>丑牛小侍者</t>
    <phoneticPr fontId="1" type="noConversion"/>
  </si>
  <si>
    <t>蟹粉汤包</t>
    <phoneticPr fontId="1" type="noConversion"/>
  </si>
  <si>
    <t>蟹粉汤包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</si>
  <si>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</si>
  <si>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</si>
  <si>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</si>
  <si>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</si>
  <si>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</si>
  <si>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</si>
  <si>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</si>
  <si>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魔少</t>
    <phoneticPr fontId="1" type="noConversion"/>
  </si>
  <si>
    <t>筹码大(9),_x000D_
庄家令牌大(10),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</si>
  <si>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</si>
  <si>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</si>
  <si>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螃蟹(4),_x000D_
桂花(5),_x000D_
桂花酒(5),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</si>
  <si>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</si>
  <si>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</si>
  <si>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</si>
  <si>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</si>
  <si>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</si>
  <si>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</si>
  <si>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</si>
  <si>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</si>
  <si>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</si>
  <si>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</si>
  <si>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</si>
  <si>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</si>
  <si>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欠条大(2),</t>
  </si>
  <si>
    <t>骰子大(2),</t>
  </si>
  <si>
    <t>欠条大(2),_x000D_
骰子大(2),</t>
  </si>
  <si>
    <t>骰子中(12),_x000D_
庄家令牌中(9),</t>
  </si>
  <si>
    <t>欠条大(7),</t>
  </si>
  <si>
    <t>筹码大(1),</t>
    <phoneticPr fontId="1" type="noConversion"/>
  </si>
  <si>
    <t>筹码大(1),</t>
    <phoneticPr fontId="1" type="noConversion"/>
  </si>
  <si>
    <t>东皇钟(1),</t>
    <phoneticPr fontId="1" type="noConversion"/>
  </si>
  <si>
    <t>神农鼎(1),</t>
    <phoneticPr fontId="1" type="noConversion"/>
  </si>
  <si>
    <t>欠条大(2),_x000D_
骰子大(2),_x000D_
庄家令牌大(2),</t>
    <phoneticPr fontId="1" type="noConversion"/>
  </si>
  <si>
    <t>欠条大(2),_x000D_
庄家令牌大(2),</t>
    <phoneticPr fontId="1" type="noConversion"/>
  </si>
  <si>
    <t>糯米(2),</t>
    <phoneticPr fontId="1" type="noConversion"/>
  </si>
  <si>
    <t>神农鼎(2),</t>
    <phoneticPr fontId="1" type="noConversion"/>
  </si>
  <si>
    <t>糯米(3),</t>
    <phoneticPr fontId="1" type="noConversion"/>
  </si>
  <si>
    <t>神农鼎(3),</t>
    <phoneticPr fontId="1" type="noConversion"/>
  </si>
  <si>
    <t>神农鼎(3),</t>
    <phoneticPr fontId="1" type="noConversion"/>
  </si>
  <si>
    <t>欠条大(10),_x000D_
钱袋大(4),</t>
    <phoneticPr fontId="1" type="noConversion"/>
  </si>
  <si>
    <t>欠条大(10),_x000D_
钱袋大(4),</t>
    <phoneticPr fontId="1" type="noConversion"/>
  </si>
  <si>
    <t>螃蟹(4),</t>
    <phoneticPr fontId="1" type="noConversion"/>
  </si>
  <si>
    <t>骰子大(7),</t>
    <phoneticPr fontId="1" type="noConversion"/>
  </si>
  <si>
    <t>桂花酒(5),</t>
    <phoneticPr fontId="1" type="noConversion"/>
  </si>
  <si>
    <t>桂花(5),</t>
    <phoneticPr fontId="1" type="noConversion"/>
  </si>
  <si>
    <t>桂花(5),</t>
    <phoneticPr fontId="1" type="noConversion"/>
  </si>
  <si>
    <t>桂花酒(5),</t>
    <phoneticPr fontId="1" type="noConversion"/>
  </si>
  <si>
    <t>星络典(5),</t>
    <phoneticPr fontId="1" type="noConversion"/>
  </si>
  <si>
    <t>神农鼎(7),</t>
    <phoneticPr fontId="1" type="noConversion"/>
  </si>
  <si>
    <t>智慧符文叉大(4),</t>
    <phoneticPr fontId="1" type="noConversion"/>
  </si>
  <si>
    <t>欠条大(10),_x000D_
骰子大(10),</t>
    <phoneticPr fontId="1" type="noConversion"/>
  </si>
  <si>
    <t>欠条大(10),_x000D_
骰子大(10),</t>
    <phoneticPr fontId="1" type="noConversion"/>
  </si>
  <si>
    <t>魅力符文叉大(17),</t>
    <phoneticPr fontId="1" type="noConversion"/>
  </si>
  <si>
    <t>彗星(14),</t>
    <phoneticPr fontId="1" type="noConversion"/>
  </si>
  <si>
    <t>彗星(24),</t>
    <phoneticPr fontId="1" type="noConversion"/>
  </si>
  <si>
    <t>超进阶素材光(29),</t>
    <phoneticPr fontId="1" type="noConversion"/>
  </si>
  <si>
    <t>超进阶素材光(29),</t>
    <phoneticPr fontId="1" type="noConversion"/>
  </si>
  <si>
    <t>幸运符文叉大(26),</t>
    <phoneticPr fontId="1" type="noConversion"/>
  </si>
  <si>
    <t>金甲虫(29),</t>
    <phoneticPr fontId="1" type="noConversion"/>
  </si>
  <si>
    <t>金甲虫(179),</t>
    <phoneticPr fontId="1" type="noConversion"/>
  </si>
  <si>
    <t>骰子大(2),_x000D_
筹码大(1),_x000D_
庄家令牌大(2),</t>
    <phoneticPr fontId="1" type="noConversion"/>
  </si>
  <si>
    <t>骰子大(2),_x000D_
筹码大(1),_x000D_
庄家令牌大(2),</t>
    <phoneticPr fontId="1" type="noConversion"/>
  </si>
  <si>
    <t>筹码大(1),_x000D_
庄家令牌大(2),</t>
    <phoneticPr fontId="1" type="noConversion"/>
  </si>
  <si>
    <t>东皇钟(1),_x000D_
欠条大(10),_x000D_
钱袋大(4),</t>
    <phoneticPr fontId="1" type="noConversion"/>
  </si>
  <si>
    <t>糯米(5),_x000D_
粽叶(1),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</si>
  <si>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</si>
  <si>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</si>
  <si>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东皇钟(6),_x000D_
女娲石(3),</t>
    <phoneticPr fontId="1" type="noConversion"/>
  </si>
  <si>
    <t>神农鼎(7),_x000D_
欠条大(10),_x000D_
钱袋大(4),</t>
    <phoneticPr fontId="1" type="noConversion"/>
  </si>
  <si>
    <t>钱袋大(4),_x000D_
筹码大(9),</t>
    <phoneticPr fontId="1" type="noConversion"/>
  </si>
  <si>
    <t>钱袋大(4),_x000D_
筹码大(9),</t>
    <phoneticPr fontId="1" type="noConversion"/>
  </si>
  <si>
    <t>欠条大(10),_x000D_
钱袋大(4),_x000D_
庄家令牌大(10),</t>
    <phoneticPr fontId="1" type="noConversion"/>
  </si>
  <si>
    <t>神农鼎(7),_x000D_
欠条大(10),_x000D_
骰子大(10),</t>
    <phoneticPr fontId="1" type="noConversion"/>
  </si>
  <si>
    <t>女娲石(3),_x000D_
神农鼎(12),</t>
    <phoneticPr fontId="1" type="noConversion"/>
  </si>
  <si>
    <t>神农鼎(12),_x000D_
幸运符文叉大(1),</t>
    <phoneticPr fontId="1" type="noConversion"/>
  </si>
  <si>
    <t>骰子大(10),_x000D_
庄家令牌大(10),</t>
    <phoneticPr fontId="1" type="noConversion"/>
  </si>
  <si>
    <t>骰子大(10),_x000D_
庄家令牌大(10),</t>
    <phoneticPr fontId="1" type="noConversion"/>
  </si>
  <si>
    <t>筹码大(9),_x000D_
庄家令牌大(10),</t>
    <phoneticPr fontId="1" type="noConversion"/>
  </si>
  <si>
    <t>糯米(10),_x000D_
粽叶(10),</t>
    <phoneticPr fontId="1" type="noConversion"/>
  </si>
  <si>
    <t>桂花(5),_x000D_
桂花酒(5),_x000D_
灯笼(5),</t>
    <phoneticPr fontId="1" type="noConversion"/>
  </si>
  <si>
    <t>钱袋大(4),_x000D_
筹码大(9),_x000D_
庄家令牌大(10),</t>
    <phoneticPr fontId="1" type="noConversion"/>
  </si>
  <si>
    <t>骰子大(10),_x000D_
筹码大(9),_x000D_
庄家令牌大(10),</t>
    <phoneticPr fontId="1" type="noConversion"/>
  </si>
  <si>
    <t>女娲石(8),_x000D_
神农鼎(17),_x000D_
幸运符文叉大(6),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</si>
</sst>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155</xdr:row>
          <xdr:rowOff>28575</xdr:rowOff>
        </xdr:from>
        <xdr:to>
          <xdr:col>1</xdr:col>
          <xdr:colOff>428625</xdr:colOff>
          <xdr:row>156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56"/>
  <sheetViews>
    <sheetView tabSelected="1" workbookViewId="0">
      <pane xSplit="2" ySplit="1" topLeftCell="BK50" activePane="bottomRight" state="frozen"/>
      <selection pane="topRight" activeCell="C1" sqref="C1"/>
      <selection pane="bottomLeft" activeCell="A3" sqref="A3"/>
      <selection pane="bottomRight" activeCell="BT65" sqref="BT65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100</v>
      </c>
      <c r="Q1" s="27" t="s">
        <v>112</v>
      </c>
      <c r="R1" s="27" t="s">
        <v>106</v>
      </c>
      <c r="S1" s="27" t="s">
        <v>101</v>
      </c>
      <c r="T1" s="27" t="s">
        <v>110</v>
      </c>
      <c r="U1" s="27" t="s">
        <v>115</v>
      </c>
      <c r="V1" s="27" t="s">
        <v>102</v>
      </c>
      <c r="W1" s="27" t="s">
        <v>109</v>
      </c>
      <c r="X1" s="27" t="s">
        <v>107</v>
      </c>
      <c r="Y1" s="27" t="s">
        <v>103</v>
      </c>
      <c r="Z1" s="27" t="s">
        <v>111</v>
      </c>
      <c r="AA1" s="27" t="s">
        <v>116</v>
      </c>
      <c r="AB1" s="27" t="s">
        <v>105</v>
      </c>
      <c r="AC1" s="27" t="s">
        <v>104</v>
      </c>
      <c r="AD1" s="27" t="s">
        <v>126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88</v>
      </c>
      <c r="AP1" s="8" t="s">
        <v>89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85</v>
      </c>
      <c r="BD1" s="8" t="s">
        <v>238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71</v>
      </c>
      <c r="BR1" s="8" t="s">
        <v>72</v>
      </c>
      <c r="BS1" s="16" t="s">
        <v>73</v>
      </c>
      <c r="BT1" s="16"/>
      <c r="BU1" s="13" t="s">
        <v>212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/>
      <c r="B3" s="1" t="s">
        <v>118</v>
      </c>
      <c r="C3" s="1" t="s">
        <v>117</v>
      </c>
      <c r="D3" s="1" t="s">
        <v>97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>
        <v>10</v>
      </c>
      <c r="W3" s="28"/>
      <c r="X3" s="28"/>
      <c r="Y3" s="28">
        <v>10</v>
      </c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40</v>
      </c>
      <c r="BR3" s="1">
        <v>0</v>
      </c>
      <c r="BS3" s="17">
        <v>0</v>
      </c>
      <c r="BT3" s="17"/>
      <c r="BU3">
        <f>SUM(P3:AD3)</f>
        <v>40</v>
      </c>
      <c r="BV3" s="23">
        <f>AF3+AH3+AI3+AJ3+AO3+AP3</f>
        <v>0</v>
      </c>
    </row>
    <row r="4" spans="1:74" s="39" customFormat="1">
      <c r="A4" s="1"/>
      <c r="B4" s="1" t="s">
        <v>120</v>
      </c>
      <c r="C4" s="1" t="s">
        <v>121</v>
      </c>
      <c r="D4" s="1" t="s">
        <v>97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40</v>
      </c>
      <c r="BR4" s="1">
        <v>0</v>
      </c>
      <c r="BS4" s="17">
        <v>0</v>
      </c>
      <c r="BT4" s="17"/>
      <c r="BU4">
        <f>SUM(P4:AD4)</f>
        <v>40</v>
      </c>
      <c r="BV4" s="23">
        <f>AF4+AH4+AI4+AJ4+AO4+AP4</f>
        <v>0</v>
      </c>
    </row>
    <row r="5" spans="1:74">
      <c r="A5" s="1"/>
      <c r="B5" s="1" t="s">
        <v>125</v>
      </c>
      <c r="C5" s="1" t="s">
        <v>123</v>
      </c>
      <c r="D5" s="1" t="s">
        <v>97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>
      <c r="A6" s="1"/>
      <c r="B6" s="1" t="s">
        <v>127</v>
      </c>
      <c r="C6" s="1" t="s">
        <v>123</v>
      </c>
      <c r="D6" s="1" t="s">
        <v>97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>
      <c r="A7" s="1"/>
      <c r="B7" s="3" t="s">
        <v>184</v>
      </c>
      <c r="C7" s="3" t="s">
        <v>49</v>
      </c>
      <c r="D7" s="1" t="s">
        <v>182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 s="23" customFormat="1">
      <c r="A8" s="1"/>
      <c r="B8" s="3" t="s">
        <v>188</v>
      </c>
      <c r="C8" s="3" t="s">
        <v>95</v>
      </c>
      <c r="D8" s="1" t="s">
        <v>182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40</v>
      </c>
      <c r="BR8" s="1">
        <v>0</v>
      </c>
      <c r="BS8" s="17">
        <v>0</v>
      </c>
      <c r="BT8" s="17"/>
      <c r="BU8">
        <f>SUM(P8:AD8)</f>
        <v>40</v>
      </c>
      <c r="BV8" s="23">
        <f>AF8+AH8+AI8+AJ8+AO8+AP8</f>
        <v>0</v>
      </c>
    </row>
    <row r="9" spans="1:74">
      <c r="A9" s="1"/>
      <c r="B9" s="1" t="s">
        <v>120</v>
      </c>
      <c r="C9" s="1" t="s">
        <v>121</v>
      </c>
      <c r="D9" s="1" t="s">
        <v>98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>
        <v>10</v>
      </c>
      <c r="AC9" s="28">
        <v>5</v>
      </c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0</v>
      </c>
      <c r="BS9" s="17">
        <v>0</v>
      </c>
      <c r="BT9" s="17"/>
      <c r="BU9">
        <f>SUM(P9:AD9)</f>
        <v>35</v>
      </c>
      <c r="BV9" s="23">
        <f>AF9+AH9+AI9+AJ9+AO9+AP9</f>
        <v>0</v>
      </c>
    </row>
    <row r="10" spans="1:74">
      <c r="A10" s="1"/>
      <c r="B10" s="1" t="s">
        <v>127</v>
      </c>
      <c r="C10" s="1" t="s">
        <v>123</v>
      </c>
      <c r="D10" s="1" t="s">
        <v>98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>
        <v>10</v>
      </c>
      <c r="AC10" s="28">
        <v>5</v>
      </c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35</v>
      </c>
      <c r="BR10" s="1">
        <v>0</v>
      </c>
      <c r="BS10" s="17">
        <v>0</v>
      </c>
      <c r="BT10" s="17"/>
      <c r="BU10">
        <f>SUM(P10:AD10)</f>
        <v>35</v>
      </c>
      <c r="BV10" s="23">
        <f>AF10+AH10+AI10+AJ10+AO10+AP10</f>
        <v>0</v>
      </c>
    </row>
    <row r="11" spans="1:74">
      <c r="A11" s="1"/>
      <c r="B11" s="3" t="s">
        <v>184</v>
      </c>
      <c r="C11" s="3" t="s">
        <v>49</v>
      </c>
      <c r="D11" s="1" t="s">
        <v>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>
        <v>10</v>
      </c>
      <c r="AC11" s="28">
        <v>5</v>
      </c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35</v>
      </c>
      <c r="BR11" s="1">
        <v>0</v>
      </c>
      <c r="BS11" s="17">
        <v>0</v>
      </c>
      <c r="BT11" s="17"/>
      <c r="BU11">
        <f>SUM(P11:AD11)</f>
        <v>35</v>
      </c>
      <c r="BV11" s="23">
        <f>AF11+AH11+AI11+AJ11+AO11+AP11</f>
        <v>0</v>
      </c>
    </row>
    <row r="12" spans="1:74" s="38" customFormat="1">
      <c r="A12" s="1"/>
      <c r="B12" s="3" t="s">
        <v>188</v>
      </c>
      <c r="C12" s="3" t="s">
        <v>95</v>
      </c>
      <c r="D12" s="1" t="s">
        <v>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>
        <v>10</v>
      </c>
      <c r="AC12" s="28">
        <v>5</v>
      </c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35</v>
      </c>
      <c r="BR12" s="1">
        <v>0</v>
      </c>
      <c r="BS12" s="17">
        <v>0</v>
      </c>
      <c r="BT12" s="17"/>
      <c r="BU12">
        <f>SUM(P12:AD12)</f>
        <v>35</v>
      </c>
      <c r="BV12" s="23">
        <f>AF12+AH12+AI12+AJ12+AO12+AP12</f>
        <v>0</v>
      </c>
    </row>
    <row r="13" spans="1:74">
      <c r="A13" s="1"/>
      <c r="B13" s="1" t="s">
        <v>118</v>
      </c>
      <c r="C13" s="1" t="s">
        <v>117</v>
      </c>
      <c r="D13" s="1" t="s">
        <v>98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>
        <v>10</v>
      </c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35</v>
      </c>
      <c r="BR13" s="1">
        <v>0</v>
      </c>
      <c r="BS13" s="17">
        <v>0</v>
      </c>
      <c r="BT13" s="17"/>
      <c r="BU13">
        <f>SUM(P13:AD13)</f>
        <v>35</v>
      </c>
      <c r="BV13" s="23">
        <f>AF13+AH13+AI13+AJ13+AO13+AP13</f>
        <v>0</v>
      </c>
    </row>
    <row r="14" spans="1:74">
      <c r="A14" s="1"/>
      <c r="B14" s="3" t="s">
        <v>210</v>
      </c>
      <c r="C14" s="3" t="s">
        <v>49</v>
      </c>
      <c r="D14" s="1" t="s">
        <v>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>
        <v>5</v>
      </c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>
      <c r="A15" s="1"/>
      <c r="B15" s="1" t="s">
        <v>125</v>
      </c>
      <c r="C15" s="1" t="s">
        <v>123</v>
      </c>
      <c r="D15" s="1" t="s">
        <v>98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>
        <v>5</v>
      </c>
      <c r="R15" s="28"/>
      <c r="S15" s="28"/>
      <c r="T15" s="28"/>
      <c r="U15" s="28"/>
      <c r="V15" s="28">
        <v>10</v>
      </c>
      <c r="W15" s="28"/>
      <c r="X15" s="28"/>
      <c r="Y15" s="28"/>
      <c r="Z15" s="28">
        <v>5</v>
      </c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30</v>
      </c>
      <c r="BR15" s="1">
        <v>0</v>
      </c>
      <c r="BS15" s="17">
        <v>0</v>
      </c>
      <c r="BT15" s="17"/>
      <c r="BU15">
        <f>SUM(P15:AD15)</f>
        <v>30</v>
      </c>
      <c r="BV15" s="23">
        <f>AF15+AH15+AI15+AJ15+AO15+AP15</f>
        <v>0</v>
      </c>
    </row>
    <row r="16" spans="1:74">
      <c r="A16" s="1"/>
      <c r="B16" s="1" t="s">
        <v>230</v>
      </c>
      <c r="C16" s="1" t="s">
        <v>215</v>
      </c>
      <c r="D16" s="1" t="s">
        <v>216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40</v>
      </c>
      <c r="BR16" s="1">
        <v>0</v>
      </c>
      <c r="BS16" s="17">
        <v>0</v>
      </c>
      <c r="BT16" s="17"/>
      <c r="BU16">
        <f>SUM(P16:AD16)</f>
        <v>40</v>
      </c>
      <c r="BV16" s="23">
        <f>AF16+AH16+AI16+AJ16+AO16+AP16</f>
        <v>0</v>
      </c>
    </row>
    <row r="17" spans="1:74" s="48" customFormat="1">
      <c r="A17" s="1"/>
      <c r="B17" s="1" t="s">
        <v>214</v>
      </c>
      <c r="C17" s="1" t="s">
        <v>215</v>
      </c>
      <c r="D17" s="1" t="s">
        <v>217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>
      <c r="A18" s="1"/>
      <c r="B18" s="1" t="s">
        <v>214</v>
      </c>
      <c r="C18" s="1" t="s">
        <v>215</v>
      </c>
      <c r="D18" s="1" t="s">
        <v>218</v>
      </c>
      <c r="E18" s="6">
        <v>5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>
        <v>5</v>
      </c>
      <c r="W18" s="28"/>
      <c r="X18" s="28"/>
      <c r="Y18" s="28">
        <v>5</v>
      </c>
      <c r="Z18" s="28"/>
      <c r="AA18" s="28"/>
      <c r="AB18" s="28"/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20</v>
      </c>
      <c r="BR18" s="1">
        <v>0</v>
      </c>
      <c r="BS18" s="17">
        <v>0</v>
      </c>
      <c r="BT18" s="17"/>
      <c r="BU18">
        <f>SUM(P18:AD18)</f>
        <v>15</v>
      </c>
      <c r="BV18" s="23">
        <f>AF18+AH18+AI18+AJ18+AO18+AP18</f>
        <v>0</v>
      </c>
    </row>
    <row r="19" spans="1:74">
      <c r="A19" s="1"/>
      <c r="B19" s="1" t="s">
        <v>219</v>
      </c>
      <c r="C19" s="1" t="s">
        <v>49</v>
      </c>
      <c r="D19" s="1" t="s">
        <v>216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>
        <v>5</v>
      </c>
      <c r="U19" s="28"/>
      <c r="V19" s="28"/>
      <c r="W19" s="28"/>
      <c r="X19" s="28"/>
      <c r="Y19" s="28"/>
      <c r="Z19" s="28">
        <v>5</v>
      </c>
      <c r="AA19" s="28"/>
      <c r="AB19" s="28"/>
      <c r="AC19" s="28">
        <v>5</v>
      </c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20</v>
      </c>
      <c r="BR19" s="1">
        <v>0</v>
      </c>
      <c r="BS19" s="17">
        <v>0</v>
      </c>
      <c r="BT19" s="17"/>
      <c r="BU19">
        <f>SUM(P19:AD19)</f>
        <v>20</v>
      </c>
      <c r="BV19" s="23">
        <f>AF19+AH19+AI19+AJ19+AO19+AP19</f>
        <v>0</v>
      </c>
    </row>
    <row r="20" spans="1:74">
      <c r="A20" s="1"/>
      <c r="B20" s="1" t="s">
        <v>222</v>
      </c>
      <c r="C20" s="1" t="s">
        <v>51</v>
      </c>
      <c r="D20" s="1" t="s">
        <v>216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0</v>
      </c>
      <c r="BS20" s="17">
        <v>0</v>
      </c>
      <c r="BT20" s="17"/>
      <c r="BU20">
        <f>SUM(P20:AD20)</f>
        <v>40</v>
      </c>
      <c r="BV20" s="23">
        <f>AF20+AH20+AI20+AJ20+AO20+AP20</f>
        <v>0</v>
      </c>
    </row>
    <row r="21" spans="1:74" s="38" customFormat="1">
      <c r="A21" s="1"/>
      <c r="B21" s="1" t="s">
        <v>222</v>
      </c>
      <c r="C21" s="1" t="s">
        <v>51</v>
      </c>
      <c r="D21" s="1" t="s">
        <v>217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>
        <v>10</v>
      </c>
      <c r="Z21" s="28"/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35</v>
      </c>
      <c r="BR21" s="1">
        <v>0</v>
      </c>
      <c r="BS21" s="17">
        <v>0</v>
      </c>
      <c r="BT21" s="17"/>
      <c r="BU21">
        <f>SUM(P21:AD21)</f>
        <v>35</v>
      </c>
      <c r="BV21" s="23">
        <f>AF21+AH21+AI21+AJ21+AO21+AP21</f>
        <v>0</v>
      </c>
    </row>
    <row r="22" spans="1:74">
      <c r="A22" s="1">
        <v>18</v>
      </c>
      <c r="B22" s="1" t="s">
        <v>26</v>
      </c>
      <c r="C22" s="1" t="s">
        <v>24</v>
      </c>
      <c r="D22" s="1" t="s">
        <v>19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>
        <v>5</v>
      </c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5</v>
      </c>
      <c r="BR22" s="1">
        <v>0</v>
      </c>
      <c r="BS22" s="17">
        <v>0</v>
      </c>
      <c r="BT22" s="17"/>
      <c r="BU22">
        <f>SUM(P22:AD22)</f>
        <v>0</v>
      </c>
      <c r="BV22" s="23">
        <f>AF22+AH22+AI22+AJ22+AO22+AP22</f>
        <v>0</v>
      </c>
    </row>
    <row r="23" spans="1:74">
      <c r="A23" s="59"/>
      <c r="B23" s="60" t="s">
        <v>235</v>
      </c>
      <c r="C23" s="59" t="s">
        <v>236</v>
      </c>
      <c r="D23" s="59" t="s">
        <v>0</v>
      </c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63"/>
      <c r="AR23" s="63"/>
      <c r="AS23" s="63">
        <v>10</v>
      </c>
      <c r="AT23" s="63"/>
      <c r="AU23" s="63"/>
      <c r="AV23" s="63"/>
      <c r="AW23" s="64"/>
      <c r="AX23" s="64"/>
      <c r="AY23" s="64"/>
      <c r="AZ23" s="64"/>
      <c r="BA23" s="64"/>
      <c r="BB23" s="64">
        <v>10</v>
      </c>
      <c r="BC23" s="65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49">
        <f>SUM(E23:BP23)</f>
        <v>20</v>
      </c>
      <c r="BR23" s="59">
        <v>0</v>
      </c>
      <c r="BS23" s="66">
        <v>0</v>
      </c>
      <c r="BT23" s="66"/>
      <c r="BU23">
        <f>SUM(P23:AD23)</f>
        <v>0</v>
      </c>
      <c r="BV23" s="23">
        <f>AF23+AH23+AI23+AJ23+AO23+AP23</f>
        <v>0</v>
      </c>
    </row>
    <row r="24" spans="1:74">
      <c r="A24" s="59"/>
      <c r="B24" s="60" t="s">
        <v>239</v>
      </c>
      <c r="C24" s="59" t="s">
        <v>237</v>
      </c>
      <c r="D24" s="59" t="s">
        <v>0</v>
      </c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63"/>
      <c r="AR24" s="63">
        <v>10</v>
      </c>
      <c r="AS24" s="63"/>
      <c r="AT24" s="63"/>
      <c r="AU24" s="63"/>
      <c r="AV24" s="63"/>
      <c r="AW24" s="64"/>
      <c r="AX24" s="64"/>
      <c r="AY24" s="64"/>
      <c r="AZ24" s="64"/>
      <c r="BA24" s="64"/>
      <c r="BB24" s="64">
        <v>10</v>
      </c>
      <c r="BC24" s="65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49">
        <f>SUM(E24:BP24)</f>
        <v>20</v>
      </c>
      <c r="BR24" s="59">
        <v>0</v>
      </c>
      <c r="BS24" s="66">
        <v>0</v>
      </c>
      <c r="BT24" s="66"/>
      <c r="BU24">
        <f>SUM(P24:AD24)</f>
        <v>0</v>
      </c>
      <c r="BV24" s="23">
        <f>AF24+AH24+AI24+AJ24+AO24+AP24</f>
        <v>0</v>
      </c>
    </row>
    <row r="25" spans="1:74">
      <c r="A25" s="59"/>
      <c r="B25" s="60" t="s">
        <v>242</v>
      </c>
      <c r="C25" s="59" t="s">
        <v>241</v>
      </c>
      <c r="D25" s="59" t="s">
        <v>0</v>
      </c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63">
        <v>10</v>
      </c>
      <c r="AR25" s="63"/>
      <c r="AS25" s="63"/>
      <c r="AT25" s="63"/>
      <c r="AU25" s="63"/>
      <c r="AV25" s="63"/>
      <c r="AW25" s="64"/>
      <c r="AX25" s="64"/>
      <c r="AY25" s="64"/>
      <c r="AZ25" s="64"/>
      <c r="BA25" s="64"/>
      <c r="BB25" s="64">
        <v>10</v>
      </c>
      <c r="BC25" s="65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49">
        <f>SUM(E25:BP25)</f>
        <v>20</v>
      </c>
      <c r="BR25" s="59">
        <v>0</v>
      </c>
      <c r="BS25" s="66">
        <v>0</v>
      </c>
      <c r="BT25" s="66"/>
      <c r="BU25">
        <f>SUM(P25:AD25)</f>
        <v>0</v>
      </c>
      <c r="BV25" s="23">
        <f>AF25+AH25+AI25+AJ25+AO25+AP25</f>
        <v>0</v>
      </c>
    </row>
    <row r="26" spans="1:74">
      <c r="A26" s="59"/>
      <c r="B26" s="60" t="s">
        <v>243</v>
      </c>
      <c r="C26" s="59" t="s">
        <v>241</v>
      </c>
      <c r="D26" s="59" t="s">
        <v>0</v>
      </c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63">
        <v>15</v>
      </c>
      <c r="AR26" s="63"/>
      <c r="AS26" s="63"/>
      <c r="AT26" s="63"/>
      <c r="AU26" s="63"/>
      <c r="AV26" s="63"/>
      <c r="AW26" s="64"/>
      <c r="AX26" s="64"/>
      <c r="AY26" s="64"/>
      <c r="AZ26" s="64"/>
      <c r="BA26" s="64"/>
      <c r="BB26" s="64">
        <v>15</v>
      </c>
      <c r="BC26" s="65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49">
        <f>SUM(E26:BP26)</f>
        <v>30</v>
      </c>
      <c r="BR26" s="59">
        <v>0</v>
      </c>
      <c r="BS26" s="66">
        <v>0</v>
      </c>
      <c r="BT26" s="66"/>
      <c r="BU26">
        <f>SUM(P26:AD26)</f>
        <v>0</v>
      </c>
      <c r="BV26" s="23">
        <f>AF26+AH26+AI26+AJ26+AO26+AP26</f>
        <v>0</v>
      </c>
    </row>
    <row r="27" spans="1:74">
      <c r="A27" s="59"/>
      <c r="B27" s="60" t="s">
        <v>243</v>
      </c>
      <c r="C27" s="59" t="s">
        <v>241</v>
      </c>
      <c r="D27" s="1" t="s">
        <v>218</v>
      </c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63"/>
      <c r="AR27" s="63"/>
      <c r="AS27" s="63"/>
      <c r="AT27" s="63"/>
      <c r="AU27" s="63"/>
      <c r="AV27" s="63"/>
      <c r="AW27" s="64"/>
      <c r="AX27" s="64"/>
      <c r="AY27" s="64"/>
      <c r="AZ27" s="64"/>
      <c r="BA27" s="64"/>
      <c r="BB27" s="64"/>
      <c r="BC27" s="65"/>
      <c r="BD27" s="59"/>
      <c r="BE27" s="59">
        <v>20</v>
      </c>
      <c r="BF27" s="59">
        <v>20</v>
      </c>
      <c r="BG27" s="59">
        <v>20</v>
      </c>
      <c r="BH27" s="59">
        <v>20</v>
      </c>
      <c r="BI27" s="59"/>
      <c r="BJ27" s="59"/>
      <c r="BK27" s="59"/>
      <c r="BL27" s="59"/>
      <c r="BM27" s="59"/>
      <c r="BN27" s="59"/>
      <c r="BO27" s="59"/>
      <c r="BP27" s="59"/>
      <c r="BQ27" s="49">
        <f>SUM(E27:BP27)</f>
        <v>80</v>
      </c>
      <c r="BR27" s="59">
        <v>0</v>
      </c>
      <c r="BS27" s="66">
        <v>0</v>
      </c>
      <c r="BT27" s="66"/>
      <c r="BU27">
        <f>SUM(P27:AD27)</f>
        <v>0</v>
      </c>
      <c r="BV27" s="23">
        <f>AF27+AH27+AI27+AJ27+AO27+AP27</f>
        <v>0</v>
      </c>
    </row>
    <row r="28" spans="1:74">
      <c r="A28" s="59"/>
      <c r="B28" s="60" t="s">
        <v>244</v>
      </c>
      <c r="C28" s="59" t="s">
        <v>36</v>
      </c>
      <c r="D28" s="59" t="s">
        <v>0</v>
      </c>
      <c r="E28" s="61"/>
      <c r="F28" s="61"/>
      <c r="G28" s="61"/>
      <c r="H28" s="61"/>
      <c r="I28" s="61"/>
      <c r="J28" s="61">
        <v>10</v>
      </c>
      <c r="K28" s="61"/>
      <c r="L28" s="61"/>
      <c r="M28" s="61"/>
      <c r="N28" s="61"/>
      <c r="O28" s="61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63"/>
      <c r="AR28" s="63"/>
      <c r="AS28" s="63"/>
      <c r="AT28" s="63"/>
      <c r="AU28" s="63"/>
      <c r="AV28" s="63"/>
      <c r="AW28" s="64">
        <v>10</v>
      </c>
      <c r="AX28" s="64">
        <v>10</v>
      </c>
      <c r="AY28" s="64"/>
      <c r="AZ28" s="64"/>
      <c r="BA28" s="64"/>
      <c r="BB28" s="64"/>
      <c r="BC28" s="65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49">
        <f>SUM(E28:BP28)</f>
        <v>30</v>
      </c>
      <c r="BR28" s="59">
        <v>0</v>
      </c>
      <c r="BS28" s="66">
        <v>0</v>
      </c>
      <c r="BT28" s="66"/>
      <c r="BU28">
        <f>SUM(P28:AD28)</f>
        <v>0</v>
      </c>
      <c r="BV28" s="23">
        <f>AF28+AH28+AI28+AJ28+AO28+AP28</f>
        <v>0</v>
      </c>
    </row>
    <row r="29" spans="1:74">
      <c r="A29" s="59"/>
      <c r="B29" s="60" t="s">
        <v>240</v>
      </c>
      <c r="C29" s="59" t="s">
        <v>241</v>
      </c>
      <c r="D29" s="59" t="s">
        <v>18</v>
      </c>
      <c r="E29" s="61"/>
      <c r="F29" s="61"/>
      <c r="G29" s="61">
        <v>10</v>
      </c>
      <c r="H29" s="61"/>
      <c r="I29" s="61">
        <v>10</v>
      </c>
      <c r="J29" s="61"/>
      <c r="K29" s="61"/>
      <c r="L29" s="61"/>
      <c r="M29" s="61">
        <v>10</v>
      </c>
      <c r="N29" s="61"/>
      <c r="O29" s="61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63"/>
      <c r="AR29" s="63"/>
      <c r="AS29" s="63"/>
      <c r="AT29" s="63"/>
      <c r="AU29" s="63"/>
      <c r="AV29" s="63"/>
      <c r="AW29" s="64"/>
      <c r="AX29" s="64"/>
      <c r="AY29" s="64"/>
      <c r="AZ29" s="64"/>
      <c r="BA29" s="64"/>
      <c r="BB29" s="64"/>
      <c r="BC29" s="65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49">
        <f>SUM(E29:BP29)</f>
        <v>30</v>
      </c>
      <c r="BR29" s="59">
        <v>0</v>
      </c>
      <c r="BS29" s="66">
        <v>0</v>
      </c>
      <c r="BT29" s="66"/>
      <c r="BU29">
        <f>SUM(P29:AD29)</f>
        <v>0</v>
      </c>
      <c r="BV29" s="23">
        <f>AF29+AH29+AI29+AJ29+AO29+AP29</f>
        <v>0</v>
      </c>
    </row>
    <row r="30" spans="1:74">
      <c r="A30" s="1"/>
      <c r="B30" s="1" t="s">
        <v>108</v>
      </c>
      <c r="C30" s="1" t="s">
        <v>96</v>
      </c>
      <c r="D30" s="1" t="s">
        <v>97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/>
      <c r="W30" s="28">
        <v>5</v>
      </c>
      <c r="X30" s="28"/>
      <c r="Y30" s="28"/>
      <c r="Z30" s="28"/>
      <c r="AA30" s="28"/>
      <c r="AB30" s="28">
        <v>10</v>
      </c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35</v>
      </c>
      <c r="BR30" s="1">
        <v>0</v>
      </c>
      <c r="BS30" s="17">
        <v>0</v>
      </c>
      <c r="BT30" s="17"/>
      <c r="BU30">
        <f>SUM(P30:AD30)</f>
        <v>35</v>
      </c>
      <c r="BV30" s="23">
        <f>AF30+AH30+AI30+AJ30+AO30+AP30</f>
        <v>0</v>
      </c>
    </row>
    <row r="31" spans="1:74">
      <c r="A31" s="1"/>
      <c r="B31" s="1" t="s">
        <v>113</v>
      </c>
      <c r="C31" s="1" t="s">
        <v>96</v>
      </c>
      <c r="D31" s="1" t="s">
        <v>97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/>
      <c r="W31" s="28">
        <v>5</v>
      </c>
      <c r="X31" s="28"/>
      <c r="Y31" s="28"/>
      <c r="Z31" s="28"/>
      <c r="AA31" s="28"/>
      <c r="AB31" s="28">
        <v>10</v>
      </c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35</v>
      </c>
      <c r="BR31" s="1">
        <v>0</v>
      </c>
      <c r="BS31" s="17">
        <v>0</v>
      </c>
      <c r="BT31" s="17"/>
      <c r="BU31">
        <f>SUM(P31:AD31)</f>
        <v>35</v>
      </c>
      <c r="BV31" s="23">
        <f>AF31+AH31+AI31+AJ31+AO31+AP31</f>
        <v>0</v>
      </c>
    </row>
    <row r="32" spans="1:74">
      <c r="A32" s="1"/>
      <c r="B32" s="1" t="s">
        <v>119</v>
      </c>
      <c r="C32" s="1" t="s">
        <v>117</v>
      </c>
      <c r="D32" s="1" t="s">
        <v>97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/>
      <c r="W32" s="28">
        <v>5</v>
      </c>
      <c r="X32" s="28"/>
      <c r="Y32" s="28"/>
      <c r="Z32" s="28"/>
      <c r="AA32" s="28"/>
      <c r="AB32" s="28">
        <v>10</v>
      </c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35</v>
      </c>
      <c r="BR32" s="1">
        <v>0</v>
      </c>
      <c r="BS32" s="17">
        <v>0</v>
      </c>
      <c r="BT32" s="17"/>
      <c r="BU32">
        <f>SUM(P32:AD32)</f>
        <v>35</v>
      </c>
      <c r="BV32" s="23">
        <f>AF32+AH32+AI32+AJ32+AO32+AP32</f>
        <v>0</v>
      </c>
    </row>
    <row r="33" spans="1:74">
      <c r="A33" s="1"/>
      <c r="B33" s="1" t="s">
        <v>124</v>
      </c>
      <c r="C33" s="1" t="s">
        <v>123</v>
      </c>
      <c r="D33" s="1" t="s">
        <v>97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/>
      <c r="W33" s="28">
        <v>5</v>
      </c>
      <c r="X33" s="28"/>
      <c r="Y33" s="28"/>
      <c r="Z33" s="28"/>
      <c r="AA33" s="28"/>
      <c r="AB33" s="28">
        <v>10</v>
      </c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35</v>
      </c>
      <c r="BR33" s="1">
        <v>0</v>
      </c>
      <c r="BS33" s="17">
        <v>0</v>
      </c>
      <c r="BT33" s="17"/>
      <c r="BU33">
        <f>SUM(P33:AD33)</f>
        <v>35</v>
      </c>
      <c r="BV33" s="23">
        <f>AF33+AH33+AI33+AJ33+AO33+AP33</f>
        <v>0</v>
      </c>
    </row>
    <row r="34" spans="1:74">
      <c r="A34" s="1"/>
      <c r="B34" s="3" t="s">
        <v>185</v>
      </c>
      <c r="C34" s="3" t="s">
        <v>24</v>
      </c>
      <c r="D34" s="1" t="s">
        <v>182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/>
      <c r="W34" s="28">
        <v>5</v>
      </c>
      <c r="X34" s="28"/>
      <c r="Y34" s="28"/>
      <c r="Z34" s="28"/>
      <c r="AA34" s="28"/>
      <c r="AB34" s="28">
        <v>10</v>
      </c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35</v>
      </c>
      <c r="BR34" s="1">
        <v>0</v>
      </c>
      <c r="BS34" s="17">
        <v>0</v>
      </c>
      <c r="BT34" s="17"/>
      <c r="BU34">
        <f>SUM(P34:AD34)</f>
        <v>35</v>
      </c>
      <c r="BV34" s="23">
        <f>AF34+AH34+AI34+AJ34+AO34+AP34</f>
        <v>0</v>
      </c>
    </row>
    <row r="35" spans="1:74">
      <c r="A35" s="1"/>
      <c r="B35" s="3" t="s">
        <v>189</v>
      </c>
      <c r="C35" s="3" t="s">
        <v>95</v>
      </c>
      <c r="D35" s="1" t="s">
        <v>182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/>
      <c r="W35" s="28">
        <v>5</v>
      </c>
      <c r="X35" s="28"/>
      <c r="Y35" s="28"/>
      <c r="Z35" s="28"/>
      <c r="AA35" s="28"/>
      <c r="AB35" s="28">
        <v>10</v>
      </c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35</v>
      </c>
      <c r="BR35" s="1">
        <v>0</v>
      </c>
      <c r="BS35" s="17">
        <v>0</v>
      </c>
      <c r="BT35" s="17"/>
      <c r="BU35">
        <f>SUM(P35:AD35)</f>
        <v>35</v>
      </c>
      <c r="BV35" s="23">
        <f>AF35+AH35+AI35+AJ35+AO35+AP35</f>
        <v>0</v>
      </c>
    </row>
    <row r="36" spans="1:74">
      <c r="A36" s="1"/>
      <c r="B36" s="3" t="s">
        <v>181</v>
      </c>
      <c r="C36" s="3" t="s">
        <v>49</v>
      </c>
      <c r="D36" s="1" t="s">
        <v>182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>
        <v>5</v>
      </c>
      <c r="R36" s="28"/>
      <c r="S36" s="28"/>
      <c r="T36" s="28">
        <v>5</v>
      </c>
      <c r="U36" s="28"/>
      <c r="V36" s="28"/>
      <c r="W36" s="28">
        <v>5</v>
      </c>
      <c r="X36" s="28"/>
      <c r="Y36" s="28"/>
      <c r="Z36" s="28"/>
      <c r="AA36" s="28"/>
      <c r="AB36" s="28"/>
      <c r="AC36" s="28">
        <v>5</v>
      </c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20</v>
      </c>
      <c r="BR36" s="1">
        <v>0</v>
      </c>
      <c r="BS36" s="17">
        <v>0</v>
      </c>
      <c r="BT36" s="17"/>
      <c r="BU36">
        <f>SUM(P36:AD36)</f>
        <v>20</v>
      </c>
      <c r="BV36" s="23">
        <f>AF36+AH36+AI36+AJ36+AO36+AP36</f>
        <v>0</v>
      </c>
    </row>
    <row r="37" spans="1:74">
      <c r="A37" s="1"/>
      <c r="B37" s="1" t="s">
        <v>220</v>
      </c>
      <c r="C37" s="1" t="s">
        <v>49</v>
      </c>
      <c r="D37" s="1" t="s">
        <v>216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/>
      <c r="W37" s="28">
        <v>5</v>
      </c>
      <c r="X37" s="28"/>
      <c r="Y37" s="28"/>
      <c r="Z37" s="28"/>
      <c r="AA37" s="28"/>
      <c r="AB37" s="28">
        <v>10</v>
      </c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35</v>
      </c>
      <c r="BR37" s="1">
        <v>0</v>
      </c>
      <c r="BS37" s="17">
        <v>0</v>
      </c>
      <c r="BT37" s="17"/>
      <c r="BU37">
        <f>SUM(P37:AD37)</f>
        <v>35</v>
      </c>
      <c r="BV37" s="23">
        <f>AF37+AH37+AI37+AJ37+AO37+AP37</f>
        <v>0</v>
      </c>
    </row>
    <row r="38" spans="1:74">
      <c r="A38" s="1"/>
      <c r="B38" s="1" t="s">
        <v>221</v>
      </c>
      <c r="C38" s="1" t="s">
        <v>49</v>
      </c>
      <c r="D38" s="1" t="s">
        <v>216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/>
      <c r="W38" s="28">
        <v>5</v>
      </c>
      <c r="X38" s="28"/>
      <c r="Y38" s="28"/>
      <c r="Z38" s="28"/>
      <c r="AA38" s="28"/>
      <c r="AB38" s="28">
        <v>10</v>
      </c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35</v>
      </c>
      <c r="BR38" s="1">
        <v>0</v>
      </c>
      <c r="BS38" s="17">
        <v>0</v>
      </c>
      <c r="BT38" s="17"/>
      <c r="BU38">
        <f>SUM(P38:AD38)</f>
        <v>35</v>
      </c>
      <c r="BV38" s="23">
        <f>AF38+AH38+AI38+AJ38+AO38+AP38</f>
        <v>0</v>
      </c>
    </row>
    <row r="39" spans="1:74" s="56" customFormat="1">
      <c r="A39" s="1"/>
      <c r="B39" s="1" t="s">
        <v>226</v>
      </c>
      <c r="C39" s="1" t="s">
        <v>36</v>
      </c>
      <c r="D39" s="1" t="s">
        <v>223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/>
      <c r="S39" s="28"/>
      <c r="T39" s="28"/>
      <c r="U39" s="28"/>
      <c r="V39" s="28"/>
      <c r="W39" s="28">
        <v>5</v>
      </c>
      <c r="X39" s="28"/>
      <c r="Y39" s="28"/>
      <c r="Z39" s="28">
        <v>5</v>
      </c>
      <c r="AA39" s="28"/>
      <c r="AB39" s="28"/>
      <c r="AC39" s="28">
        <v>5</v>
      </c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20</v>
      </c>
      <c r="BR39" s="1">
        <v>0</v>
      </c>
      <c r="BS39" s="17">
        <v>0</v>
      </c>
      <c r="BT39" s="17"/>
      <c r="BU39">
        <f>SUM(P39:AD39)</f>
        <v>20</v>
      </c>
      <c r="BV39" s="23">
        <f>AF39+AH39+AI39+AJ39+AO39+AP39</f>
        <v>0</v>
      </c>
    </row>
    <row r="40" spans="1:74">
      <c r="A40" s="1">
        <v>45</v>
      </c>
      <c r="B40" s="1" t="s">
        <v>79</v>
      </c>
      <c r="C40" s="1" t="s">
        <v>36</v>
      </c>
      <c r="D40" s="1" t="s">
        <v>9</v>
      </c>
      <c r="E40" s="6">
        <v>6</v>
      </c>
      <c r="F40" s="6"/>
      <c r="G40" s="6"/>
      <c r="H40" s="6"/>
      <c r="I40" s="6"/>
      <c r="J40" s="6"/>
      <c r="K40" s="6"/>
      <c r="L40" s="6"/>
      <c r="M40" s="6">
        <v>6</v>
      </c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>
        <v>10</v>
      </c>
      <c r="AR40" s="4"/>
      <c r="AS40" s="4"/>
      <c r="AT40" s="4"/>
      <c r="AU40" s="4"/>
      <c r="AV40" s="4"/>
      <c r="AW40" s="2"/>
      <c r="AX40" s="2"/>
      <c r="AY40" s="2"/>
      <c r="AZ40" s="2">
        <v>10</v>
      </c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32</v>
      </c>
      <c r="BR40" s="1">
        <v>0</v>
      </c>
      <c r="BS40" s="17">
        <v>0</v>
      </c>
      <c r="BT40" s="17"/>
      <c r="BU40">
        <f>SUM(P40:AD40)</f>
        <v>0</v>
      </c>
      <c r="BV40" s="23">
        <f>AF40+AH40+AI40+AJ40+AO40+AP40</f>
        <v>0</v>
      </c>
    </row>
    <row r="41" spans="1:74">
      <c r="A41" s="59"/>
      <c r="B41" s="60" t="s">
        <v>240</v>
      </c>
      <c r="C41" s="59" t="s">
        <v>241</v>
      </c>
      <c r="D41" s="59" t="s">
        <v>0</v>
      </c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63">
        <v>10</v>
      </c>
      <c r="AR41" s="63"/>
      <c r="AS41" s="63"/>
      <c r="AT41" s="63"/>
      <c r="AU41" s="63"/>
      <c r="AV41" s="63"/>
      <c r="AW41" s="64"/>
      <c r="AX41" s="64"/>
      <c r="AY41" s="64"/>
      <c r="AZ41" s="64">
        <v>10</v>
      </c>
      <c r="BA41" s="64">
        <v>10</v>
      </c>
      <c r="BB41" s="64"/>
      <c r="BC41" s="65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49">
        <f>SUM(E41:BP41)</f>
        <v>30</v>
      </c>
      <c r="BR41" s="59">
        <v>0</v>
      </c>
      <c r="BS41" s="66">
        <v>0</v>
      </c>
      <c r="BT41" s="66"/>
      <c r="BU41">
        <f>SUM(P41:AD41)</f>
        <v>0</v>
      </c>
      <c r="BV41" s="23">
        <f>AF41+AH41+AI41+AJ41+AO41+AP41</f>
        <v>0</v>
      </c>
    </row>
    <row r="42" spans="1:74">
      <c r="A42" s="1"/>
      <c r="B42" s="1" t="s">
        <v>250</v>
      </c>
      <c r="C42" s="1" t="s">
        <v>96</v>
      </c>
      <c r="D42" s="1" t="s">
        <v>251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>
        <v>5</v>
      </c>
      <c r="R42" s="28"/>
      <c r="S42" s="28"/>
      <c r="T42" s="28">
        <v>5</v>
      </c>
      <c r="U42" s="28"/>
      <c r="V42" s="28"/>
      <c r="W42" s="28">
        <v>5</v>
      </c>
      <c r="X42" s="28"/>
      <c r="Y42" s="28"/>
      <c r="Z42" s="28"/>
      <c r="AA42" s="28"/>
      <c r="AB42" s="28"/>
      <c r="AC42" s="28">
        <v>5</v>
      </c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20</v>
      </c>
      <c r="BR42" s="1">
        <v>0</v>
      </c>
      <c r="BS42" s="17">
        <v>0</v>
      </c>
      <c r="BT42" s="17"/>
      <c r="BU42">
        <f>SUM(P42:AD42)</f>
        <v>20</v>
      </c>
      <c r="BV42" s="23">
        <f>AF42+AH42+AI42+AJ42+AO42+AP42</f>
        <v>0</v>
      </c>
    </row>
    <row r="43" spans="1:74">
      <c r="A43" s="49">
        <v>4</v>
      </c>
      <c r="B43" s="49" t="s">
        <v>213</v>
      </c>
      <c r="C43" s="49" t="s">
        <v>1</v>
      </c>
      <c r="D43" s="49" t="s">
        <v>165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52">
        <v>40</v>
      </c>
      <c r="AR43" s="52"/>
      <c r="AS43" s="52"/>
      <c r="AT43" s="52"/>
      <c r="AU43" s="52"/>
      <c r="AV43" s="52"/>
      <c r="AW43" s="53">
        <v>40</v>
      </c>
      <c r="AX43" s="53">
        <v>40</v>
      </c>
      <c r="AY43" s="53"/>
      <c r="AZ43" s="53"/>
      <c r="BA43" s="53"/>
      <c r="BB43" s="53"/>
      <c r="BC43" s="54">
        <v>10</v>
      </c>
      <c r="BD43" s="49"/>
      <c r="BE43" s="49"/>
      <c r="BF43" s="49">
        <v>50</v>
      </c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>
        <f>SUM(E43:BP43)</f>
        <v>180</v>
      </c>
      <c r="BR43" s="49">
        <v>0</v>
      </c>
      <c r="BS43" s="55">
        <v>0</v>
      </c>
      <c r="BT43" s="55"/>
      <c r="BU43">
        <f>SUM(P43:AD43)</f>
        <v>0</v>
      </c>
      <c r="BV43" s="23">
        <f>AF43+AH43+AI43+AJ43+AO43+AP43</f>
        <v>0</v>
      </c>
    </row>
    <row r="44" spans="1:74">
      <c r="A44" s="1"/>
      <c r="B44" s="1" t="s">
        <v>231</v>
      </c>
      <c r="C44" s="1" t="s">
        <v>83</v>
      </c>
      <c r="D44" s="1" t="s">
        <v>84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>
        <v>40</v>
      </c>
      <c r="AW44" s="2">
        <v>40</v>
      </c>
      <c r="AX44" s="2"/>
      <c r="AY44" s="2"/>
      <c r="AZ44" s="2"/>
      <c r="BA44" s="2"/>
      <c r="BB44" s="2">
        <v>40</v>
      </c>
      <c r="BC44" s="14">
        <v>10</v>
      </c>
      <c r="BD44" s="1"/>
      <c r="BE44" s="1">
        <v>50</v>
      </c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180</v>
      </c>
      <c r="BR44" s="1">
        <v>0</v>
      </c>
      <c r="BS44" s="17">
        <v>0</v>
      </c>
      <c r="BT44" s="17"/>
      <c r="BU44">
        <f>SUM(P44:AD44)</f>
        <v>0</v>
      </c>
      <c r="BV44" s="23">
        <f>AF44+AH44+AI44+AJ44+AO44+AP44</f>
        <v>0</v>
      </c>
    </row>
    <row r="45" spans="1:74">
      <c r="A45" s="1"/>
      <c r="B45" s="1" t="s">
        <v>261</v>
      </c>
      <c r="C45" s="3" t="s">
        <v>49</v>
      </c>
      <c r="D45" s="1" t="s">
        <v>9</v>
      </c>
      <c r="E45" s="6"/>
      <c r="F45" s="6"/>
      <c r="G45" s="6"/>
      <c r="H45" s="6"/>
      <c r="I45" s="6"/>
      <c r="J45" s="6"/>
      <c r="K45" s="6">
        <v>10</v>
      </c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>
        <v>10</v>
      </c>
      <c r="AU45" s="4"/>
      <c r="AV45" s="4"/>
      <c r="AW45" s="2">
        <v>10</v>
      </c>
      <c r="AX45" s="2"/>
      <c r="AY45" s="2"/>
      <c r="AZ45" s="2"/>
      <c r="BA45" s="2">
        <v>10</v>
      </c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40</v>
      </c>
      <c r="BR45" s="1">
        <v>0</v>
      </c>
      <c r="BS45" s="17">
        <v>0</v>
      </c>
      <c r="BT45" s="17"/>
      <c r="BU45">
        <f>SUM(P45:AD45)</f>
        <v>0</v>
      </c>
      <c r="BV45" s="23">
        <f>AF45+AH45+AI45+AJ45+AO45+AP45</f>
        <v>0</v>
      </c>
    </row>
    <row r="46" spans="1:74">
      <c r="A46" s="1"/>
      <c r="B46" s="1" t="s">
        <v>161</v>
      </c>
      <c r="C46" s="1" t="s">
        <v>162</v>
      </c>
      <c r="D46" s="1" t="s">
        <v>163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>
        <v>15</v>
      </c>
      <c r="AV46" s="4"/>
      <c r="AW46" s="2"/>
      <c r="AX46" s="2"/>
      <c r="AY46" s="2">
        <v>15</v>
      </c>
      <c r="AZ46" s="2"/>
      <c r="BA46" s="2">
        <v>10</v>
      </c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40</v>
      </c>
      <c r="BR46" s="1">
        <v>0</v>
      </c>
      <c r="BS46" s="17">
        <v>0</v>
      </c>
      <c r="BT46" s="17"/>
      <c r="BU46">
        <f>SUM(P46:AD46)</f>
        <v>0</v>
      </c>
      <c r="BV46" s="23">
        <f>AF46+AH46+AI46+AJ46+AO46+AP46</f>
        <v>0</v>
      </c>
    </row>
    <row r="47" spans="1:74">
      <c r="A47" s="1"/>
      <c r="B47" s="1" t="s">
        <v>124</v>
      </c>
      <c r="C47" s="1" t="s">
        <v>123</v>
      </c>
      <c r="D47" s="1" t="s">
        <v>98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/>
      <c r="S47" s="28"/>
      <c r="T47" s="28">
        <v>5</v>
      </c>
      <c r="U47" s="28"/>
      <c r="V47" s="28"/>
      <c r="W47" s="28"/>
      <c r="X47" s="28"/>
      <c r="Y47" s="28"/>
      <c r="Z47" s="28">
        <v>5</v>
      </c>
      <c r="AA47" s="28">
        <v>2</v>
      </c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17</v>
      </c>
      <c r="BR47" s="1">
        <v>1</v>
      </c>
      <c r="BS47" s="17">
        <v>1</v>
      </c>
      <c r="BT47" s="17" t="s">
        <v>293</v>
      </c>
      <c r="BU47">
        <f>SUM(P47:AD47)</f>
        <v>17</v>
      </c>
      <c r="BV47" s="23">
        <f>AF47+AH47+AI47+AJ47+AO47+AP47</f>
        <v>0</v>
      </c>
    </row>
    <row r="48" spans="1:74">
      <c r="A48" s="1"/>
      <c r="B48" s="3" t="s">
        <v>283</v>
      </c>
      <c r="C48" s="3" t="s">
        <v>187</v>
      </c>
      <c r="D48" s="1" t="s"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/>
      <c r="S48" s="28"/>
      <c r="T48" s="28">
        <v>5</v>
      </c>
      <c r="U48" s="28"/>
      <c r="V48" s="28"/>
      <c r="W48" s="28"/>
      <c r="X48" s="28"/>
      <c r="Y48" s="28"/>
      <c r="Z48" s="28">
        <v>5</v>
      </c>
      <c r="AA48" s="28">
        <v>2</v>
      </c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17</v>
      </c>
      <c r="BR48" s="1">
        <v>1</v>
      </c>
      <c r="BS48" s="17">
        <v>1</v>
      </c>
      <c r="BT48" s="17" t="s">
        <v>293</v>
      </c>
      <c r="BU48">
        <f>SUM(P48:AD48)</f>
        <v>17</v>
      </c>
      <c r="BV48" s="23">
        <f>AF48+AH48+AI48+AJ48+AO48+AP48</f>
        <v>0</v>
      </c>
    </row>
    <row r="49" spans="1:74">
      <c r="A49" s="1"/>
      <c r="B49" s="1" t="s">
        <v>281</v>
      </c>
      <c r="C49" s="1" t="s">
        <v>114</v>
      </c>
      <c r="D49" s="1" t="s">
        <v>217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>
        <v>5</v>
      </c>
      <c r="U49" s="28"/>
      <c r="V49" s="28"/>
      <c r="W49" s="28"/>
      <c r="X49" s="28"/>
      <c r="Y49" s="28"/>
      <c r="Z49" s="28">
        <v>5</v>
      </c>
      <c r="AA49" s="28">
        <v>2</v>
      </c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17</v>
      </c>
      <c r="BR49" s="1">
        <v>1</v>
      </c>
      <c r="BS49" s="17">
        <v>1</v>
      </c>
      <c r="BT49" s="17" t="s">
        <v>294</v>
      </c>
      <c r="BU49">
        <f>SUM(P49:AD49)</f>
        <v>17</v>
      </c>
      <c r="BV49" s="23">
        <f>AF49+AH49+AI49+AJ49+AO49+AP49</f>
        <v>0</v>
      </c>
    </row>
    <row r="50" spans="1:74">
      <c r="A50" s="1"/>
      <c r="B50" s="1" t="s">
        <v>220</v>
      </c>
      <c r="C50" s="1" t="s">
        <v>49</v>
      </c>
      <c r="D50" s="1" t="s">
        <v>217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>
        <v>5</v>
      </c>
      <c r="U50" s="28"/>
      <c r="V50" s="28"/>
      <c r="W50" s="28"/>
      <c r="X50" s="28"/>
      <c r="Y50" s="28"/>
      <c r="Z50" s="28">
        <v>5</v>
      </c>
      <c r="AA50" s="28">
        <v>2</v>
      </c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17</v>
      </c>
      <c r="BR50" s="1">
        <v>1</v>
      </c>
      <c r="BS50" s="17">
        <v>1</v>
      </c>
      <c r="BT50" s="17" t="s">
        <v>293</v>
      </c>
      <c r="BU50">
        <f>SUM(P50:AD50)</f>
        <v>17</v>
      </c>
      <c r="BV50" s="23">
        <f>AF50+AH50+AI50+AJ50+AO50+AP50</f>
        <v>0</v>
      </c>
    </row>
    <row r="51" spans="1:74">
      <c r="A51" s="1"/>
      <c r="B51" s="1" t="s">
        <v>136</v>
      </c>
      <c r="C51" s="1" t="s">
        <v>91</v>
      </c>
      <c r="D51" s="1" t="s">
        <v>82</v>
      </c>
      <c r="E51" s="6">
        <v>10</v>
      </c>
      <c r="F51" s="6"/>
      <c r="G51" s="6">
        <v>10</v>
      </c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>
        <v>10</v>
      </c>
      <c r="AS51" s="4"/>
      <c r="AT51" s="4"/>
      <c r="AU51" s="4"/>
      <c r="AV51" s="4"/>
      <c r="AW51" s="2"/>
      <c r="AX51" s="2"/>
      <c r="AY51" s="2"/>
      <c r="AZ51" s="2"/>
      <c r="BA51" s="2"/>
      <c r="BB51" s="2">
        <v>10</v>
      </c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40</v>
      </c>
      <c r="BR51" s="1">
        <v>1</v>
      </c>
      <c r="BS51" s="17">
        <v>1</v>
      </c>
      <c r="BT51" s="17" t="s">
        <v>295</v>
      </c>
      <c r="BU51">
        <f>SUM(P51:AD51)</f>
        <v>0</v>
      </c>
      <c r="BV51" s="23">
        <f>AF51+AH51+AI51+AJ51+AO51+AP51</f>
        <v>0</v>
      </c>
    </row>
    <row r="52" spans="1:74">
      <c r="A52" s="1"/>
      <c r="B52" s="1" t="s">
        <v>134</v>
      </c>
      <c r="C52" s="1" t="s">
        <v>122</v>
      </c>
      <c r="D52" s="1" t="s">
        <v>99</v>
      </c>
      <c r="E52" s="6">
        <v>10</v>
      </c>
      <c r="F52" s="6"/>
      <c r="G52" s="6">
        <v>10</v>
      </c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>
        <v>10</v>
      </c>
      <c r="AS52" s="4"/>
      <c r="AT52" s="4"/>
      <c r="AU52" s="4"/>
      <c r="AV52" s="4"/>
      <c r="AW52" s="2"/>
      <c r="AX52" s="2"/>
      <c r="AY52" s="2"/>
      <c r="AZ52" s="2"/>
      <c r="BA52" s="2"/>
      <c r="BB52" s="2">
        <v>10</v>
      </c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40</v>
      </c>
      <c r="BR52" s="1">
        <v>1</v>
      </c>
      <c r="BS52" s="17">
        <v>1</v>
      </c>
      <c r="BT52" s="17" t="s">
        <v>295</v>
      </c>
      <c r="BU52">
        <f>SUM(P52:AD52)</f>
        <v>0</v>
      </c>
      <c r="BV52" s="23">
        <f>AF52+AH52+AI52+AJ52+AO52+AP52</f>
        <v>0</v>
      </c>
    </row>
    <row r="53" spans="1:74">
      <c r="A53" s="1"/>
      <c r="B53" s="1" t="s">
        <v>271</v>
      </c>
      <c r="C53" s="1" t="s">
        <v>257</v>
      </c>
      <c r="D53" s="1" t="s">
        <v>9</v>
      </c>
      <c r="E53" s="6"/>
      <c r="F53" s="6"/>
      <c r="G53" s="6">
        <v>4</v>
      </c>
      <c r="H53" s="6">
        <v>4</v>
      </c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>
        <v>5</v>
      </c>
      <c r="AV53" s="4"/>
      <c r="AW53" s="2"/>
      <c r="AX53" s="2"/>
      <c r="AY53" s="2">
        <v>5</v>
      </c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18</v>
      </c>
      <c r="BR53" s="1">
        <v>1</v>
      </c>
      <c r="BS53" s="17">
        <v>1</v>
      </c>
      <c r="BT53" s="17" t="s">
        <v>296</v>
      </c>
      <c r="BU53">
        <f>SUM(P53:AD53)</f>
        <v>0</v>
      </c>
      <c r="BV53" s="23">
        <f>AF53+AH53+AI53+AJ53+AO53+AP53</f>
        <v>0</v>
      </c>
    </row>
    <row r="54" spans="1:74" s="56" customFormat="1">
      <c r="A54" s="1"/>
      <c r="B54" s="1" t="s">
        <v>108</v>
      </c>
      <c r="C54" s="1" t="s">
        <v>96</v>
      </c>
      <c r="D54" s="1" t="s">
        <v>98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17</v>
      </c>
      <c r="BR54" s="1">
        <v>2</v>
      </c>
      <c r="BS54" s="17">
        <v>1</v>
      </c>
      <c r="BT54" s="17" t="s">
        <v>288</v>
      </c>
      <c r="BU54">
        <f>SUM(P54:AD54)</f>
        <v>17</v>
      </c>
      <c r="BV54" s="23">
        <f>AF54+AH54+AI54+AJ54+AO54+AP54</f>
        <v>0</v>
      </c>
    </row>
    <row r="55" spans="1:74">
      <c r="A55" s="1"/>
      <c r="B55" s="1" t="s">
        <v>113</v>
      </c>
      <c r="C55" s="1" t="s">
        <v>96</v>
      </c>
      <c r="D55" s="1" t="s">
        <v>98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17</v>
      </c>
      <c r="BR55" s="1">
        <v>2</v>
      </c>
      <c r="BS55" s="17">
        <v>1</v>
      </c>
      <c r="BT55" s="17" t="s">
        <v>288</v>
      </c>
      <c r="BU55">
        <f>SUM(P55:AD55)</f>
        <v>17</v>
      </c>
      <c r="BV55" s="23">
        <f>AF55+AH55+AI55+AJ55+AO55+AP55</f>
        <v>0</v>
      </c>
    </row>
    <row r="56" spans="1:74">
      <c r="A56" s="1"/>
      <c r="B56" s="1" t="s">
        <v>119</v>
      </c>
      <c r="C56" s="1" t="s">
        <v>117</v>
      </c>
      <c r="D56" s="1" t="s">
        <v>98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17</v>
      </c>
      <c r="BR56" s="1">
        <v>2</v>
      </c>
      <c r="BS56" s="17">
        <v>1</v>
      </c>
      <c r="BT56" s="17" t="s">
        <v>288</v>
      </c>
      <c r="BU56">
        <f>SUM(P56:AD56)</f>
        <v>17</v>
      </c>
      <c r="BV56" s="23">
        <f>AF56+AH56+AI56+AJ56+AO56+AP56</f>
        <v>0</v>
      </c>
    </row>
    <row r="57" spans="1:74">
      <c r="A57" s="1"/>
      <c r="B57" s="3" t="s">
        <v>189</v>
      </c>
      <c r="C57" s="3" t="s">
        <v>95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17</v>
      </c>
      <c r="BR57" s="1">
        <v>2</v>
      </c>
      <c r="BS57" s="17">
        <v>1</v>
      </c>
      <c r="BT57" s="17" t="s">
        <v>288</v>
      </c>
      <c r="BU57">
        <f>SUM(P57:AD57)</f>
        <v>17</v>
      </c>
      <c r="BV57" s="23">
        <f>AF57+AH57+AI57+AJ57+AO57+AP57</f>
        <v>0</v>
      </c>
    </row>
    <row r="58" spans="1:74">
      <c r="A58" s="1"/>
      <c r="B58" s="1" t="s">
        <v>221</v>
      </c>
      <c r="C58" s="1" t="s">
        <v>49</v>
      </c>
      <c r="D58" s="1" t="s">
        <v>217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17</v>
      </c>
      <c r="BR58" s="1">
        <v>2</v>
      </c>
      <c r="BS58" s="17">
        <v>1</v>
      </c>
      <c r="BT58" s="17" t="s">
        <v>288</v>
      </c>
      <c r="BU58">
        <f>SUM(P58:AD58)</f>
        <v>17</v>
      </c>
      <c r="BV58" s="23">
        <f>AF58+AH58+AI58+AJ58+AO58+AP58</f>
        <v>0</v>
      </c>
    </row>
    <row r="59" spans="1:74">
      <c r="A59" s="1"/>
      <c r="B59" s="1" t="s">
        <v>228</v>
      </c>
      <c r="C59" s="1" t="s">
        <v>121</v>
      </c>
      <c r="D59" s="1" t="s">
        <v>98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>
        <v>5</v>
      </c>
      <c r="U59" s="28"/>
      <c r="V59" s="28"/>
      <c r="W59" s="28"/>
      <c r="X59" s="28">
        <v>2</v>
      </c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17</v>
      </c>
      <c r="BR59" s="1">
        <v>2</v>
      </c>
      <c r="BS59" s="17">
        <v>1</v>
      </c>
      <c r="BT59" s="17" t="s">
        <v>289</v>
      </c>
      <c r="BU59">
        <f>SUM(P59:AD59)</f>
        <v>17</v>
      </c>
      <c r="BV59" s="23">
        <f>AF59+AH59+AI59+AJ59+AO59+AP59</f>
        <v>0</v>
      </c>
    </row>
    <row r="60" spans="1:74">
      <c r="A60" s="1"/>
      <c r="B60" s="3" t="s">
        <v>185</v>
      </c>
      <c r="C60" s="3" t="s">
        <v>24</v>
      </c>
      <c r="D60" s="1" t="s"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>
        <v>2</v>
      </c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17</v>
      </c>
      <c r="BR60" s="1">
        <v>2</v>
      </c>
      <c r="BS60" s="17">
        <v>1</v>
      </c>
      <c r="BT60" s="17" t="s">
        <v>289</v>
      </c>
      <c r="BU60">
        <f>SUM(P60:AD60)</f>
        <v>17</v>
      </c>
      <c r="BV60" s="23">
        <f>AF60+AH60+AI60+AJ60+AO60+AP60</f>
        <v>0</v>
      </c>
    </row>
    <row r="61" spans="1:74">
      <c r="A61" s="18"/>
      <c r="B61" s="18" t="s">
        <v>90</v>
      </c>
      <c r="C61" s="18" t="s">
        <v>83</v>
      </c>
      <c r="D61" s="18" t="s">
        <v>87</v>
      </c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>
        <v>2</v>
      </c>
      <c r="AP61" s="18"/>
      <c r="AQ61" s="20"/>
      <c r="AR61" s="20"/>
      <c r="AS61" s="20"/>
      <c r="AT61" s="20"/>
      <c r="AU61" s="20"/>
      <c r="AV61" s="20"/>
      <c r="AW61" s="21"/>
      <c r="AX61" s="21"/>
      <c r="AY61" s="21"/>
      <c r="AZ61" s="21"/>
      <c r="BA61" s="21"/>
      <c r="BB61" s="21"/>
      <c r="BC61" s="26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">
        <f>SUM(E61:BP61)</f>
        <v>2</v>
      </c>
      <c r="BR61" s="18">
        <v>2</v>
      </c>
      <c r="BS61" s="22">
        <v>1</v>
      </c>
      <c r="BT61" s="22" t="s">
        <v>299</v>
      </c>
      <c r="BU61">
        <f>SUM(P61:AD61)</f>
        <v>0</v>
      </c>
      <c r="BV61" s="23">
        <f>AF61+AH61+AI61+AJ61+AO61+AP61</f>
        <v>2</v>
      </c>
    </row>
    <row r="62" spans="1:74">
      <c r="A62" s="1"/>
      <c r="B62" s="1" t="s">
        <v>232</v>
      </c>
      <c r="C62" s="1" t="s">
        <v>233</v>
      </c>
      <c r="D62" s="1" t="s">
        <v>81</v>
      </c>
      <c r="E62" s="6"/>
      <c r="F62" s="6"/>
      <c r="G62" s="6"/>
      <c r="H62" s="6">
        <v>5</v>
      </c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5</v>
      </c>
      <c r="BR62" s="1">
        <v>2</v>
      </c>
      <c r="BS62" s="17">
        <v>1</v>
      </c>
      <c r="BT62" s="17" t="s">
        <v>300</v>
      </c>
      <c r="BU62">
        <f>SUM(P62:AD62)</f>
        <v>0</v>
      </c>
      <c r="BV62" s="23">
        <f>AF62+AH62+AI62+AJ62+AO62+AP62</f>
        <v>0</v>
      </c>
    </row>
    <row r="63" spans="1:74">
      <c r="A63" s="1"/>
      <c r="B63" s="1" t="s">
        <v>260</v>
      </c>
      <c r="C63" s="3" t="s">
        <v>49</v>
      </c>
      <c r="D63" s="1" t="s">
        <v>0</v>
      </c>
      <c r="E63" s="6"/>
      <c r="F63" s="6"/>
      <c r="G63" s="6"/>
      <c r="H63" s="6">
        <v>5</v>
      </c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5</v>
      </c>
      <c r="BR63" s="1">
        <v>2</v>
      </c>
      <c r="BS63" s="17">
        <v>1</v>
      </c>
      <c r="BT63" s="17" t="s">
        <v>300</v>
      </c>
      <c r="BU63">
        <f>SUM(P63:AD63)</f>
        <v>0</v>
      </c>
      <c r="BV63" s="23">
        <f>AF63+AH63+AI63+AJ63+AO63+AP63</f>
        <v>0</v>
      </c>
    </row>
    <row r="64" spans="1:74">
      <c r="A64" s="18"/>
      <c r="B64" s="18" t="s">
        <v>159</v>
      </c>
      <c r="C64" s="18" t="s">
        <v>24</v>
      </c>
      <c r="D64" s="18" t="s">
        <v>160</v>
      </c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>
        <v>3</v>
      </c>
      <c r="AP64" s="18"/>
      <c r="AQ64" s="20"/>
      <c r="AR64" s="20"/>
      <c r="AS64" s="20"/>
      <c r="AT64" s="20"/>
      <c r="AU64" s="20"/>
      <c r="AV64" s="20"/>
      <c r="AW64" s="21"/>
      <c r="AX64" s="21"/>
      <c r="AY64" s="21"/>
      <c r="AZ64" s="21"/>
      <c r="BA64" s="21"/>
      <c r="BB64" s="21"/>
      <c r="BC64" s="26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>
        <f>SUM(E64:BP64)</f>
        <v>3</v>
      </c>
      <c r="BR64" s="18">
        <v>3</v>
      </c>
      <c r="BS64" s="22">
        <v>1</v>
      </c>
      <c r="BT64" s="22" t="s">
        <v>301</v>
      </c>
      <c r="BU64">
        <f>SUM(P64:AD64)</f>
        <v>0</v>
      </c>
      <c r="BV64" s="23">
        <f>AF64+AH64+AI64+AJ64+AO64+AP64</f>
        <v>3</v>
      </c>
    </row>
    <row r="65" spans="1:74">
      <c r="A65" s="1"/>
      <c r="B65" s="1" t="s">
        <v>138</v>
      </c>
      <c r="C65" s="1" t="s">
        <v>80</v>
      </c>
      <c r="D65" s="1" t="s">
        <v>82</v>
      </c>
      <c r="E65" s="6"/>
      <c r="F65" s="6"/>
      <c r="G65" s="6"/>
      <c r="H65" s="6">
        <v>6</v>
      </c>
      <c r="I65" s="6"/>
      <c r="J65" s="6"/>
      <c r="K65" s="6">
        <v>6</v>
      </c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>
        <v>10</v>
      </c>
      <c r="AR65" s="4"/>
      <c r="AS65" s="4"/>
      <c r="AT65" s="4"/>
      <c r="AU65" s="4"/>
      <c r="AV65" s="4"/>
      <c r="AW65" s="2">
        <v>10</v>
      </c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32</v>
      </c>
      <c r="BR65" s="1">
        <v>3</v>
      </c>
      <c r="BS65" s="17">
        <v>1</v>
      </c>
      <c r="BT65" s="17" t="s">
        <v>302</v>
      </c>
      <c r="BU65">
        <f>SUM(P65:AD65)</f>
        <v>0</v>
      </c>
      <c r="BV65" s="23">
        <f>AF65+AH65+AI65+AJ65+AO65+AP65</f>
        <v>0</v>
      </c>
    </row>
    <row r="66" spans="1:74">
      <c r="A66" s="1">
        <v>8</v>
      </c>
      <c r="B66" s="1" t="s">
        <v>131</v>
      </c>
      <c r="C66" s="1" t="s">
        <v>1</v>
      </c>
      <c r="D66" s="1" t="s">
        <v>20</v>
      </c>
      <c r="E66" s="6">
        <v>6</v>
      </c>
      <c r="F66" s="6"/>
      <c r="G66" s="6"/>
      <c r="H66" s="6">
        <v>6</v>
      </c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>
        <v>10</v>
      </c>
      <c r="AS66" s="4"/>
      <c r="AT66" s="4"/>
      <c r="AU66" s="4"/>
      <c r="AV66" s="4"/>
      <c r="AW66" s="2"/>
      <c r="AX66" s="2"/>
      <c r="AY66" s="2"/>
      <c r="AZ66" s="2"/>
      <c r="BA66" s="2"/>
      <c r="BB66" s="2">
        <v>10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32</v>
      </c>
      <c r="BR66" s="1">
        <v>3</v>
      </c>
      <c r="BS66" s="17">
        <v>1</v>
      </c>
      <c r="BT66" s="17" t="s">
        <v>303</v>
      </c>
      <c r="BU66">
        <f>SUM(P66:AD66)</f>
        <v>0</v>
      </c>
      <c r="BV66" s="23">
        <f>AF66+AH66+AI66+AJ66+AO66+AP66</f>
        <v>0</v>
      </c>
    </row>
    <row r="67" spans="1:74">
      <c r="A67" s="18">
        <v>17</v>
      </c>
      <c r="B67" s="18" t="s">
        <v>26</v>
      </c>
      <c r="C67" s="18" t="s">
        <v>24</v>
      </c>
      <c r="D67" s="18" t="s">
        <v>18</v>
      </c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18"/>
      <c r="AF67" s="18">
        <v>5</v>
      </c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20"/>
      <c r="AR67" s="20"/>
      <c r="AS67" s="20"/>
      <c r="AT67" s="20"/>
      <c r="AU67" s="20"/>
      <c r="AV67" s="20"/>
      <c r="AW67" s="21"/>
      <c r="AX67" s="21"/>
      <c r="AY67" s="21"/>
      <c r="AZ67" s="21"/>
      <c r="BA67" s="21"/>
      <c r="BB67" s="21"/>
      <c r="BC67" s="26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>
        <f>SUM(E67:BP67)</f>
        <v>5</v>
      </c>
      <c r="BR67" s="18">
        <v>4</v>
      </c>
      <c r="BS67" s="22">
        <v>1</v>
      </c>
      <c r="BT67" s="22" t="s">
        <v>306</v>
      </c>
      <c r="BU67">
        <f>SUM(P67:AD67)</f>
        <v>0</v>
      </c>
      <c r="BV67" s="23">
        <f>AF67+AH67+AI67+AJ67+AO67+AP67</f>
        <v>5</v>
      </c>
    </row>
    <row r="68" spans="1:74">
      <c r="A68" s="1"/>
      <c r="B68" s="1" t="s">
        <v>258</v>
      </c>
      <c r="C68" s="1" t="s">
        <v>259</v>
      </c>
      <c r="D68" s="1" t="s">
        <v>9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20</v>
      </c>
      <c r="AV68" s="4"/>
      <c r="AW68" s="2"/>
      <c r="AX68" s="2"/>
      <c r="AY68" s="2">
        <v>20</v>
      </c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40</v>
      </c>
      <c r="BR68" s="1">
        <v>4</v>
      </c>
      <c r="BS68" s="17">
        <v>1</v>
      </c>
      <c r="BT68" s="17" t="s">
        <v>314</v>
      </c>
      <c r="BU68">
        <f>SUM(P68:AD68)</f>
        <v>0</v>
      </c>
      <c r="BV68" s="23">
        <f>AF68+AH68+AI68+AJ68+AO68+AP68</f>
        <v>0</v>
      </c>
    </row>
    <row r="69" spans="1:74">
      <c r="A69" s="18">
        <v>32</v>
      </c>
      <c r="B69" s="18" t="s">
        <v>59</v>
      </c>
      <c r="C69" s="18" t="s">
        <v>24</v>
      </c>
      <c r="D69" s="18" t="s">
        <v>18</v>
      </c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18"/>
      <c r="AF69" s="18"/>
      <c r="AG69" s="18"/>
      <c r="AH69" s="18"/>
      <c r="AI69" s="18">
        <v>5</v>
      </c>
      <c r="AJ69" s="18"/>
      <c r="AK69" s="18"/>
      <c r="AL69" s="18"/>
      <c r="AM69" s="18"/>
      <c r="AN69" s="18"/>
      <c r="AO69" s="18"/>
      <c r="AP69" s="18"/>
      <c r="AQ69" s="20"/>
      <c r="AR69" s="20"/>
      <c r="AS69" s="20"/>
      <c r="AT69" s="20"/>
      <c r="AU69" s="20"/>
      <c r="AV69" s="20"/>
      <c r="AW69" s="21"/>
      <c r="AX69" s="21"/>
      <c r="AY69" s="21"/>
      <c r="AZ69" s="21"/>
      <c r="BA69" s="21"/>
      <c r="BB69" s="21"/>
      <c r="BC69" s="26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>
        <f>SUM(E69:BP69)</f>
        <v>5</v>
      </c>
      <c r="BR69" s="18">
        <v>5</v>
      </c>
      <c r="BS69" s="22">
        <v>1</v>
      </c>
      <c r="BT69" s="22" t="s">
        <v>308</v>
      </c>
      <c r="BU69">
        <f>SUM(P69:AD69)</f>
        <v>0</v>
      </c>
      <c r="BV69" s="23">
        <f>AF69+AH69+AI69+AJ69+AO69+AP69</f>
        <v>5</v>
      </c>
    </row>
    <row r="70" spans="1:74">
      <c r="A70" s="18">
        <v>33</v>
      </c>
      <c r="B70" s="18" t="s">
        <v>59</v>
      </c>
      <c r="C70" s="18" t="s">
        <v>24</v>
      </c>
      <c r="D70" s="18" t="s">
        <v>0</v>
      </c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18"/>
      <c r="AF70" s="18"/>
      <c r="AG70" s="18"/>
      <c r="AH70" s="18">
        <v>5</v>
      </c>
      <c r="AI70" s="18"/>
      <c r="AJ70" s="18"/>
      <c r="AK70" s="18"/>
      <c r="AL70" s="18"/>
      <c r="AM70" s="18"/>
      <c r="AN70" s="18"/>
      <c r="AO70" s="18"/>
      <c r="AP70" s="18"/>
      <c r="AQ70" s="20"/>
      <c r="AR70" s="20"/>
      <c r="AS70" s="20"/>
      <c r="AT70" s="20"/>
      <c r="AU70" s="20"/>
      <c r="AV70" s="20"/>
      <c r="AW70" s="21"/>
      <c r="AX70" s="21"/>
      <c r="AY70" s="21"/>
      <c r="AZ70" s="21"/>
      <c r="BA70" s="21"/>
      <c r="BB70" s="21"/>
      <c r="BC70" s="26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>
        <f>SUM(E70:BP70)</f>
        <v>5</v>
      </c>
      <c r="BR70" s="18">
        <v>5</v>
      </c>
      <c r="BS70" s="22">
        <v>1</v>
      </c>
      <c r="BT70" s="22" t="s">
        <v>309</v>
      </c>
      <c r="BU70">
        <f>SUM(P70:AD70)</f>
        <v>0</v>
      </c>
      <c r="BV70" s="23">
        <f>AF70+AH70+AI70+AJ70+AO70+AP70</f>
        <v>5</v>
      </c>
    </row>
    <row r="71" spans="1:74">
      <c r="A71" s="18"/>
      <c r="B71" s="18" t="s">
        <v>93</v>
      </c>
      <c r="C71" s="18" t="s">
        <v>91</v>
      </c>
      <c r="D71" s="18" t="s">
        <v>87</v>
      </c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18"/>
      <c r="AF71" s="18"/>
      <c r="AG71" s="18"/>
      <c r="AH71" s="18">
        <v>5</v>
      </c>
      <c r="AI71" s="18"/>
      <c r="AJ71" s="18"/>
      <c r="AK71" s="18"/>
      <c r="AL71" s="18"/>
      <c r="AM71" s="18"/>
      <c r="AN71" s="18"/>
      <c r="AO71" s="18"/>
      <c r="AP71" s="18"/>
      <c r="AQ71" s="20"/>
      <c r="AR71" s="20"/>
      <c r="AS71" s="20"/>
      <c r="AT71" s="20"/>
      <c r="AU71" s="20"/>
      <c r="AV71" s="20"/>
      <c r="AW71" s="21"/>
      <c r="AX71" s="21"/>
      <c r="AY71" s="21"/>
      <c r="AZ71" s="21"/>
      <c r="BA71" s="21"/>
      <c r="BB71" s="21"/>
      <c r="BC71" s="26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>
        <f>SUM(E71:BP71)</f>
        <v>5</v>
      </c>
      <c r="BR71" s="18">
        <v>5</v>
      </c>
      <c r="BS71" s="22">
        <v>1</v>
      </c>
      <c r="BT71" s="22" t="s">
        <v>310</v>
      </c>
      <c r="BU71">
        <f>SUM(P71:AD71)</f>
        <v>0</v>
      </c>
      <c r="BV71" s="23">
        <f>AF71+AH71+AI71+AJ71+AO71+AP71</f>
        <v>5</v>
      </c>
    </row>
    <row r="72" spans="1:74">
      <c r="A72" s="18"/>
      <c r="B72" s="18" t="s">
        <v>93</v>
      </c>
      <c r="C72" s="18" t="s">
        <v>91</v>
      </c>
      <c r="D72" s="18" t="s">
        <v>82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18"/>
      <c r="AF72" s="18"/>
      <c r="AG72" s="18"/>
      <c r="AH72" s="18"/>
      <c r="AI72" s="18">
        <v>5</v>
      </c>
      <c r="AJ72" s="18"/>
      <c r="AK72" s="18"/>
      <c r="AL72" s="18"/>
      <c r="AM72" s="18"/>
      <c r="AN72" s="18"/>
      <c r="AO72" s="18"/>
      <c r="AP72" s="18"/>
      <c r="AQ72" s="20"/>
      <c r="AR72" s="20"/>
      <c r="AS72" s="20"/>
      <c r="AT72" s="20"/>
      <c r="AU72" s="20"/>
      <c r="AV72" s="20"/>
      <c r="AW72" s="21"/>
      <c r="AX72" s="21"/>
      <c r="AY72" s="21"/>
      <c r="AZ72" s="21"/>
      <c r="BA72" s="21"/>
      <c r="BB72" s="21"/>
      <c r="BC72" s="26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>
        <f>SUM(E72:BP72)</f>
        <v>5</v>
      </c>
      <c r="BR72" s="18">
        <v>5</v>
      </c>
      <c r="BS72" s="22">
        <v>1</v>
      </c>
      <c r="BT72" s="22" t="s">
        <v>311</v>
      </c>
      <c r="BU72">
        <f>SUM(P72:AD72)</f>
        <v>0</v>
      </c>
      <c r="BV72" s="23">
        <f>AF72+AH72+AI72+AJ72+AO72+AP72</f>
        <v>5</v>
      </c>
    </row>
    <row r="73" spans="1:74">
      <c r="A73" s="59"/>
      <c r="B73" s="60" t="s">
        <v>244</v>
      </c>
      <c r="C73" s="59" t="s">
        <v>36</v>
      </c>
      <c r="D73" s="1" t="s">
        <v>218</v>
      </c>
      <c r="E73" s="61"/>
      <c r="F73" s="61"/>
      <c r="G73" s="61"/>
      <c r="H73" s="61"/>
      <c r="I73" s="61"/>
      <c r="J73" s="61"/>
      <c r="K73" s="61"/>
      <c r="L73" s="61"/>
      <c r="M73" s="61"/>
      <c r="N73" s="61">
        <v>10</v>
      </c>
      <c r="O73" s="61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63">
        <v>10</v>
      </c>
      <c r="AR73" s="63"/>
      <c r="AS73" s="63"/>
      <c r="AT73" s="63"/>
      <c r="AU73" s="63"/>
      <c r="AV73" s="63"/>
      <c r="AW73" s="64"/>
      <c r="AX73" s="64"/>
      <c r="AY73" s="64"/>
      <c r="AZ73" s="64"/>
      <c r="BA73" s="64"/>
      <c r="BB73" s="64"/>
      <c r="BC73" s="65"/>
      <c r="BD73" s="59">
        <v>10</v>
      </c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49">
        <f>SUM(E73:BP73)</f>
        <v>30</v>
      </c>
      <c r="BR73" s="59">
        <v>5</v>
      </c>
      <c r="BS73" s="66">
        <v>1</v>
      </c>
      <c r="BT73" s="66" t="s">
        <v>312</v>
      </c>
      <c r="BU73">
        <f>SUM(P73:AD73)</f>
        <v>0</v>
      </c>
      <c r="BV73" s="23">
        <f>AF73+AH73+AI73+AJ73+AO73+AP73</f>
        <v>0</v>
      </c>
    </row>
    <row r="74" spans="1:74">
      <c r="A74" s="59"/>
      <c r="B74" s="60" t="s">
        <v>249</v>
      </c>
      <c r="C74" s="59" t="s">
        <v>43</v>
      </c>
      <c r="D74" s="1" t="s">
        <v>218</v>
      </c>
      <c r="E74" s="61"/>
      <c r="F74" s="61"/>
      <c r="G74" s="61"/>
      <c r="H74" s="61"/>
      <c r="I74" s="61"/>
      <c r="J74" s="61"/>
      <c r="K74" s="61">
        <v>10</v>
      </c>
      <c r="L74" s="61"/>
      <c r="M74" s="61"/>
      <c r="N74" s="61"/>
      <c r="O74" s="61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63"/>
      <c r="AR74" s="63"/>
      <c r="AS74" s="63"/>
      <c r="AT74" s="63"/>
      <c r="AU74" s="63"/>
      <c r="AV74" s="63">
        <v>10</v>
      </c>
      <c r="AW74" s="64"/>
      <c r="AX74" s="64"/>
      <c r="AY74" s="64"/>
      <c r="AZ74" s="64"/>
      <c r="BA74" s="64"/>
      <c r="BB74" s="64"/>
      <c r="BC74" s="65"/>
      <c r="BD74" s="59">
        <v>10</v>
      </c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49">
        <f>SUM(E74:BP74)</f>
        <v>30</v>
      </c>
      <c r="BR74" s="59">
        <v>5</v>
      </c>
      <c r="BS74" s="66">
        <v>1</v>
      </c>
      <c r="BT74" s="66" t="s">
        <v>312</v>
      </c>
      <c r="BU74">
        <f>SUM(P74:AD74)</f>
        <v>0</v>
      </c>
      <c r="BV74" s="23">
        <f>AF74+AH74+AI74+AJ74+AO74+AP74</f>
        <v>0</v>
      </c>
    </row>
    <row r="75" spans="1:74">
      <c r="A75" s="1"/>
      <c r="B75" s="1" t="s">
        <v>119</v>
      </c>
      <c r="C75" s="1" t="s">
        <v>117</v>
      </c>
      <c r="D75" s="1" t="s">
        <v>99</v>
      </c>
      <c r="E75" s="6"/>
      <c r="F75" s="6"/>
      <c r="G75" s="6"/>
      <c r="H75" s="6"/>
      <c r="I75" s="6">
        <v>7</v>
      </c>
      <c r="J75" s="6"/>
      <c r="K75" s="6"/>
      <c r="L75" s="6"/>
      <c r="M75" s="6"/>
      <c r="N75" s="6"/>
      <c r="O75" s="6"/>
      <c r="P75" s="28"/>
      <c r="Q75" s="28">
        <v>7</v>
      </c>
      <c r="R75" s="28">
        <v>7</v>
      </c>
      <c r="S75" s="28"/>
      <c r="T75" s="28">
        <v>7</v>
      </c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28</v>
      </c>
      <c r="BR75" s="1">
        <v>7</v>
      </c>
      <c r="BS75" s="17">
        <v>1</v>
      </c>
      <c r="BT75" s="17" t="s">
        <v>292</v>
      </c>
      <c r="BU75">
        <f>SUM(P75:AD75)</f>
        <v>21</v>
      </c>
      <c r="BV75" s="23">
        <f>AF75+AH75+AI75+AJ75+AO75+AP75</f>
        <v>0</v>
      </c>
    </row>
    <row r="76" spans="1:74">
      <c r="A76" s="1"/>
      <c r="B76" s="1" t="s">
        <v>228</v>
      </c>
      <c r="C76" s="1" t="s">
        <v>121</v>
      </c>
      <c r="D76" s="1" t="s">
        <v>99</v>
      </c>
      <c r="E76" s="6"/>
      <c r="F76" s="6"/>
      <c r="G76" s="6"/>
      <c r="H76" s="6"/>
      <c r="I76" s="6"/>
      <c r="J76" s="6"/>
      <c r="K76" s="6"/>
      <c r="L76" s="6">
        <v>7</v>
      </c>
      <c r="M76" s="6"/>
      <c r="N76" s="6"/>
      <c r="O76" s="6"/>
      <c r="P76" s="28"/>
      <c r="Q76" s="28">
        <v>7</v>
      </c>
      <c r="R76" s="28"/>
      <c r="S76" s="28"/>
      <c r="T76" s="28">
        <v>7</v>
      </c>
      <c r="U76" s="28"/>
      <c r="V76" s="28"/>
      <c r="W76" s="28"/>
      <c r="X76" s="28">
        <v>7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28</v>
      </c>
      <c r="BR76" s="1">
        <v>7</v>
      </c>
      <c r="BS76" s="17">
        <v>1</v>
      </c>
      <c r="BT76" s="17" t="s">
        <v>307</v>
      </c>
      <c r="BU76">
        <f>SUM(P76:AD76)</f>
        <v>21</v>
      </c>
      <c r="BV76" s="23">
        <f>AF76+AH76+AI76+AJ76+AO76+AP76</f>
        <v>0</v>
      </c>
    </row>
    <row r="77" spans="1:74">
      <c r="A77" s="1"/>
      <c r="B77" s="1" t="s">
        <v>139</v>
      </c>
      <c r="C77" s="1" t="s">
        <v>94</v>
      </c>
      <c r="D77" s="1" t="s">
        <v>82</v>
      </c>
      <c r="E77" s="6"/>
      <c r="F77" s="6"/>
      <c r="G77" s="6"/>
      <c r="H77" s="6">
        <v>10</v>
      </c>
      <c r="I77" s="6"/>
      <c r="J77" s="6">
        <v>10</v>
      </c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>
        <v>10</v>
      </c>
      <c r="AU77" s="4"/>
      <c r="AV77" s="4"/>
      <c r="AW77" s="2"/>
      <c r="AX77" s="2"/>
      <c r="AY77" s="2">
        <v>10</v>
      </c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40</v>
      </c>
      <c r="BR77" s="1">
        <v>7</v>
      </c>
      <c r="BS77" s="17">
        <v>1</v>
      </c>
      <c r="BT77" s="17" t="s">
        <v>313</v>
      </c>
      <c r="BU77">
        <f>SUM(P77:AD77)</f>
        <v>0</v>
      </c>
      <c r="BV77" s="23">
        <f>AF77+AH77+AI77+AJ77+AO77+AP77</f>
        <v>0</v>
      </c>
    </row>
    <row r="78" spans="1:74">
      <c r="A78" s="18">
        <v>64</v>
      </c>
      <c r="B78" s="24" t="s">
        <v>254</v>
      </c>
      <c r="C78" s="18" t="s">
        <v>43</v>
      </c>
      <c r="D78" s="18" t="s">
        <v>0</v>
      </c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18"/>
      <c r="AF78" s="18"/>
      <c r="AG78" s="18"/>
      <c r="AH78" s="18"/>
      <c r="AI78" s="18"/>
      <c r="AJ78" s="18"/>
      <c r="AK78" s="18"/>
      <c r="AL78" s="18"/>
      <c r="AM78" s="18"/>
      <c r="AN78" s="18">
        <v>15</v>
      </c>
      <c r="AO78" s="18"/>
      <c r="AP78" s="18"/>
      <c r="AQ78" s="20"/>
      <c r="AR78" s="20"/>
      <c r="AS78" s="20"/>
      <c r="AT78" s="20"/>
      <c r="AU78" s="20"/>
      <c r="AV78" s="20"/>
      <c r="AW78" s="21"/>
      <c r="AX78" s="21"/>
      <c r="AY78" s="21"/>
      <c r="AZ78" s="21"/>
      <c r="BA78" s="21"/>
      <c r="BB78" s="21"/>
      <c r="BC78" s="26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>
        <f>SUM(E78:BP78)</f>
        <v>15</v>
      </c>
      <c r="BR78" s="18">
        <v>14</v>
      </c>
      <c r="BS78" s="22">
        <v>1</v>
      </c>
      <c r="BT78" s="22" t="s">
        <v>318</v>
      </c>
      <c r="BU78">
        <f>SUM(P78:AD78)</f>
        <v>0</v>
      </c>
      <c r="BV78" s="23">
        <f>AF78+AH78+AI78+AJ78+AO78+AP78</f>
        <v>0</v>
      </c>
    </row>
    <row r="79" spans="1:74">
      <c r="A79" s="1"/>
      <c r="B79" s="3" t="s">
        <v>248</v>
      </c>
      <c r="C79" s="1" t="s">
        <v>49</v>
      </c>
      <c r="D79" s="1" t="s">
        <v>99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>
        <v>50</v>
      </c>
      <c r="AX79" s="2"/>
      <c r="AY79" s="2"/>
      <c r="AZ79" s="2">
        <v>50</v>
      </c>
      <c r="BA79" s="2"/>
      <c r="BB79" s="2"/>
      <c r="BC79" s="14"/>
      <c r="BD79" s="1"/>
      <c r="BE79" s="1"/>
      <c r="BF79" s="1"/>
      <c r="BG79" s="1"/>
      <c r="BH79" s="1"/>
      <c r="BI79" s="1">
        <v>50</v>
      </c>
      <c r="BJ79" s="1">
        <v>50</v>
      </c>
      <c r="BK79" s="1"/>
      <c r="BL79" s="1"/>
      <c r="BM79" s="1"/>
      <c r="BN79" s="1"/>
      <c r="BO79" s="1"/>
      <c r="BP79" s="1"/>
      <c r="BQ79" s="1">
        <f>SUM(E79:BP79)</f>
        <v>200</v>
      </c>
      <c r="BR79" s="1">
        <v>17</v>
      </c>
      <c r="BS79" s="17">
        <v>1</v>
      </c>
      <c r="BT79" s="17" t="s">
        <v>317</v>
      </c>
      <c r="BU79">
        <f>SUM(P79:AD79)</f>
        <v>0</v>
      </c>
      <c r="BV79" s="23">
        <f>AF79+AH79+AI79+AJ79+AO79+AP79</f>
        <v>0</v>
      </c>
    </row>
    <row r="80" spans="1:74">
      <c r="A80" s="18">
        <v>65</v>
      </c>
      <c r="B80" s="24" t="s">
        <v>255</v>
      </c>
      <c r="C80" s="18" t="s">
        <v>43</v>
      </c>
      <c r="D80" s="18" t="s">
        <v>9</v>
      </c>
      <c r="E80" s="19"/>
      <c r="F80" s="19"/>
      <c r="G80" s="19">
        <v>10</v>
      </c>
      <c r="H80" s="19"/>
      <c r="I80" s="19"/>
      <c r="J80" s="19"/>
      <c r="K80" s="19"/>
      <c r="L80" s="19"/>
      <c r="M80" s="19"/>
      <c r="N80" s="19"/>
      <c r="O80" s="1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18"/>
      <c r="AF80" s="18"/>
      <c r="AG80" s="18"/>
      <c r="AH80" s="18"/>
      <c r="AI80" s="18"/>
      <c r="AJ80" s="18"/>
      <c r="AK80" s="18"/>
      <c r="AL80" s="18"/>
      <c r="AM80" s="18"/>
      <c r="AN80" s="18">
        <v>25</v>
      </c>
      <c r="AO80" s="18"/>
      <c r="AP80" s="18"/>
      <c r="AQ80" s="20"/>
      <c r="AR80" s="20"/>
      <c r="AS80" s="20"/>
      <c r="AT80" s="20"/>
      <c r="AU80" s="20"/>
      <c r="AV80" s="20">
        <v>10</v>
      </c>
      <c r="AW80" s="21"/>
      <c r="AX80" s="21"/>
      <c r="AY80" s="21"/>
      <c r="AZ80" s="21">
        <v>10</v>
      </c>
      <c r="BA80" s="21"/>
      <c r="BB80" s="21"/>
      <c r="BC80" s="26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>
        <f>SUM(E80:BP80)</f>
        <v>55</v>
      </c>
      <c r="BR80" s="18">
        <v>24</v>
      </c>
      <c r="BS80" s="22">
        <v>1</v>
      </c>
      <c r="BT80" s="22" t="s">
        <v>319</v>
      </c>
      <c r="BU80">
        <f>SUM(P80:AD80)</f>
        <v>0</v>
      </c>
      <c r="BV80" s="23">
        <f>AF80+AH80+AI80+AJ80+AO80+AP80</f>
        <v>0</v>
      </c>
    </row>
    <row r="81" spans="1:74">
      <c r="A81" s="1"/>
      <c r="B81" s="1" t="s">
        <v>263</v>
      </c>
      <c r="C81" s="1" t="s">
        <v>24</v>
      </c>
      <c r="D81" s="1" t="s">
        <v>264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>
        <v>40</v>
      </c>
      <c r="AR81" s="4"/>
      <c r="AS81" s="4"/>
      <c r="AT81" s="4"/>
      <c r="AU81" s="4"/>
      <c r="AV81" s="4"/>
      <c r="AW81" s="2">
        <v>40</v>
      </c>
      <c r="AX81" s="2"/>
      <c r="AY81" s="2"/>
      <c r="AZ81" s="2"/>
      <c r="BA81" s="2">
        <v>40</v>
      </c>
      <c r="BB81" s="2"/>
      <c r="BC81" s="14">
        <v>10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130</v>
      </c>
      <c r="BR81" s="1">
        <v>26</v>
      </c>
      <c r="BS81" s="17">
        <v>1</v>
      </c>
      <c r="BT81" s="17" t="s">
        <v>322</v>
      </c>
      <c r="BU81">
        <f>SUM(P81:AD81)</f>
        <v>0</v>
      </c>
      <c r="BV81" s="23">
        <f>AF81+AH81+AI81+AJ81+AO81+AP81</f>
        <v>0</v>
      </c>
    </row>
    <row r="82" spans="1:74">
      <c r="A82" s="1">
        <v>23</v>
      </c>
      <c r="B82" s="1" t="s">
        <v>78</v>
      </c>
      <c r="C82" s="1" t="s">
        <v>24</v>
      </c>
      <c r="D82" s="1" t="s">
        <v>29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>
        <v>50</v>
      </c>
      <c r="BL82" s="1">
        <v>50</v>
      </c>
      <c r="BM82" s="1"/>
      <c r="BN82" s="1"/>
      <c r="BO82" s="1">
        <v>50</v>
      </c>
      <c r="BP82" s="1">
        <v>50</v>
      </c>
      <c r="BQ82" s="1">
        <f>SUM(E82:BP82)</f>
        <v>200</v>
      </c>
      <c r="BR82" s="1">
        <v>29</v>
      </c>
      <c r="BS82" s="17">
        <v>1</v>
      </c>
      <c r="BT82" s="17" t="s">
        <v>320</v>
      </c>
      <c r="BU82">
        <f>SUM(P82:AD82)</f>
        <v>0</v>
      </c>
      <c r="BV82" s="23">
        <f>AF82+AH82+AI82+AJ82+AO82+AP82</f>
        <v>0</v>
      </c>
    </row>
    <row r="83" spans="1:74">
      <c r="A83" s="1"/>
      <c r="B83" s="1" t="s">
        <v>135</v>
      </c>
      <c r="C83" s="1" t="s">
        <v>91</v>
      </c>
      <c r="D83" s="1" t="s">
        <v>92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>
        <v>50</v>
      </c>
      <c r="BL83" s="1">
        <v>50</v>
      </c>
      <c r="BM83" s="1"/>
      <c r="BN83" s="1"/>
      <c r="BO83" s="1">
        <v>50</v>
      </c>
      <c r="BP83" s="1">
        <v>50</v>
      </c>
      <c r="BQ83" s="1">
        <f>SUM(E83:BP83)</f>
        <v>200</v>
      </c>
      <c r="BR83" s="1">
        <v>29</v>
      </c>
      <c r="BS83" s="17">
        <v>1</v>
      </c>
      <c r="BT83" s="17" t="s">
        <v>320</v>
      </c>
      <c r="BU83">
        <f>SUM(P83:AD83)</f>
        <v>0</v>
      </c>
      <c r="BV83" s="23">
        <f>AF83+AH83+AI83+AJ83+AO83+AP83</f>
        <v>0</v>
      </c>
    </row>
    <row r="84" spans="1:74">
      <c r="A84" s="1"/>
      <c r="B84" s="1" t="s">
        <v>133</v>
      </c>
      <c r="C84" s="1" t="s">
        <v>122</v>
      </c>
      <c r="D84" s="1" t="s">
        <v>29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>
        <v>50</v>
      </c>
      <c r="BL84" s="1">
        <v>50</v>
      </c>
      <c r="BM84" s="1"/>
      <c r="BN84" s="1"/>
      <c r="BO84" s="1">
        <v>50</v>
      </c>
      <c r="BP84" s="1">
        <v>50</v>
      </c>
      <c r="BQ84" s="1">
        <f>SUM(E84:BP84)</f>
        <v>200</v>
      </c>
      <c r="BR84" s="1">
        <v>29</v>
      </c>
      <c r="BS84" s="17">
        <v>1</v>
      </c>
      <c r="BT84" s="17" t="s">
        <v>320</v>
      </c>
      <c r="BU84">
        <f>SUM(P84:AD84)</f>
        <v>0</v>
      </c>
      <c r="BV84" s="23">
        <f>AF84+AH84+AI84+AJ84+AO84+AP84</f>
        <v>0</v>
      </c>
    </row>
    <row r="85" spans="1:74">
      <c r="A85" s="1">
        <v>102</v>
      </c>
      <c r="B85" s="3" t="s">
        <v>158</v>
      </c>
      <c r="C85" s="3" t="s">
        <v>51</v>
      </c>
      <c r="D85" s="1" t="s">
        <v>29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>
        <v>50</v>
      </c>
      <c r="BL85" s="1">
        <v>50</v>
      </c>
      <c r="BM85" s="1"/>
      <c r="BN85" s="1"/>
      <c r="BO85" s="1">
        <v>50</v>
      </c>
      <c r="BP85" s="1">
        <v>50</v>
      </c>
      <c r="BQ85" s="1">
        <f>SUM(E85:BP85)</f>
        <v>200</v>
      </c>
      <c r="BR85" s="1">
        <v>29</v>
      </c>
      <c r="BS85" s="17">
        <v>1</v>
      </c>
      <c r="BT85" s="17" t="s">
        <v>321</v>
      </c>
      <c r="BU85">
        <f>SUM(P85:AD85)</f>
        <v>0</v>
      </c>
      <c r="BV85" s="23">
        <f>AF85+AH85+AI85+AJ85+AO85+AP85</f>
        <v>0</v>
      </c>
    </row>
    <row r="86" spans="1:74">
      <c r="A86" s="1">
        <v>85</v>
      </c>
      <c r="B86" s="3" t="s">
        <v>234</v>
      </c>
      <c r="C86" s="3" t="s">
        <v>49</v>
      </c>
      <c r="D86" s="1" t="s">
        <v>29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>
        <v>50</v>
      </c>
      <c r="BN86" s="1">
        <v>50</v>
      </c>
      <c r="BO86" s="1">
        <v>50</v>
      </c>
      <c r="BP86" s="1">
        <v>50</v>
      </c>
      <c r="BQ86" s="1">
        <f>SUM(E86:BP86)</f>
        <v>200</v>
      </c>
      <c r="BR86" s="1">
        <v>29</v>
      </c>
      <c r="BS86" s="17">
        <v>1</v>
      </c>
      <c r="BT86" s="17" t="s">
        <v>321</v>
      </c>
      <c r="BU86">
        <f>SUM(P86:AD86)</f>
        <v>0</v>
      </c>
      <c r="BV86" s="23">
        <f>AF86+AH86+AI86+AJ86+AO86+AP86</f>
        <v>0</v>
      </c>
    </row>
    <row r="87" spans="1:74">
      <c r="A87" s="1"/>
      <c r="B87" s="1" t="s">
        <v>140</v>
      </c>
      <c r="C87" s="1" t="s">
        <v>94</v>
      </c>
      <c r="D87" s="1" t="s">
        <v>92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>
        <v>50</v>
      </c>
      <c r="BN87" s="1">
        <v>50</v>
      </c>
      <c r="BO87" s="1">
        <v>50</v>
      </c>
      <c r="BP87" s="1">
        <v>50</v>
      </c>
      <c r="BQ87" s="1">
        <f>SUM(E87:BP87)</f>
        <v>200</v>
      </c>
      <c r="BR87" s="1">
        <v>29</v>
      </c>
      <c r="BS87" s="17">
        <v>1</v>
      </c>
      <c r="BT87" s="17" t="s">
        <v>320</v>
      </c>
      <c r="BU87">
        <f>SUM(P87:AD87)</f>
        <v>0</v>
      </c>
      <c r="BV87" s="23">
        <f>AF87+AH87+AI87+AJ87+AO87+AP87</f>
        <v>0</v>
      </c>
    </row>
    <row r="88" spans="1:74">
      <c r="A88" s="1"/>
      <c r="B88" s="1" t="s">
        <v>157</v>
      </c>
      <c r="C88" s="1" t="s">
        <v>94</v>
      </c>
      <c r="D88" s="1" t="s">
        <v>92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>
        <v>50</v>
      </c>
      <c r="BN88" s="1">
        <v>50</v>
      </c>
      <c r="BO88" s="1">
        <v>50</v>
      </c>
      <c r="BP88" s="1">
        <v>50</v>
      </c>
      <c r="BQ88" s="1">
        <f>SUM(E88:BP88)</f>
        <v>200</v>
      </c>
      <c r="BR88" s="1">
        <v>29</v>
      </c>
      <c r="BS88" s="17">
        <v>1</v>
      </c>
      <c r="BT88" s="17" t="s">
        <v>320</v>
      </c>
      <c r="BU88">
        <f>SUM(P88:AD88)</f>
        <v>0</v>
      </c>
      <c r="BV88" s="23">
        <f>AF88+AH88+AI88+AJ88+AO88+AP88</f>
        <v>0</v>
      </c>
    </row>
    <row r="89" spans="1:74">
      <c r="A89" s="1">
        <v>98</v>
      </c>
      <c r="B89" s="3" t="s">
        <v>130</v>
      </c>
      <c r="C89" s="3" t="s">
        <v>51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>
        <v>50</v>
      </c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50</v>
      </c>
      <c r="BR89" s="1">
        <v>29</v>
      </c>
      <c r="BS89" s="17">
        <v>1</v>
      </c>
      <c r="BT89" s="17" t="s">
        <v>323</v>
      </c>
      <c r="BU89">
        <f>SUM(P89:AD89)</f>
        <v>0</v>
      </c>
      <c r="BV89" s="23">
        <f>AF89+AH89+AI89+AJ89+AO89+AP89</f>
        <v>0</v>
      </c>
    </row>
    <row r="90" spans="1:74">
      <c r="A90" s="1">
        <v>99</v>
      </c>
      <c r="B90" s="3" t="s">
        <v>130</v>
      </c>
      <c r="C90" s="3" t="s">
        <v>51</v>
      </c>
      <c r="D90" s="1" t="s">
        <v>9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>
        <v>200</v>
      </c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200</v>
      </c>
      <c r="BR90" s="1">
        <v>179</v>
      </c>
      <c r="BS90" s="17">
        <v>1</v>
      </c>
      <c r="BT90" s="17" t="s">
        <v>324</v>
      </c>
      <c r="BU90">
        <f>SUM(P90:AD90)</f>
        <v>0</v>
      </c>
      <c r="BV90" s="23">
        <f>AF90+AH90+AI90+AJ90+AO90+AP90</f>
        <v>0</v>
      </c>
    </row>
    <row r="91" spans="1:74" ht="27">
      <c r="A91" s="1"/>
      <c r="B91" s="1" t="s">
        <v>219</v>
      </c>
      <c r="C91" s="1" t="s">
        <v>49</v>
      </c>
      <c r="D91" s="1" t="s">
        <v>217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2</v>
      </c>
      <c r="V91" s="28"/>
      <c r="W91" s="28">
        <v>5</v>
      </c>
      <c r="X91" s="28"/>
      <c r="Y91" s="28"/>
      <c r="Z91" s="28"/>
      <c r="AA91" s="28">
        <v>2</v>
      </c>
      <c r="AB91" s="28"/>
      <c r="AC91" s="28"/>
      <c r="AD91" s="28">
        <v>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11</v>
      </c>
      <c r="BR91" s="1">
        <v>3</v>
      </c>
      <c r="BS91" s="17">
        <v>2</v>
      </c>
      <c r="BT91" s="17" t="s">
        <v>327</v>
      </c>
      <c r="BU91">
        <f>SUM(P91:AD91)</f>
        <v>11</v>
      </c>
      <c r="BV91" s="23">
        <f>AF91+AH91+AI91+AJ91+AO91+AP91</f>
        <v>0</v>
      </c>
    </row>
    <row r="92" spans="1:74" ht="27">
      <c r="A92" s="1"/>
      <c r="B92" s="1" t="s">
        <v>279</v>
      </c>
      <c r="C92" s="1" t="s">
        <v>253</v>
      </c>
      <c r="D92" s="1" t="s">
        <v>81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2</v>
      </c>
      <c r="V92" s="28"/>
      <c r="W92" s="28"/>
      <c r="X92" s="28"/>
      <c r="Y92" s="28"/>
      <c r="Z92" s="28"/>
      <c r="AA92" s="28">
        <v>2</v>
      </c>
      <c r="AB92" s="28"/>
      <c r="AC92" s="28">
        <v>5</v>
      </c>
      <c r="AD92" s="28">
        <v>2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11</v>
      </c>
      <c r="BR92" s="1">
        <v>3</v>
      </c>
      <c r="BS92" s="17">
        <v>2</v>
      </c>
      <c r="BT92" s="17" t="s">
        <v>327</v>
      </c>
      <c r="BU92">
        <f>SUM(P92:AD92)</f>
        <v>11</v>
      </c>
      <c r="BV92" s="23">
        <f>AF92+AH92+AI92+AJ92+AO92+AP92</f>
        <v>0</v>
      </c>
    </row>
    <row r="93" spans="1:74" ht="27">
      <c r="A93" s="1"/>
      <c r="B93" s="3" t="s">
        <v>181</v>
      </c>
      <c r="C93" s="3" t="s">
        <v>49</v>
      </c>
      <c r="D93" s="1" t="s">
        <v>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>
        <v>2</v>
      </c>
      <c r="S93" s="28"/>
      <c r="T93" s="28"/>
      <c r="U93" s="28">
        <v>2</v>
      </c>
      <c r="V93" s="28"/>
      <c r="W93" s="28"/>
      <c r="X93" s="28">
        <v>2</v>
      </c>
      <c r="Y93" s="28"/>
      <c r="Z93" s="28">
        <v>5</v>
      </c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11</v>
      </c>
      <c r="BR93" s="1">
        <v>4</v>
      </c>
      <c r="BS93" s="17">
        <v>2</v>
      </c>
      <c r="BT93" s="17" t="s">
        <v>290</v>
      </c>
      <c r="BU93">
        <f>SUM(P93:AD93)</f>
        <v>11</v>
      </c>
      <c r="BV93" s="23">
        <f>AF93+AH93+AI93+AJ93+AO93+AP93</f>
        <v>0</v>
      </c>
    </row>
    <row r="94" spans="1:74" ht="27">
      <c r="A94" s="1"/>
      <c r="B94" s="1" t="s">
        <v>250</v>
      </c>
      <c r="C94" s="1" t="s">
        <v>96</v>
      </c>
      <c r="D94" s="1" t="s">
        <v>81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>
        <v>2</v>
      </c>
      <c r="S94" s="28"/>
      <c r="T94" s="28"/>
      <c r="U94" s="28">
        <v>2</v>
      </c>
      <c r="V94" s="28"/>
      <c r="W94" s="28"/>
      <c r="X94" s="28">
        <v>2</v>
      </c>
      <c r="Y94" s="28"/>
      <c r="Z94" s="28">
        <v>5</v>
      </c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11</v>
      </c>
      <c r="BR94" s="1">
        <v>4</v>
      </c>
      <c r="BS94" s="17">
        <v>2</v>
      </c>
      <c r="BT94" s="17" t="s">
        <v>290</v>
      </c>
      <c r="BU94">
        <f>SUM(P94:AD94)</f>
        <v>11</v>
      </c>
      <c r="BV94" s="23">
        <f>AF94+AH94+AI94+AJ94+AO94+AP94</f>
        <v>0</v>
      </c>
    </row>
    <row r="95" spans="1:74" ht="27">
      <c r="A95" s="1"/>
      <c r="B95" s="3" t="s">
        <v>280</v>
      </c>
      <c r="C95" s="3" t="s">
        <v>245</v>
      </c>
      <c r="D95" s="1" t="s">
        <v>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>
        <v>2</v>
      </c>
      <c r="S95" s="28"/>
      <c r="T95" s="28"/>
      <c r="U95" s="28">
        <v>2</v>
      </c>
      <c r="V95" s="28"/>
      <c r="W95" s="28"/>
      <c r="X95" s="28"/>
      <c r="Y95" s="28"/>
      <c r="Z95" s="28"/>
      <c r="AA95" s="28"/>
      <c r="AB95" s="28"/>
      <c r="AC95" s="28">
        <v>5</v>
      </c>
      <c r="AD95" s="28">
        <v>2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11</v>
      </c>
      <c r="BR95" s="1">
        <v>4</v>
      </c>
      <c r="BS95" s="17">
        <v>2</v>
      </c>
      <c r="BT95" s="17" t="s">
        <v>298</v>
      </c>
      <c r="BU95">
        <f>SUM(P95:AD95)</f>
        <v>11</v>
      </c>
      <c r="BV95" s="23">
        <f>AF95+AH95+AI95+AJ95+AO95+AP95</f>
        <v>0</v>
      </c>
    </row>
    <row r="96" spans="1:74" ht="27">
      <c r="A96" s="1"/>
      <c r="B96" s="1" t="s">
        <v>90</v>
      </c>
      <c r="C96" s="1" t="s">
        <v>83</v>
      </c>
      <c r="D96" s="1" t="s">
        <v>81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>
        <v>5</v>
      </c>
      <c r="AP96" s="1">
        <v>1</v>
      </c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6</v>
      </c>
      <c r="BR96" s="1">
        <v>6</v>
      </c>
      <c r="BS96" s="17">
        <v>2</v>
      </c>
      <c r="BT96" s="17" t="s">
        <v>329</v>
      </c>
      <c r="BU96">
        <f>SUM(P96:AD96)</f>
        <v>0</v>
      </c>
      <c r="BV96" s="23">
        <f>AF96+AH96+AI96+AJ96+AO96+AP96</f>
        <v>6</v>
      </c>
    </row>
    <row r="97" spans="1:74" ht="27">
      <c r="A97" s="1"/>
      <c r="B97" s="1" t="s">
        <v>159</v>
      </c>
      <c r="C97" s="1" t="s">
        <v>24</v>
      </c>
      <c r="D97" s="1" t="s">
        <v>19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>
        <v>5</v>
      </c>
      <c r="AP97" s="1">
        <v>1</v>
      </c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6</v>
      </c>
      <c r="BR97" s="1">
        <v>6</v>
      </c>
      <c r="BS97" s="17">
        <v>2</v>
      </c>
      <c r="BT97" s="17" t="s">
        <v>330</v>
      </c>
      <c r="BU97">
        <f>SUM(P97:AD97)</f>
        <v>0</v>
      </c>
      <c r="BV97" s="23">
        <f>AF97+AH97+AI97+AJ97+AO97+AP97</f>
        <v>6</v>
      </c>
    </row>
    <row r="98" spans="1:74" ht="27">
      <c r="A98" s="1"/>
      <c r="B98" s="1" t="s">
        <v>86</v>
      </c>
      <c r="C98" s="1" t="s">
        <v>83</v>
      </c>
      <c r="D98" s="1" t="s">
        <v>87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>
        <v>3</v>
      </c>
      <c r="AP98" s="1">
        <v>5</v>
      </c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8</v>
      </c>
      <c r="BR98" s="1">
        <v>8</v>
      </c>
      <c r="BS98" s="17">
        <v>2</v>
      </c>
      <c r="BT98" s="17" t="s">
        <v>331</v>
      </c>
      <c r="BU98">
        <f>SUM(P98:AD98)</f>
        <v>0</v>
      </c>
      <c r="BV98" s="23">
        <f>AF98+AH98+AI98+AJ98+AO98+AP98</f>
        <v>8</v>
      </c>
    </row>
    <row r="99" spans="1:74" ht="27">
      <c r="A99" s="49"/>
      <c r="B99" s="49" t="s">
        <v>132</v>
      </c>
      <c r="C99" s="49" t="s">
        <v>91</v>
      </c>
      <c r="D99" s="49" t="s">
        <v>81</v>
      </c>
      <c r="E99" s="50">
        <v>15</v>
      </c>
      <c r="F99" s="50"/>
      <c r="G99" s="50">
        <v>15</v>
      </c>
      <c r="H99" s="50"/>
      <c r="I99" s="50"/>
      <c r="J99" s="50"/>
      <c r="K99" s="50"/>
      <c r="L99" s="50"/>
      <c r="M99" s="50"/>
      <c r="N99" s="50"/>
      <c r="O99" s="50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49"/>
      <c r="AF99" s="49"/>
      <c r="AG99" s="49"/>
      <c r="AH99" s="49"/>
      <c r="AI99" s="49"/>
      <c r="AJ99" s="49"/>
      <c r="AK99" s="49"/>
      <c r="AL99" s="49"/>
      <c r="AM99" s="49"/>
      <c r="AN99" s="49"/>
      <c r="AO99" s="49"/>
      <c r="AP99" s="49"/>
      <c r="AQ99" s="52"/>
      <c r="AR99" s="52">
        <v>15</v>
      </c>
      <c r="AS99" s="52"/>
      <c r="AT99" s="52"/>
      <c r="AU99" s="52"/>
      <c r="AV99" s="52"/>
      <c r="AW99" s="53"/>
      <c r="AX99" s="53"/>
      <c r="AY99" s="53"/>
      <c r="AZ99" s="53"/>
      <c r="BA99" s="53"/>
      <c r="BB99" s="53">
        <v>15</v>
      </c>
      <c r="BC99" s="54"/>
      <c r="BD99" s="49"/>
      <c r="BE99" s="49"/>
      <c r="BF99" s="49"/>
      <c r="BG99" s="49"/>
      <c r="BH99" s="49"/>
      <c r="BI99" s="49"/>
      <c r="BJ99" s="49"/>
      <c r="BK99" s="49"/>
      <c r="BL99" s="49"/>
      <c r="BM99" s="49"/>
      <c r="BN99" s="49"/>
      <c r="BO99" s="49"/>
      <c r="BP99" s="49"/>
      <c r="BQ99" s="49">
        <f>SUM(E99:BP99)</f>
        <v>60</v>
      </c>
      <c r="BR99" s="49">
        <v>9</v>
      </c>
      <c r="BS99" s="55">
        <v>2</v>
      </c>
      <c r="BT99" s="55" t="s">
        <v>332</v>
      </c>
      <c r="BU99">
        <f>SUM(P99:AD99)</f>
        <v>0</v>
      </c>
      <c r="BV99" s="23">
        <f>AF99+AH99+AI99+AJ99+AO99+AP99</f>
        <v>0</v>
      </c>
    </row>
    <row r="100" spans="1:74" ht="27">
      <c r="A100" s="1">
        <v>27</v>
      </c>
      <c r="B100" s="1" t="s">
        <v>56</v>
      </c>
      <c r="C100" s="1" t="s">
        <v>24</v>
      </c>
      <c r="D100" s="1" t="s">
        <v>18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>
        <v>5</v>
      </c>
      <c r="AI100" s="1">
        <v>5</v>
      </c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10</v>
      </c>
      <c r="BR100" s="1">
        <v>10</v>
      </c>
      <c r="BS100" s="17">
        <v>2</v>
      </c>
      <c r="BT100" s="17" t="s">
        <v>273</v>
      </c>
      <c r="BU100">
        <f>SUM(P100:AD100)</f>
        <v>0</v>
      </c>
      <c r="BV100" s="23">
        <f>AF100+AH100+AI100+AJ100+AO100+AP100</f>
        <v>10</v>
      </c>
    </row>
    <row r="101" spans="1:74" ht="27">
      <c r="A101" s="1">
        <v>88</v>
      </c>
      <c r="B101" s="3" t="s">
        <v>61</v>
      </c>
      <c r="C101" s="3" t="s">
        <v>62</v>
      </c>
      <c r="D101" s="1" t="s">
        <v>18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>
        <v>5</v>
      </c>
      <c r="AI101" s="1">
        <v>5</v>
      </c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10</v>
      </c>
      <c r="BR101" s="1">
        <v>10</v>
      </c>
      <c r="BS101" s="17">
        <v>2</v>
      </c>
      <c r="BT101" s="17" t="s">
        <v>273</v>
      </c>
      <c r="BU101">
        <f>SUM(P101:AD101)</f>
        <v>0</v>
      </c>
      <c r="BV101" s="23">
        <f>AF101+AH101+AI101+AJ101+AO101+AP101</f>
        <v>10</v>
      </c>
    </row>
    <row r="102" spans="1:74" ht="27">
      <c r="A102" s="1"/>
      <c r="B102" s="3" t="s">
        <v>276</v>
      </c>
      <c r="C102" s="3" t="s">
        <v>187</v>
      </c>
      <c r="D102" s="1" t="s">
        <v>183</v>
      </c>
      <c r="E102" s="6"/>
      <c r="F102" s="6"/>
      <c r="G102" s="6"/>
      <c r="H102" s="6"/>
      <c r="I102" s="6"/>
      <c r="J102" s="6"/>
      <c r="K102" s="6">
        <v>10</v>
      </c>
      <c r="L102" s="6"/>
      <c r="M102" s="6"/>
      <c r="N102" s="6"/>
      <c r="O102" s="6"/>
      <c r="P102" s="28"/>
      <c r="Q102" s="28"/>
      <c r="R102" s="28"/>
      <c r="S102" s="28"/>
      <c r="T102" s="28"/>
      <c r="U102" s="28">
        <v>10</v>
      </c>
      <c r="V102" s="28"/>
      <c r="W102" s="28"/>
      <c r="X102" s="28"/>
      <c r="Y102" s="28"/>
      <c r="Z102" s="28"/>
      <c r="AA102" s="28">
        <v>10</v>
      </c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40</v>
      </c>
      <c r="BR102" s="1">
        <v>13</v>
      </c>
      <c r="BS102" s="17">
        <v>2</v>
      </c>
      <c r="BT102" s="17" t="s">
        <v>334</v>
      </c>
      <c r="BU102">
        <f>SUM(P102:AD102)</f>
        <v>20</v>
      </c>
      <c r="BV102" s="23">
        <f>AF102+AH102+AI102+AJ102+AO102+AP102</f>
        <v>0</v>
      </c>
    </row>
    <row r="103" spans="1:74" ht="27">
      <c r="A103" s="1"/>
      <c r="B103" s="1" t="s">
        <v>120</v>
      </c>
      <c r="C103" s="1" t="s">
        <v>121</v>
      </c>
      <c r="D103" s="1" t="s">
        <v>99</v>
      </c>
      <c r="E103" s="6"/>
      <c r="F103" s="6"/>
      <c r="G103" s="6"/>
      <c r="H103" s="6"/>
      <c r="I103" s="6"/>
      <c r="J103" s="6">
        <v>10</v>
      </c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>
        <v>10</v>
      </c>
      <c r="V103" s="28"/>
      <c r="W103" s="28"/>
      <c r="X103" s="28"/>
      <c r="Y103" s="28"/>
      <c r="Z103" s="28"/>
      <c r="AA103" s="28">
        <v>10</v>
      </c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>
        <v>10</v>
      </c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40</v>
      </c>
      <c r="BR103" s="1">
        <v>13</v>
      </c>
      <c r="BS103" s="17">
        <v>2</v>
      </c>
      <c r="BT103" s="17" t="s">
        <v>334</v>
      </c>
      <c r="BU103">
        <f>SUM(P103:AD103)</f>
        <v>20</v>
      </c>
      <c r="BV103" s="23">
        <f>AF103+AH103+AI103+AJ103+AO103+AP103</f>
        <v>0</v>
      </c>
    </row>
    <row r="104" spans="1:74" ht="27">
      <c r="A104" s="1"/>
      <c r="B104" s="1" t="s">
        <v>127</v>
      </c>
      <c r="C104" s="1" t="s">
        <v>123</v>
      </c>
      <c r="D104" s="1" t="s">
        <v>99</v>
      </c>
      <c r="E104" s="6"/>
      <c r="F104" s="6"/>
      <c r="G104" s="6"/>
      <c r="H104" s="6"/>
      <c r="I104" s="6"/>
      <c r="J104" s="6">
        <v>10</v>
      </c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>
        <v>10</v>
      </c>
      <c r="V104" s="28"/>
      <c r="W104" s="28"/>
      <c r="X104" s="28"/>
      <c r="Y104" s="28"/>
      <c r="Z104" s="28"/>
      <c r="AA104" s="28">
        <v>10</v>
      </c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>
        <v>10</v>
      </c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40</v>
      </c>
      <c r="BR104" s="1">
        <v>13</v>
      </c>
      <c r="BS104" s="17">
        <v>2</v>
      </c>
      <c r="BT104" s="17" t="s">
        <v>334</v>
      </c>
      <c r="BU104">
        <f>SUM(P104:AD104)</f>
        <v>20</v>
      </c>
      <c r="BV104" s="23">
        <f>AF104+AH104+AI104+AJ104+AO104+AP104</f>
        <v>0</v>
      </c>
    </row>
    <row r="105" spans="1:74" ht="27">
      <c r="A105" s="1"/>
      <c r="B105" s="3" t="s">
        <v>184</v>
      </c>
      <c r="C105" s="3" t="s">
        <v>49</v>
      </c>
      <c r="D105" s="1" t="s">
        <v>183</v>
      </c>
      <c r="E105" s="6"/>
      <c r="F105" s="6"/>
      <c r="G105" s="6"/>
      <c r="H105" s="6"/>
      <c r="I105" s="6"/>
      <c r="J105" s="6">
        <v>10</v>
      </c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>
        <v>10</v>
      </c>
      <c r="V105" s="28"/>
      <c r="W105" s="28"/>
      <c r="X105" s="28"/>
      <c r="Y105" s="28"/>
      <c r="Z105" s="28"/>
      <c r="AA105" s="28">
        <v>10</v>
      </c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>
        <v>10</v>
      </c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40</v>
      </c>
      <c r="BR105" s="1">
        <v>13</v>
      </c>
      <c r="BS105" s="17">
        <v>2</v>
      </c>
      <c r="BT105" s="17" t="s">
        <v>334</v>
      </c>
      <c r="BU105">
        <f>SUM(P105:AD105)</f>
        <v>20</v>
      </c>
      <c r="BV105" s="23">
        <f>AF105+AH105+AI105+AJ105+AO105+AP105</f>
        <v>0</v>
      </c>
    </row>
    <row r="106" spans="1:74" s="67" customFormat="1" ht="27">
      <c r="A106" s="1"/>
      <c r="B106" s="1" t="s">
        <v>286</v>
      </c>
      <c r="C106" s="1" t="s">
        <v>114</v>
      </c>
      <c r="D106" s="1" t="s">
        <v>218</v>
      </c>
      <c r="E106" s="6"/>
      <c r="F106" s="6"/>
      <c r="G106" s="6"/>
      <c r="H106" s="6"/>
      <c r="I106" s="6"/>
      <c r="J106" s="6">
        <v>10</v>
      </c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>
        <v>10</v>
      </c>
      <c r="V106" s="28"/>
      <c r="W106" s="28"/>
      <c r="X106" s="28"/>
      <c r="Y106" s="28"/>
      <c r="Z106" s="28"/>
      <c r="AA106" s="28">
        <v>10</v>
      </c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10</v>
      </c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40</v>
      </c>
      <c r="BR106" s="1">
        <v>13</v>
      </c>
      <c r="BS106" s="17">
        <v>2</v>
      </c>
      <c r="BT106" s="17" t="s">
        <v>335</v>
      </c>
      <c r="BU106">
        <f>SUM(P106:AD106)</f>
        <v>20</v>
      </c>
      <c r="BV106" s="23">
        <f>AF106+AH106+AI106+AJ106+AO106+AP106</f>
        <v>0</v>
      </c>
    </row>
    <row r="107" spans="1:74" s="67" customFormat="1" ht="27">
      <c r="A107" s="1"/>
      <c r="B107" s="1" t="s">
        <v>226</v>
      </c>
      <c r="C107" s="1" t="s">
        <v>36</v>
      </c>
      <c r="D107" s="1" t="s">
        <v>225</v>
      </c>
      <c r="E107" s="6"/>
      <c r="F107" s="6"/>
      <c r="G107" s="6"/>
      <c r="H107" s="6"/>
      <c r="I107" s="6"/>
      <c r="J107" s="6">
        <v>10</v>
      </c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>
        <v>10</v>
      </c>
      <c r="V107" s="28"/>
      <c r="W107" s="28"/>
      <c r="X107" s="28"/>
      <c r="Y107" s="28"/>
      <c r="Z107" s="28"/>
      <c r="AA107" s="28">
        <v>10</v>
      </c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>
        <v>10</v>
      </c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40</v>
      </c>
      <c r="BR107" s="1">
        <v>13</v>
      </c>
      <c r="BS107" s="17">
        <v>2</v>
      </c>
      <c r="BT107" s="17" t="s">
        <v>335</v>
      </c>
      <c r="BU107">
        <f>SUM(P107:AD107)</f>
        <v>20</v>
      </c>
      <c r="BV107" s="23">
        <f>AF107+AH107+AI107+AJ107+AO107+AP107</f>
        <v>0</v>
      </c>
    </row>
    <row r="108" spans="1:74" s="67" customFormat="1" ht="27">
      <c r="A108" s="1">
        <v>54</v>
      </c>
      <c r="B108" s="1" t="s">
        <v>42</v>
      </c>
      <c r="C108" s="1" t="s">
        <v>43</v>
      </c>
      <c r="D108" s="1" t="s">
        <v>0</v>
      </c>
      <c r="E108" s="6"/>
      <c r="F108" s="6">
        <v>15</v>
      </c>
      <c r="G108" s="6"/>
      <c r="H108" s="6">
        <v>15</v>
      </c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>
        <v>15</v>
      </c>
      <c r="AW108" s="2"/>
      <c r="AX108" s="2"/>
      <c r="AY108" s="2"/>
      <c r="AZ108" s="2"/>
      <c r="BA108" s="2">
        <v>15</v>
      </c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60</v>
      </c>
      <c r="BR108" s="1">
        <v>13</v>
      </c>
      <c r="BS108" s="17">
        <v>2</v>
      </c>
      <c r="BT108" s="17" t="s">
        <v>339</v>
      </c>
      <c r="BU108">
        <f>SUM(P108:AD108)</f>
        <v>0</v>
      </c>
      <c r="BV108" s="23">
        <f>AF108+AH108+AI108+AJ108+AO108+AP108</f>
        <v>0</v>
      </c>
    </row>
    <row r="109" spans="1:74" s="67" customFormat="1" ht="27">
      <c r="A109" s="1"/>
      <c r="B109" s="1" t="s">
        <v>270</v>
      </c>
      <c r="C109" s="1" t="s">
        <v>51</v>
      </c>
      <c r="D109" s="1" t="s">
        <v>218</v>
      </c>
      <c r="E109" s="6"/>
      <c r="F109" s="6"/>
      <c r="G109" s="6"/>
      <c r="H109" s="6"/>
      <c r="I109" s="6"/>
      <c r="J109" s="6"/>
      <c r="K109" s="6"/>
      <c r="L109" s="6">
        <v>10</v>
      </c>
      <c r="M109" s="6"/>
      <c r="N109" s="6"/>
      <c r="O109" s="6"/>
      <c r="P109" s="28"/>
      <c r="Q109" s="28"/>
      <c r="R109" s="28">
        <v>10</v>
      </c>
      <c r="S109" s="28"/>
      <c r="T109" s="28"/>
      <c r="U109" s="28">
        <v>10</v>
      </c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40</v>
      </c>
      <c r="BR109" s="1">
        <v>14</v>
      </c>
      <c r="BS109" s="17">
        <v>2</v>
      </c>
      <c r="BT109" s="17" t="s">
        <v>304</v>
      </c>
      <c r="BU109">
        <f>SUM(P109:AD109)</f>
        <v>20</v>
      </c>
      <c r="BV109" s="23">
        <f>AF109+AH109+AI109+AJ109+AO109+AP109</f>
        <v>0</v>
      </c>
    </row>
    <row r="110" spans="1:74" s="67" customFormat="1" ht="27">
      <c r="A110" s="1"/>
      <c r="B110" s="1" t="s">
        <v>268</v>
      </c>
      <c r="C110" s="1" t="s">
        <v>51</v>
      </c>
      <c r="D110" s="1" t="s">
        <v>225</v>
      </c>
      <c r="E110" s="6"/>
      <c r="F110" s="6"/>
      <c r="G110" s="6"/>
      <c r="H110" s="6"/>
      <c r="I110" s="6"/>
      <c r="J110" s="6"/>
      <c r="K110" s="6"/>
      <c r="L110" s="6">
        <v>10</v>
      </c>
      <c r="M110" s="6"/>
      <c r="N110" s="6"/>
      <c r="O110" s="6"/>
      <c r="P110" s="28"/>
      <c r="Q110" s="28"/>
      <c r="R110" s="28">
        <v>10</v>
      </c>
      <c r="S110" s="28"/>
      <c r="T110" s="28"/>
      <c r="U110" s="28">
        <v>10</v>
      </c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>
        <v>10</v>
      </c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40</v>
      </c>
      <c r="BR110" s="1">
        <v>14</v>
      </c>
      <c r="BS110" s="17">
        <v>2</v>
      </c>
      <c r="BT110" s="17" t="s">
        <v>305</v>
      </c>
      <c r="BU110">
        <f>SUM(P110:AD110)</f>
        <v>20</v>
      </c>
      <c r="BV110" s="23">
        <f>AF110+AH110+AI110+AJ110+AO110+AP110</f>
        <v>0</v>
      </c>
    </row>
    <row r="111" spans="1:74" s="67" customFormat="1" ht="27">
      <c r="A111" s="1"/>
      <c r="B111" s="1" t="s">
        <v>86</v>
      </c>
      <c r="C111" s="1" t="s">
        <v>83</v>
      </c>
      <c r="D111" s="1" t="s">
        <v>81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>
        <v>5</v>
      </c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>
        <v>5</v>
      </c>
      <c r="AP111" s="1">
        <v>10</v>
      </c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20</v>
      </c>
      <c r="BR111" s="1">
        <v>15</v>
      </c>
      <c r="BS111" s="17">
        <v>2</v>
      </c>
      <c r="BT111" s="17" t="s">
        <v>274</v>
      </c>
      <c r="BU111">
        <f>SUM(P111:AD111)</f>
        <v>0</v>
      </c>
      <c r="BV111" s="23">
        <f>AF111+AH111+AI111+AJ111+AO111+AP111</f>
        <v>15</v>
      </c>
    </row>
    <row r="112" spans="1:74" s="67" customFormat="1" ht="27">
      <c r="A112" s="1"/>
      <c r="B112" s="1" t="s">
        <v>262</v>
      </c>
      <c r="C112" s="1" t="s">
        <v>24</v>
      </c>
      <c r="D112" s="1" t="s">
        <v>0</v>
      </c>
      <c r="E112" s="6"/>
      <c r="F112" s="6"/>
      <c r="G112" s="6">
        <v>15</v>
      </c>
      <c r="H112" s="6">
        <v>15</v>
      </c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>
        <v>15</v>
      </c>
      <c r="AT112" s="4"/>
      <c r="AU112" s="4"/>
      <c r="AV112" s="4"/>
      <c r="AW112" s="2"/>
      <c r="AX112" s="2"/>
      <c r="AY112" s="2"/>
      <c r="AZ112" s="2"/>
      <c r="BA112" s="2"/>
      <c r="BB112" s="2">
        <v>15</v>
      </c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>SUM(E112:BP112)</f>
        <v>60</v>
      </c>
      <c r="BR112" s="1">
        <v>15</v>
      </c>
      <c r="BS112" s="17">
        <v>2</v>
      </c>
      <c r="BT112" s="17" t="s">
        <v>338</v>
      </c>
      <c r="BU112">
        <f>SUM(P112:AD112)</f>
        <v>0</v>
      </c>
      <c r="BV112" s="23">
        <f>AF112+AH112+AI112+AJ112+AO112+AP112</f>
        <v>0</v>
      </c>
    </row>
    <row r="113" spans="1:74" s="67" customFormat="1" ht="27">
      <c r="A113" s="1"/>
      <c r="B113" s="3" t="s">
        <v>181</v>
      </c>
      <c r="C113" s="3" t="s">
        <v>49</v>
      </c>
      <c r="D113" s="1" t="s">
        <v>183</v>
      </c>
      <c r="E113" s="6"/>
      <c r="F113" s="6"/>
      <c r="G113" s="6"/>
      <c r="H113" s="6"/>
      <c r="I113" s="6"/>
      <c r="J113" s="6"/>
      <c r="K113" s="6"/>
      <c r="L113" s="6"/>
      <c r="M113" s="6">
        <v>10</v>
      </c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>
        <v>10</v>
      </c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>
        <v>10</v>
      </c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>SUM(E113:BP113)</f>
        <v>40</v>
      </c>
      <c r="BR113" s="1">
        <v>19</v>
      </c>
      <c r="BS113" s="17">
        <v>2</v>
      </c>
      <c r="BT113" s="17" t="s">
        <v>272</v>
      </c>
      <c r="BU113">
        <f>SUM(P113:AD113)</f>
        <v>20</v>
      </c>
      <c r="BV113" s="23">
        <f>AF113+AH113+AI113+AJ113+AO113+AP113</f>
        <v>0</v>
      </c>
    </row>
    <row r="114" spans="1:74" s="67" customFormat="1" ht="27">
      <c r="A114" s="1"/>
      <c r="B114" s="3" t="s">
        <v>185</v>
      </c>
      <c r="C114" s="3" t="s">
        <v>24</v>
      </c>
      <c r="D114" s="1" t="s">
        <v>183</v>
      </c>
      <c r="E114" s="6"/>
      <c r="F114" s="6"/>
      <c r="G114" s="6"/>
      <c r="H114" s="6"/>
      <c r="I114" s="6"/>
      <c r="J114" s="6"/>
      <c r="K114" s="6"/>
      <c r="L114" s="6"/>
      <c r="M114" s="6">
        <v>10</v>
      </c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>
        <v>10</v>
      </c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>
        <v>10</v>
      </c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>SUM(E114:BP114)</f>
        <v>40</v>
      </c>
      <c r="BR114" s="1">
        <v>19</v>
      </c>
      <c r="BS114" s="17">
        <v>2</v>
      </c>
      <c r="BT114" s="17" t="s">
        <v>272</v>
      </c>
      <c r="BU114">
        <f>SUM(P114:AD114)</f>
        <v>20</v>
      </c>
      <c r="BV114" s="23">
        <f>AF114+AH114+AI114+AJ114+AO114+AP114</f>
        <v>0</v>
      </c>
    </row>
    <row r="115" spans="1:74" s="67" customFormat="1" ht="27">
      <c r="A115" s="1"/>
      <c r="B115" s="3" t="s">
        <v>285</v>
      </c>
      <c r="C115" s="3" t="s">
        <v>187</v>
      </c>
      <c r="D115" s="1" t="s">
        <v>183</v>
      </c>
      <c r="E115" s="6"/>
      <c r="F115" s="6"/>
      <c r="G115" s="6"/>
      <c r="H115" s="6"/>
      <c r="I115" s="6"/>
      <c r="J115" s="6"/>
      <c r="K115" s="6"/>
      <c r="L115" s="6"/>
      <c r="M115" s="6">
        <v>10</v>
      </c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>
        <v>10</v>
      </c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>
        <v>10</v>
      </c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>SUM(E115:BP115)</f>
        <v>40</v>
      </c>
      <c r="BR115" s="1">
        <v>19</v>
      </c>
      <c r="BS115" s="17">
        <v>2</v>
      </c>
      <c r="BT115" s="17" t="s">
        <v>272</v>
      </c>
      <c r="BU115">
        <f>SUM(P115:AD115)</f>
        <v>20</v>
      </c>
      <c r="BV115" s="23">
        <f>AF115+AH115+AI115+AJ115+AO115+AP115</f>
        <v>0</v>
      </c>
    </row>
    <row r="116" spans="1:74" s="67" customFormat="1" ht="27">
      <c r="A116" s="1"/>
      <c r="B116" s="1" t="s">
        <v>250</v>
      </c>
      <c r="C116" s="1" t="s">
        <v>96</v>
      </c>
      <c r="D116" s="1" t="s">
        <v>252</v>
      </c>
      <c r="E116" s="6"/>
      <c r="F116" s="6"/>
      <c r="G116" s="6"/>
      <c r="H116" s="6"/>
      <c r="I116" s="6"/>
      <c r="J116" s="6"/>
      <c r="K116" s="6"/>
      <c r="L116" s="6"/>
      <c r="M116" s="6">
        <v>10</v>
      </c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>
        <v>10</v>
      </c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>
        <v>10</v>
      </c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>SUM(E116:BP116)</f>
        <v>40</v>
      </c>
      <c r="BR116" s="1">
        <v>19</v>
      </c>
      <c r="BS116" s="17">
        <v>2</v>
      </c>
      <c r="BT116" s="17" t="s">
        <v>342</v>
      </c>
      <c r="BU116">
        <f>SUM(P116:AD116)</f>
        <v>20</v>
      </c>
      <c r="BV116" s="23">
        <f>AF116+AH116+AI116+AJ116+AO116+AP116</f>
        <v>0</v>
      </c>
    </row>
    <row r="117" spans="1:74" s="67" customFormat="1" ht="27">
      <c r="A117" s="1"/>
      <c r="B117" s="1" t="s">
        <v>108</v>
      </c>
      <c r="C117" s="1" t="s">
        <v>96</v>
      </c>
      <c r="D117" s="1" t="s">
        <v>99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>
        <v>10</v>
      </c>
      <c r="P117" s="28"/>
      <c r="Q117" s="28"/>
      <c r="R117" s="28">
        <v>10</v>
      </c>
      <c r="S117" s="28"/>
      <c r="T117" s="28"/>
      <c r="U117" s="28"/>
      <c r="V117" s="28"/>
      <c r="W117" s="28"/>
      <c r="X117" s="28">
        <v>10</v>
      </c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>
        <v>10</v>
      </c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>SUM(E117:BP117)</f>
        <v>40</v>
      </c>
      <c r="BR117" s="1">
        <v>20</v>
      </c>
      <c r="BS117" s="17">
        <v>2</v>
      </c>
      <c r="BT117" s="17" t="s">
        <v>315</v>
      </c>
      <c r="BU117">
        <f>SUM(P117:AD117)</f>
        <v>20</v>
      </c>
      <c r="BV117" s="23">
        <f>AF117+AH117+AI117+AJ117+AO117+AP117</f>
        <v>0</v>
      </c>
    </row>
    <row r="118" spans="1:74" s="67" customFormat="1" ht="27">
      <c r="A118" s="1"/>
      <c r="B118" s="3" t="s">
        <v>188</v>
      </c>
      <c r="C118" s="3" t="s">
        <v>95</v>
      </c>
      <c r="D118" s="1" t="s">
        <v>183</v>
      </c>
      <c r="E118" s="6"/>
      <c r="F118" s="6"/>
      <c r="G118" s="6"/>
      <c r="H118" s="6"/>
      <c r="I118" s="6">
        <v>10</v>
      </c>
      <c r="J118" s="6"/>
      <c r="K118" s="6"/>
      <c r="L118" s="6"/>
      <c r="M118" s="6"/>
      <c r="N118" s="6"/>
      <c r="O118" s="6"/>
      <c r="P118" s="28"/>
      <c r="Q118" s="28"/>
      <c r="R118" s="28">
        <v>10</v>
      </c>
      <c r="S118" s="28"/>
      <c r="T118" s="28"/>
      <c r="U118" s="28"/>
      <c r="V118" s="28"/>
      <c r="W118" s="28"/>
      <c r="X118" s="28">
        <v>10</v>
      </c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>
        <v>10</v>
      </c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40</v>
      </c>
      <c r="BR118" s="1">
        <v>20</v>
      </c>
      <c r="BS118" s="17">
        <v>2</v>
      </c>
      <c r="BT118" s="17" t="s">
        <v>316</v>
      </c>
      <c r="BU118">
        <f>SUM(P118:AD118)</f>
        <v>20</v>
      </c>
      <c r="BV118" s="23">
        <f>AF118+AH118+AI118+AJ118+AO118+AP118</f>
        <v>0</v>
      </c>
    </row>
    <row r="119" spans="1:74" s="67" customFormat="1" ht="27">
      <c r="A119" s="1"/>
      <c r="B119" s="1" t="s">
        <v>219</v>
      </c>
      <c r="C119" s="1" t="s">
        <v>49</v>
      </c>
      <c r="D119" s="1" t="s">
        <v>218</v>
      </c>
      <c r="E119" s="6"/>
      <c r="F119" s="6"/>
      <c r="G119" s="6"/>
      <c r="H119" s="6"/>
      <c r="I119" s="6">
        <v>10</v>
      </c>
      <c r="J119" s="6"/>
      <c r="K119" s="6"/>
      <c r="L119" s="6"/>
      <c r="M119" s="6"/>
      <c r="N119" s="6"/>
      <c r="O119" s="6"/>
      <c r="P119" s="28"/>
      <c r="Q119" s="28"/>
      <c r="R119" s="28">
        <v>10</v>
      </c>
      <c r="S119" s="28"/>
      <c r="T119" s="28"/>
      <c r="U119" s="28"/>
      <c r="V119" s="28"/>
      <c r="W119" s="28"/>
      <c r="X119" s="28">
        <v>10</v>
      </c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>
        <v>10</v>
      </c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40</v>
      </c>
      <c r="BR119" s="1">
        <v>20</v>
      </c>
      <c r="BS119" s="17">
        <v>2</v>
      </c>
      <c r="BT119" s="17" t="s">
        <v>316</v>
      </c>
      <c r="BU119">
        <f>SUM(P119:AD119)</f>
        <v>20</v>
      </c>
      <c r="BV119" s="23">
        <f>AF119+AH119+AI119+AJ119+AO119+AP119</f>
        <v>0</v>
      </c>
    </row>
    <row r="120" spans="1:74" s="67" customFormat="1" ht="27">
      <c r="A120" s="1"/>
      <c r="B120" s="1" t="s">
        <v>222</v>
      </c>
      <c r="C120" s="1" t="s">
        <v>51</v>
      </c>
      <c r="D120" s="1" t="s">
        <v>218</v>
      </c>
      <c r="E120" s="6"/>
      <c r="F120" s="6"/>
      <c r="G120" s="6"/>
      <c r="H120" s="6"/>
      <c r="I120" s="6">
        <v>10</v>
      </c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/>
      <c r="V120" s="28"/>
      <c r="W120" s="28"/>
      <c r="X120" s="28">
        <v>10</v>
      </c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>
        <v>10</v>
      </c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40</v>
      </c>
      <c r="BR120" s="1">
        <v>20</v>
      </c>
      <c r="BS120" s="17">
        <v>2</v>
      </c>
      <c r="BT120" s="17" t="s">
        <v>316</v>
      </c>
      <c r="BU120">
        <f>SUM(P120:AD120)</f>
        <v>20</v>
      </c>
      <c r="BV120" s="23">
        <f>AF120+AH120+AI120+AJ120+AO120+AP120</f>
        <v>0</v>
      </c>
    </row>
    <row r="121" spans="1:74" s="67" customFormat="1" ht="27">
      <c r="A121" s="1"/>
      <c r="B121" s="3" t="s">
        <v>278</v>
      </c>
      <c r="C121" s="3" t="s">
        <v>43</v>
      </c>
      <c r="D121" s="1" t="s">
        <v>99</v>
      </c>
      <c r="E121" s="6"/>
      <c r="F121" s="6"/>
      <c r="G121" s="6"/>
      <c r="H121" s="6"/>
      <c r="I121" s="6"/>
      <c r="J121" s="6"/>
      <c r="K121" s="6">
        <v>15</v>
      </c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/>
      <c r="V121" s="28"/>
      <c r="W121" s="28"/>
      <c r="X121" s="28">
        <v>10</v>
      </c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>
        <v>15</v>
      </c>
      <c r="AX121" s="2">
        <v>15</v>
      </c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65</v>
      </c>
      <c r="BR121" s="1">
        <v>20</v>
      </c>
      <c r="BS121" s="17">
        <v>2</v>
      </c>
      <c r="BT121" s="17" t="s">
        <v>316</v>
      </c>
      <c r="BU121">
        <f>SUM(P121:AD121)</f>
        <v>20</v>
      </c>
      <c r="BV121" s="23">
        <f>AF121+AH121+AI121+AJ121+AO121+AP121</f>
        <v>0</v>
      </c>
    </row>
    <row r="122" spans="1:74" s="67" customFormat="1" ht="27">
      <c r="A122" s="1"/>
      <c r="B122" s="1" t="s">
        <v>220</v>
      </c>
      <c r="C122" s="1" t="s">
        <v>49</v>
      </c>
      <c r="D122" s="1" t="s">
        <v>218</v>
      </c>
      <c r="E122" s="6"/>
      <c r="F122" s="6"/>
      <c r="G122" s="6"/>
      <c r="H122" s="6"/>
      <c r="I122" s="6"/>
      <c r="J122" s="6"/>
      <c r="K122" s="6"/>
      <c r="L122" s="6">
        <v>10</v>
      </c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>
        <v>10</v>
      </c>
      <c r="Y122" s="28"/>
      <c r="Z122" s="28"/>
      <c r="AA122" s="28"/>
      <c r="AB122" s="28"/>
      <c r="AC122" s="28"/>
      <c r="AD122" s="28">
        <v>10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>
        <v>10</v>
      </c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40</v>
      </c>
      <c r="BR122" s="1">
        <v>20</v>
      </c>
      <c r="BS122" s="17">
        <v>2</v>
      </c>
      <c r="BT122" s="17" t="s">
        <v>340</v>
      </c>
      <c r="BU122">
        <f>SUM(P122:AD122)</f>
        <v>20</v>
      </c>
      <c r="BV122" s="23">
        <f>AF122+AH122+AI122+AJ122+AO122+AP122</f>
        <v>0</v>
      </c>
    </row>
    <row r="123" spans="1:74" s="67" customFormat="1" ht="27">
      <c r="A123" s="1"/>
      <c r="B123" s="1" t="s">
        <v>124</v>
      </c>
      <c r="C123" s="1" t="s">
        <v>123</v>
      </c>
      <c r="D123" s="1" t="s">
        <v>99</v>
      </c>
      <c r="E123" s="6"/>
      <c r="F123" s="6"/>
      <c r="G123" s="6">
        <v>10</v>
      </c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>
        <v>10</v>
      </c>
      <c r="Y123" s="28"/>
      <c r="Z123" s="28"/>
      <c r="AA123" s="28"/>
      <c r="AB123" s="28"/>
      <c r="AC123" s="28"/>
      <c r="AD123" s="28">
        <v>10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>
        <v>10</v>
      </c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>SUM(E123:BP123)</f>
        <v>40</v>
      </c>
      <c r="BR123" s="1">
        <v>20</v>
      </c>
      <c r="BS123" s="17">
        <v>2</v>
      </c>
      <c r="BT123" s="17" t="s">
        <v>341</v>
      </c>
      <c r="BU123">
        <f>SUM(P123:AD123)</f>
        <v>20</v>
      </c>
      <c r="BV123" s="23">
        <f>AF123+AH123+AI123+AJ123+AO123+AP123</f>
        <v>0</v>
      </c>
    </row>
    <row r="124" spans="1:74" s="67" customFormat="1" ht="27">
      <c r="A124" s="1"/>
      <c r="B124" s="1" t="s">
        <v>227</v>
      </c>
      <c r="C124" s="1" t="s">
        <v>94</v>
      </c>
      <c r="D124" s="1" t="s">
        <v>128</v>
      </c>
      <c r="E124" s="6"/>
      <c r="F124" s="6"/>
      <c r="G124" s="6">
        <v>10</v>
      </c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>
        <v>10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>
        <v>10</v>
      </c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>SUM(E124:BP124)</f>
        <v>40</v>
      </c>
      <c r="BR124" s="1">
        <v>20</v>
      </c>
      <c r="BS124" s="17">
        <v>2</v>
      </c>
      <c r="BT124" s="17" t="s">
        <v>341</v>
      </c>
      <c r="BU124">
        <f>SUM(P124:AD124)</f>
        <v>20</v>
      </c>
      <c r="BV124" s="23">
        <f>AF124+AH124+AI124+AJ124+AO124+AP124</f>
        <v>0</v>
      </c>
    </row>
    <row r="125" spans="1:74" s="67" customFormat="1" ht="27">
      <c r="A125" s="1"/>
      <c r="B125" s="3" t="s">
        <v>284</v>
      </c>
      <c r="C125" s="3" t="s">
        <v>187</v>
      </c>
      <c r="D125" s="1" t="s">
        <v>183</v>
      </c>
      <c r="E125" s="6"/>
      <c r="F125" s="6"/>
      <c r="G125" s="6">
        <v>10</v>
      </c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>
        <v>10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>
        <v>10</v>
      </c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>SUM(E125:BP125)</f>
        <v>40</v>
      </c>
      <c r="BR125" s="1">
        <v>20</v>
      </c>
      <c r="BS125" s="17">
        <v>2</v>
      </c>
      <c r="BT125" s="17" t="s">
        <v>340</v>
      </c>
      <c r="BU125">
        <f>SUM(P125:AD125)</f>
        <v>20</v>
      </c>
      <c r="BV125" s="23">
        <f>AF125+AH125+AI125+AJ125+AO125+AP125</f>
        <v>0</v>
      </c>
    </row>
    <row r="126" spans="1:74" s="67" customFormat="1" ht="27">
      <c r="A126" s="1"/>
      <c r="B126" s="1" t="s">
        <v>282</v>
      </c>
      <c r="C126" s="1" t="s">
        <v>114</v>
      </c>
      <c r="D126" s="1" t="s">
        <v>218</v>
      </c>
      <c r="E126" s="6"/>
      <c r="F126" s="6"/>
      <c r="G126" s="6">
        <v>10</v>
      </c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>
        <v>10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>SUM(E126:BP126)</f>
        <v>40</v>
      </c>
      <c r="BR126" s="1">
        <v>20</v>
      </c>
      <c r="BS126" s="17">
        <v>2</v>
      </c>
      <c r="BT126" s="17" t="s">
        <v>341</v>
      </c>
      <c r="BU126">
        <f>SUM(P126:AD126)</f>
        <v>20</v>
      </c>
      <c r="BV126" s="23">
        <f>AF126+AH126+AI126+AJ126+AO126+AP126</f>
        <v>0</v>
      </c>
    </row>
    <row r="127" spans="1:74" s="67" customFormat="1" ht="27">
      <c r="A127" s="1"/>
      <c r="B127" s="1" t="s">
        <v>265</v>
      </c>
      <c r="C127" s="1" t="s">
        <v>266</v>
      </c>
      <c r="D127" s="1" t="s">
        <v>267</v>
      </c>
      <c r="E127" s="6"/>
      <c r="F127" s="6"/>
      <c r="G127" s="6">
        <v>10</v>
      </c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>
        <v>10</v>
      </c>
      <c r="Y127" s="28"/>
      <c r="Z127" s="28"/>
      <c r="AA127" s="28"/>
      <c r="AB127" s="28"/>
      <c r="AC127" s="28"/>
      <c r="AD127" s="28">
        <v>10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>
        <v>10</v>
      </c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>SUM(E127:BP127)</f>
        <v>40</v>
      </c>
      <c r="BR127" s="1">
        <v>20</v>
      </c>
      <c r="BS127" s="17">
        <v>2</v>
      </c>
      <c r="BT127" s="17" t="s">
        <v>341</v>
      </c>
      <c r="BU127">
        <f>SUM(P127:AD127)</f>
        <v>20</v>
      </c>
      <c r="BV127" s="23">
        <f>AF127+AH127+AI127+AJ127+AO127+AP127</f>
        <v>0</v>
      </c>
    </row>
    <row r="128" spans="1:74" s="67" customFormat="1" ht="27">
      <c r="A128" s="1"/>
      <c r="B128" s="1" t="s">
        <v>86</v>
      </c>
      <c r="C128" s="1" t="s">
        <v>83</v>
      </c>
      <c r="D128" s="1" t="s">
        <v>82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>
        <v>10</v>
      </c>
      <c r="AP128" s="1">
        <v>10</v>
      </c>
      <c r="AQ128" s="4"/>
      <c r="AR128" s="4"/>
      <c r="AS128" s="4">
        <v>5</v>
      </c>
      <c r="AT128" s="4"/>
      <c r="AU128" s="4"/>
      <c r="AV128" s="4"/>
      <c r="AW128" s="2"/>
      <c r="AX128" s="2">
        <v>5</v>
      </c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>SUM(E128:BP128)</f>
        <v>30</v>
      </c>
      <c r="BR128" s="1">
        <v>20</v>
      </c>
      <c r="BS128" s="17">
        <v>2</v>
      </c>
      <c r="BT128" s="17" t="s">
        <v>343</v>
      </c>
      <c r="BU128">
        <f>SUM(P128:AD128)</f>
        <v>0</v>
      </c>
      <c r="BV128" s="23">
        <f>AF128+AH128+AI128+AJ128+AO128+AP128</f>
        <v>20</v>
      </c>
    </row>
    <row r="129" spans="1:74" s="67" customFormat="1" ht="27">
      <c r="A129" s="1"/>
      <c r="B129" s="3" t="s">
        <v>277</v>
      </c>
      <c r="C129" s="3" t="s">
        <v>43</v>
      </c>
      <c r="D129" s="1" t="s">
        <v>0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>
        <v>20</v>
      </c>
      <c r="X129" s="28"/>
      <c r="Y129" s="28"/>
      <c r="Z129" s="28">
        <v>20</v>
      </c>
      <c r="AA129" s="28"/>
      <c r="AB129" s="28"/>
      <c r="AC129" s="28">
        <v>20</v>
      </c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>SUM(E129:BP129)</f>
        <v>60</v>
      </c>
      <c r="BR129" s="1">
        <v>21</v>
      </c>
      <c r="BS129" s="17">
        <v>2</v>
      </c>
      <c r="BT129" s="17" t="s">
        <v>291</v>
      </c>
      <c r="BU129">
        <f>SUM(P129:AD129)</f>
        <v>60</v>
      </c>
      <c r="BV129" s="23">
        <f>AF129+AH129+AI129+AJ129+AO129+AP129</f>
        <v>0</v>
      </c>
    </row>
    <row r="130" spans="1:74" s="67" customFormat="1" ht="40.5">
      <c r="A130" s="1"/>
      <c r="B130" s="3" t="s">
        <v>229</v>
      </c>
      <c r="C130" s="3" t="s">
        <v>186</v>
      </c>
      <c r="D130" s="1" t="s">
        <v>0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>
        <v>2</v>
      </c>
      <c r="Y130" s="28"/>
      <c r="Z130" s="28"/>
      <c r="AA130" s="28">
        <v>2</v>
      </c>
      <c r="AB130" s="28"/>
      <c r="AC130" s="28">
        <v>5</v>
      </c>
      <c r="AD130" s="28">
        <v>2</v>
      </c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>SUM(E130:BP130)</f>
        <v>11</v>
      </c>
      <c r="BR130" s="1">
        <v>5</v>
      </c>
      <c r="BS130" s="17">
        <v>3</v>
      </c>
      <c r="BT130" s="17" t="s">
        <v>325</v>
      </c>
      <c r="BU130">
        <f>SUM(P130:AD130)</f>
        <v>11</v>
      </c>
      <c r="BV130" s="23">
        <f>AF130+AH130+AI130+AJ130+AO130+AP130</f>
        <v>0</v>
      </c>
    </row>
    <row r="131" spans="1:74" s="67" customFormat="1" ht="40.5">
      <c r="A131" s="1"/>
      <c r="B131" s="1" t="s">
        <v>270</v>
      </c>
      <c r="C131" s="1" t="s">
        <v>51</v>
      </c>
      <c r="D131" s="1" t="s">
        <v>217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>
        <v>2</v>
      </c>
      <c r="Y131" s="28"/>
      <c r="Z131" s="28"/>
      <c r="AA131" s="28">
        <v>2</v>
      </c>
      <c r="AB131" s="28"/>
      <c r="AC131" s="28">
        <v>5</v>
      </c>
      <c r="AD131" s="28">
        <v>2</v>
      </c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>SUM(E131:BP131)</f>
        <v>11</v>
      </c>
      <c r="BR131" s="1">
        <v>5</v>
      </c>
      <c r="BS131" s="17">
        <v>3</v>
      </c>
      <c r="BT131" s="17" t="s">
        <v>326</v>
      </c>
      <c r="BU131">
        <f>SUM(P131:AD131)</f>
        <v>11</v>
      </c>
      <c r="BV131" s="23">
        <f>AF131+AH131+AI131+AJ131+AO131+AP131</f>
        <v>0</v>
      </c>
    </row>
    <row r="132" spans="1:74" s="67" customFormat="1" ht="40.5">
      <c r="A132" s="1"/>
      <c r="B132" s="1" t="s">
        <v>226</v>
      </c>
      <c r="C132" s="1" t="s">
        <v>36</v>
      </c>
      <c r="D132" s="1" t="s">
        <v>224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>
        <v>2</v>
      </c>
      <c r="S132" s="28"/>
      <c r="T132" s="28">
        <v>5</v>
      </c>
      <c r="U132" s="28"/>
      <c r="V132" s="28"/>
      <c r="W132" s="28"/>
      <c r="X132" s="28">
        <v>2</v>
      </c>
      <c r="Y132" s="28"/>
      <c r="Z132" s="28"/>
      <c r="AA132" s="28"/>
      <c r="AB132" s="28"/>
      <c r="AC132" s="28"/>
      <c r="AD132" s="28">
        <v>2</v>
      </c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>SUM(E132:BP132)</f>
        <v>11</v>
      </c>
      <c r="BR132" s="1">
        <v>6</v>
      </c>
      <c r="BS132" s="17">
        <v>3</v>
      </c>
      <c r="BT132" s="17" t="s">
        <v>297</v>
      </c>
      <c r="BU132">
        <f>SUM(P132:AD132)</f>
        <v>11</v>
      </c>
      <c r="BV132" s="23">
        <f>AF132+AH132+AI132+AJ132+AO132+AP132</f>
        <v>0</v>
      </c>
    </row>
    <row r="133" spans="1:74" s="67" customFormat="1" ht="40.5">
      <c r="A133" s="1">
        <v>89</v>
      </c>
      <c r="B133" s="3" t="s">
        <v>61</v>
      </c>
      <c r="C133" s="3" t="s">
        <v>62</v>
      </c>
      <c r="D133" s="1" t="s">
        <v>0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>
        <v>5</v>
      </c>
      <c r="AG133" s="1"/>
      <c r="AH133" s="1">
        <v>5</v>
      </c>
      <c r="AI133" s="1">
        <v>5</v>
      </c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f>SUM(E133:BP133)</f>
        <v>15</v>
      </c>
      <c r="BR133" s="1">
        <v>14</v>
      </c>
      <c r="BS133" s="17">
        <v>3</v>
      </c>
      <c r="BT133" s="17" t="s">
        <v>275</v>
      </c>
      <c r="BU133">
        <f>SUM(P133:AD133)</f>
        <v>0</v>
      </c>
      <c r="BV133" s="23">
        <f>AF133+AH133+AI133+AJ133+AO133+AP133</f>
        <v>15</v>
      </c>
    </row>
    <row r="134" spans="1:74" s="67" customFormat="1" ht="40.5">
      <c r="A134" s="1"/>
      <c r="B134" s="1" t="s">
        <v>287</v>
      </c>
      <c r="C134" s="1" t="s">
        <v>114</v>
      </c>
      <c r="D134" s="1" t="s">
        <v>99</v>
      </c>
      <c r="E134" s="6">
        <v>10</v>
      </c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>
        <v>10</v>
      </c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>
        <v>10</v>
      </c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f>SUM(E134:BP134)</f>
        <v>40</v>
      </c>
      <c r="BR134" s="1">
        <v>15</v>
      </c>
      <c r="BS134" s="17">
        <v>3</v>
      </c>
      <c r="BT134" s="17" t="s">
        <v>328</v>
      </c>
      <c r="BU134">
        <f>SUM(P134:AD134)</f>
        <v>20</v>
      </c>
      <c r="BV134" s="23">
        <f>AF134+AH134+AI134+AJ134+AO134+AP134</f>
        <v>0</v>
      </c>
    </row>
    <row r="135" spans="1:74" s="67" customFormat="1" ht="40.5">
      <c r="A135" s="1"/>
      <c r="B135" s="1" t="s">
        <v>118</v>
      </c>
      <c r="C135" s="1" t="s">
        <v>117</v>
      </c>
      <c r="D135" s="1" t="s">
        <v>99</v>
      </c>
      <c r="E135" s="6">
        <v>10</v>
      </c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>
        <v>10</v>
      </c>
      <c r="S135" s="28"/>
      <c r="T135" s="28"/>
      <c r="U135" s="28">
        <v>10</v>
      </c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>
        <v>10</v>
      </c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f>SUM(E135:BP135)</f>
        <v>40</v>
      </c>
      <c r="BR135" s="1">
        <v>15</v>
      </c>
      <c r="BS135" s="17">
        <v>3</v>
      </c>
      <c r="BT135" s="17" t="s">
        <v>328</v>
      </c>
      <c r="BU135">
        <f>SUM(P135:AD135)</f>
        <v>20</v>
      </c>
      <c r="BV135" s="23">
        <f>AF135+AH135+AI135+AJ135+AO135+AP135</f>
        <v>0</v>
      </c>
    </row>
    <row r="136" spans="1:74" s="67" customFormat="1" ht="40.5">
      <c r="A136" s="49"/>
      <c r="B136" s="49" t="s">
        <v>256</v>
      </c>
      <c r="C136" s="49" t="s">
        <v>123</v>
      </c>
      <c r="D136" s="49" t="s">
        <v>99</v>
      </c>
      <c r="E136" s="50">
        <v>10</v>
      </c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1"/>
      <c r="Q136" s="51"/>
      <c r="R136" s="51">
        <v>10</v>
      </c>
      <c r="S136" s="51"/>
      <c r="T136" s="51"/>
      <c r="U136" s="51">
        <v>10</v>
      </c>
      <c r="V136" s="51"/>
      <c r="W136" s="51"/>
      <c r="X136" s="51"/>
      <c r="Y136" s="51"/>
      <c r="Z136" s="51"/>
      <c r="AA136" s="51"/>
      <c r="AB136" s="51"/>
      <c r="AC136" s="51"/>
      <c r="AD136" s="51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52"/>
      <c r="AR136" s="52"/>
      <c r="AS136" s="52"/>
      <c r="AT136" s="52"/>
      <c r="AU136" s="52">
        <v>10</v>
      </c>
      <c r="AV136" s="52"/>
      <c r="AW136" s="53"/>
      <c r="AX136" s="53"/>
      <c r="AY136" s="53"/>
      <c r="AZ136" s="53"/>
      <c r="BA136" s="53"/>
      <c r="BB136" s="53"/>
      <c r="BC136" s="54"/>
      <c r="BD136" s="49"/>
      <c r="BE136" s="49"/>
      <c r="BF136" s="49"/>
      <c r="BG136" s="49"/>
      <c r="BH136" s="49"/>
      <c r="BI136" s="49"/>
      <c r="BJ136" s="49"/>
      <c r="BK136" s="49"/>
      <c r="BL136" s="49"/>
      <c r="BM136" s="49"/>
      <c r="BN136" s="49"/>
      <c r="BO136" s="49"/>
      <c r="BP136" s="49"/>
      <c r="BQ136" s="49">
        <f>SUM(E136:BP136)</f>
        <v>40</v>
      </c>
      <c r="BR136" s="49">
        <v>15</v>
      </c>
      <c r="BS136" s="55">
        <v>3</v>
      </c>
      <c r="BT136" s="55" t="s">
        <v>328</v>
      </c>
      <c r="BU136">
        <f>SUM(P136:AD136)</f>
        <v>20</v>
      </c>
      <c r="BV136" s="23">
        <f>AF136+AH136+AI136+AJ136+AO136+AP136</f>
        <v>0</v>
      </c>
    </row>
    <row r="137" spans="1:74" s="67" customFormat="1" ht="40.5">
      <c r="A137" s="1"/>
      <c r="B137" s="3" t="s">
        <v>211</v>
      </c>
      <c r="C137" s="3" t="s">
        <v>49</v>
      </c>
      <c r="D137" s="1" t="s">
        <v>183</v>
      </c>
      <c r="E137" s="6">
        <v>10</v>
      </c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>
        <v>10</v>
      </c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>
        <v>10</v>
      </c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>SUM(E137:BP137)</f>
        <v>40</v>
      </c>
      <c r="BR137" s="1">
        <v>15</v>
      </c>
      <c r="BS137" s="17">
        <v>3</v>
      </c>
      <c r="BT137" s="17" t="s">
        <v>328</v>
      </c>
      <c r="BU137">
        <f>SUM(P137:AD137)</f>
        <v>20</v>
      </c>
      <c r="BV137" s="23">
        <f>AF137+AH137+AI137+AJ137+AO137+AP137</f>
        <v>0</v>
      </c>
    </row>
    <row r="138" spans="1:74" s="67" customFormat="1" ht="40.5">
      <c r="A138" s="1"/>
      <c r="B138" s="1" t="s">
        <v>269</v>
      </c>
      <c r="C138" s="1" t="s">
        <v>51</v>
      </c>
      <c r="D138" s="1" t="s">
        <v>218</v>
      </c>
      <c r="E138" s="6">
        <v>10</v>
      </c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>
        <v>10</v>
      </c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>
        <v>10</v>
      </c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f>SUM(E138:BP138)</f>
        <v>40</v>
      </c>
      <c r="BR138" s="1">
        <v>15</v>
      </c>
      <c r="BS138" s="17">
        <v>3</v>
      </c>
      <c r="BT138" s="17" t="s">
        <v>328</v>
      </c>
      <c r="BU138">
        <f>SUM(P138:AD138)</f>
        <v>20</v>
      </c>
      <c r="BV138" s="23">
        <f>AF138+AH138+AI138+AJ138+AO138+AP138</f>
        <v>0</v>
      </c>
    </row>
    <row r="139" spans="1:74" s="67" customFormat="1" ht="40.5">
      <c r="A139" s="1">
        <v>28</v>
      </c>
      <c r="B139" s="1" t="s">
        <v>56</v>
      </c>
      <c r="C139" s="1" t="s">
        <v>24</v>
      </c>
      <c r="D139" s="1" t="s">
        <v>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>
        <v>5</v>
      </c>
      <c r="AI139" s="1">
        <v>5</v>
      </c>
      <c r="AJ139" s="1">
        <v>5</v>
      </c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>SUM(E139:BP139)</f>
        <v>15</v>
      </c>
      <c r="BR139" s="1">
        <v>15</v>
      </c>
      <c r="BS139" s="17">
        <v>3</v>
      </c>
      <c r="BT139" s="17" t="s">
        <v>344</v>
      </c>
      <c r="BU139">
        <f>SUM(P139:AD139)</f>
        <v>0</v>
      </c>
      <c r="BV139" s="23">
        <f>AF139+AH139+AI139+AJ139+AO139+AP139</f>
        <v>15</v>
      </c>
    </row>
    <row r="140" spans="1:74" s="67" customFormat="1" ht="40.5">
      <c r="A140" s="1"/>
      <c r="B140" s="1" t="s">
        <v>125</v>
      </c>
      <c r="C140" s="1" t="s">
        <v>123</v>
      </c>
      <c r="D140" s="1" t="s">
        <v>99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>
        <v>10</v>
      </c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>
        <v>10</v>
      </c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>SUM(E140:BP140)</f>
        <v>40</v>
      </c>
      <c r="BR140" s="1">
        <v>21</v>
      </c>
      <c r="BS140" s="17">
        <v>3</v>
      </c>
      <c r="BT140" s="17" t="s">
        <v>333</v>
      </c>
      <c r="BU140">
        <f>SUM(P140:AD140)</f>
        <v>20</v>
      </c>
      <c r="BV140" s="23">
        <f>AF140+AH140+AI140+AJ140+AO140+AP140</f>
        <v>0</v>
      </c>
    </row>
    <row r="141" spans="1:74" s="67" customFormat="1" ht="40.5">
      <c r="A141" s="1"/>
      <c r="B141" s="1" t="s">
        <v>279</v>
      </c>
      <c r="C141" s="1" t="s">
        <v>253</v>
      </c>
      <c r="D141" s="1" t="s">
        <v>252</v>
      </c>
      <c r="E141" s="6"/>
      <c r="F141" s="6"/>
      <c r="G141" s="6"/>
      <c r="H141" s="6"/>
      <c r="I141" s="6"/>
      <c r="J141" s="6"/>
      <c r="K141" s="6"/>
      <c r="L141" s="6"/>
      <c r="M141" s="6">
        <v>10</v>
      </c>
      <c r="N141" s="6"/>
      <c r="O141" s="6"/>
      <c r="P141" s="28"/>
      <c r="Q141" s="28"/>
      <c r="R141" s="28"/>
      <c r="S141" s="28"/>
      <c r="T141" s="28"/>
      <c r="U141" s="28">
        <v>10</v>
      </c>
      <c r="V141" s="28"/>
      <c r="W141" s="28"/>
      <c r="X141" s="28"/>
      <c r="Y141" s="28"/>
      <c r="Z141" s="28"/>
      <c r="AA141" s="28">
        <v>10</v>
      </c>
      <c r="AB141" s="28"/>
      <c r="AC141" s="28"/>
      <c r="AD141" s="28">
        <v>10</v>
      </c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f>SUM(E141:BP141)</f>
        <v>40</v>
      </c>
      <c r="BR141" s="1">
        <v>23</v>
      </c>
      <c r="BS141" s="17">
        <v>3</v>
      </c>
      <c r="BT141" s="17" t="s">
        <v>345</v>
      </c>
      <c r="BU141">
        <f>SUM(P141:AD141)</f>
        <v>30</v>
      </c>
      <c r="BV141" s="23">
        <f>AF141+AH141+AI141+AJ141+AO141+AP141</f>
        <v>0</v>
      </c>
    </row>
    <row r="142" spans="1:74" s="67" customFormat="1" ht="40.5">
      <c r="A142" s="1"/>
      <c r="B142" s="3" t="s">
        <v>280</v>
      </c>
      <c r="C142" s="3" t="s">
        <v>245</v>
      </c>
      <c r="D142" s="1" t="s">
        <v>99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>
        <v>10</v>
      </c>
      <c r="P142" s="28"/>
      <c r="Q142" s="28"/>
      <c r="R142" s="28">
        <v>10</v>
      </c>
      <c r="S142" s="28"/>
      <c r="T142" s="28"/>
      <c r="U142" s="28">
        <v>10</v>
      </c>
      <c r="V142" s="28"/>
      <c r="W142" s="28"/>
      <c r="X142" s="28"/>
      <c r="Y142" s="28"/>
      <c r="Z142" s="28"/>
      <c r="AA142" s="28"/>
      <c r="AB142" s="28"/>
      <c r="AC142" s="28"/>
      <c r="AD142" s="28">
        <v>10</v>
      </c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f>SUM(E142:BP142)</f>
        <v>40</v>
      </c>
      <c r="BR142" s="1">
        <v>24</v>
      </c>
      <c r="BS142" s="17">
        <v>3</v>
      </c>
      <c r="BT142" s="17" t="s">
        <v>336</v>
      </c>
      <c r="BU142">
        <f>SUM(P142:AD142)</f>
        <v>30</v>
      </c>
      <c r="BV142" s="23">
        <f>AF142+AH142+AI142+AJ142+AO142+AP142</f>
        <v>0</v>
      </c>
    </row>
    <row r="143" spans="1:74" s="67" customFormat="1" ht="40.5">
      <c r="A143" s="1"/>
      <c r="B143" s="1" t="s">
        <v>113</v>
      </c>
      <c r="C143" s="1" t="s">
        <v>96</v>
      </c>
      <c r="D143" s="1" t="s">
        <v>99</v>
      </c>
      <c r="E143" s="6"/>
      <c r="F143" s="6"/>
      <c r="G143" s="6"/>
      <c r="H143" s="6">
        <v>10</v>
      </c>
      <c r="I143" s="6"/>
      <c r="J143" s="6"/>
      <c r="K143" s="6"/>
      <c r="L143" s="6"/>
      <c r="M143" s="6"/>
      <c r="N143" s="6"/>
      <c r="O143" s="6"/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>
        <v>10</v>
      </c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f>SUM(E143:BP143)</f>
        <v>40</v>
      </c>
      <c r="BR143" s="1">
        <v>27</v>
      </c>
      <c r="BS143" s="17">
        <v>3</v>
      </c>
      <c r="BT143" s="17" t="s">
        <v>337</v>
      </c>
      <c r="BU143">
        <f>SUM(P143:AD143)</f>
        <v>20</v>
      </c>
      <c r="BV143" s="23">
        <f>AF143+AH143+AI143+AJ143+AO143+AP143</f>
        <v>0</v>
      </c>
    </row>
    <row r="144" spans="1:74" s="67" customFormat="1" ht="40.5">
      <c r="A144" s="1"/>
      <c r="B144" s="3" t="s">
        <v>189</v>
      </c>
      <c r="C144" s="3" t="s">
        <v>95</v>
      </c>
      <c r="D144" s="1" t="s">
        <v>183</v>
      </c>
      <c r="E144" s="6"/>
      <c r="F144" s="6"/>
      <c r="G144" s="6"/>
      <c r="H144" s="6">
        <v>10</v>
      </c>
      <c r="I144" s="6"/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>
        <v>10</v>
      </c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f>SUM(E144:BP144)</f>
        <v>40</v>
      </c>
      <c r="BR144" s="1">
        <v>27</v>
      </c>
      <c r="BS144" s="17">
        <v>3</v>
      </c>
      <c r="BT144" s="17" t="s">
        <v>337</v>
      </c>
      <c r="BU144">
        <f>SUM(P144:AD144)</f>
        <v>20</v>
      </c>
      <c r="BV144" s="23">
        <f>AF144+AH144+AI144+AJ144+AO144+AP144</f>
        <v>0</v>
      </c>
    </row>
    <row r="145" spans="1:74" s="67" customFormat="1" ht="40.5">
      <c r="A145" s="1"/>
      <c r="B145" s="3" t="s">
        <v>247</v>
      </c>
      <c r="C145" s="3" t="s">
        <v>246</v>
      </c>
      <c r="D145" s="1" t="s">
        <v>9</v>
      </c>
      <c r="E145" s="6"/>
      <c r="F145" s="6"/>
      <c r="G145" s="6"/>
      <c r="H145" s="6">
        <v>10</v>
      </c>
      <c r="I145" s="6"/>
      <c r="J145" s="6"/>
      <c r="K145" s="6"/>
      <c r="L145" s="6"/>
      <c r="M145" s="6"/>
      <c r="N145" s="6"/>
      <c r="O145" s="6"/>
      <c r="P145" s="28"/>
      <c r="Q145" s="28"/>
      <c r="R145" s="28">
        <v>10</v>
      </c>
      <c r="S145" s="28"/>
      <c r="T145" s="28"/>
      <c r="U145" s="28"/>
      <c r="V145" s="28"/>
      <c r="W145" s="28"/>
      <c r="X145" s="28">
        <v>10</v>
      </c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>
        <v>10</v>
      </c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f>SUM(E145:BP145)</f>
        <v>40</v>
      </c>
      <c r="BR145" s="1">
        <v>27</v>
      </c>
      <c r="BS145" s="17">
        <v>3</v>
      </c>
      <c r="BT145" s="17" t="s">
        <v>337</v>
      </c>
      <c r="BU145">
        <f>SUM(P145:AD145)</f>
        <v>20</v>
      </c>
      <c r="BV145" s="23">
        <f>AF145+AH145+AI145+AJ145+AO145+AP145</f>
        <v>0</v>
      </c>
    </row>
    <row r="146" spans="1:74" s="67" customFormat="1" ht="40.5">
      <c r="A146" s="1"/>
      <c r="B146" s="1" t="s">
        <v>221</v>
      </c>
      <c r="C146" s="1" t="s">
        <v>49</v>
      </c>
      <c r="D146" s="1" t="s">
        <v>218</v>
      </c>
      <c r="E146" s="6"/>
      <c r="F146" s="6"/>
      <c r="G146" s="6"/>
      <c r="H146" s="6">
        <v>10</v>
      </c>
      <c r="I146" s="6"/>
      <c r="J146" s="6"/>
      <c r="K146" s="6"/>
      <c r="L146" s="6"/>
      <c r="M146" s="6"/>
      <c r="N146" s="6"/>
      <c r="O146" s="6"/>
      <c r="P146" s="28"/>
      <c r="Q146" s="28"/>
      <c r="R146" s="28">
        <v>10</v>
      </c>
      <c r="S146" s="28"/>
      <c r="T146" s="28"/>
      <c r="U146" s="28"/>
      <c r="V146" s="28"/>
      <c r="W146" s="28"/>
      <c r="X146" s="28">
        <v>10</v>
      </c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>
        <v>10</v>
      </c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f>SUM(E146:BP146)</f>
        <v>40</v>
      </c>
      <c r="BR146" s="1">
        <v>27</v>
      </c>
      <c r="BS146" s="17">
        <v>3</v>
      </c>
      <c r="BT146" s="17" t="s">
        <v>337</v>
      </c>
      <c r="BU146">
        <f>SUM(P146:AD146)</f>
        <v>20</v>
      </c>
      <c r="BV146" s="23">
        <f>AF146+AH146+AI146+AJ146+AO146+AP146</f>
        <v>0</v>
      </c>
    </row>
    <row r="147" spans="1:74" s="67" customFormat="1" ht="40.5">
      <c r="A147" s="1"/>
      <c r="B147" s="3" t="s">
        <v>229</v>
      </c>
      <c r="C147" s="3" t="s">
        <v>186</v>
      </c>
      <c r="D147" s="1" t="s">
        <v>183</v>
      </c>
      <c r="E147" s="6"/>
      <c r="F147" s="6"/>
      <c r="G147" s="6"/>
      <c r="H147" s="6"/>
      <c r="I147" s="6"/>
      <c r="J147" s="6"/>
      <c r="K147" s="6"/>
      <c r="L147" s="6"/>
      <c r="M147" s="6"/>
      <c r="N147" s="6">
        <v>10</v>
      </c>
      <c r="O147" s="6"/>
      <c r="P147" s="28"/>
      <c r="Q147" s="28"/>
      <c r="R147" s="28"/>
      <c r="S147" s="28"/>
      <c r="T147" s="28"/>
      <c r="U147" s="28"/>
      <c r="V147" s="28"/>
      <c r="W147" s="28"/>
      <c r="X147" s="28">
        <v>10</v>
      </c>
      <c r="Y147" s="28"/>
      <c r="Z147" s="28"/>
      <c r="AA147" s="28">
        <v>10</v>
      </c>
      <c r="AB147" s="28"/>
      <c r="AC147" s="28"/>
      <c r="AD147" s="28">
        <v>10</v>
      </c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f>SUM(E147:BP147)</f>
        <v>40</v>
      </c>
      <c r="BR147" s="1">
        <v>29</v>
      </c>
      <c r="BS147" s="17">
        <v>3</v>
      </c>
      <c r="BT147" s="17" t="s">
        <v>346</v>
      </c>
      <c r="BU147">
        <f>SUM(P147:AD147)</f>
        <v>30</v>
      </c>
      <c r="BV147" s="23">
        <f>AF147+AH147+AI147+AJ147+AO147+AP147</f>
        <v>0</v>
      </c>
    </row>
    <row r="148" spans="1:74" ht="40.5">
      <c r="A148" s="1"/>
      <c r="B148" s="1" t="s">
        <v>137</v>
      </c>
      <c r="C148" s="1" t="s">
        <v>94</v>
      </c>
      <c r="D148" s="1" t="s">
        <v>81</v>
      </c>
      <c r="E148" s="6"/>
      <c r="F148" s="6"/>
      <c r="G148" s="6">
        <v>20</v>
      </c>
      <c r="H148" s="6">
        <v>20</v>
      </c>
      <c r="I148" s="6"/>
      <c r="J148" s="6"/>
      <c r="K148" s="6"/>
      <c r="L148" s="6"/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>
        <v>20</v>
      </c>
      <c r="BB148" s="2">
        <v>20</v>
      </c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f>SUM(E148:BP148)</f>
        <v>80</v>
      </c>
      <c r="BR148" s="1">
        <v>31</v>
      </c>
      <c r="BS148" s="17">
        <v>3</v>
      </c>
      <c r="BT148" s="17" t="s">
        <v>347</v>
      </c>
      <c r="BU148">
        <f>SUM(P148:AD148)</f>
        <v>0</v>
      </c>
      <c r="BV148" s="23">
        <f>AF148+AH148+AI148+AJ148+AO148+AP148</f>
        <v>0</v>
      </c>
    </row>
    <row r="149" spans="1:74">
      <c r="A149" s="1"/>
      <c r="B149" s="1" t="s">
        <v>53</v>
      </c>
      <c r="C149" s="1"/>
      <c r="D149" s="1"/>
      <c r="E149" s="6">
        <f>SUM(E2:E148)</f>
        <v>102</v>
      </c>
      <c r="F149" s="6">
        <f>SUM(F2:F148)</f>
        <v>15</v>
      </c>
      <c r="G149" s="6">
        <f>SUM(G2:G148)</f>
        <v>144</v>
      </c>
      <c r="H149" s="6">
        <f>SUM(H2:H148)</f>
        <v>136</v>
      </c>
      <c r="I149" s="6">
        <f>SUM(I2:I148)</f>
        <v>47</v>
      </c>
      <c r="J149" s="6">
        <f>SUM(J2:J148)</f>
        <v>70</v>
      </c>
      <c r="K149" s="6">
        <f>SUM(K2:K148)</f>
        <v>51</v>
      </c>
      <c r="L149" s="6">
        <f>SUM(L2:L148)</f>
        <v>37</v>
      </c>
      <c r="M149" s="6">
        <f>SUM(M2:M148)</f>
        <v>66</v>
      </c>
      <c r="N149" s="6">
        <f>SUM(N2:N148)</f>
        <v>20</v>
      </c>
      <c r="O149" s="6">
        <f>SUM(O2:O148)</f>
        <v>25</v>
      </c>
      <c r="P149" s="28">
        <f>SUM(P2:P148)</f>
        <v>160</v>
      </c>
      <c r="Q149" s="28">
        <f>SUM(Q2:Q148)</f>
        <v>104</v>
      </c>
      <c r="R149" s="28">
        <f>SUM(R2:R148)</f>
        <v>205</v>
      </c>
      <c r="S149" s="28">
        <f>SUM(S2:S148)</f>
        <v>160</v>
      </c>
      <c r="T149" s="28">
        <f>SUM(T2:T148)</f>
        <v>89</v>
      </c>
      <c r="U149" s="28">
        <f>SUM(U2:U148)</f>
        <v>170</v>
      </c>
      <c r="V149" s="28">
        <f>SUM(V2:V148)</f>
        <v>175</v>
      </c>
      <c r="W149" s="28">
        <f>SUM(W2:W148)</f>
        <v>80</v>
      </c>
      <c r="X149" s="28">
        <f>SUM(X2:X148)</f>
        <v>181</v>
      </c>
      <c r="Y149" s="28">
        <f>SUM(Y2:Y148)</f>
        <v>165</v>
      </c>
      <c r="Z149" s="28">
        <f>SUM(Z2:Z148)</f>
        <v>100</v>
      </c>
      <c r="AA149" s="28">
        <f>SUM(AA2:AA148)</f>
        <v>136</v>
      </c>
      <c r="AB149" s="28">
        <f>SUM(AB2:AB148)</f>
        <v>170</v>
      </c>
      <c r="AC149" s="28">
        <f>SUM(AC2:AC148)</f>
        <v>95</v>
      </c>
      <c r="AD149" s="28">
        <f>SUM(AD2:AD148)</f>
        <v>142</v>
      </c>
      <c r="AE149" s="1">
        <f>SUM(AE2:AE148)</f>
        <v>250</v>
      </c>
      <c r="AF149" s="1">
        <f>SUM(AF2:AF148)</f>
        <v>10</v>
      </c>
      <c r="AG149" s="1">
        <f>SUM(AG2:AG148)</f>
        <v>5</v>
      </c>
      <c r="AH149" s="1">
        <f>SUM(AH2:AH148)</f>
        <v>30</v>
      </c>
      <c r="AI149" s="1">
        <f>SUM(AI2:AI148)</f>
        <v>30</v>
      </c>
      <c r="AJ149" s="1">
        <f>SUM(AJ2:AJ148)</f>
        <v>5</v>
      </c>
      <c r="AK149" s="1">
        <f>SUM(AK2:AK148)</f>
        <v>0</v>
      </c>
      <c r="AL149" s="1">
        <f>SUM(AL2:AL148)</f>
        <v>0</v>
      </c>
      <c r="AM149" s="1">
        <f>SUM(AM2:AM148)</f>
        <v>0</v>
      </c>
      <c r="AN149" s="1">
        <f>SUM(AN2:AN148)</f>
        <v>40</v>
      </c>
      <c r="AO149" s="1">
        <f>SUM(AO2:AO148)</f>
        <v>33</v>
      </c>
      <c r="AP149" s="1">
        <f>SUM(AP2:AP148)</f>
        <v>27</v>
      </c>
      <c r="AQ149" s="4">
        <f>SUM(AQ2:AQ148)</f>
        <v>195</v>
      </c>
      <c r="AR149" s="4">
        <f>SUM(AR2:AR148)</f>
        <v>95</v>
      </c>
      <c r="AS149" s="4">
        <f>SUM(AS2:AS148)</f>
        <v>80</v>
      </c>
      <c r="AT149" s="4">
        <f>SUM(AT2:AT148)</f>
        <v>60</v>
      </c>
      <c r="AU149" s="4">
        <f>SUM(AU2:AU148)</f>
        <v>100</v>
      </c>
      <c r="AV149" s="4">
        <f>SUM(AV2:AV148)</f>
        <v>155</v>
      </c>
      <c r="AW149" s="2">
        <f>SUM(AW2:AW148)</f>
        <v>215</v>
      </c>
      <c r="AX149" s="2">
        <f>SUM(AX2:AX148)</f>
        <v>70</v>
      </c>
      <c r="AY149" s="2">
        <f>SUM(AY2:AY148)</f>
        <v>50</v>
      </c>
      <c r="AZ149" s="2">
        <f>SUM(AZ2:AZ148)</f>
        <v>80</v>
      </c>
      <c r="BA149" s="2">
        <f>SUM(BA2:BA148)</f>
        <v>105</v>
      </c>
      <c r="BB149" s="2">
        <f>SUM(BB2:BB148)</f>
        <v>165</v>
      </c>
      <c r="BC149" s="1">
        <f>SUM(BC2:BC148)</f>
        <v>30</v>
      </c>
      <c r="BD149" s="1">
        <f>SUM(BD2:BD148)</f>
        <v>20</v>
      </c>
      <c r="BE149" s="1">
        <f>SUM(BE2:BE148)</f>
        <v>90</v>
      </c>
      <c r="BF149" s="1">
        <f>SUM(BF2:BF148)</f>
        <v>90</v>
      </c>
      <c r="BG149" s="1">
        <f>SUM(BG2:BG148)</f>
        <v>20</v>
      </c>
      <c r="BH149" s="1">
        <f>SUM(BH2:BH148)</f>
        <v>20</v>
      </c>
      <c r="BI149" s="1">
        <f>SUM(BI2:BI148)</f>
        <v>70</v>
      </c>
      <c r="BJ149" s="1">
        <f>SUM(BJ2:BJ148)</f>
        <v>70</v>
      </c>
      <c r="BK149" s="1">
        <f>SUM(BK2:BK148)</f>
        <v>200</v>
      </c>
      <c r="BL149" s="1">
        <f>SUM(BL2:BL148)</f>
        <v>200</v>
      </c>
      <c r="BM149" s="1">
        <f>SUM(BM2:BM148)</f>
        <v>150</v>
      </c>
      <c r="BN149" s="1">
        <f>SUM(BN2:BN148)</f>
        <v>150</v>
      </c>
      <c r="BO149" s="1">
        <f>SUM(BO2:BO148)</f>
        <v>350</v>
      </c>
      <c r="BP149" s="1">
        <f>SUM(BP2:BP148)</f>
        <v>350</v>
      </c>
      <c r="BQ149" s="1"/>
      <c r="BR149" s="1"/>
      <c r="BS149" s="17"/>
      <c r="BT149" s="17"/>
    </row>
    <row r="150" spans="1:74">
      <c r="A150" s="1"/>
      <c r="B150" s="3" t="s">
        <v>70</v>
      </c>
      <c r="C150" s="1"/>
      <c r="D150" s="1"/>
      <c r="E150" s="1">
        <v>9</v>
      </c>
      <c r="F150" s="1">
        <v>25</v>
      </c>
      <c r="G150" s="1">
        <v>12</v>
      </c>
      <c r="H150" s="1">
        <v>3</v>
      </c>
      <c r="I150" s="1">
        <v>80</v>
      </c>
      <c r="J150" s="1">
        <v>90</v>
      </c>
      <c r="K150" s="1">
        <v>65</v>
      </c>
      <c r="L150" s="1">
        <v>36</v>
      </c>
      <c r="M150" s="1">
        <v>55</v>
      </c>
      <c r="N150" s="1">
        <v>97</v>
      </c>
      <c r="O150" s="1">
        <v>25</v>
      </c>
      <c r="P150" s="14">
        <v>103</v>
      </c>
      <c r="Q150" s="14">
        <v>12</v>
      </c>
      <c r="R150" s="14">
        <v>0</v>
      </c>
      <c r="S150" s="14">
        <v>163</v>
      </c>
      <c r="T150" s="14">
        <v>26</v>
      </c>
      <c r="U150" s="14">
        <v>6</v>
      </c>
      <c r="V150" s="14">
        <v>95</v>
      </c>
      <c r="W150" s="14">
        <v>8</v>
      </c>
      <c r="X150" s="14">
        <v>0</v>
      </c>
      <c r="Y150" s="14">
        <v>77</v>
      </c>
      <c r="Z150" s="14">
        <v>32</v>
      </c>
      <c r="AA150" s="14">
        <v>1</v>
      </c>
      <c r="AB150" s="14">
        <v>88</v>
      </c>
      <c r="AC150" s="14">
        <v>11</v>
      </c>
      <c r="AD150" s="14">
        <v>0</v>
      </c>
      <c r="AE150" s="1">
        <v>21</v>
      </c>
      <c r="AF150" s="1">
        <v>1</v>
      </c>
      <c r="AG150" s="1">
        <v>8</v>
      </c>
      <c r="AH150" s="1">
        <v>0</v>
      </c>
      <c r="AI150" s="1">
        <v>0</v>
      </c>
      <c r="AJ150" s="1">
        <v>0</v>
      </c>
      <c r="AK150" s="1">
        <v>23</v>
      </c>
      <c r="AL150" s="1">
        <v>33</v>
      </c>
      <c r="AM150" s="1">
        <v>0</v>
      </c>
      <c r="AN150" s="1">
        <v>1</v>
      </c>
      <c r="AO150" s="1">
        <v>0</v>
      </c>
      <c r="AP150" s="1">
        <v>0</v>
      </c>
      <c r="AQ150" s="14">
        <v>119</v>
      </c>
      <c r="AR150" s="14">
        <v>27</v>
      </c>
      <c r="AS150" s="14">
        <v>49</v>
      </c>
      <c r="AT150" s="14">
        <v>25</v>
      </c>
      <c r="AU150" s="14">
        <v>32</v>
      </c>
      <c r="AV150" s="14">
        <v>112</v>
      </c>
      <c r="AW150" s="14">
        <v>113</v>
      </c>
      <c r="AX150" s="14">
        <v>72</v>
      </c>
      <c r="AY150" s="14">
        <v>16</v>
      </c>
      <c r="AZ150" s="14">
        <v>33</v>
      </c>
      <c r="BA150" s="14">
        <v>14</v>
      </c>
      <c r="BB150" s="14">
        <v>69</v>
      </c>
      <c r="BC150" s="14">
        <v>10</v>
      </c>
      <c r="BD150" s="1">
        <v>5</v>
      </c>
      <c r="BE150" s="1">
        <v>255</v>
      </c>
      <c r="BF150" s="1">
        <v>396</v>
      </c>
      <c r="BG150" s="1">
        <v>312</v>
      </c>
      <c r="BH150" s="1">
        <v>330</v>
      </c>
      <c r="BI150" s="1">
        <v>162</v>
      </c>
      <c r="BJ150" s="1">
        <v>195</v>
      </c>
      <c r="BK150" s="1">
        <v>112</v>
      </c>
      <c r="BL150" s="1">
        <v>121</v>
      </c>
      <c r="BM150" s="1">
        <v>193</v>
      </c>
      <c r="BN150" s="1">
        <v>69</v>
      </c>
      <c r="BO150" s="1">
        <v>21</v>
      </c>
      <c r="BP150" s="1">
        <v>51</v>
      </c>
      <c r="BQ150" s="1"/>
      <c r="BR150" s="1"/>
      <c r="BS150" s="17"/>
      <c r="BT150" s="17"/>
    </row>
    <row r="151" spans="1:74">
      <c r="A151" s="1"/>
      <c r="B151" s="3" t="s">
        <v>77</v>
      </c>
      <c r="C151" s="1"/>
      <c r="D151" s="1"/>
      <c r="E151" s="1">
        <f>E150-E149</f>
        <v>-93</v>
      </c>
      <c r="F151" s="1">
        <f>F150-F149</f>
        <v>10</v>
      </c>
      <c r="G151" s="1">
        <f>G150-G149</f>
        <v>-132</v>
      </c>
      <c r="H151" s="1">
        <f>H150-H149</f>
        <v>-133</v>
      </c>
      <c r="I151" s="1">
        <f>I150-I149</f>
        <v>33</v>
      </c>
      <c r="J151" s="1">
        <f>J150-J149</f>
        <v>20</v>
      </c>
      <c r="K151" s="1">
        <f>K150-K149</f>
        <v>14</v>
      </c>
      <c r="L151" s="1">
        <f>L150-L149</f>
        <v>-1</v>
      </c>
      <c r="M151" s="1">
        <f>M150-M149</f>
        <v>-11</v>
      </c>
      <c r="N151" s="1">
        <f>N150-N149</f>
        <v>77</v>
      </c>
      <c r="O151" s="1">
        <f>O150-O149</f>
        <v>0</v>
      </c>
      <c r="P151" s="1">
        <f>P150-P149</f>
        <v>-57</v>
      </c>
      <c r="Q151" s="1">
        <f>Q150-Q149</f>
        <v>-92</v>
      </c>
      <c r="R151" s="1">
        <f>R150-R149</f>
        <v>-205</v>
      </c>
      <c r="S151" s="1">
        <f>S150-S149</f>
        <v>3</v>
      </c>
      <c r="T151" s="1">
        <f>T150-T149</f>
        <v>-63</v>
      </c>
      <c r="U151" s="1">
        <f>U150-U149</f>
        <v>-164</v>
      </c>
      <c r="V151" s="1">
        <f>V150-V149</f>
        <v>-80</v>
      </c>
      <c r="W151" s="1">
        <f>W150-W149</f>
        <v>-72</v>
      </c>
      <c r="X151" s="1">
        <f>X150-X149</f>
        <v>-181</v>
      </c>
      <c r="Y151" s="1">
        <f>Y150-Y149</f>
        <v>-88</v>
      </c>
      <c r="Z151" s="1">
        <f>Z150-Z149</f>
        <v>-68</v>
      </c>
      <c r="AA151" s="1">
        <f>AA150-AA149</f>
        <v>-135</v>
      </c>
      <c r="AB151" s="1">
        <f>AB150-AB149</f>
        <v>-82</v>
      </c>
      <c r="AC151" s="1">
        <f>AC150-AC149</f>
        <v>-84</v>
      </c>
      <c r="AD151" s="1">
        <f>AD150-AD149</f>
        <v>-142</v>
      </c>
      <c r="AE151" s="1">
        <f>AE150-AE149</f>
        <v>-229</v>
      </c>
      <c r="AF151" s="1">
        <f>AF150-AF149</f>
        <v>-9</v>
      </c>
      <c r="AG151" s="1">
        <f>AG150-AG149</f>
        <v>3</v>
      </c>
      <c r="AH151" s="1">
        <f>AH150-AH149</f>
        <v>-30</v>
      </c>
      <c r="AI151" s="1">
        <f>AI150-AI149</f>
        <v>-30</v>
      </c>
      <c r="AJ151" s="1">
        <f>AJ150-AJ149</f>
        <v>-5</v>
      </c>
      <c r="AK151" s="1">
        <f>AK150-AK149</f>
        <v>23</v>
      </c>
      <c r="AL151" s="1">
        <f>AL150-AL149</f>
        <v>33</v>
      </c>
      <c r="AM151" s="1">
        <f>AM150-AM149</f>
        <v>0</v>
      </c>
      <c r="AN151" s="1">
        <f>AN150-AN149</f>
        <v>-39</v>
      </c>
      <c r="AO151" s="1">
        <f>AO150-AO149</f>
        <v>-33</v>
      </c>
      <c r="AP151" s="1">
        <f>AP150-AP149</f>
        <v>-27</v>
      </c>
      <c r="AQ151" s="1">
        <f>AQ150-AQ149</f>
        <v>-76</v>
      </c>
      <c r="AR151" s="1">
        <f>AR150-AR149</f>
        <v>-68</v>
      </c>
      <c r="AS151" s="1">
        <f>AS150-AS149</f>
        <v>-31</v>
      </c>
      <c r="AT151" s="1">
        <f>AT150-AT149</f>
        <v>-35</v>
      </c>
      <c r="AU151" s="1">
        <f>AU150-AU149</f>
        <v>-68</v>
      </c>
      <c r="AV151" s="1">
        <f>AV150-AV149</f>
        <v>-43</v>
      </c>
      <c r="AW151" s="1">
        <f>AW150-AW149</f>
        <v>-102</v>
      </c>
      <c r="AX151" s="1">
        <f>AX150-AX149</f>
        <v>2</v>
      </c>
      <c r="AY151" s="1">
        <f>AY150-AY149</f>
        <v>-34</v>
      </c>
      <c r="AZ151" s="1">
        <f>AZ150-AZ149</f>
        <v>-47</v>
      </c>
      <c r="BA151" s="1">
        <f>BA150-BA149</f>
        <v>-91</v>
      </c>
      <c r="BB151" s="1">
        <f>BB150-BB149</f>
        <v>-96</v>
      </c>
      <c r="BC151" s="1">
        <f>BC150-BC149</f>
        <v>-20</v>
      </c>
      <c r="BD151" s="1">
        <f>BD150-BD149</f>
        <v>-15</v>
      </c>
      <c r="BE151" s="1">
        <f>BE150-BE149</f>
        <v>165</v>
      </c>
      <c r="BF151" s="1">
        <f>BF150-BF149</f>
        <v>306</v>
      </c>
      <c r="BG151" s="1">
        <f>BG150-BG149</f>
        <v>292</v>
      </c>
      <c r="BH151" s="1">
        <f>BH150-BH149</f>
        <v>310</v>
      </c>
      <c r="BI151" s="1">
        <f>BI150-BI149</f>
        <v>92</v>
      </c>
      <c r="BJ151" s="1">
        <f>BJ150-BJ149</f>
        <v>125</v>
      </c>
      <c r="BK151" s="1">
        <f>BK150-BK149</f>
        <v>-88</v>
      </c>
      <c r="BL151" s="1">
        <f>BL150-BL149</f>
        <v>-79</v>
      </c>
      <c r="BM151" s="1">
        <f>BM150-BM149</f>
        <v>43</v>
      </c>
      <c r="BN151" s="1">
        <f>BN150-BN149</f>
        <v>-81</v>
      </c>
      <c r="BO151" s="1">
        <f>BO150-BO149</f>
        <v>-329</v>
      </c>
      <c r="BP151" s="1">
        <f>BP150-BP149</f>
        <v>-299</v>
      </c>
      <c r="BQ151" s="1"/>
      <c r="BR151" s="1"/>
      <c r="BS151" s="17"/>
      <c r="BT151" s="17"/>
    </row>
    <row r="152" spans="1:74">
      <c r="A152" s="1"/>
      <c r="B152" s="3" t="s">
        <v>141</v>
      </c>
      <c r="C152" s="1"/>
      <c r="D152" s="1"/>
      <c r="E152" s="1">
        <f>MAX(E2:E148)</f>
        <v>15</v>
      </c>
      <c r="F152" s="1">
        <f>MAX(F2:F148)</f>
        <v>15</v>
      </c>
      <c r="G152" s="1">
        <f>MAX(G2:G148)</f>
        <v>20</v>
      </c>
      <c r="H152" s="1">
        <f>MAX(H2:H148)</f>
        <v>20</v>
      </c>
      <c r="I152" s="1">
        <f>MAX(I2:I148)</f>
        <v>10</v>
      </c>
      <c r="J152" s="1">
        <f>MAX(J2:J148)</f>
        <v>10</v>
      </c>
      <c r="K152" s="1">
        <f>MAX(K2:K148)</f>
        <v>15</v>
      </c>
      <c r="L152" s="1">
        <f>MAX(L2:L148)</f>
        <v>10</v>
      </c>
      <c r="M152" s="1">
        <f>MAX(M2:M148)</f>
        <v>10</v>
      </c>
      <c r="N152" s="1">
        <f>MAX(N2:N148)</f>
        <v>10</v>
      </c>
      <c r="O152" s="1">
        <f>MAX(O2:O148)</f>
        <v>10</v>
      </c>
      <c r="P152" s="1">
        <f>MAX(P2:P148)</f>
        <v>10</v>
      </c>
      <c r="Q152" s="1">
        <f>MAX(Q2:Q148)</f>
        <v>7</v>
      </c>
      <c r="R152" s="1">
        <f>MAX(R2:R148)</f>
        <v>10</v>
      </c>
      <c r="S152" s="1">
        <f>MAX(S2:S148)</f>
        <v>10</v>
      </c>
      <c r="T152" s="1">
        <f>MAX(T2:T148)</f>
        <v>7</v>
      </c>
      <c r="U152" s="1">
        <f>MAX(U2:U148)</f>
        <v>10</v>
      </c>
      <c r="V152" s="1">
        <f>MAX(V2:V148)</f>
        <v>10</v>
      </c>
      <c r="W152" s="1">
        <f>MAX(W2:W148)</f>
        <v>20</v>
      </c>
      <c r="X152" s="1">
        <f>MAX(X2:X148)</f>
        <v>10</v>
      </c>
      <c r="Y152" s="1">
        <f>MAX(Y2:Y148)</f>
        <v>10</v>
      </c>
      <c r="Z152" s="1">
        <f>MAX(Z2:Z148)</f>
        <v>20</v>
      </c>
      <c r="AA152" s="1">
        <f>MAX(AA2:AA148)</f>
        <v>10</v>
      </c>
      <c r="AB152" s="1">
        <f>MAX(AB2:AB148)</f>
        <v>10</v>
      </c>
      <c r="AC152" s="1">
        <f>MAX(AC2:AC148)</f>
        <v>20</v>
      </c>
      <c r="AD152" s="1">
        <f>MAX(AD2:AD148)</f>
        <v>10</v>
      </c>
      <c r="AE152" s="1">
        <f>MAX(AE2:AE148)</f>
        <v>200</v>
      </c>
      <c r="AF152" s="1">
        <f>MAX(AF2:AF148)</f>
        <v>5</v>
      </c>
      <c r="AG152" s="1">
        <f>MAX(AG2:AG148)</f>
        <v>5</v>
      </c>
      <c r="AH152" s="1">
        <f>MAX(AH2:AH148)</f>
        <v>5</v>
      </c>
      <c r="AI152" s="1">
        <f>MAX(AI2:AI148)</f>
        <v>5</v>
      </c>
      <c r="AJ152" s="1">
        <f>MAX(AJ2:AJ148)</f>
        <v>5</v>
      </c>
      <c r="AK152" s="1">
        <f>MAX(AK2:AK148)</f>
        <v>0</v>
      </c>
      <c r="AL152" s="1">
        <f>MAX(AL2:AL148)</f>
        <v>0</v>
      </c>
      <c r="AM152" s="1">
        <f>MAX(AM2:AM148)</f>
        <v>0</v>
      </c>
      <c r="AN152" s="1">
        <f>MAX(AN2:AN148)</f>
        <v>25</v>
      </c>
      <c r="AO152" s="1">
        <f>MAX(AO2:AO148)</f>
        <v>10</v>
      </c>
      <c r="AP152" s="1">
        <f>MAX(AP2:AP148)</f>
        <v>10</v>
      </c>
      <c r="AQ152" s="1">
        <f>MAX(AQ2:AQ148)</f>
        <v>40</v>
      </c>
      <c r="AR152" s="1">
        <f>MAX(AR2:AR148)</f>
        <v>15</v>
      </c>
      <c r="AS152" s="1">
        <f>MAX(AS2:AS148)</f>
        <v>15</v>
      </c>
      <c r="AT152" s="1">
        <f>MAX(AT2:AT148)</f>
        <v>10</v>
      </c>
      <c r="AU152" s="1">
        <f>MAX(AU2:AU148)</f>
        <v>20</v>
      </c>
      <c r="AV152" s="1">
        <f>MAX(AV2:AV148)</f>
        <v>40</v>
      </c>
      <c r="AW152" s="1">
        <f>MAX(AW2:AW148)</f>
        <v>50</v>
      </c>
      <c r="AX152" s="1">
        <f>MAX(AX2:AX148)</f>
        <v>40</v>
      </c>
      <c r="AY152" s="1">
        <f>MAX(AY2:AY148)</f>
        <v>20</v>
      </c>
      <c r="AZ152" s="1">
        <f>MAX(AZ2:AZ148)</f>
        <v>50</v>
      </c>
      <c r="BA152" s="1">
        <f>MAX(BA2:BA148)</f>
        <v>40</v>
      </c>
      <c r="BB152" s="1">
        <f>MAX(BB2:BB148)</f>
        <v>40</v>
      </c>
      <c r="BC152" s="1">
        <f>MAX(BC2:BC148)</f>
        <v>10</v>
      </c>
      <c r="BD152" s="1">
        <f>MAX(BD2:BD148)</f>
        <v>10</v>
      </c>
      <c r="BE152" s="1">
        <f>MAX(BE2:BE148)</f>
        <v>50</v>
      </c>
      <c r="BF152" s="1">
        <f>MAX(BF2:BF148)</f>
        <v>50</v>
      </c>
      <c r="BG152" s="1">
        <f>MAX(BG2:BG148)</f>
        <v>20</v>
      </c>
      <c r="BH152" s="1">
        <f>MAX(BH2:BH148)</f>
        <v>20</v>
      </c>
      <c r="BI152" s="1">
        <f>MAX(BI2:BI148)</f>
        <v>50</v>
      </c>
      <c r="BJ152" s="1">
        <f>MAX(BJ2:BJ148)</f>
        <v>50</v>
      </c>
      <c r="BK152" s="1">
        <f>MAX(BK2:BK148)</f>
        <v>50</v>
      </c>
      <c r="BL152" s="1">
        <f>MAX(BL2:BL148)</f>
        <v>50</v>
      </c>
      <c r="BM152" s="1">
        <f>MAX(BM2:BM148)</f>
        <v>50</v>
      </c>
      <c r="BN152" s="1">
        <f>MAX(BN2:BN148)</f>
        <v>50</v>
      </c>
      <c r="BO152" s="1">
        <f>MAX(BO2:BO148)</f>
        <v>50</v>
      </c>
      <c r="BP152" s="1">
        <f>MAX(BP2:BP148)</f>
        <v>50</v>
      </c>
      <c r="BQ152" s="1"/>
      <c r="BR152" s="1"/>
      <c r="BS152" s="17"/>
      <c r="BT152" s="17"/>
    </row>
    <row r="153" spans="1:74">
      <c r="A153" s="1"/>
      <c r="B153" s="3" t="s">
        <v>142</v>
      </c>
      <c r="C153" s="1"/>
      <c r="D153" s="1"/>
      <c r="E153" s="1">
        <f>MIN(E2:E148)</f>
        <v>5</v>
      </c>
      <c r="F153" s="1">
        <f>MIN(F2:F148)</f>
        <v>15</v>
      </c>
      <c r="G153" s="1">
        <f>MIN(G2:G148)</f>
        <v>4</v>
      </c>
      <c r="H153" s="1">
        <f>MIN(H2:H148)</f>
        <v>4</v>
      </c>
      <c r="I153" s="1">
        <f>MIN(I2:I148)</f>
        <v>7</v>
      </c>
      <c r="J153" s="1">
        <f>MIN(J2:J148)</f>
        <v>10</v>
      </c>
      <c r="K153" s="1">
        <f>MIN(K2:K148)</f>
        <v>6</v>
      </c>
      <c r="L153" s="1">
        <f>MIN(L2:L148)</f>
        <v>7</v>
      </c>
      <c r="M153" s="1">
        <f>MIN(M2:M148)</f>
        <v>6</v>
      </c>
      <c r="N153" s="1">
        <f>MIN(N2:N148)</f>
        <v>10</v>
      </c>
      <c r="O153" s="1">
        <f>MIN(O2:O148)</f>
        <v>5</v>
      </c>
      <c r="P153" s="1">
        <f>MIN(P2:P148)</f>
        <v>10</v>
      </c>
      <c r="Q153" s="1">
        <f>MIN(Q2:Q148)</f>
        <v>5</v>
      </c>
      <c r="R153" s="1">
        <f>MIN(R2:R148)</f>
        <v>2</v>
      </c>
      <c r="S153" s="1">
        <f>MIN(S2:S148)</f>
        <v>10</v>
      </c>
      <c r="T153" s="1">
        <f>MIN(T2:T148)</f>
        <v>5</v>
      </c>
      <c r="U153" s="1">
        <f>MIN(U2:U148)</f>
        <v>2</v>
      </c>
      <c r="V153" s="1">
        <f>MIN(V2:V148)</f>
        <v>5</v>
      </c>
      <c r="W153" s="1">
        <f>MIN(W2:W148)</f>
        <v>5</v>
      </c>
      <c r="X153" s="1">
        <f>MIN(X2:X148)</f>
        <v>2</v>
      </c>
      <c r="Y153" s="1">
        <f>MIN(Y2:Y148)</f>
        <v>5</v>
      </c>
      <c r="Z153" s="1">
        <f>MIN(Z2:Z148)</f>
        <v>5</v>
      </c>
      <c r="AA153" s="1">
        <f>MIN(AA2:AA148)</f>
        <v>2</v>
      </c>
      <c r="AB153" s="1">
        <f>MIN(AB2:AB148)</f>
        <v>10</v>
      </c>
      <c r="AC153" s="1">
        <f>MIN(AC2:AC148)</f>
        <v>5</v>
      </c>
      <c r="AD153" s="1">
        <f>MIN(AD2:AD148)</f>
        <v>2</v>
      </c>
      <c r="AE153" s="1">
        <f>MIN(AE2:AE148)</f>
        <v>50</v>
      </c>
      <c r="AF153" s="1">
        <f>MIN(AF2:AF148)</f>
        <v>5</v>
      </c>
      <c r="AG153" s="1">
        <f>MIN(AG2:AG148)</f>
        <v>5</v>
      </c>
      <c r="AH153" s="1">
        <f>MIN(AH2:AH148)</f>
        <v>5</v>
      </c>
      <c r="AI153" s="1">
        <f>MIN(AI2:AI148)</f>
        <v>5</v>
      </c>
      <c r="AJ153" s="1">
        <f>MIN(AJ2:AJ148)</f>
        <v>5</v>
      </c>
      <c r="AK153" s="1">
        <f>MIN(AK2:AK148)</f>
        <v>0</v>
      </c>
      <c r="AL153" s="1">
        <f>MIN(AL2:AL148)</f>
        <v>0</v>
      </c>
      <c r="AM153" s="1">
        <f>MIN(AM2:AM148)</f>
        <v>0</v>
      </c>
      <c r="AN153" s="1">
        <f>MIN(AN2:AN148)</f>
        <v>15</v>
      </c>
      <c r="AO153" s="1">
        <f>MIN(AO2:AO148)</f>
        <v>2</v>
      </c>
      <c r="AP153" s="1">
        <f>MIN(AP2:AP148)</f>
        <v>1</v>
      </c>
      <c r="AQ153" s="1">
        <f>MIN(AQ2:AQ148)</f>
        <v>10</v>
      </c>
      <c r="AR153" s="1">
        <f>MIN(AR2:AR148)</f>
        <v>10</v>
      </c>
      <c r="AS153" s="1">
        <f>MIN(AS2:AS148)</f>
        <v>5</v>
      </c>
      <c r="AT153" s="1">
        <f>MIN(AT2:AT148)</f>
        <v>10</v>
      </c>
      <c r="AU153" s="1">
        <f>MIN(AU2:AU148)</f>
        <v>5</v>
      </c>
      <c r="AV153" s="1">
        <f>MIN(AV2:AV148)</f>
        <v>10</v>
      </c>
      <c r="AW153" s="1">
        <f>MIN(AW2:AW148)</f>
        <v>10</v>
      </c>
      <c r="AX153" s="1">
        <f>MIN(AX2:AX148)</f>
        <v>5</v>
      </c>
      <c r="AY153" s="1">
        <f>MIN(AY2:AY148)</f>
        <v>5</v>
      </c>
      <c r="AZ153" s="1">
        <f>MIN(AZ2:AZ148)</f>
        <v>10</v>
      </c>
      <c r="BA153" s="1">
        <f>MIN(BA2:BA148)</f>
        <v>10</v>
      </c>
      <c r="BB153" s="1">
        <f>MIN(BB2:BB148)</f>
        <v>10</v>
      </c>
      <c r="BC153" s="1">
        <f>MIN(BC2:BC148)</f>
        <v>10</v>
      </c>
      <c r="BD153" s="1">
        <f>MIN(BD2:BD148)</f>
        <v>10</v>
      </c>
      <c r="BE153" s="1">
        <f>MIN(BE2:BE148)</f>
        <v>20</v>
      </c>
      <c r="BF153" s="1">
        <f>MIN(BF2:BF148)</f>
        <v>20</v>
      </c>
      <c r="BG153" s="1">
        <f>MIN(BG2:BG148)</f>
        <v>20</v>
      </c>
      <c r="BH153" s="1">
        <f>MIN(BH2:BH148)</f>
        <v>20</v>
      </c>
      <c r="BI153" s="1">
        <f>MIN(BI2:BI148)</f>
        <v>20</v>
      </c>
      <c r="BJ153" s="1">
        <f>MIN(BJ2:BJ148)</f>
        <v>20</v>
      </c>
      <c r="BK153" s="1">
        <f>MIN(BK2:BK148)</f>
        <v>50</v>
      </c>
      <c r="BL153" s="1">
        <f>MIN(BL2:BL148)</f>
        <v>50</v>
      </c>
      <c r="BM153" s="1">
        <f>MIN(BM2:BM148)</f>
        <v>50</v>
      </c>
      <c r="BN153" s="1">
        <f>MIN(BN2:BN148)</f>
        <v>50</v>
      </c>
      <c r="BO153" s="1">
        <f>MIN(BO2:BO148)</f>
        <v>50</v>
      </c>
      <c r="BP153" s="1">
        <f>MIN(BP2:BP148)</f>
        <v>50</v>
      </c>
      <c r="BQ153" s="1"/>
      <c r="BR153" s="1"/>
      <c r="BS153" s="17"/>
      <c r="BT153" s="17"/>
    </row>
    <row r="154" spans="1:74">
      <c r="A154" s="1"/>
      <c r="B154" s="3" t="s">
        <v>143</v>
      </c>
      <c r="C154" s="1"/>
      <c r="D154" s="1"/>
      <c r="E154" s="1">
        <f>E150-E152</f>
        <v>-6</v>
      </c>
      <c r="F154" s="1">
        <f>F150-F152</f>
        <v>10</v>
      </c>
      <c r="G154" s="1">
        <f>G150-G152</f>
        <v>-8</v>
      </c>
      <c r="H154" s="1">
        <f>H150-H152</f>
        <v>-17</v>
      </c>
      <c r="I154" s="1">
        <f>I150-I152</f>
        <v>70</v>
      </c>
      <c r="J154" s="1">
        <f>J150-J152</f>
        <v>80</v>
      </c>
      <c r="K154" s="1">
        <f>K150-K152</f>
        <v>50</v>
      </c>
      <c r="L154" s="1">
        <f>L150-L152</f>
        <v>26</v>
      </c>
      <c r="M154" s="1">
        <f>M150-M152</f>
        <v>45</v>
      </c>
      <c r="N154" s="1">
        <f>N150-N152</f>
        <v>87</v>
      </c>
      <c r="O154" s="1">
        <f>O150-O152</f>
        <v>15</v>
      </c>
      <c r="P154" s="1">
        <f>P150-P152</f>
        <v>93</v>
      </c>
      <c r="Q154" s="1">
        <f>Q150-Q152</f>
        <v>5</v>
      </c>
      <c r="R154" s="1">
        <f>R150-R152</f>
        <v>-10</v>
      </c>
      <c r="S154" s="1">
        <f>S150-S152</f>
        <v>153</v>
      </c>
      <c r="T154" s="1">
        <f>T150-T152</f>
        <v>19</v>
      </c>
      <c r="U154" s="1">
        <f>U150-U152</f>
        <v>-4</v>
      </c>
      <c r="V154" s="1">
        <f>V150-V152</f>
        <v>85</v>
      </c>
      <c r="W154" s="1">
        <f>W150-W152</f>
        <v>-12</v>
      </c>
      <c r="X154" s="1">
        <f>X150-X152</f>
        <v>-10</v>
      </c>
      <c r="Y154" s="1">
        <f>Y150-Y152</f>
        <v>67</v>
      </c>
      <c r="Z154" s="1">
        <f>Z150-Z152</f>
        <v>12</v>
      </c>
      <c r="AA154" s="1">
        <f>AA150-AA152</f>
        <v>-9</v>
      </c>
      <c r="AB154" s="1">
        <f>AB150-AB152</f>
        <v>78</v>
      </c>
      <c r="AC154" s="1">
        <f>AC150-AC152</f>
        <v>-9</v>
      </c>
      <c r="AD154" s="1">
        <f>AD150-AD152</f>
        <v>-10</v>
      </c>
      <c r="AE154" s="1">
        <f>AE150-AE152</f>
        <v>-179</v>
      </c>
      <c r="AF154" s="1">
        <f>AF150-AF152</f>
        <v>-4</v>
      </c>
      <c r="AG154" s="1">
        <f>AG150-AG152</f>
        <v>3</v>
      </c>
      <c r="AH154" s="1">
        <f>AH150-AH152</f>
        <v>-5</v>
      </c>
      <c r="AI154" s="1">
        <f>AI150-AI152</f>
        <v>-5</v>
      </c>
      <c r="AJ154" s="1">
        <f>AJ150-AJ152</f>
        <v>-5</v>
      </c>
      <c r="AK154" s="1">
        <f>AK150-AK152</f>
        <v>23</v>
      </c>
      <c r="AL154" s="1">
        <f>AL150-AL152</f>
        <v>33</v>
      </c>
      <c r="AM154" s="1">
        <f>AM150-AM152</f>
        <v>0</v>
      </c>
      <c r="AN154" s="1">
        <f>AN150-AN152</f>
        <v>-24</v>
      </c>
      <c r="AO154" s="1">
        <f>AO150-AO152</f>
        <v>-10</v>
      </c>
      <c r="AP154" s="1">
        <f>AP150-AP152</f>
        <v>-10</v>
      </c>
      <c r="AQ154" s="1">
        <f>AQ150-AQ152</f>
        <v>79</v>
      </c>
      <c r="AR154" s="1">
        <f>AR150-AR152</f>
        <v>12</v>
      </c>
      <c r="AS154" s="1">
        <f>AS150-AS152</f>
        <v>34</v>
      </c>
      <c r="AT154" s="1">
        <f>AT150-AT152</f>
        <v>15</v>
      </c>
      <c r="AU154" s="1">
        <f>AU150-AU152</f>
        <v>12</v>
      </c>
      <c r="AV154" s="1">
        <f>AV150-AV152</f>
        <v>72</v>
      </c>
      <c r="AW154" s="1">
        <f>AW150-AW152</f>
        <v>63</v>
      </c>
      <c r="AX154" s="1">
        <f>AX150-AX152</f>
        <v>32</v>
      </c>
      <c r="AY154" s="1">
        <f>AY150-AY152</f>
        <v>-4</v>
      </c>
      <c r="AZ154" s="1">
        <f>AZ150-AZ152</f>
        <v>-17</v>
      </c>
      <c r="BA154" s="1">
        <f>BA150-BA152</f>
        <v>-26</v>
      </c>
      <c r="BB154" s="1">
        <f>BB150-BB152</f>
        <v>29</v>
      </c>
      <c r="BC154" s="1">
        <f>BC150-BC152</f>
        <v>0</v>
      </c>
      <c r="BD154" s="1">
        <f>BD150-BD152</f>
        <v>-5</v>
      </c>
      <c r="BE154" s="1">
        <f>BE150-BE152</f>
        <v>205</v>
      </c>
      <c r="BF154" s="1">
        <f>BF150-BF152</f>
        <v>346</v>
      </c>
      <c r="BG154" s="1">
        <f>BG150-BG152</f>
        <v>292</v>
      </c>
      <c r="BH154" s="1">
        <f>BH150-BH152</f>
        <v>310</v>
      </c>
      <c r="BI154" s="1">
        <f>BI150-BI152</f>
        <v>112</v>
      </c>
      <c r="BJ154" s="1">
        <f>BJ150-BJ152</f>
        <v>145</v>
      </c>
      <c r="BK154" s="1">
        <f>BK150-BK152</f>
        <v>62</v>
      </c>
      <c r="BL154" s="1">
        <f>BL150-BL152</f>
        <v>71</v>
      </c>
      <c r="BM154" s="1">
        <f>BM150-BM152</f>
        <v>143</v>
      </c>
      <c r="BN154" s="1">
        <f>BN150-BN152</f>
        <v>19</v>
      </c>
      <c r="BO154" s="1">
        <f>BO150-BO152</f>
        <v>-29</v>
      </c>
      <c r="BP154" s="1">
        <f>BP150-BP152</f>
        <v>1</v>
      </c>
      <c r="BQ154" s="1"/>
      <c r="BR154" s="1"/>
      <c r="BS154" s="17"/>
      <c r="BT154" s="17"/>
    </row>
    <row r="155" spans="1:74" s="13" customFormat="1">
      <c r="A155" s="1"/>
      <c r="B155" s="3" t="s">
        <v>144</v>
      </c>
      <c r="C155" s="1"/>
      <c r="D155" s="1"/>
      <c r="E155" s="1">
        <f>E150-E153</f>
        <v>4</v>
      </c>
      <c r="F155" s="1">
        <f>F150-F153</f>
        <v>10</v>
      </c>
      <c r="G155" s="1">
        <f>G150-G153</f>
        <v>8</v>
      </c>
      <c r="H155" s="1">
        <f>H150-H153</f>
        <v>-1</v>
      </c>
      <c r="I155" s="1">
        <f>I150-I153</f>
        <v>73</v>
      </c>
      <c r="J155" s="1">
        <f>J150-J153</f>
        <v>80</v>
      </c>
      <c r="K155" s="1">
        <f>K150-K153</f>
        <v>59</v>
      </c>
      <c r="L155" s="1">
        <f>L150-L153</f>
        <v>29</v>
      </c>
      <c r="M155" s="1">
        <f>M150-M153</f>
        <v>49</v>
      </c>
      <c r="N155" s="1">
        <f>N150-N153</f>
        <v>87</v>
      </c>
      <c r="O155" s="1">
        <f>O150-O153</f>
        <v>20</v>
      </c>
      <c r="P155" s="1">
        <f>P150-P153</f>
        <v>93</v>
      </c>
      <c r="Q155" s="1">
        <f>Q150-Q153</f>
        <v>7</v>
      </c>
      <c r="R155" s="1">
        <f>R150-R153</f>
        <v>-2</v>
      </c>
      <c r="S155" s="1">
        <f>S150-S153</f>
        <v>153</v>
      </c>
      <c r="T155" s="1">
        <f>T150-T153</f>
        <v>21</v>
      </c>
      <c r="U155" s="1">
        <f>U150-U153</f>
        <v>4</v>
      </c>
      <c r="V155" s="1">
        <f>V150-V153</f>
        <v>90</v>
      </c>
      <c r="W155" s="1">
        <f>W150-W153</f>
        <v>3</v>
      </c>
      <c r="X155" s="1">
        <f>X150-X153</f>
        <v>-2</v>
      </c>
      <c r="Y155" s="1">
        <f>Y150-Y153</f>
        <v>72</v>
      </c>
      <c r="Z155" s="1">
        <f>Z150-Z153</f>
        <v>27</v>
      </c>
      <c r="AA155" s="1">
        <f>AA150-AA153</f>
        <v>-1</v>
      </c>
      <c r="AB155" s="1">
        <f>AB150-AB153</f>
        <v>78</v>
      </c>
      <c r="AC155" s="1">
        <f>AC150-AC153</f>
        <v>6</v>
      </c>
      <c r="AD155" s="1">
        <f>AD150-AD153</f>
        <v>-2</v>
      </c>
      <c r="AE155" s="1">
        <f>AE150-AE153</f>
        <v>-29</v>
      </c>
      <c r="AF155" s="1">
        <f>AF150-AF153</f>
        <v>-4</v>
      </c>
      <c r="AG155" s="1">
        <f>AG150-AG153</f>
        <v>3</v>
      </c>
      <c r="AH155" s="1">
        <f>AH150-AH153</f>
        <v>-5</v>
      </c>
      <c r="AI155" s="1">
        <f>AI150-AI153</f>
        <v>-5</v>
      </c>
      <c r="AJ155" s="1">
        <f>AJ150-AJ153</f>
        <v>-5</v>
      </c>
      <c r="AK155" s="1">
        <f>AK150-AK153</f>
        <v>23</v>
      </c>
      <c r="AL155" s="1">
        <f>AL150-AL153</f>
        <v>33</v>
      </c>
      <c r="AM155" s="1">
        <f>AM150-AM153</f>
        <v>0</v>
      </c>
      <c r="AN155" s="1">
        <f>AN150-AN153</f>
        <v>-14</v>
      </c>
      <c r="AO155" s="1">
        <f>AO150-AO153</f>
        <v>-2</v>
      </c>
      <c r="AP155" s="1">
        <f>AP150-AP153</f>
        <v>-1</v>
      </c>
      <c r="AQ155" s="1">
        <f>AQ150-AQ153</f>
        <v>109</v>
      </c>
      <c r="AR155" s="1">
        <f>AR150-AR153</f>
        <v>17</v>
      </c>
      <c r="AS155" s="1">
        <f>AS150-AS153</f>
        <v>44</v>
      </c>
      <c r="AT155" s="1">
        <f>AT150-AT153</f>
        <v>15</v>
      </c>
      <c r="AU155" s="1">
        <f>AU150-AU153</f>
        <v>27</v>
      </c>
      <c r="AV155" s="1">
        <f>AV150-AV153</f>
        <v>102</v>
      </c>
      <c r="AW155" s="1">
        <f>AW150-AW153</f>
        <v>103</v>
      </c>
      <c r="AX155" s="1">
        <f>AX150-AX153</f>
        <v>67</v>
      </c>
      <c r="AY155" s="1">
        <f>AY150-AY153</f>
        <v>11</v>
      </c>
      <c r="AZ155" s="1">
        <f>AZ150-AZ153</f>
        <v>23</v>
      </c>
      <c r="BA155" s="1">
        <f>BA150-BA153</f>
        <v>4</v>
      </c>
      <c r="BB155" s="1">
        <f>BB150-BB153</f>
        <v>59</v>
      </c>
      <c r="BC155" s="1">
        <f>BC150-BC153</f>
        <v>0</v>
      </c>
      <c r="BD155" s="1">
        <f>BD150-BD153</f>
        <v>-5</v>
      </c>
      <c r="BE155" s="1">
        <f>BE150-BE153</f>
        <v>235</v>
      </c>
      <c r="BF155" s="1">
        <f>BF150-BF153</f>
        <v>376</v>
      </c>
      <c r="BG155" s="1">
        <f>BG150-BG153</f>
        <v>292</v>
      </c>
      <c r="BH155" s="1">
        <f>BH150-BH153</f>
        <v>310</v>
      </c>
      <c r="BI155" s="1">
        <f>BI150-BI153</f>
        <v>142</v>
      </c>
      <c r="BJ155" s="1">
        <f>BJ150-BJ153</f>
        <v>175</v>
      </c>
      <c r="BK155" s="1">
        <f>BK150-BK153</f>
        <v>62</v>
      </c>
      <c r="BL155" s="1">
        <f>BL150-BL153</f>
        <v>71</v>
      </c>
      <c r="BM155" s="1">
        <f>BM150-BM153</f>
        <v>143</v>
      </c>
      <c r="BN155" s="1">
        <f>BN150-BN153</f>
        <v>19</v>
      </c>
      <c r="BO155" s="1">
        <f>BO150-BO153</f>
        <v>-29</v>
      </c>
      <c r="BP155" s="1">
        <f>BP150-BP153</f>
        <v>1</v>
      </c>
      <c r="BQ155" s="1"/>
      <c r="BR155" s="1"/>
      <c r="BS155" s="17"/>
      <c r="BT155" s="17"/>
    </row>
    <row r="156" spans="1:74">
      <c r="AQ156" s="7" t="s">
        <v>167</v>
      </c>
      <c r="AR156" s="7" t="s">
        <v>170</v>
      </c>
      <c r="AS156" s="7" t="s">
        <v>171</v>
      </c>
      <c r="AT156" s="7" t="s">
        <v>168</v>
      </c>
      <c r="AU156" s="7" t="s">
        <v>169</v>
      </c>
      <c r="AV156" s="7" t="s">
        <v>166</v>
      </c>
      <c r="AW156" s="7" t="s">
        <v>172</v>
      </c>
      <c r="AX156" s="7" t="s">
        <v>173</v>
      </c>
      <c r="AY156" s="7" t="s">
        <v>174</v>
      </c>
      <c r="AZ156" s="7" t="s">
        <v>175</v>
      </c>
      <c r="BA156" s="7" t="s">
        <v>176</v>
      </c>
      <c r="BB156" s="7" t="s">
        <v>177</v>
      </c>
    </row>
  </sheetData>
  <autoFilter ref="A1:BV156">
    <sortState ref="A2:BV156">
      <sortCondition ref="BS2:BS156"/>
      <sortCondition ref="BR2:BR156"/>
    </sortState>
  </autoFilter>
  <sortState ref="A2:CT148">
    <sortCondition ref="BS2:BS148"/>
    <sortCondition ref="BR2:BR148"/>
  </sortState>
  <phoneticPr fontId="1" type="noConversion"/>
  <conditionalFormatting sqref="E152:BC152 BE152:BP152">
    <cfRule type="expression" dxfId="8" priority="13">
      <formula>"&lt;=$E$135"</formula>
    </cfRule>
  </conditionalFormatting>
  <conditionalFormatting sqref="E154:BC155 BE154:BP155">
    <cfRule type="cellIs" dxfId="7" priority="4" operator="lessThan">
      <formula>0</formula>
    </cfRule>
  </conditionalFormatting>
  <conditionalFormatting sqref="E151:BC151 BE151:BP151">
    <cfRule type="cellIs" dxfId="6" priority="5" operator="lessThan">
      <formula>0</formula>
    </cfRule>
  </conditionalFormatting>
  <conditionalFormatting sqref="BD152">
    <cfRule type="expression" dxfId="5" priority="3">
      <formula>"&lt;=$E$135"</formula>
    </cfRule>
  </conditionalFormatting>
  <conditionalFormatting sqref="BD154:BD155">
    <cfRule type="cellIs" dxfId="4" priority="1" operator="lessThan">
      <formula>0</formula>
    </cfRule>
  </conditionalFormatting>
  <conditionalFormatting sqref="BD151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155</xdr:row>
                    <xdr:rowOff>28575</xdr:rowOff>
                  </from>
                  <to>
                    <xdr:col>1</xdr:col>
                    <xdr:colOff>428625</xdr:colOff>
                    <xdr:row>156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100</v>
      </c>
      <c r="Q1" s="27" t="s">
        <v>112</v>
      </c>
      <c r="R1" s="27" t="s">
        <v>106</v>
      </c>
      <c r="S1" s="27" t="s">
        <v>101</v>
      </c>
      <c r="T1" s="27" t="s">
        <v>110</v>
      </c>
      <c r="U1" s="27" t="s">
        <v>115</v>
      </c>
      <c r="V1" s="27" t="s">
        <v>102</v>
      </c>
      <c r="W1" s="27" t="s">
        <v>109</v>
      </c>
      <c r="X1" s="27" t="s">
        <v>107</v>
      </c>
      <c r="Y1" s="27" t="s">
        <v>103</v>
      </c>
      <c r="Z1" s="27" t="s">
        <v>111</v>
      </c>
      <c r="AA1" s="27" t="s">
        <v>116</v>
      </c>
      <c r="AB1" s="27" t="s">
        <v>105</v>
      </c>
      <c r="AC1" s="27" t="s">
        <v>104</v>
      </c>
      <c r="AD1" s="27" t="s">
        <v>126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88</v>
      </c>
      <c r="AP1" s="8" t="s">
        <v>89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85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53</v>
      </c>
      <c r="BQ1" s="8" t="s">
        <v>72</v>
      </c>
      <c r="BR1" s="16" t="s">
        <v>73</v>
      </c>
      <c r="BS1" s="16"/>
      <c r="BT1" s="10" t="s">
        <v>37</v>
      </c>
      <c r="BU1" s="10" t="s">
        <v>4</v>
      </c>
      <c r="BV1" s="10" t="s">
        <v>25</v>
      </c>
      <c r="BW1" s="10" t="s">
        <v>50</v>
      </c>
      <c r="BX1" s="10" t="s">
        <v>52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50</v>
      </c>
      <c r="CK1" s="10" t="s">
        <v>52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0">
        <v>77</v>
      </c>
      <c r="B2" s="37" t="s">
        <v>129</v>
      </c>
      <c r="C2" s="37" t="s">
        <v>49</v>
      </c>
      <c r="D2" s="30" t="s">
        <v>9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164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8" customFormat="1" ht="27">
      <c r="A3" s="40"/>
      <c r="B3" s="40" t="s">
        <v>180</v>
      </c>
      <c r="C3" s="40" t="s">
        <v>83</v>
      </c>
      <c r="D3" s="40" t="s">
        <v>99</v>
      </c>
      <c r="E3" s="41"/>
      <c r="F3" s="41"/>
      <c r="G3" s="41"/>
      <c r="H3" s="41"/>
      <c r="I3" s="41">
        <v>10</v>
      </c>
      <c r="J3" s="41"/>
      <c r="K3" s="41"/>
      <c r="L3" s="41"/>
      <c r="M3" s="41"/>
      <c r="N3" s="41"/>
      <c r="O3" s="41"/>
      <c r="P3" s="42"/>
      <c r="Q3" s="42"/>
      <c r="R3" s="42">
        <v>10</v>
      </c>
      <c r="S3" s="42"/>
      <c r="T3" s="42"/>
      <c r="U3" s="42"/>
      <c r="V3" s="42"/>
      <c r="W3" s="42"/>
      <c r="X3" s="42">
        <v>10</v>
      </c>
      <c r="Y3" s="42"/>
      <c r="Z3" s="42"/>
      <c r="AA3" s="42"/>
      <c r="AB3" s="42"/>
      <c r="AC3" s="42"/>
      <c r="AD3" s="42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>
        <v>10</v>
      </c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>SUM(E3:BO3)</f>
        <v>40</v>
      </c>
      <c r="BQ3" s="40">
        <v>8</v>
      </c>
      <c r="BR3" s="46">
        <v>2</v>
      </c>
      <c r="BS3" s="46" t="s">
        <v>190</v>
      </c>
      <c r="BT3" s="40" t="str">
        <f t="shared" ref="BT3:CE3" si="2">IF(AQ3&gt;AQ$141, AQ3-AQ$141,"")</f>
        <v/>
      </c>
      <c r="BU3" s="40" t="str">
        <f t="shared" si="2"/>
        <v/>
      </c>
      <c r="BV3" s="40" t="str">
        <f t="shared" si="2"/>
        <v/>
      </c>
      <c r="BW3" s="40">
        <f t="shared" si="2"/>
        <v>10</v>
      </c>
      <c r="BX3" s="40" t="str">
        <f t="shared" si="2"/>
        <v/>
      </c>
      <c r="BY3" s="40" t="str">
        <f t="shared" si="2"/>
        <v/>
      </c>
      <c r="BZ3" s="40" t="str">
        <f t="shared" si="2"/>
        <v/>
      </c>
      <c r="CA3" s="40" t="str">
        <f t="shared" si="2"/>
        <v/>
      </c>
      <c r="CB3" s="40" t="str">
        <f t="shared" si="2"/>
        <v/>
      </c>
      <c r="CC3" s="40" t="str">
        <f t="shared" si="2"/>
        <v/>
      </c>
      <c r="CD3" s="40" t="str">
        <f t="shared" si="2"/>
        <v/>
      </c>
      <c r="CE3" s="40" t="str">
        <f t="shared" si="2"/>
        <v/>
      </c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7"/>
    </row>
    <row r="4" spans="1:97">
      <c r="A4" s="1"/>
      <c r="B4" s="1" t="s">
        <v>53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70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77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141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142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143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144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178</v>
      </c>
      <c r="AQ11" s="7" t="s">
        <v>167</v>
      </c>
      <c r="AR11" s="7" t="s">
        <v>170</v>
      </c>
      <c r="AS11" s="7" t="s">
        <v>171</v>
      </c>
      <c r="AT11" s="7" t="s">
        <v>168</v>
      </c>
      <c r="AU11" s="7" t="s">
        <v>169</v>
      </c>
      <c r="AV11" s="7" t="s">
        <v>166</v>
      </c>
      <c r="AW11" s="7" t="s">
        <v>172</v>
      </c>
      <c r="AX11" s="7" t="s">
        <v>173</v>
      </c>
      <c r="AY11" s="7" t="s">
        <v>174</v>
      </c>
      <c r="AZ11" s="7" t="s">
        <v>175</v>
      </c>
      <c r="BA11" s="7" t="s">
        <v>176</v>
      </c>
      <c r="BB11" s="7" t="s">
        <v>177</v>
      </c>
    </row>
    <row r="12" spans="1:97">
      <c r="R12" s="7" t="s">
        <v>179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68</v>
      </c>
      <c r="B1" s="5" t="s">
        <v>65</v>
      </c>
      <c r="C1" s="5" t="s">
        <v>69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50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52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50</v>
      </c>
      <c r="K19" s="10" t="s">
        <v>52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145</v>
      </c>
      <c r="D27" t="s">
        <v>146</v>
      </c>
      <c r="E27" t="s">
        <v>147</v>
      </c>
      <c r="F27" t="s">
        <v>148</v>
      </c>
      <c r="G27" t="s">
        <v>149</v>
      </c>
      <c r="H27" t="s">
        <v>150</v>
      </c>
      <c r="I27" t="s">
        <v>151</v>
      </c>
      <c r="J27" t="s">
        <v>152</v>
      </c>
      <c r="K27" t="s">
        <v>153</v>
      </c>
      <c r="L27" t="s">
        <v>154</v>
      </c>
      <c r="M27" t="s">
        <v>155</v>
      </c>
      <c r="N27" t="s">
        <v>156</v>
      </c>
    </row>
    <row r="31" spans="3:18">
      <c r="C31">
        <v>-3</v>
      </c>
      <c r="D31" t="s">
        <v>145</v>
      </c>
    </row>
    <row r="32" spans="3:18">
      <c r="C32">
        <v>-8</v>
      </c>
      <c r="D32" t="s">
        <v>146</v>
      </c>
    </row>
    <row r="33" spans="3:4">
      <c r="C33">
        <v>-3</v>
      </c>
      <c r="D33" t="s">
        <v>147</v>
      </c>
    </row>
    <row r="34" spans="3:4">
      <c r="C34">
        <v>1</v>
      </c>
      <c r="D34" t="s">
        <v>148</v>
      </c>
    </row>
    <row r="35" spans="3:4">
      <c r="C35">
        <v>3</v>
      </c>
      <c r="D35" t="s">
        <v>149</v>
      </c>
    </row>
    <row r="36" spans="3:4">
      <c r="C36">
        <v>0</v>
      </c>
      <c r="D36" t="s">
        <v>150</v>
      </c>
    </row>
    <row r="37" spans="3:4">
      <c r="C37">
        <v>-3</v>
      </c>
      <c r="D37" t="s">
        <v>151</v>
      </c>
    </row>
    <row r="38" spans="3:4">
      <c r="C38">
        <v>30</v>
      </c>
      <c r="D38" t="s">
        <v>152</v>
      </c>
    </row>
    <row r="39" spans="3:4">
      <c r="C39">
        <v>5</v>
      </c>
      <c r="D39" t="s">
        <v>153</v>
      </c>
    </row>
    <row r="40" spans="3:4">
      <c r="C40">
        <v>-10</v>
      </c>
      <c r="D40" t="s">
        <v>154</v>
      </c>
    </row>
    <row r="41" spans="3:4">
      <c r="C41">
        <v>3</v>
      </c>
      <c r="D41" t="s">
        <v>155</v>
      </c>
    </row>
    <row r="42" spans="3:4">
      <c r="C42">
        <v>138</v>
      </c>
      <c r="D42" t="s">
        <v>156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74</v>
      </c>
      <c r="B1" s="8" t="s">
        <v>75</v>
      </c>
      <c r="C1" s="8" t="s">
        <v>76</v>
      </c>
    </row>
    <row r="2" spans="1:3">
      <c r="A2" s="1">
        <v>5</v>
      </c>
      <c r="B2" s="10" t="s">
        <v>52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50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191</v>
      </c>
      <c r="F3" t="s">
        <v>192</v>
      </c>
      <c r="G3" t="s">
        <v>193</v>
      </c>
      <c r="H3" t="s">
        <v>194</v>
      </c>
      <c r="I3" t="s">
        <v>195</v>
      </c>
      <c r="J3" t="s">
        <v>196</v>
      </c>
    </row>
    <row r="4" spans="3:10">
      <c r="C4" s="57" t="s">
        <v>197</v>
      </c>
      <c r="D4" t="s">
        <v>198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7" t="s">
        <v>199</v>
      </c>
      <c r="D5" t="s">
        <v>200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7" t="s">
        <v>201</v>
      </c>
      <c r="D6" t="s">
        <v>200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7" t="s">
        <v>202</v>
      </c>
      <c r="D7" t="s">
        <v>200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203</v>
      </c>
      <c r="D8" t="s">
        <v>204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7" t="s">
        <v>205</v>
      </c>
      <c r="D9" t="s">
        <v>204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7" t="s">
        <v>206</v>
      </c>
      <c r="D10" t="s">
        <v>204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7" t="s">
        <v>209</v>
      </c>
      <c r="D11" t="s">
        <v>200</v>
      </c>
      <c r="E11" s="5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207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207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207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207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208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204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204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204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2020-06-02T05:51:25Z</dcterms:modified>
</cp:coreProperties>
</file>