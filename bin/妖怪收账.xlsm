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E:\yuel\project\MonsterBook\bin\"/>
    </mc:Choice>
  </mc:AlternateContent>
  <xr:revisionPtr revIDLastSave="0" documentId="13_ncr:1_{F1D90079-1CE3-491F-B92D-353FB2A16515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9"/>
  <definedNames>
    <definedName name="_xlnm._FilterDatabase" localSheetId="0" hidden="1">Sheet1!$A$1:$BM$116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L118" i="1" l="1"/>
  <c r="AM118" i="1"/>
  <c r="AL116" i="1"/>
  <c r="AM116" i="1"/>
  <c r="AZ116" i="1"/>
  <c r="AZ118" i="1" s="1"/>
  <c r="CP3" i="1" l="1"/>
  <c r="CP4" i="1"/>
  <c r="CP5" i="1"/>
  <c r="CP19" i="1"/>
  <c r="CP6" i="1"/>
  <c r="CP7" i="1"/>
  <c r="CP8" i="1"/>
  <c r="CP9" i="1"/>
  <c r="CP10" i="1"/>
  <c r="CP27" i="1"/>
  <c r="CP28" i="1"/>
  <c r="CP29" i="1"/>
  <c r="CP30" i="1"/>
  <c r="CP31" i="1"/>
  <c r="CP32" i="1"/>
  <c r="CP33" i="1"/>
  <c r="CP34" i="1"/>
  <c r="CP11" i="1"/>
  <c r="CP16" i="1"/>
  <c r="CP17" i="1"/>
  <c r="CP18" i="1"/>
  <c r="CP36" i="1"/>
  <c r="CP37" i="1"/>
  <c r="CP38" i="1"/>
  <c r="CP21" i="1"/>
  <c r="CP42" i="1"/>
  <c r="CP26" i="1"/>
  <c r="CP52" i="1"/>
  <c r="CP43" i="1"/>
  <c r="CP44" i="1"/>
  <c r="CP45" i="1"/>
  <c r="CP41" i="1"/>
  <c r="CP46" i="1"/>
  <c r="CP47" i="1"/>
  <c r="CP12" i="1"/>
  <c r="CP13" i="1"/>
  <c r="CP22" i="1"/>
  <c r="CP14" i="1"/>
  <c r="CP20" i="1"/>
  <c r="CP23" i="1"/>
  <c r="CP39" i="1"/>
  <c r="CP40" i="1"/>
  <c r="CP35" i="1"/>
  <c r="CP49" i="1"/>
  <c r="CP50" i="1"/>
  <c r="CP15" i="1"/>
  <c r="CP24" i="1"/>
  <c r="CP55" i="1"/>
  <c r="CP56" i="1"/>
  <c r="CP51" i="1"/>
  <c r="CP59" i="1"/>
  <c r="CP25" i="1"/>
  <c r="CP53" i="1"/>
  <c r="CP54" i="1"/>
  <c r="CP61" i="1"/>
  <c r="CP48" i="1"/>
  <c r="CP57" i="1"/>
  <c r="CP60" i="1"/>
  <c r="CP58" i="1"/>
  <c r="CP62" i="1"/>
  <c r="CP63" i="1"/>
  <c r="CP64" i="1"/>
  <c r="CP115" i="1"/>
  <c r="CP2" i="1"/>
  <c r="CP116" i="1" l="1"/>
  <c r="BQ3" i="1"/>
  <c r="BR3" i="1"/>
  <c r="BS3" i="1"/>
  <c r="BT3" i="1"/>
  <c r="BU3" i="1"/>
  <c r="BV3" i="1"/>
  <c r="BW3" i="1"/>
  <c r="BX3" i="1"/>
  <c r="BY3" i="1"/>
  <c r="BZ3" i="1"/>
  <c r="CA3" i="1"/>
  <c r="CB3" i="1"/>
  <c r="BQ4" i="1"/>
  <c r="BR4" i="1"/>
  <c r="BS4" i="1"/>
  <c r="BT4" i="1"/>
  <c r="BU4" i="1"/>
  <c r="BV4" i="1"/>
  <c r="BW4" i="1"/>
  <c r="BX4" i="1"/>
  <c r="BY4" i="1"/>
  <c r="BZ4" i="1"/>
  <c r="CA4" i="1"/>
  <c r="CB4" i="1"/>
  <c r="BQ5" i="1"/>
  <c r="BR5" i="1"/>
  <c r="BS5" i="1"/>
  <c r="BT5" i="1"/>
  <c r="BU5" i="1"/>
  <c r="BV5" i="1"/>
  <c r="BW5" i="1"/>
  <c r="BX5" i="1"/>
  <c r="BY5" i="1"/>
  <c r="BZ5" i="1"/>
  <c r="CA5" i="1"/>
  <c r="CB5" i="1"/>
  <c r="BQ9" i="1"/>
  <c r="BR9" i="1"/>
  <c r="BS9" i="1"/>
  <c r="BT9" i="1"/>
  <c r="BU9" i="1"/>
  <c r="BV9" i="1"/>
  <c r="BW9" i="1"/>
  <c r="BX9" i="1"/>
  <c r="BY9" i="1"/>
  <c r="BZ9" i="1"/>
  <c r="CA9" i="1"/>
  <c r="CB9" i="1"/>
  <c r="BQ7" i="1"/>
  <c r="BR7" i="1"/>
  <c r="BS7" i="1"/>
  <c r="BT7" i="1"/>
  <c r="BU7" i="1"/>
  <c r="BV7" i="1"/>
  <c r="BW7" i="1"/>
  <c r="BX7" i="1"/>
  <c r="BY7" i="1"/>
  <c r="BZ7" i="1"/>
  <c r="CA7" i="1"/>
  <c r="CB7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BQ8" i="1"/>
  <c r="BR8" i="1"/>
  <c r="BS8" i="1"/>
  <c r="BT8" i="1"/>
  <c r="BU8" i="1"/>
  <c r="BV8" i="1"/>
  <c r="BW8" i="1"/>
  <c r="BX8" i="1"/>
  <c r="BY8" i="1"/>
  <c r="BZ8" i="1"/>
  <c r="CA8" i="1"/>
  <c r="CB8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BQ6" i="1"/>
  <c r="BR6" i="1"/>
  <c r="BS6" i="1"/>
  <c r="BT6" i="1"/>
  <c r="BU6" i="1"/>
  <c r="BV6" i="1"/>
  <c r="BW6" i="1"/>
  <c r="BX6" i="1"/>
  <c r="BY6" i="1"/>
  <c r="BZ6" i="1"/>
  <c r="CA6" i="1"/>
  <c r="CB6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BQ51" i="1"/>
  <c r="BR51" i="1"/>
  <c r="BS51" i="1"/>
  <c r="BT51" i="1"/>
  <c r="BU51" i="1"/>
  <c r="BV51" i="1"/>
  <c r="BW51" i="1"/>
  <c r="BX51" i="1"/>
  <c r="BY51" i="1"/>
  <c r="BZ51" i="1"/>
  <c r="CA51" i="1"/>
  <c r="CB51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BQ49" i="1"/>
  <c r="BR49" i="1"/>
  <c r="BS49" i="1"/>
  <c r="BT49" i="1"/>
  <c r="BU49" i="1"/>
  <c r="BV49" i="1"/>
  <c r="BW49" i="1"/>
  <c r="BX49" i="1"/>
  <c r="BY49" i="1"/>
  <c r="BZ49" i="1"/>
  <c r="CA49" i="1"/>
  <c r="CB49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BQ52" i="1"/>
  <c r="BR52" i="1"/>
  <c r="BS52" i="1"/>
  <c r="BT52" i="1"/>
  <c r="BU52" i="1"/>
  <c r="BV52" i="1"/>
  <c r="BW52" i="1"/>
  <c r="BX52" i="1"/>
  <c r="BY52" i="1"/>
  <c r="BZ52" i="1"/>
  <c r="CA52" i="1"/>
  <c r="CB52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BQ55" i="1"/>
  <c r="BR55" i="1"/>
  <c r="BS55" i="1"/>
  <c r="BT55" i="1"/>
  <c r="BU55" i="1"/>
  <c r="BV55" i="1"/>
  <c r="BW55" i="1"/>
  <c r="BX55" i="1"/>
  <c r="BY55" i="1"/>
  <c r="BZ55" i="1"/>
  <c r="CA55" i="1"/>
  <c r="CB55" i="1"/>
  <c r="BQ56" i="1"/>
  <c r="BR56" i="1"/>
  <c r="BS56" i="1"/>
  <c r="BT56" i="1"/>
  <c r="BU56" i="1"/>
  <c r="BV56" i="1"/>
  <c r="BW56" i="1"/>
  <c r="BX56" i="1"/>
  <c r="BY56" i="1"/>
  <c r="BZ56" i="1"/>
  <c r="CA56" i="1"/>
  <c r="CB56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BQ54" i="1"/>
  <c r="BR54" i="1"/>
  <c r="BS54" i="1"/>
  <c r="BT54" i="1"/>
  <c r="BU54" i="1"/>
  <c r="BV54" i="1"/>
  <c r="BW54" i="1"/>
  <c r="BX54" i="1"/>
  <c r="BY54" i="1"/>
  <c r="BZ54" i="1"/>
  <c r="CA54" i="1"/>
  <c r="CB54" i="1"/>
  <c r="BQ61" i="1"/>
  <c r="BR61" i="1"/>
  <c r="BS61" i="1"/>
  <c r="BT61" i="1"/>
  <c r="BU61" i="1"/>
  <c r="BV61" i="1"/>
  <c r="BW61" i="1"/>
  <c r="BX61" i="1"/>
  <c r="BY61" i="1"/>
  <c r="BZ61" i="1"/>
  <c r="CA61" i="1"/>
  <c r="CB61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BQ62" i="1"/>
  <c r="BR62" i="1"/>
  <c r="BS62" i="1"/>
  <c r="BT62" i="1"/>
  <c r="BU62" i="1"/>
  <c r="BV62" i="1"/>
  <c r="BW62" i="1"/>
  <c r="BX62" i="1"/>
  <c r="BY62" i="1"/>
  <c r="BZ62" i="1"/>
  <c r="CA62" i="1"/>
  <c r="CB62" i="1"/>
  <c r="BQ58" i="1"/>
  <c r="BR58" i="1"/>
  <c r="BS58" i="1"/>
  <c r="BT58" i="1"/>
  <c r="BU58" i="1"/>
  <c r="BV58" i="1"/>
  <c r="BW58" i="1"/>
  <c r="BX58" i="1"/>
  <c r="BY58" i="1"/>
  <c r="BZ58" i="1"/>
  <c r="CA58" i="1"/>
  <c r="CB58" i="1"/>
  <c r="BQ53" i="1"/>
  <c r="BR53" i="1"/>
  <c r="BS53" i="1"/>
  <c r="BT53" i="1"/>
  <c r="BU53" i="1"/>
  <c r="BV53" i="1"/>
  <c r="BW53" i="1"/>
  <c r="BX53" i="1"/>
  <c r="BY53" i="1"/>
  <c r="BZ53" i="1"/>
  <c r="CA53" i="1"/>
  <c r="CB53" i="1"/>
  <c r="BQ60" i="1"/>
  <c r="BR60" i="1"/>
  <c r="BS60" i="1"/>
  <c r="BT60" i="1"/>
  <c r="BU60" i="1"/>
  <c r="BV60" i="1"/>
  <c r="BW60" i="1"/>
  <c r="BX60" i="1"/>
  <c r="BY60" i="1"/>
  <c r="BZ60" i="1"/>
  <c r="CA60" i="1"/>
  <c r="CB60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BQ57" i="1"/>
  <c r="BR57" i="1"/>
  <c r="BS57" i="1"/>
  <c r="BT57" i="1"/>
  <c r="BU57" i="1"/>
  <c r="BV57" i="1"/>
  <c r="BW57" i="1"/>
  <c r="BX57" i="1"/>
  <c r="BY57" i="1"/>
  <c r="BZ57" i="1"/>
  <c r="CA57" i="1"/>
  <c r="CB57" i="1"/>
  <c r="BQ59" i="1"/>
  <c r="BR59" i="1"/>
  <c r="BS59" i="1"/>
  <c r="BT59" i="1"/>
  <c r="BU59" i="1"/>
  <c r="BV59" i="1"/>
  <c r="BW59" i="1"/>
  <c r="BX59" i="1"/>
  <c r="BY59" i="1"/>
  <c r="BZ59" i="1"/>
  <c r="CA59" i="1"/>
  <c r="CB59" i="1"/>
  <c r="BQ63" i="1"/>
  <c r="BR63" i="1"/>
  <c r="BS63" i="1"/>
  <c r="BT63" i="1"/>
  <c r="BU63" i="1"/>
  <c r="BV63" i="1"/>
  <c r="BW63" i="1"/>
  <c r="BX63" i="1"/>
  <c r="BY63" i="1"/>
  <c r="BZ63" i="1"/>
  <c r="CA63" i="1"/>
  <c r="CB63" i="1"/>
  <c r="BQ64" i="1"/>
  <c r="BR64" i="1"/>
  <c r="BS64" i="1"/>
  <c r="BT64" i="1"/>
  <c r="BU64" i="1"/>
  <c r="BV64" i="1"/>
  <c r="BW64" i="1"/>
  <c r="BX64" i="1"/>
  <c r="BY64" i="1"/>
  <c r="BZ64" i="1"/>
  <c r="CA64" i="1"/>
  <c r="CB64" i="1"/>
  <c r="BQ115" i="1"/>
  <c r="BR115" i="1"/>
  <c r="BS115" i="1"/>
  <c r="BT115" i="1"/>
  <c r="BU115" i="1"/>
  <c r="BV115" i="1"/>
  <c r="BW115" i="1"/>
  <c r="BX115" i="1"/>
  <c r="BY115" i="1"/>
  <c r="BZ115" i="1"/>
  <c r="CA115" i="1"/>
  <c r="CB115" i="1"/>
  <c r="BR2" i="1"/>
  <c r="BS2" i="1"/>
  <c r="BT2" i="1"/>
  <c r="BU2" i="1"/>
  <c r="BV2" i="1"/>
  <c r="BW2" i="1"/>
  <c r="BX2" i="1"/>
  <c r="BY2" i="1"/>
  <c r="BZ2" i="1"/>
  <c r="CA2" i="1"/>
  <c r="CB2" i="1"/>
  <c r="BQ2" i="1"/>
  <c r="CC10" i="1" l="1"/>
  <c r="CO10" i="1" s="1"/>
  <c r="CC29" i="1"/>
  <c r="CO29" i="1" s="1"/>
  <c r="CC28" i="1"/>
  <c r="CK28" i="1" s="1"/>
  <c r="CC9" i="1"/>
  <c r="CE9" i="1" s="1"/>
  <c r="BX116" i="1"/>
  <c r="BZ116" i="1"/>
  <c r="BU116" i="1"/>
  <c r="BW116" i="1"/>
  <c r="BS116" i="1"/>
  <c r="BR116" i="1"/>
  <c r="CA116" i="1"/>
  <c r="BV116" i="1"/>
  <c r="BY116" i="1"/>
  <c r="CB116" i="1"/>
  <c r="CC48" i="1"/>
  <c r="CH48" i="1" s="1"/>
  <c r="CC17" i="1"/>
  <c r="CJ17" i="1" s="1"/>
  <c r="CC46" i="1"/>
  <c r="CF46" i="1" s="1"/>
  <c r="CC39" i="1"/>
  <c r="CG39" i="1" s="1"/>
  <c r="CC53" i="1"/>
  <c r="CD53" i="1" s="1"/>
  <c r="CC5" i="1"/>
  <c r="CK5" i="1" s="1"/>
  <c r="CC4" i="1"/>
  <c r="CK4" i="1" s="1"/>
  <c r="CC3" i="1"/>
  <c r="CK3" i="1" s="1"/>
  <c r="CC64" i="1"/>
  <c r="CD64" i="1" s="1"/>
  <c r="CC57" i="1"/>
  <c r="CH57" i="1" s="1"/>
  <c r="CC60" i="1"/>
  <c r="CH60" i="1" s="1"/>
  <c r="CC61" i="1"/>
  <c r="CO61" i="1" s="1"/>
  <c r="CC56" i="1"/>
  <c r="CG56" i="1" s="1"/>
  <c r="CC23" i="1"/>
  <c r="CE23" i="1" s="1"/>
  <c r="CC15" i="1"/>
  <c r="CO15" i="1" s="1"/>
  <c r="CC18" i="1"/>
  <c r="CN18" i="1" s="1"/>
  <c r="CC38" i="1"/>
  <c r="CO38" i="1" s="1"/>
  <c r="CC36" i="1"/>
  <c r="CE36" i="1" s="1"/>
  <c r="CC14" i="1"/>
  <c r="CK14" i="1" s="1"/>
  <c r="CC11" i="1"/>
  <c r="CE11" i="1" s="1"/>
  <c r="CC20" i="1"/>
  <c r="CK20" i="1" s="1"/>
  <c r="CC45" i="1"/>
  <c r="CI45" i="1" s="1"/>
  <c r="CC43" i="1"/>
  <c r="CE43" i="1" s="1"/>
  <c r="CC41" i="1"/>
  <c r="CH41" i="1" s="1"/>
  <c r="CC21" i="1"/>
  <c r="CL21" i="1" s="1"/>
  <c r="CC27" i="1"/>
  <c r="CL27" i="1" s="1"/>
  <c r="CC33" i="1"/>
  <c r="CE33" i="1" s="1"/>
  <c r="CC32" i="1"/>
  <c r="CM32" i="1" s="1"/>
  <c r="CC31" i="1"/>
  <c r="CK31" i="1" s="1"/>
  <c r="CC30" i="1"/>
  <c r="CO30" i="1" s="1"/>
  <c r="CC22" i="1"/>
  <c r="CD22" i="1" s="1"/>
  <c r="CC19" i="1"/>
  <c r="CN19" i="1" s="1"/>
  <c r="CC6" i="1"/>
  <c r="CI6" i="1" s="1"/>
  <c r="CC40" i="1"/>
  <c r="CG40" i="1" s="1"/>
  <c r="CC8" i="1"/>
  <c r="CK8" i="1" s="1"/>
  <c r="CC16" i="1"/>
  <c r="CK16" i="1" s="1"/>
  <c r="CC7" i="1"/>
  <c r="CF7" i="1" s="1"/>
  <c r="CC115" i="1"/>
  <c r="CG115" i="1" s="1"/>
  <c r="CC63" i="1"/>
  <c r="CO63" i="1" s="1"/>
  <c r="CC26" i="1"/>
  <c r="CG26" i="1" s="1"/>
  <c r="CC62" i="1"/>
  <c r="CL62" i="1" s="1"/>
  <c r="CC54" i="1"/>
  <c r="CK54" i="1" s="1"/>
  <c r="CC25" i="1"/>
  <c r="CH25" i="1" s="1"/>
  <c r="CC55" i="1"/>
  <c r="CO55" i="1" s="1"/>
  <c r="CC12" i="1"/>
  <c r="CM12" i="1" s="1"/>
  <c r="CC24" i="1"/>
  <c r="CO24" i="1" s="1"/>
  <c r="CC52" i="1"/>
  <c r="CE52" i="1" s="1"/>
  <c r="CC37" i="1"/>
  <c r="CH37" i="1" s="1"/>
  <c r="CC50" i="1"/>
  <c r="CK50" i="1" s="1"/>
  <c r="CC49" i="1"/>
  <c r="CI49" i="1" s="1"/>
  <c r="CC51" i="1"/>
  <c r="CK51" i="1" s="1"/>
  <c r="CC35" i="1"/>
  <c r="CF35" i="1" s="1"/>
  <c r="CC13" i="1"/>
  <c r="CE13" i="1" s="1"/>
  <c r="CC47" i="1"/>
  <c r="CL47" i="1" s="1"/>
  <c r="CC44" i="1"/>
  <c r="CJ44" i="1" s="1"/>
  <c r="CC42" i="1"/>
  <c r="CO42" i="1" s="1"/>
  <c r="CC34" i="1"/>
  <c r="CJ34" i="1" s="1"/>
  <c r="CC2" i="1"/>
  <c r="CE2" i="1" s="1"/>
  <c r="CC59" i="1"/>
  <c r="CH59" i="1" s="1"/>
  <c r="CC58" i="1"/>
  <c r="CD58" i="1" s="1"/>
  <c r="BT116" i="1"/>
  <c r="BQ116" i="1"/>
  <c r="BM38" i="1"/>
  <c r="BM12" i="1"/>
  <c r="BM15" i="1"/>
  <c r="BM62" i="1"/>
  <c r="BM3" i="1"/>
  <c r="BM28" i="1"/>
  <c r="BM29" i="1"/>
  <c r="BM30" i="1"/>
  <c r="BM35" i="1"/>
  <c r="BM51" i="1"/>
  <c r="BM64" i="1"/>
  <c r="BM13" i="1"/>
  <c r="BM49" i="1"/>
  <c r="BM55" i="1"/>
  <c r="BM31" i="1"/>
  <c r="BM32" i="1"/>
  <c r="BM52" i="1"/>
  <c r="BM4" i="1"/>
  <c r="BM9" i="1"/>
  <c r="BM17" i="1"/>
  <c r="BM7" i="1"/>
  <c r="BM11" i="1"/>
  <c r="BM16" i="1"/>
  <c r="BM19" i="1"/>
  <c r="BM60" i="1"/>
  <c r="BM5" i="1"/>
  <c r="BM25" i="1"/>
  <c r="BM20" i="1"/>
  <c r="BM44" i="1"/>
  <c r="BM33" i="1"/>
  <c r="BM45" i="1"/>
  <c r="BM54" i="1"/>
  <c r="BM48" i="1"/>
  <c r="BM23" i="1"/>
  <c r="BM24" i="1"/>
  <c r="BM41" i="1"/>
  <c r="BM59" i="1"/>
  <c r="BM58" i="1"/>
  <c r="BM14" i="1"/>
  <c r="BM18" i="1"/>
  <c r="BM8" i="1"/>
  <c r="BM22" i="1"/>
  <c r="BM63" i="1"/>
  <c r="BM50" i="1"/>
  <c r="BM56" i="1"/>
  <c r="BM34" i="1"/>
  <c r="BM27" i="1"/>
  <c r="BM21" i="1"/>
  <c r="BM61" i="1"/>
  <c r="BM39" i="1"/>
  <c r="BM53" i="1"/>
  <c r="BM40" i="1"/>
  <c r="BM42" i="1"/>
  <c r="BM46" i="1"/>
  <c r="BM47" i="1"/>
  <c r="J116" i="1"/>
  <c r="J118" i="1" s="1"/>
  <c r="K116" i="1"/>
  <c r="K118" i="1" s="1"/>
  <c r="L116" i="1"/>
  <c r="L118" i="1" s="1"/>
  <c r="M116" i="1"/>
  <c r="M118" i="1" s="1"/>
  <c r="N116" i="1"/>
  <c r="N118" i="1" s="1"/>
  <c r="O116" i="1"/>
  <c r="O118" i="1" s="1"/>
  <c r="P116" i="1"/>
  <c r="P118" i="1" s="1"/>
  <c r="Q116" i="1"/>
  <c r="Q118" i="1" s="1"/>
  <c r="R116" i="1"/>
  <c r="R118" i="1" s="1"/>
  <c r="S116" i="1"/>
  <c r="S118" i="1" s="1"/>
  <c r="T116" i="1"/>
  <c r="T118" i="1" s="1"/>
  <c r="U116" i="1"/>
  <c r="U118" i="1" s="1"/>
  <c r="V116" i="1"/>
  <c r="V118" i="1" s="1"/>
  <c r="W116" i="1"/>
  <c r="W118" i="1" s="1"/>
  <c r="X116" i="1"/>
  <c r="X118" i="1" s="1"/>
  <c r="Y116" i="1"/>
  <c r="Y118" i="1" s="1"/>
  <c r="Z116" i="1"/>
  <c r="Z118" i="1" s="1"/>
  <c r="AA116" i="1"/>
  <c r="AA118" i="1" s="1"/>
  <c r="AB116" i="1"/>
  <c r="AB118" i="1" s="1"/>
  <c r="AC116" i="1"/>
  <c r="AC118" i="1" s="1"/>
  <c r="AD116" i="1"/>
  <c r="AD118" i="1" s="1"/>
  <c r="AE116" i="1"/>
  <c r="AE118" i="1" s="1"/>
  <c r="AF116" i="1"/>
  <c r="AF118" i="1" s="1"/>
  <c r="AG116" i="1"/>
  <c r="AG118" i="1" s="1"/>
  <c r="AH116" i="1"/>
  <c r="AH118" i="1" s="1"/>
  <c r="AI116" i="1"/>
  <c r="AI118" i="1" s="1"/>
  <c r="AJ116" i="1"/>
  <c r="AJ118" i="1" s="1"/>
  <c r="AK116" i="1"/>
  <c r="AK118" i="1" s="1"/>
  <c r="AO116" i="1"/>
  <c r="AO118" i="1" s="1"/>
  <c r="AP116" i="1"/>
  <c r="AP118" i="1" s="1"/>
  <c r="AN116" i="1"/>
  <c r="AN118" i="1" s="1"/>
  <c r="AS116" i="1"/>
  <c r="AS118" i="1" s="1"/>
  <c r="AQ116" i="1"/>
  <c r="AQ118" i="1" s="1"/>
  <c r="AR116" i="1"/>
  <c r="AR118" i="1" s="1"/>
  <c r="BM43" i="1"/>
  <c r="BM57" i="1"/>
  <c r="BM2" i="1"/>
  <c r="BM36" i="1"/>
  <c r="BM37" i="1"/>
  <c r="BM6" i="1"/>
  <c r="BM10" i="1"/>
  <c r="BM115" i="1"/>
  <c r="BM26" i="1"/>
  <c r="BC116" i="1"/>
  <c r="BC118" i="1" s="1"/>
  <c r="BD116" i="1"/>
  <c r="BD118" i="1" s="1"/>
  <c r="BB116" i="1"/>
  <c r="BB118" i="1" s="1"/>
  <c r="BA116" i="1"/>
  <c r="BA118" i="1" s="1"/>
  <c r="BE116" i="1"/>
  <c r="BE118" i="1" s="1"/>
  <c r="BF116" i="1"/>
  <c r="BF118" i="1" s="1"/>
  <c r="BG116" i="1"/>
  <c r="BG118" i="1" s="1"/>
  <c r="BH116" i="1"/>
  <c r="BH118" i="1" s="1"/>
  <c r="BI116" i="1"/>
  <c r="BI118" i="1" s="1"/>
  <c r="BJ116" i="1"/>
  <c r="BJ118" i="1" s="1"/>
  <c r="BK116" i="1"/>
  <c r="BK118" i="1" s="1"/>
  <c r="BL116" i="1"/>
  <c r="BL118" i="1" s="1"/>
  <c r="F116" i="1"/>
  <c r="F118" i="1" s="1"/>
  <c r="G116" i="1"/>
  <c r="G118" i="1" s="1"/>
  <c r="H116" i="1"/>
  <c r="H118" i="1" s="1"/>
  <c r="I116" i="1"/>
  <c r="I118" i="1" s="1"/>
  <c r="AT116" i="1"/>
  <c r="AT118" i="1" s="1"/>
  <c r="AU116" i="1"/>
  <c r="AU118" i="1" s="1"/>
  <c r="AW116" i="1"/>
  <c r="AW118" i="1" s="1"/>
  <c r="AY116" i="1"/>
  <c r="AY118" i="1" s="1"/>
  <c r="AV116" i="1"/>
  <c r="AV118" i="1" s="1"/>
  <c r="AX116" i="1"/>
  <c r="AX118" i="1" s="1"/>
  <c r="E116" i="1"/>
  <c r="E118" i="1" s="1"/>
  <c r="CL9" i="1" l="1"/>
  <c r="CK33" i="1"/>
  <c r="CE40" i="1"/>
  <c r="CH33" i="1"/>
  <c r="CM4" i="1"/>
  <c r="CM6" i="1"/>
  <c r="CG38" i="1"/>
  <c r="CF17" i="1"/>
  <c r="CG5" i="1"/>
  <c r="CN7" i="1"/>
  <c r="CD9" i="1"/>
  <c r="CJ40" i="1"/>
  <c r="CE17" i="1"/>
  <c r="CM17" i="1"/>
  <c r="CD17" i="1"/>
  <c r="CO17" i="1"/>
  <c r="CK18" i="1"/>
  <c r="CH17" i="1"/>
  <c r="CF48" i="1"/>
  <c r="CM48" i="1"/>
  <c r="CN48" i="1"/>
  <c r="CE48" i="1"/>
  <c r="CI40" i="1"/>
  <c r="CL48" i="1"/>
  <c r="CN40" i="1"/>
  <c r="CD48" i="1"/>
  <c r="CM27" i="1"/>
  <c r="CL24" i="1"/>
  <c r="CO49" i="1"/>
  <c r="CM33" i="1"/>
  <c r="CK7" i="1"/>
  <c r="CF40" i="1"/>
  <c r="CN39" i="1"/>
  <c r="CG4" i="1"/>
  <c r="CI4" i="1"/>
  <c r="CJ48" i="1"/>
  <c r="CG16" i="1"/>
  <c r="CJ49" i="1"/>
  <c r="CH30" i="1"/>
  <c r="CK61" i="1"/>
  <c r="CK39" i="1"/>
  <c r="CL61" i="1"/>
  <c r="CJ39" i="1"/>
  <c r="CF39" i="1"/>
  <c r="CO39" i="1"/>
  <c r="CI11" i="1"/>
  <c r="CK2" i="1"/>
  <c r="CH39" i="1"/>
  <c r="CI57" i="1"/>
  <c r="CN8" i="1"/>
  <c r="CF14" i="1"/>
  <c r="CN57" i="1"/>
  <c r="CG57" i="1"/>
  <c r="CE39" i="1"/>
  <c r="CM39" i="1"/>
  <c r="CI20" i="1"/>
  <c r="CE19" i="1"/>
  <c r="CD18" i="1"/>
  <c r="CD39" i="1"/>
  <c r="CL18" i="1"/>
  <c r="CO9" i="1"/>
  <c r="CL39" i="1"/>
  <c r="CD20" i="1"/>
  <c r="CI9" i="1"/>
  <c r="CO3" i="1"/>
  <c r="CG20" i="1"/>
  <c r="CI39" i="1"/>
  <c r="CO20" i="1"/>
  <c r="CF61" i="1"/>
  <c r="CL20" i="1"/>
  <c r="CL57" i="1"/>
  <c r="CN61" i="1"/>
  <c r="CJ30" i="1"/>
  <c r="CM19" i="1"/>
  <c r="CG18" i="1"/>
  <c r="CH115" i="1"/>
  <c r="CN115" i="1"/>
  <c r="CO53" i="1"/>
  <c r="CM115" i="1"/>
  <c r="CN53" i="1"/>
  <c r="CJ115" i="1"/>
  <c r="CM53" i="1"/>
  <c r="CJ21" i="1"/>
  <c r="CK53" i="1"/>
  <c r="CJ53" i="1"/>
  <c r="CG53" i="1"/>
  <c r="CG46" i="1"/>
  <c r="CL53" i="1"/>
  <c r="CM44" i="1"/>
  <c r="CO115" i="1"/>
  <c r="CE53" i="1"/>
  <c r="CF115" i="1"/>
  <c r="CD44" i="1"/>
  <c r="CH53" i="1"/>
  <c r="CE115" i="1"/>
  <c r="CF53" i="1"/>
  <c r="CO40" i="1"/>
  <c r="CO45" i="1"/>
  <c r="CI56" i="1"/>
  <c r="CN29" i="1"/>
  <c r="CN56" i="1"/>
  <c r="CH45" i="1"/>
  <c r="CH26" i="1"/>
  <c r="CK29" i="1"/>
  <c r="CK24" i="1"/>
  <c r="CM29" i="1"/>
  <c r="CI26" i="1"/>
  <c r="CE29" i="1"/>
  <c r="CL26" i="1"/>
  <c r="CL29" i="1"/>
  <c r="CK56" i="1"/>
  <c r="CF26" i="1"/>
  <c r="CH29" i="1"/>
  <c r="CJ56" i="1"/>
  <c r="CE26" i="1"/>
  <c r="CL56" i="1"/>
  <c r="CF56" i="1"/>
  <c r="CO26" i="1"/>
  <c r="CF29" i="1"/>
  <c r="CN45" i="1"/>
  <c r="CE56" i="1"/>
  <c r="CN26" i="1"/>
  <c r="CM45" i="1"/>
  <c r="CD56" i="1"/>
  <c r="CK26" i="1"/>
  <c r="CO25" i="1"/>
  <c r="CL6" i="1"/>
  <c r="CO2" i="1"/>
  <c r="CJ51" i="1"/>
  <c r="CG45" i="1"/>
  <c r="CJ45" i="1"/>
  <c r="CO56" i="1"/>
  <c r="CF59" i="1"/>
  <c r="CG29" i="1"/>
  <c r="CO7" i="1"/>
  <c r="CL40" i="1"/>
  <c r="CH63" i="1"/>
  <c r="CL19" i="1"/>
  <c r="CO18" i="1"/>
  <c r="CD33" i="1"/>
  <c r="CM21" i="1"/>
  <c r="CI61" i="1"/>
  <c r="CI7" i="1"/>
  <c r="CF27" i="1"/>
  <c r="CO35" i="1"/>
  <c r="CG48" i="1"/>
  <c r="CI21" i="1"/>
  <c r="CJ3" i="1"/>
  <c r="CG17" i="1"/>
  <c r="CJ2" i="1"/>
  <c r="CE20" i="1"/>
  <c r="CH62" i="1"/>
  <c r="CG2" i="1"/>
  <c r="CJ36" i="1"/>
  <c r="CM37" i="1"/>
  <c r="CN55" i="1"/>
  <c r="CF3" i="1"/>
  <c r="CK17" i="1"/>
  <c r="CM20" i="1"/>
  <c r="CG9" i="1"/>
  <c r="CF2" i="1"/>
  <c r="CJ63" i="1"/>
  <c r="CM24" i="1"/>
  <c r="CI55" i="1"/>
  <c r="CD3" i="1"/>
  <c r="CJ35" i="1"/>
  <c r="CD40" i="1"/>
  <c r="CJ9" i="1"/>
  <c r="CK19" i="1"/>
  <c r="CH14" i="1"/>
  <c r="CJ18" i="1"/>
  <c r="CN33" i="1"/>
  <c r="CO48" i="1"/>
  <c r="CE61" i="1"/>
  <c r="CM38" i="1"/>
  <c r="CJ7" i="1"/>
  <c r="CF58" i="1"/>
  <c r="CL17" i="1"/>
  <c r="CK36" i="1"/>
  <c r="CI58" i="1"/>
  <c r="CI19" i="1"/>
  <c r="CN14" i="1"/>
  <c r="CL58" i="1"/>
  <c r="CI18" i="1"/>
  <c r="CJ6" i="1"/>
  <c r="CL35" i="1"/>
  <c r="CF9" i="1"/>
  <c r="CD23" i="1"/>
  <c r="CE4" i="1"/>
  <c r="CD16" i="1"/>
  <c r="CD7" i="1"/>
  <c r="CO58" i="1"/>
  <c r="CI17" i="1"/>
  <c r="CH19" i="1"/>
  <c r="CL14" i="1"/>
  <c r="CH18" i="1"/>
  <c r="CD6" i="1"/>
  <c r="CI35" i="1"/>
  <c r="CN9" i="1"/>
  <c r="CF33" i="1"/>
  <c r="CO23" i="1"/>
  <c r="CI16" i="1"/>
  <c r="CN28" i="1"/>
  <c r="CK58" i="1"/>
  <c r="CE35" i="1"/>
  <c r="CF23" i="1"/>
  <c r="CH35" i="1"/>
  <c r="CL23" i="1"/>
  <c r="CL7" i="1"/>
  <c r="CM28" i="1"/>
  <c r="CJ58" i="1"/>
  <c r="CK40" i="1"/>
  <c r="CK27" i="1"/>
  <c r="CK44" i="1"/>
  <c r="CI53" i="1"/>
  <c r="CH6" i="1"/>
  <c r="CO12" i="1"/>
  <c r="CI23" i="1"/>
  <c r="CJ28" i="1"/>
  <c r="CG58" i="1"/>
  <c r="CF44" i="1"/>
  <c r="CH12" i="1"/>
  <c r="CG28" i="1"/>
  <c r="CN62" i="1"/>
  <c r="CJ43" i="1"/>
  <c r="CF28" i="1"/>
  <c r="CM62" i="1"/>
  <c r="CF43" i="1"/>
  <c r="CD28" i="1"/>
  <c r="CK62" i="1"/>
  <c r="CI28" i="1"/>
  <c r="CH58" i="1"/>
  <c r="CN35" i="1"/>
  <c r="CG62" i="1"/>
  <c r="CK23" i="1"/>
  <c r="CN23" i="1"/>
  <c r="CH28" i="1"/>
  <c r="CK35" i="1"/>
  <c r="CD62" i="1"/>
  <c r="CM23" i="1"/>
  <c r="CG23" i="1"/>
  <c r="CD35" i="1"/>
  <c r="CI62" i="1"/>
  <c r="CJ23" i="1"/>
  <c r="CG24" i="1"/>
  <c r="CN4" i="1"/>
  <c r="CL3" i="1"/>
  <c r="CF60" i="1"/>
  <c r="CH7" i="1"/>
  <c r="CH40" i="1"/>
  <c r="CJ27" i="1"/>
  <c r="CM14" i="1"/>
  <c r="CE44" i="1"/>
  <c r="CK64" i="1"/>
  <c r="CG49" i="1"/>
  <c r="CJ33" i="1"/>
  <c r="CK12" i="1"/>
  <c r="CI8" i="1"/>
  <c r="CN36" i="1"/>
  <c r="CE24" i="1"/>
  <c r="CH55" i="1"/>
  <c r="CF16" i="1"/>
  <c r="CL30" i="1"/>
  <c r="CE7" i="1"/>
  <c r="CD63" i="1"/>
  <c r="CG27" i="1"/>
  <c r="CD14" i="1"/>
  <c r="CN44" i="1"/>
  <c r="CN49" i="1"/>
  <c r="CG33" i="1"/>
  <c r="CE12" i="1"/>
  <c r="CH8" i="1"/>
  <c r="CM36" i="1"/>
  <c r="CN63" i="1"/>
  <c r="CG10" i="1"/>
  <c r="CD24" i="1"/>
  <c r="CN16" i="1"/>
  <c r="CI30" i="1"/>
  <c r="CI63" i="1"/>
  <c r="CI2" i="1"/>
  <c r="CD27" i="1"/>
  <c r="CI14" i="1"/>
  <c r="CL44" i="1"/>
  <c r="CH49" i="1"/>
  <c r="CO33" i="1"/>
  <c r="CL12" i="1"/>
  <c r="CG36" i="1"/>
  <c r="CK48" i="1"/>
  <c r="CM61" i="1"/>
  <c r="CF4" i="1"/>
  <c r="CN3" i="1"/>
  <c r="CO16" i="1"/>
  <c r="CH31" i="1"/>
  <c r="CN6" i="1"/>
  <c r="CI12" i="1"/>
  <c r="CF36" i="1"/>
  <c r="CG3" i="1"/>
  <c r="CL16" i="1"/>
  <c r="CN42" i="1"/>
  <c r="CD42" i="1"/>
  <c r="CG44" i="1"/>
  <c r="CJ24" i="1"/>
  <c r="CG55" i="1"/>
  <c r="CI3" i="1"/>
  <c r="CN30" i="1"/>
  <c r="CM7" i="1"/>
  <c r="CE46" i="1"/>
  <c r="CL63" i="1"/>
  <c r="CJ19" i="1"/>
  <c r="CI27" i="1"/>
  <c r="CJ14" i="1"/>
  <c r="CN11" i="1"/>
  <c r="CJ12" i="1"/>
  <c r="CM49" i="1"/>
  <c r="CH64" i="1"/>
  <c r="CK6" i="1"/>
  <c r="CL33" i="1"/>
  <c r="CG12" i="1"/>
  <c r="CN2" i="1"/>
  <c r="CD36" i="1"/>
  <c r="CM63" i="1"/>
  <c r="CI48" i="1"/>
  <c r="CD37" i="1"/>
  <c r="CI24" i="1"/>
  <c r="CM55" i="1"/>
  <c r="CJ4" i="1"/>
  <c r="CH3" i="1"/>
  <c r="CH16" i="1"/>
  <c r="CG30" i="1"/>
  <c r="CJ42" i="1"/>
  <c r="CG7" i="1"/>
  <c r="CL46" i="1"/>
  <c r="CN17" i="1"/>
  <c r="CM40" i="1"/>
  <c r="CM2" i="1"/>
  <c r="CF19" i="1"/>
  <c r="CH27" i="1"/>
  <c r="CG14" i="1"/>
  <c r="CJ11" i="1"/>
  <c r="CK49" i="1"/>
  <c r="CG6" i="1"/>
  <c r="CI33" i="1"/>
  <c r="CF12" i="1"/>
  <c r="CL2" i="1"/>
  <c r="CL36" i="1"/>
  <c r="CK63" i="1"/>
  <c r="CO37" i="1"/>
  <c r="CH24" i="1"/>
  <c r="CJ55" i="1"/>
  <c r="CO4" i="1"/>
  <c r="CE3" i="1"/>
  <c r="CE16" i="1"/>
  <c r="CK30" i="1"/>
  <c r="CG42" i="1"/>
  <c r="CE14" i="1"/>
  <c r="CN20" i="1"/>
  <c r="CO14" i="1"/>
  <c r="CF49" i="1"/>
  <c r="CO6" i="1"/>
  <c r="CN12" i="1"/>
  <c r="CG63" i="1"/>
  <c r="CF24" i="1"/>
  <c r="CG61" i="1"/>
  <c r="CK55" i="1"/>
  <c r="CH4" i="1"/>
  <c r="CM3" i="1"/>
  <c r="CM16" i="1"/>
  <c r="CF30" i="1"/>
  <c r="CL42" i="1"/>
  <c r="CE49" i="1"/>
  <c r="CD12" i="1"/>
  <c r="CN24" i="1"/>
  <c r="CL55" i="1"/>
  <c r="CJ16" i="1"/>
  <c r="CM30" i="1"/>
  <c r="CI42" i="1"/>
  <c r="CH42" i="1"/>
  <c r="CM42" i="1"/>
  <c r="CD2" i="1"/>
  <c r="CF63" i="1"/>
  <c r="CH61" i="1"/>
  <c r="CF55" i="1"/>
  <c r="CF42" i="1"/>
  <c r="CO13" i="1"/>
  <c r="CO54" i="1"/>
  <c r="CL13" i="1"/>
  <c r="CL54" i="1"/>
  <c r="CI13" i="1"/>
  <c r="CM41" i="1"/>
  <c r="CI54" i="1"/>
  <c r="CF22" i="1"/>
  <c r="CH54" i="1"/>
  <c r="CE22" i="1"/>
  <c r="CN15" i="1"/>
  <c r="CM22" i="1"/>
  <c r="CJ15" i="1"/>
  <c r="CE54" i="1"/>
  <c r="CK41" i="1"/>
  <c r="CG41" i="1"/>
  <c r="CO22" i="1"/>
  <c r="CG15" i="1"/>
  <c r="CF41" i="1"/>
  <c r="CJ22" i="1"/>
  <c r="CI25" i="1"/>
  <c r="CJ8" i="1"/>
  <c r="CL22" i="1"/>
  <c r="CE15" i="1"/>
  <c r="CM13" i="1"/>
  <c r="CN41" i="1"/>
  <c r="CN47" i="1"/>
  <c r="CG8" i="1"/>
  <c r="CI22" i="1"/>
  <c r="CM15" i="1"/>
  <c r="CJ13" i="1"/>
  <c r="CJ41" i="1"/>
  <c r="CG47" i="1"/>
  <c r="CJ47" i="1"/>
  <c r="CD8" i="1"/>
  <c r="CH22" i="1"/>
  <c r="CF51" i="1"/>
  <c r="CL59" i="1"/>
  <c r="CF15" i="1"/>
  <c r="CG13" i="1"/>
  <c r="CE41" i="1"/>
  <c r="CD41" i="1"/>
  <c r="CN54" i="1"/>
  <c r="CK22" i="1"/>
  <c r="CO8" i="1"/>
  <c r="CJ31" i="1"/>
  <c r="CL15" i="1"/>
  <c r="CF13" i="1"/>
  <c r="CO41" i="1"/>
  <c r="CM54" i="1"/>
  <c r="CL8" i="1"/>
  <c r="CE51" i="1"/>
  <c r="CI29" i="1"/>
  <c r="CI31" i="1"/>
  <c r="CM43" i="1"/>
  <c r="CI15" i="1"/>
  <c r="CD13" i="1"/>
  <c r="CI41" i="1"/>
  <c r="CG54" i="1"/>
  <c r="CH15" i="1"/>
  <c r="CG52" i="1"/>
  <c r="CL10" i="1"/>
  <c r="CI46" i="1"/>
  <c r="CO52" i="1"/>
  <c r="CH11" i="1"/>
  <c r="CF47" i="1"/>
  <c r="CF25" i="1"/>
  <c r="CM57" i="1"/>
  <c r="CH21" i="1"/>
  <c r="CI10" i="1"/>
  <c r="CF37" i="1"/>
  <c r="CF5" i="1"/>
  <c r="CG31" i="1"/>
  <c r="CL38" i="1"/>
  <c r="CH46" i="1"/>
  <c r="CL52" i="1"/>
  <c r="CD57" i="1"/>
  <c r="CD47" i="1"/>
  <c r="CE25" i="1"/>
  <c r="CK57" i="1"/>
  <c r="CH10" i="1"/>
  <c r="CG37" i="1"/>
  <c r="CO5" i="1"/>
  <c r="CE31" i="1"/>
  <c r="CI38" i="1"/>
  <c r="CN46" i="1"/>
  <c r="CI52" i="1"/>
  <c r="CI47" i="1"/>
  <c r="CN25" i="1"/>
  <c r="CJ57" i="1"/>
  <c r="CN37" i="1"/>
  <c r="CI5" i="1"/>
  <c r="CF31" i="1"/>
  <c r="CH38" i="1"/>
  <c r="CK25" i="1"/>
  <c r="CH52" i="1"/>
  <c r="CF64" i="1"/>
  <c r="CH47" i="1"/>
  <c r="CM25" i="1"/>
  <c r="CK37" i="1"/>
  <c r="CH5" i="1"/>
  <c r="CD31" i="1"/>
  <c r="CG11" i="1"/>
  <c r="CE64" i="1"/>
  <c r="CG25" i="1"/>
  <c r="CJ52" i="1"/>
  <c r="CJ37" i="1"/>
  <c r="CE5" i="1"/>
  <c r="CO59" i="1"/>
  <c r="CO31" i="1"/>
  <c r="CJ46" i="1"/>
  <c r="CF11" i="1"/>
  <c r="CO64" i="1"/>
  <c r="CD25" i="1"/>
  <c r="CK11" i="1"/>
  <c r="CN21" i="1"/>
  <c r="CN10" i="1"/>
  <c r="CE37" i="1"/>
  <c r="CL31" i="1"/>
  <c r="CK42" i="1"/>
  <c r="CM46" i="1"/>
  <c r="CN64" i="1"/>
  <c r="CJ10" i="1"/>
  <c r="CN38" i="1"/>
  <c r="CK46" i="1"/>
  <c r="CJ25" i="1"/>
  <c r="CD11" i="1"/>
  <c r="CF57" i="1"/>
  <c r="CM11" i="1"/>
  <c r="CL64" i="1"/>
  <c r="CG21" i="1"/>
  <c r="CE10" i="1"/>
  <c r="CL37" i="1"/>
  <c r="CN5" i="1"/>
  <c r="CM31" i="1"/>
  <c r="CG32" i="1"/>
  <c r="CE42" i="1"/>
  <c r="CK38" i="1"/>
  <c r="CD46" i="1"/>
  <c r="CN52" i="1"/>
  <c r="CO11" i="1"/>
  <c r="CM47" i="1"/>
  <c r="CE57" i="1"/>
  <c r="CF21" i="1"/>
  <c r="CM10" i="1"/>
  <c r="CI37" i="1"/>
  <c r="CM5" i="1"/>
  <c r="CN31" i="1"/>
  <c r="CN32" i="1"/>
  <c r="CJ38" i="1"/>
  <c r="CO46" i="1"/>
  <c r="CM52" i="1"/>
  <c r="CL11" i="1"/>
  <c r="CK21" i="1"/>
  <c r="CK47" i="1"/>
  <c r="CO57" i="1"/>
  <c r="CI64" i="1"/>
  <c r="CD21" i="1"/>
  <c r="CF10" i="1"/>
  <c r="CJ5" i="1"/>
  <c r="CF32" i="1"/>
  <c r="CF38" i="1"/>
  <c r="CG34" i="1"/>
  <c r="CE28" i="1"/>
  <c r="CH13" i="1"/>
  <c r="CE58" i="1"/>
  <c r="CK115" i="1"/>
  <c r="CD26" i="1"/>
  <c r="CD45" i="1"/>
  <c r="CH56" i="1"/>
  <c r="CF8" i="1"/>
  <c r="CG19" i="1"/>
  <c r="CE27" i="1"/>
  <c r="CL41" i="1"/>
  <c r="CH20" i="1"/>
  <c r="CK52" i="1"/>
  <c r="CM26" i="1"/>
  <c r="CO44" i="1"/>
  <c r="CJ54" i="1"/>
  <c r="CM64" i="1"/>
  <c r="CE47" i="1"/>
  <c r="CD49" i="1"/>
  <c r="CL25" i="1"/>
  <c r="CJ20" i="1"/>
  <c r="CM35" i="1"/>
  <c r="CF62" i="1"/>
  <c r="CK9" i="1"/>
  <c r="CH2" i="1"/>
  <c r="CN22" i="1"/>
  <c r="CE21" i="1"/>
  <c r="CO36" i="1"/>
  <c r="CH23" i="1"/>
  <c r="CK10" i="1"/>
  <c r="CJ61" i="1"/>
  <c r="CD5" i="1"/>
  <c r="CE34" i="1"/>
  <c r="CG51" i="1"/>
  <c r="CE55" i="1"/>
  <c r="CE59" i="1"/>
  <c r="CD4" i="1"/>
  <c r="CJ29" i="1"/>
  <c r="CE30" i="1"/>
  <c r="CK32" i="1"/>
  <c r="CK43" i="1"/>
  <c r="CE38" i="1"/>
  <c r="CK15" i="1"/>
  <c r="CE60" i="1"/>
  <c r="CF50" i="1"/>
  <c r="CK34" i="1"/>
  <c r="CO60" i="1"/>
  <c r="CE45" i="1"/>
  <c r="CO28" i="1"/>
  <c r="CE50" i="1"/>
  <c r="CN58" i="1"/>
  <c r="CJ62" i="1"/>
  <c r="CL45" i="1"/>
  <c r="CE8" i="1"/>
  <c r="CD19" i="1"/>
  <c r="CO27" i="1"/>
  <c r="CF52" i="1"/>
  <c r="CJ26" i="1"/>
  <c r="CI44" i="1"/>
  <c r="CF18" i="1"/>
  <c r="CF54" i="1"/>
  <c r="CJ64" i="1"/>
  <c r="CO47" i="1"/>
  <c r="CL49" i="1"/>
  <c r="CG35" i="1"/>
  <c r="CO62" i="1"/>
  <c r="CH9" i="1"/>
  <c r="CK13" i="1"/>
  <c r="CM8" i="1"/>
  <c r="CG22" i="1"/>
  <c r="CO21" i="1"/>
  <c r="CI36" i="1"/>
  <c r="CE63" i="1"/>
  <c r="CD10" i="1"/>
  <c r="CD61" i="1"/>
  <c r="CL5" i="1"/>
  <c r="CD34" i="1"/>
  <c r="CD51" i="1"/>
  <c r="CD55" i="1"/>
  <c r="CN59" i="1"/>
  <c r="CL4" i="1"/>
  <c r="CD29" i="1"/>
  <c r="CD30" i="1"/>
  <c r="CD32" i="1"/>
  <c r="CD43" i="1"/>
  <c r="CD38" i="1"/>
  <c r="CD15" i="1"/>
  <c r="CN60" i="1"/>
  <c r="CL28" i="1"/>
  <c r="CN13" i="1"/>
  <c r="CN50" i="1"/>
  <c r="CM58" i="1"/>
  <c r="CE62" i="1"/>
  <c r="CM9" i="1"/>
  <c r="CM56" i="1"/>
  <c r="CN27" i="1"/>
  <c r="CO19" i="1"/>
  <c r="CF20" i="1"/>
  <c r="CD52" i="1"/>
  <c r="CH44" i="1"/>
  <c r="CD54" i="1"/>
  <c r="CG64" i="1"/>
  <c r="CH36" i="1"/>
  <c r="CO34" i="1"/>
  <c r="CO51" i="1"/>
  <c r="CM59" i="1"/>
  <c r="CO32" i="1"/>
  <c r="CO43" i="1"/>
  <c r="CM60" i="1"/>
  <c r="CJ50" i="1"/>
  <c r="CM50" i="1"/>
  <c r="CL34" i="1"/>
  <c r="CL51" i="1"/>
  <c r="CK59" i="1"/>
  <c r="CL32" i="1"/>
  <c r="CL43" i="1"/>
  <c r="CK60" i="1"/>
  <c r="CF6" i="1"/>
  <c r="CE6" i="1"/>
  <c r="CG50" i="1"/>
  <c r="CI34" i="1"/>
  <c r="CI51" i="1"/>
  <c r="CJ59" i="1"/>
  <c r="CI32" i="1"/>
  <c r="CI43" i="1"/>
  <c r="CJ60" i="1"/>
  <c r="CD50" i="1"/>
  <c r="CH34" i="1"/>
  <c r="CH51" i="1"/>
  <c r="CG59" i="1"/>
  <c r="CH32" i="1"/>
  <c r="CH43" i="1"/>
  <c r="CG60" i="1"/>
  <c r="CE18" i="1"/>
  <c r="CM18" i="1"/>
  <c r="CO50" i="1"/>
  <c r="CN34" i="1"/>
  <c r="CM51" i="1"/>
  <c r="CD59" i="1"/>
  <c r="CJ32" i="1"/>
  <c r="CN43" i="1"/>
  <c r="CD60" i="1"/>
  <c r="CL50" i="1"/>
  <c r="CM34" i="1"/>
  <c r="CL60" i="1"/>
  <c r="CI50" i="1"/>
  <c r="CF34" i="1"/>
  <c r="CN51" i="1"/>
  <c r="CI59" i="1"/>
  <c r="CE32" i="1"/>
  <c r="CG43" i="1"/>
  <c r="CI60" i="1"/>
  <c r="CF45" i="1"/>
  <c r="CK45" i="1"/>
  <c r="CH50" i="1"/>
  <c r="CD115" i="1"/>
  <c r="CI115" i="1"/>
  <c r="CL115" i="1"/>
  <c r="CO116" i="1" l="1"/>
  <c r="CK116" i="1"/>
  <c r="CG116" i="1"/>
  <c r="CE116" i="1"/>
  <c r="CJ116" i="1"/>
  <c r="CI116" i="1"/>
  <c r="CN116" i="1"/>
  <c r="CD116" i="1"/>
  <c r="CH116" i="1"/>
  <c r="CM116" i="1"/>
  <c r="CL116" i="1"/>
  <c r="CF116" i="1"/>
</calcChain>
</file>

<file path=xl/sharedStrings.xml><?xml version="1.0" encoding="utf-8"?>
<sst xmlns="http://schemas.openxmlformats.org/spreadsheetml/2006/main" count="534" uniqueCount="210">
  <si>
    <t>睡面虎</t>
    <phoneticPr fontId="1" type="noConversion"/>
  </si>
  <si>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</si>
  <si>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</si>
  <si>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</si>
  <si>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</si>
  <si>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</si>
  <si>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</si>
  <si>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</si>
  <si>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笨DJ</t>
    <phoneticPr fontId="1" type="noConversion"/>
  </si>
  <si>
    <t>魅力符文叉大</t>
    <phoneticPr fontId="1" type="noConversion"/>
  </si>
  <si>
    <t>金甲虫</t>
    <phoneticPr fontId="1" type="noConversion"/>
  </si>
  <si>
    <t>扭蛋</t>
    <phoneticPr fontId="1" type="noConversion"/>
  </si>
  <si>
    <t>成年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</si>
  <si>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</si>
  <si>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</si>
  <si>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</si>
  <si>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</si>
  <si>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</si>
  <si>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</si>
  <si>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</si>
  <si>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</si>
  <si>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</si>
  <si>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噗冬</t>
    <phoneticPr fontId="1" type="noConversion"/>
  </si>
  <si>
    <t>成年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</si>
  <si>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</si>
  <si>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</si>
  <si>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</si>
  <si>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大地符文</t>
    <phoneticPr fontId="1" type="noConversion"/>
  </si>
  <si>
    <t>神农鼎</t>
    <phoneticPr fontId="1" type="noConversion"/>
  </si>
  <si>
    <t>张飞</t>
    <phoneticPr fontId="1" type="noConversion"/>
  </si>
  <si>
    <t>盘古斧</t>
    <phoneticPr fontId="1" type="noConversion"/>
  </si>
  <si>
    <t>轩辕剑</t>
    <phoneticPr fontId="1" type="noConversion"/>
  </si>
  <si>
    <t>小白棉花</t>
    <phoneticPr fontId="1" type="noConversion"/>
  </si>
  <si>
    <t>木</t>
    <phoneticPr fontId="1" type="noConversion"/>
  </si>
  <si>
    <t>成年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</si>
  <si>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</si>
  <si>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</si>
  <si>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</si>
  <si>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</si>
  <si>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金镶玉</t>
    <phoneticPr fontId="1" type="noConversion"/>
  </si>
  <si>
    <t>赑屃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</si>
  <si>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</si>
  <si>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</si>
  <si>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</si>
  <si>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</si>
  <si>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</si>
  <si>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</si>
  <si>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</si>
  <si>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神将关云长</t>
    <phoneticPr fontId="1" type="noConversion"/>
  </si>
  <si>
    <t>小双鱼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</si>
  <si>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</si>
  <si>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</si>
  <si>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</si>
  <si>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痴花</t>
    <phoneticPr fontId="1" type="noConversion"/>
  </si>
  <si>
    <t>千年玄冰</t>
    <phoneticPr fontId="1" type="noConversion"/>
  </si>
  <si>
    <t>敖广</t>
    <phoneticPr fontId="1" type="noConversion"/>
  </si>
  <si>
    <t>昆仑镜</t>
    <phoneticPr fontId="1" type="noConversion"/>
  </si>
  <si>
    <t>夏娃瓜</t>
    <phoneticPr fontId="1" type="noConversion"/>
  </si>
  <si>
    <t>锤丸君</t>
    <phoneticPr fontId="1" type="noConversion"/>
  </si>
  <si>
    <t>风仆</t>
    <phoneticPr fontId="1" type="noConversion"/>
  </si>
  <si>
    <t>成年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</si>
  <si>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</si>
  <si>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</si>
  <si>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</si>
  <si>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</si>
  <si>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</si>
  <si>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</si>
  <si>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结缘者</t>
    <phoneticPr fontId="1" type="noConversion"/>
  </si>
  <si>
    <t>伏羲琴</t>
    <phoneticPr fontId="1" type="noConversion"/>
  </si>
  <si>
    <t>烈焰之心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</si>
  <si>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</si>
  <si>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</si>
  <si>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</si>
  <si>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火焰符文</t>
    <phoneticPr fontId="1" type="noConversion"/>
  </si>
  <si>
    <t>汉钟离</t>
    <phoneticPr fontId="1" type="noConversion"/>
  </si>
  <si>
    <t>光辉符文</t>
    <phoneticPr fontId="1" type="noConversion"/>
  </si>
  <si>
    <t>辉耀之星</t>
    <phoneticPr fontId="1" type="noConversion"/>
  </si>
  <si>
    <t>光</t>
    <phoneticPr fontId="1" type="noConversion"/>
  </si>
  <si>
    <t>光元素</t>
    <phoneticPr fontId="1" type="noConversion"/>
  </si>
  <si>
    <t>六方天运骰</t>
    <phoneticPr fontId="1" type="noConversion"/>
  </si>
  <si>
    <t>芝鼠</t>
    <phoneticPr fontId="1" type="noConversion"/>
  </si>
  <si>
    <t>九色鹿</t>
    <phoneticPr fontId="1" type="noConversion"/>
  </si>
  <si>
    <t>妲己</t>
    <phoneticPr fontId="1" type="noConversion"/>
  </si>
  <si>
    <t>藕丁小童子</t>
    <phoneticPr fontId="1" type="noConversion"/>
  </si>
  <si>
    <t>米花伞</t>
    <phoneticPr fontId="1" type="noConversion"/>
  </si>
  <si>
    <t>暗</t>
    <phoneticPr fontId="1" type="noConversion"/>
  </si>
  <si>
    <t>妈蛋</t>
    <phoneticPr fontId="1" type="noConversion"/>
  </si>
  <si>
    <t>月冕霓晴符</t>
    <phoneticPr fontId="1" type="noConversion"/>
  </si>
  <si>
    <t>合计</t>
    <phoneticPr fontId="1" type="noConversion"/>
  </si>
  <si>
    <t>自然符文</t>
    <phoneticPr fontId="1" type="noConversion"/>
  </si>
  <si>
    <t>上古神杖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</si>
  <si>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</si>
  <si>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</si>
  <si>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</si>
  <si>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</si>
  <si>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</si>
  <si>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</si>
  <si>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远古神石</t>
    <phoneticPr fontId="1" type="noConversion"/>
  </si>
  <si>
    <t>土元素</t>
    <phoneticPr fontId="1" type="noConversion"/>
  </si>
  <si>
    <t>寒冰符文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</si>
  <si>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</si>
  <si>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</si>
  <si>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</si>
  <si>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</si>
  <si>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黑桃三</t>
    <phoneticPr fontId="1" type="noConversion"/>
  </si>
  <si>
    <t>昊天塔</t>
    <phoneticPr fontId="1" type="noConversion"/>
  </si>
  <si>
    <t>紫冰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</si>
  <si>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</si>
  <si>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</si>
  <si>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</si>
  <si>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</si>
  <si>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</si>
  <si>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</si>
  <si>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</si>
  <si>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蓝采和</t>
    <phoneticPr fontId="1" type="noConversion"/>
  </si>
  <si>
    <t>曹国舅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</si>
  <si>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</si>
  <si>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</si>
  <si>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</si>
  <si>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</si>
  <si>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</si>
  <si>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</si>
  <si>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</si>
  <si>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</si>
  <si>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名将吕布威登</t>
    <phoneticPr fontId="1" type="noConversion"/>
  </si>
  <si>
    <t>名将吕布威登</t>
    <phoneticPr fontId="1" type="noConversion"/>
  </si>
  <si>
    <t>宫主</t>
    <phoneticPr fontId="1" type="noConversion"/>
  </si>
  <si>
    <t>碧水独角兽</t>
    <phoneticPr fontId="1" type="noConversion"/>
  </si>
  <si>
    <t>奇摩摩</t>
    <phoneticPr fontId="1" type="noConversion"/>
  </si>
  <si>
    <t>奇摩摩</t>
    <phoneticPr fontId="1" type="noConversion"/>
  </si>
  <si>
    <t>囚牛</t>
    <phoneticPr fontId="1" type="noConversion"/>
  </si>
  <si>
    <t>小铁匠</t>
    <phoneticPr fontId="1" type="noConversion"/>
  </si>
  <si>
    <t>赤笛仔</t>
    <phoneticPr fontId="1" type="noConversion"/>
  </si>
  <si>
    <t>何仙姑</t>
    <phoneticPr fontId="1" type="noConversion"/>
  </si>
  <si>
    <t>螃蟹(5),</t>
    <phoneticPr fontId="1" type="noConversion"/>
  </si>
  <si>
    <t>金钗(5),</t>
    <phoneticPr fontId="1" type="noConversion"/>
  </si>
  <si>
    <t>仙丹(5),</t>
    <phoneticPr fontId="1" type="noConversion"/>
  </si>
  <si>
    <t>桂花酒(5),</t>
    <phoneticPr fontId="1" type="noConversion"/>
  </si>
  <si>
    <t>桂花(5),</t>
    <phoneticPr fontId="1" type="noConversion"/>
  </si>
  <si>
    <t>彗星(5),</t>
    <phoneticPr fontId="1" type="noConversion"/>
  </si>
  <si>
    <t>金甲虫(13),</t>
    <phoneticPr fontId="1" type="noConversion"/>
  </si>
  <si>
    <t>金钗(15),</t>
    <phoneticPr fontId="1" type="noConversion"/>
  </si>
  <si>
    <t>彗星(15),</t>
    <phoneticPr fontId="1" type="noConversion"/>
  </si>
  <si>
    <t>金甲虫(48),</t>
    <phoneticPr fontId="1" type="noConversion"/>
  </si>
  <si>
    <t>金甲虫(198),</t>
    <phoneticPr fontId="1" type="noConversion"/>
  </si>
  <si>
    <t>技巧符文叉大(2),</t>
    <phoneticPr fontId="1" type="noConversion"/>
  </si>
  <si>
    <t>技巧符文叉大(7),</t>
    <phoneticPr fontId="1" type="noConversion"/>
  </si>
  <si>
    <t>桂花(5),_x000D_
桂花酒(5),</t>
    <phoneticPr fontId="1" type="noConversion"/>
  </si>
  <si>
    <t>桂花(5),_x000D_
桂花酒(5),_x000D_
灯笼(5),</t>
    <phoneticPr fontId="1" type="noConversion"/>
  </si>
  <si>
    <t>螃蟹(5),_x000D_
桂花(5),_x000D_
桂花酒(5),</t>
    <phoneticPr fontId="1" type="noConversion"/>
  </si>
  <si>
    <t>超进阶素材水(45),_x000D_
超进阶素材火(50),_x000D_
超进阶素材光(50),_x000D_
超进阶素材暗(50),</t>
    <phoneticPr fontId="1" type="noConversion"/>
  </si>
  <si>
    <t>超进阶素材土(45),_x000D_
超进阶素材木(50),_x000D_
超进阶素材光(50),_x000D_
超进阶素材暗(50),</t>
    <phoneticPr fontId="1" type="noConversion"/>
  </si>
  <si>
    <t>赤焰十字星(2),</t>
    <phoneticPr fontId="1" type="noConversion"/>
  </si>
  <si>
    <t>炼妖壶(3),</t>
    <phoneticPr fontId="1" type="noConversion"/>
  </si>
  <si>
    <t>金甲虫(8),</t>
    <phoneticPr fontId="1" type="noConversion"/>
  </si>
  <si>
    <t>秘窟冰晶卵(4),_x000D_
技巧符文叉大(12),</t>
    <phoneticPr fontId="1" type="noConversion"/>
  </si>
  <si>
    <t>辉耀之星(7),</t>
    <phoneticPr fontId="1" type="noConversion"/>
  </si>
  <si>
    <t>龙灵不朽藤(5),_x000D_
技巧符文叉大(7),</t>
    <phoneticPr fontId="1" type="noConversion"/>
  </si>
  <si>
    <t>六方天运骰(8),_x000D_
力量符文叉大(3),_x000D_
技巧符文叉大(7),</t>
    <phoneticPr fontId="1" type="noConversion"/>
  </si>
  <si>
    <t>女娲石(1),_x000D_
愚山乾坤石(2),_x000D_
技巧符文叉大(12),</t>
    <phoneticPr fontId="1" type="noConversion"/>
  </si>
  <si>
    <t>炼妖壶(8),_x000D_
赤焰十字星(7),_x000D_
幸运符文叉大(4),</t>
    <phoneticPr fontId="1" type="noConversion"/>
  </si>
  <si>
    <t>幸运符文叉大(4),_x000D_
技巧符文叉大(12),</t>
    <phoneticPr fontId="1" type="noConversion"/>
  </si>
  <si>
    <t>女娲石(1),_x000D_
幸运符文叉大(4),_x000D_
技巧符文叉大(12),</t>
    <phoneticPr fontId="1" type="noConversion"/>
  </si>
  <si>
    <t>女娲石(1),_x000D_
龙灵不朽藤(10),_x000D_
技巧符文叉大(12),</t>
    <phoneticPr fontId="1" type="noConversion"/>
  </si>
  <si>
    <t>彗星(25),_x000D_
赤焰十字星(2),</t>
    <phoneticPr fontId="1" type="noConversion"/>
  </si>
  <si>
    <t>炼妖壶(13),_x000D_
轩辕剑(5),_x000D_
伏羲琴(4),</t>
    <phoneticPr fontId="1" type="noConversion"/>
  </si>
  <si>
    <t>赤焰十字星(2),_x000D_
技巧符文叉大(7),</t>
    <phoneticPr fontId="1" type="noConversion"/>
  </si>
  <si>
    <t>小猪妖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</si>
  <si>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</si>
  <si>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</si>
  <si>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</si>
  <si>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荆棘弓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</si>
  <si>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</si>
  <si>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</si>
  <si>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</si>
  <si>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小穗穗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</si>
  <si>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</si>
  <si>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</si>
  <si>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</si>
  <si>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</si>
  <si>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葫芦妖</t>
    <phoneticPr fontId="1" type="noConversion"/>
  </si>
  <si>
    <t>粽仔</t>
    <phoneticPr fontId="1" type="noConversion"/>
  </si>
  <si>
    <t>狮子星</t>
    <phoneticPr fontId="1" type="noConversion"/>
  </si>
  <si>
    <t>地</t>
    <phoneticPr fontId="1" type="noConversion"/>
  </si>
  <si>
    <t>包小福</t>
    <phoneticPr fontId="1" type="noConversion"/>
  </si>
  <si>
    <t>明珠</t>
    <phoneticPr fontId="1" type="noConversion"/>
  </si>
  <si>
    <t>戟月</t>
    <phoneticPr fontId="1" type="noConversion"/>
  </si>
  <si>
    <t>超</t>
    <phoneticPr fontId="1" type="noConversion"/>
  </si>
  <si>
    <t>菱绢</t>
    <phoneticPr fontId="1" type="noConversion"/>
  </si>
  <si>
    <t>天秤星</t>
    <phoneticPr fontId="1" type="noConversion"/>
  </si>
  <si>
    <t>懒懒鹿</t>
    <phoneticPr fontId="1" type="noConversion"/>
  </si>
  <si>
    <t>大宝剑</t>
    <phoneticPr fontId="1" type="noConversion"/>
  </si>
  <si>
    <t>通灵宝玉</t>
    <phoneticPr fontId="1" type="noConversion"/>
  </si>
  <si>
    <t>芹正</t>
    <phoneticPr fontId="1" type="noConversion"/>
  </si>
  <si>
    <t>付炬</t>
    <phoneticPr fontId="1" type="noConversion"/>
  </si>
  <si>
    <t>火</t>
    <phoneticPr fontId="1" type="noConversion"/>
  </si>
  <si>
    <t>十二地支.巳</t>
    <phoneticPr fontId="1" type="noConversion"/>
  </si>
  <si>
    <t>字母罗</t>
    <phoneticPr fontId="1" type="noConversion"/>
  </si>
  <si>
    <t>光</t>
    <phoneticPr fontId="1" type="noConversion"/>
  </si>
  <si>
    <t>牛小宝</t>
    <phoneticPr fontId="1" type="noConversion"/>
  </si>
  <si>
    <t>汪仔</t>
    <phoneticPr fontId="1" type="noConversion"/>
  </si>
  <si>
    <t>馄饨</t>
    <phoneticPr fontId="1" type="noConversion"/>
  </si>
  <si>
    <t>金灵</t>
    <phoneticPr fontId="1" type="noConversion"/>
  </si>
  <si>
    <t>甘冰</t>
    <phoneticPr fontId="1" type="noConversion"/>
  </si>
  <si>
    <t>剑灵</t>
    <phoneticPr fontId="1" type="noConversion"/>
  </si>
  <si>
    <t>羽妖仔</t>
    <phoneticPr fontId="1" type="noConversion"/>
  </si>
  <si>
    <t>子鹿</t>
    <phoneticPr fontId="1" type="noConversion"/>
  </si>
  <si>
    <t>煤球</t>
    <phoneticPr fontId="1" type="noConversion"/>
  </si>
  <si>
    <t>暗</t>
    <phoneticPr fontId="1" type="noConversion"/>
  </si>
  <si>
    <t>夕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</si>
</sst>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2" xfId="0" applyFill="1" applyBorder="1">
      <alignment vertical="center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2" xfId="0" applyFont="1" applyFill="1" applyBorder="1">
      <alignment vertical="center"/>
    </xf>
    <xf numFmtId="0" fontId="5" fillId="0" borderId="0" xfId="0" applyFont="1">
      <alignment vertical="center"/>
    </xf>
    <xf numFmtId="0" fontId="5" fillId="0" borderId="1" xfId="0" applyFont="1" applyFill="1" applyBorder="1">
      <alignment vertical="center"/>
    </xf>
    <xf numFmtId="0" fontId="4" fillId="0" borderId="1" xfId="0" applyFont="1" applyFill="1" applyBorder="1">
      <alignment vertical="center"/>
    </xf>
    <xf numFmtId="0" fontId="2" fillId="0" borderId="0" xfId="0" applyFont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</cellXfs>
  <cellStyles count="1">
    <cellStyle name="常规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120</xdr:row>
          <xdr:rowOff>28575</xdr:rowOff>
        </xdr:from>
        <xdr:to>
          <xdr:col>1</xdr:col>
          <xdr:colOff>428625</xdr:colOff>
          <xdr:row>121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P118"/>
  <sheetViews>
    <sheetView tabSelected="1" workbookViewId="0">
      <pane xSplit="2" ySplit="1" topLeftCell="C90" activePane="bottomRight" state="frozen"/>
      <selection pane="topRight" activeCell="C1" sqref="C1"/>
      <selection pane="bottomLeft" activeCell="A3" sqref="A3"/>
      <selection pane="bottomRight" activeCell="AS118" sqref="AS118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24" width="13.75" bestFit="1" customWidth="1"/>
    <col min="25" max="26" width="11.75" bestFit="1" customWidth="1"/>
    <col min="27" max="27" width="13.75" bestFit="1" customWidth="1"/>
    <col min="28" max="28" width="11.75" bestFit="1" customWidth="1"/>
    <col min="29" max="31" width="9.75" bestFit="1" customWidth="1"/>
    <col min="32" max="32" width="11.75" bestFit="1" customWidth="1"/>
    <col min="33" max="34" width="9.75" bestFit="1" customWidth="1"/>
    <col min="35" max="35" width="11.75" bestFit="1" customWidth="1"/>
    <col min="36" max="37" width="9.75" bestFit="1" customWidth="1"/>
    <col min="38" max="39" width="9.75" customWidth="1"/>
    <col min="40" max="45" width="15.875" style="7" bestFit="1" customWidth="1"/>
    <col min="46" max="51" width="18.125" style="7" bestFit="1" customWidth="1"/>
    <col min="52" max="52" width="18.125" style="7" customWidth="1"/>
    <col min="53" max="58" width="15.875" bestFit="1" customWidth="1"/>
    <col min="59" max="64" width="18.125" bestFit="1" customWidth="1"/>
    <col min="65" max="65" width="9.75" bestFit="1" customWidth="1"/>
    <col min="66" max="66" width="7.5" customWidth="1"/>
    <col min="67" max="67" width="7.625" style="15" customWidth="1"/>
    <col min="68" max="68" width="18.625" style="15" bestFit="1" customWidth="1"/>
    <col min="69" max="74" width="11.875" bestFit="1" customWidth="1"/>
    <col min="75" max="80" width="14.125" bestFit="1" customWidth="1"/>
  </cols>
  <sheetData>
    <row r="1" spans="1:94" s="13" customFormat="1" x14ac:dyDescent="0.15">
      <c r="A1" s="8" t="s">
        <v>108</v>
      </c>
      <c r="B1" s="8" t="s">
        <v>109</v>
      </c>
      <c r="C1" s="8" t="s">
        <v>111</v>
      </c>
      <c r="D1" s="8" t="s">
        <v>110</v>
      </c>
      <c r="E1" s="9" t="s">
        <v>3</v>
      </c>
      <c r="F1" s="9" t="s">
        <v>4</v>
      </c>
      <c r="G1" s="9" t="s">
        <v>15</v>
      </c>
      <c r="H1" s="9" t="s">
        <v>28</v>
      </c>
      <c r="I1" s="9" t="s">
        <v>30</v>
      </c>
      <c r="J1" s="9" t="s">
        <v>105</v>
      </c>
      <c r="K1" s="9" t="s">
        <v>31</v>
      </c>
      <c r="L1" s="9" t="s">
        <v>56</v>
      </c>
      <c r="M1" s="9" t="s">
        <v>62</v>
      </c>
      <c r="N1" s="9" t="s">
        <v>68</v>
      </c>
      <c r="O1" s="9" t="s">
        <v>61</v>
      </c>
      <c r="P1" s="9" t="s">
        <v>27</v>
      </c>
      <c r="Q1" s="9" t="s">
        <v>73</v>
      </c>
      <c r="R1" s="9" t="s">
        <v>99</v>
      </c>
      <c r="S1" s="9" t="s">
        <v>75</v>
      </c>
      <c r="T1" s="9" t="s">
        <v>89</v>
      </c>
      <c r="U1" s="9" t="s">
        <v>76</v>
      </c>
      <c r="V1" s="9" t="s">
        <v>97</v>
      </c>
      <c r="W1" s="9" t="s">
        <v>54</v>
      </c>
      <c r="X1" s="9" t="s">
        <v>69</v>
      </c>
      <c r="Y1" s="9" t="s">
        <v>98</v>
      </c>
      <c r="Z1" s="9" t="s">
        <v>78</v>
      </c>
      <c r="AA1" s="9" t="s">
        <v>90</v>
      </c>
      <c r="AB1" s="8" t="s">
        <v>10</v>
      </c>
      <c r="AC1" s="8" t="s">
        <v>37</v>
      </c>
      <c r="AD1" s="8" t="s">
        <v>38</v>
      </c>
      <c r="AE1" s="8" t="s">
        <v>91</v>
      </c>
      <c r="AF1" s="8" t="s">
        <v>92</v>
      </c>
      <c r="AG1" s="8" t="s">
        <v>94</v>
      </c>
      <c r="AH1" s="8" t="s">
        <v>95</v>
      </c>
      <c r="AI1" s="8" t="s">
        <v>100</v>
      </c>
      <c r="AJ1" s="8" t="s">
        <v>70</v>
      </c>
      <c r="AK1" s="8" t="s">
        <v>72</v>
      </c>
      <c r="AL1" s="8" t="s">
        <v>178</v>
      </c>
      <c r="AM1" s="8" t="s">
        <v>179</v>
      </c>
      <c r="AN1" s="10" t="s">
        <v>51</v>
      </c>
      <c r="AO1" s="10" t="s">
        <v>5</v>
      </c>
      <c r="AP1" s="10" t="s">
        <v>35</v>
      </c>
      <c r="AQ1" s="10" t="s">
        <v>79</v>
      </c>
      <c r="AR1" s="10" t="s">
        <v>87</v>
      </c>
      <c r="AS1" s="10" t="s">
        <v>66</v>
      </c>
      <c r="AT1" s="11" t="s">
        <v>6</v>
      </c>
      <c r="AU1" s="11" t="s">
        <v>7</v>
      </c>
      <c r="AV1" s="11" t="s">
        <v>52</v>
      </c>
      <c r="AW1" s="11" t="s">
        <v>9</v>
      </c>
      <c r="AX1" s="11" t="s">
        <v>65</v>
      </c>
      <c r="AY1" s="11" t="s">
        <v>14</v>
      </c>
      <c r="AZ1" s="29" t="s">
        <v>174</v>
      </c>
      <c r="BA1" s="8" t="s">
        <v>19</v>
      </c>
      <c r="BB1" s="8" t="s">
        <v>18</v>
      </c>
      <c r="BC1" s="8" t="s">
        <v>16</v>
      </c>
      <c r="BD1" s="8" t="s">
        <v>17</v>
      </c>
      <c r="BE1" s="8" t="s">
        <v>20</v>
      </c>
      <c r="BF1" s="8" t="s">
        <v>21</v>
      </c>
      <c r="BG1" s="8" t="s">
        <v>42</v>
      </c>
      <c r="BH1" s="8" t="s">
        <v>43</v>
      </c>
      <c r="BI1" s="8" t="s">
        <v>44</v>
      </c>
      <c r="BJ1" s="8" t="s">
        <v>45</v>
      </c>
      <c r="BK1" s="8" t="s">
        <v>46</v>
      </c>
      <c r="BL1" s="8" t="s">
        <v>47</v>
      </c>
      <c r="BM1" s="12" t="s">
        <v>117</v>
      </c>
      <c r="BN1" s="8" t="s">
        <v>118</v>
      </c>
      <c r="BO1" s="16" t="s">
        <v>119</v>
      </c>
      <c r="BP1" s="16"/>
      <c r="BQ1" s="10" t="s">
        <v>51</v>
      </c>
      <c r="BR1" s="10" t="s">
        <v>5</v>
      </c>
      <c r="BS1" s="10" t="s">
        <v>35</v>
      </c>
      <c r="BT1" s="10" t="s">
        <v>79</v>
      </c>
      <c r="BU1" s="10" t="s">
        <v>87</v>
      </c>
      <c r="BV1" s="10" t="s">
        <v>66</v>
      </c>
      <c r="BW1" s="11" t="s">
        <v>6</v>
      </c>
      <c r="BX1" s="11" t="s">
        <v>7</v>
      </c>
      <c r="BY1" s="11" t="s">
        <v>52</v>
      </c>
      <c r="BZ1" s="11" t="s">
        <v>9</v>
      </c>
      <c r="CA1" s="11" t="s">
        <v>65</v>
      </c>
      <c r="CB1" s="11" t="s">
        <v>14</v>
      </c>
      <c r="CC1" s="8"/>
      <c r="CD1" s="10" t="s">
        <v>51</v>
      </c>
      <c r="CE1" s="10" t="s">
        <v>5</v>
      </c>
      <c r="CF1" s="10" t="s">
        <v>35</v>
      </c>
      <c r="CG1" s="10" t="s">
        <v>79</v>
      </c>
      <c r="CH1" s="10" t="s">
        <v>87</v>
      </c>
      <c r="CI1" s="10" t="s">
        <v>66</v>
      </c>
      <c r="CJ1" s="11" t="s">
        <v>6</v>
      </c>
      <c r="CK1" s="11" t="s">
        <v>7</v>
      </c>
      <c r="CL1" s="11" t="s">
        <v>52</v>
      </c>
      <c r="CM1" s="11" t="s">
        <v>9</v>
      </c>
      <c r="CN1" s="11" t="s">
        <v>65</v>
      </c>
      <c r="CO1" s="11" t="s">
        <v>14</v>
      </c>
      <c r="CP1" s="28"/>
    </row>
    <row r="2" spans="1:94" x14ac:dyDescent="0.15">
      <c r="A2" s="1">
        <v>4</v>
      </c>
      <c r="B2" s="1" t="s">
        <v>11</v>
      </c>
      <c r="C2" s="1" t="s">
        <v>2</v>
      </c>
      <c r="D2" s="1" t="s">
        <v>13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4"/>
      <c r="AO2" s="4"/>
      <c r="AP2" s="4"/>
      <c r="AQ2" s="4"/>
      <c r="AR2" s="4"/>
      <c r="AS2" s="4"/>
      <c r="AT2" s="2"/>
      <c r="AU2" s="2"/>
      <c r="AV2" s="2"/>
      <c r="AW2" s="2"/>
      <c r="AX2" s="2"/>
      <c r="AY2" s="2"/>
      <c r="AZ2" s="14"/>
      <c r="BA2" s="1"/>
      <c r="BB2" s="1"/>
      <c r="BC2" s="1">
        <v>20</v>
      </c>
      <c r="BD2" s="1">
        <v>20</v>
      </c>
      <c r="BE2" s="1">
        <v>20</v>
      </c>
      <c r="BF2" s="1">
        <v>20</v>
      </c>
      <c r="BG2" s="1"/>
      <c r="BH2" s="1"/>
      <c r="BI2" s="1"/>
      <c r="BJ2" s="1"/>
      <c r="BK2" s="1"/>
      <c r="BL2" s="1"/>
      <c r="BM2" s="1">
        <f>SUM(E2:BL2)</f>
        <v>80</v>
      </c>
      <c r="BN2" s="1">
        <v>0</v>
      </c>
      <c r="BO2" s="17">
        <v>0</v>
      </c>
      <c r="BP2" s="17"/>
      <c r="BQ2" s="1" t="str">
        <f>IF(AN2&gt;AN$117, AN2-AN$117,"")</f>
        <v/>
      </c>
      <c r="BR2" s="1" t="str">
        <f>IF(AO2&gt;AO$117, AO2-AO$117,"")</f>
        <v/>
      </c>
      <c r="BS2" s="1" t="str">
        <f>IF(AP2&gt;AP$117, AP2-AP$117,"")</f>
        <v/>
      </c>
      <c r="BT2" s="1" t="str">
        <f>IF(AQ2&gt;AQ$117, AQ2-AQ$117,"")</f>
        <v/>
      </c>
      <c r="BU2" s="1" t="str">
        <f>IF(AR2&gt;AR$117, AR2-AR$117,"")</f>
        <v/>
      </c>
      <c r="BV2" s="1" t="str">
        <f>IF(AS2&gt;AS$117, AS2-AS$117,"")</f>
        <v/>
      </c>
      <c r="BW2" s="1" t="str">
        <f>IF(AT2&gt;AT$117, AT2-AT$117,"")</f>
        <v/>
      </c>
      <c r="BX2" s="1" t="str">
        <f>IF(AU2&gt;AU$117, AU2-AU$117,"")</f>
        <v/>
      </c>
      <c r="BY2" s="1" t="str">
        <f>IF(AV2&gt;AV$117, AV2-AV$117,"")</f>
        <v/>
      </c>
      <c r="BZ2" s="1" t="str">
        <f>IF(AW2&gt;AW$117, AW2-AW$117,"")</f>
        <v/>
      </c>
      <c r="CA2" s="1" t="str">
        <f>IF(AX2&gt;AX$117, AX2-AX$117,"")</f>
        <v/>
      </c>
      <c r="CB2" s="1" t="str">
        <f>IF(AY2&gt;AY$117, AY2-AY$117,"")</f>
        <v/>
      </c>
      <c r="CC2" s="1">
        <f>12-COUNTA(BQ2:CB2)</f>
        <v>0</v>
      </c>
      <c r="CD2" s="1" t="str">
        <f>IF($CC2=1,BQ2,"")</f>
        <v/>
      </c>
      <c r="CE2" s="1" t="str">
        <f>IF($CC2=1,BR2,"")</f>
        <v/>
      </c>
      <c r="CF2" s="1" t="str">
        <f>IF($CC2=1,BS2,"")</f>
        <v/>
      </c>
      <c r="CG2" s="1" t="str">
        <f>IF($CC2=1,BT2,"")</f>
        <v/>
      </c>
      <c r="CH2" s="1" t="str">
        <f>IF($CC2=1,BU2,"")</f>
        <v/>
      </c>
      <c r="CI2" s="1" t="str">
        <f>IF($CC2=1,BV2,"")</f>
        <v/>
      </c>
      <c r="CJ2" s="1" t="str">
        <f>IF($CC2=1,BW2,"")</f>
        <v/>
      </c>
      <c r="CK2" s="1" t="str">
        <f>IF($CC2=1,BX2,"")</f>
        <v/>
      </c>
      <c r="CL2" s="1" t="str">
        <f>IF($CC2=1,BY2,"")</f>
        <v/>
      </c>
      <c r="CM2" s="1" t="str">
        <f>IF($CC2=1,BZ2,"")</f>
        <v/>
      </c>
      <c r="CN2" s="1" t="str">
        <f>IF($CC2=1,CA2,"")</f>
        <v/>
      </c>
      <c r="CO2" s="1" t="str">
        <f>IF($CC2=1,CB2,"")</f>
        <v/>
      </c>
      <c r="CP2" s="18">
        <f>SUM(AB2:BL2)</f>
        <v>80</v>
      </c>
    </row>
    <row r="3" spans="1:94" x14ac:dyDescent="0.15">
      <c r="A3" s="1">
        <v>15</v>
      </c>
      <c r="B3" s="1" t="s">
        <v>32</v>
      </c>
      <c r="C3" s="1" t="s">
        <v>33</v>
      </c>
      <c r="D3" s="1" t="s">
        <v>26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4"/>
      <c r="AO3" s="4"/>
      <c r="AP3" s="4"/>
      <c r="AQ3" s="4"/>
      <c r="AR3" s="4"/>
      <c r="AS3" s="4"/>
      <c r="AT3" s="2"/>
      <c r="AU3" s="2"/>
      <c r="AV3" s="2"/>
      <c r="AW3" s="2"/>
      <c r="AX3" s="2"/>
      <c r="AY3" s="2"/>
      <c r="AZ3" s="14"/>
      <c r="BA3" s="1">
        <v>20</v>
      </c>
      <c r="BB3" s="1">
        <v>20</v>
      </c>
      <c r="BC3" s="1">
        <v>20</v>
      </c>
      <c r="BD3" s="1">
        <v>20</v>
      </c>
      <c r="BE3" s="1"/>
      <c r="BF3" s="1"/>
      <c r="BG3" s="1"/>
      <c r="BH3" s="1"/>
      <c r="BI3" s="1"/>
      <c r="BJ3" s="1"/>
      <c r="BK3" s="1"/>
      <c r="BL3" s="1"/>
      <c r="BM3" s="1">
        <f>SUM(E3:BL3)</f>
        <v>80</v>
      </c>
      <c r="BN3" s="1">
        <v>0</v>
      </c>
      <c r="BO3" s="17">
        <v>0</v>
      </c>
      <c r="BP3" s="17"/>
      <c r="BQ3" s="1" t="str">
        <f>IF(AN3&gt;AN$117, AN3-AN$117,"")</f>
        <v/>
      </c>
      <c r="BR3" s="1" t="str">
        <f>IF(AO3&gt;AO$117, AO3-AO$117,"")</f>
        <v/>
      </c>
      <c r="BS3" s="1" t="str">
        <f>IF(AP3&gt;AP$117, AP3-AP$117,"")</f>
        <v/>
      </c>
      <c r="BT3" s="1" t="str">
        <f>IF(AQ3&gt;AQ$117, AQ3-AQ$117,"")</f>
        <v/>
      </c>
      <c r="BU3" s="1" t="str">
        <f>IF(AR3&gt;AR$117, AR3-AR$117,"")</f>
        <v/>
      </c>
      <c r="BV3" s="1" t="str">
        <f>IF(AS3&gt;AS$117, AS3-AS$117,"")</f>
        <v/>
      </c>
      <c r="BW3" s="1" t="str">
        <f>IF(AT3&gt;AT$117, AT3-AT$117,"")</f>
        <v/>
      </c>
      <c r="BX3" s="1" t="str">
        <f>IF(AU3&gt;AU$117, AU3-AU$117,"")</f>
        <v/>
      </c>
      <c r="BY3" s="1" t="str">
        <f>IF(AV3&gt;AV$117, AV3-AV$117,"")</f>
        <v/>
      </c>
      <c r="BZ3" s="1" t="str">
        <f>IF(AW3&gt;AW$117, AW3-AW$117,"")</f>
        <v/>
      </c>
      <c r="CA3" s="1" t="str">
        <f>IF(AX3&gt;AX$117, AX3-AX$117,"")</f>
        <v/>
      </c>
      <c r="CB3" s="1" t="str">
        <f>IF(AY3&gt;AY$117, AY3-AY$117,"")</f>
        <v/>
      </c>
      <c r="CC3" s="1">
        <f>12-COUNTA(BQ3:CB3)</f>
        <v>0</v>
      </c>
      <c r="CD3" s="1" t="str">
        <f>IF($CC3=1,BQ3,"")</f>
        <v/>
      </c>
      <c r="CE3" s="1" t="str">
        <f>IF($CC3=1,BR3,"")</f>
        <v/>
      </c>
      <c r="CF3" s="1" t="str">
        <f>IF($CC3=1,BS3,"")</f>
        <v/>
      </c>
      <c r="CG3" s="1" t="str">
        <f>IF($CC3=1,BT3,"")</f>
        <v/>
      </c>
      <c r="CH3" s="1" t="str">
        <f>IF($CC3=1,BU3,"")</f>
        <v/>
      </c>
      <c r="CI3" s="1" t="str">
        <f>IF($CC3=1,BV3,"")</f>
        <v/>
      </c>
      <c r="CJ3" s="1" t="str">
        <f>IF($CC3=1,BW3,"")</f>
        <v/>
      </c>
      <c r="CK3" s="1" t="str">
        <f>IF($CC3=1,BX3,"")</f>
        <v/>
      </c>
      <c r="CL3" s="1" t="str">
        <f>IF($CC3=1,BY3,"")</f>
        <v/>
      </c>
      <c r="CM3" s="1" t="str">
        <f>IF($CC3=1,BZ3,"")</f>
        <v/>
      </c>
      <c r="CN3" s="1" t="str">
        <f>IF($CC3=1,CA3,"")</f>
        <v/>
      </c>
      <c r="CO3" s="1" t="str">
        <f>IF($CC3=1,CB3,"")</f>
        <v/>
      </c>
      <c r="CP3" s="18">
        <f>SUM(AB3:BL3)</f>
        <v>80</v>
      </c>
    </row>
    <row r="4" spans="1:94" x14ac:dyDescent="0.15">
      <c r="A4" s="1">
        <v>35</v>
      </c>
      <c r="B4" s="1" t="s">
        <v>49</v>
      </c>
      <c r="C4" s="1" t="s">
        <v>50</v>
      </c>
      <c r="D4" s="1" t="s">
        <v>26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4"/>
      <c r="AO4" s="4"/>
      <c r="AP4" s="4"/>
      <c r="AQ4" s="4"/>
      <c r="AR4" s="4"/>
      <c r="AS4" s="4"/>
      <c r="AT4" s="2"/>
      <c r="AU4" s="2"/>
      <c r="AV4" s="2"/>
      <c r="AW4" s="2"/>
      <c r="AX4" s="2"/>
      <c r="AY4" s="2"/>
      <c r="AZ4" s="14"/>
      <c r="BA4" s="1">
        <v>20</v>
      </c>
      <c r="BB4" s="1">
        <v>20</v>
      </c>
      <c r="BC4" s="1">
        <v>20</v>
      </c>
      <c r="BD4" s="1">
        <v>20</v>
      </c>
      <c r="BE4" s="1"/>
      <c r="BF4" s="1"/>
      <c r="BG4" s="1"/>
      <c r="BH4" s="1"/>
      <c r="BI4" s="1"/>
      <c r="BJ4" s="1"/>
      <c r="BK4" s="1"/>
      <c r="BL4" s="1"/>
      <c r="BM4" s="1">
        <f>SUM(E4:BL4)</f>
        <v>80</v>
      </c>
      <c r="BN4" s="1">
        <v>0</v>
      </c>
      <c r="BO4" s="17">
        <v>0</v>
      </c>
      <c r="BP4" s="17"/>
      <c r="BQ4" s="1" t="str">
        <f>IF(AN4&gt;AN$117, AN4-AN$117,"")</f>
        <v/>
      </c>
      <c r="BR4" s="1" t="str">
        <f>IF(AO4&gt;AO$117, AO4-AO$117,"")</f>
        <v/>
      </c>
      <c r="BS4" s="1" t="str">
        <f>IF(AP4&gt;AP$117, AP4-AP$117,"")</f>
        <v/>
      </c>
      <c r="BT4" s="1" t="str">
        <f>IF(AQ4&gt;AQ$117, AQ4-AQ$117,"")</f>
        <v/>
      </c>
      <c r="BU4" s="1" t="str">
        <f>IF(AR4&gt;AR$117, AR4-AR$117,"")</f>
        <v/>
      </c>
      <c r="BV4" s="1" t="str">
        <f>IF(AS4&gt;AS$117, AS4-AS$117,"")</f>
        <v/>
      </c>
      <c r="BW4" s="1" t="str">
        <f>IF(AT4&gt;AT$117, AT4-AT$117,"")</f>
        <v/>
      </c>
      <c r="BX4" s="1" t="str">
        <f>IF(AU4&gt;AU$117, AU4-AU$117,"")</f>
        <v/>
      </c>
      <c r="BY4" s="1" t="str">
        <f>IF(AV4&gt;AV$117, AV4-AV$117,"")</f>
        <v/>
      </c>
      <c r="BZ4" s="1" t="str">
        <f>IF(AW4&gt;AW$117, AW4-AW$117,"")</f>
        <v/>
      </c>
      <c r="CA4" s="1" t="str">
        <f>IF(AX4&gt;AX$117, AX4-AX$117,"")</f>
        <v/>
      </c>
      <c r="CB4" s="1" t="str">
        <f>IF(AY4&gt;AY$117, AY4-AY$117,"")</f>
        <v/>
      </c>
      <c r="CC4" s="1">
        <f>12-COUNTA(BQ4:CB4)</f>
        <v>0</v>
      </c>
      <c r="CD4" s="1" t="str">
        <f>IF($CC4=1,BQ4,"")</f>
        <v/>
      </c>
      <c r="CE4" s="1" t="str">
        <f>IF($CC4=1,BR4,"")</f>
        <v/>
      </c>
      <c r="CF4" s="1" t="str">
        <f>IF($CC4=1,BS4,"")</f>
        <v/>
      </c>
      <c r="CG4" s="1" t="str">
        <f>IF($CC4=1,BT4,"")</f>
        <v/>
      </c>
      <c r="CH4" s="1" t="str">
        <f>IF($CC4=1,BU4,"")</f>
        <v/>
      </c>
      <c r="CI4" s="1" t="str">
        <f>IF($CC4=1,BV4,"")</f>
        <v/>
      </c>
      <c r="CJ4" s="1" t="str">
        <f>IF($CC4=1,BW4,"")</f>
        <v/>
      </c>
      <c r="CK4" s="1" t="str">
        <f>IF($CC4=1,BX4,"")</f>
        <v/>
      </c>
      <c r="CL4" s="1" t="str">
        <f>IF($CC4=1,BY4,"")</f>
        <v/>
      </c>
      <c r="CM4" s="1" t="str">
        <f>IF($CC4=1,BZ4,"")</f>
        <v/>
      </c>
      <c r="CN4" s="1" t="str">
        <f>IF($CC4=1,CA4,"")</f>
        <v/>
      </c>
      <c r="CO4" s="1" t="str">
        <f>IF($CC4=1,CB4,"")</f>
        <v/>
      </c>
      <c r="CP4" s="18">
        <f>SUM(AB4:BL4)</f>
        <v>80</v>
      </c>
    </row>
    <row r="5" spans="1:94" x14ac:dyDescent="0.15">
      <c r="A5" s="1">
        <v>55</v>
      </c>
      <c r="B5" s="1" t="s">
        <v>63</v>
      </c>
      <c r="C5" s="1" t="s">
        <v>64</v>
      </c>
      <c r="D5" s="1" t="s">
        <v>13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4"/>
      <c r="AO5" s="4"/>
      <c r="AP5" s="4"/>
      <c r="AQ5" s="4"/>
      <c r="AR5" s="4"/>
      <c r="AS5" s="4"/>
      <c r="AT5" s="2"/>
      <c r="AU5" s="2"/>
      <c r="AV5" s="2"/>
      <c r="AW5" s="2"/>
      <c r="AX5" s="2"/>
      <c r="AY5" s="2"/>
      <c r="AZ5" s="14"/>
      <c r="BA5" s="1">
        <v>20</v>
      </c>
      <c r="BB5" s="1">
        <v>20</v>
      </c>
      <c r="BC5" s="1"/>
      <c r="BD5" s="1"/>
      <c r="BE5" s="1">
        <v>20</v>
      </c>
      <c r="BF5" s="1">
        <v>20</v>
      </c>
      <c r="BG5" s="1"/>
      <c r="BH5" s="1"/>
      <c r="BI5" s="1"/>
      <c r="BJ5" s="1"/>
      <c r="BK5" s="1"/>
      <c r="BL5" s="1"/>
      <c r="BM5" s="1">
        <f>SUM(E5:BL5)</f>
        <v>80</v>
      </c>
      <c r="BN5" s="1">
        <v>0</v>
      </c>
      <c r="BO5" s="17">
        <v>0</v>
      </c>
      <c r="BP5" s="17"/>
      <c r="BQ5" s="1" t="str">
        <f>IF(AN5&gt;AN$117, AN5-AN$117,"")</f>
        <v/>
      </c>
      <c r="BR5" s="1" t="str">
        <f>IF(AO5&gt;AO$117, AO5-AO$117,"")</f>
        <v/>
      </c>
      <c r="BS5" s="1" t="str">
        <f>IF(AP5&gt;AP$117, AP5-AP$117,"")</f>
        <v/>
      </c>
      <c r="BT5" s="1" t="str">
        <f>IF(AQ5&gt;AQ$117, AQ5-AQ$117,"")</f>
        <v/>
      </c>
      <c r="BU5" s="1" t="str">
        <f>IF(AR5&gt;AR$117, AR5-AR$117,"")</f>
        <v/>
      </c>
      <c r="BV5" s="1" t="str">
        <f>IF(AS5&gt;AS$117, AS5-AS$117,"")</f>
        <v/>
      </c>
      <c r="BW5" s="1" t="str">
        <f>IF(AT5&gt;AT$117, AT5-AT$117,"")</f>
        <v/>
      </c>
      <c r="BX5" s="1" t="str">
        <f>IF(AU5&gt;AU$117, AU5-AU$117,"")</f>
        <v/>
      </c>
      <c r="BY5" s="1" t="str">
        <f>IF(AV5&gt;AV$117, AV5-AV$117,"")</f>
        <v/>
      </c>
      <c r="BZ5" s="1" t="str">
        <f>IF(AW5&gt;AW$117, AW5-AW$117,"")</f>
        <v/>
      </c>
      <c r="CA5" s="1" t="str">
        <f>IF(AX5&gt;AX$117, AX5-AX$117,"")</f>
        <v/>
      </c>
      <c r="CB5" s="1" t="str">
        <f>IF(AY5&gt;AY$117, AY5-AY$117,"")</f>
        <v/>
      </c>
      <c r="CC5" s="1">
        <f>12-COUNTA(BQ5:CB5)</f>
        <v>0</v>
      </c>
      <c r="CD5" s="1" t="str">
        <f>IF($CC5=1,BQ5,"")</f>
        <v/>
      </c>
      <c r="CE5" s="1" t="str">
        <f>IF($CC5=1,BR5,"")</f>
        <v/>
      </c>
      <c r="CF5" s="1" t="str">
        <f>IF($CC5=1,BS5,"")</f>
        <v/>
      </c>
      <c r="CG5" s="1" t="str">
        <f>IF($CC5=1,BT5,"")</f>
        <v/>
      </c>
      <c r="CH5" s="1" t="str">
        <f>IF($CC5=1,BU5,"")</f>
        <v/>
      </c>
      <c r="CI5" s="1" t="str">
        <f>IF($CC5=1,BV5,"")</f>
        <v/>
      </c>
      <c r="CJ5" s="1" t="str">
        <f>IF($CC5=1,BW5,"")</f>
        <v/>
      </c>
      <c r="CK5" s="1" t="str">
        <f>IF($CC5=1,BX5,"")</f>
        <v/>
      </c>
      <c r="CL5" s="1" t="str">
        <f>IF($CC5=1,BY5,"")</f>
        <v/>
      </c>
      <c r="CM5" s="1" t="str">
        <f>IF($CC5=1,BZ5,"")</f>
        <v/>
      </c>
      <c r="CN5" s="1" t="str">
        <f>IF($CC5=1,CA5,"")</f>
        <v/>
      </c>
      <c r="CO5" s="1" t="str">
        <f>IF($CC5=1,CB5,"")</f>
        <v/>
      </c>
      <c r="CP5" s="18">
        <f>SUM(AB5:BL5)</f>
        <v>80</v>
      </c>
    </row>
    <row r="6" spans="1:94" x14ac:dyDescent="0.15">
      <c r="A6" s="19">
        <v>7</v>
      </c>
      <c r="B6" s="19" t="s">
        <v>58</v>
      </c>
      <c r="C6" s="19" t="s">
        <v>2</v>
      </c>
      <c r="D6" s="19" t="s">
        <v>25</v>
      </c>
      <c r="E6" s="20"/>
      <c r="F6" s="20"/>
      <c r="G6" s="20">
        <v>5</v>
      </c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21"/>
      <c r="AO6" s="21"/>
      <c r="AP6" s="21"/>
      <c r="AQ6" s="21"/>
      <c r="AR6" s="21"/>
      <c r="AS6" s="21"/>
      <c r="AT6" s="22"/>
      <c r="AU6" s="22"/>
      <c r="AV6" s="22"/>
      <c r="AW6" s="22"/>
      <c r="AX6" s="22"/>
      <c r="AY6" s="22"/>
      <c r="AZ6" s="30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>
        <f>SUM(E6:BL6)</f>
        <v>5</v>
      </c>
      <c r="BN6" s="19">
        <v>0</v>
      </c>
      <c r="BO6" s="23">
        <v>0</v>
      </c>
      <c r="BP6" s="23"/>
      <c r="BQ6" s="19" t="str">
        <f>IF(AN6&gt;AN$117, AN6-AN$117,"")</f>
        <v/>
      </c>
      <c r="BR6" s="19" t="str">
        <f>IF(AO6&gt;AO$117, AO6-AO$117,"")</f>
        <v/>
      </c>
      <c r="BS6" s="19" t="str">
        <f>IF(AP6&gt;AP$117, AP6-AP$117,"")</f>
        <v/>
      </c>
      <c r="BT6" s="19" t="str">
        <f>IF(AQ6&gt;AQ$117, AQ6-AQ$117,"")</f>
        <v/>
      </c>
      <c r="BU6" s="19" t="str">
        <f>IF(AR6&gt;AR$117, AR6-AR$117,"")</f>
        <v/>
      </c>
      <c r="BV6" s="19" t="str">
        <f>IF(AS6&gt;AS$117, AS6-AS$117,"")</f>
        <v/>
      </c>
      <c r="BW6" s="19" t="str">
        <f>IF(AT6&gt;AT$117, AT6-AT$117,"")</f>
        <v/>
      </c>
      <c r="BX6" s="19" t="str">
        <f>IF(AU6&gt;AU$117, AU6-AU$117,"")</f>
        <v/>
      </c>
      <c r="BY6" s="19" t="str">
        <f>IF(AV6&gt;AV$117, AV6-AV$117,"")</f>
        <v/>
      </c>
      <c r="BZ6" s="19" t="str">
        <f>IF(AW6&gt;AW$117, AW6-AW$117,"")</f>
        <v/>
      </c>
      <c r="CA6" s="19" t="str">
        <f>IF(AX6&gt;AX$117, AX6-AX$117,"")</f>
        <v/>
      </c>
      <c r="CB6" s="19" t="str">
        <f>IF(AY6&gt;AY$117, AY6-AY$117,"")</f>
        <v/>
      </c>
      <c r="CC6" s="19">
        <f>COUNTIF(BQ6:CB6, "&gt;0")</f>
        <v>0</v>
      </c>
      <c r="CD6" s="19" t="str">
        <f>IF($CC6=1,BQ6,"")</f>
        <v/>
      </c>
      <c r="CE6" s="19" t="str">
        <f>IF($CC6=1,BR6,"")</f>
        <v/>
      </c>
      <c r="CF6" s="19" t="str">
        <f>IF($CC6=1,BS6,"")</f>
        <v/>
      </c>
      <c r="CG6" s="19" t="str">
        <f>IF($CC6=1,BT6,"")</f>
        <v/>
      </c>
      <c r="CH6" s="19" t="str">
        <f>IF($CC6=1,BU6,"")</f>
        <v/>
      </c>
      <c r="CI6" s="19" t="str">
        <f>IF($CC6=1,BV6,"")</f>
        <v/>
      </c>
      <c r="CJ6" s="19" t="str">
        <f>IF($CC6=1,BW6,"")</f>
        <v/>
      </c>
      <c r="CK6" s="19" t="str">
        <f>IF($CC6=1,BX6,"")</f>
        <v/>
      </c>
      <c r="CL6" s="19" t="str">
        <f>IF($CC6=1,BY6,"")</f>
        <v/>
      </c>
      <c r="CM6" s="19" t="str">
        <f>IF($CC6=1,BZ6,"")</f>
        <v/>
      </c>
      <c r="CN6" s="19" t="str">
        <f>IF($CC6=1,CA6,"")</f>
        <v/>
      </c>
      <c r="CO6" s="19" t="str">
        <f>IF($CC6=1,CB6,"")</f>
        <v/>
      </c>
      <c r="CP6" s="24">
        <f>SUM(AB6:BL6)</f>
        <v>0</v>
      </c>
    </row>
    <row r="7" spans="1:94" s="25" customFormat="1" x14ac:dyDescent="0.15">
      <c r="A7" s="19">
        <v>40</v>
      </c>
      <c r="B7" s="19" t="s">
        <v>59</v>
      </c>
      <c r="C7" s="19" t="s">
        <v>50</v>
      </c>
      <c r="D7" s="19" t="s">
        <v>60</v>
      </c>
      <c r="E7" s="20"/>
      <c r="F7" s="20"/>
      <c r="G7" s="20"/>
      <c r="H7" s="20"/>
      <c r="I7" s="20"/>
      <c r="J7" s="20"/>
      <c r="K7" s="20"/>
      <c r="L7" s="20"/>
      <c r="M7" s="20"/>
      <c r="N7" s="20"/>
      <c r="O7" s="20">
        <v>5</v>
      </c>
      <c r="P7" s="20"/>
      <c r="Q7" s="20"/>
      <c r="R7" s="20"/>
      <c r="S7" s="20"/>
      <c r="T7" s="20"/>
      <c r="U7" s="20"/>
      <c r="V7" s="20"/>
      <c r="W7" s="20">
        <v>5</v>
      </c>
      <c r="X7" s="20"/>
      <c r="Y7" s="20"/>
      <c r="Z7" s="20"/>
      <c r="AA7" s="20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21"/>
      <c r="AO7" s="21"/>
      <c r="AP7" s="21"/>
      <c r="AQ7" s="21"/>
      <c r="AR7" s="21"/>
      <c r="AS7" s="21"/>
      <c r="AT7" s="22"/>
      <c r="AU7" s="22"/>
      <c r="AV7" s="22"/>
      <c r="AW7" s="22"/>
      <c r="AX7" s="22"/>
      <c r="AY7" s="22"/>
      <c r="AZ7" s="30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>
        <f>SUM(E7:BL7)</f>
        <v>10</v>
      </c>
      <c r="BN7" s="19">
        <v>0</v>
      </c>
      <c r="BO7" s="23">
        <v>0</v>
      </c>
      <c r="BP7" s="23"/>
      <c r="BQ7" s="19" t="str">
        <f>IF(AN7&gt;AN$117, AN7-AN$117,"")</f>
        <v/>
      </c>
      <c r="BR7" s="19" t="str">
        <f>IF(AO7&gt;AO$117, AO7-AO$117,"")</f>
        <v/>
      </c>
      <c r="BS7" s="19" t="str">
        <f>IF(AP7&gt;AP$117, AP7-AP$117,"")</f>
        <v/>
      </c>
      <c r="BT7" s="19" t="str">
        <f>IF(AQ7&gt;AQ$117, AQ7-AQ$117,"")</f>
        <v/>
      </c>
      <c r="BU7" s="19" t="str">
        <f>IF(AR7&gt;AR$117, AR7-AR$117,"")</f>
        <v/>
      </c>
      <c r="BV7" s="19" t="str">
        <f>IF(AS7&gt;AS$117, AS7-AS$117,"")</f>
        <v/>
      </c>
      <c r="BW7" s="19" t="str">
        <f>IF(AT7&gt;AT$117, AT7-AT$117,"")</f>
        <v/>
      </c>
      <c r="BX7" s="19" t="str">
        <f>IF(AU7&gt;AU$117, AU7-AU$117,"")</f>
        <v/>
      </c>
      <c r="BY7" s="19" t="str">
        <f>IF(AV7&gt;AV$117, AV7-AV$117,"")</f>
        <v/>
      </c>
      <c r="BZ7" s="19" t="str">
        <f>IF(AW7&gt;AW$117, AW7-AW$117,"")</f>
        <v/>
      </c>
      <c r="CA7" s="19" t="str">
        <f>IF(AX7&gt;AX$117, AX7-AX$117,"")</f>
        <v/>
      </c>
      <c r="CB7" s="19" t="str">
        <f>IF(AY7&gt;AY$117, AY7-AY$117,"")</f>
        <v/>
      </c>
      <c r="CC7" s="19">
        <f>COUNTIF(BQ7:CB7, "&gt;0")</f>
        <v>0</v>
      </c>
      <c r="CD7" s="19" t="str">
        <f>IF($CC7=1,BQ7,"")</f>
        <v/>
      </c>
      <c r="CE7" s="19" t="str">
        <f>IF($CC7=1,BR7,"")</f>
        <v/>
      </c>
      <c r="CF7" s="19" t="str">
        <f>IF($CC7=1,BS7,"")</f>
        <v/>
      </c>
      <c r="CG7" s="19" t="str">
        <f>IF($CC7=1,BT7,"")</f>
        <v/>
      </c>
      <c r="CH7" s="19" t="str">
        <f>IF($CC7=1,BU7,"")</f>
        <v/>
      </c>
      <c r="CI7" s="19" t="str">
        <f>IF($CC7=1,BV7,"")</f>
        <v/>
      </c>
      <c r="CJ7" s="19" t="str">
        <f>IF($CC7=1,BW7,"")</f>
        <v/>
      </c>
      <c r="CK7" s="19" t="str">
        <f>IF($CC7=1,BX7,"")</f>
        <v/>
      </c>
      <c r="CL7" s="19" t="str">
        <f>IF($CC7=1,BY7,"")</f>
        <v/>
      </c>
      <c r="CM7" s="19" t="str">
        <f>IF($CC7=1,BZ7,"")</f>
        <v/>
      </c>
      <c r="CN7" s="19" t="str">
        <f>IF($CC7=1,CA7,"")</f>
        <v/>
      </c>
      <c r="CO7" s="19" t="str">
        <f>IF($CC7=1,CB7,"")</f>
        <v/>
      </c>
      <c r="CP7" s="24">
        <f>SUM(AB7:BL7)</f>
        <v>0</v>
      </c>
    </row>
    <row r="8" spans="1:94" s="25" customFormat="1" x14ac:dyDescent="0.15">
      <c r="A8" s="19">
        <v>83</v>
      </c>
      <c r="B8" s="26" t="s">
        <v>83</v>
      </c>
      <c r="C8" s="26" t="s">
        <v>77</v>
      </c>
      <c r="D8" s="19" t="s">
        <v>1</v>
      </c>
      <c r="E8" s="20"/>
      <c r="F8" s="20"/>
      <c r="G8" s="20"/>
      <c r="H8" s="20"/>
      <c r="I8" s="20"/>
      <c r="J8" s="20"/>
      <c r="K8" s="20"/>
      <c r="L8" s="20"/>
      <c r="M8" s="20"/>
      <c r="N8" s="20"/>
      <c r="O8" s="20">
        <v>5</v>
      </c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21"/>
      <c r="AO8" s="21"/>
      <c r="AP8" s="21"/>
      <c r="AQ8" s="21"/>
      <c r="AR8" s="21"/>
      <c r="AS8" s="21"/>
      <c r="AT8" s="22"/>
      <c r="AU8" s="22"/>
      <c r="AV8" s="22"/>
      <c r="AW8" s="22"/>
      <c r="AX8" s="22"/>
      <c r="AY8" s="22"/>
      <c r="AZ8" s="30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>
        <f>SUM(E8:BL8)</f>
        <v>5</v>
      </c>
      <c r="BN8" s="19">
        <v>0</v>
      </c>
      <c r="BO8" s="23">
        <v>0</v>
      </c>
      <c r="BP8" s="23"/>
      <c r="BQ8" s="19" t="str">
        <f>IF(AN8&gt;AN$117, AN8-AN$117,"")</f>
        <v/>
      </c>
      <c r="BR8" s="19" t="str">
        <f>IF(AO8&gt;AO$117, AO8-AO$117,"")</f>
        <v/>
      </c>
      <c r="BS8" s="19" t="str">
        <f>IF(AP8&gt;AP$117, AP8-AP$117,"")</f>
        <v/>
      </c>
      <c r="BT8" s="19" t="str">
        <f>IF(AQ8&gt;AQ$117, AQ8-AQ$117,"")</f>
        <v/>
      </c>
      <c r="BU8" s="19" t="str">
        <f>IF(AR8&gt;AR$117, AR8-AR$117,"")</f>
        <v/>
      </c>
      <c r="BV8" s="19" t="str">
        <f>IF(AS8&gt;AS$117, AS8-AS$117,"")</f>
        <v/>
      </c>
      <c r="BW8" s="19" t="str">
        <f>IF(AT8&gt;AT$117, AT8-AT$117,"")</f>
        <v/>
      </c>
      <c r="BX8" s="19" t="str">
        <f>IF(AU8&gt;AU$117, AU8-AU$117,"")</f>
        <v/>
      </c>
      <c r="BY8" s="19" t="str">
        <f>IF(AV8&gt;AV$117, AV8-AV$117,"")</f>
        <v/>
      </c>
      <c r="BZ8" s="19" t="str">
        <f>IF(AW8&gt;AW$117, AW8-AW$117,"")</f>
        <v/>
      </c>
      <c r="CA8" s="19" t="str">
        <f>IF(AX8&gt;AX$117, AX8-AX$117,"")</f>
        <v/>
      </c>
      <c r="CB8" s="19" t="str">
        <f>IF(AY8&gt;AY$117, AY8-AY$117,"")</f>
        <v/>
      </c>
      <c r="CC8" s="19">
        <f>COUNTIF(BQ8:CB8, "&gt;0")</f>
        <v>0</v>
      </c>
      <c r="CD8" s="19" t="str">
        <f>IF($CC8=1,BQ8,"")</f>
        <v/>
      </c>
      <c r="CE8" s="19" t="str">
        <f>IF($CC8=1,BR8,"")</f>
        <v/>
      </c>
      <c r="CF8" s="19" t="str">
        <f>IF($CC8=1,BS8,"")</f>
        <v/>
      </c>
      <c r="CG8" s="19" t="str">
        <f>IF($CC8=1,BT8,"")</f>
        <v/>
      </c>
      <c r="CH8" s="19" t="str">
        <f>IF($CC8=1,BU8,"")</f>
        <v/>
      </c>
      <c r="CI8" s="19" t="str">
        <f>IF($CC8=1,BV8,"")</f>
        <v/>
      </c>
      <c r="CJ8" s="19" t="str">
        <f>IF($CC8=1,BW8,"")</f>
        <v/>
      </c>
      <c r="CK8" s="19" t="str">
        <f>IF($CC8=1,BX8,"")</f>
        <v/>
      </c>
      <c r="CL8" s="19" t="str">
        <f>IF($CC8=1,BY8,"")</f>
        <v/>
      </c>
      <c r="CM8" s="19" t="str">
        <f>IF($CC8=1,BZ8,"")</f>
        <v/>
      </c>
      <c r="CN8" s="19" t="str">
        <f>IF($CC8=1,CA8,"")</f>
        <v/>
      </c>
      <c r="CO8" s="19" t="str">
        <f>IF($CC8=1,CB8,"")</f>
        <v/>
      </c>
      <c r="CP8" s="24">
        <f>SUM(AB8:BL8)</f>
        <v>0</v>
      </c>
    </row>
    <row r="9" spans="1:94" s="25" customFormat="1" x14ac:dyDescent="0.15">
      <c r="A9" s="19">
        <v>37</v>
      </c>
      <c r="B9" s="19" t="s">
        <v>53</v>
      </c>
      <c r="C9" s="19" t="s">
        <v>50</v>
      </c>
      <c r="D9" s="19" t="s">
        <v>25</v>
      </c>
      <c r="E9" s="20"/>
      <c r="F9" s="20">
        <v>5</v>
      </c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>
        <v>5</v>
      </c>
      <c r="X9" s="20"/>
      <c r="Y9" s="20"/>
      <c r="Z9" s="20"/>
      <c r="AA9" s="20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21"/>
      <c r="AO9" s="21"/>
      <c r="AP9" s="21"/>
      <c r="AQ9" s="21"/>
      <c r="AR9" s="21"/>
      <c r="AS9" s="21"/>
      <c r="AT9" s="22"/>
      <c r="AU9" s="22"/>
      <c r="AV9" s="22"/>
      <c r="AW9" s="22"/>
      <c r="AX9" s="22"/>
      <c r="AY9" s="22"/>
      <c r="AZ9" s="30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>
        <f>SUM(E9:BL9)</f>
        <v>10</v>
      </c>
      <c r="BN9" s="19">
        <v>0</v>
      </c>
      <c r="BO9" s="23">
        <v>0</v>
      </c>
      <c r="BP9" s="23"/>
      <c r="BQ9" s="19" t="str">
        <f>IF(AN9&gt;AN$117, AN9-AN$117,"")</f>
        <v/>
      </c>
      <c r="BR9" s="19" t="str">
        <f>IF(AO9&gt;AO$117, AO9-AO$117,"")</f>
        <v/>
      </c>
      <c r="BS9" s="19" t="str">
        <f>IF(AP9&gt;AP$117, AP9-AP$117,"")</f>
        <v/>
      </c>
      <c r="BT9" s="19" t="str">
        <f>IF(AQ9&gt;AQ$117, AQ9-AQ$117,"")</f>
        <v/>
      </c>
      <c r="BU9" s="19" t="str">
        <f>IF(AR9&gt;AR$117, AR9-AR$117,"")</f>
        <v/>
      </c>
      <c r="BV9" s="19" t="str">
        <f>IF(AS9&gt;AS$117, AS9-AS$117,"")</f>
        <v/>
      </c>
      <c r="BW9" s="19" t="str">
        <f>IF(AT9&gt;AT$117, AT9-AT$117,"")</f>
        <v/>
      </c>
      <c r="BX9" s="19" t="str">
        <f>IF(AU9&gt;AU$117, AU9-AU$117,"")</f>
        <v/>
      </c>
      <c r="BY9" s="19" t="str">
        <f>IF(AV9&gt;AV$117, AV9-AV$117,"")</f>
        <v/>
      </c>
      <c r="BZ9" s="19" t="str">
        <f>IF(AW9&gt;AW$117, AW9-AW$117,"")</f>
        <v/>
      </c>
      <c r="CA9" s="19" t="str">
        <f>IF(AX9&gt;AX$117, AX9-AX$117,"")</f>
        <v/>
      </c>
      <c r="CB9" s="19" t="str">
        <f>IF(AY9&gt;AY$117, AY9-AY$117,"")</f>
        <v/>
      </c>
      <c r="CC9" s="19">
        <f>COUNTIF(BQ9:CB9, "&gt;0")</f>
        <v>0</v>
      </c>
      <c r="CD9" s="19" t="str">
        <f>IF($CC9=1,BQ9,"")</f>
        <v/>
      </c>
      <c r="CE9" s="19" t="str">
        <f>IF($CC9=1,BR9,"")</f>
        <v/>
      </c>
      <c r="CF9" s="19" t="str">
        <f>IF($CC9=1,BS9,"")</f>
        <v/>
      </c>
      <c r="CG9" s="19" t="str">
        <f>IF($CC9=1,BT9,"")</f>
        <v/>
      </c>
      <c r="CH9" s="19" t="str">
        <f>IF($CC9=1,BU9,"")</f>
        <v/>
      </c>
      <c r="CI9" s="19" t="str">
        <f>IF($CC9=1,BV9,"")</f>
        <v/>
      </c>
      <c r="CJ9" s="19" t="str">
        <f>IF($CC9=1,BW9,"")</f>
        <v/>
      </c>
      <c r="CK9" s="19" t="str">
        <f>IF($CC9=1,BX9,"")</f>
        <v/>
      </c>
      <c r="CL9" s="19" t="str">
        <f>IF($CC9=1,BY9,"")</f>
        <v/>
      </c>
      <c r="CM9" s="19" t="str">
        <f>IF($CC9=1,BZ9,"")</f>
        <v/>
      </c>
      <c r="CN9" s="19" t="str">
        <f>IF($CC9=1,CA9,"")</f>
        <v/>
      </c>
      <c r="CO9" s="19" t="str">
        <f>IF($CC9=1,CB9,"")</f>
        <v/>
      </c>
      <c r="CP9" s="24">
        <f>SUM(AB9:BL9)</f>
        <v>0</v>
      </c>
    </row>
    <row r="10" spans="1:94" s="25" customFormat="1" x14ac:dyDescent="0.15">
      <c r="A10" s="1">
        <v>101</v>
      </c>
      <c r="B10" s="3" t="s">
        <v>125</v>
      </c>
      <c r="C10" s="3" t="s">
        <v>85</v>
      </c>
      <c r="D10" s="1" t="s">
        <v>13</v>
      </c>
      <c r="E10" s="6"/>
      <c r="F10" s="6"/>
      <c r="G10" s="6"/>
      <c r="H10" s="6">
        <v>6</v>
      </c>
      <c r="I10" s="6">
        <v>6</v>
      </c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4"/>
      <c r="AO10" s="4"/>
      <c r="AP10" s="4"/>
      <c r="AQ10" s="4"/>
      <c r="AR10" s="4">
        <v>8</v>
      </c>
      <c r="AS10" s="4"/>
      <c r="AT10" s="2">
        <v>8</v>
      </c>
      <c r="AU10" s="2"/>
      <c r="AV10" s="2"/>
      <c r="AW10" s="2"/>
      <c r="AX10" s="2"/>
      <c r="AY10" s="2"/>
      <c r="AZ10" s="14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>
        <f>SUM(E10:BL10)</f>
        <v>28</v>
      </c>
      <c r="BN10" s="1">
        <v>0</v>
      </c>
      <c r="BO10" s="17">
        <v>0</v>
      </c>
      <c r="BP10" s="17"/>
      <c r="BQ10" s="1" t="str">
        <f>IF(AN10&gt;AN$117, AN10-AN$117,"")</f>
        <v/>
      </c>
      <c r="BR10" s="1" t="str">
        <f>IF(AO10&gt;AO$117, AO10-AO$117,"")</f>
        <v/>
      </c>
      <c r="BS10" s="1" t="str">
        <f>IF(AP10&gt;AP$117, AP10-AP$117,"")</f>
        <v/>
      </c>
      <c r="BT10" s="1" t="str">
        <f>IF(AQ10&gt;AQ$117, AQ10-AQ$117,"")</f>
        <v/>
      </c>
      <c r="BU10" s="1" t="str">
        <f>IF(AR10&gt;AR$117, AR10-AR$117,"")</f>
        <v/>
      </c>
      <c r="BV10" s="1" t="str">
        <f>IF(AS10&gt;AS$117, AS10-AS$117,"")</f>
        <v/>
      </c>
      <c r="BW10" s="1" t="str">
        <f>IF(AT10&gt;AT$117, AT10-AT$117,"")</f>
        <v/>
      </c>
      <c r="BX10" s="1" t="str">
        <f>IF(AU10&gt;AU$117, AU10-AU$117,"")</f>
        <v/>
      </c>
      <c r="BY10" s="1" t="str">
        <f>IF(AV10&gt;AV$117, AV10-AV$117,"")</f>
        <v/>
      </c>
      <c r="BZ10" s="1" t="str">
        <f>IF(AW10&gt;AW$117, AW10-AW$117,"")</f>
        <v/>
      </c>
      <c r="CA10" s="1" t="str">
        <f>IF(AX10&gt;AX$117, AX10-AX$117,"")</f>
        <v/>
      </c>
      <c r="CB10" s="1" t="str">
        <f>IF(AY10&gt;AY$117, AY10-AY$117,"")</f>
        <v/>
      </c>
      <c r="CC10" s="1">
        <f>COUNTIF(BQ10:CB10, "&gt;0")</f>
        <v>0</v>
      </c>
      <c r="CD10" s="1" t="str">
        <f>IF($CC10=1,BQ10,"")</f>
        <v/>
      </c>
      <c r="CE10" s="1" t="str">
        <f>IF($CC10=1,BR10,"")</f>
        <v/>
      </c>
      <c r="CF10" s="1" t="str">
        <f>IF($CC10=1,BS10,"")</f>
        <v/>
      </c>
      <c r="CG10" s="1" t="str">
        <f>IF($CC10=1,BT10,"")</f>
        <v/>
      </c>
      <c r="CH10" s="1" t="str">
        <f>IF($CC10=1,BU10,"")</f>
        <v/>
      </c>
      <c r="CI10" s="1" t="str">
        <f>IF($CC10=1,BV10,"")</f>
        <v/>
      </c>
      <c r="CJ10" s="1" t="str">
        <f>IF($CC10=1,BW10,"")</f>
        <v/>
      </c>
      <c r="CK10" s="1" t="str">
        <f>IF($CC10=1,BX10,"")</f>
        <v/>
      </c>
      <c r="CL10" s="1" t="str">
        <f>IF($CC10=1,BY10,"")</f>
        <v/>
      </c>
      <c r="CM10" s="1" t="str">
        <f>IF($CC10=1,BZ10,"")</f>
        <v/>
      </c>
      <c r="CN10" s="1" t="str">
        <f>IF($CC10=1,CA10,"")</f>
        <v/>
      </c>
      <c r="CO10" s="1" t="str">
        <f>IF($CC10=1,CB10,"")</f>
        <v/>
      </c>
      <c r="CP10" s="18">
        <f>SUM(AB10:BL10)</f>
        <v>16</v>
      </c>
    </row>
    <row r="11" spans="1:94" x14ac:dyDescent="0.15">
      <c r="A11" s="1">
        <v>41</v>
      </c>
      <c r="B11" s="1" t="s">
        <v>59</v>
      </c>
      <c r="C11" s="1" t="s">
        <v>50</v>
      </c>
      <c r="D11" s="1" t="s">
        <v>13</v>
      </c>
      <c r="E11" s="6"/>
      <c r="F11" s="6"/>
      <c r="G11" s="6"/>
      <c r="H11" s="6"/>
      <c r="I11" s="6"/>
      <c r="J11" s="6"/>
      <c r="K11" s="6"/>
      <c r="L11" s="6">
        <v>6</v>
      </c>
      <c r="M11" s="6"/>
      <c r="N11" s="6"/>
      <c r="O11" s="6">
        <v>6</v>
      </c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4">
        <v>10</v>
      </c>
      <c r="AO11" s="4"/>
      <c r="AP11" s="4"/>
      <c r="AQ11" s="4"/>
      <c r="AR11" s="4"/>
      <c r="AS11" s="4"/>
      <c r="AT11" s="2"/>
      <c r="AU11" s="2">
        <v>10</v>
      </c>
      <c r="AV11" s="2"/>
      <c r="AW11" s="2"/>
      <c r="AX11" s="2"/>
      <c r="AY11" s="2"/>
      <c r="AZ11" s="14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>
        <f>SUM(E11:BL11)</f>
        <v>32</v>
      </c>
      <c r="BN11" s="1">
        <v>0</v>
      </c>
      <c r="BO11" s="17">
        <v>0</v>
      </c>
      <c r="BP11" s="17"/>
      <c r="BQ11" s="1">
        <f>IF(AN11&gt;AN$117, AN11-AN$117,"")</f>
        <v>8</v>
      </c>
      <c r="BR11" s="1" t="str">
        <f>IF(AO11&gt;AO$117, AO11-AO$117,"")</f>
        <v/>
      </c>
      <c r="BS11" s="1" t="str">
        <f>IF(AP11&gt;AP$117, AP11-AP$117,"")</f>
        <v/>
      </c>
      <c r="BT11" s="1" t="str">
        <f>IF(AQ11&gt;AQ$117, AQ11-AQ$117,"")</f>
        <v/>
      </c>
      <c r="BU11" s="1" t="str">
        <f>IF(AR11&gt;AR$117, AR11-AR$117,"")</f>
        <v/>
      </c>
      <c r="BV11" s="1" t="str">
        <f>IF(AS11&gt;AS$117, AS11-AS$117,"")</f>
        <v/>
      </c>
      <c r="BW11" s="1" t="str">
        <f>IF(AT11&gt;AT$117, AT11-AT$117,"")</f>
        <v/>
      </c>
      <c r="BX11" s="1" t="str">
        <f>IF(AU11&gt;AU$117, AU11-AU$117,"")</f>
        <v/>
      </c>
      <c r="BY11" s="1" t="str">
        <f>IF(AV11&gt;AV$117, AV11-AV$117,"")</f>
        <v/>
      </c>
      <c r="BZ11" s="1" t="str">
        <f>IF(AW11&gt;AW$117, AW11-AW$117,"")</f>
        <v/>
      </c>
      <c r="CA11" s="1" t="str">
        <f>IF(AX11&gt;AX$117, AX11-AX$117,"")</f>
        <v/>
      </c>
      <c r="CB11" s="1" t="str">
        <f>IF(AY11&gt;AY$117, AY11-AY$117,"")</f>
        <v/>
      </c>
      <c r="CC11" s="1">
        <f>COUNTIF(BQ11:CB11, "&gt;0")</f>
        <v>1</v>
      </c>
      <c r="CD11" s="1">
        <f>IF($CC11=1,BQ11,"")</f>
        <v>8</v>
      </c>
      <c r="CE11" s="1" t="str">
        <f>IF($CC11=1,BR11,"")</f>
        <v/>
      </c>
      <c r="CF11" s="1" t="str">
        <f>IF($CC11=1,BS11,"")</f>
        <v/>
      </c>
      <c r="CG11" s="1" t="str">
        <f>IF($CC11=1,BT11,"")</f>
        <v/>
      </c>
      <c r="CH11" s="1" t="str">
        <f>IF($CC11=1,BU11,"")</f>
        <v/>
      </c>
      <c r="CI11" s="1" t="str">
        <f>IF($CC11=1,BV11,"")</f>
        <v/>
      </c>
      <c r="CJ11" s="1" t="str">
        <f>IF($CC11=1,BW11,"")</f>
        <v/>
      </c>
      <c r="CK11" s="1" t="str">
        <f>IF($CC11=1,BX11,"")</f>
        <v/>
      </c>
      <c r="CL11" s="1" t="str">
        <f>IF($CC11=1,BY11,"")</f>
        <v/>
      </c>
      <c r="CM11" s="1" t="str">
        <f>IF($CC11=1,BZ11,"")</f>
        <v/>
      </c>
      <c r="CN11" s="1" t="str">
        <f>IF($CC11=1,CA11,"")</f>
        <v/>
      </c>
      <c r="CO11" s="1" t="str">
        <f>IF($CC11=1,CB11,"")</f>
        <v/>
      </c>
      <c r="CP11" s="18">
        <f>SUM(AB11:BL11)</f>
        <v>20</v>
      </c>
    </row>
    <row r="12" spans="1:94" x14ac:dyDescent="0.15">
      <c r="A12" s="1">
        <v>9</v>
      </c>
      <c r="B12" s="1" t="s">
        <v>29</v>
      </c>
      <c r="C12" s="1" t="s">
        <v>2</v>
      </c>
      <c r="D12" s="1" t="s">
        <v>26</v>
      </c>
      <c r="E12" s="6"/>
      <c r="F12" s="6"/>
      <c r="G12" s="6"/>
      <c r="H12" s="6"/>
      <c r="I12" s="6">
        <v>4</v>
      </c>
      <c r="J12" s="6"/>
      <c r="K12" s="6">
        <v>4</v>
      </c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4"/>
      <c r="AO12" s="4">
        <v>5</v>
      </c>
      <c r="AP12" s="4"/>
      <c r="AQ12" s="4"/>
      <c r="AR12" s="4"/>
      <c r="AS12" s="4"/>
      <c r="AT12" s="2">
        <v>5</v>
      </c>
      <c r="AU12" s="2"/>
      <c r="AV12" s="2"/>
      <c r="AW12" s="2"/>
      <c r="AX12" s="2"/>
      <c r="AY12" s="2"/>
      <c r="AZ12" s="14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>
        <f>SUM(E12:BL12)</f>
        <v>18</v>
      </c>
      <c r="BN12" s="1">
        <v>0</v>
      </c>
      <c r="BO12" s="17">
        <v>0</v>
      </c>
      <c r="BP12" s="17"/>
      <c r="BQ12" s="1" t="str">
        <f>IF(AN12&gt;AN$117, AN12-AN$117,"")</f>
        <v/>
      </c>
      <c r="BR12" s="1" t="str">
        <f>IF(AO12&gt;AO$117, AO12-AO$117,"")</f>
        <v/>
      </c>
      <c r="BS12" s="1" t="str">
        <f>IF(AP12&gt;AP$117, AP12-AP$117,"")</f>
        <v/>
      </c>
      <c r="BT12" s="1" t="str">
        <f>IF(AQ12&gt;AQ$117, AQ12-AQ$117,"")</f>
        <v/>
      </c>
      <c r="BU12" s="1" t="str">
        <f>IF(AR12&gt;AR$117, AR12-AR$117,"")</f>
        <v/>
      </c>
      <c r="BV12" s="1" t="str">
        <f>IF(AS12&gt;AS$117, AS12-AS$117,"")</f>
        <v/>
      </c>
      <c r="BW12" s="1" t="str">
        <f>IF(AT12&gt;AT$117, AT12-AT$117,"")</f>
        <v/>
      </c>
      <c r="BX12" s="1" t="str">
        <f>IF(AU12&gt;AU$117, AU12-AU$117,"")</f>
        <v/>
      </c>
      <c r="BY12" s="1" t="str">
        <f>IF(AV12&gt;AV$117, AV12-AV$117,"")</f>
        <v/>
      </c>
      <c r="BZ12" s="1" t="str">
        <f>IF(AW12&gt;AW$117, AW12-AW$117,"")</f>
        <v/>
      </c>
      <c r="CA12" s="1" t="str">
        <f>IF(AX12&gt;AX$117, AX12-AX$117,"")</f>
        <v/>
      </c>
      <c r="CB12" s="1" t="str">
        <f>IF(AY12&gt;AY$117, AY12-AY$117,"")</f>
        <v/>
      </c>
      <c r="CC12" s="1">
        <f>COUNTIF(BQ12:CB12, "&gt;0")</f>
        <v>0</v>
      </c>
      <c r="CD12" s="1" t="str">
        <f>IF($CC12=1,BQ12,"")</f>
        <v/>
      </c>
      <c r="CE12" s="1" t="str">
        <f>IF($CC12=1,BR12,"")</f>
        <v/>
      </c>
      <c r="CF12" s="1" t="str">
        <f>IF($CC12=1,BS12,"")</f>
        <v/>
      </c>
      <c r="CG12" s="1" t="str">
        <f>IF($CC12=1,BT12,"")</f>
        <v/>
      </c>
      <c r="CH12" s="1" t="str">
        <f>IF($CC12=1,BU12,"")</f>
        <v/>
      </c>
      <c r="CI12" s="1" t="str">
        <f>IF($CC12=1,BV12,"")</f>
        <v/>
      </c>
      <c r="CJ12" s="1" t="str">
        <f>IF($CC12=1,BW12,"")</f>
        <v/>
      </c>
      <c r="CK12" s="1" t="str">
        <f>IF($CC12=1,BX12,"")</f>
        <v/>
      </c>
      <c r="CL12" s="1" t="str">
        <f>IF($CC12=1,BY12,"")</f>
        <v/>
      </c>
      <c r="CM12" s="1" t="str">
        <f>IF($CC12=1,BZ12,"")</f>
        <v/>
      </c>
      <c r="CN12" s="1" t="str">
        <f>IF($CC12=1,CA12,"")</f>
        <v/>
      </c>
      <c r="CO12" s="1" t="str">
        <f>IF($CC12=1,CB12,"")</f>
        <v/>
      </c>
      <c r="CP12" s="18">
        <f>SUM(AB12:BL12)</f>
        <v>10</v>
      </c>
    </row>
    <row r="13" spans="1:94" x14ac:dyDescent="0.15">
      <c r="A13" s="1">
        <v>24</v>
      </c>
      <c r="B13" s="1" t="s">
        <v>48</v>
      </c>
      <c r="C13" s="1" t="s">
        <v>33</v>
      </c>
      <c r="D13" s="1" t="s">
        <v>26</v>
      </c>
      <c r="E13" s="6"/>
      <c r="F13" s="6"/>
      <c r="G13" s="6"/>
      <c r="H13" s="6"/>
      <c r="I13" s="6">
        <v>4</v>
      </c>
      <c r="J13" s="6"/>
      <c r="K13" s="6">
        <v>4</v>
      </c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4"/>
      <c r="AO13" s="4"/>
      <c r="AP13" s="4">
        <v>5</v>
      </c>
      <c r="AQ13" s="4"/>
      <c r="AR13" s="4"/>
      <c r="AS13" s="4"/>
      <c r="AT13" s="2">
        <v>5</v>
      </c>
      <c r="AU13" s="2"/>
      <c r="AV13" s="2"/>
      <c r="AW13" s="2"/>
      <c r="AX13" s="2"/>
      <c r="AY13" s="2"/>
      <c r="AZ13" s="14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>
        <f>SUM(E13:BL13)</f>
        <v>18</v>
      </c>
      <c r="BN13" s="1">
        <v>0</v>
      </c>
      <c r="BO13" s="17">
        <v>0</v>
      </c>
      <c r="BP13" s="17"/>
      <c r="BQ13" s="1" t="str">
        <f>IF(AN13&gt;AN$117, AN13-AN$117,"")</f>
        <v/>
      </c>
      <c r="BR13" s="1" t="str">
        <f>IF(AO13&gt;AO$117, AO13-AO$117,"")</f>
        <v/>
      </c>
      <c r="BS13" s="1" t="str">
        <f>IF(AP13&gt;AP$117, AP13-AP$117,"")</f>
        <v/>
      </c>
      <c r="BT13" s="1" t="str">
        <f>IF(AQ13&gt;AQ$117, AQ13-AQ$117,"")</f>
        <v/>
      </c>
      <c r="BU13" s="1" t="str">
        <f>IF(AR13&gt;AR$117, AR13-AR$117,"")</f>
        <v/>
      </c>
      <c r="BV13" s="1" t="str">
        <f>IF(AS13&gt;AS$117, AS13-AS$117,"")</f>
        <v/>
      </c>
      <c r="BW13" s="1" t="str">
        <f>IF(AT13&gt;AT$117, AT13-AT$117,"")</f>
        <v/>
      </c>
      <c r="BX13" s="1" t="str">
        <f>IF(AU13&gt;AU$117, AU13-AU$117,"")</f>
        <v/>
      </c>
      <c r="BY13" s="1" t="str">
        <f>IF(AV13&gt;AV$117, AV13-AV$117,"")</f>
        <v/>
      </c>
      <c r="BZ13" s="1" t="str">
        <f>IF(AW13&gt;AW$117, AW13-AW$117,"")</f>
        <v/>
      </c>
      <c r="CA13" s="1" t="str">
        <f>IF(AX13&gt;AX$117, AX13-AX$117,"")</f>
        <v/>
      </c>
      <c r="CB13" s="1" t="str">
        <f>IF(AY13&gt;AY$117, AY13-AY$117,"")</f>
        <v/>
      </c>
      <c r="CC13" s="1">
        <f>COUNTIF(BQ13:CB13, "&gt;0")</f>
        <v>0</v>
      </c>
      <c r="CD13" s="1" t="str">
        <f>IF($CC13=1,BQ13,"")</f>
        <v/>
      </c>
      <c r="CE13" s="1" t="str">
        <f>IF($CC13=1,BR13,"")</f>
        <v/>
      </c>
      <c r="CF13" s="1" t="str">
        <f>IF($CC13=1,BS13,"")</f>
        <v/>
      </c>
      <c r="CG13" s="1" t="str">
        <f>IF($CC13=1,BT13,"")</f>
        <v/>
      </c>
      <c r="CH13" s="1" t="str">
        <f>IF($CC13=1,BU13,"")</f>
        <v/>
      </c>
      <c r="CI13" s="1" t="str">
        <f>IF($CC13=1,BV13,"")</f>
        <v/>
      </c>
      <c r="CJ13" s="1" t="str">
        <f>IF($CC13=1,BW13,"")</f>
        <v/>
      </c>
      <c r="CK13" s="1" t="str">
        <f>IF($CC13=1,BX13,"")</f>
        <v/>
      </c>
      <c r="CL13" s="1" t="str">
        <f>IF($CC13=1,BY13,"")</f>
        <v/>
      </c>
      <c r="CM13" s="1" t="str">
        <f>IF($CC13=1,BZ13,"")</f>
        <v/>
      </c>
      <c r="CN13" s="1" t="str">
        <f>IF($CC13=1,CA13,"")</f>
        <v/>
      </c>
      <c r="CO13" s="1" t="str">
        <f>IF($CC13=1,CB13,"")</f>
        <v/>
      </c>
      <c r="CP13" s="18">
        <f>SUM(AB13:BL13)</f>
        <v>10</v>
      </c>
    </row>
    <row r="14" spans="1:94" x14ac:dyDescent="0.15">
      <c r="A14" s="1">
        <v>81</v>
      </c>
      <c r="B14" s="3" t="s">
        <v>81</v>
      </c>
      <c r="C14" s="3" t="s">
        <v>77</v>
      </c>
      <c r="D14" s="1" t="s">
        <v>13</v>
      </c>
      <c r="E14" s="6"/>
      <c r="F14" s="6"/>
      <c r="G14" s="6"/>
      <c r="H14" s="6"/>
      <c r="I14" s="6"/>
      <c r="J14" s="6"/>
      <c r="K14" s="6"/>
      <c r="L14" s="6">
        <v>6</v>
      </c>
      <c r="M14" s="6"/>
      <c r="N14" s="6"/>
      <c r="O14" s="6">
        <v>6</v>
      </c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4"/>
      <c r="AO14" s="4"/>
      <c r="AP14" s="4"/>
      <c r="AQ14" s="4">
        <v>10</v>
      </c>
      <c r="AR14" s="4"/>
      <c r="AS14" s="4"/>
      <c r="AT14" s="2"/>
      <c r="AU14" s="2"/>
      <c r="AV14" s="2"/>
      <c r="AW14" s="2"/>
      <c r="AX14" s="2">
        <v>10</v>
      </c>
      <c r="AY14" s="2"/>
      <c r="AZ14" s="14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>
        <f>SUM(E14:BL14)</f>
        <v>32</v>
      </c>
      <c r="BN14" s="1">
        <v>0</v>
      </c>
      <c r="BO14" s="17">
        <v>0</v>
      </c>
      <c r="BP14" s="17"/>
      <c r="BQ14" s="1" t="str">
        <f>IF(AN14&gt;AN$117, AN14-AN$117,"")</f>
        <v/>
      </c>
      <c r="BR14" s="1" t="str">
        <f>IF(AO14&gt;AO$117, AO14-AO$117,"")</f>
        <v/>
      </c>
      <c r="BS14" s="1" t="str">
        <f>IF(AP14&gt;AP$117, AP14-AP$117,"")</f>
        <v/>
      </c>
      <c r="BT14" s="1" t="str">
        <f>IF(AQ14&gt;AQ$117, AQ14-AQ$117,"")</f>
        <v/>
      </c>
      <c r="BU14" s="1" t="str">
        <f>IF(AR14&gt;AR$117, AR14-AR$117,"")</f>
        <v/>
      </c>
      <c r="BV14" s="1" t="str">
        <f>IF(AS14&gt;AS$117, AS14-AS$117,"")</f>
        <v/>
      </c>
      <c r="BW14" s="1" t="str">
        <f>IF(AT14&gt;AT$117, AT14-AT$117,"")</f>
        <v/>
      </c>
      <c r="BX14" s="1" t="str">
        <f>IF(AU14&gt;AU$117, AU14-AU$117,"")</f>
        <v/>
      </c>
      <c r="BY14" s="1" t="str">
        <f>IF(AV14&gt;AV$117, AV14-AV$117,"")</f>
        <v/>
      </c>
      <c r="BZ14" s="1" t="str">
        <f>IF(AW14&gt;AW$117, AW14-AW$117,"")</f>
        <v/>
      </c>
      <c r="CA14" s="1" t="str">
        <f>IF(AX14&gt;AX$117, AX14-AX$117,"")</f>
        <v/>
      </c>
      <c r="CB14" s="1" t="str">
        <f>IF(AY14&gt;AY$117, AY14-AY$117,"")</f>
        <v/>
      </c>
      <c r="CC14" s="1">
        <f>COUNTIF(BQ14:CB14, "&gt;0")</f>
        <v>0</v>
      </c>
      <c r="CD14" s="1" t="str">
        <f>IF($CC14=1,BQ14,"")</f>
        <v/>
      </c>
      <c r="CE14" s="1" t="str">
        <f>IF($CC14=1,BR14,"")</f>
        <v/>
      </c>
      <c r="CF14" s="1" t="str">
        <f>IF($CC14=1,BS14,"")</f>
        <v/>
      </c>
      <c r="CG14" s="1" t="str">
        <f>IF($CC14=1,BT14,"")</f>
        <v/>
      </c>
      <c r="CH14" s="1" t="str">
        <f>IF($CC14=1,BU14,"")</f>
        <v/>
      </c>
      <c r="CI14" s="1" t="str">
        <f>IF($CC14=1,BV14,"")</f>
        <v/>
      </c>
      <c r="CJ14" s="1" t="str">
        <f>IF($CC14=1,BW14,"")</f>
        <v/>
      </c>
      <c r="CK14" s="1" t="str">
        <f>IF($CC14=1,BX14,"")</f>
        <v/>
      </c>
      <c r="CL14" s="1" t="str">
        <f>IF($CC14=1,BY14,"")</f>
        <v/>
      </c>
      <c r="CM14" s="1" t="str">
        <f>IF($CC14=1,BZ14,"")</f>
        <v/>
      </c>
      <c r="CN14" s="1" t="str">
        <f>IF($CC14=1,CA14,"")</f>
        <v/>
      </c>
      <c r="CO14" s="1" t="str">
        <f>IF($CC14=1,CB14,"")</f>
        <v/>
      </c>
      <c r="CP14" s="18">
        <f>SUM(AB14:BL14)</f>
        <v>20</v>
      </c>
    </row>
    <row r="15" spans="1:94" x14ac:dyDescent="0.15">
      <c r="A15" s="19">
        <v>13</v>
      </c>
      <c r="B15" s="19" t="s">
        <v>131</v>
      </c>
      <c r="C15" s="19" t="s">
        <v>2</v>
      </c>
      <c r="D15" s="19" t="s">
        <v>1</v>
      </c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>
        <v>15</v>
      </c>
      <c r="Q15" s="20"/>
      <c r="R15" s="20"/>
      <c r="S15" s="20"/>
      <c r="T15" s="20"/>
      <c r="U15" s="20"/>
      <c r="V15" s="20">
        <v>15</v>
      </c>
      <c r="W15" s="20"/>
      <c r="X15" s="20"/>
      <c r="Y15" s="20"/>
      <c r="Z15" s="20"/>
      <c r="AA15" s="20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21"/>
      <c r="AO15" s="21"/>
      <c r="AP15" s="21"/>
      <c r="AQ15" s="21"/>
      <c r="AR15" s="21"/>
      <c r="AS15" s="21"/>
      <c r="AT15" s="22"/>
      <c r="AU15" s="22"/>
      <c r="AV15" s="22"/>
      <c r="AW15" s="22"/>
      <c r="AX15" s="22"/>
      <c r="AY15" s="22"/>
      <c r="AZ15" s="30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>
        <f>SUM(E15:BL15)</f>
        <v>30</v>
      </c>
      <c r="BN15" s="19">
        <v>0</v>
      </c>
      <c r="BO15" s="23">
        <v>0</v>
      </c>
      <c r="BP15" s="23"/>
      <c r="BQ15" s="19" t="str">
        <f>IF(AN15&gt;AN$117, AN15-AN$117,"")</f>
        <v/>
      </c>
      <c r="BR15" s="19" t="str">
        <f>IF(AO15&gt;AO$117, AO15-AO$117,"")</f>
        <v/>
      </c>
      <c r="BS15" s="19" t="str">
        <f>IF(AP15&gt;AP$117, AP15-AP$117,"")</f>
        <v/>
      </c>
      <c r="BT15" s="19" t="str">
        <f>IF(AQ15&gt;AQ$117, AQ15-AQ$117,"")</f>
        <v/>
      </c>
      <c r="BU15" s="19" t="str">
        <f>IF(AR15&gt;AR$117, AR15-AR$117,"")</f>
        <v/>
      </c>
      <c r="BV15" s="19" t="str">
        <f>IF(AS15&gt;AS$117, AS15-AS$117,"")</f>
        <v/>
      </c>
      <c r="BW15" s="19" t="str">
        <f>IF(AT15&gt;AT$117, AT15-AT$117,"")</f>
        <v/>
      </c>
      <c r="BX15" s="19" t="str">
        <f>IF(AU15&gt;AU$117, AU15-AU$117,"")</f>
        <v/>
      </c>
      <c r="BY15" s="19" t="str">
        <f>IF(AV15&gt;AV$117, AV15-AV$117,"")</f>
        <v/>
      </c>
      <c r="BZ15" s="19" t="str">
        <f>IF(AW15&gt;AW$117, AW15-AW$117,"")</f>
        <v/>
      </c>
      <c r="CA15" s="19" t="str">
        <f>IF(AX15&gt;AX$117, AX15-AX$117,"")</f>
        <v/>
      </c>
      <c r="CB15" s="19" t="str">
        <f>IF(AY15&gt;AY$117, AY15-AY$117,"")</f>
        <v/>
      </c>
      <c r="CC15" s="19">
        <f>COUNTIF(BQ15:CB15, "&gt;0")</f>
        <v>0</v>
      </c>
      <c r="CD15" s="19" t="str">
        <f>IF($CC15=1,BQ15,"")</f>
        <v/>
      </c>
      <c r="CE15" s="19" t="str">
        <f>IF($CC15=1,BR15,"")</f>
        <v/>
      </c>
      <c r="CF15" s="19" t="str">
        <f>IF($CC15=1,BS15,"")</f>
        <v/>
      </c>
      <c r="CG15" s="19" t="str">
        <f>IF($CC15=1,BT15,"")</f>
        <v/>
      </c>
      <c r="CH15" s="19" t="str">
        <f>IF($CC15=1,BU15,"")</f>
        <v/>
      </c>
      <c r="CI15" s="19" t="str">
        <f>IF($CC15=1,BV15,"")</f>
        <v/>
      </c>
      <c r="CJ15" s="19" t="str">
        <f>IF($CC15=1,BW15,"")</f>
        <v/>
      </c>
      <c r="CK15" s="19" t="str">
        <f>IF($CC15=1,BX15,"")</f>
        <v/>
      </c>
      <c r="CL15" s="19" t="str">
        <f>IF($CC15=1,BY15,"")</f>
        <v/>
      </c>
      <c r="CM15" s="19" t="str">
        <f>IF($CC15=1,BZ15,"")</f>
        <v/>
      </c>
      <c r="CN15" s="19" t="str">
        <f>IF($CC15=1,CA15,"")</f>
        <v/>
      </c>
      <c r="CO15" s="19" t="str">
        <f>IF($CC15=1,CB15,"")</f>
        <v/>
      </c>
      <c r="CP15" s="24">
        <f>SUM(AB15:BL15)</f>
        <v>0</v>
      </c>
    </row>
    <row r="16" spans="1:94" x14ac:dyDescent="0.15">
      <c r="A16" s="1">
        <v>43</v>
      </c>
      <c r="B16" s="1" t="s">
        <v>114</v>
      </c>
      <c r="C16" s="1" t="s">
        <v>50</v>
      </c>
      <c r="D16" s="1" t="s">
        <v>13</v>
      </c>
      <c r="E16" s="6"/>
      <c r="F16" s="6">
        <v>6</v>
      </c>
      <c r="G16" s="6"/>
      <c r="H16" s="6">
        <v>6</v>
      </c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4">
        <v>10</v>
      </c>
      <c r="AO16" s="4"/>
      <c r="AP16" s="4"/>
      <c r="AQ16" s="4"/>
      <c r="AR16" s="4"/>
      <c r="AS16" s="4"/>
      <c r="AT16" s="2"/>
      <c r="AU16" s="2"/>
      <c r="AV16" s="2"/>
      <c r="AW16" s="2">
        <v>10</v>
      </c>
      <c r="AX16" s="2"/>
      <c r="AY16" s="2"/>
      <c r="AZ16" s="14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>
        <f>SUM(E16:BL16)</f>
        <v>32</v>
      </c>
      <c r="BN16" s="1">
        <v>0</v>
      </c>
      <c r="BO16" s="17">
        <v>0</v>
      </c>
      <c r="BP16" s="17"/>
      <c r="BQ16" s="1">
        <f>IF(AN16&gt;AN$117, AN16-AN$117,"")</f>
        <v>8</v>
      </c>
      <c r="BR16" s="1" t="str">
        <f>IF(AO16&gt;AO$117, AO16-AO$117,"")</f>
        <v/>
      </c>
      <c r="BS16" s="1" t="str">
        <f>IF(AP16&gt;AP$117, AP16-AP$117,"")</f>
        <v/>
      </c>
      <c r="BT16" s="1" t="str">
        <f>IF(AQ16&gt;AQ$117, AQ16-AQ$117,"")</f>
        <v/>
      </c>
      <c r="BU16" s="1" t="str">
        <f>IF(AR16&gt;AR$117, AR16-AR$117,"")</f>
        <v/>
      </c>
      <c r="BV16" s="1" t="str">
        <f>IF(AS16&gt;AS$117, AS16-AS$117,"")</f>
        <v/>
      </c>
      <c r="BW16" s="1" t="str">
        <f>IF(AT16&gt;AT$117, AT16-AT$117,"")</f>
        <v/>
      </c>
      <c r="BX16" s="1" t="str">
        <f>IF(AU16&gt;AU$117, AU16-AU$117,"")</f>
        <v/>
      </c>
      <c r="BY16" s="1" t="str">
        <f>IF(AV16&gt;AV$117, AV16-AV$117,"")</f>
        <v/>
      </c>
      <c r="BZ16" s="1" t="str">
        <f>IF(AW16&gt;AW$117, AW16-AW$117,"")</f>
        <v/>
      </c>
      <c r="CA16" s="1" t="str">
        <f>IF(AX16&gt;AX$117, AX16-AX$117,"")</f>
        <v/>
      </c>
      <c r="CB16" s="1" t="str">
        <f>IF(AY16&gt;AY$117, AY16-AY$117,"")</f>
        <v/>
      </c>
      <c r="CC16" s="1">
        <f>COUNTIF(BQ16:CB16, "&gt;0")</f>
        <v>1</v>
      </c>
      <c r="CD16" s="1">
        <f>IF($CC16=1,BQ16,"")</f>
        <v>8</v>
      </c>
      <c r="CE16" s="1" t="str">
        <f>IF($CC16=1,BR16,"")</f>
        <v/>
      </c>
      <c r="CF16" s="1" t="str">
        <f>IF($CC16=1,BS16,"")</f>
        <v/>
      </c>
      <c r="CG16" s="1" t="str">
        <f>IF($CC16=1,BT16,"")</f>
        <v/>
      </c>
      <c r="CH16" s="1" t="str">
        <f>IF($CC16=1,BU16,"")</f>
        <v/>
      </c>
      <c r="CI16" s="1" t="str">
        <f>IF($CC16=1,BV16,"")</f>
        <v/>
      </c>
      <c r="CJ16" s="1" t="str">
        <f>IF($CC16=1,BW16,"")</f>
        <v/>
      </c>
      <c r="CK16" s="1" t="str">
        <f>IF($CC16=1,BX16,"")</f>
        <v/>
      </c>
      <c r="CL16" s="1" t="str">
        <f>IF($CC16=1,BY16,"")</f>
        <v/>
      </c>
      <c r="CM16" s="1" t="str">
        <f>IF($CC16=1,BZ16,"")</f>
        <v/>
      </c>
      <c r="CN16" s="1" t="str">
        <f>IF($CC16=1,CA16,"")</f>
        <v/>
      </c>
      <c r="CO16" s="1" t="str">
        <f>IF($CC16=1,CB16,"")</f>
        <v/>
      </c>
      <c r="CP16" s="18">
        <f>SUM(AB16:BL16)</f>
        <v>20</v>
      </c>
    </row>
    <row r="17" spans="1:94" x14ac:dyDescent="0.15">
      <c r="A17" s="1">
        <v>39</v>
      </c>
      <c r="B17" s="1" t="s">
        <v>55</v>
      </c>
      <c r="C17" s="1" t="s">
        <v>50</v>
      </c>
      <c r="D17" s="1" t="s">
        <v>26</v>
      </c>
      <c r="E17" s="6"/>
      <c r="F17" s="6">
        <v>6</v>
      </c>
      <c r="G17" s="6"/>
      <c r="H17" s="6"/>
      <c r="I17" s="6"/>
      <c r="J17" s="6"/>
      <c r="K17" s="6"/>
      <c r="L17" s="6">
        <v>6</v>
      </c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4">
        <v>10</v>
      </c>
      <c r="AO17" s="4"/>
      <c r="AP17" s="4"/>
      <c r="AQ17" s="4"/>
      <c r="AR17" s="4"/>
      <c r="AS17" s="4"/>
      <c r="AT17" s="2"/>
      <c r="AU17" s="2">
        <v>10</v>
      </c>
      <c r="AV17" s="2"/>
      <c r="AW17" s="2"/>
      <c r="AX17" s="2"/>
      <c r="AY17" s="2"/>
      <c r="AZ17" s="14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>
        <f>SUM(E17:BL17)</f>
        <v>32</v>
      </c>
      <c r="BN17" s="1">
        <v>0</v>
      </c>
      <c r="BO17" s="17">
        <v>0</v>
      </c>
      <c r="BP17" s="17"/>
      <c r="BQ17" s="1">
        <f>IF(AN17&gt;AN$117, AN17-AN$117,"")</f>
        <v>8</v>
      </c>
      <c r="BR17" s="1" t="str">
        <f>IF(AO17&gt;AO$117, AO17-AO$117,"")</f>
        <v/>
      </c>
      <c r="BS17" s="1" t="str">
        <f>IF(AP17&gt;AP$117, AP17-AP$117,"")</f>
        <v/>
      </c>
      <c r="BT17" s="1" t="str">
        <f>IF(AQ17&gt;AQ$117, AQ17-AQ$117,"")</f>
        <v/>
      </c>
      <c r="BU17" s="1" t="str">
        <f>IF(AR17&gt;AR$117, AR17-AR$117,"")</f>
        <v/>
      </c>
      <c r="BV17" s="1" t="str">
        <f>IF(AS17&gt;AS$117, AS17-AS$117,"")</f>
        <v/>
      </c>
      <c r="BW17" s="1" t="str">
        <f>IF(AT17&gt;AT$117, AT17-AT$117,"")</f>
        <v/>
      </c>
      <c r="BX17" s="1" t="str">
        <f>IF(AU17&gt;AU$117, AU17-AU$117,"")</f>
        <v/>
      </c>
      <c r="BY17" s="1" t="str">
        <f>IF(AV17&gt;AV$117, AV17-AV$117,"")</f>
        <v/>
      </c>
      <c r="BZ17" s="1" t="str">
        <f>IF(AW17&gt;AW$117, AW17-AW$117,"")</f>
        <v/>
      </c>
      <c r="CA17" s="1" t="str">
        <f>IF(AX17&gt;AX$117, AX17-AX$117,"")</f>
        <v/>
      </c>
      <c r="CB17" s="1" t="str">
        <f>IF(AY17&gt;AY$117, AY17-AY$117,"")</f>
        <v/>
      </c>
      <c r="CC17" s="1">
        <f>COUNTIF(BQ17:CB17, "&gt;0")</f>
        <v>1</v>
      </c>
      <c r="CD17" s="1">
        <f>IF($CC17=1,BQ17,"")</f>
        <v>8</v>
      </c>
      <c r="CE17" s="1" t="str">
        <f>IF($CC17=1,BR17,"")</f>
        <v/>
      </c>
      <c r="CF17" s="1" t="str">
        <f>IF($CC17=1,BS17,"")</f>
        <v/>
      </c>
      <c r="CG17" s="1" t="str">
        <f>IF($CC17=1,BT17,"")</f>
        <v/>
      </c>
      <c r="CH17" s="1" t="str">
        <f>IF($CC17=1,BU17,"")</f>
        <v/>
      </c>
      <c r="CI17" s="1" t="str">
        <f>IF($CC17=1,BV17,"")</f>
        <v/>
      </c>
      <c r="CJ17" s="1" t="str">
        <f>IF($CC17=1,BW17,"")</f>
        <v/>
      </c>
      <c r="CK17" s="1" t="str">
        <f>IF($CC17=1,BX17,"")</f>
        <v/>
      </c>
      <c r="CL17" s="1" t="str">
        <f>IF($CC17=1,BY17,"")</f>
        <v/>
      </c>
      <c r="CM17" s="1" t="str">
        <f>IF($CC17=1,BZ17,"")</f>
        <v/>
      </c>
      <c r="CN17" s="1" t="str">
        <f>IF($CC17=1,CA17,"")</f>
        <v/>
      </c>
      <c r="CO17" s="1" t="str">
        <f>IF($CC17=1,CB17,"")</f>
        <v/>
      </c>
      <c r="CP17" s="18">
        <f>SUM(AB17:BL17)</f>
        <v>20</v>
      </c>
    </row>
    <row r="18" spans="1:94" x14ac:dyDescent="0.15">
      <c r="A18" s="1">
        <v>82</v>
      </c>
      <c r="B18" s="3" t="s">
        <v>82</v>
      </c>
      <c r="C18" s="3" t="s">
        <v>77</v>
      </c>
      <c r="D18" s="1" t="s">
        <v>13</v>
      </c>
      <c r="E18" s="6"/>
      <c r="F18" s="6"/>
      <c r="G18" s="6"/>
      <c r="H18" s="6"/>
      <c r="I18" s="6"/>
      <c r="J18" s="6"/>
      <c r="K18" s="6"/>
      <c r="L18" s="6">
        <v>6</v>
      </c>
      <c r="M18" s="6"/>
      <c r="N18" s="6">
        <v>6</v>
      </c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4"/>
      <c r="AO18" s="4"/>
      <c r="AP18" s="4"/>
      <c r="AQ18" s="4">
        <v>10</v>
      </c>
      <c r="AR18" s="4"/>
      <c r="AS18" s="4"/>
      <c r="AT18" s="2"/>
      <c r="AU18" s="2"/>
      <c r="AV18" s="2"/>
      <c r="AW18" s="2">
        <v>10</v>
      </c>
      <c r="AX18" s="2"/>
      <c r="AY18" s="2"/>
      <c r="AZ18" s="14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>
        <f>SUM(E18:BL18)</f>
        <v>32</v>
      </c>
      <c r="BN18" s="1">
        <v>0</v>
      </c>
      <c r="BO18" s="17">
        <v>0</v>
      </c>
      <c r="BP18" s="17"/>
      <c r="BQ18" s="1" t="str">
        <f>IF(AN18&gt;AN$117, AN18-AN$117,"")</f>
        <v/>
      </c>
      <c r="BR18" s="1" t="str">
        <f>IF(AO18&gt;AO$117, AO18-AO$117,"")</f>
        <v/>
      </c>
      <c r="BS18" s="1" t="str">
        <f>IF(AP18&gt;AP$117, AP18-AP$117,"")</f>
        <v/>
      </c>
      <c r="BT18" s="1" t="str">
        <f>IF(AQ18&gt;AQ$117, AQ18-AQ$117,"")</f>
        <v/>
      </c>
      <c r="BU18" s="1" t="str">
        <f>IF(AR18&gt;AR$117, AR18-AR$117,"")</f>
        <v/>
      </c>
      <c r="BV18" s="1" t="str">
        <f>IF(AS18&gt;AS$117, AS18-AS$117,"")</f>
        <v/>
      </c>
      <c r="BW18" s="1" t="str">
        <f>IF(AT18&gt;AT$117, AT18-AT$117,"")</f>
        <v/>
      </c>
      <c r="BX18" s="1" t="str">
        <f>IF(AU18&gt;AU$117, AU18-AU$117,"")</f>
        <v/>
      </c>
      <c r="BY18" s="1" t="str">
        <f>IF(AV18&gt;AV$117, AV18-AV$117,"")</f>
        <v/>
      </c>
      <c r="BZ18" s="1" t="str">
        <f>IF(AW18&gt;AW$117, AW18-AW$117,"")</f>
        <v/>
      </c>
      <c r="CA18" s="1" t="str">
        <f>IF(AX18&gt;AX$117, AX18-AX$117,"")</f>
        <v/>
      </c>
      <c r="CB18" s="1" t="str">
        <f>IF(AY18&gt;AY$117, AY18-AY$117,"")</f>
        <v/>
      </c>
      <c r="CC18" s="1">
        <f>COUNTIF(BQ18:CB18, "&gt;0")</f>
        <v>0</v>
      </c>
      <c r="CD18" s="1" t="str">
        <f>IF($CC18=1,BQ18,"")</f>
        <v/>
      </c>
      <c r="CE18" s="1" t="str">
        <f>IF($CC18=1,BR18,"")</f>
        <v/>
      </c>
      <c r="CF18" s="1" t="str">
        <f>IF($CC18=1,BS18,"")</f>
        <v/>
      </c>
      <c r="CG18" s="1" t="str">
        <f>IF($CC18=1,BT18,"")</f>
        <v/>
      </c>
      <c r="CH18" s="1" t="str">
        <f>IF($CC18=1,BU18,"")</f>
        <v/>
      </c>
      <c r="CI18" s="1" t="str">
        <f>IF($CC18=1,BV18,"")</f>
        <v/>
      </c>
      <c r="CJ18" s="1" t="str">
        <f>IF($CC18=1,BW18,"")</f>
        <v/>
      </c>
      <c r="CK18" s="1" t="str">
        <f>IF($CC18=1,BX18,"")</f>
        <v/>
      </c>
      <c r="CL18" s="1" t="str">
        <f>IF($CC18=1,BY18,"")</f>
        <v/>
      </c>
      <c r="CM18" s="1" t="str">
        <f>IF($CC18=1,BZ18,"")</f>
        <v/>
      </c>
      <c r="CN18" s="1" t="str">
        <f>IF($CC18=1,CA18,"")</f>
        <v/>
      </c>
      <c r="CO18" s="1" t="str">
        <f>IF($CC18=1,CB18,"")</f>
        <v/>
      </c>
      <c r="CP18" s="18">
        <f>SUM(AB18:BL18)</f>
        <v>20</v>
      </c>
    </row>
    <row r="19" spans="1:94" x14ac:dyDescent="0.15">
      <c r="A19" s="1">
        <v>45</v>
      </c>
      <c r="B19" s="1" t="s">
        <v>133</v>
      </c>
      <c r="C19" s="1" t="s">
        <v>50</v>
      </c>
      <c r="D19" s="1" t="s">
        <v>13</v>
      </c>
      <c r="E19" s="6">
        <v>6</v>
      </c>
      <c r="F19" s="6"/>
      <c r="G19" s="6"/>
      <c r="H19" s="6"/>
      <c r="I19" s="6"/>
      <c r="J19" s="6"/>
      <c r="K19" s="6"/>
      <c r="L19" s="6"/>
      <c r="M19" s="6">
        <v>6</v>
      </c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4">
        <v>10</v>
      </c>
      <c r="AO19" s="4"/>
      <c r="AP19" s="4"/>
      <c r="AQ19" s="4"/>
      <c r="AR19" s="4"/>
      <c r="AS19" s="4"/>
      <c r="AT19" s="2"/>
      <c r="AU19" s="2"/>
      <c r="AV19" s="2"/>
      <c r="AW19" s="2">
        <v>10</v>
      </c>
      <c r="AX19" s="2"/>
      <c r="AY19" s="2"/>
      <c r="AZ19" s="14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>
        <f>SUM(E19:BL19)</f>
        <v>32</v>
      </c>
      <c r="BN19" s="1">
        <v>0</v>
      </c>
      <c r="BO19" s="17">
        <v>0</v>
      </c>
      <c r="BP19" s="17"/>
      <c r="BQ19" s="1">
        <f>IF(AN19&gt;AN$117, AN19-AN$117,"")</f>
        <v>8</v>
      </c>
      <c r="BR19" s="1" t="str">
        <f>IF(AO19&gt;AO$117, AO19-AO$117,"")</f>
        <v/>
      </c>
      <c r="BS19" s="1" t="str">
        <f>IF(AP19&gt;AP$117, AP19-AP$117,"")</f>
        <v/>
      </c>
      <c r="BT19" s="1" t="str">
        <f>IF(AQ19&gt;AQ$117, AQ19-AQ$117,"")</f>
        <v/>
      </c>
      <c r="BU19" s="1" t="str">
        <f>IF(AR19&gt;AR$117, AR19-AR$117,"")</f>
        <v/>
      </c>
      <c r="BV19" s="1" t="str">
        <f>IF(AS19&gt;AS$117, AS19-AS$117,"")</f>
        <v/>
      </c>
      <c r="BW19" s="1" t="str">
        <f>IF(AT19&gt;AT$117, AT19-AT$117,"")</f>
        <v/>
      </c>
      <c r="BX19" s="1" t="str">
        <f>IF(AU19&gt;AU$117, AU19-AU$117,"")</f>
        <v/>
      </c>
      <c r="BY19" s="1" t="str">
        <f>IF(AV19&gt;AV$117, AV19-AV$117,"")</f>
        <v/>
      </c>
      <c r="BZ19" s="1" t="str">
        <f>IF(AW19&gt;AW$117, AW19-AW$117,"")</f>
        <v/>
      </c>
      <c r="CA19" s="1" t="str">
        <f>IF(AX19&gt;AX$117, AX19-AX$117,"")</f>
        <v/>
      </c>
      <c r="CB19" s="1" t="str">
        <f>IF(AY19&gt;AY$117, AY19-AY$117,"")</f>
        <v/>
      </c>
      <c r="CC19" s="1">
        <f>COUNTIF(BQ19:CB19, "&gt;0")</f>
        <v>1</v>
      </c>
      <c r="CD19" s="1">
        <f>IF($CC19=1,BQ19,"")</f>
        <v>8</v>
      </c>
      <c r="CE19" s="1" t="str">
        <f>IF($CC19=1,BR19,"")</f>
        <v/>
      </c>
      <c r="CF19" s="1" t="str">
        <f>IF($CC19=1,BS19,"")</f>
        <v/>
      </c>
      <c r="CG19" s="1" t="str">
        <f>IF($CC19=1,BT19,"")</f>
        <v/>
      </c>
      <c r="CH19" s="1" t="str">
        <f>IF($CC19=1,BU19,"")</f>
        <v/>
      </c>
      <c r="CI19" s="1" t="str">
        <f>IF($CC19=1,BV19,"")</f>
        <v/>
      </c>
      <c r="CJ19" s="1" t="str">
        <f>IF($CC19=1,BW19,"")</f>
        <v/>
      </c>
      <c r="CK19" s="1" t="str">
        <f>IF($CC19=1,BX19,"")</f>
        <v/>
      </c>
      <c r="CL19" s="1" t="str">
        <f>IF($CC19=1,BY19,"")</f>
        <v/>
      </c>
      <c r="CM19" s="1" t="str">
        <f>IF($CC19=1,BZ19,"")</f>
        <v/>
      </c>
      <c r="CN19" s="1" t="str">
        <f>IF($CC19=1,CA19,"")</f>
        <v/>
      </c>
      <c r="CO19" s="1" t="str">
        <f>IF($CC19=1,CB19,"")</f>
        <v/>
      </c>
      <c r="CP19" s="18">
        <f>SUM(AB19:BL19)</f>
        <v>20</v>
      </c>
    </row>
    <row r="20" spans="1:94" x14ac:dyDescent="0.15">
      <c r="A20" s="19">
        <v>60</v>
      </c>
      <c r="B20" s="19" t="s">
        <v>126</v>
      </c>
      <c r="C20" s="19" t="s">
        <v>64</v>
      </c>
      <c r="D20" s="19" t="s">
        <v>1</v>
      </c>
      <c r="E20" s="20"/>
      <c r="F20" s="20"/>
      <c r="G20" s="20"/>
      <c r="H20" s="20"/>
      <c r="I20" s="20"/>
      <c r="J20" s="20"/>
      <c r="K20" s="20">
        <v>5</v>
      </c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>
        <v>5</v>
      </c>
      <c r="Y20" s="20"/>
      <c r="Z20" s="20"/>
      <c r="AA20" s="20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21"/>
      <c r="AO20" s="21"/>
      <c r="AP20" s="21"/>
      <c r="AQ20" s="21"/>
      <c r="AR20" s="21"/>
      <c r="AS20" s="21"/>
      <c r="AT20" s="22"/>
      <c r="AU20" s="22"/>
      <c r="AV20" s="22"/>
      <c r="AW20" s="22"/>
      <c r="AX20" s="22"/>
      <c r="AY20" s="22"/>
      <c r="AZ20" s="30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>
        <f>SUM(E20:BL20)</f>
        <v>10</v>
      </c>
      <c r="BN20" s="19">
        <v>0</v>
      </c>
      <c r="BO20" s="23">
        <v>0</v>
      </c>
      <c r="BP20" s="23"/>
      <c r="BQ20" s="19" t="str">
        <f>IF(AN20&gt;AN$117, AN20-AN$117,"")</f>
        <v/>
      </c>
      <c r="BR20" s="19" t="str">
        <f>IF(AO20&gt;AO$117, AO20-AO$117,"")</f>
        <v/>
      </c>
      <c r="BS20" s="19" t="str">
        <f>IF(AP20&gt;AP$117, AP20-AP$117,"")</f>
        <v/>
      </c>
      <c r="BT20" s="19" t="str">
        <f>IF(AQ20&gt;AQ$117, AQ20-AQ$117,"")</f>
        <v/>
      </c>
      <c r="BU20" s="19" t="str">
        <f>IF(AR20&gt;AR$117, AR20-AR$117,"")</f>
        <v/>
      </c>
      <c r="BV20" s="19" t="str">
        <f>IF(AS20&gt;AS$117, AS20-AS$117,"")</f>
        <v/>
      </c>
      <c r="BW20" s="19" t="str">
        <f>IF(AT20&gt;AT$117, AT20-AT$117,"")</f>
        <v/>
      </c>
      <c r="BX20" s="19" t="str">
        <f>IF(AU20&gt;AU$117, AU20-AU$117,"")</f>
        <v/>
      </c>
      <c r="BY20" s="19" t="str">
        <f>IF(AV20&gt;AV$117, AV20-AV$117,"")</f>
        <v/>
      </c>
      <c r="BZ20" s="19" t="str">
        <f>IF(AW20&gt;AW$117, AW20-AW$117,"")</f>
        <v/>
      </c>
      <c r="CA20" s="19" t="str">
        <f>IF(AX20&gt;AX$117, AX20-AX$117,"")</f>
        <v/>
      </c>
      <c r="CB20" s="19" t="str">
        <f>IF(AY20&gt;AY$117, AY20-AY$117,"")</f>
        <v/>
      </c>
      <c r="CC20" s="19">
        <f>COUNTIF(BQ20:CB20, "&gt;0")</f>
        <v>0</v>
      </c>
      <c r="CD20" s="19" t="str">
        <f>IF($CC20=1,BQ20,"")</f>
        <v/>
      </c>
      <c r="CE20" s="19" t="str">
        <f>IF($CC20=1,BR20,"")</f>
        <v/>
      </c>
      <c r="CF20" s="19" t="str">
        <f>IF($CC20=1,BS20,"")</f>
        <v/>
      </c>
      <c r="CG20" s="19" t="str">
        <f>IF($CC20=1,BT20,"")</f>
        <v/>
      </c>
      <c r="CH20" s="19" t="str">
        <f>IF($CC20=1,BU20,"")</f>
        <v/>
      </c>
      <c r="CI20" s="19" t="str">
        <f>IF($CC20=1,BV20,"")</f>
        <v/>
      </c>
      <c r="CJ20" s="19" t="str">
        <f>IF($CC20=1,BW20,"")</f>
        <v/>
      </c>
      <c r="CK20" s="19" t="str">
        <f>IF($CC20=1,BX20,"")</f>
        <v/>
      </c>
      <c r="CL20" s="19" t="str">
        <f>IF($CC20=1,BY20,"")</f>
        <v/>
      </c>
      <c r="CM20" s="19" t="str">
        <f>IF($CC20=1,BZ20,"")</f>
        <v/>
      </c>
      <c r="CN20" s="19" t="str">
        <f>IF($CC20=1,CA20,"")</f>
        <v/>
      </c>
      <c r="CO20" s="19" t="str">
        <f>IF($CC20=1,CB20,"")</f>
        <v/>
      </c>
      <c r="CP20" s="24">
        <f>SUM(AB20:BL20)</f>
        <v>0</v>
      </c>
    </row>
    <row r="21" spans="1:94" x14ac:dyDescent="0.15">
      <c r="A21" s="19">
        <v>92</v>
      </c>
      <c r="B21" s="27" t="s">
        <v>104</v>
      </c>
      <c r="C21" s="27" t="s">
        <v>102</v>
      </c>
      <c r="D21" s="19" t="s">
        <v>24</v>
      </c>
      <c r="E21" s="20">
        <v>10</v>
      </c>
      <c r="F21" s="20"/>
      <c r="G21" s="20"/>
      <c r="H21" s="20"/>
      <c r="I21" s="20">
        <v>10</v>
      </c>
      <c r="J21" s="20">
        <v>10</v>
      </c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21"/>
      <c r="AO21" s="21"/>
      <c r="AP21" s="21"/>
      <c r="AQ21" s="21"/>
      <c r="AR21" s="21"/>
      <c r="AS21" s="21"/>
      <c r="AT21" s="22"/>
      <c r="AU21" s="22"/>
      <c r="AV21" s="22"/>
      <c r="AW21" s="22"/>
      <c r="AX21" s="22"/>
      <c r="AY21" s="22"/>
      <c r="AZ21" s="30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>
        <f>SUM(E21:BL21)</f>
        <v>30</v>
      </c>
      <c r="BN21" s="19">
        <v>0</v>
      </c>
      <c r="BO21" s="23">
        <v>0</v>
      </c>
      <c r="BP21" s="23"/>
      <c r="BQ21" s="19" t="str">
        <f>IF(AN21&gt;AN$117, AN21-AN$117,"")</f>
        <v/>
      </c>
      <c r="BR21" s="19" t="str">
        <f>IF(AO21&gt;AO$117, AO21-AO$117,"")</f>
        <v/>
      </c>
      <c r="BS21" s="19" t="str">
        <f>IF(AP21&gt;AP$117, AP21-AP$117,"")</f>
        <v/>
      </c>
      <c r="BT21" s="19" t="str">
        <f>IF(AQ21&gt;AQ$117, AQ21-AQ$117,"")</f>
        <v/>
      </c>
      <c r="BU21" s="19" t="str">
        <f>IF(AR21&gt;AR$117, AR21-AR$117,"")</f>
        <v/>
      </c>
      <c r="BV21" s="19" t="str">
        <f>IF(AS21&gt;AS$117, AS21-AS$117,"")</f>
        <v/>
      </c>
      <c r="BW21" s="19" t="str">
        <f>IF(AT21&gt;AT$117, AT21-AT$117,"")</f>
        <v/>
      </c>
      <c r="BX21" s="19" t="str">
        <f>IF(AU21&gt;AU$117, AU21-AU$117,"")</f>
        <v/>
      </c>
      <c r="BY21" s="19" t="str">
        <f>IF(AV21&gt;AV$117, AV21-AV$117,"")</f>
        <v/>
      </c>
      <c r="BZ21" s="19" t="str">
        <f>IF(AW21&gt;AW$117, AW21-AW$117,"")</f>
        <v/>
      </c>
      <c r="CA21" s="19" t="str">
        <f>IF(AX21&gt;AX$117, AX21-AX$117,"")</f>
        <v/>
      </c>
      <c r="CB21" s="19" t="str">
        <f>IF(AY21&gt;AY$117, AY21-AY$117,"")</f>
        <v/>
      </c>
      <c r="CC21" s="19">
        <f>COUNTIF(BQ21:CB21, "&gt;0")</f>
        <v>0</v>
      </c>
      <c r="CD21" s="19" t="str">
        <f>IF($CC21=1,BQ21,"")</f>
        <v/>
      </c>
      <c r="CE21" s="19" t="str">
        <f>IF($CC21=1,BR21,"")</f>
        <v/>
      </c>
      <c r="CF21" s="19" t="str">
        <f>IF($CC21=1,BS21,"")</f>
        <v/>
      </c>
      <c r="CG21" s="19" t="str">
        <f>IF($CC21=1,BT21,"")</f>
        <v/>
      </c>
      <c r="CH21" s="19" t="str">
        <f>IF($CC21=1,BU21,"")</f>
        <v/>
      </c>
      <c r="CI21" s="19" t="str">
        <f>IF($CC21=1,BV21,"")</f>
        <v/>
      </c>
      <c r="CJ21" s="19" t="str">
        <f>IF($CC21=1,BW21,"")</f>
        <v/>
      </c>
      <c r="CK21" s="19" t="str">
        <f>IF($CC21=1,BX21,"")</f>
        <v/>
      </c>
      <c r="CL21" s="19" t="str">
        <f>IF($CC21=1,BY21,"")</f>
        <v/>
      </c>
      <c r="CM21" s="19" t="str">
        <f>IF($CC21=1,BZ21,"")</f>
        <v/>
      </c>
      <c r="CN21" s="19" t="str">
        <f>IF($CC21=1,CA21,"")</f>
        <v/>
      </c>
      <c r="CO21" s="19" t="str">
        <f>IF($CC21=1,CB21,"")</f>
        <v/>
      </c>
      <c r="CP21" s="24">
        <f>SUM(AB21:BL21)</f>
        <v>0</v>
      </c>
    </row>
    <row r="22" spans="1:94" x14ac:dyDescent="0.15">
      <c r="A22" s="1">
        <v>84</v>
      </c>
      <c r="B22" s="3" t="s">
        <v>83</v>
      </c>
      <c r="C22" s="3" t="s">
        <v>77</v>
      </c>
      <c r="D22" s="1" t="s">
        <v>13</v>
      </c>
      <c r="E22" s="6"/>
      <c r="F22" s="6"/>
      <c r="G22" s="6">
        <v>5</v>
      </c>
      <c r="H22" s="6">
        <v>5</v>
      </c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4"/>
      <c r="AO22" s="4"/>
      <c r="AP22" s="4"/>
      <c r="AQ22" s="4"/>
      <c r="AR22" s="4"/>
      <c r="AS22" s="4"/>
      <c r="AT22" s="2"/>
      <c r="AU22" s="2"/>
      <c r="AV22" s="2"/>
      <c r="AW22" s="2"/>
      <c r="AX22" s="2">
        <v>5</v>
      </c>
      <c r="AY22" s="2">
        <v>5</v>
      </c>
      <c r="AZ22" s="14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>
        <f>SUM(E22:BL22)</f>
        <v>20</v>
      </c>
      <c r="BN22" s="1">
        <v>2</v>
      </c>
      <c r="BO22" s="17">
        <v>1</v>
      </c>
      <c r="BP22" s="17" t="s">
        <v>145</v>
      </c>
      <c r="BQ22" s="1" t="str">
        <f>IF(AN22&gt;AN$117, AN22-AN$117,"")</f>
        <v/>
      </c>
      <c r="BR22" s="1" t="str">
        <f>IF(AO22&gt;AO$117, AO22-AO$117,"")</f>
        <v/>
      </c>
      <c r="BS22" s="1" t="str">
        <f>IF(AP22&gt;AP$117, AP22-AP$117,"")</f>
        <v/>
      </c>
      <c r="BT22" s="1" t="str">
        <f>IF(AQ22&gt;AQ$117, AQ22-AQ$117,"")</f>
        <v/>
      </c>
      <c r="BU22" s="1" t="str">
        <f>IF(AR22&gt;AR$117, AR22-AR$117,"")</f>
        <v/>
      </c>
      <c r="BV22" s="1" t="str">
        <f>IF(AS22&gt;AS$117, AS22-AS$117,"")</f>
        <v/>
      </c>
      <c r="BW22" s="1" t="str">
        <f>IF(AT22&gt;AT$117, AT22-AT$117,"")</f>
        <v/>
      </c>
      <c r="BX22" s="1" t="str">
        <f>IF(AU22&gt;AU$117, AU22-AU$117,"")</f>
        <v/>
      </c>
      <c r="BY22" s="1" t="str">
        <f>IF(AV22&gt;AV$117, AV22-AV$117,"")</f>
        <v/>
      </c>
      <c r="BZ22" s="1" t="str">
        <f>IF(AW22&gt;AW$117, AW22-AW$117,"")</f>
        <v/>
      </c>
      <c r="CA22" s="1" t="str">
        <f>IF(AX22&gt;AX$117, AX22-AX$117,"")</f>
        <v/>
      </c>
      <c r="CB22" s="1" t="str">
        <f>IF(AY22&gt;AY$117, AY22-AY$117,"")</f>
        <v/>
      </c>
      <c r="CC22" s="1">
        <f>COUNTIF(BQ22:CB22, "&gt;0")</f>
        <v>0</v>
      </c>
      <c r="CD22" s="1" t="str">
        <f>IF($CC22=1,BQ22,"")</f>
        <v/>
      </c>
      <c r="CE22" s="1" t="str">
        <f>IF($CC22=1,BR22,"")</f>
        <v/>
      </c>
      <c r="CF22" s="1" t="str">
        <f>IF($CC22=1,BS22,"")</f>
        <v/>
      </c>
      <c r="CG22" s="1" t="str">
        <f>IF($CC22=1,BT22,"")</f>
        <v/>
      </c>
      <c r="CH22" s="1" t="str">
        <f>IF($CC22=1,BU22,"")</f>
        <v/>
      </c>
      <c r="CI22" s="1" t="str">
        <f>IF($CC22=1,BV22,"")</f>
        <v/>
      </c>
      <c r="CJ22" s="1" t="str">
        <f>IF($CC22=1,BW22,"")</f>
        <v/>
      </c>
      <c r="CK22" s="1" t="str">
        <f>IF($CC22=1,BX22,"")</f>
        <v/>
      </c>
      <c r="CL22" s="1" t="str">
        <f>IF($CC22=1,BY22,"")</f>
        <v/>
      </c>
      <c r="CM22" s="1" t="str">
        <f>IF($CC22=1,BZ22,"")</f>
        <v/>
      </c>
      <c r="CN22" s="1" t="str">
        <f>IF($CC22=1,CA22,"")</f>
        <v/>
      </c>
      <c r="CO22" s="1" t="str">
        <f>IF($CC22=1,CB22,"")</f>
        <v/>
      </c>
      <c r="CP22" s="18">
        <f>SUM(AB22:BL22)</f>
        <v>10</v>
      </c>
    </row>
    <row r="23" spans="1:94" x14ac:dyDescent="0.15">
      <c r="A23" s="1">
        <v>69</v>
      </c>
      <c r="B23" s="3" t="s">
        <v>74</v>
      </c>
      <c r="C23" s="1" t="s">
        <v>64</v>
      </c>
      <c r="D23" s="1" t="s">
        <v>13</v>
      </c>
      <c r="E23" s="6"/>
      <c r="F23" s="6"/>
      <c r="G23" s="6"/>
      <c r="H23" s="6">
        <v>6</v>
      </c>
      <c r="I23" s="6">
        <v>6</v>
      </c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4"/>
      <c r="AO23" s="4"/>
      <c r="AP23" s="4"/>
      <c r="AQ23" s="4"/>
      <c r="AR23" s="4"/>
      <c r="AS23" s="4">
        <v>10</v>
      </c>
      <c r="AT23" s="2"/>
      <c r="AU23" s="2">
        <v>10</v>
      </c>
      <c r="AV23" s="2"/>
      <c r="AW23" s="2"/>
      <c r="AX23" s="2"/>
      <c r="AY23" s="2"/>
      <c r="AZ23" s="14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>
        <f>SUM(E23:BL23)</f>
        <v>32</v>
      </c>
      <c r="BN23" s="1">
        <v>2</v>
      </c>
      <c r="BO23" s="17">
        <v>1</v>
      </c>
      <c r="BP23" s="17" t="s">
        <v>152</v>
      </c>
      <c r="BQ23" s="1" t="str">
        <f>IF(AN23&gt;AN$117, AN23-AN$117,"")</f>
        <v/>
      </c>
      <c r="BR23" s="1" t="str">
        <f>IF(AO23&gt;AO$117, AO23-AO$117,"")</f>
        <v/>
      </c>
      <c r="BS23" s="1" t="str">
        <f>IF(AP23&gt;AP$117, AP23-AP$117,"")</f>
        <v/>
      </c>
      <c r="BT23" s="1" t="str">
        <f>IF(AQ23&gt;AQ$117, AQ23-AQ$117,"")</f>
        <v/>
      </c>
      <c r="BU23" s="1" t="str">
        <f>IF(AR23&gt;AR$117, AR23-AR$117,"")</f>
        <v/>
      </c>
      <c r="BV23" s="1" t="str">
        <f>IF(AS23&gt;AS$117, AS23-AS$117,"")</f>
        <v/>
      </c>
      <c r="BW23" s="1" t="str">
        <f>IF(AT23&gt;AT$117, AT23-AT$117,"")</f>
        <v/>
      </c>
      <c r="BX23" s="1" t="str">
        <f>IF(AU23&gt;AU$117, AU23-AU$117,"")</f>
        <v/>
      </c>
      <c r="BY23" s="1" t="str">
        <f>IF(AV23&gt;AV$117, AV23-AV$117,"")</f>
        <v/>
      </c>
      <c r="BZ23" s="1" t="str">
        <f>IF(AW23&gt;AW$117, AW23-AW$117,"")</f>
        <v/>
      </c>
      <c r="CA23" s="1" t="str">
        <f>IF(AX23&gt;AX$117, AX23-AX$117,"")</f>
        <v/>
      </c>
      <c r="CB23" s="1" t="str">
        <f>IF(AY23&gt;AY$117, AY23-AY$117,"")</f>
        <v/>
      </c>
      <c r="CC23" s="1">
        <f>COUNTIF(BQ23:CB23, "&gt;0")</f>
        <v>0</v>
      </c>
      <c r="CD23" s="1" t="str">
        <f>IF($CC23=1,BQ23,"")</f>
        <v/>
      </c>
      <c r="CE23" s="1" t="str">
        <f>IF($CC23=1,BR23,"")</f>
        <v/>
      </c>
      <c r="CF23" s="1" t="str">
        <f>IF($CC23=1,BS23,"")</f>
        <v/>
      </c>
      <c r="CG23" s="1" t="str">
        <f>IF($CC23=1,BT23,"")</f>
        <v/>
      </c>
      <c r="CH23" s="1" t="str">
        <f>IF($CC23=1,BU23,"")</f>
        <v/>
      </c>
      <c r="CI23" s="1" t="str">
        <f>IF($CC23=1,BV23,"")</f>
        <v/>
      </c>
      <c r="CJ23" s="1" t="str">
        <f>IF($CC23=1,BW23,"")</f>
        <v/>
      </c>
      <c r="CK23" s="1" t="str">
        <f>IF($CC23=1,BX23,"")</f>
        <v/>
      </c>
      <c r="CL23" s="1" t="str">
        <f>IF($CC23=1,BY23,"")</f>
        <v/>
      </c>
      <c r="CM23" s="1" t="str">
        <f>IF($CC23=1,BZ23,"")</f>
        <v/>
      </c>
      <c r="CN23" s="1" t="str">
        <f>IF($CC23=1,CA23,"")</f>
        <v/>
      </c>
      <c r="CO23" s="1" t="str">
        <f>IF($CC23=1,CB23,"")</f>
        <v/>
      </c>
      <c r="CP23" s="18">
        <f>SUM(AB23:BL23)</f>
        <v>20</v>
      </c>
    </row>
    <row r="24" spans="1:94" x14ac:dyDescent="0.15">
      <c r="A24" s="1">
        <v>72</v>
      </c>
      <c r="B24" s="3" t="s">
        <v>115</v>
      </c>
      <c r="C24" s="1" t="s">
        <v>64</v>
      </c>
      <c r="D24" s="1" t="s">
        <v>13</v>
      </c>
      <c r="E24" s="6"/>
      <c r="F24" s="6"/>
      <c r="G24" s="6"/>
      <c r="H24" s="6"/>
      <c r="I24" s="6"/>
      <c r="J24" s="6"/>
      <c r="K24" s="6"/>
      <c r="L24" s="6">
        <v>6</v>
      </c>
      <c r="M24" s="6">
        <v>6</v>
      </c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4"/>
      <c r="AO24" s="4"/>
      <c r="AP24" s="4"/>
      <c r="AQ24" s="4"/>
      <c r="AR24" s="4"/>
      <c r="AS24" s="4">
        <v>10</v>
      </c>
      <c r="AT24" s="2"/>
      <c r="AU24" s="2"/>
      <c r="AV24" s="2"/>
      <c r="AW24" s="2"/>
      <c r="AX24" s="2">
        <v>10</v>
      </c>
      <c r="AY24" s="2"/>
      <c r="AZ24" s="14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>
        <f>SUM(E24:BL24)</f>
        <v>32</v>
      </c>
      <c r="BN24" s="1">
        <v>2</v>
      </c>
      <c r="BO24" s="17">
        <v>1</v>
      </c>
      <c r="BP24" s="17" t="s">
        <v>152</v>
      </c>
      <c r="BQ24" s="1" t="str">
        <f>IF(AN24&gt;AN$117, AN24-AN$117,"")</f>
        <v/>
      </c>
      <c r="BR24" s="1" t="str">
        <f>IF(AO24&gt;AO$117, AO24-AO$117,"")</f>
        <v/>
      </c>
      <c r="BS24" s="1" t="str">
        <f>IF(AP24&gt;AP$117, AP24-AP$117,"")</f>
        <v/>
      </c>
      <c r="BT24" s="1" t="str">
        <f>IF(AQ24&gt;AQ$117, AQ24-AQ$117,"")</f>
        <v/>
      </c>
      <c r="BU24" s="1" t="str">
        <f>IF(AR24&gt;AR$117, AR24-AR$117,"")</f>
        <v/>
      </c>
      <c r="BV24" s="1" t="str">
        <f>IF(AS24&gt;AS$117, AS24-AS$117,"")</f>
        <v/>
      </c>
      <c r="BW24" s="1" t="str">
        <f>IF(AT24&gt;AT$117, AT24-AT$117,"")</f>
        <v/>
      </c>
      <c r="BX24" s="1" t="str">
        <f>IF(AU24&gt;AU$117, AU24-AU$117,"")</f>
        <v/>
      </c>
      <c r="BY24" s="1" t="str">
        <f>IF(AV24&gt;AV$117, AV24-AV$117,"")</f>
        <v/>
      </c>
      <c r="BZ24" s="1" t="str">
        <f>IF(AW24&gt;AW$117, AW24-AW$117,"")</f>
        <v/>
      </c>
      <c r="CA24" s="1" t="str">
        <f>IF(AX24&gt;AX$117, AX24-AX$117,"")</f>
        <v/>
      </c>
      <c r="CB24" s="1" t="str">
        <f>IF(AY24&gt;AY$117, AY24-AY$117,"")</f>
        <v/>
      </c>
      <c r="CC24" s="1">
        <f>COUNTIF(BQ24:CB24, "&gt;0")</f>
        <v>0</v>
      </c>
      <c r="CD24" s="1" t="str">
        <f>IF($CC24=1,BQ24,"")</f>
        <v/>
      </c>
      <c r="CE24" s="1" t="str">
        <f>IF($CC24=1,BR24,"")</f>
        <v/>
      </c>
      <c r="CF24" s="1" t="str">
        <f>IF($CC24=1,BS24,"")</f>
        <v/>
      </c>
      <c r="CG24" s="1" t="str">
        <f>IF($CC24=1,BT24,"")</f>
        <v/>
      </c>
      <c r="CH24" s="1" t="str">
        <f>IF($CC24=1,BU24,"")</f>
        <v/>
      </c>
      <c r="CI24" s="1" t="str">
        <f>IF($CC24=1,BV24,"")</f>
        <v/>
      </c>
      <c r="CJ24" s="1" t="str">
        <f>IF($CC24=1,BW24,"")</f>
        <v/>
      </c>
      <c r="CK24" s="1" t="str">
        <f>IF($CC24=1,BX24,"")</f>
        <v/>
      </c>
      <c r="CL24" s="1" t="str">
        <f>IF($CC24=1,BY24,"")</f>
        <v/>
      </c>
      <c r="CM24" s="1" t="str">
        <f>IF($CC24=1,BZ24,"")</f>
        <v/>
      </c>
      <c r="CN24" s="1" t="str">
        <f>IF($CC24=1,CA24,"")</f>
        <v/>
      </c>
      <c r="CO24" s="1" t="str">
        <f>IF($CC24=1,CB24,"")</f>
        <v/>
      </c>
      <c r="CP24" s="18">
        <f>SUM(AB24:BL24)</f>
        <v>20</v>
      </c>
    </row>
    <row r="25" spans="1:94" x14ac:dyDescent="0.15">
      <c r="A25" s="1">
        <v>58</v>
      </c>
      <c r="B25" s="1" t="s">
        <v>67</v>
      </c>
      <c r="C25" s="1" t="s">
        <v>64</v>
      </c>
      <c r="D25" s="1" t="s">
        <v>13</v>
      </c>
      <c r="E25" s="6"/>
      <c r="F25" s="6"/>
      <c r="G25" s="6">
        <v>10</v>
      </c>
      <c r="H25" s="6"/>
      <c r="I25" s="6"/>
      <c r="J25" s="6"/>
      <c r="K25" s="6"/>
      <c r="L25" s="6"/>
      <c r="M25" s="6"/>
      <c r="N25" s="6">
        <v>10</v>
      </c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4"/>
      <c r="AO25" s="4"/>
      <c r="AP25" s="4"/>
      <c r="AQ25" s="4"/>
      <c r="AR25" s="4"/>
      <c r="AS25" s="4">
        <v>10</v>
      </c>
      <c r="AT25" s="2"/>
      <c r="AU25" s="2"/>
      <c r="AV25" s="2"/>
      <c r="AW25" s="2">
        <v>10</v>
      </c>
      <c r="AX25" s="2"/>
      <c r="AY25" s="2"/>
      <c r="AZ25" s="14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>
        <f>SUM(E25:BL25)</f>
        <v>40</v>
      </c>
      <c r="BN25" s="1">
        <v>2</v>
      </c>
      <c r="BO25" s="17">
        <v>1</v>
      </c>
      <c r="BP25" s="17" t="s">
        <v>152</v>
      </c>
      <c r="BQ25" s="1" t="str">
        <f>IF(AN25&gt;AN$117, AN25-AN$117,"")</f>
        <v/>
      </c>
      <c r="BR25" s="1" t="str">
        <f>IF(AO25&gt;AO$117, AO25-AO$117,"")</f>
        <v/>
      </c>
      <c r="BS25" s="1" t="str">
        <f>IF(AP25&gt;AP$117, AP25-AP$117,"")</f>
        <v/>
      </c>
      <c r="BT25" s="1" t="str">
        <f>IF(AQ25&gt;AQ$117, AQ25-AQ$117,"")</f>
        <v/>
      </c>
      <c r="BU25" s="1" t="str">
        <f>IF(AR25&gt;AR$117, AR25-AR$117,"")</f>
        <v/>
      </c>
      <c r="BV25" s="1" t="str">
        <f>IF(AS25&gt;AS$117, AS25-AS$117,"")</f>
        <v/>
      </c>
      <c r="BW25" s="1" t="str">
        <f>IF(AT25&gt;AT$117, AT25-AT$117,"")</f>
        <v/>
      </c>
      <c r="BX25" s="1" t="str">
        <f>IF(AU25&gt;AU$117, AU25-AU$117,"")</f>
        <v/>
      </c>
      <c r="BY25" s="1" t="str">
        <f>IF(AV25&gt;AV$117, AV25-AV$117,"")</f>
        <v/>
      </c>
      <c r="BZ25" s="1" t="str">
        <f>IF(AW25&gt;AW$117, AW25-AW$117,"")</f>
        <v/>
      </c>
      <c r="CA25" s="1" t="str">
        <f>IF(AX25&gt;AX$117, AX25-AX$117,"")</f>
        <v/>
      </c>
      <c r="CB25" s="1" t="str">
        <f>IF(AY25&gt;AY$117, AY25-AY$117,"")</f>
        <v/>
      </c>
      <c r="CC25" s="1">
        <f>COUNTIF(BQ25:CB25, "&gt;0")</f>
        <v>0</v>
      </c>
      <c r="CD25" s="1" t="str">
        <f>IF($CC25=1,BQ25,"")</f>
        <v/>
      </c>
      <c r="CE25" s="1" t="str">
        <f>IF($CC25=1,BR25,"")</f>
        <v/>
      </c>
      <c r="CF25" s="1" t="str">
        <f>IF($CC25=1,BS25,"")</f>
        <v/>
      </c>
      <c r="CG25" s="1" t="str">
        <f>IF($CC25=1,BT25,"")</f>
        <v/>
      </c>
      <c r="CH25" s="1" t="str">
        <f>IF($CC25=1,BU25,"")</f>
        <v/>
      </c>
      <c r="CI25" s="1" t="str">
        <f>IF($CC25=1,BV25,"")</f>
        <v/>
      </c>
      <c r="CJ25" s="1" t="str">
        <f>IF($CC25=1,BW25,"")</f>
        <v/>
      </c>
      <c r="CK25" s="1" t="str">
        <f>IF($CC25=1,BX25,"")</f>
        <v/>
      </c>
      <c r="CL25" s="1" t="str">
        <f>IF($CC25=1,BY25,"")</f>
        <v/>
      </c>
      <c r="CM25" s="1" t="str">
        <f>IF($CC25=1,BZ25,"")</f>
        <v/>
      </c>
      <c r="CN25" s="1" t="str">
        <f>IF($CC25=1,CA25,"")</f>
        <v/>
      </c>
      <c r="CO25" s="1" t="str">
        <f>IF($CC25=1,CB25,"")</f>
        <v/>
      </c>
      <c r="CP25" s="18">
        <f>SUM(AB25:BL25)</f>
        <v>20</v>
      </c>
    </row>
    <row r="26" spans="1:94" x14ac:dyDescent="0.15">
      <c r="A26" s="1">
        <v>1</v>
      </c>
      <c r="B26" s="1" t="s">
        <v>0</v>
      </c>
      <c r="C26" s="1" t="s">
        <v>2</v>
      </c>
      <c r="D26" s="1" t="s">
        <v>1</v>
      </c>
      <c r="E26" s="6">
        <v>10</v>
      </c>
      <c r="F26" s="6">
        <v>10</v>
      </c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4"/>
      <c r="AO26" s="4">
        <v>10</v>
      </c>
      <c r="AP26" s="4"/>
      <c r="AQ26" s="4"/>
      <c r="AR26" s="4"/>
      <c r="AS26" s="4"/>
      <c r="AT26" s="2">
        <v>15</v>
      </c>
      <c r="AU26" s="2">
        <v>15</v>
      </c>
      <c r="AV26" s="2"/>
      <c r="AW26" s="2"/>
      <c r="AX26" s="2"/>
      <c r="AY26" s="2"/>
      <c r="AZ26" s="14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>
        <f>SUM(E26:BL26)</f>
        <v>60</v>
      </c>
      <c r="BN26" s="1">
        <v>3</v>
      </c>
      <c r="BO26" s="17">
        <v>1</v>
      </c>
      <c r="BP26" s="17" t="s">
        <v>153</v>
      </c>
      <c r="BQ26" s="1" t="str">
        <f>IF(AN26&gt;AN$117, AN26-AN$117,"")</f>
        <v/>
      </c>
      <c r="BR26" s="1" t="str">
        <f>IF(AO26&gt;AO$117, AO26-AO$117,"")</f>
        <v/>
      </c>
      <c r="BS26" s="1" t="str">
        <f>IF(AP26&gt;AP$117, AP26-AP$117,"")</f>
        <v/>
      </c>
      <c r="BT26" s="1" t="str">
        <f>IF(AQ26&gt;AQ$117, AQ26-AQ$117,"")</f>
        <v/>
      </c>
      <c r="BU26" s="1" t="str">
        <f>IF(AR26&gt;AR$117, AR26-AR$117,"")</f>
        <v/>
      </c>
      <c r="BV26" s="1" t="str">
        <f>IF(AS26&gt;AS$117, AS26-AS$117,"")</f>
        <v/>
      </c>
      <c r="BW26" s="1" t="str">
        <f>IF(AT26&gt;AT$117, AT26-AT$117,"")</f>
        <v/>
      </c>
      <c r="BX26" s="1" t="str">
        <f>IF(AU26&gt;AU$117, AU26-AU$117,"")</f>
        <v/>
      </c>
      <c r="BY26" s="1" t="str">
        <f>IF(AV26&gt;AV$117, AV26-AV$117,"")</f>
        <v/>
      </c>
      <c r="BZ26" s="1" t="str">
        <f>IF(AW26&gt;AW$117, AW26-AW$117,"")</f>
        <v/>
      </c>
      <c r="CA26" s="1" t="str">
        <f>IF(AX26&gt;AX$117, AX26-AX$117,"")</f>
        <v/>
      </c>
      <c r="CB26" s="1" t="str">
        <f>IF(AY26&gt;AY$117, AY26-AY$117,"")</f>
        <v/>
      </c>
      <c r="CC26" s="1">
        <f>COUNTIF(BQ26:CB26, "&gt;0")</f>
        <v>0</v>
      </c>
      <c r="CD26" s="1" t="str">
        <f>IF($CC26=1,BQ26,"")</f>
        <v/>
      </c>
      <c r="CE26" s="1" t="str">
        <f>IF($CC26=1,BR26,"")</f>
        <v/>
      </c>
      <c r="CF26" s="1" t="str">
        <f>IF($CC26=1,BS26,"")</f>
        <v/>
      </c>
      <c r="CG26" s="1" t="str">
        <f>IF($CC26=1,BT26,"")</f>
        <v/>
      </c>
      <c r="CH26" s="1" t="str">
        <f>IF($CC26=1,BU26,"")</f>
        <v/>
      </c>
      <c r="CI26" s="1" t="str">
        <f>IF($CC26=1,BV26,"")</f>
        <v/>
      </c>
      <c r="CJ26" s="1" t="str">
        <f>IF($CC26=1,BW26,"")</f>
        <v/>
      </c>
      <c r="CK26" s="1" t="str">
        <f>IF($CC26=1,BX26,"")</f>
        <v/>
      </c>
      <c r="CL26" s="1" t="str">
        <f>IF($CC26=1,BY26,"")</f>
        <v/>
      </c>
      <c r="CM26" s="1" t="str">
        <f>IF($CC26=1,BZ26,"")</f>
        <v/>
      </c>
      <c r="CN26" s="1" t="str">
        <f>IF($CC26=1,CA26,"")</f>
        <v/>
      </c>
      <c r="CO26" s="1" t="str">
        <f>IF($CC26=1,CB26,"")</f>
        <v/>
      </c>
      <c r="CP26" s="18">
        <f>SUM(AB26:BL26)</f>
        <v>40</v>
      </c>
    </row>
    <row r="27" spans="1:94" s="25" customFormat="1" x14ac:dyDescent="0.15">
      <c r="A27" s="1">
        <v>91</v>
      </c>
      <c r="B27" s="3" t="s">
        <v>103</v>
      </c>
      <c r="C27" s="3" t="s">
        <v>102</v>
      </c>
      <c r="D27" s="1" t="s">
        <v>1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>
        <v>4</v>
      </c>
      <c r="T27" s="6"/>
      <c r="U27" s="6"/>
      <c r="V27" s="6"/>
      <c r="W27" s="6"/>
      <c r="X27" s="6"/>
      <c r="Y27" s="6"/>
      <c r="Z27" s="6"/>
      <c r="AA27" s="6"/>
      <c r="AB27" s="1"/>
      <c r="AC27" s="1"/>
      <c r="AD27" s="1"/>
      <c r="AE27" s="1"/>
      <c r="AF27" s="1"/>
      <c r="AG27" s="1"/>
      <c r="AH27" s="1"/>
      <c r="AI27" s="1"/>
      <c r="AJ27" s="1">
        <v>5</v>
      </c>
      <c r="AK27" s="1"/>
      <c r="AL27" s="1"/>
      <c r="AM27" s="1"/>
      <c r="AN27" s="4"/>
      <c r="AO27" s="4"/>
      <c r="AP27" s="4"/>
      <c r="AQ27" s="4"/>
      <c r="AR27" s="4"/>
      <c r="AS27" s="4"/>
      <c r="AT27" s="2"/>
      <c r="AU27" s="2"/>
      <c r="AV27" s="2"/>
      <c r="AW27" s="2"/>
      <c r="AX27" s="2"/>
      <c r="AY27" s="2"/>
      <c r="AZ27" s="14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>
        <f>SUM(E27:BL27)</f>
        <v>9</v>
      </c>
      <c r="BN27" s="1">
        <v>5</v>
      </c>
      <c r="BO27" s="17">
        <v>1</v>
      </c>
      <c r="BP27" s="17" t="s">
        <v>135</v>
      </c>
      <c r="BQ27" s="1" t="str">
        <f>IF(AN27&gt;AN$117, AN27-AN$117,"")</f>
        <v/>
      </c>
      <c r="BR27" s="1" t="str">
        <f>IF(AO27&gt;AO$117, AO27-AO$117,"")</f>
        <v/>
      </c>
      <c r="BS27" s="1" t="str">
        <f>IF(AP27&gt;AP$117, AP27-AP$117,"")</f>
        <v/>
      </c>
      <c r="BT27" s="1" t="str">
        <f>IF(AQ27&gt;AQ$117, AQ27-AQ$117,"")</f>
        <v/>
      </c>
      <c r="BU27" s="1" t="str">
        <f>IF(AR27&gt;AR$117, AR27-AR$117,"")</f>
        <v/>
      </c>
      <c r="BV27" s="1" t="str">
        <f>IF(AS27&gt;AS$117, AS27-AS$117,"")</f>
        <v/>
      </c>
      <c r="BW27" s="1" t="str">
        <f>IF(AT27&gt;AT$117, AT27-AT$117,"")</f>
        <v/>
      </c>
      <c r="BX27" s="1" t="str">
        <f>IF(AU27&gt;AU$117, AU27-AU$117,"")</f>
        <v/>
      </c>
      <c r="BY27" s="1" t="str">
        <f>IF(AV27&gt;AV$117, AV27-AV$117,"")</f>
        <v/>
      </c>
      <c r="BZ27" s="1" t="str">
        <f>IF(AW27&gt;AW$117, AW27-AW$117,"")</f>
        <v/>
      </c>
      <c r="CA27" s="1" t="str">
        <f>IF(AX27&gt;AX$117, AX27-AX$117,"")</f>
        <v/>
      </c>
      <c r="CB27" s="1" t="str">
        <f>IF(AY27&gt;AY$117, AY27-AY$117,"")</f>
        <v/>
      </c>
      <c r="CC27" s="1">
        <f>COUNTIF(BQ27:CB27, "&gt;0")</f>
        <v>0</v>
      </c>
      <c r="CD27" s="1" t="str">
        <f>IF($CC27=1,BQ27,"")</f>
        <v/>
      </c>
      <c r="CE27" s="1" t="str">
        <f>IF($CC27=1,BR27,"")</f>
        <v/>
      </c>
      <c r="CF27" s="1" t="str">
        <f>IF($CC27=1,BS27,"")</f>
        <v/>
      </c>
      <c r="CG27" s="1" t="str">
        <f>IF($CC27=1,BT27,"")</f>
        <v/>
      </c>
      <c r="CH27" s="1" t="str">
        <f>IF($CC27=1,BU27,"")</f>
        <v/>
      </c>
      <c r="CI27" s="1" t="str">
        <f>IF($CC27=1,BV27,"")</f>
        <v/>
      </c>
      <c r="CJ27" s="1" t="str">
        <f>IF($CC27=1,BW27,"")</f>
        <v/>
      </c>
      <c r="CK27" s="1" t="str">
        <f>IF($CC27=1,BX27,"")</f>
        <v/>
      </c>
      <c r="CL27" s="1" t="str">
        <f>IF($CC27=1,BY27,"")</f>
        <v/>
      </c>
      <c r="CM27" s="1" t="str">
        <f>IF($CC27=1,BZ27,"")</f>
        <v/>
      </c>
      <c r="CN27" s="1" t="str">
        <f>IF($CC27=1,CA27,"")</f>
        <v/>
      </c>
      <c r="CO27" s="1" t="str">
        <f>IF($CC27=1,CB27,"")</f>
        <v/>
      </c>
      <c r="CP27" s="18">
        <f>SUM(AB27:BL27)</f>
        <v>5</v>
      </c>
    </row>
    <row r="28" spans="1:94" x14ac:dyDescent="0.15">
      <c r="A28" s="1">
        <v>17</v>
      </c>
      <c r="B28" s="1" t="s">
        <v>36</v>
      </c>
      <c r="C28" s="1" t="s">
        <v>33</v>
      </c>
      <c r="D28" s="1" t="s">
        <v>24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1"/>
      <c r="AC28" s="1">
        <v>5</v>
      </c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4"/>
      <c r="AO28" s="4"/>
      <c r="AP28" s="4"/>
      <c r="AQ28" s="4"/>
      <c r="AR28" s="4"/>
      <c r="AS28" s="4"/>
      <c r="AT28" s="2"/>
      <c r="AU28" s="2"/>
      <c r="AV28" s="2"/>
      <c r="AW28" s="2"/>
      <c r="AX28" s="2"/>
      <c r="AY28" s="2"/>
      <c r="AZ28" s="14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>
        <f>SUM(E28:BL28)</f>
        <v>5</v>
      </c>
      <c r="BN28" s="1">
        <v>5</v>
      </c>
      <c r="BO28" s="17">
        <v>1</v>
      </c>
      <c r="BP28" s="17" t="s">
        <v>134</v>
      </c>
      <c r="BQ28" s="1" t="str">
        <f>IF(AN28&gt;AN$117, AN28-AN$117,"")</f>
        <v/>
      </c>
      <c r="BR28" s="1" t="str">
        <f>IF(AO28&gt;AO$117, AO28-AO$117,"")</f>
        <v/>
      </c>
      <c r="BS28" s="1" t="str">
        <f>IF(AP28&gt;AP$117, AP28-AP$117,"")</f>
        <v/>
      </c>
      <c r="BT28" s="1" t="str">
        <f>IF(AQ28&gt;AQ$117, AQ28-AQ$117,"")</f>
        <v/>
      </c>
      <c r="BU28" s="1" t="str">
        <f>IF(AR28&gt;AR$117, AR28-AR$117,"")</f>
        <v/>
      </c>
      <c r="BV28" s="1" t="str">
        <f>IF(AS28&gt;AS$117, AS28-AS$117,"")</f>
        <v/>
      </c>
      <c r="BW28" s="1" t="str">
        <f>IF(AT28&gt;AT$117, AT28-AT$117,"")</f>
        <v/>
      </c>
      <c r="BX28" s="1" t="str">
        <f>IF(AU28&gt;AU$117, AU28-AU$117,"")</f>
        <v/>
      </c>
      <c r="BY28" s="1" t="str">
        <f>IF(AV28&gt;AV$117, AV28-AV$117,"")</f>
        <v/>
      </c>
      <c r="BZ28" s="1" t="str">
        <f>IF(AW28&gt;AW$117, AW28-AW$117,"")</f>
        <v/>
      </c>
      <c r="CA28" s="1" t="str">
        <f>IF(AX28&gt;AX$117, AX28-AX$117,"")</f>
        <v/>
      </c>
      <c r="CB28" s="1" t="str">
        <f>IF(AY28&gt;AY$117, AY28-AY$117,"")</f>
        <v/>
      </c>
      <c r="CC28" s="1">
        <f>COUNTIF(BQ28:CB28, "&gt;0")</f>
        <v>0</v>
      </c>
      <c r="CD28" s="1" t="str">
        <f>IF($CC28=1,BQ28,"")</f>
        <v/>
      </c>
      <c r="CE28" s="1" t="str">
        <f>IF($CC28=1,BR28,"")</f>
        <v/>
      </c>
      <c r="CF28" s="1" t="str">
        <f>IF($CC28=1,BS28,"")</f>
        <v/>
      </c>
      <c r="CG28" s="1" t="str">
        <f>IF($CC28=1,BT28,"")</f>
        <v/>
      </c>
      <c r="CH28" s="1" t="str">
        <f>IF($CC28=1,BU28,"")</f>
        <v/>
      </c>
      <c r="CI28" s="1" t="str">
        <f>IF($CC28=1,BV28,"")</f>
        <v/>
      </c>
      <c r="CJ28" s="1" t="str">
        <f>IF($CC28=1,BW28,"")</f>
        <v/>
      </c>
      <c r="CK28" s="1" t="str">
        <f>IF($CC28=1,BX28,"")</f>
        <v/>
      </c>
      <c r="CL28" s="1" t="str">
        <f>IF($CC28=1,BY28,"")</f>
        <v/>
      </c>
      <c r="CM28" s="1" t="str">
        <f>IF($CC28=1,BZ28,"")</f>
        <v/>
      </c>
      <c r="CN28" s="1" t="str">
        <f>IF($CC28=1,CA28,"")</f>
        <v/>
      </c>
      <c r="CO28" s="1" t="str">
        <f>IF($CC28=1,CB28,"")</f>
        <v/>
      </c>
      <c r="CP28" s="18">
        <f>SUM(AB28:BL28)</f>
        <v>5</v>
      </c>
    </row>
    <row r="29" spans="1:94" x14ac:dyDescent="0.15">
      <c r="A29" s="1">
        <v>18</v>
      </c>
      <c r="B29" s="1" t="s">
        <v>36</v>
      </c>
      <c r="C29" s="1" t="s">
        <v>33</v>
      </c>
      <c r="D29" s="1" t="s">
        <v>25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1"/>
      <c r="AC29" s="1"/>
      <c r="AD29" s="1">
        <v>5</v>
      </c>
      <c r="AE29" s="1"/>
      <c r="AF29" s="1"/>
      <c r="AG29" s="1"/>
      <c r="AH29" s="1"/>
      <c r="AI29" s="1"/>
      <c r="AJ29" s="1"/>
      <c r="AK29" s="1"/>
      <c r="AL29" s="1"/>
      <c r="AM29" s="1"/>
      <c r="AN29" s="4"/>
      <c r="AO29" s="4"/>
      <c r="AP29" s="4"/>
      <c r="AQ29" s="4"/>
      <c r="AR29" s="4"/>
      <c r="AS29" s="4"/>
      <c r="AT29" s="2"/>
      <c r="AU29" s="2"/>
      <c r="AV29" s="2"/>
      <c r="AW29" s="2"/>
      <c r="AX29" s="2"/>
      <c r="AY29" s="2"/>
      <c r="AZ29" s="14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>
        <f>SUM(E29:BL29)</f>
        <v>5</v>
      </c>
      <c r="BN29" s="1">
        <v>5</v>
      </c>
      <c r="BO29" s="17">
        <v>1</v>
      </c>
      <c r="BP29" s="17" t="s">
        <v>136</v>
      </c>
      <c r="BQ29" s="1" t="str">
        <f>IF(AN29&gt;AN$117, AN29-AN$117,"")</f>
        <v/>
      </c>
      <c r="BR29" s="1" t="str">
        <f>IF(AO29&gt;AO$117, AO29-AO$117,"")</f>
        <v/>
      </c>
      <c r="BS29" s="1" t="str">
        <f>IF(AP29&gt;AP$117, AP29-AP$117,"")</f>
        <v/>
      </c>
      <c r="BT29" s="1" t="str">
        <f>IF(AQ29&gt;AQ$117, AQ29-AQ$117,"")</f>
        <v/>
      </c>
      <c r="BU29" s="1" t="str">
        <f>IF(AR29&gt;AR$117, AR29-AR$117,"")</f>
        <v/>
      </c>
      <c r="BV29" s="1" t="str">
        <f>IF(AS29&gt;AS$117, AS29-AS$117,"")</f>
        <v/>
      </c>
      <c r="BW29" s="1" t="str">
        <f>IF(AT29&gt;AT$117, AT29-AT$117,"")</f>
        <v/>
      </c>
      <c r="BX29" s="1" t="str">
        <f>IF(AU29&gt;AU$117, AU29-AU$117,"")</f>
        <v/>
      </c>
      <c r="BY29" s="1" t="str">
        <f>IF(AV29&gt;AV$117, AV29-AV$117,"")</f>
        <v/>
      </c>
      <c r="BZ29" s="1" t="str">
        <f>IF(AW29&gt;AW$117, AW29-AW$117,"")</f>
        <v/>
      </c>
      <c r="CA29" s="1" t="str">
        <f>IF(AX29&gt;AX$117, AX29-AX$117,"")</f>
        <v/>
      </c>
      <c r="CB29" s="1" t="str">
        <f>IF(AY29&gt;AY$117, AY29-AY$117,"")</f>
        <v/>
      </c>
      <c r="CC29" s="1">
        <f>COUNTIF(BQ29:CB29, "&gt;0")</f>
        <v>0</v>
      </c>
      <c r="CD29" s="1" t="str">
        <f>IF($CC29=1,BQ29,"")</f>
        <v/>
      </c>
      <c r="CE29" s="1" t="str">
        <f>IF($CC29=1,BR29,"")</f>
        <v/>
      </c>
      <c r="CF29" s="1" t="str">
        <f>IF($CC29=1,BS29,"")</f>
        <v/>
      </c>
      <c r="CG29" s="1" t="str">
        <f>IF($CC29=1,BT29,"")</f>
        <v/>
      </c>
      <c r="CH29" s="1" t="str">
        <f>IF($CC29=1,BU29,"")</f>
        <v/>
      </c>
      <c r="CI29" s="1" t="str">
        <f>IF($CC29=1,BV29,"")</f>
        <v/>
      </c>
      <c r="CJ29" s="1" t="str">
        <f>IF($CC29=1,BW29,"")</f>
        <v/>
      </c>
      <c r="CK29" s="1" t="str">
        <f>IF($CC29=1,BX29,"")</f>
        <v/>
      </c>
      <c r="CL29" s="1" t="str">
        <f>IF($CC29=1,BY29,"")</f>
        <v/>
      </c>
      <c r="CM29" s="1" t="str">
        <f>IF($CC29=1,BZ29,"")</f>
        <v/>
      </c>
      <c r="CN29" s="1" t="str">
        <f>IF($CC29=1,CA29,"")</f>
        <v/>
      </c>
      <c r="CO29" s="1" t="str">
        <f>IF($CC29=1,CB29,"")</f>
        <v/>
      </c>
      <c r="CP29" s="18">
        <f>SUM(AB29:BL29)</f>
        <v>5</v>
      </c>
    </row>
    <row r="30" spans="1:94" x14ac:dyDescent="0.15">
      <c r="A30" s="1">
        <v>19</v>
      </c>
      <c r="B30" s="1" t="s">
        <v>39</v>
      </c>
      <c r="C30" s="1" t="s">
        <v>33</v>
      </c>
      <c r="D30" s="1" t="s">
        <v>24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1"/>
      <c r="AC30" s="1"/>
      <c r="AD30" s="1">
        <v>5</v>
      </c>
      <c r="AE30" s="1"/>
      <c r="AF30" s="1"/>
      <c r="AG30" s="1"/>
      <c r="AH30" s="1"/>
      <c r="AI30" s="1"/>
      <c r="AJ30" s="1"/>
      <c r="AK30" s="1"/>
      <c r="AL30" s="1"/>
      <c r="AM30" s="1"/>
      <c r="AN30" s="4"/>
      <c r="AO30" s="4"/>
      <c r="AP30" s="4"/>
      <c r="AQ30" s="4"/>
      <c r="AR30" s="4"/>
      <c r="AS30" s="4"/>
      <c r="AT30" s="2"/>
      <c r="AU30" s="2"/>
      <c r="AV30" s="2"/>
      <c r="AW30" s="2"/>
      <c r="AX30" s="2"/>
      <c r="AY30" s="2"/>
      <c r="AZ30" s="14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>
        <f>SUM(E30:BL30)</f>
        <v>5</v>
      </c>
      <c r="BN30" s="1">
        <v>5</v>
      </c>
      <c r="BO30" s="17">
        <v>1</v>
      </c>
      <c r="BP30" s="17" t="s">
        <v>136</v>
      </c>
      <c r="BQ30" s="1" t="str">
        <f>IF(AN30&gt;AN$117, AN30-AN$117,"")</f>
        <v/>
      </c>
      <c r="BR30" s="1" t="str">
        <f>IF(AO30&gt;AO$117, AO30-AO$117,"")</f>
        <v/>
      </c>
      <c r="BS30" s="1" t="str">
        <f>IF(AP30&gt;AP$117, AP30-AP$117,"")</f>
        <v/>
      </c>
      <c r="BT30" s="1" t="str">
        <f>IF(AQ30&gt;AQ$117, AQ30-AQ$117,"")</f>
        <v/>
      </c>
      <c r="BU30" s="1" t="str">
        <f>IF(AR30&gt;AR$117, AR30-AR$117,"")</f>
        <v/>
      </c>
      <c r="BV30" s="1" t="str">
        <f>IF(AS30&gt;AS$117, AS30-AS$117,"")</f>
        <v/>
      </c>
      <c r="BW30" s="1" t="str">
        <f>IF(AT30&gt;AT$117, AT30-AT$117,"")</f>
        <v/>
      </c>
      <c r="BX30" s="1" t="str">
        <f>IF(AU30&gt;AU$117, AU30-AU$117,"")</f>
        <v/>
      </c>
      <c r="BY30" s="1" t="str">
        <f>IF(AV30&gt;AV$117, AV30-AV$117,"")</f>
        <v/>
      </c>
      <c r="BZ30" s="1" t="str">
        <f>IF(AW30&gt;AW$117, AW30-AW$117,"")</f>
        <v/>
      </c>
      <c r="CA30" s="1" t="str">
        <f>IF(AX30&gt;AX$117, AX30-AX$117,"")</f>
        <v/>
      </c>
      <c r="CB30" s="1" t="str">
        <f>IF(AY30&gt;AY$117, AY30-AY$117,"")</f>
        <v/>
      </c>
      <c r="CC30" s="1">
        <f>COUNTIF(BQ30:CB30, "&gt;0")</f>
        <v>0</v>
      </c>
      <c r="CD30" s="1" t="str">
        <f>IF($CC30=1,BQ30,"")</f>
        <v/>
      </c>
      <c r="CE30" s="1" t="str">
        <f>IF($CC30=1,BR30,"")</f>
        <v/>
      </c>
      <c r="CF30" s="1" t="str">
        <f>IF($CC30=1,BS30,"")</f>
        <v/>
      </c>
      <c r="CG30" s="1" t="str">
        <f>IF($CC30=1,BT30,"")</f>
        <v/>
      </c>
      <c r="CH30" s="1" t="str">
        <f>IF($CC30=1,BU30,"")</f>
        <v/>
      </c>
      <c r="CI30" s="1" t="str">
        <f>IF($CC30=1,BV30,"")</f>
        <v/>
      </c>
      <c r="CJ30" s="1" t="str">
        <f>IF($CC30=1,BW30,"")</f>
        <v/>
      </c>
      <c r="CK30" s="1" t="str">
        <f>IF($CC30=1,BX30,"")</f>
        <v/>
      </c>
      <c r="CL30" s="1" t="str">
        <f>IF($CC30=1,BY30,"")</f>
        <v/>
      </c>
      <c r="CM30" s="1" t="str">
        <f>IF($CC30=1,BZ30,"")</f>
        <v/>
      </c>
      <c r="CN30" s="1" t="str">
        <f>IF($CC30=1,CA30,"")</f>
        <v/>
      </c>
      <c r="CO30" s="1" t="str">
        <f>IF($CC30=1,CB30,"")</f>
        <v/>
      </c>
      <c r="CP30" s="18">
        <f>SUM(AB30:BL30)</f>
        <v>5</v>
      </c>
    </row>
    <row r="31" spans="1:94" x14ac:dyDescent="0.15">
      <c r="A31" s="1">
        <v>32</v>
      </c>
      <c r="B31" s="1" t="s">
        <v>96</v>
      </c>
      <c r="C31" s="1" t="s">
        <v>33</v>
      </c>
      <c r="D31" s="1" t="s">
        <v>24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1"/>
      <c r="AC31" s="1"/>
      <c r="AD31" s="1"/>
      <c r="AE31" s="1"/>
      <c r="AF31" s="1">
        <v>5</v>
      </c>
      <c r="AG31" s="1"/>
      <c r="AH31" s="1"/>
      <c r="AI31" s="1"/>
      <c r="AJ31" s="1"/>
      <c r="AK31" s="1"/>
      <c r="AL31" s="1"/>
      <c r="AM31" s="1"/>
      <c r="AN31" s="4"/>
      <c r="AO31" s="4"/>
      <c r="AP31" s="4"/>
      <c r="AQ31" s="4"/>
      <c r="AR31" s="4"/>
      <c r="AS31" s="4"/>
      <c r="AT31" s="2"/>
      <c r="AU31" s="2"/>
      <c r="AV31" s="2"/>
      <c r="AW31" s="2"/>
      <c r="AX31" s="2"/>
      <c r="AY31" s="2"/>
      <c r="AZ31" s="14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>
        <f>SUM(E31:BL31)</f>
        <v>5</v>
      </c>
      <c r="BN31" s="1">
        <v>5</v>
      </c>
      <c r="BO31" s="17">
        <v>1</v>
      </c>
      <c r="BP31" s="17" t="s">
        <v>137</v>
      </c>
      <c r="BQ31" s="1" t="str">
        <f>IF(AN31&gt;AN$117, AN31-AN$117,"")</f>
        <v/>
      </c>
      <c r="BR31" s="1" t="str">
        <f>IF(AO31&gt;AO$117, AO31-AO$117,"")</f>
        <v/>
      </c>
      <c r="BS31" s="1" t="str">
        <f>IF(AP31&gt;AP$117, AP31-AP$117,"")</f>
        <v/>
      </c>
      <c r="BT31" s="1" t="str">
        <f>IF(AQ31&gt;AQ$117, AQ31-AQ$117,"")</f>
        <v/>
      </c>
      <c r="BU31" s="1" t="str">
        <f>IF(AR31&gt;AR$117, AR31-AR$117,"")</f>
        <v/>
      </c>
      <c r="BV31" s="1" t="str">
        <f>IF(AS31&gt;AS$117, AS31-AS$117,"")</f>
        <v/>
      </c>
      <c r="BW31" s="1" t="str">
        <f>IF(AT31&gt;AT$117, AT31-AT$117,"")</f>
        <v/>
      </c>
      <c r="BX31" s="1" t="str">
        <f>IF(AU31&gt;AU$117, AU31-AU$117,"")</f>
        <v/>
      </c>
      <c r="BY31" s="1" t="str">
        <f>IF(AV31&gt;AV$117, AV31-AV$117,"")</f>
        <v/>
      </c>
      <c r="BZ31" s="1" t="str">
        <f>IF(AW31&gt;AW$117, AW31-AW$117,"")</f>
        <v/>
      </c>
      <c r="CA31" s="1" t="str">
        <f>IF(AX31&gt;AX$117, AX31-AX$117,"")</f>
        <v/>
      </c>
      <c r="CB31" s="1" t="str">
        <f>IF(AY31&gt;AY$117, AY31-AY$117,"")</f>
        <v/>
      </c>
      <c r="CC31" s="1">
        <f>COUNTIF(BQ31:CB31, "&gt;0")</f>
        <v>0</v>
      </c>
      <c r="CD31" s="1" t="str">
        <f>IF($CC31=1,BQ31,"")</f>
        <v/>
      </c>
      <c r="CE31" s="1" t="str">
        <f>IF($CC31=1,BR31,"")</f>
        <v/>
      </c>
      <c r="CF31" s="1" t="str">
        <f>IF($CC31=1,BS31,"")</f>
        <v/>
      </c>
      <c r="CG31" s="1" t="str">
        <f>IF($CC31=1,BT31,"")</f>
        <v/>
      </c>
      <c r="CH31" s="1" t="str">
        <f>IF($CC31=1,BU31,"")</f>
        <v/>
      </c>
      <c r="CI31" s="1" t="str">
        <f>IF($CC31=1,BV31,"")</f>
        <v/>
      </c>
      <c r="CJ31" s="1" t="str">
        <f>IF($CC31=1,BW31,"")</f>
        <v/>
      </c>
      <c r="CK31" s="1" t="str">
        <f>IF($CC31=1,BX31,"")</f>
        <v/>
      </c>
      <c r="CL31" s="1" t="str">
        <f>IF($CC31=1,BY31,"")</f>
        <v/>
      </c>
      <c r="CM31" s="1" t="str">
        <f>IF($CC31=1,BZ31,"")</f>
        <v/>
      </c>
      <c r="CN31" s="1" t="str">
        <f>IF($CC31=1,CA31,"")</f>
        <v/>
      </c>
      <c r="CO31" s="1" t="str">
        <f>IF($CC31=1,CB31,"")</f>
        <v/>
      </c>
      <c r="CP31" s="18">
        <f>SUM(AB31:BL31)</f>
        <v>5</v>
      </c>
    </row>
    <row r="32" spans="1:94" x14ac:dyDescent="0.15">
      <c r="A32" s="1">
        <v>33</v>
      </c>
      <c r="B32" s="1" t="s">
        <v>96</v>
      </c>
      <c r="C32" s="1" t="s">
        <v>33</v>
      </c>
      <c r="D32" s="1" t="s">
        <v>1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1"/>
      <c r="AC32" s="1"/>
      <c r="AD32" s="1"/>
      <c r="AE32" s="1">
        <v>5</v>
      </c>
      <c r="AF32" s="1"/>
      <c r="AG32" s="1"/>
      <c r="AH32" s="1"/>
      <c r="AI32" s="1"/>
      <c r="AJ32" s="1"/>
      <c r="AK32" s="1"/>
      <c r="AL32" s="1"/>
      <c r="AM32" s="1"/>
      <c r="AN32" s="4"/>
      <c r="AO32" s="4"/>
      <c r="AP32" s="4"/>
      <c r="AQ32" s="4"/>
      <c r="AR32" s="4"/>
      <c r="AS32" s="4"/>
      <c r="AT32" s="2"/>
      <c r="AU32" s="2"/>
      <c r="AV32" s="2"/>
      <c r="AW32" s="2"/>
      <c r="AX32" s="2"/>
      <c r="AY32" s="2"/>
      <c r="AZ32" s="14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>
        <f>SUM(E32:BL32)</f>
        <v>5</v>
      </c>
      <c r="BN32" s="1">
        <v>5</v>
      </c>
      <c r="BO32" s="17">
        <v>1</v>
      </c>
      <c r="BP32" s="17" t="s">
        <v>138</v>
      </c>
      <c r="BQ32" s="1" t="str">
        <f>IF(AN32&gt;AN$117, AN32-AN$117,"")</f>
        <v/>
      </c>
      <c r="BR32" s="1" t="str">
        <f>IF(AO32&gt;AO$117, AO32-AO$117,"")</f>
        <v/>
      </c>
      <c r="BS32" s="1" t="str">
        <f>IF(AP32&gt;AP$117, AP32-AP$117,"")</f>
        <v/>
      </c>
      <c r="BT32" s="1" t="str">
        <f>IF(AQ32&gt;AQ$117, AQ32-AQ$117,"")</f>
        <v/>
      </c>
      <c r="BU32" s="1" t="str">
        <f>IF(AR32&gt;AR$117, AR32-AR$117,"")</f>
        <v/>
      </c>
      <c r="BV32" s="1" t="str">
        <f>IF(AS32&gt;AS$117, AS32-AS$117,"")</f>
        <v/>
      </c>
      <c r="BW32" s="1" t="str">
        <f>IF(AT32&gt;AT$117, AT32-AT$117,"")</f>
        <v/>
      </c>
      <c r="BX32" s="1" t="str">
        <f>IF(AU32&gt;AU$117, AU32-AU$117,"")</f>
        <v/>
      </c>
      <c r="BY32" s="1" t="str">
        <f>IF(AV32&gt;AV$117, AV32-AV$117,"")</f>
        <v/>
      </c>
      <c r="BZ32" s="1" t="str">
        <f>IF(AW32&gt;AW$117, AW32-AW$117,"")</f>
        <v/>
      </c>
      <c r="CA32" s="1" t="str">
        <f>IF(AX32&gt;AX$117, AX32-AX$117,"")</f>
        <v/>
      </c>
      <c r="CB32" s="1" t="str">
        <f>IF(AY32&gt;AY$117, AY32-AY$117,"")</f>
        <v/>
      </c>
      <c r="CC32" s="1">
        <f>COUNTIF(BQ32:CB32, "&gt;0")</f>
        <v>0</v>
      </c>
      <c r="CD32" s="1" t="str">
        <f>IF($CC32=1,BQ32,"")</f>
        <v/>
      </c>
      <c r="CE32" s="1" t="str">
        <f>IF($CC32=1,BR32,"")</f>
        <v/>
      </c>
      <c r="CF32" s="1" t="str">
        <f>IF($CC32=1,BS32,"")</f>
        <v/>
      </c>
      <c r="CG32" s="1" t="str">
        <f>IF($CC32=1,BT32,"")</f>
        <v/>
      </c>
      <c r="CH32" s="1" t="str">
        <f>IF($CC32=1,BU32,"")</f>
        <v/>
      </c>
      <c r="CI32" s="1" t="str">
        <f>IF($CC32=1,BV32,"")</f>
        <v/>
      </c>
      <c r="CJ32" s="1" t="str">
        <f>IF($CC32=1,BW32,"")</f>
        <v/>
      </c>
      <c r="CK32" s="1" t="str">
        <f>IF($CC32=1,BX32,"")</f>
        <v/>
      </c>
      <c r="CL32" s="1" t="str">
        <f>IF($CC32=1,BY32,"")</f>
        <v/>
      </c>
      <c r="CM32" s="1" t="str">
        <f>IF($CC32=1,BZ32,"")</f>
        <v/>
      </c>
      <c r="CN32" s="1" t="str">
        <f>IF($CC32=1,CA32,"")</f>
        <v/>
      </c>
      <c r="CO32" s="1" t="str">
        <f>IF($CC32=1,CB32,"")</f>
        <v/>
      </c>
      <c r="CP32" s="18">
        <f>SUM(AB32:BL32)</f>
        <v>5</v>
      </c>
    </row>
    <row r="33" spans="1:94" x14ac:dyDescent="0.15">
      <c r="A33" s="1">
        <v>63</v>
      </c>
      <c r="B33" s="3" t="s">
        <v>71</v>
      </c>
      <c r="C33" s="1" t="s">
        <v>64</v>
      </c>
      <c r="D33" s="1" t="s">
        <v>24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1"/>
      <c r="AC33" s="1"/>
      <c r="AD33" s="1"/>
      <c r="AE33" s="1"/>
      <c r="AF33" s="1"/>
      <c r="AG33" s="1"/>
      <c r="AH33" s="1"/>
      <c r="AI33" s="1"/>
      <c r="AJ33" s="1"/>
      <c r="AK33" s="1">
        <v>5</v>
      </c>
      <c r="AL33" s="1"/>
      <c r="AM33" s="1"/>
      <c r="AN33" s="4"/>
      <c r="AO33" s="4"/>
      <c r="AP33" s="4"/>
      <c r="AQ33" s="4"/>
      <c r="AR33" s="4"/>
      <c r="AS33" s="4"/>
      <c r="AT33" s="2"/>
      <c r="AU33" s="2"/>
      <c r="AV33" s="2"/>
      <c r="AW33" s="2"/>
      <c r="AX33" s="2"/>
      <c r="AY33" s="2"/>
      <c r="AZ33" s="14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>
        <f>SUM(E33:BL33)</f>
        <v>5</v>
      </c>
      <c r="BN33" s="1">
        <v>5</v>
      </c>
      <c r="BO33" s="17">
        <v>1</v>
      </c>
      <c r="BP33" s="17" t="s">
        <v>139</v>
      </c>
      <c r="BQ33" s="1" t="str">
        <f>IF(AN33&gt;AN$117, AN33-AN$117,"")</f>
        <v/>
      </c>
      <c r="BR33" s="1" t="str">
        <f>IF(AO33&gt;AO$117, AO33-AO$117,"")</f>
        <v/>
      </c>
      <c r="BS33" s="1" t="str">
        <f>IF(AP33&gt;AP$117, AP33-AP$117,"")</f>
        <v/>
      </c>
      <c r="BT33" s="1" t="str">
        <f>IF(AQ33&gt;AQ$117, AQ33-AQ$117,"")</f>
        <v/>
      </c>
      <c r="BU33" s="1" t="str">
        <f>IF(AR33&gt;AR$117, AR33-AR$117,"")</f>
        <v/>
      </c>
      <c r="BV33" s="1" t="str">
        <f>IF(AS33&gt;AS$117, AS33-AS$117,"")</f>
        <v/>
      </c>
      <c r="BW33" s="1" t="str">
        <f>IF(AT33&gt;AT$117, AT33-AT$117,"")</f>
        <v/>
      </c>
      <c r="BX33" s="1" t="str">
        <f>IF(AU33&gt;AU$117, AU33-AU$117,"")</f>
        <v/>
      </c>
      <c r="BY33" s="1" t="str">
        <f>IF(AV33&gt;AV$117, AV33-AV$117,"")</f>
        <v/>
      </c>
      <c r="BZ33" s="1" t="str">
        <f>IF(AW33&gt;AW$117, AW33-AW$117,"")</f>
        <v/>
      </c>
      <c r="CA33" s="1" t="str">
        <f>IF(AX33&gt;AX$117, AX33-AX$117,"")</f>
        <v/>
      </c>
      <c r="CB33" s="1" t="str">
        <f>IF(AY33&gt;AY$117, AY33-AY$117,"")</f>
        <v/>
      </c>
      <c r="CC33" s="1">
        <f>COUNTIF(BQ33:CB33, "&gt;0")</f>
        <v>0</v>
      </c>
      <c r="CD33" s="1" t="str">
        <f>IF($CC33=1,BQ33,"")</f>
        <v/>
      </c>
      <c r="CE33" s="1" t="str">
        <f>IF($CC33=1,BR33,"")</f>
        <v/>
      </c>
      <c r="CF33" s="1" t="str">
        <f>IF($CC33=1,BS33,"")</f>
        <v/>
      </c>
      <c r="CG33" s="1" t="str">
        <f>IF($CC33=1,BT33,"")</f>
        <v/>
      </c>
      <c r="CH33" s="1" t="str">
        <f>IF($CC33=1,BU33,"")</f>
        <v/>
      </c>
      <c r="CI33" s="1" t="str">
        <f>IF($CC33=1,BV33,"")</f>
        <v/>
      </c>
      <c r="CJ33" s="1" t="str">
        <f>IF($CC33=1,BW33,"")</f>
        <v/>
      </c>
      <c r="CK33" s="1" t="str">
        <f>IF($CC33=1,BX33,"")</f>
        <v/>
      </c>
      <c r="CL33" s="1" t="str">
        <f>IF($CC33=1,BY33,"")</f>
        <v/>
      </c>
      <c r="CM33" s="1" t="str">
        <f>IF($CC33=1,BZ33,"")</f>
        <v/>
      </c>
      <c r="CN33" s="1" t="str">
        <f>IF($CC33=1,CA33,"")</f>
        <v/>
      </c>
      <c r="CO33" s="1" t="str">
        <f>IF($CC33=1,CB33,"")</f>
        <v/>
      </c>
      <c r="CP33" s="18">
        <f>SUM(AB33:BL33)</f>
        <v>5</v>
      </c>
    </row>
    <row r="34" spans="1:94" x14ac:dyDescent="0.15">
      <c r="A34" s="1">
        <v>90</v>
      </c>
      <c r="B34" s="3" t="s">
        <v>103</v>
      </c>
      <c r="C34" s="3" t="s">
        <v>102</v>
      </c>
      <c r="D34" s="1" t="s">
        <v>24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>
        <v>4</v>
      </c>
      <c r="T34" s="6"/>
      <c r="U34" s="6"/>
      <c r="V34" s="6"/>
      <c r="W34" s="6"/>
      <c r="X34" s="6"/>
      <c r="Y34" s="6"/>
      <c r="Z34" s="6"/>
      <c r="AA34" s="6"/>
      <c r="AB34" s="1"/>
      <c r="AC34" s="1"/>
      <c r="AD34" s="1"/>
      <c r="AE34" s="1"/>
      <c r="AF34" s="1"/>
      <c r="AG34" s="1"/>
      <c r="AH34" s="1"/>
      <c r="AI34" s="1"/>
      <c r="AJ34" s="1"/>
      <c r="AK34" s="1">
        <v>5</v>
      </c>
      <c r="AL34" s="1"/>
      <c r="AM34" s="1"/>
      <c r="AN34" s="4"/>
      <c r="AO34" s="4"/>
      <c r="AP34" s="4"/>
      <c r="AQ34" s="4"/>
      <c r="AR34" s="4"/>
      <c r="AS34" s="4"/>
      <c r="AT34" s="2"/>
      <c r="AU34" s="2"/>
      <c r="AV34" s="2"/>
      <c r="AW34" s="2"/>
      <c r="AX34" s="2"/>
      <c r="AY34" s="2"/>
      <c r="AZ34" s="14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>
        <f>SUM(E34:BL34)</f>
        <v>9</v>
      </c>
      <c r="BN34" s="1">
        <v>5</v>
      </c>
      <c r="BO34" s="17">
        <v>1</v>
      </c>
      <c r="BP34" s="17" t="s">
        <v>139</v>
      </c>
      <c r="BQ34" s="1" t="str">
        <f>IF(AN34&gt;AN$117, AN34-AN$117,"")</f>
        <v/>
      </c>
      <c r="BR34" s="1" t="str">
        <f>IF(AO34&gt;AO$117, AO34-AO$117,"")</f>
        <v/>
      </c>
      <c r="BS34" s="1" t="str">
        <f>IF(AP34&gt;AP$117, AP34-AP$117,"")</f>
        <v/>
      </c>
      <c r="BT34" s="1" t="str">
        <f>IF(AQ34&gt;AQ$117, AQ34-AQ$117,"")</f>
        <v/>
      </c>
      <c r="BU34" s="1" t="str">
        <f>IF(AR34&gt;AR$117, AR34-AR$117,"")</f>
        <v/>
      </c>
      <c r="BV34" s="1" t="str">
        <f>IF(AS34&gt;AS$117, AS34-AS$117,"")</f>
        <v/>
      </c>
      <c r="BW34" s="1" t="str">
        <f>IF(AT34&gt;AT$117, AT34-AT$117,"")</f>
        <v/>
      </c>
      <c r="BX34" s="1" t="str">
        <f>IF(AU34&gt;AU$117, AU34-AU$117,"")</f>
        <v/>
      </c>
      <c r="BY34" s="1" t="str">
        <f>IF(AV34&gt;AV$117, AV34-AV$117,"")</f>
        <v/>
      </c>
      <c r="BZ34" s="1" t="str">
        <f>IF(AW34&gt;AW$117, AW34-AW$117,"")</f>
        <v/>
      </c>
      <c r="CA34" s="1" t="str">
        <f>IF(AX34&gt;AX$117, AX34-AX$117,"")</f>
        <v/>
      </c>
      <c r="CB34" s="1" t="str">
        <f>IF(AY34&gt;AY$117, AY34-AY$117,"")</f>
        <v/>
      </c>
      <c r="CC34" s="1">
        <f>COUNTIF(BQ34:CB34, "&gt;0")</f>
        <v>0</v>
      </c>
      <c r="CD34" s="1" t="str">
        <f>IF($CC34=1,BQ34,"")</f>
        <v/>
      </c>
      <c r="CE34" s="1" t="str">
        <f>IF($CC34=1,BR34,"")</f>
        <v/>
      </c>
      <c r="CF34" s="1" t="str">
        <f>IF($CC34=1,BS34,"")</f>
        <v/>
      </c>
      <c r="CG34" s="1" t="str">
        <f>IF($CC34=1,BT34,"")</f>
        <v/>
      </c>
      <c r="CH34" s="1" t="str">
        <f>IF($CC34=1,BU34,"")</f>
        <v/>
      </c>
      <c r="CI34" s="1" t="str">
        <f>IF($CC34=1,BV34,"")</f>
        <v/>
      </c>
      <c r="CJ34" s="1" t="str">
        <f>IF($CC34=1,BW34,"")</f>
        <v/>
      </c>
      <c r="CK34" s="1" t="str">
        <f>IF($CC34=1,BX34,"")</f>
        <v/>
      </c>
      <c r="CL34" s="1" t="str">
        <f>IF($CC34=1,BY34,"")</f>
        <v/>
      </c>
      <c r="CM34" s="1" t="str">
        <f>IF($CC34=1,BZ34,"")</f>
        <v/>
      </c>
      <c r="CN34" s="1" t="str">
        <f>IF($CC34=1,CA34,"")</f>
        <v/>
      </c>
      <c r="CO34" s="1" t="str">
        <f>IF($CC34=1,CB34,"")</f>
        <v/>
      </c>
      <c r="CP34" s="18">
        <f>SUM(AB34:BL34)</f>
        <v>5</v>
      </c>
    </row>
    <row r="35" spans="1:94" x14ac:dyDescent="0.15">
      <c r="A35" s="1">
        <v>20</v>
      </c>
      <c r="B35" s="1" t="s">
        <v>39</v>
      </c>
      <c r="C35" s="1" t="s">
        <v>33</v>
      </c>
      <c r="D35" s="1" t="s">
        <v>25</v>
      </c>
      <c r="E35" s="6"/>
      <c r="F35" s="6">
        <v>5</v>
      </c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1"/>
      <c r="AC35" s="1"/>
      <c r="AD35" s="1">
        <v>5</v>
      </c>
      <c r="AE35" s="1"/>
      <c r="AF35" s="1"/>
      <c r="AG35" s="1"/>
      <c r="AH35" s="1"/>
      <c r="AI35" s="1"/>
      <c r="AJ35" s="1"/>
      <c r="AK35" s="1"/>
      <c r="AL35" s="1"/>
      <c r="AM35" s="1"/>
      <c r="AN35" s="4"/>
      <c r="AO35" s="4"/>
      <c r="AP35" s="4"/>
      <c r="AQ35" s="4"/>
      <c r="AR35" s="4"/>
      <c r="AS35" s="4"/>
      <c r="AT35" s="2"/>
      <c r="AU35" s="2"/>
      <c r="AV35" s="2"/>
      <c r="AW35" s="2"/>
      <c r="AX35" s="2"/>
      <c r="AY35" s="2"/>
      <c r="AZ35" s="14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>
        <f>SUM(E35:BL35)</f>
        <v>10</v>
      </c>
      <c r="BN35" s="1">
        <v>5</v>
      </c>
      <c r="BO35" s="17">
        <v>1</v>
      </c>
      <c r="BP35" s="17" t="s">
        <v>136</v>
      </c>
      <c r="BQ35" s="1" t="str">
        <f>IF(AN35&gt;AN$117, AN35-AN$117,"")</f>
        <v/>
      </c>
      <c r="BR35" s="1" t="str">
        <f>IF(AO35&gt;AO$117, AO35-AO$117,"")</f>
        <v/>
      </c>
      <c r="BS35" s="1" t="str">
        <f>IF(AP35&gt;AP$117, AP35-AP$117,"")</f>
        <v/>
      </c>
      <c r="BT35" s="1" t="str">
        <f>IF(AQ35&gt;AQ$117, AQ35-AQ$117,"")</f>
        <v/>
      </c>
      <c r="BU35" s="1" t="str">
        <f>IF(AR35&gt;AR$117, AR35-AR$117,"")</f>
        <v/>
      </c>
      <c r="BV35" s="1" t="str">
        <f>IF(AS35&gt;AS$117, AS35-AS$117,"")</f>
        <v/>
      </c>
      <c r="BW35" s="1" t="str">
        <f>IF(AT35&gt;AT$117, AT35-AT$117,"")</f>
        <v/>
      </c>
      <c r="BX35" s="1" t="str">
        <f>IF(AU35&gt;AU$117, AU35-AU$117,"")</f>
        <v/>
      </c>
      <c r="BY35" s="1" t="str">
        <f>IF(AV35&gt;AV$117, AV35-AV$117,"")</f>
        <v/>
      </c>
      <c r="BZ35" s="1" t="str">
        <f>IF(AW35&gt;AW$117, AW35-AW$117,"")</f>
        <v/>
      </c>
      <c r="CA35" s="1" t="str">
        <f>IF(AX35&gt;AX$117, AX35-AX$117,"")</f>
        <v/>
      </c>
      <c r="CB35" s="1" t="str">
        <f>IF(AY35&gt;AY$117, AY35-AY$117,"")</f>
        <v/>
      </c>
      <c r="CC35" s="1">
        <f>COUNTIF(BQ35:CB35, "&gt;0")</f>
        <v>0</v>
      </c>
      <c r="CD35" s="1" t="str">
        <f>IF($CC35=1,BQ35,"")</f>
        <v/>
      </c>
      <c r="CE35" s="1" t="str">
        <f>IF($CC35=1,BR35,"")</f>
        <v/>
      </c>
      <c r="CF35" s="1" t="str">
        <f>IF($CC35=1,BS35,"")</f>
        <v/>
      </c>
      <c r="CG35" s="1" t="str">
        <f>IF($CC35=1,BT35,"")</f>
        <v/>
      </c>
      <c r="CH35" s="1" t="str">
        <f>IF($CC35=1,BU35,"")</f>
        <v/>
      </c>
      <c r="CI35" s="1" t="str">
        <f>IF($CC35=1,BV35,"")</f>
        <v/>
      </c>
      <c r="CJ35" s="1" t="str">
        <f>IF($CC35=1,BW35,"")</f>
        <v/>
      </c>
      <c r="CK35" s="1" t="str">
        <f>IF($CC35=1,BX35,"")</f>
        <v/>
      </c>
      <c r="CL35" s="1" t="str">
        <f>IF($CC35=1,BY35,"")</f>
        <v/>
      </c>
      <c r="CM35" s="1" t="str">
        <f>IF($CC35=1,BZ35,"")</f>
        <v/>
      </c>
      <c r="CN35" s="1" t="str">
        <f>IF($CC35=1,CA35,"")</f>
        <v/>
      </c>
      <c r="CO35" s="1" t="str">
        <f>IF($CC35=1,CB35,"")</f>
        <v/>
      </c>
      <c r="CP35" s="18">
        <f>SUM(AB35:BL35)</f>
        <v>5</v>
      </c>
    </row>
    <row r="36" spans="1:94" x14ac:dyDescent="0.15">
      <c r="A36" s="1">
        <v>5</v>
      </c>
      <c r="B36" s="1" t="s">
        <v>22</v>
      </c>
      <c r="C36" s="1" t="s">
        <v>2</v>
      </c>
      <c r="D36" s="1" t="s">
        <v>12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4"/>
      <c r="AO36" s="4">
        <v>10</v>
      </c>
      <c r="AP36" s="4"/>
      <c r="AQ36" s="4"/>
      <c r="AR36" s="4"/>
      <c r="AS36" s="4"/>
      <c r="AT36" s="2"/>
      <c r="AU36" s="2"/>
      <c r="AV36" s="2"/>
      <c r="AW36" s="2"/>
      <c r="AX36" s="2"/>
      <c r="AY36" s="2">
        <v>10</v>
      </c>
      <c r="AZ36" s="14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>
        <f>SUM(E36:BL36)</f>
        <v>20</v>
      </c>
      <c r="BN36" s="1">
        <v>7</v>
      </c>
      <c r="BO36" s="17">
        <v>1</v>
      </c>
      <c r="BP36" s="17" t="s">
        <v>146</v>
      </c>
      <c r="BQ36" s="1" t="str">
        <f>IF(AN36&gt;AN$117, AN36-AN$117,"")</f>
        <v/>
      </c>
      <c r="BR36" s="1" t="str">
        <f>IF(AO36&gt;AO$117, AO36-AO$117,"")</f>
        <v/>
      </c>
      <c r="BS36" s="1" t="str">
        <f>IF(AP36&gt;AP$117, AP36-AP$117,"")</f>
        <v/>
      </c>
      <c r="BT36" s="1" t="str">
        <f>IF(AQ36&gt;AQ$117, AQ36-AQ$117,"")</f>
        <v/>
      </c>
      <c r="BU36" s="1" t="str">
        <f>IF(AR36&gt;AR$117, AR36-AR$117,"")</f>
        <v/>
      </c>
      <c r="BV36" s="1" t="str">
        <f>IF(AS36&gt;AS$117, AS36-AS$117,"")</f>
        <v/>
      </c>
      <c r="BW36" s="1" t="str">
        <f>IF(AT36&gt;AT$117, AT36-AT$117,"")</f>
        <v/>
      </c>
      <c r="BX36" s="1" t="str">
        <f>IF(AU36&gt;AU$117, AU36-AU$117,"")</f>
        <v/>
      </c>
      <c r="BY36" s="1" t="str">
        <f>IF(AV36&gt;AV$117, AV36-AV$117,"")</f>
        <v/>
      </c>
      <c r="BZ36" s="1" t="str">
        <f>IF(AW36&gt;AW$117, AW36-AW$117,"")</f>
        <v/>
      </c>
      <c r="CA36" s="1" t="str">
        <f>IF(AX36&gt;AX$117, AX36-AX$117,"")</f>
        <v/>
      </c>
      <c r="CB36" s="1" t="str">
        <f>IF(AY36&gt;AY$117, AY36-AY$117,"")</f>
        <v/>
      </c>
      <c r="CC36" s="1">
        <f>COUNTIF(BQ36:CB36, "&gt;0")</f>
        <v>0</v>
      </c>
      <c r="CD36" s="1" t="str">
        <f>IF($CC36=1,BQ36,"")</f>
        <v/>
      </c>
      <c r="CE36" s="1" t="str">
        <f>IF($CC36=1,BR36,"")</f>
        <v/>
      </c>
      <c r="CF36" s="1" t="str">
        <f>IF($CC36=1,BS36,"")</f>
        <v/>
      </c>
      <c r="CG36" s="1" t="str">
        <f>IF($CC36=1,BT36,"")</f>
        <v/>
      </c>
      <c r="CH36" s="1" t="str">
        <f>IF($CC36=1,BU36,"")</f>
        <v/>
      </c>
      <c r="CI36" s="1" t="str">
        <f>IF($CC36=1,BV36,"")</f>
        <v/>
      </c>
      <c r="CJ36" s="1" t="str">
        <f>IF($CC36=1,BW36,"")</f>
        <v/>
      </c>
      <c r="CK36" s="1" t="str">
        <f>IF($CC36=1,BX36,"")</f>
        <v/>
      </c>
      <c r="CL36" s="1" t="str">
        <f>IF($CC36=1,BY36,"")</f>
        <v/>
      </c>
      <c r="CM36" s="1" t="str">
        <f>IF($CC36=1,BZ36,"")</f>
        <v/>
      </c>
      <c r="CN36" s="1" t="str">
        <f>IF($CC36=1,CA36,"")</f>
        <v/>
      </c>
      <c r="CO36" s="1" t="str">
        <f>IF($CC36=1,CB36,"")</f>
        <v/>
      </c>
      <c r="CP36" s="18">
        <f>SUM(AB36:BL36)</f>
        <v>20</v>
      </c>
    </row>
    <row r="37" spans="1:94" x14ac:dyDescent="0.15">
      <c r="A37" s="1">
        <v>6</v>
      </c>
      <c r="B37" s="1" t="s">
        <v>57</v>
      </c>
      <c r="C37" s="1" t="s">
        <v>2</v>
      </c>
      <c r="D37" s="1" t="s">
        <v>23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4"/>
      <c r="AO37" s="4">
        <v>10</v>
      </c>
      <c r="AP37" s="4"/>
      <c r="AQ37" s="4"/>
      <c r="AR37" s="4"/>
      <c r="AS37" s="4"/>
      <c r="AT37" s="2"/>
      <c r="AU37" s="2"/>
      <c r="AV37" s="2"/>
      <c r="AW37" s="2"/>
      <c r="AX37" s="2"/>
      <c r="AY37" s="2">
        <v>10</v>
      </c>
      <c r="AZ37" s="14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>
        <f>SUM(E37:BL37)</f>
        <v>20</v>
      </c>
      <c r="BN37" s="1">
        <v>7</v>
      </c>
      <c r="BO37" s="17">
        <v>1</v>
      </c>
      <c r="BP37" s="17" t="s">
        <v>146</v>
      </c>
      <c r="BQ37" s="1" t="str">
        <f>IF(AN37&gt;AN$117, AN37-AN$117,"")</f>
        <v/>
      </c>
      <c r="BR37" s="1" t="str">
        <f>IF(AO37&gt;AO$117, AO37-AO$117,"")</f>
        <v/>
      </c>
      <c r="BS37" s="1" t="str">
        <f>IF(AP37&gt;AP$117, AP37-AP$117,"")</f>
        <v/>
      </c>
      <c r="BT37" s="1" t="str">
        <f>IF(AQ37&gt;AQ$117, AQ37-AQ$117,"")</f>
        <v/>
      </c>
      <c r="BU37" s="1" t="str">
        <f>IF(AR37&gt;AR$117, AR37-AR$117,"")</f>
        <v/>
      </c>
      <c r="BV37" s="1" t="str">
        <f>IF(AS37&gt;AS$117, AS37-AS$117,"")</f>
        <v/>
      </c>
      <c r="BW37" s="1" t="str">
        <f>IF(AT37&gt;AT$117, AT37-AT$117,"")</f>
        <v/>
      </c>
      <c r="BX37" s="1" t="str">
        <f>IF(AU37&gt;AU$117, AU37-AU$117,"")</f>
        <v/>
      </c>
      <c r="BY37" s="1" t="str">
        <f>IF(AV37&gt;AV$117, AV37-AV$117,"")</f>
        <v/>
      </c>
      <c r="BZ37" s="1" t="str">
        <f>IF(AW37&gt;AW$117, AW37-AW$117,"")</f>
        <v/>
      </c>
      <c r="CA37" s="1" t="str">
        <f>IF(AX37&gt;AX$117, AX37-AX$117,"")</f>
        <v/>
      </c>
      <c r="CB37" s="1" t="str">
        <f>IF(AY37&gt;AY$117, AY37-AY$117,"")</f>
        <v/>
      </c>
      <c r="CC37" s="1">
        <f>COUNTIF(BQ37:CB37, "&gt;0")</f>
        <v>0</v>
      </c>
      <c r="CD37" s="1" t="str">
        <f>IF($CC37=1,BQ37,"")</f>
        <v/>
      </c>
      <c r="CE37" s="1" t="str">
        <f>IF($CC37=1,BR37,"")</f>
        <v/>
      </c>
      <c r="CF37" s="1" t="str">
        <f>IF($CC37=1,BS37,"")</f>
        <v/>
      </c>
      <c r="CG37" s="1" t="str">
        <f>IF($CC37=1,BT37,"")</f>
        <v/>
      </c>
      <c r="CH37" s="1" t="str">
        <f>IF($CC37=1,BU37,"")</f>
        <v/>
      </c>
      <c r="CI37" s="1" t="str">
        <f>IF($CC37=1,BV37,"")</f>
        <v/>
      </c>
      <c r="CJ37" s="1" t="str">
        <f>IF($CC37=1,BW37,"")</f>
        <v/>
      </c>
      <c r="CK37" s="1" t="str">
        <f>IF($CC37=1,BX37,"")</f>
        <v/>
      </c>
      <c r="CL37" s="1" t="str">
        <f>IF($CC37=1,BY37,"")</f>
        <v/>
      </c>
      <c r="CM37" s="1" t="str">
        <f>IF($CC37=1,BZ37,"")</f>
        <v/>
      </c>
      <c r="CN37" s="1" t="str">
        <f>IF($CC37=1,CA37,"")</f>
        <v/>
      </c>
      <c r="CO37" s="1" t="str">
        <f>IF($CC37=1,CB37,"")</f>
        <v/>
      </c>
      <c r="CP37" s="18">
        <f>SUM(AB37:BL37)</f>
        <v>20</v>
      </c>
    </row>
    <row r="38" spans="1:94" x14ac:dyDescent="0.15">
      <c r="A38" s="1">
        <v>8</v>
      </c>
      <c r="B38" s="1" t="s">
        <v>58</v>
      </c>
      <c r="C38" s="1" t="s">
        <v>2</v>
      </c>
      <c r="D38" s="1" t="s">
        <v>26</v>
      </c>
      <c r="E38" s="6">
        <v>6</v>
      </c>
      <c r="F38" s="6"/>
      <c r="G38" s="6"/>
      <c r="H38" s="6">
        <v>6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4"/>
      <c r="AO38" s="4">
        <v>10</v>
      </c>
      <c r="AP38" s="4"/>
      <c r="AQ38" s="4"/>
      <c r="AR38" s="4"/>
      <c r="AS38" s="4"/>
      <c r="AT38" s="2"/>
      <c r="AU38" s="2"/>
      <c r="AV38" s="2"/>
      <c r="AW38" s="2"/>
      <c r="AX38" s="2"/>
      <c r="AY38" s="2">
        <v>10</v>
      </c>
      <c r="AZ38" s="14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>
        <f>SUM(E38:BL38)</f>
        <v>32</v>
      </c>
      <c r="BN38" s="1">
        <v>7</v>
      </c>
      <c r="BO38" s="17">
        <v>1</v>
      </c>
      <c r="BP38" s="17" t="s">
        <v>146</v>
      </c>
      <c r="BQ38" s="1" t="str">
        <f>IF(AN38&gt;AN$117, AN38-AN$117,"")</f>
        <v/>
      </c>
      <c r="BR38" s="1" t="str">
        <f>IF(AO38&gt;AO$117, AO38-AO$117,"")</f>
        <v/>
      </c>
      <c r="BS38" s="1" t="str">
        <f>IF(AP38&gt;AP$117, AP38-AP$117,"")</f>
        <v/>
      </c>
      <c r="BT38" s="1" t="str">
        <f>IF(AQ38&gt;AQ$117, AQ38-AQ$117,"")</f>
        <v/>
      </c>
      <c r="BU38" s="1" t="str">
        <f>IF(AR38&gt;AR$117, AR38-AR$117,"")</f>
        <v/>
      </c>
      <c r="BV38" s="1" t="str">
        <f>IF(AS38&gt;AS$117, AS38-AS$117,"")</f>
        <v/>
      </c>
      <c r="BW38" s="1" t="str">
        <f>IF(AT38&gt;AT$117, AT38-AT$117,"")</f>
        <v/>
      </c>
      <c r="BX38" s="1" t="str">
        <f>IF(AU38&gt;AU$117, AU38-AU$117,"")</f>
        <v/>
      </c>
      <c r="BY38" s="1" t="str">
        <f>IF(AV38&gt;AV$117, AV38-AV$117,"")</f>
        <v/>
      </c>
      <c r="BZ38" s="1" t="str">
        <f>IF(AW38&gt;AW$117, AW38-AW$117,"")</f>
        <v/>
      </c>
      <c r="CA38" s="1" t="str">
        <f>IF(AX38&gt;AX$117, AX38-AX$117,"")</f>
        <v/>
      </c>
      <c r="CB38" s="1" t="str">
        <f>IF(AY38&gt;AY$117, AY38-AY$117,"")</f>
        <v/>
      </c>
      <c r="CC38" s="1">
        <f>COUNTIF(BQ38:CB38, "&gt;0")</f>
        <v>0</v>
      </c>
      <c r="CD38" s="1" t="str">
        <f>IF($CC38=1,BQ38,"")</f>
        <v/>
      </c>
      <c r="CE38" s="1" t="str">
        <f>IF($CC38=1,BR38,"")</f>
        <v/>
      </c>
      <c r="CF38" s="1" t="str">
        <f>IF($CC38=1,BS38,"")</f>
        <v/>
      </c>
      <c r="CG38" s="1" t="str">
        <f>IF($CC38=1,BT38,"")</f>
        <v/>
      </c>
      <c r="CH38" s="1" t="str">
        <f>IF($CC38=1,BU38,"")</f>
        <v/>
      </c>
      <c r="CI38" s="1" t="str">
        <f>IF($CC38=1,BV38,"")</f>
        <v/>
      </c>
      <c r="CJ38" s="1" t="str">
        <f>IF($CC38=1,BW38,"")</f>
        <v/>
      </c>
      <c r="CK38" s="1" t="str">
        <f>IF($CC38=1,BX38,"")</f>
        <v/>
      </c>
      <c r="CL38" s="1" t="str">
        <f>IF($CC38=1,BY38,"")</f>
        <v/>
      </c>
      <c r="CM38" s="1" t="str">
        <f>IF($CC38=1,BZ38,"")</f>
        <v/>
      </c>
      <c r="CN38" s="1" t="str">
        <f>IF($CC38=1,CA38,"")</f>
        <v/>
      </c>
      <c r="CO38" s="1" t="str">
        <f>IF($CC38=1,CB38,"")</f>
        <v/>
      </c>
      <c r="CP38" s="18">
        <f>SUM(AB38:BL38)</f>
        <v>20</v>
      </c>
    </row>
    <row r="39" spans="1:94" x14ac:dyDescent="0.15">
      <c r="A39" s="1">
        <v>94</v>
      </c>
      <c r="B39" s="3" t="s">
        <v>106</v>
      </c>
      <c r="C39" s="3" t="s">
        <v>85</v>
      </c>
      <c r="D39" s="1" t="s">
        <v>1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4"/>
      <c r="AO39" s="4"/>
      <c r="AP39" s="4"/>
      <c r="AQ39" s="4"/>
      <c r="AR39" s="4"/>
      <c r="AS39" s="4"/>
      <c r="AT39" s="2"/>
      <c r="AU39" s="2"/>
      <c r="AV39" s="2"/>
      <c r="AW39" s="2"/>
      <c r="AX39" s="2">
        <v>10</v>
      </c>
      <c r="AY39" s="2">
        <v>10</v>
      </c>
      <c r="AZ39" s="14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>
        <f>SUM(E39:BL39)</f>
        <v>20</v>
      </c>
      <c r="BN39" s="1">
        <v>7</v>
      </c>
      <c r="BO39" s="17">
        <v>1</v>
      </c>
      <c r="BP39" s="17" t="s">
        <v>146</v>
      </c>
      <c r="BQ39" s="1" t="str">
        <f>IF(AN39&gt;AN$117, AN39-AN$117,"")</f>
        <v/>
      </c>
      <c r="BR39" s="1" t="str">
        <f>IF(AO39&gt;AO$117, AO39-AO$117,"")</f>
        <v/>
      </c>
      <c r="BS39" s="1" t="str">
        <f>IF(AP39&gt;AP$117, AP39-AP$117,"")</f>
        <v/>
      </c>
      <c r="BT39" s="1" t="str">
        <f>IF(AQ39&gt;AQ$117, AQ39-AQ$117,"")</f>
        <v/>
      </c>
      <c r="BU39" s="1" t="str">
        <f>IF(AR39&gt;AR$117, AR39-AR$117,"")</f>
        <v/>
      </c>
      <c r="BV39" s="1" t="str">
        <f>IF(AS39&gt;AS$117, AS39-AS$117,"")</f>
        <v/>
      </c>
      <c r="BW39" s="1" t="str">
        <f>IF(AT39&gt;AT$117, AT39-AT$117,"")</f>
        <v/>
      </c>
      <c r="BX39" s="1" t="str">
        <f>IF(AU39&gt;AU$117, AU39-AU$117,"")</f>
        <v/>
      </c>
      <c r="BY39" s="1" t="str">
        <f>IF(AV39&gt;AV$117, AV39-AV$117,"")</f>
        <v/>
      </c>
      <c r="BZ39" s="1" t="str">
        <f>IF(AW39&gt;AW$117, AW39-AW$117,"")</f>
        <v/>
      </c>
      <c r="CA39" s="1" t="str">
        <f>IF(AX39&gt;AX$117, AX39-AX$117,"")</f>
        <v/>
      </c>
      <c r="CB39" s="1" t="str">
        <f>IF(AY39&gt;AY$117, AY39-AY$117,"")</f>
        <v/>
      </c>
      <c r="CC39" s="1">
        <f>COUNTIF(BQ39:CB39, "&gt;0")</f>
        <v>0</v>
      </c>
      <c r="CD39" s="1" t="str">
        <f>IF($CC39=1,BQ39,"")</f>
        <v/>
      </c>
      <c r="CE39" s="1" t="str">
        <f>IF($CC39=1,BR39,"")</f>
        <v/>
      </c>
      <c r="CF39" s="1" t="str">
        <f>IF($CC39=1,BS39,"")</f>
        <v/>
      </c>
      <c r="CG39" s="1" t="str">
        <f>IF($CC39=1,BT39,"")</f>
        <v/>
      </c>
      <c r="CH39" s="1" t="str">
        <f>IF($CC39=1,BU39,"")</f>
        <v/>
      </c>
      <c r="CI39" s="1" t="str">
        <f>IF($CC39=1,BV39,"")</f>
        <v/>
      </c>
      <c r="CJ39" s="1" t="str">
        <f>IF($CC39=1,BW39,"")</f>
        <v/>
      </c>
      <c r="CK39" s="1" t="str">
        <f>IF($CC39=1,BX39,"")</f>
        <v/>
      </c>
      <c r="CL39" s="1" t="str">
        <f>IF($CC39=1,BY39,"")</f>
        <v/>
      </c>
      <c r="CM39" s="1" t="str">
        <f>IF($CC39=1,BZ39,"")</f>
        <v/>
      </c>
      <c r="CN39" s="1" t="str">
        <f>IF($CC39=1,CA39,"")</f>
        <v/>
      </c>
      <c r="CO39" s="1" t="str">
        <f>IF($CC39=1,CB39,"")</f>
        <v/>
      </c>
      <c r="CP39" s="18">
        <f>SUM(AB39:BL39)</f>
        <v>20</v>
      </c>
    </row>
    <row r="40" spans="1:94" x14ac:dyDescent="0.15">
      <c r="A40" s="1">
        <v>96</v>
      </c>
      <c r="B40" s="3" t="s">
        <v>84</v>
      </c>
      <c r="C40" s="3" t="s">
        <v>85</v>
      </c>
      <c r="D40" s="1" t="s">
        <v>1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4"/>
      <c r="AO40" s="4"/>
      <c r="AP40" s="4"/>
      <c r="AQ40" s="4"/>
      <c r="AR40" s="4"/>
      <c r="AS40" s="4"/>
      <c r="AT40" s="2"/>
      <c r="AU40" s="2"/>
      <c r="AV40" s="2"/>
      <c r="AW40" s="2"/>
      <c r="AX40" s="2">
        <v>10</v>
      </c>
      <c r="AY40" s="2">
        <v>10</v>
      </c>
      <c r="AZ40" s="14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>
        <f>SUM(E40:BL40)</f>
        <v>20</v>
      </c>
      <c r="BN40" s="1">
        <v>7</v>
      </c>
      <c r="BO40" s="17">
        <v>1</v>
      </c>
      <c r="BP40" s="17" t="s">
        <v>146</v>
      </c>
      <c r="BQ40" s="1" t="str">
        <f>IF(AN40&gt;AN$117, AN40-AN$117,"")</f>
        <v/>
      </c>
      <c r="BR40" s="1" t="str">
        <f>IF(AO40&gt;AO$117, AO40-AO$117,"")</f>
        <v/>
      </c>
      <c r="BS40" s="1" t="str">
        <f>IF(AP40&gt;AP$117, AP40-AP$117,"")</f>
        <v/>
      </c>
      <c r="BT40" s="1" t="str">
        <f>IF(AQ40&gt;AQ$117, AQ40-AQ$117,"")</f>
        <v/>
      </c>
      <c r="BU40" s="1" t="str">
        <f>IF(AR40&gt;AR$117, AR40-AR$117,"")</f>
        <v/>
      </c>
      <c r="BV40" s="1" t="str">
        <f>IF(AS40&gt;AS$117, AS40-AS$117,"")</f>
        <v/>
      </c>
      <c r="BW40" s="1" t="str">
        <f>IF(AT40&gt;AT$117, AT40-AT$117,"")</f>
        <v/>
      </c>
      <c r="BX40" s="1" t="str">
        <f>IF(AU40&gt;AU$117, AU40-AU$117,"")</f>
        <v/>
      </c>
      <c r="BY40" s="1" t="str">
        <f>IF(AV40&gt;AV$117, AV40-AV$117,"")</f>
        <v/>
      </c>
      <c r="BZ40" s="1" t="str">
        <f>IF(AW40&gt;AW$117, AW40-AW$117,"")</f>
        <v/>
      </c>
      <c r="CA40" s="1" t="str">
        <f>IF(AX40&gt;AX$117, AX40-AX$117,"")</f>
        <v/>
      </c>
      <c r="CB40" s="1" t="str">
        <f>IF(AY40&gt;AY$117, AY40-AY$117,"")</f>
        <v/>
      </c>
      <c r="CC40" s="1">
        <f>COUNTIF(BQ40:CB40, "&gt;0")</f>
        <v>0</v>
      </c>
      <c r="CD40" s="1" t="str">
        <f>IF($CC40=1,BQ40,"")</f>
        <v/>
      </c>
      <c r="CE40" s="1" t="str">
        <f>IF($CC40=1,BR40,"")</f>
        <v/>
      </c>
      <c r="CF40" s="1" t="str">
        <f>IF($CC40=1,BS40,"")</f>
        <v/>
      </c>
      <c r="CG40" s="1" t="str">
        <f>IF($CC40=1,BT40,"")</f>
        <v/>
      </c>
      <c r="CH40" s="1" t="str">
        <f>IF($CC40=1,BU40,"")</f>
        <v/>
      </c>
      <c r="CI40" s="1" t="str">
        <f>IF($CC40=1,BV40,"")</f>
        <v/>
      </c>
      <c r="CJ40" s="1" t="str">
        <f>IF($CC40=1,BW40,"")</f>
        <v/>
      </c>
      <c r="CK40" s="1" t="str">
        <f>IF($CC40=1,BX40,"")</f>
        <v/>
      </c>
      <c r="CL40" s="1" t="str">
        <f>IF($CC40=1,BY40,"")</f>
        <v/>
      </c>
      <c r="CM40" s="1" t="str">
        <f>IF($CC40=1,BZ40,"")</f>
        <v/>
      </c>
      <c r="CN40" s="1" t="str">
        <f>IF($CC40=1,CA40,"")</f>
        <v/>
      </c>
      <c r="CO40" s="1" t="str">
        <f>IF($CC40=1,CB40,"")</f>
        <v/>
      </c>
      <c r="CP40" s="18">
        <f>SUM(AB40:BL40)</f>
        <v>20</v>
      </c>
    </row>
    <row r="41" spans="1:94" s="25" customFormat="1" x14ac:dyDescent="0.15">
      <c r="A41" s="1">
        <v>76</v>
      </c>
      <c r="B41" s="3" t="s">
        <v>128</v>
      </c>
      <c r="C41" s="3" t="s">
        <v>77</v>
      </c>
      <c r="D41" s="1" t="s">
        <v>1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>
        <v>20</v>
      </c>
      <c r="V41" s="6"/>
      <c r="W41" s="6"/>
      <c r="X41" s="6"/>
      <c r="Y41" s="6"/>
      <c r="Z41" s="6"/>
      <c r="AA41" s="6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4"/>
      <c r="AO41" s="4"/>
      <c r="AP41" s="4"/>
      <c r="AQ41" s="4"/>
      <c r="AR41" s="4"/>
      <c r="AS41" s="4"/>
      <c r="AT41" s="2"/>
      <c r="AU41" s="2"/>
      <c r="AV41" s="2"/>
      <c r="AW41" s="2"/>
      <c r="AX41" s="2"/>
      <c r="AY41" s="2"/>
      <c r="AZ41" s="14"/>
      <c r="BA41" s="1"/>
      <c r="BB41" s="1"/>
      <c r="BC41" s="1"/>
      <c r="BD41" s="1"/>
      <c r="BE41" s="1">
        <v>10</v>
      </c>
      <c r="BF41" s="1"/>
      <c r="BG41" s="1"/>
      <c r="BH41" s="1"/>
      <c r="BI41" s="1"/>
      <c r="BJ41" s="1"/>
      <c r="BK41" s="1"/>
      <c r="BL41" s="1"/>
      <c r="BM41" s="1">
        <f>SUM(E41:BL41)</f>
        <v>30</v>
      </c>
      <c r="BN41" s="1">
        <v>7</v>
      </c>
      <c r="BO41" s="17">
        <v>1</v>
      </c>
      <c r="BP41" s="17" t="s">
        <v>156</v>
      </c>
      <c r="BQ41" s="1" t="str">
        <f>IF(AN41&gt;AN$117, AN41-AN$117,"")</f>
        <v/>
      </c>
      <c r="BR41" s="1" t="str">
        <f>IF(AO41&gt;AO$117, AO41-AO$117,"")</f>
        <v/>
      </c>
      <c r="BS41" s="1" t="str">
        <f>IF(AP41&gt;AP$117, AP41-AP$117,"")</f>
        <v/>
      </c>
      <c r="BT41" s="1" t="str">
        <f>IF(AQ41&gt;AQ$117, AQ41-AQ$117,"")</f>
        <v/>
      </c>
      <c r="BU41" s="1" t="str">
        <f>IF(AR41&gt;AR$117, AR41-AR$117,"")</f>
        <v/>
      </c>
      <c r="BV41" s="1" t="str">
        <f>IF(AS41&gt;AS$117, AS41-AS$117,"")</f>
        <v/>
      </c>
      <c r="BW41" s="1" t="str">
        <f>IF(AT41&gt;AT$117, AT41-AT$117,"")</f>
        <v/>
      </c>
      <c r="BX41" s="1" t="str">
        <f>IF(AU41&gt;AU$117, AU41-AU$117,"")</f>
        <v/>
      </c>
      <c r="BY41" s="1" t="str">
        <f>IF(AV41&gt;AV$117, AV41-AV$117,"")</f>
        <v/>
      </c>
      <c r="BZ41" s="1" t="str">
        <f>IF(AW41&gt;AW$117, AW41-AW$117,"")</f>
        <v/>
      </c>
      <c r="CA41" s="1" t="str">
        <f>IF(AX41&gt;AX$117, AX41-AX$117,"")</f>
        <v/>
      </c>
      <c r="CB41" s="1" t="str">
        <f>IF(AY41&gt;AY$117, AY41-AY$117,"")</f>
        <v/>
      </c>
      <c r="CC41" s="1">
        <f>COUNTIF(BQ41:CB41, "&gt;0")</f>
        <v>0</v>
      </c>
      <c r="CD41" s="1" t="str">
        <f>IF($CC41=1,BQ41,"")</f>
        <v/>
      </c>
      <c r="CE41" s="1" t="str">
        <f>IF($CC41=1,BR41,"")</f>
        <v/>
      </c>
      <c r="CF41" s="1" t="str">
        <f>IF($CC41=1,BS41,"")</f>
        <v/>
      </c>
      <c r="CG41" s="1" t="str">
        <f>IF($CC41=1,BT41,"")</f>
        <v/>
      </c>
      <c r="CH41" s="1" t="str">
        <f>IF($CC41=1,BU41,"")</f>
        <v/>
      </c>
      <c r="CI41" s="1" t="str">
        <f>IF($CC41=1,BV41,"")</f>
        <v/>
      </c>
      <c r="CJ41" s="1" t="str">
        <f>IF($CC41=1,BW41,"")</f>
        <v/>
      </c>
      <c r="CK41" s="1" t="str">
        <f>IF($CC41=1,BX41,"")</f>
        <v/>
      </c>
      <c r="CL41" s="1" t="str">
        <f>IF($CC41=1,BY41,"")</f>
        <v/>
      </c>
      <c r="CM41" s="1" t="str">
        <f>IF($CC41=1,BZ41,"")</f>
        <v/>
      </c>
      <c r="CN41" s="1" t="str">
        <f>IF($CC41=1,CA41,"")</f>
        <v/>
      </c>
      <c r="CO41" s="1" t="str">
        <f>IF($CC41=1,CB41,"")</f>
        <v/>
      </c>
      <c r="CP41" s="18">
        <f>SUM(AB41:BL41)</f>
        <v>10</v>
      </c>
    </row>
    <row r="42" spans="1:94" x14ac:dyDescent="0.15">
      <c r="A42" s="1">
        <v>97</v>
      </c>
      <c r="B42" s="3" t="s">
        <v>86</v>
      </c>
      <c r="C42" s="3" t="s">
        <v>85</v>
      </c>
      <c r="D42" s="1" t="s">
        <v>24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1">
        <v>10</v>
      </c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4"/>
      <c r="AO42" s="4"/>
      <c r="AP42" s="4"/>
      <c r="AQ42" s="4"/>
      <c r="AR42" s="4"/>
      <c r="AS42" s="4"/>
      <c r="AT42" s="2"/>
      <c r="AU42" s="2"/>
      <c r="AV42" s="2"/>
      <c r="AW42" s="2"/>
      <c r="AX42" s="2"/>
      <c r="AY42" s="2"/>
      <c r="AZ42" s="14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>
        <f>SUM(E42:BL42)</f>
        <v>10</v>
      </c>
      <c r="BN42" s="1">
        <v>8</v>
      </c>
      <c r="BO42" s="17">
        <v>1</v>
      </c>
      <c r="BP42" s="17" t="s">
        <v>154</v>
      </c>
      <c r="BQ42" s="1" t="str">
        <f>IF(AN42&gt;AN$117, AN42-AN$117,"")</f>
        <v/>
      </c>
      <c r="BR42" s="1" t="str">
        <f>IF(AO42&gt;AO$117, AO42-AO$117,"")</f>
        <v/>
      </c>
      <c r="BS42" s="1" t="str">
        <f>IF(AP42&gt;AP$117, AP42-AP$117,"")</f>
        <v/>
      </c>
      <c r="BT42" s="1" t="str">
        <f>IF(AQ42&gt;AQ$117, AQ42-AQ$117,"")</f>
        <v/>
      </c>
      <c r="BU42" s="1" t="str">
        <f>IF(AR42&gt;AR$117, AR42-AR$117,"")</f>
        <v/>
      </c>
      <c r="BV42" s="1" t="str">
        <f>IF(AS42&gt;AS$117, AS42-AS$117,"")</f>
        <v/>
      </c>
      <c r="BW42" s="1" t="str">
        <f>IF(AT42&gt;AT$117, AT42-AT$117,"")</f>
        <v/>
      </c>
      <c r="BX42" s="1" t="str">
        <f>IF(AU42&gt;AU$117, AU42-AU$117,"")</f>
        <v/>
      </c>
      <c r="BY42" s="1" t="str">
        <f>IF(AV42&gt;AV$117, AV42-AV$117,"")</f>
        <v/>
      </c>
      <c r="BZ42" s="1" t="str">
        <f>IF(AW42&gt;AW$117, AW42-AW$117,"")</f>
        <v/>
      </c>
      <c r="CA42" s="1" t="str">
        <f>IF(AX42&gt;AX$117, AX42-AX$117,"")</f>
        <v/>
      </c>
      <c r="CB42" s="1" t="str">
        <f>IF(AY42&gt;AY$117, AY42-AY$117,"")</f>
        <v/>
      </c>
      <c r="CC42" s="1">
        <f>COUNTIF(BQ42:CB42, "&gt;0")</f>
        <v>0</v>
      </c>
      <c r="CD42" s="1" t="str">
        <f>IF($CC42=1,BQ42,"")</f>
        <v/>
      </c>
      <c r="CE42" s="1" t="str">
        <f>IF($CC42=1,BR42,"")</f>
        <v/>
      </c>
      <c r="CF42" s="1" t="str">
        <f>IF($CC42=1,BS42,"")</f>
        <v/>
      </c>
      <c r="CG42" s="1" t="str">
        <f>IF($CC42=1,BT42,"")</f>
        <v/>
      </c>
      <c r="CH42" s="1" t="str">
        <f>IF($CC42=1,BU42,"")</f>
        <v/>
      </c>
      <c r="CI42" s="1" t="str">
        <f>IF($CC42=1,BV42,"")</f>
        <v/>
      </c>
      <c r="CJ42" s="1" t="str">
        <f>IF($CC42=1,BW42,"")</f>
        <v/>
      </c>
      <c r="CK42" s="1" t="str">
        <f>IF($CC42=1,BX42,"")</f>
        <v/>
      </c>
      <c r="CL42" s="1" t="str">
        <f>IF($CC42=1,BY42,"")</f>
        <v/>
      </c>
      <c r="CM42" s="1" t="str">
        <f>IF($CC42=1,BZ42,"")</f>
        <v/>
      </c>
      <c r="CN42" s="1" t="str">
        <f>IF($CC42=1,CA42,"")</f>
        <v/>
      </c>
      <c r="CO42" s="1" t="str">
        <f>IF($CC42=1,CB42,"")</f>
        <v/>
      </c>
      <c r="CP42" s="18">
        <f>SUM(AB42:BL42)</f>
        <v>10</v>
      </c>
    </row>
    <row r="43" spans="1:94" x14ac:dyDescent="0.15">
      <c r="A43" s="1">
        <v>2</v>
      </c>
      <c r="B43" s="1" t="s">
        <v>8</v>
      </c>
      <c r="C43" s="1" t="s">
        <v>2</v>
      </c>
      <c r="D43" s="1" t="s">
        <v>1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1">
        <v>15</v>
      </c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4"/>
      <c r="AO43" s="4"/>
      <c r="AP43" s="4"/>
      <c r="AQ43" s="4"/>
      <c r="AR43" s="4"/>
      <c r="AS43" s="4"/>
      <c r="AT43" s="2"/>
      <c r="AU43" s="2"/>
      <c r="AV43" s="2"/>
      <c r="AW43" s="2">
        <v>15</v>
      </c>
      <c r="AX43" s="2"/>
      <c r="AY43" s="2"/>
      <c r="AZ43" s="14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>
        <f>SUM(E43:BL43)</f>
        <v>30</v>
      </c>
      <c r="BN43" s="1">
        <v>13</v>
      </c>
      <c r="BO43" s="17">
        <v>1</v>
      </c>
      <c r="BP43" s="17" t="s">
        <v>140</v>
      </c>
      <c r="BQ43" s="1" t="str">
        <f>IF(AN43&gt;AN$117, AN43-AN$117,"")</f>
        <v/>
      </c>
      <c r="BR43" s="1" t="str">
        <f>IF(AO43&gt;AO$117, AO43-AO$117,"")</f>
        <v/>
      </c>
      <c r="BS43" s="1" t="str">
        <f>IF(AP43&gt;AP$117, AP43-AP$117,"")</f>
        <v/>
      </c>
      <c r="BT43" s="1" t="str">
        <f>IF(AQ43&gt;AQ$117, AQ43-AQ$117,"")</f>
        <v/>
      </c>
      <c r="BU43" s="1" t="str">
        <f>IF(AR43&gt;AR$117, AR43-AR$117,"")</f>
        <v/>
      </c>
      <c r="BV43" s="1" t="str">
        <f>IF(AS43&gt;AS$117, AS43-AS$117,"")</f>
        <v/>
      </c>
      <c r="BW43" s="1" t="str">
        <f>IF(AT43&gt;AT$117, AT43-AT$117,"")</f>
        <v/>
      </c>
      <c r="BX43" s="1" t="str">
        <f>IF(AU43&gt;AU$117, AU43-AU$117,"")</f>
        <v/>
      </c>
      <c r="BY43" s="1" t="str">
        <f>IF(AV43&gt;AV$117, AV43-AV$117,"")</f>
        <v/>
      </c>
      <c r="BZ43" s="1" t="str">
        <f>IF(AW43&gt;AW$117, AW43-AW$117,"")</f>
        <v/>
      </c>
      <c r="CA43" s="1" t="str">
        <f>IF(AX43&gt;AX$117, AX43-AX$117,"")</f>
        <v/>
      </c>
      <c r="CB43" s="1" t="str">
        <f>IF(AY43&gt;AY$117, AY43-AY$117,"")</f>
        <v/>
      </c>
      <c r="CC43" s="1">
        <f>COUNTIF(BQ43:CB43, "&gt;0")</f>
        <v>0</v>
      </c>
      <c r="CD43" s="1" t="str">
        <f>IF($CC43=1,BQ43,"")</f>
        <v/>
      </c>
      <c r="CE43" s="1" t="str">
        <f>IF($CC43=1,BR43,"")</f>
        <v/>
      </c>
      <c r="CF43" s="1" t="str">
        <f>IF($CC43=1,BS43,"")</f>
        <v/>
      </c>
      <c r="CG43" s="1" t="str">
        <f>IF($CC43=1,BT43,"")</f>
        <v/>
      </c>
      <c r="CH43" s="1" t="str">
        <f>IF($CC43=1,BU43,"")</f>
        <v/>
      </c>
      <c r="CI43" s="1" t="str">
        <f>IF($CC43=1,BV43,"")</f>
        <v/>
      </c>
      <c r="CJ43" s="1" t="str">
        <f>IF($CC43=1,BW43,"")</f>
        <v/>
      </c>
      <c r="CK43" s="1" t="str">
        <f>IF($CC43=1,BX43,"")</f>
        <v/>
      </c>
      <c r="CL43" s="1" t="str">
        <f>IF($CC43=1,BY43,"")</f>
        <v/>
      </c>
      <c r="CM43" s="1" t="str">
        <f>IF($CC43=1,BZ43,"")</f>
        <v/>
      </c>
      <c r="CN43" s="1" t="str">
        <f>IF($CC43=1,CA43,"")</f>
        <v/>
      </c>
      <c r="CO43" s="1" t="str">
        <f>IF($CC43=1,CB43,"")</f>
        <v/>
      </c>
      <c r="CP43" s="18">
        <f>SUM(AB43:BL43)</f>
        <v>30</v>
      </c>
    </row>
    <row r="44" spans="1:94" x14ac:dyDescent="0.15">
      <c r="A44" s="1">
        <v>62</v>
      </c>
      <c r="B44" s="1" t="s">
        <v>132</v>
      </c>
      <c r="C44" s="1" t="s">
        <v>64</v>
      </c>
      <c r="D44" s="1" t="s">
        <v>1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1"/>
      <c r="AC44" s="1"/>
      <c r="AD44" s="1"/>
      <c r="AE44" s="1"/>
      <c r="AF44" s="1"/>
      <c r="AG44" s="1"/>
      <c r="AH44" s="1"/>
      <c r="AI44" s="1"/>
      <c r="AJ44" s="1">
        <v>15</v>
      </c>
      <c r="AK44" s="1"/>
      <c r="AL44" s="1"/>
      <c r="AM44" s="1"/>
      <c r="AN44" s="4"/>
      <c r="AO44" s="4"/>
      <c r="AP44" s="4"/>
      <c r="AQ44" s="4"/>
      <c r="AR44" s="4"/>
      <c r="AS44" s="4"/>
      <c r="AT44" s="2"/>
      <c r="AU44" s="2"/>
      <c r="AV44" s="2"/>
      <c r="AW44" s="2"/>
      <c r="AX44" s="2"/>
      <c r="AY44" s="2"/>
      <c r="AZ44" s="14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>
        <f>SUM(E44:BL44)</f>
        <v>15</v>
      </c>
      <c r="BN44" s="1">
        <v>15</v>
      </c>
      <c r="BO44" s="17">
        <v>1</v>
      </c>
      <c r="BP44" s="17" t="s">
        <v>141</v>
      </c>
      <c r="BQ44" s="1" t="str">
        <f>IF(AN44&gt;AN$117, AN44-AN$117,"")</f>
        <v/>
      </c>
      <c r="BR44" s="1" t="str">
        <f>IF(AO44&gt;AO$117, AO44-AO$117,"")</f>
        <v/>
      </c>
      <c r="BS44" s="1" t="str">
        <f>IF(AP44&gt;AP$117, AP44-AP$117,"")</f>
        <v/>
      </c>
      <c r="BT44" s="1" t="str">
        <f>IF(AQ44&gt;AQ$117, AQ44-AQ$117,"")</f>
        <v/>
      </c>
      <c r="BU44" s="1" t="str">
        <f>IF(AR44&gt;AR$117, AR44-AR$117,"")</f>
        <v/>
      </c>
      <c r="BV44" s="1" t="str">
        <f>IF(AS44&gt;AS$117, AS44-AS$117,"")</f>
        <v/>
      </c>
      <c r="BW44" s="1" t="str">
        <f>IF(AT44&gt;AT$117, AT44-AT$117,"")</f>
        <v/>
      </c>
      <c r="BX44" s="1" t="str">
        <f>IF(AU44&gt;AU$117, AU44-AU$117,"")</f>
        <v/>
      </c>
      <c r="BY44" s="1" t="str">
        <f>IF(AV44&gt;AV$117, AV44-AV$117,"")</f>
        <v/>
      </c>
      <c r="BZ44" s="1" t="str">
        <f>IF(AW44&gt;AW$117, AW44-AW$117,"")</f>
        <v/>
      </c>
      <c r="CA44" s="1" t="str">
        <f>IF(AX44&gt;AX$117, AX44-AX$117,"")</f>
        <v/>
      </c>
      <c r="CB44" s="1" t="str">
        <f>IF(AY44&gt;AY$117, AY44-AY$117,"")</f>
        <v/>
      </c>
      <c r="CC44" s="1">
        <f>COUNTIF(BQ44:CB44, "&gt;0")</f>
        <v>0</v>
      </c>
      <c r="CD44" s="1" t="str">
        <f>IF($CC44=1,BQ44,"")</f>
        <v/>
      </c>
      <c r="CE44" s="1" t="str">
        <f>IF($CC44=1,BR44,"")</f>
        <v/>
      </c>
      <c r="CF44" s="1" t="str">
        <f>IF($CC44=1,BS44,"")</f>
        <v/>
      </c>
      <c r="CG44" s="1" t="str">
        <f>IF($CC44=1,BT44,"")</f>
        <v/>
      </c>
      <c r="CH44" s="1" t="str">
        <f>IF($CC44=1,BU44,"")</f>
        <v/>
      </c>
      <c r="CI44" s="1" t="str">
        <f>IF($CC44=1,BV44,"")</f>
        <v/>
      </c>
      <c r="CJ44" s="1" t="str">
        <f>IF($CC44=1,BW44,"")</f>
        <v/>
      </c>
      <c r="CK44" s="1" t="str">
        <f>IF($CC44=1,BX44,"")</f>
        <v/>
      </c>
      <c r="CL44" s="1" t="str">
        <f>IF($CC44=1,BY44,"")</f>
        <v/>
      </c>
      <c r="CM44" s="1" t="str">
        <f>IF($CC44=1,BZ44,"")</f>
        <v/>
      </c>
      <c r="CN44" s="1" t="str">
        <f>IF($CC44=1,CA44,"")</f>
        <v/>
      </c>
      <c r="CO44" s="1" t="str">
        <f>IF($CC44=1,CB44,"")</f>
        <v/>
      </c>
      <c r="CP44" s="18">
        <f>SUM(AB44:BL44)</f>
        <v>15</v>
      </c>
    </row>
    <row r="45" spans="1:94" x14ac:dyDescent="0.15">
      <c r="A45" s="1">
        <v>64</v>
      </c>
      <c r="B45" s="3" t="s">
        <v>71</v>
      </c>
      <c r="C45" s="1" t="s">
        <v>64</v>
      </c>
      <c r="D45" s="1" t="s">
        <v>1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1"/>
      <c r="AC45" s="1"/>
      <c r="AD45" s="1"/>
      <c r="AE45" s="1"/>
      <c r="AF45" s="1"/>
      <c r="AG45" s="1"/>
      <c r="AH45" s="1"/>
      <c r="AI45" s="1"/>
      <c r="AJ45" s="1"/>
      <c r="AK45" s="1">
        <v>15</v>
      </c>
      <c r="AL45" s="1"/>
      <c r="AM45" s="1"/>
      <c r="AN45" s="4"/>
      <c r="AO45" s="4"/>
      <c r="AP45" s="4"/>
      <c r="AQ45" s="4"/>
      <c r="AR45" s="4"/>
      <c r="AS45" s="4"/>
      <c r="AT45" s="2"/>
      <c r="AU45" s="2"/>
      <c r="AV45" s="2"/>
      <c r="AW45" s="2"/>
      <c r="AX45" s="2"/>
      <c r="AY45" s="2"/>
      <c r="AZ45" s="14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>
        <f>SUM(E45:BL45)</f>
        <v>15</v>
      </c>
      <c r="BN45" s="1">
        <v>15</v>
      </c>
      <c r="BO45" s="17">
        <v>1</v>
      </c>
      <c r="BP45" s="17" t="s">
        <v>142</v>
      </c>
      <c r="BQ45" s="1" t="str">
        <f>IF(AN45&gt;AN$117, AN45-AN$117,"")</f>
        <v/>
      </c>
      <c r="BR45" s="1" t="str">
        <f>IF(AO45&gt;AO$117, AO45-AO$117,"")</f>
        <v/>
      </c>
      <c r="BS45" s="1" t="str">
        <f>IF(AP45&gt;AP$117, AP45-AP$117,"")</f>
        <v/>
      </c>
      <c r="BT45" s="1" t="str">
        <f>IF(AQ45&gt;AQ$117, AQ45-AQ$117,"")</f>
        <v/>
      </c>
      <c r="BU45" s="1" t="str">
        <f>IF(AR45&gt;AR$117, AR45-AR$117,"")</f>
        <v/>
      </c>
      <c r="BV45" s="1" t="str">
        <f>IF(AS45&gt;AS$117, AS45-AS$117,"")</f>
        <v/>
      </c>
      <c r="BW45" s="1" t="str">
        <f>IF(AT45&gt;AT$117, AT45-AT$117,"")</f>
        <v/>
      </c>
      <c r="BX45" s="1" t="str">
        <f>IF(AU45&gt;AU$117, AU45-AU$117,"")</f>
        <v/>
      </c>
      <c r="BY45" s="1" t="str">
        <f>IF(AV45&gt;AV$117, AV45-AV$117,"")</f>
        <v/>
      </c>
      <c r="BZ45" s="1" t="str">
        <f>IF(AW45&gt;AW$117, AW45-AW$117,"")</f>
        <v/>
      </c>
      <c r="CA45" s="1" t="str">
        <f>IF(AX45&gt;AX$117, AX45-AX$117,"")</f>
        <v/>
      </c>
      <c r="CB45" s="1" t="str">
        <f>IF(AY45&gt;AY$117, AY45-AY$117,"")</f>
        <v/>
      </c>
      <c r="CC45" s="1">
        <f>COUNTIF(BQ45:CB45, "&gt;0")</f>
        <v>0</v>
      </c>
      <c r="CD45" s="1" t="str">
        <f>IF($CC45=1,BQ45,"")</f>
        <v/>
      </c>
      <c r="CE45" s="1" t="str">
        <f>IF($CC45=1,BR45,"")</f>
        <v/>
      </c>
      <c r="CF45" s="1" t="str">
        <f>IF($CC45=1,BS45,"")</f>
        <v/>
      </c>
      <c r="CG45" s="1" t="str">
        <f>IF($CC45=1,BT45,"")</f>
        <v/>
      </c>
      <c r="CH45" s="1" t="str">
        <f>IF($CC45=1,BU45,"")</f>
        <v/>
      </c>
      <c r="CI45" s="1" t="str">
        <f>IF($CC45=1,BV45,"")</f>
        <v/>
      </c>
      <c r="CJ45" s="1" t="str">
        <f>IF($CC45=1,BW45,"")</f>
        <v/>
      </c>
      <c r="CK45" s="1" t="str">
        <f>IF($CC45=1,BX45,"")</f>
        <v/>
      </c>
      <c r="CL45" s="1" t="str">
        <f>IF($CC45=1,BY45,"")</f>
        <v/>
      </c>
      <c r="CM45" s="1" t="str">
        <f>IF($CC45=1,BZ45,"")</f>
        <v/>
      </c>
      <c r="CN45" s="1" t="str">
        <f>IF($CC45=1,CA45,"")</f>
        <v/>
      </c>
      <c r="CO45" s="1" t="str">
        <f>IF($CC45=1,CB45,"")</f>
        <v/>
      </c>
      <c r="CP45" s="18">
        <f>SUM(AB45:BL45)</f>
        <v>15</v>
      </c>
    </row>
    <row r="46" spans="1:94" x14ac:dyDescent="0.15">
      <c r="A46" s="1">
        <v>98</v>
      </c>
      <c r="B46" s="3" t="s">
        <v>86</v>
      </c>
      <c r="C46" s="3" t="s">
        <v>85</v>
      </c>
      <c r="D46" s="1" t="s">
        <v>1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1">
        <v>50</v>
      </c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4"/>
      <c r="AO46" s="4"/>
      <c r="AP46" s="4"/>
      <c r="AQ46" s="4"/>
      <c r="AR46" s="4"/>
      <c r="AS46" s="4"/>
      <c r="AT46" s="2"/>
      <c r="AU46" s="2"/>
      <c r="AV46" s="2"/>
      <c r="AW46" s="2"/>
      <c r="AX46" s="2"/>
      <c r="AY46" s="2"/>
      <c r="AZ46" s="14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>
        <f>SUM(E46:BL46)</f>
        <v>50</v>
      </c>
      <c r="BN46" s="1">
        <v>48</v>
      </c>
      <c r="BO46" s="17">
        <v>1</v>
      </c>
      <c r="BP46" s="17" t="s">
        <v>143</v>
      </c>
      <c r="BQ46" s="1" t="str">
        <f>IF(AN46&gt;AN$117, AN46-AN$117,"")</f>
        <v/>
      </c>
      <c r="BR46" s="1" t="str">
        <f>IF(AO46&gt;AO$117, AO46-AO$117,"")</f>
        <v/>
      </c>
      <c r="BS46" s="1" t="str">
        <f>IF(AP46&gt;AP$117, AP46-AP$117,"")</f>
        <v/>
      </c>
      <c r="BT46" s="1" t="str">
        <f>IF(AQ46&gt;AQ$117, AQ46-AQ$117,"")</f>
        <v/>
      </c>
      <c r="BU46" s="1" t="str">
        <f>IF(AR46&gt;AR$117, AR46-AR$117,"")</f>
        <v/>
      </c>
      <c r="BV46" s="1" t="str">
        <f>IF(AS46&gt;AS$117, AS46-AS$117,"")</f>
        <v/>
      </c>
      <c r="BW46" s="1" t="str">
        <f>IF(AT46&gt;AT$117, AT46-AT$117,"")</f>
        <v/>
      </c>
      <c r="BX46" s="1" t="str">
        <f>IF(AU46&gt;AU$117, AU46-AU$117,"")</f>
        <v/>
      </c>
      <c r="BY46" s="1" t="str">
        <f>IF(AV46&gt;AV$117, AV46-AV$117,"")</f>
        <v/>
      </c>
      <c r="BZ46" s="1" t="str">
        <f>IF(AW46&gt;AW$117, AW46-AW$117,"")</f>
        <v/>
      </c>
      <c r="CA46" s="1" t="str">
        <f>IF(AX46&gt;AX$117, AX46-AX$117,"")</f>
        <v/>
      </c>
      <c r="CB46" s="1" t="str">
        <f>IF(AY46&gt;AY$117, AY46-AY$117,"")</f>
        <v/>
      </c>
      <c r="CC46" s="1">
        <f>COUNTIF(BQ46:CB46, "&gt;0")</f>
        <v>0</v>
      </c>
      <c r="CD46" s="1" t="str">
        <f>IF($CC46=1,BQ46,"")</f>
        <v/>
      </c>
      <c r="CE46" s="1" t="str">
        <f>IF($CC46=1,BR46,"")</f>
        <v/>
      </c>
      <c r="CF46" s="1" t="str">
        <f>IF($CC46=1,BS46,"")</f>
        <v/>
      </c>
      <c r="CG46" s="1" t="str">
        <f>IF($CC46=1,BT46,"")</f>
        <v/>
      </c>
      <c r="CH46" s="1" t="str">
        <f>IF($CC46=1,BU46,"")</f>
        <v/>
      </c>
      <c r="CI46" s="1" t="str">
        <f>IF($CC46=1,BV46,"")</f>
        <v/>
      </c>
      <c r="CJ46" s="1" t="str">
        <f>IF($CC46=1,BW46,"")</f>
        <v/>
      </c>
      <c r="CK46" s="1" t="str">
        <f>IF($CC46=1,BX46,"")</f>
        <v/>
      </c>
      <c r="CL46" s="1" t="str">
        <f>IF($CC46=1,BY46,"")</f>
        <v/>
      </c>
      <c r="CM46" s="1" t="str">
        <f>IF($CC46=1,BZ46,"")</f>
        <v/>
      </c>
      <c r="CN46" s="1" t="str">
        <f>IF($CC46=1,CA46,"")</f>
        <v/>
      </c>
      <c r="CO46" s="1" t="str">
        <f>IF($CC46=1,CB46,"")</f>
        <v/>
      </c>
      <c r="CP46" s="18">
        <f>SUM(AB46:BL46)</f>
        <v>50</v>
      </c>
    </row>
    <row r="47" spans="1:94" x14ac:dyDescent="0.15">
      <c r="A47" s="1">
        <v>99</v>
      </c>
      <c r="B47" s="3" t="s">
        <v>86</v>
      </c>
      <c r="C47" s="3" t="s">
        <v>85</v>
      </c>
      <c r="D47" s="1" t="s">
        <v>13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1">
        <v>200</v>
      </c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4"/>
      <c r="AO47" s="4"/>
      <c r="AP47" s="4"/>
      <c r="AQ47" s="4"/>
      <c r="AR47" s="4"/>
      <c r="AS47" s="4"/>
      <c r="AT47" s="2"/>
      <c r="AU47" s="2"/>
      <c r="AV47" s="2"/>
      <c r="AW47" s="2"/>
      <c r="AX47" s="2"/>
      <c r="AY47" s="2"/>
      <c r="AZ47" s="14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>
        <f>SUM(E47:BL47)</f>
        <v>200</v>
      </c>
      <c r="BN47" s="1">
        <v>198</v>
      </c>
      <c r="BO47" s="17">
        <v>1</v>
      </c>
      <c r="BP47" s="17" t="s">
        <v>144</v>
      </c>
      <c r="BQ47" s="1" t="str">
        <f>IF(AN47&gt;AN$117, AN47-AN$117,"")</f>
        <v/>
      </c>
      <c r="BR47" s="1" t="str">
        <f>IF(AO47&gt;AO$117, AO47-AO$117,"")</f>
        <v/>
      </c>
      <c r="BS47" s="1" t="str">
        <f>IF(AP47&gt;AP$117, AP47-AP$117,"")</f>
        <v/>
      </c>
      <c r="BT47" s="1" t="str">
        <f>IF(AQ47&gt;AQ$117, AQ47-AQ$117,"")</f>
        <v/>
      </c>
      <c r="BU47" s="1" t="str">
        <f>IF(AR47&gt;AR$117, AR47-AR$117,"")</f>
        <v/>
      </c>
      <c r="BV47" s="1" t="str">
        <f>IF(AS47&gt;AS$117, AS47-AS$117,"")</f>
        <v/>
      </c>
      <c r="BW47" s="1" t="str">
        <f>IF(AT47&gt;AT$117, AT47-AT$117,"")</f>
        <v/>
      </c>
      <c r="BX47" s="1" t="str">
        <f>IF(AU47&gt;AU$117, AU47-AU$117,"")</f>
        <v/>
      </c>
      <c r="BY47" s="1" t="str">
        <f>IF(AV47&gt;AV$117, AV47-AV$117,"")</f>
        <v/>
      </c>
      <c r="BZ47" s="1" t="str">
        <f>IF(AW47&gt;AW$117, AW47-AW$117,"")</f>
        <v/>
      </c>
      <c r="CA47" s="1" t="str">
        <f>IF(AX47&gt;AX$117, AX47-AX$117,"")</f>
        <v/>
      </c>
      <c r="CB47" s="1" t="str">
        <f>IF(AY47&gt;AY$117, AY47-AY$117,"")</f>
        <v/>
      </c>
      <c r="CC47" s="1">
        <f>COUNTIF(BQ47:CB47, "&gt;0")</f>
        <v>0</v>
      </c>
      <c r="CD47" s="1" t="str">
        <f>IF($CC47=1,BQ47,"")</f>
        <v/>
      </c>
      <c r="CE47" s="1" t="str">
        <f>IF($CC47=1,BR47,"")</f>
        <v/>
      </c>
      <c r="CF47" s="1" t="str">
        <f>IF($CC47=1,BS47,"")</f>
        <v/>
      </c>
      <c r="CG47" s="1" t="str">
        <f>IF($CC47=1,BT47,"")</f>
        <v/>
      </c>
      <c r="CH47" s="1" t="str">
        <f>IF($CC47=1,BU47,"")</f>
        <v/>
      </c>
      <c r="CI47" s="1" t="str">
        <f>IF($CC47=1,BV47,"")</f>
        <v/>
      </c>
      <c r="CJ47" s="1" t="str">
        <f>IF($CC47=1,BW47,"")</f>
        <v/>
      </c>
      <c r="CK47" s="1" t="str">
        <f>IF($CC47=1,BX47,"")</f>
        <v/>
      </c>
      <c r="CL47" s="1" t="str">
        <f>IF($CC47=1,BY47,"")</f>
        <v/>
      </c>
      <c r="CM47" s="1" t="str">
        <f>IF($CC47=1,BZ47,"")</f>
        <v/>
      </c>
      <c r="CN47" s="1" t="str">
        <f>IF($CC47=1,CA47,"")</f>
        <v/>
      </c>
      <c r="CO47" s="1" t="str">
        <f>IF($CC47=1,CB47,"")</f>
        <v/>
      </c>
      <c r="CP47" s="18">
        <f>SUM(AB47:BL47)</f>
        <v>200</v>
      </c>
    </row>
    <row r="48" spans="1:94" s="25" customFormat="1" ht="27" x14ac:dyDescent="0.15">
      <c r="A48" s="1">
        <v>68</v>
      </c>
      <c r="B48" s="3" t="s">
        <v>130</v>
      </c>
      <c r="C48" s="1" t="s">
        <v>64</v>
      </c>
      <c r="D48" s="1" t="s">
        <v>13</v>
      </c>
      <c r="E48" s="6"/>
      <c r="F48" s="6">
        <v>6</v>
      </c>
      <c r="G48" s="6"/>
      <c r="H48" s="6"/>
      <c r="I48" s="6"/>
      <c r="J48" s="6"/>
      <c r="K48" s="6"/>
      <c r="L48" s="6"/>
      <c r="M48" s="6"/>
      <c r="N48" s="6">
        <v>6</v>
      </c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4"/>
      <c r="AO48" s="4"/>
      <c r="AP48" s="4"/>
      <c r="AQ48" s="4"/>
      <c r="AR48" s="4"/>
      <c r="AS48" s="4">
        <v>10</v>
      </c>
      <c r="AT48" s="2"/>
      <c r="AU48" s="2"/>
      <c r="AV48" s="2"/>
      <c r="AW48" s="2"/>
      <c r="AX48" s="2"/>
      <c r="AY48" s="2">
        <v>10</v>
      </c>
      <c r="AZ48" s="14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>
        <f>SUM(E48:BL48)</f>
        <v>32</v>
      </c>
      <c r="BN48" s="1">
        <v>9</v>
      </c>
      <c r="BO48" s="17">
        <v>2</v>
      </c>
      <c r="BP48" s="17" t="s">
        <v>166</v>
      </c>
      <c r="BQ48" s="1" t="str">
        <f>IF(AN48&gt;AN$117, AN48-AN$117,"")</f>
        <v/>
      </c>
      <c r="BR48" s="1" t="str">
        <f>IF(AO48&gt;AO$117, AO48-AO$117,"")</f>
        <v/>
      </c>
      <c r="BS48" s="1" t="str">
        <f>IF(AP48&gt;AP$117, AP48-AP$117,"")</f>
        <v/>
      </c>
      <c r="BT48" s="1" t="str">
        <f>IF(AQ48&gt;AQ$117, AQ48-AQ$117,"")</f>
        <v/>
      </c>
      <c r="BU48" s="1" t="str">
        <f>IF(AR48&gt;AR$117, AR48-AR$117,"")</f>
        <v/>
      </c>
      <c r="BV48" s="1" t="str">
        <f>IF(AS48&gt;AS$117, AS48-AS$117,"")</f>
        <v/>
      </c>
      <c r="BW48" s="1" t="str">
        <f>IF(AT48&gt;AT$117, AT48-AT$117,"")</f>
        <v/>
      </c>
      <c r="BX48" s="1" t="str">
        <f>IF(AU48&gt;AU$117, AU48-AU$117,"")</f>
        <v/>
      </c>
      <c r="BY48" s="1" t="str">
        <f>IF(AV48&gt;AV$117, AV48-AV$117,"")</f>
        <v/>
      </c>
      <c r="BZ48" s="1" t="str">
        <f>IF(AW48&gt;AW$117, AW48-AW$117,"")</f>
        <v/>
      </c>
      <c r="CA48" s="1" t="str">
        <f>IF(AX48&gt;AX$117, AX48-AX$117,"")</f>
        <v/>
      </c>
      <c r="CB48" s="1" t="str">
        <f>IF(AY48&gt;AY$117, AY48-AY$117,"")</f>
        <v/>
      </c>
      <c r="CC48" s="1">
        <f>COUNTIF(BQ48:CB48, "&gt;0")</f>
        <v>0</v>
      </c>
      <c r="CD48" s="1" t="str">
        <f>IF($CC48=1,BQ48,"")</f>
        <v/>
      </c>
      <c r="CE48" s="1" t="str">
        <f>IF($CC48=1,BR48,"")</f>
        <v/>
      </c>
      <c r="CF48" s="1" t="str">
        <f>IF($CC48=1,BS48,"")</f>
        <v/>
      </c>
      <c r="CG48" s="1" t="str">
        <f>IF($CC48=1,BT48,"")</f>
        <v/>
      </c>
      <c r="CH48" s="1" t="str">
        <f>IF($CC48=1,BU48,"")</f>
        <v/>
      </c>
      <c r="CI48" s="1" t="str">
        <f>IF($CC48=1,BV48,"")</f>
        <v/>
      </c>
      <c r="CJ48" s="1" t="str">
        <f>IF($CC48=1,BW48,"")</f>
        <v/>
      </c>
      <c r="CK48" s="1" t="str">
        <f>IF($CC48=1,BX48,"")</f>
        <v/>
      </c>
      <c r="CL48" s="1" t="str">
        <f>IF($CC48=1,BY48,"")</f>
        <v/>
      </c>
      <c r="CM48" s="1" t="str">
        <f>IF($CC48=1,BZ48,"")</f>
        <v/>
      </c>
      <c r="CN48" s="1" t="str">
        <f>IF($CC48=1,CA48,"")</f>
        <v/>
      </c>
      <c r="CO48" s="1" t="str">
        <f>IF($CC48=1,CB48,"")</f>
        <v/>
      </c>
      <c r="CP48" s="18">
        <f>SUM(AB48:BL48)</f>
        <v>20</v>
      </c>
    </row>
    <row r="49" spans="1:94" ht="27" x14ac:dyDescent="0.15">
      <c r="A49" s="1">
        <v>27</v>
      </c>
      <c r="B49" s="1" t="s">
        <v>93</v>
      </c>
      <c r="C49" s="1" t="s">
        <v>33</v>
      </c>
      <c r="D49" s="1" t="s">
        <v>24</v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1"/>
      <c r="AC49" s="1"/>
      <c r="AD49" s="1"/>
      <c r="AE49" s="1">
        <v>5</v>
      </c>
      <c r="AF49" s="1">
        <v>5</v>
      </c>
      <c r="AG49" s="1"/>
      <c r="AH49" s="1"/>
      <c r="AI49" s="1"/>
      <c r="AJ49" s="1"/>
      <c r="AK49" s="1"/>
      <c r="AL49" s="1"/>
      <c r="AM49" s="1"/>
      <c r="AN49" s="4"/>
      <c r="AO49" s="4"/>
      <c r="AP49" s="4"/>
      <c r="AQ49" s="4"/>
      <c r="AR49" s="4"/>
      <c r="AS49" s="4"/>
      <c r="AT49" s="2"/>
      <c r="AU49" s="2"/>
      <c r="AV49" s="2"/>
      <c r="AW49" s="2"/>
      <c r="AX49" s="2"/>
      <c r="AY49" s="2"/>
      <c r="AZ49" s="14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>
        <f>SUM(E49:BL49)</f>
        <v>10</v>
      </c>
      <c r="BN49" s="1">
        <v>10</v>
      </c>
      <c r="BO49" s="17">
        <v>2</v>
      </c>
      <c r="BP49" s="17" t="s">
        <v>147</v>
      </c>
      <c r="BQ49" s="1" t="str">
        <f>IF(AN49&gt;AN$117, AN49-AN$117,"")</f>
        <v/>
      </c>
      <c r="BR49" s="1" t="str">
        <f>IF(AO49&gt;AO$117, AO49-AO$117,"")</f>
        <v/>
      </c>
      <c r="BS49" s="1" t="str">
        <f>IF(AP49&gt;AP$117, AP49-AP$117,"")</f>
        <v/>
      </c>
      <c r="BT49" s="1" t="str">
        <f>IF(AQ49&gt;AQ$117, AQ49-AQ$117,"")</f>
        <v/>
      </c>
      <c r="BU49" s="1" t="str">
        <f>IF(AR49&gt;AR$117, AR49-AR$117,"")</f>
        <v/>
      </c>
      <c r="BV49" s="1" t="str">
        <f>IF(AS49&gt;AS$117, AS49-AS$117,"")</f>
        <v/>
      </c>
      <c r="BW49" s="1" t="str">
        <f>IF(AT49&gt;AT$117, AT49-AT$117,"")</f>
        <v/>
      </c>
      <c r="BX49" s="1" t="str">
        <f>IF(AU49&gt;AU$117, AU49-AU$117,"")</f>
        <v/>
      </c>
      <c r="BY49" s="1" t="str">
        <f>IF(AV49&gt;AV$117, AV49-AV$117,"")</f>
        <v/>
      </c>
      <c r="BZ49" s="1" t="str">
        <f>IF(AW49&gt;AW$117, AW49-AW$117,"")</f>
        <v/>
      </c>
      <c r="CA49" s="1" t="str">
        <f>IF(AX49&gt;AX$117, AX49-AX$117,"")</f>
        <v/>
      </c>
      <c r="CB49" s="1" t="str">
        <f>IF(AY49&gt;AY$117, AY49-AY$117,"")</f>
        <v/>
      </c>
      <c r="CC49" s="1">
        <f>COUNTIF(BQ49:CB49, "&gt;0")</f>
        <v>0</v>
      </c>
      <c r="CD49" s="1" t="str">
        <f>IF($CC49=1,BQ49,"")</f>
        <v/>
      </c>
      <c r="CE49" s="1" t="str">
        <f>IF($CC49=1,BR49,"")</f>
        <v/>
      </c>
      <c r="CF49" s="1" t="str">
        <f>IF($CC49=1,BS49,"")</f>
        <v/>
      </c>
      <c r="CG49" s="1" t="str">
        <f>IF($CC49=1,BT49,"")</f>
        <v/>
      </c>
      <c r="CH49" s="1" t="str">
        <f>IF($CC49=1,BU49,"")</f>
        <v/>
      </c>
      <c r="CI49" s="1" t="str">
        <f>IF($CC49=1,BV49,"")</f>
        <v/>
      </c>
      <c r="CJ49" s="1" t="str">
        <f>IF($CC49=1,BW49,"")</f>
        <v/>
      </c>
      <c r="CK49" s="1" t="str">
        <f>IF($CC49=1,BX49,"")</f>
        <v/>
      </c>
      <c r="CL49" s="1" t="str">
        <f>IF($CC49=1,BY49,"")</f>
        <v/>
      </c>
      <c r="CM49" s="1" t="str">
        <f>IF($CC49=1,BZ49,"")</f>
        <v/>
      </c>
      <c r="CN49" s="1" t="str">
        <f>IF($CC49=1,CA49,"")</f>
        <v/>
      </c>
      <c r="CO49" s="1" t="str">
        <f>IF($CC49=1,CB49,"")</f>
        <v/>
      </c>
      <c r="CP49" s="18">
        <f>SUM(AB49:BL49)</f>
        <v>10</v>
      </c>
    </row>
    <row r="50" spans="1:94" ht="27" x14ac:dyDescent="0.15">
      <c r="A50" s="1">
        <v>88</v>
      </c>
      <c r="B50" s="3" t="s">
        <v>101</v>
      </c>
      <c r="C50" s="3" t="s">
        <v>102</v>
      </c>
      <c r="D50" s="1" t="s">
        <v>24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1"/>
      <c r="AC50" s="1"/>
      <c r="AD50" s="1"/>
      <c r="AE50" s="1">
        <v>5</v>
      </c>
      <c r="AF50" s="1">
        <v>5</v>
      </c>
      <c r="AG50" s="1"/>
      <c r="AH50" s="1"/>
      <c r="AI50" s="1"/>
      <c r="AJ50" s="1"/>
      <c r="AK50" s="1"/>
      <c r="AL50" s="1"/>
      <c r="AM50" s="1"/>
      <c r="AN50" s="4"/>
      <c r="AO50" s="4"/>
      <c r="AP50" s="4"/>
      <c r="AQ50" s="4"/>
      <c r="AR50" s="4"/>
      <c r="AS50" s="4"/>
      <c r="AT50" s="2"/>
      <c r="AU50" s="2"/>
      <c r="AV50" s="2"/>
      <c r="AW50" s="2"/>
      <c r="AX50" s="2"/>
      <c r="AY50" s="2"/>
      <c r="AZ50" s="14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>
        <f>SUM(E50:BL50)</f>
        <v>10</v>
      </c>
      <c r="BN50" s="1">
        <v>10</v>
      </c>
      <c r="BO50" s="17">
        <v>2</v>
      </c>
      <c r="BP50" s="17" t="s">
        <v>147</v>
      </c>
      <c r="BQ50" s="1" t="str">
        <f>IF(AN50&gt;AN$117, AN50-AN$117,"")</f>
        <v/>
      </c>
      <c r="BR50" s="1" t="str">
        <f>IF(AO50&gt;AO$117, AO50-AO$117,"")</f>
        <v/>
      </c>
      <c r="BS50" s="1" t="str">
        <f>IF(AP50&gt;AP$117, AP50-AP$117,"")</f>
        <v/>
      </c>
      <c r="BT50" s="1" t="str">
        <f>IF(AQ50&gt;AQ$117, AQ50-AQ$117,"")</f>
        <v/>
      </c>
      <c r="BU50" s="1" t="str">
        <f>IF(AR50&gt;AR$117, AR50-AR$117,"")</f>
        <v/>
      </c>
      <c r="BV50" s="1" t="str">
        <f>IF(AS50&gt;AS$117, AS50-AS$117,"")</f>
        <v/>
      </c>
      <c r="BW50" s="1" t="str">
        <f>IF(AT50&gt;AT$117, AT50-AT$117,"")</f>
        <v/>
      </c>
      <c r="BX50" s="1" t="str">
        <f>IF(AU50&gt;AU$117, AU50-AU$117,"")</f>
        <v/>
      </c>
      <c r="BY50" s="1" t="str">
        <f>IF(AV50&gt;AV$117, AV50-AV$117,"")</f>
        <v/>
      </c>
      <c r="BZ50" s="1" t="str">
        <f>IF(AW50&gt;AW$117, AW50-AW$117,"")</f>
        <v/>
      </c>
      <c r="CA50" s="1" t="str">
        <f>IF(AX50&gt;AX$117, AX50-AX$117,"")</f>
        <v/>
      </c>
      <c r="CB50" s="1" t="str">
        <f>IF(AY50&gt;AY$117, AY50-AY$117,"")</f>
        <v/>
      </c>
      <c r="CC50" s="1">
        <f>COUNTIF(BQ50:CB50, "&gt;0")</f>
        <v>0</v>
      </c>
      <c r="CD50" s="1" t="str">
        <f>IF($CC50=1,BQ50,"")</f>
        <v/>
      </c>
      <c r="CE50" s="1" t="str">
        <f>IF($CC50=1,BR50,"")</f>
        <v/>
      </c>
      <c r="CF50" s="1" t="str">
        <f>IF($CC50=1,BS50,"")</f>
        <v/>
      </c>
      <c r="CG50" s="1" t="str">
        <f>IF($CC50=1,BT50,"")</f>
        <v/>
      </c>
      <c r="CH50" s="1" t="str">
        <f>IF($CC50=1,BU50,"")</f>
        <v/>
      </c>
      <c r="CI50" s="1" t="str">
        <f>IF($CC50=1,BV50,"")</f>
        <v/>
      </c>
      <c r="CJ50" s="1" t="str">
        <f>IF($CC50=1,BW50,"")</f>
        <v/>
      </c>
      <c r="CK50" s="1" t="str">
        <f>IF($CC50=1,BX50,"")</f>
        <v/>
      </c>
      <c r="CL50" s="1" t="str">
        <f>IF($CC50=1,BY50,"")</f>
        <v/>
      </c>
      <c r="CM50" s="1" t="str">
        <f>IF($CC50=1,BZ50,"")</f>
        <v/>
      </c>
      <c r="CN50" s="1" t="str">
        <f>IF($CC50=1,CA50,"")</f>
        <v/>
      </c>
      <c r="CO50" s="1" t="str">
        <f>IF($CC50=1,CB50,"")</f>
        <v/>
      </c>
      <c r="CP50" s="18">
        <f>SUM(AB50:BL50)</f>
        <v>10</v>
      </c>
    </row>
    <row r="51" spans="1:94" ht="27" x14ac:dyDescent="0.15">
      <c r="A51" s="1">
        <v>21</v>
      </c>
      <c r="B51" s="1" t="s">
        <v>40</v>
      </c>
      <c r="C51" s="1" t="s">
        <v>33</v>
      </c>
      <c r="D51" s="1" t="s">
        <v>26</v>
      </c>
      <c r="E51" s="6"/>
      <c r="F51" s="6"/>
      <c r="G51" s="6">
        <v>6</v>
      </c>
      <c r="H51" s="6">
        <v>6</v>
      </c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4"/>
      <c r="AO51" s="4"/>
      <c r="AP51" s="4">
        <v>10</v>
      </c>
      <c r="AQ51" s="4"/>
      <c r="AR51" s="4"/>
      <c r="AS51" s="4"/>
      <c r="AT51" s="2"/>
      <c r="AU51" s="2"/>
      <c r="AV51" s="2"/>
      <c r="AW51" s="2"/>
      <c r="AX51" s="2"/>
      <c r="AY51" s="2">
        <v>10</v>
      </c>
      <c r="AZ51" s="14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>
        <f>SUM(E51:BL51)</f>
        <v>32</v>
      </c>
      <c r="BN51" s="1">
        <v>12</v>
      </c>
      <c r="BO51" s="17">
        <v>2</v>
      </c>
      <c r="BP51" s="17" t="s">
        <v>157</v>
      </c>
      <c r="BQ51" s="1" t="str">
        <f>IF(AN51&gt;AN$117, AN51-AN$117,"")</f>
        <v/>
      </c>
      <c r="BR51" s="1" t="str">
        <f>IF(AO51&gt;AO$117, AO51-AO$117,"")</f>
        <v/>
      </c>
      <c r="BS51" s="1">
        <f>IF(AP51&gt;AP$117, AP51-AP$117,"")</f>
        <v>2</v>
      </c>
      <c r="BT51" s="1" t="str">
        <f>IF(AQ51&gt;AQ$117, AQ51-AQ$117,"")</f>
        <v/>
      </c>
      <c r="BU51" s="1" t="str">
        <f>IF(AR51&gt;AR$117, AR51-AR$117,"")</f>
        <v/>
      </c>
      <c r="BV51" s="1" t="str">
        <f>IF(AS51&gt;AS$117, AS51-AS$117,"")</f>
        <v/>
      </c>
      <c r="BW51" s="1" t="str">
        <f>IF(AT51&gt;AT$117, AT51-AT$117,"")</f>
        <v/>
      </c>
      <c r="BX51" s="1" t="str">
        <f>IF(AU51&gt;AU$117, AU51-AU$117,"")</f>
        <v/>
      </c>
      <c r="BY51" s="1" t="str">
        <f>IF(AV51&gt;AV$117, AV51-AV$117,"")</f>
        <v/>
      </c>
      <c r="BZ51" s="1" t="str">
        <f>IF(AW51&gt;AW$117, AW51-AW$117,"")</f>
        <v/>
      </c>
      <c r="CA51" s="1" t="str">
        <f>IF(AX51&gt;AX$117, AX51-AX$117,"")</f>
        <v/>
      </c>
      <c r="CB51" s="1" t="str">
        <f>IF(AY51&gt;AY$117, AY51-AY$117,"")</f>
        <v/>
      </c>
      <c r="CC51" s="1">
        <f>COUNTIF(BQ51:CB51, "&gt;0")</f>
        <v>1</v>
      </c>
      <c r="CD51" s="1" t="str">
        <f>IF($CC51=1,BQ51,"")</f>
        <v/>
      </c>
      <c r="CE51" s="1" t="str">
        <f>IF($CC51=1,BR51,"")</f>
        <v/>
      </c>
      <c r="CF51" s="1">
        <f>IF($CC51=1,BS51,"")</f>
        <v>2</v>
      </c>
      <c r="CG51" s="1" t="str">
        <f>IF($CC51=1,BT51,"")</f>
        <v/>
      </c>
      <c r="CH51" s="1" t="str">
        <f>IF($CC51=1,BU51,"")</f>
        <v/>
      </c>
      <c r="CI51" s="1" t="str">
        <f>IF($CC51=1,BV51,"")</f>
        <v/>
      </c>
      <c r="CJ51" s="1" t="str">
        <f>IF($CC51=1,BW51,"")</f>
        <v/>
      </c>
      <c r="CK51" s="1" t="str">
        <f>IF($CC51=1,BX51,"")</f>
        <v/>
      </c>
      <c r="CL51" s="1" t="str">
        <f>IF($CC51=1,BY51,"")</f>
        <v/>
      </c>
      <c r="CM51" s="1" t="str">
        <f>IF($CC51=1,BZ51,"")</f>
        <v/>
      </c>
      <c r="CN51" s="1" t="str">
        <f>IF($CC51=1,CA51,"")</f>
        <v/>
      </c>
      <c r="CO51" s="1" t="str">
        <f>IF($CC51=1,CB51,"")</f>
        <v/>
      </c>
      <c r="CP51" s="18">
        <f>SUM(AB51:BL51)</f>
        <v>20</v>
      </c>
    </row>
    <row r="52" spans="1:94" ht="27" x14ac:dyDescent="0.15">
      <c r="A52" s="1">
        <v>34</v>
      </c>
      <c r="B52" s="1" t="s">
        <v>49</v>
      </c>
      <c r="C52" s="1" t="s">
        <v>50</v>
      </c>
      <c r="D52" s="1" t="s">
        <v>25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4">
        <v>15</v>
      </c>
      <c r="AO52" s="4"/>
      <c r="AP52" s="4"/>
      <c r="AQ52" s="4"/>
      <c r="AR52" s="4"/>
      <c r="AS52" s="4"/>
      <c r="AT52" s="2"/>
      <c r="AU52" s="2"/>
      <c r="AV52" s="2"/>
      <c r="AW52" s="2"/>
      <c r="AX52" s="2"/>
      <c r="AY52" s="2">
        <v>15</v>
      </c>
      <c r="AZ52" s="14"/>
      <c r="BA52" s="1"/>
      <c r="BB52" s="1"/>
      <c r="BC52" s="1"/>
      <c r="BD52" s="1"/>
      <c r="BE52" s="1">
        <v>15</v>
      </c>
      <c r="BF52" s="1">
        <v>15</v>
      </c>
      <c r="BG52" s="1"/>
      <c r="BH52" s="1"/>
      <c r="BI52" s="1"/>
      <c r="BJ52" s="1"/>
      <c r="BK52" s="1"/>
      <c r="BL52" s="1"/>
      <c r="BM52" s="1">
        <f>SUM(E52:BL52)</f>
        <v>60</v>
      </c>
      <c r="BN52" s="1">
        <v>16</v>
      </c>
      <c r="BO52" s="17">
        <v>2</v>
      </c>
      <c r="BP52" s="17" t="s">
        <v>155</v>
      </c>
      <c r="BQ52" s="1">
        <f>IF(AN52&gt;AN$117, AN52-AN$117,"")</f>
        <v>13</v>
      </c>
      <c r="BR52" s="1" t="str">
        <f>IF(AO52&gt;AO$117, AO52-AO$117,"")</f>
        <v/>
      </c>
      <c r="BS52" s="1" t="str">
        <f>IF(AP52&gt;AP$117, AP52-AP$117,"")</f>
        <v/>
      </c>
      <c r="BT52" s="1" t="str">
        <f>IF(AQ52&gt;AQ$117, AQ52-AQ$117,"")</f>
        <v/>
      </c>
      <c r="BU52" s="1" t="str">
        <f>IF(AR52&gt;AR$117, AR52-AR$117,"")</f>
        <v/>
      </c>
      <c r="BV52" s="1" t="str">
        <f>IF(AS52&gt;AS$117, AS52-AS$117,"")</f>
        <v/>
      </c>
      <c r="BW52" s="1" t="str">
        <f>IF(AT52&gt;AT$117, AT52-AT$117,"")</f>
        <v/>
      </c>
      <c r="BX52" s="1" t="str">
        <f>IF(AU52&gt;AU$117, AU52-AU$117,"")</f>
        <v/>
      </c>
      <c r="BY52" s="1" t="str">
        <f>IF(AV52&gt;AV$117, AV52-AV$117,"")</f>
        <v/>
      </c>
      <c r="BZ52" s="1" t="str">
        <f>IF(AW52&gt;AW$117, AW52-AW$117,"")</f>
        <v/>
      </c>
      <c r="CA52" s="1" t="str">
        <f>IF(AX52&gt;AX$117, AX52-AX$117,"")</f>
        <v/>
      </c>
      <c r="CB52" s="1" t="str">
        <f>IF(AY52&gt;AY$117, AY52-AY$117,"")</f>
        <v/>
      </c>
      <c r="CC52" s="1">
        <f>COUNTIF(BQ52:CB52, "&gt;0")</f>
        <v>1</v>
      </c>
      <c r="CD52" s="1">
        <f>IF($CC52=1,BQ52,"")</f>
        <v>13</v>
      </c>
      <c r="CE52" s="1" t="str">
        <f>IF($CC52=1,BR52,"")</f>
        <v/>
      </c>
      <c r="CF52" s="1" t="str">
        <f>IF($CC52=1,BS52,"")</f>
        <v/>
      </c>
      <c r="CG52" s="1" t="str">
        <f>IF($CC52=1,BT52,"")</f>
        <v/>
      </c>
      <c r="CH52" s="1" t="str">
        <f>IF($CC52=1,BU52,"")</f>
        <v/>
      </c>
      <c r="CI52" s="1" t="str">
        <f>IF($CC52=1,BV52,"")</f>
        <v/>
      </c>
      <c r="CJ52" s="1" t="str">
        <f>IF($CC52=1,BW52,"")</f>
        <v/>
      </c>
      <c r="CK52" s="1" t="str">
        <f>IF($CC52=1,BX52,"")</f>
        <v/>
      </c>
      <c r="CL52" s="1" t="str">
        <f>IF($CC52=1,BY52,"")</f>
        <v/>
      </c>
      <c r="CM52" s="1" t="str">
        <f>IF($CC52=1,BZ52,"")</f>
        <v/>
      </c>
      <c r="CN52" s="1" t="str">
        <f>IF($CC52=1,CA52,"")</f>
        <v/>
      </c>
      <c r="CO52" s="1" t="str">
        <f>IF($CC52=1,CB52,"")</f>
        <v/>
      </c>
      <c r="CP52" s="18">
        <f>SUM(AB52:BL52)</f>
        <v>60</v>
      </c>
    </row>
    <row r="53" spans="1:94" ht="27" x14ac:dyDescent="0.15">
      <c r="A53" s="1">
        <v>95</v>
      </c>
      <c r="B53" s="3" t="s">
        <v>107</v>
      </c>
      <c r="C53" s="3" t="s">
        <v>85</v>
      </c>
      <c r="D53" s="1" t="s">
        <v>1</v>
      </c>
      <c r="E53" s="6"/>
      <c r="F53" s="6"/>
      <c r="G53" s="6"/>
      <c r="H53" s="6"/>
      <c r="I53" s="6"/>
      <c r="J53" s="6"/>
      <c r="K53" s="6"/>
      <c r="L53" s="6">
        <v>15</v>
      </c>
      <c r="M53" s="6"/>
      <c r="N53" s="6"/>
      <c r="O53" s="6">
        <v>15</v>
      </c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4"/>
      <c r="AO53" s="4"/>
      <c r="AP53" s="4"/>
      <c r="AQ53" s="4"/>
      <c r="AR53" s="4"/>
      <c r="AS53" s="4"/>
      <c r="AT53" s="2"/>
      <c r="AU53" s="2"/>
      <c r="AV53" s="2"/>
      <c r="AW53" s="2"/>
      <c r="AX53" s="2">
        <v>15</v>
      </c>
      <c r="AY53" s="2">
        <v>15</v>
      </c>
      <c r="AZ53" s="14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>
        <f>SUM(E53:BL53)</f>
        <v>60</v>
      </c>
      <c r="BN53" s="1">
        <v>16</v>
      </c>
      <c r="BO53" s="17">
        <v>2</v>
      </c>
      <c r="BP53" s="17" t="s">
        <v>161</v>
      </c>
      <c r="BQ53" s="1" t="str">
        <f>IF(AN53&gt;AN$117, AN53-AN$117,"")</f>
        <v/>
      </c>
      <c r="BR53" s="1" t="str">
        <f>IF(AO53&gt;AO$117, AO53-AO$117,"")</f>
        <v/>
      </c>
      <c r="BS53" s="1" t="str">
        <f>IF(AP53&gt;AP$117, AP53-AP$117,"")</f>
        <v/>
      </c>
      <c r="BT53" s="1" t="str">
        <f>IF(AQ53&gt;AQ$117, AQ53-AQ$117,"")</f>
        <v/>
      </c>
      <c r="BU53" s="1" t="str">
        <f>IF(AR53&gt;AR$117, AR53-AR$117,"")</f>
        <v/>
      </c>
      <c r="BV53" s="1" t="str">
        <f>IF(AS53&gt;AS$117, AS53-AS$117,"")</f>
        <v/>
      </c>
      <c r="BW53" s="1" t="str">
        <f>IF(AT53&gt;AT$117, AT53-AT$117,"")</f>
        <v/>
      </c>
      <c r="BX53" s="1" t="str">
        <f>IF(AU53&gt;AU$117, AU53-AU$117,"")</f>
        <v/>
      </c>
      <c r="BY53" s="1" t="str">
        <f>IF(AV53&gt;AV$117, AV53-AV$117,"")</f>
        <v/>
      </c>
      <c r="BZ53" s="1" t="str">
        <f>IF(AW53&gt;AW$117, AW53-AW$117,"")</f>
        <v/>
      </c>
      <c r="CA53" s="1" t="str">
        <f>IF(AX53&gt;AX$117, AX53-AX$117,"")</f>
        <v/>
      </c>
      <c r="CB53" s="1" t="str">
        <f>IF(AY53&gt;AY$117, AY53-AY$117,"")</f>
        <v/>
      </c>
      <c r="CC53" s="1">
        <f>COUNTIF(BQ53:CB53, "&gt;0")</f>
        <v>0</v>
      </c>
      <c r="CD53" s="1" t="str">
        <f>IF($CC53=1,BQ53,"")</f>
        <v/>
      </c>
      <c r="CE53" s="1" t="str">
        <f>IF($CC53=1,BR53,"")</f>
        <v/>
      </c>
      <c r="CF53" s="1" t="str">
        <f>IF($CC53=1,BS53,"")</f>
        <v/>
      </c>
      <c r="CG53" s="1" t="str">
        <f>IF($CC53=1,BT53,"")</f>
        <v/>
      </c>
      <c r="CH53" s="1" t="str">
        <f>IF($CC53=1,BU53,"")</f>
        <v/>
      </c>
      <c r="CI53" s="1" t="str">
        <f>IF($CC53=1,BV53,"")</f>
        <v/>
      </c>
      <c r="CJ53" s="1" t="str">
        <f>IF($CC53=1,BW53,"")</f>
        <v/>
      </c>
      <c r="CK53" s="1" t="str">
        <f>IF($CC53=1,BX53,"")</f>
        <v/>
      </c>
      <c r="CL53" s="1" t="str">
        <f>IF($CC53=1,BY53,"")</f>
        <v/>
      </c>
      <c r="CM53" s="1" t="str">
        <f>IF($CC53=1,BZ53,"")</f>
        <v/>
      </c>
      <c r="CN53" s="1" t="str">
        <f>IF($CC53=1,CA53,"")</f>
        <v/>
      </c>
      <c r="CO53" s="1" t="str">
        <f>IF($CC53=1,CB53,"")</f>
        <v/>
      </c>
      <c r="CP53" s="18">
        <f>SUM(AB53:BL53)</f>
        <v>30</v>
      </c>
    </row>
    <row r="54" spans="1:94" ht="27" x14ac:dyDescent="0.15">
      <c r="A54" s="1">
        <v>65</v>
      </c>
      <c r="B54" s="3" t="s">
        <v>71</v>
      </c>
      <c r="C54" s="1" t="s">
        <v>64</v>
      </c>
      <c r="D54" s="1" t="s">
        <v>13</v>
      </c>
      <c r="E54" s="6"/>
      <c r="F54" s="6"/>
      <c r="G54" s="6">
        <v>10</v>
      </c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1"/>
      <c r="AC54" s="1"/>
      <c r="AD54" s="1"/>
      <c r="AE54" s="1"/>
      <c r="AF54" s="1"/>
      <c r="AG54" s="1"/>
      <c r="AH54" s="1"/>
      <c r="AI54" s="1"/>
      <c r="AJ54" s="1"/>
      <c r="AK54" s="1">
        <v>25</v>
      </c>
      <c r="AL54" s="1"/>
      <c r="AM54" s="1"/>
      <c r="AN54" s="4"/>
      <c r="AO54" s="4"/>
      <c r="AP54" s="4"/>
      <c r="AQ54" s="4"/>
      <c r="AR54" s="4"/>
      <c r="AS54" s="4">
        <v>10</v>
      </c>
      <c r="AT54" s="2"/>
      <c r="AU54" s="2"/>
      <c r="AV54" s="2"/>
      <c r="AW54" s="2">
        <v>10</v>
      </c>
      <c r="AX54" s="2"/>
      <c r="AY54" s="2"/>
      <c r="AZ54" s="14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>
        <f>SUM(E54:BL54)</f>
        <v>55</v>
      </c>
      <c r="BN54" s="1">
        <v>27</v>
      </c>
      <c r="BO54" s="17">
        <v>2</v>
      </c>
      <c r="BP54" s="17" t="s">
        <v>164</v>
      </c>
      <c r="BQ54" s="1" t="str">
        <f>IF(AN54&gt;AN$117, AN54-AN$117,"")</f>
        <v/>
      </c>
      <c r="BR54" s="1" t="str">
        <f>IF(AO54&gt;AO$117, AO54-AO$117,"")</f>
        <v/>
      </c>
      <c r="BS54" s="1" t="str">
        <f>IF(AP54&gt;AP$117, AP54-AP$117,"")</f>
        <v/>
      </c>
      <c r="BT54" s="1" t="str">
        <f>IF(AQ54&gt;AQ$117, AQ54-AQ$117,"")</f>
        <v/>
      </c>
      <c r="BU54" s="1" t="str">
        <f>IF(AR54&gt;AR$117, AR54-AR$117,"")</f>
        <v/>
      </c>
      <c r="BV54" s="1" t="str">
        <f>IF(AS54&gt;AS$117, AS54-AS$117,"")</f>
        <v/>
      </c>
      <c r="BW54" s="1" t="str">
        <f>IF(AT54&gt;AT$117, AT54-AT$117,"")</f>
        <v/>
      </c>
      <c r="BX54" s="1" t="str">
        <f>IF(AU54&gt;AU$117, AU54-AU$117,"")</f>
        <v/>
      </c>
      <c r="BY54" s="1" t="str">
        <f>IF(AV54&gt;AV$117, AV54-AV$117,"")</f>
        <v/>
      </c>
      <c r="BZ54" s="1" t="str">
        <f>IF(AW54&gt;AW$117, AW54-AW$117,"")</f>
        <v/>
      </c>
      <c r="CA54" s="1" t="str">
        <f>IF(AX54&gt;AX$117, AX54-AX$117,"")</f>
        <v/>
      </c>
      <c r="CB54" s="1" t="str">
        <f>IF(AY54&gt;AY$117, AY54-AY$117,"")</f>
        <v/>
      </c>
      <c r="CC54" s="1">
        <f>COUNTIF(BQ54:CB54, "&gt;0")</f>
        <v>0</v>
      </c>
      <c r="CD54" s="1" t="str">
        <f>IF($CC54=1,BQ54,"")</f>
        <v/>
      </c>
      <c r="CE54" s="1" t="str">
        <f>IF($CC54=1,BR54,"")</f>
        <v/>
      </c>
      <c r="CF54" s="1" t="str">
        <f>IF($CC54=1,BS54,"")</f>
        <v/>
      </c>
      <c r="CG54" s="1" t="str">
        <f>IF($CC54=1,BT54,"")</f>
        <v/>
      </c>
      <c r="CH54" s="1" t="str">
        <f>IF($CC54=1,BU54,"")</f>
        <v/>
      </c>
      <c r="CI54" s="1" t="str">
        <f>IF($CC54=1,BV54,"")</f>
        <v/>
      </c>
      <c r="CJ54" s="1" t="str">
        <f>IF($CC54=1,BW54,"")</f>
        <v/>
      </c>
      <c r="CK54" s="1" t="str">
        <f>IF($CC54=1,BX54,"")</f>
        <v/>
      </c>
      <c r="CL54" s="1" t="str">
        <f>IF($CC54=1,BY54,"")</f>
        <v/>
      </c>
      <c r="CM54" s="1" t="str">
        <f>IF($CC54=1,BZ54,"")</f>
        <v/>
      </c>
      <c r="CN54" s="1" t="str">
        <f>IF($CC54=1,CA54,"")</f>
        <v/>
      </c>
      <c r="CO54" s="1" t="str">
        <f>IF($CC54=1,CB54,"")</f>
        <v/>
      </c>
      <c r="CP54" s="18">
        <f>SUM(AB54:BL54)</f>
        <v>45</v>
      </c>
    </row>
    <row r="55" spans="1:94" ht="40.5" x14ac:dyDescent="0.15">
      <c r="A55" s="1">
        <v>28</v>
      </c>
      <c r="B55" s="1" t="s">
        <v>93</v>
      </c>
      <c r="C55" s="1" t="s">
        <v>33</v>
      </c>
      <c r="D55" s="1" t="s">
        <v>1</v>
      </c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1"/>
      <c r="AC55" s="1"/>
      <c r="AD55" s="1"/>
      <c r="AE55" s="1">
        <v>5</v>
      </c>
      <c r="AF55" s="1">
        <v>5</v>
      </c>
      <c r="AG55" s="1">
        <v>5</v>
      </c>
      <c r="AH55" s="1"/>
      <c r="AI55" s="1"/>
      <c r="AJ55" s="1"/>
      <c r="AK55" s="1"/>
      <c r="AL55" s="1"/>
      <c r="AM55" s="1"/>
      <c r="AN55" s="4"/>
      <c r="AO55" s="4"/>
      <c r="AP55" s="4"/>
      <c r="AQ55" s="4"/>
      <c r="AR55" s="4"/>
      <c r="AS55" s="4"/>
      <c r="AT55" s="2"/>
      <c r="AU55" s="2"/>
      <c r="AV55" s="2"/>
      <c r="AW55" s="2"/>
      <c r="AX55" s="2"/>
      <c r="AY55" s="2"/>
      <c r="AZ55" s="14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>
        <f>SUM(E55:BL55)</f>
        <v>15</v>
      </c>
      <c r="BN55" s="1">
        <v>15</v>
      </c>
      <c r="BO55" s="17">
        <v>3</v>
      </c>
      <c r="BP55" s="17" t="s">
        <v>148</v>
      </c>
      <c r="BQ55" s="1" t="str">
        <f>IF(AN55&gt;AN$117, AN55-AN$117,"")</f>
        <v/>
      </c>
      <c r="BR55" s="1" t="str">
        <f>IF(AO55&gt;AO$117, AO55-AO$117,"")</f>
        <v/>
      </c>
      <c r="BS55" s="1" t="str">
        <f>IF(AP55&gt;AP$117, AP55-AP$117,"")</f>
        <v/>
      </c>
      <c r="BT55" s="1" t="str">
        <f>IF(AQ55&gt;AQ$117, AQ55-AQ$117,"")</f>
        <v/>
      </c>
      <c r="BU55" s="1" t="str">
        <f>IF(AR55&gt;AR$117, AR55-AR$117,"")</f>
        <v/>
      </c>
      <c r="BV55" s="1" t="str">
        <f>IF(AS55&gt;AS$117, AS55-AS$117,"")</f>
        <v/>
      </c>
      <c r="BW55" s="1" t="str">
        <f>IF(AT55&gt;AT$117, AT55-AT$117,"")</f>
        <v/>
      </c>
      <c r="BX55" s="1" t="str">
        <f>IF(AU55&gt;AU$117, AU55-AU$117,"")</f>
        <v/>
      </c>
      <c r="BY55" s="1" t="str">
        <f>IF(AV55&gt;AV$117, AV55-AV$117,"")</f>
        <v/>
      </c>
      <c r="BZ55" s="1" t="str">
        <f>IF(AW55&gt;AW$117, AW55-AW$117,"")</f>
        <v/>
      </c>
      <c r="CA55" s="1" t="str">
        <f>IF(AX55&gt;AX$117, AX55-AX$117,"")</f>
        <v/>
      </c>
      <c r="CB55" s="1" t="str">
        <f>IF(AY55&gt;AY$117, AY55-AY$117,"")</f>
        <v/>
      </c>
      <c r="CC55" s="1">
        <f>COUNTIF(BQ55:CB55, "&gt;0")</f>
        <v>0</v>
      </c>
      <c r="CD55" s="1" t="str">
        <f>IF($CC55=1,BQ55,"")</f>
        <v/>
      </c>
      <c r="CE55" s="1" t="str">
        <f>IF($CC55=1,BR55,"")</f>
        <v/>
      </c>
      <c r="CF55" s="1" t="str">
        <f>IF($CC55=1,BS55,"")</f>
        <v/>
      </c>
      <c r="CG55" s="1" t="str">
        <f>IF($CC55=1,BT55,"")</f>
        <v/>
      </c>
      <c r="CH55" s="1" t="str">
        <f>IF($CC55=1,BU55,"")</f>
        <v/>
      </c>
      <c r="CI55" s="1" t="str">
        <f>IF($CC55=1,BV55,"")</f>
        <v/>
      </c>
      <c r="CJ55" s="1" t="str">
        <f>IF($CC55=1,BW55,"")</f>
        <v/>
      </c>
      <c r="CK55" s="1" t="str">
        <f>IF($CC55=1,BX55,"")</f>
        <v/>
      </c>
      <c r="CL55" s="1" t="str">
        <f>IF($CC55=1,BY55,"")</f>
        <v/>
      </c>
      <c r="CM55" s="1" t="str">
        <f>IF($CC55=1,BZ55,"")</f>
        <v/>
      </c>
      <c r="CN55" s="1" t="str">
        <f>IF($CC55=1,CA55,"")</f>
        <v/>
      </c>
      <c r="CO55" s="1" t="str">
        <f>IF($CC55=1,CB55,"")</f>
        <v/>
      </c>
      <c r="CP55" s="18">
        <f>SUM(AB55:BL55)</f>
        <v>15</v>
      </c>
    </row>
    <row r="56" spans="1:94" ht="40.5" x14ac:dyDescent="0.15">
      <c r="A56" s="1">
        <v>89</v>
      </c>
      <c r="B56" s="3" t="s">
        <v>101</v>
      </c>
      <c r="C56" s="3" t="s">
        <v>102</v>
      </c>
      <c r="D56" s="1" t="s">
        <v>1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1"/>
      <c r="AC56" s="1">
        <v>5</v>
      </c>
      <c r="AD56" s="1"/>
      <c r="AE56" s="1">
        <v>5</v>
      </c>
      <c r="AF56" s="1">
        <v>5</v>
      </c>
      <c r="AG56" s="1"/>
      <c r="AH56" s="1"/>
      <c r="AI56" s="1"/>
      <c r="AJ56" s="1"/>
      <c r="AK56" s="1"/>
      <c r="AL56" s="1"/>
      <c r="AM56" s="1"/>
      <c r="AN56" s="4"/>
      <c r="AO56" s="4"/>
      <c r="AP56" s="4"/>
      <c r="AQ56" s="4"/>
      <c r="AR56" s="4"/>
      <c r="AS56" s="4"/>
      <c r="AT56" s="2"/>
      <c r="AU56" s="2"/>
      <c r="AV56" s="2"/>
      <c r="AW56" s="2"/>
      <c r="AX56" s="2"/>
      <c r="AY56" s="2"/>
      <c r="AZ56" s="14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>
        <f>SUM(E56:BL56)</f>
        <v>15</v>
      </c>
      <c r="BN56" s="1">
        <v>15</v>
      </c>
      <c r="BO56" s="17">
        <v>3</v>
      </c>
      <c r="BP56" s="17" t="s">
        <v>149</v>
      </c>
      <c r="BQ56" s="1" t="str">
        <f>IF(AN56&gt;AN$117, AN56-AN$117,"")</f>
        <v/>
      </c>
      <c r="BR56" s="1" t="str">
        <f>IF(AO56&gt;AO$117, AO56-AO$117,"")</f>
        <v/>
      </c>
      <c r="BS56" s="1" t="str">
        <f>IF(AP56&gt;AP$117, AP56-AP$117,"")</f>
        <v/>
      </c>
      <c r="BT56" s="1" t="str">
        <f>IF(AQ56&gt;AQ$117, AQ56-AQ$117,"")</f>
        <v/>
      </c>
      <c r="BU56" s="1" t="str">
        <f>IF(AR56&gt;AR$117, AR56-AR$117,"")</f>
        <v/>
      </c>
      <c r="BV56" s="1" t="str">
        <f>IF(AS56&gt;AS$117, AS56-AS$117,"")</f>
        <v/>
      </c>
      <c r="BW56" s="1" t="str">
        <f>IF(AT56&gt;AT$117, AT56-AT$117,"")</f>
        <v/>
      </c>
      <c r="BX56" s="1" t="str">
        <f>IF(AU56&gt;AU$117, AU56-AU$117,"")</f>
        <v/>
      </c>
      <c r="BY56" s="1" t="str">
        <f>IF(AV56&gt;AV$117, AV56-AV$117,"")</f>
        <v/>
      </c>
      <c r="BZ56" s="1" t="str">
        <f>IF(AW56&gt;AW$117, AW56-AW$117,"")</f>
        <v/>
      </c>
      <c r="CA56" s="1" t="str">
        <f>IF(AX56&gt;AX$117, AX56-AX$117,"")</f>
        <v/>
      </c>
      <c r="CB56" s="1" t="str">
        <f>IF(AY56&gt;AY$117, AY56-AY$117,"")</f>
        <v/>
      </c>
      <c r="CC56" s="1">
        <f>COUNTIF(BQ56:CB56, "&gt;0")</f>
        <v>0</v>
      </c>
      <c r="CD56" s="1" t="str">
        <f>IF($CC56=1,BQ56,"")</f>
        <v/>
      </c>
      <c r="CE56" s="1" t="str">
        <f>IF($CC56=1,BR56,"")</f>
        <v/>
      </c>
      <c r="CF56" s="1" t="str">
        <f>IF($CC56=1,BS56,"")</f>
        <v/>
      </c>
      <c r="CG56" s="1" t="str">
        <f>IF($CC56=1,BT56,"")</f>
        <v/>
      </c>
      <c r="CH56" s="1" t="str">
        <f>IF($CC56=1,BU56,"")</f>
        <v/>
      </c>
      <c r="CI56" s="1" t="str">
        <f>IF($CC56=1,BV56,"")</f>
        <v/>
      </c>
      <c r="CJ56" s="1" t="str">
        <f>IF($CC56=1,BW56,"")</f>
        <v/>
      </c>
      <c r="CK56" s="1" t="str">
        <f>IF($CC56=1,BX56,"")</f>
        <v/>
      </c>
      <c r="CL56" s="1" t="str">
        <f>IF($CC56=1,BY56,"")</f>
        <v/>
      </c>
      <c r="CM56" s="1" t="str">
        <f>IF($CC56=1,BZ56,"")</f>
        <v/>
      </c>
      <c r="CN56" s="1" t="str">
        <f>IF($CC56=1,CA56,"")</f>
        <v/>
      </c>
      <c r="CO56" s="1" t="str">
        <f>IF($CC56=1,CB56,"")</f>
        <v/>
      </c>
      <c r="CP56" s="18">
        <f>SUM(AB56:BL56)</f>
        <v>15</v>
      </c>
    </row>
    <row r="57" spans="1:94" s="25" customFormat="1" ht="40.5" x14ac:dyDescent="0.15">
      <c r="A57" s="1">
        <v>3</v>
      </c>
      <c r="B57" s="1" t="s">
        <v>11</v>
      </c>
      <c r="C57" s="1" t="s">
        <v>2</v>
      </c>
      <c r="D57" s="1" t="s">
        <v>12</v>
      </c>
      <c r="E57" s="6">
        <v>15</v>
      </c>
      <c r="F57" s="6"/>
      <c r="G57" s="6">
        <v>15</v>
      </c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4"/>
      <c r="AO57" s="4">
        <v>15</v>
      </c>
      <c r="AP57" s="4"/>
      <c r="AQ57" s="4"/>
      <c r="AR57" s="4"/>
      <c r="AS57" s="4"/>
      <c r="AT57" s="2"/>
      <c r="AU57" s="2"/>
      <c r="AV57" s="2"/>
      <c r="AW57" s="2"/>
      <c r="AX57" s="2"/>
      <c r="AY57" s="2">
        <v>15</v>
      </c>
      <c r="AZ57" s="14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>
        <f>SUM(E57:BL57)</f>
        <v>60</v>
      </c>
      <c r="BN57" s="1">
        <v>15</v>
      </c>
      <c r="BO57" s="17">
        <v>3</v>
      </c>
      <c r="BP57" s="17" t="s">
        <v>159</v>
      </c>
      <c r="BQ57" s="1" t="str">
        <f>IF(AN57&gt;AN$117, AN57-AN$117,"")</f>
        <v/>
      </c>
      <c r="BR57" s="1" t="str">
        <f>IF(AO57&gt;AO$117, AO57-AO$117,"")</f>
        <v/>
      </c>
      <c r="BS57" s="1" t="str">
        <f>IF(AP57&gt;AP$117, AP57-AP$117,"")</f>
        <v/>
      </c>
      <c r="BT57" s="1" t="str">
        <f>IF(AQ57&gt;AQ$117, AQ57-AQ$117,"")</f>
        <v/>
      </c>
      <c r="BU57" s="1" t="str">
        <f>IF(AR57&gt;AR$117, AR57-AR$117,"")</f>
        <v/>
      </c>
      <c r="BV57" s="1" t="str">
        <f>IF(AS57&gt;AS$117, AS57-AS$117,"")</f>
        <v/>
      </c>
      <c r="BW57" s="1" t="str">
        <f>IF(AT57&gt;AT$117, AT57-AT$117,"")</f>
        <v/>
      </c>
      <c r="BX57" s="1" t="str">
        <f>IF(AU57&gt;AU$117, AU57-AU$117,"")</f>
        <v/>
      </c>
      <c r="BY57" s="1" t="str">
        <f>IF(AV57&gt;AV$117, AV57-AV$117,"")</f>
        <v/>
      </c>
      <c r="BZ57" s="1" t="str">
        <f>IF(AW57&gt;AW$117, AW57-AW$117,"")</f>
        <v/>
      </c>
      <c r="CA57" s="1" t="str">
        <f>IF(AX57&gt;AX$117, AX57-AX$117,"")</f>
        <v/>
      </c>
      <c r="CB57" s="1" t="str">
        <f>IF(AY57&gt;AY$117, AY57-AY$117,"")</f>
        <v/>
      </c>
      <c r="CC57" s="1">
        <f>COUNTIF(BQ57:CB57, "&gt;0")</f>
        <v>0</v>
      </c>
      <c r="CD57" s="1" t="str">
        <f>IF($CC57=1,BQ57,"")</f>
        <v/>
      </c>
      <c r="CE57" s="1" t="str">
        <f>IF($CC57=1,BR57,"")</f>
        <v/>
      </c>
      <c r="CF57" s="1" t="str">
        <f>IF($CC57=1,BS57,"")</f>
        <v/>
      </c>
      <c r="CG57" s="1" t="str">
        <f>IF($CC57=1,BT57,"")</f>
        <v/>
      </c>
      <c r="CH57" s="1" t="str">
        <f>IF($CC57=1,BU57,"")</f>
        <v/>
      </c>
      <c r="CI57" s="1" t="str">
        <f>IF($CC57=1,BV57,"")</f>
        <v/>
      </c>
      <c r="CJ57" s="1" t="str">
        <f>IF($CC57=1,BW57,"")</f>
        <v/>
      </c>
      <c r="CK57" s="1" t="str">
        <f>IF($CC57=1,BX57,"")</f>
        <v/>
      </c>
      <c r="CL57" s="1" t="str">
        <f>IF($CC57=1,BY57,"")</f>
        <v/>
      </c>
      <c r="CM57" s="1" t="str">
        <f>IF($CC57=1,BZ57,"")</f>
        <v/>
      </c>
      <c r="CN57" s="1" t="str">
        <f>IF($CC57=1,CA57,"")</f>
        <v/>
      </c>
      <c r="CO57" s="1" t="str">
        <f>IF($CC57=1,CB57,"")</f>
        <v/>
      </c>
      <c r="CP57" s="18">
        <f>SUM(AB57:BL57)</f>
        <v>30</v>
      </c>
    </row>
    <row r="58" spans="1:94" ht="40.5" x14ac:dyDescent="0.15">
      <c r="A58" s="1">
        <v>78</v>
      </c>
      <c r="B58" s="3" t="s">
        <v>80</v>
      </c>
      <c r="C58" s="3" t="s">
        <v>77</v>
      </c>
      <c r="D58" s="1" t="s">
        <v>1</v>
      </c>
      <c r="E58" s="6"/>
      <c r="F58" s="6"/>
      <c r="G58" s="6">
        <v>15</v>
      </c>
      <c r="H58" s="6">
        <v>15</v>
      </c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4"/>
      <c r="AO58" s="4"/>
      <c r="AP58" s="4"/>
      <c r="AQ58" s="4"/>
      <c r="AR58" s="4"/>
      <c r="AS58" s="4"/>
      <c r="AT58" s="2"/>
      <c r="AU58" s="2"/>
      <c r="AV58" s="2"/>
      <c r="AW58" s="2"/>
      <c r="AX58" s="2">
        <v>15</v>
      </c>
      <c r="AY58" s="2">
        <v>15</v>
      </c>
      <c r="AZ58" s="14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>
        <f>SUM(E58:BL58)</f>
        <v>60</v>
      </c>
      <c r="BN58" s="1">
        <v>17</v>
      </c>
      <c r="BO58" s="17">
        <v>3</v>
      </c>
      <c r="BP58" s="17" t="s">
        <v>162</v>
      </c>
      <c r="BQ58" s="1" t="str">
        <f>IF(AN58&gt;AN$117, AN58-AN$117,"")</f>
        <v/>
      </c>
      <c r="BR58" s="1" t="str">
        <f>IF(AO58&gt;AO$117, AO58-AO$117,"")</f>
        <v/>
      </c>
      <c r="BS58" s="1" t="str">
        <f>IF(AP58&gt;AP$117, AP58-AP$117,"")</f>
        <v/>
      </c>
      <c r="BT58" s="1" t="str">
        <f>IF(AQ58&gt;AQ$117, AQ58-AQ$117,"")</f>
        <v/>
      </c>
      <c r="BU58" s="1" t="str">
        <f>IF(AR58&gt;AR$117, AR58-AR$117,"")</f>
        <v/>
      </c>
      <c r="BV58" s="1" t="str">
        <f>IF(AS58&gt;AS$117, AS58-AS$117,"")</f>
        <v/>
      </c>
      <c r="BW58" s="1" t="str">
        <f>IF(AT58&gt;AT$117, AT58-AT$117,"")</f>
        <v/>
      </c>
      <c r="BX58" s="1" t="str">
        <f>IF(AU58&gt;AU$117, AU58-AU$117,"")</f>
        <v/>
      </c>
      <c r="BY58" s="1" t="str">
        <f>IF(AV58&gt;AV$117, AV58-AV$117,"")</f>
        <v/>
      </c>
      <c r="BZ58" s="1" t="str">
        <f>IF(AW58&gt;AW$117, AW58-AW$117,"")</f>
        <v/>
      </c>
      <c r="CA58" s="1" t="str">
        <f>IF(AX58&gt;AX$117, AX58-AX$117,"")</f>
        <v/>
      </c>
      <c r="CB58" s="1" t="str">
        <f>IF(AY58&gt;AY$117, AY58-AY$117,"")</f>
        <v/>
      </c>
      <c r="CC58" s="1">
        <f>COUNTIF(BQ58:CB58, "&gt;0")</f>
        <v>0</v>
      </c>
      <c r="CD58" s="1" t="str">
        <f>IF($CC58=1,BQ58,"")</f>
        <v/>
      </c>
      <c r="CE58" s="1" t="str">
        <f>IF($CC58=1,BR58,"")</f>
        <v/>
      </c>
      <c r="CF58" s="1" t="str">
        <f>IF($CC58=1,BS58,"")</f>
        <v/>
      </c>
      <c r="CG58" s="1" t="str">
        <f>IF($CC58=1,BT58,"")</f>
        <v/>
      </c>
      <c r="CH58" s="1" t="str">
        <f>IF($CC58=1,BU58,"")</f>
        <v/>
      </c>
      <c r="CI58" s="1" t="str">
        <f>IF($CC58=1,BV58,"")</f>
        <v/>
      </c>
      <c r="CJ58" s="1" t="str">
        <f>IF($CC58=1,BW58,"")</f>
        <v/>
      </c>
      <c r="CK58" s="1" t="str">
        <f>IF($CC58=1,BX58,"")</f>
        <v/>
      </c>
      <c r="CL58" s="1" t="str">
        <f>IF($CC58=1,BY58,"")</f>
        <v/>
      </c>
      <c r="CM58" s="1" t="str">
        <f>IF($CC58=1,BZ58,"")</f>
        <v/>
      </c>
      <c r="CN58" s="1" t="str">
        <f>IF($CC58=1,CA58,"")</f>
        <v/>
      </c>
      <c r="CO58" s="1" t="str">
        <f>IF($CC58=1,CB58,"")</f>
        <v/>
      </c>
      <c r="CP58" s="18">
        <f>SUM(AB58:BL58)</f>
        <v>30</v>
      </c>
    </row>
    <row r="59" spans="1:94" ht="40.5" x14ac:dyDescent="0.15">
      <c r="A59" s="1">
        <v>77</v>
      </c>
      <c r="B59" s="3" t="s">
        <v>129</v>
      </c>
      <c r="C59" s="3" t="s">
        <v>77</v>
      </c>
      <c r="D59" s="1" t="s">
        <v>13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4"/>
      <c r="AO59" s="4"/>
      <c r="AP59" s="4"/>
      <c r="AQ59" s="4">
        <v>20</v>
      </c>
      <c r="AR59" s="4"/>
      <c r="AS59" s="4"/>
      <c r="AT59" s="2">
        <v>20</v>
      </c>
      <c r="AU59" s="2">
        <v>20</v>
      </c>
      <c r="AV59" s="2"/>
      <c r="AW59" s="2"/>
      <c r="AX59" s="2"/>
      <c r="AY59" s="2">
        <v>10</v>
      </c>
      <c r="AZ59" s="14"/>
      <c r="BA59" s="1"/>
      <c r="BB59" s="1"/>
      <c r="BC59" s="1"/>
      <c r="BD59" s="1"/>
      <c r="BE59" s="1">
        <v>20</v>
      </c>
      <c r="BF59" s="1"/>
      <c r="BG59" s="1"/>
      <c r="BH59" s="1"/>
      <c r="BI59" s="1"/>
      <c r="BJ59" s="1"/>
      <c r="BK59" s="1"/>
      <c r="BL59" s="1"/>
      <c r="BM59" s="1">
        <f>SUM(E59:BL59)</f>
        <v>90</v>
      </c>
      <c r="BN59" s="1">
        <v>18</v>
      </c>
      <c r="BO59" s="17">
        <v>3</v>
      </c>
      <c r="BP59" s="17" t="s">
        <v>158</v>
      </c>
      <c r="BQ59" s="1" t="str">
        <f>IF(AN59&gt;AN$117, AN59-AN$117,"")</f>
        <v/>
      </c>
      <c r="BR59" s="1" t="str">
        <f>IF(AO59&gt;AO$117, AO59-AO$117,"")</f>
        <v/>
      </c>
      <c r="BS59" s="1" t="str">
        <f>IF(AP59&gt;AP$117, AP59-AP$117,"")</f>
        <v/>
      </c>
      <c r="BT59" s="1">
        <f>IF(AQ59&gt;AQ$117, AQ59-AQ$117,"")</f>
        <v>6</v>
      </c>
      <c r="BU59" s="1" t="str">
        <f>IF(AR59&gt;AR$117, AR59-AR$117,"")</f>
        <v/>
      </c>
      <c r="BV59" s="1" t="str">
        <f>IF(AS59&gt;AS$117, AS59-AS$117,"")</f>
        <v/>
      </c>
      <c r="BW59" s="1">
        <f>IF(AT59&gt;AT$117, AT59-AT$117,"")</f>
        <v>2</v>
      </c>
      <c r="BX59" s="1" t="str">
        <f>IF(AU59&gt;AU$117, AU59-AU$117,"")</f>
        <v/>
      </c>
      <c r="BY59" s="1" t="str">
        <f>IF(AV59&gt;AV$117, AV59-AV$117,"")</f>
        <v/>
      </c>
      <c r="BZ59" s="1" t="str">
        <f>IF(AW59&gt;AW$117, AW59-AW$117,"")</f>
        <v/>
      </c>
      <c r="CA59" s="1" t="str">
        <f>IF(AX59&gt;AX$117, AX59-AX$117,"")</f>
        <v/>
      </c>
      <c r="CB59" s="1" t="str">
        <f>IF(AY59&gt;AY$117, AY59-AY$117,"")</f>
        <v/>
      </c>
      <c r="CC59" s="1">
        <f>COUNTIF(BQ59:CB59, "&gt;0")</f>
        <v>2</v>
      </c>
      <c r="CD59" s="1" t="str">
        <f>IF($CC59=1,BQ59,"")</f>
        <v/>
      </c>
      <c r="CE59" s="1" t="str">
        <f>IF($CC59=1,BR59,"")</f>
        <v/>
      </c>
      <c r="CF59" s="1" t="str">
        <f>IF($CC59=1,BS59,"")</f>
        <v/>
      </c>
      <c r="CG59" s="1" t="str">
        <f>IF($CC59=1,BT59,"")</f>
        <v/>
      </c>
      <c r="CH59" s="1" t="str">
        <f>IF($CC59=1,BU59,"")</f>
        <v/>
      </c>
      <c r="CI59" s="1" t="str">
        <f>IF($CC59=1,BV59,"")</f>
        <v/>
      </c>
      <c r="CJ59" s="1" t="str">
        <f>IF($CC59=1,BW59,"")</f>
        <v/>
      </c>
      <c r="CK59" s="1" t="str">
        <f>IF($CC59=1,BX59,"")</f>
        <v/>
      </c>
      <c r="CL59" s="1" t="str">
        <f>IF($CC59=1,BY59,"")</f>
        <v/>
      </c>
      <c r="CM59" s="1" t="str">
        <f>IF($CC59=1,BZ59,"")</f>
        <v/>
      </c>
      <c r="CN59" s="1" t="str">
        <f>IF($CC59=1,CA59,"")</f>
        <v/>
      </c>
      <c r="CO59" s="1" t="str">
        <f>IF($CC59=1,CB59,"")</f>
        <v/>
      </c>
      <c r="CP59" s="18">
        <f>SUM(AB59:BL59)</f>
        <v>90</v>
      </c>
    </row>
    <row r="60" spans="1:94" ht="40.5" x14ac:dyDescent="0.15">
      <c r="A60" s="1">
        <v>54</v>
      </c>
      <c r="B60" s="1" t="s">
        <v>63</v>
      </c>
      <c r="C60" s="1" t="s">
        <v>64</v>
      </c>
      <c r="D60" s="1" t="s">
        <v>1</v>
      </c>
      <c r="E60" s="6"/>
      <c r="F60" s="6">
        <v>15</v>
      </c>
      <c r="G60" s="6"/>
      <c r="H60" s="6">
        <v>15</v>
      </c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4"/>
      <c r="AO60" s="4"/>
      <c r="AP60" s="4"/>
      <c r="AQ60" s="4"/>
      <c r="AR60" s="4"/>
      <c r="AS60" s="4">
        <v>15</v>
      </c>
      <c r="AT60" s="2"/>
      <c r="AU60" s="2"/>
      <c r="AV60" s="2"/>
      <c r="AW60" s="2"/>
      <c r="AX60" s="2">
        <v>15</v>
      </c>
      <c r="AY60" s="2"/>
      <c r="AZ60" s="14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>
        <f>SUM(E60:BL60)</f>
        <v>60</v>
      </c>
      <c r="BN60" s="1">
        <v>19</v>
      </c>
      <c r="BO60" s="17">
        <v>3</v>
      </c>
      <c r="BP60" s="17" t="s">
        <v>160</v>
      </c>
      <c r="BQ60" s="1" t="str">
        <f>IF(AN60&gt;AN$117, AN60-AN$117,"")</f>
        <v/>
      </c>
      <c r="BR60" s="1" t="str">
        <f>IF(AO60&gt;AO$117, AO60-AO$117,"")</f>
        <v/>
      </c>
      <c r="BS60" s="1" t="str">
        <f>IF(AP60&gt;AP$117, AP60-AP$117,"")</f>
        <v/>
      </c>
      <c r="BT60" s="1" t="str">
        <f>IF(AQ60&gt;AQ$117, AQ60-AQ$117,"")</f>
        <v/>
      </c>
      <c r="BU60" s="1" t="str">
        <f>IF(AR60&gt;AR$117, AR60-AR$117,"")</f>
        <v/>
      </c>
      <c r="BV60" s="1">
        <f>IF(AS60&gt;AS$117, AS60-AS$117,"")</f>
        <v>2</v>
      </c>
      <c r="BW60" s="1" t="str">
        <f>IF(AT60&gt;AT$117, AT60-AT$117,"")</f>
        <v/>
      </c>
      <c r="BX60" s="1" t="str">
        <f>IF(AU60&gt;AU$117, AU60-AU$117,"")</f>
        <v/>
      </c>
      <c r="BY60" s="1" t="str">
        <f>IF(AV60&gt;AV$117, AV60-AV$117,"")</f>
        <v/>
      </c>
      <c r="BZ60" s="1" t="str">
        <f>IF(AW60&gt;AW$117, AW60-AW$117,"")</f>
        <v/>
      </c>
      <c r="CA60" s="1" t="str">
        <f>IF(AX60&gt;AX$117, AX60-AX$117,"")</f>
        <v/>
      </c>
      <c r="CB60" s="1" t="str">
        <f>IF(AY60&gt;AY$117, AY60-AY$117,"")</f>
        <v/>
      </c>
      <c r="CC60" s="1">
        <f>COUNTIF(BQ60:CB60, "&gt;0")</f>
        <v>1</v>
      </c>
      <c r="CD60" s="1" t="str">
        <f>IF($CC60=1,BQ60,"")</f>
        <v/>
      </c>
      <c r="CE60" s="1" t="str">
        <f>IF($CC60=1,BR60,"")</f>
        <v/>
      </c>
      <c r="CF60" s="1" t="str">
        <f>IF($CC60=1,BS60,"")</f>
        <v/>
      </c>
      <c r="CG60" s="1" t="str">
        <f>IF($CC60=1,BT60,"")</f>
        <v/>
      </c>
      <c r="CH60" s="1" t="str">
        <f>IF($CC60=1,BU60,"")</f>
        <v/>
      </c>
      <c r="CI60" s="1">
        <f>IF($CC60=1,BV60,"")</f>
        <v>2</v>
      </c>
      <c r="CJ60" s="1" t="str">
        <f>IF($CC60=1,BW60,"")</f>
        <v/>
      </c>
      <c r="CK60" s="1" t="str">
        <f>IF($CC60=1,BX60,"")</f>
        <v/>
      </c>
      <c r="CL60" s="1" t="str">
        <f>IF($CC60=1,BY60,"")</f>
        <v/>
      </c>
      <c r="CM60" s="1" t="str">
        <f>IF($CC60=1,BZ60,"")</f>
        <v/>
      </c>
      <c r="CN60" s="1" t="str">
        <f>IF($CC60=1,CA60,"")</f>
        <v/>
      </c>
      <c r="CO60" s="1" t="str">
        <f>IF($CC60=1,CB60,"")</f>
        <v/>
      </c>
      <c r="CP60" s="18">
        <f>SUM(AB60:BL60)</f>
        <v>30</v>
      </c>
    </row>
    <row r="61" spans="1:94" ht="40.5" x14ac:dyDescent="0.15">
      <c r="A61" s="19">
        <v>93</v>
      </c>
      <c r="B61" s="27" t="s">
        <v>104</v>
      </c>
      <c r="C61" s="27" t="s">
        <v>102</v>
      </c>
      <c r="D61" s="19" t="s">
        <v>1</v>
      </c>
      <c r="E61" s="20"/>
      <c r="F61" s="20">
        <v>20</v>
      </c>
      <c r="G61" s="20"/>
      <c r="H61" s="20"/>
      <c r="I61" s="20"/>
      <c r="J61" s="20"/>
      <c r="K61" s="20">
        <v>20</v>
      </c>
      <c r="L61" s="20"/>
      <c r="M61" s="20"/>
      <c r="N61" s="20">
        <v>20</v>
      </c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19"/>
      <c r="AC61" s="19"/>
      <c r="AD61" s="19"/>
      <c r="AE61" s="19"/>
      <c r="AF61" s="19"/>
      <c r="AG61" s="19"/>
      <c r="AH61" s="19"/>
      <c r="AI61" s="19"/>
      <c r="AJ61" s="19"/>
      <c r="AK61" s="19"/>
      <c r="AL61" s="19"/>
      <c r="AM61" s="19"/>
      <c r="AN61" s="21"/>
      <c r="AO61" s="21"/>
      <c r="AP61" s="21"/>
      <c r="AQ61" s="21"/>
      <c r="AR61" s="21"/>
      <c r="AS61" s="21"/>
      <c r="AT61" s="22"/>
      <c r="AU61" s="22"/>
      <c r="AV61" s="22"/>
      <c r="AW61" s="22"/>
      <c r="AX61" s="22"/>
      <c r="AY61" s="22"/>
      <c r="AZ61" s="30"/>
      <c r="BA61" s="19"/>
      <c r="BB61" s="19"/>
      <c r="BC61" s="19"/>
      <c r="BD61" s="19"/>
      <c r="BE61" s="19"/>
      <c r="BF61" s="19"/>
      <c r="BG61" s="19"/>
      <c r="BH61" s="19"/>
      <c r="BI61" s="19"/>
      <c r="BJ61" s="19"/>
      <c r="BK61" s="19"/>
      <c r="BL61" s="19"/>
      <c r="BM61" s="19">
        <f>SUM(E61:BL61)</f>
        <v>60</v>
      </c>
      <c r="BN61" s="19">
        <v>22</v>
      </c>
      <c r="BO61" s="23">
        <v>3</v>
      </c>
      <c r="BP61" s="23" t="s">
        <v>165</v>
      </c>
      <c r="BQ61" s="19" t="str">
        <f>IF(AN61&gt;AN$117, AN61-AN$117,"")</f>
        <v/>
      </c>
      <c r="BR61" s="19" t="str">
        <f>IF(AO61&gt;AO$117, AO61-AO$117,"")</f>
        <v/>
      </c>
      <c r="BS61" s="19" t="str">
        <f>IF(AP61&gt;AP$117, AP61-AP$117,"")</f>
        <v/>
      </c>
      <c r="BT61" s="19" t="str">
        <f>IF(AQ61&gt;AQ$117, AQ61-AQ$117,"")</f>
        <v/>
      </c>
      <c r="BU61" s="19" t="str">
        <f>IF(AR61&gt;AR$117, AR61-AR$117,"")</f>
        <v/>
      </c>
      <c r="BV61" s="19" t="str">
        <f>IF(AS61&gt;AS$117, AS61-AS$117,"")</f>
        <v/>
      </c>
      <c r="BW61" s="19" t="str">
        <f>IF(AT61&gt;AT$117, AT61-AT$117,"")</f>
        <v/>
      </c>
      <c r="BX61" s="19" t="str">
        <f>IF(AU61&gt;AU$117, AU61-AU$117,"")</f>
        <v/>
      </c>
      <c r="BY61" s="19" t="str">
        <f>IF(AV61&gt;AV$117, AV61-AV$117,"")</f>
        <v/>
      </c>
      <c r="BZ61" s="19" t="str">
        <f>IF(AW61&gt;AW$117, AW61-AW$117,"")</f>
        <v/>
      </c>
      <c r="CA61" s="19" t="str">
        <f>IF(AX61&gt;AX$117, AX61-AX$117,"")</f>
        <v/>
      </c>
      <c r="CB61" s="19" t="str">
        <f>IF(AY61&gt;AY$117, AY61-AY$117,"")</f>
        <v/>
      </c>
      <c r="CC61" s="19">
        <f>COUNTIF(BQ61:CB61, "&gt;0")</f>
        <v>0</v>
      </c>
      <c r="CD61" s="19" t="str">
        <f>IF($CC61=1,BQ61,"")</f>
        <v/>
      </c>
      <c r="CE61" s="19" t="str">
        <f>IF($CC61=1,BR61,"")</f>
        <v/>
      </c>
      <c r="CF61" s="19" t="str">
        <f>IF($CC61=1,BS61,"")</f>
        <v/>
      </c>
      <c r="CG61" s="19" t="str">
        <f>IF($CC61=1,BT61,"")</f>
        <v/>
      </c>
      <c r="CH61" s="19" t="str">
        <f>IF($CC61=1,BU61,"")</f>
        <v/>
      </c>
      <c r="CI61" s="19" t="str">
        <f>IF($CC61=1,BV61,"")</f>
        <v/>
      </c>
      <c r="CJ61" s="19" t="str">
        <f>IF($CC61=1,BW61,"")</f>
        <v/>
      </c>
      <c r="CK61" s="19" t="str">
        <f>IF($CC61=1,BX61,"")</f>
        <v/>
      </c>
      <c r="CL61" s="19" t="str">
        <f>IF($CC61=1,BY61,"")</f>
        <v/>
      </c>
      <c r="CM61" s="19" t="str">
        <f>IF($CC61=1,BZ61,"")</f>
        <v/>
      </c>
      <c r="CN61" s="19" t="str">
        <f>IF($CC61=1,CA61,"")</f>
        <v/>
      </c>
      <c r="CO61" s="19" t="str">
        <f>IF($CC61=1,CB61,"")</f>
        <v/>
      </c>
      <c r="CP61" s="24">
        <f>SUM(AB61:BL61)</f>
        <v>0</v>
      </c>
    </row>
    <row r="62" spans="1:94" ht="40.5" x14ac:dyDescent="0.15">
      <c r="A62" s="1">
        <v>14</v>
      </c>
      <c r="B62" s="1" t="s">
        <v>32</v>
      </c>
      <c r="C62" s="1" t="s">
        <v>33</v>
      </c>
      <c r="D62" s="1" t="s">
        <v>34</v>
      </c>
      <c r="E62" s="6"/>
      <c r="F62" s="6"/>
      <c r="G62" s="6">
        <v>15</v>
      </c>
      <c r="H62" s="6">
        <v>15</v>
      </c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4"/>
      <c r="AO62" s="4"/>
      <c r="AP62" s="4">
        <v>15</v>
      </c>
      <c r="AQ62" s="4"/>
      <c r="AR62" s="4"/>
      <c r="AS62" s="4"/>
      <c r="AT62" s="2"/>
      <c r="AU62" s="2"/>
      <c r="AV62" s="2"/>
      <c r="AW62" s="2"/>
      <c r="AX62" s="2"/>
      <c r="AY62" s="2">
        <v>15</v>
      </c>
      <c r="AZ62" s="14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>
        <f>SUM(E62:BL62)</f>
        <v>60</v>
      </c>
      <c r="BN62" s="1">
        <v>23</v>
      </c>
      <c r="BO62" s="17">
        <v>3</v>
      </c>
      <c r="BP62" s="17" t="s">
        <v>163</v>
      </c>
      <c r="BQ62" s="1" t="str">
        <f>IF(AN62&gt;AN$117, AN62-AN$117,"")</f>
        <v/>
      </c>
      <c r="BR62" s="1" t="str">
        <f>IF(AO62&gt;AO$117, AO62-AO$117,"")</f>
        <v/>
      </c>
      <c r="BS62" s="1">
        <f>IF(AP62&gt;AP$117, AP62-AP$117,"")</f>
        <v>7</v>
      </c>
      <c r="BT62" s="1" t="str">
        <f>IF(AQ62&gt;AQ$117, AQ62-AQ$117,"")</f>
        <v/>
      </c>
      <c r="BU62" s="1" t="str">
        <f>IF(AR62&gt;AR$117, AR62-AR$117,"")</f>
        <v/>
      </c>
      <c r="BV62" s="1" t="str">
        <f>IF(AS62&gt;AS$117, AS62-AS$117,"")</f>
        <v/>
      </c>
      <c r="BW62" s="1" t="str">
        <f>IF(AT62&gt;AT$117, AT62-AT$117,"")</f>
        <v/>
      </c>
      <c r="BX62" s="1" t="str">
        <f>IF(AU62&gt;AU$117, AU62-AU$117,"")</f>
        <v/>
      </c>
      <c r="BY62" s="1" t="str">
        <f>IF(AV62&gt;AV$117, AV62-AV$117,"")</f>
        <v/>
      </c>
      <c r="BZ62" s="1" t="str">
        <f>IF(AW62&gt;AW$117, AW62-AW$117,"")</f>
        <v/>
      </c>
      <c r="CA62" s="1" t="str">
        <f>IF(AX62&gt;AX$117, AX62-AX$117,"")</f>
        <v/>
      </c>
      <c r="CB62" s="1" t="str">
        <f>IF(AY62&gt;AY$117, AY62-AY$117,"")</f>
        <v/>
      </c>
      <c r="CC62" s="1">
        <f>COUNTIF(BQ62:CB62, "&gt;0")</f>
        <v>1</v>
      </c>
      <c r="CD62" s="1" t="str">
        <f>IF($CC62=1,BQ62,"")</f>
        <v/>
      </c>
      <c r="CE62" s="1" t="str">
        <f>IF($CC62=1,BR62,"")</f>
        <v/>
      </c>
      <c r="CF62" s="1">
        <f>IF($CC62=1,BS62,"")</f>
        <v>7</v>
      </c>
      <c r="CG62" s="1" t="str">
        <f>IF($CC62=1,BT62,"")</f>
        <v/>
      </c>
      <c r="CH62" s="1" t="str">
        <f>IF($CC62=1,BU62,"")</f>
        <v/>
      </c>
      <c r="CI62" s="1" t="str">
        <f>IF($CC62=1,BV62,"")</f>
        <v/>
      </c>
      <c r="CJ62" s="1" t="str">
        <f>IF($CC62=1,BW62,"")</f>
        <v/>
      </c>
      <c r="CK62" s="1" t="str">
        <f>IF($CC62=1,BX62,"")</f>
        <v/>
      </c>
      <c r="CL62" s="1" t="str">
        <f>IF($CC62=1,BY62,"")</f>
        <v/>
      </c>
      <c r="CM62" s="1" t="str">
        <f>IF($CC62=1,BZ62,"")</f>
        <v/>
      </c>
      <c r="CN62" s="1" t="str">
        <f>IF($CC62=1,CA62,"")</f>
        <v/>
      </c>
      <c r="CO62" s="1" t="str">
        <f>IF($CC62=1,CB62,"")</f>
        <v/>
      </c>
      <c r="CP62" s="18">
        <f>SUM(AB62:BL62)</f>
        <v>30</v>
      </c>
    </row>
    <row r="63" spans="1:94" ht="54" x14ac:dyDescent="0.15">
      <c r="A63" s="1">
        <v>85</v>
      </c>
      <c r="B63" s="3" t="s">
        <v>83</v>
      </c>
      <c r="C63" s="3" t="s">
        <v>77</v>
      </c>
      <c r="D63" s="1" t="s">
        <v>41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4"/>
      <c r="AO63" s="4"/>
      <c r="AP63" s="4"/>
      <c r="AQ63" s="4"/>
      <c r="AR63" s="4"/>
      <c r="AS63" s="4"/>
      <c r="AT63" s="2"/>
      <c r="AU63" s="2"/>
      <c r="AV63" s="2"/>
      <c r="AW63" s="2"/>
      <c r="AX63" s="2"/>
      <c r="AY63" s="2"/>
      <c r="AZ63" s="14"/>
      <c r="BA63" s="1"/>
      <c r="BB63" s="1"/>
      <c r="BC63" s="1"/>
      <c r="BD63" s="1"/>
      <c r="BE63" s="1"/>
      <c r="BF63" s="1"/>
      <c r="BG63" s="1"/>
      <c r="BH63" s="1"/>
      <c r="BI63" s="1">
        <v>50</v>
      </c>
      <c r="BJ63" s="1">
        <v>50</v>
      </c>
      <c r="BK63" s="1">
        <v>50</v>
      </c>
      <c r="BL63" s="1">
        <v>50</v>
      </c>
      <c r="BM63" s="1">
        <f>SUM(E63:BL63)</f>
        <v>200</v>
      </c>
      <c r="BN63" s="1">
        <v>195</v>
      </c>
      <c r="BO63" s="17">
        <v>4</v>
      </c>
      <c r="BP63" s="17" t="s">
        <v>150</v>
      </c>
      <c r="BQ63" s="1" t="str">
        <f>IF(AN63&gt;AN$117, AN63-AN$117,"")</f>
        <v/>
      </c>
      <c r="BR63" s="1" t="str">
        <f>IF(AO63&gt;AO$117, AO63-AO$117,"")</f>
        <v/>
      </c>
      <c r="BS63" s="1" t="str">
        <f>IF(AP63&gt;AP$117, AP63-AP$117,"")</f>
        <v/>
      </c>
      <c r="BT63" s="1" t="str">
        <f>IF(AQ63&gt;AQ$117, AQ63-AQ$117,"")</f>
        <v/>
      </c>
      <c r="BU63" s="1" t="str">
        <f>IF(AR63&gt;AR$117, AR63-AR$117,"")</f>
        <v/>
      </c>
      <c r="BV63" s="1" t="str">
        <f>IF(AS63&gt;AS$117, AS63-AS$117,"")</f>
        <v/>
      </c>
      <c r="BW63" s="1" t="str">
        <f>IF(AT63&gt;AT$117, AT63-AT$117,"")</f>
        <v/>
      </c>
      <c r="BX63" s="1" t="str">
        <f>IF(AU63&gt;AU$117, AU63-AU$117,"")</f>
        <v/>
      </c>
      <c r="BY63" s="1" t="str">
        <f>IF(AV63&gt;AV$117, AV63-AV$117,"")</f>
        <v/>
      </c>
      <c r="BZ63" s="1" t="str">
        <f>IF(AW63&gt;AW$117, AW63-AW$117,"")</f>
        <v/>
      </c>
      <c r="CA63" s="1" t="str">
        <f>IF(AX63&gt;AX$117, AX63-AX$117,"")</f>
        <v/>
      </c>
      <c r="CB63" s="1" t="str">
        <f>IF(AY63&gt;AY$117, AY63-AY$117,"")</f>
        <v/>
      </c>
      <c r="CC63" s="1">
        <f>COUNTIF(BQ63:CB63, "&gt;0")</f>
        <v>0</v>
      </c>
      <c r="CD63" s="1" t="str">
        <f>IF($CC63=1,BQ63,"")</f>
        <v/>
      </c>
      <c r="CE63" s="1" t="str">
        <f>IF($CC63=1,BR63,"")</f>
        <v/>
      </c>
      <c r="CF63" s="1" t="str">
        <f>IF($CC63=1,BS63,"")</f>
        <v/>
      </c>
      <c r="CG63" s="1" t="str">
        <f>IF($CC63=1,BT63,"")</f>
        <v/>
      </c>
      <c r="CH63" s="1" t="str">
        <f>IF($CC63=1,BU63,"")</f>
        <v/>
      </c>
      <c r="CI63" s="1" t="str">
        <f>IF($CC63=1,BV63,"")</f>
        <v/>
      </c>
      <c r="CJ63" s="1" t="str">
        <f>IF($CC63=1,BW63,"")</f>
        <v/>
      </c>
      <c r="CK63" s="1" t="str">
        <f>IF($CC63=1,BX63,"")</f>
        <v/>
      </c>
      <c r="CL63" s="1" t="str">
        <f>IF($CC63=1,BY63,"")</f>
        <v/>
      </c>
      <c r="CM63" s="1" t="str">
        <f>IF($CC63=1,BZ63,"")</f>
        <v/>
      </c>
      <c r="CN63" s="1" t="str">
        <f>IF($CC63=1,CA63,"")</f>
        <v/>
      </c>
      <c r="CO63" s="1" t="str">
        <f>IF($CC63=1,CB63,"")</f>
        <v/>
      </c>
      <c r="CP63" s="18">
        <f>SUM(AB63:BL63)</f>
        <v>200</v>
      </c>
    </row>
    <row r="64" spans="1:94" ht="54" x14ac:dyDescent="0.15">
      <c r="A64" s="1">
        <v>23</v>
      </c>
      <c r="B64" s="1" t="s">
        <v>127</v>
      </c>
      <c r="C64" s="1" t="s">
        <v>33</v>
      </c>
      <c r="D64" s="1" t="s">
        <v>41</v>
      </c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4"/>
      <c r="AO64" s="4"/>
      <c r="AP64" s="4"/>
      <c r="AQ64" s="4"/>
      <c r="AR64" s="4"/>
      <c r="AS64" s="4"/>
      <c r="AT64" s="2"/>
      <c r="AU64" s="2"/>
      <c r="AV64" s="2"/>
      <c r="AW64" s="2"/>
      <c r="AX64" s="2"/>
      <c r="AY64" s="2"/>
      <c r="AZ64" s="14"/>
      <c r="BA64" s="1"/>
      <c r="BB64" s="1"/>
      <c r="BC64" s="1"/>
      <c r="BD64" s="1"/>
      <c r="BE64" s="1"/>
      <c r="BF64" s="1"/>
      <c r="BG64" s="1">
        <v>50</v>
      </c>
      <c r="BH64" s="1">
        <v>50</v>
      </c>
      <c r="BI64" s="1"/>
      <c r="BJ64" s="1"/>
      <c r="BK64" s="1">
        <v>50</v>
      </c>
      <c r="BL64" s="1">
        <v>50</v>
      </c>
      <c r="BM64" s="1">
        <f>SUM(E64:BL64)</f>
        <v>200</v>
      </c>
      <c r="BN64" s="1">
        <v>195</v>
      </c>
      <c r="BO64" s="17">
        <v>4</v>
      </c>
      <c r="BP64" s="17" t="s">
        <v>151</v>
      </c>
      <c r="BQ64" s="1" t="str">
        <f>IF(AN64&gt;AN$117, AN64-AN$117,"")</f>
        <v/>
      </c>
      <c r="BR64" s="1" t="str">
        <f>IF(AO64&gt;AO$117, AO64-AO$117,"")</f>
        <v/>
      </c>
      <c r="BS64" s="1" t="str">
        <f>IF(AP64&gt;AP$117, AP64-AP$117,"")</f>
        <v/>
      </c>
      <c r="BT64" s="1" t="str">
        <f>IF(AQ64&gt;AQ$117, AQ64-AQ$117,"")</f>
        <v/>
      </c>
      <c r="BU64" s="1" t="str">
        <f>IF(AR64&gt;AR$117, AR64-AR$117,"")</f>
        <v/>
      </c>
      <c r="BV64" s="1" t="str">
        <f>IF(AS64&gt;AS$117, AS64-AS$117,"")</f>
        <v/>
      </c>
      <c r="BW64" s="1" t="str">
        <f>IF(AT64&gt;AT$117, AT64-AT$117,"")</f>
        <v/>
      </c>
      <c r="BX64" s="1" t="str">
        <f>IF(AU64&gt;AU$117, AU64-AU$117,"")</f>
        <v/>
      </c>
      <c r="BY64" s="1" t="str">
        <f>IF(AV64&gt;AV$117, AV64-AV$117,"")</f>
        <v/>
      </c>
      <c r="BZ64" s="1" t="str">
        <f>IF(AW64&gt;AW$117, AW64-AW$117,"")</f>
        <v/>
      </c>
      <c r="CA64" s="1" t="str">
        <f>IF(AX64&gt;AX$117, AX64-AX$117,"")</f>
        <v/>
      </c>
      <c r="CB64" s="1" t="str">
        <f>IF(AY64&gt;AY$117, AY64-AY$117,"")</f>
        <v/>
      </c>
      <c r="CC64" s="1">
        <f>COUNTIF(BQ64:CB64, "&gt;0")</f>
        <v>0</v>
      </c>
      <c r="CD64" s="1" t="str">
        <f>IF($CC64=1,BQ64,"")</f>
        <v/>
      </c>
      <c r="CE64" s="1" t="str">
        <f>IF($CC64=1,BR64,"")</f>
        <v/>
      </c>
      <c r="CF64" s="1" t="str">
        <f>IF($CC64=1,BS64,"")</f>
        <v/>
      </c>
      <c r="CG64" s="1" t="str">
        <f>IF($CC64=1,BT64,"")</f>
        <v/>
      </c>
      <c r="CH64" s="1" t="str">
        <f>IF($CC64=1,BU64,"")</f>
        <v/>
      </c>
      <c r="CI64" s="1" t="str">
        <f>IF($CC64=1,BV64,"")</f>
        <v/>
      </c>
      <c r="CJ64" s="1" t="str">
        <f>IF($CC64=1,BW64,"")</f>
        <v/>
      </c>
      <c r="CK64" s="1" t="str">
        <f>IF($CC64=1,BX64,"")</f>
        <v/>
      </c>
      <c r="CL64" s="1" t="str">
        <f>IF($CC64=1,BY64,"")</f>
        <v/>
      </c>
      <c r="CM64" s="1" t="str">
        <f>IF($CC64=1,BZ64,"")</f>
        <v/>
      </c>
      <c r="CN64" s="1" t="str">
        <f>IF($CC64=1,CA64,"")</f>
        <v/>
      </c>
      <c r="CO64" s="1" t="str">
        <f>IF($CC64=1,CB64,"")</f>
        <v/>
      </c>
      <c r="CP64" s="18">
        <f>SUM(AB64:BL64)</f>
        <v>200</v>
      </c>
    </row>
    <row r="65" spans="1:94" x14ac:dyDescent="0.15">
      <c r="A65" s="1"/>
      <c r="B65" s="1" t="s">
        <v>167</v>
      </c>
      <c r="C65" s="1" t="s">
        <v>168</v>
      </c>
      <c r="D65" s="1" t="s">
        <v>169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4"/>
      <c r="AO65" s="4">
        <v>10</v>
      </c>
      <c r="AP65" s="4"/>
      <c r="AQ65" s="4"/>
      <c r="AR65" s="4"/>
      <c r="AS65" s="4"/>
      <c r="AT65" s="2"/>
      <c r="AU65" s="2"/>
      <c r="AV65" s="2"/>
      <c r="AW65" s="2"/>
      <c r="AX65" s="2"/>
      <c r="AY65" s="2"/>
      <c r="AZ65" s="14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7"/>
      <c r="BP65" s="17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8"/>
    </row>
    <row r="66" spans="1:94" x14ac:dyDescent="0.15">
      <c r="A66" s="1"/>
      <c r="B66" s="1" t="s">
        <v>167</v>
      </c>
      <c r="C66" s="1" t="s">
        <v>168</v>
      </c>
      <c r="D66" s="1" t="s">
        <v>170</v>
      </c>
      <c r="E66" s="6">
        <v>10</v>
      </c>
      <c r="F66" s="6"/>
      <c r="G66" s="6">
        <v>10</v>
      </c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4"/>
      <c r="AO66" s="4"/>
      <c r="AP66" s="4"/>
      <c r="AQ66" s="4">
        <v>15</v>
      </c>
      <c r="AR66" s="4"/>
      <c r="AS66" s="4"/>
      <c r="AT66" s="2"/>
      <c r="AU66" s="2"/>
      <c r="AV66" s="2"/>
      <c r="AW66" s="2">
        <v>15</v>
      </c>
      <c r="AX66" s="2">
        <v>15</v>
      </c>
      <c r="AY66" s="2"/>
      <c r="AZ66" s="14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7"/>
      <c r="BP66" s="17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8"/>
    </row>
    <row r="67" spans="1:94" x14ac:dyDescent="0.15">
      <c r="A67" s="1"/>
      <c r="B67" s="1" t="s">
        <v>171</v>
      </c>
      <c r="C67" s="1" t="s">
        <v>172</v>
      </c>
      <c r="D67" s="1" t="s">
        <v>169</v>
      </c>
      <c r="E67" s="6"/>
      <c r="F67" s="6"/>
      <c r="G67" s="6">
        <v>15</v>
      </c>
      <c r="H67" s="6">
        <v>15</v>
      </c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4"/>
      <c r="AO67" s="4"/>
      <c r="AP67" s="4">
        <v>15</v>
      </c>
      <c r="AQ67" s="4"/>
      <c r="AR67" s="4"/>
      <c r="AS67" s="4"/>
      <c r="AT67" s="2"/>
      <c r="AU67" s="2"/>
      <c r="AV67" s="2"/>
      <c r="AW67" s="2"/>
      <c r="AX67" s="2"/>
      <c r="AY67" s="2">
        <v>15</v>
      </c>
      <c r="AZ67" s="14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7"/>
      <c r="BP67" s="17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8"/>
    </row>
    <row r="68" spans="1:94" x14ac:dyDescent="0.15">
      <c r="A68" s="1"/>
      <c r="B68" s="1" t="s">
        <v>171</v>
      </c>
      <c r="C68" s="1" t="s">
        <v>172</v>
      </c>
      <c r="D68" s="1" t="s">
        <v>170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4"/>
      <c r="AO68" s="4"/>
      <c r="AP68" s="4"/>
      <c r="AQ68" s="4"/>
      <c r="AR68" s="4"/>
      <c r="AS68" s="4"/>
      <c r="AT68" s="2"/>
      <c r="AU68" s="2"/>
      <c r="AV68" s="2"/>
      <c r="AW68" s="2"/>
      <c r="AX68" s="2"/>
      <c r="AY68" s="2"/>
      <c r="AZ68" s="14"/>
      <c r="BA68" s="1">
        <v>20</v>
      </c>
      <c r="BB68" s="1">
        <v>20</v>
      </c>
      <c r="BC68" s="1">
        <v>20</v>
      </c>
      <c r="BD68" s="1">
        <v>20</v>
      </c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7"/>
      <c r="BP68" s="17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8"/>
    </row>
    <row r="69" spans="1:94" x14ac:dyDescent="0.15">
      <c r="A69" s="1"/>
      <c r="B69" s="1" t="s">
        <v>171</v>
      </c>
      <c r="C69" s="1" t="s">
        <v>172</v>
      </c>
      <c r="D69" s="1" t="s">
        <v>173</v>
      </c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4"/>
      <c r="AO69" s="4"/>
      <c r="AP69" s="4"/>
      <c r="AQ69" s="4"/>
      <c r="AR69" s="4"/>
      <c r="AS69" s="4">
        <v>40</v>
      </c>
      <c r="AT69" s="2">
        <v>40</v>
      </c>
      <c r="AU69" s="2"/>
      <c r="AV69" s="2"/>
      <c r="AW69" s="2"/>
      <c r="AX69" s="2"/>
      <c r="AY69" s="2">
        <v>40</v>
      </c>
      <c r="AZ69" s="14">
        <v>10</v>
      </c>
      <c r="BA69" s="1">
        <v>50</v>
      </c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7"/>
      <c r="BP69" s="17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8"/>
    </row>
    <row r="70" spans="1:94" x14ac:dyDescent="0.15">
      <c r="A70" s="1"/>
      <c r="B70" s="1" t="s">
        <v>175</v>
      </c>
      <c r="C70" s="1" t="s">
        <v>172</v>
      </c>
      <c r="D70" s="1" t="s">
        <v>169</v>
      </c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4"/>
      <c r="AO70" s="4"/>
      <c r="AP70" s="4">
        <v>10</v>
      </c>
      <c r="AQ70" s="4"/>
      <c r="AR70" s="4"/>
      <c r="AS70" s="4"/>
      <c r="AT70" s="2"/>
      <c r="AU70" s="2"/>
      <c r="AV70" s="2"/>
      <c r="AW70" s="2"/>
      <c r="AX70" s="2"/>
      <c r="AY70" s="2">
        <v>10</v>
      </c>
      <c r="AZ70" s="14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7"/>
      <c r="BP70" s="17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8"/>
    </row>
    <row r="71" spans="1:94" x14ac:dyDescent="0.15">
      <c r="A71" s="1"/>
      <c r="B71" s="1" t="s">
        <v>176</v>
      </c>
      <c r="C71" s="1" t="s">
        <v>172</v>
      </c>
      <c r="D71" s="1" t="s">
        <v>177</v>
      </c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>
        <v>3</v>
      </c>
      <c r="AM71" s="1">
        <v>5</v>
      </c>
      <c r="AN71" s="4"/>
      <c r="AO71" s="4"/>
      <c r="AP71" s="4"/>
      <c r="AQ71" s="4"/>
      <c r="AR71" s="4"/>
      <c r="AS71" s="4"/>
      <c r="AT71" s="2"/>
      <c r="AU71" s="2"/>
      <c r="AV71" s="2"/>
      <c r="AW71" s="2"/>
      <c r="AX71" s="2"/>
      <c r="AY71" s="2"/>
      <c r="AZ71" s="14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7"/>
      <c r="BP71" s="17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8"/>
    </row>
    <row r="72" spans="1:94" x14ac:dyDescent="0.15">
      <c r="A72" s="1"/>
      <c r="B72" s="1" t="s">
        <v>176</v>
      </c>
      <c r="C72" s="1" t="s">
        <v>172</v>
      </c>
      <c r="D72" s="1" t="s">
        <v>169</v>
      </c>
      <c r="E72" s="6"/>
      <c r="F72" s="6"/>
      <c r="G72" s="6"/>
      <c r="H72" s="6"/>
      <c r="I72" s="6"/>
      <c r="J72" s="6"/>
      <c r="K72" s="6"/>
      <c r="L72" s="6"/>
      <c r="M72" s="6"/>
      <c r="N72" s="6"/>
      <c r="O72" s="6">
        <v>5</v>
      </c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>
        <v>5</v>
      </c>
      <c r="AM72" s="1">
        <v>10</v>
      </c>
      <c r="AN72" s="4"/>
      <c r="AO72" s="4"/>
      <c r="AP72" s="4"/>
      <c r="AQ72" s="4"/>
      <c r="AR72" s="4"/>
      <c r="AS72" s="4"/>
      <c r="AT72" s="2"/>
      <c r="AU72" s="2"/>
      <c r="AV72" s="2"/>
      <c r="AW72" s="2"/>
      <c r="AX72" s="2"/>
      <c r="AY72" s="2"/>
      <c r="AZ72" s="14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7"/>
      <c r="BP72" s="17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8"/>
    </row>
    <row r="73" spans="1:94" x14ac:dyDescent="0.15">
      <c r="A73" s="1"/>
      <c r="B73" s="1" t="s">
        <v>176</v>
      </c>
      <c r="C73" s="1" t="s">
        <v>172</v>
      </c>
      <c r="D73" s="1" t="s">
        <v>170</v>
      </c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>
        <v>10</v>
      </c>
      <c r="AM73" s="1">
        <v>10</v>
      </c>
      <c r="AN73" s="4"/>
      <c r="AO73" s="4"/>
      <c r="AP73" s="4">
        <v>5</v>
      </c>
      <c r="AQ73" s="4"/>
      <c r="AR73" s="4"/>
      <c r="AS73" s="4"/>
      <c r="AT73" s="2"/>
      <c r="AU73" s="2">
        <v>5</v>
      </c>
      <c r="AV73" s="2"/>
      <c r="AW73" s="2"/>
      <c r="AX73" s="2"/>
      <c r="AY73" s="2"/>
      <c r="AZ73" s="14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7"/>
      <c r="BP73" s="17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8"/>
    </row>
    <row r="74" spans="1:94" x14ac:dyDescent="0.15">
      <c r="A74" s="1"/>
      <c r="B74" s="1" t="s">
        <v>180</v>
      </c>
      <c r="C74" s="1" t="s">
        <v>172</v>
      </c>
      <c r="D74" s="1" t="s">
        <v>169</v>
      </c>
      <c r="E74" s="6"/>
      <c r="F74" s="6">
        <v>5</v>
      </c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4"/>
      <c r="AO74" s="4"/>
      <c r="AP74" s="4"/>
      <c r="AQ74" s="4"/>
      <c r="AR74" s="4"/>
      <c r="AS74" s="4"/>
      <c r="AT74" s="2"/>
      <c r="AU74" s="2"/>
      <c r="AV74" s="2"/>
      <c r="AW74" s="2"/>
      <c r="AX74" s="2"/>
      <c r="AY74" s="2"/>
      <c r="AZ74" s="14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7"/>
      <c r="BP74" s="17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8"/>
    </row>
    <row r="75" spans="1:94" x14ac:dyDescent="0.15">
      <c r="A75" s="1"/>
      <c r="B75" s="1" t="s">
        <v>180</v>
      </c>
      <c r="C75" s="1" t="s">
        <v>172</v>
      </c>
      <c r="D75" s="1" t="s">
        <v>170</v>
      </c>
      <c r="E75" s="6">
        <v>6</v>
      </c>
      <c r="F75" s="6">
        <v>6</v>
      </c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4"/>
      <c r="AO75" s="4"/>
      <c r="AP75" s="4">
        <v>10</v>
      </c>
      <c r="AQ75" s="4"/>
      <c r="AR75" s="4"/>
      <c r="AS75" s="4"/>
      <c r="AT75" s="2"/>
      <c r="AU75" s="2">
        <v>10</v>
      </c>
      <c r="AV75" s="2"/>
      <c r="AW75" s="2"/>
      <c r="AX75" s="2"/>
      <c r="AY75" s="2"/>
      <c r="AZ75" s="14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7"/>
      <c r="BP75" s="17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8"/>
    </row>
    <row r="76" spans="1:94" x14ac:dyDescent="0.15">
      <c r="A76" s="1"/>
      <c r="B76" s="1" t="s">
        <v>181</v>
      </c>
      <c r="C76" s="1" t="s">
        <v>172</v>
      </c>
      <c r="D76" s="1" t="s">
        <v>177</v>
      </c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>
        <v>2</v>
      </c>
      <c r="AM76" s="1"/>
      <c r="AN76" s="4"/>
      <c r="AO76" s="4"/>
      <c r="AP76" s="4"/>
      <c r="AQ76" s="4"/>
      <c r="AR76" s="4"/>
      <c r="AS76" s="4"/>
      <c r="AT76" s="2"/>
      <c r="AU76" s="2"/>
      <c r="AV76" s="2"/>
      <c r="AW76" s="2"/>
      <c r="AX76" s="2"/>
      <c r="AY76" s="2"/>
      <c r="AZ76" s="14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7"/>
      <c r="BP76" s="17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8"/>
    </row>
    <row r="77" spans="1:94" x14ac:dyDescent="0.15">
      <c r="A77" s="1"/>
      <c r="B77" s="1" t="s">
        <v>181</v>
      </c>
      <c r="C77" s="1" t="s">
        <v>172</v>
      </c>
      <c r="D77" s="1" t="s">
        <v>169</v>
      </c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>
        <v>5</v>
      </c>
      <c r="AM77" s="1">
        <v>1</v>
      </c>
      <c r="AN77" s="4"/>
      <c r="AO77" s="4"/>
      <c r="AP77" s="4"/>
      <c r="AQ77" s="4"/>
      <c r="AR77" s="4"/>
      <c r="AS77" s="4"/>
      <c r="AT77" s="2"/>
      <c r="AU77" s="2"/>
      <c r="AV77" s="2"/>
      <c r="AW77" s="2"/>
      <c r="AX77" s="2"/>
      <c r="AY77" s="2"/>
      <c r="AZ77" s="14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7"/>
      <c r="BP77" s="17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8"/>
    </row>
    <row r="78" spans="1:94" x14ac:dyDescent="0.15">
      <c r="A78" s="1"/>
      <c r="B78" s="1" t="s">
        <v>182</v>
      </c>
      <c r="C78" s="1" t="s">
        <v>183</v>
      </c>
      <c r="D78" s="1" t="s">
        <v>169</v>
      </c>
      <c r="E78" s="6">
        <v>15</v>
      </c>
      <c r="F78" s="6"/>
      <c r="G78" s="6">
        <v>15</v>
      </c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4"/>
      <c r="AO78" s="4">
        <v>15</v>
      </c>
      <c r="AP78" s="4"/>
      <c r="AQ78" s="4"/>
      <c r="AR78" s="4"/>
      <c r="AS78" s="4"/>
      <c r="AT78" s="2"/>
      <c r="AU78" s="2"/>
      <c r="AV78" s="2"/>
      <c r="AW78" s="2"/>
      <c r="AX78" s="2"/>
      <c r="AY78" s="2">
        <v>15</v>
      </c>
      <c r="AZ78" s="14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7"/>
      <c r="BP78" s="17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8"/>
    </row>
    <row r="79" spans="1:94" x14ac:dyDescent="0.15">
      <c r="A79" s="1"/>
      <c r="B79" s="1" t="s">
        <v>182</v>
      </c>
      <c r="C79" s="1" t="s">
        <v>183</v>
      </c>
      <c r="D79" s="1" t="s">
        <v>170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4"/>
      <c r="AO79" s="4"/>
      <c r="AP79" s="4"/>
      <c r="AQ79" s="4"/>
      <c r="AR79" s="4"/>
      <c r="AS79" s="4"/>
      <c r="AT79" s="2"/>
      <c r="AU79" s="2"/>
      <c r="AV79" s="2"/>
      <c r="AW79" s="2"/>
      <c r="AX79" s="2"/>
      <c r="AY79" s="2"/>
      <c r="AZ79" s="14"/>
      <c r="BA79" s="1"/>
      <c r="BB79" s="1"/>
      <c r="BC79" s="1">
        <v>20</v>
      </c>
      <c r="BD79" s="1">
        <v>20</v>
      </c>
      <c r="BE79" s="1">
        <v>20</v>
      </c>
      <c r="BF79" s="1">
        <v>20</v>
      </c>
      <c r="BG79" s="1"/>
      <c r="BH79" s="1"/>
      <c r="BI79" s="1"/>
      <c r="BJ79" s="1"/>
      <c r="BK79" s="1"/>
      <c r="BL79" s="1"/>
      <c r="BM79" s="1"/>
      <c r="BN79" s="1"/>
      <c r="BO79" s="17"/>
      <c r="BP79" s="17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8"/>
    </row>
    <row r="80" spans="1:94" x14ac:dyDescent="0.15">
      <c r="A80" s="1"/>
      <c r="B80" s="1" t="s">
        <v>184</v>
      </c>
      <c r="C80" s="1" t="s">
        <v>183</v>
      </c>
      <c r="D80" s="1" t="s">
        <v>169</v>
      </c>
      <c r="E80" s="6">
        <v>15</v>
      </c>
      <c r="F80" s="6"/>
      <c r="G80" s="6">
        <v>15</v>
      </c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4"/>
      <c r="AO80" s="4">
        <v>15</v>
      </c>
      <c r="AP80" s="4"/>
      <c r="AQ80" s="4"/>
      <c r="AR80" s="4"/>
      <c r="AS80" s="4"/>
      <c r="AT80" s="2"/>
      <c r="AU80" s="2"/>
      <c r="AV80" s="2"/>
      <c r="AW80" s="2"/>
      <c r="AX80" s="2"/>
      <c r="AY80" s="2">
        <v>15</v>
      </c>
      <c r="AZ80" s="14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7"/>
      <c r="BP80" s="17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8"/>
    </row>
    <row r="81" spans="1:94" x14ac:dyDescent="0.15">
      <c r="A81" s="1"/>
      <c r="B81" s="1" t="s">
        <v>185</v>
      </c>
      <c r="C81" s="1" t="s">
        <v>183</v>
      </c>
      <c r="D81" s="1" t="s">
        <v>169</v>
      </c>
      <c r="E81" s="6"/>
      <c r="F81" s="6"/>
      <c r="G81" s="6"/>
      <c r="H81" s="6"/>
      <c r="I81" s="6">
        <v>3</v>
      </c>
      <c r="J81" s="6"/>
      <c r="K81" s="6">
        <v>3</v>
      </c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4"/>
      <c r="AO81" s="4"/>
      <c r="AP81" s="4"/>
      <c r="AQ81" s="4"/>
      <c r="AR81" s="4"/>
      <c r="AS81" s="4"/>
      <c r="AT81" s="2"/>
      <c r="AU81" s="2"/>
      <c r="AV81" s="2"/>
      <c r="AW81" s="2"/>
      <c r="AX81" s="2"/>
      <c r="AY81" s="2"/>
      <c r="AZ81" s="14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7"/>
      <c r="BP81" s="17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8"/>
    </row>
    <row r="82" spans="1:94" x14ac:dyDescent="0.15">
      <c r="A82" s="1"/>
      <c r="B82" s="1" t="s">
        <v>186</v>
      </c>
      <c r="C82" s="1" t="s">
        <v>183</v>
      </c>
      <c r="D82" s="1" t="s">
        <v>169</v>
      </c>
      <c r="E82" s="6"/>
      <c r="F82" s="6"/>
      <c r="G82" s="6"/>
      <c r="H82" s="6"/>
      <c r="I82" s="6"/>
      <c r="J82" s="6"/>
      <c r="K82" s="6"/>
      <c r="L82" s="6"/>
      <c r="M82" s="6"/>
      <c r="N82" s="6">
        <v>5</v>
      </c>
      <c r="O82" s="6"/>
      <c r="P82" s="6"/>
      <c r="Q82" s="6"/>
      <c r="R82" s="6"/>
      <c r="S82" s="6"/>
      <c r="T82" s="6"/>
      <c r="U82" s="6"/>
      <c r="V82" s="6">
        <v>5</v>
      </c>
      <c r="W82" s="6"/>
      <c r="X82" s="6"/>
      <c r="Y82" s="6"/>
      <c r="Z82" s="6"/>
      <c r="AA82" s="6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4"/>
      <c r="AO82" s="4"/>
      <c r="AP82" s="4"/>
      <c r="AQ82" s="4"/>
      <c r="AR82" s="4"/>
      <c r="AS82" s="4"/>
      <c r="AT82" s="2"/>
      <c r="AU82" s="2"/>
      <c r="AV82" s="2"/>
      <c r="AW82" s="2"/>
      <c r="AX82" s="2"/>
      <c r="AY82" s="2"/>
      <c r="AZ82" s="14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7"/>
      <c r="BP82" s="17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8"/>
    </row>
    <row r="83" spans="1:94" x14ac:dyDescent="0.15">
      <c r="A83" s="1"/>
      <c r="B83" s="1" t="s">
        <v>186</v>
      </c>
      <c r="C83" s="1" t="s">
        <v>183</v>
      </c>
      <c r="D83" s="1" t="s">
        <v>170</v>
      </c>
      <c r="E83" s="6">
        <v>10</v>
      </c>
      <c r="F83" s="6"/>
      <c r="G83" s="6">
        <v>10</v>
      </c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4"/>
      <c r="AO83" s="4">
        <v>10</v>
      </c>
      <c r="AP83" s="4"/>
      <c r="AQ83" s="4"/>
      <c r="AR83" s="4"/>
      <c r="AS83" s="4"/>
      <c r="AT83" s="2"/>
      <c r="AU83" s="2"/>
      <c r="AV83" s="2"/>
      <c r="AW83" s="2"/>
      <c r="AX83" s="2"/>
      <c r="AY83" s="2">
        <v>10</v>
      </c>
      <c r="AZ83" s="14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7"/>
      <c r="BP83" s="17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8"/>
    </row>
    <row r="84" spans="1:94" x14ac:dyDescent="0.15">
      <c r="A84" s="1"/>
      <c r="B84" s="1" t="s">
        <v>186</v>
      </c>
      <c r="C84" s="1" t="s">
        <v>183</v>
      </c>
      <c r="D84" s="1" t="s">
        <v>187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4"/>
      <c r="AO84" s="4"/>
      <c r="AP84" s="4"/>
      <c r="AQ84" s="4"/>
      <c r="AR84" s="4"/>
      <c r="AS84" s="4"/>
      <c r="AT84" s="2"/>
      <c r="AU84" s="2"/>
      <c r="AV84" s="2"/>
      <c r="AW84" s="2"/>
      <c r="AX84" s="2"/>
      <c r="AY84" s="2"/>
      <c r="AZ84" s="14"/>
      <c r="BA84" s="1"/>
      <c r="BB84" s="1"/>
      <c r="BC84" s="1"/>
      <c r="BD84" s="1"/>
      <c r="BE84" s="1"/>
      <c r="BF84" s="1"/>
      <c r="BG84" s="1">
        <v>50</v>
      </c>
      <c r="BH84" s="1">
        <v>50</v>
      </c>
      <c r="BI84" s="1"/>
      <c r="BJ84" s="1"/>
      <c r="BK84" s="1">
        <v>50</v>
      </c>
      <c r="BL84" s="1">
        <v>50</v>
      </c>
      <c r="BM84" s="1"/>
      <c r="BN84" s="1"/>
      <c r="BO84" s="17"/>
      <c r="BP84" s="17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8"/>
    </row>
    <row r="85" spans="1:94" x14ac:dyDescent="0.15">
      <c r="A85" s="1"/>
      <c r="B85" s="1" t="s">
        <v>188</v>
      </c>
      <c r="C85" s="1" t="s">
        <v>183</v>
      </c>
      <c r="D85" s="1" t="s">
        <v>177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1"/>
      <c r="AC85" s="1"/>
      <c r="AD85" s="1"/>
      <c r="AE85" s="1">
        <v>5</v>
      </c>
      <c r="AF85" s="1"/>
      <c r="AG85" s="1"/>
      <c r="AH85" s="1"/>
      <c r="AI85" s="1"/>
      <c r="AJ85" s="1"/>
      <c r="AK85" s="1"/>
      <c r="AL85" s="1"/>
      <c r="AM85" s="1"/>
      <c r="AN85" s="4"/>
      <c r="AO85" s="4"/>
      <c r="AP85" s="4"/>
      <c r="AQ85" s="4"/>
      <c r="AR85" s="4"/>
      <c r="AS85" s="4"/>
      <c r="AT85" s="2"/>
      <c r="AU85" s="2"/>
      <c r="AV85" s="2"/>
      <c r="AW85" s="2"/>
      <c r="AX85" s="2"/>
      <c r="AY85" s="2"/>
      <c r="AZ85" s="14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7"/>
      <c r="BP85" s="17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8"/>
    </row>
    <row r="86" spans="1:94" x14ac:dyDescent="0.15">
      <c r="A86" s="1"/>
      <c r="B86" s="1" t="s">
        <v>188</v>
      </c>
      <c r="C86" s="1" t="s">
        <v>183</v>
      </c>
      <c r="D86" s="1" t="s">
        <v>170</v>
      </c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1"/>
      <c r="AC86" s="1"/>
      <c r="AD86" s="1"/>
      <c r="AE86" s="1"/>
      <c r="AF86" s="1">
        <v>5</v>
      </c>
      <c r="AG86" s="1"/>
      <c r="AH86" s="1"/>
      <c r="AI86" s="1"/>
      <c r="AJ86" s="1"/>
      <c r="AK86" s="1"/>
      <c r="AL86" s="1"/>
      <c r="AM86" s="1"/>
      <c r="AN86" s="4"/>
      <c r="AO86" s="4"/>
      <c r="AP86" s="4"/>
      <c r="AQ86" s="4"/>
      <c r="AR86" s="4"/>
      <c r="AS86" s="4"/>
      <c r="AT86" s="2"/>
      <c r="AU86" s="2"/>
      <c r="AV86" s="2"/>
      <c r="AW86" s="2"/>
      <c r="AX86" s="2"/>
      <c r="AY86" s="2"/>
      <c r="AZ86" s="14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7"/>
      <c r="BP86" s="17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8"/>
    </row>
    <row r="87" spans="1:94" x14ac:dyDescent="0.15">
      <c r="A87" s="1"/>
      <c r="B87" s="1" t="s">
        <v>189</v>
      </c>
      <c r="C87" s="1" t="s">
        <v>168</v>
      </c>
      <c r="D87" s="1" t="s">
        <v>169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4">
        <v>15</v>
      </c>
      <c r="AO87" s="4"/>
      <c r="AP87" s="4"/>
      <c r="AQ87" s="4"/>
      <c r="AR87" s="4"/>
      <c r="AS87" s="4"/>
      <c r="AT87" s="2"/>
      <c r="AU87" s="2"/>
      <c r="AV87" s="2"/>
      <c r="AW87" s="2"/>
      <c r="AX87" s="2"/>
      <c r="AY87" s="2">
        <v>15</v>
      </c>
      <c r="AZ87" s="14"/>
      <c r="BA87" s="1"/>
      <c r="BB87" s="1"/>
      <c r="BC87" s="1"/>
      <c r="BD87" s="1"/>
      <c r="BE87" s="1">
        <v>15</v>
      </c>
      <c r="BF87" s="1">
        <v>15</v>
      </c>
      <c r="BG87" s="1"/>
      <c r="BH87" s="1"/>
      <c r="BI87" s="1"/>
      <c r="BJ87" s="1"/>
      <c r="BK87" s="1"/>
      <c r="BL87" s="1"/>
      <c r="BM87" s="1"/>
      <c r="BN87" s="1"/>
      <c r="BO87" s="17"/>
      <c r="BP87" s="17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8"/>
    </row>
    <row r="88" spans="1:94" x14ac:dyDescent="0.15">
      <c r="A88" s="1"/>
      <c r="B88" s="1" t="s">
        <v>189</v>
      </c>
      <c r="C88" s="1" t="s">
        <v>168</v>
      </c>
      <c r="D88" s="1" t="s">
        <v>170</v>
      </c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4"/>
      <c r="AO88" s="4"/>
      <c r="AP88" s="4"/>
      <c r="AQ88" s="4"/>
      <c r="AR88" s="4"/>
      <c r="AS88" s="4"/>
      <c r="AT88" s="2"/>
      <c r="AU88" s="2"/>
      <c r="AV88" s="2"/>
      <c r="AW88" s="2"/>
      <c r="AX88" s="2"/>
      <c r="AY88" s="2"/>
      <c r="AZ88" s="14"/>
      <c r="BA88" s="1">
        <v>20</v>
      </c>
      <c r="BB88" s="1">
        <v>20</v>
      </c>
      <c r="BC88" s="1">
        <v>20</v>
      </c>
      <c r="BD88" s="1">
        <v>20</v>
      </c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7"/>
      <c r="BP88" s="17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8"/>
    </row>
    <row r="89" spans="1:94" x14ac:dyDescent="0.15">
      <c r="A89" s="1"/>
      <c r="B89" s="1" t="s">
        <v>190</v>
      </c>
      <c r="C89" s="1" t="s">
        <v>168</v>
      </c>
      <c r="D89" s="1" t="s">
        <v>169</v>
      </c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4">
        <v>10</v>
      </c>
      <c r="AO89" s="4"/>
      <c r="AP89" s="4"/>
      <c r="AQ89" s="4"/>
      <c r="AR89" s="4"/>
      <c r="AS89" s="4"/>
      <c r="AT89" s="2"/>
      <c r="AU89" s="2"/>
      <c r="AV89" s="2"/>
      <c r="AW89" s="2"/>
      <c r="AX89" s="2"/>
      <c r="AY89" s="2">
        <v>10</v>
      </c>
      <c r="AZ89" s="14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7"/>
      <c r="BP89" s="17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8"/>
    </row>
    <row r="90" spans="1:94" x14ac:dyDescent="0.15">
      <c r="A90" s="1"/>
      <c r="B90" s="1" t="s">
        <v>191</v>
      </c>
      <c r="C90" s="1" t="s">
        <v>168</v>
      </c>
      <c r="D90" s="1" t="s">
        <v>169</v>
      </c>
      <c r="E90" s="6"/>
      <c r="F90" s="6"/>
      <c r="G90" s="6"/>
      <c r="H90" s="6"/>
      <c r="I90" s="6"/>
      <c r="J90" s="6"/>
      <c r="K90" s="6">
        <v>5</v>
      </c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4"/>
      <c r="AO90" s="4"/>
      <c r="AP90" s="4"/>
      <c r="AQ90" s="4"/>
      <c r="AR90" s="4"/>
      <c r="AS90" s="4"/>
      <c r="AT90" s="2"/>
      <c r="AU90" s="2"/>
      <c r="AV90" s="2"/>
      <c r="AW90" s="2"/>
      <c r="AX90" s="2"/>
      <c r="AY90" s="2"/>
      <c r="AZ90" s="14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7"/>
      <c r="BP90" s="17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8"/>
    </row>
    <row r="91" spans="1:94" x14ac:dyDescent="0.15">
      <c r="A91" s="1"/>
      <c r="B91" s="1" t="s">
        <v>191</v>
      </c>
      <c r="C91" s="1" t="s">
        <v>168</v>
      </c>
      <c r="D91" s="1" t="s">
        <v>170</v>
      </c>
      <c r="E91" s="6"/>
      <c r="F91" s="6"/>
      <c r="G91" s="6"/>
      <c r="H91" s="6">
        <v>6</v>
      </c>
      <c r="I91" s="6"/>
      <c r="J91" s="6"/>
      <c r="K91" s="6">
        <v>6</v>
      </c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4">
        <v>10</v>
      </c>
      <c r="AO91" s="4"/>
      <c r="AP91" s="4"/>
      <c r="AQ91" s="4"/>
      <c r="AR91" s="4"/>
      <c r="AS91" s="4"/>
      <c r="AT91" s="2">
        <v>10</v>
      </c>
      <c r="AU91" s="2"/>
      <c r="AV91" s="2"/>
      <c r="AW91" s="2"/>
      <c r="AX91" s="2"/>
      <c r="AY91" s="2"/>
      <c r="AZ91" s="14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7"/>
      <c r="BP91" s="17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8"/>
    </row>
    <row r="92" spans="1:94" x14ac:dyDescent="0.15">
      <c r="A92" s="1"/>
      <c r="B92" s="1" t="s">
        <v>192</v>
      </c>
      <c r="C92" s="1" t="s">
        <v>195</v>
      </c>
      <c r="D92" s="1" t="s">
        <v>169</v>
      </c>
      <c r="E92" s="6"/>
      <c r="F92" s="6"/>
      <c r="G92" s="6">
        <v>5</v>
      </c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>
        <v>5</v>
      </c>
      <c r="Y92" s="6"/>
      <c r="Z92" s="6"/>
      <c r="AA92" s="6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4"/>
      <c r="AO92" s="4"/>
      <c r="AP92" s="4"/>
      <c r="AQ92" s="4"/>
      <c r="AR92" s="4"/>
      <c r="AS92" s="4"/>
      <c r="AT92" s="2"/>
      <c r="AU92" s="2"/>
      <c r="AV92" s="2"/>
      <c r="AW92" s="2"/>
      <c r="AX92" s="2"/>
      <c r="AY92" s="2"/>
      <c r="AZ92" s="14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7"/>
      <c r="BP92" s="17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8"/>
    </row>
    <row r="93" spans="1:94" x14ac:dyDescent="0.15">
      <c r="A93" s="1"/>
      <c r="B93" s="1" t="s">
        <v>193</v>
      </c>
      <c r="C93" s="1" t="s">
        <v>195</v>
      </c>
      <c r="D93" s="1" t="s">
        <v>169</v>
      </c>
      <c r="E93" s="6"/>
      <c r="F93" s="6"/>
      <c r="G93" s="6">
        <v>2</v>
      </c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>
        <v>5</v>
      </c>
      <c r="Y93" s="6"/>
      <c r="Z93" s="6"/>
      <c r="AA93" s="6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4"/>
      <c r="AO93" s="4"/>
      <c r="AP93" s="4"/>
      <c r="AQ93" s="4"/>
      <c r="AR93" s="4"/>
      <c r="AS93" s="4"/>
      <c r="AT93" s="2"/>
      <c r="AU93" s="2"/>
      <c r="AV93" s="2"/>
      <c r="AW93" s="2"/>
      <c r="AX93" s="2"/>
      <c r="AY93" s="2"/>
      <c r="AZ93" s="14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7"/>
      <c r="BP93" s="17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8"/>
    </row>
    <row r="94" spans="1:94" x14ac:dyDescent="0.15">
      <c r="A94" s="1"/>
      <c r="B94" s="1" t="s">
        <v>194</v>
      </c>
      <c r="C94" s="1" t="s">
        <v>195</v>
      </c>
      <c r="D94" s="1" t="s">
        <v>169</v>
      </c>
      <c r="E94" s="6"/>
      <c r="F94" s="6"/>
      <c r="G94" s="6">
        <v>5</v>
      </c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>
        <v>5</v>
      </c>
      <c r="Y94" s="6"/>
      <c r="Z94" s="6"/>
      <c r="AA94" s="6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4"/>
      <c r="AO94" s="4"/>
      <c r="AP94" s="4"/>
      <c r="AQ94" s="4"/>
      <c r="AR94" s="4"/>
      <c r="AS94" s="4"/>
      <c r="AT94" s="2"/>
      <c r="AU94" s="2"/>
      <c r="AV94" s="2"/>
      <c r="AW94" s="2"/>
      <c r="AX94" s="2"/>
      <c r="AY94" s="2"/>
      <c r="AZ94" s="14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7"/>
      <c r="BP94" s="17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8"/>
    </row>
    <row r="95" spans="1:94" x14ac:dyDescent="0.15">
      <c r="A95" s="1"/>
      <c r="B95" s="1" t="s">
        <v>194</v>
      </c>
      <c r="C95" s="1" t="s">
        <v>195</v>
      </c>
      <c r="D95" s="1" t="s">
        <v>170</v>
      </c>
      <c r="E95" s="6"/>
      <c r="F95" s="6"/>
      <c r="G95" s="6">
        <v>6</v>
      </c>
      <c r="H95" s="6">
        <v>6</v>
      </c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4"/>
      <c r="AO95" s="4"/>
      <c r="AP95" s="4"/>
      <c r="AQ95" s="4"/>
      <c r="AR95" s="4"/>
      <c r="AS95" s="4">
        <v>10</v>
      </c>
      <c r="AT95" s="2">
        <v>10</v>
      </c>
      <c r="AU95" s="2"/>
      <c r="AV95" s="2"/>
      <c r="AW95" s="2"/>
      <c r="AX95" s="2"/>
      <c r="AY95" s="2"/>
      <c r="AZ95" s="14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7"/>
      <c r="BP95" s="17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8"/>
    </row>
    <row r="96" spans="1:94" x14ac:dyDescent="0.15">
      <c r="A96" s="1"/>
      <c r="B96" s="1" t="s">
        <v>196</v>
      </c>
      <c r="C96" s="1" t="s">
        <v>195</v>
      </c>
      <c r="D96" s="1" t="s">
        <v>169</v>
      </c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>
        <v>10</v>
      </c>
      <c r="Y96" s="6"/>
      <c r="Z96" s="6"/>
      <c r="AA96" s="6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4"/>
      <c r="AO96" s="4"/>
      <c r="AP96" s="4"/>
      <c r="AQ96" s="4"/>
      <c r="AR96" s="4"/>
      <c r="AS96" s="4"/>
      <c r="AT96" s="2"/>
      <c r="AU96" s="2"/>
      <c r="AV96" s="2"/>
      <c r="AW96" s="2"/>
      <c r="AX96" s="2"/>
      <c r="AY96" s="2"/>
      <c r="AZ96" s="14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7"/>
      <c r="BP96" s="17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8"/>
    </row>
    <row r="97" spans="1:94" x14ac:dyDescent="0.15">
      <c r="A97" s="1"/>
      <c r="B97" s="1" t="s">
        <v>197</v>
      </c>
      <c r="C97" s="1" t="s">
        <v>198</v>
      </c>
      <c r="D97" s="1" t="s">
        <v>169</v>
      </c>
      <c r="E97" s="6"/>
      <c r="F97" s="6"/>
      <c r="G97" s="6">
        <v>20</v>
      </c>
      <c r="H97" s="6">
        <v>20</v>
      </c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4"/>
      <c r="AO97" s="4"/>
      <c r="AP97" s="4"/>
      <c r="AQ97" s="4"/>
      <c r="AR97" s="4"/>
      <c r="AS97" s="4"/>
      <c r="AT97" s="2"/>
      <c r="AU97" s="2"/>
      <c r="AV97" s="2"/>
      <c r="AW97" s="2"/>
      <c r="AX97" s="2">
        <v>20</v>
      </c>
      <c r="AY97" s="2">
        <v>20</v>
      </c>
      <c r="AZ97" s="14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7"/>
      <c r="BP97" s="17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8"/>
    </row>
    <row r="98" spans="1:94" x14ac:dyDescent="0.15">
      <c r="A98" s="1"/>
      <c r="B98" s="1" t="s">
        <v>199</v>
      </c>
      <c r="C98" s="1" t="s">
        <v>198</v>
      </c>
      <c r="D98" s="1" t="s">
        <v>169</v>
      </c>
      <c r="E98" s="6"/>
      <c r="F98" s="6"/>
      <c r="G98" s="6">
        <v>15</v>
      </c>
      <c r="H98" s="6">
        <v>15</v>
      </c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4"/>
      <c r="AO98" s="4"/>
      <c r="AP98" s="4"/>
      <c r="AQ98" s="4"/>
      <c r="AR98" s="4"/>
      <c r="AS98" s="4"/>
      <c r="AT98" s="2"/>
      <c r="AU98" s="2"/>
      <c r="AV98" s="2"/>
      <c r="AW98" s="2"/>
      <c r="AX98" s="2">
        <v>15</v>
      </c>
      <c r="AY98" s="2">
        <v>15</v>
      </c>
      <c r="AZ98" s="14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7"/>
      <c r="BP98" s="17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8"/>
    </row>
    <row r="99" spans="1:94" x14ac:dyDescent="0.15">
      <c r="A99" s="1"/>
      <c r="B99" s="1" t="s">
        <v>200</v>
      </c>
      <c r="C99" s="1" t="s">
        <v>198</v>
      </c>
      <c r="D99" s="1" t="s">
        <v>169</v>
      </c>
      <c r="E99" s="6"/>
      <c r="F99" s="6"/>
      <c r="G99" s="6"/>
      <c r="H99" s="6">
        <v>5</v>
      </c>
      <c r="I99" s="6"/>
      <c r="J99" s="6"/>
      <c r="K99" s="6"/>
      <c r="L99" s="6"/>
      <c r="M99" s="6">
        <v>5</v>
      </c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4"/>
      <c r="AO99" s="4"/>
      <c r="AP99" s="4"/>
      <c r="AQ99" s="4"/>
      <c r="AR99" s="4"/>
      <c r="AS99" s="4"/>
      <c r="AT99" s="2"/>
      <c r="AU99" s="2"/>
      <c r="AV99" s="2"/>
      <c r="AW99" s="2"/>
      <c r="AX99" s="2"/>
      <c r="AY99" s="2"/>
      <c r="AZ99" s="14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7"/>
      <c r="BP99" s="17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8"/>
    </row>
    <row r="100" spans="1:94" x14ac:dyDescent="0.15">
      <c r="A100" s="1"/>
      <c r="B100" s="1" t="s">
        <v>200</v>
      </c>
      <c r="C100" s="1" t="s">
        <v>198</v>
      </c>
      <c r="D100" s="1" t="s">
        <v>170</v>
      </c>
      <c r="E100" s="6"/>
      <c r="F100" s="6"/>
      <c r="G100" s="6"/>
      <c r="H100" s="6">
        <v>6</v>
      </c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4"/>
      <c r="AO100" s="4"/>
      <c r="AP100" s="4"/>
      <c r="AQ100" s="4">
        <v>10</v>
      </c>
      <c r="AR100" s="4"/>
      <c r="AS100" s="4"/>
      <c r="AT100" s="2"/>
      <c r="AU100" s="2"/>
      <c r="AV100" s="2"/>
      <c r="AW100" s="2">
        <v>6</v>
      </c>
      <c r="AX100" s="2">
        <v>6</v>
      </c>
      <c r="AY100" s="2"/>
      <c r="AZ100" s="14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7"/>
      <c r="BP100" s="17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8"/>
    </row>
    <row r="101" spans="1:94" x14ac:dyDescent="0.15">
      <c r="A101" s="1"/>
      <c r="B101" s="1" t="s">
        <v>201</v>
      </c>
      <c r="C101" s="1" t="s">
        <v>198</v>
      </c>
      <c r="D101" s="1" t="s">
        <v>169</v>
      </c>
      <c r="E101" s="6"/>
      <c r="F101" s="6"/>
      <c r="G101" s="6"/>
      <c r="H101" s="6"/>
      <c r="I101" s="6"/>
      <c r="J101" s="6">
        <v>5</v>
      </c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>
        <v>5</v>
      </c>
      <c r="V101" s="6"/>
      <c r="W101" s="6"/>
      <c r="X101" s="6"/>
      <c r="Y101" s="6"/>
      <c r="Z101" s="6"/>
      <c r="AA101" s="6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4"/>
      <c r="AO101" s="4"/>
      <c r="AP101" s="4"/>
      <c r="AQ101" s="4"/>
      <c r="AR101" s="4"/>
      <c r="AS101" s="4"/>
      <c r="AT101" s="2"/>
      <c r="AU101" s="2"/>
      <c r="AV101" s="2"/>
      <c r="AW101" s="2"/>
      <c r="AX101" s="2"/>
      <c r="AY101" s="2"/>
      <c r="AZ101" s="14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7"/>
      <c r="BP101" s="17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8"/>
    </row>
    <row r="102" spans="1:94" x14ac:dyDescent="0.15">
      <c r="A102" s="1"/>
      <c r="B102" s="1" t="s">
        <v>202</v>
      </c>
      <c r="C102" s="1" t="s">
        <v>198</v>
      </c>
      <c r="D102" s="1" t="s">
        <v>169</v>
      </c>
      <c r="E102" s="6"/>
      <c r="F102" s="6">
        <v>5</v>
      </c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4"/>
      <c r="AO102" s="4"/>
      <c r="AP102" s="4"/>
      <c r="AQ102" s="4"/>
      <c r="AR102" s="4"/>
      <c r="AS102" s="4"/>
      <c r="AT102" s="2"/>
      <c r="AU102" s="2"/>
      <c r="AV102" s="2"/>
      <c r="AW102" s="2"/>
      <c r="AX102" s="2"/>
      <c r="AY102" s="2"/>
      <c r="AZ102" s="14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7"/>
      <c r="BP102" s="17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8"/>
    </row>
    <row r="103" spans="1:94" x14ac:dyDescent="0.15">
      <c r="A103" s="1"/>
      <c r="B103" s="1" t="s">
        <v>203</v>
      </c>
      <c r="C103" s="1" t="s">
        <v>198</v>
      </c>
      <c r="D103" s="1" t="s">
        <v>169</v>
      </c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>
        <v>5</v>
      </c>
      <c r="P103" s="6"/>
      <c r="Q103" s="6"/>
      <c r="R103" s="6"/>
      <c r="S103" s="6"/>
      <c r="T103" s="6"/>
      <c r="U103" s="6">
        <v>5</v>
      </c>
      <c r="V103" s="6"/>
      <c r="W103" s="6"/>
      <c r="X103" s="6"/>
      <c r="Y103" s="6"/>
      <c r="Z103" s="6"/>
      <c r="AA103" s="6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4"/>
      <c r="AO103" s="4"/>
      <c r="AP103" s="4"/>
      <c r="AQ103" s="4"/>
      <c r="AR103" s="4"/>
      <c r="AS103" s="4"/>
      <c r="AT103" s="2"/>
      <c r="AU103" s="2"/>
      <c r="AV103" s="2"/>
      <c r="AW103" s="2"/>
      <c r="AX103" s="2"/>
      <c r="AY103" s="2"/>
      <c r="AZ103" s="14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7"/>
      <c r="BP103" s="17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8"/>
    </row>
    <row r="104" spans="1:94" x14ac:dyDescent="0.15">
      <c r="A104" s="1"/>
      <c r="B104" s="1" t="s">
        <v>203</v>
      </c>
      <c r="C104" s="1" t="s">
        <v>198</v>
      </c>
      <c r="D104" s="1" t="s">
        <v>170</v>
      </c>
      <c r="E104" s="6"/>
      <c r="F104" s="6">
        <v>6</v>
      </c>
      <c r="G104" s="6"/>
      <c r="H104" s="6"/>
      <c r="I104" s="6"/>
      <c r="J104" s="6"/>
      <c r="K104" s="6"/>
      <c r="L104" s="6"/>
      <c r="M104" s="6"/>
      <c r="N104" s="6"/>
      <c r="O104" s="6">
        <v>6</v>
      </c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4"/>
      <c r="AO104" s="4"/>
      <c r="AP104" s="4"/>
      <c r="AQ104" s="4">
        <v>10</v>
      </c>
      <c r="AR104" s="4"/>
      <c r="AS104" s="4"/>
      <c r="AT104" s="2"/>
      <c r="AU104" s="2"/>
      <c r="AV104" s="2">
        <v>10</v>
      </c>
      <c r="AW104" s="2"/>
      <c r="AX104" s="2"/>
      <c r="AY104" s="2"/>
      <c r="AZ104" s="14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7"/>
      <c r="BP104" s="17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8"/>
    </row>
    <row r="105" spans="1:94" x14ac:dyDescent="0.15">
      <c r="A105" s="1"/>
      <c r="B105" s="1" t="s">
        <v>204</v>
      </c>
      <c r="C105" s="1" t="s">
        <v>198</v>
      </c>
      <c r="D105" s="1" t="s">
        <v>169</v>
      </c>
      <c r="E105" s="6"/>
      <c r="F105" s="6"/>
      <c r="G105" s="6"/>
      <c r="H105" s="6"/>
      <c r="I105" s="6"/>
      <c r="J105" s="6"/>
      <c r="K105" s="6">
        <v>5</v>
      </c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4"/>
      <c r="AO105" s="4"/>
      <c r="AP105" s="4"/>
      <c r="AQ105" s="4"/>
      <c r="AR105" s="4"/>
      <c r="AS105" s="4"/>
      <c r="AT105" s="2"/>
      <c r="AU105" s="2"/>
      <c r="AV105" s="2"/>
      <c r="AW105" s="2"/>
      <c r="AX105" s="2"/>
      <c r="AY105" s="2"/>
      <c r="AZ105" s="14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7"/>
      <c r="BP105" s="17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8"/>
    </row>
    <row r="106" spans="1:94" x14ac:dyDescent="0.15">
      <c r="A106" s="1"/>
      <c r="B106" s="1" t="s">
        <v>204</v>
      </c>
      <c r="C106" s="1" t="s">
        <v>198</v>
      </c>
      <c r="D106" s="1" t="s">
        <v>170</v>
      </c>
      <c r="E106" s="6"/>
      <c r="F106" s="6"/>
      <c r="G106" s="6"/>
      <c r="H106" s="6">
        <v>10</v>
      </c>
      <c r="I106" s="6"/>
      <c r="J106" s="6">
        <v>10</v>
      </c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4"/>
      <c r="AO106" s="4"/>
      <c r="AP106" s="4"/>
      <c r="AQ106" s="4">
        <v>10</v>
      </c>
      <c r="AR106" s="4"/>
      <c r="AS106" s="4"/>
      <c r="AT106" s="2"/>
      <c r="AU106" s="2"/>
      <c r="AV106" s="2">
        <v>10</v>
      </c>
      <c r="AW106" s="2"/>
      <c r="AX106" s="2"/>
      <c r="AY106" s="2"/>
      <c r="AZ106" s="14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7"/>
      <c r="BP106" s="17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8"/>
    </row>
    <row r="107" spans="1:94" x14ac:dyDescent="0.15">
      <c r="A107" s="1"/>
      <c r="B107" s="1" t="s">
        <v>204</v>
      </c>
      <c r="C107" s="1" t="s">
        <v>198</v>
      </c>
      <c r="D107" s="1" t="s">
        <v>187</v>
      </c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4"/>
      <c r="AO107" s="4"/>
      <c r="AP107" s="4"/>
      <c r="AQ107" s="4"/>
      <c r="AR107" s="4"/>
      <c r="AS107" s="4"/>
      <c r="AT107" s="2"/>
      <c r="AU107" s="2"/>
      <c r="AV107" s="2"/>
      <c r="AW107" s="2"/>
      <c r="AX107" s="2"/>
      <c r="AY107" s="2"/>
      <c r="AZ107" s="14"/>
      <c r="BA107" s="1"/>
      <c r="BB107" s="1"/>
      <c r="BC107" s="1"/>
      <c r="BD107" s="1"/>
      <c r="BE107" s="1"/>
      <c r="BF107" s="1"/>
      <c r="BG107" s="1"/>
      <c r="BH107" s="1"/>
      <c r="BI107" s="1">
        <v>50</v>
      </c>
      <c r="BJ107" s="1">
        <v>50</v>
      </c>
      <c r="BK107" s="1">
        <v>50</v>
      </c>
      <c r="BL107" s="1">
        <v>50</v>
      </c>
      <c r="BM107" s="1"/>
      <c r="BN107" s="1"/>
      <c r="BO107" s="17"/>
      <c r="BP107" s="17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8"/>
    </row>
    <row r="108" spans="1:94" x14ac:dyDescent="0.15">
      <c r="A108" s="1"/>
      <c r="B108" s="1" t="s">
        <v>205</v>
      </c>
      <c r="C108" s="1" t="s">
        <v>198</v>
      </c>
      <c r="D108" s="1" t="s">
        <v>169</v>
      </c>
      <c r="E108" s="6"/>
      <c r="F108" s="6"/>
      <c r="G108" s="6"/>
      <c r="H108" s="6">
        <v>5</v>
      </c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>
        <v>5</v>
      </c>
      <c r="W108" s="6"/>
      <c r="X108" s="6"/>
      <c r="Y108" s="6"/>
      <c r="Z108" s="6"/>
      <c r="AA108" s="6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4"/>
      <c r="AO108" s="4"/>
      <c r="AP108" s="4"/>
      <c r="AQ108" s="4"/>
      <c r="AR108" s="4"/>
      <c r="AS108" s="4"/>
      <c r="AT108" s="2"/>
      <c r="AU108" s="2"/>
      <c r="AV108" s="2"/>
      <c r="AW108" s="2"/>
      <c r="AX108" s="2"/>
      <c r="AY108" s="2"/>
      <c r="AZ108" s="14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7"/>
      <c r="BP108" s="17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8"/>
    </row>
    <row r="109" spans="1:94" x14ac:dyDescent="0.15">
      <c r="A109" s="1"/>
      <c r="B109" s="1" t="s">
        <v>205</v>
      </c>
      <c r="C109" s="1" t="s">
        <v>198</v>
      </c>
      <c r="D109" s="1" t="s">
        <v>170</v>
      </c>
      <c r="E109" s="6"/>
      <c r="F109" s="6"/>
      <c r="G109" s="6"/>
      <c r="H109" s="6">
        <v>6</v>
      </c>
      <c r="I109" s="6"/>
      <c r="J109" s="6">
        <v>6</v>
      </c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4"/>
      <c r="AO109" s="4"/>
      <c r="AP109" s="4"/>
      <c r="AQ109" s="4">
        <v>8</v>
      </c>
      <c r="AR109" s="4"/>
      <c r="AS109" s="4"/>
      <c r="AT109" s="2"/>
      <c r="AU109" s="2"/>
      <c r="AV109" s="2">
        <v>8</v>
      </c>
      <c r="AW109" s="2"/>
      <c r="AX109" s="2"/>
      <c r="AY109" s="2"/>
      <c r="AZ109" s="14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7"/>
      <c r="BP109" s="17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8"/>
    </row>
    <row r="110" spans="1:94" x14ac:dyDescent="0.15">
      <c r="A110" s="1"/>
      <c r="B110" s="1" t="s">
        <v>205</v>
      </c>
      <c r="C110" s="1" t="s">
        <v>198</v>
      </c>
      <c r="D110" s="1" t="s">
        <v>187</v>
      </c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4"/>
      <c r="AO110" s="4"/>
      <c r="AP110" s="4"/>
      <c r="AQ110" s="4"/>
      <c r="AR110" s="4"/>
      <c r="AS110" s="4"/>
      <c r="AT110" s="2"/>
      <c r="AU110" s="2"/>
      <c r="AV110" s="2"/>
      <c r="AW110" s="2"/>
      <c r="AX110" s="2"/>
      <c r="AY110" s="2"/>
      <c r="AZ110" s="14"/>
      <c r="BA110" s="1"/>
      <c r="BB110" s="1"/>
      <c r="BC110" s="1"/>
      <c r="BD110" s="1"/>
      <c r="BE110" s="1"/>
      <c r="BF110" s="1"/>
      <c r="BG110" s="1"/>
      <c r="BH110" s="1"/>
      <c r="BI110" s="1">
        <v>50</v>
      </c>
      <c r="BJ110" s="1">
        <v>50</v>
      </c>
      <c r="BK110" s="1">
        <v>50</v>
      </c>
      <c r="BL110" s="1">
        <v>50</v>
      </c>
      <c r="BM110" s="1"/>
      <c r="BN110" s="1"/>
      <c r="BO110" s="17"/>
      <c r="BP110" s="17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8"/>
    </row>
    <row r="111" spans="1:94" x14ac:dyDescent="0.15">
      <c r="A111" s="1"/>
      <c r="B111" s="1" t="s">
        <v>206</v>
      </c>
      <c r="C111" s="1" t="s">
        <v>198</v>
      </c>
      <c r="D111" s="1" t="s">
        <v>169</v>
      </c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4"/>
      <c r="AO111" s="4"/>
      <c r="AP111" s="4"/>
      <c r="AQ111" s="4"/>
      <c r="AR111" s="4"/>
      <c r="AS111" s="4"/>
      <c r="AT111" s="2"/>
      <c r="AU111" s="2"/>
      <c r="AV111" s="2"/>
      <c r="AW111" s="2"/>
      <c r="AX111" s="2">
        <v>10</v>
      </c>
      <c r="AY111" s="2">
        <v>10</v>
      </c>
      <c r="AZ111" s="14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7"/>
      <c r="BP111" s="17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8"/>
    </row>
    <row r="112" spans="1:94" x14ac:dyDescent="0.15">
      <c r="A112" s="1"/>
      <c r="B112" s="1" t="s">
        <v>207</v>
      </c>
      <c r="C112" s="1" t="s">
        <v>208</v>
      </c>
      <c r="D112" s="1" t="s">
        <v>169</v>
      </c>
      <c r="E112" s="6"/>
      <c r="F112" s="6"/>
      <c r="G112" s="6"/>
      <c r="H112" s="6"/>
      <c r="I112" s="6"/>
      <c r="J112" s="6"/>
      <c r="K112" s="6"/>
      <c r="L112" s="6">
        <v>20</v>
      </c>
      <c r="M112" s="6"/>
      <c r="N112" s="6"/>
      <c r="O112" s="6">
        <v>20</v>
      </c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4"/>
      <c r="AO112" s="4"/>
      <c r="AP112" s="4"/>
      <c r="AQ112" s="4"/>
      <c r="AR112" s="4"/>
      <c r="AS112" s="4"/>
      <c r="AT112" s="2"/>
      <c r="AU112" s="2"/>
      <c r="AV112" s="2"/>
      <c r="AW112" s="2"/>
      <c r="AX112" s="2">
        <v>20</v>
      </c>
      <c r="AY112" s="2">
        <v>20</v>
      </c>
      <c r="AZ112" s="14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7"/>
      <c r="BP112" s="17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8"/>
    </row>
    <row r="113" spans="1:94" x14ac:dyDescent="0.15">
      <c r="A113" s="1"/>
      <c r="B113" s="1" t="s">
        <v>209</v>
      </c>
      <c r="C113" s="1" t="s">
        <v>208</v>
      </c>
      <c r="D113" s="1" t="s">
        <v>169</v>
      </c>
      <c r="E113" s="6"/>
      <c r="F113" s="6"/>
      <c r="G113" s="6">
        <v>5</v>
      </c>
      <c r="H113" s="6"/>
      <c r="I113" s="6"/>
      <c r="J113" s="6"/>
      <c r="K113" s="6"/>
      <c r="L113" s="6"/>
      <c r="M113" s="6"/>
      <c r="N113" s="6"/>
      <c r="O113" s="6">
        <v>5</v>
      </c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4"/>
      <c r="AO113" s="4"/>
      <c r="AP113" s="4"/>
      <c r="AQ113" s="4"/>
      <c r="AR113" s="4"/>
      <c r="AS113" s="4"/>
      <c r="AT113" s="2"/>
      <c r="AU113" s="2"/>
      <c r="AV113" s="2"/>
      <c r="AW113" s="2"/>
      <c r="AX113" s="2"/>
      <c r="AY113" s="2"/>
      <c r="AZ113" s="14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7"/>
      <c r="BP113" s="17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8"/>
    </row>
    <row r="114" spans="1:94" x14ac:dyDescent="0.15">
      <c r="A114" s="1"/>
      <c r="B114" s="1" t="s">
        <v>209</v>
      </c>
      <c r="C114" s="1" t="s">
        <v>208</v>
      </c>
      <c r="D114" s="1" t="s">
        <v>170</v>
      </c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>
        <v>6</v>
      </c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4"/>
      <c r="AO114" s="4"/>
      <c r="AP114" s="4"/>
      <c r="AQ114" s="4"/>
      <c r="AR114" s="4">
        <v>10</v>
      </c>
      <c r="AS114" s="4"/>
      <c r="AT114" s="2"/>
      <c r="AU114" s="2"/>
      <c r="AV114" s="2"/>
      <c r="AW114" s="2">
        <v>6</v>
      </c>
      <c r="AX114" s="2">
        <v>6</v>
      </c>
      <c r="AY114" s="2"/>
      <c r="AZ114" s="14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7"/>
      <c r="BP114" s="17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8"/>
    </row>
    <row r="115" spans="1:94" ht="54" x14ac:dyDescent="0.15">
      <c r="A115" s="1">
        <v>102</v>
      </c>
      <c r="B115" s="3" t="s">
        <v>124</v>
      </c>
      <c r="C115" s="3" t="s">
        <v>85</v>
      </c>
      <c r="D115" s="1" t="s">
        <v>41</v>
      </c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4"/>
      <c r="AO115" s="4"/>
      <c r="AP115" s="4"/>
      <c r="AQ115" s="4"/>
      <c r="AR115" s="4"/>
      <c r="AS115" s="4"/>
      <c r="AT115" s="2"/>
      <c r="AU115" s="2"/>
      <c r="AV115" s="2"/>
      <c r="AW115" s="2"/>
      <c r="AX115" s="2"/>
      <c r="AY115" s="2"/>
      <c r="AZ115" s="14"/>
      <c r="BA115" s="1"/>
      <c r="BB115" s="1"/>
      <c r="BC115" s="1"/>
      <c r="BD115" s="1"/>
      <c r="BE115" s="1"/>
      <c r="BF115" s="1"/>
      <c r="BG115" s="1">
        <v>50</v>
      </c>
      <c r="BH115" s="1">
        <v>50</v>
      </c>
      <c r="BI115" s="1"/>
      <c r="BJ115" s="1"/>
      <c r="BK115" s="1">
        <v>50</v>
      </c>
      <c r="BL115" s="1">
        <v>50</v>
      </c>
      <c r="BM115" s="1">
        <f>SUM(E115:BL115)</f>
        <v>200</v>
      </c>
      <c r="BN115" s="1">
        <v>195</v>
      </c>
      <c r="BO115" s="17">
        <v>4</v>
      </c>
      <c r="BP115" s="17" t="s">
        <v>151</v>
      </c>
      <c r="BQ115" s="1" t="str">
        <f>IF(AN115&gt;AN$117, AN115-AN$117,"")</f>
        <v/>
      </c>
      <c r="BR115" s="1" t="str">
        <f>IF(AO115&gt;AO$117, AO115-AO$117,"")</f>
        <v/>
      </c>
      <c r="BS115" s="1" t="str">
        <f>IF(AP115&gt;AP$117, AP115-AP$117,"")</f>
        <v/>
      </c>
      <c r="BT115" s="1" t="str">
        <f>IF(AQ115&gt;AQ$117, AQ115-AQ$117,"")</f>
        <v/>
      </c>
      <c r="BU115" s="1" t="str">
        <f>IF(AR115&gt;AR$117, AR115-AR$117,"")</f>
        <v/>
      </c>
      <c r="BV115" s="1" t="str">
        <f>IF(AS115&gt;AS$117, AS115-AS$117,"")</f>
        <v/>
      </c>
      <c r="BW115" s="1" t="str">
        <f>IF(AT115&gt;AT$117, AT115-AT$117,"")</f>
        <v/>
      </c>
      <c r="BX115" s="1" t="str">
        <f>IF(AU115&gt;AU$117, AU115-AU$117,"")</f>
        <v/>
      </c>
      <c r="BY115" s="1" t="str">
        <f>IF(AV115&gt;AV$117, AV115-AV$117,"")</f>
        <v/>
      </c>
      <c r="BZ115" s="1" t="str">
        <f>IF(AW115&gt;AW$117, AW115-AW$117,"")</f>
        <v/>
      </c>
      <c r="CA115" s="1" t="str">
        <f>IF(AX115&gt;AX$117, AX115-AX$117,"")</f>
        <v/>
      </c>
      <c r="CB115" s="1" t="str">
        <f>IF(AY115&gt;AY$117, AY115-AY$117,"")</f>
        <v/>
      </c>
      <c r="CC115" s="1">
        <f>COUNTIF(BQ115:CB115, "&gt;0")</f>
        <v>0</v>
      </c>
      <c r="CD115" s="1" t="str">
        <f>IF($CC115=1,BQ115,"")</f>
        <v/>
      </c>
      <c r="CE115" s="1" t="str">
        <f>IF($CC115=1,BR115,"")</f>
        <v/>
      </c>
      <c r="CF115" s="1" t="str">
        <f>IF($CC115=1,BS115,"")</f>
        <v/>
      </c>
      <c r="CG115" s="1" t="str">
        <f>IF($CC115=1,BT115,"")</f>
        <v/>
      </c>
      <c r="CH115" s="1" t="str">
        <f>IF($CC115=1,BU115,"")</f>
        <v/>
      </c>
      <c r="CI115" s="1" t="str">
        <f>IF($CC115=1,BV115,"")</f>
        <v/>
      </c>
      <c r="CJ115" s="1" t="str">
        <f>IF($CC115=1,BW115,"")</f>
        <v/>
      </c>
      <c r="CK115" s="1" t="str">
        <f>IF($CC115=1,BX115,"")</f>
        <v/>
      </c>
      <c r="CL115" s="1" t="str">
        <f>IF($CC115=1,BY115,"")</f>
        <v/>
      </c>
      <c r="CM115" s="1" t="str">
        <f>IF($CC115=1,BZ115,"")</f>
        <v/>
      </c>
      <c r="CN115" s="1" t="str">
        <f>IF($CC115=1,CA115,"")</f>
        <v/>
      </c>
      <c r="CO115" s="1" t="str">
        <f>IF($CC115=1,CB115,"")</f>
        <v/>
      </c>
      <c r="CP115" s="18">
        <f>SUM(AB115:BL115)</f>
        <v>200</v>
      </c>
    </row>
    <row r="116" spans="1:94" x14ac:dyDescent="0.15">
      <c r="A116" s="1"/>
      <c r="B116" s="1" t="s">
        <v>88</v>
      </c>
      <c r="C116" s="1"/>
      <c r="D116" s="1"/>
      <c r="E116" s="6">
        <f>SUM(E2:E115)</f>
        <v>103</v>
      </c>
      <c r="F116" s="6">
        <f>SUM(F2:F115)</f>
        <v>95</v>
      </c>
      <c r="G116" s="6">
        <f>SUM(G2:G115)</f>
        <v>204</v>
      </c>
      <c r="H116" s="6">
        <f>SUM(H2:H115)</f>
        <v>174</v>
      </c>
      <c r="I116" s="6">
        <f>SUM(I2:I115)</f>
        <v>33</v>
      </c>
      <c r="J116" s="6">
        <f>SUM(J2:J115)</f>
        <v>31</v>
      </c>
      <c r="K116" s="6">
        <f>SUM(K2:K115)</f>
        <v>52</v>
      </c>
      <c r="L116" s="6">
        <f>SUM(L2:L115)</f>
        <v>65</v>
      </c>
      <c r="M116" s="6">
        <f>SUM(M2:M115)</f>
        <v>17</v>
      </c>
      <c r="N116" s="6">
        <f>SUM(N2:N115)</f>
        <v>47</v>
      </c>
      <c r="O116" s="6">
        <f>SUM(O2:O115)</f>
        <v>84</v>
      </c>
      <c r="P116" s="6">
        <f>SUM(P2:P115)</f>
        <v>15</v>
      </c>
      <c r="Q116" s="6">
        <f>SUM(Q2:Q115)</f>
        <v>0</v>
      </c>
      <c r="R116" s="6">
        <f>SUM(R2:R115)</f>
        <v>0</v>
      </c>
      <c r="S116" s="6">
        <f>SUM(S2:S115)</f>
        <v>8</v>
      </c>
      <c r="T116" s="6">
        <f>SUM(T2:T115)</f>
        <v>0</v>
      </c>
      <c r="U116" s="6">
        <f>SUM(U2:U115)</f>
        <v>30</v>
      </c>
      <c r="V116" s="6">
        <f>SUM(V2:V115)</f>
        <v>25</v>
      </c>
      <c r="W116" s="6">
        <f>SUM(W2:W115)</f>
        <v>10</v>
      </c>
      <c r="X116" s="6">
        <f>SUM(X2:X115)</f>
        <v>30</v>
      </c>
      <c r="Y116" s="6">
        <f>SUM(Y2:Y115)</f>
        <v>0</v>
      </c>
      <c r="Z116" s="6">
        <f>SUM(Z2:Z115)</f>
        <v>0</v>
      </c>
      <c r="AA116" s="6">
        <f>SUM(AA2:AA115)</f>
        <v>0</v>
      </c>
      <c r="AB116" s="1">
        <f>SUM(AB2:AB115)</f>
        <v>275</v>
      </c>
      <c r="AC116" s="1">
        <f>SUM(AC2:AC115)</f>
        <v>10</v>
      </c>
      <c r="AD116" s="1">
        <f>SUM(AD2:AD115)</f>
        <v>15</v>
      </c>
      <c r="AE116" s="1">
        <f>SUM(AE2:AE115)</f>
        <v>30</v>
      </c>
      <c r="AF116" s="1">
        <f>SUM(AF2:AF115)</f>
        <v>30</v>
      </c>
      <c r="AG116" s="1">
        <f>SUM(AG2:AG115)</f>
        <v>5</v>
      </c>
      <c r="AH116" s="1">
        <f>SUM(AH2:AH115)</f>
        <v>0</v>
      </c>
      <c r="AI116" s="1">
        <f>SUM(AI2:AI115)</f>
        <v>0</v>
      </c>
      <c r="AJ116" s="1">
        <f>SUM(AJ2:AJ115)</f>
        <v>20</v>
      </c>
      <c r="AK116" s="1">
        <f>SUM(AK2:AK115)</f>
        <v>50</v>
      </c>
      <c r="AL116" s="1">
        <f t="shared" ref="AL116:AM116" si="0">SUM(AL2:AL115)</f>
        <v>25</v>
      </c>
      <c r="AM116" s="1">
        <f t="shared" si="0"/>
        <v>26</v>
      </c>
      <c r="AN116" s="4">
        <f>SUM(AN2:AN115)</f>
        <v>90</v>
      </c>
      <c r="AO116" s="4">
        <f>SUM(AO2:AO115)</f>
        <v>110</v>
      </c>
      <c r="AP116" s="4">
        <f>SUM(AP2:AP115)</f>
        <v>70</v>
      </c>
      <c r="AQ116" s="4">
        <f>SUM(AQ2:AQ115)</f>
        <v>93</v>
      </c>
      <c r="AR116" s="4">
        <f>SUM(AR2:AR115)</f>
        <v>18</v>
      </c>
      <c r="AS116" s="4">
        <f>SUM(AS2:AS115)</f>
        <v>115</v>
      </c>
      <c r="AT116" s="2">
        <f>SUM(AT2:AT115)</f>
        <v>113</v>
      </c>
      <c r="AU116" s="2">
        <f>SUM(AU2:AU115)</f>
        <v>80</v>
      </c>
      <c r="AV116" s="2">
        <f>SUM(AV2:AV115)</f>
        <v>28</v>
      </c>
      <c r="AW116" s="2">
        <f>SUM(AW2:AW115)</f>
        <v>92</v>
      </c>
      <c r="AX116" s="2">
        <f>SUM(AX2:AX115)</f>
        <v>182</v>
      </c>
      <c r="AY116" s="2">
        <f>SUM(AY2:AY115)</f>
        <v>355</v>
      </c>
      <c r="AZ116" s="1">
        <f>SUM(AZ2:AZ115)</f>
        <v>10</v>
      </c>
      <c r="BA116" s="1">
        <f>SUM(BA2:BA115)</f>
        <v>150</v>
      </c>
      <c r="BB116" s="1">
        <f>SUM(BB2:BB115)</f>
        <v>100</v>
      </c>
      <c r="BC116" s="1">
        <f>SUM(BC2:BC115)</f>
        <v>120</v>
      </c>
      <c r="BD116" s="1">
        <f>SUM(BD2:BD115)</f>
        <v>120</v>
      </c>
      <c r="BE116" s="1">
        <f>SUM(BE2:BE115)</f>
        <v>120</v>
      </c>
      <c r="BF116" s="1">
        <f>SUM(BF2:BF115)</f>
        <v>90</v>
      </c>
      <c r="BG116" s="1">
        <f>SUM(BG2:BG115)</f>
        <v>150</v>
      </c>
      <c r="BH116" s="1">
        <f>SUM(BH2:BH115)</f>
        <v>150</v>
      </c>
      <c r="BI116" s="1">
        <f>SUM(BI2:BI115)</f>
        <v>150</v>
      </c>
      <c r="BJ116" s="1">
        <f>SUM(BJ2:BJ115)</f>
        <v>150</v>
      </c>
      <c r="BK116" s="1">
        <f>SUM(BK2:BK115)</f>
        <v>300</v>
      </c>
      <c r="BL116" s="1">
        <f>SUM(BL2:BL115)</f>
        <v>300</v>
      </c>
      <c r="BM116" s="1"/>
      <c r="BN116" s="1"/>
      <c r="BO116" s="17"/>
      <c r="BP116" s="17"/>
      <c r="BQ116" s="1">
        <f>MIN(BQ2:BQ115)</f>
        <v>8</v>
      </c>
      <c r="BR116" s="1">
        <f>MIN(BR2:BR115)</f>
        <v>0</v>
      </c>
      <c r="BS116" s="1">
        <f>MIN(BS2:BS115)</f>
        <v>2</v>
      </c>
      <c r="BT116" s="1">
        <f>MIN(BT2:BT115)</f>
        <v>6</v>
      </c>
      <c r="BU116" s="1">
        <f>MIN(BU2:BU115)</f>
        <v>0</v>
      </c>
      <c r="BV116" s="1">
        <f>MIN(BV2:BV115)</f>
        <v>2</v>
      </c>
      <c r="BW116" s="1">
        <f>MIN(BW2:BW115)</f>
        <v>2</v>
      </c>
      <c r="BX116" s="1">
        <f>MIN(BX2:BX115)</f>
        <v>0</v>
      </c>
      <c r="BY116" s="1">
        <f>MIN(BY2:BY115)</f>
        <v>0</v>
      </c>
      <c r="BZ116" s="1">
        <f>MIN(BZ2:BZ115)</f>
        <v>0</v>
      </c>
      <c r="CA116" s="1">
        <f>MIN(CA2:CA115)</f>
        <v>0</v>
      </c>
      <c r="CB116" s="1">
        <f>MIN(CB2:CB115)</f>
        <v>0</v>
      </c>
      <c r="CC116" s="1"/>
      <c r="CD116" s="1">
        <f>MIN(CD2:CD115)</f>
        <v>8</v>
      </c>
      <c r="CE116" s="1">
        <f>MIN(CE2:CE115)</f>
        <v>0</v>
      </c>
      <c r="CF116" s="1">
        <f>MIN(CF2:CF115)</f>
        <v>2</v>
      </c>
      <c r="CG116" s="1">
        <f>MIN(CG2:CG115)</f>
        <v>0</v>
      </c>
      <c r="CH116" s="1">
        <f>MIN(CH2:CH115)</f>
        <v>0</v>
      </c>
      <c r="CI116" s="1">
        <f>MIN(CI2:CI115)</f>
        <v>2</v>
      </c>
      <c r="CJ116" s="1">
        <f>MIN(CJ2:CJ115)</f>
        <v>0</v>
      </c>
      <c r="CK116" s="1">
        <f>MIN(CK2:CK115)</f>
        <v>0</v>
      </c>
      <c r="CL116" s="1">
        <f>MIN(CL2:CL115)</f>
        <v>0</v>
      </c>
      <c r="CM116" s="1">
        <f>MIN(CM2:CM115)</f>
        <v>0</v>
      </c>
      <c r="CN116" s="1">
        <f>MIN(CN2:CN115)</f>
        <v>0</v>
      </c>
      <c r="CO116" s="1">
        <f>MIN(CO2:CO115)</f>
        <v>0</v>
      </c>
      <c r="CP116" s="18">
        <f>COUNTIF(CP2:CP115,"=0")</f>
        <v>8</v>
      </c>
    </row>
    <row r="117" spans="1:94" x14ac:dyDescent="0.15">
      <c r="A117" s="1"/>
      <c r="B117" s="3" t="s">
        <v>116</v>
      </c>
      <c r="C117" s="1"/>
      <c r="D117" s="1"/>
      <c r="E117" s="1">
        <v>34</v>
      </c>
      <c r="F117" s="1">
        <v>6</v>
      </c>
      <c r="G117" s="1">
        <v>25</v>
      </c>
      <c r="H117" s="1">
        <v>18</v>
      </c>
      <c r="I117" s="1">
        <v>27</v>
      </c>
      <c r="J117" s="1">
        <v>43</v>
      </c>
      <c r="K117" s="1">
        <v>23</v>
      </c>
      <c r="L117" s="1">
        <v>39</v>
      </c>
      <c r="M117" s="1">
        <v>19</v>
      </c>
      <c r="N117" s="1">
        <v>20</v>
      </c>
      <c r="O117" s="1">
        <v>21</v>
      </c>
      <c r="P117" s="1">
        <v>53</v>
      </c>
      <c r="Q117" s="1">
        <v>54</v>
      </c>
      <c r="R117" s="1">
        <v>66</v>
      </c>
      <c r="S117" s="1">
        <v>46</v>
      </c>
      <c r="T117" s="1">
        <v>50</v>
      </c>
      <c r="U117" s="1">
        <v>39</v>
      </c>
      <c r="V117" s="1">
        <v>40</v>
      </c>
      <c r="W117" s="1">
        <v>43</v>
      </c>
      <c r="X117" s="1">
        <v>48</v>
      </c>
      <c r="Y117" s="1">
        <v>115</v>
      </c>
      <c r="Z117" s="1">
        <v>139</v>
      </c>
      <c r="AA117" s="1">
        <v>38</v>
      </c>
      <c r="AB117" s="1">
        <v>2</v>
      </c>
      <c r="AC117" s="1">
        <v>0</v>
      </c>
      <c r="AD117" s="1">
        <v>0</v>
      </c>
      <c r="AE117" s="1">
        <v>0</v>
      </c>
      <c r="AF117" s="1">
        <v>0</v>
      </c>
      <c r="AG117" s="1">
        <v>0</v>
      </c>
      <c r="AH117" s="1">
        <v>33</v>
      </c>
      <c r="AI117" s="1">
        <v>43</v>
      </c>
      <c r="AJ117" s="1">
        <v>0</v>
      </c>
      <c r="AK117" s="1">
        <v>0</v>
      </c>
      <c r="AL117" s="1">
        <v>0</v>
      </c>
      <c r="AM117" s="1">
        <v>0</v>
      </c>
      <c r="AN117" s="14">
        <v>2</v>
      </c>
      <c r="AO117" s="14">
        <v>15</v>
      </c>
      <c r="AP117" s="14">
        <v>8</v>
      </c>
      <c r="AQ117" s="14">
        <v>14</v>
      </c>
      <c r="AR117" s="14">
        <v>12</v>
      </c>
      <c r="AS117" s="14">
        <v>13</v>
      </c>
      <c r="AT117" s="14">
        <v>18</v>
      </c>
      <c r="AU117" s="14">
        <v>24</v>
      </c>
      <c r="AV117" s="14">
        <v>12</v>
      </c>
      <c r="AW117" s="14">
        <v>32</v>
      </c>
      <c r="AX117" s="14">
        <v>16</v>
      </c>
      <c r="AY117" s="14">
        <v>48</v>
      </c>
      <c r="AZ117" s="14"/>
      <c r="BA117" s="1">
        <v>48</v>
      </c>
      <c r="BB117" s="1">
        <v>48</v>
      </c>
      <c r="BC117" s="1">
        <v>81</v>
      </c>
      <c r="BD117" s="1">
        <v>90</v>
      </c>
      <c r="BE117" s="1">
        <v>48</v>
      </c>
      <c r="BF117" s="1">
        <v>44</v>
      </c>
      <c r="BG117" s="1">
        <v>5</v>
      </c>
      <c r="BH117" s="1"/>
      <c r="BI117" s="1">
        <v>5</v>
      </c>
      <c r="BJ117" s="1"/>
      <c r="BK117" s="1"/>
      <c r="BL117" s="1"/>
      <c r="BM117" s="1"/>
      <c r="BN117" s="1"/>
      <c r="BO117" s="17"/>
      <c r="BP117" s="17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</row>
    <row r="118" spans="1:94" x14ac:dyDescent="0.15">
      <c r="A118" s="1"/>
      <c r="B118" s="3" t="s">
        <v>123</v>
      </c>
      <c r="C118" s="1"/>
      <c r="D118" s="1"/>
      <c r="E118" s="1">
        <f>E117-E116</f>
        <v>-69</v>
      </c>
      <c r="F118" s="1">
        <f>F117-F116</f>
        <v>-89</v>
      </c>
      <c r="G118" s="1">
        <f>G117-G116</f>
        <v>-179</v>
      </c>
      <c r="H118" s="1">
        <f>H117-H116</f>
        <v>-156</v>
      </c>
      <c r="I118" s="1">
        <f>I117-I116</f>
        <v>-6</v>
      </c>
      <c r="J118" s="1">
        <f>J117-J116</f>
        <v>12</v>
      </c>
      <c r="K118" s="1">
        <f>K117-K116</f>
        <v>-29</v>
      </c>
      <c r="L118" s="1">
        <f>L117-L116</f>
        <v>-26</v>
      </c>
      <c r="M118" s="1">
        <f>M117-M116</f>
        <v>2</v>
      </c>
      <c r="N118" s="1">
        <f>N117-N116</f>
        <v>-27</v>
      </c>
      <c r="O118" s="1">
        <f>O117-O116</f>
        <v>-63</v>
      </c>
      <c r="P118" s="1">
        <f>P117-P116</f>
        <v>38</v>
      </c>
      <c r="Q118" s="1">
        <f>Q117-Q116</f>
        <v>54</v>
      </c>
      <c r="R118" s="1">
        <f>R117-R116</f>
        <v>66</v>
      </c>
      <c r="S118" s="1">
        <f>S117-S116</f>
        <v>38</v>
      </c>
      <c r="T118" s="1">
        <f>T117-T116</f>
        <v>50</v>
      </c>
      <c r="U118" s="1">
        <f>U117-U116</f>
        <v>9</v>
      </c>
      <c r="V118" s="1">
        <f>V117-V116</f>
        <v>15</v>
      </c>
      <c r="W118" s="1">
        <f>W117-W116</f>
        <v>33</v>
      </c>
      <c r="X118" s="1">
        <f>X117-X116</f>
        <v>18</v>
      </c>
      <c r="Y118" s="1">
        <f>Y117-Y116</f>
        <v>115</v>
      </c>
      <c r="Z118" s="1">
        <f>Z117-Z116</f>
        <v>139</v>
      </c>
      <c r="AA118" s="1">
        <f>AA117-AA116</f>
        <v>38</v>
      </c>
      <c r="AB118" s="1">
        <f>AB117-AB116</f>
        <v>-273</v>
      </c>
      <c r="AC118" s="1">
        <f>AC117-AC116</f>
        <v>-10</v>
      </c>
      <c r="AD118" s="1">
        <f>AD117-AD116</f>
        <v>-15</v>
      </c>
      <c r="AE118" s="1">
        <f>AE117-AE116</f>
        <v>-30</v>
      </c>
      <c r="AF118" s="1">
        <f>AF117-AF116</f>
        <v>-30</v>
      </c>
      <c r="AG118" s="1">
        <f>AG117-AG116</f>
        <v>-5</v>
      </c>
      <c r="AH118" s="1">
        <f>AH117-AH116</f>
        <v>33</v>
      </c>
      <c r="AI118" s="1">
        <f>AI117-AI116</f>
        <v>43</v>
      </c>
      <c r="AJ118" s="1">
        <f>AJ117-AJ116</f>
        <v>-20</v>
      </c>
      <c r="AK118" s="1">
        <f>AK117-AK116</f>
        <v>-50</v>
      </c>
      <c r="AL118" s="1">
        <f t="shared" ref="AL118:AM118" si="1">AL117-AL116</f>
        <v>-25</v>
      </c>
      <c r="AM118" s="1">
        <f t="shared" si="1"/>
        <v>-26</v>
      </c>
      <c r="AN118" s="1">
        <f>AN117-AN116</f>
        <v>-88</v>
      </c>
      <c r="AO118" s="1">
        <f>AO117-AO116</f>
        <v>-95</v>
      </c>
      <c r="AP118" s="1">
        <f>AP117-AP116</f>
        <v>-62</v>
      </c>
      <c r="AQ118" s="1">
        <f>AQ117-AQ116</f>
        <v>-79</v>
      </c>
      <c r="AR118" s="1">
        <f>AR117-AR116</f>
        <v>-6</v>
      </c>
      <c r="AS118" s="1">
        <f>AS117-AS116</f>
        <v>-102</v>
      </c>
      <c r="AT118" s="1">
        <f>AT117-AT116</f>
        <v>-95</v>
      </c>
      <c r="AU118" s="1">
        <f>AU117-AU116</f>
        <v>-56</v>
      </c>
      <c r="AV118" s="1">
        <f>AV117-AV116</f>
        <v>-16</v>
      </c>
      <c r="AW118" s="1">
        <f>AW117-AW116</f>
        <v>-60</v>
      </c>
      <c r="AX118" s="1">
        <f>AX117-AX116</f>
        <v>-166</v>
      </c>
      <c r="AY118" s="1">
        <f>AY117-AY116</f>
        <v>-307</v>
      </c>
      <c r="AZ118" s="1">
        <f>AZ117-AZ116</f>
        <v>-10</v>
      </c>
      <c r="BA118" s="1">
        <f>BA117-BA116</f>
        <v>-102</v>
      </c>
      <c r="BB118" s="1">
        <f>BB117-BB116</f>
        <v>-52</v>
      </c>
      <c r="BC118" s="1">
        <f>BC117-BC116</f>
        <v>-39</v>
      </c>
      <c r="BD118" s="1">
        <f>BD117-BD116</f>
        <v>-30</v>
      </c>
      <c r="BE118" s="1">
        <f>BE117-BE116</f>
        <v>-72</v>
      </c>
      <c r="BF118" s="1">
        <f>BF117-BF116</f>
        <v>-46</v>
      </c>
      <c r="BG118" s="1">
        <f>BG117-BG116</f>
        <v>-145</v>
      </c>
      <c r="BH118" s="1">
        <f>BH117-BH116</f>
        <v>-150</v>
      </c>
      <c r="BI118" s="1">
        <f>BI117-BI116</f>
        <v>-145</v>
      </c>
      <c r="BJ118" s="1">
        <f>BJ117-BJ116</f>
        <v>-150</v>
      </c>
      <c r="BK118" s="1">
        <f>BK117-BK116</f>
        <v>-300</v>
      </c>
      <c r="BL118" s="1">
        <f>BL117-BL116</f>
        <v>-300</v>
      </c>
      <c r="BM118" s="1"/>
      <c r="BN118" s="1"/>
      <c r="BO118" s="17"/>
      <c r="BP118" s="17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</row>
  </sheetData>
  <autoFilter ref="A1:BM116" xr:uid="{00000000-0009-0000-0000-000000000000}"/>
  <sortState xmlns:xlrd2="http://schemas.microsoft.com/office/spreadsheetml/2017/richdata2" ref="A2:CP118">
    <sortCondition ref="BO2:BO118"/>
    <sortCondition ref="BN2:BN118"/>
  </sortState>
  <phoneticPr fontId="1" type="noConversion"/>
  <conditionalFormatting sqref="E58:E59">
    <cfRule type="cellIs" dxfId="2" priority="4" operator="greaterThan">
      <formula>$E$117</formula>
    </cfRule>
  </conditionalFormatting>
  <conditionalFormatting sqref="E116">
    <cfRule type="cellIs" dxfId="1" priority="3" operator="greaterThan">
      <formula>$E$117</formula>
    </cfRule>
  </conditionalFormatting>
  <conditionalFormatting sqref="E118:BL1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120</xdr:row>
                    <xdr:rowOff>28575</xdr:rowOff>
                  </from>
                  <to>
                    <xdr:col>1</xdr:col>
                    <xdr:colOff>428625</xdr:colOff>
                    <xdr:row>121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20"/>
  <sheetViews>
    <sheetView workbookViewId="0">
      <selection activeCell="D42" sqref="D42"/>
    </sheetView>
  </sheetViews>
  <sheetFormatPr defaultRowHeight="13.5" x14ac:dyDescent="0.15"/>
  <cols>
    <col min="1" max="1" width="5.25" bestFit="1" customWidth="1"/>
    <col min="2" max="2" width="13" bestFit="1" customWidth="1"/>
  </cols>
  <sheetData>
    <row r="1" spans="1:3" x14ac:dyDescent="0.15">
      <c r="A1" s="5" t="s">
        <v>112</v>
      </c>
      <c r="B1" s="5" t="s">
        <v>109</v>
      </c>
      <c r="C1" s="5" t="s">
        <v>113</v>
      </c>
    </row>
    <row r="2" spans="1:3" x14ac:dyDescent="0.15">
      <c r="A2" s="1">
        <v>10</v>
      </c>
      <c r="B2" s="2" t="s">
        <v>14</v>
      </c>
      <c r="C2" s="1">
        <v>190</v>
      </c>
    </row>
    <row r="3" spans="1:3" x14ac:dyDescent="0.15">
      <c r="A3" s="1">
        <v>12</v>
      </c>
      <c r="B3" s="2" t="s">
        <v>65</v>
      </c>
      <c r="C3" s="1">
        <v>120</v>
      </c>
    </row>
    <row r="4" spans="1:3" x14ac:dyDescent="0.15">
      <c r="A4" s="1">
        <v>4</v>
      </c>
      <c r="B4" s="4" t="s">
        <v>66</v>
      </c>
      <c r="C4" s="1">
        <v>85</v>
      </c>
    </row>
    <row r="5" spans="1:3" x14ac:dyDescent="0.15">
      <c r="A5" s="1">
        <v>3</v>
      </c>
      <c r="B5" s="4" t="s">
        <v>51</v>
      </c>
      <c r="C5" s="1">
        <v>65</v>
      </c>
    </row>
    <row r="6" spans="1:3" x14ac:dyDescent="0.15">
      <c r="A6" s="1">
        <v>8</v>
      </c>
      <c r="B6" s="2" t="s">
        <v>7</v>
      </c>
      <c r="C6" s="1">
        <v>65</v>
      </c>
    </row>
    <row r="7" spans="1:3" x14ac:dyDescent="0.15">
      <c r="A7" s="1">
        <v>9</v>
      </c>
      <c r="B7" s="2" t="s">
        <v>9</v>
      </c>
      <c r="C7" s="1">
        <v>65</v>
      </c>
    </row>
    <row r="8" spans="1:3" x14ac:dyDescent="0.15">
      <c r="A8" s="1">
        <v>1</v>
      </c>
      <c r="B8" s="4" t="s">
        <v>5</v>
      </c>
      <c r="C8" s="1">
        <v>60</v>
      </c>
    </row>
    <row r="9" spans="1:3" x14ac:dyDescent="0.15">
      <c r="A9" s="1">
        <v>7</v>
      </c>
      <c r="B9" s="2" t="s">
        <v>6</v>
      </c>
      <c r="C9" s="1">
        <v>53</v>
      </c>
    </row>
    <row r="10" spans="1:3" x14ac:dyDescent="0.15">
      <c r="A10" s="1">
        <v>2</v>
      </c>
      <c r="B10" s="4" t="s">
        <v>35</v>
      </c>
      <c r="C10" s="1">
        <v>45</v>
      </c>
    </row>
    <row r="11" spans="1:3" x14ac:dyDescent="0.15">
      <c r="A11" s="1">
        <v>5</v>
      </c>
      <c r="B11" s="4" t="s">
        <v>79</v>
      </c>
      <c r="C11" s="1">
        <v>45</v>
      </c>
    </row>
    <row r="12" spans="1:3" x14ac:dyDescent="0.15">
      <c r="A12" s="1">
        <v>11</v>
      </c>
      <c r="B12" s="2" t="s">
        <v>52</v>
      </c>
      <c r="C12" s="1">
        <v>10</v>
      </c>
    </row>
    <row r="13" spans="1:3" x14ac:dyDescent="0.15">
      <c r="A13" s="1">
        <v>6</v>
      </c>
      <c r="B13" s="4" t="s">
        <v>87</v>
      </c>
      <c r="C13" s="1">
        <v>8</v>
      </c>
    </row>
    <row r="19" spans="7:18" x14ac:dyDescent="0.15">
      <c r="G19" s="10" t="s">
        <v>51</v>
      </c>
      <c r="H19" s="10" t="s">
        <v>5</v>
      </c>
      <c r="I19" s="10" t="s">
        <v>35</v>
      </c>
      <c r="J19" s="10" t="s">
        <v>79</v>
      </c>
      <c r="K19" s="10" t="s">
        <v>87</v>
      </c>
      <c r="L19" s="10" t="s">
        <v>66</v>
      </c>
      <c r="M19" s="11" t="s">
        <v>6</v>
      </c>
      <c r="N19" s="11" t="s">
        <v>7</v>
      </c>
      <c r="O19" s="11" t="s">
        <v>52</v>
      </c>
      <c r="P19" s="11" t="s">
        <v>9</v>
      </c>
      <c r="Q19" s="11" t="s">
        <v>65</v>
      </c>
      <c r="R19" s="11" t="s">
        <v>14</v>
      </c>
    </row>
    <row r="20" spans="7:18" x14ac:dyDescent="0.15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</sheetData>
  <sortState xmlns:xlrd2="http://schemas.microsoft.com/office/spreadsheetml/2017/richdata2" ref="A2:C13">
    <sortCondition descending="1" ref="C2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C13"/>
  <sheetViews>
    <sheetView workbookViewId="0">
      <selection activeCell="D22" sqref="D22"/>
    </sheetView>
  </sheetViews>
  <sheetFormatPr defaultRowHeight="13.5" x14ac:dyDescent="0.15"/>
  <cols>
    <col min="2" max="2" width="14.125" bestFit="1" customWidth="1"/>
  </cols>
  <sheetData>
    <row r="1" spans="1:3" x14ac:dyDescent="0.15">
      <c r="A1" s="8" t="s">
        <v>120</v>
      </c>
      <c r="B1" s="8" t="s">
        <v>121</v>
      </c>
      <c r="C1" s="8" t="s">
        <v>122</v>
      </c>
    </row>
    <row r="2" spans="1:3" x14ac:dyDescent="0.15">
      <c r="A2" s="1">
        <v>5</v>
      </c>
      <c r="B2" s="10" t="s">
        <v>87</v>
      </c>
      <c r="C2" s="1">
        <v>0</v>
      </c>
    </row>
    <row r="3" spans="1:3" x14ac:dyDescent="0.15">
      <c r="A3" s="1">
        <v>9</v>
      </c>
      <c r="B3" s="11" t="s">
        <v>52</v>
      </c>
      <c r="C3" s="1">
        <v>0</v>
      </c>
    </row>
    <row r="4" spans="1:3" x14ac:dyDescent="0.15">
      <c r="A4" s="1">
        <v>10</v>
      </c>
      <c r="B4" s="11" t="s">
        <v>9</v>
      </c>
      <c r="C4" s="1">
        <v>0</v>
      </c>
    </row>
    <row r="5" spans="1:3" x14ac:dyDescent="0.15">
      <c r="A5" s="1">
        <v>4</v>
      </c>
      <c r="B5" s="10" t="s">
        <v>79</v>
      </c>
      <c r="C5" s="1">
        <v>2</v>
      </c>
    </row>
    <row r="6" spans="1:3" x14ac:dyDescent="0.15">
      <c r="A6" s="1">
        <v>8</v>
      </c>
      <c r="B6" s="11" t="s">
        <v>7</v>
      </c>
      <c r="C6" s="1">
        <v>3</v>
      </c>
    </row>
    <row r="7" spans="1:3" x14ac:dyDescent="0.15">
      <c r="A7" s="1">
        <v>12</v>
      </c>
      <c r="B7" s="11" t="s">
        <v>14</v>
      </c>
      <c r="C7" s="1">
        <v>3</v>
      </c>
    </row>
    <row r="8" spans="1:3" x14ac:dyDescent="0.15">
      <c r="A8" s="1">
        <v>1</v>
      </c>
      <c r="B8" s="10" t="s">
        <v>51</v>
      </c>
      <c r="C8" s="1">
        <v>4</v>
      </c>
    </row>
    <row r="9" spans="1:3" x14ac:dyDescent="0.15">
      <c r="A9" s="1">
        <v>2</v>
      </c>
      <c r="B9" s="10" t="s">
        <v>5</v>
      </c>
      <c r="C9" s="1">
        <v>4</v>
      </c>
    </row>
    <row r="10" spans="1:3" x14ac:dyDescent="0.15">
      <c r="A10" s="1">
        <v>7</v>
      </c>
      <c r="B10" s="11" t="s">
        <v>6</v>
      </c>
      <c r="C10" s="1">
        <v>4</v>
      </c>
    </row>
    <row r="11" spans="1:3" x14ac:dyDescent="0.15">
      <c r="A11" s="1">
        <v>3</v>
      </c>
      <c r="B11" s="10" t="s">
        <v>35</v>
      </c>
      <c r="C11" s="1">
        <v>5</v>
      </c>
    </row>
    <row r="12" spans="1:3" x14ac:dyDescent="0.15">
      <c r="A12" s="1">
        <v>11</v>
      </c>
      <c r="B12" s="11" t="s">
        <v>65</v>
      </c>
      <c r="C12" s="1">
        <v>5</v>
      </c>
    </row>
    <row r="13" spans="1:3" x14ac:dyDescent="0.15">
      <c r="A13" s="1">
        <v>6</v>
      </c>
      <c r="B13" s="10" t="s">
        <v>66</v>
      </c>
      <c r="C13" s="1">
        <v>9</v>
      </c>
    </row>
  </sheetData>
  <sortState xmlns:xlrd2="http://schemas.microsoft.com/office/spreadsheetml/2017/richdata2" ref="A2:C13">
    <sortCondition ref="C4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2:C13"/>
  <sheetViews>
    <sheetView workbookViewId="0">
      <selection activeCell="B9" sqref="B9:C13"/>
    </sheetView>
  </sheetViews>
  <sheetFormatPr defaultRowHeight="13.5" x14ac:dyDescent="0.15"/>
  <cols>
    <col min="2" max="2" width="14.125" bestFit="1" customWidth="1"/>
  </cols>
  <sheetData>
    <row r="2" spans="2:3" x14ac:dyDescent="0.15">
      <c r="B2" s="10" t="s">
        <v>51</v>
      </c>
      <c r="C2">
        <v>0</v>
      </c>
    </row>
    <row r="3" spans="2:3" x14ac:dyDescent="0.15">
      <c r="B3" s="10" t="s">
        <v>5</v>
      </c>
      <c r="C3">
        <v>0</v>
      </c>
    </row>
    <row r="4" spans="2:3" x14ac:dyDescent="0.15">
      <c r="B4" s="10" t="s">
        <v>35</v>
      </c>
      <c r="C4">
        <v>0</v>
      </c>
    </row>
    <row r="5" spans="2:3" x14ac:dyDescent="0.15">
      <c r="B5" s="10" t="s">
        <v>87</v>
      </c>
      <c r="C5">
        <v>0</v>
      </c>
    </row>
    <row r="6" spans="2:3" x14ac:dyDescent="0.15">
      <c r="B6" s="11" t="s">
        <v>52</v>
      </c>
      <c r="C6">
        <v>0</v>
      </c>
    </row>
    <row r="7" spans="2:3" x14ac:dyDescent="0.15">
      <c r="B7" s="11" t="s">
        <v>9</v>
      </c>
      <c r="C7">
        <v>0</v>
      </c>
    </row>
    <row r="8" spans="2:3" x14ac:dyDescent="0.15">
      <c r="B8" s="11" t="s">
        <v>65</v>
      </c>
      <c r="C8">
        <v>0</v>
      </c>
    </row>
    <row r="9" spans="2:3" x14ac:dyDescent="0.15">
      <c r="B9" s="10" t="s">
        <v>79</v>
      </c>
      <c r="C9">
        <v>2</v>
      </c>
    </row>
    <row r="10" spans="2:3" x14ac:dyDescent="0.15">
      <c r="B10" s="11" t="s">
        <v>7</v>
      </c>
      <c r="C10">
        <v>3</v>
      </c>
    </row>
    <row r="11" spans="2:3" x14ac:dyDescent="0.15">
      <c r="B11" s="11" t="s">
        <v>14</v>
      </c>
      <c r="C11">
        <v>3</v>
      </c>
    </row>
    <row r="12" spans="2:3" x14ac:dyDescent="0.15">
      <c r="B12" s="11" t="s">
        <v>6</v>
      </c>
      <c r="C12">
        <v>4</v>
      </c>
    </row>
    <row r="13" spans="2:3" x14ac:dyDescent="0.15">
      <c r="B13" s="10" t="s">
        <v>66</v>
      </c>
      <c r="C13">
        <v>9</v>
      </c>
    </row>
  </sheetData>
  <sortState xmlns:xlrd2="http://schemas.microsoft.com/office/spreadsheetml/2017/richdata2"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yue</cp:lastModifiedBy>
  <dcterms:created xsi:type="dcterms:W3CDTF">2019-12-18T08:38:17Z</dcterms:created>
  <dcterms:modified xsi:type="dcterms:W3CDTF">2020-01-25T13:54:50Z</dcterms:modified>
</cp:coreProperties>
</file>