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6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Sheet1!$A$1:$BP$117</definedName>
    <definedName name="_xlnm._FilterDatabase" localSheetId="1" hidden="1">'Sheet1 (2)'!$A$1:$BP$8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13" i="6" l="1"/>
  <c r="BO15" i="6" s="1"/>
  <c r="BN13" i="6"/>
  <c r="BN15" i="6" s="1"/>
  <c r="BM13" i="6"/>
  <c r="BM15" i="6" s="1"/>
  <c r="BL13" i="6"/>
  <c r="BL15" i="6" s="1"/>
  <c r="BK13" i="6"/>
  <c r="BK15" i="6" s="1"/>
  <c r="BJ13" i="6"/>
  <c r="BJ15" i="6" s="1"/>
  <c r="BI13" i="6"/>
  <c r="BI15" i="6" s="1"/>
  <c r="BH13" i="6"/>
  <c r="BH15" i="6" s="1"/>
  <c r="BG13" i="6"/>
  <c r="BG15" i="6" s="1"/>
  <c r="BF13" i="6"/>
  <c r="BF15" i="6" s="1"/>
  <c r="BE13" i="6"/>
  <c r="BE15" i="6" s="1"/>
  <c r="BD13" i="6"/>
  <c r="BD15" i="6" s="1"/>
  <c r="BC13" i="6"/>
  <c r="BC15" i="6" s="1"/>
  <c r="BB13" i="6"/>
  <c r="BB15" i="6" s="1"/>
  <c r="BA13" i="6"/>
  <c r="BA15" i="6" s="1"/>
  <c r="AZ13" i="6"/>
  <c r="AZ15" i="6" s="1"/>
  <c r="AY13" i="6"/>
  <c r="AY15" i="6" s="1"/>
  <c r="AX13" i="6"/>
  <c r="AX15" i="6" s="1"/>
  <c r="AW13" i="6"/>
  <c r="AW15" i="6" s="1"/>
  <c r="AV13" i="6"/>
  <c r="AV15" i="6" s="1"/>
  <c r="AU13" i="6"/>
  <c r="AU15" i="6" s="1"/>
  <c r="AT13" i="6"/>
  <c r="AT15" i="6" s="1"/>
  <c r="AS13" i="6"/>
  <c r="AS15" i="6" s="1"/>
  <c r="AR13" i="6"/>
  <c r="AR15" i="6" s="1"/>
  <c r="AQ13" i="6"/>
  <c r="AQ15" i="6" s="1"/>
  <c r="AP13" i="6"/>
  <c r="AP15" i="6" s="1"/>
  <c r="AO13" i="6"/>
  <c r="AO15" i="6" s="1"/>
  <c r="AN13" i="6"/>
  <c r="AN15" i="6" s="1"/>
  <c r="AM13" i="6"/>
  <c r="AM15" i="6" s="1"/>
  <c r="AL13" i="6"/>
  <c r="AL15" i="6" s="1"/>
  <c r="AK13" i="6"/>
  <c r="AK15" i="6" s="1"/>
  <c r="AJ13" i="6"/>
  <c r="AJ15" i="6" s="1"/>
  <c r="AI13" i="6"/>
  <c r="AI15" i="6" s="1"/>
  <c r="AH13" i="6"/>
  <c r="AH15" i="6" s="1"/>
  <c r="AG13" i="6"/>
  <c r="AG15" i="6" s="1"/>
  <c r="AF13" i="6"/>
  <c r="AF15" i="6" s="1"/>
  <c r="AE13" i="6"/>
  <c r="AE15" i="6" s="1"/>
  <c r="AD13" i="6"/>
  <c r="AD15" i="6" s="1"/>
  <c r="AC13" i="6"/>
  <c r="AC15" i="6" s="1"/>
  <c r="AB13" i="6"/>
  <c r="AB15" i="6" s="1"/>
  <c r="AA13" i="6"/>
  <c r="AA15" i="6" s="1"/>
  <c r="Z13" i="6"/>
  <c r="Z15" i="6" s="1"/>
  <c r="Y13" i="6"/>
  <c r="Y15" i="6" s="1"/>
  <c r="X13" i="6"/>
  <c r="X15" i="6" s="1"/>
  <c r="W13" i="6"/>
  <c r="W15" i="6" s="1"/>
  <c r="V13" i="6"/>
  <c r="V15" i="6" s="1"/>
  <c r="U13" i="6"/>
  <c r="U15" i="6" s="1"/>
  <c r="T13" i="6"/>
  <c r="T15" i="6" s="1"/>
  <c r="S13" i="6"/>
  <c r="S15" i="6" s="1"/>
  <c r="R13" i="6"/>
  <c r="R15" i="6" s="1"/>
  <c r="Q13" i="6"/>
  <c r="Q15" i="6" s="1"/>
  <c r="P13" i="6"/>
  <c r="P15" i="6" s="1"/>
  <c r="O13" i="6"/>
  <c r="O15" i="6" s="1"/>
  <c r="N13" i="6"/>
  <c r="N15" i="6" s="1"/>
  <c r="M13" i="6"/>
  <c r="M15" i="6" s="1"/>
  <c r="L13" i="6"/>
  <c r="L15" i="6" s="1"/>
  <c r="K13" i="6"/>
  <c r="K15" i="6" s="1"/>
  <c r="J13" i="6"/>
  <c r="J15" i="6" s="1"/>
  <c r="I13" i="6"/>
  <c r="I15" i="6" s="1"/>
  <c r="H13" i="6"/>
  <c r="H15" i="6" s="1"/>
  <c r="G13" i="6"/>
  <c r="G15" i="6" s="1"/>
  <c r="F13" i="6"/>
  <c r="F15" i="6" s="1"/>
  <c r="E13" i="6"/>
  <c r="E15" i="6" s="1"/>
  <c r="BO12" i="6"/>
  <c r="BO14" i="6" s="1"/>
  <c r="BN12" i="6"/>
  <c r="BN14" i="6" s="1"/>
  <c r="BM12" i="6"/>
  <c r="BM14" i="6" s="1"/>
  <c r="BL12" i="6"/>
  <c r="BL14" i="6" s="1"/>
  <c r="BK12" i="6"/>
  <c r="BK14" i="6" s="1"/>
  <c r="BJ12" i="6"/>
  <c r="BJ14" i="6" s="1"/>
  <c r="BI12" i="6"/>
  <c r="BI14" i="6" s="1"/>
  <c r="BH12" i="6"/>
  <c r="BH14" i="6" s="1"/>
  <c r="BG12" i="6"/>
  <c r="BG14" i="6" s="1"/>
  <c r="BF12" i="6"/>
  <c r="BF14" i="6" s="1"/>
  <c r="BE12" i="6"/>
  <c r="BE14" i="6" s="1"/>
  <c r="BD12" i="6"/>
  <c r="BD14" i="6" s="1"/>
  <c r="BC12" i="6"/>
  <c r="BC14" i="6" s="1"/>
  <c r="BB12" i="6"/>
  <c r="BB14" i="6" s="1"/>
  <c r="BA12" i="6"/>
  <c r="BA14" i="6" s="1"/>
  <c r="AZ12" i="6"/>
  <c r="AZ14" i="6" s="1"/>
  <c r="AY12" i="6"/>
  <c r="AY14" i="6" s="1"/>
  <c r="AX12" i="6"/>
  <c r="AX14" i="6" s="1"/>
  <c r="AW12" i="6"/>
  <c r="AW14" i="6" s="1"/>
  <c r="AV12" i="6"/>
  <c r="AV14" i="6" s="1"/>
  <c r="AU12" i="6"/>
  <c r="AU14" i="6" s="1"/>
  <c r="AT12" i="6"/>
  <c r="AT14" i="6" s="1"/>
  <c r="AS12" i="6"/>
  <c r="AS14" i="6" s="1"/>
  <c r="AR12" i="6"/>
  <c r="AR14" i="6" s="1"/>
  <c r="AQ12" i="6"/>
  <c r="AQ14" i="6" s="1"/>
  <c r="AP12" i="6"/>
  <c r="AP14" i="6" s="1"/>
  <c r="AO12" i="6"/>
  <c r="AO14" i="6" s="1"/>
  <c r="AN12" i="6"/>
  <c r="AN14" i="6" s="1"/>
  <c r="AM12" i="6"/>
  <c r="AM14" i="6" s="1"/>
  <c r="AL12" i="6"/>
  <c r="AL14" i="6" s="1"/>
  <c r="AK12" i="6"/>
  <c r="AK14" i="6" s="1"/>
  <c r="AJ12" i="6"/>
  <c r="AJ14" i="6" s="1"/>
  <c r="AI12" i="6"/>
  <c r="AI14" i="6" s="1"/>
  <c r="AH12" i="6"/>
  <c r="AH14" i="6" s="1"/>
  <c r="AG12" i="6"/>
  <c r="AG14" i="6" s="1"/>
  <c r="AF12" i="6"/>
  <c r="AF14" i="6" s="1"/>
  <c r="AE12" i="6"/>
  <c r="AE14" i="6" s="1"/>
  <c r="AD12" i="6"/>
  <c r="AD14" i="6" s="1"/>
  <c r="AC12" i="6"/>
  <c r="AC14" i="6" s="1"/>
  <c r="AB12" i="6"/>
  <c r="AB14" i="6" s="1"/>
  <c r="AA12" i="6"/>
  <c r="AA14" i="6" s="1"/>
  <c r="Z12" i="6"/>
  <c r="Z14" i="6" s="1"/>
  <c r="Y12" i="6"/>
  <c r="Y14" i="6" s="1"/>
  <c r="X12" i="6"/>
  <c r="X14" i="6" s="1"/>
  <c r="W12" i="6"/>
  <c r="W14" i="6" s="1"/>
  <c r="V12" i="6"/>
  <c r="V14" i="6" s="1"/>
  <c r="U12" i="6"/>
  <c r="U14" i="6" s="1"/>
  <c r="T12" i="6"/>
  <c r="T14" i="6" s="1"/>
  <c r="S12" i="6"/>
  <c r="S14" i="6" s="1"/>
  <c r="R12" i="6"/>
  <c r="R14" i="6" s="1"/>
  <c r="Q12" i="6"/>
  <c r="Q14" i="6" s="1"/>
  <c r="P12" i="6"/>
  <c r="P14" i="6" s="1"/>
  <c r="O12" i="6"/>
  <c r="O14" i="6" s="1"/>
  <c r="N12" i="6"/>
  <c r="N14" i="6" s="1"/>
  <c r="M12" i="6"/>
  <c r="M14" i="6" s="1"/>
  <c r="L12" i="6"/>
  <c r="L14" i="6" s="1"/>
  <c r="K12" i="6"/>
  <c r="K14" i="6" s="1"/>
  <c r="J12" i="6"/>
  <c r="J14" i="6" s="1"/>
  <c r="I12" i="6"/>
  <c r="I14" i="6" s="1"/>
  <c r="H12" i="6"/>
  <c r="H14" i="6" s="1"/>
  <c r="G12" i="6"/>
  <c r="G14" i="6" s="1"/>
  <c r="F12" i="6"/>
  <c r="F14" i="6" s="1"/>
  <c r="E12" i="6"/>
  <c r="E14" i="6" s="1"/>
  <c r="BO9" i="6"/>
  <c r="BO11" i="6" s="1"/>
  <c r="BN9" i="6"/>
  <c r="BN11" i="6" s="1"/>
  <c r="BM9" i="6"/>
  <c r="BM11" i="6" s="1"/>
  <c r="BL9" i="6"/>
  <c r="BL11" i="6" s="1"/>
  <c r="BK9" i="6"/>
  <c r="BK11" i="6" s="1"/>
  <c r="BJ9" i="6"/>
  <c r="BJ11" i="6" s="1"/>
  <c r="BI9" i="6"/>
  <c r="BI11" i="6" s="1"/>
  <c r="BH9" i="6"/>
  <c r="BH11" i="6" s="1"/>
  <c r="BG9" i="6"/>
  <c r="BG11" i="6" s="1"/>
  <c r="BF9" i="6"/>
  <c r="BF11" i="6" s="1"/>
  <c r="BE9" i="6"/>
  <c r="BE11" i="6" s="1"/>
  <c r="BD9" i="6"/>
  <c r="BD11" i="6" s="1"/>
  <c r="BC9" i="6"/>
  <c r="BC11" i="6" s="1"/>
  <c r="BB9" i="6"/>
  <c r="BA9" i="6"/>
  <c r="BA11" i="6" s="1"/>
  <c r="AZ9" i="6"/>
  <c r="AZ11" i="6" s="1"/>
  <c r="AY9" i="6"/>
  <c r="CB8" i="6" s="1"/>
  <c r="AX9" i="6"/>
  <c r="AW9" i="6"/>
  <c r="AV9" i="6"/>
  <c r="BY8" i="6" s="1"/>
  <c r="AU9" i="6"/>
  <c r="AT9" i="6"/>
  <c r="BW7" i="6" s="1"/>
  <c r="AS9" i="6"/>
  <c r="BV8" i="6" s="1"/>
  <c r="AR9" i="6"/>
  <c r="AQ9" i="6"/>
  <c r="BT7" i="6" s="1"/>
  <c r="AP9" i="6"/>
  <c r="AP11" i="6" s="1"/>
  <c r="AO9" i="6"/>
  <c r="AO11" i="6" s="1"/>
  <c r="AN9" i="6"/>
  <c r="AN11" i="6" s="1"/>
  <c r="AM9" i="6"/>
  <c r="AM11" i="6" s="1"/>
  <c r="AL9" i="6"/>
  <c r="AL11" i="6" s="1"/>
  <c r="AK9" i="6"/>
  <c r="AK11" i="6" s="1"/>
  <c r="AJ9" i="6"/>
  <c r="AJ11" i="6" s="1"/>
  <c r="AI9" i="6"/>
  <c r="AI11" i="6" s="1"/>
  <c r="AH9" i="6"/>
  <c r="AH11" i="6" s="1"/>
  <c r="AG9" i="6"/>
  <c r="AG11" i="6" s="1"/>
  <c r="AF9" i="6"/>
  <c r="AF11" i="6" s="1"/>
  <c r="AE9" i="6"/>
  <c r="AE11" i="6" s="1"/>
  <c r="AD9" i="6"/>
  <c r="AD11" i="6" s="1"/>
  <c r="AC9" i="6"/>
  <c r="AC11" i="6" s="1"/>
  <c r="AB9" i="6"/>
  <c r="AB11" i="6" s="1"/>
  <c r="AA9" i="6"/>
  <c r="AA11" i="6" s="1"/>
  <c r="Z9" i="6"/>
  <c r="Z11" i="6" s="1"/>
  <c r="Y9" i="6"/>
  <c r="Y11" i="6" s="1"/>
  <c r="X9" i="6"/>
  <c r="X11" i="6" s="1"/>
  <c r="W9" i="6"/>
  <c r="W11" i="6" s="1"/>
  <c r="V9" i="6"/>
  <c r="V11" i="6" s="1"/>
  <c r="U9" i="6"/>
  <c r="U11" i="6" s="1"/>
  <c r="T9" i="6"/>
  <c r="T11" i="6" s="1"/>
  <c r="S9" i="6"/>
  <c r="S11" i="6" s="1"/>
  <c r="R9" i="6"/>
  <c r="R11" i="6" s="1"/>
  <c r="Q9" i="6"/>
  <c r="Q11" i="6" s="1"/>
  <c r="P9" i="6"/>
  <c r="P11" i="6" s="1"/>
  <c r="O9" i="6"/>
  <c r="O11" i="6" s="1"/>
  <c r="N9" i="6"/>
  <c r="N11" i="6" s="1"/>
  <c r="M9" i="6"/>
  <c r="M11" i="6" s="1"/>
  <c r="L9" i="6"/>
  <c r="L11" i="6" s="1"/>
  <c r="K9" i="6"/>
  <c r="K11" i="6" s="1"/>
  <c r="J9" i="6"/>
  <c r="J11" i="6" s="1"/>
  <c r="I9" i="6"/>
  <c r="I11" i="6" s="1"/>
  <c r="H9" i="6"/>
  <c r="H11" i="6" s="1"/>
  <c r="G9" i="6"/>
  <c r="G11" i="6" s="1"/>
  <c r="F9" i="6"/>
  <c r="F11" i="6" s="1"/>
  <c r="E9" i="6"/>
  <c r="E11" i="6" s="1"/>
  <c r="BT8" i="6"/>
  <c r="BP8" i="6"/>
  <c r="CS7" i="6"/>
  <c r="BP7" i="6"/>
  <c r="BW6" i="6"/>
  <c r="BP6" i="6"/>
  <c r="CS5" i="6"/>
  <c r="BP5" i="6"/>
  <c r="CS4" i="6"/>
  <c r="CB4" i="6"/>
  <c r="BP4" i="6"/>
  <c r="CS3" i="6"/>
  <c r="BV3" i="6"/>
  <c r="BT3" i="6"/>
  <c r="BP3" i="6"/>
  <c r="CS2" i="6"/>
  <c r="BW2" i="6"/>
  <c r="BT2" i="6"/>
  <c r="BP2" i="6"/>
  <c r="BT5" i="6" l="1"/>
  <c r="BW5" i="6"/>
  <c r="BW3" i="6"/>
  <c r="BT6" i="6"/>
  <c r="CC6" i="6"/>
  <c r="BT4" i="6"/>
  <c r="BW4" i="6"/>
  <c r="BZ4" i="6"/>
  <c r="BZ8" i="6"/>
  <c r="CC2" i="6"/>
  <c r="CC4" i="6"/>
  <c r="BU3" i="6"/>
  <c r="CA4" i="6"/>
  <c r="CD3" i="6"/>
  <c r="CA7" i="6"/>
  <c r="CD4" i="6"/>
  <c r="BY3" i="6"/>
  <c r="CD8" i="6"/>
  <c r="BY2" i="6"/>
  <c r="BY7" i="6"/>
  <c r="BZ2" i="6"/>
  <c r="BY5" i="6"/>
  <c r="CD2" i="6"/>
  <c r="CD5" i="6"/>
  <c r="BY6" i="6"/>
  <c r="CB7" i="6"/>
  <c r="BY4" i="6"/>
  <c r="CD6" i="6"/>
  <c r="CE6" i="6"/>
  <c r="BU5" i="6"/>
  <c r="BU8" i="6"/>
  <c r="BU7" i="6"/>
  <c r="CA3" i="6"/>
  <c r="CE4" i="6"/>
  <c r="BW8" i="6"/>
  <c r="CA2" i="6"/>
  <c r="BU6" i="6"/>
  <c r="CE5" i="6"/>
  <c r="CE2" i="6"/>
  <c r="CA6" i="6"/>
  <c r="CE7" i="6"/>
  <c r="CE8" i="6"/>
  <c r="AW11" i="6"/>
  <c r="CC7" i="6"/>
  <c r="CC8" i="6"/>
  <c r="BZ3" i="6"/>
  <c r="CB2" i="6"/>
  <c r="BV6" i="6"/>
  <c r="CB3" i="6"/>
  <c r="BX6" i="6"/>
  <c r="BZ6" i="6"/>
  <c r="BZ5" i="6"/>
  <c r="BZ7" i="6"/>
  <c r="CC5" i="6"/>
  <c r="CB6" i="6"/>
  <c r="AQ11" i="6"/>
  <c r="CC3" i="6"/>
  <c r="CD7" i="6"/>
  <c r="AR11" i="6"/>
  <c r="BU2" i="6"/>
  <c r="CE3" i="6"/>
  <c r="BU4" i="6"/>
  <c r="CA5" i="6"/>
  <c r="CA8" i="6"/>
  <c r="BB11" i="6"/>
  <c r="BV2" i="6"/>
  <c r="BV4" i="6"/>
  <c r="CB5" i="6"/>
  <c r="BV7" i="6"/>
  <c r="BV5" i="6"/>
  <c r="BX8" i="6"/>
  <c r="BX7" i="6"/>
  <c r="BX5" i="6"/>
  <c r="AU11" i="6"/>
  <c r="BX4" i="6"/>
  <c r="BX3" i="6"/>
  <c r="BX2" i="6"/>
  <c r="CS9" i="6"/>
  <c r="AS11" i="6"/>
  <c r="AT11" i="6"/>
  <c r="AV11" i="6"/>
  <c r="AX11" i="6"/>
  <c r="AY11" i="6"/>
  <c r="BP31" i="1"/>
  <c r="BY9" i="6" l="1"/>
  <c r="BW9" i="6"/>
  <c r="BT9" i="6"/>
  <c r="BU9" i="6"/>
  <c r="BV9" i="6"/>
  <c r="CA9" i="6"/>
  <c r="CB9" i="6"/>
  <c r="CF5" i="6"/>
  <c r="CQ5" i="6" s="1"/>
  <c r="CF2" i="6"/>
  <c r="CN2" i="6" s="1"/>
  <c r="CF7" i="6"/>
  <c r="CG7" i="6" s="1"/>
  <c r="CC9" i="6"/>
  <c r="BZ9" i="6"/>
  <c r="CF4" i="6"/>
  <c r="CL4" i="6" s="1"/>
  <c r="CD9" i="6"/>
  <c r="CF3" i="6"/>
  <c r="CR3" i="6" s="1"/>
  <c r="CE9" i="6"/>
  <c r="BX9" i="6"/>
  <c r="BP50" i="1"/>
  <c r="BP48" i="1"/>
  <c r="BP14" i="1"/>
  <c r="CO3" i="6" l="1"/>
  <c r="CQ4" i="6"/>
  <c r="CR5" i="6"/>
  <c r="CG5" i="6"/>
  <c r="CI5" i="6"/>
  <c r="CM4" i="6"/>
  <c r="CO4" i="6"/>
  <c r="CH4" i="6"/>
  <c r="CK4" i="6"/>
  <c r="CI4" i="6"/>
  <c r="CN4" i="6"/>
  <c r="CP4" i="6"/>
  <c r="CQ7" i="6"/>
  <c r="CH7" i="6"/>
  <c r="CI7" i="6"/>
  <c r="CP7" i="6"/>
  <c r="CJ7" i="6"/>
  <c r="CK7" i="6"/>
  <c r="CL7" i="6"/>
  <c r="CQ2" i="6"/>
  <c r="CN7" i="6"/>
  <c r="CM7" i="6"/>
  <c r="CO7" i="6"/>
  <c r="CR7" i="6"/>
  <c r="CJ4" i="6"/>
  <c r="CQ3" i="6"/>
  <c r="CR2" i="6"/>
  <c r="CG3" i="6"/>
  <c r="CJ5" i="6"/>
  <c r="CM2" i="6"/>
  <c r="CH3" i="6"/>
  <c r="CK5" i="6"/>
  <c r="CP2" i="6"/>
  <c r="CI3" i="6"/>
  <c r="CL5" i="6"/>
  <c r="CG2" i="6"/>
  <c r="CM5" i="6"/>
  <c r="CJ2" i="6"/>
  <c r="CO5" i="6"/>
  <c r="CL2" i="6"/>
  <c r="CK2" i="6"/>
  <c r="CM3" i="6"/>
  <c r="CH2" i="6"/>
  <c r="CH5" i="6"/>
  <c r="CI2" i="6"/>
  <c r="CN5" i="6"/>
  <c r="CP5" i="6"/>
  <c r="CO2" i="6"/>
  <c r="CK3" i="6"/>
  <c r="CR4" i="6"/>
  <c r="CG4" i="6"/>
  <c r="CL3" i="6"/>
  <c r="CL9" i="6" s="1"/>
  <c r="CN3" i="6"/>
  <c r="CJ3" i="6"/>
  <c r="CP3" i="6"/>
  <c r="BC121" i="1"/>
  <c r="BC123" i="1" s="1"/>
  <c r="BD121" i="1"/>
  <c r="BD123" i="1" s="1"/>
  <c r="BE121" i="1"/>
  <c r="BE123" i="1" s="1"/>
  <c r="BF121" i="1"/>
  <c r="BF123" i="1" s="1"/>
  <c r="BG121" i="1"/>
  <c r="BG123" i="1" s="1"/>
  <c r="BH121" i="1"/>
  <c r="BH123" i="1" s="1"/>
  <c r="BI121" i="1"/>
  <c r="BI123" i="1" s="1"/>
  <c r="BJ121" i="1"/>
  <c r="BJ123" i="1" s="1"/>
  <c r="BK121" i="1"/>
  <c r="BK123" i="1" s="1"/>
  <c r="BL121" i="1"/>
  <c r="BL123" i="1" s="1"/>
  <c r="BM121" i="1"/>
  <c r="BM123" i="1" s="1"/>
  <c r="BN121" i="1"/>
  <c r="BN123" i="1" s="1"/>
  <c r="BO121" i="1"/>
  <c r="BO123" i="1" s="1"/>
  <c r="BC122" i="1"/>
  <c r="BC124" i="1" s="1"/>
  <c r="BD122" i="1"/>
  <c r="BD124" i="1" s="1"/>
  <c r="BE122" i="1"/>
  <c r="BE124" i="1" s="1"/>
  <c r="BF122" i="1"/>
  <c r="BF124" i="1" s="1"/>
  <c r="BG122" i="1"/>
  <c r="BG124" i="1" s="1"/>
  <c r="BH122" i="1"/>
  <c r="BH124" i="1" s="1"/>
  <c r="BI122" i="1"/>
  <c r="BI124" i="1" s="1"/>
  <c r="BJ122" i="1"/>
  <c r="BJ124" i="1" s="1"/>
  <c r="BK122" i="1"/>
  <c r="BK124" i="1" s="1"/>
  <c r="BL122" i="1"/>
  <c r="BL124" i="1" s="1"/>
  <c r="BM122" i="1"/>
  <c r="BM124" i="1" s="1"/>
  <c r="BN122" i="1"/>
  <c r="BN124" i="1" s="1"/>
  <c r="BO122" i="1"/>
  <c r="BO124" i="1" s="1"/>
  <c r="BA121" i="1"/>
  <c r="BA123" i="1" s="1"/>
  <c r="BB121" i="1"/>
  <c r="BB123" i="1" s="1"/>
  <c r="BA122" i="1"/>
  <c r="BA124" i="1" s="1"/>
  <c r="BB122" i="1"/>
  <c r="BB124" i="1" s="1"/>
  <c r="AQ121" i="1"/>
  <c r="AQ123" i="1" s="1"/>
  <c r="AR121" i="1"/>
  <c r="AR123" i="1" s="1"/>
  <c r="AS121" i="1"/>
  <c r="AS123" i="1" s="1"/>
  <c r="AT121" i="1"/>
  <c r="AT123" i="1" s="1"/>
  <c r="AU121" i="1"/>
  <c r="AU123" i="1" s="1"/>
  <c r="AV121" i="1"/>
  <c r="AV123" i="1" s="1"/>
  <c r="AW121" i="1"/>
  <c r="AW123" i="1" s="1"/>
  <c r="AX121" i="1"/>
  <c r="AX123" i="1" s="1"/>
  <c r="AY121" i="1"/>
  <c r="AY123" i="1" s="1"/>
  <c r="AZ121" i="1"/>
  <c r="AZ123" i="1" s="1"/>
  <c r="AQ122" i="1"/>
  <c r="AQ124" i="1" s="1"/>
  <c r="AR122" i="1"/>
  <c r="AR124" i="1" s="1"/>
  <c r="AS122" i="1"/>
  <c r="AS124" i="1" s="1"/>
  <c r="AT122" i="1"/>
  <c r="AT124" i="1" s="1"/>
  <c r="AU122" i="1"/>
  <c r="AU124" i="1" s="1"/>
  <c r="AV122" i="1"/>
  <c r="AV124" i="1" s="1"/>
  <c r="AW122" i="1"/>
  <c r="AW124" i="1" s="1"/>
  <c r="AX122" i="1"/>
  <c r="AX124" i="1" s="1"/>
  <c r="AY122" i="1"/>
  <c r="AY124" i="1" s="1"/>
  <c r="AZ122" i="1"/>
  <c r="AZ124" i="1" s="1"/>
  <c r="AI121" i="1"/>
  <c r="AI123" i="1" s="1"/>
  <c r="AJ121" i="1"/>
  <c r="AJ123" i="1" s="1"/>
  <c r="AK121" i="1"/>
  <c r="AK123" i="1" s="1"/>
  <c r="AL121" i="1"/>
  <c r="AL123" i="1" s="1"/>
  <c r="AM121" i="1"/>
  <c r="AM123" i="1" s="1"/>
  <c r="AN121" i="1"/>
  <c r="AN123" i="1" s="1"/>
  <c r="AO121" i="1"/>
  <c r="AO123" i="1" s="1"/>
  <c r="AP121" i="1"/>
  <c r="AP123" i="1" s="1"/>
  <c r="AI122" i="1"/>
  <c r="AI124" i="1" s="1"/>
  <c r="AJ122" i="1"/>
  <c r="AJ124" i="1" s="1"/>
  <c r="AK122" i="1"/>
  <c r="AK124" i="1" s="1"/>
  <c r="AL122" i="1"/>
  <c r="AL124" i="1" s="1"/>
  <c r="AM122" i="1"/>
  <c r="AM124" i="1" s="1"/>
  <c r="AN122" i="1"/>
  <c r="AN124" i="1" s="1"/>
  <c r="AO122" i="1"/>
  <c r="AO124" i="1" s="1"/>
  <c r="AP122" i="1"/>
  <c r="AP124" i="1" s="1"/>
  <c r="AC121" i="1"/>
  <c r="AC123" i="1" s="1"/>
  <c r="AD121" i="1"/>
  <c r="AD123" i="1" s="1"/>
  <c r="AE121" i="1"/>
  <c r="AE123" i="1" s="1"/>
  <c r="AF121" i="1"/>
  <c r="AF123" i="1" s="1"/>
  <c r="AG121" i="1"/>
  <c r="AG123" i="1" s="1"/>
  <c r="AH121" i="1"/>
  <c r="AH123" i="1" s="1"/>
  <c r="AC122" i="1"/>
  <c r="AC124" i="1" s="1"/>
  <c r="AD122" i="1"/>
  <c r="AD124" i="1" s="1"/>
  <c r="AE122" i="1"/>
  <c r="AE124" i="1" s="1"/>
  <c r="AF122" i="1"/>
  <c r="AF124" i="1" s="1"/>
  <c r="AG122" i="1"/>
  <c r="AG124" i="1" s="1"/>
  <c r="AH122" i="1"/>
  <c r="AH124" i="1" s="1"/>
  <c r="W121" i="1"/>
  <c r="W123" i="1" s="1"/>
  <c r="X121" i="1"/>
  <c r="X123" i="1" s="1"/>
  <c r="Y121" i="1"/>
  <c r="Y123" i="1" s="1"/>
  <c r="Z121" i="1"/>
  <c r="Z123" i="1" s="1"/>
  <c r="AA121" i="1"/>
  <c r="AA123" i="1" s="1"/>
  <c r="AB121" i="1"/>
  <c r="AB123" i="1" s="1"/>
  <c r="W122" i="1"/>
  <c r="W124" i="1" s="1"/>
  <c r="X122" i="1"/>
  <c r="X124" i="1" s="1"/>
  <c r="Y122" i="1"/>
  <c r="Y124" i="1" s="1"/>
  <c r="Z122" i="1"/>
  <c r="Z124" i="1" s="1"/>
  <c r="AA122" i="1"/>
  <c r="AA124" i="1" s="1"/>
  <c r="AB122" i="1"/>
  <c r="AB124" i="1" s="1"/>
  <c r="P121" i="1"/>
  <c r="P123" i="1" s="1"/>
  <c r="Q121" i="1"/>
  <c r="Q123" i="1" s="1"/>
  <c r="R121" i="1"/>
  <c r="R123" i="1" s="1"/>
  <c r="S121" i="1"/>
  <c r="S123" i="1" s="1"/>
  <c r="T121" i="1"/>
  <c r="T123" i="1" s="1"/>
  <c r="U121" i="1"/>
  <c r="U123" i="1" s="1"/>
  <c r="V121" i="1"/>
  <c r="V123" i="1" s="1"/>
  <c r="P122" i="1"/>
  <c r="P124" i="1" s="1"/>
  <c r="Q122" i="1"/>
  <c r="Q124" i="1" s="1"/>
  <c r="R122" i="1"/>
  <c r="R124" i="1" s="1"/>
  <c r="S122" i="1"/>
  <c r="S124" i="1" s="1"/>
  <c r="T122" i="1"/>
  <c r="T124" i="1" s="1"/>
  <c r="U122" i="1"/>
  <c r="U124" i="1" s="1"/>
  <c r="V122" i="1"/>
  <c r="V124" i="1" s="1"/>
  <c r="G121" i="1"/>
  <c r="G123" i="1" s="1"/>
  <c r="H121" i="1"/>
  <c r="H123" i="1" s="1"/>
  <c r="I121" i="1"/>
  <c r="I123" i="1" s="1"/>
  <c r="J121" i="1"/>
  <c r="J123" i="1" s="1"/>
  <c r="K121" i="1"/>
  <c r="K123" i="1" s="1"/>
  <c r="L121" i="1"/>
  <c r="L123" i="1" s="1"/>
  <c r="M121" i="1"/>
  <c r="M123" i="1" s="1"/>
  <c r="N121" i="1"/>
  <c r="N123" i="1" s="1"/>
  <c r="O121" i="1"/>
  <c r="O123" i="1" s="1"/>
  <c r="G122" i="1"/>
  <c r="G124" i="1" s="1"/>
  <c r="H122" i="1"/>
  <c r="H124" i="1" s="1"/>
  <c r="I122" i="1"/>
  <c r="I124" i="1" s="1"/>
  <c r="J122" i="1"/>
  <c r="J124" i="1" s="1"/>
  <c r="K122" i="1"/>
  <c r="K124" i="1" s="1"/>
  <c r="L122" i="1"/>
  <c r="L124" i="1" s="1"/>
  <c r="M122" i="1"/>
  <c r="M124" i="1" s="1"/>
  <c r="N122" i="1"/>
  <c r="N124" i="1" s="1"/>
  <c r="O122" i="1"/>
  <c r="O124" i="1" s="1"/>
  <c r="F121" i="1"/>
  <c r="F123" i="1" s="1"/>
  <c r="F122" i="1"/>
  <c r="F124" i="1" s="1"/>
  <c r="E122" i="1"/>
  <c r="E124" i="1" s="1"/>
  <c r="E121" i="1"/>
  <c r="E123" i="1" s="1"/>
  <c r="CN9" i="6" l="1"/>
  <c r="CI9" i="6"/>
  <c r="CK9" i="6"/>
  <c r="CP9" i="6"/>
  <c r="CO9" i="6"/>
  <c r="CR9" i="6"/>
  <c r="CJ9" i="6"/>
  <c r="CM9" i="6"/>
  <c r="CQ9" i="6"/>
  <c r="CG9" i="6"/>
  <c r="CH9" i="6"/>
  <c r="BP3" i="1"/>
  <c r="BP4" i="1"/>
  <c r="BP5" i="1"/>
  <c r="BP6" i="1"/>
  <c r="BP7" i="1"/>
  <c r="BP10" i="1"/>
  <c r="BP40" i="1"/>
  <c r="BP13" i="1"/>
  <c r="BP22" i="1"/>
  <c r="BP20" i="1"/>
  <c r="BP23" i="1"/>
  <c r="BP24" i="1"/>
  <c r="BP25" i="1"/>
  <c r="BP26" i="1"/>
  <c r="BP27" i="1"/>
  <c r="BP28" i="1"/>
  <c r="BP21" i="1"/>
  <c r="BP43" i="1"/>
  <c r="BP29" i="1"/>
  <c r="BP30" i="1"/>
  <c r="BP44" i="1"/>
  <c r="BP46" i="1"/>
  <c r="BP47" i="1"/>
  <c r="BP49" i="1"/>
  <c r="BP39" i="1"/>
  <c r="BP9" i="1"/>
  <c r="BP51" i="1"/>
  <c r="BP52" i="1"/>
  <c r="BP53" i="1"/>
  <c r="BP54" i="1"/>
  <c r="BP55" i="1"/>
  <c r="BP19" i="1"/>
  <c r="BP18" i="1"/>
  <c r="BP56" i="1"/>
  <c r="BP57" i="1"/>
  <c r="BP12" i="1"/>
  <c r="BP8" i="1"/>
  <c r="BP16" i="1"/>
  <c r="BP17" i="1"/>
  <c r="BP15" i="1"/>
  <c r="BP32" i="1"/>
  <c r="BP41" i="1"/>
  <c r="BP45" i="1"/>
  <c r="BP76" i="1"/>
  <c r="BP77" i="1"/>
  <c r="BP78" i="1"/>
  <c r="BP79" i="1"/>
  <c r="BP80" i="1"/>
  <c r="BP81" i="1"/>
  <c r="BP83" i="1"/>
  <c r="BP11" i="1"/>
  <c r="BP63" i="1"/>
  <c r="BP85" i="1"/>
  <c r="BP86" i="1"/>
  <c r="BP60" i="1"/>
  <c r="BP33" i="1"/>
  <c r="BP34" i="1"/>
  <c r="BP66" i="1"/>
  <c r="BP89" i="1"/>
  <c r="BP90" i="1"/>
  <c r="BP72" i="1"/>
  <c r="BP68" i="1"/>
  <c r="BP69" i="1"/>
  <c r="BP70" i="1"/>
  <c r="BP35" i="1"/>
  <c r="BP36" i="1"/>
  <c r="BP37" i="1"/>
  <c r="BP38" i="1"/>
  <c r="BP42" i="1"/>
  <c r="BP61" i="1"/>
  <c r="BP62" i="1"/>
  <c r="BP64" i="1"/>
  <c r="BP73" i="1"/>
  <c r="BP75" i="1"/>
  <c r="BP82" i="1"/>
  <c r="BP94" i="1"/>
  <c r="BP84" i="1"/>
  <c r="BP95" i="1"/>
  <c r="BP96" i="1"/>
  <c r="BP97" i="1"/>
  <c r="BP98" i="1"/>
  <c r="BP99" i="1"/>
  <c r="BP100" i="1"/>
  <c r="BP101" i="1"/>
  <c r="BP102" i="1"/>
  <c r="BP103" i="1"/>
  <c r="BP104" i="1"/>
  <c r="BP105" i="1"/>
  <c r="BP58" i="1"/>
  <c r="BP59" i="1"/>
  <c r="BP106" i="1"/>
  <c r="BP107" i="1"/>
  <c r="BP87" i="1"/>
  <c r="BP88" i="1"/>
  <c r="BP71" i="1"/>
  <c r="BP108" i="1"/>
  <c r="BP109" i="1"/>
  <c r="BP110" i="1"/>
  <c r="BP111" i="1"/>
  <c r="BP112" i="1"/>
  <c r="BP113" i="1"/>
  <c r="BP65" i="1"/>
  <c r="BP74" i="1"/>
  <c r="BP67" i="1"/>
  <c r="BP114" i="1"/>
  <c r="BP115" i="1"/>
  <c r="BP116" i="1"/>
  <c r="BP117" i="1"/>
  <c r="BP91" i="1"/>
  <c r="BP92" i="1"/>
  <c r="BP93" i="1"/>
  <c r="CS117" i="1" l="1"/>
  <c r="CS3" i="1" l="1"/>
  <c r="CS4" i="1"/>
  <c r="CS60" i="1"/>
  <c r="CS10" i="1"/>
  <c r="CS22" i="1"/>
  <c r="CS20" i="1"/>
  <c r="CS23" i="1"/>
  <c r="CS24" i="1"/>
  <c r="CS25" i="1"/>
  <c r="CS26" i="1"/>
  <c r="CS40" i="1"/>
  <c r="CS12" i="1"/>
  <c r="CS18" i="1"/>
  <c r="CS19" i="1"/>
  <c r="CS44" i="1"/>
  <c r="CS46" i="1"/>
  <c r="CS47" i="1"/>
  <c r="CS11" i="1"/>
  <c r="CS33" i="1"/>
  <c r="CS21" i="1"/>
  <c r="CS56" i="1"/>
  <c r="CS57" i="1"/>
  <c r="CS34" i="1"/>
  <c r="CS85" i="1"/>
  <c r="CS86" i="1"/>
  <c r="CS15" i="1"/>
  <c r="CS41" i="1"/>
  <c r="CS74" i="1"/>
  <c r="CS36" i="1"/>
  <c r="CS65" i="1"/>
  <c r="CS61" i="1"/>
  <c r="CS91" i="1"/>
  <c r="CS114" i="1"/>
  <c r="CS2" i="1"/>
  <c r="CS118" i="1" l="1"/>
  <c r="BP2" i="1" l="1"/>
  <c r="BM118" i="1" l="1"/>
  <c r="BM120" i="1" s="1"/>
  <c r="AM118" i="1"/>
  <c r="AM120" i="1" s="1"/>
  <c r="L118" i="1"/>
  <c r="L120" i="1" s="1"/>
  <c r="AY118" i="1"/>
  <c r="BK118" i="1"/>
  <c r="BK120" i="1" s="1"/>
  <c r="AJ118" i="1"/>
  <c r="AJ120" i="1" s="1"/>
  <c r="AW118" i="1"/>
  <c r="BH118" i="1"/>
  <c r="BH120" i="1" s="1"/>
  <c r="AU118" i="1"/>
  <c r="AH118" i="1"/>
  <c r="AH120" i="1" s="1"/>
  <c r="AL118" i="1"/>
  <c r="AL120" i="1" s="1"/>
  <c r="BD118" i="1"/>
  <c r="BD120" i="1" s="1"/>
  <c r="BA118" i="1"/>
  <c r="BL118" i="1"/>
  <c r="BL120" i="1" s="1"/>
  <c r="AZ118" i="1"/>
  <c r="J118" i="1"/>
  <c r="J120" i="1" s="1"/>
  <c r="H118" i="1"/>
  <c r="H120" i="1" s="1"/>
  <c r="G118" i="1"/>
  <c r="G120" i="1" s="1"/>
  <c r="BG118" i="1"/>
  <c r="BG120" i="1" s="1"/>
  <c r="AQ118" i="1"/>
  <c r="AE118" i="1"/>
  <c r="AE120" i="1" s="1"/>
  <c r="F118" i="1"/>
  <c r="F120" i="1" s="1"/>
  <c r="BB118" i="1"/>
  <c r="BJ118" i="1"/>
  <c r="BJ120" i="1" s="1"/>
  <c r="AX118" i="1"/>
  <c r="AI118" i="1"/>
  <c r="AI120" i="1" s="1"/>
  <c r="I118" i="1"/>
  <c r="I120" i="1" s="1"/>
  <c r="AG118" i="1"/>
  <c r="AG120" i="1" s="1"/>
  <c r="BE118" i="1"/>
  <c r="BE120" i="1" s="1"/>
  <c r="AF118" i="1"/>
  <c r="AF120" i="1" s="1"/>
  <c r="BF118" i="1"/>
  <c r="BF120" i="1" s="1"/>
  <c r="AS118" i="1"/>
  <c r="O118" i="1"/>
  <c r="O120" i="1" s="1"/>
  <c r="BO118" i="1"/>
  <c r="BO120" i="1" s="1"/>
  <c r="AR118" i="1"/>
  <c r="N118" i="1"/>
  <c r="N120" i="1" s="1"/>
  <c r="K118" i="1"/>
  <c r="K120" i="1" s="1"/>
  <c r="AK118" i="1"/>
  <c r="AK120" i="1" s="1"/>
  <c r="BI118" i="1"/>
  <c r="BI120" i="1" s="1"/>
  <c r="AT118" i="1"/>
  <c r="AV118" i="1"/>
  <c r="E118" i="1"/>
  <c r="E120" i="1" s="1"/>
  <c r="BN118" i="1"/>
  <c r="BN120" i="1" s="1"/>
  <c r="AN118" i="1"/>
  <c r="AN120" i="1" s="1"/>
  <c r="M118" i="1"/>
  <c r="M120" i="1" s="1"/>
  <c r="AP118" i="1"/>
  <c r="AP120" i="1" s="1"/>
  <c r="BC118" i="1"/>
  <c r="BC120" i="1" s="1"/>
  <c r="AO118" i="1"/>
  <c r="AO120" i="1" s="1"/>
  <c r="V118" i="1"/>
  <c r="V120" i="1" s="1"/>
  <c r="Y118" i="1"/>
  <c r="Y120" i="1" s="1"/>
  <c r="W118" i="1"/>
  <c r="W120" i="1" s="1"/>
  <c r="S118" i="1"/>
  <c r="S120" i="1" s="1"/>
  <c r="X118" i="1"/>
  <c r="X120" i="1" s="1"/>
  <c r="R118" i="1"/>
  <c r="R120" i="1" s="1"/>
  <c r="Z118" i="1"/>
  <c r="Z120" i="1" s="1"/>
  <c r="U118" i="1"/>
  <c r="U120" i="1" s="1"/>
  <c r="T118" i="1"/>
  <c r="T120" i="1" s="1"/>
  <c r="AC118" i="1"/>
  <c r="AC120" i="1" s="1"/>
  <c r="Q118" i="1"/>
  <c r="Q120" i="1" s="1"/>
  <c r="AB118" i="1"/>
  <c r="AB120" i="1" s="1"/>
  <c r="P118" i="1"/>
  <c r="P120" i="1" s="1"/>
  <c r="AA118" i="1"/>
  <c r="AA120" i="1" s="1"/>
  <c r="AD118" i="1"/>
  <c r="AD120" i="1" s="1"/>
  <c r="AR120" i="1" l="1"/>
  <c r="BU40" i="1"/>
  <c r="BU27" i="1"/>
  <c r="BU46" i="1"/>
  <c r="BU19" i="1"/>
  <c r="BU85" i="1"/>
  <c r="BU4" i="1"/>
  <c r="BU29" i="1"/>
  <c r="BU51" i="1"/>
  <c r="BU8" i="1"/>
  <c r="BU80" i="1"/>
  <c r="BU69" i="1"/>
  <c r="BU42" i="1"/>
  <c r="BU61" i="1"/>
  <c r="BU62" i="1"/>
  <c r="BU64" i="1"/>
  <c r="BU73" i="1"/>
  <c r="BU75" i="1"/>
  <c r="BU82" i="1"/>
  <c r="BU94" i="1"/>
  <c r="BU84" i="1"/>
  <c r="BU95" i="1"/>
  <c r="BU96" i="1"/>
  <c r="BU97" i="1"/>
  <c r="BU98" i="1"/>
  <c r="BU99" i="1"/>
  <c r="BU100" i="1"/>
  <c r="BU101" i="1"/>
  <c r="BU102" i="1"/>
  <c r="BU103" i="1"/>
  <c r="BU104" i="1"/>
  <c r="BU105" i="1"/>
  <c r="BU58" i="1"/>
  <c r="BU59" i="1"/>
  <c r="BU106" i="1"/>
  <c r="BU107" i="1"/>
  <c r="BU87" i="1"/>
  <c r="BU88" i="1"/>
  <c r="BU71" i="1"/>
  <c r="BU108" i="1"/>
  <c r="BU109" i="1"/>
  <c r="BU110" i="1"/>
  <c r="BU111" i="1"/>
  <c r="BU21" i="1"/>
  <c r="BU18" i="1"/>
  <c r="BU45" i="1"/>
  <c r="BU60" i="1"/>
  <c r="BU10" i="1"/>
  <c r="BU26" i="1"/>
  <c r="BU44" i="1"/>
  <c r="BU55" i="1"/>
  <c r="BU32" i="1"/>
  <c r="BU63" i="1"/>
  <c r="BU72" i="1"/>
  <c r="BU37" i="1"/>
  <c r="BU20" i="1"/>
  <c r="BU9" i="1"/>
  <c r="BU12" i="1"/>
  <c r="BU79" i="1"/>
  <c r="BU13" i="1"/>
  <c r="BU28" i="1"/>
  <c r="BU47" i="1"/>
  <c r="BU41" i="1"/>
  <c r="BU86" i="1"/>
  <c r="BU36" i="1"/>
  <c r="BU5" i="1"/>
  <c r="BU23" i="1"/>
  <c r="BU52" i="1"/>
  <c r="BU16" i="1"/>
  <c r="BU81" i="1"/>
  <c r="BU6" i="1"/>
  <c r="BU22" i="1"/>
  <c r="BU54" i="1"/>
  <c r="BU33" i="1"/>
  <c r="BU3" i="1"/>
  <c r="BU25" i="1"/>
  <c r="BU77" i="1"/>
  <c r="BU74" i="1"/>
  <c r="BU114" i="1"/>
  <c r="BU116" i="1"/>
  <c r="BU93" i="1"/>
  <c r="BU7" i="1"/>
  <c r="BU49" i="1"/>
  <c r="BU38" i="1"/>
  <c r="BU113" i="1"/>
  <c r="BU67" i="1"/>
  <c r="BU115" i="1"/>
  <c r="BU92" i="1"/>
  <c r="BU34" i="1"/>
  <c r="BU68" i="1"/>
  <c r="BU35" i="1"/>
  <c r="BU91" i="1"/>
  <c r="BU90" i="1"/>
  <c r="BU65" i="1"/>
  <c r="BU117" i="1"/>
  <c r="BU56" i="1"/>
  <c r="BU112" i="1"/>
  <c r="BU83" i="1"/>
  <c r="BU66" i="1"/>
  <c r="BU43" i="1"/>
  <c r="BU17" i="1"/>
  <c r="BU78" i="1"/>
  <c r="BU53" i="1"/>
  <c r="BU57" i="1"/>
  <c r="BU39" i="1"/>
  <c r="BU11" i="1"/>
  <c r="BU24" i="1"/>
  <c r="BU15" i="1"/>
  <c r="BU89" i="1"/>
  <c r="BU70" i="1"/>
  <c r="BU30" i="1"/>
  <c r="BU76" i="1"/>
  <c r="BU2" i="1"/>
  <c r="AU120" i="1"/>
  <c r="BX3" i="1"/>
  <c r="BX4" i="1"/>
  <c r="BX5" i="1"/>
  <c r="BX6" i="1"/>
  <c r="BX7" i="1"/>
  <c r="BX10" i="1"/>
  <c r="BX40" i="1"/>
  <c r="BX13" i="1"/>
  <c r="BX22" i="1"/>
  <c r="BX20" i="1"/>
  <c r="BX23" i="1"/>
  <c r="BX24" i="1"/>
  <c r="BX25" i="1"/>
  <c r="BX26" i="1"/>
  <c r="BX27" i="1"/>
  <c r="BX28" i="1"/>
  <c r="BX21" i="1"/>
  <c r="BX43" i="1"/>
  <c r="BX29" i="1"/>
  <c r="BX30" i="1"/>
  <c r="BX44" i="1"/>
  <c r="BX46" i="1"/>
  <c r="BX47" i="1"/>
  <c r="BX49" i="1"/>
  <c r="BX39" i="1"/>
  <c r="BX9" i="1"/>
  <c r="BX51" i="1"/>
  <c r="BX52" i="1"/>
  <c r="BX53" i="1"/>
  <c r="BX54" i="1"/>
  <c r="BX55" i="1"/>
  <c r="BX19" i="1"/>
  <c r="BX18" i="1"/>
  <c r="BX56" i="1"/>
  <c r="BX57" i="1"/>
  <c r="BX12" i="1"/>
  <c r="BX8" i="1"/>
  <c r="BX16" i="1"/>
  <c r="BX17" i="1"/>
  <c r="BX15" i="1"/>
  <c r="BX32" i="1"/>
  <c r="BX41" i="1"/>
  <c r="BX45" i="1"/>
  <c r="BX76" i="1"/>
  <c r="BX77" i="1"/>
  <c r="BX78" i="1"/>
  <c r="BX79" i="1"/>
  <c r="BX80" i="1"/>
  <c r="BX81" i="1"/>
  <c r="BX83" i="1"/>
  <c r="BX11" i="1"/>
  <c r="BX63" i="1"/>
  <c r="BX85" i="1"/>
  <c r="BX86" i="1"/>
  <c r="BX60" i="1"/>
  <c r="BX33" i="1"/>
  <c r="BX34" i="1"/>
  <c r="BX66" i="1"/>
  <c r="BX90" i="1"/>
  <c r="BX70" i="1"/>
  <c r="BX89" i="1"/>
  <c r="BX68" i="1"/>
  <c r="BX38" i="1"/>
  <c r="BX72" i="1"/>
  <c r="BX37" i="1"/>
  <c r="BX73" i="1"/>
  <c r="BX102" i="1"/>
  <c r="BX104" i="1"/>
  <c r="BX100" i="1"/>
  <c r="BX58" i="1"/>
  <c r="BX107" i="1"/>
  <c r="BX110" i="1"/>
  <c r="BX94" i="1"/>
  <c r="BX71" i="1"/>
  <c r="BX75" i="1"/>
  <c r="BX103" i="1"/>
  <c r="BX61" i="1"/>
  <c r="BX98" i="1"/>
  <c r="BX35" i="1"/>
  <c r="BX96" i="1"/>
  <c r="BX64" i="1"/>
  <c r="BX101" i="1"/>
  <c r="BX105" i="1"/>
  <c r="BX106" i="1"/>
  <c r="BX84" i="1"/>
  <c r="BX113" i="1"/>
  <c r="BX65" i="1"/>
  <c r="BX74" i="1"/>
  <c r="BX67" i="1"/>
  <c r="BX114" i="1"/>
  <c r="BX115" i="1"/>
  <c r="BX116" i="1"/>
  <c r="BX117" i="1"/>
  <c r="BX91" i="1"/>
  <c r="BX92" i="1"/>
  <c r="BX93" i="1"/>
  <c r="BX108" i="1"/>
  <c r="BX69" i="1"/>
  <c r="BX36" i="1"/>
  <c r="BX62" i="1"/>
  <c r="BX99" i="1"/>
  <c r="BX112" i="1"/>
  <c r="BX97" i="1"/>
  <c r="BX59" i="1"/>
  <c r="BX111" i="1"/>
  <c r="BX82" i="1"/>
  <c r="BX42" i="1"/>
  <c r="BX87" i="1"/>
  <c r="BX95" i="1"/>
  <c r="BX88" i="1"/>
  <c r="BX109" i="1"/>
  <c r="BX2" i="1"/>
  <c r="BB120" i="1"/>
  <c r="CE13" i="1"/>
  <c r="CE28" i="1"/>
  <c r="CE47" i="1"/>
  <c r="CE41" i="1"/>
  <c r="CE86" i="1"/>
  <c r="CE5" i="1"/>
  <c r="CE23" i="1"/>
  <c r="CE52" i="1"/>
  <c r="CE16" i="1"/>
  <c r="CE81" i="1"/>
  <c r="CE72" i="1"/>
  <c r="CE37" i="1"/>
  <c r="CE49" i="1"/>
  <c r="CE76" i="1"/>
  <c r="CE33" i="1"/>
  <c r="CE40" i="1"/>
  <c r="CE27" i="1"/>
  <c r="CE46" i="1"/>
  <c r="CE19" i="1"/>
  <c r="CE85" i="1"/>
  <c r="CE66" i="1"/>
  <c r="CE90" i="1"/>
  <c r="CE35" i="1"/>
  <c r="CE4" i="1"/>
  <c r="CE29" i="1"/>
  <c r="CE51" i="1"/>
  <c r="CE8" i="1"/>
  <c r="CE80" i="1"/>
  <c r="CE21" i="1"/>
  <c r="CE18" i="1"/>
  <c r="CE45" i="1"/>
  <c r="CE60" i="1"/>
  <c r="CE70" i="1"/>
  <c r="CE6" i="1"/>
  <c r="CE24" i="1"/>
  <c r="CE53" i="1"/>
  <c r="CE17" i="1"/>
  <c r="CE83" i="1"/>
  <c r="CE39" i="1"/>
  <c r="CE11" i="1"/>
  <c r="CE36" i="1"/>
  <c r="CE62" i="1"/>
  <c r="CE105" i="1"/>
  <c r="CE106" i="1"/>
  <c r="CE22" i="1"/>
  <c r="CE54" i="1"/>
  <c r="CE12" i="1"/>
  <c r="CE42" i="1"/>
  <c r="CE97" i="1"/>
  <c r="CE102" i="1"/>
  <c r="CE112" i="1"/>
  <c r="CE113" i="1"/>
  <c r="CE65" i="1"/>
  <c r="CE67" i="1"/>
  <c r="CE114" i="1"/>
  <c r="CE116" i="1"/>
  <c r="CE117" i="1"/>
  <c r="CE92" i="1"/>
  <c r="CE93" i="1"/>
  <c r="CE34" i="1"/>
  <c r="CE100" i="1"/>
  <c r="CE104" i="1"/>
  <c r="CE111" i="1"/>
  <c r="CE3" i="1"/>
  <c r="CE30" i="1"/>
  <c r="CE9" i="1"/>
  <c r="CE63" i="1"/>
  <c r="CE89" i="1"/>
  <c r="CE73" i="1"/>
  <c r="CE74" i="1"/>
  <c r="CE115" i="1"/>
  <c r="CE91" i="1"/>
  <c r="CE20" i="1"/>
  <c r="CE25" i="1"/>
  <c r="CE32" i="1"/>
  <c r="CE95" i="1"/>
  <c r="CE59" i="1"/>
  <c r="CE87" i="1"/>
  <c r="CE108" i="1"/>
  <c r="CE7" i="1"/>
  <c r="CE55" i="1"/>
  <c r="CE44" i="1"/>
  <c r="CE77" i="1"/>
  <c r="CE94" i="1"/>
  <c r="CE26" i="1"/>
  <c r="CE56" i="1"/>
  <c r="CE10" i="1"/>
  <c r="CE68" i="1"/>
  <c r="CE75" i="1"/>
  <c r="CE58" i="1"/>
  <c r="CE107" i="1"/>
  <c r="CE71" i="1"/>
  <c r="CE110" i="1"/>
  <c r="CE69" i="1"/>
  <c r="CE84" i="1"/>
  <c r="CE88" i="1"/>
  <c r="CE43" i="1"/>
  <c r="CE38" i="1"/>
  <c r="CE96" i="1"/>
  <c r="CE99" i="1"/>
  <c r="CE78" i="1"/>
  <c r="CE64" i="1"/>
  <c r="CE101" i="1"/>
  <c r="CE103" i="1"/>
  <c r="CE57" i="1"/>
  <c r="CE109" i="1"/>
  <c r="CE79" i="1"/>
  <c r="CE98" i="1"/>
  <c r="CE82" i="1"/>
  <c r="CE61" i="1"/>
  <c r="CE15" i="1"/>
  <c r="CE2" i="1"/>
  <c r="AS120" i="1"/>
  <c r="BV3" i="1"/>
  <c r="BV22" i="1"/>
  <c r="BV39" i="1"/>
  <c r="BV57" i="1"/>
  <c r="BV78" i="1"/>
  <c r="BV66" i="1"/>
  <c r="BV90" i="1"/>
  <c r="BV70" i="1"/>
  <c r="BV40" i="1"/>
  <c r="BV27" i="1"/>
  <c r="BV46" i="1"/>
  <c r="BV19" i="1"/>
  <c r="BV85" i="1"/>
  <c r="BV4" i="1"/>
  <c r="BV29" i="1"/>
  <c r="BV51" i="1"/>
  <c r="BV8" i="1"/>
  <c r="BV80" i="1"/>
  <c r="BV69" i="1"/>
  <c r="BV42" i="1"/>
  <c r="BV61" i="1"/>
  <c r="BV62" i="1"/>
  <c r="BV64" i="1"/>
  <c r="BV73" i="1"/>
  <c r="BV75" i="1"/>
  <c r="BV82" i="1"/>
  <c r="BV94" i="1"/>
  <c r="BV84" i="1"/>
  <c r="BV95" i="1"/>
  <c r="BV96" i="1"/>
  <c r="BV97" i="1"/>
  <c r="BV98" i="1"/>
  <c r="BV99" i="1"/>
  <c r="BV100" i="1"/>
  <c r="BV101" i="1"/>
  <c r="BV102" i="1"/>
  <c r="BV103" i="1"/>
  <c r="BV104" i="1"/>
  <c r="BV105" i="1"/>
  <c r="BV43" i="1"/>
  <c r="BV56" i="1"/>
  <c r="BV77" i="1"/>
  <c r="BV34" i="1"/>
  <c r="BV10" i="1"/>
  <c r="BV26" i="1"/>
  <c r="BV44" i="1"/>
  <c r="BV55" i="1"/>
  <c r="BV32" i="1"/>
  <c r="BV63" i="1"/>
  <c r="BV72" i="1"/>
  <c r="BV37" i="1"/>
  <c r="BV20" i="1"/>
  <c r="BV9" i="1"/>
  <c r="BV12" i="1"/>
  <c r="BV79" i="1"/>
  <c r="BV13" i="1"/>
  <c r="BV28" i="1"/>
  <c r="BV47" i="1"/>
  <c r="BV41" i="1"/>
  <c r="BV86" i="1"/>
  <c r="BV36" i="1"/>
  <c r="BV24" i="1"/>
  <c r="BV18" i="1"/>
  <c r="BV15" i="1"/>
  <c r="BV21" i="1"/>
  <c r="BV30" i="1"/>
  <c r="BV76" i="1"/>
  <c r="BV89" i="1"/>
  <c r="BV68" i="1"/>
  <c r="BV35" i="1"/>
  <c r="BV106" i="1"/>
  <c r="BV109" i="1"/>
  <c r="BV25" i="1"/>
  <c r="BV88" i="1"/>
  <c r="BV7" i="1"/>
  <c r="BV49" i="1"/>
  <c r="BV81" i="1"/>
  <c r="BV16" i="1"/>
  <c r="BV52" i="1"/>
  <c r="BV38" i="1"/>
  <c r="BV113" i="1"/>
  <c r="BV65" i="1"/>
  <c r="BV74" i="1"/>
  <c r="BV67" i="1"/>
  <c r="BV114" i="1"/>
  <c r="BV115" i="1"/>
  <c r="BV116" i="1"/>
  <c r="BV117" i="1"/>
  <c r="BV91" i="1"/>
  <c r="BV92" i="1"/>
  <c r="BV93" i="1"/>
  <c r="BV23" i="1"/>
  <c r="BV83" i="1"/>
  <c r="BV45" i="1"/>
  <c r="BV5" i="1"/>
  <c r="BV17" i="1"/>
  <c r="BV59" i="1"/>
  <c r="BV87" i="1"/>
  <c r="BV108" i="1"/>
  <c r="BV111" i="1"/>
  <c r="BV53" i="1"/>
  <c r="BV60" i="1"/>
  <c r="BV11" i="1"/>
  <c r="BV6" i="1"/>
  <c r="BV54" i="1"/>
  <c r="BV33" i="1"/>
  <c r="BV71" i="1"/>
  <c r="BV110" i="1"/>
  <c r="BV58" i="1"/>
  <c r="BV112" i="1"/>
  <c r="BV107" i="1"/>
  <c r="BV2" i="1"/>
  <c r="AW120" i="1"/>
  <c r="BZ49" i="1"/>
  <c r="BZ76" i="1"/>
  <c r="BZ33" i="1"/>
  <c r="BZ7" i="1"/>
  <c r="BZ25" i="1"/>
  <c r="BZ30" i="1"/>
  <c r="BZ54" i="1"/>
  <c r="BZ15" i="1"/>
  <c r="BZ11" i="1"/>
  <c r="BZ35" i="1"/>
  <c r="BZ3" i="1"/>
  <c r="BZ22" i="1"/>
  <c r="BZ39" i="1"/>
  <c r="BZ57" i="1"/>
  <c r="BZ78" i="1"/>
  <c r="BZ21" i="1"/>
  <c r="BZ18" i="1"/>
  <c r="BZ45" i="1"/>
  <c r="BZ60" i="1"/>
  <c r="BZ69" i="1"/>
  <c r="BZ6" i="1"/>
  <c r="BZ24" i="1"/>
  <c r="BZ53" i="1"/>
  <c r="BZ17" i="1"/>
  <c r="BZ83" i="1"/>
  <c r="BZ42" i="1"/>
  <c r="BZ61" i="1"/>
  <c r="BZ62" i="1"/>
  <c r="BZ64" i="1"/>
  <c r="BZ73" i="1"/>
  <c r="BZ75" i="1"/>
  <c r="BZ82" i="1"/>
  <c r="BZ94" i="1"/>
  <c r="BZ84" i="1"/>
  <c r="BZ95" i="1"/>
  <c r="BZ96" i="1"/>
  <c r="BZ97" i="1"/>
  <c r="BZ98" i="1"/>
  <c r="BZ99" i="1"/>
  <c r="BZ100" i="1"/>
  <c r="BZ101" i="1"/>
  <c r="BZ102" i="1"/>
  <c r="BZ103" i="1"/>
  <c r="BZ104" i="1"/>
  <c r="BZ105" i="1"/>
  <c r="BZ58" i="1"/>
  <c r="BZ59" i="1"/>
  <c r="BZ106" i="1"/>
  <c r="BZ107" i="1"/>
  <c r="BZ87" i="1"/>
  <c r="BZ88" i="1"/>
  <c r="BZ71" i="1"/>
  <c r="BZ108" i="1"/>
  <c r="BZ109" i="1"/>
  <c r="BZ110" i="1"/>
  <c r="BZ43" i="1"/>
  <c r="BZ56" i="1"/>
  <c r="BZ77" i="1"/>
  <c r="BZ34" i="1"/>
  <c r="BZ89" i="1"/>
  <c r="BZ68" i="1"/>
  <c r="BZ38" i="1"/>
  <c r="BZ10" i="1"/>
  <c r="BZ26" i="1"/>
  <c r="BZ44" i="1"/>
  <c r="BZ55" i="1"/>
  <c r="BZ32" i="1"/>
  <c r="BZ63" i="1"/>
  <c r="BZ28" i="1"/>
  <c r="BZ12" i="1"/>
  <c r="BZ70" i="1"/>
  <c r="BZ37" i="1"/>
  <c r="BZ20" i="1"/>
  <c r="BZ80" i="1"/>
  <c r="BZ85" i="1"/>
  <c r="BZ8" i="1"/>
  <c r="BZ51" i="1"/>
  <c r="BZ29" i="1"/>
  <c r="BZ81" i="1"/>
  <c r="BZ90" i="1"/>
  <c r="BZ19" i="1"/>
  <c r="BZ16" i="1"/>
  <c r="BZ4" i="1"/>
  <c r="BZ46" i="1"/>
  <c r="BZ52" i="1"/>
  <c r="BZ86" i="1"/>
  <c r="BZ66" i="1"/>
  <c r="BZ27" i="1"/>
  <c r="BZ41" i="1"/>
  <c r="BZ79" i="1"/>
  <c r="BZ36" i="1"/>
  <c r="BZ111" i="1"/>
  <c r="BZ40" i="1"/>
  <c r="BZ23" i="1"/>
  <c r="BZ112" i="1"/>
  <c r="BZ113" i="1"/>
  <c r="BZ65" i="1"/>
  <c r="BZ74" i="1"/>
  <c r="BZ67" i="1"/>
  <c r="BZ114" i="1"/>
  <c r="BZ115" i="1"/>
  <c r="BZ116" i="1"/>
  <c r="BZ117" i="1"/>
  <c r="BZ91" i="1"/>
  <c r="BZ92" i="1"/>
  <c r="BZ93" i="1"/>
  <c r="BZ5" i="1"/>
  <c r="BZ47" i="1"/>
  <c r="BZ13" i="1"/>
  <c r="BZ72" i="1"/>
  <c r="BZ9" i="1"/>
  <c r="BZ2" i="1"/>
  <c r="AT120" i="1"/>
  <c r="BW3" i="1"/>
  <c r="BW4" i="1"/>
  <c r="BW5" i="1"/>
  <c r="BW6" i="1"/>
  <c r="BW7" i="1"/>
  <c r="BW10" i="1"/>
  <c r="BW40" i="1"/>
  <c r="BW13" i="1"/>
  <c r="BW22" i="1"/>
  <c r="BW20" i="1"/>
  <c r="BW23" i="1"/>
  <c r="BW24" i="1"/>
  <c r="BW25" i="1"/>
  <c r="BW26" i="1"/>
  <c r="BW27" i="1"/>
  <c r="BW28" i="1"/>
  <c r="BW21" i="1"/>
  <c r="BW43" i="1"/>
  <c r="BW29" i="1"/>
  <c r="BW30" i="1"/>
  <c r="BW44" i="1"/>
  <c r="BW46" i="1"/>
  <c r="BW47" i="1"/>
  <c r="BW49" i="1"/>
  <c r="BW39" i="1"/>
  <c r="BW9" i="1"/>
  <c r="BW51" i="1"/>
  <c r="BW52" i="1"/>
  <c r="BW53" i="1"/>
  <c r="BW54" i="1"/>
  <c r="BW55" i="1"/>
  <c r="BW19" i="1"/>
  <c r="BW18" i="1"/>
  <c r="BW56" i="1"/>
  <c r="BW57" i="1"/>
  <c r="BW12" i="1"/>
  <c r="BW8" i="1"/>
  <c r="BW16" i="1"/>
  <c r="BW17" i="1"/>
  <c r="BW15" i="1"/>
  <c r="BW32" i="1"/>
  <c r="BW41" i="1"/>
  <c r="BW45" i="1"/>
  <c r="BW76" i="1"/>
  <c r="BW77" i="1"/>
  <c r="BW78" i="1"/>
  <c r="BW79" i="1"/>
  <c r="BW80" i="1"/>
  <c r="BW81" i="1"/>
  <c r="BW83" i="1"/>
  <c r="BW11" i="1"/>
  <c r="BW63" i="1"/>
  <c r="BW85" i="1"/>
  <c r="BW86" i="1"/>
  <c r="BW60" i="1"/>
  <c r="BW33" i="1"/>
  <c r="BW34" i="1"/>
  <c r="BW66" i="1"/>
  <c r="BW89" i="1"/>
  <c r="BW90" i="1"/>
  <c r="BW72" i="1"/>
  <c r="BW68" i="1"/>
  <c r="BW69" i="1"/>
  <c r="BW70" i="1"/>
  <c r="BW35" i="1"/>
  <c r="BW36" i="1"/>
  <c r="BW37" i="1"/>
  <c r="BW38" i="1"/>
  <c r="BW95" i="1"/>
  <c r="BW94" i="1"/>
  <c r="BW58" i="1"/>
  <c r="BW107" i="1"/>
  <c r="BW71" i="1"/>
  <c r="BW110" i="1"/>
  <c r="BW98" i="1"/>
  <c r="BW61" i="1"/>
  <c r="BW96" i="1"/>
  <c r="BW75" i="1"/>
  <c r="BW103" i="1"/>
  <c r="BW64" i="1"/>
  <c r="BW101" i="1"/>
  <c r="BW105" i="1"/>
  <c r="BW106" i="1"/>
  <c r="BW88" i="1"/>
  <c r="BW109" i="1"/>
  <c r="BW84" i="1"/>
  <c r="BW62" i="1"/>
  <c r="BW99" i="1"/>
  <c r="BW112" i="1"/>
  <c r="BW82" i="1"/>
  <c r="BW73" i="1"/>
  <c r="BW102" i="1"/>
  <c r="BW42" i="1"/>
  <c r="BW97" i="1"/>
  <c r="BW59" i="1"/>
  <c r="BW87" i="1"/>
  <c r="BW108" i="1"/>
  <c r="BW111" i="1"/>
  <c r="BW104" i="1"/>
  <c r="BW93" i="1"/>
  <c r="BW113" i="1"/>
  <c r="BW65" i="1"/>
  <c r="BW117" i="1"/>
  <c r="BW114" i="1"/>
  <c r="BW74" i="1"/>
  <c r="BW91" i="1"/>
  <c r="BW100" i="1"/>
  <c r="BW67" i="1"/>
  <c r="BW92" i="1"/>
  <c r="BW115" i="1"/>
  <c r="BW116" i="1"/>
  <c r="BW2" i="1"/>
  <c r="AY120" i="1"/>
  <c r="CB3" i="1"/>
  <c r="CB4" i="1"/>
  <c r="CB5" i="1"/>
  <c r="CB6" i="1"/>
  <c r="CB7" i="1"/>
  <c r="CB10" i="1"/>
  <c r="CB40" i="1"/>
  <c r="CB13" i="1"/>
  <c r="CB22" i="1"/>
  <c r="CB20" i="1"/>
  <c r="CB23" i="1"/>
  <c r="CB24" i="1"/>
  <c r="CB25" i="1"/>
  <c r="CB26" i="1"/>
  <c r="CB27" i="1"/>
  <c r="CB28" i="1"/>
  <c r="CB21" i="1"/>
  <c r="CB43" i="1"/>
  <c r="CB29" i="1"/>
  <c r="CB30" i="1"/>
  <c r="CB44" i="1"/>
  <c r="CB46" i="1"/>
  <c r="CB47" i="1"/>
  <c r="CB49" i="1"/>
  <c r="CB39" i="1"/>
  <c r="CB9" i="1"/>
  <c r="CB51" i="1"/>
  <c r="CB52" i="1"/>
  <c r="CB53" i="1"/>
  <c r="CB54" i="1"/>
  <c r="CB55" i="1"/>
  <c r="CB19" i="1"/>
  <c r="CB18" i="1"/>
  <c r="CB56" i="1"/>
  <c r="CB57" i="1"/>
  <c r="CB12" i="1"/>
  <c r="CB8" i="1"/>
  <c r="CB16" i="1"/>
  <c r="CB17" i="1"/>
  <c r="CB15" i="1"/>
  <c r="CB32" i="1"/>
  <c r="CB41" i="1"/>
  <c r="CB45" i="1"/>
  <c r="CB76" i="1"/>
  <c r="CB77" i="1"/>
  <c r="CB78" i="1"/>
  <c r="CB79" i="1"/>
  <c r="CB80" i="1"/>
  <c r="CB81" i="1"/>
  <c r="CB83" i="1"/>
  <c r="CB11" i="1"/>
  <c r="CB63" i="1"/>
  <c r="CB85" i="1"/>
  <c r="CB86" i="1"/>
  <c r="CB60" i="1"/>
  <c r="CB33" i="1"/>
  <c r="CB34" i="1"/>
  <c r="CB66" i="1"/>
  <c r="CB89" i="1"/>
  <c r="CB90" i="1"/>
  <c r="CB72" i="1"/>
  <c r="CB68" i="1"/>
  <c r="CB69" i="1"/>
  <c r="CB70" i="1"/>
  <c r="CB35" i="1"/>
  <c r="CB36" i="1"/>
  <c r="CB37" i="1"/>
  <c r="CB38" i="1"/>
  <c r="CB42" i="1"/>
  <c r="CB61" i="1"/>
  <c r="CB62" i="1"/>
  <c r="CB64" i="1"/>
  <c r="CB73" i="1"/>
  <c r="CB75" i="1"/>
  <c r="CB82" i="1"/>
  <c r="CB94" i="1"/>
  <c r="CB84" i="1"/>
  <c r="CB95" i="1"/>
  <c r="CB96" i="1"/>
  <c r="CB97" i="1"/>
  <c r="CB98" i="1"/>
  <c r="CB99" i="1"/>
  <c r="CB100" i="1"/>
  <c r="CB101" i="1"/>
  <c r="CB102" i="1"/>
  <c r="CB112" i="1"/>
  <c r="CB114" i="1"/>
  <c r="CB91" i="1"/>
  <c r="CB104" i="1"/>
  <c r="CB111" i="1"/>
  <c r="CB58" i="1"/>
  <c r="CB110" i="1"/>
  <c r="CB107" i="1"/>
  <c r="CB71" i="1"/>
  <c r="CB113" i="1"/>
  <c r="CB74" i="1"/>
  <c r="CB115" i="1"/>
  <c r="CB92" i="1"/>
  <c r="CB105" i="1"/>
  <c r="CB106" i="1"/>
  <c r="CB88" i="1"/>
  <c r="CB109" i="1"/>
  <c r="CB65" i="1"/>
  <c r="CB116" i="1"/>
  <c r="CB93" i="1"/>
  <c r="CB67" i="1"/>
  <c r="CB117" i="1"/>
  <c r="CB87" i="1"/>
  <c r="CB108" i="1"/>
  <c r="CB103" i="1"/>
  <c r="CB59" i="1"/>
  <c r="CB2" i="1"/>
  <c r="AZ120" i="1"/>
  <c r="CC3" i="1"/>
  <c r="CC4" i="1"/>
  <c r="CC5" i="1"/>
  <c r="CC6" i="1"/>
  <c r="CC7" i="1"/>
  <c r="CC10" i="1"/>
  <c r="CC40" i="1"/>
  <c r="CC13" i="1"/>
  <c r="CC22" i="1"/>
  <c r="CC20" i="1"/>
  <c r="CC23" i="1"/>
  <c r="CC24" i="1"/>
  <c r="CC25" i="1"/>
  <c r="CC26" i="1"/>
  <c r="CC27" i="1"/>
  <c r="CC28" i="1"/>
  <c r="CC21" i="1"/>
  <c r="CC43" i="1"/>
  <c r="CC29" i="1"/>
  <c r="CC30" i="1"/>
  <c r="CC44" i="1"/>
  <c r="CC46" i="1"/>
  <c r="CC47" i="1"/>
  <c r="CC49" i="1"/>
  <c r="CC39" i="1"/>
  <c r="CC9" i="1"/>
  <c r="CC51" i="1"/>
  <c r="CC52" i="1"/>
  <c r="CC53" i="1"/>
  <c r="CC54" i="1"/>
  <c r="CC55" i="1"/>
  <c r="CC19" i="1"/>
  <c r="CC18" i="1"/>
  <c r="CC56" i="1"/>
  <c r="CC57" i="1"/>
  <c r="CC12" i="1"/>
  <c r="CC8" i="1"/>
  <c r="CC16" i="1"/>
  <c r="CC17" i="1"/>
  <c r="CC15" i="1"/>
  <c r="CC32" i="1"/>
  <c r="CC41" i="1"/>
  <c r="CC45" i="1"/>
  <c r="CC76" i="1"/>
  <c r="CC77" i="1"/>
  <c r="CC78" i="1"/>
  <c r="CC79" i="1"/>
  <c r="CC80" i="1"/>
  <c r="CC81" i="1"/>
  <c r="CC83" i="1"/>
  <c r="CC11" i="1"/>
  <c r="CC63" i="1"/>
  <c r="CC85" i="1"/>
  <c r="CC86" i="1"/>
  <c r="CC60" i="1"/>
  <c r="CC33" i="1"/>
  <c r="CC34" i="1"/>
  <c r="CC66" i="1"/>
  <c r="CC89" i="1"/>
  <c r="CC90" i="1"/>
  <c r="CC36" i="1"/>
  <c r="CC70" i="1"/>
  <c r="CC69" i="1"/>
  <c r="CC42" i="1"/>
  <c r="CC95" i="1"/>
  <c r="CC59" i="1"/>
  <c r="CC87" i="1"/>
  <c r="CC108" i="1"/>
  <c r="CC72" i="1"/>
  <c r="CC100" i="1"/>
  <c r="CC104" i="1"/>
  <c r="CC111" i="1"/>
  <c r="CC37" i="1"/>
  <c r="CC94" i="1"/>
  <c r="CC61" i="1"/>
  <c r="CC98" i="1"/>
  <c r="CC68" i="1"/>
  <c r="CC75" i="1"/>
  <c r="CC58" i="1"/>
  <c r="CC107" i="1"/>
  <c r="CC71" i="1"/>
  <c r="CC110" i="1"/>
  <c r="CC35" i="1"/>
  <c r="CC38" i="1"/>
  <c r="CC64" i="1"/>
  <c r="CC101" i="1"/>
  <c r="CC103" i="1"/>
  <c r="CC84" i="1"/>
  <c r="CC62" i="1"/>
  <c r="CC99" i="1"/>
  <c r="CC105" i="1"/>
  <c r="CC106" i="1"/>
  <c r="CC88" i="1"/>
  <c r="CC109" i="1"/>
  <c r="CC82" i="1"/>
  <c r="CC97" i="1"/>
  <c r="CC113" i="1"/>
  <c r="CC116" i="1"/>
  <c r="CC96" i="1"/>
  <c r="CC65" i="1"/>
  <c r="CC117" i="1"/>
  <c r="CC74" i="1"/>
  <c r="CC102" i="1"/>
  <c r="CC67" i="1"/>
  <c r="CC91" i="1"/>
  <c r="CC92" i="1"/>
  <c r="CC114" i="1"/>
  <c r="CC93" i="1"/>
  <c r="CC73" i="1"/>
  <c r="CC112" i="1"/>
  <c r="CC115" i="1"/>
  <c r="CC2" i="1"/>
  <c r="AV120" i="1"/>
  <c r="BY7" i="1"/>
  <c r="BY25" i="1"/>
  <c r="BY30" i="1"/>
  <c r="BY54" i="1"/>
  <c r="BY15" i="1"/>
  <c r="BY11" i="1"/>
  <c r="BY35" i="1"/>
  <c r="BY3" i="1"/>
  <c r="BY22" i="1"/>
  <c r="BY39" i="1"/>
  <c r="BY57" i="1"/>
  <c r="BY78" i="1"/>
  <c r="BY40" i="1"/>
  <c r="BY27" i="1"/>
  <c r="BY46" i="1"/>
  <c r="BY19" i="1"/>
  <c r="BY85" i="1"/>
  <c r="BY66" i="1"/>
  <c r="BY90" i="1"/>
  <c r="BY70" i="1"/>
  <c r="BY6" i="1"/>
  <c r="BY24" i="1"/>
  <c r="BY53" i="1"/>
  <c r="BY17" i="1"/>
  <c r="BY83" i="1"/>
  <c r="BY42" i="1"/>
  <c r="BY61" i="1"/>
  <c r="BY62" i="1"/>
  <c r="BY64" i="1"/>
  <c r="BY73" i="1"/>
  <c r="BY75" i="1"/>
  <c r="BY82" i="1"/>
  <c r="BY94" i="1"/>
  <c r="BY84" i="1"/>
  <c r="BY95" i="1"/>
  <c r="BY96" i="1"/>
  <c r="BY97" i="1"/>
  <c r="BY98" i="1"/>
  <c r="BY99" i="1"/>
  <c r="BY100" i="1"/>
  <c r="BY101" i="1"/>
  <c r="BY102" i="1"/>
  <c r="BY103" i="1"/>
  <c r="BY104" i="1"/>
  <c r="BY105" i="1"/>
  <c r="BY58" i="1"/>
  <c r="BY59" i="1"/>
  <c r="BY106" i="1"/>
  <c r="BY107" i="1"/>
  <c r="BY87" i="1"/>
  <c r="BY88" i="1"/>
  <c r="BY71" i="1"/>
  <c r="BY108" i="1"/>
  <c r="BY109" i="1"/>
  <c r="BY110" i="1"/>
  <c r="BY111" i="1"/>
  <c r="BY112" i="1"/>
  <c r="BY43" i="1"/>
  <c r="BY56" i="1"/>
  <c r="BY77" i="1"/>
  <c r="BY34" i="1"/>
  <c r="BY89" i="1"/>
  <c r="BY68" i="1"/>
  <c r="BY38" i="1"/>
  <c r="BY10" i="1"/>
  <c r="BY26" i="1"/>
  <c r="BY44" i="1"/>
  <c r="BY55" i="1"/>
  <c r="BY32" i="1"/>
  <c r="BY63" i="1"/>
  <c r="BY20" i="1"/>
  <c r="BY9" i="1"/>
  <c r="BY12" i="1"/>
  <c r="BY79" i="1"/>
  <c r="BY72" i="1"/>
  <c r="BY37" i="1"/>
  <c r="BY13" i="1"/>
  <c r="BY45" i="1"/>
  <c r="BY80" i="1"/>
  <c r="BY33" i="1"/>
  <c r="BY21" i="1"/>
  <c r="BY8" i="1"/>
  <c r="BY76" i="1"/>
  <c r="BY51" i="1"/>
  <c r="BY29" i="1"/>
  <c r="BY49" i="1"/>
  <c r="BY81" i="1"/>
  <c r="BY16" i="1"/>
  <c r="BY4" i="1"/>
  <c r="BY52" i="1"/>
  <c r="BY86" i="1"/>
  <c r="BY41" i="1"/>
  <c r="BY60" i="1"/>
  <c r="BY23" i="1"/>
  <c r="BY113" i="1"/>
  <c r="BY65" i="1"/>
  <c r="BY74" i="1"/>
  <c r="BY67" i="1"/>
  <c r="BY114" i="1"/>
  <c r="BY115" i="1"/>
  <c r="BY116" i="1"/>
  <c r="BY117" i="1"/>
  <c r="BY91" i="1"/>
  <c r="BY92" i="1"/>
  <c r="BY93" i="1"/>
  <c r="BY5" i="1"/>
  <c r="BY47" i="1"/>
  <c r="BY69" i="1"/>
  <c r="BY36" i="1"/>
  <c r="BY28" i="1"/>
  <c r="BY18" i="1"/>
  <c r="BY2" i="1"/>
  <c r="AQ120" i="1"/>
  <c r="BT4" i="1"/>
  <c r="BT29" i="1"/>
  <c r="BT51" i="1"/>
  <c r="BT8" i="1"/>
  <c r="BT80" i="1"/>
  <c r="BT69" i="1"/>
  <c r="BT42" i="1"/>
  <c r="BT61" i="1"/>
  <c r="BT62" i="1"/>
  <c r="BT64" i="1"/>
  <c r="BT73" i="1"/>
  <c r="BT75" i="1"/>
  <c r="BT82" i="1"/>
  <c r="BT94" i="1"/>
  <c r="BT84" i="1"/>
  <c r="BT95" i="1"/>
  <c r="BT96" i="1"/>
  <c r="BT97" i="1"/>
  <c r="BT98" i="1"/>
  <c r="BT99" i="1"/>
  <c r="BT100" i="1"/>
  <c r="BT101" i="1"/>
  <c r="BT102" i="1"/>
  <c r="BT103" i="1"/>
  <c r="BT104" i="1"/>
  <c r="BT105" i="1"/>
  <c r="BT58" i="1"/>
  <c r="BT59" i="1"/>
  <c r="BT106" i="1"/>
  <c r="BT107" i="1"/>
  <c r="BT87" i="1"/>
  <c r="BT88" i="1"/>
  <c r="BT71" i="1"/>
  <c r="BT108" i="1"/>
  <c r="BT109" i="1"/>
  <c r="BT110" i="1"/>
  <c r="BT111" i="1"/>
  <c r="BT112" i="1"/>
  <c r="BT21" i="1"/>
  <c r="BT18" i="1"/>
  <c r="BT45" i="1"/>
  <c r="BT60" i="1"/>
  <c r="BT6" i="1"/>
  <c r="BT24" i="1"/>
  <c r="BT53" i="1"/>
  <c r="BT17" i="1"/>
  <c r="BT83" i="1"/>
  <c r="BT89" i="1"/>
  <c r="BT68" i="1"/>
  <c r="BT38" i="1"/>
  <c r="BT20" i="1"/>
  <c r="BT9" i="1"/>
  <c r="BT12" i="1"/>
  <c r="BT79" i="1"/>
  <c r="BT13" i="1"/>
  <c r="BT28" i="1"/>
  <c r="BT47" i="1"/>
  <c r="BT41" i="1"/>
  <c r="BT86" i="1"/>
  <c r="BT36" i="1"/>
  <c r="BT5" i="1"/>
  <c r="BT23" i="1"/>
  <c r="BT52" i="1"/>
  <c r="BT16" i="1"/>
  <c r="BT81" i="1"/>
  <c r="BT49" i="1"/>
  <c r="BT76" i="1"/>
  <c r="BT33" i="1"/>
  <c r="BT35" i="1"/>
  <c r="BT3" i="1"/>
  <c r="BT30" i="1"/>
  <c r="BT72" i="1"/>
  <c r="BT70" i="1"/>
  <c r="BT7" i="1"/>
  <c r="BT32" i="1"/>
  <c r="BT26" i="1"/>
  <c r="BT55" i="1"/>
  <c r="BT34" i="1"/>
  <c r="BT44" i="1"/>
  <c r="BT77" i="1"/>
  <c r="BT85" i="1"/>
  <c r="BT90" i="1"/>
  <c r="BT113" i="1"/>
  <c r="BT65" i="1"/>
  <c r="BT74" i="1"/>
  <c r="BT67" i="1"/>
  <c r="BT114" i="1"/>
  <c r="BT115" i="1"/>
  <c r="BT116" i="1"/>
  <c r="BT117" i="1"/>
  <c r="BT91" i="1"/>
  <c r="BT92" i="1"/>
  <c r="BT93" i="1"/>
  <c r="BT56" i="1"/>
  <c r="BT10" i="1"/>
  <c r="BT19" i="1"/>
  <c r="BT66" i="1"/>
  <c r="BT43" i="1"/>
  <c r="BT46" i="1"/>
  <c r="BT78" i="1"/>
  <c r="BT27" i="1"/>
  <c r="BT57" i="1"/>
  <c r="BT22" i="1"/>
  <c r="BT40" i="1"/>
  <c r="BT39" i="1"/>
  <c r="BT11" i="1"/>
  <c r="BT54" i="1"/>
  <c r="BT15" i="1"/>
  <c r="BT63" i="1"/>
  <c r="BT25" i="1"/>
  <c r="BT37" i="1"/>
  <c r="BT2" i="1"/>
  <c r="AX120" i="1"/>
  <c r="CA5" i="1"/>
  <c r="CA23" i="1"/>
  <c r="CA52" i="1"/>
  <c r="CA16" i="1"/>
  <c r="CA81" i="1"/>
  <c r="CA36" i="1"/>
  <c r="CA49" i="1"/>
  <c r="CA76" i="1"/>
  <c r="CA33" i="1"/>
  <c r="CA7" i="1"/>
  <c r="CA25" i="1"/>
  <c r="CA30" i="1"/>
  <c r="CA54" i="1"/>
  <c r="CA15" i="1"/>
  <c r="CA11" i="1"/>
  <c r="CA35" i="1"/>
  <c r="CA4" i="1"/>
  <c r="CA29" i="1"/>
  <c r="CA51" i="1"/>
  <c r="CA8" i="1"/>
  <c r="CA80" i="1"/>
  <c r="CA21" i="1"/>
  <c r="CA18" i="1"/>
  <c r="CA45" i="1"/>
  <c r="CA60" i="1"/>
  <c r="CA69" i="1"/>
  <c r="CA6" i="1"/>
  <c r="CA24" i="1"/>
  <c r="CA53" i="1"/>
  <c r="CA17" i="1"/>
  <c r="CA83" i="1"/>
  <c r="CA42" i="1"/>
  <c r="CA61" i="1"/>
  <c r="CA62" i="1"/>
  <c r="CA64" i="1"/>
  <c r="CA73" i="1"/>
  <c r="CA75" i="1"/>
  <c r="CA82" i="1"/>
  <c r="CA94" i="1"/>
  <c r="CA84" i="1"/>
  <c r="CA95" i="1"/>
  <c r="CA96" i="1"/>
  <c r="CA97" i="1"/>
  <c r="CA98" i="1"/>
  <c r="CA99" i="1"/>
  <c r="CA100" i="1"/>
  <c r="CA101" i="1"/>
  <c r="CA102" i="1"/>
  <c r="CA43" i="1"/>
  <c r="CA56" i="1"/>
  <c r="CA77" i="1"/>
  <c r="CA34" i="1"/>
  <c r="CA89" i="1"/>
  <c r="CA68" i="1"/>
  <c r="CA38" i="1"/>
  <c r="CA47" i="1"/>
  <c r="CA79" i="1"/>
  <c r="CA59" i="1"/>
  <c r="CA108" i="1"/>
  <c r="CA28" i="1"/>
  <c r="CA3" i="1"/>
  <c r="CA13" i="1"/>
  <c r="CA9" i="1"/>
  <c r="CA63" i="1"/>
  <c r="CA72" i="1"/>
  <c r="CA32" i="1"/>
  <c r="CA70" i="1"/>
  <c r="CA37" i="1"/>
  <c r="CA20" i="1"/>
  <c r="CA55" i="1"/>
  <c r="CA58" i="1"/>
  <c r="CA107" i="1"/>
  <c r="CA71" i="1"/>
  <c r="CA110" i="1"/>
  <c r="CA44" i="1"/>
  <c r="CA26" i="1"/>
  <c r="CA85" i="1"/>
  <c r="CA103" i="1"/>
  <c r="CA10" i="1"/>
  <c r="CA90" i="1"/>
  <c r="CA19" i="1"/>
  <c r="CA105" i="1"/>
  <c r="CA106" i="1"/>
  <c r="CA88" i="1"/>
  <c r="CA109" i="1"/>
  <c r="CA112" i="1"/>
  <c r="CA74" i="1"/>
  <c r="CA114" i="1"/>
  <c r="CA117" i="1"/>
  <c r="CA93" i="1"/>
  <c r="CA46" i="1"/>
  <c r="CA78" i="1"/>
  <c r="CA86" i="1"/>
  <c r="CA66" i="1"/>
  <c r="CA40" i="1"/>
  <c r="CA65" i="1"/>
  <c r="CA115" i="1"/>
  <c r="CA91" i="1"/>
  <c r="CA87" i="1"/>
  <c r="CA27" i="1"/>
  <c r="CA57" i="1"/>
  <c r="CA41" i="1"/>
  <c r="CA39" i="1"/>
  <c r="CA113" i="1"/>
  <c r="CA67" i="1"/>
  <c r="CA116" i="1"/>
  <c r="CA92" i="1"/>
  <c r="CA22" i="1"/>
  <c r="CA104" i="1"/>
  <c r="CA111" i="1"/>
  <c r="CA12" i="1"/>
  <c r="CA2" i="1"/>
  <c r="BA120" i="1"/>
  <c r="CD3" i="1"/>
  <c r="CD4" i="1"/>
  <c r="CD5" i="1"/>
  <c r="CD6" i="1"/>
  <c r="CD7" i="1"/>
  <c r="CD10" i="1"/>
  <c r="CD40" i="1"/>
  <c r="CD13" i="1"/>
  <c r="CD22" i="1"/>
  <c r="CD20" i="1"/>
  <c r="CD23" i="1"/>
  <c r="CD24" i="1"/>
  <c r="CD25" i="1"/>
  <c r="CD26" i="1"/>
  <c r="CD27" i="1"/>
  <c r="CD28" i="1"/>
  <c r="CD21" i="1"/>
  <c r="CD43" i="1"/>
  <c r="CD29" i="1"/>
  <c r="CD30" i="1"/>
  <c r="CD44" i="1"/>
  <c r="CD46" i="1"/>
  <c r="CD47" i="1"/>
  <c r="CD49" i="1"/>
  <c r="CD39" i="1"/>
  <c r="CD9" i="1"/>
  <c r="CD51" i="1"/>
  <c r="CD52" i="1"/>
  <c r="CD53" i="1"/>
  <c r="CD54" i="1"/>
  <c r="CD55" i="1"/>
  <c r="CD19" i="1"/>
  <c r="CD18" i="1"/>
  <c r="CD56" i="1"/>
  <c r="CD57" i="1"/>
  <c r="CD12" i="1"/>
  <c r="CD8" i="1"/>
  <c r="CD16" i="1"/>
  <c r="CD17" i="1"/>
  <c r="CD15" i="1"/>
  <c r="CD32" i="1"/>
  <c r="CD41" i="1"/>
  <c r="CD45" i="1"/>
  <c r="CD76" i="1"/>
  <c r="CD77" i="1"/>
  <c r="CD78" i="1"/>
  <c r="CD79" i="1"/>
  <c r="CD80" i="1"/>
  <c r="CD81" i="1"/>
  <c r="CD83" i="1"/>
  <c r="CD11" i="1"/>
  <c r="CD63" i="1"/>
  <c r="CD85" i="1"/>
  <c r="CD86" i="1"/>
  <c r="CD60" i="1"/>
  <c r="CD33" i="1"/>
  <c r="CD34" i="1"/>
  <c r="CD66" i="1"/>
  <c r="CD89" i="1"/>
  <c r="CD90" i="1"/>
  <c r="CD72" i="1"/>
  <c r="CD37" i="1"/>
  <c r="CD36" i="1"/>
  <c r="CD70" i="1"/>
  <c r="CD69" i="1"/>
  <c r="CD73" i="1"/>
  <c r="CD102" i="1"/>
  <c r="CD112" i="1"/>
  <c r="CD113" i="1"/>
  <c r="CD65" i="1"/>
  <c r="CD74" i="1"/>
  <c r="CD67" i="1"/>
  <c r="CD114" i="1"/>
  <c r="CD115" i="1"/>
  <c r="CD116" i="1"/>
  <c r="CD117" i="1"/>
  <c r="CD91" i="1"/>
  <c r="CD92" i="1"/>
  <c r="CD93" i="1"/>
  <c r="CD87" i="1"/>
  <c r="CD108" i="1"/>
  <c r="CD94" i="1"/>
  <c r="CD75" i="1"/>
  <c r="CD95" i="1"/>
  <c r="CD59" i="1"/>
  <c r="CD100" i="1"/>
  <c r="CD104" i="1"/>
  <c r="CD111" i="1"/>
  <c r="CD61" i="1"/>
  <c r="CD98" i="1"/>
  <c r="CD68" i="1"/>
  <c r="CD58" i="1"/>
  <c r="CD35" i="1"/>
  <c r="CD38" i="1"/>
  <c r="CD96" i="1"/>
  <c r="CD62" i="1"/>
  <c r="CD99" i="1"/>
  <c r="CD105" i="1"/>
  <c r="CD106" i="1"/>
  <c r="CD82" i="1"/>
  <c r="CD64" i="1"/>
  <c r="CD101" i="1"/>
  <c r="CD103" i="1"/>
  <c r="CD88" i="1"/>
  <c r="CD84" i="1"/>
  <c r="CD109" i="1"/>
  <c r="CD97" i="1"/>
  <c r="CD71" i="1"/>
  <c r="CD42" i="1"/>
  <c r="CD110" i="1"/>
  <c r="CD107" i="1"/>
  <c r="CD2" i="1"/>
  <c r="CF25" i="1" l="1"/>
  <c r="CH25" i="1" s="1"/>
  <c r="CF117" i="1"/>
  <c r="CF34" i="1"/>
  <c r="CF18" i="1"/>
  <c r="CF46" i="1"/>
  <c r="CF86" i="1"/>
  <c r="BZ118" i="1"/>
  <c r="BV118" i="1"/>
  <c r="CF15" i="1"/>
  <c r="CF26" i="1"/>
  <c r="CF41" i="1"/>
  <c r="CF21" i="1"/>
  <c r="CF114" i="1"/>
  <c r="BW118" i="1"/>
  <c r="CF19" i="1"/>
  <c r="CF47" i="1"/>
  <c r="CB118" i="1"/>
  <c r="CF11" i="1"/>
  <c r="CF74" i="1"/>
  <c r="CC118" i="1"/>
  <c r="CA118" i="1"/>
  <c r="CF10" i="1"/>
  <c r="CF65" i="1"/>
  <c r="CF40" i="1"/>
  <c r="CF4" i="1"/>
  <c r="CF22" i="1"/>
  <c r="CF56" i="1"/>
  <c r="CF3" i="1"/>
  <c r="BT118" i="1"/>
  <c r="CF23" i="1"/>
  <c r="CF12" i="1"/>
  <c r="CF24" i="1"/>
  <c r="CE118" i="1"/>
  <c r="CD118" i="1"/>
  <c r="CF57" i="1"/>
  <c r="CF85" i="1"/>
  <c r="CF2" i="1"/>
  <c r="CF33" i="1"/>
  <c r="CF36" i="1"/>
  <c r="CF60" i="1"/>
  <c r="BU118" i="1"/>
  <c r="CF91" i="1"/>
  <c r="CF44" i="1"/>
  <c r="CF20" i="1"/>
  <c r="CF61" i="1"/>
  <c r="BY118" i="1"/>
  <c r="BX118" i="1"/>
  <c r="CL25" i="1" l="1"/>
  <c r="CG25" i="1"/>
  <c r="CQ25" i="1"/>
  <c r="CP25" i="1"/>
  <c r="CM25" i="1"/>
  <c r="CI25" i="1"/>
  <c r="CR25" i="1"/>
  <c r="CJ25" i="1"/>
  <c r="CO25" i="1"/>
  <c r="CK25" i="1"/>
  <c r="CN25" i="1"/>
  <c r="CN4" i="1"/>
  <c r="CM4" i="1"/>
  <c r="CR4" i="1"/>
  <c r="CI4" i="1"/>
  <c r="CK4" i="1"/>
  <c r="CJ4" i="1"/>
  <c r="CL4" i="1"/>
  <c r="CP4" i="1"/>
  <c r="CQ4" i="1"/>
  <c r="CG4" i="1"/>
  <c r="CH4" i="1"/>
  <c r="CO4" i="1"/>
  <c r="CK15" i="1"/>
  <c r="CQ15" i="1"/>
  <c r="CM15" i="1"/>
  <c r="CL15" i="1"/>
  <c r="CG15" i="1"/>
  <c r="CP15" i="1"/>
  <c r="CJ15" i="1"/>
  <c r="CI15" i="1"/>
  <c r="CN15" i="1"/>
  <c r="CO15" i="1"/>
  <c r="CR15" i="1"/>
  <c r="CH15" i="1"/>
  <c r="CO61" i="1"/>
  <c r="CJ61" i="1"/>
  <c r="CI61" i="1"/>
  <c r="CH61" i="1"/>
  <c r="CR61" i="1"/>
  <c r="CQ61" i="1"/>
  <c r="CM61" i="1"/>
  <c r="CP61" i="1"/>
  <c r="CG61" i="1"/>
  <c r="CK61" i="1"/>
  <c r="CN61" i="1"/>
  <c r="CL61" i="1"/>
  <c r="CR85" i="1"/>
  <c r="CG85" i="1"/>
  <c r="CI85" i="1"/>
  <c r="CN85" i="1"/>
  <c r="CL85" i="1"/>
  <c r="CJ85" i="1"/>
  <c r="CM85" i="1"/>
  <c r="CH85" i="1"/>
  <c r="CO85" i="1"/>
  <c r="CQ85" i="1"/>
  <c r="CK85" i="1"/>
  <c r="CP85" i="1"/>
  <c r="CO47" i="1"/>
  <c r="CR47" i="1"/>
  <c r="CN47" i="1"/>
  <c r="CQ47" i="1"/>
  <c r="CK47" i="1"/>
  <c r="CP47" i="1"/>
  <c r="CH47" i="1"/>
  <c r="CJ47" i="1"/>
  <c r="CM47" i="1"/>
  <c r="CL47" i="1"/>
  <c r="CG47" i="1"/>
  <c r="CI47" i="1"/>
  <c r="CR20" i="1"/>
  <c r="CK20" i="1"/>
  <c r="CM20" i="1"/>
  <c r="CL20" i="1"/>
  <c r="CN20" i="1"/>
  <c r="CG20" i="1"/>
  <c r="CP20" i="1"/>
  <c r="CI20" i="1"/>
  <c r="CH20" i="1"/>
  <c r="CJ20" i="1"/>
  <c r="CO20" i="1"/>
  <c r="CQ20" i="1"/>
  <c r="CN57" i="1"/>
  <c r="CH57" i="1"/>
  <c r="CR57" i="1"/>
  <c r="CJ57" i="1"/>
  <c r="CL57" i="1"/>
  <c r="CM57" i="1"/>
  <c r="CP57" i="1"/>
  <c r="CG57" i="1"/>
  <c r="CO57" i="1"/>
  <c r="CK57" i="1"/>
  <c r="CI57" i="1"/>
  <c r="CQ57" i="1"/>
  <c r="CJ19" i="1"/>
  <c r="CN19" i="1"/>
  <c r="CK19" i="1"/>
  <c r="CH19" i="1"/>
  <c r="CP19" i="1"/>
  <c r="CR19" i="1"/>
  <c r="CG19" i="1"/>
  <c r="CL19" i="1"/>
  <c r="CM19" i="1"/>
  <c r="CO19" i="1"/>
  <c r="CQ19" i="1"/>
  <c r="CI19" i="1"/>
  <c r="CL44" i="1"/>
  <c r="CG44" i="1"/>
  <c r="CI44" i="1"/>
  <c r="CK44" i="1"/>
  <c r="CN44" i="1"/>
  <c r="CO44" i="1"/>
  <c r="CJ44" i="1"/>
  <c r="CM44" i="1"/>
  <c r="CQ44" i="1"/>
  <c r="CR44" i="1"/>
  <c r="CH44" i="1"/>
  <c r="CP44" i="1"/>
  <c r="CM40" i="1"/>
  <c r="CN40" i="1"/>
  <c r="CL40" i="1"/>
  <c r="CI40" i="1"/>
  <c r="CO40" i="1"/>
  <c r="CQ40" i="1"/>
  <c r="CJ40" i="1"/>
  <c r="CH40" i="1"/>
  <c r="CP40" i="1"/>
  <c r="CG40" i="1"/>
  <c r="CR40" i="1"/>
  <c r="CK40" i="1"/>
  <c r="CJ86" i="1"/>
  <c r="CQ86" i="1"/>
  <c r="CP86" i="1"/>
  <c r="CM86" i="1"/>
  <c r="CK86" i="1"/>
  <c r="CO86" i="1"/>
  <c r="CI86" i="1"/>
  <c r="CR86" i="1"/>
  <c r="CH86" i="1"/>
  <c r="CL86" i="1"/>
  <c r="CN86" i="1"/>
  <c r="CG86" i="1"/>
  <c r="CR91" i="1"/>
  <c r="CL91" i="1"/>
  <c r="CJ91" i="1"/>
  <c r="CI91" i="1"/>
  <c r="CG91" i="1"/>
  <c r="CN91" i="1"/>
  <c r="CH91" i="1"/>
  <c r="CM91" i="1"/>
  <c r="CP91" i="1"/>
  <c r="CK91" i="1"/>
  <c r="CQ91" i="1"/>
  <c r="CO91" i="1"/>
  <c r="CP24" i="1"/>
  <c r="CR24" i="1"/>
  <c r="CM24" i="1"/>
  <c r="CK24" i="1"/>
  <c r="CL24" i="1"/>
  <c r="CQ24" i="1"/>
  <c r="CO24" i="1"/>
  <c r="CN24" i="1"/>
  <c r="CH24" i="1"/>
  <c r="CG24" i="1"/>
  <c r="CI24" i="1"/>
  <c r="CJ24" i="1"/>
  <c r="CI46" i="1"/>
  <c r="CN46" i="1"/>
  <c r="CM46" i="1"/>
  <c r="CJ46" i="1"/>
  <c r="CO46" i="1"/>
  <c r="CQ46" i="1"/>
  <c r="CR46" i="1"/>
  <c r="CK46" i="1"/>
  <c r="CH46" i="1"/>
  <c r="CL46" i="1"/>
  <c r="CP46" i="1"/>
  <c r="CG46" i="1"/>
  <c r="CQ12" i="1"/>
  <c r="CH12" i="1"/>
  <c r="CP12" i="1"/>
  <c r="CK12" i="1"/>
  <c r="CJ12" i="1"/>
  <c r="CG12" i="1"/>
  <c r="CI12" i="1"/>
  <c r="CN12" i="1"/>
  <c r="CO12" i="1"/>
  <c r="CR12" i="1"/>
  <c r="CM12" i="1"/>
  <c r="CL12" i="1"/>
  <c r="CK65" i="1"/>
  <c r="CJ65" i="1"/>
  <c r="CO65" i="1"/>
  <c r="CM65" i="1"/>
  <c r="CR65" i="1"/>
  <c r="CI65" i="1"/>
  <c r="CP65" i="1"/>
  <c r="CN65" i="1"/>
  <c r="CL65" i="1"/>
  <c r="CG65" i="1"/>
  <c r="CH65" i="1"/>
  <c r="CQ65" i="1"/>
  <c r="CR18" i="1"/>
  <c r="CP18" i="1"/>
  <c r="CN18" i="1"/>
  <c r="CJ18" i="1"/>
  <c r="CL18" i="1"/>
  <c r="CH18" i="1"/>
  <c r="CO18" i="1"/>
  <c r="CI18" i="1"/>
  <c r="CG18" i="1"/>
  <c r="CM18" i="1"/>
  <c r="CK18" i="1"/>
  <c r="CQ18" i="1"/>
  <c r="CN23" i="1"/>
  <c r="CK23" i="1"/>
  <c r="CR23" i="1"/>
  <c r="CH23" i="1"/>
  <c r="CG23" i="1"/>
  <c r="CL23" i="1"/>
  <c r="CJ23" i="1"/>
  <c r="CO23" i="1"/>
  <c r="CQ23" i="1"/>
  <c r="CP23" i="1"/>
  <c r="CI23" i="1"/>
  <c r="CM23" i="1"/>
  <c r="CO10" i="1"/>
  <c r="CR10" i="1"/>
  <c r="CI10" i="1"/>
  <c r="CJ10" i="1"/>
  <c r="CG10" i="1"/>
  <c r="CQ10" i="1"/>
  <c r="CM10" i="1"/>
  <c r="CH10" i="1"/>
  <c r="CP10" i="1"/>
  <c r="CN10" i="1"/>
  <c r="CK10" i="1"/>
  <c r="CL10" i="1"/>
  <c r="CG114" i="1"/>
  <c r="CI114" i="1"/>
  <c r="CM114" i="1"/>
  <c r="CK114" i="1"/>
  <c r="CR114" i="1"/>
  <c r="CL114" i="1"/>
  <c r="CQ114" i="1"/>
  <c r="CO114" i="1"/>
  <c r="CP114" i="1"/>
  <c r="CN114" i="1"/>
  <c r="CH114" i="1"/>
  <c r="CJ114" i="1"/>
  <c r="CQ60" i="1"/>
  <c r="CR60" i="1"/>
  <c r="CG60" i="1"/>
  <c r="CJ60" i="1"/>
  <c r="CK60" i="1"/>
  <c r="CP60" i="1"/>
  <c r="CI60" i="1"/>
  <c r="CH60" i="1"/>
  <c r="CL60" i="1"/>
  <c r="CN60" i="1"/>
  <c r="CO60" i="1"/>
  <c r="CM60" i="1"/>
  <c r="CI21" i="1"/>
  <c r="CH21" i="1"/>
  <c r="CR21" i="1"/>
  <c r="CK21" i="1"/>
  <c r="CJ21" i="1"/>
  <c r="CP21" i="1"/>
  <c r="CN21" i="1"/>
  <c r="CM21" i="1"/>
  <c r="CL21" i="1"/>
  <c r="CG21" i="1"/>
  <c r="CO21" i="1"/>
  <c r="CQ21" i="1"/>
  <c r="CK36" i="1"/>
  <c r="CP36" i="1"/>
  <c r="CL36" i="1"/>
  <c r="CI36" i="1"/>
  <c r="CR36" i="1"/>
  <c r="CQ36" i="1"/>
  <c r="CO36" i="1"/>
  <c r="CH36" i="1"/>
  <c r="CJ36" i="1"/>
  <c r="CM36" i="1"/>
  <c r="CG36" i="1"/>
  <c r="CN36" i="1"/>
  <c r="CN3" i="1"/>
  <c r="CR3" i="1"/>
  <c r="CI3" i="1"/>
  <c r="CO3" i="1"/>
  <c r="CK3" i="1"/>
  <c r="CJ3" i="1"/>
  <c r="CM3" i="1"/>
  <c r="CP3" i="1"/>
  <c r="CG3" i="1"/>
  <c r="CL3" i="1"/>
  <c r="CH3" i="1"/>
  <c r="CQ3" i="1"/>
  <c r="CG41" i="1"/>
  <c r="CM41" i="1"/>
  <c r="CJ41" i="1"/>
  <c r="CO41" i="1"/>
  <c r="CH41" i="1"/>
  <c r="CK41" i="1"/>
  <c r="CR41" i="1"/>
  <c r="CI41" i="1"/>
  <c r="CL41" i="1"/>
  <c r="CQ41" i="1"/>
  <c r="CP41" i="1"/>
  <c r="CN41" i="1"/>
  <c r="CN33" i="1"/>
  <c r="CM33" i="1"/>
  <c r="CI33" i="1"/>
  <c r="CG33" i="1"/>
  <c r="CL33" i="1"/>
  <c r="CP33" i="1"/>
  <c r="CO33" i="1"/>
  <c r="CQ33" i="1"/>
  <c r="CJ33" i="1"/>
  <c r="CK33" i="1"/>
  <c r="CH33" i="1"/>
  <c r="CR33" i="1"/>
  <c r="CL56" i="1"/>
  <c r="CO56" i="1"/>
  <c r="CM56" i="1"/>
  <c r="CP56" i="1"/>
  <c r="CQ56" i="1"/>
  <c r="CK56" i="1"/>
  <c r="CG56" i="1"/>
  <c r="CJ56" i="1"/>
  <c r="CH56" i="1"/>
  <c r="CR56" i="1"/>
  <c r="CN56" i="1"/>
  <c r="CI56" i="1"/>
  <c r="CN74" i="1"/>
  <c r="CP74" i="1"/>
  <c r="CR74" i="1"/>
  <c r="CI74" i="1"/>
  <c r="CO74" i="1"/>
  <c r="CL74" i="1"/>
  <c r="CJ74" i="1"/>
  <c r="CG74" i="1"/>
  <c r="CK74" i="1"/>
  <c r="CM74" i="1"/>
  <c r="CQ74" i="1"/>
  <c r="CH74" i="1"/>
  <c r="CR34" i="1"/>
  <c r="CI34" i="1"/>
  <c r="CN34" i="1"/>
  <c r="CP34" i="1"/>
  <c r="CM34" i="1"/>
  <c r="CK34" i="1"/>
  <c r="CO34" i="1"/>
  <c r="CQ34" i="1"/>
  <c r="CH34" i="1"/>
  <c r="CG34" i="1"/>
  <c r="CL34" i="1"/>
  <c r="CJ34" i="1"/>
  <c r="CH2" i="1"/>
  <c r="CO2" i="1"/>
  <c r="CR2" i="1"/>
  <c r="CL2" i="1"/>
  <c r="CK2" i="1"/>
  <c r="CI2" i="1"/>
  <c r="CQ2" i="1"/>
  <c r="CP2" i="1"/>
  <c r="CM2" i="1"/>
  <c r="CJ2" i="1"/>
  <c r="CN2" i="1"/>
  <c r="CG2" i="1"/>
  <c r="CN22" i="1"/>
  <c r="CH22" i="1"/>
  <c r="CJ22" i="1"/>
  <c r="CK22" i="1"/>
  <c r="CP22" i="1"/>
  <c r="CI22" i="1"/>
  <c r="CG22" i="1"/>
  <c r="CO22" i="1"/>
  <c r="CL22" i="1"/>
  <c r="CR22" i="1"/>
  <c r="CQ22" i="1"/>
  <c r="CM22" i="1"/>
  <c r="CG11" i="1"/>
  <c r="CM11" i="1"/>
  <c r="CO11" i="1"/>
  <c r="CQ11" i="1"/>
  <c r="CJ11" i="1"/>
  <c r="CL11" i="1"/>
  <c r="CI11" i="1"/>
  <c r="CK11" i="1"/>
  <c r="CH11" i="1"/>
  <c r="CP11" i="1"/>
  <c r="CN11" i="1"/>
  <c r="CR11" i="1"/>
  <c r="CM26" i="1"/>
  <c r="CL26" i="1"/>
  <c r="CH26" i="1"/>
  <c r="CI26" i="1"/>
  <c r="CR26" i="1"/>
  <c r="CQ26" i="1"/>
  <c r="CO26" i="1"/>
  <c r="CK26" i="1"/>
  <c r="CN26" i="1"/>
  <c r="CJ26" i="1"/>
  <c r="CP26" i="1"/>
  <c r="CG26" i="1"/>
  <c r="CM117" i="1"/>
  <c r="CN117" i="1"/>
  <c r="CP117" i="1"/>
  <c r="CL117" i="1"/>
  <c r="CG117" i="1"/>
  <c r="CR117" i="1"/>
  <c r="CK117" i="1"/>
  <c r="CJ117" i="1"/>
  <c r="CQ117" i="1"/>
  <c r="CH117" i="1"/>
  <c r="CO117" i="1"/>
  <c r="CI117" i="1"/>
  <c r="CQ118" i="1" l="1"/>
  <c r="CH118" i="1"/>
  <c r="CL118" i="1"/>
  <c r="CG118" i="1"/>
  <c r="CP118" i="1"/>
  <c r="CM118" i="1"/>
  <c r="CJ118" i="1"/>
  <c r="CK118" i="1"/>
  <c r="CO118" i="1"/>
  <c r="CI118" i="1"/>
  <c r="CR118" i="1"/>
  <c r="CN118" i="1"/>
</calcChain>
</file>

<file path=xl/sharedStrings.xml><?xml version="1.0" encoding="utf-8"?>
<sst xmlns="http://schemas.openxmlformats.org/spreadsheetml/2006/main" count="763" uniqueCount="287">
  <si>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</si>
  <si>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</si>
  <si>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</si>
  <si>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</si>
  <si>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</si>
  <si>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</si>
  <si>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</si>
  <si>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</si>
  <si>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</si>
  <si>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</si>
  <si>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</si>
  <si>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</si>
  <si>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</si>
  <si>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</si>
  <si>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</si>
  <si>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</si>
  <si>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</si>
  <si>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</si>
  <si>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</si>
  <si>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</si>
  <si>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</si>
  <si>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</si>
  <si>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</si>
  <si>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</si>
  <si>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</si>
  <si>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</si>
  <si>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</si>
  <si>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</si>
  <si>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</si>
  <si>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</si>
  <si>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</si>
  <si>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</si>
  <si>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</si>
  <si>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</si>
  <si>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</si>
  <si>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</si>
  <si>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</si>
  <si>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</si>
  <si>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</si>
  <si>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</si>
  <si>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</si>
  <si>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</si>
  <si>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</si>
  <si>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</si>
  <si>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</si>
  <si>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</si>
  <si>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</si>
  <si>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</si>
  <si>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</si>
  <si>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</si>
  <si>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</si>
  <si>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</si>
  <si>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</si>
  <si>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</si>
  <si>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</si>
  <si>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</si>
  <si>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</si>
  <si>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</si>
  <si>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</si>
  <si>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</si>
  <si>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</si>
  <si>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</si>
  <si>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</si>
  <si>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</si>
  <si>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</si>
  <si>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</si>
  <si>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</si>
  <si>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</si>
  <si>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</si>
  <si>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</si>
  <si>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</si>
  <si>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</si>
  <si>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</si>
  <si>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</si>
  <si>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</si>
  <si>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</si>
  <si>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</si>
  <si>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</si>
  <si>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</si>
  <si>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</si>
  <si>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</si>
  <si>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</si>
  <si>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</si>
  <si>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</si>
  <si>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</si>
  <si>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</si>
  <si>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</si>
  <si>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</si>
  <si>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</si>
  <si>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</si>
  <si>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</si>
  <si>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</si>
  <si>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</si>
  <si>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</si>
  <si>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</si>
  <si>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</si>
  <si>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</si>
  <si>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</si>
  <si>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</si>
  <si>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</si>
  <si>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</si>
  <si>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</si>
  <si>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</si>
  <si>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</si>
  <si>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</si>
  <si>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</si>
  <si>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</si>
  <si>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</si>
  <si>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</si>
  <si>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</si>
  <si>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</si>
  <si>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</si>
  <si>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</si>
  <si>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</si>
  <si>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</si>
  <si>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</si>
  <si>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</si>
  <si>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</si>
  <si>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</si>
  <si>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</si>
  <si>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</si>
  <si>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</si>
  <si>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</si>
  <si>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</si>
  <si>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</si>
  <si>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</si>
  <si>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</si>
  <si>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</si>
  <si>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</si>
  <si>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</si>
  <si>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</si>
  <si>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</si>
  <si>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</si>
  <si>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</si>
  <si>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</si>
  <si>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</si>
  <si>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</si>
  <si>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</si>
  <si>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</si>
  <si>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</si>
  <si>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</si>
  <si>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</si>
  <si>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</si>
  <si>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</si>
  <si>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</si>
  <si>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</si>
  <si>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</si>
  <si>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</si>
  <si>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</si>
  <si>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</si>
  <si>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</si>
  <si>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</si>
  <si>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</si>
  <si>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</si>
  <si>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</si>
  <si>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</si>
  <si>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</si>
  <si>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</si>
  <si>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</si>
  <si>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</si>
  <si>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</si>
  <si>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</si>
  <si>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</si>
  <si>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</si>
  <si>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</si>
  <si>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</si>
  <si>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</si>
  <si>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</si>
  <si>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</si>
  <si>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</si>
  <si>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</si>
  <si>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</si>
  <si>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</si>
  <si>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</si>
  <si>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</si>
  <si>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</si>
  <si>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</si>
  <si>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</si>
  <si>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</si>
  <si>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</si>
  <si>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</si>
  <si>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</si>
  <si>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</si>
  <si>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</si>
  <si>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</si>
  <si>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</si>
  <si>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</si>
  <si>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</si>
  <si>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</si>
  <si>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</si>
  <si>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</si>
  <si>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</si>
  <si>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</si>
  <si>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</si>
  <si>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</si>
  <si>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</si>
  <si>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</si>
  <si>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</si>
  <si>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</si>
  <si>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</si>
  <si>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愚山乾坤石(13),</t>
    <phoneticPr fontId="1" type="noConversion"/>
  </si>
  <si>
    <t>欠条大(8),_x000D_
钱袋大(10),</t>
    <phoneticPr fontId="1" type="noConversion"/>
  </si>
  <si>
    <t>欠条中(4),_x000D_
骰子小(8),_x000D_
筹码小(10),_x000D_
庄家令牌小(2),</t>
    <phoneticPr fontId="1" type="noConversion"/>
  </si>
  <si>
    <t>欠条中(4),_x000D_
筹码中(4),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</si>
  <si>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</si>
  <si>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</si>
  <si>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</si>
  <si>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欠条小(8),_x000D_
钱袋小(9),_x000D_
骰子小(8),_x000D_
筹码小(10),</t>
    <phoneticPr fontId="1" type="noConversion"/>
  </si>
  <si>
    <t>糯米(3),</t>
    <phoneticPr fontId="1" type="noConversion"/>
  </si>
  <si>
    <t>超进阶素材土(9),_x000D_
超进阶素材木(1),_x000D_
超进阶素材光(45),_x000D_
超进阶素材暗(45),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</si>
  <si>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</si>
  <si>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</si>
  <si>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皇天</t>
    <phoneticPr fontId="1" type="noConversion"/>
  </si>
  <si>
    <t>仙丹(5),</t>
    <phoneticPr fontId="1" type="noConversion"/>
  </si>
  <si>
    <t>神农鼎(5),_x000D_
幸运符文叉大(15),</t>
    <phoneticPr fontId="1" type="noConversion"/>
  </si>
  <si>
    <t>愚山乾坤石(13),</t>
    <phoneticPr fontId="1" type="noConversion"/>
  </si>
  <si>
    <t>糯米(5),_x000D_
粽叶(1),</t>
    <phoneticPr fontId="1" type="noConversion"/>
  </si>
  <si>
    <t>力量符文叉大(6),</t>
    <phoneticPr fontId="1" type="noConversion"/>
  </si>
  <si>
    <t>愚山乾坤石(8),_x000D_
力量符文叉大(1),</t>
    <phoneticPr fontId="1" type="noConversion"/>
  </si>
  <si>
    <t>骰子大(4),_x000D_
庄家令牌大(6),</t>
    <phoneticPr fontId="1" type="noConversion"/>
  </si>
  <si>
    <t>糯米(2),</t>
    <phoneticPr fontId="1" type="noConversion"/>
  </si>
  <si>
    <t>螃蟹(5),</t>
    <phoneticPr fontId="1" type="noConversion"/>
  </si>
  <si>
    <t>彗星(5),</t>
    <phoneticPr fontId="1" type="noConversion"/>
  </si>
  <si>
    <t>彗星(15),</t>
    <phoneticPr fontId="1" type="noConversion"/>
  </si>
  <si>
    <t>糯米(3),_x000D_
粽叶(5),</t>
    <phoneticPr fontId="1" type="noConversion"/>
  </si>
  <si>
    <t>欠条大(8),_x000D_
骰子大(4),</t>
    <phoneticPr fontId="1" type="noConversion"/>
  </si>
  <si>
    <t>糯米(5),_x000D_
粽叶(10),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</si>
  <si>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</si>
  <si>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</si>
  <si>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骰子中(3),_x000D_
筹码中(4),</t>
    <phoneticPr fontId="1" type="noConversion"/>
  </si>
  <si>
    <t>欠条中(6),_x000D_
钱袋中(2),_x000D_
筹码大(6),</t>
    <phoneticPr fontId="1" type="noConversion"/>
  </si>
  <si>
    <t>超进阶素材火(50),_x000D_
超进阶素材光(45),_x000D_
超进阶素材暗(45),</t>
    <phoneticPr fontId="1" type="noConversion"/>
  </si>
  <si>
    <t>秘窟冰晶卵(10),</t>
  </si>
  <si>
    <t>金钗(1),</t>
    <phoneticPr fontId="1" type="noConversion"/>
  </si>
  <si>
    <t>秘窟冰晶卵(15),</t>
    <phoneticPr fontId="1" type="noConversion"/>
  </si>
  <si>
    <t>幸运符文叉大(1),</t>
    <phoneticPr fontId="1" type="noConversion"/>
  </si>
  <si>
    <t>魅力符文叉大(1),</t>
    <phoneticPr fontId="1" type="noConversion"/>
  </si>
  <si>
    <t>秘窟冰晶卵(10),_x000D_
魅力符文叉大(1),</t>
    <phoneticPr fontId="1" type="noConversion"/>
  </si>
  <si>
    <t>仙丹(4),</t>
    <phoneticPr fontId="1" type="noConversion"/>
  </si>
  <si>
    <t>桂花酒(5),</t>
    <phoneticPr fontId="1" type="noConversion"/>
  </si>
  <si>
    <t>桂花(5),</t>
    <phoneticPr fontId="1" type="noConversion"/>
  </si>
  <si>
    <t>桂花(5),</t>
    <phoneticPr fontId="1" type="noConversion"/>
  </si>
  <si>
    <t>力量符文叉大(3),</t>
    <phoneticPr fontId="1" type="noConversion"/>
  </si>
  <si>
    <t>愚山乾坤石(3),</t>
    <phoneticPr fontId="1" type="noConversion"/>
  </si>
  <si>
    <t>愚山乾坤石(3),</t>
    <phoneticPr fontId="1" type="noConversion"/>
  </si>
  <si>
    <t>愚山乾坤石(3),</t>
    <phoneticPr fontId="1" type="noConversion"/>
  </si>
  <si>
    <t>龙灵不朽藤(5),</t>
    <phoneticPr fontId="1" type="noConversion"/>
  </si>
  <si>
    <t>幸运符文叉大(6),</t>
    <phoneticPr fontId="1" type="noConversion"/>
  </si>
  <si>
    <t>幸运符文叉大(6),</t>
    <phoneticPr fontId="1" type="noConversion"/>
  </si>
  <si>
    <t>魅力符文叉大(6),</t>
    <phoneticPr fontId="1" type="noConversion"/>
  </si>
  <si>
    <t>愚山乾坤石(8),</t>
    <phoneticPr fontId="1" type="noConversion"/>
  </si>
  <si>
    <t>愚山乾坤石(8),</t>
    <phoneticPr fontId="1" type="noConversion"/>
  </si>
  <si>
    <t>幸运符文叉大(11),</t>
    <phoneticPr fontId="1" type="noConversion"/>
  </si>
  <si>
    <t>幸运符文叉大(16),</t>
    <phoneticPr fontId="1" type="noConversion"/>
  </si>
  <si>
    <t>金甲虫(48),</t>
    <phoneticPr fontId="1" type="noConversion"/>
  </si>
  <si>
    <t>金甲虫(198),</t>
    <phoneticPr fontId="1" type="noConversion"/>
  </si>
  <si>
    <t>糯米(5),_x000D_
粽叶(1),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</si>
  <si>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</si>
  <si>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</si>
  <si>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骰子大(4),_x000D_
庄家令牌大(6),</t>
    <phoneticPr fontId="1" type="noConversion"/>
  </si>
  <si>
    <t>愚山乾坤石(3),_x000D_
魅力符文叉大(1),</t>
    <phoneticPr fontId="1" type="noConversion"/>
  </si>
  <si>
    <t>神农鼎(1),_x000D_
龙灵不朽藤(10),</t>
    <phoneticPr fontId="1" type="noConversion"/>
  </si>
  <si>
    <t>神农鼎(1),_x000D_
龙灵不朽藤(10),</t>
    <phoneticPr fontId="1" type="noConversion"/>
  </si>
  <si>
    <t>神农鼎(1),_x000D_
幸运符文叉大(11),</t>
    <phoneticPr fontId="1" type="noConversion"/>
  </si>
  <si>
    <t>欠条大(8),_x000D_
钱袋大(10),</t>
    <phoneticPr fontId="1" type="noConversion"/>
  </si>
  <si>
    <t>钱袋大(10),_x000D_
筹码大(9),_x000D_
秘窟冰晶卵(10),</t>
    <phoneticPr fontId="1" type="noConversion"/>
  </si>
  <si>
    <t>钱袋大(10),_x000D_
筹码大(9),_x000D_
秘窟冰晶卵(10),</t>
    <phoneticPr fontId="1" type="noConversion"/>
  </si>
  <si>
    <t>魅力符文叉大(6),_x000D_
幸运符文叉大(11),</t>
    <phoneticPr fontId="1" type="noConversion"/>
  </si>
  <si>
    <t>神农鼎(6),_x000D_
幸运符文叉大(16),</t>
    <phoneticPr fontId="1" type="noConversion"/>
  </si>
  <si>
    <t>彗星(25),_x000D_
魅力符文叉大(1),</t>
    <phoneticPr fontId="1" type="noConversion"/>
  </si>
  <si>
    <t>赤焰十字星(25),_x000D_
力量符文叉大(23),</t>
    <phoneticPr fontId="1" type="noConversion"/>
  </si>
  <si>
    <t>欠条中(4),_x000D_
筹码中(4),_x000D_
筹码大(1),</t>
    <phoneticPr fontId="1" type="noConversion"/>
  </si>
  <si>
    <t>骰子小(3),_x000D_
筹码小(5),_x000D_
庄家令牌中(3),</t>
    <phoneticPr fontId="1" type="noConversion"/>
  </si>
  <si>
    <t>欠条中(6),_x000D_
欠条大(5),_x000D_
钱袋中(2),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</si>
  <si>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</si>
  <si>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</si>
  <si>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欠条大(8),_x000D_
骰子大(4),_x000D_
愚山乾坤石(3),</t>
    <phoneticPr fontId="1" type="noConversion"/>
  </si>
  <si>
    <t>欠条大(8),_x000D_
骰子大(4),_x000D_
龙灵不朽藤(5),</t>
    <phoneticPr fontId="1" type="noConversion"/>
  </si>
  <si>
    <t>糯米(10),_x000D_
粽叶(10),</t>
    <phoneticPr fontId="1" type="noConversion"/>
  </si>
  <si>
    <t>超进阶素材火(50),_x000D_
超进阶素材光(45),_x000D_
超进阶素材暗(45),</t>
    <phoneticPr fontId="1" type="noConversion"/>
  </si>
  <si>
    <t>欠条中(4),_x000D_
骰子小(8),_x000D_
筹码中(4),_x000D_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</si>
  <si>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</si>
  <si>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</si>
  <si>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</si>
  <si>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</si>
  <si>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</si>
  <si>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超进阶素材土(9),_x000D_
超进阶素材木(1),_x000D_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</si>
</sst>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124</xdr:row>
          <xdr:rowOff>28575</xdr:rowOff>
        </xdr:from>
        <xdr:to>
          <xdr:col>1</xdr:col>
          <xdr:colOff>428625</xdr:colOff>
          <xdr:row>125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</xdr:row>
          <xdr:rowOff>28575</xdr:rowOff>
        </xdr:from>
        <xdr:to>
          <xdr:col>1</xdr:col>
          <xdr:colOff>428625</xdr:colOff>
          <xdr:row>16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24"/>
  <sheetViews>
    <sheetView tabSelected="1" workbookViewId="0">
      <pane xSplit="2" ySplit="1" topLeftCell="BN2" activePane="bottomRight" state="frozen"/>
      <selection pane="topRight" activeCell="C1" sqref="C1"/>
      <selection pane="bottomLeft" activeCell="A3" sqref="A3"/>
      <selection pane="bottomRight" activeCell="BS38" sqref="BS38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75</v>
      </c>
      <c r="B1" s="8" t="s">
        <v>76</v>
      </c>
      <c r="C1" s="8" t="s">
        <v>78</v>
      </c>
      <c r="D1" s="8" t="s">
        <v>77</v>
      </c>
      <c r="E1" s="9" t="s">
        <v>3</v>
      </c>
      <c r="F1" s="9" t="s">
        <v>4</v>
      </c>
      <c r="G1" s="9" t="s">
        <v>14</v>
      </c>
      <c r="H1" s="9" t="s">
        <v>24</v>
      </c>
      <c r="I1" s="9" t="s">
        <v>25</v>
      </c>
      <c r="J1" s="9" t="s">
        <v>73</v>
      </c>
      <c r="K1" s="9" t="s">
        <v>26</v>
      </c>
      <c r="L1" s="9" t="s">
        <v>45</v>
      </c>
      <c r="M1" s="9" t="s">
        <v>47</v>
      </c>
      <c r="N1" s="9" t="s">
        <v>52</v>
      </c>
      <c r="O1" s="9" t="s">
        <v>46</v>
      </c>
      <c r="P1" s="27" t="s">
        <v>113</v>
      </c>
      <c r="Q1" s="27" t="s">
        <v>125</v>
      </c>
      <c r="R1" s="27" t="s">
        <v>119</v>
      </c>
      <c r="S1" s="27" t="s">
        <v>114</v>
      </c>
      <c r="T1" s="27" t="s">
        <v>123</v>
      </c>
      <c r="U1" s="27" t="s">
        <v>129</v>
      </c>
      <c r="V1" s="27" t="s">
        <v>115</v>
      </c>
      <c r="W1" s="27" t="s">
        <v>122</v>
      </c>
      <c r="X1" s="27" t="s">
        <v>120</v>
      </c>
      <c r="Y1" s="27" t="s">
        <v>116</v>
      </c>
      <c r="Z1" s="27" t="s">
        <v>124</v>
      </c>
      <c r="AA1" s="27" t="s">
        <v>131</v>
      </c>
      <c r="AB1" s="27" t="s">
        <v>118</v>
      </c>
      <c r="AC1" s="27" t="s">
        <v>117</v>
      </c>
      <c r="AD1" s="27" t="s">
        <v>142</v>
      </c>
      <c r="AE1" s="8" t="s">
        <v>9</v>
      </c>
      <c r="AF1" s="8" t="s">
        <v>32</v>
      </c>
      <c r="AG1" s="8" t="s">
        <v>33</v>
      </c>
      <c r="AH1" s="8" t="s">
        <v>63</v>
      </c>
      <c r="AI1" s="8" t="s">
        <v>64</v>
      </c>
      <c r="AJ1" s="8" t="s">
        <v>66</v>
      </c>
      <c r="AK1" s="8" t="s">
        <v>67</v>
      </c>
      <c r="AL1" s="8" t="s">
        <v>69</v>
      </c>
      <c r="AM1" s="8" t="s">
        <v>53</v>
      </c>
      <c r="AN1" s="8" t="s">
        <v>55</v>
      </c>
      <c r="AO1" s="8" t="s">
        <v>101</v>
      </c>
      <c r="AP1" s="8" t="s">
        <v>102</v>
      </c>
      <c r="AQ1" s="10" t="s">
        <v>42</v>
      </c>
      <c r="AR1" s="10" t="s">
        <v>5</v>
      </c>
      <c r="AS1" s="10" t="s">
        <v>30</v>
      </c>
      <c r="AT1" s="10" t="s">
        <v>57</v>
      </c>
      <c r="AU1" s="10" t="s">
        <v>61</v>
      </c>
      <c r="AV1" s="10" t="s">
        <v>51</v>
      </c>
      <c r="AW1" s="11" t="s">
        <v>6</v>
      </c>
      <c r="AX1" s="11" t="s">
        <v>7</v>
      </c>
      <c r="AY1" s="11" t="s">
        <v>43</v>
      </c>
      <c r="AZ1" s="11" t="s">
        <v>8</v>
      </c>
      <c r="BA1" s="11" t="s">
        <v>50</v>
      </c>
      <c r="BB1" s="11" t="s">
        <v>13</v>
      </c>
      <c r="BC1" s="25" t="s">
        <v>98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35</v>
      </c>
      <c r="BK1" s="8" t="s">
        <v>36</v>
      </c>
      <c r="BL1" s="8" t="s">
        <v>37</v>
      </c>
      <c r="BM1" s="8" t="s">
        <v>38</v>
      </c>
      <c r="BN1" s="8" t="s">
        <v>39</v>
      </c>
      <c r="BO1" s="8" t="s">
        <v>40</v>
      </c>
      <c r="BP1" s="12" t="s">
        <v>83</v>
      </c>
      <c r="BQ1" s="8" t="s">
        <v>84</v>
      </c>
      <c r="BR1" s="16" t="s">
        <v>85</v>
      </c>
      <c r="BS1" s="16"/>
      <c r="BT1" s="10" t="s">
        <v>42</v>
      </c>
      <c r="BU1" s="10" t="s">
        <v>5</v>
      </c>
      <c r="BV1" s="10" t="s">
        <v>30</v>
      </c>
      <c r="BW1" s="10" t="s">
        <v>57</v>
      </c>
      <c r="BX1" s="10" t="s">
        <v>61</v>
      </c>
      <c r="BY1" s="10" t="s">
        <v>51</v>
      </c>
      <c r="BZ1" s="11" t="s">
        <v>6</v>
      </c>
      <c r="CA1" s="11" t="s">
        <v>7</v>
      </c>
      <c r="CB1" s="11" t="s">
        <v>43</v>
      </c>
      <c r="CC1" s="11" t="s">
        <v>8</v>
      </c>
      <c r="CD1" s="11" t="s">
        <v>50</v>
      </c>
      <c r="CE1" s="11" t="s">
        <v>13</v>
      </c>
      <c r="CF1" s="8"/>
      <c r="CG1" s="10" t="s">
        <v>42</v>
      </c>
      <c r="CH1" s="10" t="s">
        <v>5</v>
      </c>
      <c r="CI1" s="10" t="s">
        <v>30</v>
      </c>
      <c r="CJ1" s="10" t="s">
        <v>57</v>
      </c>
      <c r="CK1" s="10" t="s">
        <v>61</v>
      </c>
      <c r="CL1" s="10" t="s">
        <v>51</v>
      </c>
      <c r="CM1" s="11" t="s">
        <v>6</v>
      </c>
      <c r="CN1" s="11" t="s">
        <v>7</v>
      </c>
      <c r="CO1" s="11" t="s">
        <v>43</v>
      </c>
      <c r="CP1" s="11" t="s">
        <v>8</v>
      </c>
      <c r="CQ1" s="11" t="s">
        <v>50</v>
      </c>
      <c r="CR1" s="11" t="s">
        <v>13</v>
      </c>
      <c r="CS1" s="8"/>
    </row>
    <row r="2" spans="1:97" s="48" customFormat="1" x14ac:dyDescent="0.15">
      <c r="A2" s="40">
        <v>4</v>
      </c>
      <c r="B2" s="40" t="s">
        <v>10</v>
      </c>
      <c r="C2" s="40" t="s">
        <v>2</v>
      </c>
      <c r="D2" s="40" t="s">
        <v>12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>SUM(E2:BO2)</f>
        <v>80</v>
      </c>
      <c r="BQ2" s="40">
        <v>0</v>
      </c>
      <c r="BR2" s="46">
        <v>0</v>
      </c>
      <c r="BS2" s="46"/>
      <c r="BT2" s="40" t="str">
        <f>IF(AQ2&gt;AQ$118, AQ2-AQ$118,"")</f>
        <v/>
      </c>
      <c r="BU2" s="40" t="str">
        <f>IF(AR2&gt;AR$118, AR2-AR$118,"")</f>
        <v/>
      </c>
      <c r="BV2" s="40" t="str">
        <f>IF(AS2&gt;AS$118, AS2-AS$118,"")</f>
        <v/>
      </c>
      <c r="BW2" s="40" t="str">
        <f>IF(AT2&gt;AT$118, AT2-AT$118,"")</f>
        <v/>
      </c>
      <c r="BX2" s="40" t="str">
        <f>IF(AU2&gt;AU$118, AU2-AU$118,"")</f>
        <v/>
      </c>
      <c r="BY2" s="40" t="str">
        <f>IF(AV2&gt;AV$118, AV2-AV$118,"")</f>
        <v/>
      </c>
      <c r="BZ2" s="40" t="str">
        <f>IF(AW2&gt;AW$118, AW2-AW$118,"")</f>
        <v/>
      </c>
      <c r="CA2" s="40" t="str">
        <f>IF(AX2&gt;AX$118, AX2-AX$118,"")</f>
        <v/>
      </c>
      <c r="CB2" s="40" t="str">
        <f>IF(AY2&gt;AY$118, AY2-AY$118,"")</f>
        <v/>
      </c>
      <c r="CC2" s="40" t="str">
        <f>IF(AZ2&gt;AZ$118, AZ2-AZ$118,"")</f>
        <v/>
      </c>
      <c r="CD2" s="40" t="str">
        <f>IF(BA2&gt;BA$118, BA2-BA$118,"")</f>
        <v/>
      </c>
      <c r="CE2" s="40" t="str">
        <f>IF(BB2&gt;BB$118, BB2-BB$118,"")</f>
        <v/>
      </c>
      <c r="CF2" s="40">
        <f>12-COUNTA(BT2:CE2)</f>
        <v>0</v>
      </c>
      <c r="CG2" s="40" t="str">
        <f>IF($CF2=1,BT2,"")</f>
        <v/>
      </c>
      <c r="CH2" s="40" t="str">
        <f>IF($CF2=1,BU2,"")</f>
        <v/>
      </c>
      <c r="CI2" s="40" t="str">
        <f>IF($CF2=1,BV2,"")</f>
        <v/>
      </c>
      <c r="CJ2" s="40" t="str">
        <f>IF($CF2=1,BW2,"")</f>
        <v/>
      </c>
      <c r="CK2" s="40" t="str">
        <f>IF($CF2=1,BX2,"")</f>
        <v/>
      </c>
      <c r="CL2" s="40" t="str">
        <f>IF($CF2=1,BY2,"")</f>
        <v/>
      </c>
      <c r="CM2" s="40" t="str">
        <f>IF($CF2=1,BZ2,"")</f>
        <v/>
      </c>
      <c r="CN2" s="40" t="str">
        <f>IF($CF2=1,CA2,"")</f>
        <v/>
      </c>
      <c r="CO2" s="40" t="str">
        <f>IF($CF2=1,CB2,"")</f>
        <v/>
      </c>
      <c r="CP2" s="40" t="str">
        <f>IF($CF2=1,CC2,"")</f>
        <v/>
      </c>
      <c r="CQ2" s="40" t="str">
        <f>IF($CF2=1,CD2,"")</f>
        <v/>
      </c>
      <c r="CR2" s="40" t="str">
        <f>IF($CF2=1,CE2,"")</f>
        <v/>
      </c>
      <c r="CS2" s="47">
        <f>SUM(AE2:BO2)</f>
        <v>80</v>
      </c>
    </row>
    <row r="3" spans="1:97" x14ac:dyDescent="0.15">
      <c r="A3" s="1">
        <v>15</v>
      </c>
      <c r="B3" s="1" t="s">
        <v>27</v>
      </c>
      <c r="C3" s="1" t="s">
        <v>28</v>
      </c>
      <c r="D3" s="1" t="s">
        <v>23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IF(AQ3&gt;AQ$118, AQ3-AQ$118,"")</f>
        <v/>
      </c>
      <c r="BU3" s="1" t="str">
        <f>IF(AR3&gt;AR$118, AR3-AR$118,"")</f>
        <v/>
      </c>
      <c r="BV3" s="1" t="str">
        <f>IF(AS3&gt;AS$118, AS3-AS$118,"")</f>
        <v/>
      </c>
      <c r="BW3" s="1" t="str">
        <f>IF(AT3&gt;AT$118, AT3-AT$118,"")</f>
        <v/>
      </c>
      <c r="BX3" s="1" t="str">
        <f>IF(AU3&gt;AU$118, AU3-AU$118,"")</f>
        <v/>
      </c>
      <c r="BY3" s="1" t="str">
        <f>IF(AV3&gt;AV$118, AV3-AV$118,"")</f>
        <v/>
      </c>
      <c r="BZ3" s="1" t="str">
        <f>IF(AW3&gt;AW$118, AW3-AW$118,"")</f>
        <v/>
      </c>
      <c r="CA3" s="1" t="str">
        <f>IF(AX3&gt;AX$118, AX3-AX$118,"")</f>
        <v/>
      </c>
      <c r="CB3" s="1" t="str">
        <f>IF(AY3&gt;AY$118, AY3-AY$118,"")</f>
        <v/>
      </c>
      <c r="CC3" s="1" t="str">
        <f>IF(AZ3&gt;AZ$118, AZ3-AZ$118,"")</f>
        <v/>
      </c>
      <c r="CD3" s="1" t="str">
        <f>IF(BA3&gt;BA$118, BA3-BA$118,"")</f>
        <v/>
      </c>
      <c r="CE3" s="1" t="str">
        <f>IF(BB3&gt;BB$118, BB3-BB$118,"")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55</v>
      </c>
      <c r="B4" s="1" t="s">
        <v>48</v>
      </c>
      <c r="C4" s="1" t="s">
        <v>49</v>
      </c>
      <c r="D4" s="1" t="s">
        <v>12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/>
      <c r="BG4" s="1"/>
      <c r="BH4" s="1">
        <v>20</v>
      </c>
      <c r="BI4" s="1">
        <v>20</v>
      </c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IF(AQ4&gt;AQ$118, AQ4-AQ$118,"")</f>
        <v/>
      </c>
      <c r="BU4" s="1" t="str">
        <f>IF(AR4&gt;AR$118, AR4-AR$118,"")</f>
        <v/>
      </c>
      <c r="BV4" s="1" t="str">
        <f>IF(AS4&gt;AS$118, AS4-AS$118,"")</f>
        <v/>
      </c>
      <c r="BW4" s="1" t="str">
        <f>IF(AT4&gt;AT$118, AT4-AT$118,"")</f>
        <v/>
      </c>
      <c r="BX4" s="1" t="str">
        <f>IF(AU4&gt;AU$118, AU4-AU$118,"")</f>
        <v/>
      </c>
      <c r="BY4" s="1" t="str">
        <f>IF(AV4&gt;AV$118, AV4-AV$118,"")</f>
        <v/>
      </c>
      <c r="BZ4" s="1" t="str">
        <f>IF(AW4&gt;AW$118, AW4-AW$118,"")</f>
        <v/>
      </c>
      <c r="CA4" s="1" t="str">
        <f>IF(AX4&gt;AX$118, AX4-AX$118,"")</f>
        <v/>
      </c>
      <c r="CB4" s="1" t="str">
        <f>IF(AY4&gt;AY$118, AY4-AY$118,"")</f>
        <v/>
      </c>
      <c r="CC4" s="1" t="str">
        <f>IF(AZ4&gt;AZ$118, AZ4-AZ$118,"")</f>
        <v/>
      </c>
      <c r="CD4" s="1" t="str">
        <f>IF(BA4&gt;BA$118, BA4-BA$118,"")</f>
        <v/>
      </c>
      <c r="CE4" s="1" t="str">
        <f>IF(BB4&gt;BB$118, BB4-BB$118,"")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s="23" customFormat="1" x14ac:dyDescent="0.15">
      <c r="A5" s="1"/>
      <c r="B5" s="1" t="s">
        <v>95</v>
      </c>
      <c r="C5" s="1" t="s">
        <v>96</v>
      </c>
      <c r="D5" s="1" t="s">
        <v>94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>
        <v>20</v>
      </c>
      <c r="BG5" s="1">
        <v>20</v>
      </c>
      <c r="BH5" s="1"/>
      <c r="BI5" s="1"/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IF(AQ5&gt;AQ$118, AQ5-AQ$118,"")</f>
        <v/>
      </c>
      <c r="BU5" s="1" t="str">
        <f>IF(AR5&gt;AR$118, AR5-AR$118,"")</f>
        <v/>
      </c>
      <c r="BV5" s="1" t="str">
        <f>IF(AS5&gt;AS$118, AS5-AS$118,"")</f>
        <v/>
      </c>
      <c r="BW5" s="1" t="str">
        <f>IF(AT5&gt;AT$118, AT5-AT$118,"")</f>
        <v/>
      </c>
      <c r="BX5" s="1" t="str">
        <f>IF(AU5&gt;AU$118, AU5-AU$118,"")</f>
        <v/>
      </c>
      <c r="BY5" s="1" t="str">
        <f>IF(AV5&gt;AV$118, AV5-AV$118,"")</f>
        <v/>
      </c>
      <c r="BZ5" s="1" t="str">
        <f>IF(AW5&gt;AW$118, AW5-AW$118,"")</f>
        <v/>
      </c>
      <c r="CA5" s="1" t="str">
        <f>IF(AX5&gt;AX$118, AX5-AX$118,"")</f>
        <v/>
      </c>
      <c r="CB5" s="1" t="str">
        <f>IF(AY5&gt;AY$118, AY5-AY$118,"")</f>
        <v/>
      </c>
      <c r="CC5" s="1" t="str">
        <f>IF(AZ5&gt;AZ$118, AZ5-AZ$118,"")</f>
        <v/>
      </c>
      <c r="CD5" s="1" t="str">
        <f>IF(BA5&gt;BA$118, BA5-BA$118,"")</f>
        <v/>
      </c>
      <c r="CE5" s="1" t="str">
        <f>IF(BB5&gt;BB$118, BB5-BB$118,"")</f>
        <v/>
      </c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3"/>
    </row>
    <row r="6" spans="1:97" s="23" customFormat="1" x14ac:dyDescent="0.15">
      <c r="A6" s="1"/>
      <c r="B6" s="1" t="s">
        <v>159</v>
      </c>
      <c r="C6" s="1" t="s">
        <v>104</v>
      </c>
      <c r="D6" s="1" t="s">
        <v>94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>
        <v>20</v>
      </c>
      <c r="BG6" s="1">
        <v>20</v>
      </c>
      <c r="BH6" s="1">
        <v>20</v>
      </c>
      <c r="BI6" s="1">
        <v>20</v>
      </c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IF(AQ6&gt;AQ$118, AQ6-AQ$118,"")</f>
        <v/>
      </c>
      <c r="BU6" s="1" t="str">
        <f>IF(AR6&gt;AR$118, AR6-AR$118,"")</f>
        <v/>
      </c>
      <c r="BV6" s="1" t="str">
        <f>IF(AS6&gt;AS$118, AS6-AS$118,"")</f>
        <v/>
      </c>
      <c r="BW6" s="1" t="str">
        <f>IF(AT6&gt;AT$118, AT6-AT$118,"")</f>
        <v/>
      </c>
      <c r="BX6" s="1" t="str">
        <f>IF(AU6&gt;AU$118, AU6-AU$118,"")</f>
        <v/>
      </c>
      <c r="BY6" s="1" t="str">
        <f>IF(AV6&gt;AV$118, AV6-AV$118,"")</f>
        <v/>
      </c>
      <c r="BZ6" s="1" t="str">
        <f>IF(AW6&gt;AW$118, AW6-AW$118,"")</f>
        <v/>
      </c>
      <c r="CA6" s="1" t="str">
        <f>IF(AX6&gt;AX$118, AX6-AX$118,"")</f>
        <v/>
      </c>
      <c r="CB6" s="1" t="str">
        <f>IF(AY6&gt;AY$118, AY6-AY$118,"")</f>
        <v/>
      </c>
      <c r="CC6" s="1" t="str">
        <f>IF(AZ6&gt;AZ$118, AZ6-AZ$118,"")</f>
        <v/>
      </c>
      <c r="CD6" s="1" t="str">
        <f>IF(BA6&gt;BA$118, BA6-BA$118,"")</f>
        <v/>
      </c>
      <c r="CE6" s="1" t="str">
        <f>IF(BB6&gt;BB$118, BB6-BB$118,"")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x14ac:dyDescent="0.15">
      <c r="A7" s="1"/>
      <c r="B7" s="1" t="s">
        <v>167</v>
      </c>
      <c r="C7" s="1" t="s">
        <v>92</v>
      </c>
      <c r="D7" s="1" t="s">
        <v>94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>
        <v>20</v>
      </c>
      <c r="BE7" s="1">
        <v>20</v>
      </c>
      <c r="BF7" s="1">
        <v>20</v>
      </c>
      <c r="BG7" s="1">
        <v>20</v>
      </c>
      <c r="BH7" s="1"/>
      <c r="BI7" s="1"/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IF(AQ7&gt;AQ$118, AQ7-AQ$118,"")</f>
        <v/>
      </c>
      <c r="BU7" s="1" t="str">
        <f>IF(AR7&gt;AR$118, AR7-AR$118,"")</f>
        <v/>
      </c>
      <c r="BV7" s="1" t="str">
        <f>IF(AS7&gt;AS$118, AS7-AS$118,"")</f>
        <v/>
      </c>
      <c r="BW7" s="1" t="str">
        <f>IF(AT7&gt;AT$118, AT7-AT$118,"")</f>
        <v/>
      </c>
      <c r="BX7" s="1" t="str">
        <f>IF(AU7&gt;AU$118, AU7-AU$118,"")</f>
        <v/>
      </c>
      <c r="BY7" s="1" t="str">
        <f>IF(AV7&gt;AV$118, AV7-AV$118,"")</f>
        <v/>
      </c>
      <c r="BZ7" s="1" t="str">
        <f>IF(AW7&gt;AW$118, AW7-AW$118,"")</f>
        <v/>
      </c>
      <c r="CA7" s="1" t="str">
        <f>IF(AX7&gt;AX$118, AX7-AX$118,"")</f>
        <v/>
      </c>
      <c r="CB7" s="1" t="str">
        <f>IF(AY7&gt;AY$118, AY7-AY$118,"")</f>
        <v/>
      </c>
      <c r="CC7" s="1" t="str">
        <f>IF(AZ7&gt;AZ$118, AZ7-AZ$118,"")</f>
        <v/>
      </c>
      <c r="CD7" s="1" t="str">
        <f>IF(BA7&gt;BA$118, BA7-BA$118,"")</f>
        <v/>
      </c>
      <c r="CE7" s="1" t="str">
        <f>IF(BB7&gt;BB$118, BB7-BB$118,"")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s="39" customFormat="1" x14ac:dyDescent="0.15">
      <c r="A8" s="1"/>
      <c r="B8" s="1" t="s">
        <v>172</v>
      </c>
      <c r="C8" s="1" t="s">
        <v>107</v>
      </c>
      <c r="D8" s="1" t="s">
        <v>94</v>
      </c>
      <c r="E8" s="6"/>
      <c r="F8" s="6"/>
      <c r="G8" s="6"/>
      <c r="H8" s="6">
        <v>10</v>
      </c>
      <c r="I8" s="6"/>
      <c r="J8" s="6">
        <v>10</v>
      </c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>
        <v>10</v>
      </c>
      <c r="AU8" s="4"/>
      <c r="AV8" s="4"/>
      <c r="AW8" s="2"/>
      <c r="AX8" s="2"/>
      <c r="AY8" s="2">
        <v>10</v>
      </c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 s="1" t="str">
        <f>IF(AQ8&gt;AQ$118, AQ8-AQ$118,"")</f>
        <v/>
      </c>
      <c r="BU8" s="1" t="str">
        <f>IF(AR8&gt;AR$118, AR8-AR$118,"")</f>
        <v/>
      </c>
      <c r="BV8" s="1" t="str">
        <f>IF(AS8&gt;AS$118, AS8-AS$118,"")</f>
        <v/>
      </c>
      <c r="BW8" s="1" t="str">
        <f>IF(AT8&gt;AT$118, AT8-AT$118,"")</f>
        <v/>
      </c>
      <c r="BX8" s="1" t="str">
        <f>IF(AU8&gt;AU$118, AU8-AU$118,"")</f>
        <v/>
      </c>
      <c r="BY8" s="1" t="str">
        <f>IF(AV8&gt;AV$118, AV8-AV$118,"")</f>
        <v/>
      </c>
      <c r="BZ8" s="1" t="str">
        <f>IF(AW8&gt;AW$118, AW8-AW$118,"")</f>
        <v/>
      </c>
      <c r="CA8" s="1" t="str">
        <f>IF(AX8&gt;AX$118, AX8-AX$118,"")</f>
        <v/>
      </c>
      <c r="CB8" s="1" t="str">
        <f>IF(AY8&gt;AY$118, AY8-AY$118,"")</f>
        <v/>
      </c>
      <c r="CC8" s="1" t="str">
        <f>IF(AZ8&gt;AZ$118, AZ8-AZ$118,"")</f>
        <v/>
      </c>
      <c r="CD8" s="1" t="str">
        <f>IF(BA8&gt;BA$118, BA8-BA$118,"")</f>
        <v/>
      </c>
      <c r="CE8" s="1" t="str">
        <f>IF(BB8&gt;BB$118, BB8-BB$118,"")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/>
      <c r="B9" s="1" t="s">
        <v>193</v>
      </c>
      <c r="C9" s="1" t="s">
        <v>107</v>
      </c>
      <c r="D9" s="1" t="s">
        <v>94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 s="1" t="str">
        <f>IF(AQ9&gt;AQ$118, AQ9-AQ$118,"")</f>
        <v/>
      </c>
      <c r="BU9" s="1" t="str">
        <f>IF(AR9&gt;AR$118, AR9-AR$118,"")</f>
        <v/>
      </c>
      <c r="BV9" s="1" t="str">
        <f>IF(AS9&gt;AS$118, AS9-AS$118,"")</f>
        <v/>
      </c>
      <c r="BW9" s="1" t="str">
        <f>IF(AT9&gt;AT$118, AT9-AT$118,"")</f>
        <v/>
      </c>
      <c r="BX9" s="1" t="str">
        <f>IF(AU9&gt;AU$118, AU9-AU$118,"")</f>
        <v/>
      </c>
      <c r="BY9" s="1" t="str">
        <f>IF(AV9&gt;AV$118, AV9-AV$118,"")</f>
        <v/>
      </c>
      <c r="BZ9" s="1" t="str">
        <f>IF(AW9&gt;AW$118, AW9-AW$118,"")</f>
        <v/>
      </c>
      <c r="CA9" s="1" t="str">
        <f>IF(AX9&gt;AX$118, AX9-AX$118,"")</f>
        <v/>
      </c>
      <c r="CB9" s="1" t="str">
        <f>IF(AY9&gt;AY$118, AY9-AY$118,"")</f>
        <v/>
      </c>
      <c r="CC9" s="1" t="str">
        <f>IF(AZ9&gt;AZ$118, AZ9-AZ$118,"")</f>
        <v/>
      </c>
      <c r="CD9" s="1" t="str">
        <f>IF(BA9&gt;BA$118, BA9-BA$118,"")</f>
        <v/>
      </c>
      <c r="CE9" s="1" t="str">
        <f>IF(BB9&gt;BB$118, BB9-BB$118,"")</f>
        <v/>
      </c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3"/>
    </row>
    <row r="10" spans="1:97" x14ac:dyDescent="0.15">
      <c r="A10" s="1">
        <v>91</v>
      </c>
      <c r="B10" s="3" t="s">
        <v>72</v>
      </c>
      <c r="C10" s="3" t="s">
        <v>71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>
        <v>5</v>
      </c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5</v>
      </c>
      <c r="BQ10" s="1">
        <v>1</v>
      </c>
      <c r="BR10" s="17">
        <v>1</v>
      </c>
      <c r="BS10" s="17" t="s">
        <v>233</v>
      </c>
      <c r="BT10" s="1" t="str">
        <f>IF(AQ10&gt;AQ$118, AQ10-AQ$118,"")</f>
        <v/>
      </c>
      <c r="BU10" s="1" t="str">
        <f>IF(AR10&gt;AR$118, AR10-AR$118,"")</f>
        <v/>
      </c>
      <c r="BV10" s="1" t="str">
        <f>IF(AS10&gt;AS$118, AS10-AS$118,"")</f>
        <v/>
      </c>
      <c r="BW10" s="1" t="str">
        <f>IF(AT10&gt;AT$118, AT10-AT$118,"")</f>
        <v/>
      </c>
      <c r="BX10" s="1" t="str">
        <f>IF(AU10&gt;AU$118, AU10-AU$118,"")</f>
        <v/>
      </c>
      <c r="BY10" s="1" t="str">
        <f>IF(AV10&gt;AV$118, AV10-AV$118,"")</f>
        <v/>
      </c>
      <c r="BZ10" s="1" t="str">
        <f>IF(AW10&gt;AW$118, AW10-AW$118,"")</f>
        <v/>
      </c>
      <c r="CA10" s="1" t="str">
        <f>IF(AX10&gt;AX$118, AX10-AX$118,"")</f>
        <v/>
      </c>
      <c r="CB10" s="1" t="str">
        <f>IF(AY10&gt;AY$118, AY10-AY$118,"")</f>
        <v/>
      </c>
      <c r="CC10" s="1" t="str">
        <f>IF(AZ10&gt;AZ$118, AZ10-AZ$118,"")</f>
        <v/>
      </c>
      <c r="CD10" s="1" t="str">
        <f>IF(BA10&gt;BA$118, BA10-BA$118,"")</f>
        <v/>
      </c>
      <c r="CE10" s="1" t="str">
        <f>IF(BB10&gt;BB$118, BB10-BB$118,"")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5</v>
      </c>
    </row>
    <row r="11" spans="1:97" s="23" customFormat="1" x14ac:dyDescent="0.15">
      <c r="A11" s="31">
        <v>84</v>
      </c>
      <c r="B11" s="32" t="s">
        <v>176</v>
      </c>
      <c r="C11" s="32" t="s">
        <v>56</v>
      </c>
      <c r="D11" s="31" t="s">
        <v>12</v>
      </c>
      <c r="E11" s="33"/>
      <c r="F11" s="33"/>
      <c r="G11" s="33">
        <v>5</v>
      </c>
      <c r="H11" s="33">
        <v>5</v>
      </c>
      <c r="I11" s="33"/>
      <c r="J11" s="33"/>
      <c r="K11" s="33"/>
      <c r="L11" s="33"/>
      <c r="M11" s="33"/>
      <c r="N11" s="33"/>
      <c r="O11" s="33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5"/>
      <c r="AR11" s="35"/>
      <c r="AS11" s="35"/>
      <c r="AT11" s="35"/>
      <c r="AU11" s="35"/>
      <c r="AV11" s="35"/>
      <c r="AW11" s="36"/>
      <c r="AX11" s="36"/>
      <c r="AY11" s="36"/>
      <c r="AZ11" s="36"/>
      <c r="BA11" s="36">
        <v>5</v>
      </c>
      <c r="BB11" s="36">
        <v>5</v>
      </c>
      <c r="BC11" s="37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>
        <f>SUM(E11:BO11)</f>
        <v>20</v>
      </c>
      <c r="BQ11" s="31">
        <v>1</v>
      </c>
      <c r="BR11" s="38">
        <v>1</v>
      </c>
      <c r="BS11" s="38" t="s">
        <v>235</v>
      </c>
      <c r="BT11" s="31" t="str">
        <f>IF(AQ11&gt;AQ$118, AQ11-AQ$118,"")</f>
        <v/>
      </c>
      <c r="BU11" s="31" t="str">
        <f>IF(AR11&gt;AR$118, AR11-AR$118,"")</f>
        <v/>
      </c>
      <c r="BV11" s="31" t="str">
        <f>IF(AS11&gt;AS$118, AS11-AS$118,"")</f>
        <v/>
      </c>
      <c r="BW11" s="31" t="str">
        <f>IF(AT11&gt;AT$118, AT11-AT$118,"")</f>
        <v/>
      </c>
      <c r="BX11" s="31" t="str">
        <f>IF(AU11&gt;AU$118, AU11-AU$118,"")</f>
        <v/>
      </c>
      <c r="BY11" s="31" t="str">
        <f>IF(AV11&gt;AV$118, AV11-AV$118,"")</f>
        <v/>
      </c>
      <c r="BZ11" s="31" t="str">
        <f>IF(AW11&gt;AW$118, AW11-AW$118,"")</f>
        <v/>
      </c>
      <c r="CA11" s="31" t="str">
        <f>IF(AX11&gt;AX$118, AX11-AX$118,"")</f>
        <v/>
      </c>
      <c r="CB11" s="31" t="str">
        <f>IF(AY11&gt;AY$118, AY11-AY$118,"")</f>
        <v/>
      </c>
      <c r="CC11" s="31" t="str">
        <f>IF(AZ11&gt;AZ$118, AZ11-AZ$118,"")</f>
        <v/>
      </c>
      <c r="CD11" s="31" t="str">
        <f>IF(BA11&gt;BA$118, BA11-BA$118,"")</f>
        <v/>
      </c>
      <c r="CE11" s="31" t="str">
        <f>IF(BB11&gt;BB$118, BB11-BB$118,"")</f>
        <v/>
      </c>
      <c r="CF11" s="31">
        <f>COUNTIF(BT11:CE11, "&gt;0")</f>
        <v>0</v>
      </c>
      <c r="CG11" s="31" t="str">
        <f>IF($CF11=1,BT11,"")</f>
        <v/>
      </c>
      <c r="CH11" s="31" t="str">
        <f>IF($CF11=1,BU11,"")</f>
        <v/>
      </c>
      <c r="CI11" s="31" t="str">
        <f>IF($CF11=1,BV11,"")</f>
        <v/>
      </c>
      <c r="CJ11" s="31" t="str">
        <f>IF($CF11=1,BW11,"")</f>
        <v/>
      </c>
      <c r="CK11" s="31" t="str">
        <f>IF($CF11=1,BX11,"")</f>
        <v/>
      </c>
      <c r="CL11" s="31" t="str">
        <f>IF($CF11=1,BY11,"")</f>
        <v/>
      </c>
      <c r="CM11" s="31" t="str">
        <f>IF($CF11=1,BZ11,"")</f>
        <v/>
      </c>
      <c r="CN11" s="31" t="str">
        <f>IF($CF11=1,CA11,"")</f>
        <v/>
      </c>
      <c r="CO11" s="31" t="str">
        <f>IF($CF11=1,CB11,"")</f>
        <v/>
      </c>
      <c r="CP11" s="31" t="str">
        <f>IF($CF11=1,CC11,"")</f>
        <v/>
      </c>
      <c r="CQ11" s="31" t="str">
        <f>IF($CF11=1,CD11,"")</f>
        <v/>
      </c>
      <c r="CR11" s="31" t="str">
        <f>IF($CF11=1,CE11,"")</f>
        <v/>
      </c>
      <c r="CS11" s="32">
        <f>SUM(AE11:BO11)</f>
        <v>10</v>
      </c>
    </row>
    <row r="12" spans="1:97" s="23" customFormat="1" x14ac:dyDescent="0.15">
      <c r="A12" s="1">
        <v>82</v>
      </c>
      <c r="B12" s="3" t="s">
        <v>59</v>
      </c>
      <c r="C12" s="3" t="s">
        <v>56</v>
      </c>
      <c r="D12" s="1" t="s">
        <v>12</v>
      </c>
      <c r="E12" s="6"/>
      <c r="F12" s="6"/>
      <c r="G12" s="6"/>
      <c r="H12" s="6"/>
      <c r="I12" s="6"/>
      <c r="J12" s="6"/>
      <c r="K12" s="6"/>
      <c r="L12" s="6">
        <v>6</v>
      </c>
      <c r="M12" s="6"/>
      <c r="N12" s="6">
        <v>6</v>
      </c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/>
      <c r="AZ12" s="2">
        <v>10</v>
      </c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1</v>
      </c>
      <c r="BR12" s="17">
        <v>1</v>
      </c>
      <c r="BS12" s="17" t="s">
        <v>236</v>
      </c>
      <c r="BT12" s="1" t="str">
        <f>IF(AQ12&gt;AQ$118, AQ12-AQ$118,"")</f>
        <v/>
      </c>
      <c r="BU12" s="1" t="str">
        <f>IF(AR12&gt;AR$118, AR12-AR$118,"")</f>
        <v/>
      </c>
      <c r="BV12" s="1" t="str">
        <f>IF(AS12&gt;AS$118, AS12-AS$118,"")</f>
        <v/>
      </c>
      <c r="BW12" s="1" t="str">
        <f>IF(AT12&gt;AT$118, AT12-AT$118,"")</f>
        <v/>
      </c>
      <c r="BX12" s="1" t="str">
        <f>IF(AU12&gt;AU$118, AU12-AU$118,"")</f>
        <v/>
      </c>
      <c r="BY12" s="1" t="str">
        <f>IF(AV12&gt;AV$118, AV12-AV$118,"")</f>
        <v/>
      </c>
      <c r="BZ12" s="1" t="str">
        <f>IF(AW12&gt;AW$118, AW12-AW$118,"")</f>
        <v/>
      </c>
      <c r="CA12" s="1" t="str">
        <f>IF(AX12&gt;AX$118, AX12-AX$118,"")</f>
        <v/>
      </c>
      <c r="CB12" s="1" t="str">
        <f>IF(AY12&gt;AY$118, AY12-AY$118,"")</f>
        <v/>
      </c>
      <c r="CC12" s="1" t="str">
        <f>IF(AZ12&gt;AZ$118, AZ12-AZ$118,"")</f>
        <v/>
      </c>
      <c r="CD12" s="1" t="str">
        <f>IF(BA12&gt;BA$118, BA12-BA$118,"")</f>
        <v/>
      </c>
      <c r="CE12" s="1" t="str">
        <f>IF(BB12&gt;BB$118, BB12-BB$118,"")</f>
        <v/>
      </c>
      <c r="CF12" s="1">
        <f>COUNTIF(BT12:CE12, "&gt;0")</f>
        <v>0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3">
        <f>SUM(AE12:BO12)</f>
        <v>20</v>
      </c>
    </row>
    <row r="13" spans="1:97" x14ac:dyDescent="0.15">
      <c r="A13" s="18"/>
      <c r="B13" s="18" t="s">
        <v>103</v>
      </c>
      <c r="C13" s="18" t="s">
        <v>96</v>
      </c>
      <c r="D13" s="18" t="s">
        <v>100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>
        <v>2</v>
      </c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6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>
        <f>SUM(E13:BO13)</f>
        <v>2</v>
      </c>
      <c r="BQ13" s="18">
        <v>2</v>
      </c>
      <c r="BR13" s="22">
        <v>1</v>
      </c>
      <c r="BS13" s="22" t="s">
        <v>220</v>
      </c>
      <c r="BT13" s="18" t="str">
        <f>IF(AQ13&gt;AQ$118, AQ13-AQ$118,"")</f>
        <v/>
      </c>
      <c r="BU13" s="18" t="str">
        <f>IF(AR13&gt;AR$118, AR13-AR$118,"")</f>
        <v/>
      </c>
      <c r="BV13" s="18" t="str">
        <f>IF(AS13&gt;AS$118, AS13-AS$118,"")</f>
        <v/>
      </c>
      <c r="BW13" s="18" t="str">
        <f>IF(AT13&gt;AT$118, AT13-AT$118,"")</f>
        <v/>
      </c>
      <c r="BX13" s="18" t="str">
        <f>IF(AU13&gt;AU$118, AU13-AU$118,"")</f>
        <v/>
      </c>
      <c r="BY13" s="18" t="str">
        <f>IF(AV13&gt;AV$118, AV13-AV$118,"")</f>
        <v/>
      </c>
      <c r="BZ13" s="18" t="str">
        <f>IF(AW13&gt;AW$118, AW13-AW$118,"")</f>
        <v/>
      </c>
      <c r="CA13" s="18" t="str">
        <f>IF(AX13&gt;AX$118, AX13-AX$118,"")</f>
        <v/>
      </c>
      <c r="CB13" s="18" t="str">
        <f>IF(AY13&gt;AY$118, AY13-AY$118,"")</f>
        <v/>
      </c>
      <c r="CC13" s="18" t="str">
        <f>IF(AZ13&gt;AZ$118, AZ13-AZ$118,"")</f>
        <v/>
      </c>
      <c r="CD13" s="18" t="str">
        <f>IF(BA13&gt;BA$118, BA13-BA$118,"")</f>
        <v/>
      </c>
      <c r="CE13" s="18" t="str">
        <f>IF(BB13&gt;BB$118, BB13-BB$118,"")</f>
        <v/>
      </c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30"/>
    </row>
    <row r="14" spans="1:97" x14ac:dyDescent="0.15">
      <c r="A14" s="18"/>
      <c r="B14" s="18" t="s">
        <v>196</v>
      </c>
      <c r="C14" s="18" t="s">
        <v>28</v>
      </c>
      <c r="D14" s="18" t="s">
        <v>197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>
        <v>3</v>
      </c>
      <c r="AP14" s="18"/>
      <c r="AQ14" s="20"/>
      <c r="AR14" s="20"/>
      <c r="AS14" s="20"/>
      <c r="AT14" s="20"/>
      <c r="AU14" s="20"/>
      <c r="AV14" s="20"/>
      <c r="AW14" s="21"/>
      <c r="AX14" s="21"/>
      <c r="AY14" s="21"/>
      <c r="AZ14" s="21"/>
      <c r="BA14" s="21"/>
      <c r="BB14" s="21"/>
      <c r="BC14" s="26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>
        <f>SUM(E14:BO14)</f>
        <v>3</v>
      </c>
      <c r="BQ14" s="18">
        <v>3</v>
      </c>
      <c r="BR14" s="22">
        <v>1</v>
      </c>
      <c r="BS14" s="22" t="s">
        <v>208</v>
      </c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30"/>
    </row>
    <row r="15" spans="1:97" x14ac:dyDescent="0.15">
      <c r="A15" s="40">
        <v>77</v>
      </c>
      <c r="B15" s="47" t="s">
        <v>153</v>
      </c>
      <c r="C15" s="47" t="s">
        <v>56</v>
      </c>
      <c r="D15" s="40" t="s">
        <v>12</v>
      </c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3"/>
      <c r="AR15" s="43"/>
      <c r="AS15" s="43"/>
      <c r="AT15" s="43">
        <v>20</v>
      </c>
      <c r="AU15" s="43"/>
      <c r="AV15" s="43"/>
      <c r="AW15" s="44">
        <v>20</v>
      </c>
      <c r="AX15" s="44">
        <v>20</v>
      </c>
      <c r="AY15" s="44"/>
      <c r="AZ15" s="44"/>
      <c r="BA15" s="44"/>
      <c r="BB15" s="44">
        <v>10</v>
      </c>
      <c r="BC15" s="45"/>
      <c r="BD15" s="40"/>
      <c r="BE15" s="40"/>
      <c r="BF15" s="40"/>
      <c r="BG15" s="40"/>
      <c r="BH15" s="40">
        <v>20</v>
      </c>
      <c r="BI15" s="40"/>
      <c r="BJ15" s="40"/>
      <c r="BK15" s="40"/>
      <c r="BL15" s="40"/>
      <c r="BM15" s="40"/>
      <c r="BN15" s="40"/>
      <c r="BO15" s="40"/>
      <c r="BP15" s="40">
        <f>SUM(E15:BO15)</f>
        <v>90</v>
      </c>
      <c r="BQ15" s="40">
        <v>3</v>
      </c>
      <c r="BR15" s="46">
        <v>1</v>
      </c>
      <c r="BS15" s="46" t="s">
        <v>242</v>
      </c>
      <c r="BT15" s="40" t="str">
        <f>IF(AQ15&gt;AQ$118, AQ15-AQ$118,"")</f>
        <v/>
      </c>
      <c r="BU15" s="40" t="str">
        <f>IF(AR15&gt;AR$118, AR15-AR$118,"")</f>
        <v/>
      </c>
      <c r="BV15" s="40" t="str">
        <f>IF(AS15&gt;AS$118, AS15-AS$118,"")</f>
        <v/>
      </c>
      <c r="BW15" s="40" t="str">
        <f>IF(AT15&gt;AT$118, AT15-AT$118,"")</f>
        <v/>
      </c>
      <c r="BX15" s="40" t="str">
        <f>IF(AU15&gt;AU$118, AU15-AU$118,"")</f>
        <v/>
      </c>
      <c r="BY15" s="40" t="str">
        <f>IF(AV15&gt;AV$118, AV15-AV$118,"")</f>
        <v/>
      </c>
      <c r="BZ15" s="40" t="str">
        <f>IF(AW15&gt;AW$118, AW15-AW$118,"")</f>
        <v/>
      </c>
      <c r="CA15" s="40" t="str">
        <f>IF(AX15&gt;AX$118, AX15-AX$118,"")</f>
        <v/>
      </c>
      <c r="CB15" s="40" t="str">
        <f>IF(AY15&gt;AY$118, AY15-AY$118,"")</f>
        <v/>
      </c>
      <c r="CC15" s="40" t="str">
        <f>IF(AZ15&gt;AZ$118, AZ15-AZ$118,"")</f>
        <v/>
      </c>
      <c r="CD15" s="40" t="str">
        <f>IF(BA15&gt;BA$118, BA15-BA$118,"")</f>
        <v/>
      </c>
      <c r="CE15" s="40" t="str">
        <f>IF(BB15&gt;BB$118, BB15-BB$118,"")</f>
        <v/>
      </c>
      <c r="CF15" s="40">
        <f>COUNTIF(BT15:CE15, "&gt;0")</f>
        <v>0</v>
      </c>
      <c r="CG15" s="40" t="str">
        <f>IF($CF15=1,BT15,"")</f>
        <v/>
      </c>
      <c r="CH15" s="40" t="str">
        <f>IF($CF15=1,BU15,"")</f>
        <v/>
      </c>
      <c r="CI15" s="40" t="str">
        <f>IF($CF15=1,BV15,"")</f>
        <v/>
      </c>
      <c r="CJ15" s="40" t="str">
        <f>IF($CF15=1,BW15,"")</f>
        <v/>
      </c>
      <c r="CK15" s="40" t="str">
        <f>IF($CF15=1,BX15,"")</f>
        <v/>
      </c>
      <c r="CL15" s="40" t="str">
        <f>IF($CF15=1,BY15,"")</f>
        <v/>
      </c>
      <c r="CM15" s="40" t="str">
        <f>IF($CF15=1,BZ15,"")</f>
        <v/>
      </c>
      <c r="CN15" s="40" t="str">
        <f>IF($CF15=1,CA15,"")</f>
        <v/>
      </c>
      <c r="CO15" s="40" t="str">
        <f>IF($CF15=1,CB15,"")</f>
        <v/>
      </c>
      <c r="CP15" s="40" t="str">
        <f>IF($CF15=1,CC15,"")</f>
        <v/>
      </c>
      <c r="CQ15" s="40" t="str">
        <f>IF($CF15=1,CD15,"")</f>
        <v/>
      </c>
      <c r="CR15" s="40" t="str">
        <f>IF($CF15=1,CE15,"")</f>
        <v/>
      </c>
      <c r="CS15" s="47">
        <f>SUM(AE15:BO15)</f>
        <v>90</v>
      </c>
    </row>
    <row r="16" spans="1:97" s="23" customFormat="1" x14ac:dyDescent="0.15">
      <c r="A16" s="1"/>
      <c r="B16" s="1" t="s">
        <v>164</v>
      </c>
      <c r="C16" s="1" t="s">
        <v>104</v>
      </c>
      <c r="D16" s="1" t="s">
        <v>94</v>
      </c>
      <c r="E16" s="6">
        <v>10</v>
      </c>
      <c r="F16" s="6"/>
      <c r="G16" s="6">
        <v>10</v>
      </c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>
        <v>10</v>
      </c>
      <c r="AS16" s="4"/>
      <c r="AT16" s="4"/>
      <c r="AU16" s="4"/>
      <c r="AV16" s="4"/>
      <c r="AW16" s="2"/>
      <c r="AX16" s="2"/>
      <c r="AY16" s="2"/>
      <c r="AZ16" s="2"/>
      <c r="BA16" s="2"/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40</v>
      </c>
      <c r="BQ16" s="1">
        <v>3</v>
      </c>
      <c r="BR16" s="17">
        <v>1</v>
      </c>
      <c r="BS16" s="17" t="s">
        <v>243</v>
      </c>
      <c r="BT16" s="1" t="str">
        <f>IF(AQ16&gt;AQ$118, AQ16-AQ$118,"")</f>
        <v/>
      </c>
      <c r="BU16" s="1" t="str">
        <f>IF(AR16&gt;AR$118, AR16-AR$118,"")</f>
        <v/>
      </c>
      <c r="BV16" s="1" t="str">
        <f>IF(AS16&gt;AS$118, AS16-AS$118,"")</f>
        <v/>
      </c>
      <c r="BW16" s="1" t="str">
        <f>IF(AT16&gt;AT$118, AT16-AT$118,"")</f>
        <v/>
      </c>
      <c r="BX16" s="1" t="str">
        <f>IF(AU16&gt;AU$118, AU16-AU$118,"")</f>
        <v/>
      </c>
      <c r="BY16" s="1" t="str">
        <f>IF(AV16&gt;AV$118, AV16-AV$118,"")</f>
        <v/>
      </c>
      <c r="BZ16" s="1" t="str">
        <f>IF(AW16&gt;AW$118, AW16-AW$118,"")</f>
        <v/>
      </c>
      <c r="CA16" s="1" t="str">
        <f>IF(AX16&gt;AX$118, AX16-AX$118,"")</f>
        <v/>
      </c>
      <c r="CB16" s="1" t="str">
        <f>IF(AY16&gt;AY$118, AY16-AY$118,"")</f>
        <v/>
      </c>
      <c r="CC16" s="1" t="str">
        <f>IF(AZ16&gt;AZ$118, AZ16-AZ$118,"")</f>
        <v/>
      </c>
      <c r="CD16" s="1" t="str">
        <f>IF(BA16&gt;BA$118, BA16-BA$118,"")</f>
        <v/>
      </c>
      <c r="CE16" s="1" t="str">
        <f>IF(BB16&gt;BB$118, BB16-BB$118,"")</f>
        <v/>
      </c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3"/>
    </row>
    <row r="17" spans="1:97" s="49" customFormat="1" x14ac:dyDescent="0.15">
      <c r="A17" s="1"/>
      <c r="B17" s="1" t="s">
        <v>162</v>
      </c>
      <c r="C17" s="1" t="s">
        <v>138</v>
      </c>
      <c r="D17" s="1" t="s">
        <v>112</v>
      </c>
      <c r="E17" s="6">
        <v>10</v>
      </c>
      <c r="F17" s="6"/>
      <c r="G17" s="6">
        <v>10</v>
      </c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>
        <v>10</v>
      </c>
      <c r="AS17" s="4"/>
      <c r="AT17" s="4"/>
      <c r="AU17" s="4"/>
      <c r="AV17" s="4"/>
      <c r="AW17" s="2"/>
      <c r="AX17" s="2"/>
      <c r="AY17" s="2"/>
      <c r="AZ17" s="2"/>
      <c r="BA17" s="2"/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40</v>
      </c>
      <c r="BQ17" s="1">
        <v>3</v>
      </c>
      <c r="BR17" s="17">
        <v>1</v>
      </c>
      <c r="BS17" s="17" t="s">
        <v>244</v>
      </c>
      <c r="BT17" s="1" t="str">
        <f>IF(AQ17&gt;AQ$118, AQ17-AQ$118,"")</f>
        <v/>
      </c>
      <c r="BU17" s="1" t="str">
        <f>IF(AR17&gt;AR$118, AR17-AR$118,"")</f>
        <v/>
      </c>
      <c r="BV17" s="1" t="str">
        <f>IF(AS17&gt;AS$118, AS17-AS$118,"")</f>
        <v/>
      </c>
      <c r="BW17" s="1" t="str">
        <f>IF(AT17&gt;AT$118, AT17-AT$118,"")</f>
        <v/>
      </c>
      <c r="BX17" s="1" t="str">
        <f>IF(AU17&gt;AU$118, AU17-AU$118,"")</f>
        <v/>
      </c>
      <c r="BY17" s="1" t="str">
        <f>IF(AV17&gt;AV$118, AV17-AV$118,"")</f>
        <v/>
      </c>
      <c r="BZ17" s="1" t="str">
        <f>IF(AW17&gt;AW$118, AW17-AW$118,"")</f>
        <v/>
      </c>
      <c r="CA17" s="1" t="str">
        <f>IF(AX17&gt;AX$118, AX17-AX$118,"")</f>
        <v/>
      </c>
      <c r="CB17" s="1" t="str">
        <f>IF(AY17&gt;AY$118, AY17-AY$118,"")</f>
        <v/>
      </c>
      <c r="CC17" s="1" t="str">
        <f>IF(AZ17&gt;AZ$118, AZ17-AZ$118,"")</f>
        <v/>
      </c>
      <c r="CD17" s="1" t="str">
        <f>IF(BA17&gt;BA$118, BA17-BA$118,"")</f>
        <v/>
      </c>
      <c r="CE17" s="1" t="str">
        <f>IF(BB17&gt;BB$118, BB17-BB$118,"")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3"/>
    </row>
    <row r="18" spans="1:97" s="49" customFormat="1" x14ac:dyDescent="0.15">
      <c r="A18" s="1">
        <v>8</v>
      </c>
      <c r="B18" s="1" t="s">
        <v>157</v>
      </c>
      <c r="C18" s="1" t="s">
        <v>2</v>
      </c>
      <c r="D18" s="1" t="s">
        <v>23</v>
      </c>
      <c r="E18" s="6">
        <v>6</v>
      </c>
      <c r="F18" s="6"/>
      <c r="G18" s="6"/>
      <c r="H18" s="6">
        <v>6</v>
      </c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>
        <v>10</v>
      </c>
      <c r="AS18" s="4"/>
      <c r="AT18" s="4"/>
      <c r="AU18" s="4"/>
      <c r="AV18" s="4"/>
      <c r="AW18" s="2"/>
      <c r="AX18" s="2"/>
      <c r="AY18" s="2"/>
      <c r="AZ18" s="2"/>
      <c r="BA18" s="2"/>
      <c r="BB18" s="2">
        <v>10</v>
      </c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32</v>
      </c>
      <c r="BQ18" s="1">
        <v>3</v>
      </c>
      <c r="BR18" s="17">
        <v>1</v>
      </c>
      <c r="BS18" s="17" t="s">
        <v>245</v>
      </c>
      <c r="BT18" s="1" t="str">
        <f>IF(AQ18&gt;AQ$118, AQ18-AQ$118,"")</f>
        <v/>
      </c>
      <c r="BU18" s="1" t="str">
        <f>IF(AR18&gt;AR$118, AR18-AR$118,"")</f>
        <v/>
      </c>
      <c r="BV18" s="1" t="str">
        <f>IF(AS18&gt;AS$118, AS18-AS$118,"")</f>
        <v/>
      </c>
      <c r="BW18" s="1" t="str">
        <f>IF(AT18&gt;AT$118, AT18-AT$118,"")</f>
        <v/>
      </c>
      <c r="BX18" s="1" t="str">
        <f>IF(AU18&gt;AU$118, AU18-AU$118,"")</f>
        <v/>
      </c>
      <c r="BY18" s="1" t="str">
        <f>IF(AV18&gt;AV$118, AV18-AV$118,"")</f>
        <v/>
      </c>
      <c r="BZ18" s="1" t="str">
        <f>IF(AW18&gt;AW$118, AW18-AW$118,"")</f>
        <v/>
      </c>
      <c r="CA18" s="1" t="str">
        <f>IF(AX18&gt;AX$118, AX18-AX$118,"")</f>
        <v/>
      </c>
      <c r="CB18" s="1" t="str">
        <f>IF(AY18&gt;AY$118, AY18-AY$118,"")</f>
        <v/>
      </c>
      <c r="CC18" s="1" t="str">
        <f>IF(AZ18&gt;AZ$118, AZ18-AZ$118,"")</f>
        <v/>
      </c>
      <c r="CD18" s="1" t="str">
        <f>IF(BA18&gt;BA$118, BA18-BA$118,"")</f>
        <v/>
      </c>
      <c r="CE18" s="1" t="str">
        <f>IF(BB18&gt;BB$118, BB18-BB$118,"")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20</v>
      </c>
    </row>
    <row r="19" spans="1:97" x14ac:dyDescent="0.15">
      <c r="A19" s="40">
        <v>1</v>
      </c>
      <c r="B19" s="40" t="s">
        <v>0</v>
      </c>
      <c r="C19" s="40" t="s">
        <v>2</v>
      </c>
      <c r="D19" s="40" t="s">
        <v>1</v>
      </c>
      <c r="E19" s="41">
        <v>10</v>
      </c>
      <c r="F19" s="41">
        <v>10</v>
      </c>
      <c r="G19" s="41"/>
      <c r="H19" s="41"/>
      <c r="I19" s="41"/>
      <c r="J19" s="41"/>
      <c r="K19" s="41"/>
      <c r="L19" s="41"/>
      <c r="M19" s="41"/>
      <c r="N19" s="41"/>
      <c r="O19" s="41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3"/>
      <c r="AR19" s="43">
        <v>10</v>
      </c>
      <c r="AS19" s="43"/>
      <c r="AT19" s="43"/>
      <c r="AU19" s="43"/>
      <c r="AV19" s="43"/>
      <c r="AW19" s="44">
        <v>15</v>
      </c>
      <c r="AX19" s="44">
        <v>15</v>
      </c>
      <c r="AY19" s="44"/>
      <c r="AZ19" s="44"/>
      <c r="BA19" s="44"/>
      <c r="BB19" s="44"/>
      <c r="BC19" s="45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>
        <f>SUM(E19:BO19)</f>
        <v>60</v>
      </c>
      <c r="BQ19" s="40">
        <v>3</v>
      </c>
      <c r="BR19" s="46">
        <v>1</v>
      </c>
      <c r="BS19" s="46" t="s">
        <v>243</v>
      </c>
      <c r="BT19" s="40" t="str">
        <f>IF(AQ19&gt;AQ$118, AQ19-AQ$118,"")</f>
        <v/>
      </c>
      <c r="BU19" s="40" t="str">
        <f>IF(AR19&gt;AR$118, AR19-AR$118,"")</f>
        <v/>
      </c>
      <c r="BV19" s="40" t="str">
        <f>IF(AS19&gt;AS$118, AS19-AS$118,"")</f>
        <v/>
      </c>
      <c r="BW19" s="40" t="str">
        <f>IF(AT19&gt;AT$118, AT19-AT$118,"")</f>
        <v/>
      </c>
      <c r="BX19" s="40" t="str">
        <f>IF(AU19&gt;AU$118, AU19-AU$118,"")</f>
        <v/>
      </c>
      <c r="BY19" s="40" t="str">
        <f>IF(AV19&gt;AV$118, AV19-AV$118,"")</f>
        <v/>
      </c>
      <c r="BZ19" s="40" t="str">
        <f>IF(AW19&gt;AW$118, AW19-AW$118,"")</f>
        <v/>
      </c>
      <c r="CA19" s="40" t="str">
        <f>IF(AX19&gt;AX$118, AX19-AX$118,"")</f>
        <v/>
      </c>
      <c r="CB19" s="40" t="str">
        <f>IF(AY19&gt;AY$118, AY19-AY$118,"")</f>
        <v/>
      </c>
      <c r="CC19" s="40" t="str">
        <f>IF(AZ19&gt;AZ$118, AZ19-AZ$118,"")</f>
        <v/>
      </c>
      <c r="CD19" s="40" t="str">
        <f>IF(BA19&gt;BA$118, BA19-BA$118,"")</f>
        <v/>
      </c>
      <c r="CE19" s="40" t="str">
        <f>IF(BB19&gt;BB$118, BB19-BB$118,"")</f>
        <v/>
      </c>
      <c r="CF19" s="40">
        <f>COUNTIF(BT19:CE19, "&gt;0")</f>
        <v>0</v>
      </c>
      <c r="CG19" s="40" t="str">
        <f>IF($CF19=1,BT19,"")</f>
        <v/>
      </c>
      <c r="CH19" s="40" t="str">
        <f>IF($CF19=1,BU19,"")</f>
        <v/>
      </c>
      <c r="CI19" s="40" t="str">
        <f>IF($CF19=1,BV19,"")</f>
        <v/>
      </c>
      <c r="CJ19" s="40" t="str">
        <f>IF($CF19=1,BW19,"")</f>
        <v/>
      </c>
      <c r="CK19" s="40" t="str">
        <f>IF($CF19=1,BX19,"")</f>
        <v/>
      </c>
      <c r="CL19" s="40" t="str">
        <f>IF($CF19=1,BY19,"")</f>
        <v/>
      </c>
      <c r="CM19" s="40" t="str">
        <f>IF($CF19=1,BZ19,"")</f>
        <v/>
      </c>
      <c r="CN19" s="40" t="str">
        <f>IF($CF19=1,CA19,"")</f>
        <v/>
      </c>
      <c r="CO19" s="40" t="str">
        <f>IF($CF19=1,CB19,"")</f>
        <v/>
      </c>
      <c r="CP19" s="40" t="str">
        <f>IF($CF19=1,CC19,"")</f>
        <v/>
      </c>
      <c r="CQ19" s="40" t="str">
        <f>IF($CF19=1,CD19,"")</f>
        <v/>
      </c>
      <c r="CR19" s="40" t="str">
        <f>IF($CF19=1,CE19,"")</f>
        <v/>
      </c>
      <c r="CS19" s="47">
        <f>SUM(AE19:BO19)</f>
        <v>40</v>
      </c>
    </row>
    <row r="20" spans="1:97" x14ac:dyDescent="0.15">
      <c r="A20" s="1">
        <v>18</v>
      </c>
      <c r="B20" s="1" t="s">
        <v>31</v>
      </c>
      <c r="C20" s="1" t="s">
        <v>28</v>
      </c>
      <c r="D20" s="1" t="s">
        <v>22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>
        <v>5</v>
      </c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4</v>
      </c>
      <c r="BR20" s="17">
        <v>1</v>
      </c>
      <c r="BS20" s="17" t="s">
        <v>238</v>
      </c>
      <c r="BT20" s="1" t="str">
        <f>IF(AQ20&gt;AQ$118, AQ20-AQ$118,"")</f>
        <v/>
      </c>
      <c r="BU20" s="1" t="str">
        <f>IF(AR20&gt;AR$118, AR20-AR$118,"")</f>
        <v/>
      </c>
      <c r="BV20" s="1" t="str">
        <f>IF(AS20&gt;AS$118, AS20-AS$118,"")</f>
        <v/>
      </c>
      <c r="BW20" s="1" t="str">
        <f>IF(AT20&gt;AT$118, AT20-AT$118,"")</f>
        <v/>
      </c>
      <c r="BX20" s="1" t="str">
        <f>IF(AU20&gt;AU$118, AU20-AU$118,"")</f>
        <v/>
      </c>
      <c r="BY20" s="1" t="str">
        <f>IF(AV20&gt;AV$118, AV20-AV$118,"")</f>
        <v/>
      </c>
      <c r="BZ20" s="1" t="str">
        <f>IF(AW20&gt;AW$118, AW20-AW$118,"")</f>
        <v/>
      </c>
      <c r="CA20" s="1" t="str">
        <f>IF(AX20&gt;AX$118, AX20-AX$118,"")</f>
        <v/>
      </c>
      <c r="CB20" s="1" t="str">
        <f>IF(AY20&gt;AY$118, AY20-AY$118,"")</f>
        <v/>
      </c>
      <c r="CC20" s="1" t="str">
        <f>IF(AZ20&gt;AZ$118, AZ20-AZ$118,"")</f>
        <v/>
      </c>
      <c r="CD20" s="1" t="str">
        <f>IF(BA20&gt;BA$118, BA20-BA$118,"")</f>
        <v/>
      </c>
      <c r="CE20" s="1" t="str">
        <f>IF(BB20&gt;BB$118, BB20-BB$118,"")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x14ac:dyDescent="0.15">
      <c r="A21" s="40">
        <v>20</v>
      </c>
      <c r="B21" s="40" t="s">
        <v>212</v>
      </c>
      <c r="C21" s="40" t="s">
        <v>28</v>
      </c>
      <c r="D21" s="40" t="s">
        <v>22</v>
      </c>
      <c r="E21" s="41"/>
      <c r="F21" s="41">
        <v>5</v>
      </c>
      <c r="G21" s="41"/>
      <c r="H21" s="41"/>
      <c r="I21" s="41"/>
      <c r="J21" s="41"/>
      <c r="K21" s="41"/>
      <c r="L21" s="41"/>
      <c r="M21" s="41"/>
      <c r="N21" s="41"/>
      <c r="O21" s="41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0"/>
      <c r="AF21" s="40"/>
      <c r="AG21" s="40">
        <v>5</v>
      </c>
      <c r="AH21" s="40"/>
      <c r="AI21" s="40"/>
      <c r="AJ21" s="40"/>
      <c r="AK21" s="40"/>
      <c r="AL21" s="40"/>
      <c r="AM21" s="40"/>
      <c r="AN21" s="40"/>
      <c r="AO21" s="40"/>
      <c r="AP21" s="40"/>
      <c r="AQ21" s="43"/>
      <c r="AR21" s="43"/>
      <c r="AS21" s="43"/>
      <c r="AT21" s="43"/>
      <c r="AU21" s="43"/>
      <c r="AV21" s="43"/>
      <c r="AW21" s="44"/>
      <c r="AX21" s="44"/>
      <c r="AY21" s="44"/>
      <c r="AZ21" s="44"/>
      <c r="BA21" s="44"/>
      <c r="BB21" s="44"/>
      <c r="BC21" s="45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>
        <f>SUM(E21:BO21)</f>
        <v>10</v>
      </c>
      <c r="BQ21" s="40">
        <v>4</v>
      </c>
      <c r="BR21" s="46">
        <v>1</v>
      </c>
      <c r="BS21" s="46" t="s">
        <v>238</v>
      </c>
      <c r="BT21" s="40" t="str">
        <f>IF(AQ21&gt;AQ$118, AQ21-AQ$118,"")</f>
        <v/>
      </c>
      <c r="BU21" s="40" t="str">
        <f>IF(AR21&gt;AR$118, AR21-AR$118,"")</f>
        <v/>
      </c>
      <c r="BV21" s="40" t="str">
        <f>IF(AS21&gt;AS$118, AS21-AS$118,"")</f>
        <v/>
      </c>
      <c r="BW21" s="40" t="str">
        <f>IF(AT21&gt;AT$118, AT21-AT$118,"")</f>
        <v/>
      </c>
      <c r="BX21" s="40" t="str">
        <f>IF(AU21&gt;AU$118, AU21-AU$118,"")</f>
        <v/>
      </c>
      <c r="BY21" s="40" t="str">
        <f>IF(AV21&gt;AV$118, AV21-AV$118,"")</f>
        <v/>
      </c>
      <c r="BZ21" s="40" t="str">
        <f>IF(AW21&gt;AW$118, AW21-AW$118,"")</f>
        <v/>
      </c>
      <c r="CA21" s="40" t="str">
        <f>IF(AX21&gt;AX$118, AX21-AX$118,"")</f>
        <v/>
      </c>
      <c r="CB21" s="40" t="str">
        <f>IF(AY21&gt;AY$118, AY21-AY$118,"")</f>
        <v/>
      </c>
      <c r="CC21" s="40" t="str">
        <f>IF(AZ21&gt;AZ$118, AZ21-AZ$118,"")</f>
        <v/>
      </c>
      <c r="CD21" s="40" t="str">
        <f>IF(BA21&gt;BA$118, BA21-BA$118,"")</f>
        <v/>
      </c>
      <c r="CE21" s="40" t="str">
        <f>IF(BB21&gt;BB$118, BB21-BB$118,"")</f>
        <v/>
      </c>
      <c r="CF21" s="40">
        <f>COUNTIF(BT21:CE21, "&gt;0")</f>
        <v>0</v>
      </c>
      <c r="CG21" s="40" t="str">
        <f>IF($CF21=1,BT21,"")</f>
        <v/>
      </c>
      <c r="CH21" s="40" t="str">
        <f>IF($CF21=1,BU21,"")</f>
        <v/>
      </c>
      <c r="CI21" s="40" t="str">
        <f>IF($CF21=1,BV21,"")</f>
        <v/>
      </c>
      <c r="CJ21" s="40" t="str">
        <f>IF($CF21=1,BW21,"")</f>
        <v/>
      </c>
      <c r="CK21" s="40" t="str">
        <f>IF($CF21=1,BX21,"")</f>
        <v/>
      </c>
      <c r="CL21" s="40" t="str">
        <f>IF($CF21=1,BY21,"")</f>
        <v/>
      </c>
      <c r="CM21" s="40" t="str">
        <f>IF($CF21=1,BZ21,"")</f>
        <v/>
      </c>
      <c r="CN21" s="40" t="str">
        <f>IF($CF21=1,CA21,"")</f>
        <v/>
      </c>
      <c r="CO21" s="40" t="str">
        <f>IF($CF21=1,CB21,"")</f>
        <v/>
      </c>
      <c r="CP21" s="40" t="str">
        <f>IF($CF21=1,CC21,"")</f>
        <v/>
      </c>
      <c r="CQ21" s="40" t="str">
        <f>IF($CF21=1,CD21,"")</f>
        <v/>
      </c>
      <c r="CR21" s="40" t="str">
        <f>IF($CF21=1,CE21,"")</f>
        <v/>
      </c>
      <c r="CS21" s="47">
        <f>SUM(AE21:BO21)</f>
        <v>5</v>
      </c>
    </row>
    <row r="22" spans="1:97" x14ac:dyDescent="0.15">
      <c r="A22" s="18">
        <v>17</v>
      </c>
      <c r="B22" s="18" t="s">
        <v>31</v>
      </c>
      <c r="C22" s="18" t="s">
        <v>28</v>
      </c>
      <c r="D22" s="18" t="s">
        <v>21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18"/>
      <c r="AF22" s="18">
        <v>5</v>
      </c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20"/>
      <c r="AR22" s="20"/>
      <c r="AS22" s="20"/>
      <c r="AT22" s="20"/>
      <c r="AU22" s="20"/>
      <c r="AV22" s="20"/>
      <c r="AW22" s="21"/>
      <c r="AX22" s="21"/>
      <c r="AY22" s="21"/>
      <c r="AZ22" s="21"/>
      <c r="BA22" s="21"/>
      <c r="BB22" s="21"/>
      <c r="BC22" s="26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>
        <f>SUM(E22:BO22)</f>
        <v>5</v>
      </c>
      <c r="BQ22" s="18">
        <v>5</v>
      </c>
      <c r="BR22" s="22">
        <v>1</v>
      </c>
      <c r="BS22" s="22" t="s">
        <v>221</v>
      </c>
      <c r="BT22" s="18" t="str">
        <f>IF(AQ22&gt;AQ$118, AQ22-AQ$118,"")</f>
        <v/>
      </c>
      <c r="BU22" s="18" t="str">
        <f>IF(AR22&gt;AR$118, AR22-AR$118,"")</f>
        <v/>
      </c>
      <c r="BV22" s="18" t="str">
        <f>IF(AS22&gt;AS$118, AS22-AS$118,"")</f>
        <v/>
      </c>
      <c r="BW22" s="18" t="str">
        <f>IF(AT22&gt;AT$118, AT22-AT$118,"")</f>
        <v/>
      </c>
      <c r="BX22" s="18" t="str">
        <f>IF(AU22&gt;AU$118, AU22-AU$118,"")</f>
        <v/>
      </c>
      <c r="BY22" s="18" t="str">
        <f>IF(AV22&gt;AV$118, AV22-AV$118,"")</f>
        <v/>
      </c>
      <c r="BZ22" s="18" t="str">
        <f>IF(AW22&gt;AW$118, AW22-AW$118,"")</f>
        <v/>
      </c>
      <c r="CA22" s="18" t="str">
        <f>IF(AX22&gt;AX$118, AX22-AX$118,"")</f>
        <v/>
      </c>
      <c r="CB22" s="18" t="str">
        <f>IF(AY22&gt;AY$118, AY22-AY$118,"")</f>
        <v/>
      </c>
      <c r="CC22" s="18" t="str">
        <f>IF(AZ22&gt;AZ$118, AZ22-AZ$118,"")</f>
        <v/>
      </c>
      <c r="CD22" s="18" t="str">
        <f>IF(BA22&gt;BA$118, BA22-BA$118,"")</f>
        <v/>
      </c>
      <c r="CE22" s="18" t="str">
        <f>IF(BB22&gt;BB$118, BB22-BB$118,"")</f>
        <v/>
      </c>
      <c r="CF22" s="18">
        <f>COUNTIF(BT22:CE22, "&gt;0")</f>
        <v>0</v>
      </c>
      <c r="CG22" s="18" t="str">
        <f>IF($CF22=1,BT22,"")</f>
        <v/>
      </c>
      <c r="CH22" s="18" t="str">
        <f>IF($CF22=1,BU22,"")</f>
        <v/>
      </c>
      <c r="CI22" s="18" t="str">
        <f>IF($CF22=1,BV22,"")</f>
        <v/>
      </c>
      <c r="CJ22" s="18" t="str">
        <f>IF($CF22=1,BW22,"")</f>
        <v/>
      </c>
      <c r="CK22" s="18" t="str">
        <f>IF($CF22=1,BX22,"")</f>
        <v/>
      </c>
      <c r="CL22" s="18" t="str">
        <f>IF($CF22=1,BY22,"")</f>
        <v/>
      </c>
      <c r="CM22" s="18" t="str">
        <f>IF($CF22=1,BZ22,"")</f>
        <v/>
      </c>
      <c r="CN22" s="18" t="str">
        <f>IF($CF22=1,CA22,"")</f>
        <v/>
      </c>
      <c r="CO22" s="18" t="str">
        <f>IF($CF22=1,CB22,"")</f>
        <v/>
      </c>
      <c r="CP22" s="18" t="str">
        <f>IF($CF22=1,CC22,"")</f>
        <v/>
      </c>
      <c r="CQ22" s="18" t="str">
        <f>IF($CF22=1,CD22,"")</f>
        <v/>
      </c>
      <c r="CR22" s="18" t="str">
        <f>IF($CF22=1,CE22,"")</f>
        <v/>
      </c>
      <c r="CS22" s="30">
        <f>SUM(AE22:BO22)</f>
        <v>5</v>
      </c>
    </row>
    <row r="23" spans="1:97" x14ac:dyDescent="0.15">
      <c r="A23" s="18">
        <v>32</v>
      </c>
      <c r="B23" s="18" t="s">
        <v>68</v>
      </c>
      <c r="C23" s="18" t="s">
        <v>28</v>
      </c>
      <c r="D23" s="18" t="s">
        <v>21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/>
      <c r="AG23" s="18"/>
      <c r="AH23" s="18"/>
      <c r="AI23" s="18">
        <v>5</v>
      </c>
      <c r="AJ23" s="18"/>
      <c r="AK23" s="18"/>
      <c r="AL23" s="18"/>
      <c r="AM23" s="18"/>
      <c r="AN23" s="18"/>
      <c r="AO23" s="18"/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>
        <f>SUM(E23:BO23)</f>
        <v>5</v>
      </c>
      <c r="BQ23" s="18">
        <v>5</v>
      </c>
      <c r="BR23" s="22">
        <v>1</v>
      </c>
      <c r="BS23" s="22" t="s">
        <v>239</v>
      </c>
      <c r="BT23" s="18" t="str">
        <f>IF(AQ23&gt;AQ$118, AQ23-AQ$118,"")</f>
        <v/>
      </c>
      <c r="BU23" s="18" t="str">
        <f>IF(AR23&gt;AR$118, AR23-AR$118,"")</f>
        <v/>
      </c>
      <c r="BV23" s="18" t="str">
        <f>IF(AS23&gt;AS$118, AS23-AS$118,"")</f>
        <v/>
      </c>
      <c r="BW23" s="18" t="str">
        <f>IF(AT23&gt;AT$118, AT23-AT$118,"")</f>
        <v/>
      </c>
      <c r="BX23" s="18" t="str">
        <f>IF(AU23&gt;AU$118, AU23-AU$118,"")</f>
        <v/>
      </c>
      <c r="BY23" s="18" t="str">
        <f>IF(AV23&gt;AV$118, AV23-AV$118,"")</f>
        <v/>
      </c>
      <c r="BZ23" s="18" t="str">
        <f>IF(AW23&gt;AW$118, AW23-AW$118,"")</f>
        <v/>
      </c>
      <c r="CA23" s="18" t="str">
        <f>IF(AX23&gt;AX$118, AX23-AX$118,"")</f>
        <v/>
      </c>
      <c r="CB23" s="18" t="str">
        <f>IF(AY23&gt;AY$118, AY23-AY$118,"")</f>
        <v/>
      </c>
      <c r="CC23" s="18" t="str">
        <f>IF(AZ23&gt;AZ$118, AZ23-AZ$118,"")</f>
        <v/>
      </c>
      <c r="CD23" s="18" t="str">
        <f>IF(BA23&gt;BA$118, BA23-BA$118,"")</f>
        <v/>
      </c>
      <c r="CE23" s="18" t="str">
        <f>IF(BB23&gt;BB$118, BB23-BB$118,"")</f>
        <v/>
      </c>
      <c r="CF23" s="18">
        <f>COUNTIF(BT23:CE23, "&gt;0")</f>
        <v>0</v>
      </c>
      <c r="CG23" s="18" t="str">
        <f>IF($CF23=1,BT23,"")</f>
        <v/>
      </c>
      <c r="CH23" s="18" t="str">
        <f>IF($CF23=1,BU23,"")</f>
        <v/>
      </c>
      <c r="CI23" s="18" t="str">
        <f>IF($CF23=1,BV23,"")</f>
        <v/>
      </c>
      <c r="CJ23" s="18" t="str">
        <f>IF($CF23=1,BW23,"")</f>
        <v/>
      </c>
      <c r="CK23" s="18" t="str">
        <f>IF($CF23=1,BX23,"")</f>
        <v/>
      </c>
      <c r="CL23" s="18" t="str">
        <f>IF($CF23=1,BY23,"")</f>
        <v/>
      </c>
      <c r="CM23" s="18" t="str">
        <f>IF($CF23=1,BZ23,"")</f>
        <v/>
      </c>
      <c r="CN23" s="18" t="str">
        <f>IF($CF23=1,CA23,"")</f>
        <v/>
      </c>
      <c r="CO23" s="18" t="str">
        <f>IF($CF23=1,CB23,"")</f>
        <v/>
      </c>
      <c r="CP23" s="18" t="str">
        <f>IF($CF23=1,CC23,"")</f>
        <v/>
      </c>
      <c r="CQ23" s="18" t="str">
        <f>IF($CF23=1,CD23,"")</f>
        <v/>
      </c>
      <c r="CR23" s="18" t="str">
        <f>IF($CF23=1,CE23,"")</f>
        <v/>
      </c>
      <c r="CS23" s="30">
        <f>SUM(AE23:BO23)</f>
        <v>5</v>
      </c>
    </row>
    <row r="24" spans="1:97" x14ac:dyDescent="0.15">
      <c r="A24" s="18">
        <v>33</v>
      </c>
      <c r="B24" s="18" t="s">
        <v>68</v>
      </c>
      <c r="C24" s="18" t="s">
        <v>28</v>
      </c>
      <c r="D24" s="18" t="s">
        <v>1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18"/>
      <c r="AF24" s="18"/>
      <c r="AG24" s="18"/>
      <c r="AH24" s="18">
        <v>5</v>
      </c>
      <c r="AI24" s="18"/>
      <c r="AJ24" s="18"/>
      <c r="AK24" s="18"/>
      <c r="AL24" s="18"/>
      <c r="AM24" s="18"/>
      <c r="AN24" s="18"/>
      <c r="AO24" s="18"/>
      <c r="AP24" s="18"/>
      <c r="AQ24" s="20"/>
      <c r="AR24" s="20"/>
      <c r="AS24" s="20"/>
      <c r="AT24" s="20"/>
      <c r="AU24" s="20"/>
      <c r="AV24" s="20"/>
      <c r="AW24" s="21"/>
      <c r="AX24" s="21"/>
      <c r="AY24" s="21"/>
      <c r="AZ24" s="21"/>
      <c r="BA24" s="21"/>
      <c r="BB24" s="21"/>
      <c r="BC24" s="26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>
        <f>SUM(E24:BO24)</f>
        <v>5</v>
      </c>
      <c r="BQ24" s="18">
        <v>5</v>
      </c>
      <c r="BR24" s="22">
        <v>1</v>
      </c>
      <c r="BS24" s="22" t="s">
        <v>240</v>
      </c>
      <c r="BT24" s="18" t="str">
        <f>IF(AQ24&gt;AQ$118, AQ24-AQ$118,"")</f>
        <v/>
      </c>
      <c r="BU24" s="18" t="str">
        <f>IF(AR24&gt;AR$118, AR24-AR$118,"")</f>
        <v/>
      </c>
      <c r="BV24" s="18" t="str">
        <f>IF(AS24&gt;AS$118, AS24-AS$118,"")</f>
        <v/>
      </c>
      <c r="BW24" s="18" t="str">
        <f>IF(AT24&gt;AT$118, AT24-AT$118,"")</f>
        <v/>
      </c>
      <c r="BX24" s="18" t="str">
        <f>IF(AU24&gt;AU$118, AU24-AU$118,"")</f>
        <v/>
      </c>
      <c r="BY24" s="18" t="str">
        <f>IF(AV24&gt;AV$118, AV24-AV$118,"")</f>
        <v/>
      </c>
      <c r="BZ24" s="18" t="str">
        <f>IF(AW24&gt;AW$118, AW24-AW$118,"")</f>
        <v/>
      </c>
      <c r="CA24" s="18" t="str">
        <f>IF(AX24&gt;AX$118, AX24-AX$118,"")</f>
        <v/>
      </c>
      <c r="CB24" s="18" t="str">
        <f>IF(AY24&gt;AY$118, AY24-AY$118,"")</f>
        <v/>
      </c>
      <c r="CC24" s="18" t="str">
        <f>IF(AZ24&gt;AZ$118, AZ24-AZ$118,"")</f>
        <v/>
      </c>
      <c r="CD24" s="18" t="str">
        <f>IF(BA24&gt;BA$118, BA24-BA$118,"")</f>
        <v/>
      </c>
      <c r="CE24" s="18" t="str">
        <f>IF(BB24&gt;BB$118, BB24-BB$118,"")</f>
        <v/>
      </c>
      <c r="CF24" s="18">
        <f>COUNTIF(BT24:CE24, "&gt;0")</f>
        <v>0</v>
      </c>
      <c r="CG24" s="18" t="str">
        <f>IF($CF24=1,BT24,"")</f>
        <v/>
      </c>
      <c r="CH24" s="18" t="str">
        <f>IF($CF24=1,BU24,"")</f>
        <v/>
      </c>
      <c r="CI24" s="18" t="str">
        <f>IF($CF24=1,BV24,"")</f>
        <v/>
      </c>
      <c r="CJ24" s="18" t="str">
        <f>IF($CF24=1,BW24,"")</f>
        <v/>
      </c>
      <c r="CK24" s="18" t="str">
        <f>IF($CF24=1,BX24,"")</f>
        <v/>
      </c>
      <c r="CL24" s="18" t="str">
        <f>IF($CF24=1,BY24,"")</f>
        <v/>
      </c>
      <c r="CM24" s="18" t="str">
        <f>IF($CF24=1,BZ24,"")</f>
        <v/>
      </c>
      <c r="CN24" s="18" t="str">
        <f>IF($CF24=1,CA24,"")</f>
        <v/>
      </c>
      <c r="CO24" s="18" t="str">
        <f>IF($CF24=1,CB24,"")</f>
        <v/>
      </c>
      <c r="CP24" s="18" t="str">
        <f>IF($CF24=1,CC24,"")</f>
        <v/>
      </c>
      <c r="CQ24" s="18" t="str">
        <f>IF($CF24=1,CD24,"")</f>
        <v/>
      </c>
      <c r="CR24" s="18" t="str">
        <f>IF($CF24=1,CE24,"")</f>
        <v/>
      </c>
      <c r="CS24" s="30">
        <f>SUM(AE24:BO24)</f>
        <v>5</v>
      </c>
    </row>
    <row r="25" spans="1:97" x14ac:dyDescent="0.15">
      <c r="A25" s="18">
        <v>63</v>
      </c>
      <c r="B25" s="30" t="s">
        <v>54</v>
      </c>
      <c r="C25" s="18" t="s">
        <v>49</v>
      </c>
      <c r="D25" s="18" t="s">
        <v>21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/>
      <c r="AI25" s="18"/>
      <c r="AJ25" s="18"/>
      <c r="AK25" s="18"/>
      <c r="AL25" s="18"/>
      <c r="AM25" s="18"/>
      <c r="AN25" s="18">
        <v>5</v>
      </c>
      <c r="AO25" s="18"/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5</v>
      </c>
      <c r="BQ25" s="18">
        <v>5</v>
      </c>
      <c r="BR25" s="22">
        <v>1</v>
      </c>
      <c r="BS25" s="22" t="s">
        <v>222</v>
      </c>
      <c r="BT25" s="18" t="str">
        <f>IF(AQ25&gt;AQ$118, AQ25-AQ$118,"")</f>
        <v/>
      </c>
      <c r="BU25" s="18" t="str">
        <f>IF(AR25&gt;AR$118, AR25-AR$118,"")</f>
        <v/>
      </c>
      <c r="BV25" s="18" t="str">
        <f>IF(AS25&gt;AS$118, AS25-AS$118,"")</f>
        <v/>
      </c>
      <c r="BW25" s="18" t="str">
        <f>IF(AT25&gt;AT$118, AT25-AT$118,"")</f>
        <v/>
      </c>
      <c r="BX25" s="18" t="str">
        <f>IF(AU25&gt;AU$118, AU25-AU$118,"")</f>
        <v/>
      </c>
      <c r="BY25" s="18" t="str">
        <f>IF(AV25&gt;AV$118, AV25-AV$118,"")</f>
        <v/>
      </c>
      <c r="BZ25" s="18" t="str">
        <f>IF(AW25&gt;AW$118, AW25-AW$118,"")</f>
        <v/>
      </c>
      <c r="CA25" s="18" t="str">
        <f>IF(AX25&gt;AX$118, AX25-AX$118,"")</f>
        <v/>
      </c>
      <c r="CB25" s="18" t="str">
        <f>IF(AY25&gt;AY$118, AY25-AY$118,"")</f>
        <v/>
      </c>
      <c r="CC25" s="18" t="str">
        <f>IF(AZ25&gt;AZ$118, AZ25-AZ$118,"")</f>
        <v/>
      </c>
      <c r="CD25" s="18" t="str">
        <f>IF(BA25&gt;BA$118, BA25-BA$118,"")</f>
        <v/>
      </c>
      <c r="CE25" s="18" t="str">
        <f>IF(BB25&gt;BB$118, BB25-BB$118,"")</f>
        <v/>
      </c>
      <c r="CF25" s="18">
        <f>COUNTIF(BT25:CE25, "&gt;0")</f>
        <v>0</v>
      </c>
      <c r="CG25" s="18" t="str">
        <f>IF($CF25=1,BT25,"")</f>
        <v/>
      </c>
      <c r="CH25" s="18" t="str">
        <f>IF($CF25=1,BU25,"")</f>
        <v/>
      </c>
      <c r="CI25" s="18" t="str">
        <f>IF($CF25=1,BV25,"")</f>
        <v/>
      </c>
      <c r="CJ25" s="18" t="str">
        <f>IF($CF25=1,BW25,"")</f>
        <v/>
      </c>
      <c r="CK25" s="18" t="str">
        <f>IF($CF25=1,BX25,"")</f>
        <v/>
      </c>
      <c r="CL25" s="18" t="str">
        <f>IF($CF25=1,BY25,"")</f>
        <v/>
      </c>
      <c r="CM25" s="18" t="str">
        <f>IF($CF25=1,BZ25,"")</f>
        <v/>
      </c>
      <c r="CN25" s="18" t="str">
        <f>IF($CF25=1,CA25,"")</f>
        <v/>
      </c>
      <c r="CO25" s="18" t="str">
        <f>IF($CF25=1,CB25,"")</f>
        <v/>
      </c>
      <c r="CP25" s="18" t="str">
        <f>IF($CF25=1,CC25,"")</f>
        <v/>
      </c>
      <c r="CQ25" s="18" t="str">
        <f>IF($CF25=1,CD25,"")</f>
        <v/>
      </c>
      <c r="CR25" s="18" t="str">
        <f>IF($CF25=1,CE25,"")</f>
        <v/>
      </c>
      <c r="CS25" s="30">
        <f>SUM(AE25:BO25)</f>
        <v>5</v>
      </c>
    </row>
    <row r="26" spans="1:97" x14ac:dyDescent="0.15">
      <c r="A26" s="18">
        <v>90</v>
      </c>
      <c r="B26" s="30" t="s">
        <v>72</v>
      </c>
      <c r="C26" s="30" t="s">
        <v>71</v>
      </c>
      <c r="D26" s="18" t="s">
        <v>21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18"/>
      <c r="AF26" s="18"/>
      <c r="AG26" s="18"/>
      <c r="AH26" s="18"/>
      <c r="AI26" s="18"/>
      <c r="AJ26" s="18"/>
      <c r="AK26" s="18"/>
      <c r="AL26" s="18"/>
      <c r="AM26" s="18"/>
      <c r="AN26" s="18">
        <v>5</v>
      </c>
      <c r="AO26" s="18"/>
      <c r="AP26" s="18"/>
      <c r="AQ26" s="20"/>
      <c r="AR26" s="20"/>
      <c r="AS26" s="20"/>
      <c r="AT26" s="20"/>
      <c r="AU26" s="20"/>
      <c r="AV26" s="20"/>
      <c r="AW26" s="21"/>
      <c r="AX26" s="21"/>
      <c r="AY26" s="21"/>
      <c r="AZ26" s="21"/>
      <c r="BA26" s="21"/>
      <c r="BB26" s="21"/>
      <c r="BC26" s="26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>
        <f>SUM(E26:BO26)</f>
        <v>5</v>
      </c>
      <c r="BQ26" s="18">
        <v>5</v>
      </c>
      <c r="BR26" s="22">
        <v>1</v>
      </c>
      <c r="BS26" s="22" t="s">
        <v>222</v>
      </c>
      <c r="BT26" s="18" t="str">
        <f>IF(AQ26&gt;AQ$118, AQ26-AQ$118,"")</f>
        <v/>
      </c>
      <c r="BU26" s="18" t="str">
        <f>IF(AR26&gt;AR$118, AR26-AR$118,"")</f>
        <v/>
      </c>
      <c r="BV26" s="18" t="str">
        <f>IF(AS26&gt;AS$118, AS26-AS$118,"")</f>
        <v/>
      </c>
      <c r="BW26" s="18" t="str">
        <f>IF(AT26&gt;AT$118, AT26-AT$118,"")</f>
        <v/>
      </c>
      <c r="BX26" s="18" t="str">
        <f>IF(AU26&gt;AU$118, AU26-AU$118,"")</f>
        <v/>
      </c>
      <c r="BY26" s="18" t="str">
        <f>IF(AV26&gt;AV$118, AV26-AV$118,"")</f>
        <v/>
      </c>
      <c r="BZ26" s="18" t="str">
        <f>IF(AW26&gt;AW$118, AW26-AW$118,"")</f>
        <v/>
      </c>
      <c r="CA26" s="18" t="str">
        <f>IF(AX26&gt;AX$118, AX26-AX$118,"")</f>
        <v/>
      </c>
      <c r="CB26" s="18" t="str">
        <f>IF(AY26&gt;AY$118, AY26-AY$118,"")</f>
        <v/>
      </c>
      <c r="CC26" s="18" t="str">
        <f>IF(AZ26&gt;AZ$118, AZ26-AZ$118,"")</f>
        <v/>
      </c>
      <c r="CD26" s="18" t="str">
        <f>IF(BA26&gt;BA$118, BA26-BA$118,"")</f>
        <v/>
      </c>
      <c r="CE26" s="18" t="str">
        <f>IF(BB26&gt;BB$118, BB26-BB$118,"")</f>
        <v/>
      </c>
      <c r="CF26" s="18">
        <f>COUNTIF(BT26:CE26, "&gt;0")</f>
        <v>0</v>
      </c>
      <c r="CG26" s="18" t="str">
        <f>IF($CF26=1,BT26,"")</f>
        <v/>
      </c>
      <c r="CH26" s="18" t="str">
        <f>IF($CF26=1,BU26,"")</f>
        <v/>
      </c>
      <c r="CI26" s="18" t="str">
        <f>IF($CF26=1,BV26,"")</f>
        <v/>
      </c>
      <c r="CJ26" s="18" t="str">
        <f>IF($CF26=1,BW26,"")</f>
        <v/>
      </c>
      <c r="CK26" s="18" t="str">
        <f>IF($CF26=1,BX26,"")</f>
        <v/>
      </c>
      <c r="CL26" s="18" t="str">
        <f>IF($CF26=1,BY26,"")</f>
        <v/>
      </c>
      <c r="CM26" s="18" t="str">
        <f>IF($CF26=1,BZ26,"")</f>
        <v/>
      </c>
      <c r="CN26" s="18" t="str">
        <f>IF($CF26=1,CA26,"")</f>
        <v/>
      </c>
      <c r="CO26" s="18" t="str">
        <f>IF($CF26=1,CB26,"")</f>
        <v/>
      </c>
      <c r="CP26" s="18" t="str">
        <f>IF($CF26=1,CC26,"")</f>
        <v/>
      </c>
      <c r="CQ26" s="18" t="str">
        <f>IF($CF26=1,CD26,"")</f>
        <v/>
      </c>
      <c r="CR26" s="18" t="str">
        <f>IF($CF26=1,CE26,"")</f>
        <v/>
      </c>
      <c r="CS26" s="30">
        <f>SUM(AE26:BO26)</f>
        <v>5</v>
      </c>
    </row>
    <row r="27" spans="1:97" x14ac:dyDescent="0.15">
      <c r="A27" s="18"/>
      <c r="B27" s="18" t="s">
        <v>106</v>
      </c>
      <c r="C27" s="18" t="s">
        <v>104</v>
      </c>
      <c r="D27" s="18" t="s">
        <v>100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18"/>
      <c r="AF27" s="18"/>
      <c r="AG27" s="18"/>
      <c r="AH27" s="18">
        <v>5</v>
      </c>
      <c r="AI27" s="18"/>
      <c r="AJ27" s="18"/>
      <c r="AK27" s="18"/>
      <c r="AL27" s="18"/>
      <c r="AM27" s="18"/>
      <c r="AN27" s="18"/>
      <c r="AO27" s="18"/>
      <c r="AP27" s="18"/>
      <c r="AQ27" s="20"/>
      <c r="AR27" s="20"/>
      <c r="AS27" s="20"/>
      <c r="AT27" s="20"/>
      <c r="AU27" s="20"/>
      <c r="AV27" s="20"/>
      <c r="AW27" s="21"/>
      <c r="AX27" s="21"/>
      <c r="AY27" s="21"/>
      <c r="AZ27" s="21"/>
      <c r="BA27" s="21"/>
      <c r="BB27" s="21"/>
      <c r="BC27" s="26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>
        <f>SUM(E27:BO27)</f>
        <v>5</v>
      </c>
      <c r="BQ27" s="18">
        <v>5</v>
      </c>
      <c r="BR27" s="22">
        <v>1</v>
      </c>
      <c r="BS27" s="22" t="s">
        <v>241</v>
      </c>
      <c r="BT27" s="18" t="str">
        <f>IF(AQ27&gt;AQ$118, AQ27-AQ$118,"")</f>
        <v/>
      </c>
      <c r="BU27" s="18" t="str">
        <f>IF(AR27&gt;AR$118, AR27-AR$118,"")</f>
        <v/>
      </c>
      <c r="BV27" s="18" t="str">
        <f>IF(AS27&gt;AS$118, AS27-AS$118,"")</f>
        <v/>
      </c>
      <c r="BW27" s="18" t="str">
        <f>IF(AT27&gt;AT$118, AT27-AT$118,"")</f>
        <v/>
      </c>
      <c r="BX27" s="18" t="str">
        <f>IF(AU27&gt;AU$118, AU27-AU$118,"")</f>
        <v/>
      </c>
      <c r="BY27" s="18" t="str">
        <f>IF(AV27&gt;AV$118, AV27-AV$118,"")</f>
        <v/>
      </c>
      <c r="BZ27" s="18" t="str">
        <f>IF(AW27&gt;AW$118, AW27-AW$118,"")</f>
        <v/>
      </c>
      <c r="CA27" s="18" t="str">
        <f>IF(AX27&gt;AX$118, AX27-AX$118,"")</f>
        <v/>
      </c>
      <c r="CB27" s="18" t="str">
        <f>IF(AY27&gt;AY$118, AY27-AY$118,"")</f>
        <v/>
      </c>
      <c r="CC27" s="18" t="str">
        <f>IF(AZ27&gt;AZ$118, AZ27-AZ$118,"")</f>
        <v/>
      </c>
      <c r="CD27" s="18" t="str">
        <f>IF(BA27&gt;BA$118, BA27-BA$118,"")</f>
        <v/>
      </c>
      <c r="CE27" s="18" t="str">
        <f>IF(BB27&gt;BB$118, BB27-BB$118,"")</f>
        <v/>
      </c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30"/>
    </row>
    <row r="28" spans="1:97" x14ac:dyDescent="0.15">
      <c r="A28" s="18"/>
      <c r="B28" s="18" t="s">
        <v>106</v>
      </c>
      <c r="C28" s="18" t="s">
        <v>104</v>
      </c>
      <c r="D28" s="18" t="s">
        <v>94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/>
      <c r="AG28" s="18"/>
      <c r="AH28" s="18"/>
      <c r="AI28" s="18">
        <v>5</v>
      </c>
      <c r="AJ28" s="18"/>
      <c r="AK28" s="18"/>
      <c r="AL28" s="18"/>
      <c r="AM28" s="18"/>
      <c r="AN28" s="18"/>
      <c r="AO28" s="18"/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>
        <f>SUM(E28:BO28)</f>
        <v>5</v>
      </c>
      <c r="BQ28" s="18">
        <v>5</v>
      </c>
      <c r="BR28" s="22">
        <v>1</v>
      </c>
      <c r="BS28" s="22" t="s">
        <v>239</v>
      </c>
      <c r="BT28" s="18" t="str">
        <f>IF(AQ28&gt;AQ$118, AQ28-AQ$118,"")</f>
        <v/>
      </c>
      <c r="BU28" s="18" t="str">
        <f>IF(AR28&gt;AR$118, AR28-AR$118,"")</f>
        <v/>
      </c>
      <c r="BV28" s="18" t="str">
        <f>IF(AS28&gt;AS$118, AS28-AS$118,"")</f>
        <v/>
      </c>
      <c r="BW28" s="18" t="str">
        <f>IF(AT28&gt;AT$118, AT28-AT$118,"")</f>
        <v/>
      </c>
      <c r="BX28" s="18" t="str">
        <f>IF(AU28&gt;AU$118, AU28-AU$118,"")</f>
        <v/>
      </c>
      <c r="BY28" s="18" t="str">
        <f>IF(AV28&gt;AV$118, AV28-AV$118,"")</f>
        <v/>
      </c>
      <c r="BZ28" s="18" t="str">
        <f>IF(AW28&gt;AW$118, AW28-AW$118,"")</f>
        <v/>
      </c>
      <c r="CA28" s="18" t="str">
        <f>IF(AX28&gt;AX$118, AX28-AX$118,"")</f>
        <v/>
      </c>
      <c r="CB28" s="18" t="str">
        <f>IF(AY28&gt;AY$118, AY28-AY$118,"")</f>
        <v/>
      </c>
      <c r="CC28" s="18" t="str">
        <f>IF(AZ28&gt;AZ$118, AZ28-AZ$118,"")</f>
        <v/>
      </c>
      <c r="CD28" s="18" t="str">
        <f>IF(BA28&gt;BA$118, BA28-BA$118,"")</f>
        <v/>
      </c>
      <c r="CE28" s="18" t="str">
        <f>IF(BB28&gt;BB$118, BB28-BB$118,"")</f>
        <v/>
      </c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30"/>
    </row>
    <row r="29" spans="1:97" x14ac:dyDescent="0.15">
      <c r="A29" s="1"/>
      <c r="B29" s="1" t="s">
        <v>175</v>
      </c>
      <c r="C29" s="1" t="s">
        <v>96</v>
      </c>
      <c r="D29" s="1" t="s">
        <v>94</v>
      </c>
      <c r="E29" s="6">
        <v>6</v>
      </c>
      <c r="F29" s="6">
        <v>6</v>
      </c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>
        <v>10</v>
      </c>
      <c r="AT29" s="4"/>
      <c r="AU29" s="4"/>
      <c r="AV29" s="4"/>
      <c r="AW29" s="2"/>
      <c r="AX29" s="2">
        <v>10</v>
      </c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32</v>
      </c>
      <c r="BQ29" s="1">
        <v>5</v>
      </c>
      <c r="BR29" s="17">
        <v>1</v>
      </c>
      <c r="BS29" s="17" t="s">
        <v>246</v>
      </c>
      <c r="BT29" s="1" t="str">
        <f>IF(AQ29&gt;AQ$118, AQ29-AQ$118,"")</f>
        <v/>
      </c>
      <c r="BU29" s="1" t="str">
        <f>IF(AR29&gt;AR$118, AR29-AR$118,"")</f>
        <v/>
      </c>
      <c r="BV29" s="1" t="str">
        <f>IF(AS29&gt;AS$118, AS29-AS$118,"")</f>
        <v/>
      </c>
      <c r="BW29" s="1" t="str">
        <f>IF(AT29&gt;AT$118, AT29-AT$118,"")</f>
        <v/>
      </c>
      <c r="BX29" s="1" t="str">
        <f>IF(AU29&gt;AU$118, AU29-AU$118,"")</f>
        <v/>
      </c>
      <c r="BY29" s="1" t="str">
        <f>IF(AV29&gt;AV$118, AV29-AV$118,"")</f>
        <v/>
      </c>
      <c r="BZ29" s="1" t="str">
        <f>IF(AW29&gt;AW$118, AW29-AW$118,"")</f>
        <v/>
      </c>
      <c r="CA29" s="1" t="str">
        <f>IF(AX29&gt;AX$118, AX29-AX$118,"")</f>
        <v/>
      </c>
      <c r="CB29" s="1" t="str">
        <f>IF(AY29&gt;AY$118, AY29-AY$118,"")</f>
        <v/>
      </c>
      <c r="CC29" s="1" t="str">
        <f>IF(AZ29&gt;AZ$118, AZ29-AZ$118,"")</f>
        <v/>
      </c>
      <c r="CD29" s="1" t="str">
        <f>IF(BA29&gt;BA$118, BA29-BA$118,"")</f>
        <v/>
      </c>
      <c r="CE29" s="1" t="str">
        <f>IF(BB29&gt;BB$118, BB29-BB$118,"")</f>
        <v/>
      </c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3"/>
    </row>
    <row r="30" spans="1:97" x14ac:dyDescent="0.15">
      <c r="A30" s="1"/>
      <c r="B30" s="1" t="s">
        <v>174</v>
      </c>
      <c r="C30" s="1" t="s">
        <v>107</v>
      </c>
      <c r="D30" s="1" t="s">
        <v>93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>
        <v>10</v>
      </c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20</v>
      </c>
      <c r="BQ30" s="1">
        <v>6</v>
      </c>
      <c r="BR30" s="17">
        <v>1</v>
      </c>
      <c r="BS30" s="17" t="s">
        <v>247</v>
      </c>
      <c r="BT30" s="1" t="str">
        <f>IF(AQ30&gt;AQ$118, AQ30-AQ$118,"")</f>
        <v/>
      </c>
      <c r="BU30" s="1" t="str">
        <f>IF(AR30&gt;AR$118, AR30-AR$118,"")</f>
        <v/>
      </c>
      <c r="BV30" s="1" t="str">
        <f>IF(AS30&gt;AS$118, AS30-AS$118,"")</f>
        <v/>
      </c>
      <c r="BW30" s="1" t="str">
        <f>IF(AT30&gt;AT$118, AT30-AT$118,"")</f>
        <v/>
      </c>
      <c r="BX30" s="1" t="str">
        <f>IF(AU30&gt;AU$118, AU30-AU$118,"")</f>
        <v/>
      </c>
      <c r="BY30" s="1" t="str">
        <f>IF(AV30&gt;AV$118, AV30-AV$118,"")</f>
        <v/>
      </c>
      <c r="BZ30" s="1" t="str">
        <f>IF(AW30&gt;AW$118, AW30-AW$118,"")</f>
        <v/>
      </c>
      <c r="CA30" s="1" t="str">
        <f>IF(AX30&gt;AX$118, AX30-AX$118,"")</f>
        <v/>
      </c>
      <c r="CB30" s="1" t="str">
        <f>IF(AY30&gt;AY$118, AY30-AY$118,"")</f>
        <v/>
      </c>
      <c r="CC30" s="1" t="str">
        <f>IF(AZ30&gt;AZ$118, AZ30-AZ$118,"")</f>
        <v/>
      </c>
      <c r="CD30" s="1" t="str">
        <f>IF(BA30&gt;BA$118, BA30-BA$118,"")</f>
        <v/>
      </c>
      <c r="CE30" s="1" t="str">
        <f>IF(BB30&gt;BB$118, BB30-BB$118,"")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x14ac:dyDescent="0.15">
      <c r="A31" s="1"/>
      <c r="B31" s="1" t="s">
        <v>204</v>
      </c>
      <c r="C31" s="1" t="s">
        <v>205</v>
      </c>
      <c r="D31" s="1" t="s">
        <v>206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>
        <v>15</v>
      </c>
      <c r="AV31" s="4"/>
      <c r="AW31" s="2"/>
      <c r="AX31" s="2"/>
      <c r="AY31" s="2">
        <v>15</v>
      </c>
      <c r="AZ31" s="2"/>
      <c r="BA31" s="2">
        <v>10</v>
      </c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6</v>
      </c>
      <c r="BR31" s="17">
        <v>1</v>
      </c>
      <c r="BS31" s="17" t="s">
        <v>248</v>
      </c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3"/>
    </row>
    <row r="32" spans="1:97" x14ac:dyDescent="0.15">
      <c r="A32" s="1"/>
      <c r="B32" s="1" t="s">
        <v>156</v>
      </c>
      <c r="C32" s="1" t="s">
        <v>139</v>
      </c>
      <c r="D32" s="1" t="s">
        <v>112</v>
      </c>
      <c r="E32" s="6"/>
      <c r="F32" s="6"/>
      <c r="G32" s="6"/>
      <c r="H32" s="6"/>
      <c r="I32" s="6"/>
      <c r="J32" s="6"/>
      <c r="K32" s="6"/>
      <c r="L32" s="6">
        <v>6</v>
      </c>
      <c r="M32" s="6"/>
      <c r="N32" s="6"/>
      <c r="O32" s="6">
        <v>6</v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>
        <v>10</v>
      </c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32</v>
      </c>
      <c r="BQ32" s="1">
        <v>6</v>
      </c>
      <c r="BR32" s="17">
        <v>1</v>
      </c>
      <c r="BS32" s="17" t="s">
        <v>247</v>
      </c>
      <c r="BT32" s="1" t="str">
        <f>IF(AQ32&gt;AQ$118, AQ32-AQ$118,"")</f>
        <v/>
      </c>
      <c r="BU32" s="1" t="str">
        <f>IF(AR32&gt;AR$118, AR32-AR$118,"")</f>
        <v/>
      </c>
      <c r="BV32" s="1" t="str">
        <f>IF(AS32&gt;AS$118, AS32-AS$118,"")</f>
        <v/>
      </c>
      <c r="BW32" s="1" t="str">
        <f>IF(AT32&gt;AT$118, AT32-AT$118,"")</f>
        <v/>
      </c>
      <c r="BX32" s="1" t="str">
        <f>IF(AU32&gt;AU$118, AU32-AU$118,"")</f>
        <v/>
      </c>
      <c r="BY32" s="1" t="str">
        <f>IF(AV32&gt;AV$118, AV32-AV$118,"")</f>
        <v/>
      </c>
      <c r="BZ32" s="1" t="str">
        <f>IF(AW32&gt;AW$118, AW32-AW$118,"")</f>
        <v/>
      </c>
      <c r="CA32" s="1" t="str">
        <f>IF(AX32&gt;AX$118, AX32-AX$118,"")</f>
        <v/>
      </c>
      <c r="CB32" s="1" t="str">
        <f>IF(AY32&gt;AY$118, AY32-AY$118,"")</f>
        <v/>
      </c>
      <c r="CC32" s="1" t="str">
        <f>IF(AZ32&gt;AZ$118, AZ32-AZ$118,"")</f>
        <v/>
      </c>
      <c r="CD32" s="1" t="str">
        <f>IF(BA32&gt;BA$118, BA32-BA$118,"")</f>
        <v/>
      </c>
      <c r="CE32" s="1" t="str">
        <f>IF(BB32&gt;BB$118, BB32-BB$118,"")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>
        <v>81</v>
      </c>
      <c r="B33" s="3" t="s">
        <v>58</v>
      </c>
      <c r="C33" s="3" t="s">
        <v>56</v>
      </c>
      <c r="D33" s="1" t="s">
        <v>12</v>
      </c>
      <c r="E33" s="6"/>
      <c r="F33" s="6"/>
      <c r="G33" s="6"/>
      <c r="H33" s="6"/>
      <c r="I33" s="6"/>
      <c r="J33" s="6"/>
      <c r="K33" s="6"/>
      <c r="L33" s="6">
        <v>6</v>
      </c>
      <c r="M33" s="6"/>
      <c r="N33" s="6"/>
      <c r="O33" s="6">
        <v>6</v>
      </c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>
        <v>10</v>
      </c>
      <c r="AU33" s="4"/>
      <c r="AV33" s="4"/>
      <c r="AW33" s="2"/>
      <c r="AX33" s="2"/>
      <c r="AY33" s="2"/>
      <c r="AZ33" s="2"/>
      <c r="BA33" s="2">
        <v>10</v>
      </c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32</v>
      </c>
      <c r="BQ33" s="1">
        <v>6</v>
      </c>
      <c r="BR33" s="17">
        <v>1</v>
      </c>
      <c r="BS33" s="17" t="s">
        <v>247</v>
      </c>
      <c r="BT33" s="1" t="str">
        <f>IF(AQ33&gt;AQ$118, AQ33-AQ$118,"")</f>
        <v/>
      </c>
      <c r="BU33" s="1" t="str">
        <f>IF(AR33&gt;AR$118, AR33-AR$118,"")</f>
        <v/>
      </c>
      <c r="BV33" s="1" t="str">
        <f>IF(AS33&gt;AS$118, AS33-AS$118,"")</f>
        <v/>
      </c>
      <c r="BW33" s="1" t="str">
        <f>IF(AT33&gt;AT$118, AT33-AT$118,"")</f>
        <v/>
      </c>
      <c r="BX33" s="1" t="str">
        <f>IF(AU33&gt;AU$118, AU33-AU$118,"")</f>
        <v/>
      </c>
      <c r="BY33" s="1" t="str">
        <f>IF(AV33&gt;AV$118, AV33-AV$118,"")</f>
        <v/>
      </c>
      <c r="BZ33" s="1" t="str">
        <f>IF(AW33&gt;AW$118, AW33-AW$118,"")</f>
        <v/>
      </c>
      <c r="CA33" s="1" t="str">
        <f>IF(AX33&gt;AX$118, AX33-AX$118,"")</f>
        <v/>
      </c>
      <c r="CB33" s="1" t="str">
        <f>IF(AY33&gt;AY$118, AY33-AY$118,"")</f>
        <v/>
      </c>
      <c r="CC33" s="1" t="str">
        <f>IF(AZ33&gt;AZ$118, AZ33-AZ$118,"")</f>
        <v/>
      </c>
      <c r="CD33" s="1" t="str">
        <f>IF(BA33&gt;BA$118, BA33-BA$118,"")</f>
        <v/>
      </c>
      <c r="CE33" s="1" t="str">
        <f>IF(BB33&gt;BB$118, BB33-BB$118,"")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20</v>
      </c>
    </row>
    <row r="34" spans="1:97" x14ac:dyDescent="0.15">
      <c r="A34" s="1">
        <v>72</v>
      </c>
      <c r="B34" s="3" t="s">
        <v>81</v>
      </c>
      <c r="C34" s="1" t="s">
        <v>49</v>
      </c>
      <c r="D34" s="1" t="s">
        <v>12</v>
      </c>
      <c r="E34" s="6"/>
      <c r="F34" s="6"/>
      <c r="G34" s="6"/>
      <c r="H34" s="6"/>
      <c r="I34" s="6"/>
      <c r="J34" s="6"/>
      <c r="K34" s="6"/>
      <c r="L34" s="6">
        <v>6</v>
      </c>
      <c r="M34" s="6">
        <v>6</v>
      </c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>
        <v>10</v>
      </c>
      <c r="AW34" s="2"/>
      <c r="AX34" s="2"/>
      <c r="AY34" s="2"/>
      <c r="AZ34" s="2"/>
      <c r="BA34" s="2">
        <v>10</v>
      </c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32</v>
      </c>
      <c r="BQ34" s="1">
        <v>6</v>
      </c>
      <c r="BR34" s="17">
        <v>1</v>
      </c>
      <c r="BS34" s="17" t="s">
        <v>248</v>
      </c>
      <c r="BT34" s="1" t="str">
        <f>IF(AQ34&gt;AQ$118, AQ34-AQ$118,"")</f>
        <v/>
      </c>
      <c r="BU34" s="1" t="str">
        <f>IF(AR34&gt;AR$118, AR34-AR$118,"")</f>
        <v/>
      </c>
      <c r="BV34" s="1" t="str">
        <f>IF(AS34&gt;AS$118, AS34-AS$118,"")</f>
        <v/>
      </c>
      <c r="BW34" s="1" t="str">
        <f>IF(AT34&gt;AT$118, AT34-AT$118,"")</f>
        <v/>
      </c>
      <c r="BX34" s="1" t="str">
        <f>IF(AU34&gt;AU$118, AU34-AU$118,"")</f>
        <v/>
      </c>
      <c r="BY34" s="1" t="str">
        <f>IF(AV34&gt;AV$118, AV34-AV$118,"")</f>
        <v/>
      </c>
      <c r="BZ34" s="1" t="str">
        <f>IF(AW34&gt;AW$118, AW34-AW$118,"")</f>
        <v/>
      </c>
      <c r="CA34" s="1" t="str">
        <f>IF(AX34&gt;AX$118, AX34-AX$118,"")</f>
        <v/>
      </c>
      <c r="CB34" s="1" t="str">
        <f>IF(AY34&gt;AY$118, AY34-AY$118,"")</f>
        <v/>
      </c>
      <c r="CC34" s="1" t="str">
        <f>IF(AZ34&gt;AZ$118, AZ34-AZ$118,"")</f>
        <v/>
      </c>
      <c r="CD34" s="1" t="str">
        <f>IF(BA34&gt;BA$118, BA34-BA$118,"")</f>
        <v/>
      </c>
      <c r="CE34" s="1" t="str">
        <f>IF(BB34&gt;BB$118, BB34-BB$118,"")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3">
        <f>SUM(AE34:BO34)</f>
        <v>20</v>
      </c>
    </row>
    <row r="35" spans="1:97" x14ac:dyDescent="0.15">
      <c r="A35" s="1"/>
      <c r="B35" s="1" t="s">
        <v>165</v>
      </c>
      <c r="C35" s="1" t="s">
        <v>132</v>
      </c>
      <c r="D35" s="1" t="s">
        <v>111</v>
      </c>
      <c r="E35" s="6"/>
      <c r="F35" s="6"/>
      <c r="G35" s="6"/>
      <c r="H35" s="6"/>
      <c r="I35" s="6"/>
      <c r="J35" s="6">
        <v>10</v>
      </c>
      <c r="K35" s="6"/>
      <c r="L35" s="6">
        <v>10</v>
      </c>
      <c r="M35" s="6">
        <v>10</v>
      </c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>
        <v>15</v>
      </c>
      <c r="AZ35" s="2">
        <v>15</v>
      </c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60</v>
      </c>
      <c r="BQ35" s="1">
        <v>6</v>
      </c>
      <c r="BR35" s="17">
        <v>1</v>
      </c>
      <c r="BS35" s="17" t="s">
        <v>249</v>
      </c>
      <c r="BT35" s="1" t="str">
        <f>IF(AQ35&gt;AQ$118, AQ35-AQ$118,"")</f>
        <v/>
      </c>
      <c r="BU35" s="1" t="str">
        <f>IF(AR35&gt;AR$118, AR35-AR$118,"")</f>
        <v/>
      </c>
      <c r="BV35" s="1" t="str">
        <f>IF(AS35&gt;AS$118, AS35-AS$118,"")</f>
        <v/>
      </c>
      <c r="BW35" s="1" t="str">
        <f>IF(AT35&gt;AT$118, AT35-AT$118,"")</f>
        <v/>
      </c>
      <c r="BX35" s="1" t="str">
        <f>IF(AU35&gt;AU$118, AU35-AU$118,"")</f>
        <v/>
      </c>
      <c r="BY35" s="1" t="str">
        <f>IF(AV35&gt;AV$118, AV35-AV$118,"")</f>
        <v/>
      </c>
      <c r="BZ35" s="1" t="str">
        <f>IF(AW35&gt;AW$118, AW35-AW$118,"")</f>
        <v/>
      </c>
      <c r="CA35" s="1" t="str">
        <f>IF(AX35&gt;AX$118, AX35-AX$118,"")</f>
        <v/>
      </c>
      <c r="CB35" s="1" t="str">
        <f>IF(AY35&gt;AY$118, AY35-AY$118,"")</f>
        <v/>
      </c>
      <c r="CC35" s="1" t="str">
        <f>IF(AZ35&gt;AZ$118, AZ35-AZ$118,"")</f>
        <v/>
      </c>
      <c r="CD35" s="1" t="str">
        <f>IF(BA35&gt;BA$118, BA35-BA$118,"")</f>
        <v/>
      </c>
      <c r="CE35" s="1" t="str">
        <f>IF(BB35&gt;BB$118, BB35-BB$118,"")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x14ac:dyDescent="0.15">
      <c r="A36" s="40">
        <v>3</v>
      </c>
      <c r="B36" s="40" t="s">
        <v>10</v>
      </c>
      <c r="C36" s="40" t="s">
        <v>2</v>
      </c>
      <c r="D36" s="40" t="s">
        <v>11</v>
      </c>
      <c r="E36" s="41">
        <v>15</v>
      </c>
      <c r="F36" s="41"/>
      <c r="G36" s="41">
        <v>15</v>
      </c>
      <c r="H36" s="41"/>
      <c r="I36" s="41"/>
      <c r="J36" s="41"/>
      <c r="K36" s="41"/>
      <c r="L36" s="41"/>
      <c r="M36" s="41"/>
      <c r="N36" s="41"/>
      <c r="O36" s="41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3"/>
      <c r="AR36" s="43">
        <v>15</v>
      </c>
      <c r="AS36" s="43"/>
      <c r="AT36" s="43"/>
      <c r="AU36" s="43"/>
      <c r="AV36" s="43"/>
      <c r="AW36" s="44"/>
      <c r="AX36" s="44"/>
      <c r="AY36" s="44"/>
      <c r="AZ36" s="44"/>
      <c r="BA36" s="44"/>
      <c r="BB36" s="44">
        <v>15</v>
      </c>
      <c r="BC36" s="45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>
        <f>SUM(E36:BO36)</f>
        <v>60</v>
      </c>
      <c r="BQ36" s="40">
        <v>8</v>
      </c>
      <c r="BR36" s="46">
        <v>1</v>
      </c>
      <c r="BS36" s="46" t="s">
        <v>250</v>
      </c>
      <c r="BT36" s="40" t="str">
        <f>IF(AQ36&gt;AQ$118, AQ36-AQ$118,"")</f>
        <v/>
      </c>
      <c r="BU36" s="40" t="str">
        <f>IF(AR36&gt;AR$118, AR36-AR$118,"")</f>
        <v/>
      </c>
      <c r="BV36" s="40" t="str">
        <f>IF(AS36&gt;AS$118, AS36-AS$118,"")</f>
        <v/>
      </c>
      <c r="BW36" s="40" t="str">
        <f>IF(AT36&gt;AT$118, AT36-AT$118,"")</f>
        <v/>
      </c>
      <c r="BX36" s="40" t="str">
        <f>IF(AU36&gt;AU$118, AU36-AU$118,"")</f>
        <v/>
      </c>
      <c r="BY36" s="40" t="str">
        <f>IF(AV36&gt;AV$118, AV36-AV$118,"")</f>
        <v/>
      </c>
      <c r="BZ36" s="40" t="str">
        <f>IF(AW36&gt;AW$118, AW36-AW$118,"")</f>
        <v/>
      </c>
      <c r="CA36" s="40" t="str">
        <f>IF(AX36&gt;AX$118, AX36-AX$118,"")</f>
        <v/>
      </c>
      <c r="CB36" s="40" t="str">
        <f>IF(AY36&gt;AY$118, AY36-AY$118,"")</f>
        <v/>
      </c>
      <c r="CC36" s="40" t="str">
        <f>IF(AZ36&gt;AZ$118, AZ36-AZ$118,"")</f>
        <v/>
      </c>
      <c r="CD36" s="40" t="str">
        <f>IF(BA36&gt;BA$118, BA36-BA$118,"")</f>
        <v/>
      </c>
      <c r="CE36" s="40" t="str">
        <f>IF(BB36&gt;BB$118, BB36-BB$118,"")</f>
        <v/>
      </c>
      <c r="CF36" s="40">
        <f>COUNTIF(BT36:CE36, "&gt;0")</f>
        <v>0</v>
      </c>
      <c r="CG36" s="40" t="str">
        <f>IF($CF36=1,BT36,"")</f>
        <v/>
      </c>
      <c r="CH36" s="40" t="str">
        <f>IF($CF36=1,BU36,"")</f>
        <v/>
      </c>
      <c r="CI36" s="40" t="str">
        <f>IF($CF36=1,BV36,"")</f>
        <v/>
      </c>
      <c r="CJ36" s="40" t="str">
        <f>IF($CF36=1,BW36,"")</f>
        <v/>
      </c>
      <c r="CK36" s="40" t="str">
        <f>IF($CF36=1,BX36,"")</f>
        <v/>
      </c>
      <c r="CL36" s="40" t="str">
        <f>IF($CF36=1,BY36,"")</f>
        <v/>
      </c>
      <c r="CM36" s="40" t="str">
        <f>IF($CF36=1,BZ36,"")</f>
        <v/>
      </c>
      <c r="CN36" s="40" t="str">
        <f>IF($CF36=1,CA36,"")</f>
        <v/>
      </c>
      <c r="CO36" s="40" t="str">
        <f>IF($CF36=1,CB36,"")</f>
        <v/>
      </c>
      <c r="CP36" s="40" t="str">
        <f>IF($CF36=1,CC36,"")</f>
        <v/>
      </c>
      <c r="CQ36" s="40" t="str">
        <f>IF($CF36=1,CD36,"")</f>
        <v/>
      </c>
      <c r="CR36" s="40" t="str">
        <f>IF($CF36=1,CE36,"")</f>
        <v/>
      </c>
      <c r="CS36" s="47">
        <f>SUM(AE36:BO36)</f>
        <v>30</v>
      </c>
    </row>
    <row r="37" spans="1:97" s="23" customFormat="1" x14ac:dyDescent="0.15">
      <c r="A37" s="1"/>
      <c r="B37" s="1" t="s">
        <v>158</v>
      </c>
      <c r="C37" s="1" t="s">
        <v>104</v>
      </c>
      <c r="D37" s="1" t="s">
        <v>93</v>
      </c>
      <c r="E37" s="6">
        <v>15</v>
      </c>
      <c r="F37" s="6"/>
      <c r="G37" s="6">
        <v>15</v>
      </c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>
        <v>15</v>
      </c>
      <c r="AS37" s="4"/>
      <c r="AT37" s="4"/>
      <c r="AU37" s="4"/>
      <c r="AV37" s="4"/>
      <c r="AW37" s="2"/>
      <c r="AX37" s="2"/>
      <c r="AY37" s="2"/>
      <c r="AZ37" s="2"/>
      <c r="BA37" s="2"/>
      <c r="BB37" s="2">
        <v>15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60</v>
      </c>
      <c r="BQ37" s="1">
        <v>8</v>
      </c>
      <c r="BR37" s="17">
        <v>1</v>
      </c>
      <c r="BS37" s="17" t="s">
        <v>250</v>
      </c>
      <c r="BT37" s="1" t="str">
        <f>IF(AQ37&gt;AQ$118, AQ37-AQ$118,"")</f>
        <v/>
      </c>
      <c r="BU37" s="1" t="str">
        <f>IF(AR37&gt;AR$118, AR37-AR$118,"")</f>
        <v/>
      </c>
      <c r="BV37" s="1" t="str">
        <f>IF(AS37&gt;AS$118, AS37-AS$118,"")</f>
        <v/>
      </c>
      <c r="BW37" s="1" t="str">
        <f>IF(AT37&gt;AT$118, AT37-AT$118,"")</f>
        <v/>
      </c>
      <c r="BX37" s="1" t="str">
        <f>IF(AU37&gt;AU$118, AU37-AU$118,"")</f>
        <v/>
      </c>
      <c r="BY37" s="1" t="str">
        <f>IF(AV37&gt;AV$118, AV37-AV$118,"")</f>
        <v/>
      </c>
      <c r="BZ37" s="1" t="str">
        <f>IF(AW37&gt;AW$118, AW37-AW$118,"")</f>
        <v/>
      </c>
      <c r="CA37" s="1" t="str">
        <f>IF(AX37&gt;AX$118, AX37-AX$118,"")</f>
        <v/>
      </c>
      <c r="CB37" s="1" t="str">
        <f>IF(AY37&gt;AY$118, AY37-AY$118,"")</f>
        <v/>
      </c>
      <c r="CC37" s="1" t="str">
        <f>IF(AZ37&gt;AZ$118, AZ37-AZ$118,"")</f>
        <v/>
      </c>
      <c r="CD37" s="1" t="str">
        <f>IF(BA37&gt;BA$118, BA37-BA$118,"")</f>
        <v/>
      </c>
      <c r="CE37" s="1" t="str">
        <f>IF(BB37&gt;BB$118, BB37-BB$118,"")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x14ac:dyDescent="0.15">
      <c r="A38" s="40"/>
      <c r="B38" s="40" t="s">
        <v>160</v>
      </c>
      <c r="C38" s="40" t="s">
        <v>104</v>
      </c>
      <c r="D38" s="40" t="s">
        <v>93</v>
      </c>
      <c r="E38" s="41">
        <v>15</v>
      </c>
      <c r="F38" s="41"/>
      <c r="G38" s="41">
        <v>15</v>
      </c>
      <c r="H38" s="41"/>
      <c r="I38" s="41"/>
      <c r="J38" s="41"/>
      <c r="K38" s="41"/>
      <c r="L38" s="41"/>
      <c r="M38" s="41"/>
      <c r="N38" s="41"/>
      <c r="O38" s="41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3"/>
      <c r="AR38" s="43">
        <v>15</v>
      </c>
      <c r="AS38" s="43"/>
      <c r="AT38" s="43"/>
      <c r="AU38" s="43"/>
      <c r="AV38" s="43"/>
      <c r="AW38" s="44"/>
      <c r="AX38" s="44"/>
      <c r="AY38" s="44"/>
      <c r="AZ38" s="44"/>
      <c r="BA38" s="44"/>
      <c r="BB38" s="44">
        <v>15</v>
      </c>
      <c r="BC38" s="45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>
        <f>SUM(E38:BO38)</f>
        <v>60</v>
      </c>
      <c r="BQ38" s="40">
        <v>8</v>
      </c>
      <c r="BR38" s="46">
        <v>1</v>
      </c>
      <c r="BS38" s="46" t="s">
        <v>251</v>
      </c>
      <c r="BT38" s="40" t="str">
        <f>IF(AQ38&gt;AQ$118, AQ38-AQ$118,"")</f>
        <v/>
      </c>
      <c r="BU38" s="40" t="str">
        <f>IF(AR38&gt;AR$118, AR38-AR$118,"")</f>
        <v/>
      </c>
      <c r="BV38" s="40" t="str">
        <f>IF(AS38&gt;AS$118, AS38-AS$118,"")</f>
        <v/>
      </c>
      <c r="BW38" s="40" t="str">
        <f>IF(AT38&gt;AT$118, AT38-AT$118,"")</f>
        <v/>
      </c>
      <c r="BX38" s="40" t="str">
        <f>IF(AU38&gt;AU$118, AU38-AU$118,"")</f>
        <v/>
      </c>
      <c r="BY38" s="40" t="str">
        <f>IF(AV38&gt;AV$118, AV38-AV$118,"")</f>
        <v/>
      </c>
      <c r="BZ38" s="40" t="str">
        <f>IF(AW38&gt;AW$118, AW38-AW$118,"")</f>
        <v/>
      </c>
      <c r="CA38" s="40" t="str">
        <f>IF(AX38&gt;AX$118, AX38-AX$118,"")</f>
        <v/>
      </c>
      <c r="CB38" s="40" t="str">
        <f>IF(AY38&gt;AY$118, AY38-AY$118,"")</f>
        <v/>
      </c>
      <c r="CC38" s="40" t="str">
        <f>IF(AZ38&gt;AZ$118, AZ38-AZ$118,"")</f>
        <v/>
      </c>
      <c r="CD38" s="40" t="str">
        <f>IF(BA38&gt;BA$118, BA38-BA$118,"")</f>
        <v/>
      </c>
      <c r="CE38" s="40" t="str">
        <f>IF(BB38&gt;BB$118, BB38-BB$118,"")</f>
        <v/>
      </c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7"/>
    </row>
    <row r="39" spans="1:97" x14ac:dyDescent="0.15">
      <c r="A39" s="1"/>
      <c r="B39" s="1" t="s">
        <v>171</v>
      </c>
      <c r="C39" s="1" t="s">
        <v>92</v>
      </c>
      <c r="D39" s="1" t="s">
        <v>94</v>
      </c>
      <c r="E39" s="6"/>
      <c r="F39" s="6"/>
      <c r="G39" s="6"/>
      <c r="H39" s="6">
        <v>6</v>
      </c>
      <c r="I39" s="6"/>
      <c r="J39" s="6"/>
      <c r="K39" s="6">
        <v>6</v>
      </c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>
        <v>10</v>
      </c>
      <c r="AR39" s="4"/>
      <c r="AS39" s="4"/>
      <c r="AT39" s="4"/>
      <c r="AU39" s="4"/>
      <c r="AV39" s="4"/>
      <c r="AW39" s="2">
        <v>10</v>
      </c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32</v>
      </c>
      <c r="BQ39" s="1">
        <v>10</v>
      </c>
      <c r="BR39" s="17">
        <v>1</v>
      </c>
      <c r="BS39" s="17" t="s">
        <v>232</v>
      </c>
      <c r="BT39" s="1" t="str">
        <f>IF(AQ39&gt;AQ$118, AQ39-AQ$118,"")</f>
        <v/>
      </c>
      <c r="BU39" s="1" t="str">
        <f>IF(AR39&gt;AR$118, AR39-AR$118,"")</f>
        <v/>
      </c>
      <c r="BV39" s="1" t="str">
        <f>IF(AS39&gt;AS$118, AS39-AS$118,"")</f>
        <v/>
      </c>
      <c r="BW39" s="1" t="str">
        <f>IF(AT39&gt;AT$118, AT39-AT$118,"")</f>
        <v/>
      </c>
      <c r="BX39" s="1" t="str">
        <f>IF(AU39&gt;AU$118, AU39-AU$118,"")</f>
        <v/>
      </c>
      <c r="BY39" s="1" t="str">
        <f>IF(AV39&gt;AV$118, AV39-AV$118,"")</f>
        <v/>
      </c>
      <c r="BZ39" s="1" t="str">
        <f>IF(AW39&gt;AW$118, AW39-AW$118,"")</f>
        <v/>
      </c>
      <c r="CA39" s="1" t="str">
        <f>IF(AX39&gt;AX$118, AX39-AX$118,"")</f>
        <v/>
      </c>
      <c r="CB39" s="1" t="str">
        <f>IF(AY39&gt;AY$118, AY39-AY$118,"")</f>
        <v/>
      </c>
      <c r="CC39" s="1" t="str">
        <f>IF(AZ39&gt;AZ$118, AZ39-AZ$118,"")</f>
        <v/>
      </c>
      <c r="CD39" s="1" t="str">
        <f>IF(BA39&gt;BA$118, BA39-BA$118,"")</f>
        <v/>
      </c>
      <c r="CE39" s="1" t="str">
        <f>IF(BB39&gt;BB$118, BB39-BB$118,"")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x14ac:dyDescent="0.15">
      <c r="A40" s="1">
        <v>39</v>
      </c>
      <c r="B40" s="1" t="s">
        <v>44</v>
      </c>
      <c r="C40" s="1" t="s">
        <v>41</v>
      </c>
      <c r="D40" s="1" t="s">
        <v>23</v>
      </c>
      <c r="E40" s="6"/>
      <c r="F40" s="6">
        <v>6</v>
      </c>
      <c r="G40" s="6"/>
      <c r="H40" s="6"/>
      <c r="I40" s="6"/>
      <c r="J40" s="6"/>
      <c r="K40" s="6"/>
      <c r="L40" s="6">
        <v>6</v>
      </c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>
        <v>10</v>
      </c>
      <c r="AR40" s="4"/>
      <c r="AS40" s="4"/>
      <c r="AT40" s="4"/>
      <c r="AU40" s="4"/>
      <c r="AV40" s="4"/>
      <c r="AW40" s="2"/>
      <c r="AX40" s="2">
        <v>10</v>
      </c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32</v>
      </c>
      <c r="BQ40" s="1">
        <v>10</v>
      </c>
      <c r="BR40" s="17">
        <v>1</v>
      </c>
      <c r="BS40" s="17" t="s">
        <v>232</v>
      </c>
      <c r="BT40" s="1" t="str">
        <f>IF(AQ40&gt;AQ$118, AQ40-AQ$118,"")</f>
        <v/>
      </c>
      <c r="BU40" s="1" t="str">
        <f>IF(AR40&gt;AR$118, AR40-AR$118,"")</f>
        <v/>
      </c>
      <c r="BV40" s="1" t="str">
        <f>IF(AS40&gt;AS$118, AS40-AS$118,"")</f>
        <v/>
      </c>
      <c r="BW40" s="1" t="str">
        <f>IF(AT40&gt;AT$118, AT40-AT$118,"")</f>
        <v/>
      </c>
      <c r="BX40" s="1" t="str">
        <f>IF(AU40&gt;AU$118, AU40-AU$118,"")</f>
        <v/>
      </c>
      <c r="BY40" s="1" t="str">
        <f>IF(AV40&gt;AV$118, AV40-AV$118,"")</f>
        <v/>
      </c>
      <c r="BZ40" s="1" t="str">
        <f>IF(AW40&gt;AW$118, AW40-AW$118,"")</f>
        <v/>
      </c>
      <c r="CA40" s="1" t="str">
        <f>IF(AX40&gt;AX$118, AX40-AX$118,"")</f>
        <v/>
      </c>
      <c r="CB40" s="1" t="str">
        <f>IF(AY40&gt;AY$118, AY40-AY$118,"")</f>
        <v/>
      </c>
      <c r="CC40" s="1" t="str">
        <f>IF(AZ40&gt;AZ$118, AZ40-AZ$118,"")</f>
        <v/>
      </c>
      <c r="CD40" s="1" t="str">
        <f>IF(BA40&gt;BA$118, BA40-BA$118,"")</f>
        <v/>
      </c>
      <c r="CE40" s="1" t="str">
        <f>IF(BB40&gt;BB$118, BB40-BB$118,"")</f>
        <v/>
      </c>
      <c r="CF40" s="1">
        <f>COUNTIF(BT40:CE40, "&gt;0")</f>
        <v>0</v>
      </c>
      <c r="CG40" s="1" t="str">
        <f>IF($CF40=1,BT40,"")</f>
        <v/>
      </c>
      <c r="CH40" s="1" t="str">
        <f>IF($CF40=1,BU40,"")</f>
        <v/>
      </c>
      <c r="CI40" s="1" t="str">
        <f>IF($CF40=1,BV40,"")</f>
        <v/>
      </c>
      <c r="CJ40" s="1" t="str">
        <f>IF($CF40=1,BW40,"")</f>
        <v/>
      </c>
      <c r="CK40" s="1" t="str">
        <f>IF($CF40=1,BX40,"")</f>
        <v/>
      </c>
      <c r="CL40" s="1" t="str">
        <f>IF($CF40=1,BY40,"")</f>
        <v/>
      </c>
      <c r="CM40" s="1" t="str">
        <f>IF($CF40=1,BZ40,"")</f>
        <v/>
      </c>
      <c r="CN40" s="1" t="str">
        <f>IF($CF40=1,CA40,"")</f>
        <v/>
      </c>
      <c r="CO40" s="1" t="str">
        <f>IF($CF40=1,CB40,"")</f>
        <v/>
      </c>
      <c r="CP40" s="1" t="str">
        <f>IF($CF40=1,CC40,"")</f>
        <v/>
      </c>
      <c r="CQ40" s="1" t="str">
        <f>IF($CF40=1,CD40,"")</f>
        <v/>
      </c>
      <c r="CR40" s="1" t="str">
        <f>IF($CF40=1,CE40,"")</f>
        <v/>
      </c>
      <c r="CS40" s="3">
        <f>SUM(AE40:BO40)</f>
        <v>20</v>
      </c>
    </row>
    <row r="41" spans="1:97" x14ac:dyDescent="0.15">
      <c r="A41" s="1">
        <v>95</v>
      </c>
      <c r="B41" s="3" t="s">
        <v>74</v>
      </c>
      <c r="C41" s="3" t="s">
        <v>60</v>
      </c>
      <c r="D41" s="1" t="s">
        <v>1</v>
      </c>
      <c r="E41" s="6"/>
      <c r="F41" s="6"/>
      <c r="G41" s="6"/>
      <c r="H41" s="6"/>
      <c r="I41" s="6"/>
      <c r="J41" s="6"/>
      <c r="K41" s="6"/>
      <c r="L41" s="6">
        <v>15</v>
      </c>
      <c r="M41" s="6"/>
      <c r="N41" s="6"/>
      <c r="O41" s="6">
        <v>15</v>
      </c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>
        <v>15</v>
      </c>
      <c r="BB41" s="2">
        <v>15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60</v>
      </c>
      <c r="BQ41" s="1">
        <v>11</v>
      </c>
      <c r="BR41" s="17">
        <v>1</v>
      </c>
      <c r="BS41" s="17" t="s">
        <v>252</v>
      </c>
      <c r="BT41" s="1" t="str">
        <f>IF(AQ41&gt;AQ$118, AQ41-AQ$118,"")</f>
        <v/>
      </c>
      <c r="BU41" s="1" t="str">
        <f>IF(AR41&gt;AR$118, AR41-AR$118,"")</f>
        <v/>
      </c>
      <c r="BV41" s="1" t="str">
        <f>IF(AS41&gt;AS$118, AS41-AS$118,"")</f>
        <v/>
      </c>
      <c r="BW41" s="1" t="str">
        <f>IF(AT41&gt;AT$118, AT41-AT$118,"")</f>
        <v/>
      </c>
      <c r="BX41" s="1" t="str">
        <f>IF(AU41&gt;AU$118, AU41-AU$118,"")</f>
        <v/>
      </c>
      <c r="BY41" s="1" t="str">
        <f>IF(AV41&gt;AV$118, AV41-AV$118,"")</f>
        <v/>
      </c>
      <c r="BZ41" s="1" t="str">
        <f>IF(AW41&gt;AW$118, AW41-AW$118,"")</f>
        <v/>
      </c>
      <c r="CA41" s="1" t="str">
        <f>IF(AX41&gt;AX$118, AX41-AX$118,"")</f>
        <v/>
      </c>
      <c r="CB41" s="1" t="str">
        <f>IF(AY41&gt;AY$118, AY41-AY$118,"")</f>
        <v/>
      </c>
      <c r="CC41" s="1" t="str">
        <f>IF(AZ41&gt;AZ$118, AZ41-AZ$118,"")</f>
        <v/>
      </c>
      <c r="CD41" s="1" t="str">
        <f>IF(BA41&gt;BA$118, BA41-BA$118,"")</f>
        <v/>
      </c>
      <c r="CE41" s="1" t="str">
        <f>IF(BB41&gt;BB$118, BB41-BB$118,"")</f>
        <v/>
      </c>
      <c r="CF41" s="1">
        <f>COUNTIF(BT41:CE41, "&gt;0")</f>
        <v>0</v>
      </c>
      <c r="CG41" s="1" t="str">
        <f>IF($CF41=1,BT41,"")</f>
        <v/>
      </c>
      <c r="CH41" s="1" t="str">
        <f>IF($CF41=1,BU41,"")</f>
        <v/>
      </c>
      <c r="CI41" s="1" t="str">
        <f>IF($CF41=1,BV41,"")</f>
        <v/>
      </c>
      <c r="CJ41" s="1" t="str">
        <f>IF($CF41=1,BW41,"")</f>
        <v/>
      </c>
      <c r="CK41" s="1" t="str">
        <f>IF($CF41=1,BX41,"")</f>
        <v/>
      </c>
      <c r="CL41" s="1" t="str">
        <f>IF($CF41=1,BY41,"")</f>
        <v/>
      </c>
      <c r="CM41" s="1" t="str">
        <f>IF($CF41=1,BZ41,"")</f>
        <v/>
      </c>
      <c r="CN41" s="1" t="str">
        <f>IF($CF41=1,CA41,"")</f>
        <v/>
      </c>
      <c r="CO41" s="1" t="str">
        <f>IF($CF41=1,CB41,"")</f>
        <v/>
      </c>
      <c r="CP41" s="1" t="str">
        <f>IF($CF41=1,CC41,"")</f>
        <v/>
      </c>
      <c r="CQ41" s="1" t="str">
        <f>IF($CF41=1,CD41,"")</f>
        <v/>
      </c>
      <c r="CR41" s="1" t="str">
        <f>IF($CF41=1,CE41,"")</f>
        <v/>
      </c>
      <c r="CS41" s="3">
        <f>SUM(AE41:BO41)</f>
        <v>30</v>
      </c>
    </row>
    <row r="42" spans="1:97" s="48" customFormat="1" x14ac:dyDescent="0.15">
      <c r="A42" s="1"/>
      <c r="B42" s="1" t="s">
        <v>166</v>
      </c>
      <c r="C42" s="1" t="s">
        <v>132</v>
      </c>
      <c r="D42" s="1" t="s">
        <v>111</v>
      </c>
      <c r="E42" s="6">
        <v>15</v>
      </c>
      <c r="F42" s="6"/>
      <c r="G42" s="6"/>
      <c r="H42" s="6"/>
      <c r="I42" s="6"/>
      <c r="J42" s="6"/>
      <c r="K42" s="6"/>
      <c r="L42" s="6"/>
      <c r="M42" s="6">
        <v>15</v>
      </c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>
        <v>15</v>
      </c>
      <c r="AX42" s="2"/>
      <c r="AY42" s="2"/>
      <c r="AZ42" s="2"/>
      <c r="BA42" s="2">
        <v>15</v>
      </c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60</v>
      </c>
      <c r="BQ42" s="1">
        <v>11</v>
      </c>
      <c r="BR42" s="17">
        <v>1</v>
      </c>
      <c r="BS42" s="17" t="s">
        <v>252</v>
      </c>
      <c r="BT42" s="1" t="str">
        <f>IF(AQ42&gt;AQ$118, AQ42-AQ$118,"")</f>
        <v/>
      </c>
      <c r="BU42" s="1" t="str">
        <f>IF(AR42&gt;AR$118, AR42-AR$118,"")</f>
        <v/>
      </c>
      <c r="BV42" s="1" t="str">
        <f>IF(AS42&gt;AS$118, AS42-AS$118,"")</f>
        <v/>
      </c>
      <c r="BW42" s="1" t="str">
        <f>IF(AT42&gt;AT$118, AT42-AT$118,"")</f>
        <v/>
      </c>
      <c r="BX42" s="1" t="str">
        <f>IF(AU42&gt;AU$118, AU42-AU$118,"")</f>
        <v/>
      </c>
      <c r="BY42" s="1" t="str">
        <f>IF(AV42&gt;AV$118, AV42-AV$118,"")</f>
        <v/>
      </c>
      <c r="BZ42" s="1" t="str">
        <f>IF(AW42&gt;AW$118, AW42-AW$118,"")</f>
        <v/>
      </c>
      <c r="CA42" s="1" t="str">
        <f>IF(AX42&gt;AX$118, AX42-AX$118,"")</f>
        <v/>
      </c>
      <c r="CB42" s="1" t="str">
        <f>IF(AY42&gt;AY$118, AY42-AY$118,"")</f>
        <v/>
      </c>
      <c r="CC42" s="1" t="str">
        <f>IF(AZ42&gt;AZ$118, AZ42-AZ$118,"")</f>
        <v/>
      </c>
      <c r="CD42" s="1" t="str">
        <f>IF(BA42&gt;BA$118, BA42-BA$118,"")</f>
        <v/>
      </c>
      <c r="CE42" s="1" t="str">
        <f>IF(BB42&gt;BB$118, BB42-BB$118,"")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x14ac:dyDescent="0.15">
      <c r="A43" s="1"/>
      <c r="B43" s="1" t="s">
        <v>168</v>
      </c>
      <c r="C43" s="1" t="s">
        <v>92</v>
      </c>
      <c r="D43" s="1" t="s">
        <v>93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>
        <v>15</v>
      </c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>
        <v>15</v>
      </c>
      <c r="BC43" s="14"/>
      <c r="BD43" s="1"/>
      <c r="BE43" s="1"/>
      <c r="BF43" s="1"/>
      <c r="BG43" s="1"/>
      <c r="BH43" s="1">
        <v>15</v>
      </c>
      <c r="BI43" s="1">
        <v>15</v>
      </c>
      <c r="BJ43" s="1"/>
      <c r="BK43" s="1"/>
      <c r="BL43" s="1"/>
      <c r="BM43" s="1"/>
      <c r="BN43" s="1"/>
      <c r="BO43" s="1"/>
      <c r="BP43" s="1">
        <f>SUM(E43:BO43)</f>
        <v>60</v>
      </c>
      <c r="BQ43" s="1">
        <v>15</v>
      </c>
      <c r="BR43" s="17">
        <v>1</v>
      </c>
      <c r="BS43" s="17" t="s">
        <v>234</v>
      </c>
      <c r="BT43" s="1" t="str">
        <f>IF(AQ43&gt;AQ$118, AQ43-AQ$118,"")</f>
        <v/>
      </c>
      <c r="BU43" s="1" t="str">
        <f>IF(AR43&gt;AR$118, AR43-AR$118,"")</f>
        <v/>
      </c>
      <c r="BV43" s="1" t="str">
        <f>IF(AS43&gt;AS$118, AS43-AS$118,"")</f>
        <v/>
      </c>
      <c r="BW43" s="1" t="str">
        <f>IF(AT43&gt;AT$118, AT43-AT$118,"")</f>
        <v/>
      </c>
      <c r="BX43" s="1" t="str">
        <f>IF(AU43&gt;AU$118, AU43-AU$118,"")</f>
        <v/>
      </c>
      <c r="BY43" s="1" t="str">
        <f>IF(AV43&gt;AV$118, AV43-AV$118,"")</f>
        <v/>
      </c>
      <c r="BZ43" s="1" t="str">
        <f>IF(AW43&gt;AW$118, AW43-AW$118,"")</f>
        <v/>
      </c>
      <c r="CA43" s="1" t="str">
        <f>IF(AX43&gt;AX$118, AX43-AX$118,"")</f>
        <v/>
      </c>
      <c r="CB43" s="1" t="str">
        <f>IF(AY43&gt;AY$118, AY43-AY$118,"")</f>
        <v/>
      </c>
      <c r="CC43" s="1" t="str">
        <f>IF(AZ43&gt;AZ$118, AZ43-AZ$118,"")</f>
        <v/>
      </c>
      <c r="CD43" s="1" t="str">
        <f>IF(BA43&gt;BA$118, BA43-BA$118,"")</f>
        <v/>
      </c>
      <c r="CE43" s="1" t="str">
        <f>IF(BB43&gt;BB$118, BB43-BB$118,"")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s="48" customFormat="1" x14ac:dyDescent="0.15">
      <c r="A44" s="18">
        <v>64</v>
      </c>
      <c r="B44" s="24" t="s">
        <v>54</v>
      </c>
      <c r="C44" s="18" t="s">
        <v>49</v>
      </c>
      <c r="D44" s="18" t="s">
        <v>1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18"/>
      <c r="AF44" s="18"/>
      <c r="AG44" s="18"/>
      <c r="AH44" s="18"/>
      <c r="AI44" s="18"/>
      <c r="AJ44" s="18"/>
      <c r="AK44" s="18"/>
      <c r="AL44" s="18"/>
      <c r="AM44" s="18"/>
      <c r="AN44" s="18">
        <v>15</v>
      </c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6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>
        <f>SUM(E44:BO44)</f>
        <v>15</v>
      </c>
      <c r="BQ44" s="18">
        <v>15</v>
      </c>
      <c r="BR44" s="22">
        <v>1</v>
      </c>
      <c r="BS44" s="22" t="s">
        <v>223</v>
      </c>
      <c r="BT44" s="18" t="str">
        <f>IF(AQ44&gt;AQ$118, AQ44-AQ$118,"")</f>
        <v/>
      </c>
      <c r="BU44" s="18" t="str">
        <f>IF(AR44&gt;AR$118, AR44-AR$118,"")</f>
        <v/>
      </c>
      <c r="BV44" s="18" t="str">
        <f>IF(AS44&gt;AS$118, AS44-AS$118,"")</f>
        <v/>
      </c>
      <c r="BW44" s="18" t="str">
        <f>IF(AT44&gt;AT$118, AT44-AT$118,"")</f>
        <v/>
      </c>
      <c r="BX44" s="18" t="str">
        <f>IF(AU44&gt;AU$118, AU44-AU$118,"")</f>
        <v/>
      </c>
      <c r="BY44" s="18" t="str">
        <f>IF(AV44&gt;AV$118, AV44-AV$118,"")</f>
        <v/>
      </c>
      <c r="BZ44" s="18" t="str">
        <f>IF(AW44&gt;AW$118, AW44-AW$118,"")</f>
        <v/>
      </c>
      <c r="CA44" s="18" t="str">
        <f>IF(AX44&gt;AX$118, AX44-AX$118,"")</f>
        <v/>
      </c>
      <c r="CB44" s="18" t="str">
        <f>IF(AY44&gt;AY$118, AY44-AY$118,"")</f>
        <v/>
      </c>
      <c r="CC44" s="18" t="str">
        <f>IF(AZ44&gt;AZ$118, AZ44-AZ$118,"")</f>
        <v/>
      </c>
      <c r="CD44" s="18" t="str">
        <f>IF(BA44&gt;BA$118, BA44-BA$118,"")</f>
        <v/>
      </c>
      <c r="CE44" s="18" t="str">
        <f>IF(BB44&gt;BB$118, BB44-BB$118,"")</f>
        <v/>
      </c>
      <c r="CF44" s="18">
        <f>COUNTIF(BT44:CE44, "&gt;0")</f>
        <v>0</v>
      </c>
      <c r="CG44" s="18" t="str">
        <f>IF($CF44=1,BT44,"")</f>
        <v/>
      </c>
      <c r="CH44" s="18" t="str">
        <f>IF($CF44=1,BU44,"")</f>
        <v/>
      </c>
      <c r="CI44" s="18" t="str">
        <f>IF($CF44=1,BV44,"")</f>
        <v/>
      </c>
      <c r="CJ44" s="18" t="str">
        <f>IF($CF44=1,BW44,"")</f>
        <v/>
      </c>
      <c r="CK44" s="18" t="str">
        <f>IF($CF44=1,BX44,"")</f>
        <v/>
      </c>
      <c r="CL44" s="18" t="str">
        <f>IF($CF44=1,BY44,"")</f>
        <v/>
      </c>
      <c r="CM44" s="18" t="str">
        <f>IF($CF44=1,BZ44,"")</f>
        <v/>
      </c>
      <c r="CN44" s="18" t="str">
        <f>IF($CF44=1,CA44,"")</f>
        <v/>
      </c>
      <c r="CO44" s="18" t="str">
        <f>IF($CF44=1,CB44,"")</f>
        <v/>
      </c>
      <c r="CP44" s="18" t="str">
        <f>IF($CF44=1,CC44,"")</f>
        <v/>
      </c>
      <c r="CQ44" s="18" t="str">
        <f>IF($CF44=1,CD44,"")</f>
        <v/>
      </c>
      <c r="CR44" s="18" t="str">
        <f>IF($CF44=1,CE44,"")</f>
        <v/>
      </c>
      <c r="CS44" s="24">
        <f>SUM(AE44:BO44)</f>
        <v>15</v>
      </c>
    </row>
    <row r="45" spans="1:97" x14ac:dyDescent="0.15">
      <c r="A45" s="1"/>
      <c r="B45" s="1" t="s">
        <v>154</v>
      </c>
      <c r="C45" s="1" t="s">
        <v>108</v>
      </c>
      <c r="D45" s="1" t="s">
        <v>93</v>
      </c>
      <c r="E45" s="6"/>
      <c r="F45" s="6"/>
      <c r="G45" s="6"/>
      <c r="H45" s="6"/>
      <c r="I45" s="6"/>
      <c r="J45" s="6"/>
      <c r="K45" s="6"/>
      <c r="L45" s="6">
        <v>20</v>
      </c>
      <c r="M45" s="6"/>
      <c r="N45" s="6"/>
      <c r="O45" s="6">
        <v>20</v>
      </c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>
        <v>20</v>
      </c>
      <c r="BB45" s="2">
        <v>20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80</v>
      </c>
      <c r="BQ45" s="1">
        <v>16</v>
      </c>
      <c r="BR45" s="17">
        <v>1</v>
      </c>
      <c r="BS45" s="17" t="s">
        <v>253</v>
      </c>
      <c r="BT45" s="1" t="str">
        <f>IF(AQ45&gt;AQ$118, AQ45-AQ$118,"")</f>
        <v/>
      </c>
      <c r="BU45" s="1" t="str">
        <f>IF(AR45&gt;AR$118, AR45-AR$118,"")</f>
        <v/>
      </c>
      <c r="BV45" s="1" t="str">
        <f>IF(AS45&gt;AS$118, AS45-AS$118,"")</f>
        <v/>
      </c>
      <c r="BW45" s="1" t="str">
        <f>IF(AT45&gt;AT$118, AT45-AT$118,"")</f>
        <v/>
      </c>
      <c r="BX45" s="1" t="str">
        <f>IF(AU45&gt;AU$118, AU45-AU$118,"")</f>
        <v/>
      </c>
      <c r="BY45" s="1" t="str">
        <f>IF(AV45&gt;AV$118, AV45-AV$118,"")</f>
        <v/>
      </c>
      <c r="BZ45" s="1" t="str">
        <f>IF(AW45&gt;AW$118, AW45-AW$118,"")</f>
        <v/>
      </c>
      <c r="CA45" s="1" t="str">
        <f>IF(AX45&gt;AX$118, AX45-AX$118,"")</f>
        <v/>
      </c>
      <c r="CB45" s="1" t="str">
        <f>IF(AY45&gt;AY$118, AY45-AY$118,"")</f>
        <v/>
      </c>
      <c r="CC45" s="1" t="str">
        <f>IF(AZ45&gt;AZ$118, AZ45-AZ$118,"")</f>
        <v/>
      </c>
      <c r="CD45" s="1" t="str">
        <f>IF(BA45&gt;BA$118, BA45-BA$118,"")</f>
        <v/>
      </c>
      <c r="CE45" s="1" t="str">
        <f>IF(BB45&gt;BB$118, BB45-BB$118,"")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x14ac:dyDescent="0.15">
      <c r="A46" s="1">
        <v>98</v>
      </c>
      <c r="B46" s="3" t="s">
        <v>155</v>
      </c>
      <c r="C46" s="3" t="s">
        <v>60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>
        <v>50</v>
      </c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50</v>
      </c>
      <c r="BQ46" s="1">
        <v>48</v>
      </c>
      <c r="BR46" s="17">
        <v>1</v>
      </c>
      <c r="BS46" s="17" t="s">
        <v>254</v>
      </c>
      <c r="BT46" s="1" t="str">
        <f>IF(AQ46&gt;AQ$118, AQ46-AQ$118,"")</f>
        <v/>
      </c>
      <c r="BU46" s="1" t="str">
        <f>IF(AR46&gt;AR$118, AR46-AR$118,"")</f>
        <v/>
      </c>
      <c r="BV46" s="1" t="str">
        <f>IF(AS46&gt;AS$118, AS46-AS$118,"")</f>
        <v/>
      </c>
      <c r="BW46" s="1" t="str">
        <f>IF(AT46&gt;AT$118, AT46-AT$118,"")</f>
        <v/>
      </c>
      <c r="BX46" s="1" t="str">
        <f>IF(AU46&gt;AU$118, AU46-AU$118,"")</f>
        <v/>
      </c>
      <c r="BY46" s="1" t="str">
        <f>IF(AV46&gt;AV$118, AV46-AV$118,"")</f>
        <v/>
      </c>
      <c r="BZ46" s="1" t="str">
        <f>IF(AW46&gt;AW$118, AW46-AW$118,"")</f>
        <v/>
      </c>
      <c r="CA46" s="1" t="str">
        <f>IF(AX46&gt;AX$118, AX46-AX$118,"")</f>
        <v/>
      </c>
      <c r="CB46" s="1" t="str">
        <f>IF(AY46&gt;AY$118, AY46-AY$118,"")</f>
        <v/>
      </c>
      <c r="CC46" s="1" t="str">
        <f>IF(AZ46&gt;AZ$118, AZ46-AZ$118,"")</f>
        <v/>
      </c>
      <c r="CD46" s="1" t="str">
        <f>IF(BA46&gt;BA$118, BA46-BA$118,"")</f>
        <v/>
      </c>
      <c r="CE46" s="1" t="str">
        <f>IF(BB46&gt;BB$118, BB46-BB$118,"")</f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3">
        <f>SUM(AE46:BO46)</f>
        <v>50</v>
      </c>
    </row>
    <row r="47" spans="1:97" x14ac:dyDescent="0.15">
      <c r="A47" s="1">
        <v>99</v>
      </c>
      <c r="B47" s="3" t="s">
        <v>155</v>
      </c>
      <c r="C47" s="3" t="s">
        <v>60</v>
      </c>
      <c r="D47" s="1" t="s">
        <v>12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>
        <v>200</v>
      </c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200</v>
      </c>
      <c r="BQ47" s="1">
        <v>198</v>
      </c>
      <c r="BR47" s="17">
        <v>1</v>
      </c>
      <c r="BS47" s="17" t="s">
        <v>255</v>
      </c>
      <c r="BT47" s="1" t="str">
        <f>IF(AQ47&gt;AQ$118, AQ47-AQ$118,"")</f>
        <v/>
      </c>
      <c r="BU47" s="1" t="str">
        <f>IF(AR47&gt;AR$118, AR47-AR$118,"")</f>
        <v/>
      </c>
      <c r="BV47" s="1" t="str">
        <f>IF(AS47&gt;AS$118, AS47-AS$118,"")</f>
        <v/>
      </c>
      <c r="BW47" s="1" t="str">
        <f>IF(AT47&gt;AT$118, AT47-AT$118,"")</f>
        <v/>
      </c>
      <c r="BX47" s="1" t="str">
        <f>IF(AU47&gt;AU$118, AU47-AU$118,"")</f>
        <v/>
      </c>
      <c r="BY47" s="1" t="str">
        <f>IF(AV47&gt;AV$118, AV47-AV$118,"")</f>
        <v/>
      </c>
      <c r="BZ47" s="1" t="str">
        <f>IF(AW47&gt;AW$118, AW47-AW$118,"")</f>
        <v/>
      </c>
      <c r="CA47" s="1" t="str">
        <f>IF(AX47&gt;AX$118, AX47-AX$118,"")</f>
        <v/>
      </c>
      <c r="CB47" s="1" t="str">
        <f>IF(AY47&gt;AY$118, AY47-AY$118,"")</f>
        <v/>
      </c>
      <c r="CC47" s="1" t="str">
        <f>IF(AZ47&gt;AZ$118, AZ47-AZ$118,"")</f>
        <v/>
      </c>
      <c r="CD47" s="1" t="str">
        <f>IF(BA47&gt;BA$118, BA47-BA$118,"")</f>
        <v/>
      </c>
      <c r="CE47" s="1" t="str">
        <f>IF(BB47&gt;BB$118, BB47-BB$118,"")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200</v>
      </c>
    </row>
    <row r="48" spans="1:97" ht="27" x14ac:dyDescent="0.15">
      <c r="A48" s="1"/>
      <c r="B48" s="1" t="s">
        <v>199</v>
      </c>
      <c r="C48" s="1" t="s">
        <v>2</v>
      </c>
      <c r="D48" s="1" t="s">
        <v>198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>
        <v>10</v>
      </c>
      <c r="AS48" s="4"/>
      <c r="AT48" s="4"/>
      <c r="AU48" s="4"/>
      <c r="AV48" s="4"/>
      <c r="AW48" s="2"/>
      <c r="AX48" s="2"/>
      <c r="AY48" s="2"/>
      <c r="AZ48" s="2">
        <v>10</v>
      </c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20</v>
      </c>
      <c r="BQ48" s="1">
        <v>4</v>
      </c>
      <c r="BR48" s="17">
        <v>2</v>
      </c>
      <c r="BS48" s="17" t="s">
        <v>260</v>
      </c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3"/>
    </row>
    <row r="49" spans="1:97" ht="27" x14ac:dyDescent="0.15">
      <c r="A49" s="1"/>
      <c r="B49" s="1" t="s">
        <v>103</v>
      </c>
      <c r="C49" s="1" t="s">
        <v>96</v>
      </c>
      <c r="D49" s="1" t="s">
        <v>93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>
        <v>5</v>
      </c>
      <c r="AP49" s="1">
        <v>1</v>
      </c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6</v>
      </c>
      <c r="BQ49" s="1">
        <v>6</v>
      </c>
      <c r="BR49" s="17">
        <v>2</v>
      </c>
      <c r="BS49" s="17" t="s">
        <v>256</v>
      </c>
      <c r="BT49" s="1" t="str">
        <f>IF(AQ49&gt;AQ$118, AQ49-AQ$118,"")</f>
        <v/>
      </c>
      <c r="BU49" s="1" t="str">
        <f>IF(AR49&gt;AR$118, AR49-AR$118,"")</f>
        <v/>
      </c>
      <c r="BV49" s="1" t="str">
        <f>IF(AS49&gt;AS$118, AS49-AS$118,"")</f>
        <v/>
      </c>
      <c r="BW49" s="1" t="str">
        <f>IF(AT49&gt;AT$118, AT49-AT$118,"")</f>
        <v/>
      </c>
      <c r="BX49" s="1" t="str">
        <f>IF(AU49&gt;AU$118, AU49-AU$118,"")</f>
        <v/>
      </c>
      <c r="BY49" s="1" t="str">
        <f>IF(AV49&gt;AV$118, AV49-AV$118,"")</f>
        <v/>
      </c>
      <c r="BZ49" s="1" t="str">
        <f>IF(AW49&gt;AW$118, AW49-AW$118,"")</f>
        <v/>
      </c>
      <c r="CA49" s="1" t="str">
        <f>IF(AX49&gt;AX$118, AX49-AX$118,"")</f>
        <v/>
      </c>
      <c r="CB49" s="1" t="str">
        <f>IF(AY49&gt;AY$118, AY49-AY$118,"")</f>
        <v/>
      </c>
      <c r="CC49" s="1" t="str">
        <f>IF(AZ49&gt;AZ$118, AZ49-AZ$118,"")</f>
        <v/>
      </c>
      <c r="CD49" s="1" t="str">
        <f>IF(BA49&gt;BA$118, BA49-BA$118,"")</f>
        <v/>
      </c>
      <c r="CE49" s="1" t="str">
        <f>IF(BB49&gt;BB$118, BB49-BB$118,"")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196</v>
      </c>
      <c r="C50" s="1" t="s">
        <v>28</v>
      </c>
      <c r="D50" s="1" t="s">
        <v>22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>
        <v>5</v>
      </c>
      <c r="AP50" s="1">
        <v>1</v>
      </c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6</v>
      </c>
      <c r="BQ50" s="1">
        <v>6</v>
      </c>
      <c r="BR50" s="17">
        <v>2</v>
      </c>
      <c r="BS50" s="17" t="s">
        <v>216</v>
      </c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/>
      <c r="B51" s="1" t="s">
        <v>99</v>
      </c>
      <c r="C51" s="1" t="s">
        <v>96</v>
      </c>
      <c r="D51" s="1" t="s">
        <v>100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>
        <v>3</v>
      </c>
      <c r="AP51" s="1">
        <v>5</v>
      </c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8</v>
      </c>
      <c r="BQ51" s="1">
        <v>8</v>
      </c>
      <c r="BR51" s="17">
        <v>2</v>
      </c>
      <c r="BS51" s="17" t="s">
        <v>224</v>
      </c>
      <c r="BT51" s="1" t="str">
        <f>IF(AQ51&gt;AQ$118, AQ51-AQ$118,"")</f>
        <v/>
      </c>
      <c r="BU51" s="1" t="str">
        <f>IF(AR51&gt;AR$118, AR51-AR$118,"")</f>
        <v/>
      </c>
      <c r="BV51" s="1" t="str">
        <f>IF(AS51&gt;AS$118, AS51-AS$118,"")</f>
        <v/>
      </c>
      <c r="BW51" s="1" t="str">
        <f>IF(AT51&gt;AT$118, AT51-AT$118,"")</f>
        <v/>
      </c>
      <c r="BX51" s="1" t="str">
        <f>IF(AU51&gt;AU$118, AU51-AU$118,"")</f>
        <v/>
      </c>
      <c r="BY51" s="1" t="str">
        <f>IF(AV51&gt;AV$118, AV51-AV$118,"")</f>
        <v/>
      </c>
      <c r="BZ51" s="1" t="str">
        <f>IF(AW51&gt;AW$118, AW51-AW$118,"")</f>
        <v/>
      </c>
      <c r="CA51" s="1" t="str">
        <f>IF(AX51&gt;AX$118, AX51-AX$118,"")</f>
        <v/>
      </c>
      <c r="CB51" s="1" t="str">
        <f>IF(AY51&gt;AY$118, AY51-AY$118,"")</f>
        <v/>
      </c>
      <c r="CC51" s="1" t="str">
        <f>IF(AZ51&gt;AZ$118, AZ51-AZ$118,"")</f>
        <v/>
      </c>
      <c r="CD51" s="1" t="str">
        <f>IF(BA51&gt;BA$118, BA51-BA$118,"")</f>
        <v/>
      </c>
      <c r="CE51" s="1" t="str">
        <f>IF(BB51&gt;BB$118, BB51-BB$118,"")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1"/>
      <c r="B52" s="1" t="s">
        <v>121</v>
      </c>
      <c r="C52" s="1" t="s">
        <v>109</v>
      </c>
      <c r="D52" s="1" t="s">
        <v>111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>
        <v>2</v>
      </c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8</v>
      </c>
      <c r="BR52" s="17">
        <v>2</v>
      </c>
      <c r="BS52" s="17" t="s">
        <v>203</v>
      </c>
      <c r="BT52" s="1" t="str">
        <f>IF(AQ52&gt;AQ$118, AQ52-AQ$118,"")</f>
        <v/>
      </c>
      <c r="BU52" s="1" t="str">
        <f>IF(AR52&gt;AR$118, AR52-AR$118,"")</f>
        <v/>
      </c>
      <c r="BV52" s="1" t="str">
        <f>IF(AS52&gt;AS$118, AS52-AS$118,"")</f>
        <v/>
      </c>
      <c r="BW52" s="1" t="str">
        <f>IF(AT52&gt;AT$118, AT52-AT$118,"")</f>
        <v/>
      </c>
      <c r="BX52" s="1" t="str">
        <f>IF(AU52&gt;AU$118, AU52-AU$118,"")</f>
        <v/>
      </c>
      <c r="BY52" s="1" t="str">
        <f>IF(AV52&gt;AV$118, AV52-AV$118,"")</f>
        <v/>
      </c>
      <c r="BZ52" s="1" t="str">
        <f>IF(AW52&gt;AW$118, AW52-AW$118,"")</f>
        <v/>
      </c>
      <c r="CA52" s="1" t="str">
        <f>IF(AX52&gt;AX$118, AX52-AX$118,"")</f>
        <v/>
      </c>
      <c r="CB52" s="1" t="str">
        <f>IF(AY52&gt;AY$118, AY52-AY$118,"")</f>
        <v/>
      </c>
      <c r="CC52" s="1" t="str">
        <f>IF(AZ52&gt;AZ$118, AZ52-AZ$118,"")</f>
        <v/>
      </c>
      <c r="CD52" s="1" t="str">
        <f>IF(BA52&gt;BA$118, BA52-BA$118,"")</f>
        <v/>
      </c>
      <c r="CE52" s="1" t="str">
        <f>IF(BB52&gt;BB$118, BB52-BB$118,"")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126</v>
      </c>
      <c r="C53" s="1" t="s">
        <v>109</v>
      </c>
      <c r="D53" s="1" t="s">
        <v>111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>
        <v>2</v>
      </c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8</v>
      </c>
      <c r="BR53" s="17">
        <v>2</v>
      </c>
      <c r="BS53" s="17" t="s">
        <v>203</v>
      </c>
      <c r="BT53" s="1" t="str">
        <f>IF(AQ53&gt;AQ$118, AQ53-AQ$118,"")</f>
        <v/>
      </c>
      <c r="BU53" s="1" t="str">
        <f>IF(AR53&gt;AR$118, AR53-AR$118,"")</f>
        <v/>
      </c>
      <c r="BV53" s="1" t="str">
        <f>IF(AS53&gt;AS$118, AS53-AS$118,"")</f>
        <v/>
      </c>
      <c r="BW53" s="1" t="str">
        <f>IF(AT53&gt;AT$118, AT53-AT$118,"")</f>
        <v/>
      </c>
      <c r="BX53" s="1" t="str">
        <f>IF(AU53&gt;AU$118, AU53-AU$118,"")</f>
        <v/>
      </c>
      <c r="BY53" s="1" t="str">
        <f>IF(AV53&gt;AV$118, AV53-AV$118,"")</f>
        <v/>
      </c>
      <c r="BZ53" s="1" t="str">
        <f>IF(AW53&gt;AW$118, AW53-AW$118,"")</f>
        <v/>
      </c>
      <c r="CA53" s="1" t="str">
        <f>IF(AX53&gt;AX$118, AX53-AX$118,"")</f>
        <v/>
      </c>
      <c r="CB53" s="1" t="str">
        <f>IF(AY53&gt;AY$118, AY53-AY$118,"")</f>
        <v/>
      </c>
      <c r="CC53" s="1" t="str">
        <f>IF(AZ53&gt;AZ$118, AZ53-AZ$118,"")</f>
        <v/>
      </c>
      <c r="CD53" s="1" t="str">
        <f>IF(BA53&gt;BA$118, BA53-BA$118,"")</f>
        <v/>
      </c>
      <c r="CE53" s="1" t="str">
        <f>IF(BB53&gt;BB$118, BB53-BB$118,"")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134</v>
      </c>
      <c r="C54" s="1" t="s">
        <v>132</v>
      </c>
      <c r="D54" s="1" t="s">
        <v>111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>
        <v>2</v>
      </c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8</v>
      </c>
      <c r="BR54" s="17">
        <v>2</v>
      </c>
      <c r="BS54" s="17" t="s">
        <v>203</v>
      </c>
      <c r="BT54" s="1" t="str">
        <f>IF(AQ54&gt;AQ$118, AQ54-AQ$118,"")</f>
        <v/>
      </c>
      <c r="BU54" s="1" t="str">
        <f>IF(AR54&gt;AR$118, AR54-AR$118,"")</f>
        <v/>
      </c>
      <c r="BV54" s="1" t="str">
        <f>IF(AS54&gt;AS$118, AS54-AS$118,"")</f>
        <v/>
      </c>
      <c r="BW54" s="1" t="str">
        <f>IF(AT54&gt;AT$118, AT54-AT$118,"")</f>
        <v/>
      </c>
      <c r="BX54" s="1" t="str">
        <f>IF(AU54&gt;AU$118, AU54-AU$118,"")</f>
        <v/>
      </c>
      <c r="BY54" s="1" t="str">
        <f>IF(AV54&gt;AV$118, AV54-AV$118,"")</f>
        <v/>
      </c>
      <c r="BZ54" s="1" t="str">
        <f>IF(AW54&gt;AW$118, AW54-AW$118,"")</f>
        <v/>
      </c>
      <c r="CA54" s="1" t="str">
        <f>IF(AX54&gt;AX$118, AX54-AX$118,"")</f>
        <v/>
      </c>
      <c r="CB54" s="1" t="str">
        <f>IF(AY54&gt;AY$118, AY54-AY$118,"")</f>
        <v/>
      </c>
      <c r="CC54" s="1" t="str">
        <f>IF(AZ54&gt;AZ$118, AZ54-AZ$118,"")</f>
        <v/>
      </c>
      <c r="CD54" s="1" t="str">
        <f>IF(BA54&gt;BA$118, BA54-BA$118,"")</f>
        <v/>
      </c>
      <c r="CE54" s="1" t="str">
        <f>IF(BB54&gt;BB$118, BB54-BB$118,"")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/>
      <c r="B55" s="1" t="s">
        <v>136</v>
      </c>
      <c r="C55" s="1" t="s">
        <v>137</v>
      </c>
      <c r="D55" s="1" t="s">
        <v>111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/>
      <c r="S55" s="28"/>
      <c r="T55" s="28">
        <v>5</v>
      </c>
      <c r="U55" s="28"/>
      <c r="V55" s="28"/>
      <c r="W55" s="28"/>
      <c r="X55" s="28">
        <v>2</v>
      </c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8</v>
      </c>
      <c r="BR55" s="17">
        <v>2</v>
      </c>
      <c r="BS55" s="17" t="s">
        <v>257</v>
      </c>
      <c r="BT55" s="1" t="str">
        <f>IF(AQ55&gt;AQ$118, AQ55-AQ$118,"")</f>
        <v/>
      </c>
      <c r="BU55" s="1" t="str">
        <f>IF(AR55&gt;AR$118, AR55-AR$118,"")</f>
        <v/>
      </c>
      <c r="BV55" s="1" t="str">
        <f>IF(AS55&gt;AS$118, AS55-AS$118,"")</f>
        <v/>
      </c>
      <c r="BW55" s="1" t="str">
        <f>IF(AT55&gt;AT$118, AT55-AT$118,"")</f>
        <v/>
      </c>
      <c r="BX55" s="1" t="str">
        <f>IF(AU55&gt;AU$118, AU55-AU$118,"")</f>
        <v/>
      </c>
      <c r="BY55" s="1" t="str">
        <f>IF(AV55&gt;AV$118, AV55-AV$118,"")</f>
        <v/>
      </c>
      <c r="BZ55" s="1" t="str">
        <f>IF(AW55&gt;AW$118, AW55-AW$118,"")</f>
        <v/>
      </c>
      <c r="CA55" s="1" t="str">
        <f>IF(AX55&gt;AX$118, AX55-AX$118,"")</f>
        <v/>
      </c>
      <c r="CB55" s="1" t="str">
        <f>IF(AY55&gt;AY$118, AY55-AY$118,"")</f>
        <v/>
      </c>
      <c r="CC55" s="1" t="str">
        <f>IF(AZ55&gt;AZ$118, AZ55-AZ$118,"")</f>
        <v/>
      </c>
      <c r="CD55" s="1" t="str">
        <f>IF(BA55&gt;BA$118, BA55-BA$118,"")</f>
        <v/>
      </c>
      <c r="CE55" s="1" t="str">
        <f>IF(BB55&gt;BB$118, BB55-BB$118,"")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>
        <v>27</v>
      </c>
      <c r="B56" s="1" t="s">
        <v>65</v>
      </c>
      <c r="C56" s="1" t="s">
        <v>28</v>
      </c>
      <c r="D56" s="1" t="s">
        <v>21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>
        <v>5</v>
      </c>
      <c r="AI56" s="1">
        <v>5</v>
      </c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10</v>
      </c>
      <c r="BQ56" s="1">
        <v>10</v>
      </c>
      <c r="BR56" s="17">
        <v>2</v>
      </c>
      <c r="BS56" s="17" t="s">
        <v>258</v>
      </c>
      <c r="BT56" s="1" t="str">
        <f>IF(AQ56&gt;AQ$118, AQ56-AQ$118,"")</f>
        <v/>
      </c>
      <c r="BU56" s="1" t="str">
        <f>IF(AR56&gt;AR$118, AR56-AR$118,"")</f>
        <v/>
      </c>
      <c r="BV56" s="1" t="str">
        <f>IF(AS56&gt;AS$118, AS56-AS$118,"")</f>
        <v/>
      </c>
      <c r="BW56" s="1" t="str">
        <f>IF(AT56&gt;AT$118, AT56-AT$118,"")</f>
        <v/>
      </c>
      <c r="BX56" s="1" t="str">
        <f>IF(AU56&gt;AU$118, AU56-AU$118,"")</f>
        <v/>
      </c>
      <c r="BY56" s="1" t="str">
        <f>IF(AV56&gt;AV$118, AV56-AV$118,"")</f>
        <v/>
      </c>
      <c r="BZ56" s="1" t="str">
        <f>IF(AW56&gt;AW$118, AW56-AW$118,"")</f>
        <v/>
      </c>
      <c r="CA56" s="1" t="str">
        <f>IF(AX56&gt;AX$118, AX56-AX$118,"")</f>
        <v/>
      </c>
      <c r="CB56" s="1" t="str">
        <f>IF(AY56&gt;AY$118, AY56-AY$118,"")</f>
        <v/>
      </c>
      <c r="CC56" s="1" t="str">
        <f>IF(AZ56&gt;AZ$118, AZ56-AZ$118,"")</f>
        <v/>
      </c>
      <c r="CD56" s="1" t="str">
        <f>IF(BA56&gt;BA$118, BA56-BA$118,"")</f>
        <v/>
      </c>
      <c r="CE56" s="1" t="str">
        <f>IF(BB56&gt;BB$118, BB56-BB$118,"")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3">
        <f>SUM(AE56:BO56)</f>
        <v>10</v>
      </c>
    </row>
    <row r="57" spans="1:97" s="48" customFormat="1" ht="27" x14ac:dyDescent="0.15">
      <c r="A57" s="1">
        <v>88</v>
      </c>
      <c r="B57" s="3" t="s">
        <v>70</v>
      </c>
      <c r="C57" s="3" t="s">
        <v>71</v>
      </c>
      <c r="D57" s="1" t="s">
        <v>21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>
        <v>5</v>
      </c>
      <c r="AI57" s="1">
        <v>5</v>
      </c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10</v>
      </c>
      <c r="BQ57" s="1">
        <v>10</v>
      </c>
      <c r="BR57" s="17">
        <v>2</v>
      </c>
      <c r="BS57" s="17" t="s">
        <v>258</v>
      </c>
      <c r="BT57" s="1" t="str">
        <f>IF(AQ57&gt;AQ$118, AQ57-AQ$118,"")</f>
        <v/>
      </c>
      <c r="BU57" s="1" t="str">
        <f>IF(AR57&gt;AR$118, AR57-AR$118,"")</f>
        <v/>
      </c>
      <c r="BV57" s="1" t="str">
        <f>IF(AS57&gt;AS$118, AS57-AS$118,"")</f>
        <v/>
      </c>
      <c r="BW57" s="1" t="str">
        <f>IF(AT57&gt;AT$118, AT57-AT$118,"")</f>
        <v/>
      </c>
      <c r="BX57" s="1" t="str">
        <f>IF(AU57&gt;AU$118, AU57-AU$118,"")</f>
        <v/>
      </c>
      <c r="BY57" s="1" t="str">
        <f>IF(AV57&gt;AV$118, AV57-AV$118,"")</f>
        <v/>
      </c>
      <c r="BZ57" s="1" t="str">
        <f>IF(AW57&gt;AW$118, AW57-AW$118,"")</f>
        <v/>
      </c>
      <c r="CA57" s="1" t="str">
        <f>IF(AX57&gt;AX$118, AX57-AX$118,"")</f>
        <v/>
      </c>
      <c r="CB57" s="1" t="str">
        <f>IF(AY57&gt;AY$118, AY57-AY$118,"")</f>
        <v/>
      </c>
      <c r="CC57" s="1" t="str">
        <f>IF(AZ57&gt;AZ$118, AZ57-AZ$118,"")</f>
        <v/>
      </c>
      <c r="CD57" s="1" t="str">
        <f>IF(BA57&gt;BA$118, BA57-BA$118,"")</f>
        <v/>
      </c>
      <c r="CE57" s="1" t="str">
        <f>IF(BB57&gt;BB$118, BB57-BB$118,"")</f>
        <v/>
      </c>
      <c r="CF57" s="1">
        <f>COUNTIF(BT57:CE57, "&gt;0")</f>
        <v>0</v>
      </c>
      <c r="CG57" s="1" t="str">
        <f>IF($CF57=1,BT57,"")</f>
        <v/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3">
        <f>SUM(AE57:BO57)</f>
        <v>10</v>
      </c>
    </row>
    <row r="58" spans="1:97" ht="27" x14ac:dyDescent="0.15">
      <c r="A58" s="1"/>
      <c r="B58" s="1" t="s">
        <v>140</v>
      </c>
      <c r="C58" s="1" t="s">
        <v>139</v>
      </c>
      <c r="D58" s="1" t="s">
        <v>112</v>
      </c>
      <c r="E58" s="6"/>
      <c r="F58" s="6"/>
      <c r="G58" s="6">
        <v>10</v>
      </c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>
        <v>10</v>
      </c>
      <c r="Y58" s="28"/>
      <c r="Z58" s="28"/>
      <c r="AA58" s="28"/>
      <c r="AB58" s="28"/>
      <c r="AC58" s="28"/>
      <c r="AD58" s="28">
        <v>10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>
        <v>10</v>
      </c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40</v>
      </c>
      <c r="BQ58" s="1">
        <v>10</v>
      </c>
      <c r="BR58" s="17">
        <v>2</v>
      </c>
      <c r="BS58" s="17" t="s">
        <v>219</v>
      </c>
      <c r="BT58" s="1" t="str">
        <f>IF(AQ58&gt;AQ$118, AQ58-AQ$118,"")</f>
        <v/>
      </c>
      <c r="BU58" s="1" t="str">
        <f>IF(AR58&gt;AR$118, AR58-AR$118,"")</f>
        <v/>
      </c>
      <c r="BV58" s="1" t="str">
        <f>IF(AS58&gt;AS$118, AS58-AS$118,"")</f>
        <v/>
      </c>
      <c r="BW58" s="1" t="str">
        <f>IF(AT58&gt;AT$118, AT58-AT$118,"")</f>
        <v/>
      </c>
      <c r="BX58" s="1" t="str">
        <f>IF(AU58&gt;AU$118, AU58-AU$118,"")</f>
        <v/>
      </c>
      <c r="BY58" s="1" t="str">
        <f>IF(AV58&gt;AV$118, AV58-AV$118,"")</f>
        <v/>
      </c>
      <c r="BZ58" s="1" t="str">
        <f>IF(AW58&gt;AW$118, AW58-AW$118,"")</f>
        <v/>
      </c>
      <c r="CA58" s="1" t="str">
        <f>IF(AX58&gt;AX$118, AX58-AX$118,"")</f>
        <v/>
      </c>
      <c r="CB58" s="1" t="str">
        <f>IF(AY58&gt;AY$118, AY58-AY$118,"")</f>
        <v/>
      </c>
      <c r="CC58" s="1" t="str">
        <f>IF(AZ58&gt;AZ$118, AZ58-AZ$118,"")</f>
        <v/>
      </c>
      <c r="CD58" s="1" t="str">
        <f>IF(BA58&gt;BA$118, BA58-BA$118,"")</f>
        <v/>
      </c>
      <c r="CE58" s="1" t="str">
        <f>IF(BB58&gt;BB$118, BB58-BB$118,"")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146</v>
      </c>
      <c r="C59" s="1" t="s">
        <v>107</v>
      </c>
      <c r="D59" s="1" t="s">
        <v>149</v>
      </c>
      <c r="E59" s="6"/>
      <c r="F59" s="6"/>
      <c r="G59" s="6">
        <v>10</v>
      </c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>
        <v>10</v>
      </c>
      <c r="Y59" s="28"/>
      <c r="Z59" s="28"/>
      <c r="AA59" s="28"/>
      <c r="AB59" s="28"/>
      <c r="AC59" s="28"/>
      <c r="AD59" s="28">
        <v>10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>
        <v>10</v>
      </c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40</v>
      </c>
      <c r="BQ59" s="1">
        <v>10</v>
      </c>
      <c r="BR59" s="17">
        <v>2</v>
      </c>
      <c r="BS59" s="17" t="s">
        <v>259</v>
      </c>
      <c r="BT59" s="1" t="str">
        <f>IF(AQ59&gt;AQ$118, AQ59-AQ$118,"")</f>
        <v/>
      </c>
      <c r="BU59" s="1" t="str">
        <f>IF(AR59&gt;AR$118, AR59-AR$118,"")</f>
        <v/>
      </c>
      <c r="BV59" s="1" t="str">
        <f>IF(AS59&gt;AS$118, AS59-AS$118,"")</f>
        <v/>
      </c>
      <c r="BW59" s="1" t="str">
        <f>IF(AT59&gt;AT$118, AT59-AT$118,"")</f>
        <v/>
      </c>
      <c r="BX59" s="1" t="str">
        <f>IF(AU59&gt;AU$118, AU59-AU$118,"")</f>
        <v/>
      </c>
      <c r="BY59" s="1" t="str">
        <f>IF(AV59&gt;AV$118, AV59-AV$118,"")</f>
        <v/>
      </c>
      <c r="BZ59" s="1" t="str">
        <f>IF(AW59&gt;AW$118, AW59-AW$118,"")</f>
        <v/>
      </c>
      <c r="CA59" s="1" t="str">
        <f>IF(AX59&gt;AX$118, AX59-AX$118,"")</f>
        <v/>
      </c>
      <c r="CB59" s="1" t="str">
        <f>IF(AY59&gt;AY$118, AY59-AY$118,"")</f>
        <v/>
      </c>
      <c r="CC59" s="1" t="str">
        <f>IF(AZ59&gt;AZ$118, AZ59-AZ$118,"")</f>
        <v/>
      </c>
      <c r="CD59" s="1" t="str">
        <f>IF(BA59&gt;BA$118, BA59-BA$118,"")</f>
        <v/>
      </c>
      <c r="CE59" s="1" t="str">
        <f>IF(BB59&gt;BB$118, BB59-BB$118,"")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>
        <v>45</v>
      </c>
      <c r="B60" s="1" t="s">
        <v>91</v>
      </c>
      <c r="C60" s="1" t="s">
        <v>41</v>
      </c>
      <c r="D60" s="1" t="s">
        <v>12</v>
      </c>
      <c r="E60" s="6">
        <v>6</v>
      </c>
      <c r="F60" s="6"/>
      <c r="G60" s="6"/>
      <c r="H60" s="6"/>
      <c r="I60" s="6"/>
      <c r="J60" s="6"/>
      <c r="K60" s="6"/>
      <c r="L60" s="6"/>
      <c r="M60" s="6">
        <v>6</v>
      </c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>
        <v>10</v>
      </c>
      <c r="AR60" s="4"/>
      <c r="AS60" s="4"/>
      <c r="AT60" s="4"/>
      <c r="AU60" s="4"/>
      <c r="AV60" s="4"/>
      <c r="AW60" s="2"/>
      <c r="AX60" s="2"/>
      <c r="AY60" s="2"/>
      <c r="AZ60" s="2">
        <v>10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11</v>
      </c>
      <c r="BR60" s="17">
        <v>2</v>
      </c>
      <c r="BS60" s="17" t="s">
        <v>237</v>
      </c>
      <c r="BT60" s="1" t="str">
        <f>IF(AQ60&gt;AQ$118, AQ60-AQ$118,"")</f>
        <v/>
      </c>
      <c r="BU60" s="1" t="str">
        <f>IF(AR60&gt;AR$118, AR60-AR$118,"")</f>
        <v/>
      </c>
      <c r="BV60" s="1" t="str">
        <f>IF(AS60&gt;AS$118, AS60-AS$118,"")</f>
        <v/>
      </c>
      <c r="BW60" s="1" t="str">
        <f>IF(AT60&gt;AT$118, AT60-AT$118,"")</f>
        <v/>
      </c>
      <c r="BX60" s="1" t="str">
        <f>IF(AU60&gt;AU$118, AU60-AU$118,"")</f>
        <v/>
      </c>
      <c r="BY60" s="1" t="str">
        <f>IF(AV60&gt;AV$118, AV60-AV$118,"")</f>
        <v/>
      </c>
      <c r="BZ60" s="1" t="str">
        <f>IF(AW60&gt;AW$118, AW60-AW$118,"")</f>
        <v/>
      </c>
      <c r="CA60" s="1" t="str">
        <f>IF(AX60&gt;AX$118, AX60-AX$118,"")</f>
        <v/>
      </c>
      <c r="CB60" s="1" t="str">
        <f>IF(AY60&gt;AY$118, AY60-AY$118,"")</f>
        <v/>
      </c>
      <c r="CC60" s="1" t="str">
        <f>IF(AZ60&gt;AZ$118, AZ60-AZ$118,"")</f>
        <v/>
      </c>
      <c r="CD60" s="1" t="str">
        <f>IF(BA60&gt;BA$118, BA60-BA$118,"")</f>
        <v/>
      </c>
      <c r="CE60" s="1" t="str">
        <f>IF(BB60&gt;BB$118, BB60-BB$118,"")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20</v>
      </c>
    </row>
    <row r="61" spans="1:97" ht="27" x14ac:dyDescent="0.15">
      <c r="A61" s="1">
        <v>14</v>
      </c>
      <c r="B61" s="1" t="s">
        <v>27</v>
      </c>
      <c r="C61" s="1" t="s">
        <v>28</v>
      </c>
      <c r="D61" s="1" t="s">
        <v>29</v>
      </c>
      <c r="E61" s="6"/>
      <c r="F61" s="6"/>
      <c r="G61" s="6">
        <v>15</v>
      </c>
      <c r="H61" s="6">
        <v>15</v>
      </c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>
        <v>15</v>
      </c>
      <c r="AT61" s="4"/>
      <c r="AU61" s="4"/>
      <c r="AV61" s="4"/>
      <c r="AW61" s="2"/>
      <c r="AX61" s="2"/>
      <c r="AY61" s="2"/>
      <c r="AZ61" s="2"/>
      <c r="BA61" s="2"/>
      <c r="BB61" s="2">
        <v>15</v>
      </c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60</v>
      </c>
      <c r="BQ61" s="1">
        <v>11</v>
      </c>
      <c r="BR61" s="17">
        <v>2</v>
      </c>
      <c r="BS61" s="17" t="s">
        <v>261</v>
      </c>
      <c r="BT61" s="1" t="str">
        <f>IF(AQ61&gt;AQ$118, AQ61-AQ$118,"")</f>
        <v/>
      </c>
      <c r="BU61" s="1" t="str">
        <f>IF(AR61&gt;AR$118, AR61-AR$118,"")</f>
        <v/>
      </c>
      <c r="BV61" s="1" t="str">
        <f>IF(AS61&gt;AS$118, AS61-AS$118,"")</f>
        <v/>
      </c>
      <c r="BW61" s="1" t="str">
        <f>IF(AT61&gt;AT$118, AT61-AT$118,"")</f>
        <v/>
      </c>
      <c r="BX61" s="1" t="str">
        <f>IF(AU61&gt;AU$118, AU61-AU$118,"")</f>
        <v/>
      </c>
      <c r="BY61" s="1" t="str">
        <f>IF(AV61&gt;AV$118, AV61-AV$118,"")</f>
        <v/>
      </c>
      <c r="BZ61" s="1" t="str">
        <f>IF(AW61&gt;AW$118, AW61-AW$118,"")</f>
        <v/>
      </c>
      <c r="CA61" s="1" t="str">
        <f>IF(AX61&gt;AX$118, AX61-AX$118,"")</f>
        <v/>
      </c>
      <c r="CB61" s="1" t="str">
        <f>IF(AY61&gt;AY$118, AY61-AY$118,"")</f>
        <v/>
      </c>
      <c r="CC61" s="1" t="str">
        <f>IF(AZ61&gt;AZ$118, AZ61-AZ$118,"")</f>
        <v/>
      </c>
      <c r="CD61" s="1" t="str">
        <f>IF(BA61&gt;BA$118, BA61-BA$118,"")</f>
        <v/>
      </c>
      <c r="CE61" s="1" t="str">
        <f>IF(BB61&gt;BB$118, BB61-BB$118,"")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30</v>
      </c>
    </row>
    <row r="62" spans="1:97" s="48" customFormat="1" ht="27" x14ac:dyDescent="0.15">
      <c r="A62" s="1"/>
      <c r="B62" s="1" t="s">
        <v>95</v>
      </c>
      <c r="C62" s="1" t="s">
        <v>96</v>
      </c>
      <c r="D62" s="1" t="s">
        <v>93</v>
      </c>
      <c r="E62" s="6"/>
      <c r="F62" s="6"/>
      <c r="G62" s="6">
        <v>15</v>
      </c>
      <c r="H62" s="6">
        <v>15</v>
      </c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>
        <v>15</v>
      </c>
      <c r="AT62" s="4"/>
      <c r="AU62" s="4"/>
      <c r="AV62" s="4"/>
      <c r="AW62" s="2"/>
      <c r="AX62" s="2"/>
      <c r="AY62" s="2"/>
      <c r="AZ62" s="2"/>
      <c r="BA62" s="2"/>
      <c r="BB62" s="2">
        <v>15</v>
      </c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60</v>
      </c>
      <c r="BQ62" s="1">
        <v>11</v>
      </c>
      <c r="BR62" s="17">
        <v>2</v>
      </c>
      <c r="BS62" s="17" t="s">
        <v>262</v>
      </c>
      <c r="BT62" s="1" t="str">
        <f>IF(AQ62&gt;AQ$118, AQ62-AQ$118,"")</f>
        <v/>
      </c>
      <c r="BU62" s="1" t="str">
        <f>IF(AR62&gt;AR$118, AR62-AR$118,"")</f>
        <v/>
      </c>
      <c r="BV62" s="1" t="str">
        <f>IF(AS62&gt;AS$118, AS62-AS$118,"")</f>
        <v/>
      </c>
      <c r="BW62" s="1" t="str">
        <f>IF(AT62&gt;AT$118, AT62-AT$118,"")</f>
        <v/>
      </c>
      <c r="BX62" s="1" t="str">
        <f>IF(AU62&gt;AU$118, AU62-AU$118,"")</f>
        <v/>
      </c>
      <c r="BY62" s="1" t="str">
        <f>IF(AV62&gt;AV$118, AV62-AV$118,"")</f>
        <v/>
      </c>
      <c r="BZ62" s="1" t="str">
        <f>IF(AW62&gt;AW$118, AW62-AW$118,"")</f>
        <v/>
      </c>
      <c r="CA62" s="1" t="str">
        <f>IF(AX62&gt;AX$118, AX62-AX$118,"")</f>
        <v/>
      </c>
      <c r="CB62" s="1" t="str">
        <f>IF(AY62&gt;AY$118, AY62-AY$118,"")</f>
        <v/>
      </c>
      <c r="CC62" s="1" t="str">
        <f>IF(AZ62&gt;AZ$118, AZ62-AZ$118,"")</f>
        <v/>
      </c>
      <c r="CD62" s="1" t="str">
        <f>IF(BA62&gt;BA$118, BA62-BA$118,"")</f>
        <v/>
      </c>
      <c r="CE62" s="1" t="str">
        <f>IF(BB62&gt;BB$118, BB62-BB$118,"")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/>
      <c r="B63" s="1" t="s">
        <v>152</v>
      </c>
      <c r="C63" s="1" t="s">
        <v>109</v>
      </c>
      <c r="D63" s="1" t="s">
        <v>112</v>
      </c>
      <c r="E63" s="6"/>
      <c r="F63" s="6"/>
      <c r="G63" s="6"/>
      <c r="H63" s="6"/>
      <c r="I63" s="6">
        <v>10</v>
      </c>
      <c r="J63" s="6"/>
      <c r="K63" s="6"/>
      <c r="L63" s="6"/>
      <c r="M63" s="6"/>
      <c r="N63" s="6"/>
      <c r="O63" s="6"/>
      <c r="P63" s="28"/>
      <c r="Q63" s="28"/>
      <c r="R63" s="28">
        <v>10</v>
      </c>
      <c r="S63" s="28"/>
      <c r="T63" s="28"/>
      <c r="U63" s="28"/>
      <c r="V63" s="28"/>
      <c r="W63" s="28"/>
      <c r="X63" s="28">
        <v>10</v>
      </c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>
        <v>10</v>
      </c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40</v>
      </c>
      <c r="BQ63" s="1">
        <v>12</v>
      </c>
      <c r="BR63" s="17">
        <v>2</v>
      </c>
      <c r="BS63" s="17" t="s">
        <v>225</v>
      </c>
      <c r="BT63" s="1" t="str">
        <f>IF(AQ63&gt;AQ$118, AQ63-AQ$118,"")</f>
        <v/>
      </c>
      <c r="BU63" s="1" t="str">
        <f>IF(AR63&gt;AR$118, AR63-AR$118,"")</f>
        <v/>
      </c>
      <c r="BV63" s="1" t="str">
        <f>IF(AS63&gt;AS$118, AS63-AS$118,"")</f>
        <v/>
      </c>
      <c r="BW63" s="1" t="str">
        <f>IF(AT63&gt;AT$118, AT63-AT$118,"")</f>
        <v/>
      </c>
      <c r="BX63" s="1" t="str">
        <f>IF(AU63&gt;AU$118, AU63-AU$118,"")</f>
        <v/>
      </c>
      <c r="BY63" s="1" t="str">
        <f>IF(AV63&gt;AV$118, AV63-AV$118,"")</f>
        <v/>
      </c>
      <c r="BZ63" s="1" t="str">
        <f>IF(AW63&gt;AW$118, AW63-AW$118,"")</f>
        <v/>
      </c>
      <c r="CA63" s="1" t="str">
        <f>IF(AX63&gt;AX$118, AX63-AX$118,"")</f>
        <v/>
      </c>
      <c r="CB63" s="1" t="str">
        <f>IF(AY63&gt;AY$118, AY63-AY$118,"")</f>
        <v/>
      </c>
      <c r="CC63" s="1" t="str">
        <f>IF(AZ63&gt;AZ$118, AZ63-AZ$118,"")</f>
        <v/>
      </c>
      <c r="CD63" s="1" t="str">
        <f>IF(BA63&gt;BA$118, BA63-BA$118,"")</f>
        <v/>
      </c>
      <c r="CE63" s="1" t="str">
        <f>IF(BB63&gt;BB$118, BB63-BB$118,"")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40"/>
      <c r="B64" s="40" t="s">
        <v>170</v>
      </c>
      <c r="C64" s="40" t="s">
        <v>107</v>
      </c>
      <c r="D64" s="40" t="s">
        <v>93</v>
      </c>
      <c r="E64" s="41"/>
      <c r="F64" s="41"/>
      <c r="G64" s="41">
        <v>15</v>
      </c>
      <c r="H64" s="41">
        <v>15</v>
      </c>
      <c r="I64" s="41"/>
      <c r="J64" s="41"/>
      <c r="K64" s="41"/>
      <c r="L64" s="41"/>
      <c r="M64" s="41"/>
      <c r="N64" s="41"/>
      <c r="O64" s="41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3"/>
      <c r="AR64" s="43"/>
      <c r="AS64" s="43"/>
      <c r="AT64" s="43"/>
      <c r="AU64" s="43"/>
      <c r="AV64" s="43"/>
      <c r="AW64" s="44"/>
      <c r="AX64" s="44"/>
      <c r="AY64" s="44"/>
      <c r="AZ64" s="44"/>
      <c r="BA64" s="44">
        <v>15</v>
      </c>
      <c r="BB64" s="44">
        <v>15</v>
      </c>
      <c r="BC64" s="45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>
        <f>SUM(E64:BO64)</f>
        <v>60</v>
      </c>
      <c r="BQ64" s="40">
        <v>12</v>
      </c>
      <c r="BR64" s="46">
        <v>2</v>
      </c>
      <c r="BS64" s="46" t="s">
        <v>263</v>
      </c>
      <c r="BT64" s="40" t="str">
        <f>IF(AQ64&gt;AQ$118, AQ64-AQ$118,"")</f>
        <v/>
      </c>
      <c r="BU64" s="40" t="str">
        <f>IF(AR64&gt;AR$118, AR64-AR$118,"")</f>
        <v/>
      </c>
      <c r="BV64" s="40" t="str">
        <f>IF(AS64&gt;AS$118, AS64-AS$118,"")</f>
        <v/>
      </c>
      <c r="BW64" s="40" t="str">
        <f>IF(AT64&gt;AT$118, AT64-AT$118,"")</f>
        <v/>
      </c>
      <c r="BX64" s="40" t="str">
        <f>IF(AU64&gt;AU$118, AU64-AU$118,"")</f>
        <v/>
      </c>
      <c r="BY64" s="40" t="str">
        <f>IF(AV64&gt;AV$118, AV64-AV$118,"")</f>
        <v/>
      </c>
      <c r="BZ64" s="40" t="str">
        <f>IF(AW64&gt;AW$118, AW64-AW$118,"")</f>
        <v/>
      </c>
      <c r="CA64" s="40" t="str">
        <f>IF(AX64&gt;AX$118, AX64-AX$118,"")</f>
        <v/>
      </c>
      <c r="CB64" s="40" t="str">
        <f>IF(AY64&gt;AY$118, AY64-AY$118,"")</f>
        <v/>
      </c>
      <c r="CC64" s="40" t="str">
        <f>IF(AZ64&gt;AZ$118, AZ64-AZ$118,"")</f>
        <v/>
      </c>
      <c r="CD64" s="40" t="str">
        <f>IF(BA64&gt;BA$118, BA64-BA$118,"")</f>
        <v/>
      </c>
      <c r="CE64" s="40" t="str">
        <f>IF(BB64&gt;BB$118, BB64-BB$118,"")</f>
        <v/>
      </c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7"/>
    </row>
    <row r="65" spans="1:97" ht="27" x14ac:dyDescent="0.15">
      <c r="A65" s="1">
        <v>54</v>
      </c>
      <c r="B65" s="1" t="s">
        <v>48</v>
      </c>
      <c r="C65" s="1" t="s">
        <v>49</v>
      </c>
      <c r="D65" s="1" t="s">
        <v>1</v>
      </c>
      <c r="E65" s="6"/>
      <c r="F65" s="6">
        <v>15</v>
      </c>
      <c r="G65" s="6"/>
      <c r="H65" s="6">
        <v>15</v>
      </c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>
        <v>15</v>
      </c>
      <c r="AW65" s="2"/>
      <c r="AX65" s="2"/>
      <c r="AY65" s="2"/>
      <c r="AZ65" s="2"/>
      <c r="BA65" s="2">
        <v>15</v>
      </c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60</v>
      </c>
      <c r="BQ65" s="1">
        <v>12</v>
      </c>
      <c r="BR65" s="17">
        <v>2</v>
      </c>
      <c r="BS65" s="17" t="s">
        <v>263</v>
      </c>
      <c r="BT65" s="1" t="str">
        <f>IF(AQ65&gt;AQ$118, AQ65-AQ$118,"")</f>
        <v/>
      </c>
      <c r="BU65" s="1" t="str">
        <f>IF(AR65&gt;AR$118, AR65-AR$118,"")</f>
        <v/>
      </c>
      <c r="BV65" s="1" t="str">
        <f>IF(AS65&gt;AS$118, AS65-AS$118,"")</f>
        <v/>
      </c>
      <c r="BW65" s="1" t="str">
        <f>IF(AT65&gt;AT$118, AT65-AT$118,"")</f>
        <v/>
      </c>
      <c r="BX65" s="1" t="str">
        <f>IF(AU65&gt;AU$118, AU65-AU$118,"")</f>
        <v/>
      </c>
      <c r="BY65" s="1" t="str">
        <f>IF(AV65&gt;AV$118, AV65-AV$118,"")</f>
        <v/>
      </c>
      <c r="BZ65" s="1" t="str">
        <f>IF(AW65&gt;AW$118, AW65-AW$118,"")</f>
        <v/>
      </c>
      <c r="CA65" s="1" t="str">
        <f>IF(AX65&gt;AX$118, AX65-AX$118,"")</f>
        <v/>
      </c>
      <c r="CB65" s="1" t="str">
        <f>IF(AY65&gt;AY$118, AY65-AY$118,"")</f>
        <v/>
      </c>
      <c r="CC65" s="1" t="str">
        <f>IF(AZ65&gt;AZ$118, AZ65-AZ$118,"")</f>
        <v/>
      </c>
      <c r="CD65" s="1" t="str">
        <f>IF(BA65&gt;BA$118, BA65-BA$118,"")</f>
        <v/>
      </c>
      <c r="CE65" s="1" t="str">
        <f>IF(BB65&gt;BB$118, BB65-BB$118,"")</f>
        <v/>
      </c>
      <c r="CF65" s="1">
        <f>COUNTIF(BT65:CE65, "&gt;0")</f>
        <v>0</v>
      </c>
      <c r="CG65" s="1" t="str">
        <f>IF($CF65=1,BT65,"")</f>
        <v/>
      </c>
      <c r="CH65" s="1" t="str">
        <f>IF($CF65=1,BU65,"")</f>
        <v/>
      </c>
      <c r="CI65" s="1" t="str">
        <f>IF($CF65=1,BV65,"")</f>
        <v/>
      </c>
      <c r="CJ65" s="1" t="str">
        <f>IF($CF65=1,BW65,"")</f>
        <v/>
      </c>
      <c r="CK65" s="1" t="str">
        <f>IF($CF65=1,BX65,"")</f>
        <v/>
      </c>
      <c r="CL65" s="1" t="str">
        <f>IF($CF65=1,BY65,"")</f>
        <v/>
      </c>
      <c r="CM65" s="1" t="str">
        <f>IF($CF65=1,BZ65,"")</f>
        <v/>
      </c>
      <c r="CN65" s="1" t="str">
        <f>IF($CF65=1,CA65,"")</f>
        <v/>
      </c>
      <c r="CO65" s="1" t="str">
        <f>IF($CF65=1,CB65,"")</f>
        <v/>
      </c>
      <c r="CP65" s="1" t="str">
        <f>IF($CF65=1,CC65,"")</f>
        <v/>
      </c>
      <c r="CQ65" s="1" t="str">
        <f>IF($CF65=1,CD65,"")</f>
        <v/>
      </c>
      <c r="CR65" s="1" t="str">
        <f>IF($CF65=1,CE65,"")</f>
        <v/>
      </c>
      <c r="CS65" s="3">
        <f>SUM(AE65:BO65)</f>
        <v>30</v>
      </c>
    </row>
    <row r="66" spans="1:97" ht="27" x14ac:dyDescent="0.15">
      <c r="A66" s="1"/>
      <c r="B66" s="1" t="s">
        <v>99</v>
      </c>
      <c r="C66" s="1" t="s">
        <v>96</v>
      </c>
      <c r="D66" s="1" t="s">
        <v>93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>
        <v>5</v>
      </c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>
        <v>5</v>
      </c>
      <c r="AP66" s="1">
        <v>10</v>
      </c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20</v>
      </c>
      <c r="BQ66" s="1">
        <v>15</v>
      </c>
      <c r="BR66" s="17">
        <v>2</v>
      </c>
      <c r="BS66" s="17" t="s">
        <v>226</v>
      </c>
      <c r="BT66" s="1" t="str">
        <f>IF(AQ66&gt;AQ$118, AQ66-AQ$118,"")</f>
        <v/>
      </c>
      <c r="BU66" s="1" t="str">
        <f>IF(AR66&gt;AR$118, AR66-AR$118,"")</f>
        <v/>
      </c>
      <c r="BV66" s="1" t="str">
        <f>IF(AS66&gt;AS$118, AS66-AS$118,"")</f>
        <v/>
      </c>
      <c r="BW66" s="1" t="str">
        <f>IF(AT66&gt;AT$118, AT66-AT$118,"")</f>
        <v/>
      </c>
      <c r="BX66" s="1" t="str">
        <f>IF(AU66&gt;AU$118, AU66-AU$118,"")</f>
        <v/>
      </c>
      <c r="BY66" s="1" t="str">
        <f>IF(AV66&gt;AV$118, AV66-AV$118,"")</f>
        <v/>
      </c>
      <c r="BZ66" s="1" t="str">
        <f>IF(AW66&gt;AW$118, AW66-AW$118,"")</f>
        <v/>
      </c>
      <c r="CA66" s="1" t="str">
        <f>IF(AX66&gt;AX$118, AX66-AX$118,"")</f>
        <v/>
      </c>
      <c r="CB66" s="1" t="str">
        <f>IF(AY66&gt;AY$118, AY66-AY$118,"")</f>
        <v/>
      </c>
      <c r="CC66" s="1" t="str">
        <f>IF(AZ66&gt;AZ$118, AZ66-AZ$118,"")</f>
        <v/>
      </c>
      <c r="CD66" s="1" t="str">
        <f>IF(BA66&gt;BA$118, BA66-BA$118,"")</f>
        <v/>
      </c>
      <c r="CE66" s="1" t="str">
        <f>IF(BB66&gt;BB$118, BB66-BB$118,"")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/>
      <c r="B67" s="1" t="s">
        <v>150</v>
      </c>
      <c r="C67" s="1" t="s">
        <v>92</v>
      </c>
      <c r="D67" s="1" t="s">
        <v>94</v>
      </c>
      <c r="E67" s="6">
        <v>10</v>
      </c>
      <c r="F67" s="6"/>
      <c r="G67" s="6">
        <v>10</v>
      </c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>
        <v>15</v>
      </c>
      <c r="AU67" s="4"/>
      <c r="AV67" s="4"/>
      <c r="AW67" s="2"/>
      <c r="AX67" s="2"/>
      <c r="AY67" s="2"/>
      <c r="AZ67" s="2">
        <v>15</v>
      </c>
      <c r="BA67" s="2">
        <v>15</v>
      </c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65</v>
      </c>
      <c r="BQ67" s="1">
        <v>17</v>
      </c>
      <c r="BR67" s="17">
        <v>2</v>
      </c>
      <c r="BS67" s="17" t="s">
        <v>267</v>
      </c>
      <c r="BT67" s="1" t="str">
        <f>IF(AQ67&gt;AQ$118, AQ67-AQ$118,"")</f>
        <v/>
      </c>
      <c r="BU67" s="1" t="str">
        <f>IF(AR67&gt;AR$118, AR67-AR$118,"")</f>
        <v/>
      </c>
      <c r="BV67" s="1" t="str">
        <f>IF(AS67&gt;AS$118, AS67-AS$118,"")</f>
        <v/>
      </c>
      <c r="BW67" s="1" t="str">
        <f>IF(AT67&gt;AT$118, AT67-AT$118,"")</f>
        <v/>
      </c>
      <c r="BX67" s="1" t="str">
        <f>IF(AU67&gt;AU$118, AU67-AU$118,"")</f>
        <v/>
      </c>
      <c r="BY67" s="1" t="str">
        <f>IF(AV67&gt;AV$118, AV67-AV$118,"")</f>
        <v/>
      </c>
      <c r="BZ67" s="1" t="str">
        <f>IF(AW67&gt;AW$118, AW67-AW$118,"")</f>
        <v/>
      </c>
      <c r="CA67" s="1" t="str">
        <f>IF(AX67&gt;AX$118, AX67-AX$118,"")</f>
        <v/>
      </c>
      <c r="CB67" s="1" t="str">
        <f>IF(AY67&gt;AY$118, AY67-AY$118,"")</f>
        <v/>
      </c>
      <c r="CC67" s="1" t="str">
        <f>IF(AZ67&gt;AZ$118, AZ67-AZ$118,"")</f>
        <v/>
      </c>
      <c r="CD67" s="1" t="str">
        <f>IF(BA67&gt;BA$118, BA67-BA$118,"")</f>
        <v/>
      </c>
      <c r="CE67" s="1" t="str">
        <f>IF(BB67&gt;BB$118, BB67-BB$118,"")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/>
      <c r="B68" s="1" t="s">
        <v>127</v>
      </c>
      <c r="C68" s="1" t="s">
        <v>128</v>
      </c>
      <c r="D68" s="1" t="s">
        <v>112</v>
      </c>
      <c r="E68" s="6">
        <v>10</v>
      </c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>
        <v>10</v>
      </c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40</v>
      </c>
      <c r="BQ68" s="1">
        <v>18</v>
      </c>
      <c r="BR68" s="17">
        <v>2</v>
      </c>
      <c r="BS68" s="17" t="s">
        <v>201</v>
      </c>
      <c r="BT68" s="1" t="str">
        <f>IF(AQ68&gt;AQ$118, AQ68-AQ$118,"")</f>
        <v/>
      </c>
      <c r="BU68" s="1" t="str">
        <f>IF(AR68&gt;AR$118, AR68-AR$118,"")</f>
        <v/>
      </c>
      <c r="BV68" s="1" t="str">
        <f>IF(AS68&gt;AS$118, AS68-AS$118,"")</f>
        <v/>
      </c>
      <c r="BW68" s="1" t="str">
        <f>IF(AT68&gt;AT$118, AT68-AT$118,"")</f>
        <v/>
      </c>
      <c r="BX68" s="1" t="str">
        <f>IF(AU68&gt;AU$118, AU68-AU$118,"")</f>
        <v/>
      </c>
      <c r="BY68" s="1" t="str">
        <f>IF(AV68&gt;AV$118, AV68-AV$118,"")</f>
        <v/>
      </c>
      <c r="BZ68" s="1" t="str">
        <f>IF(AW68&gt;AW$118, AW68-AW$118,"")</f>
        <v/>
      </c>
      <c r="CA68" s="1" t="str">
        <f>IF(AX68&gt;AX$118, AX68-AX$118,"")</f>
        <v/>
      </c>
      <c r="CB68" s="1" t="str">
        <f>IF(AY68&gt;AY$118, AY68-AY$118,"")</f>
        <v/>
      </c>
      <c r="CC68" s="1" t="str">
        <f>IF(AZ68&gt;AZ$118, AZ68-AZ$118,"")</f>
        <v/>
      </c>
      <c r="CD68" s="1" t="str">
        <f>IF(BA68&gt;BA$118, BA68-BA$118,"")</f>
        <v/>
      </c>
      <c r="CE68" s="1" t="str">
        <f>IF(BB68&gt;BB$118, BB68-BB$118,"")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133</v>
      </c>
      <c r="C69" s="1" t="s">
        <v>132</v>
      </c>
      <c r="D69" s="1" t="s">
        <v>112</v>
      </c>
      <c r="E69" s="6">
        <v>10</v>
      </c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>
        <v>10</v>
      </c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>
        <v>10</v>
      </c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40</v>
      </c>
      <c r="BQ69" s="1">
        <v>18</v>
      </c>
      <c r="BR69" s="17">
        <v>2</v>
      </c>
      <c r="BS69" s="17" t="s">
        <v>264</v>
      </c>
      <c r="BT69" s="1" t="str">
        <f>IF(AQ69&gt;AQ$118, AQ69-AQ$118,"")</f>
        <v/>
      </c>
      <c r="BU69" s="1" t="str">
        <f>IF(AR69&gt;AR$118, AR69-AR$118,"")</f>
        <v/>
      </c>
      <c r="BV69" s="1" t="str">
        <f>IF(AS69&gt;AS$118, AS69-AS$118,"")</f>
        <v/>
      </c>
      <c r="BW69" s="1" t="str">
        <f>IF(AT69&gt;AT$118, AT69-AT$118,"")</f>
        <v/>
      </c>
      <c r="BX69" s="1" t="str">
        <f>IF(AU69&gt;AU$118, AU69-AU$118,"")</f>
        <v/>
      </c>
      <c r="BY69" s="1" t="str">
        <f>IF(AV69&gt;AV$118, AV69-AV$118,"")</f>
        <v/>
      </c>
      <c r="BZ69" s="1" t="str">
        <f>IF(AW69&gt;AW$118, AW69-AW$118,"")</f>
        <v/>
      </c>
      <c r="CA69" s="1" t="str">
        <f>IF(AX69&gt;AX$118, AX69-AX$118,"")</f>
        <v/>
      </c>
      <c r="CB69" s="1" t="str">
        <f>IF(AY69&gt;AY$118, AY69-AY$118,"")</f>
        <v/>
      </c>
      <c r="CC69" s="1" t="str">
        <f>IF(AZ69&gt;AZ$118, AZ69-AZ$118,"")</f>
        <v/>
      </c>
      <c r="CD69" s="1" t="str">
        <f>IF(BA69&gt;BA$118, BA69-BA$118,"")</f>
        <v/>
      </c>
      <c r="CE69" s="1" t="str">
        <f>IF(BB69&gt;BB$118, BB69-BB$118,"")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143</v>
      </c>
      <c r="C70" s="1" t="s">
        <v>139</v>
      </c>
      <c r="D70" s="1" t="s">
        <v>112</v>
      </c>
      <c r="E70" s="6">
        <v>10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>
        <v>10</v>
      </c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>
        <v>10</v>
      </c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18</v>
      </c>
      <c r="BR70" s="17">
        <v>2</v>
      </c>
      <c r="BS70" s="17" t="s">
        <v>264</v>
      </c>
      <c r="BT70" s="1" t="str">
        <f>IF(AQ70&gt;AQ$118, AQ70-AQ$118,"")</f>
        <v/>
      </c>
      <c r="BU70" s="1" t="str">
        <f>IF(AR70&gt;AR$118, AR70-AR$118,"")</f>
        <v/>
      </c>
      <c r="BV70" s="1" t="str">
        <f>IF(AS70&gt;AS$118, AS70-AS$118,"")</f>
        <v/>
      </c>
      <c r="BW70" s="1" t="str">
        <f>IF(AT70&gt;AT$118, AT70-AT$118,"")</f>
        <v/>
      </c>
      <c r="BX70" s="1" t="str">
        <f>IF(AU70&gt;AU$118, AU70-AU$118,"")</f>
        <v/>
      </c>
      <c r="BY70" s="1" t="str">
        <f>IF(AV70&gt;AV$118, AV70-AV$118,"")</f>
        <v/>
      </c>
      <c r="BZ70" s="1" t="str">
        <f>IF(AW70&gt;AW$118, AW70-AW$118,"")</f>
        <v/>
      </c>
      <c r="CA70" s="1" t="str">
        <f>IF(AX70&gt;AX$118, AX70-AX$118,"")</f>
        <v/>
      </c>
      <c r="CB70" s="1" t="str">
        <f>IF(AY70&gt;AY$118, AY70-AY$118,"")</f>
        <v/>
      </c>
      <c r="CC70" s="1" t="str">
        <f>IF(AZ70&gt;AZ$118, AZ70-AZ$118,"")</f>
        <v/>
      </c>
      <c r="CD70" s="1" t="str">
        <f>IF(BA70&gt;BA$118, BA70-BA$118,"")</f>
        <v/>
      </c>
      <c r="CE70" s="1" t="str">
        <f>IF(BB70&gt;BB$118, BB70-BB$118,"")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141</v>
      </c>
      <c r="C71" s="1" t="s">
        <v>139</v>
      </c>
      <c r="D71" s="1" t="s">
        <v>112</v>
      </c>
      <c r="E71" s="6"/>
      <c r="F71" s="6"/>
      <c r="G71" s="6"/>
      <c r="H71" s="6">
        <v>10</v>
      </c>
      <c r="I71" s="6"/>
      <c r="J71" s="6"/>
      <c r="K71" s="6"/>
      <c r="L71" s="6"/>
      <c r="M71" s="6"/>
      <c r="N71" s="6"/>
      <c r="O71" s="6"/>
      <c r="P71" s="28"/>
      <c r="Q71" s="28"/>
      <c r="R71" s="28">
        <v>10</v>
      </c>
      <c r="S71" s="28"/>
      <c r="T71" s="28"/>
      <c r="U71" s="28">
        <v>10</v>
      </c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>
        <v>10</v>
      </c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40</v>
      </c>
      <c r="BQ71" s="1">
        <v>18</v>
      </c>
      <c r="BR71" s="17">
        <v>2</v>
      </c>
      <c r="BS71" s="17" t="s">
        <v>264</v>
      </c>
      <c r="BT71" s="1" t="str">
        <f>IF(AQ71&gt;AQ$118, AQ71-AQ$118,"")</f>
        <v/>
      </c>
      <c r="BU71" s="1" t="str">
        <f>IF(AR71&gt;AR$118, AR71-AR$118,"")</f>
        <v/>
      </c>
      <c r="BV71" s="1" t="str">
        <f>IF(AS71&gt;AS$118, AS71-AS$118,"")</f>
        <v/>
      </c>
      <c r="BW71" s="1" t="str">
        <f>IF(AT71&gt;AT$118, AT71-AT$118,"")</f>
        <v/>
      </c>
      <c r="BX71" s="1" t="str">
        <f>IF(AU71&gt;AU$118, AU71-AU$118,"")</f>
        <v/>
      </c>
      <c r="BY71" s="1" t="str">
        <f>IF(AV71&gt;AV$118, AV71-AV$118,"")</f>
        <v/>
      </c>
      <c r="BZ71" s="1" t="str">
        <f>IF(AW71&gt;AW$118, AW71-AW$118,"")</f>
        <v/>
      </c>
      <c r="CA71" s="1" t="str">
        <f>IF(AX71&gt;AX$118, AX71-AX$118,"")</f>
        <v/>
      </c>
      <c r="CB71" s="1" t="str">
        <f>IF(AY71&gt;AY$118, AY71-AY$118,"")</f>
        <v/>
      </c>
      <c r="CC71" s="1" t="str">
        <f>IF(AZ71&gt;AZ$118, AZ71-AZ$118,"")</f>
        <v/>
      </c>
      <c r="CD71" s="1" t="str">
        <f>IF(BA71&gt;BA$118, BA71-BA$118,"")</f>
        <v/>
      </c>
      <c r="CE71" s="1" t="str">
        <f>IF(BB71&gt;BB$118, BB71-BB$118,"")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99</v>
      </c>
      <c r="C72" s="1" t="s">
        <v>96</v>
      </c>
      <c r="D72" s="1" t="s">
        <v>94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>
        <v>10</v>
      </c>
      <c r="AP72" s="1">
        <v>10</v>
      </c>
      <c r="AQ72" s="4"/>
      <c r="AR72" s="4"/>
      <c r="AS72" s="4">
        <v>5</v>
      </c>
      <c r="AT72" s="4"/>
      <c r="AU72" s="4"/>
      <c r="AV72" s="4"/>
      <c r="AW72" s="2"/>
      <c r="AX72" s="2">
        <v>5</v>
      </c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30</v>
      </c>
      <c r="BQ72" s="1">
        <v>20</v>
      </c>
      <c r="BR72" s="17">
        <v>2</v>
      </c>
      <c r="BS72" s="17" t="s">
        <v>278</v>
      </c>
      <c r="BT72" s="1" t="str">
        <f>IF(AQ72&gt;AQ$118, AQ72-AQ$118,"")</f>
        <v/>
      </c>
      <c r="BU72" s="1" t="str">
        <f>IF(AR72&gt;AR$118, AR72-AR$118,"")</f>
        <v/>
      </c>
      <c r="BV72" s="1" t="str">
        <f>IF(AS72&gt;AS$118, AS72-AS$118,"")</f>
        <v/>
      </c>
      <c r="BW72" s="1" t="str">
        <f>IF(AT72&gt;AT$118, AT72-AT$118,"")</f>
        <v/>
      </c>
      <c r="BX72" s="1" t="str">
        <f>IF(AU72&gt;AU$118, AU72-AU$118,"")</f>
        <v/>
      </c>
      <c r="BY72" s="1" t="str">
        <f>IF(AV72&gt;AV$118, AV72-AV$118,"")</f>
        <v/>
      </c>
      <c r="BZ72" s="1" t="str">
        <f>IF(AW72&gt;AW$118, AW72-AW$118,"")</f>
        <v/>
      </c>
      <c r="CA72" s="1" t="str">
        <f>IF(AX72&gt;AX$118, AX72-AX$118,"")</f>
        <v/>
      </c>
      <c r="CB72" s="1" t="str">
        <f>IF(AY72&gt;AY$118, AY72-AY$118,"")</f>
        <v/>
      </c>
      <c r="CC72" s="1" t="str">
        <f>IF(AZ72&gt;AZ$118, AZ72-AZ$118,"")</f>
        <v/>
      </c>
      <c r="CD72" s="1" t="str">
        <f>IF(BA72&gt;BA$118, BA72-BA$118,"")</f>
        <v/>
      </c>
      <c r="CE72" s="1" t="str">
        <f>IF(BB72&gt;BB$118, BB72-BB$118,"")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"/>
      <c r="B73" s="1" t="s">
        <v>169</v>
      </c>
      <c r="C73" s="1" t="s">
        <v>107</v>
      </c>
      <c r="D73" s="1" t="s">
        <v>93</v>
      </c>
      <c r="E73" s="6"/>
      <c r="F73" s="6"/>
      <c r="G73" s="6">
        <v>20</v>
      </c>
      <c r="H73" s="6">
        <v>20</v>
      </c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>
        <v>20</v>
      </c>
      <c r="BB73" s="2">
        <v>20</v>
      </c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80</v>
      </c>
      <c r="BQ73" s="1">
        <v>22</v>
      </c>
      <c r="BR73" s="17">
        <v>2</v>
      </c>
      <c r="BS73" s="17" t="s">
        <v>268</v>
      </c>
      <c r="BT73" s="1" t="str">
        <f>IF(AQ73&gt;AQ$118, AQ73-AQ$118,"")</f>
        <v/>
      </c>
      <c r="BU73" s="1" t="str">
        <f>IF(AR73&gt;AR$118, AR73-AR$118,"")</f>
        <v/>
      </c>
      <c r="BV73" s="1" t="str">
        <f>IF(AS73&gt;AS$118, AS73-AS$118,"")</f>
        <v/>
      </c>
      <c r="BW73" s="1" t="str">
        <f>IF(AT73&gt;AT$118, AT73-AT$118,"")</f>
        <v/>
      </c>
      <c r="BX73" s="1" t="str">
        <f>IF(AU73&gt;AU$118, AU73-AU$118,"")</f>
        <v/>
      </c>
      <c r="BY73" s="1" t="str">
        <f>IF(AV73&gt;AV$118, AV73-AV$118,"")</f>
        <v/>
      </c>
      <c r="BZ73" s="1" t="str">
        <f>IF(AW73&gt;AW$118, AW73-AW$118,"")</f>
        <v/>
      </c>
      <c r="CA73" s="1" t="str">
        <f>IF(AX73&gt;AX$118, AX73-AX$118,"")</f>
        <v/>
      </c>
      <c r="CB73" s="1" t="str">
        <f>IF(AY73&gt;AY$118, AY73-AY$118,"")</f>
        <v/>
      </c>
      <c r="CC73" s="1" t="str">
        <f>IF(AZ73&gt;AZ$118, AZ73-AZ$118,"")</f>
        <v/>
      </c>
      <c r="CD73" s="1" t="str">
        <f>IF(BA73&gt;BA$118, BA73-BA$118,"")</f>
        <v/>
      </c>
      <c r="CE73" s="1" t="str">
        <f>IF(BB73&gt;BB$118, BB73-BB$118,"")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27" x14ac:dyDescent="0.15">
      <c r="A74" s="18">
        <v>65</v>
      </c>
      <c r="B74" s="24" t="s">
        <v>54</v>
      </c>
      <c r="C74" s="18" t="s">
        <v>49</v>
      </c>
      <c r="D74" s="18" t="s">
        <v>12</v>
      </c>
      <c r="E74" s="19"/>
      <c r="F74" s="19"/>
      <c r="G74" s="19">
        <v>10</v>
      </c>
      <c r="H74" s="19"/>
      <c r="I74" s="19"/>
      <c r="J74" s="19"/>
      <c r="K74" s="19"/>
      <c r="L74" s="19"/>
      <c r="M74" s="19"/>
      <c r="N74" s="19"/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/>
      <c r="AG74" s="18"/>
      <c r="AH74" s="18"/>
      <c r="AI74" s="18"/>
      <c r="AJ74" s="18"/>
      <c r="AK74" s="18"/>
      <c r="AL74" s="18"/>
      <c r="AM74" s="18"/>
      <c r="AN74" s="18">
        <v>25</v>
      </c>
      <c r="AO74" s="18"/>
      <c r="AP74" s="18"/>
      <c r="AQ74" s="20"/>
      <c r="AR74" s="20"/>
      <c r="AS74" s="20"/>
      <c r="AT74" s="20"/>
      <c r="AU74" s="20"/>
      <c r="AV74" s="20">
        <v>10</v>
      </c>
      <c r="AW74" s="21"/>
      <c r="AX74" s="21"/>
      <c r="AY74" s="21"/>
      <c r="AZ74" s="21">
        <v>10</v>
      </c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>
        <f>SUM(E74:BO74)</f>
        <v>55</v>
      </c>
      <c r="BQ74" s="18">
        <v>26</v>
      </c>
      <c r="BR74" s="22">
        <v>2</v>
      </c>
      <c r="BS74" s="22" t="s">
        <v>269</v>
      </c>
      <c r="BT74" s="18" t="str">
        <f>IF(AQ74&gt;AQ$118, AQ74-AQ$118,"")</f>
        <v/>
      </c>
      <c r="BU74" s="18" t="str">
        <f>IF(AR74&gt;AR$118, AR74-AR$118,"")</f>
        <v/>
      </c>
      <c r="BV74" s="18" t="str">
        <f>IF(AS74&gt;AS$118, AS74-AS$118,"")</f>
        <v/>
      </c>
      <c r="BW74" s="18" t="str">
        <f>IF(AT74&gt;AT$118, AT74-AT$118,"")</f>
        <v/>
      </c>
      <c r="BX74" s="18" t="str">
        <f>IF(AU74&gt;AU$118, AU74-AU$118,"")</f>
        <v/>
      </c>
      <c r="BY74" s="18" t="str">
        <f>IF(AV74&gt;AV$118, AV74-AV$118,"")</f>
        <v/>
      </c>
      <c r="BZ74" s="18" t="str">
        <f>IF(AW74&gt;AW$118, AW74-AW$118,"")</f>
        <v/>
      </c>
      <c r="CA74" s="18" t="str">
        <f>IF(AX74&gt;AX$118, AX74-AX$118,"")</f>
        <v/>
      </c>
      <c r="CB74" s="18" t="str">
        <f>IF(AY74&gt;AY$118, AY74-AY$118,"")</f>
        <v/>
      </c>
      <c r="CC74" s="18" t="str">
        <f>IF(AZ74&gt;AZ$118, AZ74-AZ$118,"")</f>
        <v/>
      </c>
      <c r="CD74" s="18" t="str">
        <f>IF(BA74&gt;BA$118, BA74-BA$118,"")</f>
        <v/>
      </c>
      <c r="CE74" s="18" t="str">
        <f>IF(BB74&gt;BB$118, BB74-BB$118,"")</f>
        <v/>
      </c>
      <c r="CF74" s="18">
        <f>COUNTIF(BT74:CE74, "&gt;0")</f>
        <v>0</v>
      </c>
      <c r="CG74" s="18" t="str">
        <f>IF($CF74=1,BT74,"")</f>
        <v/>
      </c>
      <c r="CH74" s="18" t="str">
        <f>IF($CF74=1,BU74,"")</f>
        <v/>
      </c>
      <c r="CI74" s="18" t="str">
        <f>IF($CF74=1,BV74,"")</f>
        <v/>
      </c>
      <c r="CJ74" s="18" t="str">
        <f>IF($CF74=1,BW74,"")</f>
        <v/>
      </c>
      <c r="CK74" s="18" t="str">
        <f>IF($CF74=1,BX74,"")</f>
        <v/>
      </c>
      <c r="CL74" s="18" t="str">
        <f>IF($CF74=1,BY74,"")</f>
        <v/>
      </c>
      <c r="CM74" s="18" t="str">
        <f>IF($CF74=1,BZ74,"")</f>
        <v/>
      </c>
      <c r="CN74" s="18" t="str">
        <f>IF($CF74=1,CA74,"")</f>
        <v/>
      </c>
      <c r="CO74" s="18" t="str">
        <f>IF($CF74=1,CB74,"")</f>
        <v/>
      </c>
      <c r="CP74" s="18" t="str">
        <f>IF($CF74=1,CC74,"")</f>
        <v/>
      </c>
      <c r="CQ74" s="18" t="str">
        <f>IF($CF74=1,CD74,"")</f>
        <v/>
      </c>
      <c r="CR74" s="18" t="str">
        <f>IF($CF74=1,CE74,"")</f>
        <v/>
      </c>
      <c r="CS74" s="24">
        <f>SUM(AE74:BO74)</f>
        <v>45</v>
      </c>
    </row>
    <row r="75" spans="1:97" ht="27" x14ac:dyDescent="0.15">
      <c r="A75" s="1"/>
      <c r="B75" s="1" t="s">
        <v>95</v>
      </c>
      <c r="C75" s="1" t="s">
        <v>96</v>
      </c>
      <c r="D75" s="1" t="s">
        <v>97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>
        <v>40</v>
      </c>
      <c r="AW75" s="2">
        <v>40</v>
      </c>
      <c r="AX75" s="2"/>
      <c r="AY75" s="2"/>
      <c r="AZ75" s="2"/>
      <c r="BA75" s="2"/>
      <c r="BB75" s="2">
        <v>40</v>
      </c>
      <c r="BC75" s="14">
        <v>10</v>
      </c>
      <c r="BD75" s="1">
        <v>50</v>
      </c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180</v>
      </c>
      <c r="BQ75" s="1">
        <v>48</v>
      </c>
      <c r="BR75" s="17">
        <v>2</v>
      </c>
      <c r="BS75" s="17" t="s">
        <v>270</v>
      </c>
      <c r="BT75" s="1" t="str">
        <f>IF(AQ75&gt;AQ$118, AQ75-AQ$118,"")</f>
        <v/>
      </c>
      <c r="BU75" s="1" t="str">
        <f>IF(AR75&gt;AR$118, AR75-AR$118,"")</f>
        <v/>
      </c>
      <c r="BV75" s="1" t="str">
        <f>IF(AS75&gt;AS$118, AS75-AS$118,"")</f>
        <v/>
      </c>
      <c r="BW75" s="1" t="str">
        <f>IF(AT75&gt;AT$118, AT75-AT$118,"")</f>
        <v/>
      </c>
      <c r="BX75" s="1" t="str">
        <f>IF(AU75&gt;AU$118, AU75-AU$118,"")</f>
        <v/>
      </c>
      <c r="BY75" s="1" t="str">
        <f>IF(AV75&gt;AV$118, AV75-AV$118,"")</f>
        <v/>
      </c>
      <c r="BZ75" s="1" t="str">
        <f>IF(AW75&gt;AW$118, AW75-AW$118,"")</f>
        <v/>
      </c>
      <c r="CA75" s="1" t="str">
        <f>IF(AX75&gt;AX$118, AX75-AX$118,"")</f>
        <v/>
      </c>
      <c r="CB75" s="1" t="str">
        <f>IF(AY75&gt;AY$118, AY75-AY$118,"")</f>
        <v/>
      </c>
      <c r="CC75" s="1" t="str">
        <f>IF(AZ75&gt;AZ$118, AZ75-AZ$118,"")</f>
        <v/>
      </c>
      <c r="CD75" s="1" t="str">
        <f>IF(BA75&gt;BA$118, BA75-BA$118,"")</f>
        <v/>
      </c>
      <c r="CE75" s="1" t="str">
        <f>IF(BB75&gt;BB$118, BB75-BB$118,"")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143</v>
      </c>
      <c r="C76" s="1" t="s">
        <v>139</v>
      </c>
      <c r="D76" s="1" t="s">
        <v>111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>
        <v>2</v>
      </c>
      <c r="V76" s="28"/>
      <c r="W76" s="28"/>
      <c r="X76" s="28"/>
      <c r="Y76" s="28"/>
      <c r="Z76" s="28"/>
      <c r="AA76" s="28">
        <v>2</v>
      </c>
      <c r="AB76" s="28"/>
      <c r="AC76" s="28">
        <v>5</v>
      </c>
      <c r="AD76" s="28">
        <v>2</v>
      </c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11</v>
      </c>
      <c r="BQ76" s="1">
        <v>6</v>
      </c>
      <c r="BR76" s="17">
        <v>3</v>
      </c>
      <c r="BS76" s="17" t="s">
        <v>227</v>
      </c>
      <c r="BT76" s="1" t="str">
        <f>IF(AQ76&gt;AQ$118, AQ76-AQ$118,"")</f>
        <v/>
      </c>
      <c r="BU76" s="1" t="str">
        <f>IF(AR76&gt;AR$118, AR76-AR$118,"")</f>
        <v/>
      </c>
      <c r="BV76" s="1" t="str">
        <f>IF(AS76&gt;AS$118, AS76-AS$118,"")</f>
        <v/>
      </c>
      <c r="BW76" s="1" t="str">
        <f>IF(AT76&gt;AT$118, AT76-AT$118,"")</f>
        <v/>
      </c>
      <c r="BX76" s="1" t="str">
        <f>IF(AU76&gt;AU$118, AU76-AU$118,"")</f>
        <v/>
      </c>
      <c r="BY76" s="1" t="str">
        <f>IF(AV76&gt;AV$118, AV76-AV$118,"")</f>
        <v/>
      </c>
      <c r="BZ76" s="1" t="str">
        <f>IF(AW76&gt;AW$118, AW76-AW$118,"")</f>
        <v/>
      </c>
      <c r="CA76" s="1" t="str">
        <f>IF(AX76&gt;AX$118, AX76-AX$118,"")</f>
        <v/>
      </c>
      <c r="CB76" s="1" t="str">
        <f>IF(AY76&gt;AY$118, AY76-AY$118,"")</f>
        <v/>
      </c>
      <c r="CC76" s="1" t="str">
        <f>IF(AZ76&gt;AZ$118, AZ76-AZ$118,"")</f>
        <v/>
      </c>
      <c r="CD76" s="1" t="str">
        <f>IF(BA76&gt;BA$118, BA76-BA$118,"")</f>
        <v/>
      </c>
      <c r="CE76" s="1" t="str">
        <f>IF(BB76&gt;BB$118, BB76-BB$118,"")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136</v>
      </c>
      <c r="C77" s="1" t="s">
        <v>137</v>
      </c>
      <c r="D77" s="1" t="s">
        <v>112</v>
      </c>
      <c r="E77" s="6"/>
      <c r="F77" s="6"/>
      <c r="G77" s="6"/>
      <c r="H77" s="6"/>
      <c r="I77" s="6"/>
      <c r="J77" s="6"/>
      <c r="K77" s="6"/>
      <c r="L77" s="6">
        <v>7</v>
      </c>
      <c r="M77" s="6"/>
      <c r="N77" s="6"/>
      <c r="O77" s="6"/>
      <c r="P77" s="28"/>
      <c r="Q77" s="28">
        <v>7</v>
      </c>
      <c r="R77" s="28"/>
      <c r="S77" s="28"/>
      <c r="T77" s="28">
        <v>7</v>
      </c>
      <c r="U77" s="28"/>
      <c r="V77" s="28"/>
      <c r="W77" s="28"/>
      <c r="X77" s="28">
        <v>7</v>
      </c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28</v>
      </c>
      <c r="BQ77" s="1">
        <v>9</v>
      </c>
      <c r="BR77" s="17">
        <v>3</v>
      </c>
      <c r="BS77" s="17" t="s">
        <v>228</v>
      </c>
      <c r="BT77" s="1" t="str">
        <f>IF(AQ77&gt;AQ$118, AQ77-AQ$118,"")</f>
        <v/>
      </c>
      <c r="BU77" s="1" t="str">
        <f>IF(AR77&gt;AR$118, AR77-AR$118,"")</f>
        <v/>
      </c>
      <c r="BV77" s="1" t="str">
        <f>IF(AS77&gt;AS$118, AS77-AS$118,"")</f>
        <v/>
      </c>
      <c r="BW77" s="1" t="str">
        <f>IF(AT77&gt;AT$118, AT77-AT$118,"")</f>
        <v/>
      </c>
      <c r="BX77" s="1" t="str">
        <f>IF(AU77&gt;AU$118, AU77-AU$118,"")</f>
        <v/>
      </c>
      <c r="BY77" s="1" t="str">
        <f>IF(AV77&gt;AV$118, AV77-AV$118,"")</f>
        <v/>
      </c>
      <c r="BZ77" s="1" t="str">
        <f>IF(AW77&gt;AW$118, AW77-AW$118,"")</f>
        <v/>
      </c>
      <c r="CA77" s="1" t="str">
        <f>IF(AX77&gt;AX$118, AX77-AX$118,"")</f>
        <v/>
      </c>
      <c r="CB77" s="1" t="str">
        <f>IF(AY77&gt;AY$118, AY77-AY$118,"")</f>
        <v/>
      </c>
      <c r="CC77" s="1" t="str">
        <f>IF(AZ77&gt;AZ$118, AZ77-AZ$118,"")</f>
        <v/>
      </c>
      <c r="CD77" s="1" t="str">
        <f>IF(BA77&gt;BA$118, BA77-BA$118,"")</f>
        <v/>
      </c>
      <c r="CE77" s="1" t="str">
        <f>IF(BB77&gt;BB$118, BB77-BB$118,"")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130</v>
      </c>
      <c r="C78" s="1" t="s">
        <v>128</v>
      </c>
      <c r="D78" s="1" t="s">
        <v>111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>
        <v>2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9</v>
      </c>
      <c r="BR78" s="17">
        <v>3</v>
      </c>
      <c r="BS78" s="17" t="s">
        <v>271</v>
      </c>
      <c r="BT78" s="1" t="str">
        <f>IF(AQ78&gt;AQ$118, AQ78-AQ$118,"")</f>
        <v/>
      </c>
      <c r="BU78" s="1" t="str">
        <f>IF(AR78&gt;AR$118, AR78-AR$118,"")</f>
        <v/>
      </c>
      <c r="BV78" s="1" t="str">
        <f>IF(AS78&gt;AS$118, AS78-AS$118,"")</f>
        <v/>
      </c>
      <c r="BW78" s="1" t="str">
        <f>IF(AT78&gt;AT$118, AT78-AT$118,"")</f>
        <v/>
      </c>
      <c r="BX78" s="1" t="str">
        <f>IF(AU78&gt;AU$118, AU78-AU$118,"")</f>
        <v/>
      </c>
      <c r="BY78" s="1" t="str">
        <f>IF(AV78&gt;AV$118, AV78-AV$118,"")</f>
        <v/>
      </c>
      <c r="BZ78" s="1" t="str">
        <f>IF(AW78&gt;AW$118, AW78-AW$118,"")</f>
        <v/>
      </c>
      <c r="CA78" s="1" t="str">
        <f>IF(AX78&gt;AX$118, AX78-AX$118,"")</f>
        <v/>
      </c>
      <c r="CB78" s="1" t="str">
        <f>IF(AY78&gt;AY$118, AY78-AY$118,"")</f>
        <v/>
      </c>
      <c r="CC78" s="1" t="str">
        <f>IF(AZ78&gt;AZ$118, AZ78-AZ$118,"")</f>
        <v/>
      </c>
      <c r="CD78" s="1" t="str">
        <f>IF(BA78&gt;BA$118, BA78-BA$118,"")</f>
        <v/>
      </c>
      <c r="CE78" s="1" t="str">
        <f>IF(BB78&gt;BB$118, BB78-BB$118,"")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140</v>
      </c>
      <c r="C79" s="1" t="s">
        <v>139</v>
      </c>
      <c r="D79" s="1" t="s">
        <v>111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>
        <v>2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9</v>
      </c>
      <c r="BR79" s="17">
        <v>3</v>
      </c>
      <c r="BS79" s="17" t="s">
        <v>271</v>
      </c>
      <c r="BT79" s="1" t="str">
        <f>IF(AQ79&gt;AQ$118, AQ79-AQ$118,"")</f>
        <v/>
      </c>
      <c r="BU79" s="1" t="str">
        <f>IF(AR79&gt;AR$118, AR79-AR$118,"")</f>
        <v/>
      </c>
      <c r="BV79" s="1" t="str">
        <f>IF(AS79&gt;AS$118, AS79-AS$118,"")</f>
        <v/>
      </c>
      <c r="BW79" s="1" t="str">
        <f>IF(AT79&gt;AT$118, AT79-AT$118,"")</f>
        <v/>
      </c>
      <c r="BX79" s="1" t="str">
        <f>IF(AU79&gt;AU$118, AU79-AU$118,"")</f>
        <v/>
      </c>
      <c r="BY79" s="1" t="str">
        <f>IF(AV79&gt;AV$118, AV79-AV$118,"")</f>
        <v/>
      </c>
      <c r="BZ79" s="1" t="str">
        <f>IF(AW79&gt;AW$118, AW79-AW$118,"")</f>
        <v/>
      </c>
      <c r="CA79" s="1" t="str">
        <f>IF(AX79&gt;AX$118, AX79-AX$118,"")</f>
        <v/>
      </c>
      <c r="CB79" s="1" t="str">
        <f>IF(AY79&gt;AY$118, AY79-AY$118,"")</f>
        <v/>
      </c>
      <c r="CC79" s="1" t="str">
        <f>IF(AZ79&gt;AZ$118, AZ79-AZ$118,"")</f>
        <v/>
      </c>
      <c r="CD79" s="1" t="str">
        <f>IF(BA79&gt;BA$118, BA79-BA$118,"")</f>
        <v/>
      </c>
      <c r="CE79" s="1" t="str">
        <f>IF(BB79&gt;BB$118, BB79-BB$118,"")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146</v>
      </c>
      <c r="C80" s="1" t="s">
        <v>107</v>
      </c>
      <c r="D80" s="1" t="s">
        <v>148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/>
      <c r="X80" s="28"/>
      <c r="Y80" s="28"/>
      <c r="Z80" s="28">
        <v>5</v>
      </c>
      <c r="AA80" s="28">
        <v>2</v>
      </c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17</v>
      </c>
      <c r="BQ80" s="1">
        <v>9</v>
      </c>
      <c r="BR80" s="17">
        <v>3</v>
      </c>
      <c r="BS80" s="17" t="s">
        <v>271</v>
      </c>
      <c r="BT80" s="1" t="str">
        <f>IF(AQ80&gt;AQ$118, AQ80-AQ$118,"")</f>
        <v/>
      </c>
      <c r="BU80" s="1" t="str">
        <f>IF(AR80&gt;AR$118, AR80-AR$118,"")</f>
        <v/>
      </c>
      <c r="BV80" s="1" t="str">
        <f>IF(AS80&gt;AS$118, AS80-AS$118,"")</f>
        <v/>
      </c>
      <c r="BW80" s="1" t="str">
        <f>IF(AT80&gt;AT$118, AT80-AT$118,"")</f>
        <v/>
      </c>
      <c r="BX80" s="1" t="str">
        <f>IF(AU80&gt;AU$118, AU80-AU$118,"")</f>
        <v/>
      </c>
      <c r="BY80" s="1" t="str">
        <f>IF(AV80&gt;AV$118, AV80-AV$118,"")</f>
        <v/>
      </c>
      <c r="BZ80" s="1" t="str">
        <f>IF(AW80&gt;AW$118, AW80-AW$118,"")</f>
        <v/>
      </c>
      <c r="CA80" s="1" t="str">
        <f>IF(AX80&gt;AX$118, AX80-AX$118,"")</f>
        <v/>
      </c>
      <c r="CB80" s="1" t="str">
        <f>IF(AY80&gt;AY$118, AY80-AY$118,"")</f>
        <v/>
      </c>
      <c r="CC80" s="1" t="str">
        <f>IF(AZ80&gt;AZ$118, AZ80-AZ$118,"")</f>
        <v/>
      </c>
      <c r="CD80" s="1" t="str">
        <f>IF(BA80&gt;BA$118, BA80-BA$118,"")</f>
        <v/>
      </c>
      <c r="CE80" s="1" t="str">
        <f>IF(BB80&gt;BB$118, BB80-BB$118,"")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143</v>
      </c>
      <c r="C81" s="1" t="s">
        <v>139</v>
      </c>
      <c r="D81" s="1" t="s">
        <v>110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>
        <v>5</v>
      </c>
      <c r="U81" s="28"/>
      <c r="V81" s="28"/>
      <c r="W81" s="28">
        <v>5</v>
      </c>
      <c r="X81" s="28"/>
      <c r="Y81" s="28"/>
      <c r="Z81" s="28">
        <v>5</v>
      </c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11</v>
      </c>
      <c r="BR81" s="17">
        <v>3</v>
      </c>
      <c r="BS81" s="17" t="s">
        <v>229</v>
      </c>
      <c r="BT81" s="1" t="str">
        <f>IF(AQ81&gt;AQ$118, AQ81-AQ$118,"")</f>
        <v/>
      </c>
      <c r="BU81" s="1" t="str">
        <f>IF(AR81&gt;AR$118, AR81-AR$118,"")</f>
        <v/>
      </c>
      <c r="BV81" s="1" t="str">
        <f>IF(AS81&gt;AS$118, AS81-AS$118,"")</f>
        <v/>
      </c>
      <c r="BW81" s="1" t="str">
        <f>IF(AT81&gt;AT$118, AT81-AT$118,"")</f>
        <v/>
      </c>
      <c r="BX81" s="1" t="str">
        <f>IF(AU81&gt;AU$118, AU81-AU$118,"")</f>
        <v/>
      </c>
      <c r="BY81" s="1" t="str">
        <f>IF(AV81&gt;AV$118, AV81-AV$118,"")</f>
        <v/>
      </c>
      <c r="BZ81" s="1" t="str">
        <f>IF(AW81&gt;AW$118, AW81-AW$118,"")</f>
        <v/>
      </c>
      <c r="CA81" s="1" t="str">
        <f>IF(AX81&gt;AX$118, AX81-AX$118,"")</f>
        <v/>
      </c>
      <c r="CB81" s="1" t="str">
        <f>IF(AY81&gt;AY$118, AY81-AY$118,"")</f>
        <v/>
      </c>
      <c r="CC81" s="1" t="str">
        <f>IF(AZ81&gt;AZ$118, AZ81-AZ$118,"")</f>
        <v/>
      </c>
      <c r="CD81" s="1" t="str">
        <f>IF(BA81&gt;BA$118, BA81-BA$118,"")</f>
        <v/>
      </c>
      <c r="CE81" s="1" t="str">
        <f>IF(BB81&gt;BB$118, BB81-BB$118,"")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144</v>
      </c>
      <c r="C82" s="1" t="s">
        <v>139</v>
      </c>
      <c r="D82" s="1" t="s">
        <v>112</v>
      </c>
      <c r="E82" s="6"/>
      <c r="F82" s="6"/>
      <c r="G82" s="6">
        <v>5</v>
      </c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>
        <v>5</v>
      </c>
      <c r="W82" s="28"/>
      <c r="X82" s="28"/>
      <c r="Y82" s="28">
        <v>5</v>
      </c>
      <c r="Z82" s="28"/>
      <c r="AA82" s="28"/>
      <c r="AB82" s="28"/>
      <c r="AC82" s="28">
        <v>5</v>
      </c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20</v>
      </c>
      <c r="BQ82" s="1">
        <v>11</v>
      </c>
      <c r="BR82" s="17">
        <v>3</v>
      </c>
      <c r="BS82" s="17" t="s">
        <v>272</v>
      </c>
      <c r="BT82" s="1" t="str">
        <f>IF(AQ82&gt;AQ$118, AQ82-AQ$118,"")</f>
        <v/>
      </c>
      <c r="BU82" s="1" t="str">
        <f>IF(AR82&gt;AR$118, AR82-AR$118,"")</f>
        <v/>
      </c>
      <c r="BV82" s="1" t="str">
        <f>IF(AS82&gt;AS$118, AS82-AS$118,"")</f>
        <v/>
      </c>
      <c r="BW82" s="1" t="str">
        <f>IF(AT82&gt;AT$118, AT82-AT$118,"")</f>
        <v/>
      </c>
      <c r="BX82" s="1" t="str">
        <f>IF(AU82&gt;AU$118, AU82-AU$118,"")</f>
        <v/>
      </c>
      <c r="BY82" s="1" t="str">
        <f>IF(AV82&gt;AV$118, AV82-AV$118,"")</f>
        <v/>
      </c>
      <c r="BZ82" s="1" t="str">
        <f>IF(AW82&gt;AW$118, AW82-AW$118,"")</f>
        <v/>
      </c>
      <c r="CA82" s="1" t="str">
        <f>IF(AX82&gt;AX$118, AX82-AX$118,"")</f>
        <v/>
      </c>
      <c r="CB82" s="1" t="str">
        <f>IF(AY82&gt;AY$118, AY82-AY$118,"")</f>
        <v/>
      </c>
      <c r="CC82" s="1" t="str">
        <f>IF(AZ82&gt;AZ$118, AZ82-AZ$118,"")</f>
        <v/>
      </c>
      <c r="CD82" s="1" t="str">
        <f>IF(BA82&gt;BA$118, BA82-BA$118,"")</f>
        <v/>
      </c>
      <c r="CE82" s="1" t="str">
        <f>IF(BB82&gt;BB$118, BB82-BB$118,"")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134</v>
      </c>
      <c r="C83" s="1" t="s">
        <v>132</v>
      </c>
      <c r="D83" s="1" t="s">
        <v>112</v>
      </c>
      <c r="E83" s="6"/>
      <c r="F83" s="6"/>
      <c r="G83" s="6"/>
      <c r="H83" s="6"/>
      <c r="I83" s="6">
        <v>7</v>
      </c>
      <c r="J83" s="6"/>
      <c r="K83" s="6"/>
      <c r="L83" s="6"/>
      <c r="M83" s="6"/>
      <c r="N83" s="6"/>
      <c r="O83" s="6"/>
      <c r="P83" s="28"/>
      <c r="Q83" s="28">
        <v>7</v>
      </c>
      <c r="R83" s="28">
        <v>7</v>
      </c>
      <c r="S83" s="28"/>
      <c r="T83" s="28">
        <v>7</v>
      </c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28</v>
      </c>
      <c r="BQ83" s="1">
        <v>13</v>
      </c>
      <c r="BR83" s="17">
        <v>3</v>
      </c>
      <c r="BS83" s="17" t="s">
        <v>273</v>
      </c>
      <c r="BT83" s="1" t="str">
        <f>IF(AQ83&gt;AQ$118, AQ83-AQ$118,"")</f>
        <v/>
      </c>
      <c r="BU83" s="1" t="str">
        <f>IF(AR83&gt;AR$118, AR83-AR$118,"")</f>
        <v/>
      </c>
      <c r="BV83" s="1" t="str">
        <f>IF(AS83&gt;AS$118, AS83-AS$118,"")</f>
        <v/>
      </c>
      <c r="BW83" s="1" t="str">
        <f>IF(AT83&gt;AT$118, AT83-AT$118,"")</f>
        <v/>
      </c>
      <c r="BX83" s="1" t="str">
        <f>IF(AU83&gt;AU$118, AU83-AU$118,"")</f>
        <v/>
      </c>
      <c r="BY83" s="1" t="str">
        <f>IF(AV83&gt;AV$118, AV83-AV$118,"")</f>
        <v/>
      </c>
      <c r="BZ83" s="1" t="str">
        <f>IF(AW83&gt;AW$118, AW83-AW$118,"")</f>
        <v/>
      </c>
      <c r="CA83" s="1" t="str">
        <f>IF(AX83&gt;AX$118, AX83-AX$118,"")</f>
        <v/>
      </c>
      <c r="CB83" s="1" t="str">
        <f>IF(AY83&gt;AY$118, AY83-AY$118,"")</f>
        <v/>
      </c>
      <c r="CC83" s="1" t="str">
        <f>IF(AZ83&gt;AZ$118, AZ83-AZ$118,"")</f>
        <v/>
      </c>
      <c r="CD83" s="1" t="str">
        <f>IF(BA83&gt;BA$118, BA83-BA$118,"")</f>
        <v/>
      </c>
      <c r="CE83" s="1" t="str">
        <f>IF(BB83&gt;BB$118, BB83-BB$118,"")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130</v>
      </c>
      <c r="C84" s="1" t="s">
        <v>128</v>
      </c>
      <c r="D84" s="1" t="s">
        <v>112</v>
      </c>
      <c r="E84" s="6"/>
      <c r="F84" s="6"/>
      <c r="G84" s="6"/>
      <c r="H84" s="6">
        <v>7</v>
      </c>
      <c r="I84" s="6"/>
      <c r="J84" s="6"/>
      <c r="K84" s="6"/>
      <c r="L84" s="6"/>
      <c r="M84" s="6"/>
      <c r="N84" s="6"/>
      <c r="O84" s="6"/>
      <c r="P84" s="28"/>
      <c r="Q84" s="28">
        <v>7</v>
      </c>
      <c r="R84" s="28"/>
      <c r="S84" s="28"/>
      <c r="T84" s="28">
        <v>7</v>
      </c>
      <c r="U84" s="28"/>
      <c r="V84" s="28"/>
      <c r="W84" s="28"/>
      <c r="X84" s="28"/>
      <c r="Y84" s="28"/>
      <c r="Z84" s="28"/>
      <c r="AA84" s="28">
        <v>7</v>
      </c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28</v>
      </c>
      <c r="BQ84" s="1">
        <v>14</v>
      </c>
      <c r="BR84" s="17">
        <v>3</v>
      </c>
      <c r="BS84" s="17" t="s">
        <v>230</v>
      </c>
      <c r="BT84" s="1" t="str">
        <f>IF(AQ84&gt;AQ$118, AQ84-AQ$118,"")</f>
        <v/>
      </c>
      <c r="BU84" s="1" t="str">
        <f>IF(AR84&gt;AR$118, AR84-AR$118,"")</f>
        <v/>
      </c>
      <c r="BV84" s="1" t="str">
        <f>IF(AS84&gt;AS$118, AS84-AS$118,"")</f>
        <v/>
      </c>
      <c r="BW84" s="1" t="str">
        <f>IF(AT84&gt;AT$118, AT84-AT$118,"")</f>
        <v/>
      </c>
      <c r="BX84" s="1" t="str">
        <f>IF(AU84&gt;AU$118, AU84-AU$118,"")</f>
        <v/>
      </c>
      <c r="BY84" s="1" t="str">
        <f>IF(AV84&gt;AV$118, AV84-AV$118,"")</f>
        <v/>
      </c>
      <c r="BZ84" s="1" t="str">
        <f>IF(AW84&gt;AW$118, AW84-AW$118,"")</f>
        <v/>
      </c>
      <c r="CA84" s="1" t="str">
        <f>IF(AX84&gt;AX$118, AX84-AX$118,"")</f>
        <v/>
      </c>
      <c r="CB84" s="1" t="str">
        <f>IF(AY84&gt;AY$118, AY84-AY$118,"")</f>
        <v/>
      </c>
      <c r="CC84" s="1" t="str">
        <f>IF(AZ84&gt;AZ$118, AZ84-AZ$118,"")</f>
        <v/>
      </c>
      <c r="CD84" s="1" t="str">
        <f>IF(BA84&gt;BA$118, BA84-BA$118,"")</f>
        <v/>
      </c>
      <c r="CE84" s="1" t="str">
        <f>IF(BB84&gt;BB$118, BB84-BB$118,"")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>
        <v>28</v>
      </c>
      <c r="B85" s="1" t="s">
        <v>65</v>
      </c>
      <c r="C85" s="1" t="s">
        <v>28</v>
      </c>
      <c r="D85" s="1" t="s">
        <v>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>
        <v>5</v>
      </c>
      <c r="AI85" s="1">
        <v>5</v>
      </c>
      <c r="AJ85" s="1">
        <v>5</v>
      </c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15</v>
      </c>
      <c r="BQ85" s="1">
        <v>15</v>
      </c>
      <c r="BR85" s="17">
        <v>3</v>
      </c>
      <c r="BS85" s="17" t="s">
        <v>274</v>
      </c>
      <c r="BT85" s="1" t="str">
        <f>IF(AQ85&gt;AQ$118, AQ85-AQ$118,"")</f>
        <v/>
      </c>
      <c r="BU85" s="1" t="str">
        <f>IF(AR85&gt;AR$118, AR85-AR$118,"")</f>
        <v/>
      </c>
      <c r="BV85" s="1" t="str">
        <f>IF(AS85&gt;AS$118, AS85-AS$118,"")</f>
        <v/>
      </c>
      <c r="BW85" s="1" t="str">
        <f>IF(AT85&gt;AT$118, AT85-AT$118,"")</f>
        <v/>
      </c>
      <c r="BX85" s="1" t="str">
        <f>IF(AU85&gt;AU$118, AU85-AU$118,"")</f>
        <v/>
      </c>
      <c r="BY85" s="1" t="str">
        <f>IF(AV85&gt;AV$118, AV85-AV$118,"")</f>
        <v/>
      </c>
      <c r="BZ85" s="1" t="str">
        <f>IF(AW85&gt;AW$118, AW85-AW$118,"")</f>
        <v/>
      </c>
      <c r="CA85" s="1" t="str">
        <f>IF(AX85&gt;AX$118, AX85-AX$118,"")</f>
        <v/>
      </c>
      <c r="CB85" s="1" t="str">
        <f>IF(AY85&gt;AY$118, AY85-AY$118,"")</f>
        <v/>
      </c>
      <c r="CC85" s="1" t="str">
        <f>IF(AZ85&gt;AZ$118, AZ85-AZ$118,"")</f>
        <v/>
      </c>
      <c r="CD85" s="1" t="str">
        <f>IF(BA85&gt;BA$118, BA85-BA$118,"")</f>
        <v/>
      </c>
      <c r="CE85" s="1" t="str">
        <f>IF(BB85&gt;BB$118, BB85-BB$118,"")</f>
        <v/>
      </c>
      <c r="CF85" s="1">
        <f>COUNTIF(BT85:CE85, "&gt;0")</f>
        <v>0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3">
        <f>SUM(AE85:BO85)</f>
        <v>15</v>
      </c>
    </row>
    <row r="86" spans="1:97" ht="40.5" x14ac:dyDescent="0.15">
      <c r="A86" s="1">
        <v>89</v>
      </c>
      <c r="B86" s="3" t="s">
        <v>70</v>
      </c>
      <c r="C86" s="3" t="s">
        <v>71</v>
      </c>
      <c r="D86" s="1" t="s">
        <v>1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>
        <v>5</v>
      </c>
      <c r="AG86" s="1"/>
      <c r="AH86" s="1">
        <v>5</v>
      </c>
      <c r="AI86" s="1">
        <v>5</v>
      </c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15</v>
      </c>
      <c r="BQ86" s="1">
        <v>15</v>
      </c>
      <c r="BR86" s="17">
        <v>3</v>
      </c>
      <c r="BS86" s="17" t="s">
        <v>275</v>
      </c>
      <c r="BT86" s="1" t="str">
        <f>IF(AQ86&gt;AQ$118, AQ86-AQ$118,"")</f>
        <v/>
      </c>
      <c r="BU86" s="1" t="str">
        <f>IF(AR86&gt;AR$118, AR86-AR$118,"")</f>
        <v/>
      </c>
      <c r="BV86" s="1" t="str">
        <f>IF(AS86&gt;AS$118, AS86-AS$118,"")</f>
        <v/>
      </c>
      <c r="BW86" s="1" t="str">
        <f>IF(AT86&gt;AT$118, AT86-AT$118,"")</f>
        <v/>
      </c>
      <c r="BX86" s="1" t="str">
        <f>IF(AU86&gt;AU$118, AU86-AU$118,"")</f>
        <v/>
      </c>
      <c r="BY86" s="1" t="str">
        <f>IF(AV86&gt;AV$118, AV86-AV$118,"")</f>
        <v/>
      </c>
      <c r="BZ86" s="1" t="str">
        <f>IF(AW86&gt;AW$118, AW86-AW$118,"")</f>
        <v/>
      </c>
      <c r="CA86" s="1" t="str">
        <f>IF(AX86&gt;AX$118, AX86-AX$118,"")</f>
        <v/>
      </c>
      <c r="CB86" s="1" t="str">
        <f>IF(AY86&gt;AY$118, AY86-AY$118,"")</f>
        <v/>
      </c>
      <c r="CC86" s="1" t="str">
        <f>IF(AZ86&gt;AZ$118, AZ86-AZ$118,"")</f>
        <v/>
      </c>
      <c r="CD86" s="1" t="str">
        <f>IF(BA86&gt;BA$118, BA86-BA$118,"")</f>
        <v/>
      </c>
      <c r="CE86" s="1" t="str">
        <f>IF(BB86&gt;BB$118, BB86-BB$118,"")</f>
        <v/>
      </c>
      <c r="CF86" s="1">
        <f>COUNTIF(BT86:CE86, "&gt;0")</f>
        <v>0</v>
      </c>
      <c r="CG86" s="1" t="str">
        <f>IF($CF86=1,BT86,"")</f>
        <v/>
      </c>
      <c r="CH86" s="1" t="str">
        <f>IF($CF86=1,BU86,"")</f>
        <v/>
      </c>
      <c r="CI86" s="1" t="str">
        <f>IF($CF86=1,BV86,"")</f>
        <v/>
      </c>
      <c r="CJ86" s="1" t="str">
        <f>IF($CF86=1,BW86,"")</f>
        <v/>
      </c>
      <c r="CK86" s="1" t="str">
        <f>IF($CF86=1,BX86,"")</f>
        <v/>
      </c>
      <c r="CL86" s="1" t="str">
        <f>IF($CF86=1,BY86,"")</f>
        <v/>
      </c>
      <c r="CM86" s="1" t="str">
        <f>IF($CF86=1,BZ86,"")</f>
        <v/>
      </c>
      <c r="CN86" s="1" t="str">
        <f>IF($CF86=1,CA86,"")</f>
        <v/>
      </c>
      <c r="CO86" s="1" t="str">
        <f>IF($CF86=1,CB86,"")</f>
        <v/>
      </c>
      <c r="CP86" s="1" t="str">
        <f>IF($CF86=1,CC86,"")</f>
        <v/>
      </c>
      <c r="CQ86" s="1" t="str">
        <f>IF($CF86=1,CD86,"")</f>
        <v/>
      </c>
      <c r="CR86" s="1" t="str">
        <f>IF($CF86=1,CE86,"")</f>
        <v/>
      </c>
      <c r="CS86" s="3">
        <f>SUM(AE86:BO86)</f>
        <v>15</v>
      </c>
    </row>
    <row r="87" spans="1:97" ht="40.5" x14ac:dyDescent="0.15">
      <c r="A87" s="1"/>
      <c r="B87" s="1" t="s">
        <v>126</v>
      </c>
      <c r="C87" s="1" t="s">
        <v>109</v>
      </c>
      <c r="D87" s="1" t="s">
        <v>112</v>
      </c>
      <c r="E87" s="6"/>
      <c r="F87" s="6"/>
      <c r="G87" s="6"/>
      <c r="H87" s="6">
        <v>10</v>
      </c>
      <c r="I87" s="6"/>
      <c r="J87" s="6"/>
      <c r="K87" s="6"/>
      <c r="L87" s="6"/>
      <c r="M87" s="6"/>
      <c r="N87" s="6"/>
      <c r="O87" s="6"/>
      <c r="P87" s="28"/>
      <c r="Q87" s="28"/>
      <c r="R87" s="28">
        <v>10</v>
      </c>
      <c r="S87" s="28"/>
      <c r="T87" s="28"/>
      <c r="U87" s="28"/>
      <c r="V87" s="28"/>
      <c r="W87" s="28"/>
      <c r="X87" s="28">
        <v>10</v>
      </c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15</v>
      </c>
      <c r="BR87" s="17">
        <v>3</v>
      </c>
      <c r="BS87" s="17" t="s">
        <v>276</v>
      </c>
      <c r="BT87" s="1" t="str">
        <f>IF(AQ87&gt;AQ$118, AQ87-AQ$118,"")</f>
        <v/>
      </c>
      <c r="BU87" s="1" t="str">
        <f>IF(AR87&gt;AR$118, AR87-AR$118,"")</f>
        <v/>
      </c>
      <c r="BV87" s="1" t="str">
        <f>IF(AS87&gt;AS$118, AS87-AS$118,"")</f>
        <v/>
      </c>
      <c r="BW87" s="1" t="str">
        <f>IF(AT87&gt;AT$118, AT87-AT$118,"")</f>
        <v/>
      </c>
      <c r="BX87" s="1" t="str">
        <f>IF(AU87&gt;AU$118, AU87-AU$118,"")</f>
        <v/>
      </c>
      <c r="BY87" s="1" t="str">
        <f>IF(AV87&gt;AV$118, AV87-AV$118,"")</f>
        <v/>
      </c>
      <c r="BZ87" s="1" t="str">
        <f>IF(AW87&gt;AW$118, AW87-AW$118,"")</f>
        <v/>
      </c>
      <c r="CA87" s="1" t="str">
        <f>IF(AX87&gt;AX$118, AX87-AX$118,"")</f>
        <v/>
      </c>
      <c r="CB87" s="1" t="str">
        <f>IF(AY87&gt;AY$118, AY87-AY$118,"")</f>
        <v/>
      </c>
      <c r="CC87" s="1" t="str">
        <f>IF(AZ87&gt;AZ$118, AZ87-AZ$118,"")</f>
        <v/>
      </c>
      <c r="CD87" s="1" t="str">
        <f>IF(BA87&gt;BA$118, BA87-BA$118,"")</f>
        <v/>
      </c>
      <c r="CE87" s="1" t="str">
        <f>IF(BB87&gt;BB$118, BB87-BB$118,"")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121</v>
      </c>
      <c r="C88" s="1" t="s">
        <v>109</v>
      </c>
      <c r="D88" s="1" t="s">
        <v>112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>
        <v>10</v>
      </c>
      <c r="P88" s="28"/>
      <c r="Q88" s="28"/>
      <c r="R88" s="28">
        <v>10</v>
      </c>
      <c r="S88" s="28"/>
      <c r="T88" s="28"/>
      <c r="U88" s="28"/>
      <c r="V88" s="28"/>
      <c r="W88" s="28"/>
      <c r="X88" s="28">
        <v>10</v>
      </c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>
        <v>10</v>
      </c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17</v>
      </c>
      <c r="BR88" s="17">
        <v>3</v>
      </c>
      <c r="BS88" s="17" t="s">
        <v>277</v>
      </c>
      <c r="BT88" s="1" t="str">
        <f>IF(AQ88&gt;AQ$118, AQ88-AQ$118,"")</f>
        <v/>
      </c>
      <c r="BU88" s="1" t="str">
        <f>IF(AR88&gt;AR$118, AR88-AR$118,"")</f>
        <v/>
      </c>
      <c r="BV88" s="1" t="str">
        <f>IF(AS88&gt;AS$118, AS88-AS$118,"")</f>
        <v/>
      </c>
      <c r="BW88" s="1" t="str">
        <f>IF(AT88&gt;AT$118, AT88-AT$118,"")</f>
        <v/>
      </c>
      <c r="BX88" s="1" t="str">
        <f>IF(AU88&gt;AU$118, AU88-AU$118,"")</f>
        <v/>
      </c>
      <c r="BY88" s="1" t="str">
        <f>IF(AV88&gt;AV$118, AV88-AV$118,"")</f>
        <v/>
      </c>
      <c r="BZ88" s="1" t="str">
        <f>IF(AW88&gt;AW$118, AW88-AW$118,"")</f>
        <v/>
      </c>
      <c r="CA88" s="1" t="str">
        <f>IF(AX88&gt;AX$118, AX88-AX$118,"")</f>
        <v/>
      </c>
      <c r="CB88" s="1" t="str">
        <f>IF(AY88&gt;AY$118, AY88-AY$118,"")</f>
        <v/>
      </c>
      <c r="CC88" s="1" t="str">
        <f>IF(AZ88&gt;AZ$118, AZ88-AZ$118,"")</f>
        <v/>
      </c>
      <c r="CD88" s="1" t="str">
        <f>IF(BA88&gt;BA$118, BA88-BA$118,"")</f>
        <v/>
      </c>
      <c r="CE88" s="1" t="str">
        <f>IF(BB88&gt;BB$118, BB88-BB$118,"")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135</v>
      </c>
      <c r="C89" s="1" t="s">
        <v>137</v>
      </c>
      <c r="D89" s="1" t="s">
        <v>112</v>
      </c>
      <c r="E89" s="6"/>
      <c r="F89" s="6"/>
      <c r="G89" s="6"/>
      <c r="H89" s="6"/>
      <c r="I89" s="6"/>
      <c r="J89" s="6">
        <v>10</v>
      </c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>
        <v>10</v>
      </c>
      <c r="V89" s="28"/>
      <c r="W89" s="28"/>
      <c r="X89" s="28"/>
      <c r="Y89" s="28"/>
      <c r="Z89" s="28"/>
      <c r="AA89" s="28">
        <v>10</v>
      </c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>
        <v>10</v>
      </c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29</v>
      </c>
      <c r="BR89" s="17">
        <v>3</v>
      </c>
      <c r="BS89" s="17" t="s">
        <v>265</v>
      </c>
      <c r="BT89" s="1" t="str">
        <f>IF(AQ89&gt;AQ$118, AQ89-AQ$118,"")</f>
        <v/>
      </c>
      <c r="BU89" s="1" t="str">
        <f>IF(AR89&gt;AR$118, AR89-AR$118,"")</f>
        <v/>
      </c>
      <c r="BV89" s="1" t="str">
        <f>IF(AS89&gt;AS$118, AS89-AS$118,"")</f>
        <v/>
      </c>
      <c r="BW89" s="1" t="str">
        <f>IF(AT89&gt;AT$118, AT89-AT$118,"")</f>
        <v/>
      </c>
      <c r="BX89" s="1" t="str">
        <f>IF(AU89&gt;AU$118, AU89-AU$118,"")</f>
        <v/>
      </c>
      <c r="BY89" s="1" t="str">
        <f>IF(AV89&gt;AV$118, AV89-AV$118,"")</f>
        <v/>
      </c>
      <c r="BZ89" s="1" t="str">
        <f>IF(AW89&gt;AW$118, AW89-AW$118,"")</f>
        <v/>
      </c>
      <c r="CA89" s="1" t="str">
        <f>IF(AX89&gt;AX$118, AX89-AX$118,"")</f>
        <v/>
      </c>
      <c r="CB89" s="1" t="str">
        <f>IF(AY89&gt;AY$118, AY89-AY$118,"")</f>
        <v/>
      </c>
      <c r="CC89" s="1" t="str">
        <f>IF(AZ89&gt;AZ$118, AZ89-AZ$118,"")</f>
        <v/>
      </c>
      <c r="CD89" s="1" t="str">
        <f>IF(BA89&gt;BA$118, BA89-BA$118,"")</f>
        <v/>
      </c>
      <c r="CE89" s="1" t="str">
        <f>IF(BB89&gt;BB$118, BB89-BB$118,"")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145</v>
      </c>
      <c r="C90" s="1" t="s">
        <v>139</v>
      </c>
      <c r="D90" s="1" t="s">
        <v>112</v>
      </c>
      <c r="E90" s="6"/>
      <c r="F90" s="6"/>
      <c r="G90" s="6"/>
      <c r="H90" s="6"/>
      <c r="I90" s="6"/>
      <c r="J90" s="6">
        <v>10</v>
      </c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>
        <v>10</v>
      </c>
      <c r="V90" s="28"/>
      <c r="W90" s="28"/>
      <c r="X90" s="28"/>
      <c r="Y90" s="28"/>
      <c r="Z90" s="28"/>
      <c r="AA90" s="28">
        <v>10</v>
      </c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>
        <v>10</v>
      </c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29</v>
      </c>
      <c r="BR90" s="17">
        <v>3</v>
      </c>
      <c r="BS90" s="17" t="s">
        <v>266</v>
      </c>
      <c r="BT90" s="1" t="str">
        <f>IF(AQ90&gt;AQ$118, AQ90-AQ$118,"")</f>
        <v/>
      </c>
      <c r="BU90" s="1" t="str">
        <f>IF(AR90&gt;AR$118, AR90-AR$118,"")</f>
        <v/>
      </c>
      <c r="BV90" s="1" t="str">
        <f>IF(AS90&gt;AS$118, AS90-AS$118,"")</f>
        <v/>
      </c>
      <c r="BW90" s="1" t="str">
        <f>IF(AT90&gt;AT$118, AT90-AT$118,"")</f>
        <v/>
      </c>
      <c r="BX90" s="1" t="str">
        <f>IF(AU90&gt;AU$118, AU90-AU$118,"")</f>
        <v/>
      </c>
      <c r="BY90" s="1" t="str">
        <f>IF(AV90&gt;AV$118, AV90-AV$118,"")</f>
        <v/>
      </c>
      <c r="BZ90" s="1" t="str">
        <f>IF(AW90&gt;AW$118, AW90-AW$118,"")</f>
        <v/>
      </c>
      <c r="CA90" s="1" t="str">
        <f>IF(AX90&gt;AX$118, AX90-AX$118,"")</f>
        <v/>
      </c>
      <c r="CB90" s="1" t="str">
        <f>IF(AY90&gt;AY$118, AY90-AY$118,"")</f>
        <v/>
      </c>
      <c r="CC90" s="1" t="str">
        <f>IF(AZ90&gt;AZ$118, AZ90-AZ$118,"")</f>
        <v/>
      </c>
      <c r="CD90" s="1" t="str">
        <f>IF(BA90&gt;BA$118, BA90-BA$118,"")</f>
        <v/>
      </c>
      <c r="CE90" s="1" t="str">
        <f>IF(BB90&gt;BB$118, BB90-BB$118,"")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>
        <v>85</v>
      </c>
      <c r="B91" s="3" t="s">
        <v>176</v>
      </c>
      <c r="C91" s="3" t="s">
        <v>56</v>
      </c>
      <c r="D91" s="1" t="s">
        <v>34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>
        <v>50</v>
      </c>
      <c r="BM91" s="1">
        <v>50</v>
      </c>
      <c r="BN91" s="1">
        <v>50</v>
      </c>
      <c r="BO91" s="1">
        <v>50</v>
      </c>
      <c r="BP91" s="1">
        <f>SUM(E91:BO91)</f>
        <v>200</v>
      </c>
      <c r="BQ91" s="1">
        <v>140</v>
      </c>
      <c r="BR91" s="17">
        <v>3</v>
      </c>
      <c r="BS91" s="17" t="s">
        <v>279</v>
      </c>
      <c r="BT91" s="1" t="str">
        <f>IF(AQ91&gt;AQ$118, AQ91-AQ$118,"")</f>
        <v/>
      </c>
      <c r="BU91" s="1" t="str">
        <f>IF(AR91&gt;AR$118, AR91-AR$118,"")</f>
        <v/>
      </c>
      <c r="BV91" s="1" t="str">
        <f>IF(AS91&gt;AS$118, AS91-AS$118,"")</f>
        <v/>
      </c>
      <c r="BW91" s="1" t="str">
        <f>IF(AT91&gt;AT$118, AT91-AT$118,"")</f>
        <v/>
      </c>
      <c r="BX91" s="1" t="str">
        <f>IF(AU91&gt;AU$118, AU91-AU$118,"")</f>
        <v/>
      </c>
      <c r="BY91" s="1" t="str">
        <f>IF(AV91&gt;AV$118, AV91-AV$118,"")</f>
        <v/>
      </c>
      <c r="BZ91" s="1" t="str">
        <f>IF(AW91&gt;AW$118, AW91-AW$118,"")</f>
        <v/>
      </c>
      <c r="CA91" s="1" t="str">
        <f>IF(AX91&gt;AX$118, AX91-AX$118,"")</f>
        <v/>
      </c>
      <c r="CB91" s="1" t="str">
        <f>IF(AY91&gt;AY$118, AY91-AY$118,"")</f>
        <v/>
      </c>
      <c r="CC91" s="1" t="str">
        <f>IF(AZ91&gt;AZ$118, AZ91-AZ$118,"")</f>
        <v/>
      </c>
      <c r="CD91" s="1" t="str">
        <f>IF(BA91&gt;BA$118, BA91-BA$118,"")</f>
        <v/>
      </c>
      <c r="CE91" s="1" t="str">
        <f>IF(BB91&gt;BB$118, BB91-BB$118,"")</f>
        <v/>
      </c>
      <c r="CF91" s="1">
        <f>COUNTIF(BT91:CE91, "&gt;0")</f>
        <v>0</v>
      </c>
      <c r="CG91" s="1" t="str">
        <f>IF($CF91=1,BT91,"")</f>
        <v/>
      </c>
      <c r="CH91" s="1" t="str">
        <f>IF($CF91=1,BU91,"")</f>
        <v/>
      </c>
      <c r="CI91" s="1" t="str">
        <f>IF($CF91=1,BV91,"")</f>
        <v/>
      </c>
      <c r="CJ91" s="1" t="str">
        <f>IF($CF91=1,BW91,"")</f>
        <v/>
      </c>
      <c r="CK91" s="1" t="str">
        <f>IF($CF91=1,BX91,"")</f>
        <v/>
      </c>
      <c r="CL91" s="1" t="str">
        <f>IF($CF91=1,BY91,"")</f>
        <v/>
      </c>
      <c r="CM91" s="1" t="str">
        <f>IF($CF91=1,BZ91,"")</f>
        <v/>
      </c>
      <c r="CN91" s="1" t="str">
        <f>IF($CF91=1,CA91,"")</f>
        <v/>
      </c>
      <c r="CO91" s="1" t="str">
        <f>IF($CF91=1,CB91,"")</f>
        <v/>
      </c>
      <c r="CP91" s="1" t="str">
        <f>IF($CF91=1,CC91,"")</f>
        <v/>
      </c>
      <c r="CQ91" s="1" t="str">
        <f>IF($CF91=1,CD91,"")</f>
        <v/>
      </c>
      <c r="CR91" s="1" t="str">
        <f>IF($CF91=1,CE91,"")</f>
        <v/>
      </c>
      <c r="CS91" s="3">
        <f>SUM(AE91:BO91)</f>
        <v>200</v>
      </c>
    </row>
    <row r="92" spans="1:97" ht="40.5" x14ac:dyDescent="0.15">
      <c r="A92" s="1"/>
      <c r="B92" s="1" t="s">
        <v>173</v>
      </c>
      <c r="C92" s="1" t="s">
        <v>107</v>
      </c>
      <c r="D92" s="1" t="s">
        <v>105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>
        <v>50</v>
      </c>
      <c r="BM92" s="1">
        <v>50</v>
      </c>
      <c r="BN92" s="1">
        <v>50</v>
      </c>
      <c r="BO92" s="1">
        <v>50</v>
      </c>
      <c r="BP92" s="1">
        <f>SUM(E92:BO92)</f>
        <v>200</v>
      </c>
      <c r="BQ92" s="1">
        <v>140</v>
      </c>
      <c r="BR92" s="17">
        <v>3</v>
      </c>
      <c r="BS92" s="17" t="s">
        <v>231</v>
      </c>
      <c r="BT92" s="1" t="str">
        <f>IF(AQ92&gt;AQ$118, AQ92-AQ$118,"")</f>
        <v/>
      </c>
      <c r="BU92" s="1" t="str">
        <f>IF(AR92&gt;AR$118, AR92-AR$118,"")</f>
        <v/>
      </c>
      <c r="BV92" s="1" t="str">
        <f>IF(AS92&gt;AS$118, AS92-AS$118,"")</f>
        <v/>
      </c>
      <c r="BW92" s="1" t="str">
        <f>IF(AT92&gt;AT$118, AT92-AT$118,"")</f>
        <v/>
      </c>
      <c r="BX92" s="1" t="str">
        <f>IF(AU92&gt;AU$118, AU92-AU$118,"")</f>
        <v/>
      </c>
      <c r="BY92" s="1" t="str">
        <f>IF(AV92&gt;AV$118, AV92-AV$118,"")</f>
        <v/>
      </c>
      <c r="BZ92" s="1" t="str">
        <f>IF(AW92&gt;AW$118, AW92-AW$118,"")</f>
        <v/>
      </c>
      <c r="CA92" s="1" t="str">
        <f>IF(AX92&gt;AX$118, AX92-AX$118,"")</f>
        <v/>
      </c>
      <c r="CB92" s="1" t="str">
        <f>IF(AY92&gt;AY$118, AY92-AY$118,"")</f>
        <v/>
      </c>
      <c r="CC92" s="1" t="str">
        <f>IF(AZ92&gt;AZ$118, AZ92-AZ$118,"")</f>
        <v/>
      </c>
      <c r="CD92" s="1" t="str">
        <f>IF(BA92&gt;BA$118, BA92-BA$118,"")</f>
        <v/>
      </c>
      <c r="CE92" s="1" t="str">
        <f>IF(BB92&gt;BB$118, BB92-BB$118,"")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/>
      <c r="B93" s="1" t="s">
        <v>194</v>
      </c>
      <c r="C93" s="1" t="s">
        <v>107</v>
      </c>
      <c r="D93" s="1" t="s">
        <v>105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>
        <v>50</v>
      </c>
      <c r="BM93" s="1">
        <v>50</v>
      </c>
      <c r="BN93" s="1">
        <v>50</v>
      </c>
      <c r="BO93" s="1">
        <v>50</v>
      </c>
      <c r="BP93" s="1">
        <f>SUM(E93:BO93)</f>
        <v>200</v>
      </c>
      <c r="BQ93" s="1">
        <v>140</v>
      </c>
      <c r="BR93" s="17">
        <v>3</v>
      </c>
      <c r="BS93" s="17" t="s">
        <v>279</v>
      </c>
      <c r="BT93" s="1" t="str">
        <f>IF(AQ93&gt;AQ$118, AQ93-AQ$118,"")</f>
        <v/>
      </c>
      <c r="BU93" s="1" t="str">
        <f>IF(AR93&gt;AR$118, AR93-AR$118,"")</f>
        <v/>
      </c>
      <c r="BV93" s="1" t="str">
        <f>IF(AS93&gt;AS$118, AS93-AS$118,"")</f>
        <v/>
      </c>
      <c r="BW93" s="1" t="str">
        <f>IF(AT93&gt;AT$118, AT93-AT$118,"")</f>
        <v/>
      </c>
      <c r="BX93" s="1" t="str">
        <f>IF(AU93&gt;AU$118, AU93-AU$118,"")</f>
        <v/>
      </c>
      <c r="BY93" s="1" t="str">
        <f>IF(AV93&gt;AV$118, AV93-AV$118,"")</f>
        <v/>
      </c>
      <c r="BZ93" s="1" t="str">
        <f>IF(AW93&gt;AW$118, AW93-AW$118,"")</f>
        <v/>
      </c>
      <c r="CA93" s="1" t="str">
        <f>IF(AX93&gt;AX$118, AX93-AX$118,"")</f>
        <v/>
      </c>
      <c r="CB93" s="1" t="str">
        <f>IF(AY93&gt;AY$118, AY93-AY$118,"")</f>
        <v/>
      </c>
      <c r="CC93" s="1" t="str">
        <f>IF(AZ93&gt;AZ$118, AZ93-AZ$118,"")</f>
        <v/>
      </c>
      <c r="CD93" s="1" t="str">
        <f>IF(BA93&gt;BA$118, BA93-BA$118,"")</f>
        <v/>
      </c>
      <c r="CE93" s="1" t="str">
        <f>IF(BB93&gt;BB$118, BB93-BB$118,"")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54" x14ac:dyDescent="0.15">
      <c r="A94" s="1"/>
      <c r="B94" s="1" t="s">
        <v>141</v>
      </c>
      <c r="C94" s="1" t="s">
        <v>139</v>
      </c>
      <c r="D94" s="1" t="s">
        <v>111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>
        <v>5</v>
      </c>
      <c r="R94" s="28"/>
      <c r="S94" s="28"/>
      <c r="T94" s="28"/>
      <c r="U94" s="28"/>
      <c r="V94" s="28">
        <v>10</v>
      </c>
      <c r="W94" s="28"/>
      <c r="X94" s="28"/>
      <c r="Y94" s="28"/>
      <c r="Z94" s="28">
        <v>5</v>
      </c>
      <c r="AA94" s="28"/>
      <c r="AB94" s="28">
        <v>10</v>
      </c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30</v>
      </c>
      <c r="BQ94" s="1">
        <v>18</v>
      </c>
      <c r="BR94" s="17">
        <v>4</v>
      </c>
      <c r="BS94" s="17" t="s">
        <v>280</v>
      </c>
      <c r="BT94" s="1" t="str">
        <f>IF(AQ94&gt;AQ$118, AQ94-AQ$118,"")</f>
        <v/>
      </c>
      <c r="BU94" s="1" t="str">
        <f>IF(AR94&gt;AR$118, AR94-AR$118,"")</f>
        <v/>
      </c>
      <c r="BV94" s="1" t="str">
        <f>IF(AS94&gt;AS$118, AS94-AS$118,"")</f>
        <v/>
      </c>
      <c r="BW94" s="1" t="str">
        <f>IF(AT94&gt;AT$118, AT94-AT$118,"")</f>
        <v/>
      </c>
      <c r="BX94" s="1" t="str">
        <f>IF(AU94&gt;AU$118, AU94-AU$118,"")</f>
        <v/>
      </c>
      <c r="BY94" s="1" t="str">
        <f>IF(AV94&gt;AV$118, AV94-AV$118,"")</f>
        <v/>
      </c>
      <c r="BZ94" s="1" t="str">
        <f>IF(AW94&gt;AW$118, AW94-AW$118,"")</f>
        <v/>
      </c>
      <c r="CA94" s="1" t="str">
        <f>IF(AX94&gt;AX$118, AX94-AX$118,"")</f>
        <v/>
      </c>
      <c r="CB94" s="1" t="str">
        <f>IF(AY94&gt;AY$118, AY94-AY$118,"")</f>
        <v/>
      </c>
      <c r="CC94" s="1" t="str">
        <f>IF(AZ94&gt;AZ$118, AZ94-AZ$118,"")</f>
        <v/>
      </c>
      <c r="CD94" s="1" t="str">
        <f>IF(BA94&gt;BA$118, BA94-BA$118,"")</f>
        <v/>
      </c>
      <c r="CE94" s="1" t="str">
        <f>IF(BB94&gt;BB$118, BB94-BB$118,"")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54" x14ac:dyDescent="0.15">
      <c r="A95" s="1"/>
      <c r="B95" s="1" t="s">
        <v>121</v>
      </c>
      <c r="C95" s="1" t="s">
        <v>109</v>
      </c>
      <c r="D95" s="1" t="s">
        <v>110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>
        <v>10</v>
      </c>
      <c r="Q95" s="28"/>
      <c r="R95" s="28"/>
      <c r="S95" s="28">
        <v>10</v>
      </c>
      <c r="T95" s="28"/>
      <c r="U95" s="28"/>
      <c r="V95" s="28"/>
      <c r="W95" s="28">
        <v>5</v>
      </c>
      <c r="X95" s="28"/>
      <c r="Y95" s="28"/>
      <c r="Z95" s="28"/>
      <c r="AA95" s="28"/>
      <c r="AB95" s="28">
        <v>10</v>
      </c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35</v>
      </c>
      <c r="BQ95" s="1">
        <v>22</v>
      </c>
      <c r="BR95" s="17">
        <v>4</v>
      </c>
      <c r="BS95" s="17" t="s">
        <v>281</v>
      </c>
      <c r="BT95" s="1" t="str">
        <f>IF(AQ95&gt;AQ$118, AQ95-AQ$118,"")</f>
        <v/>
      </c>
      <c r="BU95" s="1" t="str">
        <f>IF(AR95&gt;AR$118, AR95-AR$118,"")</f>
        <v/>
      </c>
      <c r="BV95" s="1" t="str">
        <f>IF(AS95&gt;AS$118, AS95-AS$118,"")</f>
        <v/>
      </c>
      <c r="BW95" s="1" t="str">
        <f>IF(AT95&gt;AT$118, AT95-AT$118,"")</f>
        <v/>
      </c>
      <c r="BX95" s="1" t="str">
        <f>IF(AU95&gt;AU$118, AU95-AU$118,"")</f>
        <v/>
      </c>
      <c r="BY95" s="1" t="str">
        <f>IF(AV95&gt;AV$118, AV95-AV$118,"")</f>
        <v/>
      </c>
      <c r="BZ95" s="1" t="str">
        <f>IF(AW95&gt;AW$118, AW95-AW$118,"")</f>
        <v/>
      </c>
      <c r="CA95" s="1" t="str">
        <f>IF(AX95&gt;AX$118, AX95-AX$118,"")</f>
        <v/>
      </c>
      <c r="CB95" s="1" t="str">
        <f>IF(AY95&gt;AY$118, AY95-AY$118,"")</f>
        <v/>
      </c>
      <c r="CC95" s="1" t="str">
        <f>IF(AZ95&gt;AZ$118, AZ95-AZ$118,"")</f>
        <v/>
      </c>
      <c r="CD95" s="1" t="str">
        <f>IF(BA95&gt;BA$118, BA95-BA$118,"")</f>
        <v/>
      </c>
      <c r="CE95" s="1" t="str">
        <f>IF(BB95&gt;BB$118, BB95-BB$118,"")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126</v>
      </c>
      <c r="C96" s="1" t="s">
        <v>109</v>
      </c>
      <c r="D96" s="1" t="s">
        <v>110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>
        <v>10</v>
      </c>
      <c r="Q96" s="28"/>
      <c r="R96" s="28"/>
      <c r="S96" s="28">
        <v>10</v>
      </c>
      <c r="T96" s="28"/>
      <c r="U96" s="28"/>
      <c r="V96" s="28"/>
      <c r="W96" s="28">
        <v>5</v>
      </c>
      <c r="X96" s="28"/>
      <c r="Y96" s="28"/>
      <c r="Z96" s="28"/>
      <c r="AA96" s="28"/>
      <c r="AB96" s="28">
        <v>10</v>
      </c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35</v>
      </c>
      <c r="BQ96" s="1">
        <v>22</v>
      </c>
      <c r="BR96" s="17">
        <v>4</v>
      </c>
      <c r="BS96" s="17" t="s">
        <v>210</v>
      </c>
      <c r="BT96" s="1" t="str">
        <f>IF(AQ96&gt;AQ$118, AQ96-AQ$118,"")</f>
        <v/>
      </c>
      <c r="BU96" s="1" t="str">
        <f>IF(AR96&gt;AR$118, AR96-AR$118,"")</f>
        <v/>
      </c>
      <c r="BV96" s="1" t="str">
        <f>IF(AS96&gt;AS$118, AS96-AS$118,"")</f>
        <v/>
      </c>
      <c r="BW96" s="1" t="str">
        <f>IF(AT96&gt;AT$118, AT96-AT$118,"")</f>
        <v/>
      </c>
      <c r="BX96" s="1" t="str">
        <f>IF(AU96&gt;AU$118, AU96-AU$118,"")</f>
        <v/>
      </c>
      <c r="BY96" s="1" t="str">
        <f>IF(AV96&gt;AV$118, AV96-AV$118,"")</f>
        <v/>
      </c>
      <c r="BZ96" s="1" t="str">
        <f>IF(AW96&gt;AW$118, AW96-AW$118,"")</f>
        <v/>
      </c>
      <c r="CA96" s="1" t="str">
        <f>IF(AX96&gt;AX$118, AX96-AX$118,"")</f>
        <v/>
      </c>
      <c r="CB96" s="1" t="str">
        <f>IF(AY96&gt;AY$118, AY96-AY$118,"")</f>
        <v/>
      </c>
      <c r="CC96" s="1" t="str">
        <f>IF(AZ96&gt;AZ$118, AZ96-AZ$118,"")</f>
        <v/>
      </c>
      <c r="CD96" s="1" t="str">
        <f>IF(BA96&gt;BA$118, BA96-BA$118,"")</f>
        <v/>
      </c>
      <c r="CE96" s="1" t="str">
        <f>IF(BB96&gt;BB$118, BB96-BB$118,"")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130</v>
      </c>
      <c r="C97" s="1" t="s">
        <v>128</v>
      </c>
      <c r="D97" s="1" t="s">
        <v>110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>
        <v>10</v>
      </c>
      <c r="Q97" s="28"/>
      <c r="R97" s="28"/>
      <c r="S97" s="28">
        <v>10</v>
      </c>
      <c r="T97" s="28"/>
      <c r="U97" s="28"/>
      <c r="V97" s="28"/>
      <c r="W97" s="28">
        <v>5</v>
      </c>
      <c r="X97" s="28"/>
      <c r="Y97" s="28"/>
      <c r="Z97" s="28"/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22</v>
      </c>
      <c r="BR97" s="17">
        <v>4</v>
      </c>
      <c r="BS97" s="17" t="s">
        <v>281</v>
      </c>
      <c r="BT97" s="1" t="str">
        <f>IF(AQ97&gt;AQ$118, AQ97-AQ$118,"")</f>
        <v/>
      </c>
      <c r="BU97" s="1" t="str">
        <f>IF(AR97&gt;AR$118, AR97-AR$118,"")</f>
        <v/>
      </c>
      <c r="BV97" s="1" t="str">
        <f>IF(AS97&gt;AS$118, AS97-AS$118,"")</f>
        <v/>
      </c>
      <c r="BW97" s="1" t="str">
        <f>IF(AT97&gt;AT$118, AT97-AT$118,"")</f>
        <v/>
      </c>
      <c r="BX97" s="1" t="str">
        <f>IF(AU97&gt;AU$118, AU97-AU$118,"")</f>
        <v/>
      </c>
      <c r="BY97" s="1" t="str">
        <f>IF(AV97&gt;AV$118, AV97-AV$118,"")</f>
        <v/>
      </c>
      <c r="BZ97" s="1" t="str">
        <f>IF(AW97&gt;AW$118, AW97-AW$118,"")</f>
        <v/>
      </c>
      <c r="CA97" s="1" t="str">
        <f>IF(AX97&gt;AX$118, AX97-AX$118,"")</f>
        <v/>
      </c>
      <c r="CB97" s="1" t="str">
        <f>IF(AY97&gt;AY$118, AY97-AY$118,"")</f>
        <v/>
      </c>
      <c r="CC97" s="1" t="str">
        <f>IF(AZ97&gt;AZ$118, AZ97-AZ$118,"")</f>
        <v/>
      </c>
      <c r="CD97" s="1" t="str">
        <f>IF(BA97&gt;BA$118, BA97-BA$118,"")</f>
        <v/>
      </c>
      <c r="CE97" s="1" t="str">
        <f>IF(BB97&gt;BB$118, BB97-BB$118,"")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134</v>
      </c>
      <c r="C98" s="1" t="s">
        <v>132</v>
      </c>
      <c r="D98" s="1" t="s">
        <v>110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210</v>
      </c>
      <c r="BT98" s="1" t="str">
        <f>IF(AQ98&gt;AQ$118, AQ98-AQ$118,"")</f>
        <v/>
      </c>
      <c r="BU98" s="1" t="str">
        <f>IF(AR98&gt;AR$118, AR98-AR$118,"")</f>
        <v/>
      </c>
      <c r="BV98" s="1" t="str">
        <f>IF(AS98&gt;AS$118, AS98-AS$118,"")</f>
        <v/>
      </c>
      <c r="BW98" s="1" t="str">
        <f>IF(AT98&gt;AT$118, AT98-AT$118,"")</f>
        <v/>
      </c>
      <c r="BX98" s="1" t="str">
        <f>IF(AU98&gt;AU$118, AU98-AU$118,"")</f>
        <v/>
      </c>
      <c r="BY98" s="1" t="str">
        <f>IF(AV98&gt;AV$118, AV98-AV$118,"")</f>
        <v/>
      </c>
      <c r="BZ98" s="1" t="str">
        <f>IF(AW98&gt;AW$118, AW98-AW$118,"")</f>
        <v/>
      </c>
      <c r="CA98" s="1" t="str">
        <f>IF(AX98&gt;AX$118, AX98-AX$118,"")</f>
        <v/>
      </c>
      <c r="CB98" s="1" t="str">
        <f>IF(AY98&gt;AY$118, AY98-AY$118,"")</f>
        <v/>
      </c>
      <c r="CC98" s="1" t="str">
        <f>IF(AZ98&gt;AZ$118, AZ98-AZ$118,"")</f>
        <v/>
      </c>
      <c r="CD98" s="1" t="str">
        <f>IF(BA98&gt;BA$118, BA98-BA$118,"")</f>
        <v/>
      </c>
      <c r="CE98" s="1" t="str">
        <f>IF(BB98&gt;BB$118, BB98-BB$118,"")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140</v>
      </c>
      <c r="C99" s="1" t="s">
        <v>139</v>
      </c>
      <c r="D99" s="1" t="s">
        <v>110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210</v>
      </c>
      <c r="BT99" s="1" t="str">
        <f>IF(AQ99&gt;AQ$118, AQ99-AQ$118,"")</f>
        <v/>
      </c>
      <c r="BU99" s="1" t="str">
        <f>IF(AR99&gt;AR$118, AR99-AR$118,"")</f>
        <v/>
      </c>
      <c r="BV99" s="1" t="str">
        <f>IF(AS99&gt;AS$118, AS99-AS$118,"")</f>
        <v/>
      </c>
      <c r="BW99" s="1" t="str">
        <f>IF(AT99&gt;AT$118, AT99-AT$118,"")</f>
        <v/>
      </c>
      <c r="BX99" s="1" t="str">
        <f>IF(AU99&gt;AU$118, AU99-AU$118,"")</f>
        <v/>
      </c>
      <c r="BY99" s="1" t="str">
        <f>IF(AV99&gt;AV$118, AV99-AV$118,"")</f>
        <v/>
      </c>
      <c r="BZ99" s="1" t="str">
        <f>IF(AW99&gt;AW$118, AW99-AW$118,"")</f>
        <v/>
      </c>
      <c r="CA99" s="1" t="str">
        <f>IF(AX99&gt;AX$118, AX99-AX$118,"")</f>
        <v/>
      </c>
      <c r="CB99" s="1" t="str">
        <f>IF(AY99&gt;AY$118, AY99-AY$118,"")</f>
        <v/>
      </c>
      <c r="CC99" s="1" t="str">
        <f>IF(AZ99&gt;AZ$118, AZ99-AZ$118,"")</f>
        <v/>
      </c>
      <c r="CD99" s="1" t="str">
        <f>IF(BA99&gt;BA$118, BA99-BA$118,"")</f>
        <v/>
      </c>
      <c r="CE99" s="1" t="str">
        <f>IF(BB99&gt;BB$118, BB99-BB$118,"")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146</v>
      </c>
      <c r="C100" s="1" t="s">
        <v>107</v>
      </c>
      <c r="D100" s="1" t="s">
        <v>147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210</v>
      </c>
      <c r="BT100" s="1" t="str">
        <f>IF(AQ100&gt;AQ$118, AQ100-AQ$118,"")</f>
        <v/>
      </c>
      <c r="BU100" s="1" t="str">
        <f>IF(AR100&gt;AR$118, AR100-AR$118,"")</f>
        <v/>
      </c>
      <c r="BV100" s="1" t="str">
        <f>IF(AS100&gt;AS$118, AS100-AS$118,"")</f>
        <v/>
      </c>
      <c r="BW100" s="1" t="str">
        <f>IF(AT100&gt;AT$118, AT100-AT$118,"")</f>
        <v/>
      </c>
      <c r="BX100" s="1" t="str">
        <f>IF(AU100&gt;AU$118, AU100-AU$118,"")</f>
        <v/>
      </c>
      <c r="BY100" s="1" t="str">
        <f>IF(AV100&gt;AV$118, AV100-AV$118,"")</f>
        <v/>
      </c>
      <c r="BZ100" s="1" t="str">
        <f>IF(AW100&gt;AW$118, AW100-AW$118,"")</f>
        <v/>
      </c>
      <c r="CA100" s="1" t="str">
        <f>IF(AX100&gt;AX$118, AX100-AX$118,"")</f>
        <v/>
      </c>
      <c r="CB100" s="1" t="str">
        <f>IF(AY100&gt;AY$118, AY100-AY$118,"")</f>
        <v/>
      </c>
      <c r="CC100" s="1" t="str">
        <f>IF(AZ100&gt;AZ$118, AZ100-AZ$118,"")</f>
        <v/>
      </c>
      <c r="CD100" s="1" t="str">
        <f>IF(BA100&gt;BA$118, BA100-BA$118,"")</f>
        <v/>
      </c>
      <c r="CE100" s="1" t="str">
        <f>IF(BB100&gt;BB$118, BB100-BB$118,"")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151</v>
      </c>
      <c r="C101" s="1" t="s">
        <v>109</v>
      </c>
      <c r="D101" s="1" t="s">
        <v>111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>
        <v>10</v>
      </c>
      <c r="W101" s="28"/>
      <c r="X101" s="28"/>
      <c r="Y101" s="28">
        <v>10</v>
      </c>
      <c r="Z101" s="28"/>
      <c r="AA101" s="28"/>
      <c r="AB101" s="28">
        <v>10</v>
      </c>
      <c r="AC101" s="28">
        <v>5</v>
      </c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23</v>
      </c>
      <c r="BR101" s="17">
        <v>4</v>
      </c>
      <c r="BS101" s="17" t="s">
        <v>282</v>
      </c>
      <c r="BT101" s="1" t="str">
        <f>IF(AQ101&gt;AQ$118, AQ101-AQ$118,"")</f>
        <v/>
      </c>
      <c r="BU101" s="1" t="str">
        <f>IF(AR101&gt;AR$118, AR101-AR$118,"")</f>
        <v/>
      </c>
      <c r="BV101" s="1" t="str">
        <f>IF(AS101&gt;AS$118, AS101-AS$118,"")</f>
        <v/>
      </c>
      <c r="BW101" s="1" t="str">
        <f>IF(AT101&gt;AT$118, AT101-AT$118,"")</f>
        <v/>
      </c>
      <c r="BX101" s="1" t="str">
        <f>IF(AU101&gt;AU$118, AU101-AU$118,"")</f>
        <v/>
      </c>
      <c r="BY101" s="1" t="str">
        <f>IF(AV101&gt;AV$118, AV101-AV$118,"")</f>
        <v/>
      </c>
      <c r="BZ101" s="1" t="str">
        <f>IF(AW101&gt;AW$118, AW101-AW$118,"")</f>
        <v/>
      </c>
      <c r="CA101" s="1" t="str">
        <f>IF(AX101&gt;AX$118, AX101-AX$118,"")</f>
        <v/>
      </c>
      <c r="CB101" s="1" t="str">
        <f>IF(AY101&gt;AY$118, AY101-AY$118,"")</f>
        <v/>
      </c>
      <c r="CC101" s="1" t="str">
        <f>IF(AZ101&gt;AZ$118, AZ101-AZ$118,"")</f>
        <v/>
      </c>
      <c r="CD101" s="1" t="str">
        <f>IF(BA101&gt;BA$118, BA101-BA$118,"")</f>
        <v/>
      </c>
      <c r="CE101" s="1" t="str">
        <f>IF(BB101&gt;BB$118, BB101-BB$118,"")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135</v>
      </c>
      <c r="C102" s="1" t="s">
        <v>137</v>
      </c>
      <c r="D102" s="1" t="s">
        <v>111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>
        <v>10</v>
      </c>
      <c r="W102" s="28"/>
      <c r="X102" s="28"/>
      <c r="Y102" s="28">
        <v>10</v>
      </c>
      <c r="Z102" s="28"/>
      <c r="AA102" s="28"/>
      <c r="AB102" s="28">
        <v>10</v>
      </c>
      <c r="AC102" s="28">
        <v>5</v>
      </c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23</v>
      </c>
      <c r="BR102" s="17">
        <v>4</v>
      </c>
      <c r="BS102" s="17" t="s">
        <v>211</v>
      </c>
      <c r="BT102" s="1" t="str">
        <f>IF(AQ102&gt;AQ$118, AQ102-AQ$118,"")</f>
        <v/>
      </c>
      <c r="BU102" s="1" t="str">
        <f>IF(AR102&gt;AR$118, AR102-AR$118,"")</f>
        <v/>
      </c>
      <c r="BV102" s="1" t="str">
        <f>IF(AS102&gt;AS$118, AS102-AS$118,"")</f>
        <v/>
      </c>
      <c r="BW102" s="1" t="str">
        <f>IF(AT102&gt;AT$118, AT102-AT$118,"")</f>
        <v/>
      </c>
      <c r="BX102" s="1" t="str">
        <f>IF(AU102&gt;AU$118, AU102-AU$118,"")</f>
        <v/>
      </c>
      <c r="BY102" s="1" t="str">
        <f>IF(AV102&gt;AV$118, AV102-AV$118,"")</f>
        <v/>
      </c>
      <c r="BZ102" s="1" t="str">
        <f>IF(AW102&gt;AW$118, AW102-AW$118,"")</f>
        <v/>
      </c>
      <c r="CA102" s="1" t="str">
        <f>IF(AX102&gt;AX$118, AX102-AX$118,"")</f>
        <v/>
      </c>
      <c r="CB102" s="1" t="str">
        <f>IF(AY102&gt;AY$118, AY102-AY$118,"")</f>
        <v/>
      </c>
      <c r="CC102" s="1" t="str">
        <f>IF(AZ102&gt;AZ$118, AZ102-AZ$118,"")</f>
        <v/>
      </c>
      <c r="CD102" s="1" t="str">
        <f>IF(BA102&gt;BA$118, BA102-BA$118,"")</f>
        <v/>
      </c>
      <c r="CE102" s="1" t="str">
        <f>IF(BB102&gt;BB$118, BB102-BB$118,"")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144</v>
      </c>
      <c r="C103" s="1" t="s">
        <v>139</v>
      </c>
      <c r="D103" s="1" t="s">
        <v>111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>
        <v>10</v>
      </c>
      <c r="W103" s="28"/>
      <c r="X103" s="28"/>
      <c r="Y103" s="28">
        <v>10</v>
      </c>
      <c r="Z103" s="28"/>
      <c r="AA103" s="28"/>
      <c r="AB103" s="28">
        <v>10</v>
      </c>
      <c r="AC103" s="28">
        <v>5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23</v>
      </c>
      <c r="BR103" s="17">
        <v>4</v>
      </c>
      <c r="BS103" s="17" t="s">
        <v>282</v>
      </c>
      <c r="BT103" s="1" t="str">
        <f>IF(AQ103&gt;AQ$118, AQ103-AQ$118,"")</f>
        <v/>
      </c>
      <c r="BU103" s="1" t="str">
        <f>IF(AR103&gt;AR$118, AR103-AR$118,"")</f>
        <v/>
      </c>
      <c r="BV103" s="1" t="str">
        <f>IF(AS103&gt;AS$118, AS103-AS$118,"")</f>
        <v/>
      </c>
      <c r="BW103" s="1" t="str">
        <f>IF(AT103&gt;AT$118, AT103-AT$118,"")</f>
        <v/>
      </c>
      <c r="BX103" s="1" t="str">
        <f>IF(AU103&gt;AU$118, AU103-AU$118,"")</f>
        <v/>
      </c>
      <c r="BY103" s="1" t="str">
        <f>IF(AV103&gt;AV$118, AV103-AV$118,"")</f>
        <v/>
      </c>
      <c r="BZ103" s="1" t="str">
        <f>IF(AW103&gt;AW$118, AW103-AW$118,"")</f>
        <v/>
      </c>
      <c r="CA103" s="1" t="str">
        <f>IF(AX103&gt;AX$118, AX103-AX$118,"")</f>
        <v/>
      </c>
      <c r="CB103" s="1" t="str">
        <f>IF(AY103&gt;AY$118, AY103-AY$118,"")</f>
        <v/>
      </c>
      <c r="CC103" s="1" t="str">
        <f>IF(AZ103&gt;AZ$118, AZ103-AZ$118,"")</f>
        <v/>
      </c>
      <c r="CD103" s="1" t="str">
        <f>IF(BA103&gt;BA$118, BA103-BA$118,"")</f>
        <v/>
      </c>
      <c r="CE103" s="1" t="str">
        <f>IF(BB103&gt;BB$118, BB103-BB$118,"")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145</v>
      </c>
      <c r="C104" s="1" t="s">
        <v>139</v>
      </c>
      <c r="D104" s="1" t="s">
        <v>111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>
        <v>10</v>
      </c>
      <c r="W104" s="28"/>
      <c r="X104" s="28"/>
      <c r="Y104" s="28">
        <v>10</v>
      </c>
      <c r="Z104" s="28"/>
      <c r="AA104" s="28"/>
      <c r="AB104" s="28">
        <v>10</v>
      </c>
      <c r="AC104" s="28">
        <v>5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23</v>
      </c>
      <c r="BR104" s="17">
        <v>4</v>
      </c>
      <c r="BS104" s="17" t="s">
        <v>211</v>
      </c>
      <c r="BT104" s="1" t="str">
        <f>IF(AQ104&gt;AQ$118, AQ104-AQ$118,"")</f>
        <v/>
      </c>
      <c r="BU104" s="1" t="str">
        <f>IF(AR104&gt;AR$118, AR104-AR$118,"")</f>
        <v/>
      </c>
      <c r="BV104" s="1" t="str">
        <f>IF(AS104&gt;AS$118, AS104-AS$118,"")</f>
        <v/>
      </c>
      <c r="BW104" s="1" t="str">
        <f>IF(AT104&gt;AT$118, AT104-AT$118,"")</f>
        <v/>
      </c>
      <c r="BX104" s="1" t="str">
        <f>IF(AU104&gt;AU$118, AU104-AU$118,"")</f>
        <v/>
      </c>
      <c r="BY104" s="1" t="str">
        <f>IF(AV104&gt;AV$118, AV104-AV$118,"")</f>
        <v/>
      </c>
      <c r="BZ104" s="1" t="str">
        <f>IF(AW104&gt;AW$118, AW104-AW$118,"")</f>
        <v/>
      </c>
      <c r="CA104" s="1" t="str">
        <f>IF(AX104&gt;AX$118, AX104-AX$118,"")</f>
        <v/>
      </c>
      <c r="CB104" s="1" t="str">
        <f>IF(AY104&gt;AY$118, AY104-AY$118,"")</f>
        <v/>
      </c>
      <c r="CC104" s="1" t="str">
        <f>IF(AZ104&gt;AZ$118, AZ104-AZ$118,"")</f>
        <v/>
      </c>
      <c r="CD104" s="1" t="str">
        <f>IF(BA104&gt;BA$118, BA104-BA$118,"")</f>
        <v/>
      </c>
      <c r="CE104" s="1" t="str">
        <f>IF(BB104&gt;BB$118, BB104-BB$118,"")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136</v>
      </c>
      <c r="C105" s="1" t="s">
        <v>137</v>
      </c>
      <c r="D105" s="1" t="s">
        <v>110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/>
      <c r="X105" s="28"/>
      <c r="Y105" s="28"/>
      <c r="Z105" s="28">
        <v>5</v>
      </c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283</v>
      </c>
      <c r="BT105" s="1" t="str">
        <f>IF(AQ105&gt;AQ$118, AQ105-AQ$118,"")</f>
        <v/>
      </c>
      <c r="BU105" s="1" t="str">
        <f>IF(AR105&gt;AR$118, AR105-AR$118,"")</f>
        <v/>
      </c>
      <c r="BV105" s="1" t="str">
        <f>IF(AS105&gt;AS$118, AS105-AS$118,"")</f>
        <v/>
      </c>
      <c r="BW105" s="1" t="str">
        <f>IF(AT105&gt;AT$118, AT105-AT$118,"")</f>
        <v/>
      </c>
      <c r="BX105" s="1" t="str">
        <f>IF(AU105&gt;AU$118, AU105-AU$118,"")</f>
        <v/>
      </c>
      <c r="BY105" s="1" t="str">
        <f>IF(AV105&gt;AV$118, AV105-AV$118,"")</f>
        <v/>
      </c>
      <c r="BZ105" s="1" t="str">
        <f>IF(AW105&gt;AW$118, AW105-AW$118,"")</f>
        <v/>
      </c>
      <c r="CA105" s="1" t="str">
        <f>IF(AX105&gt;AX$118, AX105-AX$118,"")</f>
        <v/>
      </c>
      <c r="CB105" s="1" t="str">
        <f>IF(AY105&gt;AY$118, AY105-AY$118,"")</f>
        <v/>
      </c>
      <c r="CC105" s="1" t="str">
        <f>IF(AZ105&gt;AZ$118, AZ105-AZ$118,"")</f>
        <v/>
      </c>
      <c r="CD105" s="1" t="str">
        <f>IF(BA105&gt;BA$118, BA105-BA$118,"")</f>
        <v/>
      </c>
      <c r="CE105" s="1" t="str">
        <f>IF(BB105&gt;BB$118, BB105-BB$118,"")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127</v>
      </c>
      <c r="C106" s="1" t="s">
        <v>128</v>
      </c>
      <c r="D106" s="1" t="s">
        <v>111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>
        <v>5</v>
      </c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24</v>
      </c>
      <c r="BR106" s="17">
        <v>4</v>
      </c>
      <c r="BS106" s="17" t="s">
        <v>202</v>
      </c>
      <c r="BT106" s="1" t="str">
        <f>IF(AQ106&gt;AQ$118, AQ106-AQ$118,"")</f>
        <v/>
      </c>
      <c r="BU106" s="1" t="str">
        <f>IF(AR106&gt;AR$118, AR106-AR$118,"")</f>
        <v/>
      </c>
      <c r="BV106" s="1" t="str">
        <f>IF(AS106&gt;AS$118, AS106-AS$118,"")</f>
        <v/>
      </c>
      <c r="BW106" s="1" t="str">
        <f>IF(AT106&gt;AT$118, AT106-AT$118,"")</f>
        <v/>
      </c>
      <c r="BX106" s="1" t="str">
        <f>IF(AU106&gt;AU$118, AU106-AU$118,"")</f>
        <v/>
      </c>
      <c r="BY106" s="1" t="str">
        <f>IF(AV106&gt;AV$118, AV106-AV$118,"")</f>
        <v/>
      </c>
      <c r="BZ106" s="1" t="str">
        <f>IF(AW106&gt;AW$118, AW106-AW$118,"")</f>
        <v/>
      </c>
      <c r="CA106" s="1" t="str">
        <f>IF(AX106&gt;AX$118, AX106-AX$118,"")</f>
        <v/>
      </c>
      <c r="CB106" s="1" t="str">
        <f>IF(AY106&gt;AY$118, AY106-AY$118,"")</f>
        <v/>
      </c>
      <c r="CC106" s="1" t="str">
        <f>IF(AZ106&gt;AZ$118, AZ106-AZ$118,"")</f>
        <v/>
      </c>
      <c r="CD106" s="1" t="str">
        <f>IF(BA106&gt;BA$118, BA106-BA$118,"")</f>
        <v/>
      </c>
      <c r="CE106" s="1" t="str">
        <f>IF(BB106&gt;BB$118, BB106-BB$118,"")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133</v>
      </c>
      <c r="C107" s="1" t="s">
        <v>132</v>
      </c>
      <c r="D107" s="1" t="s">
        <v>111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>
        <v>5</v>
      </c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24</v>
      </c>
      <c r="BR107" s="17">
        <v>4</v>
      </c>
      <c r="BS107" s="17" t="s">
        <v>284</v>
      </c>
      <c r="BT107" s="1" t="str">
        <f>IF(AQ107&gt;AQ$118, AQ107-AQ$118,"")</f>
        <v/>
      </c>
      <c r="BU107" s="1" t="str">
        <f>IF(AR107&gt;AR$118, AR107-AR$118,"")</f>
        <v/>
      </c>
      <c r="BV107" s="1" t="str">
        <f>IF(AS107&gt;AS$118, AS107-AS$118,"")</f>
        <v/>
      </c>
      <c r="BW107" s="1" t="str">
        <f>IF(AT107&gt;AT$118, AT107-AT$118,"")</f>
        <v/>
      </c>
      <c r="BX107" s="1" t="str">
        <f>IF(AU107&gt;AU$118, AU107-AU$118,"")</f>
        <v/>
      </c>
      <c r="BY107" s="1" t="str">
        <f>IF(AV107&gt;AV$118, AV107-AV$118,"")</f>
        <v/>
      </c>
      <c r="BZ107" s="1" t="str">
        <f>IF(AW107&gt;AW$118, AW107-AW$118,"")</f>
        <v/>
      </c>
      <c r="CA107" s="1" t="str">
        <f>IF(AX107&gt;AX$118, AX107-AX$118,"")</f>
        <v/>
      </c>
      <c r="CB107" s="1" t="str">
        <f>IF(AY107&gt;AY$118, AY107-AY$118,"")</f>
        <v/>
      </c>
      <c r="CC107" s="1" t="str">
        <f>IF(AZ107&gt;AZ$118, AZ107-AZ$118,"")</f>
        <v/>
      </c>
      <c r="CD107" s="1" t="str">
        <f>IF(BA107&gt;BA$118, BA107-BA$118,"")</f>
        <v/>
      </c>
      <c r="CE107" s="1" t="str">
        <f>IF(BB107&gt;BB$118, BB107-BB$118,"")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127</v>
      </c>
      <c r="C108" s="1" t="s">
        <v>128</v>
      </c>
      <c r="D108" s="1" t="s">
        <v>110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>
        <v>10</v>
      </c>
      <c r="Q108" s="28"/>
      <c r="R108" s="28"/>
      <c r="S108" s="28">
        <v>10</v>
      </c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40</v>
      </c>
      <c r="BQ108" s="1">
        <v>35</v>
      </c>
      <c r="BR108" s="17">
        <v>4</v>
      </c>
      <c r="BS108" s="17" t="s">
        <v>207</v>
      </c>
      <c r="BT108" s="1" t="str">
        <f>IF(AQ108&gt;AQ$118, AQ108-AQ$118,"")</f>
        <v/>
      </c>
      <c r="BU108" s="1" t="str">
        <f>IF(AR108&gt;AR$118, AR108-AR$118,"")</f>
        <v/>
      </c>
      <c r="BV108" s="1" t="str">
        <f>IF(AS108&gt;AS$118, AS108-AS$118,"")</f>
        <v/>
      </c>
      <c r="BW108" s="1" t="str">
        <f>IF(AT108&gt;AT$118, AT108-AT$118,"")</f>
        <v/>
      </c>
      <c r="BX108" s="1" t="str">
        <f>IF(AU108&gt;AU$118, AU108-AU$118,"")</f>
        <v/>
      </c>
      <c r="BY108" s="1" t="str">
        <f>IF(AV108&gt;AV$118, AV108-AV$118,"")</f>
        <v/>
      </c>
      <c r="BZ108" s="1" t="str">
        <f>IF(AW108&gt;AW$118, AW108-AW$118,"")</f>
        <v/>
      </c>
      <c r="CA108" s="1" t="str">
        <f>IF(AX108&gt;AX$118, AX108-AX$118,"")</f>
        <v/>
      </c>
      <c r="CB108" s="1" t="str">
        <f>IF(AY108&gt;AY$118, AY108-AY$118,"")</f>
        <v/>
      </c>
      <c r="CC108" s="1" t="str">
        <f>IF(AZ108&gt;AZ$118, AZ108-AZ$118,"")</f>
        <v/>
      </c>
      <c r="CD108" s="1" t="str">
        <f>IF(BA108&gt;BA$118, BA108-BA$118,"")</f>
        <v/>
      </c>
      <c r="CE108" s="1" t="str">
        <f>IF(BB108&gt;BB$118, BB108-BB$118,"")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133</v>
      </c>
      <c r="C109" s="1" t="s">
        <v>132</v>
      </c>
      <c r="D109" s="1" t="s">
        <v>110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>
        <v>10</v>
      </c>
      <c r="Q109" s="28"/>
      <c r="R109" s="28"/>
      <c r="S109" s="28">
        <v>10</v>
      </c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35</v>
      </c>
      <c r="BR109" s="17">
        <v>4</v>
      </c>
      <c r="BS109" s="17" t="s">
        <v>285</v>
      </c>
      <c r="BT109" s="1" t="str">
        <f>IF(AQ109&gt;AQ$118, AQ109-AQ$118,"")</f>
        <v/>
      </c>
      <c r="BU109" s="1" t="str">
        <f>IF(AR109&gt;AR$118, AR109-AR$118,"")</f>
        <v/>
      </c>
      <c r="BV109" s="1" t="str">
        <f>IF(AS109&gt;AS$118, AS109-AS$118,"")</f>
        <v/>
      </c>
      <c r="BW109" s="1" t="str">
        <f>IF(AT109&gt;AT$118, AT109-AT$118,"")</f>
        <v/>
      </c>
      <c r="BX109" s="1" t="str">
        <f>IF(AU109&gt;AU$118, AU109-AU$118,"")</f>
        <v/>
      </c>
      <c r="BY109" s="1" t="str">
        <f>IF(AV109&gt;AV$118, AV109-AV$118,"")</f>
        <v/>
      </c>
      <c r="BZ109" s="1" t="str">
        <f>IF(AW109&gt;AW$118, AW109-AW$118,"")</f>
        <v/>
      </c>
      <c r="CA109" s="1" t="str">
        <f>IF(AX109&gt;AX$118, AX109-AX$118,"")</f>
        <v/>
      </c>
      <c r="CB109" s="1" t="str">
        <f>IF(AY109&gt;AY$118, AY109-AY$118,"")</f>
        <v/>
      </c>
      <c r="CC109" s="1" t="str">
        <f>IF(AZ109&gt;AZ$118, AZ109-AZ$118,"")</f>
        <v/>
      </c>
      <c r="CD109" s="1" t="str">
        <f>IF(BA109&gt;BA$118, BA109-BA$118,"")</f>
        <v/>
      </c>
      <c r="CE109" s="1" t="str">
        <f>IF(BB109&gt;BB$118, BB109-BB$118,"")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135</v>
      </c>
      <c r="C110" s="1" t="s">
        <v>137</v>
      </c>
      <c r="D110" s="1" t="s">
        <v>110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35</v>
      </c>
      <c r="BR110" s="17">
        <v>4</v>
      </c>
      <c r="BS110" s="17" t="s">
        <v>285</v>
      </c>
      <c r="BT110" s="1" t="str">
        <f>IF(AQ110&gt;AQ$118, AQ110-AQ$118,"")</f>
        <v/>
      </c>
      <c r="BU110" s="1" t="str">
        <f>IF(AR110&gt;AR$118, AR110-AR$118,"")</f>
        <v/>
      </c>
      <c r="BV110" s="1" t="str">
        <f>IF(AS110&gt;AS$118, AS110-AS$118,"")</f>
        <v/>
      </c>
      <c r="BW110" s="1" t="str">
        <f>IF(AT110&gt;AT$118, AT110-AT$118,"")</f>
        <v/>
      </c>
      <c r="BX110" s="1" t="str">
        <f>IF(AU110&gt;AU$118, AU110-AU$118,"")</f>
        <v/>
      </c>
      <c r="BY110" s="1" t="str">
        <f>IF(AV110&gt;AV$118, AV110-AV$118,"")</f>
        <v/>
      </c>
      <c r="BZ110" s="1" t="str">
        <f>IF(AW110&gt;AW$118, AW110-AW$118,"")</f>
        <v/>
      </c>
      <c r="CA110" s="1" t="str">
        <f>IF(AX110&gt;AX$118, AX110-AX$118,"")</f>
        <v/>
      </c>
      <c r="CB110" s="1" t="str">
        <f>IF(AY110&gt;AY$118, AY110-AY$118,"")</f>
        <v/>
      </c>
      <c r="CC110" s="1" t="str">
        <f>IF(AZ110&gt;AZ$118, AZ110-AZ$118,"")</f>
        <v/>
      </c>
      <c r="CD110" s="1" t="str">
        <f>IF(BA110&gt;BA$118, BA110-BA$118,"")</f>
        <v/>
      </c>
      <c r="CE110" s="1" t="str">
        <f>IF(BB110&gt;BB$118, BB110-BB$118,"")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141</v>
      </c>
      <c r="C111" s="1" t="s">
        <v>139</v>
      </c>
      <c r="D111" s="1" t="s">
        <v>110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35</v>
      </c>
      <c r="BR111" s="17">
        <v>4</v>
      </c>
      <c r="BS111" s="17" t="s">
        <v>207</v>
      </c>
      <c r="BT111" s="1" t="str">
        <f>IF(AQ111&gt;AQ$118, AQ111-AQ$118,"")</f>
        <v/>
      </c>
      <c r="BU111" s="1" t="str">
        <f>IF(AR111&gt;AR$118, AR111-AR$118,"")</f>
        <v/>
      </c>
      <c r="BV111" s="1" t="str">
        <f>IF(AS111&gt;AS$118, AS111-AS$118,"")</f>
        <v/>
      </c>
      <c r="BW111" s="1" t="str">
        <f>IF(AT111&gt;AT$118, AT111-AT$118,"")</f>
        <v/>
      </c>
      <c r="BX111" s="1" t="str">
        <f>IF(AU111&gt;AU$118, AU111-AU$118,"")</f>
        <v/>
      </c>
      <c r="BY111" s="1" t="str">
        <f>IF(AV111&gt;AV$118, AV111-AV$118,"")</f>
        <v/>
      </c>
      <c r="BZ111" s="1" t="str">
        <f>IF(AW111&gt;AW$118, AW111-AW$118,"")</f>
        <v/>
      </c>
      <c r="CA111" s="1" t="str">
        <f>IF(AX111&gt;AX$118, AX111-AX$118,"")</f>
        <v/>
      </c>
      <c r="CB111" s="1" t="str">
        <f>IF(AY111&gt;AY$118, AY111-AY$118,"")</f>
        <v/>
      </c>
      <c r="CC111" s="1" t="str">
        <f>IF(AZ111&gt;AZ$118, AZ111-AZ$118,"")</f>
        <v/>
      </c>
      <c r="CD111" s="1" t="str">
        <f>IF(BA111&gt;BA$118, BA111-BA$118,"")</f>
        <v/>
      </c>
      <c r="CE111" s="1" t="str">
        <f>IF(BB111&gt;BB$118, BB111-BB$118,"")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144</v>
      </c>
      <c r="C112" s="1" t="s">
        <v>139</v>
      </c>
      <c r="D112" s="1" t="s">
        <v>110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35</v>
      </c>
      <c r="BR112" s="17">
        <v>4</v>
      </c>
      <c r="BS112" s="17" t="s">
        <v>285</v>
      </c>
      <c r="BT112" s="1" t="str">
        <f>IF(AQ112&gt;AQ$118, AQ112-AQ$118,"")</f>
        <v/>
      </c>
      <c r="BU112" s="1" t="str">
        <f>IF(AR112&gt;AR$118, AR112-AR$118,"")</f>
        <v/>
      </c>
      <c r="BV112" s="1" t="str">
        <f>IF(AS112&gt;AS$118, AS112-AS$118,"")</f>
        <v/>
      </c>
      <c r="BW112" s="1" t="str">
        <f>IF(AT112&gt;AT$118, AT112-AT$118,"")</f>
        <v/>
      </c>
      <c r="BX112" s="1" t="str">
        <f>IF(AU112&gt;AU$118, AU112-AU$118,"")</f>
        <v/>
      </c>
      <c r="BY112" s="1" t="str">
        <f>IF(AV112&gt;AV$118, AV112-AV$118,"")</f>
        <v/>
      </c>
      <c r="BZ112" s="1" t="str">
        <f>IF(AW112&gt;AW$118, AW112-AW$118,"")</f>
        <v/>
      </c>
      <c r="CA112" s="1" t="str">
        <f>IF(AX112&gt;AX$118, AX112-AX$118,"")</f>
        <v/>
      </c>
      <c r="CB112" s="1" t="str">
        <f>IF(AY112&gt;AY$118, AY112-AY$118,"")</f>
        <v/>
      </c>
      <c r="CC112" s="1" t="str">
        <f>IF(AZ112&gt;AZ$118, AZ112-AZ$118,"")</f>
        <v/>
      </c>
      <c r="CD112" s="1" t="str">
        <f>IF(BA112&gt;BA$118, BA112-BA$118,"")</f>
        <v/>
      </c>
      <c r="CE112" s="1" t="str">
        <f>IF(BB112&gt;BB$118, BB112-BB$118,"")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145</v>
      </c>
      <c r="C113" s="1" t="s">
        <v>139</v>
      </c>
      <c r="D113" s="1" t="s">
        <v>110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207</v>
      </c>
      <c r="BT113" s="1" t="str">
        <f>IF(AQ113&gt;AQ$118, AQ113-AQ$118,"")</f>
        <v/>
      </c>
      <c r="BU113" s="1" t="str">
        <f>IF(AR113&gt;AR$118, AR113-AR$118,"")</f>
        <v/>
      </c>
      <c r="BV113" s="1" t="str">
        <f>IF(AS113&gt;AS$118, AS113-AS$118,"")</f>
        <v/>
      </c>
      <c r="BW113" s="1" t="str">
        <f>IF(AT113&gt;AT$118, AT113-AT$118,"")</f>
        <v/>
      </c>
      <c r="BX113" s="1" t="str">
        <f>IF(AU113&gt;AU$118, AU113-AU$118,"")</f>
        <v/>
      </c>
      <c r="BY113" s="1" t="str">
        <f>IF(AV113&gt;AV$118, AV113-AV$118,"")</f>
        <v/>
      </c>
      <c r="BZ113" s="1" t="str">
        <f>IF(AW113&gt;AW$118, AW113-AW$118,"")</f>
        <v/>
      </c>
      <c r="CA113" s="1" t="str">
        <f>IF(AX113&gt;AX$118, AX113-AX$118,"")</f>
        <v/>
      </c>
      <c r="CB113" s="1" t="str">
        <f>IF(AY113&gt;AY$118, AY113-AY$118,"")</f>
        <v/>
      </c>
      <c r="CC113" s="1" t="str">
        <f>IF(AZ113&gt;AZ$118, AZ113-AZ$118,"")</f>
        <v/>
      </c>
      <c r="CD113" s="1" t="str">
        <f>IF(BA113&gt;BA$118, BA113-BA$118,"")</f>
        <v/>
      </c>
      <c r="CE113" s="1" t="str">
        <f>IF(BB113&gt;BB$118, BB113-BB$118,"")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>
        <v>23</v>
      </c>
      <c r="B114" s="1" t="s">
        <v>90</v>
      </c>
      <c r="C114" s="1" t="s">
        <v>28</v>
      </c>
      <c r="D114" s="1" t="s">
        <v>34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>
        <v>50</v>
      </c>
      <c r="BK114" s="1">
        <v>50</v>
      </c>
      <c r="BL114" s="1"/>
      <c r="BM114" s="1"/>
      <c r="BN114" s="1">
        <v>50</v>
      </c>
      <c r="BO114" s="1">
        <v>50</v>
      </c>
      <c r="BP114" s="1">
        <f>SUM(E114:BO114)</f>
        <v>200</v>
      </c>
      <c r="BQ114" s="1">
        <v>100</v>
      </c>
      <c r="BR114" s="17">
        <v>4</v>
      </c>
      <c r="BS114" s="17" t="s">
        <v>209</v>
      </c>
      <c r="BT114" s="1" t="str">
        <f>IF(AQ114&gt;AQ$118, AQ114-AQ$118,"")</f>
        <v/>
      </c>
      <c r="BU114" s="1" t="str">
        <f>IF(AR114&gt;AR$118, AR114-AR$118,"")</f>
        <v/>
      </c>
      <c r="BV114" s="1" t="str">
        <f>IF(AS114&gt;AS$118, AS114-AS$118,"")</f>
        <v/>
      </c>
      <c r="BW114" s="1" t="str">
        <f>IF(AT114&gt;AT$118, AT114-AT$118,"")</f>
        <v/>
      </c>
      <c r="BX114" s="1" t="str">
        <f>IF(AU114&gt;AU$118, AU114-AU$118,"")</f>
        <v/>
      </c>
      <c r="BY114" s="1" t="str">
        <f>IF(AV114&gt;AV$118, AV114-AV$118,"")</f>
        <v/>
      </c>
      <c r="BZ114" s="1" t="str">
        <f>IF(AW114&gt;AW$118, AW114-AW$118,"")</f>
        <v/>
      </c>
      <c r="CA114" s="1" t="str">
        <f>IF(AX114&gt;AX$118, AX114-AX$118,"")</f>
        <v/>
      </c>
      <c r="CB114" s="1" t="str">
        <f>IF(AY114&gt;AY$118, AY114-AY$118,"")</f>
        <v/>
      </c>
      <c r="CC114" s="1" t="str">
        <f>IF(AZ114&gt;AZ$118, AZ114-AZ$118,"")</f>
        <v/>
      </c>
      <c r="CD114" s="1" t="str">
        <f>IF(BA114&gt;BA$118, BA114-BA$118,"")</f>
        <v/>
      </c>
      <c r="CE114" s="1" t="str">
        <f>IF(BB114&gt;BB$118, BB114-BB$118,"")</f>
        <v/>
      </c>
      <c r="CF114" s="1">
        <f>COUNTIF(BT114:CE114, "&gt;0")</f>
        <v>0</v>
      </c>
      <c r="CG114" s="1" t="str">
        <f>IF($CF114=1,BT114,"")</f>
        <v/>
      </c>
      <c r="CH114" s="1" t="str">
        <f>IF($CF114=1,BU114,"")</f>
        <v/>
      </c>
      <c r="CI114" s="1" t="str">
        <f>IF($CF114=1,BV114,"")</f>
        <v/>
      </c>
      <c r="CJ114" s="1" t="str">
        <f>IF($CF114=1,BW114,"")</f>
        <v/>
      </c>
      <c r="CK114" s="1" t="str">
        <f>IF($CF114=1,BX114,"")</f>
        <v/>
      </c>
      <c r="CL114" s="1" t="str">
        <f>IF($CF114=1,BY114,"")</f>
        <v/>
      </c>
      <c r="CM114" s="1" t="str">
        <f>IF($CF114=1,BZ114,"")</f>
        <v/>
      </c>
      <c r="CN114" s="1" t="str">
        <f>IF($CF114=1,CA114,"")</f>
        <v/>
      </c>
      <c r="CO114" s="1" t="str">
        <f>IF($CF114=1,CB114,"")</f>
        <v/>
      </c>
      <c r="CP114" s="1" t="str">
        <f>IF($CF114=1,CC114,"")</f>
        <v/>
      </c>
      <c r="CQ114" s="1" t="str">
        <f>IF($CF114=1,CD114,"")</f>
        <v/>
      </c>
      <c r="CR114" s="1" t="str">
        <f>IF($CF114=1,CE114,"")</f>
        <v/>
      </c>
      <c r="CS114" s="3">
        <f>SUM(AE114:BO114)</f>
        <v>200</v>
      </c>
    </row>
    <row r="115" spans="1:97" ht="54" x14ac:dyDescent="0.15">
      <c r="A115" s="1"/>
      <c r="B115" s="1" t="s">
        <v>163</v>
      </c>
      <c r="C115" s="1" t="s">
        <v>104</v>
      </c>
      <c r="D115" s="1" t="s">
        <v>105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>
        <v>50</v>
      </c>
      <c r="BK115" s="1">
        <v>50</v>
      </c>
      <c r="BL115" s="1"/>
      <c r="BM115" s="1"/>
      <c r="BN115" s="1">
        <v>50</v>
      </c>
      <c r="BO115" s="1">
        <v>50</v>
      </c>
      <c r="BP115" s="1">
        <f>SUM(E115:BO115)</f>
        <v>200</v>
      </c>
      <c r="BQ115" s="1">
        <v>100</v>
      </c>
      <c r="BR115" s="17">
        <v>4</v>
      </c>
      <c r="BS115" s="17" t="s">
        <v>286</v>
      </c>
      <c r="BT115" s="1" t="str">
        <f>IF(AQ115&gt;AQ$118, AQ115-AQ$118,"")</f>
        <v/>
      </c>
      <c r="BU115" s="1" t="str">
        <f>IF(AR115&gt;AR$118, AR115-AR$118,"")</f>
        <v/>
      </c>
      <c r="BV115" s="1" t="str">
        <f>IF(AS115&gt;AS$118, AS115-AS$118,"")</f>
        <v/>
      </c>
      <c r="BW115" s="1" t="str">
        <f>IF(AT115&gt;AT$118, AT115-AT$118,"")</f>
        <v/>
      </c>
      <c r="BX115" s="1" t="str">
        <f>IF(AU115&gt;AU$118, AU115-AU$118,"")</f>
        <v/>
      </c>
      <c r="BY115" s="1" t="str">
        <f>IF(AV115&gt;AV$118, AV115-AV$118,"")</f>
        <v/>
      </c>
      <c r="BZ115" s="1" t="str">
        <f>IF(AW115&gt;AW$118, AW115-AW$118,"")</f>
        <v/>
      </c>
      <c r="CA115" s="1" t="str">
        <f>IF(AX115&gt;AX$118, AX115-AX$118,"")</f>
        <v/>
      </c>
      <c r="CB115" s="1" t="str">
        <f>IF(AY115&gt;AY$118, AY115-AY$118,"")</f>
        <v/>
      </c>
      <c r="CC115" s="1" t="str">
        <f>IF(AZ115&gt;AZ$118, AZ115-AZ$118,"")</f>
        <v/>
      </c>
      <c r="CD115" s="1" t="str">
        <f>IF(BA115&gt;BA$118, BA115-BA$118,"")</f>
        <v/>
      </c>
      <c r="CE115" s="1" t="str">
        <f>IF(BB115&gt;BB$118, BB115-BB$118,"")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161</v>
      </c>
      <c r="C116" s="1" t="s">
        <v>138</v>
      </c>
      <c r="D116" s="1" t="s">
        <v>34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>
        <v>50</v>
      </c>
      <c r="BK116" s="1">
        <v>50</v>
      </c>
      <c r="BL116" s="1"/>
      <c r="BM116" s="1"/>
      <c r="BN116" s="1">
        <v>50</v>
      </c>
      <c r="BO116" s="1">
        <v>50</v>
      </c>
      <c r="BP116" s="1">
        <f>SUM(E116:BO116)</f>
        <v>200</v>
      </c>
      <c r="BQ116" s="1">
        <v>100</v>
      </c>
      <c r="BR116" s="17">
        <v>4</v>
      </c>
      <c r="BS116" s="17" t="s">
        <v>209</v>
      </c>
      <c r="BT116" s="1" t="str">
        <f>IF(AQ116&gt;AQ$118, AQ116-AQ$118,"")</f>
        <v/>
      </c>
      <c r="BU116" s="1" t="str">
        <f>IF(AR116&gt;AR$118, AR116-AR$118,"")</f>
        <v/>
      </c>
      <c r="BV116" s="1" t="str">
        <f>IF(AS116&gt;AS$118, AS116-AS$118,"")</f>
        <v/>
      </c>
      <c r="BW116" s="1" t="str">
        <f>IF(AT116&gt;AT$118, AT116-AT$118,"")</f>
        <v/>
      </c>
      <c r="BX116" s="1" t="str">
        <f>IF(AU116&gt;AU$118, AU116-AU$118,"")</f>
        <v/>
      </c>
      <c r="BY116" s="1" t="str">
        <f>IF(AV116&gt;AV$118, AV116-AV$118,"")</f>
        <v/>
      </c>
      <c r="BZ116" s="1" t="str">
        <f>IF(AW116&gt;AW$118, AW116-AW$118,"")</f>
        <v/>
      </c>
      <c r="CA116" s="1" t="str">
        <f>IF(AX116&gt;AX$118, AX116-AX$118,"")</f>
        <v/>
      </c>
      <c r="CB116" s="1" t="str">
        <f>IF(AY116&gt;AY$118, AY116-AY$118,"")</f>
        <v/>
      </c>
      <c r="CC116" s="1" t="str">
        <f>IF(AZ116&gt;AZ$118, AZ116-AZ$118,"")</f>
        <v/>
      </c>
      <c r="CD116" s="1" t="str">
        <f>IF(BA116&gt;BA$118, BA116-BA$118,"")</f>
        <v/>
      </c>
      <c r="CE116" s="1" t="str">
        <f>IF(BB116&gt;BB$118, BB116-BB$118,"")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>
        <v>102</v>
      </c>
      <c r="B117" s="3" t="s">
        <v>195</v>
      </c>
      <c r="C117" s="3" t="s">
        <v>60</v>
      </c>
      <c r="D117" s="1" t="s">
        <v>34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>
        <v>50</v>
      </c>
      <c r="BK117" s="1">
        <v>50</v>
      </c>
      <c r="BL117" s="1"/>
      <c r="BM117" s="1"/>
      <c r="BN117" s="1">
        <v>50</v>
      </c>
      <c r="BO117" s="1">
        <v>50</v>
      </c>
      <c r="BP117" s="1">
        <f>SUM(E117:BO117)</f>
        <v>200</v>
      </c>
      <c r="BQ117" s="1">
        <v>100</v>
      </c>
      <c r="BR117" s="17">
        <v>4</v>
      </c>
      <c r="BS117" s="17" t="s">
        <v>286</v>
      </c>
      <c r="BT117" s="1" t="str">
        <f>IF(AQ117&gt;AQ$118, AQ117-AQ$118,"")</f>
        <v/>
      </c>
      <c r="BU117" s="1" t="str">
        <f>IF(AR117&gt;AR$118, AR117-AR$118,"")</f>
        <v/>
      </c>
      <c r="BV117" s="1" t="str">
        <f>IF(AS117&gt;AS$118, AS117-AS$118,"")</f>
        <v/>
      </c>
      <c r="BW117" s="1" t="str">
        <f>IF(AT117&gt;AT$118, AT117-AT$118,"")</f>
        <v/>
      </c>
      <c r="BX117" s="1" t="str">
        <f>IF(AU117&gt;AU$118, AU117-AU$118,"")</f>
        <v/>
      </c>
      <c r="BY117" s="1" t="str">
        <f>IF(AV117&gt;AV$118, AV117-AV$118,"")</f>
        <v/>
      </c>
      <c r="BZ117" s="1" t="str">
        <f>IF(AW117&gt;AW$118, AW117-AW$118,"")</f>
        <v/>
      </c>
      <c r="CA117" s="1" t="str">
        <f>IF(AX117&gt;AX$118, AX117-AX$118,"")</f>
        <v/>
      </c>
      <c r="CB117" s="1" t="str">
        <f>IF(AY117&gt;AY$118, AY117-AY$118,"")</f>
        <v/>
      </c>
      <c r="CC117" s="1" t="str">
        <f>IF(AZ117&gt;AZ$118, AZ117-AZ$118,"")</f>
        <v/>
      </c>
      <c r="CD117" s="1" t="str">
        <f>IF(BA117&gt;BA$118, BA117-BA$118,"")</f>
        <v/>
      </c>
      <c r="CE117" s="1" t="str">
        <f>IF(BB117&gt;BB$118, BB117-BB$118,"")</f>
        <v/>
      </c>
      <c r="CF117" s="1">
        <f>COUNTIF(BT117:CE117, "&gt;0")</f>
        <v>0</v>
      </c>
      <c r="CG117" s="1" t="str">
        <f>IF($CF117=1,BT117,"")</f>
        <v/>
      </c>
      <c r="CH117" s="1" t="str">
        <f>IF($CF117=1,BU117,"")</f>
        <v/>
      </c>
      <c r="CI117" s="1" t="str">
        <f>IF($CF117=1,BV117,"")</f>
        <v/>
      </c>
      <c r="CJ117" s="1" t="str">
        <f>IF($CF117=1,BW117,"")</f>
        <v/>
      </c>
      <c r="CK117" s="1" t="str">
        <f>IF($CF117=1,BX117,"")</f>
        <v/>
      </c>
      <c r="CL117" s="1" t="str">
        <f>IF($CF117=1,BY117,"")</f>
        <v/>
      </c>
      <c r="CM117" s="1" t="str">
        <f>IF($CF117=1,BZ117,"")</f>
        <v/>
      </c>
      <c r="CN117" s="1" t="str">
        <f>IF($CF117=1,CA117,"")</f>
        <v/>
      </c>
      <c r="CO117" s="1" t="str">
        <f>IF($CF117=1,CB117,"")</f>
        <v/>
      </c>
      <c r="CP117" s="1" t="str">
        <f>IF($CF117=1,CC117,"")</f>
        <v/>
      </c>
      <c r="CQ117" s="1" t="str">
        <f>IF($CF117=1,CD117,"")</f>
        <v/>
      </c>
      <c r="CR117" s="1" t="str">
        <f>IF($CF117=1,CE117,"")</f>
        <v/>
      </c>
      <c r="CS117" s="3">
        <f>SUM(AE117:BO117)</f>
        <v>200</v>
      </c>
    </row>
    <row r="118" spans="1:97" x14ac:dyDescent="0.15">
      <c r="A118" s="1"/>
      <c r="B118" s="1" t="s">
        <v>62</v>
      </c>
      <c r="C118" s="1"/>
      <c r="D118" s="1"/>
      <c r="E118" s="6">
        <f>SUM(E3:E117)</f>
        <v>148</v>
      </c>
      <c r="F118" s="6">
        <f>SUM(F3:F117)</f>
        <v>48</v>
      </c>
      <c r="G118" s="6">
        <f>SUM(G3:G117)</f>
        <v>180</v>
      </c>
      <c r="H118" s="6">
        <f>SUM(H3:H117)</f>
        <v>134</v>
      </c>
      <c r="I118" s="6">
        <f>SUM(I3:I117)</f>
        <v>17</v>
      </c>
      <c r="J118" s="6">
        <f>SUM(J3:J117)</f>
        <v>40</v>
      </c>
      <c r="K118" s="6">
        <f>SUM(K3:K117)</f>
        <v>6</v>
      </c>
      <c r="L118" s="6">
        <f>SUM(L3:L117)</f>
        <v>82</v>
      </c>
      <c r="M118" s="6">
        <f>SUM(M3:M117)</f>
        <v>37</v>
      </c>
      <c r="N118" s="6">
        <f>SUM(N3:N117)</f>
        <v>6</v>
      </c>
      <c r="O118" s="6">
        <f>SUM(O3:O117)</f>
        <v>68</v>
      </c>
      <c r="P118" s="28">
        <f>SUM(P3:P117)</f>
        <v>130</v>
      </c>
      <c r="Q118" s="28">
        <f>SUM(Q3:Q117)</f>
        <v>76</v>
      </c>
      <c r="R118" s="28">
        <f>SUM(R3:R117)</f>
        <v>83</v>
      </c>
      <c r="S118" s="28">
        <f>SUM(S3:S117)</f>
        <v>130</v>
      </c>
      <c r="T118" s="28">
        <f>SUM(T3:T117)</f>
        <v>61</v>
      </c>
      <c r="U118" s="28">
        <f>SUM(U3:U117)</f>
        <v>62</v>
      </c>
      <c r="V118" s="28">
        <f>SUM(V3:V117)</f>
        <v>135</v>
      </c>
      <c r="W118" s="28">
        <f>SUM(W3:W117)</f>
        <v>35</v>
      </c>
      <c r="X118" s="28">
        <f>SUM(X3:X117)</f>
        <v>59</v>
      </c>
      <c r="Y118" s="28">
        <f>SUM(Y3:Y117)</f>
        <v>125</v>
      </c>
      <c r="Z118" s="28">
        <f>SUM(Z3:Z117)</f>
        <v>50</v>
      </c>
      <c r="AA118" s="28">
        <f>SUM(AA3:AA117)</f>
        <v>35</v>
      </c>
      <c r="AB118" s="28">
        <f>SUM(AB3:AB117)</f>
        <v>140</v>
      </c>
      <c r="AC118" s="28">
        <f>SUM(AC3:AC117)</f>
        <v>30</v>
      </c>
      <c r="AD118" s="28">
        <f>SUM(AD3:AD117)</f>
        <v>22</v>
      </c>
      <c r="AE118" s="1">
        <f>SUM(AE3:AE117)</f>
        <v>250</v>
      </c>
      <c r="AF118" s="1">
        <f>SUM(AF3:AF117)</f>
        <v>10</v>
      </c>
      <c r="AG118" s="1">
        <f>SUM(AG3:AG117)</f>
        <v>10</v>
      </c>
      <c r="AH118" s="1">
        <f>SUM(AH3:AH117)</f>
        <v>30</v>
      </c>
      <c r="AI118" s="1">
        <f>SUM(AI3:AI117)</f>
        <v>30</v>
      </c>
      <c r="AJ118" s="1">
        <f>SUM(AJ3:AJ117)</f>
        <v>5</v>
      </c>
      <c r="AK118" s="1">
        <f>SUM(AK3:AK117)</f>
        <v>0</v>
      </c>
      <c r="AL118" s="1">
        <f>SUM(AL3:AL117)</f>
        <v>0</v>
      </c>
      <c r="AM118" s="1">
        <f>SUM(AM3:AM117)</f>
        <v>5</v>
      </c>
      <c r="AN118" s="1">
        <f>SUM(AN3:AN117)</f>
        <v>50</v>
      </c>
      <c r="AO118" s="1">
        <f>SUM(AO3:AO117)</f>
        <v>33</v>
      </c>
      <c r="AP118" s="1">
        <f>SUM(AP3:AP117)</f>
        <v>27</v>
      </c>
      <c r="AQ118" s="4">
        <f>SUM(AQ3:AQ117)</f>
        <v>65</v>
      </c>
      <c r="AR118" s="4">
        <f>SUM(AR3:AR117)</f>
        <v>105</v>
      </c>
      <c r="AS118" s="4">
        <f>SUM(AS3:AS117)</f>
        <v>55</v>
      </c>
      <c r="AT118" s="4">
        <f>SUM(AT3:AT117)</f>
        <v>85</v>
      </c>
      <c r="AU118" s="4">
        <f>SUM(AU3:AU117)</f>
        <v>55</v>
      </c>
      <c r="AV118" s="4">
        <f>SUM(AV3:AV117)</f>
        <v>95</v>
      </c>
      <c r="AW118" s="2">
        <f>SUM(AW3:AW117)</f>
        <v>100</v>
      </c>
      <c r="AX118" s="2">
        <f>SUM(AX3:AX117)</f>
        <v>60</v>
      </c>
      <c r="AY118" s="2">
        <f>SUM(AY3:AY117)</f>
        <v>50</v>
      </c>
      <c r="AZ118" s="2">
        <f>SUM(AZ3:AZ117)</f>
        <v>70</v>
      </c>
      <c r="BA118" s="2">
        <f>SUM(BA3:BA117)</f>
        <v>170</v>
      </c>
      <c r="BB118" s="2">
        <f>SUM(BB3:BB117)</f>
        <v>265</v>
      </c>
      <c r="BC118" s="1">
        <f>SUM(BC3:BC117)</f>
        <v>10</v>
      </c>
      <c r="BD118" s="1">
        <f>SUM(BD3:BD117)</f>
        <v>130</v>
      </c>
      <c r="BE118" s="1">
        <f>SUM(BE3:BE117)</f>
        <v>80</v>
      </c>
      <c r="BF118" s="1">
        <f>SUM(BF3:BF117)</f>
        <v>80</v>
      </c>
      <c r="BG118" s="1">
        <f>SUM(BG3:BG117)</f>
        <v>80</v>
      </c>
      <c r="BH118" s="1">
        <f>SUM(BH3:BH117)</f>
        <v>75</v>
      </c>
      <c r="BI118" s="1">
        <f>SUM(BI3:BI117)</f>
        <v>55</v>
      </c>
      <c r="BJ118" s="1">
        <f>SUM(BJ3:BJ117)</f>
        <v>200</v>
      </c>
      <c r="BK118" s="1">
        <f>SUM(BK3:BK117)</f>
        <v>200</v>
      </c>
      <c r="BL118" s="1">
        <f>SUM(BL3:BL117)</f>
        <v>150</v>
      </c>
      <c r="BM118" s="1">
        <f>SUM(BM3:BM117)</f>
        <v>150</v>
      </c>
      <c r="BN118" s="1">
        <f>SUM(BN3:BN117)</f>
        <v>350</v>
      </c>
      <c r="BO118" s="1">
        <f>SUM(BO3:BO117)</f>
        <v>350</v>
      </c>
      <c r="BP118" s="1"/>
      <c r="BQ118" s="1"/>
      <c r="BR118" s="17"/>
      <c r="BS118" s="17"/>
      <c r="BT118" s="1">
        <f>MIN(BT3:BT117)</f>
        <v>0</v>
      </c>
      <c r="BU118" s="1">
        <f>MIN(BU3:BU117)</f>
        <v>0</v>
      </c>
      <c r="BV118" s="1">
        <f>MIN(BV3:BV117)</f>
        <v>0</v>
      </c>
      <c r="BW118" s="1">
        <f>MIN(BW3:BW117)</f>
        <v>0</v>
      </c>
      <c r="BX118" s="1">
        <f>MIN(BX3:BX117)</f>
        <v>0</v>
      </c>
      <c r="BY118" s="1">
        <f>MIN(BY3:BY117)</f>
        <v>0</v>
      </c>
      <c r="BZ118" s="1">
        <f>MIN(BZ3:BZ117)</f>
        <v>0</v>
      </c>
      <c r="CA118" s="1">
        <f>MIN(CA3:CA117)</f>
        <v>0</v>
      </c>
      <c r="CB118" s="1">
        <f>MIN(CB3:CB117)</f>
        <v>0</v>
      </c>
      <c r="CC118" s="1">
        <f>MIN(CC3:CC117)</f>
        <v>0</v>
      </c>
      <c r="CD118" s="1">
        <f>MIN(CD3:CD117)</f>
        <v>0</v>
      </c>
      <c r="CE118" s="1">
        <f>MIN(CE3:CE117)</f>
        <v>0</v>
      </c>
      <c r="CF118" s="1"/>
      <c r="CG118" s="1">
        <f>MIN(CG3:CG117)</f>
        <v>0</v>
      </c>
      <c r="CH118" s="1">
        <f>MIN(CH3:CH117)</f>
        <v>0</v>
      </c>
      <c r="CI118" s="1">
        <f>MIN(CI3:CI117)</f>
        <v>0</v>
      </c>
      <c r="CJ118" s="1">
        <f>MIN(CJ3:CJ117)</f>
        <v>0</v>
      </c>
      <c r="CK118" s="1">
        <f>MIN(CK3:CK117)</f>
        <v>0</v>
      </c>
      <c r="CL118" s="1">
        <f>MIN(CL3:CL117)</f>
        <v>0</v>
      </c>
      <c r="CM118" s="1">
        <f>MIN(CM3:CM117)</f>
        <v>0</v>
      </c>
      <c r="CN118" s="1">
        <f>MIN(CN3:CN117)</f>
        <v>0</v>
      </c>
      <c r="CO118" s="1">
        <f>MIN(CO3:CO117)</f>
        <v>0</v>
      </c>
      <c r="CP118" s="1">
        <f>MIN(CP3:CP117)</f>
        <v>0</v>
      </c>
      <c r="CQ118" s="1">
        <f>MIN(CQ3:CQ117)</f>
        <v>0</v>
      </c>
      <c r="CR118" s="1">
        <f>MIN(CR3:CR117)</f>
        <v>0</v>
      </c>
      <c r="CS118" s="3">
        <f>COUNTIF(CS3:CS117,"=0")</f>
        <v>0</v>
      </c>
    </row>
    <row r="119" spans="1:97" x14ac:dyDescent="0.15">
      <c r="A119" s="1"/>
      <c r="B119" s="3" t="s">
        <v>82</v>
      </c>
      <c r="C119" s="1"/>
      <c r="D119" s="1"/>
      <c r="E119" s="1">
        <v>48</v>
      </c>
      <c r="F119" s="1">
        <v>25</v>
      </c>
      <c r="G119" s="1">
        <v>39</v>
      </c>
      <c r="H119" s="1">
        <v>14</v>
      </c>
      <c r="I119" s="1">
        <v>44</v>
      </c>
      <c r="J119" s="1">
        <v>56</v>
      </c>
      <c r="K119" s="1">
        <v>31</v>
      </c>
      <c r="L119" s="1">
        <v>77</v>
      </c>
      <c r="M119" s="1">
        <v>41</v>
      </c>
      <c r="N119" s="1">
        <v>48</v>
      </c>
      <c r="O119" s="1">
        <v>21</v>
      </c>
      <c r="P119" s="14">
        <v>2</v>
      </c>
      <c r="Q119" s="14">
        <v>1</v>
      </c>
      <c r="R119" s="14">
        <v>2</v>
      </c>
      <c r="S119" s="14">
        <v>1</v>
      </c>
      <c r="T119" s="14">
        <v>5</v>
      </c>
      <c r="U119" s="14">
        <v>0</v>
      </c>
      <c r="V119" s="14">
        <v>2</v>
      </c>
      <c r="W119" s="14">
        <v>2</v>
      </c>
      <c r="X119" s="14">
        <v>6</v>
      </c>
      <c r="Y119" s="14">
        <v>0</v>
      </c>
      <c r="Z119" s="14">
        <v>1</v>
      </c>
      <c r="AA119" s="14">
        <v>1</v>
      </c>
      <c r="AB119" s="14">
        <v>8</v>
      </c>
      <c r="AC119" s="14">
        <v>2</v>
      </c>
      <c r="AD119" s="14">
        <v>4</v>
      </c>
      <c r="AE119" s="1">
        <v>2</v>
      </c>
      <c r="AF119" s="1">
        <v>0</v>
      </c>
      <c r="AG119" s="1">
        <v>1</v>
      </c>
      <c r="AH119" s="1">
        <v>0</v>
      </c>
      <c r="AI119" s="1">
        <v>0</v>
      </c>
      <c r="AJ119" s="1">
        <v>0</v>
      </c>
      <c r="AK119" s="1">
        <v>33</v>
      </c>
      <c r="AL119" s="1">
        <v>43</v>
      </c>
      <c r="AM119" s="1">
        <v>4</v>
      </c>
      <c r="AN119" s="1">
        <v>0</v>
      </c>
      <c r="AO119" s="1">
        <v>0</v>
      </c>
      <c r="AP119" s="1">
        <v>0</v>
      </c>
      <c r="AQ119" s="14">
        <v>0</v>
      </c>
      <c r="AR119" s="14">
        <v>7</v>
      </c>
      <c r="AS119" s="14">
        <v>5</v>
      </c>
      <c r="AT119" s="14">
        <v>21</v>
      </c>
      <c r="AU119" s="14">
        <v>17</v>
      </c>
      <c r="AV119" s="14">
        <v>15</v>
      </c>
      <c r="AW119" s="14">
        <v>17</v>
      </c>
      <c r="AX119" s="14">
        <v>36</v>
      </c>
      <c r="AY119" s="14">
        <v>20</v>
      </c>
      <c r="AZ119" s="14">
        <v>9</v>
      </c>
      <c r="BA119" s="14">
        <v>4</v>
      </c>
      <c r="BB119" s="14">
        <v>56</v>
      </c>
      <c r="BC119" s="14">
        <v>10</v>
      </c>
      <c r="BD119" s="1">
        <v>162</v>
      </c>
      <c r="BE119" s="1">
        <v>244</v>
      </c>
      <c r="BF119" s="1">
        <v>233</v>
      </c>
      <c r="BG119" s="1">
        <v>242</v>
      </c>
      <c r="BH119" s="1">
        <v>141</v>
      </c>
      <c r="BI119" s="1">
        <v>154</v>
      </c>
      <c r="BJ119" s="1">
        <v>41</v>
      </c>
      <c r="BK119" s="1">
        <v>49</v>
      </c>
      <c r="BL119" s="1">
        <v>81</v>
      </c>
      <c r="BM119" s="1"/>
      <c r="BN119" s="1">
        <v>5</v>
      </c>
      <c r="BO119" s="1">
        <v>5</v>
      </c>
      <c r="BP119" s="1"/>
      <c r="BQ119" s="1"/>
      <c r="BR119" s="17"/>
      <c r="BS119" s="17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</row>
    <row r="120" spans="1:97" x14ac:dyDescent="0.15">
      <c r="A120" s="1"/>
      <c r="B120" s="3" t="s">
        <v>89</v>
      </c>
      <c r="C120" s="1"/>
      <c r="D120" s="1"/>
      <c r="E120" s="1">
        <f>E119-E118</f>
        <v>-100</v>
      </c>
      <c r="F120" s="1">
        <f>F119-F118</f>
        <v>-23</v>
      </c>
      <c r="G120" s="1">
        <f>G119-G118</f>
        <v>-141</v>
      </c>
      <c r="H120" s="1">
        <f>H119-H118</f>
        <v>-120</v>
      </c>
      <c r="I120" s="1">
        <f>I119-I118</f>
        <v>27</v>
      </c>
      <c r="J120" s="1">
        <f>J119-J118</f>
        <v>16</v>
      </c>
      <c r="K120" s="1">
        <f>K119-K118</f>
        <v>25</v>
      </c>
      <c r="L120" s="1">
        <f>L119-L118</f>
        <v>-5</v>
      </c>
      <c r="M120" s="1">
        <f>M119-M118</f>
        <v>4</v>
      </c>
      <c r="N120" s="1">
        <f>N119-N118</f>
        <v>42</v>
      </c>
      <c r="O120" s="1">
        <f>O119-O118</f>
        <v>-47</v>
      </c>
      <c r="P120" s="1">
        <f>P119-P118</f>
        <v>-128</v>
      </c>
      <c r="Q120" s="1">
        <f>Q119-Q118</f>
        <v>-75</v>
      </c>
      <c r="R120" s="1">
        <f>R119-R118</f>
        <v>-81</v>
      </c>
      <c r="S120" s="1">
        <f>S119-S118</f>
        <v>-129</v>
      </c>
      <c r="T120" s="1">
        <f>T119-T118</f>
        <v>-56</v>
      </c>
      <c r="U120" s="1">
        <f>U119-U118</f>
        <v>-62</v>
      </c>
      <c r="V120" s="1">
        <f>V119-V118</f>
        <v>-133</v>
      </c>
      <c r="W120" s="1">
        <f>W119-W118</f>
        <v>-33</v>
      </c>
      <c r="X120" s="1">
        <f>X119-X118</f>
        <v>-53</v>
      </c>
      <c r="Y120" s="1">
        <f>Y119-Y118</f>
        <v>-125</v>
      </c>
      <c r="Z120" s="1">
        <f>Z119-Z118</f>
        <v>-49</v>
      </c>
      <c r="AA120" s="1">
        <f>AA119-AA118</f>
        <v>-34</v>
      </c>
      <c r="AB120" s="1">
        <f>AB119-AB118</f>
        <v>-132</v>
      </c>
      <c r="AC120" s="1">
        <f>AC119-AC118</f>
        <v>-28</v>
      </c>
      <c r="AD120" s="1">
        <f>AD119-AD118</f>
        <v>-18</v>
      </c>
      <c r="AE120" s="1">
        <f>AE119-AE118</f>
        <v>-248</v>
      </c>
      <c r="AF120" s="1">
        <f>AF119-AF118</f>
        <v>-10</v>
      </c>
      <c r="AG120" s="1">
        <f>AG119-AG118</f>
        <v>-9</v>
      </c>
      <c r="AH120" s="1">
        <f>AH119-AH118</f>
        <v>-30</v>
      </c>
      <c r="AI120" s="1">
        <f>AI119-AI118</f>
        <v>-30</v>
      </c>
      <c r="AJ120" s="1">
        <f>AJ119-AJ118</f>
        <v>-5</v>
      </c>
      <c r="AK120" s="1">
        <f>AK119-AK118</f>
        <v>33</v>
      </c>
      <c r="AL120" s="1">
        <f>AL119-AL118</f>
        <v>43</v>
      </c>
      <c r="AM120" s="1">
        <f>AM119-AM118</f>
        <v>-1</v>
      </c>
      <c r="AN120" s="1">
        <f>AN119-AN118</f>
        <v>-50</v>
      </c>
      <c r="AO120" s="1">
        <f>AO119-AO118</f>
        <v>-33</v>
      </c>
      <c r="AP120" s="1">
        <f>AP119-AP118</f>
        <v>-27</v>
      </c>
      <c r="AQ120" s="1">
        <f>AQ119-AQ118</f>
        <v>-65</v>
      </c>
      <c r="AR120" s="1">
        <f>AR119-AR118</f>
        <v>-98</v>
      </c>
      <c r="AS120" s="1">
        <f>AS119-AS118</f>
        <v>-50</v>
      </c>
      <c r="AT120" s="1">
        <f>AT119-AT118</f>
        <v>-64</v>
      </c>
      <c r="AU120" s="1">
        <f>AU119-AU118</f>
        <v>-38</v>
      </c>
      <c r="AV120" s="1">
        <f>AV119-AV118</f>
        <v>-80</v>
      </c>
      <c r="AW120" s="1">
        <f>AW119-AW118</f>
        <v>-83</v>
      </c>
      <c r="AX120" s="1">
        <f>AX119-AX118</f>
        <v>-24</v>
      </c>
      <c r="AY120" s="1">
        <f>AY119-AY118</f>
        <v>-30</v>
      </c>
      <c r="AZ120" s="1">
        <f>AZ119-AZ118</f>
        <v>-61</v>
      </c>
      <c r="BA120" s="1">
        <f>BA119-BA118</f>
        <v>-166</v>
      </c>
      <c r="BB120" s="1">
        <f>BB119-BB118</f>
        <v>-209</v>
      </c>
      <c r="BC120" s="1">
        <f>BC119-BC118</f>
        <v>0</v>
      </c>
      <c r="BD120" s="1">
        <f>BD119-BD118</f>
        <v>32</v>
      </c>
      <c r="BE120" s="1">
        <f>BE119-BE118</f>
        <v>164</v>
      </c>
      <c r="BF120" s="1">
        <f>BF119-BF118</f>
        <v>153</v>
      </c>
      <c r="BG120" s="1">
        <f>BG119-BG118</f>
        <v>162</v>
      </c>
      <c r="BH120" s="1">
        <f>BH119-BH118</f>
        <v>66</v>
      </c>
      <c r="BI120" s="1">
        <f>BI119-BI118</f>
        <v>99</v>
      </c>
      <c r="BJ120" s="1">
        <f>BJ119-BJ118</f>
        <v>-159</v>
      </c>
      <c r="BK120" s="1">
        <f>BK119-BK118</f>
        <v>-151</v>
      </c>
      <c r="BL120" s="1">
        <f>BL119-BL118</f>
        <v>-69</v>
      </c>
      <c r="BM120" s="1">
        <f>BM119-BM118</f>
        <v>-150</v>
      </c>
      <c r="BN120" s="1">
        <f>BN119-BN118</f>
        <v>-345</v>
      </c>
      <c r="BO120" s="1">
        <f>BO119-BO118</f>
        <v>-345</v>
      </c>
      <c r="BP120" s="1"/>
      <c r="BQ120" s="1"/>
      <c r="BR120" s="17"/>
      <c r="BS120" s="17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</row>
    <row r="121" spans="1:97" x14ac:dyDescent="0.15">
      <c r="A121" s="1"/>
      <c r="B121" s="3" t="s">
        <v>177</v>
      </c>
      <c r="C121" s="1"/>
      <c r="D121" s="1"/>
      <c r="E121" s="1">
        <f>MAX(E3:E117)</f>
        <v>15</v>
      </c>
      <c r="F121" s="1">
        <f>MAX(F3:F117)</f>
        <v>15</v>
      </c>
      <c r="G121" s="1">
        <f>MAX(G3:G117)</f>
        <v>20</v>
      </c>
      <c r="H121" s="1">
        <f>MAX(H3:H117)</f>
        <v>20</v>
      </c>
      <c r="I121" s="1">
        <f>MAX(I3:I117)</f>
        <v>10</v>
      </c>
      <c r="J121" s="1">
        <f>MAX(J3:J117)</f>
        <v>10</v>
      </c>
      <c r="K121" s="1">
        <f>MAX(K3:K117)</f>
        <v>6</v>
      </c>
      <c r="L121" s="1">
        <f>MAX(L3:L117)</f>
        <v>20</v>
      </c>
      <c r="M121" s="1">
        <f>MAX(M3:M117)</f>
        <v>15</v>
      </c>
      <c r="N121" s="1">
        <f>MAX(N3:N117)</f>
        <v>6</v>
      </c>
      <c r="O121" s="1">
        <f>MAX(O3:O117)</f>
        <v>20</v>
      </c>
      <c r="P121" s="1">
        <f>MAX(P3:P117)</f>
        <v>10</v>
      </c>
      <c r="Q121" s="1">
        <f>MAX(Q3:Q117)</f>
        <v>7</v>
      </c>
      <c r="R121" s="1">
        <f>MAX(R3:R117)</f>
        <v>10</v>
      </c>
      <c r="S121" s="1">
        <f>MAX(S3:S117)</f>
        <v>10</v>
      </c>
      <c r="T121" s="1">
        <f>MAX(T3:T117)</f>
        <v>7</v>
      </c>
      <c r="U121" s="1">
        <f>MAX(U3:U117)</f>
        <v>10</v>
      </c>
      <c r="V121" s="1">
        <f>MAX(V3:V117)</f>
        <v>10</v>
      </c>
      <c r="W121" s="1">
        <f>MAX(W3:W117)</f>
        <v>5</v>
      </c>
      <c r="X121" s="1">
        <f>MAX(X3:X117)</f>
        <v>10</v>
      </c>
      <c r="Y121" s="1">
        <f>MAX(Y3:Y117)</f>
        <v>10</v>
      </c>
      <c r="Z121" s="1">
        <f>MAX(Z3:Z117)</f>
        <v>5</v>
      </c>
      <c r="AA121" s="1">
        <f>MAX(AA3:AA117)</f>
        <v>10</v>
      </c>
      <c r="AB121" s="1">
        <f>MAX(AB3:AB117)</f>
        <v>10</v>
      </c>
      <c r="AC121" s="1">
        <f>MAX(AC3:AC117)</f>
        <v>5</v>
      </c>
      <c r="AD121" s="1">
        <f>MAX(AD3:AD117)</f>
        <v>10</v>
      </c>
      <c r="AE121" s="1">
        <f>MAX(AE3:AE117)</f>
        <v>200</v>
      </c>
      <c r="AF121" s="1">
        <f>MAX(AF3:AF117)</f>
        <v>5</v>
      </c>
      <c r="AG121" s="1">
        <f>MAX(AG3:AG117)</f>
        <v>5</v>
      </c>
      <c r="AH121" s="1">
        <f>MAX(AH3:AH117)</f>
        <v>5</v>
      </c>
      <c r="AI121" s="1">
        <f>MAX(AI3:AI117)</f>
        <v>5</v>
      </c>
      <c r="AJ121" s="1">
        <f>MAX(AJ3:AJ117)</f>
        <v>5</v>
      </c>
      <c r="AK121" s="1">
        <f>MAX(AK3:AK117)</f>
        <v>0</v>
      </c>
      <c r="AL121" s="1">
        <f>MAX(AL3:AL117)</f>
        <v>0</v>
      </c>
      <c r="AM121" s="1">
        <f>MAX(AM3:AM117)</f>
        <v>5</v>
      </c>
      <c r="AN121" s="1">
        <f>MAX(AN3:AN117)</f>
        <v>25</v>
      </c>
      <c r="AO121" s="1">
        <f>MAX(AO3:AO117)</f>
        <v>10</v>
      </c>
      <c r="AP121" s="1">
        <f>MAX(AP3:AP117)</f>
        <v>10</v>
      </c>
      <c r="AQ121" s="1">
        <f>MAX(AQ3:AQ117)</f>
        <v>15</v>
      </c>
      <c r="AR121" s="1">
        <f>MAX(AR3:AR117)</f>
        <v>15</v>
      </c>
      <c r="AS121" s="1">
        <f>MAX(AS3:AS117)</f>
        <v>15</v>
      </c>
      <c r="AT121" s="1">
        <f>MAX(AT3:AT117)</f>
        <v>20</v>
      </c>
      <c r="AU121" s="1">
        <f>MAX(AU3:AU117)</f>
        <v>15</v>
      </c>
      <c r="AV121" s="1">
        <f>MAX(AV3:AV117)</f>
        <v>40</v>
      </c>
      <c r="AW121" s="1">
        <f>MAX(AW3:AW117)</f>
        <v>40</v>
      </c>
      <c r="AX121" s="1">
        <f>MAX(AX3:AX117)</f>
        <v>20</v>
      </c>
      <c r="AY121" s="1">
        <f>MAX(AY3:AY117)</f>
        <v>15</v>
      </c>
      <c r="AZ121" s="1">
        <f>MAX(AZ3:AZ117)</f>
        <v>15</v>
      </c>
      <c r="BA121" s="1">
        <f>MAX(BA3:BA117)</f>
        <v>20</v>
      </c>
      <c r="BB121" s="1">
        <f>MAX(BB3:BB117)</f>
        <v>40</v>
      </c>
      <c r="BC121" s="1">
        <f>MAX(BC3:BC117)</f>
        <v>10</v>
      </c>
      <c r="BD121" s="1">
        <f>MAX(BD3:BD117)</f>
        <v>50</v>
      </c>
      <c r="BE121" s="1">
        <f>MAX(BE3:BE117)</f>
        <v>20</v>
      </c>
      <c r="BF121" s="1">
        <f>MAX(BF3:BF117)</f>
        <v>20</v>
      </c>
      <c r="BG121" s="1">
        <f>MAX(BG3:BG117)</f>
        <v>20</v>
      </c>
      <c r="BH121" s="1">
        <f>MAX(BH3:BH117)</f>
        <v>20</v>
      </c>
      <c r="BI121" s="1">
        <f>MAX(BI3:BI117)</f>
        <v>20</v>
      </c>
      <c r="BJ121" s="1">
        <f>MAX(BJ3:BJ117)</f>
        <v>50</v>
      </c>
      <c r="BK121" s="1">
        <f>MAX(BK3:BK117)</f>
        <v>50</v>
      </c>
      <c r="BL121" s="1">
        <f>MAX(BL3:BL117)</f>
        <v>50</v>
      </c>
      <c r="BM121" s="1">
        <f>MAX(BM3:BM117)</f>
        <v>50</v>
      </c>
      <c r="BN121" s="1">
        <f>MAX(BN3:BN117)</f>
        <v>50</v>
      </c>
      <c r="BO121" s="1">
        <f>MAX(BO3:BO117)</f>
        <v>50</v>
      </c>
      <c r="BP121" s="1"/>
      <c r="BQ121" s="1"/>
      <c r="BR121" s="17"/>
      <c r="BS121" s="17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</row>
    <row r="122" spans="1:97" x14ac:dyDescent="0.15">
      <c r="A122" s="1"/>
      <c r="B122" s="3" t="s">
        <v>178</v>
      </c>
      <c r="C122" s="1"/>
      <c r="D122" s="1"/>
      <c r="E122" s="1">
        <f>MIN(E3:E117)</f>
        <v>6</v>
      </c>
      <c r="F122" s="1">
        <f>MIN(F3:F117)</f>
        <v>5</v>
      </c>
      <c r="G122" s="1">
        <f>MIN(G3:G117)</f>
        <v>5</v>
      </c>
      <c r="H122" s="1">
        <f>MIN(H3:H117)</f>
        <v>5</v>
      </c>
      <c r="I122" s="1">
        <f>MIN(I3:I117)</f>
        <v>7</v>
      </c>
      <c r="J122" s="1">
        <f>MIN(J3:J117)</f>
        <v>10</v>
      </c>
      <c r="K122" s="1">
        <f>MIN(K3:K117)</f>
        <v>6</v>
      </c>
      <c r="L122" s="1">
        <f>MIN(L3:L117)</f>
        <v>6</v>
      </c>
      <c r="M122" s="1">
        <f>MIN(M3:M117)</f>
        <v>6</v>
      </c>
      <c r="N122" s="1">
        <f>MIN(N3:N117)</f>
        <v>6</v>
      </c>
      <c r="O122" s="1">
        <f>MIN(O3:O117)</f>
        <v>5</v>
      </c>
      <c r="P122" s="1">
        <f>MIN(P3:P117)</f>
        <v>10</v>
      </c>
      <c r="Q122" s="1">
        <f>MIN(Q3:Q117)</f>
        <v>5</v>
      </c>
      <c r="R122" s="1">
        <f>MIN(R3:R117)</f>
        <v>2</v>
      </c>
      <c r="S122" s="1">
        <f>MIN(S3:S117)</f>
        <v>10</v>
      </c>
      <c r="T122" s="1">
        <f>MIN(T3:T117)</f>
        <v>5</v>
      </c>
      <c r="U122" s="1">
        <f>MIN(U3:U117)</f>
        <v>2</v>
      </c>
      <c r="V122" s="1">
        <f>MIN(V3:V117)</f>
        <v>5</v>
      </c>
      <c r="W122" s="1">
        <f>MIN(W3:W117)</f>
        <v>5</v>
      </c>
      <c r="X122" s="1">
        <f>MIN(X3:X117)</f>
        <v>2</v>
      </c>
      <c r="Y122" s="1">
        <f>MIN(Y3:Y117)</f>
        <v>5</v>
      </c>
      <c r="Z122" s="1">
        <f>MIN(Z3:Z117)</f>
        <v>5</v>
      </c>
      <c r="AA122" s="1">
        <f>MIN(AA3:AA117)</f>
        <v>2</v>
      </c>
      <c r="AB122" s="1">
        <f>MIN(AB3:AB117)</f>
        <v>10</v>
      </c>
      <c r="AC122" s="1">
        <f>MIN(AC3:AC117)</f>
        <v>5</v>
      </c>
      <c r="AD122" s="1">
        <f>MIN(AD3:AD117)</f>
        <v>2</v>
      </c>
      <c r="AE122" s="1">
        <f>MIN(AE3:AE117)</f>
        <v>50</v>
      </c>
      <c r="AF122" s="1">
        <f>MIN(AF3:AF117)</f>
        <v>5</v>
      </c>
      <c r="AG122" s="1">
        <f>MIN(AG3:AG117)</f>
        <v>5</v>
      </c>
      <c r="AH122" s="1">
        <f>MIN(AH3:AH117)</f>
        <v>5</v>
      </c>
      <c r="AI122" s="1">
        <f>MIN(AI3:AI117)</f>
        <v>5</v>
      </c>
      <c r="AJ122" s="1">
        <f>MIN(AJ3:AJ117)</f>
        <v>5</v>
      </c>
      <c r="AK122" s="1">
        <f>MIN(AK3:AK117)</f>
        <v>0</v>
      </c>
      <c r="AL122" s="1">
        <f>MIN(AL3:AL117)</f>
        <v>0</v>
      </c>
      <c r="AM122" s="1">
        <f>MIN(AM3:AM117)</f>
        <v>5</v>
      </c>
      <c r="AN122" s="1">
        <f>MIN(AN3:AN117)</f>
        <v>5</v>
      </c>
      <c r="AO122" s="1">
        <f>MIN(AO3:AO117)</f>
        <v>2</v>
      </c>
      <c r="AP122" s="1">
        <f>MIN(AP3:AP117)</f>
        <v>1</v>
      </c>
      <c r="AQ122" s="1">
        <f>MIN(AQ3:AQ117)</f>
        <v>10</v>
      </c>
      <c r="AR122" s="1">
        <f>MIN(AR3:AR117)</f>
        <v>10</v>
      </c>
      <c r="AS122" s="1">
        <f>MIN(AS3:AS117)</f>
        <v>5</v>
      </c>
      <c r="AT122" s="1">
        <f>MIN(AT3:AT117)</f>
        <v>10</v>
      </c>
      <c r="AU122" s="1">
        <f>MIN(AU3:AU117)</f>
        <v>10</v>
      </c>
      <c r="AV122" s="1">
        <f>MIN(AV3:AV117)</f>
        <v>10</v>
      </c>
      <c r="AW122" s="1">
        <f>MIN(AW3:AW117)</f>
        <v>10</v>
      </c>
      <c r="AX122" s="1">
        <f>MIN(AX3:AX117)</f>
        <v>5</v>
      </c>
      <c r="AY122" s="1">
        <f>MIN(AY3:AY117)</f>
        <v>10</v>
      </c>
      <c r="AZ122" s="1">
        <f>MIN(AZ3:AZ117)</f>
        <v>10</v>
      </c>
      <c r="BA122" s="1">
        <f>MIN(BA3:BA117)</f>
        <v>5</v>
      </c>
      <c r="BB122" s="1">
        <f>MIN(BB3:BB117)</f>
        <v>5</v>
      </c>
      <c r="BC122" s="1">
        <f>MIN(BC3:BC117)</f>
        <v>10</v>
      </c>
      <c r="BD122" s="1">
        <f>MIN(BD3:BD117)</f>
        <v>20</v>
      </c>
      <c r="BE122" s="1">
        <f>MIN(BE3:BE117)</f>
        <v>20</v>
      </c>
      <c r="BF122" s="1">
        <f>MIN(BF3:BF117)</f>
        <v>20</v>
      </c>
      <c r="BG122" s="1">
        <f>MIN(BG3:BG117)</f>
        <v>20</v>
      </c>
      <c r="BH122" s="1">
        <f>MIN(BH3:BH117)</f>
        <v>15</v>
      </c>
      <c r="BI122" s="1">
        <f>MIN(BI3:BI117)</f>
        <v>15</v>
      </c>
      <c r="BJ122" s="1">
        <f>MIN(BJ3:BJ117)</f>
        <v>50</v>
      </c>
      <c r="BK122" s="1">
        <f>MIN(BK3:BK117)</f>
        <v>50</v>
      </c>
      <c r="BL122" s="1">
        <f>MIN(BL3:BL117)</f>
        <v>50</v>
      </c>
      <c r="BM122" s="1">
        <f>MIN(BM3:BM117)</f>
        <v>50</v>
      </c>
      <c r="BN122" s="1">
        <f>MIN(BN3:BN117)</f>
        <v>50</v>
      </c>
      <c r="BO122" s="1">
        <f>MIN(BO3:BO117)</f>
        <v>50</v>
      </c>
      <c r="BP122" s="1"/>
      <c r="BQ122" s="1"/>
      <c r="BR122" s="17"/>
      <c r="BS122" s="17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</row>
    <row r="123" spans="1:97" x14ac:dyDescent="0.15">
      <c r="A123" s="1"/>
      <c r="B123" s="3" t="s">
        <v>179</v>
      </c>
      <c r="C123" s="1"/>
      <c r="D123" s="1"/>
      <c r="E123" s="1">
        <f>E119-E121</f>
        <v>33</v>
      </c>
      <c r="F123" s="1">
        <f>F119-F121</f>
        <v>10</v>
      </c>
      <c r="G123" s="1">
        <f>G119-G121</f>
        <v>19</v>
      </c>
      <c r="H123" s="1">
        <f>H119-H121</f>
        <v>-6</v>
      </c>
      <c r="I123" s="1">
        <f>I119-I121</f>
        <v>34</v>
      </c>
      <c r="J123" s="1">
        <f>J119-J121</f>
        <v>46</v>
      </c>
      <c r="K123" s="1">
        <f>K119-K121</f>
        <v>25</v>
      </c>
      <c r="L123" s="1">
        <f>L119-L121</f>
        <v>57</v>
      </c>
      <c r="M123" s="1">
        <f>M119-M121</f>
        <v>26</v>
      </c>
      <c r="N123" s="1">
        <f>N119-N121</f>
        <v>42</v>
      </c>
      <c r="O123" s="1">
        <f>O119-O121</f>
        <v>1</v>
      </c>
      <c r="P123" s="1">
        <f>P119-P121</f>
        <v>-8</v>
      </c>
      <c r="Q123" s="1">
        <f>Q119-Q121</f>
        <v>-6</v>
      </c>
      <c r="R123" s="1">
        <f>R119-R121</f>
        <v>-8</v>
      </c>
      <c r="S123" s="1">
        <f>S119-S121</f>
        <v>-9</v>
      </c>
      <c r="T123" s="1">
        <f>T119-T121</f>
        <v>-2</v>
      </c>
      <c r="U123" s="1">
        <f>U119-U121</f>
        <v>-10</v>
      </c>
      <c r="V123" s="1">
        <f>V119-V121</f>
        <v>-8</v>
      </c>
      <c r="W123" s="1">
        <f>W119-W121</f>
        <v>-3</v>
      </c>
      <c r="X123" s="1">
        <f>X119-X121</f>
        <v>-4</v>
      </c>
      <c r="Y123" s="1">
        <f>Y119-Y121</f>
        <v>-10</v>
      </c>
      <c r="Z123" s="1">
        <f>Z119-Z121</f>
        <v>-4</v>
      </c>
      <c r="AA123" s="1">
        <f>AA119-AA121</f>
        <v>-9</v>
      </c>
      <c r="AB123" s="1">
        <f>AB119-AB121</f>
        <v>-2</v>
      </c>
      <c r="AC123" s="1">
        <f>AC119-AC121</f>
        <v>-3</v>
      </c>
      <c r="AD123" s="1">
        <f>AD119-AD121</f>
        <v>-6</v>
      </c>
      <c r="AE123" s="1">
        <f>AE119-AE121</f>
        <v>-198</v>
      </c>
      <c r="AF123" s="1">
        <f>AF119-AF121</f>
        <v>-5</v>
      </c>
      <c r="AG123" s="1">
        <f>AG119-AG121</f>
        <v>-4</v>
      </c>
      <c r="AH123" s="1">
        <f>AH119-AH121</f>
        <v>-5</v>
      </c>
      <c r="AI123" s="1">
        <f>AI119-AI121</f>
        <v>-5</v>
      </c>
      <c r="AJ123" s="1">
        <f>AJ119-AJ121</f>
        <v>-5</v>
      </c>
      <c r="AK123" s="1">
        <f>AK119-AK121</f>
        <v>33</v>
      </c>
      <c r="AL123" s="1">
        <f>AL119-AL121</f>
        <v>43</v>
      </c>
      <c r="AM123" s="1">
        <f>AM119-AM121</f>
        <v>-1</v>
      </c>
      <c r="AN123" s="1">
        <f>AN119-AN121</f>
        <v>-25</v>
      </c>
      <c r="AO123" s="1">
        <f>AO119-AO121</f>
        <v>-10</v>
      </c>
      <c r="AP123" s="1">
        <f>AP119-AP121</f>
        <v>-10</v>
      </c>
      <c r="AQ123" s="1">
        <f>AQ119-AQ121</f>
        <v>-15</v>
      </c>
      <c r="AR123" s="1">
        <f>AR119-AR121</f>
        <v>-8</v>
      </c>
      <c r="AS123" s="1">
        <f>AS119-AS121</f>
        <v>-10</v>
      </c>
      <c r="AT123" s="1">
        <f>AT119-AT121</f>
        <v>1</v>
      </c>
      <c r="AU123" s="1">
        <f>AU119-AU121</f>
        <v>2</v>
      </c>
      <c r="AV123" s="1">
        <f>AV119-AV121</f>
        <v>-25</v>
      </c>
      <c r="AW123" s="1">
        <f>AW119-AW121</f>
        <v>-23</v>
      </c>
      <c r="AX123" s="1">
        <f>AX119-AX121</f>
        <v>16</v>
      </c>
      <c r="AY123" s="1">
        <f>AY119-AY121</f>
        <v>5</v>
      </c>
      <c r="AZ123" s="1">
        <f>AZ119-AZ121</f>
        <v>-6</v>
      </c>
      <c r="BA123" s="1">
        <f>BA119-BA121</f>
        <v>-16</v>
      </c>
      <c r="BB123" s="1">
        <f>BB119-BB121</f>
        <v>16</v>
      </c>
      <c r="BC123" s="1">
        <f>BC119-BC121</f>
        <v>0</v>
      </c>
      <c r="BD123" s="1">
        <f>BD119-BD121</f>
        <v>112</v>
      </c>
      <c r="BE123" s="1">
        <f>BE119-BE121</f>
        <v>224</v>
      </c>
      <c r="BF123" s="1">
        <f>BF119-BF121</f>
        <v>213</v>
      </c>
      <c r="BG123" s="1">
        <f>BG119-BG121</f>
        <v>222</v>
      </c>
      <c r="BH123" s="1">
        <f>BH119-BH121</f>
        <v>121</v>
      </c>
      <c r="BI123" s="1">
        <f>BI119-BI121</f>
        <v>134</v>
      </c>
      <c r="BJ123" s="1">
        <f>BJ119-BJ121</f>
        <v>-9</v>
      </c>
      <c r="BK123" s="1">
        <f>BK119-BK121</f>
        <v>-1</v>
      </c>
      <c r="BL123" s="1">
        <f>BL119-BL121</f>
        <v>31</v>
      </c>
      <c r="BM123" s="1">
        <f>BM119-BM121</f>
        <v>-50</v>
      </c>
      <c r="BN123" s="1">
        <f>BN119-BN121</f>
        <v>-45</v>
      </c>
      <c r="BO123" s="1">
        <f>BO119-BO121</f>
        <v>-45</v>
      </c>
      <c r="BP123" s="1"/>
      <c r="BQ123" s="1"/>
      <c r="BR123" s="17"/>
      <c r="BS123" s="17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</row>
    <row r="124" spans="1:97" s="13" customFormat="1" x14ac:dyDescent="0.15">
      <c r="A124" s="1"/>
      <c r="B124" s="3" t="s">
        <v>180</v>
      </c>
      <c r="C124" s="1"/>
      <c r="D124" s="1"/>
      <c r="E124" s="1">
        <f>E119-E122</f>
        <v>42</v>
      </c>
      <c r="F124" s="1">
        <f>F119-F122</f>
        <v>20</v>
      </c>
      <c r="G124" s="1">
        <f>G119-G122</f>
        <v>34</v>
      </c>
      <c r="H124" s="1">
        <f>H119-H122</f>
        <v>9</v>
      </c>
      <c r="I124" s="1">
        <f>I119-I122</f>
        <v>37</v>
      </c>
      <c r="J124" s="1">
        <f>J119-J122</f>
        <v>46</v>
      </c>
      <c r="K124" s="1">
        <f>K119-K122</f>
        <v>25</v>
      </c>
      <c r="L124" s="1">
        <f>L119-L122</f>
        <v>71</v>
      </c>
      <c r="M124" s="1">
        <f>M119-M122</f>
        <v>35</v>
      </c>
      <c r="N124" s="1">
        <f>N119-N122</f>
        <v>42</v>
      </c>
      <c r="O124" s="1">
        <f>O119-O122</f>
        <v>16</v>
      </c>
      <c r="P124" s="1">
        <f>P119-P122</f>
        <v>-8</v>
      </c>
      <c r="Q124" s="1">
        <f>Q119-Q122</f>
        <v>-4</v>
      </c>
      <c r="R124" s="1">
        <f>R119-R122</f>
        <v>0</v>
      </c>
      <c r="S124" s="1">
        <f>S119-S122</f>
        <v>-9</v>
      </c>
      <c r="T124" s="1">
        <f>T119-T122</f>
        <v>0</v>
      </c>
      <c r="U124" s="1">
        <f>U119-U122</f>
        <v>-2</v>
      </c>
      <c r="V124" s="1">
        <f>V119-V122</f>
        <v>-3</v>
      </c>
      <c r="W124" s="1">
        <f>W119-W122</f>
        <v>-3</v>
      </c>
      <c r="X124" s="1">
        <f>X119-X122</f>
        <v>4</v>
      </c>
      <c r="Y124" s="1">
        <f>Y119-Y122</f>
        <v>-5</v>
      </c>
      <c r="Z124" s="1">
        <f>Z119-Z122</f>
        <v>-4</v>
      </c>
      <c r="AA124" s="1">
        <f>AA119-AA122</f>
        <v>-1</v>
      </c>
      <c r="AB124" s="1">
        <f>AB119-AB122</f>
        <v>-2</v>
      </c>
      <c r="AC124" s="1">
        <f>AC119-AC122</f>
        <v>-3</v>
      </c>
      <c r="AD124" s="1">
        <f>AD119-AD122</f>
        <v>2</v>
      </c>
      <c r="AE124" s="1">
        <f>AE119-AE122</f>
        <v>-48</v>
      </c>
      <c r="AF124" s="1">
        <f>AF119-AF122</f>
        <v>-5</v>
      </c>
      <c r="AG124" s="1">
        <f>AG119-AG122</f>
        <v>-4</v>
      </c>
      <c r="AH124" s="1">
        <f>AH119-AH122</f>
        <v>-5</v>
      </c>
      <c r="AI124" s="1">
        <f>AI119-AI122</f>
        <v>-5</v>
      </c>
      <c r="AJ124" s="1">
        <f>AJ119-AJ122</f>
        <v>-5</v>
      </c>
      <c r="AK124" s="1">
        <f>AK119-AK122</f>
        <v>33</v>
      </c>
      <c r="AL124" s="1">
        <f>AL119-AL122</f>
        <v>43</v>
      </c>
      <c r="AM124" s="1">
        <f>AM119-AM122</f>
        <v>-1</v>
      </c>
      <c r="AN124" s="1">
        <f>AN119-AN122</f>
        <v>-5</v>
      </c>
      <c r="AO124" s="1">
        <f>AO119-AO122</f>
        <v>-2</v>
      </c>
      <c r="AP124" s="1">
        <f>AP119-AP122</f>
        <v>-1</v>
      </c>
      <c r="AQ124" s="1">
        <f>AQ119-AQ122</f>
        <v>-10</v>
      </c>
      <c r="AR124" s="1">
        <f>AR119-AR122</f>
        <v>-3</v>
      </c>
      <c r="AS124" s="1">
        <f>AS119-AS122</f>
        <v>0</v>
      </c>
      <c r="AT124" s="1">
        <f>AT119-AT122</f>
        <v>11</v>
      </c>
      <c r="AU124" s="1">
        <f>AU119-AU122</f>
        <v>7</v>
      </c>
      <c r="AV124" s="1">
        <f>AV119-AV122</f>
        <v>5</v>
      </c>
      <c r="AW124" s="1">
        <f>AW119-AW122</f>
        <v>7</v>
      </c>
      <c r="AX124" s="1">
        <f>AX119-AX122</f>
        <v>31</v>
      </c>
      <c r="AY124" s="1">
        <f>AY119-AY122</f>
        <v>10</v>
      </c>
      <c r="AZ124" s="1">
        <f>AZ119-AZ122</f>
        <v>-1</v>
      </c>
      <c r="BA124" s="1">
        <f>BA119-BA122</f>
        <v>-1</v>
      </c>
      <c r="BB124" s="1">
        <f>BB119-BB122</f>
        <v>51</v>
      </c>
      <c r="BC124" s="1">
        <f>BC119-BC122</f>
        <v>0</v>
      </c>
      <c r="BD124" s="1">
        <f>BD119-BD122</f>
        <v>142</v>
      </c>
      <c r="BE124" s="1">
        <f>BE119-BE122</f>
        <v>224</v>
      </c>
      <c r="BF124" s="1">
        <f>BF119-BF122</f>
        <v>213</v>
      </c>
      <c r="BG124" s="1">
        <f>BG119-BG122</f>
        <v>222</v>
      </c>
      <c r="BH124" s="1">
        <f>BH119-BH122</f>
        <v>126</v>
      </c>
      <c r="BI124" s="1">
        <f>BI119-BI122</f>
        <v>139</v>
      </c>
      <c r="BJ124" s="1">
        <f>BJ119-BJ122</f>
        <v>-9</v>
      </c>
      <c r="BK124" s="1">
        <f>BK119-BK122</f>
        <v>-1</v>
      </c>
      <c r="BL124" s="1">
        <f>BL119-BL122</f>
        <v>31</v>
      </c>
      <c r="BM124" s="1">
        <f>BM119-BM122</f>
        <v>-50</v>
      </c>
      <c r="BN124" s="1">
        <f>BN119-BN122</f>
        <v>-45</v>
      </c>
      <c r="BO124" s="1">
        <f>BO119-BO122</f>
        <v>-45</v>
      </c>
      <c r="BP124" s="1"/>
      <c r="BQ124" s="1"/>
      <c r="BR124" s="17"/>
      <c r="BS124" s="17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</row>
  </sheetData>
  <autoFilter ref="A1:BP117"/>
  <sortState ref="A2:CS124">
    <sortCondition ref="BR2:BR124"/>
    <sortCondition ref="BQ2:BQ124"/>
  </sortState>
  <phoneticPr fontId="1" type="noConversion"/>
  <conditionalFormatting sqref="E12">
    <cfRule type="cellIs" dxfId="6" priority="14" operator="greaterThan">
      <formula>$E$118</formula>
    </cfRule>
  </conditionalFormatting>
  <conditionalFormatting sqref="E121">
    <cfRule type="expression" dxfId="5" priority="10">
      <formula>"&lt;=$E$135"</formula>
    </cfRule>
  </conditionalFormatting>
  <conditionalFormatting sqref="E123:BO124">
    <cfRule type="cellIs" dxfId="4" priority="1" operator="lessThan">
      <formula>0</formula>
    </cfRule>
  </conditionalFormatting>
  <conditionalFormatting sqref="E120:BO120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124</xdr:row>
                    <xdr:rowOff>28575</xdr:rowOff>
                  </from>
                  <to>
                    <xdr:col>1</xdr:col>
                    <xdr:colOff>428625</xdr:colOff>
                    <xdr:row>125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5"/>
  <sheetViews>
    <sheetView workbookViewId="0">
      <pane xSplit="2" ySplit="1" topLeftCell="AS2" activePane="bottomRight" state="frozen"/>
      <selection pane="topRight" activeCell="C1" sqref="C1"/>
      <selection pane="bottomLeft" activeCell="A3" sqref="A3"/>
      <selection pane="bottomRight" activeCell="H11" sqref="H11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75</v>
      </c>
      <c r="B1" s="8" t="s">
        <v>76</v>
      </c>
      <c r="C1" s="8" t="s">
        <v>78</v>
      </c>
      <c r="D1" s="8" t="s">
        <v>77</v>
      </c>
      <c r="E1" s="9" t="s">
        <v>3</v>
      </c>
      <c r="F1" s="9" t="s">
        <v>4</v>
      </c>
      <c r="G1" s="9" t="s">
        <v>14</v>
      </c>
      <c r="H1" s="9" t="s">
        <v>24</v>
      </c>
      <c r="I1" s="9" t="s">
        <v>25</v>
      </c>
      <c r="J1" s="9" t="s">
        <v>73</v>
      </c>
      <c r="K1" s="9" t="s">
        <v>26</v>
      </c>
      <c r="L1" s="9" t="s">
        <v>45</v>
      </c>
      <c r="M1" s="9" t="s">
        <v>47</v>
      </c>
      <c r="N1" s="9" t="s">
        <v>52</v>
      </c>
      <c r="O1" s="9" t="s">
        <v>46</v>
      </c>
      <c r="P1" s="27" t="s">
        <v>113</v>
      </c>
      <c r="Q1" s="27" t="s">
        <v>125</v>
      </c>
      <c r="R1" s="27" t="s">
        <v>119</v>
      </c>
      <c r="S1" s="27" t="s">
        <v>114</v>
      </c>
      <c r="T1" s="27" t="s">
        <v>123</v>
      </c>
      <c r="U1" s="27" t="s">
        <v>129</v>
      </c>
      <c r="V1" s="27" t="s">
        <v>115</v>
      </c>
      <c r="W1" s="27" t="s">
        <v>122</v>
      </c>
      <c r="X1" s="27" t="s">
        <v>120</v>
      </c>
      <c r="Y1" s="27" t="s">
        <v>116</v>
      </c>
      <c r="Z1" s="27" t="s">
        <v>124</v>
      </c>
      <c r="AA1" s="27" t="s">
        <v>131</v>
      </c>
      <c r="AB1" s="27" t="s">
        <v>118</v>
      </c>
      <c r="AC1" s="27" t="s">
        <v>117</v>
      </c>
      <c r="AD1" s="27" t="s">
        <v>142</v>
      </c>
      <c r="AE1" s="8" t="s">
        <v>9</v>
      </c>
      <c r="AF1" s="8" t="s">
        <v>32</v>
      </c>
      <c r="AG1" s="8" t="s">
        <v>33</v>
      </c>
      <c r="AH1" s="8" t="s">
        <v>63</v>
      </c>
      <c r="AI1" s="8" t="s">
        <v>64</v>
      </c>
      <c r="AJ1" s="8" t="s">
        <v>66</v>
      </c>
      <c r="AK1" s="8" t="s">
        <v>67</v>
      </c>
      <c r="AL1" s="8" t="s">
        <v>69</v>
      </c>
      <c r="AM1" s="8" t="s">
        <v>53</v>
      </c>
      <c r="AN1" s="8" t="s">
        <v>55</v>
      </c>
      <c r="AO1" s="8" t="s">
        <v>101</v>
      </c>
      <c r="AP1" s="8" t="s">
        <v>102</v>
      </c>
      <c r="AQ1" s="10" t="s">
        <v>42</v>
      </c>
      <c r="AR1" s="10" t="s">
        <v>5</v>
      </c>
      <c r="AS1" s="10" t="s">
        <v>30</v>
      </c>
      <c r="AT1" s="10" t="s">
        <v>57</v>
      </c>
      <c r="AU1" s="10" t="s">
        <v>61</v>
      </c>
      <c r="AV1" s="10" t="s">
        <v>51</v>
      </c>
      <c r="AW1" s="11" t="s">
        <v>6</v>
      </c>
      <c r="AX1" s="11" t="s">
        <v>7</v>
      </c>
      <c r="AY1" s="11" t="s">
        <v>43</v>
      </c>
      <c r="AZ1" s="11" t="s">
        <v>8</v>
      </c>
      <c r="BA1" s="11" t="s">
        <v>50</v>
      </c>
      <c r="BB1" s="11" t="s">
        <v>13</v>
      </c>
      <c r="BC1" s="25" t="s">
        <v>98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35</v>
      </c>
      <c r="BK1" s="8" t="s">
        <v>36</v>
      </c>
      <c r="BL1" s="8" t="s">
        <v>37</v>
      </c>
      <c r="BM1" s="8" t="s">
        <v>38</v>
      </c>
      <c r="BN1" s="8" t="s">
        <v>39</v>
      </c>
      <c r="BO1" s="8" t="s">
        <v>40</v>
      </c>
      <c r="BP1" s="12" t="s">
        <v>62</v>
      </c>
      <c r="BQ1" s="8" t="s">
        <v>84</v>
      </c>
      <c r="BR1" s="16" t="s">
        <v>85</v>
      </c>
      <c r="BS1" s="16"/>
      <c r="BT1" s="10" t="s">
        <v>42</v>
      </c>
      <c r="BU1" s="10" t="s">
        <v>5</v>
      </c>
      <c r="BV1" s="10" t="s">
        <v>30</v>
      </c>
      <c r="BW1" s="10" t="s">
        <v>57</v>
      </c>
      <c r="BX1" s="10" t="s">
        <v>61</v>
      </c>
      <c r="BY1" s="10" t="s">
        <v>51</v>
      </c>
      <c r="BZ1" s="11" t="s">
        <v>6</v>
      </c>
      <c r="CA1" s="11" t="s">
        <v>7</v>
      </c>
      <c r="CB1" s="11" t="s">
        <v>43</v>
      </c>
      <c r="CC1" s="11" t="s">
        <v>8</v>
      </c>
      <c r="CD1" s="11" t="s">
        <v>50</v>
      </c>
      <c r="CE1" s="11" t="s">
        <v>13</v>
      </c>
      <c r="CF1" s="8"/>
      <c r="CG1" s="10" t="s">
        <v>42</v>
      </c>
      <c r="CH1" s="10" t="s">
        <v>5</v>
      </c>
      <c r="CI1" s="10" t="s">
        <v>30</v>
      </c>
      <c r="CJ1" s="10" t="s">
        <v>57</v>
      </c>
      <c r="CK1" s="10" t="s">
        <v>61</v>
      </c>
      <c r="CL1" s="10" t="s">
        <v>51</v>
      </c>
      <c r="CM1" s="11" t="s">
        <v>6</v>
      </c>
      <c r="CN1" s="11" t="s">
        <v>7</v>
      </c>
      <c r="CO1" s="11" t="s">
        <v>43</v>
      </c>
      <c r="CP1" s="11" t="s">
        <v>8</v>
      </c>
      <c r="CQ1" s="11" t="s">
        <v>50</v>
      </c>
      <c r="CR1" s="11" t="s">
        <v>13</v>
      </c>
      <c r="CS1" s="8"/>
    </row>
    <row r="2" spans="1:97" s="48" customFormat="1" x14ac:dyDescent="0.15">
      <c r="A2" s="40">
        <v>4</v>
      </c>
      <c r="B2" s="40" t="s">
        <v>10</v>
      </c>
      <c r="C2" s="40" t="s">
        <v>2</v>
      </c>
      <c r="D2" s="40" t="s">
        <v>12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 t="shared" ref="BP2:BP8" si="0">SUM(E2:BO2)</f>
        <v>80</v>
      </c>
      <c r="BQ2" s="40">
        <v>0</v>
      </c>
      <c r="BR2" s="46">
        <v>0</v>
      </c>
      <c r="BS2" s="46"/>
      <c r="BT2" s="40" t="str">
        <f t="shared" ref="BT2:CE8" si="1">IF(AQ2&gt;AQ$9, AQ2-AQ$9,"")</f>
        <v/>
      </c>
      <c r="BU2" s="40" t="str">
        <f t="shared" si="1"/>
        <v/>
      </c>
      <c r="BV2" s="40" t="str">
        <f t="shared" si="1"/>
        <v/>
      </c>
      <c r="BW2" s="40" t="str">
        <f t="shared" si="1"/>
        <v/>
      </c>
      <c r="BX2" s="40" t="str">
        <f t="shared" si="1"/>
        <v/>
      </c>
      <c r="BY2" s="40" t="str">
        <f t="shared" si="1"/>
        <v/>
      </c>
      <c r="BZ2" s="40" t="str">
        <f t="shared" si="1"/>
        <v/>
      </c>
      <c r="CA2" s="40" t="str">
        <f t="shared" si="1"/>
        <v/>
      </c>
      <c r="CB2" s="40" t="str">
        <f t="shared" si="1"/>
        <v/>
      </c>
      <c r="CC2" s="40" t="str">
        <f t="shared" si="1"/>
        <v/>
      </c>
      <c r="CD2" s="40" t="str">
        <f t="shared" si="1"/>
        <v/>
      </c>
      <c r="CE2" s="40" t="str">
        <f t="shared" si="1"/>
        <v/>
      </c>
      <c r="CF2" s="40">
        <f>12-COUNTA(BT2:CE2)</f>
        <v>0</v>
      </c>
      <c r="CG2" s="40" t="str">
        <f t="shared" ref="CG2:CR5" si="2">IF($CF2=1,BT2,"")</f>
        <v/>
      </c>
      <c r="CH2" s="40" t="str">
        <f t="shared" si="2"/>
        <v/>
      </c>
      <c r="CI2" s="40" t="str">
        <f t="shared" si="2"/>
        <v/>
      </c>
      <c r="CJ2" s="40" t="str">
        <f t="shared" si="2"/>
        <v/>
      </c>
      <c r="CK2" s="40" t="str">
        <f t="shared" si="2"/>
        <v/>
      </c>
      <c r="CL2" s="40" t="str">
        <f t="shared" si="2"/>
        <v/>
      </c>
      <c r="CM2" s="40" t="str">
        <f t="shared" si="2"/>
        <v/>
      </c>
      <c r="CN2" s="40" t="str">
        <f t="shared" si="2"/>
        <v/>
      </c>
      <c r="CO2" s="40" t="str">
        <f t="shared" si="2"/>
        <v/>
      </c>
      <c r="CP2" s="40" t="str">
        <f t="shared" si="2"/>
        <v/>
      </c>
      <c r="CQ2" s="40" t="str">
        <f t="shared" si="2"/>
        <v/>
      </c>
      <c r="CR2" s="40" t="str">
        <f t="shared" si="2"/>
        <v/>
      </c>
      <c r="CS2" s="47">
        <f>SUM(AE2:BO2)</f>
        <v>80</v>
      </c>
    </row>
    <row r="3" spans="1:97" s="49" customFormat="1" x14ac:dyDescent="0.15">
      <c r="A3" s="40">
        <v>20</v>
      </c>
      <c r="B3" s="40" t="s">
        <v>212</v>
      </c>
      <c r="C3" s="40" t="s">
        <v>28</v>
      </c>
      <c r="D3" s="40" t="s">
        <v>11</v>
      </c>
      <c r="E3" s="41"/>
      <c r="F3" s="41">
        <v>5</v>
      </c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/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 t="shared" si="0"/>
        <v>10</v>
      </c>
      <c r="BQ3" s="40">
        <v>5</v>
      </c>
      <c r="BR3" s="46">
        <v>1</v>
      </c>
      <c r="BS3" s="46" t="s">
        <v>213</v>
      </c>
      <c r="BT3" s="40" t="str">
        <f t="shared" si="1"/>
        <v/>
      </c>
      <c r="BU3" s="40" t="str">
        <f t="shared" si="1"/>
        <v/>
      </c>
      <c r="BV3" s="40" t="str">
        <f t="shared" si="1"/>
        <v/>
      </c>
      <c r="BW3" s="40" t="str">
        <f t="shared" si="1"/>
        <v/>
      </c>
      <c r="BX3" s="40" t="str">
        <f t="shared" si="1"/>
        <v/>
      </c>
      <c r="BY3" s="40" t="str">
        <f t="shared" si="1"/>
        <v/>
      </c>
      <c r="BZ3" s="40" t="str">
        <f t="shared" si="1"/>
        <v/>
      </c>
      <c r="CA3" s="40" t="str">
        <f t="shared" si="1"/>
        <v/>
      </c>
      <c r="CB3" s="40" t="str">
        <f t="shared" si="1"/>
        <v/>
      </c>
      <c r="CC3" s="40" t="str">
        <f t="shared" si="1"/>
        <v/>
      </c>
      <c r="CD3" s="40" t="str">
        <f t="shared" si="1"/>
        <v/>
      </c>
      <c r="CE3" s="40" t="str">
        <f t="shared" si="1"/>
        <v/>
      </c>
      <c r="CF3" s="40">
        <f>COUNTIF(BT3:CE3, "&gt;0")</f>
        <v>0</v>
      </c>
      <c r="CG3" s="40" t="str">
        <f t="shared" si="2"/>
        <v/>
      </c>
      <c r="CH3" s="40" t="str">
        <f t="shared" si="2"/>
        <v/>
      </c>
      <c r="CI3" s="40" t="str">
        <f t="shared" si="2"/>
        <v/>
      </c>
      <c r="CJ3" s="40" t="str">
        <f t="shared" si="2"/>
        <v/>
      </c>
      <c r="CK3" s="40" t="str">
        <f t="shared" si="2"/>
        <v/>
      </c>
      <c r="CL3" s="40" t="str">
        <f t="shared" si="2"/>
        <v/>
      </c>
      <c r="CM3" s="40" t="str">
        <f t="shared" si="2"/>
        <v/>
      </c>
      <c r="CN3" s="40" t="str">
        <f t="shared" si="2"/>
        <v/>
      </c>
      <c r="CO3" s="40" t="str">
        <f t="shared" si="2"/>
        <v/>
      </c>
      <c r="CP3" s="40" t="str">
        <f t="shared" si="2"/>
        <v/>
      </c>
      <c r="CQ3" s="40" t="str">
        <f t="shared" si="2"/>
        <v/>
      </c>
      <c r="CR3" s="40" t="str">
        <f t="shared" si="2"/>
        <v/>
      </c>
      <c r="CS3" s="47">
        <f>SUM(AE3:BO3)</f>
        <v>5</v>
      </c>
    </row>
    <row r="4" spans="1:97" x14ac:dyDescent="0.15">
      <c r="A4" s="40">
        <v>77</v>
      </c>
      <c r="B4" s="47" t="s">
        <v>153</v>
      </c>
      <c r="C4" s="47" t="s">
        <v>56</v>
      </c>
      <c r="D4" s="40" t="s">
        <v>12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3"/>
      <c r="AR4" s="43"/>
      <c r="AS4" s="43"/>
      <c r="AT4" s="43">
        <v>20</v>
      </c>
      <c r="AU4" s="43"/>
      <c r="AV4" s="43"/>
      <c r="AW4" s="44">
        <v>20</v>
      </c>
      <c r="AX4" s="44">
        <v>20</v>
      </c>
      <c r="AY4" s="44"/>
      <c r="AZ4" s="44"/>
      <c r="BA4" s="44"/>
      <c r="BB4" s="44">
        <v>10</v>
      </c>
      <c r="BC4" s="45"/>
      <c r="BD4" s="40"/>
      <c r="BE4" s="40"/>
      <c r="BF4" s="40"/>
      <c r="BG4" s="40"/>
      <c r="BH4" s="40">
        <v>20</v>
      </c>
      <c r="BI4" s="40"/>
      <c r="BJ4" s="40"/>
      <c r="BK4" s="40"/>
      <c r="BL4" s="40"/>
      <c r="BM4" s="40"/>
      <c r="BN4" s="40"/>
      <c r="BO4" s="40"/>
      <c r="BP4" s="40">
        <f t="shared" si="0"/>
        <v>90</v>
      </c>
      <c r="BQ4" s="40">
        <v>6</v>
      </c>
      <c r="BR4" s="46">
        <v>1</v>
      </c>
      <c r="BS4" s="46" t="s">
        <v>217</v>
      </c>
      <c r="BT4" s="40" t="str">
        <f t="shared" si="1"/>
        <v/>
      </c>
      <c r="BU4" s="40" t="str">
        <f t="shared" si="1"/>
        <v/>
      </c>
      <c r="BV4" s="40" t="str">
        <f t="shared" si="1"/>
        <v/>
      </c>
      <c r="BW4" s="40" t="str">
        <f t="shared" si="1"/>
        <v/>
      </c>
      <c r="BX4" s="40" t="str">
        <f t="shared" si="1"/>
        <v/>
      </c>
      <c r="BY4" s="40" t="str">
        <f t="shared" si="1"/>
        <v/>
      </c>
      <c r="BZ4" s="40" t="str">
        <f t="shared" si="1"/>
        <v/>
      </c>
      <c r="CA4" s="40" t="str">
        <f t="shared" si="1"/>
        <v/>
      </c>
      <c r="CB4" s="40" t="str">
        <f t="shared" si="1"/>
        <v/>
      </c>
      <c r="CC4" s="40" t="str">
        <f t="shared" si="1"/>
        <v/>
      </c>
      <c r="CD4" s="40" t="str">
        <f t="shared" si="1"/>
        <v/>
      </c>
      <c r="CE4" s="40" t="str">
        <f t="shared" si="1"/>
        <v/>
      </c>
      <c r="CF4" s="40">
        <f>COUNTIF(BT4:CE4, "&gt;0")</f>
        <v>0</v>
      </c>
      <c r="CG4" s="40" t="str">
        <f t="shared" si="2"/>
        <v/>
      </c>
      <c r="CH4" s="40" t="str">
        <f t="shared" si="2"/>
        <v/>
      </c>
      <c r="CI4" s="40" t="str">
        <f t="shared" si="2"/>
        <v/>
      </c>
      <c r="CJ4" s="40" t="str">
        <f t="shared" si="2"/>
        <v/>
      </c>
      <c r="CK4" s="40" t="str">
        <f t="shared" si="2"/>
        <v/>
      </c>
      <c r="CL4" s="40" t="str">
        <f t="shared" si="2"/>
        <v/>
      </c>
      <c r="CM4" s="40" t="str">
        <f t="shared" si="2"/>
        <v/>
      </c>
      <c r="CN4" s="40" t="str">
        <f t="shared" si="2"/>
        <v/>
      </c>
      <c r="CO4" s="40" t="str">
        <f t="shared" si="2"/>
        <v/>
      </c>
      <c r="CP4" s="40" t="str">
        <f t="shared" si="2"/>
        <v/>
      </c>
      <c r="CQ4" s="40" t="str">
        <f t="shared" si="2"/>
        <v/>
      </c>
      <c r="CR4" s="40" t="str">
        <f t="shared" si="2"/>
        <v/>
      </c>
      <c r="CS4" s="47">
        <f>SUM(AE4:BO4)</f>
        <v>90</v>
      </c>
    </row>
    <row r="5" spans="1:97" x14ac:dyDescent="0.15">
      <c r="A5" s="40">
        <v>3</v>
      </c>
      <c r="B5" s="40" t="s">
        <v>10</v>
      </c>
      <c r="C5" s="40" t="s">
        <v>2</v>
      </c>
      <c r="D5" s="40" t="s">
        <v>11</v>
      </c>
      <c r="E5" s="41">
        <v>15</v>
      </c>
      <c r="F5" s="41"/>
      <c r="G5" s="41">
        <v>15</v>
      </c>
      <c r="H5" s="41"/>
      <c r="I5" s="41"/>
      <c r="J5" s="41"/>
      <c r="K5" s="41"/>
      <c r="L5" s="41"/>
      <c r="M5" s="41"/>
      <c r="N5" s="41"/>
      <c r="O5" s="41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3"/>
      <c r="AR5" s="43">
        <v>15</v>
      </c>
      <c r="AS5" s="43"/>
      <c r="AT5" s="43"/>
      <c r="AU5" s="43"/>
      <c r="AV5" s="43"/>
      <c r="AW5" s="44"/>
      <c r="AX5" s="44"/>
      <c r="AY5" s="44"/>
      <c r="AZ5" s="44"/>
      <c r="BA5" s="44"/>
      <c r="BB5" s="44">
        <v>15</v>
      </c>
      <c r="BC5" s="45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>
        <f t="shared" si="0"/>
        <v>60</v>
      </c>
      <c r="BQ5" s="40">
        <v>13</v>
      </c>
      <c r="BR5" s="46">
        <v>1</v>
      </c>
      <c r="BS5" s="46" t="s">
        <v>215</v>
      </c>
      <c r="BT5" s="40" t="str">
        <f t="shared" si="1"/>
        <v/>
      </c>
      <c r="BU5" s="40" t="str">
        <f t="shared" si="1"/>
        <v/>
      </c>
      <c r="BV5" s="40" t="str">
        <f t="shared" si="1"/>
        <v/>
      </c>
      <c r="BW5" s="40" t="str">
        <f t="shared" si="1"/>
        <v/>
      </c>
      <c r="BX5" s="40" t="str">
        <f t="shared" si="1"/>
        <v/>
      </c>
      <c r="BY5" s="40" t="str">
        <f t="shared" si="1"/>
        <v/>
      </c>
      <c r="BZ5" s="40" t="str">
        <f t="shared" si="1"/>
        <v/>
      </c>
      <c r="CA5" s="40" t="str">
        <f t="shared" si="1"/>
        <v/>
      </c>
      <c r="CB5" s="40" t="str">
        <f t="shared" si="1"/>
        <v/>
      </c>
      <c r="CC5" s="40" t="str">
        <f t="shared" si="1"/>
        <v/>
      </c>
      <c r="CD5" s="40" t="str">
        <f t="shared" si="1"/>
        <v/>
      </c>
      <c r="CE5" s="40" t="str">
        <f t="shared" si="1"/>
        <v/>
      </c>
      <c r="CF5" s="40">
        <f>COUNTIF(BT5:CE5, "&gt;0")</f>
        <v>0</v>
      </c>
      <c r="CG5" s="40" t="str">
        <f t="shared" si="2"/>
        <v/>
      </c>
      <c r="CH5" s="40" t="str">
        <f t="shared" si="2"/>
        <v/>
      </c>
      <c r="CI5" s="40" t="str">
        <f t="shared" si="2"/>
        <v/>
      </c>
      <c r="CJ5" s="40" t="str">
        <f t="shared" si="2"/>
        <v/>
      </c>
      <c r="CK5" s="40" t="str">
        <f t="shared" si="2"/>
        <v/>
      </c>
      <c r="CL5" s="40" t="str">
        <f t="shared" si="2"/>
        <v/>
      </c>
      <c r="CM5" s="40" t="str">
        <f t="shared" si="2"/>
        <v/>
      </c>
      <c r="CN5" s="40" t="str">
        <f t="shared" si="2"/>
        <v/>
      </c>
      <c r="CO5" s="40" t="str">
        <f t="shared" si="2"/>
        <v/>
      </c>
      <c r="CP5" s="40" t="str">
        <f t="shared" si="2"/>
        <v/>
      </c>
      <c r="CQ5" s="40" t="str">
        <f t="shared" si="2"/>
        <v/>
      </c>
      <c r="CR5" s="40" t="str">
        <f t="shared" si="2"/>
        <v/>
      </c>
      <c r="CS5" s="47">
        <f>SUM(AE5:BO5)</f>
        <v>30</v>
      </c>
    </row>
    <row r="6" spans="1:97" x14ac:dyDescent="0.15">
      <c r="A6" s="40"/>
      <c r="B6" s="40" t="s">
        <v>160</v>
      </c>
      <c r="C6" s="40" t="s">
        <v>104</v>
      </c>
      <c r="D6" s="40" t="s">
        <v>11</v>
      </c>
      <c r="E6" s="41">
        <v>15</v>
      </c>
      <c r="F6" s="41"/>
      <c r="G6" s="41">
        <v>15</v>
      </c>
      <c r="H6" s="41"/>
      <c r="I6" s="41"/>
      <c r="J6" s="41"/>
      <c r="K6" s="41"/>
      <c r="L6" s="41"/>
      <c r="M6" s="41"/>
      <c r="N6" s="41"/>
      <c r="O6" s="41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3"/>
      <c r="AR6" s="43">
        <v>15</v>
      </c>
      <c r="AS6" s="43"/>
      <c r="AT6" s="43"/>
      <c r="AU6" s="43"/>
      <c r="AV6" s="43"/>
      <c r="AW6" s="44"/>
      <c r="AX6" s="44"/>
      <c r="AY6" s="44"/>
      <c r="AZ6" s="44"/>
      <c r="BA6" s="44"/>
      <c r="BB6" s="44">
        <v>15</v>
      </c>
      <c r="BC6" s="45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>
        <f t="shared" si="0"/>
        <v>60</v>
      </c>
      <c r="BQ6" s="40">
        <v>13</v>
      </c>
      <c r="BR6" s="46">
        <v>1</v>
      </c>
      <c r="BS6" s="46" t="s">
        <v>200</v>
      </c>
      <c r="BT6" s="40" t="str">
        <f t="shared" si="1"/>
        <v/>
      </c>
      <c r="BU6" s="40" t="str">
        <f t="shared" si="1"/>
        <v/>
      </c>
      <c r="BV6" s="40" t="str">
        <f t="shared" si="1"/>
        <v/>
      </c>
      <c r="BW6" s="40" t="str">
        <f t="shared" si="1"/>
        <v/>
      </c>
      <c r="BX6" s="40" t="str">
        <f t="shared" si="1"/>
        <v/>
      </c>
      <c r="BY6" s="40" t="str">
        <f t="shared" si="1"/>
        <v/>
      </c>
      <c r="BZ6" s="40" t="str">
        <f t="shared" si="1"/>
        <v/>
      </c>
      <c r="CA6" s="40" t="str">
        <f t="shared" si="1"/>
        <v/>
      </c>
      <c r="CB6" s="40" t="str">
        <f t="shared" si="1"/>
        <v/>
      </c>
      <c r="CC6" s="40" t="str">
        <f t="shared" si="1"/>
        <v/>
      </c>
      <c r="CD6" s="40" t="str">
        <f t="shared" si="1"/>
        <v/>
      </c>
      <c r="CE6" s="40" t="str">
        <f t="shared" si="1"/>
        <v/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7"/>
    </row>
    <row r="7" spans="1:97" ht="27" x14ac:dyDescent="0.15">
      <c r="A7" s="40">
        <v>1</v>
      </c>
      <c r="B7" s="40" t="s">
        <v>0</v>
      </c>
      <c r="C7" s="40" t="s">
        <v>2</v>
      </c>
      <c r="D7" s="40" t="s">
        <v>1</v>
      </c>
      <c r="E7" s="41">
        <v>10</v>
      </c>
      <c r="F7" s="41">
        <v>10</v>
      </c>
      <c r="G7" s="41"/>
      <c r="H7" s="41"/>
      <c r="I7" s="41"/>
      <c r="J7" s="41"/>
      <c r="K7" s="41"/>
      <c r="L7" s="41"/>
      <c r="M7" s="41"/>
      <c r="N7" s="41"/>
      <c r="O7" s="41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3"/>
      <c r="AR7" s="43">
        <v>10</v>
      </c>
      <c r="AS7" s="43"/>
      <c r="AT7" s="43"/>
      <c r="AU7" s="43"/>
      <c r="AV7" s="43"/>
      <c r="AW7" s="44">
        <v>15</v>
      </c>
      <c r="AX7" s="44">
        <v>15</v>
      </c>
      <c r="AY7" s="44"/>
      <c r="AZ7" s="44"/>
      <c r="BA7" s="44"/>
      <c r="BB7" s="44"/>
      <c r="BC7" s="45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>
        <f t="shared" si="0"/>
        <v>60</v>
      </c>
      <c r="BQ7" s="40">
        <v>9</v>
      </c>
      <c r="BR7" s="46">
        <v>2</v>
      </c>
      <c r="BS7" s="46" t="s">
        <v>218</v>
      </c>
      <c r="BT7" s="40" t="str">
        <f t="shared" si="1"/>
        <v/>
      </c>
      <c r="BU7" s="40" t="str">
        <f t="shared" si="1"/>
        <v/>
      </c>
      <c r="BV7" s="40" t="str">
        <f t="shared" si="1"/>
        <v/>
      </c>
      <c r="BW7" s="40" t="str">
        <f t="shared" si="1"/>
        <v/>
      </c>
      <c r="BX7" s="40" t="str">
        <f t="shared" si="1"/>
        <v/>
      </c>
      <c r="BY7" s="40" t="str">
        <f t="shared" si="1"/>
        <v/>
      </c>
      <c r="BZ7" s="40" t="str">
        <f t="shared" si="1"/>
        <v/>
      </c>
      <c r="CA7" s="40" t="str">
        <f t="shared" si="1"/>
        <v/>
      </c>
      <c r="CB7" s="40" t="str">
        <f t="shared" si="1"/>
        <v/>
      </c>
      <c r="CC7" s="40" t="str">
        <f t="shared" si="1"/>
        <v/>
      </c>
      <c r="CD7" s="40" t="str">
        <f t="shared" si="1"/>
        <v/>
      </c>
      <c r="CE7" s="40" t="str">
        <f t="shared" si="1"/>
        <v/>
      </c>
      <c r="CF7" s="40">
        <f>COUNTIF(BT7:CE7, "&gt;0")</f>
        <v>0</v>
      </c>
      <c r="CG7" s="40" t="str">
        <f t="shared" ref="CG7:CR7" si="3">IF($CF7=1,BT7,"")</f>
        <v/>
      </c>
      <c r="CH7" s="40" t="str">
        <f t="shared" si="3"/>
        <v/>
      </c>
      <c r="CI7" s="40" t="str">
        <f t="shared" si="3"/>
        <v/>
      </c>
      <c r="CJ7" s="40" t="str">
        <f t="shared" si="3"/>
        <v/>
      </c>
      <c r="CK7" s="40" t="str">
        <f t="shared" si="3"/>
        <v/>
      </c>
      <c r="CL7" s="40" t="str">
        <f t="shared" si="3"/>
        <v/>
      </c>
      <c r="CM7" s="40" t="str">
        <f t="shared" si="3"/>
        <v/>
      </c>
      <c r="CN7" s="40" t="str">
        <f t="shared" si="3"/>
        <v/>
      </c>
      <c r="CO7" s="40" t="str">
        <f t="shared" si="3"/>
        <v/>
      </c>
      <c r="CP7" s="40" t="str">
        <f t="shared" si="3"/>
        <v/>
      </c>
      <c r="CQ7" s="40" t="str">
        <f t="shared" si="3"/>
        <v/>
      </c>
      <c r="CR7" s="40" t="str">
        <f t="shared" si="3"/>
        <v/>
      </c>
      <c r="CS7" s="47">
        <f>SUM(AE7:BO7)</f>
        <v>40</v>
      </c>
    </row>
    <row r="8" spans="1:97" ht="40.5" x14ac:dyDescent="0.15">
      <c r="A8" s="40"/>
      <c r="B8" s="40" t="s">
        <v>170</v>
      </c>
      <c r="C8" s="40" t="s">
        <v>71</v>
      </c>
      <c r="D8" s="40" t="s">
        <v>11</v>
      </c>
      <c r="E8" s="41"/>
      <c r="F8" s="41"/>
      <c r="G8" s="41">
        <v>15</v>
      </c>
      <c r="H8" s="41">
        <v>15</v>
      </c>
      <c r="I8" s="41"/>
      <c r="J8" s="41"/>
      <c r="K8" s="41"/>
      <c r="L8" s="41"/>
      <c r="M8" s="41"/>
      <c r="N8" s="41"/>
      <c r="O8" s="41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3"/>
      <c r="AR8" s="43"/>
      <c r="AS8" s="43"/>
      <c r="AT8" s="43"/>
      <c r="AU8" s="43"/>
      <c r="AV8" s="43"/>
      <c r="AW8" s="44"/>
      <c r="AX8" s="44"/>
      <c r="AY8" s="44"/>
      <c r="AZ8" s="44"/>
      <c r="BA8" s="44">
        <v>15</v>
      </c>
      <c r="BB8" s="44">
        <v>15</v>
      </c>
      <c r="BC8" s="45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>
        <f t="shared" si="0"/>
        <v>60</v>
      </c>
      <c r="BQ8" s="40">
        <v>20</v>
      </c>
      <c r="BR8" s="46">
        <v>2</v>
      </c>
      <c r="BS8" s="46" t="s">
        <v>214</v>
      </c>
      <c r="BT8" s="40" t="str">
        <f t="shared" si="1"/>
        <v/>
      </c>
      <c r="BU8" s="40" t="str">
        <f t="shared" si="1"/>
        <v/>
      </c>
      <c r="BV8" s="40" t="str">
        <f t="shared" si="1"/>
        <v/>
      </c>
      <c r="BW8" s="40" t="str">
        <f t="shared" si="1"/>
        <v/>
      </c>
      <c r="BX8" s="40" t="str">
        <f t="shared" si="1"/>
        <v/>
      </c>
      <c r="BY8" s="40" t="str">
        <f t="shared" si="1"/>
        <v/>
      </c>
      <c r="BZ8" s="40" t="str">
        <f t="shared" si="1"/>
        <v/>
      </c>
      <c r="CA8" s="40" t="str">
        <f t="shared" si="1"/>
        <v/>
      </c>
      <c r="CB8" s="40" t="str">
        <f t="shared" si="1"/>
        <v/>
      </c>
      <c r="CC8" s="40" t="str">
        <f t="shared" si="1"/>
        <v/>
      </c>
      <c r="CD8" s="40" t="str">
        <f t="shared" si="1"/>
        <v/>
      </c>
      <c r="CE8" s="40" t="str">
        <f t="shared" si="1"/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7"/>
    </row>
    <row r="9" spans="1:97" x14ac:dyDescent="0.15">
      <c r="A9" s="1"/>
      <c r="B9" s="1" t="s">
        <v>62</v>
      </c>
      <c r="C9" s="1"/>
      <c r="D9" s="1"/>
      <c r="E9" s="6">
        <f t="shared" ref="E9:AJ9" si="4">SUM(E3:E8)</f>
        <v>40</v>
      </c>
      <c r="F9" s="6">
        <f t="shared" si="4"/>
        <v>15</v>
      </c>
      <c r="G9" s="6">
        <f t="shared" si="4"/>
        <v>45</v>
      </c>
      <c r="H9" s="6">
        <f t="shared" si="4"/>
        <v>15</v>
      </c>
      <c r="I9" s="6">
        <f t="shared" si="4"/>
        <v>0</v>
      </c>
      <c r="J9" s="6">
        <f t="shared" si="4"/>
        <v>0</v>
      </c>
      <c r="K9" s="6">
        <f t="shared" si="4"/>
        <v>0</v>
      </c>
      <c r="L9" s="6">
        <f t="shared" si="4"/>
        <v>0</v>
      </c>
      <c r="M9" s="6">
        <f t="shared" si="4"/>
        <v>0</v>
      </c>
      <c r="N9" s="6">
        <f t="shared" si="4"/>
        <v>0</v>
      </c>
      <c r="O9" s="6">
        <f t="shared" si="4"/>
        <v>0</v>
      </c>
      <c r="P9" s="28">
        <f t="shared" si="4"/>
        <v>0</v>
      </c>
      <c r="Q9" s="28">
        <f t="shared" si="4"/>
        <v>0</v>
      </c>
      <c r="R9" s="28">
        <f t="shared" si="4"/>
        <v>0</v>
      </c>
      <c r="S9" s="28">
        <f t="shared" si="4"/>
        <v>0</v>
      </c>
      <c r="T9" s="28">
        <f t="shared" si="4"/>
        <v>0</v>
      </c>
      <c r="U9" s="28">
        <f t="shared" si="4"/>
        <v>0</v>
      </c>
      <c r="V9" s="28">
        <f t="shared" si="4"/>
        <v>0</v>
      </c>
      <c r="W9" s="28">
        <f t="shared" si="4"/>
        <v>0</v>
      </c>
      <c r="X9" s="28">
        <f t="shared" si="4"/>
        <v>0</v>
      </c>
      <c r="Y9" s="28">
        <f t="shared" si="4"/>
        <v>0</v>
      </c>
      <c r="Z9" s="28">
        <f t="shared" si="4"/>
        <v>0</v>
      </c>
      <c r="AA9" s="28">
        <f t="shared" si="4"/>
        <v>0</v>
      </c>
      <c r="AB9" s="28">
        <f t="shared" si="4"/>
        <v>0</v>
      </c>
      <c r="AC9" s="28">
        <f t="shared" si="4"/>
        <v>0</v>
      </c>
      <c r="AD9" s="28">
        <f t="shared" si="4"/>
        <v>0</v>
      </c>
      <c r="AE9" s="1">
        <f t="shared" si="4"/>
        <v>0</v>
      </c>
      <c r="AF9" s="1">
        <f t="shared" si="4"/>
        <v>0</v>
      </c>
      <c r="AG9" s="1">
        <f t="shared" si="4"/>
        <v>5</v>
      </c>
      <c r="AH9" s="1">
        <f t="shared" si="4"/>
        <v>0</v>
      </c>
      <c r="AI9" s="1">
        <f t="shared" si="4"/>
        <v>0</v>
      </c>
      <c r="AJ9" s="1">
        <f t="shared" si="4"/>
        <v>0</v>
      </c>
      <c r="AK9" s="1">
        <f t="shared" ref="AK9:BO9" si="5">SUM(AK3:AK8)</f>
        <v>0</v>
      </c>
      <c r="AL9" s="1">
        <f t="shared" si="5"/>
        <v>0</v>
      </c>
      <c r="AM9" s="1">
        <f t="shared" si="5"/>
        <v>0</v>
      </c>
      <c r="AN9" s="1">
        <f t="shared" si="5"/>
        <v>0</v>
      </c>
      <c r="AO9" s="1">
        <f t="shared" si="5"/>
        <v>0</v>
      </c>
      <c r="AP9" s="1">
        <f t="shared" si="5"/>
        <v>0</v>
      </c>
      <c r="AQ9" s="4">
        <f t="shared" si="5"/>
        <v>0</v>
      </c>
      <c r="AR9" s="4">
        <f t="shared" si="5"/>
        <v>40</v>
      </c>
      <c r="AS9" s="4">
        <f t="shared" si="5"/>
        <v>0</v>
      </c>
      <c r="AT9" s="4">
        <f t="shared" si="5"/>
        <v>20</v>
      </c>
      <c r="AU9" s="4">
        <f t="shared" si="5"/>
        <v>0</v>
      </c>
      <c r="AV9" s="4">
        <f t="shared" si="5"/>
        <v>0</v>
      </c>
      <c r="AW9" s="2">
        <f t="shared" si="5"/>
        <v>35</v>
      </c>
      <c r="AX9" s="2">
        <f t="shared" si="5"/>
        <v>35</v>
      </c>
      <c r="AY9" s="2">
        <f t="shared" si="5"/>
        <v>0</v>
      </c>
      <c r="AZ9" s="2">
        <f t="shared" si="5"/>
        <v>0</v>
      </c>
      <c r="BA9" s="2">
        <f t="shared" si="5"/>
        <v>15</v>
      </c>
      <c r="BB9" s="2">
        <f t="shared" si="5"/>
        <v>55</v>
      </c>
      <c r="BC9" s="1">
        <f t="shared" si="5"/>
        <v>0</v>
      </c>
      <c r="BD9" s="1">
        <f t="shared" si="5"/>
        <v>0</v>
      </c>
      <c r="BE9" s="1">
        <f t="shared" si="5"/>
        <v>0</v>
      </c>
      <c r="BF9" s="1">
        <f t="shared" si="5"/>
        <v>0</v>
      </c>
      <c r="BG9" s="1">
        <f t="shared" si="5"/>
        <v>0</v>
      </c>
      <c r="BH9" s="1">
        <f t="shared" si="5"/>
        <v>20</v>
      </c>
      <c r="BI9" s="1">
        <f t="shared" si="5"/>
        <v>0</v>
      </c>
      <c r="BJ9" s="1">
        <f t="shared" si="5"/>
        <v>0</v>
      </c>
      <c r="BK9" s="1">
        <f t="shared" si="5"/>
        <v>0</v>
      </c>
      <c r="BL9" s="1">
        <f t="shared" si="5"/>
        <v>0</v>
      </c>
      <c r="BM9" s="1">
        <f t="shared" si="5"/>
        <v>0</v>
      </c>
      <c r="BN9" s="1">
        <f t="shared" si="5"/>
        <v>0</v>
      </c>
      <c r="BO9" s="1">
        <f t="shared" si="5"/>
        <v>0</v>
      </c>
      <c r="BP9" s="1"/>
      <c r="BQ9" s="1"/>
      <c r="BR9" s="17"/>
      <c r="BS9" s="17"/>
      <c r="BT9" s="1">
        <f t="shared" ref="BT9:CE9" si="6">MIN(BT3:BT8)</f>
        <v>0</v>
      </c>
      <c r="BU9" s="1">
        <f t="shared" si="6"/>
        <v>0</v>
      </c>
      <c r="BV9" s="1">
        <f t="shared" si="6"/>
        <v>0</v>
      </c>
      <c r="BW9" s="1">
        <f t="shared" si="6"/>
        <v>0</v>
      </c>
      <c r="BX9" s="1">
        <f t="shared" si="6"/>
        <v>0</v>
      </c>
      <c r="BY9" s="1">
        <f t="shared" si="6"/>
        <v>0</v>
      </c>
      <c r="BZ9" s="1">
        <f t="shared" si="6"/>
        <v>0</v>
      </c>
      <c r="CA9" s="1">
        <f t="shared" si="6"/>
        <v>0</v>
      </c>
      <c r="CB9" s="1">
        <f t="shared" si="6"/>
        <v>0</v>
      </c>
      <c r="CC9" s="1">
        <f t="shared" si="6"/>
        <v>0</v>
      </c>
      <c r="CD9" s="1">
        <f t="shared" si="6"/>
        <v>0</v>
      </c>
      <c r="CE9" s="1">
        <f t="shared" si="6"/>
        <v>0</v>
      </c>
      <c r="CF9" s="1"/>
      <c r="CG9" s="1">
        <f t="shared" ref="CG9:CR9" si="7">MIN(CG3:CG8)</f>
        <v>0</v>
      </c>
      <c r="CH9" s="1">
        <f t="shared" si="7"/>
        <v>0</v>
      </c>
      <c r="CI9" s="1">
        <f t="shared" si="7"/>
        <v>0</v>
      </c>
      <c r="CJ9" s="1">
        <f t="shared" si="7"/>
        <v>0</v>
      </c>
      <c r="CK9" s="1">
        <f t="shared" si="7"/>
        <v>0</v>
      </c>
      <c r="CL9" s="1">
        <f t="shared" si="7"/>
        <v>0</v>
      </c>
      <c r="CM9" s="1">
        <f t="shared" si="7"/>
        <v>0</v>
      </c>
      <c r="CN9" s="1">
        <f t="shared" si="7"/>
        <v>0</v>
      </c>
      <c r="CO9" s="1">
        <f t="shared" si="7"/>
        <v>0</v>
      </c>
      <c r="CP9" s="1">
        <f t="shared" si="7"/>
        <v>0</v>
      </c>
      <c r="CQ9" s="1">
        <f t="shared" si="7"/>
        <v>0</v>
      </c>
      <c r="CR9" s="1">
        <f t="shared" si="7"/>
        <v>0</v>
      </c>
      <c r="CS9" s="3">
        <f>COUNTIF(CS3:CS8,"=0")</f>
        <v>0</v>
      </c>
    </row>
    <row r="10" spans="1:97" x14ac:dyDescent="0.15">
      <c r="A10" s="1"/>
      <c r="B10" s="3" t="s">
        <v>82</v>
      </c>
      <c r="C10" s="1"/>
      <c r="D10" s="1"/>
      <c r="E10" s="1">
        <v>45</v>
      </c>
      <c r="F10" s="1">
        <v>20</v>
      </c>
      <c r="G10" s="1">
        <v>34</v>
      </c>
      <c r="H10" s="1">
        <v>10</v>
      </c>
      <c r="I10" s="1">
        <v>38</v>
      </c>
      <c r="J10" s="1">
        <v>52</v>
      </c>
      <c r="K10" s="1">
        <v>25</v>
      </c>
      <c r="L10" s="1">
        <v>78</v>
      </c>
      <c r="M10" s="1">
        <v>37</v>
      </c>
      <c r="N10" s="1">
        <v>43</v>
      </c>
      <c r="O10" s="1">
        <v>17</v>
      </c>
      <c r="P10" s="14">
        <v>2</v>
      </c>
      <c r="Q10" s="14">
        <v>1</v>
      </c>
      <c r="R10" s="14">
        <v>2</v>
      </c>
      <c r="S10" s="14">
        <v>1</v>
      </c>
      <c r="T10" s="14">
        <v>5</v>
      </c>
      <c r="U10" s="14">
        <v>0</v>
      </c>
      <c r="V10" s="14">
        <v>2</v>
      </c>
      <c r="W10" s="14">
        <v>2</v>
      </c>
      <c r="X10" s="14">
        <v>6</v>
      </c>
      <c r="Y10" s="14">
        <v>0</v>
      </c>
      <c r="Z10" s="14">
        <v>1</v>
      </c>
      <c r="AA10" s="14">
        <v>1</v>
      </c>
      <c r="AB10" s="14">
        <v>8</v>
      </c>
      <c r="AC10" s="14">
        <v>2</v>
      </c>
      <c r="AD10" s="14">
        <v>4</v>
      </c>
      <c r="AE10" s="1">
        <v>1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33</v>
      </c>
      <c r="AL10" s="1">
        <v>43</v>
      </c>
      <c r="AM10" s="1">
        <v>3</v>
      </c>
      <c r="AN10" s="1">
        <v>0</v>
      </c>
      <c r="AO10" s="1">
        <v>0</v>
      </c>
      <c r="AP10" s="1">
        <v>0</v>
      </c>
      <c r="AQ10" s="14">
        <v>11</v>
      </c>
      <c r="AR10" s="14">
        <v>2</v>
      </c>
      <c r="AS10" s="14">
        <v>2</v>
      </c>
      <c r="AT10" s="14">
        <v>21</v>
      </c>
      <c r="AU10" s="14">
        <v>17</v>
      </c>
      <c r="AV10" s="14">
        <v>10</v>
      </c>
      <c r="AW10" s="14">
        <v>14</v>
      </c>
      <c r="AX10" s="14">
        <v>35</v>
      </c>
      <c r="AY10" s="14">
        <v>20</v>
      </c>
      <c r="AZ10" s="14">
        <v>4</v>
      </c>
      <c r="BA10" s="14">
        <v>0</v>
      </c>
      <c r="BB10" s="14">
        <v>69</v>
      </c>
      <c r="BC10" s="14">
        <v>10</v>
      </c>
      <c r="BD10" s="1">
        <v>162</v>
      </c>
      <c r="BE10" s="1">
        <v>244</v>
      </c>
      <c r="BF10" s="1">
        <v>233</v>
      </c>
      <c r="BG10" s="1">
        <v>242</v>
      </c>
      <c r="BH10" s="1">
        <v>141</v>
      </c>
      <c r="BI10" s="1">
        <v>154</v>
      </c>
      <c r="BJ10" s="1">
        <v>41</v>
      </c>
      <c r="BK10" s="1">
        <v>49</v>
      </c>
      <c r="BL10" s="1">
        <v>81</v>
      </c>
      <c r="BM10" s="1"/>
      <c r="BN10" s="1">
        <v>5</v>
      </c>
      <c r="BO10" s="1"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 x14ac:dyDescent="0.15">
      <c r="A11" s="1"/>
      <c r="B11" s="3" t="s">
        <v>89</v>
      </c>
      <c r="C11" s="1"/>
      <c r="D11" s="1"/>
      <c r="E11" s="1">
        <f t="shared" ref="E11:AJ11" si="8">E10-E9</f>
        <v>5</v>
      </c>
      <c r="F11" s="1">
        <f t="shared" si="8"/>
        <v>5</v>
      </c>
      <c r="G11" s="1">
        <f t="shared" si="8"/>
        <v>-11</v>
      </c>
      <c r="H11" s="1">
        <f t="shared" si="8"/>
        <v>-5</v>
      </c>
      <c r="I11" s="1">
        <f t="shared" si="8"/>
        <v>38</v>
      </c>
      <c r="J11" s="1">
        <f t="shared" si="8"/>
        <v>52</v>
      </c>
      <c r="K11" s="1">
        <f t="shared" si="8"/>
        <v>25</v>
      </c>
      <c r="L11" s="1">
        <f t="shared" si="8"/>
        <v>78</v>
      </c>
      <c r="M11" s="1">
        <f t="shared" si="8"/>
        <v>37</v>
      </c>
      <c r="N11" s="1">
        <f t="shared" si="8"/>
        <v>43</v>
      </c>
      <c r="O11" s="1">
        <f t="shared" si="8"/>
        <v>17</v>
      </c>
      <c r="P11" s="1">
        <f t="shared" si="8"/>
        <v>2</v>
      </c>
      <c r="Q11" s="1">
        <f t="shared" si="8"/>
        <v>1</v>
      </c>
      <c r="R11" s="1">
        <f t="shared" si="8"/>
        <v>2</v>
      </c>
      <c r="S11" s="1">
        <f t="shared" si="8"/>
        <v>1</v>
      </c>
      <c r="T11" s="1">
        <f t="shared" si="8"/>
        <v>5</v>
      </c>
      <c r="U11" s="1">
        <f t="shared" si="8"/>
        <v>0</v>
      </c>
      <c r="V11" s="1">
        <f t="shared" si="8"/>
        <v>2</v>
      </c>
      <c r="W11" s="1">
        <f t="shared" si="8"/>
        <v>2</v>
      </c>
      <c r="X11" s="1">
        <f t="shared" si="8"/>
        <v>6</v>
      </c>
      <c r="Y11" s="1">
        <f t="shared" si="8"/>
        <v>0</v>
      </c>
      <c r="Z11" s="1">
        <f t="shared" si="8"/>
        <v>1</v>
      </c>
      <c r="AA11" s="1">
        <f t="shared" si="8"/>
        <v>1</v>
      </c>
      <c r="AB11" s="1">
        <f t="shared" si="8"/>
        <v>8</v>
      </c>
      <c r="AC11" s="1">
        <f t="shared" si="8"/>
        <v>2</v>
      </c>
      <c r="AD11" s="1">
        <f t="shared" si="8"/>
        <v>4</v>
      </c>
      <c r="AE11" s="1">
        <f t="shared" si="8"/>
        <v>1</v>
      </c>
      <c r="AF11" s="1">
        <f t="shared" si="8"/>
        <v>0</v>
      </c>
      <c r="AG11" s="1">
        <f t="shared" si="8"/>
        <v>-5</v>
      </c>
      <c r="AH11" s="1">
        <f t="shared" si="8"/>
        <v>0</v>
      </c>
      <c r="AI11" s="1">
        <f t="shared" si="8"/>
        <v>0</v>
      </c>
      <c r="AJ11" s="1">
        <f t="shared" si="8"/>
        <v>0</v>
      </c>
      <c r="AK11" s="1">
        <f t="shared" ref="AK11:BO11" si="9">AK10-AK9</f>
        <v>33</v>
      </c>
      <c r="AL11" s="1">
        <f t="shared" si="9"/>
        <v>43</v>
      </c>
      <c r="AM11" s="1">
        <f t="shared" si="9"/>
        <v>3</v>
      </c>
      <c r="AN11" s="1">
        <f t="shared" si="9"/>
        <v>0</v>
      </c>
      <c r="AO11" s="1">
        <f t="shared" si="9"/>
        <v>0</v>
      </c>
      <c r="AP11" s="1">
        <f t="shared" si="9"/>
        <v>0</v>
      </c>
      <c r="AQ11" s="1">
        <f t="shared" si="9"/>
        <v>11</v>
      </c>
      <c r="AR11" s="1">
        <f t="shared" si="9"/>
        <v>-38</v>
      </c>
      <c r="AS11" s="1">
        <f t="shared" si="9"/>
        <v>2</v>
      </c>
      <c r="AT11" s="1">
        <f t="shared" si="9"/>
        <v>1</v>
      </c>
      <c r="AU11" s="1">
        <f t="shared" si="9"/>
        <v>17</v>
      </c>
      <c r="AV11" s="1">
        <f t="shared" si="9"/>
        <v>10</v>
      </c>
      <c r="AW11" s="1">
        <f t="shared" si="9"/>
        <v>-21</v>
      </c>
      <c r="AX11" s="1">
        <f t="shared" si="9"/>
        <v>0</v>
      </c>
      <c r="AY11" s="1">
        <f t="shared" si="9"/>
        <v>20</v>
      </c>
      <c r="AZ11" s="1">
        <f t="shared" si="9"/>
        <v>4</v>
      </c>
      <c r="BA11" s="1">
        <f t="shared" si="9"/>
        <v>-15</v>
      </c>
      <c r="BB11" s="1">
        <f t="shared" si="9"/>
        <v>14</v>
      </c>
      <c r="BC11" s="1">
        <f t="shared" si="9"/>
        <v>10</v>
      </c>
      <c r="BD11" s="1">
        <f t="shared" si="9"/>
        <v>162</v>
      </c>
      <c r="BE11" s="1">
        <f t="shared" si="9"/>
        <v>244</v>
      </c>
      <c r="BF11" s="1">
        <f t="shared" si="9"/>
        <v>233</v>
      </c>
      <c r="BG11" s="1">
        <f t="shared" si="9"/>
        <v>242</v>
      </c>
      <c r="BH11" s="1">
        <f t="shared" si="9"/>
        <v>121</v>
      </c>
      <c r="BI11" s="1">
        <f t="shared" si="9"/>
        <v>154</v>
      </c>
      <c r="BJ11" s="1">
        <f t="shared" si="9"/>
        <v>41</v>
      </c>
      <c r="BK11" s="1">
        <f t="shared" si="9"/>
        <v>49</v>
      </c>
      <c r="BL11" s="1">
        <f t="shared" si="9"/>
        <v>81</v>
      </c>
      <c r="BM11" s="1">
        <f t="shared" si="9"/>
        <v>0</v>
      </c>
      <c r="BN11" s="1">
        <f t="shared" si="9"/>
        <v>5</v>
      </c>
      <c r="BO11" s="1">
        <f t="shared" si="9"/>
        <v>5</v>
      </c>
      <c r="BP11" s="1"/>
      <c r="BQ11" s="1"/>
      <c r="BR11" s="17"/>
      <c r="BS11" s="17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</row>
    <row r="12" spans="1:97" x14ac:dyDescent="0.15">
      <c r="A12" s="1"/>
      <c r="B12" s="3" t="s">
        <v>177</v>
      </c>
      <c r="C12" s="1"/>
      <c r="D12" s="1"/>
      <c r="E12" s="1">
        <f t="shared" ref="E12:AJ12" si="10">MAX(E3:E8)</f>
        <v>15</v>
      </c>
      <c r="F12" s="1">
        <f t="shared" si="10"/>
        <v>10</v>
      </c>
      <c r="G12" s="1">
        <f t="shared" si="10"/>
        <v>15</v>
      </c>
      <c r="H12" s="1">
        <f t="shared" si="10"/>
        <v>15</v>
      </c>
      <c r="I12" s="1">
        <f t="shared" si="10"/>
        <v>0</v>
      </c>
      <c r="J12" s="1">
        <f t="shared" si="10"/>
        <v>0</v>
      </c>
      <c r="K12" s="1">
        <f t="shared" si="10"/>
        <v>0</v>
      </c>
      <c r="L12" s="1">
        <f t="shared" si="10"/>
        <v>0</v>
      </c>
      <c r="M12" s="1">
        <f t="shared" si="10"/>
        <v>0</v>
      </c>
      <c r="N12" s="1">
        <f t="shared" si="10"/>
        <v>0</v>
      </c>
      <c r="O12" s="1">
        <f t="shared" si="10"/>
        <v>0</v>
      </c>
      <c r="P12" s="1">
        <f t="shared" si="10"/>
        <v>0</v>
      </c>
      <c r="Q12" s="1">
        <f t="shared" si="10"/>
        <v>0</v>
      </c>
      <c r="R12" s="1">
        <f t="shared" si="10"/>
        <v>0</v>
      </c>
      <c r="S12" s="1">
        <f t="shared" si="10"/>
        <v>0</v>
      </c>
      <c r="T12" s="1">
        <f t="shared" si="10"/>
        <v>0</v>
      </c>
      <c r="U12" s="1">
        <f t="shared" si="10"/>
        <v>0</v>
      </c>
      <c r="V12" s="1">
        <f t="shared" si="10"/>
        <v>0</v>
      </c>
      <c r="W12" s="1">
        <f t="shared" si="10"/>
        <v>0</v>
      </c>
      <c r="X12" s="1">
        <f t="shared" si="10"/>
        <v>0</v>
      </c>
      <c r="Y12" s="1">
        <f t="shared" si="10"/>
        <v>0</v>
      </c>
      <c r="Z12" s="1">
        <f t="shared" si="10"/>
        <v>0</v>
      </c>
      <c r="AA12" s="1">
        <f t="shared" si="10"/>
        <v>0</v>
      </c>
      <c r="AB12" s="1">
        <f t="shared" si="10"/>
        <v>0</v>
      </c>
      <c r="AC12" s="1">
        <f t="shared" si="10"/>
        <v>0</v>
      </c>
      <c r="AD12" s="1">
        <f t="shared" si="10"/>
        <v>0</v>
      </c>
      <c r="AE12" s="1">
        <f t="shared" si="10"/>
        <v>0</v>
      </c>
      <c r="AF12" s="1">
        <f t="shared" si="10"/>
        <v>0</v>
      </c>
      <c r="AG12" s="1">
        <f t="shared" si="10"/>
        <v>5</v>
      </c>
      <c r="AH12" s="1">
        <f t="shared" si="10"/>
        <v>0</v>
      </c>
      <c r="AI12" s="1">
        <f t="shared" si="10"/>
        <v>0</v>
      </c>
      <c r="AJ12" s="1">
        <f t="shared" si="10"/>
        <v>0</v>
      </c>
      <c r="AK12" s="1">
        <f t="shared" ref="AK12:BO12" si="11">MAX(AK3:AK8)</f>
        <v>0</v>
      </c>
      <c r="AL12" s="1">
        <f t="shared" si="11"/>
        <v>0</v>
      </c>
      <c r="AM12" s="1">
        <f t="shared" si="11"/>
        <v>0</v>
      </c>
      <c r="AN12" s="1">
        <f t="shared" si="11"/>
        <v>0</v>
      </c>
      <c r="AO12" s="1">
        <f t="shared" si="11"/>
        <v>0</v>
      </c>
      <c r="AP12" s="1">
        <f t="shared" si="11"/>
        <v>0</v>
      </c>
      <c r="AQ12" s="1">
        <f t="shared" si="11"/>
        <v>0</v>
      </c>
      <c r="AR12" s="1">
        <f t="shared" si="11"/>
        <v>15</v>
      </c>
      <c r="AS12" s="1">
        <f t="shared" si="11"/>
        <v>0</v>
      </c>
      <c r="AT12" s="1">
        <f t="shared" si="11"/>
        <v>20</v>
      </c>
      <c r="AU12" s="1">
        <f t="shared" si="11"/>
        <v>0</v>
      </c>
      <c r="AV12" s="1">
        <f t="shared" si="11"/>
        <v>0</v>
      </c>
      <c r="AW12" s="1">
        <f t="shared" si="11"/>
        <v>20</v>
      </c>
      <c r="AX12" s="1">
        <f t="shared" si="11"/>
        <v>20</v>
      </c>
      <c r="AY12" s="1">
        <f t="shared" si="11"/>
        <v>0</v>
      </c>
      <c r="AZ12" s="1">
        <f t="shared" si="11"/>
        <v>0</v>
      </c>
      <c r="BA12" s="1">
        <f t="shared" si="11"/>
        <v>15</v>
      </c>
      <c r="BB12" s="1">
        <f t="shared" si="11"/>
        <v>15</v>
      </c>
      <c r="BC12" s="1">
        <f t="shared" si="11"/>
        <v>0</v>
      </c>
      <c r="BD12" s="1">
        <f t="shared" si="11"/>
        <v>0</v>
      </c>
      <c r="BE12" s="1">
        <f t="shared" si="11"/>
        <v>0</v>
      </c>
      <c r="BF12" s="1">
        <f t="shared" si="11"/>
        <v>0</v>
      </c>
      <c r="BG12" s="1">
        <f t="shared" si="11"/>
        <v>0</v>
      </c>
      <c r="BH12" s="1">
        <f t="shared" si="11"/>
        <v>20</v>
      </c>
      <c r="BI12" s="1">
        <f t="shared" si="11"/>
        <v>0</v>
      </c>
      <c r="BJ12" s="1">
        <f t="shared" si="11"/>
        <v>0</v>
      </c>
      <c r="BK12" s="1">
        <f t="shared" si="11"/>
        <v>0</v>
      </c>
      <c r="BL12" s="1">
        <f t="shared" si="11"/>
        <v>0</v>
      </c>
      <c r="BM12" s="1">
        <f t="shared" si="11"/>
        <v>0</v>
      </c>
      <c r="BN12" s="1">
        <f t="shared" si="11"/>
        <v>0</v>
      </c>
      <c r="BO12" s="1">
        <f t="shared" si="11"/>
        <v>0</v>
      </c>
      <c r="BP12" s="1"/>
      <c r="BQ12" s="1"/>
      <c r="BR12" s="17"/>
      <c r="BS12" s="17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</row>
    <row r="13" spans="1:97" x14ac:dyDescent="0.15">
      <c r="A13" s="1"/>
      <c r="B13" s="3" t="s">
        <v>178</v>
      </c>
      <c r="C13" s="1"/>
      <c r="D13" s="1"/>
      <c r="E13" s="1">
        <f t="shared" ref="E13:AJ13" si="12">MIN(E3:E8)</f>
        <v>10</v>
      </c>
      <c r="F13" s="1">
        <f t="shared" si="12"/>
        <v>5</v>
      </c>
      <c r="G13" s="1">
        <f t="shared" si="12"/>
        <v>15</v>
      </c>
      <c r="H13" s="1">
        <f t="shared" si="12"/>
        <v>15</v>
      </c>
      <c r="I13" s="1">
        <f t="shared" si="12"/>
        <v>0</v>
      </c>
      <c r="J13" s="1">
        <f t="shared" si="12"/>
        <v>0</v>
      </c>
      <c r="K13" s="1">
        <f t="shared" si="12"/>
        <v>0</v>
      </c>
      <c r="L13" s="1">
        <f t="shared" si="12"/>
        <v>0</v>
      </c>
      <c r="M13" s="1">
        <f t="shared" si="12"/>
        <v>0</v>
      </c>
      <c r="N13" s="1">
        <f t="shared" si="12"/>
        <v>0</v>
      </c>
      <c r="O13" s="1">
        <f t="shared" si="12"/>
        <v>0</v>
      </c>
      <c r="P13" s="1">
        <f t="shared" si="12"/>
        <v>0</v>
      </c>
      <c r="Q13" s="1">
        <f t="shared" si="12"/>
        <v>0</v>
      </c>
      <c r="R13" s="1">
        <f t="shared" si="12"/>
        <v>0</v>
      </c>
      <c r="S13" s="1">
        <f t="shared" si="12"/>
        <v>0</v>
      </c>
      <c r="T13" s="1">
        <f t="shared" si="12"/>
        <v>0</v>
      </c>
      <c r="U13" s="1">
        <f t="shared" si="12"/>
        <v>0</v>
      </c>
      <c r="V13" s="1">
        <f t="shared" si="12"/>
        <v>0</v>
      </c>
      <c r="W13" s="1">
        <f t="shared" si="12"/>
        <v>0</v>
      </c>
      <c r="X13" s="1">
        <f t="shared" si="12"/>
        <v>0</v>
      </c>
      <c r="Y13" s="1">
        <f t="shared" si="12"/>
        <v>0</v>
      </c>
      <c r="Z13" s="1">
        <f t="shared" si="12"/>
        <v>0</v>
      </c>
      <c r="AA13" s="1">
        <f t="shared" si="12"/>
        <v>0</v>
      </c>
      <c r="AB13" s="1">
        <f t="shared" si="12"/>
        <v>0</v>
      </c>
      <c r="AC13" s="1">
        <f t="shared" si="12"/>
        <v>0</v>
      </c>
      <c r="AD13" s="1">
        <f t="shared" si="12"/>
        <v>0</v>
      </c>
      <c r="AE13" s="1">
        <f t="shared" si="12"/>
        <v>0</v>
      </c>
      <c r="AF13" s="1">
        <f t="shared" si="12"/>
        <v>0</v>
      </c>
      <c r="AG13" s="1">
        <f t="shared" si="12"/>
        <v>5</v>
      </c>
      <c r="AH13" s="1">
        <f t="shared" si="12"/>
        <v>0</v>
      </c>
      <c r="AI13" s="1">
        <f t="shared" si="12"/>
        <v>0</v>
      </c>
      <c r="AJ13" s="1">
        <f t="shared" si="12"/>
        <v>0</v>
      </c>
      <c r="AK13" s="1">
        <f t="shared" ref="AK13:BO13" si="13">MIN(AK3:AK8)</f>
        <v>0</v>
      </c>
      <c r="AL13" s="1">
        <f t="shared" si="13"/>
        <v>0</v>
      </c>
      <c r="AM13" s="1">
        <f t="shared" si="13"/>
        <v>0</v>
      </c>
      <c r="AN13" s="1">
        <f t="shared" si="13"/>
        <v>0</v>
      </c>
      <c r="AO13" s="1">
        <f t="shared" si="13"/>
        <v>0</v>
      </c>
      <c r="AP13" s="1">
        <f t="shared" si="13"/>
        <v>0</v>
      </c>
      <c r="AQ13" s="1">
        <f t="shared" si="13"/>
        <v>0</v>
      </c>
      <c r="AR13" s="1">
        <f t="shared" si="13"/>
        <v>10</v>
      </c>
      <c r="AS13" s="1">
        <f t="shared" si="13"/>
        <v>0</v>
      </c>
      <c r="AT13" s="1">
        <f t="shared" si="13"/>
        <v>20</v>
      </c>
      <c r="AU13" s="1">
        <f t="shared" si="13"/>
        <v>0</v>
      </c>
      <c r="AV13" s="1">
        <f t="shared" si="13"/>
        <v>0</v>
      </c>
      <c r="AW13" s="1">
        <f t="shared" si="13"/>
        <v>15</v>
      </c>
      <c r="AX13" s="1">
        <f t="shared" si="13"/>
        <v>15</v>
      </c>
      <c r="AY13" s="1">
        <f t="shared" si="13"/>
        <v>0</v>
      </c>
      <c r="AZ13" s="1">
        <f t="shared" si="13"/>
        <v>0</v>
      </c>
      <c r="BA13" s="1">
        <f t="shared" si="13"/>
        <v>15</v>
      </c>
      <c r="BB13" s="1">
        <f t="shared" si="13"/>
        <v>10</v>
      </c>
      <c r="BC13" s="1">
        <f t="shared" si="13"/>
        <v>0</v>
      </c>
      <c r="BD13" s="1">
        <f t="shared" si="13"/>
        <v>0</v>
      </c>
      <c r="BE13" s="1">
        <f t="shared" si="13"/>
        <v>0</v>
      </c>
      <c r="BF13" s="1">
        <f t="shared" si="13"/>
        <v>0</v>
      </c>
      <c r="BG13" s="1">
        <f t="shared" si="13"/>
        <v>0</v>
      </c>
      <c r="BH13" s="1">
        <f t="shared" si="13"/>
        <v>20</v>
      </c>
      <c r="BI13" s="1">
        <f t="shared" si="13"/>
        <v>0</v>
      </c>
      <c r="BJ13" s="1">
        <f t="shared" si="13"/>
        <v>0</v>
      </c>
      <c r="BK13" s="1">
        <f t="shared" si="13"/>
        <v>0</v>
      </c>
      <c r="BL13" s="1">
        <f t="shared" si="13"/>
        <v>0</v>
      </c>
      <c r="BM13" s="1">
        <f t="shared" si="13"/>
        <v>0</v>
      </c>
      <c r="BN13" s="1">
        <f t="shared" si="13"/>
        <v>0</v>
      </c>
      <c r="BO13" s="1">
        <f t="shared" si="13"/>
        <v>0</v>
      </c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x14ac:dyDescent="0.15">
      <c r="A14" s="1"/>
      <c r="B14" s="3" t="s">
        <v>179</v>
      </c>
      <c r="C14" s="1"/>
      <c r="D14" s="1"/>
      <c r="E14" s="1">
        <f t="shared" ref="E14:AJ14" si="14">E10-E12</f>
        <v>30</v>
      </c>
      <c r="F14" s="1">
        <f t="shared" si="14"/>
        <v>10</v>
      </c>
      <c r="G14" s="1">
        <f t="shared" si="14"/>
        <v>19</v>
      </c>
      <c r="H14" s="1">
        <f t="shared" si="14"/>
        <v>-5</v>
      </c>
      <c r="I14" s="1">
        <f t="shared" si="14"/>
        <v>38</v>
      </c>
      <c r="J14" s="1">
        <f t="shared" si="14"/>
        <v>52</v>
      </c>
      <c r="K14" s="1">
        <f t="shared" si="14"/>
        <v>25</v>
      </c>
      <c r="L14" s="1">
        <f t="shared" si="14"/>
        <v>78</v>
      </c>
      <c r="M14" s="1">
        <f t="shared" si="14"/>
        <v>37</v>
      </c>
      <c r="N14" s="1">
        <f t="shared" si="14"/>
        <v>43</v>
      </c>
      <c r="O14" s="1">
        <f t="shared" si="14"/>
        <v>17</v>
      </c>
      <c r="P14" s="1">
        <f t="shared" si="14"/>
        <v>2</v>
      </c>
      <c r="Q14" s="1">
        <f t="shared" si="14"/>
        <v>1</v>
      </c>
      <c r="R14" s="1">
        <f t="shared" si="14"/>
        <v>2</v>
      </c>
      <c r="S14" s="1">
        <f t="shared" si="14"/>
        <v>1</v>
      </c>
      <c r="T14" s="1">
        <f t="shared" si="14"/>
        <v>5</v>
      </c>
      <c r="U14" s="1">
        <f t="shared" si="14"/>
        <v>0</v>
      </c>
      <c r="V14" s="1">
        <f t="shared" si="14"/>
        <v>2</v>
      </c>
      <c r="W14" s="1">
        <f t="shared" si="14"/>
        <v>2</v>
      </c>
      <c r="X14" s="1">
        <f t="shared" si="14"/>
        <v>6</v>
      </c>
      <c r="Y14" s="1">
        <f t="shared" si="14"/>
        <v>0</v>
      </c>
      <c r="Z14" s="1">
        <f t="shared" si="14"/>
        <v>1</v>
      </c>
      <c r="AA14" s="1">
        <f t="shared" si="14"/>
        <v>1</v>
      </c>
      <c r="AB14" s="1">
        <f t="shared" si="14"/>
        <v>8</v>
      </c>
      <c r="AC14" s="1">
        <f t="shared" si="14"/>
        <v>2</v>
      </c>
      <c r="AD14" s="1">
        <f t="shared" si="14"/>
        <v>4</v>
      </c>
      <c r="AE14" s="1">
        <f t="shared" si="14"/>
        <v>1</v>
      </c>
      <c r="AF14" s="1">
        <f t="shared" si="14"/>
        <v>0</v>
      </c>
      <c r="AG14" s="1">
        <f t="shared" si="14"/>
        <v>-5</v>
      </c>
      <c r="AH14" s="1">
        <f t="shared" si="14"/>
        <v>0</v>
      </c>
      <c r="AI14" s="1">
        <f t="shared" si="14"/>
        <v>0</v>
      </c>
      <c r="AJ14" s="1">
        <f t="shared" si="14"/>
        <v>0</v>
      </c>
      <c r="AK14" s="1">
        <f t="shared" ref="AK14:BO14" si="15">AK10-AK12</f>
        <v>33</v>
      </c>
      <c r="AL14" s="1">
        <f t="shared" si="15"/>
        <v>43</v>
      </c>
      <c r="AM14" s="1">
        <f t="shared" si="15"/>
        <v>3</v>
      </c>
      <c r="AN14" s="1">
        <f t="shared" si="15"/>
        <v>0</v>
      </c>
      <c r="AO14" s="1">
        <f t="shared" si="15"/>
        <v>0</v>
      </c>
      <c r="AP14" s="1">
        <f t="shared" si="15"/>
        <v>0</v>
      </c>
      <c r="AQ14" s="1">
        <f t="shared" si="15"/>
        <v>11</v>
      </c>
      <c r="AR14" s="1">
        <f t="shared" si="15"/>
        <v>-13</v>
      </c>
      <c r="AS14" s="1">
        <f t="shared" si="15"/>
        <v>2</v>
      </c>
      <c r="AT14" s="1">
        <f t="shared" si="15"/>
        <v>1</v>
      </c>
      <c r="AU14" s="1">
        <f t="shared" si="15"/>
        <v>17</v>
      </c>
      <c r="AV14" s="1">
        <f t="shared" si="15"/>
        <v>10</v>
      </c>
      <c r="AW14" s="1">
        <f t="shared" si="15"/>
        <v>-6</v>
      </c>
      <c r="AX14" s="1">
        <f t="shared" si="15"/>
        <v>15</v>
      </c>
      <c r="AY14" s="1">
        <f t="shared" si="15"/>
        <v>20</v>
      </c>
      <c r="AZ14" s="1">
        <f t="shared" si="15"/>
        <v>4</v>
      </c>
      <c r="BA14" s="1">
        <f t="shared" si="15"/>
        <v>-15</v>
      </c>
      <c r="BB14" s="1">
        <f t="shared" si="15"/>
        <v>54</v>
      </c>
      <c r="BC14" s="1">
        <f t="shared" si="15"/>
        <v>10</v>
      </c>
      <c r="BD14" s="1">
        <f t="shared" si="15"/>
        <v>162</v>
      </c>
      <c r="BE14" s="1">
        <f t="shared" si="15"/>
        <v>244</v>
      </c>
      <c r="BF14" s="1">
        <f t="shared" si="15"/>
        <v>233</v>
      </c>
      <c r="BG14" s="1">
        <f t="shared" si="15"/>
        <v>242</v>
      </c>
      <c r="BH14" s="1">
        <f t="shared" si="15"/>
        <v>121</v>
      </c>
      <c r="BI14" s="1">
        <f t="shared" si="15"/>
        <v>154</v>
      </c>
      <c r="BJ14" s="1">
        <f t="shared" si="15"/>
        <v>41</v>
      </c>
      <c r="BK14" s="1">
        <f t="shared" si="15"/>
        <v>49</v>
      </c>
      <c r="BL14" s="1">
        <f t="shared" si="15"/>
        <v>81</v>
      </c>
      <c r="BM14" s="1">
        <f t="shared" si="15"/>
        <v>0</v>
      </c>
      <c r="BN14" s="1">
        <f t="shared" si="15"/>
        <v>5</v>
      </c>
      <c r="BO14" s="1">
        <f t="shared" si="15"/>
        <v>5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  <row r="15" spans="1:97" s="13" customFormat="1" x14ac:dyDescent="0.15">
      <c r="A15" s="1"/>
      <c r="B15" s="3" t="s">
        <v>180</v>
      </c>
      <c r="C15" s="1"/>
      <c r="D15" s="1"/>
      <c r="E15" s="1">
        <f t="shared" ref="E15:AJ15" si="16">E10-E13</f>
        <v>35</v>
      </c>
      <c r="F15" s="1">
        <f t="shared" si="16"/>
        <v>15</v>
      </c>
      <c r="G15" s="1">
        <f t="shared" si="16"/>
        <v>19</v>
      </c>
      <c r="H15" s="1">
        <f t="shared" si="16"/>
        <v>-5</v>
      </c>
      <c r="I15" s="1">
        <f t="shared" si="16"/>
        <v>38</v>
      </c>
      <c r="J15" s="1">
        <f t="shared" si="16"/>
        <v>52</v>
      </c>
      <c r="K15" s="1">
        <f t="shared" si="16"/>
        <v>25</v>
      </c>
      <c r="L15" s="1">
        <f t="shared" si="16"/>
        <v>78</v>
      </c>
      <c r="M15" s="1">
        <f t="shared" si="16"/>
        <v>37</v>
      </c>
      <c r="N15" s="1">
        <f t="shared" si="16"/>
        <v>43</v>
      </c>
      <c r="O15" s="1">
        <f t="shared" si="16"/>
        <v>17</v>
      </c>
      <c r="P15" s="1">
        <f t="shared" si="16"/>
        <v>2</v>
      </c>
      <c r="Q15" s="1">
        <f t="shared" si="16"/>
        <v>1</v>
      </c>
      <c r="R15" s="1">
        <f t="shared" si="16"/>
        <v>2</v>
      </c>
      <c r="S15" s="1">
        <f t="shared" si="16"/>
        <v>1</v>
      </c>
      <c r="T15" s="1">
        <f t="shared" si="16"/>
        <v>5</v>
      </c>
      <c r="U15" s="1">
        <f t="shared" si="16"/>
        <v>0</v>
      </c>
      <c r="V15" s="1">
        <f t="shared" si="16"/>
        <v>2</v>
      </c>
      <c r="W15" s="1">
        <f t="shared" si="16"/>
        <v>2</v>
      </c>
      <c r="X15" s="1">
        <f t="shared" si="16"/>
        <v>6</v>
      </c>
      <c r="Y15" s="1">
        <f t="shared" si="16"/>
        <v>0</v>
      </c>
      <c r="Z15" s="1">
        <f t="shared" si="16"/>
        <v>1</v>
      </c>
      <c r="AA15" s="1">
        <f t="shared" si="16"/>
        <v>1</v>
      </c>
      <c r="AB15" s="1">
        <f t="shared" si="16"/>
        <v>8</v>
      </c>
      <c r="AC15" s="1">
        <f t="shared" si="16"/>
        <v>2</v>
      </c>
      <c r="AD15" s="1">
        <f t="shared" si="16"/>
        <v>4</v>
      </c>
      <c r="AE15" s="1">
        <f t="shared" si="16"/>
        <v>1</v>
      </c>
      <c r="AF15" s="1">
        <f t="shared" si="16"/>
        <v>0</v>
      </c>
      <c r="AG15" s="1">
        <f t="shared" si="16"/>
        <v>-5</v>
      </c>
      <c r="AH15" s="1">
        <f t="shared" si="16"/>
        <v>0</v>
      </c>
      <c r="AI15" s="1">
        <f t="shared" si="16"/>
        <v>0</v>
      </c>
      <c r="AJ15" s="1">
        <f t="shared" si="16"/>
        <v>0</v>
      </c>
      <c r="AK15" s="1">
        <f t="shared" ref="AK15:BO15" si="17">AK10-AK13</f>
        <v>33</v>
      </c>
      <c r="AL15" s="1">
        <f t="shared" si="17"/>
        <v>43</v>
      </c>
      <c r="AM15" s="1">
        <f t="shared" si="17"/>
        <v>3</v>
      </c>
      <c r="AN15" s="1">
        <f t="shared" si="17"/>
        <v>0</v>
      </c>
      <c r="AO15" s="1">
        <f t="shared" si="17"/>
        <v>0</v>
      </c>
      <c r="AP15" s="1">
        <f t="shared" si="17"/>
        <v>0</v>
      </c>
      <c r="AQ15" s="1">
        <f t="shared" si="17"/>
        <v>11</v>
      </c>
      <c r="AR15" s="1">
        <f t="shared" si="17"/>
        <v>-8</v>
      </c>
      <c r="AS15" s="1">
        <f t="shared" si="17"/>
        <v>2</v>
      </c>
      <c r="AT15" s="1">
        <f t="shared" si="17"/>
        <v>1</v>
      </c>
      <c r="AU15" s="1">
        <f t="shared" si="17"/>
        <v>17</v>
      </c>
      <c r="AV15" s="1">
        <f t="shared" si="17"/>
        <v>10</v>
      </c>
      <c r="AW15" s="1">
        <f t="shared" si="17"/>
        <v>-1</v>
      </c>
      <c r="AX15" s="1">
        <f t="shared" si="17"/>
        <v>20</v>
      </c>
      <c r="AY15" s="1">
        <f t="shared" si="17"/>
        <v>20</v>
      </c>
      <c r="AZ15" s="1">
        <f t="shared" si="17"/>
        <v>4</v>
      </c>
      <c r="BA15" s="1">
        <f t="shared" si="17"/>
        <v>-15</v>
      </c>
      <c r="BB15" s="1">
        <f t="shared" si="17"/>
        <v>59</v>
      </c>
      <c r="BC15" s="1">
        <f t="shared" si="17"/>
        <v>10</v>
      </c>
      <c r="BD15" s="1">
        <f t="shared" si="17"/>
        <v>162</v>
      </c>
      <c r="BE15" s="1">
        <f t="shared" si="17"/>
        <v>244</v>
      </c>
      <c r="BF15" s="1">
        <f t="shared" si="17"/>
        <v>233</v>
      </c>
      <c r="BG15" s="1">
        <f t="shared" si="17"/>
        <v>242</v>
      </c>
      <c r="BH15" s="1">
        <f t="shared" si="17"/>
        <v>121</v>
      </c>
      <c r="BI15" s="1">
        <f t="shared" si="17"/>
        <v>154</v>
      </c>
      <c r="BJ15" s="1">
        <f t="shared" si="17"/>
        <v>41</v>
      </c>
      <c r="BK15" s="1">
        <f t="shared" si="17"/>
        <v>49</v>
      </c>
      <c r="BL15" s="1">
        <f t="shared" si="17"/>
        <v>81</v>
      </c>
      <c r="BM15" s="1">
        <f t="shared" si="17"/>
        <v>0</v>
      </c>
      <c r="BN15" s="1">
        <f t="shared" si="17"/>
        <v>5</v>
      </c>
      <c r="BO15" s="1">
        <f t="shared" si="17"/>
        <v>5</v>
      </c>
      <c r="BP15" s="1"/>
      <c r="BQ15" s="1"/>
      <c r="BR15" s="17"/>
      <c r="BS15" s="17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</row>
  </sheetData>
  <autoFilter ref="A1:BP8"/>
  <phoneticPr fontId="1" type="noConversion"/>
  <conditionalFormatting sqref="E12">
    <cfRule type="expression" dxfId="2" priority="3">
      <formula>"&lt;=$E$135"</formula>
    </cfRule>
  </conditionalFormatting>
  <conditionalFormatting sqref="E14:BO15">
    <cfRule type="cellIs" dxfId="1" priority="1" operator="lessThan">
      <formula>0</formula>
    </cfRule>
  </conditionalFormatting>
  <conditionalFormatting sqref="E11:BO11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</xdr:row>
                    <xdr:rowOff>28575</xdr:rowOff>
                  </from>
                  <to>
                    <xdr:col>1</xdr:col>
                    <xdr:colOff>428625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79</v>
      </c>
      <c r="B1" s="5" t="s">
        <v>76</v>
      </c>
      <c r="C1" s="5" t="s">
        <v>80</v>
      </c>
    </row>
    <row r="2" spans="1:3" x14ac:dyDescent="0.15">
      <c r="A2" s="1">
        <v>10</v>
      </c>
      <c r="B2" s="2" t="s">
        <v>13</v>
      </c>
      <c r="C2" s="1">
        <v>190</v>
      </c>
    </row>
    <row r="3" spans="1:3" x14ac:dyDescent="0.15">
      <c r="A3" s="1">
        <v>12</v>
      </c>
      <c r="B3" s="2" t="s">
        <v>50</v>
      </c>
      <c r="C3" s="1">
        <v>120</v>
      </c>
    </row>
    <row r="4" spans="1:3" x14ac:dyDescent="0.15">
      <c r="A4" s="1">
        <v>4</v>
      </c>
      <c r="B4" s="4" t="s">
        <v>51</v>
      </c>
      <c r="C4" s="1">
        <v>85</v>
      </c>
    </row>
    <row r="5" spans="1:3" x14ac:dyDescent="0.15">
      <c r="A5" s="1">
        <v>3</v>
      </c>
      <c r="B5" s="4" t="s">
        <v>42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8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30</v>
      </c>
      <c r="C10" s="1">
        <v>45</v>
      </c>
    </row>
    <row r="11" spans="1:3" x14ac:dyDescent="0.15">
      <c r="A11" s="1">
        <v>5</v>
      </c>
      <c r="B11" s="4" t="s">
        <v>57</v>
      </c>
      <c r="C11" s="1">
        <v>45</v>
      </c>
    </row>
    <row r="12" spans="1:3" x14ac:dyDescent="0.15">
      <c r="A12" s="1">
        <v>11</v>
      </c>
      <c r="B12" s="2" t="s">
        <v>43</v>
      </c>
      <c r="C12" s="1">
        <v>10</v>
      </c>
    </row>
    <row r="13" spans="1:3" x14ac:dyDescent="0.15">
      <c r="A13" s="1">
        <v>6</v>
      </c>
      <c r="B13" s="4" t="s">
        <v>61</v>
      </c>
      <c r="C13" s="1">
        <v>8</v>
      </c>
    </row>
    <row r="19" spans="3:18" x14ac:dyDescent="0.15">
      <c r="G19" s="10" t="s">
        <v>42</v>
      </c>
      <c r="H19" s="10" t="s">
        <v>5</v>
      </c>
      <c r="I19" s="10" t="s">
        <v>30</v>
      </c>
      <c r="J19" s="10" t="s">
        <v>57</v>
      </c>
      <c r="K19" s="10" t="s">
        <v>61</v>
      </c>
      <c r="L19" s="10" t="s">
        <v>51</v>
      </c>
      <c r="M19" s="11" t="s">
        <v>6</v>
      </c>
      <c r="N19" s="11" t="s">
        <v>7</v>
      </c>
      <c r="O19" s="11" t="s">
        <v>43</v>
      </c>
      <c r="P19" s="11" t="s">
        <v>8</v>
      </c>
      <c r="Q19" s="11" t="s">
        <v>50</v>
      </c>
      <c r="R19" s="11" t="s">
        <v>13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181</v>
      </c>
      <c r="D27" t="s">
        <v>182</v>
      </c>
      <c r="E27" t="s">
        <v>183</v>
      </c>
      <c r="F27" t="s">
        <v>184</v>
      </c>
      <c r="G27" t="s">
        <v>185</v>
      </c>
      <c r="H27" t="s">
        <v>186</v>
      </c>
      <c r="I27" t="s">
        <v>187</v>
      </c>
      <c r="J27" t="s">
        <v>188</v>
      </c>
      <c r="K27" t="s">
        <v>189</v>
      </c>
      <c r="L27" t="s">
        <v>190</v>
      </c>
      <c r="M27" t="s">
        <v>191</v>
      </c>
      <c r="N27" t="s">
        <v>192</v>
      </c>
    </row>
    <row r="31" spans="3:18" x14ac:dyDescent="0.15">
      <c r="C31">
        <v>-3</v>
      </c>
      <c r="D31" t="s">
        <v>181</v>
      </c>
    </row>
    <row r="32" spans="3:18" x14ac:dyDescent="0.15">
      <c r="C32">
        <v>-8</v>
      </c>
      <c r="D32" t="s">
        <v>182</v>
      </c>
    </row>
    <row r="33" spans="3:4" x14ac:dyDescent="0.15">
      <c r="C33">
        <v>-3</v>
      </c>
      <c r="D33" t="s">
        <v>183</v>
      </c>
    </row>
    <row r="34" spans="3:4" x14ac:dyDescent="0.15">
      <c r="C34">
        <v>1</v>
      </c>
      <c r="D34" t="s">
        <v>184</v>
      </c>
    </row>
    <row r="35" spans="3:4" x14ac:dyDescent="0.15">
      <c r="C35">
        <v>3</v>
      </c>
      <c r="D35" t="s">
        <v>185</v>
      </c>
    </row>
    <row r="36" spans="3:4" x14ac:dyDescent="0.15">
      <c r="C36">
        <v>0</v>
      </c>
      <c r="D36" t="s">
        <v>186</v>
      </c>
    </row>
    <row r="37" spans="3:4" x14ac:dyDescent="0.15">
      <c r="C37">
        <v>-3</v>
      </c>
      <c r="D37" t="s">
        <v>187</v>
      </c>
    </row>
    <row r="38" spans="3:4" x14ac:dyDescent="0.15">
      <c r="C38">
        <v>30</v>
      </c>
      <c r="D38" t="s">
        <v>188</v>
      </c>
    </row>
    <row r="39" spans="3:4" x14ac:dyDescent="0.15">
      <c r="C39">
        <v>5</v>
      </c>
      <c r="D39" t="s">
        <v>189</v>
      </c>
    </row>
    <row r="40" spans="3:4" x14ac:dyDescent="0.15">
      <c r="C40">
        <v>-10</v>
      </c>
      <c r="D40" t="s">
        <v>190</v>
      </c>
    </row>
    <row r="41" spans="3:4" x14ac:dyDescent="0.15">
      <c r="C41">
        <v>3</v>
      </c>
      <c r="D41" t="s">
        <v>191</v>
      </c>
    </row>
    <row r="42" spans="3:4" x14ac:dyDescent="0.15">
      <c r="C42">
        <v>138</v>
      </c>
      <c r="D42" t="s">
        <v>192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86</v>
      </c>
      <c r="B1" s="8" t="s">
        <v>87</v>
      </c>
      <c r="C1" s="8" t="s">
        <v>88</v>
      </c>
    </row>
    <row r="2" spans="1:3" x14ac:dyDescent="0.15">
      <c r="A2" s="1">
        <v>5</v>
      </c>
      <c r="B2" s="10" t="s">
        <v>61</v>
      </c>
      <c r="C2" s="1">
        <v>0</v>
      </c>
    </row>
    <row r="3" spans="1:3" x14ac:dyDescent="0.15">
      <c r="A3" s="1">
        <v>9</v>
      </c>
      <c r="B3" s="11" t="s">
        <v>43</v>
      </c>
      <c r="C3" s="1">
        <v>0</v>
      </c>
    </row>
    <row r="4" spans="1:3" x14ac:dyDescent="0.15">
      <c r="A4" s="1">
        <v>10</v>
      </c>
      <c r="B4" s="11" t="s">
        <v>8</v>
      </c>
      <c r="C4" s="1">
        <v>0</v>
      </c>
    </row>
    <row r="5" spans="1:3" x14ac:dyDescent="0.15">
      <c r="A5" s="1">
        <v>4</v>
      </c>
      <c r="B5" s="10" t="s">
        <v>57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13</v>
      </c>
      <c r="C7" s="1">
        <v>3</v>
      </c>
    </row>
    <row r="8" spans="1:3" x14ac:dyDescent="0.15">
      <c r="A8" s="1">
        <v>1</v>
      </c>
      <c r="B8" s="10" t="s">
        <v>42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30</v>
      </c>
      <c r="C11" s="1">
        <v>5</v>
      </c>
    </row>
    <row r="12" spans="1:3" x14ac:dyDescent="0.15">
      <c r="A12" s="1">
        <v>11</v>
      </c>
      <c r="B12" s="11" t="s">
        <v>50</v>
      </c>
      <c r="C12" s="1">
        <v>5</v>
      </c>
    </row>
    <row r="13" spans="1:3" x14ac:dyDescent="0.15">
      <c r="A13" s="1">
        <v>6</v>
      </c>
      <c r="B13" s="10" t="s">
        <v>51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42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30</v>
      </c>
      <c r="C4">
        <v>0</v>
      </c>
    </row>
    <row r="5" spans="2:3" x14ac:dyDescent="0.15">
      <c r="B5" s="10" t="s">
        <v>61</v>
      </c>
      <c r="C5">
        <v>0</v>
      </c>
    </row>
    <row r="6" spans="2:3" x14ac:dyDescent="0.15">
      <c r="B6" s="11" t="s">
        <v>43</v>
      </c>
      <c r="C6">
        <v>0</v>
      </c>
    </row>
    <row r="7" spans="2:3" x14ac:dyDescent="0.15">
      <c r="B7" s="11" t="s">
        <v>8</v>
      </c>
      <c r="C7">
        <v>0</v>
      </c>
    </row>
    <row r="8" spans="2:3" x14ac:dyDescent="0.15">
      <c r="B8" s="11" t="s">
        <v>50</v>
      </c>
      <c r="C8">
        <v>0</v>
      </c>
    </row>
    <row r="9" spans="2:3" x14ac:dyDescent="0.15">
      <c r="B9" s="10" t="s">
        <v>57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13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51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2020-04-02T10:03:56Z</dcterms:modified>
</cp:coreProperties>
</file>