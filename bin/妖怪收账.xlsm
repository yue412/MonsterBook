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Sheet1!$A$1:$BV$118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51" i="1"/>
  <c r="BQ52" i="1"/>
  <c r="BQ98" i="1"/>
  <c r="BQ53" i="1"/>
  <c r="BQ54" i="1"/>
  <c r="BQ55" i="1"/>
  <c r="BQ56" i="1"/>
  <c r="BQ57" i="1"/>
  <c r="BQ81" i="1"/>
  <c r="BQ58" i="1"/>
  <c r="BQ59" i="1"/>
  <c r="BQ60" i="1"/>
  <c r="BQ61" i="1"/>
  <c r="BQ62" i="1"/>
  <c r="BQ82" i="1"/>
  <c r="BU51" i="1"/>
  <c r="BV51" i="1"/>
  <c r="BU52" i="1"/>
  <c r="BV52" i="1"/>
  <c r="BU98" i="1"/>
  <c r="BV98" i="1"/>
  <c r="BU53" i="1"/>
  <c r="BV53" i="1"/>
  <c r="BU54" i="1"/>
  <c r="BV54" i="1"/>
  <c r="BU55" i="1"/>
  <c r="BV55" i="1"/>
  <c r="BU56" i="1"/>
  <c r="BV56" i="1"/>
  <c r="BU57" i="1"/>
  <c r="BV57" i="1"/>
  <c r="BU81" i="1"/>
  <c r="BV81" i="1"/>
  <c r="BU58" i="1"/>
  <c r="BV58" i="1"/>
  <c r="BU59" i="1"/>
  <c r="BV59" i="1"/>
  <c r="BU60" i="1"/>
  <c r="BV60" i="1"/>
  <c r="BU61" i="1"/>
  <c r="BV61" i="1"/>
  <c r="BU62" i="1"/>
  <c r="BV62" i="1"/>
  <c r="BU82" i="1"/>
  <c r="BV82" i="1"/>
  <c r="BU95" i="1" l="1"/>
  <c r="BV95" i="1"/>
  <c r="BQ95" i="1"/>
  <c r="BU49" i="1" l="1"/>
  <c r="BV49" i="1"/>
  <c r="BU8" i="1"/>
  <c r="BV8" i="1"/>
  <c r="BU69" i="1"/>
  <c r="BV69" i="1"/>
  <c r="BU46" i="1"/>
  <c r="BV46" i="1"/>
  <c r="BU70" i="1"/>
  <c r="BV70" i="1"/>
  <c r="BQ49" i="1"/>
  <c r="BQ8" i="1"/>
  <c r="BQ69" i="1"/>
  <c r="BQ46" i="1"/>
  <c r="BQ70" i="1"/>
  <c r="BU9" i="1" l="1"/>
  <c r="BV9" i="1"/>
  <c r="BU10" i="1"/>
  <c r="BV10" i="1"/>
  <c r="BU26" i="1"/>
  <c r="BV26" i="1"/>
  <c r="BU30" i="1"/>
  <c r="BV30" i="1"/>
  <c r="BU31" i="1"/>
  <c r="BV31" i="1"/>
  <c r="BU35" i="1"/>
  <c r="BV35" i="1"/>
  <c r="BU36" i="1"/>
  <c r="BV36" i="1"/>
  <c r="BU20" i="1"/>
  <c r="BV20" i="1"/>
  <c r="BU11" i="1"/>
  <c r="BV11" i="1"/>
  <c r="BU32" i="1"/>
  <c r="BV32" i="1"/>
  <c r="BU14" i="1"/>
  <c r="BV14" i="1"/>
  <c r="BU27" i="1"/>
  <c r="BV27" i="1"/>
  <c r="BU37" i="1"/>
  <c r="BV37" i="1"/>
  <c r="BU28" i="1"/>
  <c r="BV28" i="1"/>
  <c r="BU33" i="1"/>
  <c r="BV33" i="1"/>
  <c r="BU2" i="1"/>
  <c r="BV2" i="1"/>
  <c r="BU3" i="1"/>
  <c r="BV3" i="1"/>
  <c r="BU4" i="1"/>
  <c r="BV4" i="1"/>
  <c r="BU47" i="1"/>
  <c r="BV47" i="1"/>
  <c r="BU5" i="1"/>
  <c r="BV5" i="1"/>
  <c r="BU6" i="1"/>
  <c r="BV6" i="1"/>
  <c r="BU48" i="1"/>
  <c r="BV48" i="1"/>
  <c r="BU21" i="1"/>
  <c r="BV21" i="1"/>
  <c r="BU22" i="1"/>
  <c r="BV22" i="1"/>
  <c r="BU23" i="1"/>
  <c r="BV23" i="1"/>
  <c r="BU24" i="1"/>
  <c r="BV24" i="1"/>
  <c r="BU50" i="1"/>
  <c r="BV50" i="1"/>
  <c r="BU34" i="1"/>
  <c r="BV34" i="1"/>
  <c r="BU63" i="1"/>
  <c r="BV63" i="1"/>
  <c r="BU66" i="1"/>
  <c r="BV66" i="1"/>
  <c r="BU67" i="1"/>
  <c r="BV67" i="1"/>
  <c r="BU68" i="1"/>
  <c r="BV68" i="1"/>
  <c r="BU45" i="1"/>
  <c r="BV45" i="1"/>
  <c r="BU25" i="1"/>
  <c r="BV25" i="1"/>
  <c r="BU7" i="1"/>
  <c r="BV7" i="1"/>
  <c r="BU29" i="1"/>
  <c r="BV29" i="1"/>
  <c r="BU44" i="1"/>
  <c r="BV44" i="1"/>
  <c r="BU38" i="1"/>
  <c r="BV38" i="1"/>
  <c r="BU39" i="1"/>
  <c r="BV39" i="1"/>
  <c r="BU40" i="1"/>
  <c r="BV40" i="1"/>
  <c r="BU41" i="1"/>
  <c r="BV41" i="1"/>
  <c r="BU42" i="1"/>
  <c r="BV42" i="1"/>
  <c r="BU43" i="1"/>
  <c r="BV43" i="1"/>
  <c r="BU71" i="1"/>
  <c r="BV71" i="1"/>
  <c r="BU72" i="1"/>
  <c r="BV72" i="1"/>
  <c r="BU73" i="1"/>
  <c r="BV73" i="1"/>
  <c r="BU74" i="1"/>
  <c r="BV74" i="1"/>
  <c r="BU75" i="1"/>
  <c r="BV75" i="1"/>
  <c r="BU96" i="1"/>
  <c r="BV96" i="1"/>
  <c r="BU107" i="1"/>
  <c r="BV107" i="1"/>
  <c r="BU108" i="1"/>
  <c r="BV108" i="1"/>
  <c r="BU109" i="1"/>
  <c r="BV109" i="1"/>
  <c r="BU110" i="1"/>
  <c r="BV110" i="1"/>
  <c r="BU97" i="1"/>
  <c r="BV97" i="1"/>
  <c r="BU64" i="1"/>
  <c r="BV64" i="1"/>
  <c r="BU84" i="1"/>
  <c r="BV84" i="1"/>
  <c r="BU91" i="1"/>
  <c r="BV91" i="1"/>
  <c r="BU12" i="1"/>
  <c r="BV12" i="1"/>
  <c r="BU13" i="1"/>
  <c r="BV13" i="1"/>
  <c r="BU15" i="1"/>
  <c r="BV15" i="1"/>
  <c r="BU16" i="1"/>
  <c r="BV16" i="1"/>
  <c r="BU17" i="1"/>
  <c r="BV17" i="1"/>
  <c r="BU18" i="1"/>
  <c r="BV18" i="1"/>
  <c r="BU19" i="1"/>
  <c r="BV19" i="1"/>
  <c r="BU65" i="1"/>
  <c r="BV65" i="1"/>
  <c r="BU92" i="1"/>
  <c r="BV92" i="1"/>
  <c r="BU93" i="1"/>
  <c r="BV93" i="1"/>
  <c r="BU76" i="1"/>
  <c r="BV76" i="1"/>
  <c r="BU77" i="1"/>
  <c r="BV77" i="1"/>
  <c r="BU78" i="1"/>
  <c r="BV78" i="1"/>
  <c r="BU79" i="1"/>
  <c r="BV79" i="1"/>
  <c r="BU80" i="1"/>
  <c r="BV80" i="1"/>
  <c r="BU103" i="1"/>
  <c r="BV103" i="1"/>
  <c r="BU104" i="1"/>
  <c r="BV104" i="1"/>
  <c r="BU101" i="1"/>
  <c r="BV101" i="1"/>
  <c r="BQ101" i="1"/>
  <c r="BQ44" i="1"/>
  <c r="BQ80" i="1"/>
  <c r="BQ29" i="1" l="1"/>
  <c r="BQ65" i="1"/>
  <c r="BD115" i="1" l="1"/>
  <c r="BD117" i="1" s="1"/>
  <c r="BD114" i="1"/>
  <c r="BD116" i="1" s="1"/>
  <c r="BD111" i="1"/>
  <c r="BD113" i="1" s="1"/>
  <c r="BE111" i="1" l="1"/>
  <c r="BE113" i="1" s="1"/>
  <c r="BF111" i="1"/>
  <c r="BF113" i="1" s="1"/>
  <c r="BG111" i="1"/>
  <c r="BG113" i="1" s="1"/>
  <c r="BH111" i="1"/>
  <c r="BH113" i="1" s="1"/>
  <c r="BI111" i="1"/>
  <c r="BI113" i="1" s="1"/>
  <c r="BJ111" i="1"/>
  <c r="BJ113" i="1" s="1"/>
  <c r="BE114" i="1"/>
  <c r="BE116" i="1" s="1"/>
  <c r="BF114" i="1"/>
  <c r="BF116" i="1" s="1"/>
  <c r="BG114" i="1"/>
  <c r="BG116" i="1" s="1"/>
  <c r="BH114" i="1"/>
  <c r="BH116" i="1" s="1"/>
  <c r="BI114" i="1"/>
  <c r="BI116" i="1" s="1"/>
  <c r="BJ114" i="1"/>
  <c r="BJ116" i="1" s="1"/>
  <c r="BE115" i="1"/>
  <c r="BE117" i="1" s="1"/>
  <c r="BF115" i="1"/>
  <c r="BF117" i="1" s="1"/>
  <c r="BG115" i="1"/>
  <c r="BG117" i="1" s="1"/>
  <c r="BH115" i="1"/>
  <c r="BH117" i="1" s="1"/>
  <c r="BI115" i="1"/>
  <c r="BI117" i="1" s="1"/>
  <c r="BJ115" i="1"/>
  <c r="BJ117" i="1" s="1"/>
  <c r="BU83" i="1" l="1"/>
  <c r="BV83" i="1"/>
  <c r="BU85" i="1"/>
  <c r="BV85" i="1"/>
  <c r="BU86" i="1"/>
  <c r="BV86" i="1"/>
  <c r="BU87" i="1"/>
  <c r="BV87" i="1"/>
  <c r="BU106" i="1"/>
  <c r="BV106" i="1"/>
  <c r="BU94" i="1"/>
  <c r="BV94" i="1"/>
  <c r="BU99" i="1"/>
  <c r="BV99" i="1"/>
  <c r="BU100" i="1"/>
  <c r="BV100" i="1"/>
  <c r="BU102" i="1"/>
  <c r="BV102" i="1"/>
  <c r="BU105" i="1"/>
  <c r="BV105" i="1"/>
  <c r="BU88" i="1"/>
  <c r="BV88" i="1"/>
  <c r="BU89" i="1"/>
  <c r="BV89" i="1"/>
  <c r="BU90" i="1"/>
  <c r="BV90" i="1"/>
  <c r="BQ13" i="1"/>
  <c r="BQ48" i="1"/>
  <c r="BQ25" i="1"/>
  <c r="BQ43" i="1"/>
  <c r="BQ11" i="1" l="1"/>
  <c r="BQ32" i="1"/>
  <c r="BQ14" i="1"/>
  <c r="BQ27" i="1"/>
  <c r="BQ110" i="1"/>
  <c r="BQ42" i="1"/>
  <c r="BQ37" i="1"/>
  <c r="BQ45" i="1"/>
  <c r="BQ78" i="1"/>
  <c r="BQ5" i="1"/>
  <c r="BQ28" i="1"/>
  <c r="BQ96" i="1"/>
  <c r="BQ6" i="1"/>
  <c r="BQ24" i="1"/>
  <c r="BQ102" i="1"/>
  <c r="BQ19" i="1"/>
  <c r="BQ63" i="1"/>
  <c r="BQ12" i="1"/>
  <c r="BQ33" i="1"/>
  <c r="BQ79" i="1"/>
  <c r="BQ100" i="1" l="1"/>
  <c r="BQ47" i="1"/>
  <c r="BQ97" i="1"/>
  <c r="BQ18" i="1"/>
  <c r="BQ39" i="1"/>
  <c r="BQ40" i="1"/>
  <c r="BQ41" i="1"/>
  <c r="BQ38" i="1"/>
  <c r="BQ77" i="1"/>
  <c r="BQ66" i="1"/>
  <c r="BQ67" i="1"/>
  <c r="BQ68" i="1"/>
  <c r="BQ107" i="1"/>
  <c r="BQ108" i="1"/>
  <c r="BQ109" i="1"/>
  <c r="BQ36" i="1"/>
  <c r="BQ23" i="1"/>
  <c r="BQ31" i="1"/>
  <c r="BQ50" i="1"/>
  <c r="BQ4" i="1"/>
  <c r="BQ7" i="1"/>
  <c r="F115" i="1" l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K115" i="1"/>
  <c r="BL115" i="1"/>
  <c r="BM115" i="1"/>
  <c r="BN115" i="1"/>
  <c r="BO115" i="1"/>
  <c r="BP115" i="1"/>
  <c r="E115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K114" i="1"/>
  <c r="BL114" i="1"/>
  <c r="BM114" i="1"/>
  <c r="BN114" i="1"/>
  <c r="BO114" i="1"/>
  <c r="BP114" i="1"/>
  <c r="E114" i="1"/>
  <c r="BK111" i="1"/>
  <c r="BL111" i="1"/>
  <c r="BM111" i="1"/>
  <c r="BN111" i="1"/>
  <c r="BO111" i="1"/>
  <c r="BP111" i="1"/>
  <c r="BC111" i="1"/>
  <c r="AX111" i="1"/>
  <c r="AY111" i="1"/>
  <c r="AZ111" i="1"/>
  <c r="BA111" i="1"/>
  <c r="BB111" i="1"/>
  <c r="AW111" i="1"/>
  <c r="AR111" i="1"/>
  <c r="AS111" i="1"/>
  <c r="AT111" i="1"/>
  <c r="AU111" i="1"/>
  <c r="AV111" i="1"/>
  <c r="AQ111" i="1"/>
  <c r="AF111" i="1"/>
  <c r="AG111" i="1"/>
  <c r="AH111" i="1"/>
  <c r="AI111" i="1"/>
  <c r="AJ111" i="1"/>
  <c r="AK111" i="1"/>
  <c r="AL111" i="1"/>
  <c r="AM111" i="1"/>
  <c r="AN111" i="1"/>
  <c r="AO111" i="1"/>
  <c r="AP111" i="1"/>
  <c r="AE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P111" i="1"/>
  <c r="F111" i="1"/>
  <c r="G111" i="1"/>
  <c r="H111" i="1"/>
  <c r="I111" i="1"/>
  <c r="J111" i="1"/>
  <c r="K111" i="1"/>
  <c r="L111" i="1"/>
  <c r="M111" i="1"/>
  <c r="N111" i="1"/>
  <c r="O111" i="1"/>
  <c r="E111" i="1"/>
  <c r="BC116" i="1" l="1"/>
  <c r="BK116" i="1"/>
  <c r="BL116" i="1"/>
  <c r="BM116" i="1"/>
  <c r="BN116" i="1"/>
  <c r="BO116" i="1"/>
  <c r="BP116" i="1"/>
  <c r="BC117" i="1"/>
  <c r="BK117" i="1"/>
  <c r="BL117" i="1"/>
  <c r="BM117" i="1"/>
  <c r="BN117" i="1"/>
  <c r="BO117" i="1"/>
  <c r="BP117" i="1"/>
  <c r="BA116" i="1"/>
  <c r="BB116" i="1"/>
  <c r="BA117" i="1"/>
  <c r="BB117" i="1"/>
  <c r="AQ116" i="1"/>
  <c r="AR116" i="1"/>
  <c r="AS116" i="1"/>
  <c r="AT116" i="1"/>
  <c r="AU116" i="1"/>
  <c r="AV116" i="1"/>
  <c r="AW116" i="1"/>
  <c r="AX116" i="1"/>
  <c r="AY116" i="1"/>
  <c r="AZ116" i="1"/>
  <c r="AQ117" i="1"/>
  <c r="AR117" i="1"/>
  <c r="AS117" i="1"/>
  <c r="AT117" i="1"/>
  <c r="AU117" i="1"/>
  <c r="AV117" i="1"/>
  <c r="AW117" i="1"/>
  <c r="AX117" i="1"/>
  <c r="AY117" i="1"/>
  <c r="AZ117" i="1"/>
  <c r="AI116" i="1"/>
  <c r="AJ116" i="1"/>
  <c r="AK116" i="1"/>
  <c r="AL116" i="1"/>
  <c r="AM116" i="1"/>
  <c r="AN116" i="1"/>
  <c r="AO116" i="1"/>
  <c r="AP116" i="1"/>
  <c r="AI117" i="1"/>
  <c r="AJ117" i="1"/>
  <c r="AK117" i="1"/>
  <c r="AL117" i="1"/>
  <c r="AM117" i="1"/>
  <c r="AN117" i="1"/>
  <c r="AO117" i="1"/>
  <c r="AP117" i="1"/>
  <c r="AC116" i="1"/>
  <c r="AD116" i="1"/>
  <c r="AE116" i="1"/>
  <c r="AF116" i="1"/>
  <c r="AG116" i="1"/>
  <c r="AH116" i="1"/>
  <c r="AC117" i="1"/>
  <c r="AD117" i="1"/>
  <c r="AE117" i="1"/>
  <c r="AF117" i="1"/>
  <c r="AG117" i="1"/>
  <c r="AH117" i="1"/>
  <c r="W116" i="1"/>
  <c r="X116" i="1"/>
  <c r="Y116" i="1"/>
  <c r="Z116" i="1"/>
  <c r="AA116" i="1"/>
  <c r="AB116" i="1"/>
  <c r="W117" i="1"/>
  <c r="X117" i="1"/>
  <c r="Y117" i="1"/>
  <c r="Z117" i="1"/>
  <c r="AA117" i="1"/>
  <c r="AB117" i="1"/>
  <c r="P116" i="1"/>
  <c r="Q116" i="1"/>
  <c r="R116" i="1"/>
  <c r="S116" i="1"/>
  <c r="T116" i="1"/>
  <c r="U116" i="1"/>
  <c r="V116" i="1"/>
  <c r="P117" i="1"/>
  <c r="Q117" i="1"/>
  <c r="R117" i="1"/>
  <c r="S117" i="1"/>
  <c r="T117" i="1"/>
  <c r="U117" i="1"/>
  <c r="V117" i="1"/>
  <c r="G116" i="1"/>
  <c r="H116" i="1"/>
  <c r="I116" i="1"/>
  <c r="J116" i="1"/>
  <c r="K116" i="1"/>
  <c r="L116" i="1"/>
  <c r="M116" i="1"/>
  <c r="N116" i="1"/>
  <c r="O116" i="1"/>
  <c r="G117" i="1"/>
  <c r="H117" i="1"/>
  <c r="I117" i="1"/>
  <c r="J117" i="1"/>
  <c r="K117" i="1"/>
  <c r="L117" i="1"/>
  <c r="M117" i="1"/>
  <c r="N117" i="1"/>
  <c r="O117" i="1"/>
  <c r="F116" i="1"/>
  <c r="F117" i="1"/>
  <c r="E117" i="1"/>
  <c r="E116" i="1"/>
  <c r="BQ72" i="1" l="1"/>
  <c r="BQ73" i="1"/>
  <c r="BQ74" i="1"/>
  <c r="BQ75" i="1"/>
  <c r="BQ64" i="1"/>
  <c r="BQ84" i="1"/>
  <c r="BQ91" i="1"/>
  <c r="BQ21" i="1"/>
  <c r="BQ22" i="1"/>
  <c r="BQ34" i="1"/>
  <c r="BQ92" i="1"/>
  <c r="BQ93" i="1"/>
  <c r="BQ71" i="1"/>
  <c r="BQ26" i="1"/>
  <c r="BQ106" i="1"/>
  <c r="BQ94" i="1"/>
  <c r="BQ15" i="1"/>
  <c r="BQ16" i="1"/>
  <c r="BQ17" i="1"/>
  <c r="BQ105" i="1"/>
  <c r="BQ103" i="1"/>
  <c r="BQ20" i="1"/>
  <c r="BQ2" i="1"/>
  <c r="BQ3" i="1"/>
  <c r="BQ30" i="1"/>
  <c r="BQ35" i="1"/>
  <c r="BQ99" i="1"/>
  <c r="BQ76" i="1"/>
  <c r="BQ83" i="1"/>
  <c r="BQ9" i="1"/>
  <c r="BQ10" i="1"/>
  <c r="BQ104" i="1"/>
  <c r="BQ85" i="1"/>
  <c r="BQ86" i="1"/>
  <c r="BQ87" i="1"/>
  <c r="BQ88" i="1"/>
  <c r="BQ89" i="1"/>
  <c r="BQ90" i="1"/>
  <c r="BN113" i="1" l="1"/>
  <c r="AM113" i="1"/>
  <c r="L113" i="1"/>
  <c r="BL113" i="1"/>
  <c r="AJ113" i="1"/>
  <c r="AH113" i="1"/>
  <c r="AL113" i="1"/>
  <c r="BM113" i="1"/>
  <c r="J113" i="1"/>
  <c r="H113" i="1"/>
  <c r="G113" i="1"/>
  <c r="AE113" i="1"/>
  <c r="F113" i="1"/>
  <c r="BK113" i="1"/>
  <c r="AI113" i="1"/>
  <c r="I113" i="1"/>
  <c r="AG113" i="1"/>
  <c r="AF113" i="1"/>
  <c r="O113" i="1"/>
  <c r="BP113" i="1"/>
  <c r="N113" i="1"/>
  <c r="K113" i="1"/>
  <c r="AK113" i="1"/>
  <c r="E113" i="1"/>
  <c r="BO113" i="1"/>
  <c r="AN113" i="1"/>
  <c r="M113" i="1"/>
  <c r="AP113" i="1"/>
  <c r="BC113" i="1"/>
  <c r="AO113" i="1"/>
  <c r="V113" i="1"/>
  <c r="Y113" i="1"/>
  <c r="W113" i="1"/>
  <c r="S113" i="1"/>
  <c r="X113" i="1"/>
  <c r="R113" i="1"/>
  <c r="Z113" i="1"/>
  <c r="U113" i="1"/>
  <c r="T113" i="1"/>
  <c r="AC113" i="1"/>
  <c r="Q113" i="1"/>
  <c r="AB113" i="1"/>
  <c r="P113" i="1"/>
  <c r="AA113" i="1"/>
  <c r="AD113" i="1"/>
  <c r="AR113" i="1" l="1"/>
  <c r="AU113" i="1"/>
  <c r="BB113" i="1"/>
  <c r="AS113" i="1"/>
  <c r="AW113" i="1"/>
  <c r="AT113" i="1"/>
  <c r="AY113" i="1"/>
  <c r="AZ113" i="1"/>
  <c r="AV113" i="1"/>
  <c r="AQ113" i="1"/>
  <c r="AX113" i="1"/>
  <c r="BA113" i="1"/>
</calcChain>
</file>

<file path=xl/sharedStrings.xml><?xml version="1.0" encoding="utf-8"?>
<sst xmlns="http://schemas.openxmlformats.org/spreadsheetml/2006/main" count="658" uniqueCount="254">
  <si>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</si>
  <si>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</si>
  <si>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</si>
  <si>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</si>
  <si>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</si>
  <si>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</si>
  <si>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</si>
  <si>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</si>
  <si>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</si>
  <si>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</si>
  <si>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</si>
  <si>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</si>
  <si>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</si>
  <si>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</si>
  <si>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</si>
  <si>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</si>
  <si>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</si>
  <si>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</si>
  <si>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</si>
  <si>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</si>
  <si>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</si>
  <si>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</si>
  <si>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</si>
  <si>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</si>
  <si>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</si>
  <si>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</si>
  <si>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</si>
  <si>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</si>
  <si>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</si>
  <si>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</si>
  <si>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</si>
  <si>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</si>
  <si>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</si>
  <si>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</si>
  <si>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</si>
  <si>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</si>
  <si>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</si>
  <si>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</si>
  <si>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</si>
  <si>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</si>
  <si>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</si>
  <si>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</si>
  <si>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</si>
  <si>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</si>
  <si>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</si>
  <si>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</si>
  <si>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</si>
  <si>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</si>
  <si>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</si>
  <si>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</si>
  <si>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</si>
  <si>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</si>
  <si>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</si>
  <si>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</si>
  <si>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</si>
  <si>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</si>
  <si>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</si>
  <si>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</si>
  <si>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</si>
  <si>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</si>
  <si>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</si>
  <si>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</si>
  <si>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</si>
  <si>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</si>
  <si>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</si>
  <si>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</si>
  <si>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</si>
  <si>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</si>
  <si>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</si>
  <si>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</si>
  <si>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</si>
  <si>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</si>
  <si>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</si>
  <si>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</si>
  <si>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</si>
  <si>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</si>
  <si>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</si>
  <si>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</si>
  <si>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</si>
  <si>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</si>
  <si>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</si>
  <si>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</si>
  <si>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</si>
  <si>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</si>
  <si>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</si>
  <si>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</si>
  <si>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</si>
  <si>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</si>
  <si>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</si>
  <si>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</si>
  <si>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</si>
  <si>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</si>
  <si>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</si>
  <si>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</si>
  <si>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</si>
  <si>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</si>
  <si>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</si>
  <si>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</si>
  <si>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</si>
  <si>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</si>
  <si>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</si>
  <si>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</si>
  <si>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</si>
  <si>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</si>
  <si>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</si>
  <si>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</si>
  <si>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</si>
  <si>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</si>
  <si>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</si>
  <si>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</si>
  <si>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</si>
  <si>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</si>
  <si>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</si>
  <si>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</si>
  <si>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</si>
  <si>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</si>
  <si>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</si>
  <si>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</si>
  <si>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</si>
  <si>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</si>
  <si>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</si>
  <si>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</si>
  <si>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</si>
  <si>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</si>
  <si>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</si>
  <si>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</si>
  <si>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</si>
  <si>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</si>
  <si>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</si>
  <si>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</si>
  <si>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</si>
  <si>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</si>
  <si>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</si>
  <si>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</si>
  <si>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</si>
  <si>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</si>
  <si>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</si>
  <si>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</si>
  <si>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</si>
  <si>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</si>
  <si>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</si>
  <si>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</si>
  <si>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</si>
  <si>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</si>
  <si>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</si>
  <si>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</si>
  <si>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</si>
  <si>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</si>
  <si>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</si>
  <si>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</si>
  <si>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</si>
  <si>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</si>
  <si>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</si>
  <si>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</si>
  <si>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</si>
  <si>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</si>
  <si>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</si>
  <si>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</si>
  <si>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</si>
  <si>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</si>
  <si>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</si>
  <si>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</si>
  <si>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</si>
  <si>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</si>
  <si>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</si>
  <si>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</si>
  <si>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</si>
  <si>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</si>
  <si>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</si>
  <si>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</si>
  <si>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</si>
  <si>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</si>
  <si>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</si>
  <si>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</si>
  <si>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</si>
  <si>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</si>
  <si>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</si>
  <si>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</si>
  <si>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</si>
  <si>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</si>
  <si>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</si>
  <si>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</si>
  <si>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</si>
  <si>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</si>
  <si>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</si>
  <si>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</si>
  <si>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</si>
  <si>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</si>
  <si>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</si>
  <si>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</si>
  <si>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</si>
  <si>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</si>
  <si>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</si>
  <si>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</si>
  <si>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</si>
  <si>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</si>
  <si>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</si>
  <si>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</si>
  <si>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</si>
  <si>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</si>
  <si>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</si>
  <si>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</si>
  <si>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</si>
  <si>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</si>
  <si>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</si>
  <si>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</si>
  <si>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</si>
  <si>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</si>
  <si>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</si>
  <si>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</si>
  <si>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</si>
  <si>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</si>
  <si>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</si>
  <si>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</si>
  <si>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</si>
  <si>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</si>
  <si>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</si>
  <si>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</si>
  <si>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</si>
  <si>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</si>
  <si>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</si>
  <si>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</si>
  <si>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</si>
  <si>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</si>
  <si>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</si>
  <si>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八万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</si>
  <si>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</si>
  <si>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</si>
  <si>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</si>
  <si>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</si>
  <si>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</si>
  <si>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骰子大(8),</t>
  </si>
  <si>
    <t>骰子大(5),</t>
  </si>
  <si>
    <t>庄家令牌大(4),</t>
  </si>
  <si>
    <t>骰子大(8),_x000D_
庄家令牌大(4),</t>
  </si>
  <si>
    <t>女娲石(8),_x000D_
骰子大(8),_x000D_
庄家令牌大(4),</t>
    <phoneticPr fontId="1" type="noConversion"/>
  </si>
  <si>
    <t>女娲石(8),_x000D_
骰子大(8),_x000D_
庄家令牌大(4),</t>
    <phoneticPr fontId="1" type="noConversion"/>
  </si>
  <si>
    <t>彗星(3),</t>
    <phoneticPr fontId="1" type="noConversion"/>
  </si>
  <si>
    <t>桂花酒(5),</t>
    <phoneticPr fontId="1" type="noConversion"/>
  </si>
  <si>
    <t>桂花(5),</t>
    <phoneticPr fontId="1" type="noConversion"/>
  </si>
  <si>
    <t>神农鼎(10),</t>
    <phoneticPr fontId="1" type="noConversion"/>
  </si>
  <si>
    <t>神农鼎(10),_x000D_
骰子大(8),</t>
    <phoneticPr fontId="1" type="noConversion"/>
  </si>
  <si>
    <t>神农鼎(10),_x000D_
骰子大(8),</t>
    <phoneticPr fontId="1" type="noConversion"/>
  </si>
  <si>
    <t>神农鼎(10),_x000D_
骰子大(8),</t>
    <phoneticPr fontId="1" type="noConversion"/>
  </si>
  <si>
    <t>金甲虫(17),</t>
    <phoneticPr fontId="1" type="noConversion"/>
  </si>
  <si>
    <t>超进阶素材光(47),</t>
    <phoneticPr fontId="1" type="noConversion"/>
  </si>
  <si>
    <t>超进阶素材光(47),</t>
    <phoneticPr fontId="1" type="noConversion"/>
  </si>
  <si>
    <t>金甲虫(167),</t>
    <phoneticPr fontId="1" type="noConversion"/>
  </si>
  <si>
    <t>桂花(5),_x000D_
桂花酒(5),</t>
    <phoneticPr fontId="1" type="noConversion"/>
  </si>
  <si>
    <t>女娲石(8),_x000D_
彗星(13),</t>
    <phoneticPr fontId="1" type="noConversion"/>
  </si>
  <si>
    <t>幸运符文叉大(8),_x000D_
逆鳞(2),</t>
    <phoneticPr fontId="1" type="noConversion"/>
  </si>
  <si>
    <t>技巧符文叉大(17),_x000D_
逆鳞(2),</t>
    <phoneticPr fontId="1" type="noConversion"/>
  </si>
  <si>
    <t>女娲石(18),_x000D_
神农鼎(20),</t>
    <phoneticPr fontId="1" type="noConversion"/>
  </si>
  <si>
    <t>桂花(5),_x000D_
桂花酒(5),_x000D_
灯笼(5),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</si>
</sst>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117</xdr:row>
          <xdr:rowOff>28575</xdr:rowOff>
        </xdr:from>
        <xdr:to>
          <xdr:col>1</xdr:col>
          <xdr:colOff>428625</xdr:colOff>
          <xdr:row>118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18"/>
  <sheetViews>
    <sheetView tabSelected="1" workbookViewId="0">
      <pane xSplit="2" ySplit="1" topLeftCell="C101" activePane="bottomRight" state="frozen"/>
      <selection pane="topRight" activeCell="C1" sqref="C1"/>
      <selection pane="bottomLeft" activeCell="A3" sqref="A3"/>
      <selection pane="bottomRight" activeCell="H110" sqref="H110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7" t="s">
        <v>90</v>
      </c>
      <c r="Q1" s="27" t="s">
        <v>102</v>
      </c>
      <c r="R1" s="27" t="s">
        <v>96</v>
      </c>
      <c r="S1" s="27" t="s">
        <v>91</v>
      </c>
      <c r="T1" s="27" t="s">
        <v>100</v>
      </c>
      <c r="U1" s="27" t="s">
        <v>105</v>
      </c>
      <c r="V1" s="27" t="s">
        <v>92</v>
      </c>
      <c r="W1" s="27" t="s">
        <v>99</v>
      </c>
      <c r="X1" s="27" t="s">
        <v>97</v>
      </c>
      <c r="Y1" s="27" t="s">
        <v>93</v>
      </c>
      <c r="Z1" s="27" t="s">
        <v>101</v>
      </c>
      <c r="AA1" s="27" t="s">
        <v>106</v>
      </c>
      <c r="AB1" s="27" t="s">
        <v>95</v>
      </c>
      <c r="AC1" s="27" t="s">
        <v>94</v>
      </c>
      <c r="AD1" s="27" t="s">
        <v>113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5" t="s">
        <v>77</v>
      </c>
      <c r="BD1" s="8" t="s">
        <v>175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156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35</v>
      </c>
      <c r="BR2" s="1">
        <v>0</v>
      </c>
      <c r="BS2" s="17">
        <v>0</v>
      </c>
      <c r="BT2" s="17"/>
      <c r="BU2">
        <f>SUM(P2:AD2)</f>
        <v>35</v>
      </c>
      <c r="BV2" s="23">
        <f>AF2+AH2+AI2+AJ2+AO2+AP2</f>
        <v>0</v>
      </c>
    </row>
    <row r="3" spans="1:74">
      <c r="A3" s="1"/>
      <c r="B3" s="1" t="s">
        <v>103</v>
      </c>
      <c r="C3" s="1" t="s">
        <v>86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0</v>
      </c>
      <c r="BS3" s="17">
        <v>0</v>
      </c>
      <c r="BT3" s="17"/>
      <c r="BU3">
        <f>SUM(P3:AD3)</f>
        <v>35</v>
      </c>
      <c r="BV3" s="23">
        <f>AF3+AH3+AI3+AJ3+AO3+AP3</f>
        <v>0</v>
      </c>
    </row>
    <row r="4" spans="1:74">
      <c r="A4" s="1"/>
      <c r="B4" s="3" t="s">
        <v>153</v>
      </c>
      <c r="C4" s="3" t="s">
        <v>85</v>
      </c>
      <c r="D4" s="1" t="s">
        <v>148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0</v>
      </c>
      <c r="BS4" s="17">
        <v>0</v>
      </c>
      <c r="BT4" s="17"/>
      <c r="BU4">
        <f>SUM(P4:AD4)</f>
        <v>35</v>
      </c>
      <c r="BV4" s="23">
        <f>AF4+AH4+AI4+AJ4+AO4+AP4</f>
        <v>0</v>
      </c>
    </row>
    <row r="5" spans="1:74">
      <c r="A5" s="1"/>
      <c r="B5" s="1" t="s">
        <v>163</v>
      </c>
      <c r="C5" s="1" t="s">
        <v>44</v>
      </c>
      <c r="D5" s="1" t="s">
        <v>159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35</v>
      </c>
      <c r="BR5" s="1">
        <v>0</v>
      </c>
      <c r="BS5" s="17">
        <v>0</v>
      </c>
      <c r="BT5" s="17"/>
      <c r="BU5">
        <f>SUM(P5:AD5)</f>
        <v>35</v>
      </c>
      <c r="BV5" s="23">
        <f>AF5+AH5+AI5+AJ5+AO5+AP5</f>
        <v>0</v>
      </c>
    </row>
    <row r="6" spans="1:74">
      <c r="A6" s="1"/>
      <c r="B6" s="1" t="s">
        <v>164</v>
      </c>
      <c r="C6" s="1" t="s">
        <v>44</v>
      </c>
      <c r="D6" s="1" t="s">
        <v>159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0</v>
      </c>
      <c r="BS6" s="17">
        <v>0</v>
      </c>
      <c r="BT6" s="17"/>
      <c r="BU6">
        <f>SUM(P6:AD6)</f>
        <v>35</v>
      </c>
      <c r="BV6" s="23">
        <f>AF6+AH6+AI6+AJ6+AO6+AP6</f>
        <v>0</v>
      </c>
    </row>
    <row r="7" spans="1:74">
      <c r="A7" s="1"/>
      <c r="B7" s="3" t="s">
        <v>147</v>
      </c>
      <c r="C7" s="3" t="s">
        <v>44</v>
      </c>
      <c r="D7" s="1" t="s"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>
        <v>2</v>
      </c>
      <c r="S7" s="28"/>
      <c r="T7" s="28"/>
      <c r="U7" s="28">
        <v>2</v>
      </c>
      <c r="V7" s="28"/>
      <c r="W7" s="28"/>
      <c r="X7" s="28">
        <v>2</v>
      </c>
      <c r="Y7" s="28"/>
      <c r="Z7" s="28">
        <v>5</v>
      </c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11</v>
      </c>
      <c r="BR7" s="1">
        <v>0</v>
      </c>
      <c r="BS7" s="17">
        <v>0</v>
      </c>
      <c r="BT7" s="17"/>
      <c r="BU7">
        <f>SUM(P7:AD7)</f>
        <v>11</v>
      </c>
      <c r="BV7" s="23">
        <f>AF7+AH7+AI7+AJ7+AO7+AP7</f>
        <v>0</v>
      </c>
    </row>
    <row r="8" spans="1:74">
      <c r="A8" s="1"/>
      <c r="B8" s="1" t="s">
        <v>179</v>
      </c>
      <c r="C8" s="1" t="s">
        <v>86</v>
      </c>
      <c r="D8" s="1" t="s">
        <v>73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>
        <v>2</v>
      </c>
      <c r="S8" s="28"/>
      <c r="T8" s="28"/>
      <c r="U8" s="28">
        <v>2</v>
      </c>
      <c r="V8" s="28"/>
      <c r="W8" s="28"/>
      <c r="X8" s="28">
        <v>2</v>
      </c>
      <c r="Y8" s="28"/>
      <c r="Z8" s="28">
        <v>5</v>
      </c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11</v>
      </c>
      <c r="BR8" s="1">
        <v>0</v>
      </c>
      <c r="BS8" s="17">
        <v>0</v>
      </c>
      <c r="BT8" s="17"/>
      <c r="BU8">
        <f>SUM(P8:AD8)</f>
        <v>11</v>
      </c>
      <c r="BV8" s="23">
        <f>AF8+AH8+AI8+AJ8+AO8+AP8</f>
        <v>0</v>
      </c>
    </row>
    <row r="9" spans="1:74">
      <c r="A9" s="1"/>
      <c r="B9" s="1" t="s">
        <v>108</v>
      </c>
      <c r="C9" s="1" t="s">
        <v>107</v>
      </c>
      <c r="D9" s="1" t="s">
        <v>87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>
      <c r="A10" s="1"/>
      <c r="B10" s="1" t="s">
        <v>109</v>
      </c>
      <c r="C10" s="1" t="s">
        <v>110</v>
      </c>
      <c r="D10" s="1" t="s">
        <v>87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>
      <c r="A11" s="1"/>
      <c r="B11" s="1" t="s">
        <v>172</v>
      </c>
      <c r="C11" s="1" t="s">
        <v>158</v>
      </c>
      <c r="D11" s="1" t="s">
        <v>159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40</v>
      </c>
      <c r="BV11" s="23">
        <f>AF11+AH11+AI11+AJ11+AO11+AP11</f>
        <v>0</v>
      </c>
    </row>
    <row r="12" spans="1:74">
      <c r="A12" s="1"/>
      <c r="B12" s="1" t="s">
        <v>189</v>
      </c>
      <c r="C12" s="1" t="s">
        <v>46</v>
      </c>
      <c r="D12" s="1" t="s">
        <v>161</v>
      </c>
      <c r="E12" s="6"/>
      <c r="F12" s="6"/>
      <c r="G12" s="6"/>
      <c r="H12" s="6"/>
      <c r="I12" s="6"/>
      <c r="J12" s="6"/>
      <c r="K12" s="6"/>
      <c r="L12" s="6">
        <v>10</v>
      </c>
      <c r="M12" s="6"/>
      <c r="N12" s="6"/>
      <c r="O12" s="6"/>
      <c r="P12" s="28"/>
      <c r="Q12" s="28"/>
      <c r="R12" s="28">
        <v>10</v>
      </c>
      <c r="S12" s="28"/>
      <c r="T12" s="28"/>
      <c r="U12" s="28">
        <v>10</v>
      </c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>
        <v>10</v>
      </c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40</v>
      </c>
      <c r="BR12" s="1">
        <v>0</v>
      </c>
      <c r="BS12" s="17">
        <v>0</v>
      </c>
      <c r="BT12" s="17"/>
      <c r="BU12">
        <f>SUM(P12:AD12)</f>
        <v>20</v>
      </c>
      <c r="BV12" s="23">
        <f>AF12+AH12+AI12+AJ12+AO12+AP12</f>
        <v>0</v>
      </c>
    </row>
    <row r="13" spans="1:74">
      <c r="A13" s="1"/>
      <c r="B13" s="1" t="s">
        <v>187</v>
      </c>
      <c r="C13" s="1" t="s">
        <v>46</v>
      </c>
      <c r="D13" s="1" t="s">
        <v>167</v>
      </c>
      <c r="E13" s="6"/>
      <c r="F13" s="6"/>
      <c r="G13" s="6"/>
      <c r="H13" s="6"/>
      <c r="I13" s="6"/>
      <c r="J13" s="6"/>
      <c r="K13" s="6"/>
      <c r="L13" s="6">
        <v>10</v>
      </c>
      <c r="M13" s="6"/>
      <c r="N13" s="6"/>
      <c r="O13" s="6"/>
      <c r="P13" s="28"/>
      <c r="Q13" s="28"/>
      <c r="R13" s="28">
        <v>10</v>
      </c>
      <c r="S13" s="28"/>
      <c r="T13" s="28"/>
      <c r="U13" s="28">
        <v>10</v>
      </c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40</v>
      </c>
      <c r="BR13" s="1">
        <v>0</v>
      </c>
      <c r="BS13" s="17">
        <v>0</v>
      </c>
      <c r="BT13" s="17"/>
      <c r="BU13">
        <f>SUM(P13:AD13)</f>
        <v>20</v>
      </c>
      <c r="BV13" s="23">
        <f>AF13+AH13+AI13+AJ13+AO13+AP13</f>
        <v>0</v>
      </c>
    </row>
    <row r="14" spans="1:74">
      <c r="A14" s="1"/>
      <c r="B14" s="1" t="s">
        <v>157</v>
      </c>
      <c r="C14" s="1" t="s">
        <v>158</v>
      </c>
      <c r="D14" s="1" t="s">
        <v>161</v>
      </c>
      <c r="E14" s="6">
        <v>5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5</v>
      </c>
      <c r="W14" s="28"/>
      <c r="X14" s="28"/>
      <c r="Y14" s="28">
        <v>5</v>
      </c>
      <c r="Z14" s="28"/>
      <c r="AA14" s="28"/>
      <c r="AB14" s="28"/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20</v>
      </c>
      <c r="BR14" s="1">
        <v>0</v>
      </c>
      <c r="BS14" s="17">
        <v>0</v>
      </c>
      <c r="BT14" s="17"/>
      <c r="BU14">
        <f>SUM(P14:AD14)</f>
        <v>15</v>
      </c>
      <c r="BV14" s="23">
        <f>AF14+AH14+AI14+AJ14+AO14+AP14</f>
        <v>0</v>
      </c>
    </row>
    <row r="15" spans="1:74">
      <c r="A15" s="1"/>
      <c r="B15" s="1" t="s">
        <v>200</v>
      </c>
      <c r="C15" s="1" t="s">
        <v>104</v>
      </c>
      <c r="D15" s="1" t="s">
        <v>89</v>
      </c>
      <c r="E15" s="6">
        <v>10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>
        <v>10</v>
      </c>
      <c r="S15" s="28"/>
      <c r="T15" s="28"/>
      <c r="U15" s="28">
        <v>10</v>
      </c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>
        <v>10</v>
      </c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0</v>
      </c>
      <c r="BS15" s="17">
        <v>0</v>
      </c>
      <c r="BT15" s="17"/>
      <c r="BU15">
        <f>SUM(P15:AD15)</f>
        <v>20</v>
      </c>
      <c r="BV15" s="23">
        <f>AF15+AH15+AI15+AJ15+AO15+AP15</f>
        <v>0</v>
      </c>
    </row>
    <row r="16" spans="1:74">
      <c r="A16" s="1"/>
      <c r="B16" s="1" t="s">
        <v>108</v>
      </c>
      <c r="C16" s="1" t="s">
        <v>107</v>
      </c>
      <c r="D16" s="1" t="s">
        <v>89</v>
      </c>
      <c r="E16" s="6">
        <v>10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>
        <v>10</v>
      </c>
      <c r="S16" s="28"/>
      <c r="T16" s="28"/>
      <c r="U16" s="28">
        <v>10</v>
      </c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>
        <v>10</v>
      </c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0</v>
      </c>
      <c r="BS16" s="17">
        <v>0</v>
      </c>
      <c r="BT16" s="17"/>
      <c r="BU16">
        <f>SUM(P16:AD16)</f>
        <v>20</v>
      </c>
      <c r="BV16" s="23">
        <f>AF16+AH16+AI16+AJ16+AO16+AP16</f>
        <v>0</v>
      </c>
    </row>
    <row r="17" spans="1:74">
      <c r="A17" s="30"/>
      <c r="B17" s="30" t="s">
        <v>185</v>
      </c>
      <c r="C17" s="30" t="s">
        <v>112</v>
      </c>
      <c r="D17" s="30" t="s">
        <v>89</v>
      </c>
      <c r="E17" s="31">
        <v>10</v>
      </c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 s="32">
        <v>10</v>
      </c>
      <c r="S17" s="32"/>
      <c r="T17" s="32"/>
      <c r="U17" s="32">
        <v>10</v>
      </c>
      <c r="V17" s="32"/>
      <c r="W17" s="32"/>
      <c r="X17" s="32"/>
      <c r="Y17" s="32"/>
      <c r="Z17" s="32"/>
      <c r="AA17" s="32"/>
      <c r="AB17" s="32"/>
      <c r="AC17" s="32"/>
      <c r="AD17" s="32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3"/>
      <c r="AR17" s="33"/>
      <c r="AS17" s="33"/>
      <c r="AT17" s="33"/>
      <c r="AU17" s="33">
        <v>10</v>
      </c>
      <c r="AV17" s="33"/>
      <c r="AW17" s="34"/>
      <c r="AX17" s="34"/>
      <c r="AY17" s="34"/>
      <c r="AZ17" s="34"/>
      <c r="BA17" s="34"/>
      <c r="BB17" s="34"/>
      <c r="BC17" s="35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>
        <f>SUM(E17:BP17)</f>
        <v>40</v>
      </c>
      <c r="BR17" s="30">
        <v>0</v>
      </c>
      <c r="BS17" s="36">
        <v>0</v>
      </c>
      <c r="BT17" s="36"/>
      <c r="BU17">
        <f>SUM(P17:AD17)</f>
        <v>20</v>
      </c>
      <c r="BV17" s="23">
        <f>AF17+AH17+AI17+AJ17+AO17+AP17</f>
        <v>0</v>
      </c>
    </row>
    <row r="18" spans="1:74">
      <c r="A18" s="1"/>
      <c r="B18" s="3" t="s">
        <v>155</v>
      </c>
      <c r="C18" s="3" t="s">
        <v>44</v>
      </c>
      <c r="D18" s="1" t="s">
        <v>149</v>
      </c>
      <c r="E18" s="6">
        <v>10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>
        <v>10</v>
      </c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0</v>
      </c>
      <c r="BS18" s="17">
        <v>0</v>
      </c>
      <c r="BT18" s="17"/>
      <c r="BU18">
        <f>SUM(P18:AD18)</f>
        <v>20</v>
      </c>
      <c r="BV18" s="23">
        <f>AF18+AH18+AI18+AJ18+AO18+AP18</f>
        <v>0</v>
      </c>
    </row>
    <row r="19" spans="1:74">
      <c r="A19" s="1"/>
      <c r="B19" s="1" t="s">
        <v>188</v>
      </c>
      <c r="C19" s="1" t="s">
        <v>46</v>
      </c>
      <c r="D19" s="1" t="s">
        <v>161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0</v>
      </c>
      <c r="BS19" s="17">
        <v>0</v>
      </c>
      <c r="BT19" s="17"/>
      <c r="BU19">
        <f>SUM(P19:AD19)</f>
        <v>20</v>
      </c>
      <c r="BV19" s="23">
        <f>AF19+AH19+AI19+AJ19+AO19+AP19</f>
        <v>0</v>
      </c>
    </row>
    <row r="20" spans="1:74">
      <c r="A20" s="1"/>
      <c r="B20" s="1" t="s">
        <v>203</v>
      </c>
      <c r="C20" s="1" t="s">
        <v>112</v>
      </c>
      <c r="D20" s="1" t="s">
        <v>88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/>
      <c r="Z20" s="28">
        <v>5</v>
      </c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30</v>
      </c>
      <c r="BR20" s="1">
        <v>0</v>
      </c>
      <c r="BS20" s="17">
        <v>0</v>
      </c>
      <c r="BT20" s="17"/>
      <c r="BU20">
        <f>SUM(P20:AD20)</f>
        <v>30</v>
      </c>
      <c r="BV20" s="23">
        <f>AF20+AH20+AI20+AJ20+AO20+AP20</f>
        <v>0</v>
      </c>
    </row>
    <row r="21" spans="1:74">
      <c r="A21" s="1"/>
      <c r="B21" s="1" t="s">
        <v>98</v>
      </c>
      <c r="C21" s="1" t="s">
        <v>86</v>
      </c>
      <c r="D21" s="1" t="s">
        <v>88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>
        <v>5</v>
      </c>
      <c r="R21" s="28">
        <v>2</v>
      </c>
      <c r="S21" s="28"/>
      <c r="T21" s="28">
        <v>5</v>
      </c>
      <c r="U21" s="28"/>
      <c r="V21" s="28"/>
      <c r="W21" s="28"/>
      <c r="X21" s="28"/>
      <c r="Y21" s="28"/>
      <c r="Z21" s="28">
        <v>5</v>
      </c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17</v>
      </c>
      <c r="BR21" s="1">
        <v>0</v>
      </c>
      <c r="BS21" s="17">
        <v>0</v>
      </c>
      <c r="BT21" s="17"/>
      <c r="BU21">
        <f>SUM(P21:AD21)</f>
        <v>17</v>
      </c>
      <c r="BV21" s="23">
        <f>AF21+AH21+AI21+AJ21+AO21+AP21</f>
        <v>0</v>
      </c>
    </row>
    <row r="22" spans="1:74" s="37" customFormat="1">
      <c r="A22" s="1"/>
      <c r="B22" s="1" t="s">
        <v>103</v>
      </c>
      <c r="C22" s="1" t="s">
        <v>86</v>
      </c>
      <c r="D22" s="1" t="s">
        <v>88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>
        <v>2</v>
      </c>
      <c r="S22" s="28"/>
      <c r="T22" s="28">
        <v>5</v>
      </c>
      <c r="U22" s="28"/>
      <c r="V22" s="28"/>
      <c r="W22" s="28"/>
      <c r="X22" s="28"/>
      <c r="Y22" s="28"/>
      <c r="Z22" s="28">
        <v>5</v>
      </c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17</v>
      </c>
      <c r="BR22" s="1">
        <v>0</v>
      </c>
      <c r="BS22" s="17">
        <v>0</v>
      </c>
      <c r="BT22" s="17"/>
      <c r="BU22">
        <f>SUM(P22:AD22)</f>
        <v>17</v>
      </c>
      <c r="BV22" s="23">
        <f>AF22+AH22+AI22+AJ22+AO22+AP22</f>
        <v>0</v>
      </c>
    </row>
    <row r="23" spans="1:74">
      <c r="A23" s="1"/>
      <c r="B23" s="3" t="s">
        <v>153</v>
      </c>
      <c r="C23" s="3" t="s">
        <v>85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>
        <v>5</v>
      </c>
      <c r="R23" s="28">
        <v>2</v>
      </c>
      <c r="S23" s="28"/>
      <c r="T23" s="28">
        <v>5</v>
      </c>
      <c r="U23" s="28"/>
      <c r="V23" s="28"/>
      <c r="W23" s="28"/>
      <c r="X23" s="28"/>
      <c r="Y23" s="28"/>
      <c r="Z23" s="28">
        <v>5</v>
      </c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17</v>
      </c>
      <c r="BR23" s="1">
        <v>0</v>
      </c>
      <c r="BS23" s="17">
        <v>0</v>
      </c>
      <c r="BT23" s="17"/>
      <c r="BU23">
        <f>SUM(P23:AD23)</f>
        <v>17</v>
      </c>
      <c r="BV23" s="23">
        <f>AF23+AH23+AI23+AJ23+AO23+AP23</f>
        <v>0</v>
      </c>
    </row>
    <row r="24" spans="1:74">
      <c r="A24" s="1"/>
      <c r="B24" s="1" t="s">
        <v>164</v>
      </c>
      <c r="C24" s="1" t="s">
        <v>44</v>
      </c>
      <c r="D24" s="1" t="s">
        <v>160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>
        <v>2</v>
      </c>
      <c r="S24" s="28"/>
      <c r="T24" s="28">
        <v>5</v>
      </c>
      <c r="U24" s="28"/>
      <c r="V24" s="28"/>
      <c r="W24" s="28"/>
      <c r="X24" s="28"/>
      <c r="Y24" s="28"/>
      <c r="Z24" s="28">
        <v>5</v>
      </c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17</v>
      </c>
      <c r="BR24" s="1">
        <v>0</v>
      </c>
      <c r="BS24" s="17">
        <v>0</v>
      </c>
      <c r="BT24" s="17"/>
      <c r="BU24">
        <f>SUM(P24:AD24)</f>
        <v>17</v>
      </c>
      <c r="BV24" s="23">
        <f>AF24+AH24+AI24+AJ24+AO24+AP24</f>
        <v>0</v>
      </c>
    </row>
    <row r="25" spans="1:74">
      <c r="A25" s="1"/>
      <c r="B25" s="1" t="s">
        <v>168</v>
      </c>
      <c r="C25" s="1" t="s">
        <v>32</v>
      </c>
      <c r="D25" s="1" t="s">
        <v>166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2</v>
      </c>
      <c r="S25" s="28"/>
      <c r="T25" s="28">
        <v>5</v>
      </c>
      <c r="U25" s="28"/>
      <c r="V25" s="28"/>
      <c r="W25" s="28"/>
      <c r="X25" s="28">
        <v>2</v>
      </c>
      <c r="Y25" s="28"/>
      <c r="Z25" s="28"/>
      <c r="AA25" s="28"/>
      <c r="AB25" s="28"/>
      <c r="AC25" s="28"/>
      <c r="AD25" s="28">
        <v>2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11</v>
      </c>
      <c r="BR25" s="1">
        <v>0</v>
      </c>
      <c r="BS25" s="17">
        <v>0</v>
      </c>
      <c r="BT25" s="17"/>
      <c r="BU25">
        <f>SUM(P25:AD25)</f>
        <v>11</v>
      </c>
      <c r="BV25" s="23">
        <f>AF25+AH25+AI25+AJ25+AO25+AP25</f>
        <v>0</v>
      </c>
    </row>
    <row r="26" spans="1:74">
      <c r="A26" s="1"/>
      <c r="B26" s="1" t="s">
        <v>201</v>
      </c>
      <c r="C26" s="1" t="s">
        <v>112</v>
      </c>
      <c r="D26" s="1" t="s">
        <v>88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0</v>
      </c>
      <c r="BS26" s="17">
        <v>0</v>
      </c>
      <c r="BT26" s="17"/>
      <c r="BU26">
        <f>SUM(P26:AD26)</f>
        <v>17</v>
      </c>
      <c r="BV26" s="23">
        <f>AF26+AH26+AI26+AJ26+AO26+AP26</f>
        <v>0</v>
      </c>
    </row>
    <row r="27" spans="1:74">
      <c r="A27" s="1"/>
      <c r="B27" s="1" t="s">
        <v>195</v>
      </c>
      <c r="C27" s="1" t="s">
        <v>104</v>
      </c>
      <c r="D27" s="1" t="s">
        <v>160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>
        <v>2</v>
      </c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17</v>
      </c>
      <c r="BR27" s="1">
        <v>0</v>
      </c>
      <c r="BS27" s="17">
        <v>0</v>
      </c>
      <c r="BT27" s="17"/>
      <c r="BU27">
        <f>SUM(P27:AD27)</f>
        <v>17</v>
      </c>
      <c r="BV27" s="23">
        <f>AF27+AH27+AI27+AJ27+AO27+AP27</f>
        <v>0</v>
      </c>
    </row>
    <row r="28" spans="1:74">
      <c r="A28" s="1"/>
      <c r="B28" s="1" t="s">
        <v>163</v>
      </c>
      <c r="C28" s="1" t="s">
        <v>44</v>
      </c>
      <c r="D28" s="1" t="s">
        <v>160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>
        <v>2</v>
      </c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17</v>
      </c>
      <c r="BR28" s="1">
        <v>0</v>
      </c>
      <c r="BS28" s="17">
        <v>0</v>
      </c>
      <c r="BT28" s="17"/>
      <c r="BU28">
        <f>SUM(P28:AD28)</f>
        <v>17</v>
      </c>
      <c r="BV28" s="23">
        <f>AF28+AH28+AI28+AJ28+AO28+AP28</f>
        <v>0</v>
      </c>
    </row>
    <row r="29" spans="1:74">
      <c r="A29" s="1"/>
      <c r="B29" s="3" t="s">
        <v>194</v>
      </c>
      <c r="C29" s="3" t="s">
        <v>176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>
        <v>2</v>
      </c>
      <c r="S29" s="28"/>
      <c r="T29" s="28"/>
      <c r="U29" s="28">
        <v>2</v>
      </c>
      <c r="V29" s="28"/>
      <c r="W29" s="28"/>
      <c r="X29" s="28"/>
      <c r="Y29" s="28"/>
      <c r="Z29" s="28"/>
      <c r="AA29" s="28"/>
      <c r="AB29" s="28"/>
      <c r="AC29" s="28">
        <v>5</v>
      </c>
      <c r="AD29" s="28">
        <v>2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11</v>
      </c>
      <c r="BR29" s="1">
        <v>0</v>
      </c>
      <c r="BS29" s="17">
        <v>0</v>
      </c>
      <c r="BT29" s="17"/>
      <c r="BU29">
        <f>SUM(P29:AD29)</f>
        <v>11</v>
      </c>
      <c r="BV29" s="23">
        <f>AF29+AH29+AI29+AJ29+AO29+AP29</f>
        <v>0</v>
      </c>
    </row>
    <row r="30" spans="1:74">
      <c r="A30" s="1"/>
      <c r="B30" s="1" t="s">
        <v>109</v>
      </c>
      <c r="C30" s="1" t="s">
        <v>110</v>
      </c>
      <c r="D30" s="1" t="s">
        <v>88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>
        <v>5</v>
      </c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35</v>
      </c>
      <c r="BR30" s="1">
        <v>0</v>
      </c>
      <c r="BS30" s="17">
        <v>0</v>
      </c>
      <c r="BT30" s="17"/>
      <c r="BU30">
        <f>SUM(P30:AD30)</f>
        <v>35</v>
      </c>
      <c r="BV30" s="23">
        <f>AF30+AH30+AI30+AJ30+AO30+AP30</f>
        <v>0</v>
      </c>
    </row>
    <row r="31" spans="1:74">
      <c r="A31" s="1"/>
      <c r="B31" s="3" t="s">
        <v>208</v>
      </c>
      <c r="C31" s="3" t="s">
        <v>44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35</v>
      </c>
      <c r="BR31" s="1">
        <v>0</v>
      </c>
      <c r="BS31" s="17">
        <v>0</v>
      </c>
      <c r="BT31" s="17"/>
      <c r="BU31">
        <f>SUM(P31:AD31)</f>
        <v>35</v>
      </c>
      <c r="BV31" s="23">
        <f>AF31+AH31+AI31+AJ31+AO31+AP31</f>
        <v>0</v>
      </c>
    </row>
    <row r="32" spans="1:74">
      <c r="A32" s="1"/>
      <c r="B32" s="1" t="s">
        <v>157</v>
      </c>
      <c r="C32" s="1" t="s">
        <v>158</v>
      </c>
      <c r="D32" s="1" t="s">
        <v>160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/>
      <c r="B33" s="1" t="s">
        <v>206</v>
      </c>
      <c r="C33" s="1" t="s">
        <v>46</v>
      </c>
      <c r="D33" s="1" t="s">
        <v>160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>
        <v>10</v>
      </c>
      <c r="AC33" s="28">
        <v>5</v>
      </c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35</v>
      </c>
      <c r="BR33" s="1">
        <v>0</v>
      </c>
      <c r="BS33" s="17">
        <v>0</v>
      </c>
      <c r="BT33" s="17"/>
      <c r="BU33">
        <f>SUM(P33:AD33)</f>
        <v>35</v>
      </c>
      <c r="BV33" s="23">
        <f>AF33+AH33+AI33+AJ33+AO33+AP33</f>
        <v>0</v>
      </c>
    </row>
    <row r="34" spans="1:74">
      <c r="A34" s="1"/>
      <c r="B34" s="1" t="s">
        <v>170</v>
      </c>
      <c r="C34" s="1" t="s">
        <v>110</v>
      </c>
      <c r="D34" s="1" t="s">
        <v>88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/>
      <c r="X34" s="28">
        <v>2</v>
      </c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17</v>
      </c>
      <c r="BR34" s="1">
        <v>0</v>
      </c>
      <c r="BS34" s="17">
        <v>0</v>
      </c>
      <c r="BT34" s="17"/>
      <c r="BU34">
        <f>SUM(P34:AD34)</f>
        <v>17</v>
      </c>
      <c r="BV34" s="23">
        <f>AF34+AH34+AI34+AJ34+AO34+AP34</f>
        <v>0</v>
      </c>
    </row>
    <row r="35" spans="1:74">
      <c r="A35" s="1"/>
      <c r="B35" s="1" t="s">
        <v>108</v>
      </c>
      <c r="C35" s="1" t="s">
        <v>107</v>
      </c>
      <c r="D35" s="1" t="s">
        <v>88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>
        <v>10</v>
      </c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35</v>
      </c>
      <c r="BR35" s="1">
        <v>0</v>
      </c>
      <c r="BS35" s="17">
        <v>0</v>
      </c>
      <c r="BT35" s="17"/>
      <c r="BU35">
        <f>SUM(P35:AD35)</f>
        <v>35</v>
      </c>
      <c r="BV35" s="23">
        <f>AF35+AH35+AI35+AJ35+AO35+AP35</f>
        <v>0</v>
      </c>
    </row>
    <row r="36" spans="1:74">
      <c r="A36" s="1"/>
      <c r="B36" s="3" t="s">
        <v>154</v>
      </c>
      <c r="C36" s="3" t="s">
        <v>44</v>
      </c>
      <c r="D36" s="1" t="s">
        <v>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>
        <v>10</v>
      </c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35</v>
      </c>
      <c r="BR36" s="1">
        <v>0</v>
      </c>
      <c r="BS36" s="17">
        <v>0</v>
      </c>
      <c r="BT36" s="17"/>
      <c r="BU36">
        <f>SUM(P36:AD36)</f>
        <v>35</v>
      </c>
      <c r="BV36" s="23">
        <f>AF36+AH36+AI36+AJ36+AO36+AP36</f>
        <v>0</v>
      </c>
    </row>
    <row r="37" spans="1:74">
      <c r="A37" s="1"/>
      <c r="B37" s="1" t="s">
        <v>162</v>
      </c>
      <c r="C37" s="1" t="s">
        <v>44</v>
      </c>
      <c r="D37" s="1" t="s">
        <v>159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/>
      <c r="AB37" s="28"/>
      <c r="AC37" s="28">
        <v>5</v>
      </c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20</v>
      </c>
      <c r="BR37" s="1">
        <v>0</v>
      </c>
      <c r="BS37" s="17">
        <v>0</v>
      </c>
      <c r="BT37" s="17"/>
      <c r="BU37">
        <f>SUM(P37:AD37)</f>
        <v>20</v>
      </c>
      <c r="BV37" s="23">
        <f>AF37+AH37+AI37+AJ37+AO37+AP37</f>
        <v>0</v>
      </c>
    </row>
    <row r="38" spans="1:74">
      <c r="A38" s="1"/>
      <c r="B38" s="3" t="s">
        <v>190</v>
      </c>
      <c r="C38" s="3" t="s">
        <v>152</v>
      </c>
      <c r="D38" s="1" t="s">
        <v>149</v>
      </c>
      <c r="E38" s="6"/>
      <c r="F38" s="6"/>
      <c r="G38" s="6"/>
      <c r="H38" s="6"/>
      <c r="I38" s="6"/>
      <c r="J38" s="6"/>
      <c r="K38" s="6">
        <v>10</v>
      </c>
      <c r="L38" s="6"/>
      <c r="M38" s="6"/>
      <c r="N38" s="6"/>
      <c r="O38" s="6"/>
      <c r="P38" s="28"/>
      <c r="Q38" s="28"/>
      <c r="R38" s="28"/>
      <c r="S38" s="28"/>
      <c r="T38" s="28"/>
      <c r="U38" s="28">
        <v>10</v>
      </c>
      <c r="V38" s="28"/>
      <c r="W38" s="28"/>
      <c r="X38" s="28"/>
      <c r="Y38" s="28"/>
      <c r="Z38" s="28"/>
      <c r="AA38" s="28">
        <v>10</v>
      </c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>
        <v>10</v>
      </c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40</v>
      </c>
      <c r="BR38" s="1">
        <v>0</v>
      </c>
      <c r="BS38" s="17">
        <v>0</v>
      </c>
      <c r="BT38" s="17"/>
      <c r="BU38">
        <f>SUM(P38:AD38)</f>
        <v>20</v>
      </c>
      <c r="BV38" s="23">
        <f>AF38+AH38+AI38+AJ38+AO38+AP38</f>
        <v>0</v>
      </c>
    </row>
    <row r="39" spans="1:74">
      <c r="A39" s="1"/>
      <c r="B39" s="1" t="s">
        <v>109</v>
      </c>
      <c r="C39" s="1" t="s">
        <v>110</v>
      </c>
      <c r="D39" s="1" t="s">
        <v>89</v>
      </c>
      <c r="E39" s="6"/>
      <c r="F39" s="6"/>
      <c r="G39" s="6"/>
      <c r="H39" s="6"/>
      <c r="I39" s="6"/>
      <c r="J39" s="6">
        <v>10</v>
      </c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>
        <v>10</v>
      </c>
      <c r="V39" s="28"/>
      <c r="W39" s="28"/>
      <c r="X39" s="28"/>
      <c r="Y39" s="28"/>
      <c r="Z39" s="28"/>
      <c r="AA39" s="28">
        <v>10</v>
      </c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0</v>
      </c>
      <c r="BS39" s="17">
        <v>0</v>
      </c>
      <c r="BT39" s="17"/>
      <c r="BU39">
        <f>SUM(P39:AD39)</f>
        <v>20</v>
      </c>
      <c r="BV39" s="23">
        <f>AF39+AH39+AI39+AJ39+AO39+AP39</f>
        <v>0</v>
      </c>
    </row>
    <row r="40" spans="1:74">
      <c r="A40" s="1"/>
      <c r="B40" s="1" t="s">
        <v>204</v>
      </c>
      <c r="C40" s="1" t="s">
        <v>112</v>
      </c>
      <c r="D40" s="1" t="s">
        <v>89</v>
      </c>
      <c r="E40" s="6"/>
      <c r="F40" s="6"/>
      <c r="G40" s="6"/>
      <c r="H40" s="6"/>
      <c r="I40" s="6"/>
      <c r="J40" s="6">
        <v>10</v>
      </c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>
        <v>10</v>
      </c>
      <c r="V40" s="28"/>
      <c r="W40" s="28"/>
      <c r="X40" s="28"/>
      <c r="Y40" s="28"/>
      <c r="Z40" s="28"/>
      <c r="AA40" s="28">
        <v>10</v>
      </c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0</v>
      </c>
      <c r="BS40" s="17">
        <v>0</v>
      </c>
      <c r="BT40" s="17"/>
      <c r="BU40">
        <f>SUM(P40:AD40)</f>
        <v>20</v>
      </c>
      <c r="BV40" s="23">
        <f>AF40+AH40+AI40+AJ40+AO40+AP40</f>
        <v>0</v>
      </c>
    </row>
    <row r="41" spans="1:74">
      <c r="A41" s="1"/>
      <c r="B41" s="3" t="s">
        <v>209</v>
      </c>
      <c r="C41" s="3" t="s">
        <v>44</v>
      </c>
      <c r="D41" s="1" t="s">
        <v>149</v>
      </c>
      <c r="E41" s="6"/>
      <c r="F41" s="6"/>
      <c r="G41" s="6"/>
      <c r="H41" s="6"/>
      <c r="I41" s="6"/>
      <c r="J41" s="6">
        <v>10</v>
      </c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>
        <v>10</v>
      </c>
      <c r="V41" s="28"/>
      <c r="W41" s="28"/>
      <c r="X41" s="28"/>
      <c r="Y41" s="28"/>
      <c r="Z41" s="28"/>
      <c r="AA41" s="28">
        <v>10</v>
      </c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>
        <v>10</v>
      </c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0</v>
      </c>
      <c r="BS41" s="17">
        <v>0</v>
      </c>
      <c r="BT41" s="17"/>
      <c r="BU41">
        <f>SUM(P41:AD41)</f>
        <v>20</v>
      </c>
      <c r="BV41" s="23">
        <f>AF41+AH41+AI41+AJ41+AO41+AP41</f>
        <v>0</v>
      </c>
    </row>
    <row r="42" spans="1:74">
      <c r="A42" s="1"/>
      <c r="B42" s="1" t="s">
        <v>199</v>
      </c>
      <c r="C42" s="1" t="s">
        <v>104</v>
      </c>
      <c r="D42" s="1" t="s">
        <v>161</v>
      </c>
      <c r="E42" s="6"/>
      <c r="F42" s="6"/>
      <c r="G42" s="6"/>
      <c r="H42" s="6"/>
      <c r="I42" s="6"/>
      <c r="J42" s="6">
        <v>10</v>
      </c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>
        <v>10</v>
      </c>
      <c r="V42" s="28"/>
      <c r="W42" s="28"/>
      <c r="X42" s="28"/>
      <c r="Y42" s="28"/>
      <c r="Z42" s="28"/>
      <c r="AA42" s="28">
        <v>10</v>
      </c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>
        <v>10</v>
      </c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0</v>
      </c>
      <c r="BS42" s="17">
        <v>0</v>
      </c>
      <c r="BT42" s="17"/>
      <c r="BU42">
        <f>SUM(P42:AD42)</f>
        <v>20</v>
      </c>
      <c r="BV42" s="23">
        <f>AF42+AH42+AI42+AJ42+AO42+AP42</f>
        <v>0</v>
      </c>
    </row>
    <row r="43" spans="1:74">
      <c r="A43" s="1"/>
      <c r="B43" s="1" t="s">
        <v>168</v>
      </c>
      <c r="C43" s="1" t="s">
        <v>32</v>
      </c>
      <c r="D43" s="1" t="s">
        <v>167</v>
      </c>
      <c r="E43" s="6"/>
      <c r="F43" s="6"/>
      <c r="G43" s="6"/>
      <c r="H43" s="6"/>
      <c r="I43" s="6"/>
      <c r="J43" s="6">
        <v>10</v>
      </c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>
        <v>10</v>
      </c>
      <c r="V43" s="28"/>
      <c r="W43" s="28"/>
      <c r="X43" s="28"/>
      <c r="Y43" s="28"/>
      <c r="Z43" s="28"/>
      <c r="AA43" s="28">
        <v>10</v>
      </c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10</v>
      </c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0</v>
      </c>
      <c r="BS43" s="17">
        <v>0</v>
      </c>
      <c r="BT43" s="17"/>
      <c r="BU43">
        <f>SUM(P43:AD43)</f>
        <v>20</v>
      </c>
      <c r="BV43" s="23">
        <f>AF43+AH43+AI43+AJ43+AO43+AP43</f>
        <v>0</v>
      </c>
    </row>
    <row r="44" spans="1:74">
      <c r="A44" s="1"/>
      <c r="B44" s="3" t="s">
        <v>191</v>
      </c>
      <c r="C44" s="3" t="s">
        <v>38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>
        <v>20</v>
      </c>
      <c r="X44" s="28"/>
      <c r="Y44" s="28"/>
      <c r="Z44" s="28">
        <v>20</v>
      </c>
      <c r="AA44" s="28"/>
      <c r="AB44" s="28"/>
      <c r="AC44" s="28">
        <v>20</v>
      </c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60</v>
      </c>
      <c r="BR44" s="1">
        <v>0</v>
      </c>
      <c r="BS44" s="17">
        <v>0</v>
      </c>
      <c r="BT44" s="17"/>
      <c r="BU44">
        <f>SUM(P44:AD44)</f>
        <v>60</v>
      </c>
      <c r="BV44" s="23">
        <f>AF44+AH44+AI44+AJ44+AO44+AP44</f>
        <v>0</v>
      </c>
    </row>
    <row r="45" spans="1:74">
      <c r="A45" s="1"/>
      <c r="B45" s="1" t="s">
        <v>162</v>
      </c>
      <c r="C45" s="1" t="s">
        <v>44</v>
      </c>
      <c r="D45" s="1" t="s">
        <v>160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>
        <v>2</v>
      </c>
      <c r="V45" s="28"/>
      <c r="W45" s="28">
        <v>5</v>
      </c>
      <c r="X45" s="28"/>
      <c r="Y45" s="28"/>
      <c r="Z45" s="28"/>
      <c r="AA45" s="28">
        <v>2</v>
      </c>
      <c r="AB45" s="28"/>
      <c r="AC45" s="28"/>
      <c r="AD45" s="28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11</v>
      </c>
      <c r="BR45" s="1">
        <v>0</v>
      </c>
      <c r="BS45" s="17">
        <v>0</v>
      </c>
      <c r="BT45" s="17"/>
      <c r="BU45">
        <f>SUM(P45:AD45)</f>
        <v>11</v>
      </c>
      <c r="BV45" s="23">
        <f>AF45+AH45+AI45+AJ45+AO45+AP45</f>
        <v>0</v>
      </c>
    </row>
    <row r="46" spans="1:74">
      <c r="A46" s="1"/>
      <c r="B46" s="1" t="s">
        <v>193</v>
      </c>
      <c r="C46" s="1" t="s">
        <v>182</v>
      </c>
      <c r="D46" s="1" t="s">
        <v>73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>
        <v>2</v>
      </c>
      <c r="V46" s="28"/>
      <c r="W46" s="28"/>
      <c r="X46" s="28"/>
      <c r="Y46" s="28"/>
      <c r="Z46" s="28"/>
      <c r="AA46" s="28">
        <v>2</v>
      </c>
      <c r="AB46" s="28"/>
      <c r="AC46" s="28">
        <v>5</v>
      </c>
      <c r="AD46" s="28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11</v>
      </c>
      <c r="BR46" s="1">
        <v>0</v>
      </c>
      <c r="BS46" s="17">
        <v>0</v>
      </c>
      <c r="BT46" s="17"/>
      <c r="BU46">
        <f>SUM(P46:AD46)</f>
        <v>11</v>
      </c>
      <c r="BV46" s="23">
        <f>AF46+AH46+AI46+AJ46+AO46+AP46</f>
        <v>0</v>
      </c>
    </row>
    <row r="47" spans="1:74">
      <c r="A47" s="1"/>
      <c r="B47" s="3" t="s">
        <v>147</v>
      </c>
      <c r="C47" s="3" t="s">
        <v>44</v>
      </c>
      <c r="D47" s="1" t="s">
        <v>148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>
        <v>5</v>
      </c>
      <c r="U47" s="28"/>
      <c r="V47" s="28"/>
      <c r="W47" s="28">
        <v>5</v>
      </c>
      <c r="X47" s="28"/>
      <c r="Y47" s="28"/>
      <c r="Z47" s="28"/>
      <c r="AA47" s="28"/>
      <c r="AB47" s="28"/>
      <c r="AC47" s="28">
        <v>5</v>
      </c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20</v>
      </c>
      <c r="BR47" s="1">
        <v>0</v>
      </c>
      <c r="BS47" s="17">
        <v>0</v>
      </c>
      <c r="BT47" s="17"/>
      <c r="BU47">
        <f>SUM(P47:AD47)</f>
        <v>20</v>
      </c>
      <c r="BV47" s="23">
        <f>AF47+AH47+AI47+AJ47+AO47+AP47</f>
        <v>0</v>
      </c>
    </row>
    <row r="48" spans="1:74">
      <c r="A48" s="1"/>
      <c r="B48" s="1" t="s">
        <v>168</v>
      </c>
      <c r="C48" s="1" t="s">
        <v>32</v>
      </c>
      <c r="D48" s="1" t="s">
        <v>165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/>
      <c r="U48" s="28"/>
      <c r="V48" s="28"/>
      <c r="W48" s="28">
        <v>5</v>
      </c>
      <c r="X48" s="28"/>
      <c r="Y48" s="28"/>
      <c r="Z48" s="28">
        <v>5</v>
      </c>
      <c r="AA48" s="28"/>
      <c r="AB48" s="28"/>
      <c r="AC48" s="28">
        <v>5</v>
      </c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20</v>
      </c>
      <c r="BR48" s="1">
        <v>0</v>
      </c>
      <c r="BS48" s="17">
        <v>0</v>
      </c>
      <c r="BT48" s="17"/>
      <c r="BU48">
        <f>SUM(P48:AD48)</f>
        <v>20</v>
      </c>
      <c r="BV48" s="23">
        <f>AF48+AH48+AI48+AJ48+AO48+AP48</f>
        <v>0</v>
      </c>
    </row>
    <row r="49" spans="1:74">
      <c r="A49" s="1"/>
      <c r="B49" s="1" t="s">
        <v>179</v>
      </c>
      <c r="C49" s="1" t="s">
        <v>86</v>
      </c>
      <c r="D49" s="1" t="s">
        <v>180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>
        <v>5</v>
      </c>
      <c r="X49" s="28"/>
      <c r="Y49" s="28"/>
      <c r="Z49" s="28"/>
      <c r="AA49" s="28"/>
      <c r="AB49" s="28"/>
      <c r="AC49" s="28">
        <v>5</v>
      </c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20</v>
      </c>
      <c r="BR49" s="1">
        <v>0</v>
      </c>
      <c r="BS49" s="17">
        <v>0</v>
      </c>
      <c r="BT49" s="17"/>
      <c r="BU49">
        <f>SUM(P49:AD49)</f>
        <v>20</v>
      </c>
      <c r="BV49" s="23">
        <f>AF49+AH49+AI49+AJ49+AO49+AP49</f>
        <v>0</v>
      </c>
    </row>
    <row r="50" spans="1:74">
      <c r="A50" s="1"/>
      <c r="B50" s="3" t="s">
        <v>171</v>
      </c>
      <c r="C50" s="3" t="s">
        <v>151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>
        <v>2</v>
      </c>
      <c r="Y50" s="28"/>
      <c r="Z50" s="28"/>
      <c r="AA50" s="28">
        <v>2</v>
      </c>
      <c r="AB50" s="28"/>
      <c r="AC50" s="28">
        <v>5</v>
      </c>
      <c r="AD50" s="28">
        <v>2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11</v>
      </c>
      <c r="BR50" s="1">
        <v>0</v>
      </c>
      <c r="BS50" s="17">
        <v>0</v>
      </c>
      <c r="BT50" s="17"/>
      <c r="BU50">
        <f>SUM(P50:AD50)</f>
        <v>11</v>
      </c>
      <c r="BV50" s="23">
        <f>AF50+AH50+AI50+AJ50+AO50+AP50</f>
        <v>0</v>
      </c>
    </row>
    <row r="51" spans="1:74">
      <c r="A51" s="1"/>
      <c r="B51" s="3" t="s">
        <v>217</v>
      </c>
      <c r="C51" s="3" t="s">
        <v>218</v>
      </c>
      <c r="D51" s="1" t="s">
        <v>219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>
        <v>10</v>
      </c>
      <c r="W51" s="28"/>
      <c r="X51" s="28"/>
      <c r="Y51" s="28">
        <v>10</v>
      </c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50</v>
      </c>
      <c r="BR51" s="1">
        <v>0</v>
      </c>
      <c r="BS51" s="17">
        <v>0</v>
      </c>
      <c r="BT51" s="17"/>
      <c r="BU51">
        <f>SUM(P51:AD51)</f>
        <v>50</v>
      </c>
      <c r="BV51" s="23">
        <f>AF51+AH51+AI51+AJ51+AO51+AP51</f>
        <v>0</v>
      </c>
    </row>
    <row r="52" spans="1:74">
      <c r="A52" s="1"/>
      <c r="B52" s="3" t="s">
        <v>217</v>
      </c>
      <c r="C52" s="3" t="s">
        <v>218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10</v>
      </c>
      <c r="R52" s="28"/>
      <c r="S52" s="28"/>
      <c r="T52" s="28">
        <v>10</v>
      </c>
      <c r="U52" s="28"/>
      <c r="V52" s="28"/>
      <c r="W52" s="28">
        <v>10</v>
      </c>
      <c r="X52" s="28"/>
      <c r="Y52" s="28"/>
      <c r="Z52" s="28">
        <v>10</v>
      </c>
      <c r="AA52" s="28"/>
      <c r="AB52" s="28"/>
      <c r="AC52" s="28">
        <v>10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50</v>
      </c>
      <c r="BR52" s="1">
        <v>0</v>
      </c>
      <c r="BS52" s="17">
        <v>0</v>
      </c>
      <c r="BT52" s="17"/>
      <c r="BU52">
        <f>SUM(P52:AD52)</f>
        <v>50</v>
      </c>
      <c r="BV52" s="23">
        <f>AF52+AH52+AI52+AJ52+AO52+AP52</f>
        <v>0</v>
      </c>
    </row>
    <row r="53" spans="1:74">
      <c r="A53" s="1"/>
      <c r="B53" s="3" t="s">
        <v>220</v>
      </c>
      <c r="C53" s="3" t="s">
        <v>112</v>
      </c>
      <c r="D53" s="1" t="s">
        <v>219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/>
      <c r="U53" s="28"/>
      <c r="V53" s="28"/>
      <c r="W53" s="28">
        <v>5</v>
      </c>
      <c r="X53" s="28"/>
      <c r="Y53" s="28"/>
      <c r="Z53" s="28">
        <v>5</v>
      </c>
      <c r="AA53" s="28"/>
      <c r="AB53" s="28"/>
      <c r="AC53" s="28">
        <v>5</v>
      </c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20</v>
      </c>
      <c r="BR53" s="1">
        <v>0</v>
      </c>
      <c r="BS53" s="17">
        <v>0</v>
      </c>
      <c r="BT53" s="17"/>
      <c r="BU53">
        <f>SUM(P53:AD53)</f>
        <v>20</v>
      </c>
      <c r="BV53" s="23">
        <f>AF53+AH53+AI53+AJ53+AO53+AP53</f>
        <v>0</v>
      </c>
    </row>
    <row r="54" spans="1:74">
      <c r="A54" s="1"/>
      <c r="B54" s="3" t="s">
        <v>221</v>
      </c>
      <c r="C54" s="3" t="s">
        <v>112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2</v>
      </c>
      <c r="S54" s="28"/>
      <c r="T54" s="28">
        <v>5</v>
      </c>
      <c r="U54" s="28"/>
      <c r="V54" s="28"/>
      <c r="W54" s="28"/>
      <c r="X54" s="28">
        <v>2</v>
      </c>
      <c r="Y54" s="28"/>
      <c r="Z54" s="28"/>
      <c r="AA54" s="28"/>
      <c r="AB54" s="28"/>
      <c r="AC54" s="28"/>
      <c r="AD54" s="28">
        <v>2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11</v>
      </c>
      <c r="BR54" s="1">
        <v>0</v>
      </c>
      <c r="BS54" s="17">
        <v>0</v>
      </c>
      <c r="BT54" s="17"/>
      <c r="BU54">
        <f>SUM(P54:AD54)</f>
        <v>11</v>
      </c>
      <c r="BV54" s="23">
        <f>AF54+AH54+AI54+AJ54+AO54+AP54</f>
        <v>0</v>
      </c>
    </row>
    <row r="55" spans="1:74">
      <c r="A55" s="1"/>
      <c r="B55" s="3" t="s">
        <v>221</v>
      </c>
      <c r="C55" s="3" t="s">
        <v>112</v>
      </c>
      <c r="D55" s="1" t="s">
        <v>149</v>
      </c>
      <c r="E55" s="6"/>
      <c r="F55" s="6"/>
      <c r="G55" s="6"/>
      <c r="H55" s="6"/>
      <c r="I55" s="6"/>
      <c r="J55" s="6">
        <v>10</v>
      </c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>
        <v>10</v>
      </c>
      <c r="V55" s="28"/>
      <c r="W55" s="28"/>
      <c r="X55" s="28"/>
      <c r="Y55" s="28"/>
      <c r="Z55" s="28"/>
      <c r="AA55" s="28">
        <v>10</v>
      </c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0</v>
      </c>
      <c r="BS55" s="17">
        <v>0</v>
      </c>
      <c r="BT55" s="17"/>
      <c r="BU55">
        <f>SUM(P55:AD55)</f>
        <v>20</v>
      </c>
      <c r="BV55" s="23">
        <f>AF55+AH55+AI55+AJ55+AO55+AP55</f>
        <v>0</v>
      </c>
    </row>
    <row r="56" spans="1:74">
      <c r="A56" s="1"/>
      <c r="B56" s="3" t="s">
        <v>222</v>
      </c>
      <c r="C56" s="3" t="s">
        <v>112</v>
      </c>
      <c r="D56" s="1" t="s">
        <v>219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>
        <v>5</v>
      </c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20</v>
      </c>
      <c r="BR56" s="1">
        <v>0</v>
      </c>
      <c r="BS56" s="17">
        <v>0</v>
      </c>
      <c r="BT56" s="17"/>
      <c r="BU56">
        <f>SUM(P56:AD56)</f>
        <v>20</v>
      </c>
      <c r="BV56" s="23">
        <f>AF56+AH56+AI56+AJ56+AO56+AP56</f>
        <v>0</v>
      </c>
    </row>
    <row r="57" spans="1:74">
      <c r="A57" s="1"/>
      <c r="B57" s="3" t="s">
        <v>222</v>
      </c>
      <c r="C57" s="3" t="s">
        <v>112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2</v>
      </c>
      <c r="S57" s="28"/>
      <c r="T57" s="28"/>
      <c r="U57" s="28">
        <v>2</v>
      </c>
      <c r="V57" s="28"/>
      <c r="W57" s="28"/>
      <c r="X57" s="28"/>
      <c r="Y57" s="28"/>
      <c r="Z57" s="28"/>
      <c r="AA57" s="28"/>
      <c r="AB57" s="28"/>
      <c r="AC57" s="28">
        <v>5</v>
      </c>
      <c r="AD57" s="28">
        <v>2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11</v>
      </c>
      <c r="BR57" s="1">
        <v>0</v>
      </c>
      <c r="BS57" s="17">
        <v>0</v>
      </c>
      <c r="BT57" s="17"/>
      <c r="BU57">
        <f>SUM(P57:AD57)</f>
        <v>11</v>
      </c>
      <c r="BV57" s="23">
        <f>AF57+AH57+AI57+AJ57+AO57+AP57</f>
        <v>0</v>
      </c>
    </row>
    <row r="58" spans="1:74" s="44" customFormat="1">
      <c r="A58" s="1"/>
      <c r="B58" s="3" t="s">
        <v>223</v>
      </c>
      <c r="C58" s="3" t="s">
        <v>112</v>
      </c>
      <c r="D58" s="1" t="s">
        <v>219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>
        <v>5</v>
      </c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20</v>
      </c>
      <c r="BR58" s="1">
        <v>0</v>
      </c>
      <c r="BS58" s="17">
        <v>0</v>
      </c>
      <c r="BT58" s="17"/>
      <c r="BU58">
        <f>SUM(P58:AD58)</f>
        <v>20</v>
      </c>
      <c r="BV58" s="23">
        <f>AF58+AH58+AI58+AJ58+AO58+AP58</f>
        <v>0</v>
      </c>
    </row>
    <row r="59" spans="1:74" s="44" customFormat="1">
      <c r="A59" s="1"/>
      <c r="B59" s="3" t="s">
        <v>223</v>
      </c>
      <c r="C59" s="3" t="s">
        <v>112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>
        <v>2</v>
      </c>
      <c r="V59" s="28"/>
      <c r="W59" s="28"/>
      <c r="X59" s="28"/>
      <c r="Y59" s="28"/>
      <c r="Z59" s="28"/>
      <c r="AA59" s="28">
        <v>2</v>
      </c>
      <c r="AB59" s="28"/>
      <c r="AC59" s="28">
        <v>5</v>
      </c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0</v>
      </c>
      <c r="BS59" s="17">
        <v>0</v>
      </c>
      <c r="BT59" s="17"/>
      <c r="BU59">
        <f>SUM(P59:AD59)</f>
        <v>11</v>
      </c>
      <c r="BV59" s="23">
        <f>AF59+AH59+AI59+AJ59+AO59+AP59</f>
        <v>0</v>
      </c>
    </row>
    <row r="60" spans="1:74" s="44" customFormat="1">
      <c r="A60" s="1"/>
      <c r="B60" s="3" t="s">
        <v>223</v>
      </c>
      <c r="C60" s="3" t="s">
        <v>112</v>
      </c>
      <c r="D60" s="1" t="s">
        <v>149</v>
      </c>
      <c r="E60" s="6">
        <v>10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>
        <v>10</v>
      </c>
      <c r="S60" s="28"/>
      <c r="T60" s="28"/>
      <c r="U60" s="28">
        <v>10</v>
      </c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>
        <v>10</v>
      </c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0</v>
      </c>
      <c r="BS60" s="17">
        <v>0</v>
      </c>
      <c r="BT60" s="17"/>
      <c r="BU60">
        <f>SUM(P60:AD60)</f>
        <v>20</v>
      </c>
      <c r="BV60" s="23">
        <f>AF60+AH60+AI60+AJ60+AO60+AP60</f>
        <v>0</v>
      </c>
    </row>
    <row r="61" spans="1:74" s="44" customFormat="1">
      <c r="A61" s="1"/>
      <c r="B61" s="3" t="s">
        <v>225</v>
      </c>
      <c r="C61" s="3" t="s">
        <v>224</v>
      </c>
      <c r="D61" s="1" t="s">
        <v>219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>
        <v>5</v>
      </c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20</v>
      </c>
      <c r="BR61" s="1">
        <v>0</v>
      </c>
      <c r="BS61" s="17">
        <v>0</v>
      </c>
      <c r="BT61" s="17"/>
      <c r="BU61">
        <f>SUM(P61:AD61)</f>
        <v>20</v>
      </c>
      <c r="BV61" s="23">
        <f>AF61+AH61+AI61+AJ61+AO61+AP61</f>
        <v>0</v>
      </c>
    </row>
    <row r="62" spans="1:74" s="44" customFormat="1">
      <c r="A62" s="1"/>
      <c r="B62" s="3" t="s">
        <v>225</v>
      </c>
      <c r="C62" s="3" t="s">
        <v>224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>
        <v>2</v>
      </c>
      <c r="S62" s="28"/>
      <c r="T62" s="28"/>
      <c r="U62" s="28">
        <v>2</v>
      </c>
      <c r="V62" s="28"/>
      <c r="W62" s="28"/>
      <c r="X62" s="28"/>
      <c r="Y62" s="28"/>
      <c r="Z62" s="28"/>
      <c r="AA62" s="28"/>
      <c r="AB62" s="28"/>
      <c r="AC62" s="28">
        <v>5</v>
      </c>
      <c r="AD62" s="28">
        <v>2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11</v>
      </c>
      <c r="BR62" s="1">
        <v>0</v>
      </c>
      <c r="BS62" s="17">
        <v>0</v>
      </c>
      <c r="BT62" s="17"/>
      <c r="BU62">
        <f>SUM(P62:AD62)</f>
        <v>11</v>
      </c>
      <c r="BV62" s="23">
        <f>AF62+AH62+AI62+AJ62+AO62+AP62</f>
        <v>0</v>
      </c>
    </row>
    <row r="63" spans="1:74" s="44" customFormat="1">
      <c r="A63" s="1"/>
      <c r="B63" s="1" t="s">
        <v>189</v>
      </c>
      <c r="C63" s="1" t="s">
        <v>46</v>
      </c>
      <c r="D63" s="1" t="s">
        <v>160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>
        <v>2</v>
      </c>
      <c r="Y63" s="28"/>
      <c r="Z63" s="28"/>
      <c r="AA63" s="28">
        <v>2</v>
      </c>
      <c r="AB63" s="28"/>
      <c r="AC63" s="28">
        <v>5</v>
      </c>
      <c r="AD63" s="28">
        <v>2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11</v>
      </c>
      <c r="BR63" s="1">
        <v>0</v>
      </c>
      <c r="BS63" s="17">
        <v>0</v>
      </c>
      <c r="BT63" s="17"/>
      <c r="BU63">
        <f>SUM(P63:AD63)</f>
        <v>11</v>
      </c>
      <c r="BV63" s="23">
        <f>AF63+AH63+AI63+AJ63+AO63+AP63</f>
        <v>0</v>
      </c>
    </row>
    <row r="64" spans="1:74" s="44" customFormat="1">
      <c r="A64" s="18">
        <v>64</v>
      </c>
      <c r="B64" s="24" t="s">
        <v>183</v>
      </c>
      <c r="C64" s="18" t="s">
        <v>38</v>
      </c>
      <c r="D64" s="18" t="s">
        <v>0</v>
      </c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18"/>
      <c r="AF64" s="18"/>
      <c r="AG64" s="18"/>
      <c r="AH64" s="18"/>
      <c r="AI64" s="18"/>
      <c r="AJ64" s="18"/>
      <c r="AK64" s="18"/>
      <c r="AL64" s="18"/>
      <c r="AM64" s="18"/>
      <c r="AN64" s="18">
        <v>15</v>
      </c>
      <c r="AO64" s="18"/>
      <c r="AP64" s="18"/>
      <c r="AQ64" s="20"/>
      <c r="AR64" s="20"/>
      <c r="AS64" s="20"/>
      <c r="AT64" s="20"/>
      <c r="AU64" s="20"/>
      <c r="AV64" s="20"/>
      <c r="AW64" s="21"/>
      <c r="AX64" s="21"/>
      <c r="AY64" s="21"/>
      <c r="AZ64" s="21"/>
      <c r="BA64" s="21"/>
      <c r="BB64" s="21"/>
      <c r="BC64" s="26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>
        <f>SUM(E64:BP64)</f>
        <v>15</v>
      </c>
      <c r="BR64" s="18">
        <v>3</v>
      </c>
      <c r="BS64" s="22">
        <v>1</v>
      </c>
      <c r="BT64" s="22" t="s">
        <v>237</v>
      </c>
      <c r="BU64">
        <f>SUM(P64:AD64)</f>
        <v>0</v>
      </c>
      <c r="BV64" s="23">
        <f>AF64+AH64+AI64+AJ64+AO64+AP64</f>
        <v>0</v>
      </c>
    </row>
    <row r="65" spans="1:74" s="44" customFormat="1">
      <c r="A65" s="1"/>
      <c r="B65" s="3" t="s">
        <v>194</v>
      </c>
      <c r="C65" s="3" t="s">
        <v>176</v>
      </c>
      <c r="D65" s="1" t="s">
        <v>89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8"/>
      <c r="Q65" s="28"/>
      <c r="R65" s="28">
        <v>10</v>
      </c>
      <c r="S65" s="28"/>
      <c r="T65" s="28"/>
      <c r="U65" s="28">
        <v>10</v>
      </c>
      <c r="V65" s="28"/>
      <c r="W65" s="28"/>
      <c r="X65" s="28"/>
      <c r="Y65" s="28"/>
      <c r="Z65" s="28"/>
      <c r="AA65" s="28"/>
      <c r="AB65" s="28"/>
      <c r="AC65" s="28"/>
      <c r="AD65" s="28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4</v>
      </c>
      <c r="BS65" s="17">
        <v>1</v>
      </c>
      <c r="BT65" s="17" t="s">
        <v>233</v>
      </c>
      <c r="BU65">
        <f>SUM(P65:AD65)</f>
        <v>30</v>
      </c>
      <c r="BV65" s="23">
        <f>AF65+AH65+AI65+AJ65+AO65+AP65</f>
        <v>0</v>
      </c>
    </row>
    <row r="66" spans="1:74" s="44" customFormat="1">
      <c r="A66" s="1"/>
      <c r="B66" s="3" t="s">
        <v>147</v>
      </c>
      <c r="C66" s="3" t="s">
        <v>44</v>
      </c>
      <c r="D66" s="1" t="s">
        <v>149</v>
      </c>
      <c r="E66" s="6"/>
      <c r="F66" s="6"/>
      <c r="G66" s="6"/>
      <c r="H66" s="6"/>
      <c r="I66" s="6"/>
      <c r="J66" s="6"/>
      <c r="K66" s="6"/>
      <c r="L66" s="6"/>
      <c r="M66" s="6">
        <v>10</v>
      </c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>
        <v>10</v>
      </c>
      <c r="AB66" s="28"/>
      <c r="AC66" s="28"/>
      <c r="AD66" s="28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10</v>
      </c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40</v>
      </c>
      <c r="BR66" s="1">
        <v>4</v>
      </c>
      <c r="BS66" s="17">
        <v>1</v>
      </c>
      <c r="BT66" s="17" t="s">
        <v>233</v>
      </c>
      <c r="BU66">
        <f>SUM(P66:AD66)</f>
        <v>20</v>
      </c>
      <c r="BV66" s="23">
        <f>AF66+AH66+AI66+AJ66+AO66+AP66</f>
        <v>0</v>
      </c>
    </row>
    <row r="67" spans="1:74" s="44" customFormat="1">
      <c r="A67" s="1"/>
      <c r="B67" s="3" t="s">
        <v>230</v>
      </c>
      <c r="C67" s="3" t="s">
        <v>21</v>
      </c>
      <c r="D67" s="1" t="s">
        <v>149</v>
      </c>
      <c r="E67" s="6"/>
      <c r="F67" s="6"/>
      <c r="G67" s="6"/>
      <c r="H67" s="6"/>
      <c r="I67" s="6"/>
      <c r="J67" s="6"/>
      <c r="K67" s="6"/>
      <c r="L67" s="6"/>
      <c r="M67" s="6">
        <v>10</v>
      </c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>
        <v>10</v>
      </c>
      <c r="AB67" s="28"/>
      <c r="AC67" s="28"/>
      <c r="AD67" s="28">
        <v>10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>
        <v>10</v>
      </c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4</v>
      </c>
      <c r="BS67" s="17">
        <v>1</v>
      </c>
      <c r="BT67" s="17" t="s">
        <v>233</v>
      </c>
      <c r="BU67">
        <f>SUM(P67:AD67)</f>
        <v>20</v>
      </c>
      <c r="BV67" s="23">
        <f>AF67+AH67+AI67+AJ67+AO67+AP67</f>
        <v>0</v>
      </c>
    </row>
    <row r="68" spans="1:74" s="44" customFormat="1">
      <c r="A68" s="1"/>
      <c r="B68" s="3" t="s">
        <v>198</v>
      </c>
      <c r="C68" s="3" t="s">
        <v>152</v>
      </c>
      <c r="D68" s="1" t="s">
        <v>149</v>
      </c>
      <c r="E68" s="6"/>
      <c r="F68" s="6"/>
      <c r="G68" s="6"/>
      <c r="H68" s="6"/>
      <c r="I68" s="6"/>
      <c r="J68" s="6"/>
      <c r="K68" s="6"/>
      <c r="L68" s="6"/>
      <c r="M68" s="6">
        <v>10</v>
      </c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>
        <v>10</v>
      </c>
      <c r="AB68" s="28"/>
      <c r="AC68" s="28"/>
      <c r="AD68" s="28">
        <v>10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>
        <v>10</v>
      </c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40</v>
      </c>
      <c r="BR68" s="1">
        <v>4</v>
      </c>
      <c r="BS68" s="17">
        <v>1</v>
      </c>
      <c r="BT68" s="17" t="s">
        <v>233</v>
      </c>
      <c r="BU68">
        <f>SUM(P68:AD68)</f>
        <v>20</v>
      </c>
      <c r="BV68" s="23">
        <f>AF68+AH68+AI68+AJ68+AO68+AP68</f>
        <v>0</v>
      </c>
    </row>
    <row r="69" spans="1:74" s="44" customFormat="1">
      <c r="A69" s="1"/>
      <c r="B69" s="1" t="s">
        <v>179</v>
      </c>
      <c r="C69" s="1" t="s">
        <v>86</v>
      </c>
      <c r="D69" s="1" t="s">
        <v>181</v>
      </c>
      <c r="E69" s="6"/>
      <c r="F69" s="6"/>
      <c r="G69" s="6"/>
      <c r="H69" s="6"/>
      <c r="I69" s="6"/>
      <c r="J69" s="6"/>
      <c r="K69" s="6"/>
      <c r="L69" s="6"/>
      <c r="M69" s="6">
        <v>10</v>
      </c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>
        <v>10</v>
      </c>
      <c r="AB69" s="28"/>
      <c r="AC69" s="28"/>
      <c r="AD69" s="28">
        <v>10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>
        <v>10</v>
      </c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40</v>
      </c>
      <c r="BR69" s="1">
        <v>4</v>
      </c>
      <c r="BS69" s="17">
        <v>1</v>
      </c>
      <c r="BT69" s="17" t="s">
        <v>233</v>
      </c>
      <c r="BU69">
        <f>SUM(P69:AD69)</f>
        <v>20</v>
      </c>
      <c r="BV69" s="23">
        <f>AF69+AH69+AI69+AJ69+AO69+AP69</f>
        <v>0</v>
      </c>
    </row>
    <row r="70" spans="1:74" s="44" customFormat="1">
      <c r="A70" s="1"/>
      <c r="B70" s="1" t="s">
        <v>193</v>
      </c>
      <c r="C70" s="1" t="s">
        <v>182</v>
      </c>
      <c r="D70" s="1" t="s">
        <v>181</v>
      </c>
      <c r="E70" s="6"/>
      <c r="F70" s="6"/>
      <c r="G70" s="6"/>
      <c r="H70" s="6"/>
      <c r="I70" s="6"/>
      <c r="J70" s="6"/>
      <c r="K70" s="6"/>
      <c r="L70" s="6"/>
      <c r="M70" s="6">
        <v>10</v>
      </c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>
        <v>10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4</v>
      </c>
      <c r="BS70" s="17">
        <v>1</v>
      </c>
      <c r="BT70" s="17" t="s">
        <v>233</v>
      </c>
      <c r="BU70">
        <f>SUM(P70:AD70)</f>
        <v>30</v>
      </c>
      <c r="BV70" s="23">
        <f>AF70+AH70+AI70+AJ70+AO70+AP70</f>
        <v>0</v>
      </c>
    </row>
    <row r="71" spans="1:74" s="44" customFormat="1">
      <c r="A71" s="1"/>
      <c r="B71" s="1" t="s">
        <v>170</v>
      </c>
      <c r="C71" s="1" t="s">
        <v>110</v>
      </c>
      <c r="D71" s="1" t="s">
        <v>89</v>
      </c>
      <c r="E71" s="6"/>
      <c r="F71" s="6"/>
      <c r="G71" s="6"/>
      <c r="H71" s="6"/>
      <c r="I71" s="6"/>
      <c r="J71" s="6"/>
      <c r="K71" s="6"/>
      <c r="L71" s="6">
        <v>7</v>
      </c>
      <c r="M71" s="6"/>
      <c r="N71" s="6"/>
      <c r="O71" s="6"/>
      <c r="P71" s="28"/>
      <c r="Q71" s="28">
        <v>7</v>
      </c>
      <c r="R71" s="28"/>
      <c r="S71" s="28"/>
      <c r="T71" s="28">
        <v>7</v>
      </c>
      <c r="U71" s="28"/>
      <c r="V71" s="28"/>
      <c r="W71" s="28"/>
      <c r="X71" s="28">
        <v>7</v>
      </c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28</v>
      </c>
      <c r="BR71" s="1">
        <v>5</v>
      </c>
      <c r="BS71" s="17">
        <v>1</v>
      </c>
      <c r="BT71" s="17" t="s">
        <v>232</v>
      </c>
      <c r="BU71">
        <f>SUM(P71:AD71)</f>
        <v>21</v>
      </c>
      <c r="BV71" s="23">
        <f>AF71+AH71+AI71+AJ71+AO71+AP71</f>
        <v>0</v>
      </c>
    </row>
    <row r="72" spans="1:74" s="44" customFormat="1">
      <c r="A72" s="18">
        <v>32</v>
      </c>
      <c r="B72" s="18" t="s">
        <v>54</v>
      </c>
      <c r="C72" s="18" t="s">
        <v>21</v>
      </c>
      <c r="D72" s="18" t="s">
        <v>17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>
        <v>5</v>
      </c>
      <c r="AJ72" s="18"/>
      <c r="AK72" s="18"/>
      <c r="AL72" s="18"/>
      <c r="AM72" s="18"/>
      <c r="AN72" s="18"/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>
        <f>SUM(E72:BP72)</f>
        <v>5</v>
      </c>
      <c r="BR72" s="18">
        <v>5</v>
      </c>
      <c r="BS72" s="22">
        <v>1</v>
      </c>
      <c r="BT72" s="22" t="s">
        <v>238</v>
      </c>
      <c r="BU72">
        <f>SUM(P72:AD72)</f>
        <v>0</v>
      </c>
      <c r="BV72" s="23">
        <f>AF72+AH72+AI72+AJ72+AO72+AP72</f>
        <v>5</v>
      </c>
    </row>
    <row r="73" spans="1:74" s="44" customFormat="1">
      <c r="A73" s="18">
        <v>33</v>
      </c>
      <c r="B73" s="18" t="s">
        <v>54</v>
      </c>
      <c r="C73" s="18" t="s">
        <v>21</v>
      </c>
      <c r="D73" s="18" t="s">
        <v>0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>
        <v>5</v>
      </c>
      <c r="AI73" s="18"/>
      <c r="AJ73" s="18"/>
      <c r="AK73" s="18"/>
      <c r="AL73" s="18"/>
      <c r="AM73" s="18"/>
      <c r="AN73" s="18"/>
      <c r="AO73" s="18"/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>
        <f>SUM(E73:BP73)</f>
        <v>5</v>
      </c>
      <c r="BR73" s="18">
        <v>5</v>
      </c>
      <c r="BS73" s="22">
        <v>1</v>
      </c>
      <c r="BT73" s="22" t="s">
        <v>239</v>
      </c>
      <c r="BU73">
        <f>SUM(P73:AD73)</f>
        <v>0</v>
      </c>
      <c r="BV73" s="23">
        <f>AF73+AH73+AI73+AJ73+AO73+AP73</f>
        <v>5</v>
      </c>
    </row>
    <row r="74" spans="1:74" s="44" customFormat="1">
      <c r="A74" s="18"/>
      <c r="B74" s="18" t="s">
        <v>83</v>
      </c>
      <c r="C74" s="18" t="s">
        <v>81</v>
      </c>
      <c r="D74" s="18" t="s">
        <v>78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>
        <v>5</v>
      </c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>
        <f>SUM(E74:BP74)</f>
        <v>5</v>
      </c>
      <c r="BR74" s="18">
        <v>5</v>
      </c>
      <c r="BS74" s="22">
        <v>1</v>
      </c>
      <c r="BT74" s="22" t="s">
        <v>239</v>
      </c>
      <c r="BU74">
        <f>SUM(P74:AD74)</f>
        <v>0</v>
      </c>
      <c r="BV74" s="23">
        <f>AF74+AH74+AI74+AJ74+AO74+AP74</f>
        <v>5</v>
      </c>
    </row>
    <row r="75" spans="1:74" s="44" customFormat="1">
      <c r="A75" s="18"/>
      <c r="B75" s="18" t="s">
        <v>83</v>
      </c>
      <c r="C75" s="18" t="s">
        <v>81</v>
      </c>
      <c r="D75" s="18" t="s">
        <v>74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>
        <v>5</v>
      </c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>
        <f>SUM(E75:BP75)</f>
        <v>5</v>
      </c>
      <c r="BR75" s="18">
        <v>5</v>
      </c>
      <c r="BS75" s="22">
        <v>1</v>
      </c>
      <c r="BT75" s="22" t="s">
        <v>238</v>
      </c>
      <c r="BU75">
        <f>SUM(P75:AD75)</f>
        <v>0</v>
      </c>
      <c r="BV75" s="23">
        <f>AF75+AH75+AI75+AJ75+AO75+AP75</f>
        <v>5</v>
      </c>
    </row>
    <row r="76" spans="1:74" s="44" customFormat="1">
      <c r="A76" s="1"/>
      <c r="B76" s="1" t="s">
        <v>98</v>
      </c>
      <c r="C76" s="1" t="s">
        <v>86</v>
      </c>
      <c r="D76" s="1" t="s">
        <v>89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>
        <v>10</v>
      </c>
      <c r="P76" s="28"/>
      <c r="Q76" s="28"/>
      <c r="R76" s="28">
        <v>10</v>
      </c>
      <c r="S76" s="28"/>
      <c r="T76" s="28"/>
      <c r="U76" s="28"/>
      <c r="V76" s="28"/>
      <c r="W76" s="28"/>
      <c r="X76" s="28">
        <v>10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>
        <v>10</v>
      </c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40</v>
      </c>
      <c r="BR76" s="1">
        <v>8</v>
      </c>
      <c r="BS76" s="17">
        <v>1</v>
      </c>
      <c r="BT76" s="17" t="s">
        <v>231</v>
      </c>
      <c r="BU76">
        <f>SUM(P76:AD76)</f>
        <v>20</v>
      </c>
      <c r="BV76" s="23">
        <f>AF76+AH76+AI76+AJ76+AO76+AP76</f>
        <v>0</v>
      </c>
    </row>
    <row r="77" spans="1:74" s="44" customFormat="1">
      <c r="A77" s="1"/>
      <c r="B77" s="3" t="s">
        <v>205</v>
      </c>
      <c r="C77" s="3" t="s">
        <v>85</v>
      </c>
      <c r="D77" s="1" t="s">
        <v>149</v>
      </c>
      <c r="E77" s="6"/>
      <c r="F77" s="6"/>
      <c r="G77" s="6"/>
      <c r="H77" s="6"/>
      <c r="I77" s="6">
        <v>10</v>
      </c>
      <c r="J77" s="6"/>
      <c r="K77" s="6"/>
      <c r="L77" s="6"/>
      <c r="M77" s="6"/>
      <c r="N77" s="6"/>
      <c r="O77" s="6"/>
      <c r="P77" s="28"/>
      <c r="Q77" s="28"/>
      <c r="R77" s="28">
        <v>10</v>
      </c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40</v>
      </c>
      <c r="BR77" s="1">
        <v>8</v>
      </c>
      <c r="BS77" s="17">
        <v>1</v>
      </c>
      <c r="BT77" s="17" t="s">
        <v>231</v>
      </c>
      <c r="BU77">
        <f>SUM(P77:AD77)</f>
        <v>20</v>
      </c>
      <c r="BV77" s="23">
        <f>AF77+AH77+AI77+AJ77+AO77+AP77</f>
        <v>0</v>
      </c>
    </row>
    <row r="78" spans="1:74" s="44" customFormat="1">
      <c r="A78" s="1"/>
      <c r="B78" s="1" t="s">
        <v>162</v>
      </c>
      <c r="C78" s="1" t="s">
        <v>44</v>
      </c>
      <c r="D78" s="1" t="s">
        <v>161</v>
      </c>
      <c r="E78" s="6"/>
      <c r="F78" s="6"/>
      <c r="G78" s="6"/>
      <c r="H78" s="6"/>
      <c r="I78" s="6">
        <v>10</v>
      </c>
      <c r="J78" s="6"/>
      <c r="K78" s="6"/>
      <c r="L78" s="6"/>
      <c r="M78" s="6"/>
      <c r="N78" s="6"/>
      <c r="O78" s="6"/>
      <c r="P78" s="28"/>
      <c r="Q78" s="28"/>
      <c r="R78" s="28">
        <v>10</v>
      </c>
      <c r="S78" s="28"/>
      <c r="T78" s="28"/>
      <c r="U78" s="28"/>
      <c r="V78" s="28"/>
      <c r="W78" s="28"/>
      <c r="X78" s="28">
        <v>10</v>
      </c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>
        <v>10</v>
      </c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40</v>
      </c>
      <c r="BR78" s="1">
        <v>8</v>
      </c>
      <c r="BS78" s="17">
        <v>1</v>
      </c>
      <c r="BT78" s="17" t="s">
        <v>231</v>
      </c>
      <c r="BU78">
        <f>SUM(P78:AD78)</f>
        <v>20</v>
      </c>
      <c r="BV78" s="23">
        <f>AF78+AH78+AI78+AJ78+AO78+AP78</f>
        <v>0</v>
      </c>
    </row>
    <row r="79" spans="1:74" s="44" customFormat="1">
      <c r="A79" s="1"/>
      <c r="B79" s="1" t="s">
        <v>207</v>
      </c>
      <c r="C79" s="1" t="s">
        <v>46</v>
      </c>
      <c r="D79" s="1" t="s">
        <v>161</v>
      </c>
      <c r="E79" s="6"/>
      <c r="F79" s="6"/>
      <c r="G79" s="6"/>
      <c r="H79" s="6"/>
      <c r="I79" s="6">
        <v>10</v>
      </c>
      <c r="J79" s="6"/>
      <c r="K79" s="6"/>
      <c r="L79" s="6"/>
      <c r="M79" s="6"/>
      <c r="N79" s="6"/>
      <c r="O79" s="6"/>
      <c r="P79" s="28"/>
      <c r="Q79" s="28"/>
      <c r="R79" s="28">
        <v>10</v>
      </c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>
        <v>10</v>
      </c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40</v>
      </c>
      <c r="BR79" s="1">
        <v>8</v>
      </c>
      <c r="BS79" s="17">
        <v>1</v>
      </c>
      <c r="BT79" s="17" t="s">
        <v>231</v>
      </c>
      <c r="BU79">
        <f>SUM(P79:AD79)</f>
        <v>20</v>
      </c>
      <c r="BV79" s="23">
        <f>AF79+AH79+AI79+AJ79+AO79+AP79</f>
        <v>0</v>
      </c>
    </row>
    <row r="80" spans="1:74" s="44" customFormat="1">
      <c r="A80" s="1"/>
      <c r="B80" s="3" t="s">
        <v>192</v>
      </c>
      <c r="C80" s="3" t="s">
        <v>38</v>
      </c>
      <c r="D80" s="1" t="s">
        <v>89</v>
      </c>
      <c r="E80" s="6"/>
      <c r="F80" s="6"/>
      <c r="G80" s="6"/>
      <c r="H80" s="6"/>
      <c r="I80" s="6"/>
      <c r="J80" s="6"/>
      <c r="K80" s="6">
        <v>15</v>
      </c>
      <c r="L80" s="6"/>
      <c r="M80" s="6"/>
      <c r="N80" s="6"/>
      <c r="O80" s="6"/>
      <c r="P80" s="28"/>
      <c r="Q80" s="28"/>
      <c r="R80" s="28">
        <v>10</v>
      </c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>
        <v>15</v>
      </c>
      <c r="AX80" s="2">
        <v>15</v>
      </c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65</v>
      </c>
      <c r="BR80" s="1">
        <v>8</v>
      </c>
      <c r="BS80" s="17">
        <v>1</v>
      </c>
      <c r="BT80" s="17" t="s">
        <v>231</v>
      </c>
      <c r="BU80">
        <f>SUM(P80:AD80)</f>
        <v>20</v>
      </c>
      <c r="BV80" s="23">
        <f>AF80+AH80+AI80+AJ80+AO80+AP80</f>
        <v>0</v>
      </c>
    </row>
    <row r="81" spans="1:74" s="44" customFormat="1">
      <c r="A81" s="1"/>
      <c r="B81" s="3" t="s">
        <v>222</v>
      </c>
      <c r="C81" s="3" t="s">
        <v>112</v>
      </c>
      <c r="D81" s="1" t="s">
        <v>149</v>
      </c>
      <c r="E81" s="6"/>
      <c r="F81" s="6"/>
      <c r="G81" s="6"/>
      <c r="H81" s="6"/>
      <c r="I81" s="6">
        <v>10</v>
      </c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>
        <v>10</v>
      </c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8</v>
      </c>
      <c r="BS81" s="17">
        <v>1</v>
      </c>
      <c r="BT81" s="17" t="s">
        <v>231</v>
      </c>
      <c r="BU81">
        <f>SUM(P81:AD81)</f>
        <v>20</v>
      </c>
      <c r="BV81" s="23">
        <f>AF81+AH81+AI81+AJ81+AO81+AP81</f>
        <v>0</v>
      </c>
    </row>
    <row r="82" spans="1:74" s="44" customFormat="1">
      <c r="A82" s="1"/>
      <c r="B82" s="3" t="s">
        <v>225</v>
      </c>
      <c r="C82" s="3" t="s">
        <v>224</v>
      </c>
      <c r="D82" s="1" t="s">
        <v>149</v>
      </c>
      <c r="E82" s="6"/>
      <c r="F82" s="6"/>
      <c r="G82" s="6"/>
      <c r="H82" s="6"/>
      <c r="I82" s="6">
        <v>10</v>
      </c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>
        <v>10</v>
      </c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8</v>
      </c>
      <c r="BS82" s="17">
        <v>1</v>
      </c>
      <c r="BT82" s="17" t="s">
        <v>231</v>
      </c>
      <c r="BU82">
        <f>SUM(P82:AD82)</f>
        <v>20</v>
      </c>
      <c r="BV82" s="23">
        <f>AF82+AH82+AI82+AJ82+AO82+AP82</f>
        <v>0</v>
      </c>
    </row>
    <row r="83" spans="1:74" s="44" customFormat="1">
      <c r="A83" s="1"/>
      <c r="B83" s="1" t="s">
        <v>203</v>
      </c>
      <c r="C83" s="1" t="s">
        <v>112</v>
      </c>
      <c r="D83" s="1" t="s">
        <v>89</v>
      </c>
      <c r="E83" s="6"/>
      <c r="F83" s="6"/>
      <c r="G83" s="6"/>
      <c r="H83" s="6">
        <v>10</v>
      </c>
      <c r="I83" s="6"/>
      <c r="J83" s="6"/>
      <c r="K83" s="6"/>
      <c r="L83" s="6"/>
      <c r="M83" s="6"/>
      <c r="N83" s="6"/>
      <c r="O83" s="6"/>
      <c r="P83" s="28"/>
      <c r="Q83" s="28"/>
      <c r="R83" s="28">
        <v>10</v>
      </c>
      <c r="S83" s="28"/>
      <c r="T83" s="28"/>
      <c r="U83" s="28">
        <v>10</v>
      </c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>
        <v>10</v>
      </c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10</v>
      </c>
      <c r="BS83" s="17">
        <v>1</v>
      </c>
      <c r="BT83" s="17" t="s">
        <v>240</v>
      </c>
      <c r="BU83">
        <f>SUM(P83:AD83)</f>
        <v>20</v>
      </c>
      <c r="BV83" s="23">
        <f>AF83+AH83+AI83+AJ83+AO83+AP83</f>
        <v>0</v>
      </c>
    </row>
    <row r="84" spans="1:74" s="44" customFormat="1">
      <c r="A84" s="1">
        <v>98</v>
      </c>
      <c r="B84" s="3" t="s">
        <v>115</v>
      </c>
      <c r="C84" s="3" t="s">
        <v>46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>
        <v>50</v>
      </c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50</v>
      </c>
      <c r="BR84" s="1">
        <v>17</v>
      </c>
      <c r="BS84" s="17">
        <v>1</v>
      </c>
      <c r="BT84" s="17" t="s">
        <v>244</v>
      </c>
      <c r="BU84">
        <f>SUM(P84:AD84)</f>
        <v>0</v>
      </c>
      <c r="BV84" s="23">
        <f>AF84+AH84+AI84+AJ84+AO84+AP84</f>
        <v>0</v>
      </c>
    </row>
    <row r="85" spans="1:74" s="44" customFormat="1">
      <c r="A85" s="1"/>
      <c r="B85" s="1" t="s">
        <v>211</v>
      </c>
      <c r="C85" s="1" t="s">
        <v>81</v>
      </c>
      <c r="D85" s="1" t="s">
        <v>82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>
        <v>50</v>
      </c>
      <c r="BL85" s="1">
        <v>50</v>
      </c>
      <c r="BM85" s="1"/>
      <c r="BN85" s="1"/>
      <c r="BO85" s="1">
        <v>50</v>
      </c>
      <c r="BP85" s="1">
        <v>50</v>
      </c>
      <c r="BQ85" s="1">
        <f>SUM(E85:BP85)</f>
        <v>200</v>
      </c>
      <c r="BR85" s="1">
        <v>47</v>
      </c>
      <c r="BS85" s="17">
        <v>1</v>
      </c>
      <c r="BT85" s="17" t="s">
        <v>245</v>
      </c>
      <c r="BU85">
        <f>SUM(P85:AD85)</f>
        <v>0</v>
      </c>
      <c r="BV85" s="23">
        <f>AF85+AH85+AI85+AJ85+AO85+AP85</f>
        <v>0</v>
      </c>
    </row>
    <row r="86" spans="1:74" s="44" customFormat="1">
      <c r="A86" s="1"/>
      <c r="B86" s="1" t="s">
        <v>212</v>
      </c>
      <c r="C86" s="1" t="s">
        <v>111</v>
      </c>
      <c r="D86" s="1" t="s">
        <v>25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>
        <v>50</v>
      </c>
      <c r="BL86" s="1">
        <v>50</v>
      </c>
      <c r="BM86" s="1"/>
      <c r="BN86" s="1"/>
      <c r="BO86" s="1">
        <v>50</v>
      </c>
      <c r="BP86" s="1">
        <v>50</v>
      </c>
      <c r="BQ86" s="1">
        <f>SUM(E86:BP86)</f>
        <v>200</v>
      </c>
      <c r="BR86" s="1">
        <v>47</v>
      </c>
      <c r="BS86" s="17">
        <v>1</v>
      </c>
      <c r="BT86" s="17" t="s">
        <v>245</v>
      </c>
      <c r="BU86">
        <f>SUM(P86:AD86)</f>
        <v>0</v>
      </c>
      <c r="BV86" s="23">
        <f>AF86+AH86+AI86+AJ86+AO86+AP86</f>
        <v>0</v>
      </c>
    </row>
    <row r="87" spans="1:74" s="44" customFormat="1">
      <c r="A87" s="1">
        <v>102</v>
      </c>
      <c r="B87" s="3" t="s">
        <v>134</v>
      </c>
      <c r="C87" s="3" t="s">
        <v>46</v>
      </c>
      <c r="D87" s="1" t="s">
        <v>25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>
        <v>50</v>
      </c>
      <c r="BL87" s="1">
        <v>50</v>
      </c>
      <c r="BM87" s="1"/>
      <c r="BN87" s="1"/>
      <c r="BO87" s="1">
        <v>50</v>
      </c>
      <c r="BP87" s="1">
        <v>50</v>
      </c>
      <c r="BQ87" s="1">
        <f>SUM(E87:BP87)</f>
        <v>200</v>
      </c>
      <c r="BR87" s="1">
        <v>47</v>
      </c>
      <c r="BS87" s="17">
        <v>1</v>
      </c>
      <c r="BT87" s="17" t="s">
        <v>246</v>
      </c>
      <c r="BU87">
        <f>SUM(P87:AD87)</f>
        <v>0</v>
      </c>
      <c r="BV87" s="23">
        <f>AF87+AH87+AI87+AJ87+AO87+AP87</f>
        <v>0</v>
      </c>
    </row>
    <row r="88" spans="1:74" s="44" customFormat="1">
      <c r="A88" s="1">
        <v>85</v>
      </c>
      <c r="B88" s="3" t="s">
        <v>174</v>
      </c>
      <c r="C88" s="3" t="s">
        <v>44</v>
      </c>
      <c r="D88" s="1" t="s">
        <v>25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>
        <v>50</v>
      </c>
      <c r="BN88" s="1">
        <v>50</v>
      </c>
      <c r="BO88" s="1">
        <v>50</v>
      </c>
      <c r="BP88" s="1">
        <v>50</v>
      </c>
      <c r="BQ88" s="1">
        <f>SUM(E88:BP88)</f>
        <v>200</v>
      </c>
      <c r="BR88" s="1">
        <v>47</v>
      </c>
      <c r="BS88" s="17">
        <v>1</v>
      </c>
      <c r="BT88" s="17" t="s">
        <v>245</v>
      </c>
      <c r="BU88">
        <f>SUM(P88:AD88)</f>
        <v>0</v>
      </c>
      <c r="BV88" s="23">
        <f>AF88+AH88+AI88+AJ88+AO88+AP88</f>
        <v>0</v>
      </c>
    </row>
    <row r="89" spans="1:74" s="44" customFormat="1">
      <c r="A89" s="1"/>
      <c r="B89" s="1" t="s">
        <v>213</v>
      </c>
      <c r="C89" s="1" t="s">
        <v>84</v>
      </c>
      <c r="D89" s="1" t="s">
        <v>82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>
        <v>50</v>
      </c>
      <c r="BN89" s="1">
        <v>50</v>
      </c>
      <c r="BO89" s="1">
        <v>50</v>
      </c>
      <c r="BP89" s="1">
        <v>50</v>
      </c>
      <c r="BQ89" s="1">
        <f>SUM(E89:BP89)</f>
        <v>200</v>
      </c>
      <c r="BR89" s="1">
        <v>47</v>
      </c>
      <c r="BS89" s="17">
        <v>1</v>
      </c>
      <c r="BT89" s="17" t="s">
        <v>214</v>
      </c>
      <c r="BU89">
        <f>SUM(P89:AD89)</f>
        <v>0</v>
      </c>
      <c r="BV89" s="23">
        <f>AF89+AH89+AI89+AJ89+AO89+AP89</f>
        <v>0</v>
      </c>
    </row>
    <row r="90" spans="1:74" s="44" customFormat="1">
      <c r="A90" s="1"/>
      <c r="B90" s="1" t="s">
        <v>133</v>
      </c>
      <c r="C90" s="1" t="s">
        <v>84</v>
      </c>
      <c r="D90" s="1" t="s">
        <v>82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>
        <v>50</v>
      </c>
      <c r="BN90" s="1">
        <v>50</v>
      </c>
      <c r="BO90" s="1">
        <v>50</v>
      </c>
      <c r="BP90" s="1">
        <v>50</v>
      </c>
      <c r="BQ90" s="1">
        <f>SUM(E90:BP90)</f>
        <v>200</v>
      </c>
      <c r="BR90" s="1">
        <v>47</v>
      </c>
      <c r="BS90" s="17">
        <v>1</v>
      </c>
      <c r="BT90" s="17" t="s">
        <v>214</v>
      </c>
      <c r="BU90">
        <f>SUM(P90:AD90)</f>
        <v>0</v>
      </c>
      <c r="BV90" s="23">
        <f>AF90+AH90+AI90+AJ90+AO90+AP90</f>
        <v>0</v>
      </c>
    </row>
    <row r="91" spans="1:74" s="44" customFormat="1">
      <c r="A91" s="1">
        <v>99</v>
      </c>
      <c r="B91" s="3" t="s">
        <v>115</v>
      </c>
      <c r="C91" s="3" t="s">
        <v>46</v>
      </c>
      <c r="D91" s="1" t="s">
        <v>8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>
        <v>200</v>
      </c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200</v>
      </c>
      <c r="BR91" s="1">
        <v>167</v>
      </c>
      <c r="BS91" s="17">
        <v>1</v>
      </c>
      <c r="BT91" s="17" t="s">
        <v>247</v>
      </c>
      <c r="BU91">
        <f>SUM(P91:AD91)</f>
        <v>0</v>
      </c>
      <c r="BV91" s="23">
        <f>AF91+AH91+AI91+AJ91+AO91+AP91</f>
        <v>0</v>
      </c>
    </row>
    <row r="92" spans="1:74" s="44" customFormat="1" ht="27">
      <c r="A92" s="1">
        <v>27</v>
      </c>
      <c r="B92" s="1" t="s">
        <v>51</v>
      </c>
      <c r="C92" s="1" t="s">
        <v>21</v>
      </c>
      <c r="D92" s="1" t="s">
        <v>17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>
        <v>5</v>
      </c>
      <c r="AI92" s="1">
        <v>5</v>
      </c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10</v>
      </c>
      <c r="BR92" s="1">
        <v>10</v>
      </c>
      <c r="BS92" s="17">
        <v>2</v>
      </c>
      <c r="BT92" s="17" t="s">
        <v>248</v>
      </c>
      <c r="BU92">
        <f>SUM(P92:AD92)</f>
        <v>0</v>
      </c>
      <c r="BV92" s="23">
        <f>AF92+AH92+AI92+AJ92+AO92+AP92</f>
        <v>10</v>
      </c>
    </row>
    <row r="93" spans="1:74" s="44" customFormat="1" ht="27">
      <c r="A93" s="1">
        <v>88</v>
      </c>
      <c r="B93" s="3" t="s">
        <v>56</v>
      </c>
      <c r="C93" s="3" t="s">
        <v>57</v>
      </c>
      <c r="D93" s="1" t="s">
        <v>17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>
        <v>5</v>
      </c>
      <c r="AI93" s="1">
        <v>5</v>
      </c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10</v>
      </c>
      <c r="BR93" s="1">
        <v>10</v>
      </c>
      <c r="BS93" s="17">
        <v>2</v>
      </c>
      <c r="BT93" s="17" t="s">
        <v>248</v>
      </c>
      <c r="BU93">
        <f>SUM(P93:AD93)</f>
        <v>0</v>
      </c>
      <c r="BV93" s="23">
        <f>AF93+AH93+AI93+AJ93+AO93+AP93</f>
        <v>10</v>
      </c>
    </row>
    <row r="94" spans="1:74" s="44" customFormat="1" ht="27">
      <c r="A94" s="1">
        <v>89</v>
      </c>
      <c r="B94" s="3" t="s">
        <v>56</v>
      </c>
      <c r="C94" s="3" t="s">
        <v>57</v>
      </c>
      <c r="D94" s="1" t="s">
        <v>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>
        <v>5</v>
      </c>
      <c r="AG94" s="1"/>
      <c r="AH94" s="1">
        <v>5</v>
      </c>
      <c r="AI94" s="1">
        <v>5</v>
      </c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15</v>
      </c>
      <c r="BR94" s="1">
        <v>10</v>
      </c>
      <c r="BS94" s="17">
        <v>2</v>
      </c>
      <c r="BT94" s="17" t="s">
        <v>228</v>
      </c>
      <c r="BU94">
        <f>SUM(P94:AD94)</f>
        <v>0</v>
      </c>
      <c r="BV94" s="23">
        <f>AF94+AH94+AI94+AJ94+AO94+AP94</f>
        <v>15</v>
      </c>
    </row>
    <row r="95" spans="1:74" s="44" customFormat="1" ht="27">
      <c r="A95" s="1"/>
      <c r="B95" s="1" t="s">
        <v>210</v>
      </c>
      <c r="C95" s="1" t="s">
        <v>21</v>
      </c>
      <c r="D95" s="1" t="s">
        <v>186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40</v>
      </c>
      <c r="AR95" s="4"/>
      <c r="AS95" s="4"/>
      <c r="AT95" s="4"/>
      <c r="AU95" s="4"/>
      <c r="AV95" s="4"/>
      <c r="AW95" s="2">
        <v>40</v>
      </c>
      <c r="AX95" s="2"/>
      <c r="AY95" s="2"/>
      <c r="AZ95" s="2"/>
      <c r="BA95" s="2">
        <v>40</v>
      </c>
      <c r="BB95" s="2"/>
      <c r="BC95" s="14">
        <v>10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130</v>
      </c>
      <c r="BR95" s="1">
        <v>10</v>
      </c>
      <c r="BS95" s="17">
        <v>2</v>
      </c>
      <c r="BT95" s="17" t="s">
        <v>250</v>
      </c>
      <c r="BU95">
        <f>SUM(P95:AD95)</f>
        <v>0</v>
      </c>
      <c r="BV95" s="23">
        <f>AF95+AH95+AI95+AJ95+AO95+AP95</f>
        <v>0</v>
      </c>
    </row>
    <row r="96" spans="1:74" s="44" customFormat="1" ht="27">
      <c r="A96" s="1"/>
      <c r="B96" s="1" t="s">
        <v>163</v>
      </c>
      <c r="C96" s="1" t="s">
        <v>44</v>
      </c>
      <c r="D96" s="1" t="s">
        <v>161</v>
      </c>
      <c r="E96" s="6"/>
      <c r="F96" s="6"/>
      <c r="G96" s="6"/>
      <c r="H96" s="6"/>
      <c r="I96" s="6"/>
      <c r="J96" s="6"/>
      <c r="K96" s="6"/>
      <c r="L96" s="6">
        <v>10</v>
      </c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>
        <v>10</v>
      </c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12</v>
      </c>
      <c r="BS96" s="17">
        <v>2</v>
      </c>
      <c r="BT96" s="17" t="s">
        <v>234</v>
      </c>
      <c r="BU96">
        <f>SUM(P96:AD96)</f>
        <v>20</v>
      </c>
      <c r="BV96" s="23">
        <f>AF96+AH96+AI96+AJ96+AO96+AP96</f>
        <v>0</v>
      </c>
    </row>
    <row r="97" spans="1:74" s="44" customFormat="1" ht="27">
      <c r="A97" s="1"/>
      <c r="B97" s="3" t="s">
        <v>171</v>
      </c>
      <c r="C97" s="3" t="s">
        <v>151</v>
      </c>
      <c r="D97" s="1" t="s">
        <v>149</v>
      </c>
      <c r="E97" s="6"/>
      <c r="F97" s="6"/>
      <c r="G97" s="6"/>
      <c r="H97" s="6"/>
      <c r="I97" s="6"/>
      <c r="J97" s="6"/>
      <c r="K97" s="6"/>
      <c r="L97" s="6"/>
      <c r="M97" s="6"/>
      <c r="N97" s="6">
        <v>10</v>
      </c>
      <c r="O97" s="6"/>
      <c r="P97" s="28"/>
      <c r="Q97" s="28"/>
      <c r="R97" s="28"/>
      <c r="S97" s="28"/>
      <c r="T97" s="28"/>
      <c r="U97" s="28"/>
      <c r="V97" s="28"/>
      <c r="W97" s="28"/>
      <c r="X97" s="28">
        <v>10</v>
      </c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12</v>
      </c>
      <c r="BS97" s="17">
        <v>2</v>
      </c>
      <c r="BT97" s="17" t="s">
        <v>234</v>
      </c>
      <c r="BU97">
        <f>SUM(P97:AD97)</f>
        <v>30</v>
      </c>
      <c r="BV97" s="23">
        <f>AF97+AH97+AI97+AJ97+AO97+AP97</f>
        <v>0</v>
      </c>
    </row>
    <row r="98" spans="1:74" s="44" customFormat="1" ht="27">
      <c r="A98" s="1"/>
      <c r="B98" s="3" t="s">
        <v>217</v>
      </c>
      <c r="C98" s="3" t="s">
        <v>218</v>
      </c>
      <c r="D98" s="1" t="s">
        <v>149</v>
      </c>
      <c r="E98" s="6"/>
      <c r="F98" s="6"/>
      <c r="G98" s="6"/>
      <c r="H98" s="6"/>
      <c r="I98" s="6"/>
      <c r="J98" s="6">
        <v>10</v>
      </c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>
        <v>10</v>
      </c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50</v>
      </c>
      <c r="BR98" s="1">
        <v>12</v>
      </c>
      <c r="BS98" s="17">
        <v>2</v>
      </c>
      <c r="BT98" s="17" t="s">
        <v>234</v>
      </c>
      <c r="BU98">
        <f>SUM(P98:AD98)</f>
        <v>30</v>
      </c>
      <c r="BV98" s="23">
        <f>AF98+AH98+AI98+AJ98+AO98+AP98</f>
        <v>0</v>
      </c>
    </row>
    <row r="99" spans="1:74" s="44" customFormat="1" ht="27">
      <c r="A99" s="1"/>
      <c r="B99" s="1" t="s">
        <v>103</v>
      </c>
      <c r="C99" s="1" t="s">
        <v>86</v>
      </c>
      <c r="D99" s="1" t="s">
        <v>89</v>
      </c>
      <c r="E99" s="6"/>
      <c r="F99" s="6"/>
      <c r="G99" s="6"/>
      <c r="H99" s="6">
        <v>10</v>
      </c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10</v>
      </c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18</v>
      </c>
      <c r="BS99" s="17">
        <v>2</v>
      </c>
      <c r="BT99" s="17" t="s">
        <v>241</v>
      </c>
      <c r="BU99">
        <f>SUM(P99:AD99)</f>
        <v>20</v>
      </c>
      <c r="BV99" s="23">
        <f>AF99+AH99+AI99+AJ99+AO99+AP99</f>
        <v>0</v>
      </c>
    </row>
    <row r="100" spans="1:74" s="44" customFormat="1" ht="27">
      <c r="A100" s="1"/>
      <c r="B100" s="3" t="s">
        <v>153</v>
      </c>
      <c r="C100" s="3" t="s">
        <v>85</v>
      </c>
      <c r="D100" s="1" t="s">
        <v>149</v>
      </c>
      <c r="E100" s="6"/>
      <c r="F100" s="6"/>
      <c r="G100" s="6"/>
      <c r="H100" s="6">
        <v>10</v>
      </c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18</v>
      </c>
      <c r="BS100" s="17">
        <v>2</v>
      </c>
      <c r="BT100" s="17" t="s">
        <v>242</v>
      </c>
      <c r="BU100">
        <f>SUM(P100:AD100)</f>
        <v>20</v>
      </c>
      <c r="BV100" s="23">
        <f>AF100+AH100+AI100+AJ100+AO100+AP100</f>
        <v>0</v>
      </c>
    </row>
    <row r="101" spans="1:74" s="44" customFormat="1" ht="27">
      <c r="A101" s="1"/>
      <c r="B101" s="3" t="s">
        <v>178</v>
      </c>
      <c r="C101" s="3" t="s">
        <v>177</v>
      </c>
      <c r="D101" s="1" t="s">
        <v>8</v>
      </c>
      <c r="E101" s="6"/>
      <c r="F101" s="6"/>
      <c r="G101" s="6"/>
      <c r="H101" s="6">
        <v>10</v>
      </c>
      <c r="I101" s="6"/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>
        <v>10</v>
      </c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18</v>
      </c>
      <c r="BS101" s="17">
        <v>2</v>
      </c>
      <c r="BT101" s="17" t="s">
        <v>241</v>
      </c>
      <c r="BU101">
        <f>SUM(P101:AD101)</f>
        <v>20</v>
      </c>
      <c r="BV101" s="23">
        <f>AF101+AH101+AI101+AJ101+AO101+AP101</f>
        <v>0</v>
      </c>
    </row>
    <row r="102" spans="1:74" s="44" customFormat="1" ht="27">
      <c r="A102" s="1"/>
      <c r="B102" s="1" t="s">
        <v>164</v>
      </c>
      <c r="C102" s="1" t="s">
        <v>44</v>
      </c>
      <c r="D102" s="1" t="s">
        <v>161</v>
      </c>
      <c r="E102" s="6"/>
      <c r="F102" s="6"/>
      <c r="G102" s="6"/>
      <c r="H102" s="6">
        <v>10</v>
      </c>
      <c r="I102" s="6"/>
      <c r="J102" s="6"/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>
        <v>10</v>
      </c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40</v>
      </c>
      <c r="BR102" s="1">
        <v>18</v>
      </c>
      <c r="BS102" s="17">
        <v>2</v>
      </c>
      <c r="BT102" s="17" t="s">
        <v>243</v>
      </c>
      <c r="BU102">
        <f>SUM(P102:AD102)</f>
        <v>20</v>
      </c>
      <c r="BV102" s="23">
        <f>AF102+AH102+AI102+AJ102+AO102+AP102</f>
        <v>0</v>
      </c>
    </row>
    <row r="103" spans="1:74" s="44" customFormat="1" ht="27">
      <c r="A103" s="1"/>
      <c r="B103" s="1" t="s">
        <v>173</v>
      </c>
      <c r="C103" s="1" t="s">
        <v>75</v>
      </c>
      <c r="D103" s="1" t="s">
        <v>76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40</v>
      </c>
      <c r="AW103" s="2">
        <v>40</v>
      </c>
      <c r="AX103" s="2"/>
      <c r="AY103" s="2"/>
      <c r="AZ103" s="2"/>
      <c r="BA103" s="2"/>
      <c r="BB103" s="2">
        <v>40</v>
      </c>
      <c r="BC103" s="14">
        <v>10</v>
      </c>
      <c r="BD103" s="1"/>
      <c r="BE103" s="1">
        <v>50</v>
      </c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180</v>
      </c>
      <c r="BR103" s="1">
        <v>19</v>
      </c>
      <c r="BS103" s="17">
        <v>2</v>
      </c>
      <c r="BT103" s="17" t="s">
        <v>251</v>
      </c>
      <c r="BU103">
        <f>SUM(P103:AD103)</f>
        <v>0</v>
      </c>
      <c r="BV103" s="23">
        <f>AF103+AH103+AI103+AJ103+AO103+AP103</f>
        <v>0</v>
      </c>
    </row>
    <row r="104" spans="1:74" s="44" customFormat="1" ht="27">
      <c r="A104" s="18">
        <v>65</v>
      </c>
      <c r="B104" s="24" t="s">
        <v>184</v>
      </c>
      <c r="C104" s="18" t="s">
        <v>38</v>
      </c>
      <c r="D104" s="18" t="s">
        <v>8</v>
      </c>
      <c r="E104" s="19"/>
      <c r="F104" s="19"/>
      <c r="G104" s="19">
        <v>10</v>
      </c>
      <c r="H104" s="19"/>
      <c r="I104" s="19"/>
      <c r="J104" s="19"/>
      <c r="K104" s="19"/>
      <c r="L104" s="19"/>
      <c r="M104" s="19"/>
      <c r="N104" s="19"/>
      <c r="O104" s="1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>
        <v>25</v>
      </c>
      <c r="AO104" s="18"/>
      <c r="AP104" s="18"/>
      <c r="AQ104" s="20"/>
      <c r="AR104" s="20"/>
      <c r="AS104" s="20"/>
      <c r="AT104" s="20"/>
      <c r="AU104" s="20"/>
      <c r="AV104" s="20">
        <v>10</v>
      </c>
      <c r="AW104" s="21"/>
      <c r="AX104" s="21"/>
      <c r="AY104" s="21"/>
      <c r="AZ104" s="21">
        <v>10</v>
      </c>
      <c r="BA104" s="21"/>
      <c r="BB104" s="21"/>
      <c r="BC104" s="26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>
        <f>SUM(E104:BP104)</f>
        <v>55</v>
      </c>
      <c r="BR104" s="18">
        <v>21</v>
      </c>
      <c r="BS104" s="22">
        <v>2</v>
      </c>
      <c r="BT104" s="22" t="s">
        <v>249</v>
      </c>
      <c r="BU104">
        <f>SUM(P104:AD104)</f>
        <v>0</v>
      </c>
      <c r="BV104" s="23">
        <f>AF104+AH104+AI104+AJ104+AO104+AP104</f>
        <v>0</v>
      </c>
    </row>
    <row r="105" spans="1:74" s="44" customFormat="1" ht="27">
      <c r="A105" s="1"/>
      <c r="B105" s="1" t="s">
        <v>116</v>
      </c>
      <c r="C105" s="1" t="s">
        <v>84</v>
      </c>
      <c r="D105" s="1" t="s">
        <v>73</v>
      </c>
      <c r="E105" s="6"/>
      <c r="F105" s="6"/>
      <c r="G105" s="6">
        <v>20</v>
      </c>
      <c r="H105" s="6">
        <v>20</v>
      </c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>
        <v>20</v>
      </c>
      <c r="BB105" s="2">
        <v>20</v>
      </c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80</v>
      </c>
      <c r="BR105" s="1">
        <v>38</v>
      </c>
      <c r="BS105" s="17">
        <v>2</v>
      </c>
      <c r="BT105" s="17" t="s">
        <v>252</v>
      </c>
      <c r="BU105">
        <f>SUM(P105:AD105)</f>
        <v>0</v>
      </c>
      <c r="BV105" s="23">
        <f>AF105+AH105+AI105+AJ105+AO105+AP105</f>
        <v>0</v>
      </c>
    </row>
    <row r="106" spans="1:74" s="44" customFormat="1" ht="40.5">
      <c r="A106" s="1">
        <v>28</v>
      </c>
      <c r="B106" s="1" t="s">
        <v>51</v>
      </c>
      <c r="C106" s="1" t="s">
        <v>21</v>
      </c>
      <c r="D106" s="1" t="s">
        <v>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>
        <v>5</v>
      </c>
      <c r="AI106" s="1">
        <v>5</v>
      </c>
      <c r="AJ106" s="1">
        <v>5</v>
      </c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15</v>
      </c>
      <c r="BR106" s="1">
        <v>15</v>
      </c>
      <c r="BS106" s="17">
        <v>3</v>
      </c>
      <c r="BT106" s="17" t="s">
        <v>253</v>
      </c>
      <c r="BU106">
        <f>SUM(P106:AD106)</f>
        <v>0</v>
      </c>
      <c r="BV106" s="23">
        <f>AF106+AH106+AI106+AJ106+AO106+AP106</f>
        <v>15</v>
      </c>
    </row>
    <row r="107" spans="1:74" s="44" customFormat="1" ht="40.5">
      <c r="A107" s="1"/>
      <c r="B107" s="1" t="s">
        <v>202</v>
      </c>
      <c r="C107" s="1" t="s">
        <v>112</v>
      </c>
      <c r="D107" s="1" t="s">
        <v>89</v>
      </c>
      <c r="E107" s="6"/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>
        <v>10</v>
      </c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20</v>
      </c>
      <c r="BS107" s="17">
        <v>3</v>
      </c>
      <c r="BT107" s="17" t="s">
        <v>235</v>
      </c>
      <c r="BU107">
        <f>SUM(P107:AD107)</f>
        <v>20</v>
      </c>
      <c r="BV107" s="23">
        <f>AF107+AH107+AI107+AJ107+AO107+AP107</f>
        <v>0</v>
      </c>
    </row>
    <row r="108" spans="1:74" s="44" customFormat="1" ht="40.5">
      <c r="A108" s="1"/>
      <c r="B108" s="1" t="s">
        <v>169</v>
      </c>
      <c r="C108" s="1" t="s">
        <v>84</v>
      </c>
      <c r="D108" s="1" t="s">
        <v>114</v>
      </c>
      <c r="E108" s="6"/>
      <c r="F108" s="6"/>
      <c r="G108" s="6">
        <v>10</v>
      </c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10</v>
      </c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40</v>
      </c>
      <c r="BR108" s="1">
        <v>20</v>
      </c>
      <c r="BS108" s="17">
        <v>3</v>
      </c>
      <c r="BT108" s="17" t="s">
        <v>235</v>
      </c>
      <c r="BU108">
        <f>SUM(P108:AD108)</f>
        <v>20</v>
      </c>
      <c r="BV108" s="23">
        <f>AF108+AH108+AI108+AJ108+AO108+AP108</f>
        <v>0</v>
      </c>
    </row>
    <row r="109" spans="1:74" s="44" customFormat="1" ht="40.5">
      <c r="A109" s="1"/>
      <c r="B109" s="3" t="s">
        <v>229</v>
      </c>
      <c r="C109" s="3" t="s">
        <v>152</v>
      </c>
      <c r="D109" s="1" t="s">
        <v>149</v>
      </c>
      <c r="E109" s="6"/>
      <c r="F109" s="6"/>
      <c r="G109" s="6">
        <v>10</v>
      </c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40</v>
      </c>
      <c r="BR109" s="1">
        <v>20</v>
      </c>
      <c r="BS109" s="17">
        <v>3</v>
      </c>
      <c r="BT109" s="17" t="s">
        <v>235</v>
      </c>
      <c r="BU109">
        <f>SUM(P109:AD109)</f>
        <v>20</v>
      </c>
      <c r="BV109" s="23">
        <f>AF109+AH109+AI109+AJ109+AO109+AP109</f>
        <v>0</v>
      </c>
    </row>
    <row r="110" spans="1:74" ht="40.5">
      <c r="A110" s="1"/>
      <c r="B110" s="1" t="s">
        <v>196</v>
      </c>
      <c r="C110" s="1" t="s">
        <v>104</v>
      </c>
      <c r="D110" s="1" t="s">
        <v>161</v>
      </c>
      <c r="E110" s="6"/>
      <c r="F110" s="6"/>
      <c r="G110" s="6">
        <v>10</v>
      </c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/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40</v>
      </c>
      <c r="BR110" s="1">
        <v>20</v>
      </c>
      <c r="BS110" s="17">
        <v>3</v>
      </c>
      <c r="BT110" s="17" t="s">
        <v>236</v>
      </c>
      <c r="BU110">
        <f>SUM(P110:AD110)</f>
        <v>20</v>
      </c>
      <c r="BV110" s="23">
        <f>AF110+AH110+AI110+AJ110+AO110+AP110</f>
        <v>0</v>
      </c>
    </row>
    <row r="111" spans="1:74">
      <c r="A111" s="1"/>
      <c r="B111" s="1" t="s">
        <v>48</v>
      </c>
      <c r="C111" s="1"/>
      <c r="D111" s="1"/>
      <c r="E111" s="6">
        <f>SUM(E2:E110)</f>
        <v>65</v>
      </c>
      <c r="F111" s="6">
        <f>SUM(F2:F110)</f>
        <v>0</v>
      </c>
      <c r="G111" s="6">
        <f>SUM(G2:G110)</f>
        <v>70</v>
      </c>
      <c r="H111" s="6">
        <f>SUM(H2:H110)</f>
        <v>70</v>
      </c>
      <c r="I111" s="6">
        <f>SUM(I2:I110)</f>
        <v>50</v>
      </c>
      <c r="J111" s="6">
        <f>SUM(J2:J110)</f>
        <v>70</v>
      </c>
      <c r="K111" s="6">
        <f>SUM(K2:K110)</f>
        <v>25</v>
      </c>
      <c r="L111" s="6">
        <f>SUM(L2:L110)</f>
        <v>37</v>
      </c>
      <c r="M111" s="6">
        <f>SUM(M2:M110)</f>
        <v>50</v>
      </c>
      <c r="N111" s="6">
        <f>SUM(N2:N110)</f>
        <v>10</v>
      </c>
      <c r="O111" s="6">
        <f>SUM(O2:O110)</f>
        <v>20</v>
      </c>
      <c r="P111" s="28">
        <f>SUM(P2:P110)</f>
        <v>90</v>
      </c>
      <c r="Q111" s="28">
        <f>SUM(Q2:Q110)</f>
        <v>112</v>
      </c>
      <c r="R111" s="28">
        <f>SUM(R2:R110)</f>
        <v>242</v>
      </c>
      <c r="S111" s="28">
        <f>SUM(S2:S110)</f>
        <v>90</v>
      </c>
      <c r="T111" s="28">
        <f>SUM(T2:T110)</f>
        <v>97</v>
      </c>
      <c r="U111" s="28">
        <f>SUM(U2:U110)</f>
        <v>196</v>
      </c>
      <c r="V111" s="28">
        <f>SUM(V2:V110)</f>
        <v>115</v>
      </c>
      <c r="W111" s="28">
        <f>SUM(W2:W110)</f>
        <v>95</v>
      </c>
      <c r="X111" s="28">
        <f>SUM(X2:X110)</f>
        <v>201</v>
      </c>
      <c r="Y111" s="28">
        <f>SUM(Y2:Y110)</f>
        <v>105</v>
      </c>
      <c r="Z111" s="28">
        <f>SUM(Z2:Z110)</f>
        <v>115</v>
      </c>
      <c r="AA111" s="28">
        <f>SUM(AA2:AA110)</f>
        <v>146</v>
      </c>
      <c r="AB111" s="28">
        <f>SUM(AB2:AB110)</f>
        <v>130</v>
      </c>
      <c r="AC111" s="28">
        <f>SUM(AC2:AC110)</f>
        <v>115</v>
      </c>
      <c r="AD111" s="28">
        <f>SUM(AD2:AD110)</f>
        <v>150</v>
      </c>
      <c r="AE111" s="1">
        <f>SUM(AE2:AE110)</f>
        <v>250</v>
      </c>
      <c r="AF111" s="1">
        <f>SUM(AF2:AF110)</f>
        <v>5</v>
      </c>
      <c r="AG111" s="1">
        <f>SUM(AG2:AG110)</f>
        <v>0</v>
      </c>
      <c r="AH111" s="1">
        <f>SUM(AH2:AH110)</f>
        <v>30</v>
      </c>
      <c r="AI111" s="1">
        <f>SUM(AI2:AI110)</f>
        <v>30</v>
      </c>
      <c r="AJ111" s="1">
        <f>SUM(AJ2:AJ110)</f>
        <v>5</v>
      </c>
      <c r="AK111" s="1">
        <f>SUM(AK2:AK110)</f>
        <v>0</v>
      </c>
      <c r="AL111" s="1">
        <f>SUM(AL2:AL110)</f>
        <v>0</v>
      </c>
      <c r="AM111" s="1">
        <f>SUM(AM2:AM110)</f>
        <v>0</v>
      </c>
      <c r="AN111" s="1">
        <f>SUM(AN2:AN110)</f>
        <v>40</v>
      </c>
      <c r="AO111" s="1">
        <f>SUM(AO2:AO110)</f>
        <v>0</v>
      </c>
      <c r="AP111" s="1">
        <f>SUM(AP2:AP110)</f>
        <v>0</v>
      </c>
      <c r="AQ111" s="4">
        <f>SUM(AQ2:AQ110)</f>
        <v>110</v>
      </c>
      <c r="AR111" s="4">
        <f>SUM(AR2:AR110)</f>
        <v>40</v>
      </c>
      <c r="AS111" s="4">
        <f>SUM(AS2:AS110)</f>
        <v>50</v>
      </c>
      <c r="AT111" s="4">
        <f>SUM(AT2:AT110)</f>
        <v>60</v>
      </c>
      <c r="AU111" s="4">
        <f>SUM(AU2:AU110)</f>
        <v>70</v>
      </c>
      <c r="AV111" s="4">
        <f>SUM(AV2:AV110)</f>
        <v>120</v>
      </c>
      <c r="AW111" s="2">
        <f>SUM(AW2:AW110)</f>
        <v>95</v>
      </c>
      <c r="AX111" s="2">
        <f>SUM(AX2:AX110)</f>
        <v>15</v>
      </c>
      <c r="AY111" s="2">
        <f>SUM(AY2:AY110)</f>
        <v>0</v>
      </c>
      <c r="AZ111" s="2">
        <f>SUM(AZ2:AZ110)</f>
        <v>10</v>
      </c>
      <c r="BA111" s="2">
        <f>SUM(BA2:BA110)</f>
        <v>60</v>
      </c>
      <c r="BB111" s="2">
        <f>SUM(BB2:BB110)</f>
        <v>60</v>
      </c>
      <c r="BC111" s="1">
        <f>SUM(BC2:BC110)</f>
        <v>20</v>
      </c>
      <c r="BD111" s="1">
        <f>SUM(BD2:BD110)</f>
        <v>0</v>
      </c>
      <c r="BE111" s="1">
        <f>SUM(BE2:BE110)</f>
        <v>50</v>
      </c>
      <c r="BF111" s="1">
        <f>SUM(BF2:BF110)</f>
        <v>0</v>
      </c>
      <c r="BG111" s="1">
        <f>SUM(BG2:BG110)</f>
        <v>0</v>
      </c>
      <c r="BH111" s="1">
        <f>SUM(BH2:BH110)</f>
        <v>0</v>
      </c>
      <c r="BI111" s="1">
        <f>SUM(BI2:BI110)</f>
        <v>0</v>
      </c>
      <c r="BJ111" s="1">
        <f>SUM(BJ2:BJ110)</f>
        <v>0</v>
      </c>
      <c r="BK111" s="1">
        <f>SUM(BK2:BK110)</f>
        <v>150</v>
      </c>
      <c r="BL111" s="1">
        <f>SUM(BL2:BL110)</f>
        <v>150</v>
      </c>
      <c r="BM111" s="1">
        <f>SUM(BM2:BM110)</f>
        <v>150</v>
      </c>
      <c r="BN111" s="1">
        <f>SUM(BN2:BN110)</f>
        <v>150</v>
      </c>
      <c r="BO111" s="1">
        <f>SUM(BO2:BO110)</f>
        <v>300</v>
      </c>
      <c r="BP111" s="1">
        <f>SUM(BP2:BP110)</f>
        <v>300</v>
      </c>
      <c r="BQ111" s="1"/>
      <c r="BR111" s="1"/>
      <c r="BS111" s="17"/>
      <c r="BT111" s="17"/>
    </row>
    <row r="112" spans="1:74">
      <c r="A112" s="1"/>
      <c r="B112" s="3" t="s">
        <v>65</v>
      </c>
      <c r="C112" s="1"/>
      <c r="D112" s="1"/>
      <c r="E112" s="1">
        <v>24</v>
      </c>
      <c r="F112" s="1">
        <v>89</v>
      </c>
      <c r="G112" s="1">
        <v>2</v>
      </c>
      <c r="H112" s="1">
        <v>0</v>
      </c>
      <c r="I112" s="1">
        <v>142</v>
      </c>
      <c r="J112" s="1">
        <v>133</v>
      </c>
      <c r="K112" s="1">
        <v>105</v>
      </c>
      <c r="L112" s="1">
        <v>101</v>
      </c>
      <c r="M112" s="1">
        <v>107</v>
      </c>
      <c r="N112" s="1">
        <v>156</v>
      </c>
      <c r="O112" s="1">
        <v>83</v>
      </c>
      <c r="P112" s="14">
        <v>258</v>
      </c>
      <c r="Q112" s="14">
        <v>80</v>
      </c>
      <c r="R112" s="14">
        <v>11</v>
      </c>
      <c r="S112" s="14">
        <v>318</v>
      </c>
      <c r="T112" s="14">
        <v>97</v>
      </c>
      <c r="U112" s="14">
        <v>29</v>
      </c>
      <c r="V112" s="14">
        <v>229</v>
      </c>
      <c r="W112" s="14">
        <v>90</v>
      </c>
      <c r="X112" s="14">
        <v>2</v>
      </c>
      <c r="Y112" s="14">
        <v>223</v>
      </c>
      <c r="Z112" s="14">
        <v>98</v>
      </c>
      <c r="AA112" s="14">
        <v>21</v>
      </c>
      <c r="AB112" s="14">
        <v>305</v>
      </c>
      <c r="AC112" s="14">
        <v>82</v>
      </c>
      <c r="AD112" s="14">
        <v>6</v>
      </c>
      <c r="AE112" s="1">
        <v>33</v>
      </c>
      <c r="AF112" s="1">
        <v>5</v>
      </c>
      <c r="AG112" s="1">
        <v>3</v>
      </c>
      <c r="AH112" s="1">
        <v>0</v>
      </c>
      <c r="AI112" s="1">
        <v>0</v>
      </c>
      <c r="AJ112" s="1">
        <v>0</v>
      </c>
      <c r="AK112" s="1">
        <v>23</v>
      </c>
      <c r="AL112" s="1">
        <v>33</v>
      </c>
      <c r="AM112" s="1">
        <v>0</v>
      </c>
      <c r="AN112" s="1">
        <v>12</v>
      </c>
      <c r="AO112" s="1">
        <v>0</v>
      </c>
      <c r="AP112" s="1">
        <v>8</v>
      </c>
      <c r="AQ112" s="14">
        <v>79</v>
      </c>
      <c r="AR112" s="14">
        <v>37</v>
      </c>
      <c r="AS112" s="14">
        <v>58</v>
      </c>
      <c r="AT112" s="14">
        <v>46</v>
      </c>
      <c r="AU112" s="14">
        <v>40</v>
      </c>
      <c r="AV112" s="14">
        <v>130</v>
      </c>
      <c r="AW112" s="14">
        <v>48</v>
      </c>
      <c r="AX112" s="14">
        <v>58</v>
      </c>
      <c r="AY112" s="14">
        <v>11</v>
      </c>
      <c r="AZ112" s="14">
        <v>15</v>
      </c>
      <c r="BA112" s="14">
        <v>32</v>
      </c>
      <c r="BB112" s="14">
        <v>23</v>
      </c>
      <c r="BC112" s="14">
        <v>8</v>
      </c>
      <c r="BD112" s="1">
        <v>4</v>
      </c>
      <c r="BE112" s="1">
        <v>255</v>
      </c>
      <c r="BF112" s="1">
        <v>396</v>
      </c>
      <c r="BG112" s="1">
        <v>312</v>
      </c>
      <c r="BH112" s="1">
        <v>330</v>
      </c>
      <c r="BI112" s="1">
        <v>162</v>
      </c>
      <c r="BJ112" s="1">
        <v>195</v>
      </c>
      <c r="BK112" s="1">
        <v>131</v>
      </c>
      <c r="BL112" s="1">
        <v>127</v>
      </c>
      <c r="BM112" s="1">
        <v>241</v>
      </c>
      <c r="BN112" s="1">
        <v>101</v>
      </c>
      <c r="BO112" s="1">
        <v>3</v>
      </c>
      <c r="BP112" s="1">
        <v>73</v>
      </c>
      <c r="BQ112" s="1"/>
      <c r="BR112" s="1"/>
      <c r="BS112" s="17"/>
      <c r="BT112" s="17"/>
    </row>
    <row r="113" spans="1:72">
      <c r="A113" s="1"/>
      <c r="B113" s="3" t="s">
        <v>72</v>
      </c>
      <c r="C113" s="1"/>
      <c r="D113" s="1"/>
      <c r="E113" s="1">
        <f>E112-E111</f>
        <v>-41</v>
      </c>
      <c r="F113" s="1">
        <f>F112-F111</f>
        <v>89</v>
      </c>
      <c r="G113" s="1">
        <f>G112-G111</f>
        <v>-68</v>
      </c>
      <c r="H113" s="1">
        <f>H112-H111</f>
        <v>-70</v>
      </c>
      <c r="I113" s="1">
        <f>I112-I111</f>
        <v>92</v>
      </c>
      <c r="J113" s="1">
        <f>J112-J111</f>
        <v>63</v>
      </c>
      <c r="K113" s="1">
        <f>K112-K111</f>
        <v>80</v>
      </c>
      <c r="L113" s="1">
        <f>L112-L111</f>
        <v>64</v>
      </c>
      <c r="M113" s="1">
        <f>M112-M111</f>
        <v>57</v>
      </c>
      <c r="N113" s="1">
        <f>N112-N111</f>
        <v>146</v>
      </c>
      <c r="O113" s="1">
        <f>O112-O111</f>
        <v>63</v>
      </c>
      <c r="P113" s="1">
        <f>P112-P111</f>
        <v>168</v>
      </c>
      <c r="Q113" s="1">
        <f>Q112-Q111</f>
        <v>-32</v>
      </c>
      <c r="R113" s="1">
        <f>R112-R111</f>
        <v>-231</v>
      </c>
      <c r="S113" s="1">
        <f>S112-S111</f>
        <v>228</v>
      </c>
      <c r="T113" s="1">
        <f>T112-T111</f>
        <v>0</v>
      </c>
      <c r="U113" s="1">
        <f>U112-U111</f>
        <v>-167</v>
      </c>
      <c r="V113" s="1">
        <f>V112-V111</f>
        <v>114</v>
      </c>
      <c r="W113" s="1">
        <f>W112-W111</f>
        <v>-5</v>
      </c>
      <c r="X113" s="1">
        <f>X112-X111</f>
        <v>-199</v>
      </c>
      <c r="Y113" s="1">
        <f>Y112-Y111</f>
        <v>118</v>
      </c>
      <c r="Z113" s="1">
        <f>Z112-Z111</f>
        <v>-17</v>
      </c>
      <c r="AA113" s="1">
        <f>AA112-AA111</f>
        <v>-125</v>
      </c>
      <c r="AB113" s="1">
        <f>AB112-AB111</f>
        <v>175</v>
      </c>
      <c r="AC113" s="1">
        <f>AC112-AC111</f>
        <v>-33</v>
      </c>
      <c r="AD113" s="1">
        <f>AD112-AD111</f>
        <v>-144</v>
      </c>
      <c r="AE113" s="1">
        <f>AE112-AE111</f>
        <v>-217</v>
      </c>
      <c r="AF113" s="1">
        <f>AF112-AF111</f>
        <v>0</v>
      </c>
      <c r="AG113" s="1">
        <f>AG112-AG111</f>
        <v>3</v>
      </c>
      <c r="AH113" s="1">
        <f>AH112-AH111</f>
        <v>-30</v>
      </c>
      <c r="AI113" s="1">
        <f>AI112-AI111</f>
        <v>-30</v>
      </c>
      <c r="AJ113" s="1">
        <f>AJ112-AJ111</f>
        <v>-5</v>
      </c>
      <c r="AK113" s="1">
        <f>AK112-AK111</f>
        <v>23</v>
      </c>
      <c r="AL113" s="1">
        <f>AL112-AL111</f>
        <v>33</v>
      </c>
      <c r="AM113" s="1">
        <f>AM112-AM111</f>
        <v>0</v>
      </c>
      <c r="AN113" s="1">
        <f>AN112-AN111</f>
        <v>-28</v>
      </c>
      <c r="AO113" s="1">
        <f>AO112-AO111</f>
        <v>0</v>
      </c>
      <c r="AP113" s="1">
        <f>AP112-AP111</f>
        <v>8</v>
      </c>
      <c r="AQ113" s="1">
        <f>AQ112-AQ111</f>
        <v>-31</v>
      </c>
      <c r="AR113" s="1">
        <f>AR112-AR111</f>
        <v>-3</v>
      </c>
      <c r="AS113" s="1">
        <f>AS112-AS111</f>
        <v>8</v>
      </c>
      <c r="AT113" s="1">
        <f>AT112-AT111</f>
        <v>-14</v>
      </c>
      <c r="AU113" s="1">
        <f>AU112-AU111</f>
        <v>-30</v>
      </c>
      <c r="AV113" s="1">
        <f>AV112-AV111</f>
        <v>10</v>
      </c>
      <c r="AW113" s="1">
        <f>AW112-AW111</f>
        <v>-47</v>
      </c>
      <c r="AX113" s="1">
        <f>AX112-AX111</f>
        <v>43</v>
      </c>
      <c r="AY113" s="1">
        <f>AY112-AY111</f>
        <v>11</v>
      </c>
      <c r="AZ113" s="1">
        <f>AZ112-AZ111</f>
        <v>5</v>
      </c>
      <c r="BA113" s="1">
        <f>BA112-BA111</f>
        <v>-28</v>
      </c>
      <c r="BB113" s="1">
        <f>BB112-BB111</f>
        <v>-37</v>
      </c>
      <c r="BC113" s="1">
        <f>BC112-BC111</f>
        <v>-12</v>
      </c>
      <c r="BD113" s="1">
        <f>BD112-BD111</f>
        <v>4</v>
      </c>
      <c r="BE113" s="1">
        <f>BE112-BE111</f>
        <v>205</v>
      </c>
      <c r="BF113" s="1">
        <f>BF112-BF111</f>
        <v>396</v>
      </c>
      <c r="BG113" s="1">
        <f>BG112-BG111</f>
        <v>312</v>
      </c>
      <c r="BH113" s="1">
        <f>BH112-BH111</f>
        <v>330</v>
      </c>
      <c r="BI113" s="1">
        <f>BI112-BI111</f>
        <v>162</v>
      </c>
      <c r="BJ113" s="1">
        <f>BJ112-BJ111</f>
        <v>195</v>
      </c>
      <c r="BK113" s="1">
        <f>BK112-BK111</f>
        <v>-19</v>
      </c>
      <c r="BL113" s="1">
        <f>BL112-BL111</f>
        <v>-23</v>
      </c>
      <c r="BM113" s="1">
        <f>BM112-BM111</f>
        <v>91</v>
      </c>
      <c r="BN113" s="1">
        <f>BN112-BN111</f>
        <v>-49</v>
      </c>
      <c r="BO113" s="1">
        <f>BO112-BO111</f>
        <v>-297</v>
      </c>
      <c r="BP113" s="1">
        <f>BP112-BP111</f>
        <v>-227</v>
      </c>
      <c r="BQ113" s="1"/>
      <c r="BR113" s="1"/>
      <c r="BS113" s="17"/>
      <c r="BT113" s="17"/>
    </row>
    <row r="114" spans="1:72">
      <c r="A114" s="1"/>
      <c r="B114" s="3" t="s">
        <v>117</v>
      </c>
      <c r="C114" s="1"/>
      <c r="D114" s="1"/>
      <c r="E114" s="1">
        <f>MAX(E2:E110)</f>
        <v>10</v>
      </c>
      <c r="F114" s="1">
        <f>MAX(F2:F110)</f>
        <v>0</v>
      </c>
      <c r="G114" s="1">
        <f>MAX(G2:G110)</f>
        <v>20</v>
      </c>
      <c r="H114" s="1">
        <f>MAX(H2:H110)</f>
        <v>20</v>
      </c>
      <c r="I114" s="1">
        <f>MAX(I2:I110)</f>
        <v>10</v>
      </c>
      <c r="J114" s="1">
        <f>MAX(J2:J110)</f>
        <v>10</v>
      </c>
      <c r="K114" s="1">
        <f>MAX(K2:K110)</f>
        <v>15</v>
      </c>
      <c r="L114" s="1">
        <f>MAX(L2:L110)</f>
        <v>10</v>
      </c>
      <c r="M114" s="1">
        <f>MAX(M2:M110)</f>
        <v>10</v>
      </c>
      <c r="N114" s="1">
        <f>MAX(N2:N110)</f>
        <v>10</v>
      </c>
      <c r="O114" s="1">
        <f>MAX(O2:O110)</f>
        <v>10</v>
      </c>
      <c r="P114" s="1">
        <f>MAX(P2:P110)</f>
        <v>10</v>
      </c>
      <c r="Q114" s="1">
        <f>MAX(Q2:Q110)</f>
        <v>10</v>
      </c>
      <c r="R114" s="1">
        <f>MAX(R2:R110)</f>
        <v>10</v>
      </c>
      <c r="S114" s="1">
        <f>MAX(S2:S110)</f>
        <v>10</v>
      </c>
      <c r="T114" s="1">
        <f>MAX(T2:T110)</f>
        <v>10</v>
      </c>
      <c r="U114" s="1">
        <f>MAX(U2:U110)</f>
        <v>10</v>
      </c>
      <c r="V114" s="1">
        <f>MAX(V2:V110)</f>
        <v>10</v>
      </c>
      <c r="W114" s="1">
        <f>MAX(W2:W110)</f>
        <v>20</v>
      </c>
      <c r="X114" s="1">
        <f>MAX(X2:X110)</f>
        <v>10</v>
      </c>
      <c r="Y114" s="1">
        <f>MAX(Y2:Y110)</f>
        <v>10</v>
      </c>
      <c r="Z114" s="1">
        <f>MAX(Z2:Z110)</f>
        <v>20</v>
      </c>
      <c r="AA114" s="1">
        <f>MAX(AA2:AA110)</f>
        <v>10</v>
      </c>
      <c r="AB114" s="1">
        <f>MAX(AB2:AB110)</f>
        <v>10</v>
      </c>
      <c r="AC114" s="1">
        <f>MAX(AC2:AC110)</f>
        <v>20</v>
      </c>
      <c r="AD114" s="1">
        <f>MAX(AD2:AD110)</f>
        <v>10</v>
      </c>
      <c r="AE114" s="1">
        <f>MAX(AE2:AE110)</f>
        <v>200</v>
      </c>
      <c r="AF114" s="1">
        <f>MAX(AF2:AF110)</f>
        <v>5</v>
      </c>
      <c r="AG114" s="1">
        <f>MAX(AG2:AG110)</f>
        <v>0</v>
      </c>
      <c r="AH114" s="1">
        <f>MAX(AH2:AH110)</f>
        <v>5</v>
      </c>
      <c r="AI114" s="1">
        <f>MAX(AI2:AI110)</f>
        <v>5</v>
      </c>
      <c r="AJ114" s="1">
        <f>MAX(AJ2:AJ110)</f>
        <v>5</v>
      </c>
      <c r="AK114" s="1">
        <f>MAX(AK2:AK110)</f>
        <v>0</v>
      </c>
      <c r="AL114" s="1">
        <f>MAX(AL2:AL110)</f>
        <v>0</v>
      </c>
      <c r="AM114" s="1">
        <f>MAX(AM2:AM110)</f>
        <v>0</v>
      </c>
      <c r="AN114" s="1">
        <f>MAX(AN2:AN110)</f>
        <v>25</v>
      </c>
      <c r="AO114" s="1">
        <f>MAX(AO2:AO110)</f>
        <v>0</v>
      </c>
      <c r="AP114" s="1">
        <f>MAX(AP2:AP110)</f>
        <v>0</v>
      </c>
      <c r="AQ114" s="1">
        <f>MAX(AQ2:AQ110)</f>
        <v>40</v>
      </c>
      <c r="AR114" s="1">
        <f>MAX(AR2:AR110)</f>
        <v>10</v>
      </c>
      <c r="AS114" s="1">
        <f>MAX(AS2:AS110)</f>
        <v>10</v>
      </c>
      <c r="AT114" s="1">
        <f>MAX(AT2:AT110)</f>
        <v>10</v>
      </c>
      <c r="AU114" s="1">
        <f>MAX(AU2:AU110)</f>
        <v>10</v>
      </c>
      <c r="AV114" s="1">
        <f>MAX(AV2:AV110)</f>
        <v>40</v>
      </c>
      <c r="AW114" s="1">
        <f>MAX(AW2:AW110)</f>
        <v>40</v>
      </c>
      <c r="AX114" s="1">
        <f>MAX(AX2:AX110)</f>
        <v>15</v>
      </c>
      <c r="AY114" s="1">
        <f>MAX(AY2:AY110)</f>
        <v>0</v>
      </c>
      <c r="AZ114" s="1">
        <f>MAX(AZ2:AZ110)</f>
        <v>10</v>
      </c>
      <c r="BA114" s="1">
        <f>MAX(BA2:BA110)</f>
        <v>40</v>
      </c>
      <c r="BB114" s="1">
        <f>MAX(BB2:BB110)</f>
        <v>40</v>
      </c>
      <c r="BC114" s="1">
        <f>MAX(BC2:BC110)</f>
        <v>10</v>
      </c>
      <c r="BD114" s="1">
        <f>MAX(BD2:BD110)</f>
        <v>0</v>
      </c>
      <c r="BE114" s="1">
        <f>MAX(BE2:BE110)</f>
        <v>50</v>
      </c>
      <c r="BF114" s="1">
        <f>MAX(BF2:BF110)</f>
        <v>0</v>
      </c>
      <c r="BG114" s="1">
        <f>MAX(BG2:BG110)</f>
        <v>0</v>
      </c>
      <c r="BH114" s="1">
        <f>MAX(BH2:BH110)</f>
        <v>0</v>
      </c>
      <c r="BI114" s="1">
        <f>MAX(BI2:BI110)</f>
        <v>0</v>
      </c>
      <c r="BJ114" s="1">
        <f>MAX(BJ2:BJ110)</f>
        <v>0</v>
      </c>
      <c r="BK114" s="1">
        <f>MAX(BK2:BK110)</f>
        <v>50</v>
      </c>
      <c r="BL114" s="1">
        <f>MAX(BL2:BL110)</f>
        <v>50</v>
      </c>
      <c r="BM114" s="1">
        <f>MAX(BM2:BM110)</f>
        <v>50</v>
      </c>
      <c r="BN114" s="1">
        <f>MAX(BN2:BN110)</f>
        <v>50</v>
      </c>
      <c r="BO114" s="1">
        <f>MAX(BO2:BO110)</f>
        <v>50</v>
      </c>
      <c r="BP114" s="1">
        <f>MAX(BP2:BP110)</f>
        <v>50</v>
      </c>
      <c r="BQ114" s="1"/>
      <c r="BR114" s="1"/>
      <c r="BS114" s="17"/>
      <c r="BT114" s="17"/>
    </row>
    <row r="115" spans="1:72">
      <c r="A115" s="1"/>
      <c r="B115" s="3" t="s">
        <v>118</v>
      </c>
      <c r="C115" s="1"/>
      <c r="D115" s="1"/>
      <c r="E115" s="1">
        <f>MIN(E2:E110)</f>
        <v>5</v>
      </c>
      <c r="F115" s="1">
        <f>MIN(F2:F110)</f>
        <v>0</v>
      </c>
      <c r="G115" s="1">
        <f>MIN(G2:G110)</f>
        <v>10</v>
      </c>
      <c r="H115" s="1">
        <f>MIN(H2:H110)</f>
        <v>10</v>
      </c>
      <c r="I115" s="1">
        <f>MIN(I2:I110)</f>
        <v>10</v>
      </c>
      <c r="J115" s="1">
        <f>MIN(J2:J110)</f>
        <v>10</v>
      </c>
      <c r="K115" s="1">
        <f>MIN(K2:K110)</f>
        <v>10</v>
      </c>
      <c r="L115" s="1">
        <f>MIN(L2:L110)</f>
        <v>7</v>
      </c>
      <c r="M115" s="1">
        <f>MIN(M2:M110)</f>
        <v>10</v>
      </c>
      <c r="N115" s="1">
        <f>MIN(N2:N110)</f>
        <v>10</v>
      </c>
      <c r="O115" s="1">
        <f>MIN(O2:O110)</f>
        <v>10</v>
      </c>
      <c r="P115" s="1">
        <f>MIN(P2:P110)</f>
        <v>10</v>
      </c>
      <c r="Q115" s="1">
        <f>MIN(Q2:Q110)</f>
        <v>5</v>
      </c>
      <c r="R115" s="1">
        <f>MIN(R2:R110)</f>
        <v>2</v>
      </c>
      <c r="S115" s="1">
        <f>MIN(S2:S110)</f>
        <v>10</v>
      </c>
      <c r="T115" s="1">
        <f>MIN(T2:T110)</f>
        <v>5</v>
      </c>
      <c r="U115" s="1">
        <f>MIN(U2:U110)</f>
        <v>2</v>
      </c>
      <c r="V115" s="1">
        <f>MIN(V2:V110)</f>
        <v>5</v>
      </c>
      <c r="W115" s="1">
        <f>MIN(W2:W110)</f>
        <v>5</v>
      </c>
      <c r="X115" s="1">
        <f>MIN(X2:X110)</f>
        <v>2</v>
      </c>
      <c r="Y115" s="1">
        <f>MIN(Y2:Y110)</f>
        <v>5</v>
      </c>
      <c r="Z115" s="1">
        <f>MIN(Z2:Z110)</f>
        <v>5</v>
      </c>
      <c r="AA115" s="1">
        <f>MIN(AA2:AA110)</f>
        <v>2</v>
      </c>
      <c r="AB115" s="1">
        <f>MIN(AB2:AB110)</f>
        <v>10</v>
      </c>
      <c r="AC115" s="1">
        <f>MIN(AC2:AC110)</f>
        <v>5</v>
      </c>
      <c r="AD115" s="1">
        <f>MIN(AD2:AD110)</f>
        <v>2</v>
      </c>
      <c r="AE115" s="1">
        <f>MIN(AE2:AE110)</f>
        <v>50</v>
      </c>
      <c r="AF115" s="1">
        <f>MIN(AF2:AF110)</f>
        <v>5</v>
      </c>
      <c r="AG115" s="1">
        <f>MIN(AG2:AG110)</f>
        <v>0</v>
      </c>
      <c r="AH115" s="1">
        <f>MIN(AH2:AH110)</f>
        <v>5</v>
      </c>
      <c r="AI115" s="1">
        <f>MIN(AI2:AI110)</f>
        <v>5</v>
      </c>
      <c r="AJ115" s="1">
        <f>MIN(AJ2:AJ110)</f>
        <v>5</v>
      </c>
      <c r="AK115" s="1">
        <f>MIN(AK2:AK110)</f>
        <v>0</v>
      </c>
      <c r="AL115" s="1">
        <f>MIN(AL2:AL110)</f>
        <v>0</v>
      </c>
      <c r="AM115" s="1">
        <f>MIN(AM2:AM110)</f>
        <v>0</v>
      </c>
      <c r="AN115" s="1">
        <f>MIN(AN2:AN110)</f>
        <v>15</v>
      </c>
      <c r="AO115" s="1">
        <f>MIN(AO2:AO110)</f>
        <v>0</v>
      </c>
      <c r="AP115" s="1">
        <f>MIN(AP2:AP110)</f>
        <v>0</v>
      </c>
      <c r="AQ115" s="1">
        <f>MIN(AQ2:AQ110)</f>
        <v>10</v>
      </c>
      <c r="AR115" s="1">
        <f>MIN(AR2:AR110)</f>
        <v>10</v>
      </c>
      <c r="AS115" s="1">
        <f>MIN(AS2:AS110)</f>
        <v>10</v>
      </c>
      <c r="AT115" s="1">
        <f>MIN(AT2:AT110)</f>
        <v>10</v>
      </c>
      <c r="AU115" s="1">
        <f>MIN(AU2:AU110)</f>
        <v>10</v>
      </c>
      <c r="AV115" s="1">
        <f>MIN(AV2:AV110)</f>
        <v>10</v>
      </c>
      <c r="AW115" s="1">
        <f>MIN(AW2:AW110)</f>
        <v>15</v>
      </c>
      <c r="AX115" s="1">
        <f>MIN(AX2:AX110)</f>
        <v>15</v>
      </c>
      <c r="AY115" s="1">
        <f>MIN(AY2:AY110)</f>
        <v>0</v>
      </c>
      <c r="AZ115" s="1">
        <f>MIN(AZ2:AZ110)</f>
        <v>10</v>
      </c>
      <c r="BA115" s="1">
        <f>MIN(BA2:BA110)</f>
        <v>20</v>
      </c>
      <c r="BB115" s="1">
        <f>MIN(BB2:BB110)</f>
        <v>20</v>
      </c>
      <c r="BC115" s="1">
        <f>MIN(BC2:BC110)</f>
        <v>10</v>
      </c>
      <c r="BD115" s="1">
        <f>MIN(BD2:BD110)</f>
        <v>0</v>
      </c>
      <c r="BE115" s="1">
        <f>MIN(BE2:BE110)</f>
        <v>50</v>
      </c>
      <c r="BF115" s="1">
        <f>MIN(BF2:BF110)</f>
        <v>0</v>
      </c>
      <c r="BG115" s="1">
        <f>MIN(BG2:BG110)</f>
        <v>0</v>
      </c>
      <c r="BH115" s="1">
        <f>MIN(BH2:BH110)</f>
        <v>0</v>
      </c>
      <c r="BI115" s="1">
        <f>MIN(BI2:BI110)</f>
        <v>0</v>
      </c>
      <c r="BJ115" s="1">
        <f>MIN(BJ2:BJ110)</f>
        <v>0</v>
      </c>
      <c r="BK115" s="1">
        <f>MIN(BK2:BK110)</f>
        <v>50</v>
      </c>
      <c r="BL115" s="1">
        <f>MIN(BL2:BL110)</f>
        <v>50</v>
      </c>
      <c r="BM115" s="1">
        <f>MIN(BM2:BM110)</f>
        <v>50</v>
      </c>
      <c r="BN115" s="1">
        <f>MIN(BN2:BN110)</f>
        <v>50</v>
      </c>
      <c r="BO115" s="1">
        <f>MIN(BO2:BO110)</f>
        <v>50</v>
      </c>
      <c r="BP115" s="1">
        <f>MIN(BP2:BP110)</f>
        <v>50</v>
      </c>
      <c r="BQ115" s="1"/>
      <c r="BR115" s="1"/>
      <c r="BS115" s="17"/>
      <c r="BT115" s="17"/>
    </row>
    <row r="116" spans="1:72">
      <c r="A116" s="1"/>
      <c r="B116" s="3" t="s">
        <v>119</v>
      </c>
      <c r="C116" s="1"/>
      <c r="D116" s="1"/>
      <c r="E116" s="1">
        <f>E112-E114</f>
        <v>14</v>
      </c>
      <c r="F116" s="1">
        <f>F112-F114</f>
        <v>89</v>
      </c>
      <c r="G116" s="1">
        <f>G112-G114</f>
        <v>-18</v>
      </c>
      <c r="H116" s="1">
        <f>H112-H114</f>
        <v>-20</v>
      </c>
      <c r="I116" s="1">
        <f>I112-I114</f>
        <v>132</v>
      </c>
      <c r="J116" s="1">
        <f>J112-J114</f>
        <v>123</v>
      </c>
      <c r="K116" s="1">
        <f>K112-K114</f>
        <v>90</v>
      </c>
      <c r="L116" s="1">
        <f>L112-L114</f>
        <v>91</v>
      </c>
      <c r="M116" s="1">
        <f>M112-M114</f>
        <v>97</v>
      </c>
      <c r="N116" s="1">
        <f>N112-N114</f>
        <v>146</v>
      </c>
      <c r="O116" s="1">
        <f>O112-O114</f>
        <v>73</v>
      </c>
      <c r="P116" s="1">
        <f>P112-P114</f>
        <v>248</v>
      </c>
      <c r="Q116" s="1">
        <f>Q112-Q114</f>
        <v>70</v>
      </c>
      <c r="R116" s="1">
        <f>R112-R114</f>
        <v>1</v>
      </c>
      <c r="S116" s="1">
        <f>S112-S114</f>
        <v>308</v>
      </c>
      <c r="T116" s="1">
        <f>T112-T114</f>
        <v>87</v>
      </c>
      <c r="U116" s="1">
        <f>U112-U114</f>
        <v>19</v>
      </c>
      <c r="V116" s="1">
        <f>V112-V114</f>
        <v>219</v>
      </c>
      <c r="W116" s="1">
        <f>W112-W114</f>
        <v>70</v>
      </c>
      <c r="X116" s="1">
        <f>X112-X114</f>
        <v>-8</v>
      </c>
      <c r="Y116" s="1">
        <f>Y112-Y114</f>
        <v>213</v>
      </c>
      <c r="Z116" s="1">
        <f>Z112-Z114</f>
        <v>78</v>
      </c>
      <c r="AA116" s="1">
        <f>AA112-AA114</f>
        <v>11</v>
      </c>
      <c r="AB116" s="1">
        <f>AB112-AB114</f>
        <v>295</v>
      </c>
      <c r="AC116" s="1">
        <f>AC112-AC114</f>
        <v>62</v>
      </c>
      <c r="AD116" s="1">
        <f>AD112-AD114</f>
        <v>-4</v>
      </c>
      <c r="AE116" s="1">
        <f>AE112-AE114</f>
        <v>-167</v>
      </c>
      <c r="AF116" s="1">
        <f>AF112-AF114</f>
        <v>0</v>
      </c>
      <c r="AG116" s="1">
        <f>AG112-AG114</f>
        <v>3</v>
      </c>
      <c r="AH116" s="1">
        <f>AH112-AH114</f>
        <v>-5</v>
      </c>
      <c r="AI116" s="1">
        <f>AI112-AI114</f>
        <v>-5</v>
      </c>
      <c r="AJ116" s="1">
        <f>AJ112-AJ114</f>
        <v>-5</v>
      </c>
      <c r="AK116" s="1">
        <f>AK112-AK114</f>
        <v>23</v>
      </c>
      <c r="AL116" s="1">
        <f>AL112-AL114</f>
        <v>33</v>
      </c>
      <c r="AM116" s="1">
        <f>AM112-AM114</f>
        <v>0</v>
      </c>
      <c r="AN116" s="1">
        <f>AN112-AN114</f>
        <v>-13</v>
      </c>
      <c r="AO116" s="1">
        <f>AO112-AO114</f>
        <v>0</v>
      </c>
      <c r="AP116" s="1">
        <f>AP112-AP114</f>
        <v>8</v>
      </c>
      <c r="AQ116" s="1">
        <f>AQ112-AQ114</f>
        <v>39</v>
      </c>
      <c r="AR116" s="1">
        <f>AR112-AR114</f>
        <v>27</v>
      </c>
      <c r="AS116" s="1">
        <f>AS112-AS114</f>
        <v>48</v>
      </c>
      <c r="AT116" s="1">
        <f>AT112-AT114</f>
        <v>36</v>
      </c>
      <c r="AU116" s="1">
        <f>AU112-AU114</f>
        <v>30</v>
      </c>
      <c r="AV116" s="1">
        <f>AV112-AV114</f>
        <v>90</v>
      </c>
      <c r="AW116" s="1">
        <f>AW112-AW114</f>
        <v>8</v>
      </c>
      <c r="AX116" s="1">
        <f>AX112-AX114</f>
        <v>43</v>
      </c>
      <c r="AY116" s="1">
        <f>AY112-AY114</f>
        <v>11</v>
      </c>
      <c r="AZ116" s="1">
        <f>AZ112-AZ114</f>
        <v>5</v>
      </c>
      <c r="BA116" s="1">
        <f>BA112-BA114</f>
        <v>-8</v>
      </c>
      <c r="BB116" s="1">
        <f>BB112-BB114</f>
        <v>-17</v>
      </c>
      <c r="BC116" s="1">
        <f>BC112-BC114</f>
        <v>-2</v>
      </c>
      <c r="BD116" s="1">
        <f>BD112-BD114</f>
        <v>4</v>
      </c>
      <c r="BE116" s="1">
        <f>BE112-BE114</f>
        <v>205</v>
      </c>
      <c r="BF116" s="1">
        <f>BF112-BF114</f>
        <v>396</v>
      </c>
      <c r="BG116" s="1">
        <f>BG112-BG114</f>
        <v>312</v>
      </c>
      <c r="BH116" s="1">
        <f>BH112-BH114</f>
        <v>330</v>
      </c>
      <c r="BI116" s="1">
        <f>BI112-BI114</f>
        <v>162</v>
      </c>
      <c r="BJ116" s="1">
        <f>BJ112-BJ114</f>
        <v>195</v>
      </c>
      <c r="BK116" s="1">
        <f>BK112-BK114</f>
        <v>81</v>
      </c>
      <c r="BL116" s="1">
        <f>BL112-BL114</f>
        <v>77</v>
      </c>
      <c r="BM116" s="1">
        <f>BM112-BM114</f>
        <v>191</v>
      </c>
      <c r="BN116" s="1">
        <f>BN112-BN114</f>
        <v>51</v>
      </c>
      <c r="BO116" s="1">
        <f>BO112-BO114</f>
        <v>-47</v>
      </c>
      <c r="BP116" s="1">
        <f>BP112-BP114</f>
        <v>23</v>
      </c>
      <c r="BQ116" s="1"/>
      <c r="BR116" s="1"/>
      <c r="BS116" s="17"/>
      <c r="BT116" s="17"/>
    </row>
    <row r="117" spans="1:72" s="13" customFormat="1">
      <c r="A117" s="1"/>
      <c r="B117" s="3" t="s">
        <v>120</v>
      </c>
      <c r="C117" s="1"/>
      <c r="D117" s="1"/>
      <c r="E117" s="1">
        <f>E112-E115</f>
        <v>19</v>
      </c>
      <c r="F117" s="1">
        <f>F112-F115</f>
        <v>89</v>
      </c>
      <c r="G117" s="1">
        <f>G112-G115</f>
        <v>-8</v>
      </c>
      <c r="H117" s="1">
        <f>H112-H115</f>
        <v>-10</v>
      </c>
      <c r="I117" s="1">
        <f>I112-I115</f>
        <v>132</v>
      </c>
      <c r="J117" s="1">
        <f>J112-J115</f>
        <v>123</v>
      </c>
      <c r="K117" s="1">
        <f>K112-K115</f>
        <v>95</v>
      </c>
      <c r="L117" s="1">
        <f>L112-L115</f>
        <v>94</v>
      </c>
      <c r="M117" s="1">
        <f>M112-M115</f>
        <v>97</v>
      </c>
      <c r="N117" s="1">
        <f>N112-N115</f>
        <v>146</v>
      </c>
      <c r="O117" s="1">
        <f>O112-O115</f>
        <v>73</v>
      </c>
      <c r="P117" s="1">
        <f>P112-P115</f>
        <v>248</v>
      </c>
      <c r="Q117" s="1">
        <f>Q112-Q115</f>
        <v>75</v>
      </c>
      <c r="R117" s="1">
        <f>R112-R115</f>
        <v>9</v>
      </c>
      <c r="S117" s="1">
        <f>S112-S115</f>
        <v>308</v>
      </c>
      <c r="T117" s="1">
        <f>T112-T115</f>
        <v>92</v>
      </c>
      <c r="U117" s="1">
        <f>U112-U115</f>
        <v>27</v>
      </c>
      <c r="V117" s="1">
        <f>V112-V115</f>
        <v>224</v>
      </c>
      <c r="W117" s="1">
        <f>W112-W115</f>
        <v>85</v>
      </c>
      <c r="X117" s="1">
        <f>X112-X115</f>
        <v>0</v>
      </c>
      <c r="Y117" s="1">
        <f>Y112-Y115</f>
        <v>218</v>
      </c>
      <c r="Z117" s="1">
        <f>Z112-Z115</f>
        <v>93</v>
      </c>
      <c r="AA117" s="1">
        <f>AA112-AA115</f>
        <v>19</v>
      </c>
      <c r="AB117" s="1">
        <f>AB112-AB115</f>
        <v>295</v>
      </c>
      <c r="AC117" s="1">
        <f>AC112-AC115</f>
        <v>77</v>
      </c>
      <c r="AD117" s="1">
        <f>AD112-AD115</f>
        <v>4</v>
      </c>
      <c r="AE117" s="1">
        <f>AE112-AE115</f>
        <v>-17</v>
      </c>
      <c r="AF117" s="1">
        <f>AF112-AF115</f>
        <v>0</v>
      </c>
      <c r="AG117" s="1">
        <f>AG112-AG115</f>
        <v>3</v>
      </c>
      <c r="AH117" s="1">
        <f>AH112-AH115</f>
        <v>-5</v>
      </c>
      <c r="AI117" s="1">
        <f>AI112-AI115</f>
        <v>-5</v>
      </c>
      <c r="AJ117" s="1">
        <f>AJ112-AJ115</f>
        <v>-5</v>
      </c>
      <c r="AK117" s="1">
        <f>AK112-AK115</f>
        <v>23</v>
      </c>
      <c r="AL117" s="1">
        <f>AL112-AL115</f>
        <v>33</v>
      </c>
      <c r="AM117" s="1">
        <f>AM112-AM115</f>
        <v>0</v>
      </c>
      <c r="AN117" s="1">
        <f>AN112-AN115</f>
        <v>-3</v>
      </c>
      <c r="AO117" s="1">
        <f>AO112-AO115</f>
        <v>0</v>
      </c>
      <c r="AP117" s="1">
        <f>AP112-AP115</f>
        <v>8</v>
      </c>
      <c r="AQ117" s="1">
        <f>AQ112-AQ115</f>
        <v>69</v>
      </c>
      <c r="AR117" s="1">
        <f>AR112-AR115</f>
        <v>27</v>
      </c>
      <c r="AS117" s="1">
        <f>AS112-AS115</f>
        <v>48</v>
      </c>
      <c r="AT117" s="1">
        <f>AT112-AT115</f>
        <v>36</v>
      </c>
      <c r="AU117" s="1">
        <f>AU112-AU115</f>
        <v>30</v>
      </c>
      <c r="AV117" s="1">
        <f>AV112-AV115</f>
        <v>120</v>
      </c>
      <c r="AW117" s="1">
        <f>AW112-AW115</f>
        <v>33</v>
      </c>
      <c r="AX117" s="1">
        <f>AX112-AX115</f>
        <v>43</v>
      </c>
      <c r="AY117" s="1">
        <f>AY112-AY115</f>
        <v>11</v>
      </c>
      <c r="AZ117" s="1">
        <f>AZ112-AZ115</f>
        <v>5</v>
      </c>
      <c r="BA117" s="1">
        <f>BA112-BA115</f>
        <v>12</v>
      </c>
      <c r="BB117" s="1">
        <f>BB112-BB115</f>
        <v>3</v>
      </c>
      <c r="BC117" s="1">
        <f>BC112-BC115</f>
        <v>-2</v>
      </c>
      <c r="BD117" s="1">
        <f>BD112-BD115</f>
        <v>4</v>
      </c>
      <c r="BE117" s="1">
        <f>BE112-BE115</f>
        <v>205</v>
      </c>
      <c r="BF117" s="1">
        <f>BF112-BF115</f>
        <v>396</v>
      </c>
      <c r="BG117" s="1">
        <f>BG112-BG115</f>
        <v>312</v>
      </c>
      <c r="BH117" s="1">
        <f>BH112-BH115</f>
        <v>330</v>
      </c>
      <c r="BI117" s="1">
        <f>BI112-BI115</f>
        <v>162</v>
      </c>
      <c r="BJ117" s="1">
        <f>BJ112-BJ115</f>
        <v>195</v>
      </c>
      <c r="BK117" s="1">
        <f>BK112-BK115</f>
        <v>81</v>
      </c>
      <c r="BL117" s="1">
        <f>BL112-BL115</f>
        <v>77</v>
      </c>
      <c r="BM117" s="1">
        <f>BM112-BM115</f>
        <v>191</v>
      </c>
      <c r="BN117" s="1">
        <f>BN112-BN115</f>
        <v>51</v>
      </c>
      <c r="BO117" s="1">
        <f>BO112-BO115</f>
        <v>-47</v>
      </c>
      <c r="BP117" s="1">
        <f>BP112-BP115</f>
        <v>23</v>
      </c>
      <c r="BQ117" s="1"/>
      <c r="BR117" s="1"/>
      <c r="BS117" s="17"/>
      <c r="BT117" s="17"/>
    </row>
    <row r="118" spans="1:72">
      <c r="AQ118" s="7" t="s">
        <v>136</v>
      </c>
      <c r="AR118" s="7" t="s">
        <v>139</v>
      </c>
      <c r="AS118" s="7" t="s">
        <v>140</v>
      </c>
      <c r="AT118" s="7" t="s">
        <v>137</v>
      </c>
      <c r="AU118" s="7" t="s">
        <v>138</v>
      </c>
      <c r="AV118" s="7" t="s">
        <v>135</v>
      </c>
      <c r="AW118" s="7" t="s">
        <v>141</v>
      </c>
      <c r="AX118" s="7" t="s">
        <v>142</v>
      </c>
      <c r="AY118" s="7" t="s">
        <v>143</v>
      </c>
      <c r="AZ118" s="7" t="s">
        <v>144</v>
      </c>
      <c r="BA118" s="7" t="s">
        <v>145</v>
      </c>
      <c r="BB118" s="7" t="s">
        <v>146</v>
      </c>
    </row>
  </sheetData>
  <autoFilter ref="A1:BV118">
    <sortState ref="A2:BV118">
      <sortCondition ref="BS2:BS118"/>
      <sortCondition ref="BR2:BR118"/>
    </sortState>
  </autoFilter>
  <sortState ref="A2:CT148">
    <sortCondition ref="BS2:BS148"/>
    <sortCondition ref="BR2:BR148"/>
  </sortState>
  <phoneticPr fontId="1" type="noConversion"/>
  <conditionalFormatting sqref="E114:BC114 BE114:BP114">
    <cfRule type="expression" dxfId="13" priority="13">
      <formula>"&lt;=$E$135"</formula>
    </cfRule>
  </conditionalFormatting>
  <conditionalFormatting sqref="E116:BC117 BE116:BP117">
    <cfRule type="cellIs" dxfId="12" priority="4" operator="lessThan">
      <formula>0</formula>
    </cfRule>
  </conditionalFormatting>
  <conditionalFormatting sqref="E113:BC113 BE113:BP113">
    <cfRule type="cellIs" dxfId="11" priority="5" operator="lessThan">
      <formula>0</formula>
    </cfRule>
  </conditionalFormatting>
  <conditionalFormatting sqref="BD114">
    <cfRule type="expression" dxfId="10" priority="3">
      <formula>"&lt;=$E$135"</formula>
    </cfRule>
  </conditionalFormatting>
  <conditionalFormatting sqref="BD116:BD117">
    <cfRule type="cellIs" dxfId="9" priority="1" operator="lessThan">
      <formula>0</formula>
    </cfRule>
  </conditionalFormatting>
  <conditionalFormatting sqref="BD113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117</xdr:row>
                    <xdr:rowOff>28575</xdr:rowOff>
                  </from>
                  <to>
                    <xdr:col>1</xdr:col>
                    <xdr:colOff>428625</xdr:colOff>
                    <xdr:row>118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7" t="s">
        <v>59</v>
      </c>
      <c r="B1" s="47" t="s">
        <v>60</v>
      </c>
      <c r="C1" s="47" t="s">
        <v>62</v>
      </c>
      <c r="D1" s="47" t="s">
        <v>61</v>
      </c>
      <c r="E1" s="48" t="s">
        <v>1</v>
      </c>
      <c r="F1" s="48" t="s">
        <v>2</v>
      </c>
      <c r="G1" s="48" t="s">
        <v>10</v>
      </c>
      <c r="H1" s="48" t="s">
        <v>18</v>
      </c>
      <c r="I1" s="48" t="s">
        <v>19</v>
      </c>
      <c r="J1" s="48" t="s">
        <v>58</v>
      </c>
      <c r="K1" s="48" t="s">
        <v>20</v>
      </c>
      <c r="L1" s="48" t="s">
        <v>35</v>
      </c>
      <c r="M1" s="48" t="s">
        <v>37</v>
      </c>
      <c r="N1" s="48" t="s">
        <v>41</v>
      </c>
      <c r="O1" s="48" t="s">
        <v>36</v>
      </c>
      <c r="P1" s="49" t="s">
        <v>90</v>
      </c>
      <c r="Q1" s="49" t="s">
        <v>102</v>
      </c>
      <c r="R1" s="49" t="s">
        <v>96</v>
      </c>
      <c r="S1" s="49" t="s">
        <v>91</v>
      </c>
      <c r="T1" s="49" t="s">
        <v>100</v>
      </c>
      <c r="U1" s="49" t="s">
        <v>105</v>
      </c>
      <c r="V1" s="49" t="s">
        <v>92</v>
      </c>
      <c r="W1" s="49" t="s">
        <v>99</v>
      </c>
      <c r="X1" s="49" t="s">
        <v>97</v>
      </c>
      <c r="Y1" s="49" t="s">
        <v>93</v>
      </c>
      <c r="Z1" s="49" t="s">
        <v>101</v>
      </c>
      <c r="AA1" s="49" t="s">
        <v>106</v>
      </c>
      <c r="AB1" s="49" t="s">
        <v>95</v>
      </c>
      <c r="AC1" s="49" t="s">
        <v>94</v>
      </c>
      <c r="AD1" s="49" t="s">
        <v>113</v>
      </c>
      <c r="AE1" s="47" t="s">
        <v>7</v>
      </c>
      <c r="AF1" s="47" t="s">
        <v>23</v>
      </c>
      <c r="AG1" s="47" t="s">
        <v>24</v>
      </c>
      <c r="AH1" s="47" t="s">
        <v>49</v>
      </c>
      <c r="AI1" s="47" t="s">
        <v>50</v>
      </c>
      <c r="AJ1" s="47" t="s">
        <v>52</v>
      </c>
      <c r="AK1" s="47" t="s">
        <v>53</v>
      </c>
      <c r="AL1" s="47" t="s">
        <v>55</v>
      </c>
      <c r="AM1" s="47" t="s">
        <v>42</v>
      </c>
      <c r="AN1" s="47" t="s">
        <v>43</v>
      </c>
      <c r="AO1" s="47" t="s">
        <v>79</v>
      </c>
      <c r="AP1" s="47" t="s">
        <v>80</v>
      </c>
      <c r="AQ1" s="50" t="s">
        <v>33</v>
      </c>
      <c r="AR1" s="50" t="s">
        <v>3</v>
      </c>
      <c r="AS1" s="50" t="s">
        <v>22</v>
      </c>
      <c r="AT1" s="50" t="s">
        <v>45</v>
      </c>
      <c r="AU1" s="50" t="s">
        <v>47</v>
      </c>
      <c r="AV1" s="50" t="s">
        <v>40</v>
      </c>
      <c r="AW1" s="51" t="s">
        <v>4</v>
      </c>
      <c r="AX1" s="51" t="s">
        <v>5</v>
      </c>
      <c r="AY1" s="51" t="s">
        <v>34</v>
      </c>
      <c r="AZ1" s="51" t="s">
        <v>6</v>
      </c>
      <c r="BA1" s="51" t="s">
        <v>39</v>
      </c>
      <c r="BB1" s="51" t="s">
        <v>9</v>
      </c>
      <c r="BC1" s="52" t="s">
        <v>77</v>
      </c>
      <c r="BD1" s="47" t="s">
        <v>175</v>
      </c>
      <c r="BE1" s="47" t="s">
        <v>14</v>
      </c>
      <c r="BF1" s="47" t="s">
        <v>13</v>
      </c>
      <c r="BG1" s="47" t="s">
        <v>11</v>
      </c>
      <c r="BH1" s="47" t="s">
        <v>12</v>
      </c>
      <c r="BI1" s="47" t="s">
        <v>15</v>
      </c>
      <c r="BJ1" s="47" t="s">
        <v>16</v>
      </c>
      <c r="BK1" s="47" t="s">
        <v>26</v>
      </c>
      <c r="BL1" s="47" t="s">
        <v>27</v>
      </c>
      <c r="BM1" s="47" t="s">
        <v>28</v>
      </c>
      <c r="BN1" s="47" t="s">
        <v>29</v>
      </c>
      <c r="BO1" s="47" t="s">
        <v>30</v>
      </c>
      <c r="BP1" s="47" t="s">
        <v>31</v>
      </c>
      <c r="BQ1" s="53" t="s">
        <v>66</v>
      </c>
      <c r="BR1" s="47" t="s">
        <v>67</v>
      </c>
      <c r="BS1" s="54" t="s">
        <v>68</v>
      </c>
      <c r="BT1" s="54"/>
      <c r="BU1" s="55" t="s">
        <v>156</v>
      </c>
      <c r="BV1" s="55"/>
    </row>
    <row r="2" spans="1:74" s="62" customFormat="1">
      <c r="A2" s="60"/>
      <c r="B2" s="61" t="s">
        <v>150</v>
      </c>
      <c r="C2" s="61" t="s">
        <v>21</v>
      </c>
      <c r="D2" s="60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9">
        <v>10</v>
      </c>
      <c r="Q2" s="29"/>
      <c r="R2" s="29"/>
      <c r="S2" s="29">
        <v>10</v>
      </c>
      <c r="T2" s="29"/>
      <c r="U2" s="29"/>
      <c r="V2" s="29"/>
      <c r="W2" s="29">
        <v>5</v>
      </c>
      <c r="X2" s="29"/>
      <c r="Y2" s="29"/>
      <c r="Z2" s="29"/>
      <c r="AA2" s="29"/>
      <c r="AB2" s="29">
        <v>10</v>
      </c>
      <c r="AC2" s="29"/>
      <c r="AD2" s="29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6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>
        <f t="shared" ref="BQ2:BQ3" si="0">SUM(E2:BP2)</f>
        <v>35</v>
      </c>
      <c r="BR2" s="60">
        <v>2</v>
      </c>
      <c r="BS2" s="22">
        <v>1</v>
      </c>
      <c r="BT2" s="22" t="s">
        <v>226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60"/>
      <c r="B3" s="61" t="s">
        <v>150</v>
      </c>
      <c r="C3" s="61" t="s">
        <v>21</v>
      </c>
      <c r="D3" s="60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>
        <v>5</v>
      </c>
      <c r="R3" s="29"/>
      <c r="S3" s="29"/>
      <c r="T3" s="29">
        <v>5</v>
      </c>
      <c r="U3" s="29"/>
      <c r="V3" s="29"/>
      <c r="W3" s="29"/>
      <c r="X3" s="29">
        <v>2</v>
      </c>
      <c r="Y3" s="29"/>
      <c r="Z3" s="29">
        <v>5</v>
      </c>
      <c r="AA3" s="29"/>
      <c r="AB3" s="29"/>
      <c r="AC3" s="29"/>
      <c r="AD3" s="29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>
        <f t="shared" si="0"/>
        <v>17</v>
      </c>
      <c r="BR3" s="60">
        <v>7</v>
      </c>
      <c r="BS3" s="22">
        <v>2</v>
      </c>
      <c r="BT3" s="22" t="s">
        <v>215</v>
      </c>
      <c r="BU3" s="23">
        <f t="shared" si="1"/>
        <v>17</v>
      </c>
      <c r="BV3" s="23">
        <f t="shared" si="2"/>
        <v>0</v>
      </c>
    </row>
    <row r="4" spans="1:74" s="23" customFormat="1" ht="27">
      <c r="A4" s="60"/>
      <c r="B4" s="61" t="s">
        <v>150</v>
      </c>
      <c r="C4" s="61" t="s">
        <v>21</v>
      </c>
      <c r="D4" s="60" t="s">
        <v>149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>
        <v>10</v>
      </c>
      <c r="AB4" s="29"/>
      <c r="AC4" s="29"/>
      <c r="AD4" s="29">
        <v>10</v>
      </c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>
        <f t="shared" ref="BQ4:BQ5" si="3">SUM(E4:BP4)</f>
        <v>40</v>
      </c>
      <c r="BR4" s="60">
        <v>19</v>
      </c>
      <c r="BS4" s="22">
        <v>2</v>
      </c>
      <c r="BT4" s="22" t="s">
        <v>216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60"/>
      <c r="B5" s="61" t="s">
        <v>197</v>
      </c>
      <c r="C5" s="61" t="s">
        <v>152</v>
      </c>
      <c r="D5" s="60" t="s">
        <v>149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>
        <v>10</v>
      </c>
      <c r="Y5" s="29"/>
      <c r="Z5" s="29"/>
      <c r="AA5" s="29"/>
      <c r="AB5" s="29"/>
      <c r="AC5" s="29"/>
      <c r="AD5" s="29">
        <v>10</v>
      </c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>
        <f t="shared" si="3"/>
        <v>40</v>
      </c>
      <c r="BR5" s="60">
        <v>30</v>
      </c>
      <c r="BS5" s="22">
        <v>3</v>
      </c>
      <c r="BT5" s="22" t="s">
        <v>227</v>
      </c>
      <c r="BU5" s="23">
        <f t="shared" si="4"/>
        <v>20</v>
      </c>
      <c r="BV5" s="23">
        <f t="shared" si="5"/>
        <v>0</v>
      </c>
    </row>
    <row r="6" spans="1:74">
      <c r="A6" s="56"/>
      <c r="B6" s="56" t="s">
        <v>48</v>
      </c>
      <c r="C6" s="56"/>
      <c r="D6" s="56"/>
      <c r="E6" s="38">
        <f t="shared" ref="E6:AJ6" si="6">SUM(E2:E5)</f>
        <v>0</v>
      </c>
      <c r="F6" s="38">
        <f t="shared" si="6"/>
        <v>0</v>
      </c>
      <c r="G6" s="38">
        <f t="shared" si="6"/>
        <v>10</v>
      </c>
      <c r="H6" s="38">
        <f t="shared" si="6"/>
        <v>0</v>
      </c>
      <c r="I6" s="38">
        <f t="shared" si="6"/>
        <v>0</v>
      </c>
      <c r="J6" s="38">
        <f t="shared" si="6"/>
        <v>0</v>
      </c>
      <c r="K6" s="38">
        <f t="shared" si="6"/>
        <v>0</v>
      </c>
      <c r="L6" s="38">
        <f t="shared" si="6"/>
        <v>0</v>
      </c>
      <c r="M6" s="38">
        <f t="shared" si="6"/>
        <v>10</v>
      </c>
      <c r="N6" s="38">
        <f t="shared" si="6"/>
        <v>0</v>
      </c>
      <c r="O6" s="38">
        <f t="shared" si="6"/>
        <v>0</v>
      </c>
      <c r="P6" s="39">
        <f t="shared" si="6"/>
        <v>10</v>
      </c>
      <c r="Q6" s="39">
        <f t="shared" si="6"/>
        <v>5</v>
      </c>
      <c r="R6" s="39">
        <f t="shared" si="6"/>
        <v>0</v>
      </c>
      <c r="S6" s="39">
        <f t="shared" si="6"/>
        <v>10</v>
      </c>
      <c r="T6" s="39">
        <f t="shared" si="6"/>
        <v>5</v>
      </c>
      <c r="U6" s="39">
        <f t="shared" si="6"/>
        <v>0</v>
      </c>
      <c r="V6" s="39">
        <f t="shared" si="6"/>
        <v>0</v>
      </c>
      <c r="W6" s="39">
        <f t="shared" si="6"/>
        <v>5</v>
      </c>
      <c r="X6" s="39">
        <f t="shared" si="6"/>
        <v>12</v>
      </c>
      <c r="Y6" s="39">
        <f t="shared" si="6"/>
        <v>0</v>
      </c>
      <c r="Z6" s="39">
        <f t="shared" si="6"/>
        <v>5</v>
      </c>
      <c r="AA6" s="39">
        <f t="shared" si="6"/>
        <v>10</v>
      </c>
      <c r="AB6" s="39">
        <f t="shared" si="6"/>
        <v>10</v>
      </c>
      <c r="AC6" s="39">
        <f t="shared" si="6"/>
        <v>0</v>
      </c>
      <c r="AD6" s="39">
        <f t="shared" si="6"/>
        <v>20</v>
      </c>
      <c r="AE6" s="56">
        <f t="shared" si="6"/>
        <v>0</v>
      </c>
      <c r="AF6" s="56">
        <f t="shared" si="6"/>
        <v>0</v>
      </c>
      <c r="AG6" s="56">
        <f t="shared" si="6"/>
        <v>0</v>
      </c>
      <c r="AH6" s="56">
        <f t="shared" si="6"/>
        <v>0</v>
      </c>
      <c r="AI6" s="56">
        <f t="shared" si="6"/>
        <v>0</v>
      </c>
      <c r="AJ6" s="56">
        <f t="shared" si="6"/>
        <v>0</v>
      </c>
      <c r="AK6" s="56">
        <f t="shared" ref="AK6:BP6" si="7">SUM(AK2:AK5)</f>
        <v>0</v>
      </c>
      <c r="AL6" s="56">
        <f t="shared" si="7"/>
        <v>0</v>
      </c>
      <c r="AM6" s="56">
        <f t="shared" si="7"/>
        <v>0</v>
      </c>
      <c r="AN6" s="56">
        <f t="shared" si="7"/>
        <v>0</v>
      </c>
      <c r="AO6" s="56">
        <f t="shared" si="7"/>
        <v>0</v>
      </c>
      <c r="AP6" s="56">
        <f t="shared" si="7"/>
        <v>0</v>
      </c>
      <c r="AQ6" s="40">
        <f t="shared" si="7"/>
        <v>0</v>
      </c>
      <c r="AR6" s="40">
        <f t="shared" si="7"/>
        <v>0</v>
      </c>
      <c r="AS6" s="40">
        <f t="shared" si="7"/>
        <v>10</v>
      </c>
      <c r="AT6" s="40">
        <f t="shared" si="7"/>
        <v>0</v>
      </c>
      <c r="AU6" s="40">
        <f t="shared" si="7"/>
        <v>0</v>
      </c>
      <c r="AV6" s="40">
        <f t="shared" si="7"/>
        <v>10</v>
      </c>
      <c r="AW6" s="41">
        <f t="shared" si="7"/>
        <v>0</v>
      </c>
      <c r="AX6" s="41">
        <f t="shared" si="7"/>
        <v>0</v>
      </c>
      <c r="AY6" s="41">
        <f t="shared" si="7"/>
        <v>0</v>
      </c>
      <c r="AZ6" s="41">
        <f t="shared" si="7"/>
        <v>0</v>
      </c>
      <c r="BA6" s="41">
        <f t="shared" si="7"/>
        <v>0</v>
      </c>
      <c r="BB6" s="41">
        <f t="shared" si="7"/>
        <v>0</v>
      </c>
      <c r="BC6" s="56">
        <f t="shared" si="7"/>
        <v>0</v>
      </c>
      <c r="BD6" s="56">
        <f t="shared" si="7"/>
        <v>0</v>
      </c>
      <c r="BE6" s="56">
        <f t="shared" si="7"/>
        <v>0</v>
      </c>
      <c r="BF6" s="56">
        <f t="shared" si="7"/>
        <v>0</v>
      </c>
      <c r="BG6" s="56">
        <f t="shared" si="7"/>
        <v>0</v>
      </c>
      <c r="BH6" s="56">
        <f t="shared" si="7"/>
        <v>0</v>
      </c>
      <c r="BI6" s="56">
        <f t="shared" si="7"/>
        <v>0</v>
      </c>
      <c r="BJ6" s="56">
        <f t="shared" si="7"/>
        <v>0</v>
      </c>
      <c r="BK6" s="56">
        <f t="shared" si="7"/>
        <v>0</v>
      </c>
      <c r="BL6" s="56">
        <f t="shared" si="7"/>
        <v>0</v>
      </c>
      <c r="BM6" s="56">
        <f t="shared" si="7"/>
        <v>0</v>
      </c>
      <c r="BN6" s="56">
        <f t="shared" si="7"/>
        <v>0</v>
      </c>
      <c r="BO6" s="56">
        <f t="shared" si="7"/>
        <v>0</v>
      </c>
      <c r="BP6" s="56">
        <f t="shared" si="7"/>
        <v>0</v>
      </c>
      <c r="BQ6" s="56"/>
      <c r="BR6" s="56"/>
      <c r="BS6" s="43"/>
      <c r="BT6" s="43"/>
      <c r="BU6" s="44"/>
      <c r="BV6" s="44"/>
    </row>
    <row r="7" spans="1:74">
      <c r="A7" s="56"/>
      <c r="B7" s="57" t="s">
        <v>65</v>
      </c>
      <c r="C7" s="56"/>
      <c r="D7" s="56"/>
      <c r="E7" s="56">
        <v>14</v>
      </c>
      <c r="F7" s="56">
        <v>67</v>
      </c>
      <c r="G7" s="56">
        <v>0</v>
      </c>
      <c r="H7" s="56">
        <v>0</v>
      </c>
      <c r="I7" s="56">
        <v>130</v>
      </c>
      <c r="J7" s="56">
        <v>130</v>
      </c>
      <c r="K7" s="56">
        <v>102</v>
      </c>
      <c r="L7" s="56">
        <v>86</v>
      </c>
      <c r="M7" s="56">
        <v>93</v>
      </c>
      <c r="N7" s="56">
        <v>153</v>
      </c>
      <c r="O7" s="56">
        <v>77</v>
      </c>
      <c r="P7" s="42">
        <v>268</v>
      </c>
      <c r="Q7" s="42">
        <v>97</v>
      </c>
      <c r="R7" s="42">
        <v>30</v>
      </c>
      <c r="S7" s="42">
        <v>328</v>
      </c>
      <c r="T7" s="42">
        <v>114</v>
      </c>
      <c r="U7" s="42">
        <v>31</v>
      </c>
      <c r="V7" s="42">
        <v>229</v>
      </c>
      <c r="W7" s="42">
        <v>100</v>
      </c>
      <c r="X7" s="42">
        <v>22</v>
      </c>
      <c r="Y7" s="42">
        <v>223</v>
      </c>
      <c r="Z7" s="42">
        <v>108</v>
      </c>
      <c r="AA7" s="42">
        <v>23</v>
      </c>
      <c r="AB7" s="42">
        <v>315</v>
      </c>
      <c r="AC7" s="42">
        <v>87</v>
      </c>
      <c r="AD7" s="42">
        <v>18</v>
      </c>
      <c r="AE7" s="56">
        <v>28</v>
      </c>
      <c r="AF7" s="56">
        <v>3</v>
      </c>
      <c r="AG7" s="56">
        <v>3</v>
      </c>
      <c r="AH7" s="56">
        <v>0</v>
      </c>
      <c r="AI7" s="56">
        <v>0</v>
      </c>
      <c r="AJ7" s="56">
        <v>0</v>
      </c>
      <c r="AK7" s="56">
        <v>23</v>
      </c>
      <c r="AL7" s="56">
        <v>33</v>
      </c>
      <c r="AM7" s="56">
        <v>0</v>
      </c>
      <c r="AN7" s="56">
        <v>7</v>
      </c>
      <c r="AO7" s="56">
        <v>2</v>
      </c>
      <c r="AP7" s="56">
        <v>6</v>
      </c>
      <c r="AQ7" s="42">
        <v>66</v>
      </c>
      <c r="AR7" s="42">
        <v>25</v>
      </c>
      <c r="AS7" s="42">
        <v>56</v>
      </c>
      <c r="AT7" s="42">
        <v>40</v>
      </c>
      <c r="AU7" s="42">
        <v>31</v>
      </c>
      <c r="AV7" s="42">
        <v>146</v>
      </c>
      <c r="AW7" s="42">
        <v>34</v>
      </c>
      <c r="AX7" s="42">
        <v>58</v>
      </c>
      <c r="AY7" s="42">
        <v>0</v>
      </c>
      <c r="AZ7" s="42">
        <v>6</v>
      </c>
      <c r="BA7" s="42">
        <v>15</v>
      </c>
      <c r="BB7" s="42">
        <v>14</v>
      </c>
      <c r="BC7" s="42">
        <v>3</v>
      </c>
      <c r="BD7" s="56">
        <v>2</v>
      </c>
      <c r="BE7" s="56">
        <v>255</v>
      </c>
      <c r="BF7" s="56">
        <v>396</v>
      </c>
      <c r="BG7" s="56">
        <v>312</v>
      </c>
      <c r="BH7" s="56">
        <v>330</v>
      </c>
      <c r="BI7" s="56">
        <v>162</v>
      </c>
      <c r="BJ7" s="56">
        <v>195</v>
      </c>
      <c r="BK7" s="56">
        <v>131</v>
      </c>
      <c r="BL7" s="56">
        <v>127</v>
      </c>
      <c r="BM7" s="56">
        <v>241</v>
      </c>
      <c r="BN7" s="56">
        <v>101</v>
      </c>
      <c r="BO7" s="56">
        <v>3</v>
      </c>
      <c r="BP7" s="56">
        <v>73</v>
      </c>
      <c r="BQ7" s="56"/>
      <c r="BR7" s="56"/>
      <c r="BS7" s="43"/>
      <c r="BT7" s="43"/>
      <c r="BU7" s="44"/>
      <c r="BV7" s="44"/>
    </row>
    <row r="8" spans="1:74">
      <c r="A8" s="56"/>
      <c r="B8" s="57" t="s">
        <v>72</v>
      </c>
      <c r="C8" s="56"/>
      <c r="D8" s="56"/>
      <c r="E8" s="56">
        <f t="shared" ref="E8:BP8" si="8">E7-E6</f>
        <v>14</v>
      </c>
      <c r="F8" s="56">
        <f t="shared" si="8"/>
        <v>67</v>
      </c>
      <c r="G8" s="56">
        <f t="shared" si="8"/>
        <v>-10</v>
      </c>
      <c r="H8" s="56">
        <f t="shared" si="8"/>
        <v>0</v>
      </c>
      <c r="I8" s="56">
        <f t="shared" si="8"/>
        <v>130</v>
      </c>
      <c r="J8" s="56">
        <f t="shared" si="8"/>
        <v>130</v>
      </c>
      <c r="K8" s="56">
        <f t="shared" si="8"/>
        <v>102</v>
      </c>
      <c r="L8" s="56">
        <f t="shared" si="8"/>
        <v>86</v>
      </c>
      <c r="M8" s="56">
        <f t="shared" si="8"/>
        <v>83</v>
      </c>
      <c r="N8" s="56">
        <f t="shared" si="8"/>
        <v>153</v>
      </c>
      <c r="O8" s="56">
        <f t="shared" si="8"/>
        <v>77</v>
      </c>
      <c r="P8" s="56">
        <f t="shared" si="8"/>
        <v>258</v>
      </c>
      <c r="Q8" s="56">
        <f t="shared" si="8"/>
        <v>92</v>
      </c>
      <c r="R8" s="56">
        <f t="shared" si="8"/>
        <v>30</v>
      </c>
      <c r="S8" s="56">
        <f t="shared" si="8"/>
        <v>318</v>
      </c>
      <c r="T8" s="56">
        <f t="shared" si="8"/>
        <v>109</v>
      </c>
      <c r="U8" s="56">
        <f t="shared" si="8"/>
        <v>31</v>
      </c>
      <c r="V8" s="56">
        <f t="shared" si="8"/>
        <v>229</v>
      </c>
      <c r="W8" s="56">
        <f t="shared" si="8"/>
        <v>95</v>
      </c>
      <c r="X8" s="56">
        <f t="shared" si="8"/>
        <v>10</v>
      </c>
      <c r="Y8" s="56">
        <f t="shared" si="8"/>
        <v>223</v>
      </c>
      <c r="Z8" s="56">
        <f t="shared" si="8"/>
        <v>103</v>
      </c>
      <c r="AA8" s="56">
        <f t="shared" si="8"/>
        <v>13</v>
      </c>
      <c r="AB8" s="56">
        <f t="shared" si="8"/>
        <v>305</v>
      </c>
      <c r="AC8" s="56">
        <f t="shared" si="8"/>
        <v>87</v>
      </c>
      <c r="AD8" s="56">
        <f t="shared" si="8"/>
        <v>-2</v>
      </c>
      <c r="AE8" s="56">
        <f t="shared" si="8"/>
        <v>28</v>
      </c>
      <c r="AF8" s="56">
        <f t="shared" si="8"/>
        <v>3</v>
      </c>
      <c r="AG8" s="56">
        <f t="shared" si="8"/>
        <v>3</v>
      </c>
      <c r="AH8" s="56">
        <f t="shared" si="8"/>
        <v>0</v>
      </c>
      <c r="AI8" s="56">
        <f t="shared" si="8"/>
        <v>0</v>
      </c>
      <c r="AJ8" s="56">
        <f t="shared" si="8"/>
        <v>0</v>
      </c>
      <c r="AK8" s="56">
        <f t="shared" si="8"/>
        <v>23</v>
      </c>
      <c r="AL8" s="56">
        <f t="shared" si="8"/>
        <v>33</v>
      </c>
      <c r="AM8" s="56">
        <f t="shared" si="8"/>
        <v>0</v>
      </c>
      <c r="AN8" s="56">
        <f t="shared" si="8"/>
        <v>7</v>
      </c>
      <c r="AO8" s="56">
        <f t="shared" si="8"/>
        <v>2</v>
      </c>
      <c r="AP8" s="56">
        <f t="shared" si="8"/>
        <v>6</v>
      </c>
      <c r="AQ8" s="56">
        <f t="shared" si="8"/>
        <v>66</v>
      </c>
      <c r="AR8" s="56">
        <f t="shared" si="8"/>
        <v>25</v>
      </c>
      <c r="AS8" s="56">
        <f t="shared" si="8"/>
        <v>46</v>
      </c>
      <c r="AT8" s="56">
        <f t="shared" si="8"/>
        <v>40</v>
      </c>
      <c r="AU8" s="56">
        <f t="shared" si="8"/>
        <v>31</v>
      </c>
      <c r="AV8" s="56">
        <f t="shared" si="8"/>
        <v>136</v>
      </c>
      <c r="AW8" s="56">
        <f t="shared" si="8"/>
        <v>34</v>
      </c>
      <c r="AX8" s="56">
        <f t="shared" si="8"/>
        <v>58</v>
      </c>
      <c r="AY8" s="56">
        <f t="shared" si="8"/>
        <v>0</v>
      </c>
      <c r="AZ8" s="56">
        <f t="shared" si="8"/>
        <v>6</v>
      </c>
      <c r="BA8" s="56">
        <f t="shared" si="8"/>
        <v>15</v>
      </c>
      <c r="BB8" s="56">
        <f t="shared" si="8"/>
        <v>14</v>
      </c>
      <c r="BC8" s="56">
        <f t="shared" si="8"/>
        <v>3</v>
      </c>
      <c r="BD8" s="56">
        <f t="shared" si="8"/>
        <v>2</v>
      </c>
      <c r="BE8" s="56">
        <f t="shared" si="8"/>
        <v>255</v>
      </c>
      <c r="BF8" s="56">
        <f t="shared" si="8"/>
        <v>396</v>
      </c>
      <c r="BG8" s="56">
        <f t="shared" si="8"/>
        <v>312</v>
      </c>
      <c r="BH8" s="56">
        <f t="shared" si="8"/>
        <v>330</v>
      </c>
      <c r="BI8" s="56">
        <f t="shared" si="8"/>
        <v>162</v>
      </c>
      <c r="BJ8" s="56">
        <f t="shared" si="8"/>
        <v>195</v>
      </c>
      <c r="BK8" s="56">
        <f t="shared" si="8"/>
        <v>131</v>
      </c>
      <c r="BL8" s="56">
        <f t="shared" si="8"/>
        <v>127</v>
      </c>
      <c r="BM8" s="56">
        <f t="shared" si="8"/>
        <v>241</v>
      </c>
      <c r="BN8" s="56">
        <f t="shared" si="8"/>
        <v>101</v>
      </c>
      <c r="BO8" s="56">
        <f t="shared" si="8"/>
        <v>3</v>
      </c>
      <c r="BP8" s="56">
        <f t="shared" si="8"/>
        <v>73</v>
      </c>
      <c r="BQ8" s="56"/>
      <c r="BR8" s="56"/>
      <c r="BS8" s="43"/>
      <c r="BT8" s="43"/>
      <c r="BU8" s="44"/>
      <c r="BV8" s="44"/>
    </row>
    <row r="9" spans="1:74">
      <c r="A9" s="56"/>
      <c r="B9" s="57" t="s">
        <v>117</v>
      </c>
      <c r="C9" s="56"/>
      <c r="D9" s="56"/>
      <c r="E9" s="56">
        <f t="shared" ref="E9:AJ9" si="9">MAX(E2:E5)</f>
        <v>0</v>
      </c>
      <c r="F9" s="56">
        <f t="shared" si="9"/>
        <v>0</v>
      </c>
      <c r="G9" s="56">
        <f t="shared" si="9"/>
        <v>10</v>
      </c>
      <c r="H9" s="56">
        <f t="shared" si="9"/>
        <v>0</v>
      </c>
      <c r="I9" s="56">
        <f t="shared" si="9"/>
        <v>0</v>
      </c>
      <c r="J9" s="56">
        <f t="shared" si="9"/>
        <v>0</v>
      </c>
      <c r="K9" s="56">
        <f t="shared" si="9"/>
        <v>0</v>
      </c>
      <c r="L9" s="56">
        <f t="shared" si="9"/>
        <v>0</v>
      </c>
      <c r="M9" s="56">
        <f t="shared" si="9"/>
        <v>10</v>
      </c>
      <c r="N9" s="56">
        <f t="shared" si="9"/>
        <v>0</v>
      </c>
      <c r="O9" s="56">
        <f t="shared" si="9"/>
        <v>0</v>
      </c>
      <c r="P9" s="56">
        <f t="shared" si="9"/>
        <v>10</v>
      </c>
      <c r="Q9" s="56">
        <f t="shared" si="9"/>
        <v>5</v>
      </c>
      <c r="R9" s="56">
        <f t="shared" si="9"/>
        <v>0</v>
      </c>
      <c r="S9" s="56">
        <f t="shared" si="9"/>
        <v>10</v>
      </c>
      <c r="T9" s="56">
        <f t="shared" si="9"/>
        <v>5</v>
      </c>
      <c r="U9" s="56">
        <f t="shared" si="9"/>
        <v>0</v>
      </c>
      <c r="V9" s="56">
        <f t="shared" si="9"/>
        <v>0</v>
      </c>
      <c r="W9" s="56">
        <f t="shared" si="9"/>
        <v>5</v>
      </c>
      <c r="X9" s="56">
        <f t="shared" si="9"/>
        <v>10</v>
      </c>
      <c r="Y9" s="56">
        <f t="shared" si="9"/>
        <v>0</v>
      </c>
      <c r="Z9" s="56">
        <f t="shared" si="9"/>
        <v>5</v>
      </c>
      <c r="AA9" s="56">
        <f t="shared" si="9"/>
        <v>10</v>
      </c>
      <c r="AB9" s="56">
        <f t="shared" si="9"/>
        <v>10</v>
      </c>
      <c r="AC9" s="56">
        <f t="shared" si="9"/>
        <v>0</v>
      </c>
      <c r="AD9" s="56">
        <f t="shared" si="9"/>
        <v>10</v>
      </c>
      <c r="AE9" s="56">
        <f t="shared" si="9"/>
        <v>0</v>
      </c>
      <c r="AF9" s="56">
        <f t="shared" si="9"/>
        <v>0</v>
      </c>
      <c r="AG9" s="56">
        <f t="shared" si="9"/>
        <v>0</v>
      </c>
      <c r="AH9" s="56">
        <f t="shared" si="9"/>
        <v>0</v>
      </c>
      <c r="AI9" s="56">
        <f t="shared" si="9"/>
        <v>0</v>
      </c>
      <c r="AJ9" s="56">
        <f t="shared" si="9"/>
        <v>0</v>
      </c>
      <c r="AK9" s="56">
        <f t="shared" ref="AK9:BP9" si="10">MAX(AK2:AK5)</f>
        <v>0</v>
      </c>
      <c r="AL9" s="56">
        <f t="shared" si="10"/>
        <v>0</v>
      </c>
      <c r="AM9" s="56">
        <f t="shared" si="10"/>
        <v>0</v>
      </c>
      <c r="AN9" s="56">
        <f t="shared" si="10"/>
        <v>0</v>
      </c>
      <c r="AO9" s="56">
        <f t="shared" si="10"/>
        <v>0</v>
      </c>
      <c r="AP9" s="56">
        <f t="shared" si="10"/>
        <v>0</v>
      </c>
      <c r="AQ9" s="56">
        <f t="shared" si="10"/>
        <v>0</v>
      </c>
      <c r="AR9" s="56">
        <f t="shared" si="10"/>
        <v>0</v>
      </c>
      <c r="AS9" s="56">
        <f t="shared" si="10"/>
        <v>10</v>
      </c>
      <c r="AT9" s="56">
        <f t="shared" si="10"/>
        <v>0</v>
      </c>
      <c r="AU9" s="56">
        <f t="shared" si="10"/>
        <v>0</v>
      </c>
      <c r="AV9" s="56">
        <f t="shared" si="10"/>
        <v>10</v>
      </c>
      <c r="AW9" s="56">
        <f t="shared" si="10"/>
        <v>0</v>
      </c>
      <c r="AX9" s="56">
        <f t="shared" si="10"/>
        <v>0</v>
      </c>
      <c r="AY9" s="56">
        <f t="shared" si="10"/>
        <v>0</v>
      </c>
      <c r="AZ9" s="56">
        <f t="shared" si="10"/>
        <v>0</v>
      </c>
      <c r="BA9" s="56">
        <f t="shared" si="10"/>
        <v>0</v>
      </c>
      <c r="BB9" s="56">
        <f t="shared" si="10"/>
        <v>0</v>
      </c>
      <c r="BC9" s="56">
        <f t="shared" si="10"/>
        <v>0</v>
      </c>
      <c r="BD9" s="56">
        <f t="shared" si="10"/>
        <v>0</v>
      </c>
      <c r="BE9" s="56">
        <f t="shared" si="10"/>
        <v>0</v>
      </c>
      <c r="BF9" s="56">
        <f t="shared" si="10"/>
        <v>0</v>
      </c>
      <c r="BG9" s="56">
        <f t="shared" si="10"/>
        <v>0</v>
      </c>
      <c r="BH9" s="56">
        <f t="shared" si="10"/>
        <v>0</v>
      </c>
      <c r="BI9" s="56">
        <f t="shared" si="10"/>
        <v>0</v>
      </c>
      <c r="BJ9" s="56">
        <f t="shared" si="10"/>
        <v>0</v>
      </c>
      <c r="BK9" s="56">
        <f t="shared" si="10"/>
        <v>0</v>
      </c>
      <c r="BL9" s="56">
        <f t="shared" si="10"/>
        <v>0</v>
      </c>
      <c r="BM9" s="56">
        <f t="shared" si="10"/>
        <v>0</v>
      </c>
      <c r="BN9" s="56">
        <f t="shared" si="10"/>
        <v>0</v>
      </c>
      <c r="BO9" s="56">
        <f t="shared" si="10"/>
        <v>0</v>
      </c>
      <c r="BP9" s="56">
        <f t="shared" si="10"/>
        <v>0</v>
      </c>
      <c r="BQ9" s="56"/>
      <c r="BR9" s="56"/>
      <c r="BS9" s="43"/>
      <c r="BT9" s="43"/>
      <c r="BU9" s="44"/>
      <c r="BV9" s="44"/>
    </row>
    <row r="10" spans="1:74">
      <c r="A10" s="56"/>
      <c r="B10" s="57" t="s">
        <v>118</v>
      </c>
      <c r="C10" s="56"/>
      <c r="D10" s="56"/>
      <c r="E10" s="56">
        <f t="shared" ref="E10:AJ10" si="11">MIN(E2:E5)</f>
        <v>0</v>
      </c>
      <c r="F10" s="56">
        <f t="shared" si="11"/>
        <v>0</v>
      </c>
      <c r="G10" s="56">
        <f t="shared" si="11"/>
        <v>10</v>
      </c>
      <c r="H10" s="56">
        <f t="shared" si="11"/>
        <v>0</v>
      </c>
      <c r="I10" s="56">
        <f t="shared" si="11"/>
        <v>0</v>
      </c>
      <c r="J10" s="56">
        <f t="shared" si="11"/>
        <v>0</v>
      </c>
      <c r="K10" s="56">
        <f t="shared" si="11"/>
        <v>0</v>
      </c>
      <c r="L10" s="56">
        <f t="shared" si="11"/>
        <v>0</v>
      </c>
      <c r="M10" s="56">
        <f t="shared" si="11"/>
        <v>10</v>
      </c>
      <c r="N10" s="56">
        <f t="shared" si="11"/>
        <v>0</v>
      </c>
      <c r="O10" s="56">
        <f t="shared" si="11"/>
        <v>0</v>
      </c>
      <c r="P10" s="56">
        <f t="shared" si="11"/>
        <v>10</v>
      </c>
      <c r="Q10" s="56">
        <f t="shared" si="11"/>
        <v>5</v>
      </c>
      <c r="R10" s="56">
        <f t="shared" si="11"/>
        <v>0</v>
      </c>
      <c r="S10" s="56">
        <f t="shared" si="11"/>
        <v>10</v>
      </c>
      <c r="T10" s="56">
        <f t="shared" si="11"/>
        <v>5</v>
      </c>
      <c r="U10" s="56">
        <f t="shared" si="11"/>
        <v>0</v>
      </c>
      <c r="V10" s="56">
        <f t="shared" si="11"/>
        <v>0</v>
      </c>
      <c r="W10" s="56">
        <f t="shared" si="11"/>
        <v>5</v>
      </c>
      <c r="X10" s="56">
        <f t="shared" si="11"/>
        <v>2</v>
      </c>
      <c r="Y10" s="56">
        <f t="shared" si="11"/>
        <v>0</v>
      </c>
      <c r="Z10" s="56">
        <f t="shared" si="11"/>
        <v>5</v>
      </c>
      <c r="AA10" s="56">
        <f t="shared" si="11"/>
        <v>10</v>
      </c>
      <c r="AB10" s="56">
        <f t="shared" si="11"/>
        <v>10</v>
      </c>
      <c r="AC10" s="56">
        <f t="shared" si="11"/>
        <v>0</v>
      </c>
      <c r="AD10" s="56">
        <f t="shared" si="11"/>
        <v>10</v>
      </c>
      <c r="AE10" s="56">
        <f t="shared" si="11"/>
        <v>0</v>
      </c>
      <c r="AF10" s="56">
        <f t="shared" si="11"/>
        <v>0</v>
      </c>
      <c r="AG10" s="56">
        <f t="shared" si="11"/>
        <v>0</v>
      </c>
      <c r="AH10" s="56">
        <f t="shared" si="11"/>
        <v>0</v>
      </c>
      <c r="AI10" s="56">
        <f t="shared" si="11"/>
        <v>0</v>
      </c>
      <c r="AJ10" s="56">
        <f t="shared" si="11"/>
        <v>0</v>
      </c>
      <c r="AK10" s="56">
        <f t="shared" ref="AK10:BP10" si="12">MIN(AK2:AK5)</f>
        <v>0</v>
      </c>
      <c r="AL10" s="56">
        <f t="shared" si="12"/>
        <v>0</v>
      </c>
      <c r="AM10" s="56">
        <f t="shared" si="12"/>
        <v>0</v>
      </c>
      <c r="AN10" s="56">
        <f t="shared" si="12"/>
        <v>0</v>
      </c>
      <c r="AO10" s="56">
        <f t="shared" si="12"/>
        <v>0</v>
      </c>
      <c r="AP10" s="56">
        <f t="shared" si="12"/>
        <v>0</v>
      </c>
      <c r="AQ10" s="56">
        <f t="shared" si="12"/>
        <v>0</v>
      </c>
      <c r="AR10" s="56">
        <f t="shared" si="12"/>
        <v>0</v>
      </c>
      <c r="AS10" s="56">
        <f t="shared" si="12"/>
        <v>10</v>
      </c>
      <c r="AT10" s="56">
        <f t="shared" si="12"/>
        <v>0</v>
      </c>
      <c r="AU10" s="56">
        <f t="shared" si="12"/>
        <v>0</v>
      </c>
      <c r="AV10" s="56">
        <f t="shared" si="12"/>
        <v>10</v>
      </c>
      <c r="AW10" s="56">
        <f t="shared" si="12"/>
        <v>0</v>
      </c>
      <c r="AX10" s="56">
        <f t="shared" si="12"/>
        <v>0</v>
      </c>
      <c r="AY10" s="56">
        <f t="shared" si="12"/>
        <v>0</v>
      </c>
      <c r="AZ10" s="56">
        <f t="shared" si="12"/>
        <v>0</v>
      </c>
      <c r="BA10" s="56">
        <f t="shared" si="12"/>
        <v>0</v>
      </c>
      <c r="BB10" s="56">
        <f t="shared" si="12"/>
        <v>0</v>
      </c>
      <c r="BC10" s="56">
        <f t="shared" si="12"/>
        <v>0</v>
      </c>
      <c r="BD10" s="56">
        <f t="shared" si="12"/>
        <v>0</v>
      </c>
      <c r="BE10" s="56">
        <f t="shared" si="12"/>
        <v>0</v>
      </c>
      <c r="BF10" s="56">
        <f t="shared" si="12"/>
        <v>0</v>
      </c>
      <c r="BG10" s="56">
        <f t="shared" si="12"/>
        <v>0</v>
      </c>
      <c r="BH10" s="56">
        <f t="shared" si="12"/>
        <v>0</v>
      </c>
      <c r="BI10" s="56">
        <f t="shared" si="12"/>
        <v>0</v>
      </c>
      <c r="BJ10" s="56">
        <f t="shared" si="12"/>
        <v>0</v>
      </c>
      <c r="BK10" s="56">
        <f t="shared" si="12"/>
        <v>0</v>
      </c>
      <c r="BL10" s="56">
        <f t="shared" si="12"/>
        <v>0</v>
      </c>
      <c r="BM10" s="56">
        <f t="shared" si="12"/>
        <v>0</v>
      </c>
      <c r="BN10" s="56">
        <f t="shared" si="12"/>
        <v>0</v>
      </c>
      <c r="BO10" s="56">
        <f t="shared" si="12"/>
        <v>0</v>
      </c>
      <c r="BP10" s="56">
        <f t="shared" si="12"/>
        <v>0</v>
      </c>
      <c r="BQ10" s="56"/>
      <c r="BR10" s="56"/>
      <c r="BS10" s="43"/>
      <c r="BT10" s="43"/>
      <c r="BU10" s="44"/>
      <c r="BV10" s="44"/>
    </row>
    <row r="11" spans="1:74">
      <c r="A11" s="56"/>
      <c r="B11" s="57" t="s">
        <v>119</v>
      </c>
      <c r="C11" s="56"/>
      <c r="D11" s="56"/>
      <c r="E11" s="56">
        <f t="shared" ref="E11:BP11" si="13">E7-E9</f>
        <v>14</v>
      </c>
      <c r="F11" s="56">
        <f t="shared" si="13"/>
        <v>67</v>
      </c>
      <c r="G11" s="56">
        <f t="shared" si="13"/>
        <v>-10</v>
      </c>
      <c r="H11" s="56">
        <f t="shared" si="13"/>
        <v>0</v>
      </c>
      <c r="I11" s="56">
        <f t="shared" si="13"/>
        <v>130</v>
      </c>
      <c r="J11" s="56">
        <f t="shared" si="13"/>
        <v>130</v>
      </c>
      <c r="K11" s="56">
        <f t="shared" si="13"/>
        <v>102</v>
      </c>
      <c r="L11" s="56">
        <f t="shared" si="13"/>
        <v>86</v>
      </c>
      <c r="M11" s="56">
        <f t="shared" si="13"/>
        <v>83</v>
      </c>
      <c r="N11" s="56">
        <f t="shared" si="13"/>
        <v>153</v>
      </c>
      <c r="O11" s="56">
        <f t="shared" si="13"/>
        <v>77</v>
      </c>
      <c r="P11" s="56">
        <f t="shared" si="13"/>
        <v>258</v>
      </c>
      <c r="Q11" s="56">
        <f t="shared" si="13"/>
        <v>92</v>
      </c>
      <c r="R11" s="56">
        <f t="shared" si="13"/>
        <v>30</v>
      </c>
      <c r="S11" s="56">
        <f t="shared" si="13"/>
        <v>318</v>
      </c>
      <c r="T11" s="56">
        <f t="shared" si="13"/>
        <v>109</v>
      </c>
      <c r="U11" s="56">
        <f t="shared" si="13"/>
        <v>31</v>
      </c>
      <c r="V11" s="56">
        <f t="shared" si="13"/>
        <v>229</v>
      </c>
      <c r="W11" s="56">
        <f t="shared" si="13"/>
        <v>95</v>
      </c>
      <c r="X11" s="56">
        <f t="shared" si="13"/>
        <v>12</v>
      </c>
      <c r="Y11" s="56">
        <f t="shared" si="13"/>
        <v>223</v>
      </c>
      <c r="Z11" s="56">
        <f t="shared" si="13"/>
        <v>103</v>
      </c>
      <c r="AA11" s="56">
        <f t="shared" si="13"/>
        <v>13</v>
      </c>
      <c r="AB11" s="56">
        <f t="shared" si="13"/>
        <v>305</v>
      </c>
      <c r="AC11" s="56">
        <f t="shared" si="13"/>
        <v>87</v>
      </c>
      <c r="AD11" s="56">
        <f t="shared" si="13"/>
        <v>8</v>
      </c>
      <c r="AE11" s="56">
        <f t="shared" si="13"/>
        <v>28</v>
      </c>
      <c r="AF11" s="56">
        <f t="shared" si="13"/>
        <v>3</v>
      </c>
      <c r="AG11" s="56">
        <f t="shared" si="13"/>
        <v>3</v>
      </c>
      <c r="AH11" s="56">
        <f t="shared" si="13"/>
        <v>0</v>
      </c>
      <c r="AI11" s="56">
        <f t="shared" si="13"/>
        <v>0</v>
      </c>
      <c r="AJ11" s="56">
        <f t="shared" si="13"/>
        <v>0</v>
      </c>
      <c r="AK11" s="56">
        <f t="shared" si="13"/>
        <v>23</v>
      </c>
      <c r="AL11" s="56">
        <f t="shared" si="13"/>
        <v>33</v>
      </c>
      <c r="AM11" s="56">
        <f t="shared" si="13"/>
        <v>0</v>
      </c>
      <c r="AN11" s="56">
        <f t="shared" si="13"/>
        <v>7</v>
      </c>
      <c r="AO11" s="56">
        <f t="shared" si="13"/>
        <v>2</v>
      </c>
      <c r="AP11" s="56">
        <f t="shared" si="13"/>
        <v>6</v>
      </c>
      <c r="AQ11" s="56">
        <f t="shared" si="13"/>
        <v>66</v>
      </c>
      <c r="AR11" s="56">
        <f t="shared" si="13"/>
        <v>25</v>
      </c>
      <c r="AS11" s="56">
        <f t="shared" si="13"/>
        <v>46</v>
      </c>
      <c r="AT11" s="56">
        <f t="shared" si="13"/>
        <v>40</v>
      </c>
      <c r="AU11" s="56">
        <f t="shared" si="13"/>
        <v>31</v>
      </c>
      <c r="AV11" s="56">
        <f t="shared" si="13"/>
        <v>136</v>
      </c>
      <c r="AW11" s="56">
        <f t="shared" si="13"/>
        <v>34</v>
      </c>
      <c r="AX11" s="56">
        <f t="shared" si="13"/>
        <v>58</v>
      </c>
      <c r="AY11" s="56">
        <f t="shared" si="13"/>
        <v>0</v>
      </c>
      <c r="AZ11" s="56">
        <f t="shared" si="13"/>
        <v>6</v>
      </c>
      <c r="BA11" s="56">
        <f t="shared" si="13"/>
        <v>15</v>
      </c>
      <c r="BB11" s="56">
        <f t="shared" si="13"/>
        <v>14</v>
      </c>
      <c r="BC11" s="56">
        <f t="shared" si="13"/>
        <v>3</v>
      </c>
      <c r="BD11" s="56">
        <f t="shared" si="13"/>
        <v>2</v>
      </c>
      <c r="BE11" s="56">
        <f t="shared" si="13"/>
        <v>255</v>
      </c>
      <c r="BF11" s="56">
        <f t="shared" si="13"/>
        <v>396</v>
      </c>
      <c r="BG11" s="56">
        <f t="shared" si="13"/>
        <v>312</v>
      </c>
      <c r="BH11" s="56">
        <f t="shared" si="13"/>
        <v>330</v>
      </c>
      <c r="BI11" s="56">
        <f t="shared" si="13"/>
        <v>162</v>
      </c>
      <c r="BJ11" s="56">
        <f t="shared" si="13"/>
        <v>195</v>
      </c>
      <c r="BK11" s="56">
        <f t="shared" si="13"/>
        <v>131</v>
      </c>
      <c r="BL11" s="56">
        <f t="shared" si="13"/>
        <v>127</v>
      </c>
      <c r="BM11" s="56">
        <f t="shared" si="13"/>
        <v>241</v>
      </c>
      <c r="BN11" s="56">
        <f t="shared" si="13"/>
        <v>101</v>
      </c>
      <c r="BO11" s="56">
        <f t="shared" si="13"/>
        <v>3</v>
      </c>
      <c r="BP11" s="56">
        <f t="shared" si="13"/>
        <v>73</v>
      </c>
      <c r="BQ11" s="56"/>
      <c r="BR11" s="56"/>
      <c r="BS11" s="43"/>
      <c r="BT11" s="43"/>
      <c r="BU11" s="44"/>
      <c r="BV11" s="44"/>
    </row>
    <row r="12" spans="1:74" s="13" customFormat="1">
      <c r="A12" s="56"/>
      <c r="B12" s="57" t="s">
        <v>120</v>
      </c>
      <c r="C12" s="56"/>
      <c r="D12" s="56"/>
      <c r="E12" s="56">
        <f t="shared" ref="E12:BP12" si="14">E7-E10</f>
        <v>14</v>
      </c>
      <c r="F12" s="56">
        <f t="shared" si="14"/>
        <v>67</v>
      </c>
      <c r="G12" s="56">
        <f t="shared" si="14"/>
        <v>-10</v>
      </c>
      <c r="H12" s="56">
        <f t="shared" si="14"/>
        <v>0</v>
      </c>
      <c r="I12" s="56">
        <f t="shared" si="14"/>
        <v>130</v>
      </c>
      <c r="J12" s="56">
        <f t="shared" si="14"/>
        <v>130</v>
      </c>
      <c r="K12" s="56">
        <f t="shared" si="14"/>
        <v>102</v>
      </c>
      <c r="L12" s="56">
        <f t="shared" si="14"/>
        <v>86</v>
      </c>
      <c r="M12" s="56">
        <f t="shared" si="14"/>
        <v>83</v>
      </c>
      <c r="N12" s="56">
        <f t="shared" si="14"/>
        <v>153</v>
      </c>
      <c r="O12" s="56">
        <f t="shared" si="14"/>
        <v>77</v>
      </c>
      <c r="P12" s="56">
        <f t="shared" si="14"/>
        <v>258</v>
      </c>
      <c r="Q12" s="56">
        <f t="shared" si="14"/>
        <v>92</v>
      </c>
      <c r="R12" s="56">
        <f t="shared" si="14"/>
        <v>30</v>
      </c>
      <c r="S12" s="56">
        <f t="shared" si="14"/>
        <v>318</v>
      </c>
      <c r="T12" s="56">
        <f t="shared" si="14"/>
        <v>109</v>
      </c>
      <c r="U12" s="56">
        <f t="shared" si="14"/>
        <v>31</v>
      </c>
      <c r="V12" s="56">
        <f t="shared" si="14"/>
        <v>229</v>
      </c>
      <c r="W12" s="56">
        <f t="shared" si="14"/>
        <v>95</v>
      </c>
      <c r="X12" s="56">
        <f t="shared" si="14"/>
        <v>20</v>
      </c>
      <c r="Y12" s="56">
        <f t="shared" si="14"/>
        <v>223</v>
      </c>
      <c r="Z12" s="56">
        <f t="shared" si="14"/>
        <v>103</v>
      </c>
      <c r="AA12" s="56">
        <f t="shared" si="14"/>
        <v>13</v>
      </c>
      <c r="AB12" s="56">
        <f t="shared" si="14"/>
        <v>305</v>
      </c>
      <c r="AC12" s="56">
        <f t="shared" si="14"/>
        <v>87</v>
      </c>
      <c r="AD12" s="56">
        <f t="shared" si="14"/>
        <v>8</v>
      </c>
      <c r="AE12" s="56">
        <f t="shared" si="14"/>
        <v>28</v>
      </c>
      <c r="AF12" s="56">
        <f t="shared" si="14"/>
        <v>3</v>
      </c>
      <c r="AG12" s="56">
        <f t="shared" si="14"/>
        <v>3</v>
      </c>
      <c r="AH12" s="56">
        <f t="shared" si="14"/>
        <v>0</v>
      </c>
      <c r="AI12" s="56">
        <f t="shared" si="14"/>
        <v>0</v>
      </c>
      <c r="AJ12" s="56">
        <f t="shared" si="14"/>
        <v>0</v>
      </c>
      <c r="AK12" s="56">
        <f t="shared" si="14"/>
        <v>23</v>
      </c>
      <c r="AL12" s="56">
        <f t="shared" si="14"/>
        <v>33</v>
      </c>
      <c r="AM12" s="56">
        <f t="shared" si="14"/>
        <v>0</v>
      </c>
      <c r="AN12" s="56">
        <f t="shared" si="14"/>
        <v>7</v>
      </c>
      <c r="AO12" s="56">
        <f t="shared" si="14"/>
        <v>2</v>
      </c>
      <c r="AP12" s="56">
        <f t="shared" si="14"/>
        <v>6</v>
      </c>
      <c r="AQ12" s="56">
        <f t="shared" si="14"/>
        <v>66</v>
      </c>
      <c r="AR12" s="56">
        <f t="shared" si="14"/>
        <v>25</v>
      </c>
      <c r="AS12" s="56">
        <f t="shared" si="14"/>
        <v>46</v>
      </c>
      <c r="AT12" s="56">
        <f t="shared" si="14"/>
        <v>40</v>
      </c>
      <c r="AU12" s="56">
        <f t="shared" si="14"/>
        <v>31</v>
      </c>
      <c r="AV12" s="56">
        <f t="shared" si="14"/>
        <v>136</v>
      </c>
      <c r="AW12" s="56">
        <f t="shared" si="14"/>
        <v>34</v>
      </c>
      <c r="AX12" s="56">
        <f t="shared" si="14"/>
        <v>58</v>
      </c>
      <c r="AY12" s="56">
        <f t="shared" si="14"/>
        <v>0</v>
      </c>
      <c r="AZ12" s="56">
        <f t="shared" si="14"/>
        <v>6</v>
      </c>
      <c r="BA12" s="56">
        <f t="shared" si="14"/>
        <v>15</v>
      </c>
      <c r="BB12" s="56">
        <f t="shared" si="14"/>
        <v>14</v>
      </c>
      <c r="BC12" s="56">
        <f t="shared" si="14"/>
        <v>3</v>
      </c>
      <c r="BD12" s="56">
        <f t="shared" si="14"/>
        <v>2</v>
      </c>
      <c r="BE12" s="56">
        <f t="shared" si="14"/>
        <v>255</v>
      </c>
      <c r="BF12" s="56">
        <f t="shared" si="14"/>
        <v>396</v>
      </c>
      <c r="BG12" s="56">
        <f t="shared" si="14"/>
        <v>312</v>
      </c>
      <c r="BH12" s="56">
        <f t="shared" si="14"/>
        <v>330</v>
      </c>
      <c r="BI12" s="56">
        <f t="shared" si="14"/>
        <v>162</v>
      </c>
      <c r="BJ12" s="56">
        <f t="shared" si="14"/>
        <v>195</v>
      </c>
      <c r="BK12" s="56">
        <f t="shared" si="14"/>
        <v>131</v>
      </c>
      <c r="BL12" s="56">
        <f t="shared" si="14"/>
        <v>127</v>
      </c>
      <c r="BM12" s="56">
        <f t="shared" si="14"/>
        <v>241</v>
      </c>
      <c r="BN12" s="56">
        <f t="shared" si="14"/>
        <v>101</v>
      </c>
      <c r="BO12" s="56">
        <f t="shared" si="14"/>
        <v>3</v>
      </c>
      <c r="BP12" s="56">
        <f t="shared" si="14"/>
        <v>73</v>
      </c>
      <c r="BQ12" s="56"/>
      <c r="BR12" s="56"/>
      <c r="BS12" s="43"/>
      <c r="BT12" s="43"/>
      <c r="BU12" s="55"/>
      <c r="BV12" s="55"/>
    </row>
    <row r="13" spans="1:74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58" t="s">
        <v>136</v>
      </c>
      <c r="AR13" s="58" t="s">
        <v>139</v>
      </c>
      <c r="AS13" s="58" t="s">
        <v>140</v>
      </c>
      <c r="AT13" s="58" t="s">
        <v>137</v>
      </c>
      <c r="AU13" s="58" t="s">
        <v>138</v>
      </c>
      <c r="AV13" s="58" t="s">
        <v>135</v>
      </c>
      <c r="AW13" s="58" t="s">
        <v>141</v>
      </c>
      <c r="AX13" s="58" t="s">
        <v>142</v>
      </c>
      <c r="AY13" s="58" t="s">
        <v>143</v>
      </c>
      <c r="AZ13" s="58" t="s">
        <v>144</v>
      </c>
      <c r="BA13" s="58" t="s">
        <v>145</v>
      </c>
      <c r="BB13" s="58" t="s">
        <v>146</v>
      </c>
      <c r="BC13" s="58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59"/>
      <c r="BT13" s="59"/>
      <c r="BU13" s="44"/>
      <c r="BV13" s="44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121</v>
      </c>
      <c r="D27" t="s">
        <v>122</v>
      </c>
      <c r="E27" t="s">
        <v>123</v>
      </c>
      <c r="F27" t="s">
        <v>124</v>
      </c>
      <c r="G27" t="s">
        <v>125</v>
      </c>
      <c r="H27" t="s">
        <v>126</v>
      </c>
      <c r="I27" t="s">
        <v>127</v>
      </c>
      <c r="J27" t="s">
        <v>128</v>
      </c>
      <c r="K27" t="s">
        <v>129</v>
      </c>
      <c r="L27" t="s">
        <v>130</v>
      </c>
      <c r="M27" t="s">
        <v>131</v>
      </c>
      <c r="N27" t="s">
        <v>132</v>
      </c>
    </row>
    <row r="31" spans="3:18">
      <c r="C31">
        <v>-3</v>
      </c>
      <c r="D31" t="s">
        <v>121</v>
      </c>
    </row>
    <row r="32" spans="3:18">
      <c r="C32">
        <v>-8</v>
      </c>
      <c r="D32" t="s">
        <v>122</v>
      </c>
    </row>
    <row r="33" spans="3:4">
      <c r="C33">
        <v>-3</v>
      </c>
      <c r="D33" t="s">
        <v>123</v>
      </c>
    </row>
    <row r="34" spans="3:4">
      <c r="C34">
        <v>1</v>
      </c>
      <c r="D34" t="s">
        <v>124</v>
      </c>
    </row>
    <row r="35" spans="3:4">
      <c r="C35">
        <v>3</v>
      </c>
      <c r="D35" t="s">
        <v>125</v>
      </c>
    </row>
    <row r="36" spans="3:4">
      <c r="C36">
        <v>0</v>
      </c>
      <c r="D36" t="s">
        <v>126</v>
      </c>
    </row>
    <row r="37" spans="3:4">
      <c r="C37">
        <v>-3</v>
      </c>
      <c r="D37" t="s">
        <v>127</v>
      </c>
    </row>
    <row r="38" spans="3:4">
      <c r="C38">
        <v>30</v>
      </c>
      <c r="D38" t="s">
        <v>128</v>
      </c>
    </row>
    <row r="39" spans="3:4">
      <c r="C39">
        <v>5</v>
      </c>
      <c r="D39" t="s">
        <v>129</v>
      </c>
    </row>
    <row r="40" spans="3:4">
      <c r="C40">
        <v>-10</v>
      </c>
      <c r="D40" t="s">
        <v>130</v>
      </c>
    </row>
    <row r="41" spans="3:4">
      <c r="C41">
        <v>3</v>
      </c>
      <c r="D41" t="s">
        <v>131</v>
      </c>
    </row>
    <row r="42" spans="3:4">
      <c r="C42">
        <v>138</v>
      </c>
      <c r="D42" t="s">
        <v>132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5" t="s">
        <v>33</v>
      </c>
      <c r="D40" s="45" t="s">
        <v>3</v>
      </c>
      <c r="E40" s="45" t="s">
        <v>22</v>
      </c>
      <c r="F40" s="45" t="s">
        <v>45</v>
      </c>
      <c r="G40" s="45" t="s">
        <v>47</v>
      </c>
      <c r="H40" s="45" t="s">
        <v>40</v>
      </c>
      <c r="I40" s="46" t="s">
        <v>4</v>
      </c>
      <c r="J40" s="46" t="s">
        <v>5</v>
      </c>
      <c r="K40" s="46" t="s">
        <v>34</v>
      </c>
      <c r="L40" s="46" t="s">
        <v>6</v>
      </c>
      <c r="M40" s="46" t="s">
        <v>39</v>
      </c>
      <c r="N40" s="46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117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118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119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120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2020-07-21T01:08:15Z</dcterms:modified>
</cp:coreProperties>
</file>