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0" yWindow="0" windowWidth="25200" windowHeight="11985"/>
  </bookViews>
  <sheets>
    <sheet name="Sheet1" sheetId="1" r:id="rId1"/>
    <sheet name="Sheet2" sheetId="2" r:id="rId2"/>
    <sheet name="Sheet3" sheetId="3" r:id="rId3"/>
    <sheet name="Sheet4" sheetId="4" r:id="rId4"/>
  </sheets>
  <definedNames>
    <definedName name="_xlnm._FilterDatabase" localSheetId="0" hidden="1">Sheet1!$A$1:$BJ$96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B96" i="1" l="1"/>
  <c r="CC96" i="1"/>
  <c r="CD96" i="1"/>
  <c r="CE96" i="1"/>
  <c r="CF96" i="1"/>
  <c r="CG96" i="1"/>
  <c r="CH96" i="1"/>
  <c r="CI96" i="1"/>
  <c r="CJ96" i="1"/>
  <c r="CK96" i="1"/>
  <c r="CL96" i="1"/>
  <c r="CA96" i="1"/>
  <c r="CA3" i="1"/>
  <c r="CB3" i="1"/>
  <c r="CC3" i="1"/>
  <c r="CD3" i="1"/>
  <c r="CE3" i="1"/>
  <c r="CF3" i="1"/>
  <c r="CG3" i="1"/>
  <c r="CH3" i="1"/>
  <c r="CI3" i="1"/>
  <c r="CJ3" i="1"/>
  <c r="CK3" i="1"/>
  <c r="CL3" i="1"/>
  <c r="CA4" i="1"/>
  <c r="CB4" i="1"/>
  <c r="CC4" i="1"/>
  <c r="CD4" i="1"/>
  <c r="CE4" i="1"/>
  <c r="CF4" i="1"/>
  <c r="CG4" i="1"/>
  <c r="CH4" i="1"/>
  <c r="CI4" i="1"/>
  <c r="CJ4" i="1"/>
  <c r="CK4" i="1"/>
  <c r="CL4" i="1"/>
  <c r="CA5" i="1"/>
  <c r="CB5" i="1"/>
  <c r="CC5" i="1"/>
  <c r="CD5" i="1"/>
  <c r="CE5" i="1"/>
  <c r="CF5" i="1"/>
  <c r="CG5" i="1"/>
  <c r="CH5" i="1"/>
  <c r="CI5" i="1"/>
  <c r="CJ5" i="1"/>
  <c r="CK5" i="1"/>
  <c r="CL5" i="1"/>
  <c r="CA6" i="1"/>
  <c r="CB6" i="1"/>
  <c r="CC6" i="1"/>
  <c r="CD6" i="1"/>
  <c r="CE6" i="1"/>
  <c r="CF6" i="1"/>
  <c r="CG6" i="1"/>
  <c r="CH6" i="1"/>
  <c r="CI6" i="1"/>
  <c r="CJ6" i="1"/>
  <c r="CK6" i="1"/>
  <c r="CL6" i="1"/>
  <c r="CA7" i="1"/>
  <c r="CB7" i="1"/>
  <c r="CC7" i="1"/>
  <c r="CD7" i="1"/>
  <c r="CE7" i="1"/>
  <c r="CF7" i="1"/>
  <c r="CG7" i="1"/>
  <c r="CH7" i="1"/>
  <c r="CI7" i="1"/>
  <c r="CJ7" i="1"/>
  <c r="CK7" i="1"/>
  <c r="CL7" i="1"/>
  <c r="CA8" i="1"/>
  <c r="CB8" i="1"/>
  <c r="CC8" i="1"/>
  <c r="CD8" i="1"/>
  <c r="CE8" i="1"/>
  <c r="CF8" i="1"/>
  <c r="CG8" i="1"/>
  <c r="CH8" i="1"/>
  <c r="CI8" i="1"/>
  <c r="CJ8" i="1"/>
  <c r="CK8" i="1"/>
  <c r="CL8" i="1"/>
  <c r="CA9" i="1"/>
  <c r="CB9" i="1"/>
  <c r="CC9" i="1"/>
  <c r="CD9" i="1"/>
  <c r="CE9" i="1"/>
  <c r="CF9" i="1"/>
  <c r="CG9" i="1"/>
  <c r="CH9" i="1"/>
  <c r="CI9" i="1"/>
  <c r="CJ9" i="1"/>
  <c r="CK9" i="1"/>
  <c r="CL9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A27" i="1"/>
  <c r="CB27" i="1"/>
  <c r="CC27" i="1"/>
  <c r="CD27" i="1"/>
  <c r="CE27" i="1"/>
  <c r="CF27" i="1"/>
  <c r="CG27" i="1"/>
  <c r="CH27" i="1"/>
  <c r="CI27" i="1"/>
  <c r="CJ27" i="1"/>
  <c r="CK27" i="1"/>
  <c r="CL27" i="1"/>
  <c r="CA28" i="1"/>
  <c r="CB28" i="1"/>
  <c r="CC28" i="1"/>
  <c r="CD28" i="1"/>
  <c r="CE28" i="1"/>
  <c r="CF28" i="1"/>
  <c r="CG28" i="1"/>
  <c r="CH28" i="1"/>
  <c r="CI28" i="1"/>
  <c r="CJ28" i="1"/>
  <c r="CK28" i="1"/>
  <c r="CL28" i="1"/>
  <c r="CA29" i="1"/>
  <c r="CB29" i="1"/>
  <c r="CC29" i="1"/>
  <c r="CD29" i="1"/>
  <c r="CE29" i="1"/>
  <c r="CF29" i="1"/>
  <c r="CG29" i="1"/>
  <c r="CH29" i="1"/>
  <c r="CI29" i="1"/>
  <c r="CJ29" i="1"/>
  <c r="CK29" i="1"/>
  <c r="CL29" i="1"/>
  <c r="CA30" i="1"/>
  <c r="CB30" i="1"/>
  <c r="CC30" i="1"/>
  <c r="CD30" i="1"/>
  <c r="CE30" i="1"/>
  <c r="CF30" i="1"/>
  <c r="CG30" i="1"/>
  <c r="CH30" i="1"/>
  <c r="CI30" i="1"/>
  <c r="CJ30" i="1"/>
  <c r="CK30" i="1"/>
  <c r="CL30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A65" i="1"/>
  <c r="CB65" i="1"/>
  <c r="CC65" i="1"/>
  <c r="CD65" i="1"/>
  <c r="CE65" i="1"/>
  <c r="CF65" i="1"/>
  <c r="CG65" i="1"/>
  <c r="CH65" i="1"/>
  <c r="CI65" i="1"/>
  <c r="CJ65" i="1"/>
  <c r="CK65" i="1"/>
  <c r="CL65" i="1"/>
  <c r="CA66" i="1"/>
  <c r="CB66" i="1"/>
  <c r="CC66" i="1"/>
  <c r="CD66" i="1"/>
  <c r="CE66" i="1"/>
  <c r="CF66" i="1"/>
  <c r="CG66" i="1"/>
  <c r="CH66" i="1"/>
  <c r="CI66" i="1"/>
  <c r="CJ66" i="1"/>
  <c r="CK66" i="1"/>
  <c r="CL66" i="1"/>
  <c r="CA67" i="1"/>
  <c r="CB67" i="1"/>
  <c r="CC67" i="1"/>
  <c r="CD67" i="1"/>
  <c r="CE67" i="1"/>
  <c r="CF67" i="1"/>
  <c r="CG67" i="1"/>
  <c r="CH67" i="1"/>
  <c r="CI67" i="1"/>
  <c r="CJ67" i="1"/>
  <c r="CK67" i="1"/>
  <c r="CL67" i="1"/>
  <c r="CA68" i="1"/>
  <c r="CB68" i="1"/>
  <c r="CC68" i="1"/>
  <c r="CD68" i="1"/>
  <c r="CE68" i="1"/>
  <c r="CF68" i="1"/>
  <c r="CG68" i="1"/>
  <c r="CH68" i="1"/>
  <c r="CI68" i="1"/>
  <c r="CJ68" i="1"/>
  <c r="CK68" i="1"/>
  <c r="CL68" i="1"/>
  <c r="CA69" i="1"/>
  <c r="CB69" i="1"/>
  <c r="CC69" i="1"/>
  <c r="CD69" i="1"/>
  <c r="CE69" i="1"/>
  <c r="CF69" i="1"/>
  <c r="CG69" i="1"/>
  <c r="CH69" i="1"/>
  <c r="CI69" i="1"/>
  <c r="CJ69" i="1"/>
  <c r="CK69" i="1"/>
  <c r="CL69" i="1"/>
  <c r="CA70" i="1"/>
  <c r="CB70" i="1"/>
  <c r="CC70" i="1"/>
  <c r="CD70" i="1"/>
  <c r="CE70" i="1"/>
  <c r="CF70" i="1"/>
  <c r="CG70" i="1"/>
  <c r="CH70" i="1"/>
  <c r="CI70" i="1"/>
  <c r="CJ70" i="1"/>
  <c r="CK70" i="1"/>
  <c r="CL70" i="1"/>
  <c r="CA71" i="1"/>
  <c r="CB71" i="1"/>
  <c r="CC71" i="1"/>
  <c r="CD71" i="1"/>
  <c r="CE71" i="1"/>
  <c r="CF71" i="1"/>
  <c r="CG71" i="1"/>
  <c r="CH71" i="1"/>
  <c r="CI71" i="1"/>
  <c r="CJ71" i="1"/>
  <c r="CK71" i="1"/>
  <c r="CL71" i="1"/>
  <c r="CA72" i="1"/>
  <c r="CB72" i="1"/>
  <c r="CC72" i="1"/>
  <c r="CD72" i="1"/>
  <c r="CE72" i="1"/>
  <c r="CF72" i="1"/>
  <c r="CG72" i="1"/>
  <c r="CH72" i="1"/>
  <c r="CI72" i="1"/>
  <c r="CJ72" i="1"/>
  <c r="CK72" i="1"/>
  <c r="CL72" i="1"/>
  <c r="CA73" i="1"/>
  <c r="CB73" i="1"/>
  <c r="CC73" i="1"/>
  <c r="CD73" i="1"/>
  <c r="CE73" i="1"/>
  <c r="CF73" i="1"/>
  <c r="CG73" i="1"/>
  <c r="CH73" i="1"/>
  <c r="CI73" i="1"/>
  <c r="CJ73" i="1"/>
  <c r="CK73" i="1"/>
  <c r="CL73" i="1"/>
  <c r="CA74" i="1"/>
  <c r="CB74" i="1"/>
  <c r="CC74" i="1"/>
  <c r="CD74" i="1"/>
  <c r="CE74" i="1"/>
  <c r="CF74" i="1"/>
  <c r="CG74" i="1"/>
  <c r="CH74" i="1"/>
  <c r="CI74" i="1"/>
  <c r="CJ74" i="1"/>
  <c r="CK74" i="1"/>
  <c r="CL74" i="1"/>
  <c r="CA75" i="1"/>
  <c r="CB75" i="1"/>
  <c r="CC75" i="1"/>
  <c r="CD75" i="1"/>
  <c r="CE75" i="1"/>
  <c r="CF75" i="1"/>
  <c r="CG75" i="1"/>
  <c r="CH75" i="1"/>
  <c r="CI75" i="1"/>
  <c r="CJ75" i="1"/>
  <c r="CK75" i="1"/>
  <c r="CL75" i="1"/>
  <c r="CA76" i="1"/>
  <c r="CB76" i="1"/>
  <c r="CC76" i="1"/>
  <c r="CD76" i="1"/>
  <c r="CE76" i="1"/>
  <c r="CF76" i="1"/>
  <c r="CG76" i="1"/>
  <c r="CH76" i="1"/>
  <c r="CI76" i="1"/>
  <c r="CJ76" i="1"/>
  <c r="CK76" i="1"/>
  <c r="CL76" i="1"/>
  <c r="CA77" i="1"/>
  <c r="CB77" i="1"/>
  <c r="CC77" i="1"/>
  <c r="CD77" i="1"/>
  <c r="CE77" i="1"/>
  <c r="CF77" i="1"/>
  <c r="CG77" i="1"/>
  <c r="CH77" i="1"/>
  <c r="CI77" i="1"/>
  <c r="CJ77" i="1"/>
  <c r="CK77" i="1"/>
  <c r="CL77" i="1"/>
  <c r="CA78" i="1"/>
  <c r="CB78" i="1"/>
  <c r="CC78" i="1"/>
  <c r="CD78" i="1"/>
  <c r="CE78" i="1"/>
  <c r="CF78" i="1"/>
  <c r="CG78" i="1"/>
  <c r="CH78" i="1"/>
  <c r="CI78" i="1"/>
  <c r="CJ78" i="1"/>
  <c r="CK78" i="1"/>
  <c r="CL78" i="1"/>
  <c r="CA79" i="1"/>
  <c r="CB79" i="1"/>
  <c r="CC79" i="1"/>
  <c r="CD79" i="1"/>
  <c r="CE79" i="1"/>
  <c r="CF79" i="1"/>
  <c r="CG79" i="1"/>
  <c r="CH79" i="1"/>
  <c r="CI79" i="1"/>
  <c r="CJ79" i="1"/>
  <c r="CK79" i="1"/>
  <c r="CL79" i="1"/>
  <c r="CA80" i="1"/>
  <c r="CB80" i="1"/>
  <c r="CC80" i="1"/>
  <c r="CD80" i="1"/>
  <c r="CE80" i="1"/>
  <c r="CF80" i="1"/>
  <c r="CG80" i="1"/>
  <c r="CH80" i="1"/>
  <c r="CI80" i="1"/>
  <c r="CJ80" i="1"/>
  <c r="CK80" i="1"/>
  <c r="CL80" i="1"/>
  <c r="CA81" i="1"/>
  <c r="CB81" i="1"/>
  <c r="CC81" i="1"/>
  <c r="CD81" i="1"/>
  <c r="CE81" i="1"/>
  <c r="CF81" i="1"/>
  <c r="CG81" i="1"/>
  <c r="CH81" i="1"/>
  <c r="CI81" i="1"/>
  <c r="CJ81" i="1"/>
  <c r="CK81" i="1"/>
  <c r="CL81" i="1"/>
  <c r="CA82" i="1"/>
  <c r="CB82" i="1"/>
  <c r="CC82" i="1"/>
  <c r="CD82" i="1"/>
  <c r="CE82" i="1"/>
  <c r="CF82" i="1"/>
  <c r="CG82" i="1"/>
  <c r="CH82" i="1"/>
  <c r="CI82" i="1"/>
  <c r="CJ82" i="1"/>
  <c r="CK82" i="1"/>
  <c r="CL82" i="1"/>
  <c r="CA83" i="1"/>
  <c r="CB83" i="1"/>
  <c r="CC83" i="1"/>
  <c r="CD83" i="1"/>
  <c r="CE83" i="1"/>
  <c r="CF83" i="1"/>
  <c r="CG83" i="1"/>
  <c r="CH83" i="1"/>
  <c r="CI83" i="1"/>
  <c r="CJ83" i="1"/>
  <c r="CK83" i="1"/>
  <c r="CL83" i="1"/>
  <c r="CA84" i="1"/>
  <c r="CB84" i="1"/>
  <c r="CC84" i="1"/>
  <c r="CD84" i="1"/>
  <c r="CE84" i="1"/>
  <c r="CF84" i="1"/>
  <c r="CG84" i="1"/>
  <c r="CH84" i="1"/>
  <c r="CI84" i="1"/>
  <c r="CJ84" i="1"/>
  <c r="CK84" i="1"/>
  <c r="CL84" i="1"/>
  <c r="CA85" i="1"/>
  <c r="CB85" i="1"/>
  <c r="CC85" i="1"/>
  <c r="CD85" i="1"/>
  <c r="CE85" i="1"/>
  <c r="CF85" i="1"/>
  <c r="CG85" i="1"/>
  <c r="CH85" i="1"/>
  <c r="CI85" i="1"/>
  <c r="CJ85" i="1"/>
  <c r="CK85" i="1"/>
  <c r="CL85" i="1"/>
  <c r="CA86" i="1"/>
  <c r="CB86" i="1"/>
  <c r="CC86" i="1"/>
  <c r="CD86" i="1"/>
  <c r="CE86" i="1"/>
  <c r="CF86" i="1"/>
  <c r="CG86" i="1"/>
  <c r="CH86" i="1"/>
  <c r="CI86" i="1"/>
  <c r="CJ86" i="1"/>
  <c r="CK86" i="1"/>
  <c r="CL86" i="1"/>
  <c r="CA87" i="1"/>
  <c r="CB87" i="1"/>
  <c r="CC87" i="1"/>
  <c r="CD87" i="1"/>
  <c r="CE87" i="1"/>
  <c r="CF87" i="1"/>
  <c r="CG87" i="1"/>
  <c r="CH87" i="1"/>
  <c r="CI87" i="1"/>
  <c r="CJ87" i="1"/>
  <c r="CK87" i="1"/>
  <c r="CL87" i="1"/>
  <c r="CA88" i="1"/>
  <c r="CB88" i="1"/>
  <c r="CC88" i="1"/>
  <c r="CD88" i="1"/>
  <c r="CE88" i="1"/>
  <c r="CF88" i="1"/>
  <c r="CG88" i="1"/>
  <c r="CH88" i="1"/>
  <c r="CI88" i="1"/>
  <c r="CJ88" i="1"/>
  <c r="CK88" i="1"/>
  <c r="CL88" i="1"/>
  <c r="CA89" i="1"/>
  <c r="CB89" i="1"/>
  <c r="CC89" i="1"/>
  <c r="CD89" i="1"/>
  <c r="CE89" i="1"/>
  <c r="CF89" i="1"/>
  <c r="CG89" i="1"/>
  <c r="CH89" i="1"/>
  <c r="CI89" i="1"/>
  <c r="CJ89" i="1"/>
  <c r="CK89" i="1"/>
  <c r="CL89" i="1"/>
  <c r="CA90" i="1"/>
  <c r="CB90" i="1"/>
  <c r="CC90" i="1"/>
  <c r="CD90" i="1"/>
  <c r="CE90" i="1"/>
  <c r="CF90" i="1"/>
  <c r="CG90" i="1"/>
  <c r="CH90" i="1"/>
  <c r="CI90" i="1"/>
  <c r="CJ90" i="1"/>
  <c r="CK90" i="1"/>
  <c r="CL90" i="1"/>
  <c r="CA91" i="1"/>
  <c r="CB91" i="1"/>
  <c r="CC91" i="1"/>
  <c r="CD91" i="1"/>
  <c r="CE91" i="1"/>
  <c r="CF91" i="1"/>
  <c r="CG91" i="1"/>
  <c r="CH91" i="1"/>
  <c r="CI91" i="1"/>
  <c r="CJ91" i="1"/>
  <c r="CK91" i="1"/>
  <c r="CL91" i="1"/>
  <c r="CA92" i="1"/>
  <c r="CB92" i="1"/>
  <c r="CC92" i="1"/>
  <c r="CD92" i="1"/>
  <c r="CE92" i="1"/>
  <c r="CF92" i="1"/>
  <c r="CG92" i="1"/>
  <c r="CH92" i="1"/>
  <c r="CI92" i="1"/>
  <c r="CJ92" i="1"/>
  <c r="CK92" i="1"/>
  <c r="CL92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A94" i="1"/>
  <c r="CB94" i="1"/>
  <c r="CC94" i="1"/>
  <c r="CD94" i="1"/>
  <c r="CE94" i="1"/>
  <c r="CF94" i="1"/>
  <c r="CG94" i="1"/>
  <c r="CH94" i="1"/>
  <c r="CI94" i="1"/>
  <c r="CJ94" i="1"/>
  <c r="CK94" i="1"/>
  <c r="CL94" i="1"/>
  <c r="CA95" i="1"/>
  <c r="CB95" i="1"/>
  <c r="CC95" i="1"/>
  <c r="CD95" i="1"/>
  <c r="CE95" i="1"/>
  <c r="CF95" i="1"/>
  <c r="CG95" i="1"/>
  <c r="CH95" i="1"/>
  <c r="CI95" i="1"/>
  <c r="CJ95" i="1"/>
  <c r="CK95" i="1"/>
  <c r="CL95" i="1"/>
  <c r="CB2" i="1"/>
  <c r="CC2" i="1"/>
  <c r="CD2" i="1"/>
  <c r="CE2" i="1"/>
  <c r="CF2" i="1"/>
  <c r="CG2" i="1"/>
  <c r="CH2" i="1"/>
  <c r="CI2" i="1"/>
  <c r="CJ2" i="1"/>
  <c r="CK2" i="1"/>
  <c r="CL2" i="1"/>
  <c r="CA2" i="1"/>
  <c r="BZ12" i="1"/>
  <c r="BZ13" i="1"/>
  <c r="BZ14" i="1"/>
  <c r="BZ15" i="1"/>
  <c r="BZ16" i="1"/>
  <c r="BZ17" i="1"/>
  <c r="BZ18" i="1"/>
  <c r="BZ19" i="1"/>
  <c r="BZ20" i="1"/>
  <c r="BZ21" i="1"/>
  <c r="BZ22" i="1"/>
  <c r="BZ23" i="1"/>
  <c r="BZ24" i="1"/>
  <c r="BZ25" i="1"/>
  <c r="BZ26" i="1"/>
  <c r="BZ27" i="1"/>
  <c r="BZ28" i="1"/>
  <c r="BZ29" i="1"/>
  <c r="BZ30" i="1"/>
  <c r="BZ31" i="1"/>
  <c r="BZ32" i="1"/>
  <c r="BZ33" i="1"/>
  <c r="BZ34" i="1"/>
  <c r="BZ35" i="1"/>
  <c r="BZ36" i="1"/>
  <c r="BZ37" i="1"/>
  <c r="BZ38" i="1"/>
  <c r="BZ39" i="1"/>
  <c r="BZ40" i="1"/>
  <c r="BZ41" i="1"/>
  <c r="BZ42" i="1"/>
  <c r="BZ43" i="1"/>
  <c r="BZ44" i="1"/>
  <c r="BZ45" i="1"/>
  <c r="BZ46" i="1"/>
  <c r="BZ47" i="1"/>
  <c r="BZ48" i="1"/>
  <c r="BZ49" i="1"/>
  <c r="BZ50" i="1"/>
  <c r="BZ51" i="1"/>
  <c r="BZ52" i="1"/>
  <c r="BZ53" i="1"/>
  <c r="BZ54" i="1"/>
  <c r="BZ55" i="1"/>
  <c r="BZ56" i="1"/>
  <c r="BZ57" i="1"/>
  <c r="BZ58" i="1"/>
  <c r="BZ59" i="1"/>
  <c r="BZ60" i="1"/>
  <c r="BZ61" i="1"/>
  <c r="BZ62" i="1"/>
  <c r="BZ63" i="1"/>
  <c r="BZ64" i="1"/>
  <c r="BZ65" i="1"/>
  <c r="BZ66" i="1"/>
  <c r="BZ67" i="1"/>
  <c r="BZ68" i="1"/>
  <c r="BZ69" i="1"/>
  <c r="BZ70" i="1"/>
  <c r="BZ71" i="1"/>
  <c r="BZ72" i="1"/>
  <c r="BZ73" i="1"/>
  <c r="BZ74" i="1"/>
  <c r="BZ75" i="1"/>
  <c r="BZ76" i="1"/>
  <c r="BZ77" i="1"/>
  <c r="BZ78" i="1"/>
  <c r="BZ79" i="1"/>
  <c r="BZ80" i="1"/>
  <c r="BZ81" i="1"/>
  <c r="BZ82" i="1"/>
  <c r="BZ83" i="1"/>
  <c r="BZ84" i="1"/>
  <c r="BZ85" i="1"/>
  <c r="BZ86" i="1"/>
  <c r="BZ87" i="1"/>
  <c r="BZ88" i="1"/>
  <c r="BZ89" i="1"/>
  <c r="BZ90" i="1"/>
  <c r="BZ91" i="1"/>
  <c r="BZ92" i="1"/>
  <c r="BZ93" i="1"/>
  <c r="BZ94" i="1"/>
  <c r="BZ95" i="1"/>
  <c r="BZ11" i="1"/>
  <c r="BN12" i="1"/>
  <c r="BZ3" i="1"/>
  <c r="BZ4" i="1"/>
  <c r="BZ5" i="1"/>
  <c r="BZ6" i="1"/>
  <c r="BZ7" i="1"/>
  <c r="BZ8" i="1"/>
  <c r="BZ9" i="1"/>
  <c r="BZ10" i="1"/>
  <c r="BZ2" i="1"/>
  <c r="BO96" i="1"/>
  <c r="BP96" i="1"/>
  <c r="BQ96" i="1"/>
  <c r="BR96" i="1"/>
  <c r="BS96" i="1"/>
  <c r="BT96" i="1"/>
  <c r="BU96" i="1"/>
  <c r="BV96" i="1"/>
  <c r="BW96" i="1"/>
  <c r="BX96" i="1"/>
  <c r="BY96" i="1"/>
  <c r="BN3" i="1"/>
  <c r="BO3" i="1"/>
  <c r="BP3" i="1"/>
  <c r="BQ3" i="1"/>
  <c r="BR3" i="1"/>
  <c r="BS3" i="1"/>
  <c r="BT3" i="1"/>
  <c r="BU3" i="1"/>
  <c r="BV3" i="1"/>
  <c r="BW3" i="1"/>
  <c r="BX3" i="1"/>
  <c r="BY3" i="1"/>
  <c r="BN4" i="1"/>
  <c r="BO4" i="1"/>
  <c r="BP4" i="1"/>
  <c r="BQ4" i="1"/>
  <c r="BR4" i="1"/>
  <c r="BS4" i="1"/>
  <c r="BT4" i="1"/>
  <c r="BU4" i="1"/>
  <c r="BV4" i="1"/>
  <c r="BW4" i="1"/>
  <c r="BX4" i="1"/>
  <c r="BY4" i="1"/>
  <c r="BN5" i="1"/>
  <c r="BO5" i="1"/>
  <c r="BP5" i="1"/>
  <c r="BQ5" i="1"/>
  <c r="BR5" i="1"/>
  <c r="BS5" i="1"/>
  <c r="BT5" i="1"/>
  <c r="BU5" i="1"/>
  <c r="BV5" i="1"/>
  <c r="BW5" i="1"/>
  <c r="BX5" i="1"/>
  <c r="BY5" i="1"/>
  <c r="BN6" i="1"/>
  <c r="BO6" i="1"/>
  <c r="BP6" i="1"/>
  <c r="BQ6" i="1"/>
  <c r="BR6" i="1"/>
  <c r="BS6" i="1"/>
  <c r="BT6" i="1"/>
  <c r="BU6" i="1"/>
  <c r="BV6" i="1"/>
  <c r="BW6" i="1"/>
  <c r="BX6" i="1"/>
  <c r="BY6" i="1"/>
  <c r="BN7" i="1"/>
  <c r="BO7" i="1"/>
  <c r="BP7" i="1"/>
  <c r="BQ7" i="1"/>
  <c r="BR7" i="1"/>
  <c r="BS7" i="1"/>
  <c r="BT7" i="1"/>
  <c r="BU7" i="1"/>
  <c r="BV7" i="1"/>
  <c r="BW7" i="1"/>
  <c r="BX7" i="1"/>
  <c r="BY7" i="1"/>
  <c r="BN8" i="1"/>
  <c r="BO8" i="1"/>
  <c r="BP8" i="1"/>
  <c r="BQ8" i="1"/>
  <c r="BR8" i="1"/>
  <c r="BS8" i="1"/>
  <c r="BT8" i="1"/>
  <c r="BU8" i="1"/>
  <c r="BV8" i="1"/>
  <c r="BW8" i="1"/>
  <c r="BX8" i="1"/>
  <c r="BY8" i="1"/>
  <c r="BN9" i="1"/>
  <c r="BO9" i="1"/>
  <c r="BP9" i="1"/>
  <c r="BQ9" i="1"/>
  <c r="BR9" i="1"/>
  <c r="BS9" i="1"/>
  <c r="BT9" i="1"/>
  <c r="BU9" i="1"/>
  <c r="BV9" i="1"/>
  <c r="BW9" i="1"/>
  <c r="BX9" i="1"/>
  <c r="BY9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O12" i="1"/>
  <c r="BP12" i="1"/>
  <c r="BQ12" i="1"/>
  <c r="BR12" i="1"/>
  <c r="BS12" i="1"/>
  <c r="BT12" i="1"/>
  <c r="BU12" i="1"/>
  <c r="BV12" i="1"/>
  <c r="BW12" i="1"/>
  <c r="BX12" i="1"/>
  <c r="BY12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N81" i="1"/>
  <c r="BO81" i="1"/>
  <c r="BP81" i="1"/>
  <c r="BQ81" i="1"/>
  <c r="BR81" i="1"/>
  <c r="BS81" i="1"/>
  <c r="BT81" i="1"/>
  <c r="BU81" i="1"/>
  <c r="BV81" i="1"/>
  <c r="BW81" i="1"/>
  <c r="BX81" i="1"/>
  <c r="BY81" i="1"/>
  <c r="BN82" i="1"/>
  <c r="BO82" i="1"/>
  <c r="BP82" i="1"/>
  <c r="BQ82" i="1"/>
  <c r="BR82" i="1"/>
  <c r="BS82" i="1"/>
  <c r="BT82" i="1"/>
  <c r="BU82" i="1"/>
  <c r="BV82" i="1"/>
  <c r="BW82" i="1"/>
  <c r="BX82" i="1"/>
  <c r="BY82" i="1"/>
  <c r="BN83" i="1"/>
  <c r="BO83" i="1"/>
  <c r="BP83" i="1"/>
  <c r="BQ83" i="1"/>
  <c r="BR83" i="1"/>
  <c r="BS83" i="1"/>
  <c r="BT83" i="1"/>
  <c r="BU83" i="1"/>
  <c r="BV83" i="1"/>
  <c r="BW83" i="1"/>
  <c r="BX83" i="1"/>
  <c r="BY83" i="1"/>
  <c r="BN84" i="1"/>
  <c r="BO84" i="1"/>
  <c r="BP84" i="1"/>
  <c r="BQ84" i="1"/>
  <c r="BR84" i="1"/>
  <c r="BS84" i="1"/>
  <c r="BT84" i="1"/>
  <c r="BU84" i="1"/>
  <c r="BV84" i="1"/>
  <c r="BW84" i="1"/>
  <c r="BX84" i="1"/>
  <c r="BY84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N86" i="1"/>
  <c r="BO86" i="1"/>
  <c r="BP86" i="1"/>
  <c r="BQ86" i="1"/>
  <c r="BR86" i="1"/>
  <c r="BS86" i="1"/>
  <c r="BT86" i="1"/>
  <c r="BU86" i="1"/>
  <c r="BV86" i="1"/>
  <c r="BW86" i="1"/>
  <c r="BX86" i="1"/>
  <c r="BY86" i="1"/>
  <c r="BN87" i="1"/>
  <c r="BO87" i="1"/>
  <c r="BP87" i="1"/>
  <c r="BQ87" i="1"/>
  <c r="BR87" i="1"/>
  <c r="BS87" i="1"/>
  <c r="BT87" i="1"/>
  <c r="BU87" i="1"/>
  <c r="BV87" i="1"/>
  <c r="BW87" i="1"/>
  <c r="BX87" i="1"/>
  <c r="BY87" i="1"/>
  <c r="BN88" i="1"/>
  <c r="BO88" i="1"/>
  <c r="BP88" i="1"/>
  <c r="BQ88" i="1"/>
  <c r="BR88" i="1"/>
  <c r="BS88" i="1"/>
  <c r="BT88" i="1"/>
  <c r="BU88" i="1"/>
  <c r="BV88" i="1"/>
  <c r="BW88" i="1"/>
  <c r="BX88" i="1"/>
  <c r="BY88" i="1"/>
  <c r="BN89" i="1"/>
  <c r="BO89" i="1"/>
  <c r="BP89" i="1"/>
  <c r="BQ89" i="1"/>
  <c r="BR89" i="1"/>
  <c r="BS89" i="1"/>
  <c r="BT89" i="1"/>
  <c r="BU89" i="1"/>
  <c r="BV89" i="1"/>
  <c r="BW89" i="1"/>
  <c r="BX89" i="1"/>
  <c r="BY89" i="1"/>
  <c r="BN90" i="1"/>
  <c r="BO90" i="1"/>
  <c r="BP90" i="1"/>
  <c r="BQ90" i="1"/>
  <c r="BR90" i="1"/>
  <c r="BS90" i="1"/>
  <c r="BT90" i="1"/>
  <c r="BU90" i="1"/>
  <c r="BV90" i="1"/>
  <c r="BW90" i="1"/>
  <c r="BX90" i="1"/>
  <c r="BY90" i="1"/>
  <c r="BN91" i="1"/>
  <c r="BO91" i="1"/>
  <c r="BP91" i="1"/>
  <c r="BQ91" i="1"/>
  <c r="BR91" i="1"/>
  <c r="BS91" i="1"/>
  <c r="BT91" i="1"/>
  <c r="BU91" i="1"/>
  <c r="BV91" i="1"/>
  <c r="BW91" i="1"/>
  <c r="BX91" i="1"/>
  <c r="BY91" i="1"/>
  <c r="BN92" i="1"/>
  <c r="BO92" i="1"/>
  <c r="BP92" i="1"/>
  <c r="BQ92" i="1"/>
  <c r="BR92" i="1"/>
  <c r="BS92" i="1"/>
  <c r="BT92" i="1"/>
  <c r="BU92" i="1"/>
  <c r="BV92" i="1"/>
  <c r="BW92" i="1"/>
  <c r="BX92" i="1"/>
  <c r="BY92" i="1"/>
  <c r="BN93" i="1"/>
  <c r="BO93" i="1"/>
  <c r="BP93" i="1"/>
  <c r="BQ93" i="1"/>
  <c r="BR93" i="1"/>
  <c r="BS93" i="1"/>
  <c r="BT93" i="1"/>
  <c r="BU93" i="1"/>
  <c r="BV93" i="1"/>
  <c r="BW93" i="1"/>
  <c r="BX93" i="1"/>
  <c r="BY93" i="1"/>
  <c r="BN94" i="1"/>
  <c r="BO94" i="1"/>
  <c r="BP94" i="1"/>
  <c r="BQ94" i="1"/>
  <c r="BR94" i="1"/>
  <c r="BS94" i="1"/>
  <c r="BT94" i="1"/>
  <c r="BU94" i="1"/>
  <c r="BV94" i="1"/>
  <c r="BW94" i="1"/>
  <c r="BX94" i="1"/>
  <c r="BY94" i="1"/>
  <c r="BN95" i="1"/>
  <c r="BO95" i="1"/>
  <c r="BP95" i="1"/>
  <c r="BQ95" i="1"/>
  <c r="BR95" i="1"/>
  <c r="BS95" i="1"/>
  <c r="BT95" i="1"/>
  <c r="BU95" i="1"/>
  <c r="BV95" i="1"/>
  <c r="BW95" i="1"/>
  <c r="BX95" i="1"/>
  <c r="BY95" i="1"/>
  <c r="BO2" i="1"/>
  <c r="BP2" i="1"/>
  <c r="BQ2" i="1"/>
  <c r="BR2" i="1"/>
  <c r="BS2" i="1"/>
  <c r="BT2" i="1"/>
  <c r="BU2" i="1"/>
  <c r="BV2" i="1"/>
  <c r="BW2" i="1"/>
  <c r="BX2" i="1"/>
  <c r="BY2" i="1"/>
  <c r="BN2" i="1"/>
  <c r="BN96" i="1" l="1"/>
  <c r="BJ73" i="1"/>
  <c r="BJ78" i="1"/>
  <c r="BJ21" i="1"/>
  <c r="BJ46" i="1"/>
  <c r="BJ77" i="1"/>
  <c r="BJ86" i="1"/>
  <c r="BJ3" i="1"/>
  <c r="BJ22" i="1"/>
  <c r="BJ35" i="1"/>
  <c r="BJ36" i="1"/>
  <c r="BJ37" i="1"/>
  <c r="BJ62" i="1"/>
  <c r="BJ64" i="1"/>
  <c r="BJ32" i="1"/>
  <c r="BJ94" i="1"/>
  <c r="BJ59" i="1"/>
  <c r="BJ23" i="1"/>
  <c r="BJ4" i="1"/>
  <c r="BJ66" i="1"/>
  <c r="BJ80" i="1"/>
  <c r="BJ38" i="1"/>
  <c r="BJ39" i="1"/>
  <c r="BJ40" i="1"/>
  <c r="BJ41" i="1"/>
  <c r="BJ74" i="1"/>
  <c r="BJ5" i="1"/>
  <c r="BJ14" i="1"/>
  <c r="BJ7" i="1"/>
  <c r="BJ8" i="1"/>
  <c r="BJ60" i="1"/>
  <c r="BJ15" i="1"/>
  <c r="BJ63" i="1"/>
  <c r="BJ16" i="1"/>
  <c r="BJ24" i="1"/>
  <c r="BJ33" i="1"/>
  <c r="BJ25" i="1"/>
  <c r="BJ26" i="1"/>
  <c r="BJ27" i="1"/>
  <c r="BJ9" i="1"/>
  <c r="BJ10" i="1"/>
  <c r="BJ89" i="1"/>
  <c r="BJ6" i="1"/>
  <c r="BJ49" i="1"/>
  <c r="BJ50" i="1"/>
  <c r="BJ82" i="1"/>
  <c r="BJ11" i="1"/>
  <c r="BJ58" i="1"/>
  <c r="BJ42" i="1"/>
  <c r="BJ54" i="1"/>
  <c r="BJ43" i="1"/>
  <c r="BJ55" i="1"/>
  <c r="BJ83" i="1"/>
  <c r="BJ17" i="1"/>
  <c r="BJ61" i="1"/>
  <c r="BJ85" i="1"/>
  <c r="BJ79" i="1"/>
  <c r="BJ76" i="1"/>
  <c r="BJ12" i="1"/>
  <c r="BJ13" i="1"/>
  <c r="BJ48" i="1"/>
  <c r="BJ51" i="1"/>
  <c r="BJ92" i="1"/>
  <c r="BJ87" i="1"/>
  <c r="BJ18" i="1"/>
  <c r="BJ28" i="1"/>
  <c r="BJ67" i="1"/>
  <c r="BJ75" i="1"/>
  <c r="BJ19" i="1"/>
  <c r="BJ34" i="1"/>
  <c r="BJ93" i="1"/>
  <c r="BJ68" i="1"/>
  <c r="BJ69" i="1"/>
  <c r="BJ70" i="1"/>
  <c r="BJ81" i="1"/>
  <c r="BJ44" i="1"/>
  <c r="BJ45" i="1"/>
  <c r="BJ47" i="1"/>
  <c r="BJ84" i="1"/>
  <c r="BJ29" i="1"/>
  <c r="BJ88" i="1"/>
  <c r="BJ30" i="1"/>
  <c r="BJ52" i="1"/>
  <c r="BJ56" i="1"/>
  <c r="BJ57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M96" i="1"/>
  <c r="AN96" i="1"/>
  <c r="AL96" i="1"/>
  <c r="AQ96" i="1"/>
  <c r="AO96" i="1"/>
  <c r="AP96" i="1"/>
  <c r="BJ53" i="1"/>
  <c r="BJ91" i="1"/>
  <c r="BJ2" i="1"/>
  <c r="BJ71" i="1"/>
  <c r="BJ72" i="1"/>
  <c r="BJ31" i="1"/>
  <c r="BJ20" i="1"/>
  <c r="BJ65" i="1"/>
  <c r="BJ95" i="1"/>
  <c r="BJ90" i="1"/>
  <c r="AZ96" i="1"/>
  <c r="BA96" i="1"/>
  <c r="AY96" i="1"/>
  <c r="AX96" i="1"/>
  <c r="BB96" i="1"/>
  <c r="BC96" i="1"/>
  <c r="BD96" i="1"/>
  <c r="BE96" i="1"/>
  <c r="BF96" i="1"/>
  <c r="BG96" i="1"/>
  <c r="BH96" i="1"/>
  <c r="BI96" i="1"/>
  <c r="F96" i="1"/>
  <c r="G96" i="1"/>
  <c r="H96" i="1"/>
  <c r="I96" i="1"/>
  <c r="AR96" i="1"/>
  <c r="AS96" i="1"/>
  <c r="AU96" i="1"/>
  <c r="AW96" i="1"/>
  <c r="AT96" i="1"/>
  <c r="AV96" i="1"/>
  <c r="E96" i="1"/>
</calcChain>
</file>

<file path=xl/sharedStrings.xml><?xml version="1.0" encoding="utf-8"?>
<sst xmlns="http://schemas.openxmlformats.org/spreadsheetml/2006/main" count="515" uniqueCount="214">
  <si>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</si>
  <si>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</si>
  <si>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</si>
  <si>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</si>
  <si>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</si>
  <si>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</si>
  <si>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</si>
  <si>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</si>
  <si>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</si>
  <si>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</si>
  <si>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</si>
  <si>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</si>
  <si>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</si>
  <si>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</si>
  <si>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</si>
  <si>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</si>
  <si>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</si>
  <si>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</si>
  <si>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</si>
  <si>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</si>
  <si>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</si>
  <si>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</si>
  <si>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</si>
  <si>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</si>
  <si>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</si>
  <si>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</si>
  <si>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</si>
  <si>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大地符文</t>
    <phoneticPr fontId="1" type="noConversion"/>
  </si>
  <si>
    <t>神农鼎</t>
    <phoneticPr fontId="1" type="noConversion"/>
  </si>
  <si>
    <t>张飞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</si>
  <si>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</si>
  <si>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</si>
  <si>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</si>
  <si>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</si>
  <si>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</si>
  <si>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</si>
  <si>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小雪童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</si>
  <si>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</si>
  <si>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</si>
  <si>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</si>
  <si>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</si>
  <si>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</si>
  <si>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避水金睛兽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</si>
  <si>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</si>
  <si>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</si>
  <si>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</si>
  <si>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</si>
  <si>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</si>
  <si>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</si>
  <si>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</si>
  <si>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神将关云长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</si>
  <si>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</si>
  <si>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</si>
  <si>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</si>
  <si>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介公子</t>
    <phoneticPr fontId="1" type="noConversion"/>
  </si>
  <si>
    <t>智慧符文叉大</t>
    <phoneticPr fontId="1" type="noConversion"/>
  </si>
  <si>
    <t>痴花</t>
    <phoneticPr fontId="1" type="noConversion"/>
  </si>
  <si>
    <t>千年玄冰</t>
    <phoneticPr fontId="1" type="noConversion"/>
  </si>
  <si>
    <t>金来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</si>
  <si>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</si>
  <si>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</si>
  <si>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</si>
  <si>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锤丸君</t>
    <phoneticPr fontId="1" type="noConversion"/>
  </si>
  <si>
    <t>风仆</t>
    <phoneticPr fontId="1" type="noConversion"/>
  </si>
  <si>
    <t>成年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</si>
  <si>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</si>
  <si>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</si>
  <si>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</si>
  <si>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</si>
  <si>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</si>
  <si>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</si>
  <si>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夏火小鬼</t>
    <phoneticPr fontId="1" type="noConversion"/>
  </si>
  <si>
    <t>结缘者</t>
    <phoneticPr fontId="1" type="noConversion"/>
  </si>
  <si>
    <t>伏羲琴</t>
    <phoneticPr fontId="1" type="noConversion"/>
  </si>
  <si>
    <t>花卷</t>
    <phoneticPr fontId="1" type="noConversion"/>
  </si>
  <si>
    <t>烈焰之心</t>
    <phoneticPr fontId="1" type="noConversion"/>
  </si>
  <si>
    <t>红豆丸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</si>
  <si>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</si>
  <si>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</si>
  <si>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</si>
  <si>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七宿仙人</t>
    <phoneticPr fontId="1" type="noConversion"/>
  </si>
  <si>
    <t>火焰符文</t>
    <phoneticPr fontId="1" type="noConversion"/>
  </si>
  <si>
    <t>琴音使</t>
    <phoneticPr fontId="1" type="noConversion"/>
  </si>
  <si>
    <t>汉钟离</t>
    <phoneticPr fontId="1" type="noConversion"/>
  </si>
  <si>
    <t>光辉符文</t>
    <phoneticPr fontId="1" type="noConversion"/>
  </si>
  <si>
    <t>辉耀之星</t>
    <phoneticPr fontId="1" type="noConversion"/>
  </si>
  <si>
    <t>摩羯星</t>
    <phoneticPr fontId="1" type="noConversion"/>
  </si>
  <si>
    <t>光</t>
    <phoneticPr fontId="1" type="noConversion"/>
  </si>
  <si>
    <t>光元素</t>
    <phoneticPr fontId="1" type="noConversion"/>
  </si>
  <si>
    <t>六方天运骰</t>
    <phoneticPr fontId="1" type="noConversion"/>
  </si>
  <si>
    <t>芝鼠</t>
    <phoneticPr fontId="1" type="noConversion"/>
  </si>
  <si>
    <t>雪无印</t>
    <phoneticPr fontId="1" type="noConversion"/>
  </si>
  <si>
    <t>哈姆太鼠</t>
    <phoneticPr fontId="1" type="noConversion"/>
  </si>
  <si>
    <t>九色鹿</t>
    <phoneticPr fontId="1" type="noConversion"/>
  </si>
  <si>
    <t>妲己</t>
    <phoneticPr fontId="1" type="noConversion"/>
  </si>
  <si>
    <t>藕丁小童子</t>
    <phoneticPr fontId="1" type="noConversion"/>
  </si>
  <si>
    <t>米花伞</t>
    <phoneticPr fontId="1" type="noConversion"/>
  </si>
  <si>
    <t>暗</t>
    <phoneticPr fontId="1" type="noConversion"/>
  </si>
  <si>
    <t>妈蛋</t>
    <phoneticPr fontId="1" type="noConversion"/>
  </si>
  <si>
    <t>吕奉先</t>
    <phoneticPr fontId="1" type="noConversion"/>
  </si>
  <si>
    <t>月冕霓晴符</t>
    <phoneticPr fontId="1" type="noConversion"/>
  </si>
  <si>
    <t>合计</t>
    <phoneticPr fontId="1" type="noConversion"/>
  </si>
  <si>
    <t>木佣</t>
    <phoneticPr fontId="1" type="noConversion"/>
  </si>
  <si>
    <t>藕仙子</t>
    <phoneticPr fontId="1" type="noConversion"/>
  </si>
  <si>
    <t>自然符文</t>
    <phoneticPr fontId="1" type="noConversion"/>
  </si>
  <si>
    <t>愚蛇</t>
    <phoneticPr fontId="1" type="noConversion"/>
  </si>
  <si>
    <t>上古神杖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</si>
  <si>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</si>
  <si>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</si>
  <si>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</si>
  <si>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</si>
  <si>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</si>
  <si>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松果</t>
    <phoneticPr fontId="1" type="noConversion"/>
  </si>
  <si>
    <t>泥垢</t>
    <phoneticPr fontId="1" type="noConversion"/>
  </si>
  <si>
    <t>土仔</t>
    <phoneticPr fontId="1" type="noConversion"/>
  </si>
  <si>
    <t>远古神石</t>
    <phoneticPr fontId="1" type="noConversion"/>
  </si>
  <si>
    <t>土元素</t>
    <phoneticPr fontId="1" type="noConversion"/>
  </si>
  <si>
    <t>铁砧</t>
    <phoneticPr fontId="1" type="noConversion"/>
  </si>
  <si>
    <t>寒冰符文</t>
    <phoneticPr fontId="1" type="noConversion"/>
  </si>
  <si>
    <t>秘汤</t>
    <phoneticPr fontId="1" type="noConversion"/>
  </si>
  <si>
    <t>呵</t>
    <phoneticPr fontId="1" type="noConversion"/>
  </si>
  <si>
    <t>圣诞袜</t>
    <phoneticPr fontId="1" type="noConversion"/>
  </si>
  <si>
    <t>兔兔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</si>
  <si>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</si>
  <si>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</si>
  <si>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</si>
  <si>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黑桃三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</si>
  <si>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</si>
  <si>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</si>
  <si>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</si>
  <si>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</si>
  <si>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</si>
  <si>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</si>
  <si>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</si>
  <si>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和风芽</t>
    <phoneticPr fontId="1" type="noConversion"/>
  </si>
  <si>
    <t>序号</t>
    <phoneticPr fontId="1" type="noConversion"/>
  </si>
  <si>
    <t>数量</t>
    <phoneticPr fontId="1" type="noConversion"/>
  </si>
  <si>
    <t>蓝采和</t>
    <phoneticPr fontId="1" type="noConversion"/>
  </si>
  <si>
    <t>曹国舅</t>
    <phoneticPr fontId="1" type="noConversion"/>
  </si>
  <si>
    <t>书立</t>
    <phoneticPr fontId="1" type="noConversion"/>
  </si>
  <si>
    <t>联发</t>
    <phoneticPr fontId="1" type="noConversion"/>
  </si>
  <si>
    <t>笔支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</si>
  <si>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</si>
  <si>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</si>
  <si>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</si>
  <si>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金甲虫(15),</t>
  </si>
  <si>
    <t>女娲石(4),</t>
  </si>
  <si>
    <t>轩辕剑(1),_x000D_
愚山乾坤石(4),_x000D_
力量符文叉大(4),</t>
  </si>
  <si>
    <t>自然符文(3),</t>
  </si>
  <si>
    <t>大地符文(6),</t>
  </si>
  <si>
    <t>螃蟹(5),</t>
  </si>
  <si>
    <t>仙丹(5),</t>
  </si>
  <si>
    <t>炼妖壶(1),_x000D_
仙丹(5),</t>
  </si>
  <si>
    <t>超进阶素材土(50),_x000D_
超进阶素材木(50),_x000D_
超进阶素材光(50),_x000D_
超进阶素材暗(50),</t>
  </si>
  <si>
    <t>轩辕剑(1),_x000D_
力量符文叉大(4),</t>
  </si>
  <si>
    <t>桂花(5),_x000D_
桂花酒(5),</t>
  </si>
  <si>
    <t>桂花(5),_x000D_
桂花酒(5),_x000D_
灯笼(5),</t>
  </si>
  <si>
    <t>红糖(5),</t>
  </si>
  <si>
    <t>桂花酒(5),</t>
  </si>
  <si>
    <t>桂花(5),</t>
  </si>
  <si>
    <t>炼妖壶(2),</t>
  </si>
  <si>
    <t>炼妖壶(1),</t>
  </si>
  <si>
    <t>太一之轮(2),</t>
  </si>
  <si>
    <t>崆峒印(3),</t>
  </si>
  <si>
    <t>崆峒印(4),</t>
  </si>
  <si>
    <t>寒冰符文(3),</t>
  </si>
  <si>
    <t>金甲虫(1),</t>
  </si>
  <si>
    <t>盘古斧(1),</t>
  </si>
  <si>
    <t>轩辕剑(2),_x000D_
烈焰之心(1),</t>
  </si>
  <si>
    <t>金钗(5),</t>
  </si>
  <si>
    <t>金钗(15),</t>
  </si>
  <si>
    <t>彗星(5),</t>
  </si>
  <si>
    <t>彗星(15),</t>
  </si>
  <si>
    <t>伏羲琴(4),_x000D_
烈焰之心(1),</t>
  </si>
  <si>
    <t>烈焰之心(1),</t>
  </si>
  <si>
    <t>光辉符文(8),</t>
  </si>
  <si>
    <t>六方天运骰(2),</t>
  </si>
  <si>
    <t>太一之轮(3),_x000D_
六方天运骰(7),</t>
  </si>
  <si>
    <t>伏羲琴(5),_x000D_
六方天运骰(7),</t>
  </si>
  <si>
    <t>红糖(5),_x000D_
圣诞袜(5),</t>
  </si>
  <si>
    <t>螃蟹(5),_x000D_
桂花(5),_x000D_
桂花酒(5),</t>
  </si>
  <si>
    <t>盘古斧(6),</t>
  </si>
  <si>
    <t>炼妖壶(16),_x000D_
轩辕剑(17),_x000D_
伏羲琴(19),</t>
  </si>
  <si>
    <t>金甲虫(10),</t>
  </si>
  <si>
    <t>金甲虫(50),</t>
  </si>
  <si>
    <t>金甲虫(200),</t>
  </si>
  <si>
    <t>轩辕剑(2),</t>
  </si>
  <si>
    <t>盘古斧(2),_x000D_
力量符文叉大(7),</t>
  </si>
  <si>
    <t>辉耀之星(10),</t>
  </si>
  <si>
    <t>超进阶素材水(45),_x000D_
超进阶素材火(50),_x000D_
超进阶素材光(50),_x000D_
超进阶素材暗(50),</t>
  </si>
  <si>
    <t>大地符文(11),_x000D_
远古神石(5),</t>
  </si>
  <si>
    <t>东皇钟(5),_x000D_
女娲石(14),_x000D_
愚山乾坤石(14),_x000D_
技巧符文叉大(8),</t>
  </si>
  <si>
    <t>愚山乾坤石(9),_x000D_
技巧符文叉大(3),</t>
  </si>
  <si>
    <t>女娲石(14),_x000D_
神农鼎(2),_x000D_
龙灵不朽藤(5),_x000D_
技巧符文叉大(8),</t>
  </si>
  <si>
    <t>技巧符文叉大(3),</t>
  </si>
  <si>
    <t>女娲石(5),_x000D_
技巧符文叉大(3),</t>
  </si>
  <si>
    <t>秘窟冰晶卵(4),_x000D_
技巧符文叉大(8),</t>
  </si>
  <si>
    <t>女娲石(14),_x000D_
神农鼎(2),_x000D_
幸运符文叉大(5),_x000D_
技巧符文叉大(8),</t>
  </si>
  <si>
    <t>昆仑镜(5),_x000D_
太一之轮(12),_x000D_
幸运符文叉大(5),_x000D_
技巧符文叉大(8),</t>
  </si>
  <si>
    <t>炼妖壶(6),_x000D_
愚山乾坤石(9),_x000D_
力量符文叉大(14),_x000D_
速度符文叉大(8),</t>
  </si>
  <si>
    <t>炼妖壶(2),_x000D_
速度符文叉大(3),</t>
  </si>
  <si>
    <t>太一之轮(3),_x000D_
速度符文叉大(3),</t>
  </si>
  <si>
    <t>炼妖壶(11),_x000D_
神农鼎(2),_x000D_
赤焰十字星(14),_x000D_
幸运符文叉大(5),</t>
  </si>
  <si>
    <t>赤焰十字星(9),</t>
  </si>
  <si>
    <t>女娲石(9),_x000D_
伏羲琴(9),_x000D_
赤焰十字星(9),</t>
  </si>
  <si>
    <t>女娲石(9),_x000D_
彗星(25),_x000D_
赤焰十字星(9),</t>
  </si>
  <si>
    <t>炼妖壶(2),_x000D_
伏羲琴(5),_x000D_
赤焰十字星(9),_x000D_
技巧符文叉大(3),</t>
  </si>
  <si>
    <t>盘古斧(2),_x000D_
赤焰十字星(9),_x000D_
速度符文叉大(3),</t>
  </si>
  <si>
    <t>崆峒印(4),_x000D_
赤焰十字星(9),</t>
  </si>
  <si>
    <t>六方天运骰(17),_x000D_
力量符文叉大(19),_x000D_
速度符文叉大(13),_x000D_
技巧符文叉大(3),</t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</si>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</sst>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</cellXfs>
  <cellStyles count="1">
    <cellStyle name="常规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97</xdr:row>
          <xdr:rowOff>133350</xdr:rowOff>
        </xdr:from>
        <xdr:to>
          <xdr:col>1</xdr:col>
          <xdr:colOff>476250</xdr:colOff>
          <xdr:row>99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L97"/>
  <sheetViews>
    <sheetView tabSelected="1" workbookViewId="0">
      <pane xSplit="2" ySplit="1" topLeftCell="AP95" activePane="bottomRight" state="frozen"/>
      <selection pane="topRight" activeCell="C1" sqref="C1"/>
      <selection pane="bottomLeft" activeCell="A3" sqref="A3"/>
      <selection pane="bottomRight" activeCell="AT97" sqref="AT97"/>
    </sheetView>
  </sheetViews>
  <sheetFormatPr defaultRowHeight="13.5" x14ac:dyDescent="0.15"/>
  <cols>
    <col min="1" max="1" width="9.75" bestFit="1" customWidth="1"/>
    <col min="2" max="2" width="11" bestFit="1" customWidth="1"/>
    <col min="3" max="4" width="9.75" bestFit="1" customWidth="1"/>
    <col min="5" max="14" width="11.75" bestFit="1" customWidth="1"/>
    <col min="15" max="24" width="13.75" bestFit="1" customWidth="1"/>
    <col min="25" max="26" width="11.75" bestFit="1" customWidth="1"/>
    <col min="27" max="27" width="13.75" bestFit="1" customWidth="1"/>
    <col min="28" max="28" width="11.75" bestFit="1" customWidth="1"/>
    <col min="29" max="31" width="9.75" bestFit="1" customWidth="1"/>
    <col min="32" max="32" width="11.75" bestFit="1" customWidth="1"/>
    <col min="33" max="34" width="9.75" bestFit="1" customWidth="1"/>
    <col min="35" max="35" width="11.75" bestFit="1" customWidth="1"/>
    <col min="36" max="37" width="9.75" bestFit="1" customWidth="1"/>
    <col min="38" max="43" width="15.875" style="7" bestFit="1" customWidth="1"/>
    <col min="44" max="49" width="18.125" style="7" bestFit="1" customWidth="1"/>
    <col min="50" max="55" width="15.875" bestFit="1" customWidth="1"/>
    <col min="56" max="61" width="18.125" bestFit="1" customWidth="1"/>
    <col min="62" max="62" width="9.75" bestFit="1" customWidth="1"/>
    <col min="63" max="63" width="7.5" customWidth="1"/>
    <col min="64" max="64" width="7.625" style="15" customWidth="1"/>
    <col min="65" max="65" width="18.625" style="15" bestFit="1" customWidth="1"/>
    <col min="66" max="71" width="11.875" bestFit="1" customWidth="1"/>
    <col min="72" max="77" width="14.125" bestFit="1" customWidth="1"/>
  </cols>
  <sheetData>
    <row r="1" spans="1:90" s="13" customFormat="1" x14ac:dyDescent="0.15">
      <c r="A1" s="8" t="s">
        <v>130</v>
      </c>
      <c r="B1" s="8" t="s">
        <v>131</v>
      </c>
      <c r="C1" s="8" t="s">
        <v>133</v>
      </c>
      <c r="D1" s="8" t="s">
        <v>132</v>
      </c>
      <c r="E1" s="9" t="s">
        <v>3</v>
      </c>
      <c r="F1" s="9" t="s">
        <v>4</v>
      </c>
      <c r="G1" s="9" t="s">
        <v>15</v>
      </c>
      <c r="H1" s="9" t="s">
        <v>28</v>
      </c>
      <c r="I1" s="9" t="s">
        <v>30</v>
      </c>
      <c r="J1" s="9" t="s">
        <v>127</v>
      </c>
      <c r="K1" s="9" t="s">
        <v>31</v>
      </c>
      <c r="L1" s="9" t="s">
        <v>60</v>
      </c>
      <c r="M1" s="9" t="s">
        <v>66</v>
      </c>
      <c r="N1" s="9" t="s">
        <v>73</v>
      </c>
      <c r="O1" s="9" t="s">
        <v>65</v>
      </c>
      <c r="P1" s="9" t="s">
        <v>27</v>
      </c>
      <c r="Q1" s="9" t="s">
        <v>81</v>
      </c>
      <c r="R1" s="9" t="s">
        <v>118</v>
      </c>
      <c r="S1" s="9" t="s">
        <v>84</v>
      </c>
      <c r="T1" s="9" t="s">
        <v>104</v>
      </c>
      <c r="U1" s="9" t="s">
        <v>85</v>
      </c>
      <c r="V1" s="9" t="s">
        <v>115</v>
      </c>
      <c r="W1" s="9" t="s">
        <v>57</v>
      </c>
      <c r="X1" s="9" t="s">
        <v>75</v>
      </c>
      <c r="Y1" s="9" t="s">
        <v>116</v>
      </c>
      <c r="Z1" s="9" t="s">
        <v>88</v>
      </c>
      <c r="AA1" s="9" t="s">
        <v>106</v>
      </c>
      <c r="AB1" s="8" t="s">
        <v>10</v>
      </c>
      <c r="AC1" s="8" t="s">
        <v>38</v>
      </c>
      <c r="AD1" s="8" t="s">
        <v>39</v>
      </c>
      <c r="AE1" s="8" t="s">
        <v>107</v>
      </c>
      <c r="AF1" s="8" t="s">
        <v>108</v>
      </c>
      <c r="AG1" s="8" t="s">
        <v>110</v>
      </c>
      <c r="AH1" s="8" t="s">
        <v>111</v>
      </c>
      <c r="AI1" s="8" t="s">
        <v>121</v>
      </c>
      <c r="AJ1" s="8" t="s">
        <v>77</v>
      </c>
      <c r="AK1" s="8" t="s">
        <v>79</v>
      </c>
      <c r="AL1" s="10" t="s">
        <v>53</v>
      </c>
      <c r="AM1" s="10" t="s">
        <v>5</v>
      </c>
      <c r="AN1" s="10" t="s">
        <v>35</v>
      </c>
      <c r="AO1" s="10" t="s">
        <v>89</v>
      </c>
      <c r="AP1" s="10" t="s">
        <v>100</v>
      </c>
      <c r="AQ1" s="10" t="s">
        <v>70</v>
      </c>
      <c r="AR1" s="11" t="s">
        <v>6</v>
      </c>
      <c r="AS1" s="11" t="s">
        <v>7</v>
      </c>
      <c r="AT1" s="11" t="s">
        <v>55</v>
      </c>
      <c r="AU1" s="11" t="s">
        <v>9</v>
      </c>
      <c r="AV1" s="11" t="s">
        <v>69</v>
      </c>
      <c r="AW1" s="11" t="s">
        <v>14</v>
      </c>
      <c r="AX1" s="8" t="s">
        <v>19</v>
      </c>
      <c r="AY1" s="8" t="s">
        <v>18</v>
      </c>
      <c r="AZ1" s="8" t="s">
        <v>16</v>
      </c>
      <c r="BA1" s="8" t="s">
        <v>17</v>
      </c>
      <c r="BB1" s="8" t="s">
        <v>20</v>
      </c>
      <c r="BC1" s="8" t="s">
        <v>21</v>
      </c>
      <c r="BD1" s="8" t="s">
        <v>44</v>
      </c>
      <c r="BE1" s="8" t="s">
        <v>45</v>
      </c>
      <c r="BF1" s="8" t="s">
        <v>46</v>
      </c>
      <c r="BG1" s="8" t="s">
        <v>47</v>
      </c>
      <c r="BH1" s="8" t="s">
        <v>48</v>
      </c>
      <c r="BI1" s="8" t="s">
        <v>49</v>
      </c>
      <c r="BJ1" s="12" t="s">
        <v>143</v>
      </c>
      <c r="BK1" s="8" t="s">
        <v>144</v>
      </c>
      <c r="BL1" s="16" t="s">
        <v>210</v>
      </c>
      <c r="BM1" s="16"/>
      <c r="BN1" s="10" t="s">
        <v>53</v>
      </c>
      <c r="BO1" s="10" t="s">
        <v>5</v>
      </c>
      <c r="BP1" s="10" t="s">
        <v>35</v>
      </c>
      <c r="BQ1" s="10" t="s">
        <v>89</v>
      </c>
      <c r="BR1" s="10" t="s">
        <v>100</v>
      </c>
      <c r="BS1" s="10" t="s">
        <v>70</v>
      </c>
      <c r="BT1" s="11" t="s">
        <v>6</v>
      </c>
      <c r="BU1" s="11" t="s">
        <v>7</v>
      </c>
      <c r="BV1" s="11" t="s">
        <v>55</v>
      </c>
      <c r="BW1" s="11" t="s">
        <v>9</v>
      </c>
      <c r="BX1" s="11" t="s">
        <v>69</v>
      </c>
      <c r="BY1" s="11" t="s">
        <v>14</v>
      </c>
      <c r="CA1" s="10" t="s">
        <v>53</v>
      </c>
      <c r="CB1" s="10" t="s">
        <v>5</v>
      </c>
      <c r="CC1" s="10" t="s">
        <v>35</v>
      </c>
      <c r="CD1" s="10" t="s">
        <v>89</v>
      </c>
      <c r="CE1" s="10" t="s">
        <v>100</v>
      </c>
      <c r="CF1" s="10" t="s">
        <v>70</v>
      </c>
      <c r="CG1" s="11" t="s">
        <v>6</v>
      </c>
      <c r="CH1" s="11" t="s">
        <v>7</v>
      </c>
      <c r="CI1" s="11" t="s">
        <v>55</v>
      </c>
      <c r="CJ1" s="11" t="s">
        <v>9</v>
      </c>
      <c r="CK1" s="11" t="s">
        <v>69</v>
      </c>
      <c r="CL1" s="11" t="s">
        <v>14</v>
      </c>
    </row>
    <row r="2" spans="1:90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1"/>
      <c r="AC2" s="1"/>
      <c r="AD2" s="1"/>
      <c r="AE2" s="1"/>
      <c r="AF2" s="1"/>
      <c r="AG2" s="1"/>
      <c r="AH2" s="1"/>
      <c r="AI2" s="1"/>
      <c r="AJ2" s="1"/>
      <c r="AK2" s="1"/>
      <c r="AL2" s="4"/>
      <c r="AM2" s="4"/>
      <c r="AN2" s="4"/>
      <c r="AO2" s="4"/>
      <c r="AP2" s="4"/>
      <c r="AQ2" s="4"/>
      <c r="AR2" s="2"/>
      <c r="AS2" s="2"/>
      <c r="AT2" s="2"/>
      <c r="AU2" s="2"/>
      <c r="AV2" s="2"/>
      <c r="AW2" s="2"/>
      <c r="AX2" s="1"/>
      <c r="AY2" s="1"/>
      <c r="AZ2" s="1">
        <v>20</v>
      </c>
      <c r="BA2" s="1">
        <v>20</v>
      </c>
      <c r="BB2" s="1">
        <v>20</v>
      </c>
      <c r="BC2" s="1">
        <v>20</v>
      </c>
      <c r="BD2" s="1"/>
      <c r="BE2" s="1"/>
      <c r="BF2" s="1"/>
      <c r="BG2" s="1"/>
      <c r="BH2" s="1"/>
      <c r="BI2" s="1"/>
      <c r="BJ2" s="1">
        <f t="shared" ref="BJ2:BJ33" si="0">SUM(E2:BI2)</f>
        <v>80</v>
      </c>
      <c r="BK2" s="1">
        <v>0</v>
      </c>
      <c r="BL2" s="17">
        <v>0</v>
      </c>
      <c r="BM2" s="17"/>
      <c r="BN2" t="str">
        <f>IF(AL2&gt;AL$97, AL2-AL$97,"")</f>
        <v/>
      </c>
      <c r="BO2" t="str">
        <f t="shared" ref="BO2:BY2" si="1">IF(AM2&gt;AM$97, AM2-AM$97,"")</f>
        <v/>
      </c>
      <c r="BP2" t="str">
        <f t="shared" si="1"/>
        <v/>
      </c>
      <c r="BQ2" t="str">
        <f t="shared" si="1"/>
        <v/>
      </c>
      <c r="BR2" t="str">
        <f t="shared" si="1"/>
        <v/>
      </c>
      <c r="BS2" t="str">
        <f t="shared" si="1"/>
        <v/>
      </c>
      <c r="BT2" t="str">
        <f t="shared" si="1"/>
        <v/>
      </c>
      <c r="BU2" t="str">
        <f t="shared" si="1"/>
        <v/>
      </c>
      <c r="BV2" t="str">
        <f t="shared" si="1"/>
        <v/>
      </c>
      <c r="BW2" t="str">
        <f t="shared" si="1"/>
        <v/>
      </c>
      <c r="BX2" t="str">
        <f t="shared" si="1"/>
        <v/>
      </c>
      <c r="BY2" t="str">
        <f t="shared" si="1"/>
        <v/>
      </c>
      <c r="BZ2">
        <f>12-COUNTA(BN2:BY2)</f>
        <v>0</v>
      </c>
      <c r="CA2" t="str">
        <f>IF($BZ2=1,BN2,"")</f>
        <v/>
      </c>
      <c r="CB2" t="str">
        <f t="shared" ref="CB2:CL2" si="2">IF($BZ2=1,BO2,"")</f>
        <v/>
      </c>
      <c r="CC2" t="str">
        <f t="shared" si="2"/>
        <v/>
      </c>
      <c r="CD2" t="str">
        <f t="shared" si="2"/>
        <v/>
      </c>
      <c r="CE2" t="str">
        <f t="shared" si="2"/>
        <v/>
      </c>
      <c r="CF2" t="str">
        <f t="shared" si="2"/>
        <v/>
      </c>
      <c r="CG2" t="str">
        <f t="shared" si="2"/>
        <v/>
      </c>
      <c r="CH2" t="str">
        <f t="shared" si="2"/>
        <v/>
      </c>
      <c r="CI2" t="str">
        <f t="shared" si="2"/>
        <v/>
      </c>
      <c r="CJ2" t="str">
        <f t="shared" si="2"/>
        <v/>
      </c>
      <c r="CK2" t="str">
        <f t="shared" si="2"/>
        <v/>
      </c>
      <c r="CL2" t="str">
        <f t="shared" si="2"/>
        <v/>
      </c>
    </row>
    <row r="3" spans="1:90" x14ac:dyDescent="0.15">
      <c r="A3" s="1">
        <v>15</v>
      </c>
      <c r="B3" s="1" t="s">
        <v>32</v>
      </c>
      <c r="C3" s="1" t="s">
        <v>33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1"/>
      <c r="AC3" s="1"/>
      <c r="AD3" s="1"/>
      <c r="AE3" s="1"/>
      <c r="AF3" s="1"/>
      <c r="AG3" s="1"/>
      <c r="AH3" s="1"/>
      <c r="AI3" s="1"/>
      <c r="AJ3" s="1"/>
      <c r="AK3" s="1"/>
      <c r="AL3" s="4"/>
      <c r="AM3" s="4"/>
      <c r="AN3" s="4"/>
      <c r="AO3" s="4"/>
      <c r="AP3" s="4"/>
      <c r="AQ3" s="4"/>
      <c r="AR3" s="2"/>
      <c r="AS3" s="2"/>
      <c r="AT3" s="2"/>
      <c r="AU3" s="2"/>
      <c r="AV3" s="2"/>
      <c r="AW3" s="2"/>
      <c r="AX3" s="1">
        <v>20</v>
      </c>
      <c r="AY3" s="1">
        <v>20</v>
      </c>
      <c r="AZ3" s="1">
        <v>20</v>
      </c>
      <c r="BA3" s="1">
        <v>20</v>
      </c>
      <c r="BB3" s="1"/>
      <c r="BC3" s="1"/>
      <c r="BD3" s="1"/>
      <c r="BE3" s="1"/>
      <c r="BF3" s="1"/>
      <c r="BG3" s="1"/>
      <c r="BH3" s="1"/>
      <c r="BI3" s="1"/>
      <c r="BJ3" s="1">
        <f t="shared" si="0"/>
        <v>80</v>
      </c>
      <c r="BK3" s="1">
        <v>0</v>
      </c>
      <c r="BL3" s="17">
        <v>0</v>
      </c>
      <c r="BM3" s="17"/>
      <c r="BN3" t="str">
        <f t="shared" ref="BN3:BN66" si="3">IF(AL3&gt;AL$97, AL3-AL$97,"")</f>
        <v/>
      </c>
      <c r="BO3" t="str">
        <f t="shared" ref="BO3:BO66" si="4">IF(AM3&gt;AM$97, AM3-AM$97,"")</f>
        <v/>
      </c>
      <c r="BP3" t="str">
        <f t="shared" ref="BP3:BP66" si="5">IF(AN3&gt;AN$97, AN3-AN$97,"")</f>
        <v/>
      </c>
      <c r="BQ3" t="str">
        <f t="shared" ref="BQ3:BQ66" si="6">IF(AO3&gt;AO$97, AO3-AO$97,"")</f>
        <v/>
      </c>
      <c r="BR3" t="str">
        <f t="shared" ref="BR3:BR66" si="7">IF(AP3&gt;AP$97, AP3-AP$97,"")</f>
        <v/>
      </c>
      <c r="BS3" t="str">
        <f t="shared" ref="BS3:BS66" si="8">IF(AQ3&gt;AQ$97, AQ3-AQ$97,"")</f>
        <v/>
      </c>
      <c r="BT3" t="str">
        <f t="shared" ref="BT3:BT66" si="9">IF(AR3&gt;AR$97, AR3-AR$97,"")</f>
        <v/>
      </c>
      <c r="BU3" t="str">
        <f t="shared" ref="BU3:BU66" si="10">IF(AS3&gt;AS$97, AS3-AS$97,"")</f>
        <v/>
      </c>
      <c r="BV3" t="str">
        <f t="shared" ref="BV3:BV66" si="11">IF(AT3&gt;AT$97, AT3-AT$97,"")</f>
        <v/>
      </c>
      <c r="BW3" t="str">
        <f t="shared" ref="BW3:BW66" si="12">IF(AU3&gt;AU$97, AU3-AU$97,"")</f>
        <v/>
      </c>
      <c r="BX3" t="str">
        <f t="shared" ref="BX3:BX66" si="13">IF(AV3&gt;AV$97, AV3-AV$97,"")</f>
        <v/>
      </c>
      <c r="BY3" t="str">
        <f t="shared" ref="BY3:BY66" si="14">IF(AW3&gt;AW$97, AW3-AW$97,"")</f>
        <v/>
      </c>
      <c r="BZ3">
        <f t="shared" ref="BZ3:BZ10" si="15">12-COUNTA(BN3:BY3)</f>
        <v>0</v>
      </c>
      <c r="CA3" t="str">
        <f t="shared" ref="CA3:CA66" si="16">IF($BZ3=1,BN3,"")</f>
        <v/>
      </c>
      <c r="CB3" t="str">
        <f t="shared" ref="CB3:CB66" si="17">IF($BZ3=1,BO3,"")</f>
        <v/>
      </c>
      <c r="CC3" t="str">
        <f t="shared" ref="CC3:CC66" si="18">IF($BZ3=1,BP3,"")</f>
        <v/>
      </c>
      <c r="CD3" t="str">
        <f t="shared" ref="CD3:CD66" si="19">IF($BZ3=1,BQ3,"")</f>
        <v/>
      </c>
      <c r="CE3" t="str">
        <f t="shared" ref="CE3:CE66" si="20">IF($BZ3=1,BR3,"")</f>
        <v/>
      </c>
      <c r="CF3" t="str">
        <f t="shared" ref="CF3:CF66" si="21">IF($BZ3=1,BS3,"")</f>
        <v/>
      </c>
      <c r="CG3" t="str">
        <f t="shared" ref="CG3:CG66" si="22">IF($BZ3=1,BT3,"")</f>
        <v/>
      </c>
      <c r="CH3" t="str">
        <f t="shared" ref="CH3:CH66" si="23">IF($BZ3=1,BU3,"")</f>
        <v/>
      </c>
      <c r="CI3" t="str">
        <f t="shared" ref="CI3:CI66" si="24">IF($BZ3=1,BV3,"")</f>
        <v/>
      </c>
      <c r="CJ3" t="str">
        <f t="shared" ref="CJ3:CJ66" si="25">IF($BZ3=1,BW3,"")</f>
        <v/>
      </c>
      <c r="CK3" t="str">
        <f t="shared" ref="CK3:CK66" si="26">IF($BZ3=1,BX3,"")</f>
        <v/>
      </c>
      <c r="CL3" t="str">
        <f t="shared" ref="CL3:CL66" si="27">IF($BZ3=1,BY3,"")</f>
        <v/>
      </c>
    </row>
    <row r="4" spans="1:90" x14ac:dyDescent="0.15">
      <c r="A4" s="1">
        <v>26</v>
      </c>
      <c r="B4" s="1" t="s">
        <v>105</v>
      </c>
      <c r="C4" s="1" t="s">
        <v>33</v>
      </c>
      <c r="D4" s="1" t="s">
        <v>1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>
        <v>4</v>
      </c>
      <c r="AB4" s="1"/>
      <c r="AC4" s="1"/>
      <c r="AD4" s="1"/>
      <c r="AE4" s="1"/>
      <c r="AF4" s="1"/>
      <c r="AG4" s="1"/>
      <c r="AH4" s="1"/>
      <c r="AI4" s="1"/>
      <c r="AJ4" s="1"/>
      <c r="AK4" s="1"/>
      <c r="AL4" s="4"/>
      <c r="AM4" s="4"/>
      <c r="AN4" s="4"/>
      <c r="AO4" s="4"/>
      <c r="AP4" s="4"/>
      <c r="AQ4" s="4"/>
      <c r="AR4" s="2"/>
      <c r="AS4" s="2"/>
      <c r="AT4" s="2"/>
      <c r="AU4" s="2"/>
      <c r="AV4" s="2"/>
      <c r="AW4" s="2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>
        <f t="shared" si="0"/>
        <v>4</v>
      </c>
      <c r="BK4" s="1">
        <v>0</v>
      </c>
      <c r="BL4" s="17">
        <v>0</v>
      </c>
      <c r="BM4" s="17"/>
      <c r="BN4" t="str">
        <f t="shared" si="3"/>
        <v/>
      </c>
      <c r="BO4" t="str">
        <f t="shared" si="4"/>
        <v/>
      </c>
      <c r="BP4" t="str">
        <f t="shared" si="5"/>
        <v/>
      </c>
      <c r="BQ4" t="str">
        <f t="shared" si="6"/>
        <v/>
      </c>
      <c r="BR4" t="str">
        <f t="shared" si="7"/>
        <v/>
      </c>
      <c r="BS4" t="str">
        <f t="shared" si="8"/>
        <v/>
      </c>
      <c r="BT4" t="str">
        <f t="shared" si="9"/>
        <v/>
      </c>
      <c r="BU4" t="str">
        <f t="shared" si="10"/>
        <v/>
      </c>
      <c r="BV4" t="str">
        <f t="shared" si="11"/>
        <v/>
      </c>
      <c r="BW4" t="str">
        <f t="shared" si="12"/>
        <v/>
      </c>
      <c r="BX4" t="str">
        <f t="shared" si="13"/>
        <v/>
      </c>
      <c r="BY4" t="str">
        <f t="shared" si="14"/>
        <v/>
      </c>
      <c r="BZ4">
        <f t="shared" si="15"/>
        <v>0</v>
      </c>
      <c r="CA4" t="str">
        <f t="shared" si="16"/>
        <v/>
      </c>
      <c r="CB4" t="str">
        <f t="shared" si="17"/>
        <v/>
      </c>
      <c r="CC4" t="str">
        <f t="shared" si="18"/>
        <v/>
      </c>
      <c r="CD4" t="str">
        <f t="shared" si="19"/>
        <v/>
      </c>
      <c r="CE4" t="str">
        <f t="shared" si="20"/>
        <v/>
      </c>
      <c r="CF4" t="str">
        <f t="shared" si="21"/>
        <v/>
      </c>
      <c r="CG4" t="str">
        <f t="shared" si="22"/>
        <v/>
      </c>
      <c r="CH4" t="str">
        <f t="shared" si="23"/>
        <v/>
      </c>
      <c r="CI4" t="str">
        <f t="shared" si="24"/>
        <v/>
      </c>
      <c r="CJ4" t="str">
        <f t="shared" si="25"/>
        <v/>
      </c>
      <c r="CK4" t="str">
        <f t="shared" si="26"/>
        <v/>
      </c>
      <c r="CL4" t="str">
        <f t="shared" si="27"/>
        <v/>
      </c>
    </row>
    <row r="5" spans="1:90" x14ac:dyDescent="0.15">
      <c r="A5" s="1">
        <v>35</v>
      </c>
      <c r="B5" s="1" t="s">
        <v>51</v>
      </c>
      <c r="C5" s="1" t="s">
        <v>52</v>
      </c>
      <c r="D5" s="1" t="s">
        <v>26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1"/>
      <c r="AC5" s="1"/>
      <c r="AD5" s="1"/>
      <c r="AE5" s="1"/>
      <c r="AF5" s="1"/>
      <c r="AG5" s="1"/>
      <c r="AH5" s="1"/>
      <c r="AI5" s="1"/>
      <c r="AJ5" s="1"/>
      <c r="AK5" s="1"/>
      <c r="AL5" s="4"/>
      <c r="AM5" s="4"/>
      <c r="AN5" s="4"/>
      <c r="AO5" s="4"/>
      <c r="AP5" s="4"/>
      <c r="AQ5" s="4"/>
      <c r="AR5" s="2"/>
      <c r="AS5" s="2"/>
      <c r="AT5" s="2"/>
      <c r="AU5" s="2"/>
      <c r="AV5" s="2"/>
      <c r="AW5" s="2"/>
      <c r="AX5" s="1">
        <v>20</v>
      </c>
      <c r="AY5" s="1">
        <v>20</v>
      </c>
      <c r="AZ5" s="1">
        <v>20</v>
      </c>
      <c r="BA5" s="1">
        <v>20</v>
      </c>
      <c r="BB5" s="1"/>
      <c r="BC5" s="1"/>
      <c r="BD5" s="1"/>
      <c r="BE5" s="1"/>
      <c r="BF5" s="1"/>
      <c r="BG5" s="1"/>
      <c r="BH5" s="1"/>
      <c r="BI5" s="1"/>
      <c r="BJ5" s="1">
        <f t="shared" si="0"/>
        <v>80</v>
      </c>
      <c r="BK5" s="1">
        <v>0</v>
      </c>
      <c r="BL5" s="17">
        <v>0</v>
      </c>
      <c r="BM5" s="17"/>
      <c r="BN5" t="str">
        <f t="shared" si="3"/>
        <v/>
      </c>
      <c r="BO5" t="str">
        <f t="shared" si="4"/>
        <v/>
      </c>
      <c r="BP5" t="str">
        <f t="shared" si="5"/>
        <v/>
      </c>
      <c r="BQ5" t="str">
        <f t="shared" si="6"/>
        <v/>
      </c>
      <c r="BR5" t="str">
        <f t="shared" si="7"/>
        <v/>
      </c>
      <c r="BS5" t="str">
        <f t="shared" si="8"/>
        <v/>
      </c>
      <c r="BT5" t="str">
        <f t="shared" si="9"/>
        <v/>
      </c>
      <c r="BU5" t="str">
        <f t="shared" si="10"/>
        <v/>
      </c>
      <c r="BV5" t="str">
        <f t="shared" si="11"/>
        <v/>
      </c>
      <c r="BW5" t="str">
        <f t="shared" si="12"/>
        <v/>
      </c>
      <c r="BX5" t="str">
        <f t="shared" si="13"/>
        <v/>
      </c>
      <c r="BY5" t="str">
        <f t="shared" si="14"/>
        <v/>
      </c>
      <c r="BZ5">
        <f t="shared" si="15"/>
        <v>0</v>
      </c>
      <c r="CA5" t="str">
        <f t="shared" si="16"/>
        <v/>
      </c>
      <c r="CB5" t="str">
        <f t="shared" si="17"/>
        <v/>
      </c>
      <c r="CC5" t="str">
        <f t="shared" si="18"/>
        <v/>
      </c>
      <c r="CD5" t="str">
        <f t="shared" si="19"/>
        <v/>
      </c>
      <c r="CE5" t="str">
        <f t="shared" si="20"/>
        <v/>
      </c>
      <c r="CF5" t="str">
        <f t="shared" si="21"/>
        <v/>
      </c>
      <c r="CG5" t="str">
        <f t="shared" si="22"/>
        <v/>
      </c>
      <c r="CH5" t="str">
        <f t="shared" si="23"/>
        <v/>
      </c>
      <c r="CI5" t="str">
        <f t="shared" si="24"/>
        <v/>
      </c>
      <c r="CJ5" t="str">
        <f t="shared" si="25"/>
        <v/>
      </c>
      <c r="CK5" t="str">
        <f t="shared" si="26"/>
        <v/>
      </c>
      <c r="CL5" t="str">
        <f t="shared" si="27"/>
        <v/>
      </c>
    </row>
    <row r="6" spans="1:90" x14ac:dyDescent="0.15">
      <c r="A6" s="1">
        <v>55</v>
      </c>
      <c r="B6" s="1" t="s">
        <v>67</v>
      </c>
      <c r="C6" s="1" t="s">
        <v>68</v>
      </c>
      <c r="D6" s="1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1"/>
      <c r="AC6" s="1"/>
      <c r="AD6" s="1"/>
      <c r="AE6" s="1"/>
      <c r="AF6" s="1"/>
      <c r="AG6" s="1"/>
      <c r="AH6" s="1"/>
      <c r="AI6" s="1"/>
      <c r="AJ6" s="1"/>
      <c r="AK6" s="1"/>
      <c r="AL6" s="4"/>
      <c r="AM6" s="4"/>
      <c r="AN6" s="4"/>
      <c r="AO6" s="4"/>
      <c r="AP6" s="4"/>
      <c r="AQ6" s="4"/>
      <c r="AR6" s="2"/>
      <c r="AS6" s="2"/>
      <c r="AT6" s="2"/>
      <c r="AU6" s="2"/>
      <c r="AV6" s="2"/>
      <c r="AW6" s="2"/>
      <c r="AX6" s="1">
        <v>20</v>
      </c>
      <c r="AY6" s="1">
        <v>20</v>
      </c>
      <c r="AZ6" s="1"/>
      <c r="BA6" s="1"/>
      <c r="BB6" s="1">
        <v>20</v>
      </c>
      <c r="BC6" s="1">
        <v>20</v>
      </c>
      <c r="BD6" s="1"/>
      <c r="BE6" s="1"/>
      <c r="BF6" s="1"/>
      <c r="BG6" s="1"/>
      <c r="BH6" s="1"/>
      <c r="BI6" s="1"/>
      <c r="BJ6" s="1">
        <f t="shared" si="0"/>
        <v>80</v>
      </c>
      <c r="BK6" s="1">
        <v>0</v>
      </c>
      <c r="BL6" s="17">
        <v>0</v>
      </c>
      <c r="BM6" s="17"/>
      <c r="BN6" t="str">
        <f t="shared" si="3"/>
        <v/>
      </c>
      <c r="BO6" t="str">
        <f t="shared" si="4"/>
        <v/>
      </c>
      <c r="BP6" t="str">
        <f t="shared" si="5"/>
        <v/>
      </c>
      <c r="BQ6" t="str">
        <f t="shared" si="6"/>
        <v/>
      </c>
      <c r="BR6" t="str">
        <f t="shared" si="7"/>
        <v/>
      </c>
      <c r="BS6" t="str">
        <f t="shared" si="8"/>
        <v/>
      </c>
      <c r="BT6" t="str">
        <f t="shared" si="9"/>
        <v/>
      </c>
      <c r="BU6" t="str">
        <f t="shared" si="10"/>
        <v/>
      </c>
      <c r="BV6" t="str">
        <f t="shared" si="11"/>
        <v/>
      </c>
      <c r="BW6" t="str">
        <f t="shared" si="12"/>
        <v/>
      </c>
      <c r="BX6" t="str">
        <f t="shared" si="13"/>
        <v/>
      </c>
      <c r="BY6" t="str">
        <f t="shared" si="14"/>
        <v/>
      </c>
      <c r="BZ6">
        <f t="shared" si="15"/>
        <v>0</v>
      </c>
      <c r="CA6" t="str">
        <f t="shared" si="16"/>
        <v/>
      </c>
      <c r="CB6" t="str">
        <f t="shared" si="17"/>
        <v/>
      </c>
      <c r="CC6" t="str">
        <f t="shared" si="18"/>
        <v/>
      </c>
      <c r="CD6" t="str">
        <f t="shared" si="19"/>
        <v/>
      </c>
      <c r="CE6" t="str">
        <f t="shared" si="20"/>
        <v/>
      </c>
      <c r="CF6" t="str">
        <f t="shared" si="21"/>
        <v/>
      </c>
      <c r="CG6" t="str">
        <f t="shared" si="22"/>
        <v/>
      </c>
      <c r="CH6" t="str">
        <f t="shared" si="23"/>
        <v/>
      </c>
      <c r="CI6" t="str">
        <f t="shared" si="24"/>
        <v/>
      </c>
      <c r="CJ6" t="str">
        <f t="shared" si="25"/>
        <v/>
      </c>
      <c r="CK6" t="str">
        <f t="shared" si="26"/>
        <v/>
      </c>
      <c r="CL6" t="str">
        <f t="shared" si="27"/>
        <v/>
      </c>
    </row>
    <row r="7" spans="1:90" x14ac:dyDescent="0.15">
      <c r="A7" s="1">
        <v>37</v>
      </c>
      <c r="B7" s="1" t="s">
        <v>56</v>
      </c>
      <c r="C7" s="1" t="s">
        <v>52</v>
      </c>
      <c r="D7" s="1" t="s">
        <v>25</v>
      </c>
      <c r="E7" s="6"/>
      <c r="F7" s="6">
        <v>5</v>
      </c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>
        <v>5</v>
      </c>
      <c r="X7" s="6"/>
      <c r="Y7" s="6"/>
      <c r="Z7" s="6"/>
      <c r="AA7" s="6"/>
      <c r="AB7" s="1"/>
      <c r="AC7" s="1"/>
      <c r="AD7" s="1"/>
      <c r="AE7" s="1"/>
      <c r="AF7" s="1"/>
      <c r="AG7" s="1"/>
      <c r="AH7" s="1"/>
      <c r="AI7" s="1"/>
      <c r="AJ7" s="1"/>
      <c r="AK7" s="1"/>
      <c r="AL7" s="4"/>
      <c r="AM7" s="4"/>
      <c r="AN7" s="4"/>
      <c r="AO7" s="4"/>
      <c r="AP7" s="4"/>
      <c r="AQ7" s="4"/>
      <c r="AR7" s="2"/>
      <c r="AS7" s="2"/>
      <c r="AT7" s="2"/>
      <c r="AU7" s="2"/>
      <c r="AV7" s="2"/>
      <c r="AW7" s="2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>
        <f t="shared" si="0"/>
        <v>10</v>
      </c>
      <c r="BK7" s="1">
        <v>1</v>
      </c>
      <c r="BL7" s="17">
        <v>1</v>
      </c>
      <c r="BM7" s="17" t="s">
        <v>161</v>
      </c>
      <c r="BN7" t="str">
        <f t="shared" si="3"/>
        <v/>
      </c>
      <c r="BO7" t="str">
        <f t="shared" si="4"/>
        <v/>
      </c>
      <c r="BP7" t="str">
        <f t="shared" si="5"/>
        <v/>
      </c>
      <c r="BQ7" t="str">
        <f t="shared" si="6"/>
        <v/>
      </c>
      <c r="BR7" t="str">
        <f t="shared" si="7"/>
        <v/>
      </c>
      <c r="BS7" t="str">
        <f t="shared" si="8"/>
        <v/>
      </c>
      <c r="BT7" t="str">
        <f t="shared" si="9"/>
        <v/>
      </c>
      <c r="BU7" t="str">
        <f t="shared" si="10"/>
        <v/>
      </c>
      <c r="BV7" t="str">
        <f t="shared" si="11"/>
        <v/>
      </c>
      <c r="BW7" t="str">
        <f t="shared" si="12"/>
        <v/>
      </c>
      <c r="BX7" t="str">
        <f t="shared" si="13"/>
        <v/>
      </c>
      <c r="BY7" t="str">
        <f t="shared" si="14"/>
        <v/>
      </c>
      <c r="BZ7">
        <f t="shared" si="15"/>
        <v>0</v>
      </c>
      <c r="CA7" t="str">
        <f t="shared" si="16"/>
        <v/>
      </c>
      <c r="CB7" t="str">
        <f t="shared" si="17"/>
        <v/>
      </c>
      <c r="CC7" t="str">
        <f t="shared" si="18"/>
        <v/>
      </c>
      <c r="CD7" t="str">
        <f t="shared" si="19"/>
        <v/>
      </c>
      <c r="CE7" t="str">
        <f t="shared" si="20"/>
        <v/>
      </c>
      <c r="CF7" t="str">
        <f t="shared" si="21"/>
        <v/>
      </c>
      <c r="CG7" t="str">
        <f t="shared" si="22"/>
        <v/>
      </c>
      <c r="CH7" t="str">
        <f t="shared" si="23"/>
        <v/>
      </c>
      <c r="CI7" t="str">
        <f t="shared" si="24"/>
        <v/>
      </c>
      <c r="CJ7" t="str">
        <f t="shared" si="25"/>
        <v/>
      </c>
      <c r="CK7" t="str">
        <f t="shared" si="26"/>
        <v/>
      </c>
      <c r="CL7" t="str">
        <f t="shared" si="27"/>
        <v/>
      </c>
    </row>
    <row r="8" spans="1:90" x14ac:dyDescent="0.15">
      <c r="A8" s="1">
        <v>38</v>
      </c>
      <c r="B8" s="1" t="s">
        <v>58</v>
      </c>
      <c r="C8" s="1" t="s">
        <v>52</v>
      </c>
      <c r="D8" s="1" t="s">
        <v>25</v>
      </c>
      <c r="E8" s="6"/>
      <c r="F8" s="6">
        <v>5</v>
      </c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>
        <v>5</v>
      </c>
      <c r="X8" s="6"/>
      <c r="Y8" s="6"/>
      <c r="Z8" s="6"/>
      <c r="AA8" s="6"/>
      <c r="AB8" s="1"/>
      <c r="AC8" s="1"/>
      <c r="AD8" s="1"/>
      <c r="AE8" s="1"/>
      <c r="AF8" s="1"/>
      <c r="AG8" s="1"/>
      <c r="AH8" s="1"/>
      <c r="AI8" s="1"/>
      <c r="AJ8" s="1"/>
      <c r="AK8" s="1"/>
      <c r="AL8" s="4"/>
      <c r="AM8" s="4"/>
      <c r="AN8" s="4"/>
      <c r="AO8" s="4"/>
      <c r="AP8" s="4"/>
      <c r="AQ8" s="4"/>
      <c r="AR8" s="2"/>
      <c r="AS8" s="2"/>
      <c r="AT8" s="2"/>
      <c r="AU8" s="2"/>
      <c r="AV8" s="2"/>
      <c r="AW8" s="2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>
        <f t="shared" si="0"/>
        <v>10</v>
      </c>
      <c r="BK8" s="1">
        <v>1</v>
      </c>
      <c r="BL8" s="17">
        <v>1</v>
      </c>
      <c r="BM8" s="17" t="s">
        <v>161</v>
      </c>
      <c r="BN8" t="str">
        <f t="shared" si="3"/>
        <v/>
      </c>
      <c r="BO8" t="str">
        <f t="shared" si="4"/>
        <v/>
      </c>
      <c r="BP8" t="str">
        <f t="shared" si="5"/>
        <v/>
      </c>
      <c r="BQ8" t="str">
        <f t="shared" si="6"/>
        <v/>
      </c>
      <c r="BR8" t="str">
        <f t="shared" si="7"/>
        <v/>
      </c>
      <c r="BS8" t="str">
        <f t="shared" si="8"/>
        <v/>
      </c>
      <c r="BT8" t="str">
        <f t="shared" si="9"/>
        <v/>
      </c>
      <c r="BU8" t="str">
        <f t="shared" si="10"/>
        <v/>
      </c>
      <c r="BV8" t="str">
        <f t="shared" si="11"/>
        <v/>
      </c>
      <c r="BW8" t="str">
        <f t="shared" si="12"/>
        <v/>
      </c>
      <c r="BX8" t="str">
        <f t="shared" si="13"/>
        <v/>
      </c>
      <c r="BY8" t="str">
        <f t="shared" si="14"/>
        <v/>
      </c>
      <c r="BZ8">
        <f t="shared" si="15"/>
        <v>0</v>
      </c>
      <c r="CA8" t="str">
        <f t="shared" si="16"/>
        <v/>
      </c>
      <c r="CB8" t="str">
        <f t="shared" si="17"/>
        <v/>
      </c>
      <c r="CC8" t="str">
        <f t="shared" si="18"/>
        <v/>
      </c>
      <c r="CD8" t="str">
        <f t="shared" si="19"/>
        <v/>
      </c>
      <c r="CE8" t="str">
        <f t="shared" si="20"/>
        <v/>
      </c>
      <c r="CF8" t="str">
        <f t="shared" si="21"/>
        <v/>
      </c>
      <c r="CG8" t="str">
        <f t="shared" si="22"/>
        <v/>
      </c>
      <c r="CH8" t="str">
        <f t="shared" si="23"/>
        <v/>
      </c>
      <c r="CI8" t="str">
        <f t="shared" si="24"/>
        <v/>
      </c>
      <c r="CJ8" t="str">
        <f t="shared" si="25"/>
        <v/>
      </c>
      <c r="CK8" t="str">
        <f t="shared" si="26"/>
        <v/>
      </c>
      <c r="CL8" t="str">
        <f t="shared" si="27"/>
        <v/>
      </c>
    </row>
    <row r="9" spans="1:90" x14ac:dyDescent="0.15">
      <c r="A9" s="1">
        <v>52</v>
      </c>
      <c r="B9" s="1" t="s">
        <v>120</v>
      </c>
      <c r="C9" s="1" t="s">
        <v>52</v>
      </c>
      <c r="D9" s="1" t="s">
        <v>24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1">
        <v>1</v>
      </c>
      <c r="AC9" s="1"/>
      <c r="AD9" s="1"/>
      <c r="AE9" s="1"/>
      <c r="AF9" s="1"/>
      <c r="AG9" s="1"/>
      <c r="AH9" s="1"/>
      <c r="AI9" s="1"/>
      <c r="AJ9" s="1"/>
      <c r="AK9" s="1"/>
      <c r="AL9" s="4"/>
      <c r="AM9" s="4"/>
      <c r="AN9" s="4"/>
      <c r="AO9" s="4"/>
      <c r="AP9" s="4"/>
      <c r="AQ9" s="4"/>
      <c r="AR9" s="2"/>
      <c r="AS9" s="2"/>
      <c r="AT9" s="2"/>
      <c r="AU9" s="2"/>
      <c r="AV9" s="2"/>
      <c r="AW9" s="2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>
        <f t="shared" si="0"/>
        <v>1</v>
      </c>
      <c r="BK9" s="1">
        <v>1</v>
      </c>
      <c r="BL9" s="17">
        <v>1</v>
      </c>
      <c r="BM9" s="17" t="s">
        <v>166</v>
      </c>
      <c r="BN9" t="str">
        <f t="shared" si="3"/>
        <v/>
      </c>
      <c r="BO9" t="str">
        <f t="shared" si="4"/>
        <v/>
      </c>
      <c r="BP9" t="str">
        <f t="shared" si="5"/>
        <v/>
      </c>
      <c r="BQ9" t="str">
        <f t="shared" si="6"/>
        <v/>
      </c>
      <c r="BR9" t="str">
        <f t="shared" si="7"/>
        <v/>
      </c>
      <c r="BS9" t="str">
        <f t="shared" si="8"/>
        <v/>
      </c>
      <c r="BT9" t="str">
        <f t="shared" si="9"/>
        <v/>
      </c>
      <c r="BU9" t="str">
        <f t="shared" si="10"/>
        <v/>
      </c>
      <c r="BV9" t="str">
        <f t="shared" si="11"/>
        <v/>
      </c>
      <c r="BW9" t="str">
        <f t="shared" si="12"/>
        <v/>
      </c>
      <c r="BX9" t="str">
        <f t="shared" si="13"/>
        <v/>
      </c>
      <c r="BY9" t="str">
        <f t="shared" si="14"/>
        <v/>
      </c>
      <c r="BZ9">
        <f t="shared" si="15"/>
        <v>0</v>
      </c>
      <c r="CA9" t="str">
        <f t="shared" si="16"/>
        <v/>
      </c>
      <c r="CB9" t="str">
        <f t="shared" si="17"/>
        <v/>
      </c>
      <c r="CC9" t="str">
        <f t="shared" si="18"/>
        <v/>
      </c>
      <c r="CD9" t="str">
        <f t="shared" si="19"/>
        <v/>
      </c>
      <c r="CE9" t="str">
        <f t="shared" si="20"/>
        <v/>
      </c>
      <c r="CF9" t="str">
        <f t="shared" si="21"/>
        <v/>
      </c>
      <c r="CG9" t="str">
        <f t="shared" si="22"/>
        <v/>
      </c>
      <c r="CH9" t="str">
        <f t="shared" si="23"/>
        <v/>
      </c>
      <c r="CI9" t="str">
        <f t="shared" si="24"/>
        <v/>
      </c>
      <c r="CJ9" t="str">
        <f t="shared" si="25"/>
        <v/>
      </c>
      <c r="CK9" t="str">
        <f t="shared" si="26"/>
        <v/>
      </c>
      <c r="CL9" t="str">
        <f t="shared" si="27"/>
        <v/>
      </c>
    </row>
    <row r="10" spans="1:90" x14ac:dyDescent="0.15">
      <c r="A10" s="1">
        <v>53</v>
      </c>
      <c r="B10" s="1" t="s">
        <v>120</v>
      </c>
      <c r="C10" s="1" t="s">
        <v>52</v>
      </c>
      <c r="D10" s="1" t="s">
        <v>1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1">
        <v>1</v>
      </c>
      <c r="AC10" s="1"/>
      <c r="AD10" s="1"/>
      <c r="AE10" s="1"/>
      <c r="AF10" s="1"/>
      <c r="AG10" s="1"/>
      <c r="AH10" s="1"/>
      <c r="AI10" s="1"/>
      <c r="AJ10" s="1"/>
      <c r="AK10" s="1"/>
      <c r="AL10" s="4"/>
      <c r="AM10" s="4"/>
      <c r="AN10" s="4"/>
      <c r="AO10" s="4"/>
      <c r="AP10" s="4"/>
      <c r="AQ10" s="4"/>
      <c r="AR10" s="2"/>
      <c r="AS10" s="2"/>
      <c r="AT10" s="2"/>
      <c r="AU10" s="2"/>
      <c r="AV10" s="2"/>
      <c r="AW10" s="2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>
        <f t="shared" si="0"/>
        <v>1</v>
      </c>
      <c r="BK10" s="1">
        <v>1</v>
      </c>
      <c r="BL10" s="17">
        <v>1</v>
      </c>
      <c r="BM10" s="17" t="s">
        <v>166</v>
      </c>
      <c r="BN10" t="str">
        <f t="shared" si="3"/>
        <v/>
      </c>
      <c r="BO10" t="str">
        <f t="shared" si="4"/>
        <v/>
      </c>
      <c r="BP10" t="str">
        <f t="shared" si="5"/>
        <v/>
      </c>
      <c r="BQ10" t="str">
        <f t="shared" si="6"/>
        <v/>
      </c>
      <c r="BR10" t="str">
        <f t="shared" si="7"/>
        <v/>
      </c>
      <c r="BS10" t="str">
        <f t="shared" si="8"/>
        <v/>
      </c>
      <c r="BT10" t="str">
        <f t="shared" si="9"/>
        <v/>
      </c>
      <c r="BU10" t="str">
        <f t="shared" si="10"/>
        <v/>
      </c>
      <c r="BV10" t="str">
        <f t="shared" si="11"/>
        <v/>
      </c>
      <c r="BW10" t="str">
        <f t="shared" si="12"/>
        <v/>
      </c>
      <c r="BX10" t="str">
        <f t="shared" si="13"/>
        <v/>
      </c>
      <c r="BY10" t="str">
        <f t="shared" si="14"/>
        <v/>
      </c>
      <c r="BZ10">
        <f t="shared" si="15"/>
        <v>0</v>
      </c>
      <c r="CA10" t="str">
        <f t="shared" si="16"/>
        <v/>
      </c>
      <c r="CB10" t="str">
        <f t="shared" si="17"/>
        <v/>
      </c>
      <c r="CC10" t="str">
        <f t="shared" si="18"/>
        <v/>
      </c>
      <c r="CD10" t="str">
        <f t="shared" si="19"/>
        <v/>
      </c>
      <c r="CE10" t="str">
        <f t="shared" si="20"/>
        <v/>
      </c>
      <c r="CF10" t="str">
        <f t="shared" si="21"/>
        <v/>
      </c>
      <c r="CG10" t="str">
        <f t="shared" si="22"/>
        <v/>
      </c>
      <c r="CH10" t="str">
        <f t="shared" si="23"/>
        <v/>
      </c>
      <c r="CI10" t="str">
        <f t="shared" si="24"/>
        <v/>
      </c>
      <c r="CJ10" t="str">
        <f t="shared" si="25"/>
        <v/>
      </c>
      <c r="CK10" t="str">
        <f t="shared" si="26"/>
        <v/>
      </c>
      <c r="CL10" t="str">
        <f t="shared" si="27"/>
        <v/>
      </c>
    </row>
    <row r="11" spans="1:90" x14ac:dyDescent="0.15">
      <c r="A11" s="1">
        <v>59</v>
      </c>
      <c r="B11" s="1" t="s">
        <v>74</v>
      </c>
      <c r="C11" s="1" t="s">
        <v>68</v>
      </c>
      <c r="D11" s="1" t="s">
        <v>24</v>
      </c>
      <c r="E11" s="6"/>
      <c r="F11" s="6"/>
      <c r="G11" s="6"/>
      <c r="H11" s="6"/>
      <c r="I11" s="6">
        <v>5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4"/>
      <c r="AM11" s="4"/>
      <c r="AN11" s="4"/>
      <c r="AO11" s="4"/>
      <c r="AP11" s="4"/>
      <c r="AQ11" s="4"/>
      <c r="AR11" s="2"/>
      <c r="AS11" s="2"/>
      <c r="AT11" s="2"/>
      <c r="AU11" s="2"/>
      <c r="AV11" s="2"/>
      <c r="AW11" s="2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>
        <f t="shared" si="0"/>
        <v>5</v>
      </c>
      <c r="BK11" s="1">
        <v>1</v>
      </c>
      <c r="BL11" s="17">
        <v>1</v>
      </c>
      <c r="BM11" s="17" t="s">
        <v>167</v>
      </c>
      <c r="BN11" t="str">
        <f t="shared" si="3"/>
        <v/>
      </c>
      <c r="BO11" t="str">
        <f t="shared" si="4"/>
        <v/>
      </c>
      <c r="BP11" t="str">
        <f t="shared" si="5"/>
        <v/>
      </c>
      <c r="BQ11" t="str">
        <f t="shared" si="6"/>
        <v/>
      </c>
      <c r="BR11" t="str">
        <f t="shared" si="7"/>
        <v/>
      </c>
      <c r="BS11" t="str">
        <f t="shared" si="8"/>
        <v/>
      </c>
      <c r="BT11" t="str">
        <f t="shared" si="9"/>
        <v/>
      </c>
      <c r="BU11" t="str">
        <f t="shared" si="10"/>
        <v/>
      </c>
      <c r="BV11" t="str">
        <f t="shared" si="11"/>
        <v/>
      </c>
      <c r="BW11" t="str">
        <f t="shared" si="12"/>
        <v/>
      </c>
      <c r="BX11" t="str">
        <f t="shared" si="13"/>
        <v/>
      </c>
      <c r="BY11" t="str">
        <f t="shared" si="14"/>
        <v/>
      </c>
      <c r="BZ11">
        <f>COUNTIF(BN11:BY11, "&gt;0")</f>
        <v>0</v>
      </c>
      <c r="CA11" t="str">
        <f t="shared" si="16"/>
        <v/>
      </c>
      <c r="CB11" t="str">
        <f t="shared" si="17"/>
        <v/>
      </c>
      <c r="CC11" t="str">
        <f t="shared" si="18"/>
        <v/>
      </c>
      <c r="CD11" t="str">
        <f t="shared" si="19"/>
        <v/>
      </c>
      <c r="CE11" t="str">
        <f t="shared" si="20"/>
        <v/>
      </c>
      <c r="CF11" t="str">
        <f t="shared" si="21"/>
        <v/>
      </c>
      <c r="CG11" t="str">
        <f t="shared" si="22"/>
        <v/>
      </c>
      <c r="CH11" t="str">
        <f t="shared" si="23"/>
        <v/>
      </c>
      <c r="CI11" t="str">
        <f t="shared" si="24"/>
        <v/>
      </c>
      <c r="CJ11" t="str">
        <f t="shared" si="25"/>
        <v/>
      </c>
      <c r="CK11" t="str">
        <f t="shared" si="26"/>
        <v/>
      </c>
      <c r="CL11" t="str">
        <f t="shared" si="27"/>
        <v/>
      </c>
    </row>
    <row r="12" spans="1:90" x14ac:dyDescent="0.15">
      <c r="A12" s="1">
        <v>73</v>
      </c>
      <c r="B12" s="3" t="s">
        <v>139</v>
      </c>
      <c r="C12" s="1" t="s">
        <v>68</v>
      </c>
      <c r="D12" s="1" t="s">
        <v>1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>
        <v>5</v>
      </c>
      <c r="R12" s="6"/>
      <c r="S12" s="6"/>
      <c r="T12" s="6"/>
      <c r="U12" s="6"/>
      <c r="V12" s="6"/>
      <c r="W12" s="6"/>
      <c r="X12" s="6">
        <v>5</v>
      </c>
      <c r="Y12" s="6"/>
      <c r="Z12" s="6"/>
      <c r="AA12" s="6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2"/>
      <c r="AS12" s="2"/>
      <c r="AT12" s="2"/>
      <c r="AU12" s="2"/>
      <c r="AV12" s="2"/>
      <c r="AW12" s="2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>
        <f t="shared" si="0"/>
        <v>10</v>
      </c>
      <c r="BK12" s="1">
        <v>1</v>
      </c>
      <c r="BL12" s="17">
        <v>1</v>
      </c>
      <c r="BM12" s="17" t="s">
        <v>174</v>
      </c>
      <c r="BN12" t="str">
        <f>IF(AL12&gt;AL$97, AL12-AL$97,"")</f>
        <v/>
      </c>
      <c r="BO12" t="str">
        <f t="shared" si="4"/>
        <v/>
      </c>
      <c r="BP12" t="str">
        <f t="shared" si="5"/>
        <v/>
      </c>
      <c r="BQ12" t="str">
        <f t="shared" si="6"/>
        <v/>
      </c>
      <c r="BR12" t="str">
        <f t="shared" si="7"/>
        <v/>
      </c>
      <c r="BS12" t="str">
        <f t="shared" si="8"/>
        <v/>
      </c>
      <c r="BT12" t="str">
        <f t="shared" si="9"/>
        <v/>
      </c>
      <c r="BU12" t="str">
        <f t="shared" si="10"/>
        <v/>
      </c>
      <c r="BV12" t="str">
        <f t="shared" si="11"/>
        <v/>
      </c>
      <c r="BW12" t="str">
        <f t="shared" si="12"/>
        <v/>
      </c>
      <c r="BX12" t="str">
        <f t="shared" si="13"/>
        <v/>
      </c>
      <c r="BY12" t="str">
        <f t="shared" si="14"/>
        <v/>
      </c>
      <c r="BZ12">
        <f t="shared" ref="BZ12:BZ75" si="28">COUNTIF(BN12:BY12, "&gt;0")</f>
        <v>0</v>
      </c>
      <c r="CA12" t="str">
        <f t="shared" si="16"/>
        <v/>
      </c>
      <c r="CB12" t="str">
        <f t="shared" si="17"/>
        <v/>
      </c>
      <c r="CC12" t="str">
        <f t="shared" si="18"/>
        <v/>
      </c>
      <c r="CD12" t="str">
        <f t="shared" si="19"/>
        <v/>
      </c>
      <c r="CE12" t="str">
        <f t="shared" si="20"/>
        <v/>
      </c>
      <c r="CF12" t="str">
        <f t="shared" si="21"/>
        <v/>
      </c>
      <c r="CG12" t="str">
        <f t="shared" si="22"/>
        <v/>
      </c>
      <c r="CH12" t="str">
        <f t="shared" si="23"/>
        <v/>
      </c>
      <c r="CI12" t="str">
        <f t="shared" si="24"/>
        <v/>
      </c>
      <c r="CJ12" t="str">
        <f t="shared" si="25"/>
        <v/>
      </c>
      <c r="CK12" t="str">
        <f t="shared" si="26"/>
        <v/>
      </c>
      <c r="CL12" t="str">
        <f t="shared" si="27"/>
        <v/>
      </c>
    </row>
    <row r="13" spans="1:90" x14ac:dyDescent="0.15">
      <c r="A13" s="1">
        <v>74</v>
      </c>
      <c r="B13" s="3" t="s">
        <v>140</v>
      </c>
      <c r="C13" s="1" t="s">
        <v>68</v>
      </c>
      <c r="D13" s="1" t="s">
        <v>1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>
        <v>5</v>
      </c>
      <c r="R13" s="6"/>
      <c r="S13" s="6"/>
      <c r="T13" s="6"/>
      <c r="U13" s="6"/>
      <c r="V13" s="6"/>
      <c r="W13" s="6"/>
      <c r="X13" s="6">
        <v>5</v>
      </c>
      <c r="Y13" s="6"/>
      <c r="Z13" s="6"/>
      <c r="AA13" s="6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4"/>
      <c r="AM13" s="4"/>
      <c r="AN13" s="4"/>
      <c r="AO13" s="4"/>
      <c r="AP13" s="4"/>
      <c r="AQ13" s="4"/>
      <c r="AR13" s="2"/>
      <c r="AS13" s="2"/>
      <c r="AT13" s="2"/>
      <c r="AU13" s="2"/>
      <c r="AV13" s="2"/>
      <c r="AW13" s="2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>
        <f t="shared" si="0"/>
        <v>10</v>
      </c>
      <c r="BK13" s="1">
        <v>1</v>
      </c>
      <c r="BL13" s="17">
        <v>1</v>
      </c>
      <c r="BM13" s="17" t="s">
        <v>174</v>
      </c>
      <c r="BN13" t="str">
        <f t="shared" si="3"/>
        <v/>
      </c>
      <c r="BO13" t="str">
        <f t="shared" si="4"/>
        <v/>
      </c>
      <c r="BP13" t="str">
        <f t="shared" si="5"/>
        <v/>
      </c>
      <c r="BQ13" t="str">
        <f t="shared" si="6"/>
        <v/>
      </c>
      <c r="BR13" t="str">
        <f t="shared" si="7"/>
        <v/>
      </c>
      <c r="BS13" t="str">
        <f t="shared" si="8"/>
        <v/>
      </c>
      <c r="BT13" t="str">
        <f t="shared" si="9"/>
        <v/>
      </c>
      <c r="BU13" t="str">
        <f t="shared" si="10"/>
        <v/>
      </c>
      <c r="BV13" t="str">
        <f t="shared" si="11"/>
        <v/>
      </c>
      <c r="BW13" t="str">
        <f t="shared" si="12"/>
        <v/>
      </c>
      <c r="BX13" t="str">
        <f t="shared" si="13"/>
        <v/>
      </c>
      <c r="BY13" t="str">
        <f t="shared" si="14"/>
        <v/>
      </c>
      <c r="BZ13">
        <f t="shared" si="28"/>
        <v>0</v>
      </c>
      <c r="CA13" t="str">
        <f t="shared" si="16"/>
        <v/>
      </c>
      <c r="CB13" t="str">
        <f t="shared" si="17"/>
        <v/>
      </c>
      <c r="CC13" t="str">
        <f t="shared" si="18"/>
        <v/>
      </c>
      <c r="CD13" t="str">
        <f t="shared" si="19"/>
        <v/>
      </c>
      <c r="CE13" t="str">
        <f t="shared" si="20"/>
        <v/>
      </c>
      <c r="CF13" t="str">
        <f t="shared" si="21"/>
        <v/>
      </c>
      <c r="CG13" t="str">
        <f t="shared" si="22"/>
        <v/>
      </c>
      <c r="CH13" t="str">
        <f t="shared" si="23"/>
        <v/>
      </c>
      <c r="CI13" t="str">
        <f t="shared" si="24"/>
        <v/>
      </c>
      <c r="CJ13" t="str">
        <f t="shared" si="25"/>
        <v/>
      </c>
      <c r="CK13" t="str">
        <f t="shared" si="26"/>
        <v/>
      </c>
      <c r="CL13" t="str">
        <f t="shared" si="27"/>
        <v/>
      </c>
    </row>
    <row r="14" spans="1:90" x14ac:dyDescent="0.15">
      <c r="A14" s="1">
        <v>36</v>
      </c>
      <c r="B14" s="1" t="s">
        <v>54</v>
      </c>
      <c r="C14" s="1" t="s">
        <v>52</v>
      </c>
      <c r="D14" s="1" t="s">
        <v>26</v>
      </c>
      <c r="E14" s="6"/>
      <c r="F14" s="6">
        <v>6</v>
      </c>
      <c r="G14" s="6"/>
      <c r="H14" s="6">
        <v>6</v>
      </c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4">
        <v>10</v>
      </c>
      <c r="AM14" s="4"/>
      <c r="AN14" s="4"/>
      <c r="AO14" s="4"/>
      <c r="AP14" s="4"/>
      <c r="AQ14" s="4"/>
      <c r="AR14" s="2"/>
      <c r="AS14" s="2"/>
      <c r="AT14" s="2">
        <v>10</v>
      </c>
      <c r="AU14" s="2"/>
      <c r="AV14" s="2"/>
      <c r="AW14" s="2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>
        <f t="shared" si="0"/>
        <v>32</v>
      </c>
      <c r="BK14" s="1">
        <v>2</v>
      </c>
      <c r="BL14" s="17">
        <v>1</v>
      </c>
      <c r="BM14" s="17" t="s">
        <v>160</v>
      </c>
      <c r="BN14" t="str">
        <f t="shared" si="3"/>
        <v/>
      </c>
      <c r="BO14" t="str">
        <f t="shared" si="4"/>
        <v/>
      </c>
      <c r="BP14" t="str">
        <f t="shared" si="5"/>
        <v/>
      </c>
      <c r="BQ14" t="str">
        <f t="shared" si="6"/>
        <v/>
      </c>
      <c r="BR14" t="str">
        <f t="shared" si="7"/>
        <v/>
      </c>
      <c r="BS14" t="str">
        <f t="shared" si="8"/>
        <v/>
      </c>
      <c r="BT14" t="str">
        <f t="shared" si="9"/>
        <v/>
      </c>
      <c r="BU14" t="str">
        <f t="shared" si="10"/>
        <v/>
      </c>
      <c r="BV14" t="str">
        <f t="shared" si="11"/>
        <v/>
      </c>
      <c r="BW14" t="str">
        <f t="shared" si="12"/>
        <v/>
      </c>
      <c r="BX14" t="str">
        <f t="shared" si="13"/>
        <v/>
      </c>
      <c r="BY14" t="str">
        <f t="shared" si="14"/>
        <v/>
      </c>
      <c r="BZ14">
        <f t="shared" si="28"/>
        <v>0</v>
      </c>
      <c r="CA14" t="str">
        <f t="shared" si="16"/>
        <v/>
      </c>
      <c r="CB14" t="str">
        <f t="shared" si="17"/>
        <v/>
      </c>
      <c r="CC14" t="str">
        <f t="shared" si="18"/>
        <v/>
      </c>
      <c r="CD14" t="str">
        <f t="shared" si="19"/>
        <v/>
      </c>
      <c r="CE14" t="str">
        <f t="shared" si="20"/>
        <v/>
      </c>
      <c r="CF14" t="str">
        <f t="shared" si="21"/>
        <v/>
      </c>
      <c r="CG14" t="str">
        <f t="shared" si="22"/>
        <v/>
      </c>
      <c r="CH14" t="str">
        <f t="shared" si="23"/>
        <v/>
      </c>
      <c r="CI14" t="str">
        <f t="shared" si="24"/>
        <v/>
      </c>
      <c r="CJ14" t="str">
        <f t="shared" si="25"/>
        <v/>
      </c>
      <c r="CK14" t="str">
        <f t="shared" si="26"/>
        <v/>
      </c>
      <c r="CL14" t="str">
        <f t="shared" si="27"/>
        <v/>
      </c>
    </row>
    <row r="15" spans="1:90" x14ac:dyDescent="0.15">
      <c r="A15" s="1">
        <v>40</v>
      </c>
      <c r="B15" s="1" t="s">
        <v>63</v>
      </c>
      <c r="C15" s="1" t="s">
        <v>52</v>
      </c>
      <c r="D15" s="1" t="s">
        <v>64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>
        <v>5</v>
      </c>
      <c r="P15" s="6"/>
      <c r="Q15" s="6"/>
      <c r="R15" s="6"/>
      <c r="S15" s="6"/>
      <c r="T15" s="6"/>
      <c r="U15" s="6"/>
      <c r="V15" s="6"/>
      <c r="W15" s="6">
        <v>5</v>
      </c>
      <c r="X15" s="6"/>
      <c r="Y15" s="6"/>
      <c r="Z15" s="6"/>
      <c r="AA15" s="6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4"/>
      <c r="AM15" s="4"/>
      <c r="AN15" s="4"/>
      <c r="AO15" s="4"/>
      <c r="AP15" s="4"/>
      <c r="AQ15" s="4"/>
      <c r="AR15" s="2"/>
      <c r="AS15" s="2"/>
      <c r="AT15" s="2"/>
      <c r="AU15" s="2"/>
      <c r="AV15" s="2"/>
      <c r="AW15" s="2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>
        <f t="shared" si="0"/>
        <v>10</v>
      </c>
      <c r="BK15" s="1">
        <v>2</v>
      </c>
      <c r="BL15" s="17">
        <v>1</v>
      </c>
      <c r="BM15" s="17" t="s">
        <v>162</v>
      </c>
      <c r="BN15" t="str">
        <f t="shared" si="3"/>
        <v/>
      </c>
      <c r="BO15" t="str">
        <f t="shared" si="4"/>
        <v/>
      </c>
      <c r="BP15" t="str">
        <f t="shared" si="5"/>
        <v/>
      </c>
      <c r="BQ15" t="str">
        <f t="shared" si="6"/>
        <v/>
      </c>
      <c r="BR15" t="str">
        <f t="shared" si="7"/>
        <v/>
      </c>
      <c r="BS15" t="str">
        <f t="shared" si="8"/>
        <v/>
      </c>
      <c r="BT15" t="str">
        <f t="shared" si="9"/>
        <v/>
      </c>
      <c r="BU15" t="str">
        <f t="shared" si="10"/>
        <v/>
      </c>
      <c r="BV15" t="str">
        <f t="shared" si="11"/>
        <v/>
      </c>
      <c r="BW15" t="str">
        <f t="shared" si="12"/>
        <v/>
      </c>
      <c r="BX15" t="str">
        <f t="shared" si="13"/>
        <v/>
      </c>
      <c r="BY15" t="str">
        <f t="shared" si="14"/>
        <v/>
      </c>
      <c r="BZ15">
        <f t="shared" si="28"/>
        <v>0</v>
      </c>
      <c r="CA15" t="str">
        <f t="shared" si="16"/>
        <v/>
      </c>
      <c r="CB15" t="str">
        <f t="shared" si="17"/>
        <v/>
      </c>
      <c r="CC15" t="str">
        <f t="shared" si="18"/>
        <v/>
      </c>
      <c r="CD15" t="str">
        <f t="shared" si="19"/>
        <v/>
      </c>
      <c r="CE15" t="str">
        <f t="shared" si="20"/>
        <v/>
      </c>
      <c r="CF15" t="str">
        <f t="shared" si="21"/>
        <v/>
      </c>
      <c r="CG15" t="str">
        <f t="shared" si="22"/>
        <v/>
      </c>
      <c r="CH15" t="str">
        <f t="shared" si="23"/>
        <v/>
      </c>
      <c r="CI15" t="str">
        <f t="shared" si="24"/>
        <v/>
      </c>
      <c r="CJ15" t="str">
        <f t="shared" si="25"/>
        <v/>
      </c>
      <c r="CK15" t="str">
        <f t="shared" si="26"/>
        <v/>
      </c>
      <c r="CL15" t="str">
        <f t="shared" si="27"/>
        <v/>
      </c>
    </row>
    <row r="16" spans="1:90" x14ac:dyDescent="0.15">
      <c r="A16" s="1">
        <v>43</v>
      </c>
      <c r="B16" s="1" t="s">
        <v>137</v>
      </c>
      <c r="C16" s="1" t="s">
        <v>52</v>
      </c>
      <c r="D16" s="1" t="s">
        <v>13</v>
      </c>
      <c r="E16" s="6"/>
      <c r="F16" s="6">
        <v>6</v>
      </c>
      <c r="G16" s="6"/>
      <c r="H16" s="6">
        <v>6</v>
      </c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4">
        <v>10</v>
      </c>
      <c r="AM16" s="4"/>
      <c r="AN16" s="4"/>
      <c r="AO16" s="4"/>
      <c r="AP16" s="4"/>
      <c r="AQ16" s="4"/>
      <c r="AR16" s="2"/>
      <c r="AS16" s="2"/>
      <c r="AT16" s="2"/>
      <c r="AU16" s="2">
        <v>10</v>
      </c>
      <c r="AV16" s="2"/>
      <c r="AW16" s="2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>
        <f t="shared" si="0"/>
        <v>32</v>
      </c>
      <c r="BK16" s="1">
        <v>2</v>
      </c>
      <c r="BL16" s="17">
        <v>1</v>
      </c>
      <c r="BM16" s="17" t="s">
        <v>160</v>
      </c>
      <c r="BN16" t="str">
        <f t="shared" si="3"/>
        <v/>
      </c>
      <c r="BO16" t="str">
        <f t="shared" si="4"/>
        <v/>
      </c>
      <c r="BP16" t="str">
        <f t="shared" si="5"/>
        <v/>
      </c>
      <c r="BQ16" t="str">
        <f t="shared" si="6"/>
        <v/>
      </c>
      <c r="BR16" t="str">
        <f t="shared" si="7"/>
        <v/>
      </c>
      <c r="BS16" t="str">
        <f t="shared" si="8"/>
        <v/>
      </c>
      <c r="BT16" t="str">
        <f t="shared" si="9"/>
        <v/>
      </c>
      <c r="BU16" t="str">
        <f t="shared" si="10"/>
        <v/>
      </c>
      <c r="BV16" t="str">
        <f t="shared" si="11"/>
        <v/>
      </c>
      <c r="BW16" t="str">
        <f t="shared" si="12"/>
        <v/>
      </c>
      <c r="BX16" t="str">
        <f t="shared" si="13"/>
        <v/>
      </c>
      <c r="BY16" t="str">
        <f t="shared" si="14"/>
        <v/>
      </c>
      <c r="BZ16">
        <f t="shared" si="28"/>
        <v>0</v>
      </c>
      <c r="CA16" t="str">
        <f t="shared" si="16"/>
        <v/>
      </c>
      <c r="CB16" t="str">
        <f t="shared" si="17"/>
        <v/>
      </c>
      <c r="CC16" t="str">
        <f t="shared" si="18"/>
        <v/>
      </c>
      <c r="CD16" t="str">
        <f t="shared" si="19"/>
        <v/>
      </c>
      <c r="CE16" t="str">
        <f t="shared" si="20"/>
        <v/>
      </c>
      <c r="CF16" t="str">
        <f t="shared" si="21"/>
        <v/>
      </c>
      <c r="CG16" t="str">
        <f t="shared" si="22"/>
        <v/>
      </c>
      <c r="CH16" t="str">
        <f t="shared" si="23"/>
        <v/>
      </c>
      <c r="CI16" t="str">
        <f t="shared" si="24"/>
        <v/>
      </c>
      <c r="CJ16" t="str">
        <f t="shared" si="25"/>
        <v/>
      </c>
      <c r="CK16" t="str">
        <f t="shared" si="26"/>
        <v/>
      </c>
      <c r="CL16" t="str">
        <f t="shared" si="27"/>
        <v/>
      </c>
    </row>
    <row r="17" spans="1:90" x14ac:dyDescent="0.15">
      <c r="A17" s="1">
        <v>66</v>
      </c>
      <c r="B17" s="3" t="s">
        <v>80</v>
      </c>
      <c r="C17" s="1" t="s">
        <v>68</v>
      </c>
      <c r="D17" s="1" t="s">
        <v>1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>
        <v>5</v>
      </c>
      <c r="P17" s="6"/>
      <c r="Q17" s="6">
        <v>5</v>
      </c>
      <c r="R17" s="6"/>
      <c r="S17" s="6"/>
      <c r="T17" s="6"/>
      <c r="U17" s="6"/>
      <c r="V17" s="6"/>
      <c r="W17" s="6"/>
      <c r="X17" s="6"/>
      <c r="Y17" s="6"/>
      <c r="Z17" s="6"/>
      <c r="AA17" s="6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4"/>
      <c r="AM17" s="4"/>
      <c r="AN17" s="4"/>
      <c r="AO17" s="4"/>
      <c r="AP17" s="4"/>
      <c r="AQ17" s="4"/>
      <c r="AR17" s="2"/>
      <c r="AS17" s="2"/>
      <c r="AT17" s="2"/>
      <c r="AU17" s="2"/>
      <c r="AV17" s="2"/>
      <c r="AW17" s="2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>
        <f t="shared" si="0"/>
        <v>10</v>
      </c>
      <c r="BK17" s="1">
        <v>2</v>
      </c>
      <c r="BL17" s="17">
        <v>1</v>
      </c>
      <c r="BM17" s="17" t="s">
        <v>162</v>
      </c>
      <c r="BN17" t="str">
        <f t="shared" si="3"/>
        <v/>
      </c>
      <c r="BO17" t="str">
        <f t="shared" si="4"/>
        <v/>
      </c>
      <c r="BP17" t="str">
        <f t="shared" si="5"/>
        <v/>
      </c>
      <c r="BQ17" t="str">
        <f t="shared" si="6"/>
        <v/>
      </c>
      <c r="BR17" t="str">
        <f t="shared" si="7"/>
        <v/>
      </c>
      <c r="BS17" t="str">
        <f t="shared" si="8"/>
        <v/>
      </c>
      <c r="BT17" t="str">
        <f t="shared" si="9"/>
        <v/>
      </c>
      <c r="BU17" t="str">
        <f t="shared" si="10"/>
        <v/>
      </c>
      <c r="BV17" t="str">
        <f t="shared" si="11"/>
        <v/>
      </c>
      <c r="BW17" t="str">
        <f t="shared" si="12"/>
        <v/>
      </c>
      <c r="BX17" t="str">
        <f t="shared" si="13"/>
        <v/>
      </c>
      <c r="BY17" t="str">
        <f t="shared" si="14"/>
        <v/>
      </c>
      <c r="BZ17">
        <f t="shared" si="28"/>
        <v>0</v>
      </c>
      <c r="CA17" t="str">
        <f t="shared" si="16"/>
        <v/>
      </c>
      <c r="CB17" t="str">
        <f t="shared" si="17"/>
        <v/>
      </c>
      <c r="CC17" t="str">
        <f t="shared" si="18"/>
        <v/>
      </c>
      <c r="CD17" t="str">
        <f t="shared" si="19"/>
        <v/>
      </c>
      <c r="CE17" t="str">
        <f t="shared" si="20"/>
        <v/>
      </c>
      <c r="CF17" t="str">
        <f t="shared" si="21"/>
        <v/>
      </c>
      <c r="CG17" t="str">
        <f t="shared" si="22"/>
        <v/>
      </c>
      <c r="CH17" t="str">
        <f t="shared" si="23"/>
        <v/>
      </c>
      <c r="CI17" t="str">
        <f t="shared" si="24"/>
        <v/>
      </c>
      <c r="CJ17" t="str">
        <f t="shared" si="25"/>
        <v/>
      </c>
      <c r="CK17" t="str">
        <f t="shared" si="26"/>
        <v/>
      </c>
      <c r="CL17" t="str">
        <f t="shared" si="27"/>
        <v/>
      </c>
    </row>
    <row r="18" spans="1:90" x14ac:dyDescent="0.15">
      <c r="A18" s="1">
        <v>79</v>
      </c>
      <c r="B18" s="3" t="s">
        <v>91</v>
      </c>
      <c r="C18" s="3" t="s">
        <v>87</v>
      </c>
      <c r="D18" s="1" t="s">
        <v>1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>
        <v>10</v>
      </c>
      <c r="V18" s="6"/>
      <c r="W18" s="6"/>
      <c r="X18" s="6"/>
      <c r="Y18" s="6"/>
      <c r="Z18" s="6"/>
      <c r="AA18" s="6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4"/>
      <c r="AM18" s="4"/>
      <c r="AN18" s="4"/>
      <c r="AO18" s="4">
        <v>5</v>
      </c>
      <c r="AP18" s="4"/>
      <c r="AQ18" s="4"/>
      <c r="AR18" s="2"/>
      <c r="AS18" s="2"/>
      <c r="AT18" s="2"/>
      <c r="AU18" s="2"/>
      <c r="AV18" s="2"/>
      <c r="AW18" s="2">
        <v>5</v>
      </c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>
        <f t="shared" si="0"/>
        <v>20</v>
      </c>
      <c r="BK18" s="1">
        <v>2</v>
      </c>
      <c r="BL18" s="17">
        <v>1</v>
      </c>
      <c r="BM18" s="17" t="s">
        <v>176</v>
      </c>
      <c r="BN18" t="str">
        <f t="shared" si="3"/>
        <v/>
      </c>
      <c r="BO18" t="str">
        <f t="shared" si="4"/>
        <v/>
      </c>
      <c r="BP18" t="str">
        <f t="shared" si="5"/>
        <v/>
      </c>
      <c r="BQ18">
        <f t="shared" si="6"/>
        <v>2</v>
      </c>
      <c r="BR18" t="str">
        <f t="shared" si="7"/>
        <v/>
      </c>
      <c r="BS18" t="str">
        <f t="shared" si="8"/>
        <v/>
      </c>
      <c r="BT18" t="str">
        <f t="shared" si="9"/>
        <v/>
      </c>
      <c r="BU18" t="str">
        <f t="shared" si="10"/>
        <v/>
      </c>
      <c r="BV18" t="str">
        <f t="shared" si="11"/>
        <v/>
      </c>
      <c r="BW18" t="str">
        <f t="shared" si="12"/>
        <v/>
      </c>
      <c r="BX18" t="str">
        <f t="shared" si="13"/>
        <v/>
      </c>
      <c r="BY18" t="str">
        <f t="shared" si="14"/>
        <v/>
      </c>
      <c r="BZ18">
        <f t="shared" si="28"/>
        <v>1</v>
      </c>
      <c r="CA18" t="str">
        <f t="shared" si="16"/>
        <v/>
      </c>
      <c r="CB18" t="str">
        <f t="shared" si="17"/>
        <v/>
      </c>
      <c r="CC18" t="str">
        <f t="shared" si="18"/>
        <v/>
      </c>
      <c r="CD18">
        <f t="shared" si="19"/>
        <v>2</v>
      </c>
      <c r="CE18" t="str">
        <f t="shared" si="20"/>
        <v/>
      </c>
      <c r="CF18" t="str">
        <f t="shared" si="21"/>
        <v/>
      </c>
      <c r="CG18" t="str">
        <f t="shared" si="22"/>
        <v/>
      </c>
      <c r="CH18" t="str">
        <f t="shared" si="23"/>
        <v/>
      </c>
      <c r="CI18" t="str">
        <f t="shared" si="24"/>
        <v/>
      </c>
      <c r="CJ18" t="str">
        <f t="shared" si="25"/>
        <v/>
      </c>
      <c r="CK18" t="str">
        <f t="shared" si="26"/>
        <v/>
      </c>
      <c r="CL18" t="str">
        <f t="shared" si="27"/>
        <v/>
      </c>
    </row>
    <row r="19" spans="1:90" x14ac:dyDescent="0.15">
      <c r="A19" s="1">
        <v>83</v>
      </c>
      <c r="B19" s="3" t="s">
        <v>95</v>
      </c>
      <c r="C19" s="3" t="s">
        <v>87</v>
      </c>
      <c r="D19" s="1" t="s">
        <v>1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>
        <v>5</v>
      </c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4"/>
      <c r="AM19" s="4"/>
      <c r="AN19" s="4"/>
      <c r="AO19" s="4"/>
      <c r="AP19" s="4"/>
      <c r="AQ19" s="4"/>
      <c r="AR19" s="2"/>
      <c r="AS19" s="2"/>
      <c r="AT19" s="2"/>
      <c r="AU19" s="2"/>
      <c r="AV19" s="2"/>
      <c r="AW19" s="2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>
        <f t="shared" si="0"/>
        <v>5</v>
      </c>
      <c r="BK19" s="1">
        <v>2</v>
      </c>
      <c r="BL19" s="17">
        <v>1</v>
      </c>
      <c r="BM19" s="17" t="s">
        <v>162</v>
      </c>
      <c r="BN19" t="str">
        <f t="shared" si="3"/>
        <v/>
      </c>
      <c r="BO19" t="str">
        <f t="shared" si="4"/>
        <v/>
      </c>
      <c r="BP19" t="str">
        <f t="shared" si="5"/>
        <v/>
      </c>
      <c r="BQ19" t="str">
        <f t="shared" si="6"/>
        <v/>
      </c>
      <c r="BR19" t="str">
        <f t="shared" si="7"/>
        <v/>
      </c>
      <c r="BS19" t="str">
        <f t="shared" si="8"/>
        <v/>
      </c>
      <c r="BT19" t="str">
        <f t="shared" si="9"/>
        <v/>
      </c>
      <c r="BU19" t="str">
        <f t="shared" si="10"/>
        <v/>
      </c>
      <c r="BV19" t="str">
        <f t="shared" si="11"/>
        <v/>
      </c>
      <c r="BW19" t="str">
        <f t="shared" si="12"/>
        <v/>
      </c>
      <c r="BX19" t="str">
        <f t="shared" si="13"/>
        <v/>
      </c>
      <c r="BY19" t="str">
        <f t="shared" si="14"/>
        <v/>
      </c>
      <c r="BZ19">
        <f t="shared" si="28"/>
        <v>0</v>
      </c>
      <c r="CA19" t="str">
        <f t="shared" si="16"/>
        <v/>
      </c>
      <c r="CB19" t="str">
        <f t="shared" si="17"/>
        <v/>
      </c>
      <c r="CC19" t="str">
        <f t="shared" si="18"/>
        <v/>
      </c>
      <c r="CD19" t="str">
        <f t="shared" si="19"/>
        <v/>
      </c>
      <c r="CE19" t="str">
        <f t="shared" si="20"/>
        <v/>
      </c>
      <c r="CF19" t="str">
        <f t="shared" si="21"/>
        <v/>
      </c>
      <c r="CG19" t="str">
        <f t="shared" si="22"/>
        <v/>
      </c>
      <c r="CH19" t="str">
        <f t="shared" si="23"/>
        <v/>
      </c>
      <c r="CI19" t="str">
        <f t="shared" si="24"/>
        <v/>
      </c>
      <c r="CJ19" t="str">
        <f t="shared" si="25"/>
        <v/>
      </c>
      <c r="CK19" t="str">
        <f t="shared" si="26"/>
        <v/>
      </c>
      <c r="CL19" t="str">
        <f t="shared" si="27"/>
        <v/>
      </c>
    </row>
    <row r="20" spans="1:90" x14ac:dyDescent="0.15">
      <c r="A20" s="1">
        <v>100</v>
      </c>
      <c r="B20" s="3" t="s">
        <v>99</v>
      </c>
      <c r="C20" s="3" t="s">
        <v>97</v>
      </c>
      <c r="D20" s="1" t="s">
        <v>1</v>
      </c>
      <c r="E20" s="6"/>
      <c r="F20" s="6"/>
      <c r="G20" s="6"/>
      <c r="H20" s="6"/>
      <c r="I20" s="6"/>
      <c r="J20" s="6"/>
      <c r="K20" s="6">
        <v>5</v>
      </c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4"/>
      <c r="AP20" s="4"/>
      <c r="AQ20" s="4"/>
      <c r="AR20" s="2"/>
      <c r="AS20" s="2"/>
      <c r="AT20" s="2"/>
      <c r="AU20" s="2"/>
      <c r="AV20" s="2"/>
      <c r="AW20" s="2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>
        <f t="shared" si="0"/>
        <v>5</v>
      </c>
      <c r="BK20" s="1">
        <v>2</v>
      </c>
      <c r="BL20" s="17">
        <v>1</v>
      </c>
      <c r="BM20" s="17" t="s">
        <v>186</v>
      </c>
      <c r="BN20" t="str">
        <f t="shared" si="3"/>
        <v/>
      </c>
      <c r="BO20" t="str">
        <f t="shared" si="4"/>
        <v/>
      </c>
      <c r="BP20" t="str">
        <f t="shared" si="5"/>
        <v/>
      </c>
      <c r="BQ20" t="str">
        <f t="shared" si="6"/>
        <v/>
      </c>
      <c r="BR20" t="str">
        <f t="shared" si="7"/>
        <v/>
      </c>
      <c r="BS20" t="str">
        <f t="shared" si="8"/>
        <v/>
      </c>
      <c r="BT20" t="str">
        <f t="shared" si="9"/>
        <v/>
      </c>
      <c r="BU20" t="str">
        <f t="shared" si="10"/>
        <v/>
      </c>
      <c r="BV20" t="str">
        <f t="shared" si="11"/>
        <v/>
      </c>
      <c r="BW20" t="str">
        <f t="shared" si="12"/>
        <v/>
      </c>
      <c r="BX20" t="str">
        <f t="shared" si="13"/>
        <v/>
      </c>
      <c r="BY20" t="str">
        <f t="shared" si="14"/>
        <v/>
      </c>
      <c r="BZ20">
        <f t="shared" si="28"/>
        <v>0</v>
      </c>
      <c r="CA20" t="str">
        <f t="shared" si="16"/>
        <v/>
      </c>
      <c r="CB20" t="str">
        <f t="shared" si="17"/>
        <v/>
      </c>
      <c r="CC20" t="str">
        <f t="shared" si="18"/>
        <v/>
      </c>
      <c r="CD20" t="str">
        <f t="shared" si="19"/>
        <v/>
      </c>
      <c r="CE20" t="str">
        <f t="shared" si="20"/>
        <v/>
      </c>
      <c r="CF20" t="str">
        <f t="shared" si="21"/>
        <v/>
      </c>
      <c r="CG20" t="str">
        <f t="shared" si="22"/>
        <v/>
      </c>
      <c r="CH20" t="str">
        <f t="shared" si="23"/>
        <v/>
      </c>
      <c r="CI20" t="str">
        <f t="shared" si="24"/>
        <v/>
      </c>
      <c r="CJ20" t="str">
        <f t="shared" si="25"/>
        <v/>
      </c>
      <c r="CK20" t="str">
        <f t="shared" si="26"/>
        <v/>
      </c>
      <c r="CL20" t="str">
        <f t="shared" si="27"/>
        <v/>
      </c>
    </row>
    <row r="21" spans="1:90" x14ac:dyDescent="0.15">
      <c r="A21" s="1">
        <v>10</v>
      </c>
      <c r="B21" s="1" t="s">
        <v>114</v>
      </c>
      <c r="C21" s="1" t="s">
        <v>2</v>
      </c>
      <c r="D21" s="1" t="s">
        <v>1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>
        <v>5</v>
      </c>
      <c r="U21" s="6"/>
      <c r="V21" s="6"/>
      <c r="W21" s="6"/>
      <c r="X21" s="6"/>
      <c r="Y21" s="6"/>
      <c r="Z21" s="6"/>
      <c r="AA21" s="6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4"/>
      <c r="AM21" s="4"/>
      <c r="AN21" s="4"/>
      <c r="AO21" s="4"/>
      <c r="AP21" s="4"/>
      <c r="AQ21" s="4"/>
      <c r="AR21" s="2"/>
      <c r="AS21" s="2"/>
      <c r="AT21" s="2"/>
      <c r="AU21" s="2"/>
      <c r="AV21" s="2"/>
      <c r="AW21" s="2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>
        <f t="shared" si="0"/>
        <v>5</v>
      </c>
      <c r="BK21" s="1">
        <v>3</v>
      </c>
      <c r="BL21" s="17">
        <v>1</v>
      </c>
      <c r="BM21" s="17" t="s">
        <v>148</v>
      </c>
      <c r="BN21" t="str">
        <f t="shared" si="3"/>
        <v/>
      </c>
      <c r="BO21" t="str">
        <f t="shared" si="4"/>
        <v/>
      </c>
      <c r="BP21" t="str">
        <f t="shared" si="5"/>
        <v/>
      </c>
      <c r="BQ21" t="str">
        <f t="shared" si="6"/>
        <v/>
      </c>
      <c r="BR21" t="str">
        <f t="shared" si="7"/>
        <v/>
      </c>
      <c r="BS21" t="str">
        <f t="shared" si="8"/>
        <v/>
      </c>
      <c r="BT21" t="str">
        <f t="shared" si="9"/>
        <v/>
      </c>
      <c r="BU21" t="str">
        <f t="shared" si="10"/>
        <v/>
      </c>
      <c r="BV21" t="str">
        <f t="shared" si="11"/>
        <v/>
      </c>
      <c r="BW21" t="str">
        <f t="shared" si="12"/>
        <v/>
      </c>
      <c r="BX21" t="str">
        <f t="shared" si="13"/>
        <v/>
      </c>
      <c r="BY21" t="str">
        <f t="shared" si="14"/>
        <v/>
      </c>
      <c r="BZ21">
        <f t="shared" si="28"/>
        <v>0</v>
      </c>
      <c r="CA21" t="str">
        <f t="shared" si="16"/>
        <v/>
      </c>
      <c r="CB21" t="str">
        <f t="shared" si="17"/>
        <v/>
      </c>
      <c r="CC21" t="str">
        <f t="shared" si="18"/>
        <v/>
      </c>
      <c r="CD21" t="str">
        <f t="shared" si="19"/>
        <v/>
      </c>
      <c r="CE21" t="str">
        <f t="shared" si="20"/>
        <v/>
      </c>
      <c r="CF21" t="str">
        <f t="shared" si="21"/>
        <v/>
      </c>
      <c r="CG21" t="str">
        <f t="shared" si="22"/>
        <v/>
      </c>
      <c r="CH21" t="str">
        <f t="shared" si="23"/>
        <v/>
      </c>
      <c r="CI21" t="str">
        <f t="shared" si="24"/>
        <v/>
      </c>
      <c r="CJ21" t="str">
        <f t="shared" si="25"/>
        <v/>
      </c>
      <c r="CK21" t="str">
        <f t="shared" si="26"/>
        <v/>
      </c>
      <c r="CL21" t="str">
        <f t="shared" si="27"/>
        <v/>
      </c>
    </row>
    <row r="22" spans="1:90" x14ac:dyDescent="0.15">
      <c r="A22" s="1">
        <v>16</v>
      </c>
      <c r="B22" s="1" t="s">
        <v>36</v>
      </c>
      <c r="C22" s="1" t="s">
        <v>33</v>
      </c>
      <c r="D22" s="1" t="s">
        <v>34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4"/>
      <c r="AM22" s="4"/>
      <c r="AN22" s="4">
        <v>10</v>
      </c>
      <c r="AO22" s="4"/>
      <c r="AP22" s="4"/>
      <c r="AQ22" s="4"/>
      <c r="AR22" s="2"/>
      <c r="AS22" s="2"/>
      <c r="AT22" s="2"/>
      <c r="AU22" s="2"/>
      <c r="AV22" s="2"/>
      <c r="AW22" s="2">
        <v>10</v>
      </c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>
        <f t="shared" si="0"/>
        <v>20</v>
      </c>
      <c r="BK22" s="1">
        <v>3</v>
      </c>
      <c r="BL22" s="17">
        <v>1</v>
      </c>
      <c r="BM22" s="17" t="s">
        <v>194</v>
      </c>
      <c r="BN22" t="str">
        <f t="shared" si="3"/>
        <v/>
      </c>
      <c r="BO22" t="str">
        <f t="shared" si="4"/>
        <v/>
      </c>
      <c r="BP22" t="str">
        <f t="shared" si="5"/>
        <v/>
      </c>
      <c r="BQ22" t="str">
        <f t="shared" si="6"/>
        <v/>
      </c>
      <c r="BR22" t="str">
        <f t="shared" si="7"/>
        <v/>
      </c>
      <c r="BS22" t="str">
        <f t="shared" si="8"/>
        <v/>
      </c>
      <c r="BT22" t="str">
        <f t="shared" si="9"/>
        <v/>
      </c>
      <c r="BU22" t="str">
        <f t="shared" si="10"/>
        <v/>
      </c>
      <c r="BV22" t="str">
        <f t="shared" si="11"/>
        <v/>
      </c>
      <c r="BW22" t="str">
        <f t="shared" si="12"/>
        <v/>
      </c>
      <c r="BX22" t="str">
        <f t="shared" si="13"/>
        <v/>
      </c>
      <c r="BY22">
        <f t="shared" si="14"/>
        <v>3</v>
      </c>
      <c r="BZ22">
        <f t="shared" si="28"/>
        <v>1</v>
      </c>
      <c r="CA22" t="str">
        <f t="shared" si="16"/>
        <v/>
      </c>
      <c r="CB22" t="str">
        <f t="shared" si="17"/>
        <v/>
      </c>
      <c r="CC22" t="str">
        <f t="shared" si="18"/>
        <v/>
      </c>
      <c r="CD22" t="str">
        <f t="shared" si="19"/>
        <v/>
      </c>
      <c r="CE22" t="str">
        <f t="shared" si="20"/>
        <v/>
      </c>
      <c r="CF22" t="str">
        <f t="shared" si="21"/>
        <v/>
      </c>
      <c r="CG22" t="str">
        <f t="shared" si="22"/>
        <v/>
      </c>
      <c r="CH22" t="str">
        <f t="shared" si="23"/>
        <v/>
      </c>
      <c r="CI22" t="str">
        <f t="shared" si="24"/>
        <v/>
      </c>
      <c r="CJ22" t="str">
        <f t="shared" si="25"/>
        <v/>
      </c>
      <c r="CK22" t="str">
        <f t="shared" si="26"/>
        <v/>
      </c>
      <c r="CL22">
        <f t="shared" si="27"/>
        <v>3</v>
      </c>
    </row>
    <row r="23" spans="1:90" x14ac:dyDescent="0.15">
      <c r="A23" s="1">
        <v>25</v>
      </c>
      <c r="B23" s="1" t="s">
        <v>102</v>
      </c>
      <c r="C23" s="1" t="s">
        <v>33</v>
      </c>
      <c r="D23" s="1" t="s">
        <v>1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>
        <v>5</v>
      </c>
      <c r="U23" s="6"/>
      <c r="V23" s="6"/>
      <c r="W23" s="6"/>
      <c r="X23" s="6"/>
      <c r="Y23" s="6"/>
      <c r="Z23" s="6"/>
      <c r="AA23" s="6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4"/>
      <c r="AM23" s="4"/>
      <c r="AN23" s="4"/>
      <c r="AO23" s="4"/>
      <c r="AP23" s="4"/>
      <c r="AQ23" s="4"/>
      <c r="AR23" s="2"/>
      <c r="AS23" s="2"/>
      <c r="AT23" s="2"/>
      <c r="AU23" s="2"/>
      <c r="AV23" s="2"/>
      <c r="AW23" s="2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>
        <f t="shared" si="0"/>
        <v>5</v>
      </c>
      <c r="BK23" s="1">
        <v>3</v>
      </c>
      <c r="BL23" s="17">
        <v>1</v>
      </c>
      <c r="BM23" s="17" t="s">
        <v>148</v>
      </c>
      <c r="BN23" t="str">
        <f t="shared" si="3"/>
        <v/>
      </c>
      <c r="BO23" t="str">
        <f t="shared" si="4"/>
        <v/>
      </c>
      <c r="BP23" t="str">
        <f t="shared" si="5"/>
        <v/>
      </c>
      <c r="BQ23" t="str">
        <f t="shared" si="6"/>
        <v/>
      </c>
      <c r="BR23" t="str">
        <f t="shared" si="7"/>
        <v/>
      </c>
      <c r="BS23" t="str">
        <f t="shared" si="8"/>
        <v/>
      </c>
      <c r="BT23" t="str">
        <f t="shared" si="9"/>
        <v/>
      </c>
      <c r="BU23" t="str">
        <f t="shared" si="10"/>
        <v/>
      </c>
      <c r="BV23" t="str">
        <f t="shared" si="11"/>
        <v/>
      </c>
      <c r="BW23" t="str">
        <f t="shared" si="12"/>
        <v/>
      </c>
      <c r="BX23" t="str">
        <f t="shared" si="13"/>
        <v/>
      </c>
      <c r="BY23" t="str">
        <f t="shared" si="14"/>
        <v/>
      </c>
      <c r="BZ23">
        <f t="shared" si="28"/>
        <v>0</v>
      </c>
      <c r="CA23" t="str">
        <f t="shared" si="16"/>
        <v/>
      </c>
      <c r="CB23" t="str">
        <f t="shared" si="17"/>
        <v/>
      </c>
      <c r="CC23" t="str">
        <f t="shared" si="18"/>
        <v/>
      </c>
      <c r="CD23" t="str">
        <f t="shared" si="19"/>
        <v/>
      </c>
      <c r="CE23" t="str">
        <f t="shared" si="20"/>
        <v/>
      </c>
      <c r="CF23" t="str">
        <f t="shared" si="21"/>
        <v/>
      </c>
      <c r="CG23" t="str">
        <f t="shared" si="22"/>
        <v/>
      </c>
      <c r="CH23" t="str">
        <f t="shared" si="23"/>
        <v/>
      </c>
      <c r="CI23" t="str">
        <f t="shared" si="24"/>
        <v/>
      </c>
      <c r="CJ23" t="str">
        <f t="shared" si="25"/>
        <v/>
      </c>
      <c r="CK23" t="str">
        <f t="shared" si="26"/>
        <v/>
      </c>
      <c r="CL23" t="str">
        <f t="shared" si="27"/>
        <v/>
      </c>
    </row>
    <row r="24" spans="1:90" x14ac:dyDescent="0.15">
      <c r="A24" s="1">
        <v>44</v>
      </c>
      <c r="B24" s="1" t="s">
        <v>103</v>
      </c>
      <c r="C24" s="1" t="s">
        <v>52</v>
      </c>
      <c r="D24" s="1" t="s">
        <v>1</v>
      </c>
      <c r="E24" s="6"/>
      <c r="F24" s="6"/>
      <c r="G24" s="6"/>
      <c r="H24" s="6"/>
      <c r="I24" s="6"/>
      <c r="J24" s="6"/>
      <c r="K24" s="6"/>
      <c r="L24" s="6"/>
      <c r="M24" s="6">
        <v>5</v>
      </c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4"/>
      <c r="AM24" s="4"/>
      <c r="AN24" s="4"/>
      <c r="AO24" s="4"/>
      <c r="AP24" s="4"/>
      <c r="AQ24" s="4"/>
      <c r="AR24" s="2"/>
      <c r="AS24" s="2"/>
      <c r="AT24" s="2"/>
      <c r="AU24" s="2"/>
      <c r="AV24" s="2"/>
      <c r="AW24" s="2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>
        <f t="shared" si="0"/>
        <v>5</v>
      </c>
      <c r="BK24" s="1">
        <v>3</v>
      </c>
      <c r="BL24" s="17">
        <v>1</v>
      </c>
      <c r="BM24" s="17" t="s">
        <v>163</v>
      </c>
      <c r="BN24" t="str">
        <f t="shared" si="3"/>
        <v/>
      </c>
      <c r="BO24" t="str">
        <f t="shared" si="4"/>
        <v/>
      </c>
      <c r="BP24" t="str">
        <f t="shared" si="5"/>
        <v/>
      </c>
      <c r="BQ24" t="str">
        <f t="shared" si="6"/>
        <v/>
      </c>
      <c r="BR24" t="str">
        <f t="shared" si="7"/>
        <v/>
      </c>
      <c r="BS24" t="str">
        <f t="shared" si="8"/>
        <v/>
      </c>
      <c r="BT24" t="str">
        <f t="shared" si="9"/>
        <v/>
      </c>
      <c r="BU24" t="str">
        <f t="shared" si="10"/>
        <v/>
      </c>
      <c r="BV24" t="str">
        <f t="shared" si="11"/>
        <v/>
      </c>
      <c r="BW24" t="str">
        <f t="shared" si="12"/>
        <v/>
      </c>
      <c r="BX24" t="str">
        <f t="shared" si="13"/>
        <v/>
      </c>
      <c r="BY24" t="str">
        <f t="shared" si="14"/>
        <v/>
      </c>
      <c r="BZ24">
        <f t="shared" si="28"/>
        <v>0</v>
      </c>
      <c r="CA24" t="str">
        <f t="shared" si="16"/>
        <v/>
      </c>
      <c r="CB24" t="str">
        <f t="shared" si="17"/>
        <v/>
      </c>
      <c r="CC24" t="str">
        <f t="shared" si="18"/>
        <v/>
      </c>
      <c r="CD24" t="str">
        <f t="shared" si="19"/>
        <v/>
      </c>
      <c r="CE24" t="str">
        <f t="shared" si="20"/>
        <v/>
      </c>
      <c r="CF24" t="str">
        <f t="shared" si="21"/>
        <v/>
      </c>
      <c r="CG24" t="str">
        <f t="shared" si="22"/>
        <v/>
      </c>
      <c r="CH24" t="str">
        <f t="shared" si="23"/>
        <v/>
      </c>
      <c r="CI24" t="str">
        <f t="shared" si="24"/>
        <v/>
      </c>
      <c r="CJ24" t="str">
        <f t="shared" si="25"/>
        <v/>
      </c>
      <c r="CK24" t="str">
        <f t="shared" si="26"/>
        <v/>
      </c>
      <c r="CL24" t="str">
        <f t="shared" si="27"/>
        <v/>
      </c>
    </row>
    <row r="25" spans="1:90" x14ac:dyDescent="0.15">
      <c r="A25" s="1">
        <v>46</v>
      </c>
      <c r="B25" s="1" t="s">
        <v>119</v>
      </c>
      <c r="C25" s="1" t="s">
        <v>52</v>
      </c>
      <c r="D25" s="1" t="s">
        <v>24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>
        <v>5</v>
      </c>
      <c r="S25" s="6"/>
      <c r="T25" s="6"/>
      <c r="U25" s="6"/>
      <c r="V25" s="6"/>
      <c r="W25" s="6"/>
      <c r="X25" s="6"/>
      <c r="Y25" s="6"/>
      <c r="Z25" s="6"/>
      <c r="AA25" s="6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4"/>
      <c r="AM25" s="4"/>
      <c r="AN25" s="4"/>
      <c r="AO25" s="4"/>
      <c r="AP25" s="4"/>
      <c r="AQ25" s="4"/>
      <c r="AR25" s="2"/>
      <c r="AS25" s="2"/>
      <c r="AT25" s="2"/>
      <c r="AU25" s="2"/>
      <c r="AV25" s="2"/>
      <c r="AW25" s="2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>
        <f t="shared" si="0"/>
        <v>5</v>
      </c>
      <c r="BK25" s="1">
        <v>3</v>
      </c>
      <c r="BL25" s="17">
        <v>1</v>
      </c>
      <c r="BM25" s="17" t="s">
        <v>165</v>
      </c>
      <c r="BN25" t="str">
        <f t="shared" si="3"/>
        <v/>
      </c>
      <c r="BO25" t="str">
        <f t="shared" si="4"/>
        <v/>
      </c>
      <c r="BP25" t="str">
        <f t="shared" si="5"/>
        <v/>
      </c>
      <c r="BQ25" t="str">
        <f t="shared" si="6"/>
        <v/>
      </c>
      <c r="BR25" t="str">
        <f t="shared" si="7"/>
        <v/>
      </c>
      <c r="BS25" t="str">
        <f t="shared" si="8"/>
        <v/>
      </c>
      <c r="BT25" t="str">
        <f t="shared" si="9"/>
        <v/>
      </c>
      <c r="BU25" t="str">
        <f t="shared" si="10"/>
        <v/>
      </c>
      <c r="BV25" t="str">
        <f t="shared" si="11"/>
        <v/>
      </c>
      <c r="BW25" t="str">
        <f t="shared" si="12"/>
        <v/>
      </c>
      <c r="BX25" t="str">
        <f t="shared" si="13"/>
        <v/>
      </c>
      <c r="BY25" t="str">
        <f t="shared" si="14"/>
        <v/>
      </c>
      <c r="BZ25">
        <f t="shared" si="28"/>
        <v>0</v>
      </c>
      <c r="CA25" t="str">
        <f t="shared" si="16"/>
        <v/>
      </c>
      <c r="CB25" t="str">
        <f t="shared" si="17"/>
        <v/>
      </c>
      <c r="CC25" t="str">
        <f t="shared" si="18"/>
        <v/>
      </c>
      <c r="CD25" t="str">
        <f t="shared" si="19"/>
        <v/>
      </c>
      <c r="CE25" t="str">
        <f t="shared" si="20"/>
        <v/>
      </c>
      <c r="CF25" t="str">
        <f t="shared" si="21"/>
        <v/>
      </c>
      <c r="CG25" t="str">
        <f t="shared" si="22"/>
        <v/>
      </c>
      <c r="CH25" t="str">
        <f t="shared" si="23"/>
        <v/>
      </c>
      <c r="CI25" t="str">
        <f t="shared" si="24"/>
        <v/>
      </c>
      <c r="CJ25" t="str">
        <f t="shared" si="25"/>
        <v/>
      </c>
      <c r="CK25" t="str">
        <f t="shared" si="26"/>
        <v/>
      </c>
      <c r="CL25" t="str">
        <f t="shared" si="27"/>
        <v/>
      </c>
    </row>
    <row r="26" spans="1:90" x14ac:dyDescent="0.15">
      <c r="A26" s="1">
        <v>47</v>
      </c>
      <c r="B26" s="1" t="s">
        <v>119</v>
      </c>
      <c r="C26" s="1" t="s">
        <v>52</v>
      </c>
      <c r="D26" s="1" t="s">
        <v>1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>
        <v>5</v>
      </c>
      <c r="S26" s="6"/>
      <c r="T26" s="6"/>
      <c r="U26" s="6"/>
      <c r="V26" s="6"/>
      <c r="W26" s="6"/>
      <c r="X26" s="6"/>
      <c r="Y26" s="6"/>
      <c r="Z26" s="6"/>
      <c r="AA26" s="6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4"/>
      <c r="AM26" s="4"/>
      <c r="AN26" s="4"/>
      <c r="AO26" s="4"/>
      <c r="AP26" s="4"/>
      <c r="AQ26" s="4"/>
      <c r="AR26" s="2"/>
      <c r="AS26" s="2"/>
      <c r="AT26" s="2"/>
      <c r="AU26" s="2"/>
      <c r="AV26" s="2"/>
      <c r="AW26" s="2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>
        <f t="shared" si="0"/>
        <v>5</v>
      </c>
      <c r="BK26" s="1">
        <v>3</v>
      </c>
      <c r="BL26" s="17">
        <v>1</v>
      </c>
      <c r="BM26" s="17" t="s">
        <v>165</v>
      </c>
      <c r="BN26" t="str">
        <f t="shared" si="3"/>
        <v/>
      </c>
      <c r="BO26" t="str">
        <f t="shared" si="4"/>
        <v/>
      </c>
      <c r="BP26" t="str">
        <f t="shared" si="5"/>
        <v/>
      </c>
      <c r="BQ26" t="str">
        <f t="shared" si="6"/>
        <v/>
      </c>
      <c r="BR26" t="str">
        <f t="shared" si="7"/>
        <v/>
      </c>
      <c r="BS26" t="str">
        <f t="shared" si="8"/>
        <v/>
      </c>
      <c r="BT26" t="str">
        <f t="shared" si="9"/>
        <v/>
      </c>
      <c r="BU26" t="str">
        <f t="shared" si="10"/>
        <v/>
      </c>
      <c r="BV26" t="str">
        <f t="shared" si="11"/>
        <v/>
      </c>
      <c r="BW26" t="str">
        <f t="shared" si="12"/>
        <v/>
      </c>
      <c r="BX26" t="str">
        <f t="shared" si="13"/>
        <v/>
      </c>
      <c r="BY26" t="str">
        <f t="shared" si="14"/>
        <v/>
      </c>
      <c r="BZ26">
        <f t="shared" si="28"/>
        <v>0</v>
      </c>
      <c r="CA26" t="str">
        <f t="shared" si="16"/>
        <v/>
      </c>
      <c r="CB26" t="str">
        <f t="shared" si="17"/>
        <v/>
      </c>
      <c r="CC26" t="str">
        <f t="shared" si="18"/>
        <v/>
      </c>
      <c r="CD26" t="str">
        <f t="shared" si="19"/>
        <v/>
      </c>
      <c r="CE26" t="str">
        <f t="shared" si="20"/>
        <v/>
      </c>
      <c r="CF26" t="str">
        <f t="shared" si="21"/>
        <v/>
      </c>
      <c r="CG26" t="str">
        <f t="shared" si="22"/>
        <v/>
      </c>
      <c r="CH26" t="str">
        <f t="shared" si="23"/>
        <v/>
      </c>
      <c r="CI26" t="str">
        <f t="shared" si="24"/>
        <v/>
      </c>
      <c r="CJ26" t="str">
        <f t="shared" si="25"/>
        <v/>
      </c>
      <c r="CK26" t="str">
        <f t="shared" si="26"/>
        <v/>
      </c>
      <c r="CL26" t="str">
        <f t="shared" si="27"/>
        <v/>
      </c>
    </row>
    <row r="27" spans="1:90" x14ac:dyDescent="0.15">
      <c r="A27" s="1">
        <v>50</v>
      </c>
      <c r="B27" s="1" t="s">
        <v>141</v>
      </c>
      <c r="C27" s="1" t="s">
        <v>52</v>
      </c>
      <c r="D27" s="1" t="s">
        <v>1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>
        <v>5</v>
      </c>
      <c r="S27" s="6"/>
      <c r="T27" s="6"/>
      <c r="U27" s="6"/>
      <c r="V27" s="6"/>
      <c r="W27" s="6"/>
      <c r="X27" s="6"/>
      <c r="Y27" s="6"/>
      <c r="Z27" s="6"/>
      <c r="AA27" s="6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4"/>
      <c r="AM27" s="4"/>
      <c r="AN27" s="4"/>
      <c r="AO27" s="4"/>
      <c r="AP27" s="4"/>
      <c r="AQ27" s="4"/>
      <c r="AR27" s="2"/>
      <c r="AS27" s="2"/>
      <c r="AT27" s="2"/>
      <c r="AU27" s="2"/>
      <c r="AV27" s="2"/>
      <c r="AW27" s="2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>
        <f t="shared" si="0"/>
        <v>5</v>
      </c>
      <c r="BK27" s="1">
        <v>3</v>
      </c>
      <c r="BL27" s="17">
        <v>1</v>
      </c>
      <c r="BM27" s="17" t="s">
        <v>165</v>
      </c>
      <c r="BN27" t="str">
        <f t="shared" si="3"/>
        <v/>
      </c>
      <c r="BO27" t="str">
        <f t="shared" si="4"/>
        <v/>
      </c>
      <c r="BP27" t="str">
        <f t="shared" si="5"/>
        <v/>
      </c>
      <c r="BQ27" t="str">
        <f t="shared" si="6"/>
        <v/>
      </c>
      <c r="BR27" t="str">
        <f t="shared" si="7"/>
        <v/>
      </c>
      <c r="BS27" t="str">
        <f t="shared" si="8"/>
        <v/>
      </c>
      <c r="BT27" t="str">
        <f t="shared" si="9"/>
        <v/>
      </c>
      <c r="BU27" t="str">
        <f t="shared" si="10"/>
        <v/>
      </c>
      <c r="BV27" t="str">
        <f t="shared" si="11"/>
        <v/>
      </c>
      <c r="BW27" t="str">
        <f t="shared" si="12"/>
        <v/>
      </c>
      <c r="BX27" t="str">
        <f t="shared" si="13"/>
        <v/>
      </c>
      <c r="BY27" t="str">
        <f t="shared" si="14"/>
        <v/>
      </c>
      <c r="BZ27">
        <f t="shared" si="28"/>
        <v>0</v>
      </c>
      <c r="CA27" t="str">
        <f t="shared" si="16"/>
        <v/>
      </c>
      <c r="CB27" t="str">
        <f t="shared" si="17"/>
        <v/>
      </c>
      <c r="CC27" t="str">
        <f t="shared" si="18"/>
        <v/>
      </c>
      <c r="CD27" t="str">
        <f t="shared" si="19"/>
        <v/>
      </c>
      <c r="CE27" t="str">
        <f t="shared" si="20"/>
        <v/>
      </c>
      <c r="CF27" t="str">
        <f t="shared" si="21"/>
        <v/>
      </c>
      <c r="CG27" t="str">
        <f t="shared" si="22"/>
        <v/>
      </c>
      <c r="CH27" t="str">
        <f t="shared" si="23"/>
        <v/>
      </c>
      <c r="CI27" t="str">
        <f t="shared" si="24"/>
        <v/>
      </c>
      <c r="CJ27" t="str">
        <f t="shared" si="25"/>
        <v/>
      </c>
      <c r="CK27" t="str">
        <f t="shared" si="26"/>
        <v/>
      </c>
      <c r="CL27" t="str">
        <f t="shared" si="27"/>
        <v/>
      </c>
    </row>
    <row r="28" spans="1:90" x14ac:dyDescent="0.15">
      <c r="A28" s="1">
        <v>80</v>
      </c>
      <c r="B28" s="3" t="s">
        <v>92</v>
      </c>
      <c r="C28" s="3" t="s">
        <v>87</v>
      </c>
      <c r="D28" s="1" t="s">
        <v>1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4"/>
      <c r="AM28" s="4"/>
      <c r="AN28" s="4"/>
      <c r="AO28" s="4"/>
      <c r="AP28" s="4"/>
      <c r="AQ28" s="4"/>
      <c r="AR28" s="2"/>
      <c r="AS28" s="2"/>
      <c r="AT28" s="2"/>
      <c r="AU28" s="2"/>
      <c r="AV28" s="2">
        <v>10</v>
      </c>
      <c r="AW28" s="2">
        <v>10</v>
      </c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>
        <f t="shared" si="0"/>
        <v>20</v>
      </c>
      <c r="BK28" s="1">
        <v>3</v>
      </c>
      <c r="BL28" s="17">
        <v>1</v>
      </c>
      <c r="BM28" s="17" t="s">
        <v>194</v>
      </c>
      <c r="BN28" t="str">
        <f t="shared" si="3"/>
        <v/>
      </c>
      <c r="BO28" t="str">
        <f t="shared" si="4"/>
        <v/>
      </c>
      <c r="BP28" t="str">
        <f t="shared" si="5"/>
        <v/>
      </c>
      <c r="BQ28" t="str">
        <f t="shared" si="6"/>
        <v/>
      </c>
      <c r="BR28" t="str">
        <f t="shared" si="7"/>
        <v/>
      </c>
      <c r="BS28" t="str">
        <f t="shared" si="8"/>
        <v/>
      </c>
      <c r="BT28" t="str">
        <f t="shared" si="9"/>
        <v/>
      </c>
      <c r="BU28" t="str">
        <f t="shared" si="10"/>
        <v/>
      </c>
      <c r="BV28" t="str">
        <f t="shared" si="11"/>
        <v/>
      </c>
      <c r="BW28" t="str">
        <f t="shared" si="12"/>
        <v/>
      </c>
      <c r="BX28" t="str">
        <f t="shared" si="13"/>
        <v/>
      </c>
      <c r="BY28">
        <f t="shared" si="14"/>
        <v>3</v>
      </c>
      <c r="BZ28">
        <f t="shared" si="28"/>
        <v>1</v>
      </c>
      <c r="CA28" t="str">
        <f t="shared" si="16"/>
        <v/>
      </c>
      <c r="CB28" t="str">
        <f t="shared" si="17"/>
        <v/>
      </c>
      <c r="CC28" t="str">
        <f t="shared" si="18"/>
        <v/>
      </c>
      <c r="CD28" t="str">
        <f t="shared" si="19"/>
        <v/>
      </c>
      <c r="CE28" t="str">
        <f t="shared" si="20"/>
        <v/>
      </c>
      <c r="CF28" t="str">
        <f t="shared" si="21"/>
        <v/>
      </c>
      <c r="CG28" t="str">
        <f t="shared" si="22"/>
        <v/>
      </c>
      <c r="CH28" t="str">
        <f t="shared" si="23"/>
        <v/>
      </c>
      <c r="CI28" t="str">
        <f t="shared" si="24"/>
        <v/>
      </c>
      <c r="CJ28" t="str">
        <f t="shared" si="25"/>
        <v/>
      </c>
      <c r="CK28" t="str">
        <f t="shared" si="26"/>
        <v/>
      </c>
      <c r="CL28">
        <f t="shared" si="27"/>
        <v>3</v>
      </c>
    </row>
    <row r="29" spans="1:90" x14ac:dyDescent="0.15">
      <c r="A29" s="1">
        <v>94</v>
      </c>
      <c r="B29" s="3" t="s">
        <v>128</v>
      </c>
      <c r="C29" s="3" t="s">
        <v>97</v>
      </c>
      <c r="D29" s="1" t="s">
        <v>1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4"/>
      <c r="AM29" s="4"/>
      <c r="AN29" s="4"/>
      <c r="AO29" s="4"/>
      <c r="AP29" s="4"/>
      <c r="AQ29" s="4"/>
      <c r="AR29" s="2"/>
      <c r="AS29" s="2"/>
      <c r="AT29" s="2"/>
      <c r="AU29" s="2"/>
      <c r="AV29" s="2">
        <v>10</v>
      </c>
      <c r="AW29" s="2">
        <v>10</v>
      </c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>
        <f t="shared" si="0"/>
        <v>20</v>
      </c>
      <c r="BK29" s="1">
        <v>3</v>
      </c>
      <c r="BL29" s="17">
        <v>1</v>
      </c>
      <c r="BM29" s="17" t="s">
        <v>194</v>
      </c>
      <c r="BN29" t="str">
        <f t="shared" si="3"/>
        <v/>
      </c>
      <c r="BO29" t="str">
        <f t="shared" si="4"/>
        <v/>
      </c>
      <c r="BP29" t="str">
        <f t="shared" si="5"/>
        <v/>
      </c>
      <c r="BQ29" t="str">
        <f t="shared" si="6"/>
        <v/>
      </c>
      <c r="BR29" t="str">
        <f t="shared" si="7"/>
        <v/>
      </c>
      <c r="BS29" t="str">
        <f t="shared" si="8"/>
        <v/>
      </c>
      <c r="BT29" t="str">
        <f t="shared" si="9"/>
        <v/>
      </c>
      <c r="BU29" t="str">
        <f t="shared" si="10"/>
        <v/>
      </c>
      <c r="BV29" t="str">
        <f t="shared" si="11"/>
        <v/>
      </c>
      <c r="BW29" t="str">
        <f t="shared" si="12"/>
        <v/>
      </c>
      <c r="BX29" t="str">
        <f t="shared" si="13"/>
        <v/>
      </c>
      <c r="BY29">
        <f t="shared" si="14"/>
        <v>3</v>
      </c>
      <c r="BZ29">
        <f t="shared" si="28"/>
        <v>1</v>
      </c>
      <c r="CA29" t="str">
        <f t="shared" si="16"/>
        <v/>
      </c>
      <c r="CB29" t="str">
        <f t="shared" si="17"/>
        <v/>
      </c>
      <c r="CC29" t="str">
        <f t="shared" si="18"/>
        <v/>
      </c>
      <c r="CD29" t="str">
        <f t="shared" si="19"/>
        <v/>
      </c>
      <c r="CE29" t="str">
        <f t="shared" si="20"/>
        <v/>
      </c>
      <c r="CF29" t="str">
        <f t="shared" si="21"/>
        <v/>
      </c>
      <c r="CG29" t="str">
        <f t="shared" si="22"/>
        <v/>
      </c>
      <c r="CH29" t="str">
        <f t="shared" si="23"/>
        <v/>
      </c>
      <c r="CI29" t="str">
        <f t="shared" si="24"/>
        <v/>
      </c>
      <c r="CJ29" t="str">
        <f t="shared" si="25"/>
        <v/>
      </c>
      <c r="CK29" t="str">
        <f t="shared" si="26"/>
        <v/>
      </c>
      <c r="CL29">
        <f t="shared" si="27"/>
        <v>3</v>
      </c>
    </row>
    <row r="30" spans="1:90" x14ac:dyDescent="0.15">
      <c r="A30" s="1">
        <v>96</v>
      </c>
      <c r="B30" s="3" t="s">
        <v>96</v>
      </c>
      <c r="C30" s="3" t="s">
        <v>97</v>
      </c>
      <c r="D30" s="1" t="s">
        <v>1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4"/>
      <c r="AM30" s="4"/>
      <c r="AN30" s="4"/>
      <c r="AO30" s="4"/>
      <c r="AP30" s="4"/>
      <c r="AQ30" s="4"/>
      <c r="AR30" s="2"/>
      <c r="AS30" s="2"/>
      <c r="AT30" s="2"/>
      <c r="AU30" s="2"/>
      <c r="AV30" s="2">
        <v>10</v>
      </c>
      <c r="AW30" s="2">
        <v>10</v>
      </c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>
        <f t="shared" si="0"/>
        <v>20</v>
      </c>
      <c r="BK30" s="1">
        <v>3</v>
      </c>
      <c r="BL30" s="17">
        <v>1</v>
      </c>
      <c r="BM30" s="17" t="s">
        <v>194</v>
      </c>
      <c r="BN30" t="str">
        <f t="shared" si="3"/>
        <v/>
      </c>
      <c r="BO30" t="str">
        <f t="shared" si="4"/>
        <v/>
      </c>
      <c r="BP30" t="str">
        <f t="shared" si="5"/>
        <v/>
      </c>
      <c r="BQ30" t="str">
        <f t="shared" si="6"/>
        <v/>
      </c>
      <c r="BR30" t="str">
        <f t="shared" si="7"/>
        <v/>
      </c>
      <c r="BS30" t="str">
        <f t="shared" si="8"/>
        <v/>
      </c>
      <c r="BT30" t="str">
        <f t="shared" si="9"/>
        <v/>
      </c>
      <c r="BU30" t="str">
        <f t="shared" si="10"/>
        <v/>
      </c>
      <c r="BV30" t="str">
        <f t="shared" si="11"/>
        <v/>
      </c>
      <c r="BW30" t="str">
        <f t="shared" si="12"/>
        <v/>
      </c>
      <c r="BX30" t="str">
        <f t="shared" si="13"/>
        <v/>
      </c>
      <c r="BY30">
        <f t="shared" si="14"/>
        <v>3</v>
      </c>
      <c r="BZ30">
        <f t="shared" si="28"/>
        <v>1</v>
      </c>
      <c r="CA30" t="str">
        <f t="shared" si="16"/>
        <v/>
      </c>
      <c r="CB30" t="str">
        <f t="shared" si="17"/>
        <v/>
      </c>
      <c r="CC30" t="str">
        <f t="shared" si="18"/>
        <v/>
      </c>
      <c r="CD30" t="str">
        <f t="shared" si="19"/>
        <v/>
      </c>
      <c r="CE30" t="str">
        <f t="shared" si="20"/>
        <v/>
      </c>
      <c r="CF30" t="str">
        <f t="shared" si="21"/>
        <v/>
      </c>
      <c r="CG30" t="str">
        <f t="shared" si="22"/>
        <v/>
      </c>
      <c r="CH30" t="str">
        <f t="shared" si="23"/>
        <v/>
      </c>
      <c r="CI30" t="str">
        <f t="shared" si="24"/>
        <v/>
      </c>
      <c r="CJ30" t="str">
        <f t="shared" si="25"/>
        <v/>
      </c>
      <c r="CK30" t="str">
        <f t="shared" si="26"/>
        <v/>
      </c>
      <c r="CL30">
        <f t="shared" si="27"/>
        <v>3</v>
      </c>
    </row>
    <row r="31" spans="1:90" x14ac:dyDescent="0.15">
      <c r="A31" s="1">
        <v>7</v>
      </c>
      <c r="B31" s="1" t="s">
        <v>62</v>
      </c>
      <c r="C31" s="1" t="s">
        <v>2</v>
      </c>
      <c r="D31" s="1" t="s">
        <v>25</v>
      </c>
      <c r="E31" s="6"/>
      <c r="F31" s="6"/>
      <c r="G31" s="6">
        <v>5</v>
      </c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4"/>
      <c r="AM31" s="4"/>
      <c r="AN31" s="4"/>
      <c r="AO31" s="4"/>
      <c r="AP31" s="4"/>
      <c r="AQ31" s="4"/>
      <c r="AR31" s="2"/>
      <c r="AS31" s="2"/>
      <c r="AT31" s="2"/>
      <c r="AU31" s="2"/>
      <c r="AV31" s="2"/>
      <c r="AW31" s="2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>
        <f t="shared" si="0"/>
        <v>5</v>
      </c>
      <c r="BK31" s="1">
        <v>4</v>
      </c>
      <c r="BL31" s="17">
        <v>1</v>
      </c>
      <c r="BM31" s="17" t="s">
        <v>146</v>
      </c>
      <c r="BN31" t="str">
        <f t="shared" si="3"/>
        <v/>
      </c>
      <c r="BO31" t="str">
        <f t="shared" si="4"/>
        <v/>
      </c>
      <c r="BP31" t="str">
        <f t="shared" si="5"/>
        <v/>
      </c>
      <c r="BQ31" t="str">
        <f t="shared" si="6"/>
        <v/>
      </c>
      <c r="BR31" t="str">
        <f t="shared" si="7"/>
        <v/>
      </c>
      <c r="BS31" t="str">
        <f t="shared" si="8"/>
        <v/>
      </c>
      <c r="BT31" t="str">
        <f t="shared" si="9"/>
        <v/>
      </c>
      <c r="BU31" t="str">
        <f t="shared" si="10"/>
        <v/>
      </c>
      <c r="BV31" t="str">
        <f t="shared" si="11"/>
        <v/>
      </c>
      <c r="BW31" t="str">
        <f t="shared" si="12"/>
        <v/>
      </c>
      <c r="BX31" t="str">
        <f t="shared" si="13"/>
        <v/>
      </c>
      <c r="BY31" t="str">
        <f t="shared" si="14"/>
        <v/>
      </c>
      <c r="BZ31">
        <f t="shared" si="28"/>
        <v>0</v>
      </c>
      <c r="CA31" t="str">
        <f t="shared" si="16"/>
        <v/>
      </c>
      <c r="CB31" t="str">
        <f t="shared" si="17"/>
        <v/>
      </c>
      <c r="CC31" t="str">
        <f t="shared" si="18"/>
        <v/>
      </c>
      <c r="CD31" t="str">
        <f t="shared" si="19"/>
        <v/>
      </c>
      <c r="CE31" t="str">
        <f t="shared" si="20"/>
        <v/>
      </c>
      <c r="CF31" t="str">
        <f t="shared" si="21"/>
        <v/>
      </c>
      <c r="CG31" t="str">
        <f t="shared" si="22"/>
        <v/>
      </c>
      <c r="CH31" t="str">
        <f t="shared" si="23"/>
        <v/>
      </c>
      <c r="CI31" t="str">
        <f t="shared" si="24"/>
        <v/>
      </c>
      <c r="CJ31" t="str">
        <f t="shared" si="25"/>
        <v/>
      </c>
      <c r="CK31" t="str">
        <f t="shared" si="26"/>
        <v/>
      </c>
      <c r="CL31" t="str">
        <f t="shared" si="27"/>
        <v/>
      </c>
    </row>
    <row r="32" spans="1:90" x14ac:dyDescent="0.15">
      <c r="A32" s="1">
        <v>22</v>
      </c>
      <c r="B32" s="1" t="s">
        <v>42</v>
      </c>
      <c r="C32" s="1" t="s">
        <v>33</v>
      </c>
      <c r="D32" s="1" t="s">
        <v>26</v>
      </c>
      <c r="E32" s="6"/>
      <c r="F32" s="6"/>
      <c r="G32" s="6">
        <v>5</v>
      </c>
      <c r="H32" s="6">
        <v>5</v>
      </c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4"/>
      <c r="AM32" s="4"/>
      <c r="AN32" s="4">
        <v>5</v>
      </c>
      <c r="AO32" s="4"/>
      <c r="AP32" s="4"/>
      <c r="AQ32" s="4"/>
      <c r="AR32" s="2"/>
      <c r="AS32" s="2"/>
      <c r="AT32" s="2"/>
      <c r="AU32" s="2"/>
      <c r="AV32" s="2"/>
      <c r="AW32" s="2">
        <v>5</v>
      </c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>
        <f t="shared" si="0"/>
        <v>20</v>
      </c>
      <c r="BK32" s="1">
        <v>4</v>
      </c>
      <c r="BL32" s="17">
        <v>1</v>
      </c>
      <c r="BM32" s="17" t="s">
        <v>146</v>
      </c>
      <c r="BN32" t="str">
        <f t="shared" si="3"/>
        <v/>
      </c>
      <c r="BO32" t="str">
        <f t="shared" si="4"/>
        <v/>
      </c>
      <c r="BP32" t="str">
        <f t="shared" si="5"/>
        <v/>
      </c>
      <c r="BQ32" t="str">
        <f t="shared" si="6"/>
        <v/>
      </c>
      <c r="BR32" t="str">
        <f t="shared" si="7"/>
        <v/>
      </c>
      <c r="BS32" t="str">
        <f t="shared" si="8"/>
        <v/>
      </c>
      <c r="BT32" t="str">
        <f t="shared" si="9"/>
        <v/>
      </c>
      <c r="BU32" t="str">
        <f t="shared" si="10"/>
        <v/>
      </c>
      <c r="BV32" t="str">
        <f t="shared" si="11"/>
        <v/>
      </c>
      <c r="BW32" t="str">
        <f t="shared" si="12"/>
        <v/>
      </c>
      <c r="BX32" t="str">
        <f t="shared" si="13"/>
        <v/>
      </c>
      <c r="BY32" t="str">
        <f t="shared" si="14"/>
        <v/>
      </c>
      <c r="BZ32">
        <f t="shared" si="28"/>
        <v>0</v>
      </c>
      <c r="CA32" t="str">
        <f t="shared" si="16"/>
        <v/>
      </c>
      <c r="CB32" t="str">
        <f t="shared" si="17"/>
        <v/>
      </c>
      <c r="CC32" t="str">
        <f t="shared" si="18"/>
        <v/>
      </c>
      <c r="CD32" t="str">
        <f t="shared" si="19"/>
        <v/>
      </c>
      <c r="CE32" t="str">
        <f t="shared" si="20"/>
        <v/>
      </c>
      <c r="CF32" t="str">
        <f t="shared" si="21"/>
        <v/>
      </c>
      <c r="CG32" t="str">
        <f t="shared" si="22"/>
        <v/>
      </c>
      <c r="CH32" t="str">
        <f t="shared" si="23"/>
        <v/>
      </c>
      <c r="CI32" t="str">
        <f t="shared" si="24"/>
        <v/>
      </c>
      <c r="CJ32" t="str">
        <f t="shared" si="25"/>
        <v/>
      </c>
      <c r="CK32" t="str">
        <f t="shared" si="26"/>
        <v/>
      </c>
      <c r="CL32" t="str">
        <f t="shared" si="27"/>
        <v/>
      </c>
    </row>
    <row r="33" spans="1:90" x14ac:dyDescent="0.15">
      <c r="A33" s="1">
        <v>45</v>
      </c>
      <c r="B33" s="1" t="s">
        <v>103</v>
      </c>
      <c r="C33" s="1" t="s">
        <v>52</v>
      </c>
      <c r="D33" s="1" t="s">
        <v>13</v>
      </c>
      <c r="E33" s="6">
        <v>6</v>
      </c>
      <c r="F33" s="6"/>
      <c r="G33" s="6"/>
      <c r="H33" s="6"/>
      <c r="I33" s="6"/>
      <c r="J33" s="6"/>
      <c r="K33" s="6"/>
      <c r="L33" s="6"/>
      <c r="M33" s="6">
        <v>6</v>
      </c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4">
        <v>10</v>
      </c>
      <c r="AM33" s="4"/>
      <c r="AN33" s="4"/>
      <c r="AO33" s="4"/>
      <c r="AP33" s="4"/>
      <c r="AQ33" s="4"/>
      <c r="AR33" s="2"/>
      <c r="AS33" s="2"/>
      <c r="AT33" s="2"/>
      <c r="AU33" s="2">
        <v>10</v>
      </c>
      <c r="AV33" s="2"/>
      <c r="AW33" s="2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>
        <f t="shared" si="0"/>
        <v>32</v>
      </c>
      <c r="BK33" s="1">
        <v>4</v>
      </c>
      <c r="BL33" s="17">
        <v>1</v>
      </c>
      <c r="BM33" s="17" t="s">
        <v>164</v>
      </c>
      <c r="BN33" t="str">
        <f t="shared" si="3"/>
        <v/>
      </c>
      <c r="BO33" t="str">
        <f t="shared" si="4"/>
        <v/>
      </c>
      <c r="BP33" t="str">
        <f t="shared" si="5"/>
        <v/>
      </c>
      <c r="BQ33" t="str">
        <f t="shared" si="6"/>
        <v/>
      </c>
      <c r="BR33" t="str">
        <f t="shared" si="7"/>
        <v/>
      </c>
      <c r="BS33" t="str">
        <f t="shared" si="8"/>
        <v/>
      </c>
      <c r="BT33" t="str">
        <f t="shared" si="9"/>
        <v/>
      </c>
      <c r="BU33" t="str">
        <f t="shared" si="10"/>
        <v/>
      </c>
      <c r="BV33" t="str">
        <f t="shared" si="11"/>
        <v/>
      </c>
      <c r="BW33" t="str">
        <f t="shared" si="12"/>
        <v/>
      </c>
      <c r="BX33" t="str">
        <f t="shared" si="13"/>
        <v/>
      </c>
      <c r="BY33" t="str">
        <f t="shared" si="14"/>
        <v/>
      </c>
      <c r="BZ33">
        <f t="shared" si="28"/>
        <v>0</v>
      </c>
      <c r="CA33" t="str">
        <f t="shared" si="16"/>
        <v/>
      </c>
      <c r="CB33" t="str">
        <f t="shared" si="17"/>
        <v/>
      </c>
      <c r="CC33" t="str">
        <f t="shared" si="18"/>
        <v/>
      </c>
      <c r="CD33" t="str">
        <f t="shared" si="19"/>
        <v/>
      </c>
      <c r="CE33" t="str">
        <f t="shared" si="20"/>
        <v/>
      </c>
      <c r="CF33" t="str">
        <f t="shared" si="21"/>
        <v/>
      </c>
      <c r="CG33" t="str">
        <f t="shared" si="22"/>
        <v/>
      </c>
      <c r="CH33" t="str">
        <f t="shared" si="23"/>
        <v/>
      </c>
      <c r="CI33" t="str">
        <f t="shared" si="24"/>
        <v/>
      </c>
      <c r="CJ33" t="str">
        <f t="shared" si="25"/>
        <v/>
      </c>
      <c r="CK33" t="str">
        <f t="shared" si="26"/>
        <v/>
      </c>
      <c r="CL33" t="str">
        <f t="shared" si="27"/>
        <v/>
      </c>
    </row>
    <row r="34" spans="1:90" x14ac:dyDescent="0.15">
      <c r="A34" s="1">
        <v>84</v>
      </c>
      <c r="B34" s="3" t="s">
        <v>95</v>
      </c>
      <c r="C34" s="3" t="s">
        <v>87</v>
      </c>
      <c r="D34" s="1" t="s">
        <v>13</v>
      </c>
      <c r="E34" s="6"/>
      <c r="F34" s="6"/>
      <c r="G34" s="6">
        <v>5</v>
      </c>
      <c r="H34" s="6">
        <v>5</v>
      </c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4"/>
      <c r="AM34" s="4"/>
      <c r="AN34" s="4"/>
      <c r="AO34" s="4"/>
      <c r="AP34" s="4"/>
      <c r="AQ34" s="4"/>
      <c r="AR34" s="2"/>
      <c r="AS34" s="2"/>
      <c r="AT34" s="2"/>
      <c r="AU34" s="2"/>
      <c r="AV34" s="2">
        <v>5</v>
      </c>
      <c r="AW34" s="2">
        <v>5</v>
      </c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>
        <f t="shared" ref="BJ34:BJ65" si="29">SUM(E34:BI34)</f>
        <v>20</v>
      </c>
      <c r="BK34" s="1">
        <v>4</v>
      </c>
      <c r="BL34" s="17">
        <v>1</v>
      </c>
      <c r="BM34" s="17" t="s">
        <v>146</v>
      </c>
      <c r="BN34" t="str">
        <f t="shared" si="3"/>
        <v/>
      </c>
      <c r="BO34" t="str">
        <f t="shared" si="4"/>
        <v/>
      </c>
      <c r="BP34" t="str">
        <f t="shared" si="5"/>
        <v/>
      </c>
      <c r="BQ34" t="str">
        <f t="shared" si="6"/>
        <v/>
      </c>
      <c r="BR34" t="str">
        <f t="shared" si="7"/>
        <v/>
      </c>
      <c r="BS34" t="str">
        <f t="shared" si="8"/>
        <v/>
      </c>
      <c r="BT34" t="str">
        <f t="shared" si="9"/>
        <v/>
      </c>
      <c r="BU34" t="str">
        <f t="shared" si="10"/>
        <v/>
      </c>
      <c r="BV34" t="str">
        <f t="shared" si="11"/>
        <v/>
      </c>
      <c r="BW34" t="str">
        <f t="shared" si="12"/>
        <v/>
      </c>
      <c r="BX34" t="str">
        <f t="shared" si="13"/>
        <v/>
      </c>
      <c r="BY34" t="str">
        <f t="shared" si="14"/>
        <v/>
      </c>
      <c r="BZ34">
        <f t="shared" si="28"/>
        <v>0</v>
      </c>
      <c r="CA34" t="str">
        <f t="shared" si="16"/>
        <v/>
      </c>
      <c r="CB34" t="str">
        <f t="shared" si="17"/>
        <v/>
      </c>
      <c r="CC34" t="str">
        <f t="shared" si="18"/>
        <v/>
      </c>
      <c r="CD34" t="str">
        <f t="shared" si="19"/>
        <v/>
      </c>
      <c r="CE34" t="str">
        <f t="shared" si="20"/>
        <v/>
      </c>
      <c r="CF34" t="str">
        <f t="shared" si="21"/>
        <v/>
      </c>
      <c r="CG34" t="str">
        <f t="shared" si="22"/>
        <v/>
      </c>
      <c r="CH34" t="str">
        <f t="shared" si="23"/>
        <v/>
      </c>
      <c r="CI34" t="str">
        <f t="shared" si="24"/>
        <v/>
      </c>
      <c r="CJ34" t="str">
        <f t="shared" si="25"/>
        <v/>
      </c>
      <c r="CK34" t="str">
        <f t="shared" si="26"/>
        <v/>
      </c>
      <c r="CL34" t="str">
        <f t="shared" si="27"/>
        <v/>
      </c>
    </row>
    <row r="35" spans="1:90" x14ac:dyDescent="0.15">
      <c r="A35" s="1">
        <v>17</v>
      </c>
      <c r="B35" s="1" t="s">
        <v>37</v>
      </c>
      <c r="C35" s="1" t="s">
        <v>33</v>
      </c>
      <c r="D35" s="1" t="s">
        <v>24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1"/>
      <c r="AC35" s="1">
        <v>5</v>
      </c>
      <c r="AD35" s="1"/>
      <c r="AE35" s="1"/>
      <c r="AF35" s="1"/>
      <c r="AG35" s="1"/>
      <c r="AH35" s="1"/>
      <c r="AI35" s="1"/>
      <c r="AJ35" s="1"/>
      <c r="AK35" s="1"/>
      <c r="AL35" s="4"/>
      <c r="AM35" s="4"/>
      <c r="AN35" s="4"/>
      <c r="AO35" s="4"/>
      <c r="AP35" s="4"/>
      <c r="AQ35" s="4"/>
      <c r="AR35" s="2"/>
      <c r="AS35" s="2"/>
      <c r="AT35" s="2"/>
      <c r="AU35" s="2"/>
      <c r="AV35" s="2"/>
      <c r="AW35" s="2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>
        <f t="shared" si="29"/>
        <v>5</v>
      </c>
      <c r="BK35" s="1">
        <v>5</v>
      </c>
      <c r="BL35" s="17">
        <v>1</v>
      </c>
      <c r="BM35" s="17" t="s">
        <v>150</v>
      </c>
      <c r="BN35" t="str">
        <f t="shared" si="3"/>
        <v/>
      </c>
      <c r="BO35" t="str">
        <f t="shared" si="4"/>
        <v/>
      </c>
      <c r="BP35" t="str">
        <f t="shared" si="5"/>
        <v/>
      </c>
      <c r="BQ35" t="str">
        <f t="shared" si="6"/>
        <v/>
      </c>
      <c r="BR35" t="str">
        <f t="shared" si="7"/>
        <v/>
      </c>
      <c r="BS35" t="str">
        <f t="shared" si="8"/>
        <v/>
      </c>
      <c r="BT35" t="str">
        <f t="shared" si="9"/>
        <v/>
      </c>
      <c r="BU35" t="str">
        <f t="shared" si="10"/>
        <v/>
      </c>
      <c r="BV35" t="str">
        <f t="shared" si="11"/>
        <v/>
      </c>
      <c r="BW35" t="str">
        <f t="shared" si="12"/>
        <v/>
      </c>
      <c r="BX35" t="str">
        <f t="shared" si="13"/>
        <v/>
      </c>
      <c r="BY35" t="str">
        <f t="shared" si="14"/>
        <v/>
      </c>
      <c r="BZ35">
        <f t="shared" si="28"/>
        <v>0</v>
      </c>
      <c r="CA35" t="str">
        <f t="shared" si="16"/>
        <v/>
      </c>
      <c r="CB35" t="str">
        <f t="shared" si="17"/>
        <v/>
      </c>
      <c r="CC35" t="str">
        <f t="shared" si="18"/>
        <v/>
      </c>
      <c r="CD35" t="str">
        <f t="shared" si="19"/>
        <v/>
      </c>
      <c r="CE35" t="str">
        <f t="shared" si="20"/>
        <v/>
      </c>
      <c r="CF35" t="str">
        <f t="shared" si="21"/>
        <v/>
      </c>
      <c r="CG35" t="str">
        <f t="shared" si="22"/>
        <v/>
      </c>
      <c r="CH35" t="str">
        <f t="shared" si="23"/>
        <v/>
      </c>
      <c r="CI35" t="str">
        <f t="shared" si="24"/>
        <v/>
      </c>
      <c r="CJ35" t="str">
        <f t="shared" si="25"/>
        <v/>
      </c>
      <c r="CK35" t="str">
        <f t="shared" si="26"/>
        <v/>
      </c>
      <c r="CL35" t="str">
        <f t="shared" si="27"/>
        <v/>
      </c>
    </row>
    <row r="36" spans="1:90" x14ac:dyDescent="0.15">
      <c r="A36" s="1">
        <v>18</v>
      </c>
      <c r="B36" s="1" t="s">
        <v>37</v>
      </c>
      <c r="C36" s="1" t="s">
        <v>33</v>
      </c>
      <c r="D36" s="1" t="s">
        <v>25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1"/>
      <c r="AC36" s="1"/>
      <c r="AD36" s="1">
        <v>5</v>
      </c>
      <c r="AE36" s="1"/>
      <c r="AF36" s="1"/>
      <c r="AG36" s="1"/>
      <c r="AH36" s="1"/>
      <c r="AI36" s="1"/>
      <c r="AJ36" s="1"/>
      <c r="AK36" s="1"/>
      <c r="AL36" s="4"/>
      <c r="AM36" s="4"/>
      <c r="AN36" s="4"/>
      <c r="AO36" s="4"/>
      <c r="AP36" s="4"/>
      <c r="AQ36" s="4"/>
      <c r="AR36" s="2"/>
      <c r="AS36" s="2"/>
      <c r="AT36" s="2"/>
      <c r="AU36" s="2"/>
      <c r="AV36" s="2"/>
      <c r="AW36" s="2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>
        <f t="shared" si="29"/>
        <v>5</v>
      </c>
      <c r="BK36" s="1">
        <v>5</v>
      </c>
      <c r="BL36" s="17">
        <v>1</v>
      </c>
      <c r="BM36" s="17" t="s">
        <v>151</v>
      </c>
      <c r="BN36" t="str">
        <f t="shared" si="3"/>
        <v/>
      </c>
      <c r="BO36" t="str">
        <f t="shared" si="4"/>
        <v/>
      </c>
      <c r="BP36" t="str">
        <f t="shared" si="5"/>
        <v/>
      </c>
      <c r="BQ36" t="str">
        <f t="shared" si="6"/>
        <v/>
      </c>
      <c r="BR36" t="str">
        <f t="shared" si="7"/>
        <v/>
      </c>
      <c r="BS36" t="str">
        <f t="shared" si="8"/>
        <v/>
      </c>
      <c r="BT36" t="str">
        <f t="shared" si="9"/>
        <v/>
      </c>
      <c r="BU36" t="str">
        <f t="shared" si="10"/>
        <v/>
      </c>
      <c r="BV36" t="str">
        <f t="shared" si="11"/>
        <v/>
      </c>
      <c r="BW36" t="str">
        <f t="shared" si="12"/>
        <v/>
      </c>
      <c r="BX36" t="str">
        <f t="shared" si="13"/>
        <v/>
      </c>
      <c r="BY36" t="str">
        <f t="shared" si="14"/>
        <v/>
      </c>
      <c r="BZ36">
        <f t="shared" si="28"/>
        <v>0</v>
      </c>
      <c r="CA36" t="str">
        <f t="shared" si="16"/>
        <v/>
      </c>
      <c r="CB36" t="str">
        <f t="shared" si="17"/>
        <v/>
      </c>
      <c r="CC36" t="str">
        <f t="shared" si="18"/>
        <v/>
      </c>
      <c r="CD36" t="str">
        <f t="shared" si="19"/>
        <v/>
      </c>
      <c r="CE36" t="str">
        <f t="shared" si="20"/>
        <v/>
      </c>
      <c r="CF36" t="str">
        <f t="shared" si="21"/>
        <v/>
      </c>
      <c r="CG36" t="str">
        <f t="shared" si="22"/>
        <v/>
      </c>
      <c r="CH36" t="str">
        <f t="shared" si="23"/>
        <v/>
      </c>
      <c r="CI36" t="str">
        <f t="shared" si="24"/>
        <v/>
      </c>
      <c r="CJ36" t="str">
        <f t="shared" si="25"/>
        <v/>
      </c>
      <c r="CK36" t="str">
        <f t="shared" si="26"/>
        <v/>
      </c>
      <c r="CL36" t="str">
        <f t="shared" si="27"/>
        <v/>
      </c>
    </row>
    <row r="37" spans="1:90" x14ac:dyDescent="0.15">
      <c r="A37" s="1">
        <v>19</v>
      </c>
      <c r="B37" s="1" t="s">
        <v>40</v>
      </c>
      <c r="C37" s="1" t="s">
        <v>33</v>
      </c>
      <c r="D37" s="1" t="s">
        <v>24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1"/>
      <c r="AC37" s="1"/>
      <c r="AD37" s="1">
        <v>5</v>
      </c>
      <c r="AE37" s="1"/>
      <c r="AF37" s="1"/>
      <c r="AG37" s="1"/>
      <c r="AH37" s="1"/>
      <c r="AI37" s="1"/>
      <c r="AJ37" s="1"/>
      <c r="AK37" s="1"/>
      <c r="AL37" s="4"/>
      <c r="AM37" s="4"/>
      <c r="AN37" s="4"/>
      <c r="AO37" s="4"/>
      <c r="AP37" s="4"/>
      <c r="AQ37" s="4"/>
      <c r="AR37" s="2"/>
      <c r="AS37" s="2"/>
      <c r="AT37" s="2"/>
      <c r="AU37" s="2"/>
      <c r="AV37" s="2"/>
      <c r="AW37" s="2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>
        <f t="shared" si="29"/>
        <v>5</v>
      </c>
      <c r="BK37" s="1">
        <v>5</v>
      </c>
      <c r="BL37" s="17">
        <v>1</v>
      </c>
      <c r="BM37" s="17" t="s">
        <v>151</v>
      </c>
      <c r="BN37" t="str">
        <f t="shared" si="3"/>
        <v/>
      </c>
      <c r="BO37" t="str">
        <f t="shared" si="4"/>
        <v/>
      </c>
      <c r="BP37" t="str">
        <f t="shared" si="5"/>
        <v/>
      </c>
      <c r="BQ37" t="str">
        <f t="shared" si="6"/>
        <v/>
      </c>
      <c r="BR37" t="str">
        <f t="shared" si="7"/>
        <v/>
      </c>
      <c r="BS37" t="str">
        <f t="shared" si="8"/>
        <v/>
      </c>
      <c r="BT37" t="str">
        <f t="shared" si="9"/>
        <v/>
      </c>
      <c r="BU37" t="str">
        <f t="shared" si="10"/>
        <v/>
      </c>
      <c r="BV37" t="str">
        <f t="shared" si="11"/>
        <v/>
      </c>
      <c r="BW37" t="str">
        <f t="shared" si="12"/>
        <v/>
      </c>
      <c r="BX37" t="str">
        <f t="shared" si="13"/>
        <v/>
      </c>
      <c r="BY37" t="str">
        <f t="shared" si="14"/>
        <v/>
      </c>
      <c r="BZ37">
        <f t="shared" si="28"/>
        <v>0</v>
      </c>
      <c r="CA37" t="str">
        <f t="shared" si="16"/>
        <v/>
      </c>
      <c r="CB37" t="str">
        <f t="shared" si="17"/>
        <v/>
      </c>
      <c r="CC37" t="str">
        <f t="shared" si="18"/>
        <v/>
      </c>
      <c r="CD37" t="str">
        <f t="shared" si="19"/>
        <v/>
      </c>
      <c r="CE37" t="str">
        <f t="shared" si="20"/>
        <v/>
      </c>
      <c r="CF37" t="str">
        <f t="shared" si="21"/>
        <v/>
      </c>
      <c r="CG37" t="str">
        <f t="shared" si="22"/>
        <v/>
      </c>
      <c r="CH37" t="str">
        <f t="shared" si="23"/>
        <v/>
      </c>
      <c r="CI37" t="str">
        <f t="shared" si="24"/>
        <v/>
      </c>
      <c r="CJ37" t="str">
        <f t="shared" si="25"/>
        <v/>
      </c>
      <c r="CK37" t="str">
        <f t="shared" si="26"/>
        <v/>
      </c>
      <c r="CL37" t="str">
        <f t="shared" si="27"/>
        <v/>
      </c>
    </row>
    <row r="38" spans="1:90" x14ac:dyDescent="0.15">
      <c r="A38" s="1">
        <v>29</v>
      </c>
      <c r="B38" s="1" t="s">
        <v>112</v>
      </c>
      <c r="C38" s="1" t="s">
        <v>33</v>
      </c>
      <c r="D38" s="1" t="s">
        <v>24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1"/>
      <c r="AC38" s="1"/>
      <c r="AD38" s="1"/>
      <c r="AE38" s="1"/>
      <c r="AF38" s="1"/>
      <c r="AG38" s="1"/>
      <c r="AH38" s="1">
        <v>5</v>
      </c>
      <c r="AI38" s="1"/>
      <c r="AJ38" s="1"/>
      <c r="AK38" s="1"/>
      <c r="AL38" s="4"/>
      <c r="AM38" s="4"/>
      <c r="AN38" s="4"/>
      <c r="AO38" s="4"/>
      <c r="AP38" s="4"/>
      <c r="AQ38" s="4"/>
      <c r="AR38" s="2"/>
      <c r="AS38" s="2"/>
      <c r="AT38" s="2"/>
      <c r="AU38" s="2"/>
      <c r="AV38" s="2"/>
      <c r="AW38" s="2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>
        <f t="shared" si="29"/>
        <v>5</v>
      </c>
      <c r="BK38" s="1">
        <v>5</v>
      </c>
      <c r="BL38" s="17">
        <v>1</v>
      </c>
      <c r="BM38" s="17" t="s">
        <v>157</v>
      </c>
      <c r="BN38" t="str">
        <f t="shared" si="3"/>
        <v/>
      </c>
      <c r="BO38" t="str">
        <f t="shared" si="4"/>
        <v/>
      </c>
      <c r="BP38" t="str">
        <f t="shared" si="5"/>
        <v/>
      </c>
      <c r="BQ38" t="str">
        <f t="shared" si="6"/>
        <v/>
      </c>
      <c r="BR38" t="str">
        <f t="shared" si="7"/>
        <v/>
      </c>
      <c r="BS38" t="str">
        <f t="shared" si="8"/>
        <v/>
      </c>
      <c r="BT38" t="str">
        <f t="shared" si="9"/>
        <v/>
      </c>
      <c r="BU38" t="str">
        <f t="shared" si="10"/>
        <v/>
      </c>
      <c r="BV38" t="str">
        <f t="shared" si="11"/>
        <v/>
      </c>
      <c r="BW38" t="str">
        <f t="shared" si="12"/>
        <v/>
      </c>
      <c r="BX38" t="str">
        <f t="shared" si="13"/>
        <v/>
      </c>
      <c r="BY38" t="str">
        <f t="shared" si="14"/>
        <v/>
      </c>
      <c r="BZ38">
        <f t="shared" si="28"/>
        <v>0</v>
      </c>
      <c r="CA38" t="str">
        <f t="shared" si="16"/>
        <v/>
      </c>
      <c r="CB38" t="str">
        <f t="shared" si="17"/>
        <v/>
      </c>
      <c r="CC38" t="str">
        <f t="shared" si="18"/>
        <v/>
      </c>
      <c r="CD38" t="str">
        <f t="shared" si="19"/>
        <v/>
      </c>
      <c r="CE38" t="str">
        <f t="shared" si="20"/>
        <v/>
      </c>
      <c r="CF38" t="str">
        <f t="shared" si="21"/>
        <v/>
      </c>
      <c r="CG38" t="str">
        <f t="shared" si="22"/>
        <v/>
      </c>
      <c r="CH38" t="str">
        <f t="shared" si="23"/>
        <v/>
      </c>
      <c r="CI38" t="str">
        <f t="shared" si="24"/>
        <v/>
      </c>
      <c r="CJ38" t="str">
        <f t="shared" si="25"/>
        <v/>
      </c>
      <c r="CK38" t="str">
        <f t="shared" si="26"/>
        <v/>
      </c>
      <c r="CL38" t="str">
        <f t="shared" si="27"/>
        <v/>
      </c>
    </row>
    <row r="39" spans="1:90" x14ac:dyDescent="0.15">
      <c r="A39" s="1">
        <v>30</v>
      </c>
      <c r="B39" s="1" t="s">
        <v>112</v>
      </c>
      <c r="C39" s="1" t="s">
        <v>33</v>
      </c>
      <c r="D39" s="1" t="s">
        <v>1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1"/>
      <c r="AC39" s="1"/>
      <c r="AD39" s="1"/>
      <c r="AE39" s="1"/>
      <c r="AF39" s="1"/>
      <c r="AG39" s="1"/>
      <c r="AH39" s="1">
        <v>5</v>
      </c>
      <c r="AI39" s="1"/>
      <c r="AJ39" s="1"/>
      <c r="AK39" s="1"/>
      <c r="AL39" s="4"/>
      <c r="AM39" s="4"/>
      <c r="AN39" s="4"/>
      <c r="AO39" s="4"/>
      <c r="AP39" s="4"/>
      <c r="AQ39" s="4"/>
      <c r="AR39" s="2"/>
      <c r="AS39" s="2"/>
      <c r="AT39" s="2"/>
      <c r="AU39" s="2"/>
      <c r="AV39" s="2"/>
      <c r="AW39" s="2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>
        <f t="shared" si="29"/>
        <v>5</v>
      </c>
      <c r="BK39" s="1">
        <v>5</v>
      </c>
      <c r="BL39" s="17">
        <v>1</v>
      </c>
      <c r="BM39" s="17" t="s">
        <v>157</v>
      </c>
      <c r="BN39" t="str">
        <f t="shared" si="3"/>
        <v/>
      </c>
      <c r="BO39" t="str">
        <f t="shared" si="4"/>
        <v/>
      </c>
      <c r="BP39" t="str">
        <f t="shared" si="5"/>
        <v/>
      </c>
      <c r="BQ39" t="str">
        <f t="shared" si="6"/>
        <v/>
      </c>
      <c r="BR39" t="str">
        <f t="shared" si="7"/>
        <v/>
      </c>
      <c r="BS39" t="str">
        <f t="shared" si="8"/>
        <v/>
      </c>
      <c r="BT39" t="str">
        <f t="shared" si="9"/>
        <v/>
      </c>
      <c r="BU39" t="str">
        <f t="shared" si="10"/>
        <v/>
      </c>
      <c r="BV39" t="str">
        <f t="shared" si="11"/>
        <v/>
      </c>
      <c r="BW39" t="str">
        <f t="shared" si="12"/>
        <v/>
      </c>
      <c r="BX39" t="str">
        <f t="shared" si="13"/>
        <v/>
      </c>
      <c r="BY39" t="str">
        <f t="shared" si="14"/>
        <v/>
      </c>
      <c r="BZ39">
        <f t="shared" si="28"/>
        <v>0</v>
      </c>
      <c r="CA39" t="str">
        <f t="shared" si="16"/>
        <v/>
      </c>
      <c r="CB39" t="str">
        <f t="shared" si="17"/>
        <v/>
      </c>
      <c r="CC39" t="str">
        <f t="shared" si="18"/>
        <v/>
      </c>
      <c r="CD39" t="str">
        <f t="shared" si="19"/>
        <v/>
      </c>
      <c r="CE39" t="str">
        <f t="shared" si="20"/>
        <v/>
      </c>
      <c r="CF39" t="str">
        <f t="shared" si="21"/>
        <v/>
      </c>
      <c r="CG39" t="str">
        <f t="shared" si="22"/>
        <v/>
      </c>
      <c r="CH39" t="str">
        <f t="shared" si="23"/>
        <v/>
      </c>
      <c r="CI39" t="str">
        <f t="shared" si="24"/>
        <v/>
      </c>
      <c r="CJ39" t="str">
        <f t="shared" si="25"/>
        <v/>
      </c>
      <c r="CK39" t="str">
        <f t="shared" si="26"/>
        <v/>
      </c>
      <c r="CL39" t="str">
        <f t="shared" si="27"/>
        <v/>
      </c>
    </row>
    <row r="40" spans="1:90" x14ac:dyDescent="0.15">
      <c r="A40" s="1">
        <v>32</v>
      </c>
      <c r="B40" s="1" t="s">
        <v>113</v>
      </c>
      <c r="C40" s="1" t="s">
        <v>33</v>
      </c>
      <c r="D40" s="1" t="s">
        <v>24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1"/>
      <c r="AC40" s="1"/>
      <c r="AD40" s="1"/>
      <c r="AE40" s="1"/>
      <c r="AF40" s="1">
        <v>5</v>
      </c>
      <c r="AG40" s="1"/>
      <c r="AH40" s="1"/>
      <c r="AI40" s="1"/>
      <c r="AJ40" s="1"/>
      <c r="AK40" s="1"/>
      <c r="AL40" s="4"/>
      <c r="AM40" s="4"/>
      <c r="AN40" s="4"/>
      <c r="AO40" s="4"/>
      <c r="AP40" s="4"/>
      <c r="AQ40" s="4"/>
      <c r="AR40" s="2"/>
      <c r="AS40" s="2"/>
      <c r="AT40" s="2"/>
      <c r="AU40" s="2"/>
      <c r="AV40" s="2"/>
      <c r="AW40" s="2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>
        <f t="shared" si="29"/>
        <v>5</v>
      </c>
      <c r="BK40" s="1">
        <v>5</v>
      </c>
      <c r="BL40" s="17">
        <v>1</v>
      </c>
      <c r="BM40" s="17" t="s">
        <v>158</v>
      </c>
      <c r="BN40" t="str">
        <f t="shared" si="3"/>
        <v/>
      </c>
      <c r="BO40" t="str">
        <f t="shared" si="4"/>
        <v/>
      </c>
      <c r="BP40" t="str">
        <f t="shared" si="5"/>
        <v/>
      </c>
      <c r="BQ40" t="str">
        <f t="shared" si="6"/>
        <v/>
      </c>
      <c r="BR40" t="str">
        <f t="shared" si="7"/>
        <v/>
      </c>
      <c r="BS40" t="str">
        <f t="shared" si="8"/>
        <v/>
      </c>
      <c r="BT40" t="str">
        <f t="shared" si="9"/>
        <v/>
      </c>
      <c r="BU40" t="str">
        <f t="shared" si="10"/>
        <v/>
      </c>
      <c r="BV40" t="str">
        <f t="shared" si="11"/>
        <v/>
      </c>
      <c r="BW40" t="str">
        <f t="shared" si="12"/>
        <v/>
      </c>
      <c r="BX40" t="str">
        <f t="shared" si="13"/>
        <v/>
      </c>
      <c r="BY40" t="str">
        <f t="shared" si="14"/>
        <v/>
      </c>
      <c r="BZ40">
        <f t="shared" si="28"/>
        <v>0</v>
      </c>
      <c r="CA40" t="str">
        <f t="shared" si="16"/>
        <v/>
      </c>
      <c r="CB40" t="str">
        <f t="shared" si="17"/>
        <v/>
      </c>
      <c r="CC40" t="str">
        <f t="shared" si="18"/>
        <v/>
      </c>
      <c r="CD40" t="str">
        <f t="shared" si="19"/>
        <v/>
      </c>
      <c r="CE40" t="str">
        <f t="shared" si="20"/>
        <v/>
      </c>
      <c r="CF40" t="str">
        <f t="shared" si="21"/>
        <v/>
      </c>
      <c r="CG40" t="str">
        <f t="shared" si="22"/>
        <v/>
      </c>
      <c r="CH40" t="str">
        <f t="shared" si="23"/>
        <v/>
      </c>
      <c r="CI40" t="str">
        <f t="shared" si="24"/>
        <v/>
      </c>
      <c r="CJ40" t="str">
        <f t="shared" si="25"/>
        <v/>
      </c>
      <c r="CK40" t="str">
        <f t="shared" si="26"/>
        <v/>
      </c>
      <c r="CL40" t="str">
        <f t="shared" si="27"/>
        <v/>
      </c>
    </row>
    <row r="41" spans="1:90" x14ac:dyDescent="0.15">
      <c r="A41" s="1">
        <v>33</v>
      </c>
      <c r="B41" s="1" t="s">
        <v>113</v>
      </c>
      <c r="C41" s="1" t="s">
        <v>33</v>
      </c>
      <c r="D41" s="1" t="s">
        <v>1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1"/>
      <c r="AC41" s="1"/>
      <c r="AD41" s="1"/>
      <c r="AE41" s="1">
        <v>5</v>
      </c>
      <c r="AF41" s="1"/>
      <c r="AG41" s="1"/>
      <c r="AH41" s="1"/>
      <c r="AI41" s="1"/>
      <c r="AJ41" s="1"/>
      <c r="AK41" s="1"/>
      <c r="AL41" s="4"/>
      <c r="AM41" s="4"/>
      <c r="AN41" s="4"/>
      <c r="AO41" s="4"/>
      <c r="AP41" s="4"/>
      <c r="AQ41" s="4"/>
      <c r="AR41" s="2"/>
      <c r="AS41" s="2"/>
      <c r="AT41" s="2"/>
      <c r="AU41" s="2"/>
      <c r="AV41" s="2"/>
      <c r="AW41" s="2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>
        <f t="shared" si="29"/>
        <v>5</v>
      </c>
      <c r="BK41" s="1">
        <v>5</v>
      </c>
      <c r="BL41" s="17">
        <v>1</v>
      </c>
      <c r="BM41" s="17" t="s">
        <v>159</v>
      </c>
      <c r="BN41" t="str">
        <f t="shared" si="3"/>
        <v/>
      </c>
      <c r="BO41" t="str">
        <f t="shared" si="4"/>
        <v/>
      </c>
      <c r="BP41" t="str">
        <f t="shared" si="5"/>
        <v/>
      </c>
      <c r="BQ41" t="str">
        <f t="shared" si="6"/>
        <v/>
      </c>
      <c r="BR41" t="str">
        <f t="shared" si="7"/>
        <v/>
      </c>
      <c r="BS41" t="str">
        <f t="shared" si="8"/>
        <v/>
      </c>
      <c r="BT41" t="str">
        <f t="shared" si="9"/>
        <v/>
      </c>
      <c r="BU41" t="str">
        <f t="shared" si="10"/>
        <v/>
      </c>
      <c r="BV41" t="str">
        <f t="shared" si="11"/>
        <v/>
      </c>
      <c r="BW41" t="str">
        <f t="shared" si="12"/>
        <v/>
      </c>
      <c r="BX41" t="str">
        <f t="shared" si="13"/>
        <v/>
      </c>
      <c r="BY41" t="str">
        <f t="shared" si="14"/>
        <v/>
      </c>
      <c r="BZ41">
        <f t="shared" si="28"/>
        <v>0</v>
      </c>
      <c r="CA41" t="str">
        <f t="shared" si="16"/>
        <v/>
      </c>
      <c r="CB41" t="str">
        <f t="shared" si="17"/>
        <v/>
      </c>
      <c r="CC41" t="str">
        <f t="shared" si="18"/>
        <v/>
      </c>
      <c r="CD41" t="str">
        <f t="shared" si="19"/>
        <v/>
      </c>
      <c r="CE41" t="str">
        <f t="shared" si="20"/>
        <v/>
      </c>
      <c r="CF41" t="str">
        <f t="shared" si="21"/>
        <v/>
      </c>
      <c r="CG41" t="str">
        <f t="shared" si="22"/>
        <v/>
      </c>
      <c r="CH41" t="str">
        <f t="shared" si="23"/>
        <v/>
      </c>
      <c r="CI41" t="str">
        <f t="shared" si="24"/>
        <v/>
      </c>
      <c r="CJ41" t="str">
        <f t="shared" si="25"/>
        <v/>
      </c>
      <c r="CK41" t="str">
        <f t="shared" si="26"/>
        <v/>
      </c>
      <c r="CL41" t="str">
        <f t="shared" si="27"/>
        <v/>
      </c>
    </row>
    <row r="42" spans="1:90" x14ac:dyDescent="0.15">
      <c r="A42" s="1">
        <v>61</v>
      </c>
      <c r="B42" s="1" t="s">
        <v>76</v>
      </c>
      <c r="C42" s="1" t="s">
        <v>68</v>
      </c>
      <c r="D42" s="1" t="s">
        <v>24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1"/>
      <c r="AC42" s="1"/>
      <c r="AD42" s="1"/>
      <c r="AE42" s="1"/>
      <c r="AF42" s="1"/>
      <c r="AG42" s="1"/>
      <c r="AH42" s="1"/>
      <c r="AI42" s="1"/>
      <c r="AJ42" s="1">
        <v>5</v>
      </c>
      <c r="AK42" s="1"/>
      <c r="AL42" s="4"/>
      <c r="AM42" s="4"/>
      <c r="AN42" s="4"/>
      <c r="AO42" s="4"/>
      <c r="AP42" s="4"/>
      <c r="AQ42" s="4"/>
      <c r="AR42" s="2"/>
      <c r="AS42" s="2"/>
      <c r="AT42" s="2"/>
      <c r="AU42" s="2"/>
      <c r="AV42" s="2"/>
      <c r="AW42" s="2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>
        <f t="shared" si="29"/>
        <v>5</v>
      </c>
      <c r="BK42" s="1">
        <v>5</v>
      </c>
      <c r="BL42" s="17">
        <v>1</v>
      </c>
      <c r="BM42" s="17" t="s">
        <v>169</v>
      </c>
      <c r="BN42" t="str">
        <f t="shared" si="3"/>
        <v/>
      </c>
      <c r="BO42" t="str">
        <f t="shared" si="4"/>
        <v/>
      </c>
      <c r="BP42" t="str">
        <f t="shared" si="5"/>
        <v/>
      </c>
      <c r="BQ42" t="str">
        <f t="shared" si="6"/>
        <v/>
      </c>
      <c r="BR42" t="str">
        <f t="shared" si="7"/>
        <v/>
      </c>
      <c r="BS42" t="str">
        <f t="shared" si="8"/>
        <v/>
      </c>
      <c r="BT42" t="str">
        <f t="shared" si="9"/>
        <v/>
      </c>
      <c r="BU42" t="str">
        <f t="shared" si="10"/>
        <v/>
      </c>
      <c r="BV42" t="str">
        <f t="shared" si="11"/>
        <v/>
      </c>
      <c r="BW42" t="str">
        <f t="shared" si="12"/>
        <v/>
      </c>
      <c r="BX42" t="str">
        <f t="shared" si="13"/>
        <v/>
      </c>
      <c r="BY42" t="str">
        <f t="shared" si="14"/>
        <v/>
      </c>
      <c r="BZ42">
        <f t="shared" si="28"/>
        <v>0</v>
      </c>
      <c r="CA42" t="str">
        <f t="shared" si="16"/>
        <v/>
      </c>
      <c r="CB42" t="str">
        <f t="shared" si="17"/>
        <v/>
      </c>
      <c r="CC42" t="str">
        <f t="shared" si="18"/>
        <v/>
      </c>
      <c r="CD42" t="str">
        <f t="shared" si="19"/>
        <v/>
      </c>
      <c r="CE42" t="str">
        <f t="shared" si="20"/>
        <v/>
      </c>
      <c r="CF42" t="str">
        <f t="shared" si="21"/>
        <v/>
      </c>
      <c r="CG42" t="str">
        <f t="shared" si="22"/>
        <v/>
      </c>
      <c r="CH42" t="str">
        <f t="shared" si="23"/>
        <v/>
      </c>
      <c r="CI42" t="str">
        <f t="shared" si="24"/>
        <v/>
      </c>
      <c r="CJ42" t="str">
        <f t="shared" si="25"/>
        <v/>
      </c>
      <c r="CK42" t="str">
        <f t="shared" si="26"/>
        <v/>
      </c>
      <c r="CL42" t="str">
        <f t="shared" si="27"/>
        <v/>
      </c>
    </row>
    <row r="43" spans="1:90" x14ac:dyDescent="0.15">
      <c r="A43" s="1">
        <v>63</v>
      </c>
      <c r="B43" s="3" t="s">
        <v>78</v>
      </c>
      <c r="C43" s="1" t="s">
        <v>68</v>
      </c>
      <c r="D43" s="1" t="s">
        <v>24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1"/>
      <c r="AC43" s="1"/>
      <c r="AD43" s="1"/>
      <c r="AE43" s="1"/>
      <c r="AF43" s="1"/>
      <c r="AG43" s="1"/>
      <c r="AH43" s="1"/>
      <c r="AI43" s="1"/>
      <c r="AJ43" s="1"/>
      <c r="AK43" s="1">
        <v>5</v>
      </c>
      <c r="AL43" s="4"/>
      <c r="AM43" s="4"/>
      <c r="AN43" s="4"/>
      <c r="AO43" s="4"/>
      <c r="AP43" s="4"/>
      <c r="AQ43" s="4"/>
      <c r="AR43" s="2"/>
      <c r="AS43" s="2"/>
      <c r="AT43" s="2"/>
      <c r="AU43" s="2"/>
      <c r="AV43" s="2"/>
      <c r="AW43" s="2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>
        <f t="shared" si="29"/>
        <v>5</v>
      </c>
      <c r="BK43" s="1">
        <v>5</v>
      </c>
      <c r="BL43" s="17">
        <v>1</v>
      </c>
      <c r="BM43" s="17" t="s">
        <v>171</v>
      </c>
      <c r="BN43" t="str">
        <f t="shared" si="3"/>
        <v/>
      </c>
      <c r="BO43" t="str">
        <f t="shared" si="4"/>
        <v/>
      </c>
      <c r="BP43" t="str">
        <f t="shared" si="5"/>
        <v/>
      </c>
      <c r="BQ43" t="str">
        <f t="shared" si="6"/>
        <v/>
      </c>
      <c r="BR43" t="str">
        <f t="shared" si="7"/>
        <v/>
      </c>
      <c r="BS43" t="str">
        <f t="shared" si="8"/>
        <v/>
      </c>
      <c r="BT43" t="str">
        <f t="shared" si="9"/>
        <v/>
      </c>
      <c r="BU43" t="str">
        <f t="shared" si="10"/>
        <v/>
      </c>
      <c r="BV43" t="str">
        <f t="shared" si="11"/>
        <v/>
      </c>
      <c r="BW43" t="str">
        <f t="shared" si="12"/>
        <v/>
      </c>
      <c r="BX43" t="str">
        <f t="shared" si="13"/>
        <v/>
      </c>
      <c r="BY43" t="str">
        <f t="shared" si="14"/>
        <v/>
      </c>
      <c r="BZ43">
        <f t="shared" si="28"/>
        <v>0</v>
      </c>
      <c r="CA43" t="str">
        <f t="shared" si="16"/>
        <v/>
      </c>
      <c r="CB43" t="str">
        <f t="shared" si="17"/>
        <v/>
      </c>
      <c r="CC43" t="str">
        <f t="shared" si="18"/>
        <v/>
      </c>
      <c r="CD43" t="str">
        <f t="shared" si="19"/>
        <v/>
      </c>
      <c r="CE43" t="str">
        <f t="shared" si="20"/>
        <v/>
      </c>
      <c r="CF43" t="str">
        <f t="shared" si="21"/>
        <v/>
      </c>
      <c r="CG43" t="str">
        <f t="shared" si="22"/>
        <v/>
      </c>
      <c r="CH43" t="str">
        <f t="shared" si="23"/>
        <v/>
      </c>
      <c r="CI43" t="str">
        <f t="shared" si="24"/>
        <v/>
      </c>
      <c r="CJ43" t="str">
        <f t="shared" si="25"/>
        <v/>
      </c>
      <c r="CK43" t="str">
        <f t="shared" si="26"/>
        <v/>
      </c>
      <c r="CL43" t="str">
        <f t="shared" si="27"/>
        <v/>
      </c>
    </row>
    <row r="44" spans="1:90" x14ac:dyDescent="0.15">
      <c r="A44" s="1">
        <v>90</v>
      </c>
      <c r="B44" s="3" t="s">
        <v>125</v>
      </c>
      <c r="C44" s="3" t="s">
        <v>124</v>
      </c>
      <c r="D44" s="1" t="s">
        <v>24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>
        <v>4</v>
      </c>
      <c r="T44" s="6"/>
      <c r="U44" s="6"/>
      <c r="V44" s="6"/>
      <c r="W44" s="6"/>
      <c r="X44" s="6"/>
      <c r="Y44" s="6"/>
      <c r="Z44" s="6"/>
      <c r="AA44" s="6"/>
      <c r="AB44" s="1"/>
      <c r="AC44" s="1"/>
      <c r="AD44" s="1"/>
      <c r="AE44" s="1"/>
      <c r="AF44" s="1"/>
      <c r="AG44" s="1"/>
      <c r="AH44" s="1"/>
      <c r="AI44" s="1"/>
      <c r="AJ44" s="1"/>
      <c r="AK44" s="1">
        <v>5</v>
      </c>
      <c r="AL44" s="4"/>
      <c r="AM44" s="4"/>
      <c r="AN44" s="4"/>
      <c r="AO44" s="4"/>
      <c r="AP44" s="4"/>
      <c r="AQ44" s="4"/>
      <c r="AR44" s="2"/>
      <c r="AS44" s="2"/>
      <c r="AT44" s="2"/>
      <c r="AU44" s="2"/>
      <c r="AV44" s="2"/>
      <c r="AW44" s="2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>
        <f t="shared" si="29"/>
        <v>9</v>
      </c>
      <c r="BK44" s="1">
        <v>5</v>
      </c>
      <c r="BL44" s="17">
        <v>1</v>
      </c>
      <c r="BM44" s="17" t="s">
        <v>171</v>
      </c>
      <c r="BN44" t="str">
        <f t="shared" si="3"/>
        <v/>
      </c>
      <c r="BO44" t="str">
        <f t="shared" si="4"/>
        <v/>
      </c>
      <c r="BP44" t="str">
        <f t="shared" si="5"/>
        <v/>
      </c>
      <c r="BQ44" t="str">
        <f t="shared" si="6"/>
        <v/>
      </c>
      <c r="BR44" t="str">
        <f t="shared" si="7"/>
        <v/>
      </c>
      <c r="BS44" t="str">
        <f t="shared" si="8"/>
        <v/>
      </c>
      <c r="BT44" t="str">
        <f t="shared" si="9"/>
        <v/>
      </c>
      <c r="BU44" t="str">
        <f t="shared" si="10"/>
        <v/>
      </c>
      <c r="BV44" t="str">
        <f t="shared" si="11"/>
        <v/>
      </c>
      <c r="BW44" t="str">
        <f t="shared" si="12"/>
        <v/>
      </c>
      <c r="BX44" t="str">
        <f t="shared" si="13"/>
        <v/>
      </c>
      <c r="BY44" t="str">
        <f t="shared" si="14"/>
        <v/>
      </c>
      <c r="BZ44">
        <f t="shared" si="28"/>
        <v>0</v>
      </c>
      <c r="CA44" t="str">
        <f t="shared" si="16"/>
        <v/>
      </c>
      <c r="CB44" t="str">
        <f t="shared" si="17"/>
        <v/>
      </c>
      <c r="CC44" t="str">
        <f t="shared" si="18"/>
        <v/>
      </c>
      <c r="CD44" t="str">
        <f t="shared" si="19"/>
        <v/>
      </c>
      <c r="CE44" t="str">
        <f t="shared" si="20"/>
        <v/>
      </c>
      <c r="CF44" t="str">
        <f t="shared" si="21"/>
        <v/>
      </c>
      <c r="CG44" t="str">
        <f t="shared" si="22"/>
        <v/>
      </c>
      <c r="CH44" t="str">
        <f t="shared" si="23"/>
        <v/>
      </c>
      <c r="CI44" t="str">
        <f t="shared" si="24"/>
        <v/>
      </c>
      <c r="CJ44" t="str">
        <f t="shared" si="25"/>
        <v/>
      </c>
      <c r="CK44" t="str">
        <f t="shared" si="26"/>
        <v/>
      </c>
      <c r="CL44" t="str">
        <f t="shared" si="27"/>
        <v/>
      </c>
    </row>
    <row r="45" spans="1:90" x14ac:dyDescent="0.15">
      <c r="A45" s="1">
        <v>91</v>
      </c>
      <c r="B45" s="3" t="s">
        <v>125</v>
      </c>
      <c r="C45" s="3" t="s">
        <v>124</v>
      </c>
      <c r="D45" s="1" t="s">
        <v>1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>
        <v>4</v>
      </c>
      <c r="T45" s="6"/>
      <c r="U45" s="6"/>
      <c r="V45" s="6"/>
      <c r="W45" s="6"/>
      <c r="X45" s="6"/>
      <c r="Y45" s="6"/>
      <c r="Z45" s="6"/>
      <c r="AA45" s="6"/>
      <c r="AB45" s="1"/>
      <c r="AC45" s="1"/>
      <c r="AD45" s="1"/>
      <c r="AE45" s="1"/>
      <c r="AF45" s="1"/>
      <c r="AG45" s="1"/>
      <c r="AH45" s="1"/>
      <c r="AI45" s="1"/>
      <c r="AJ45" s="1">
        <v>5</v>
      </c>
      <c r="AK45" s="1"/>
      <c r="AL45" s="4"/>
      <c r="AM45" s="4"/>
      <c r="AN45" s="4"/>
      <c r="AO45" s="4"/>
      <c r="AP45" s="4"/>
      <c r="AQ45" s="4"/>
      <c r="AR45" s="2"/>
      <c r="AS45" s="2"/>
      <c r="AT45" s="2"/>
      <c r="AU45" s="2"/>
      <c r="AV45" s="2"/>
      <c r="AW45" s="2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>
        <f t="shared" si="29"/>
        <v>9</v>
      </c>
      <c r="BK45" s="1">
        <v>5</v>
      </c>
      <c r="BL45" s="17">
        <v>1</v>
      </c>
      <c r="BM45" s="17" t="s">
        <v>169</v>
      </c>
      <c r="BN45" t="str">
        <f t="shared" si="3"/>
        <v/>
      </c>
      <c r="BO45" t="str">
        <f t="shared" si="4"/>
        <v/>
      </c>
      <c r="BP45" t="str">
        <f t="shared" si="5"/>
        <v/>
      </c>
      <c r="BQ45" t="str">
        <f t="shared" si="6"/>
        <v/>
      </c>
      <c r="BR45" t="str">
        <f t="shared" si="7"/>
        <v/>
      </c>
      <c r="BS45" t="str">
        <f t="shared" si="8"/>
        <v/>
      </c>
      <c r="BT45" t="str">
        <f t="shared" si="9"/>
        <v/>
      </c>
      <c r="BU45" t="str">
        <f t="shared" si="10"/>
        <v/>
      </c>
      <c r="BV45" t="str">
        <f t="shared" si="11"/>
        <v/>
      </c>
      <c r="BW45" t="str">
        <f t="shared" si="12"/>
        <v/>
      </c>
      <c r="BX45" t="str">
        <f t="shared" si="13"/>
        <v/>
      </c>
      <c r="BY45" t="str">
        <f t="shared" si="14"/>
        <v/>
      </c>
      <c r="BZ45">
        <f t="shared" si="28"/>
        <v>0</v>
      </c>
      <c r="CA45" t="str">
        <f t="shared" si="16"/>
        <v/>
      </c>
      <c r="CB45" t="str">
        <f t="shared" si="17"/>
        <v/>
      </c>
      <c r="CC45" t="str">
        <f t="shared" si="18"/>
        <v/>
      </c>
      <c r="CD45" t="str">
        <f t="shared" si="19"/>
        <v/>
      </c>
      <c r="CE45" t="str">
        <f t="shared" si="20"/>
        <v/>
      </c>
      <c r="CF45" t="str">
        <f t="shared" si="21"/>
        <v/>
      </c>
      <c r="CG45" t="str">
        <f t="shared" si="22"/>
        <v/>
      </c>
      <c r="CH45" t="str">
        <f t="shared" si="23"/>
        <v/>
      </c>
      <c r="CI45" t="str">
        <f t="shared" si="24"/>
        <v/>
      </c>
      <c r="CJ45" t="str">
        <f t="shared" si="25"/>
        <v/>
      </c>
      <c r="CK45" t="str">
        <f t="shared" si="26"/>
        <v/>
      </c>
      <c r="CL45" t="str">
        <f t="shared" si="27"/>
        <v/>
      </c>
    </row>
    <row r="46" spans="1:90" x14ac:dyDescent="0.15">
      <c r="A46" s="1">
        <v>12</v>
      </c>
      <c r="B46" s="1" t="s">
        <v>117</v>
      </c>
      <c r="C46" s="1" t="s">
        <v>2</v>
      </c>
      <c r="D46" s="1" t="s">
        <v>24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>
        <v>10</v>
      </c>
      <c r="Q46" s="6"/>
      <c r="R46" s="6"/>
      <c r="S46" s="6"/>
      <c r="T46" s="6"/>
      <c r="U46" s="6"/>
      <c r="V46" s="6"/>
      <c r="W46" s="6"/>
      <c r="X46" s="6"/>
      <c r="Y46" s="6">
        <v>10</v>
      </c>
      <c r="Z46" s="6"/>
      <c r="AA46" s="6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4"/>
      <c r="AM46" s="4"/>
      <c r="AN46" s="4"/>
      <c r="AO46" s="4"/>
      <c r="AP46" s="4"/>
      <c r="AQ46" s="4"/>
      <c r="AR46" s="2"/>
      <c r="AS46" s="2"/>
      <c r="AT46" s="2"/>
      <c r="AU46" s="2"/>
      <c r="AV46" s="2"/>
      <c r="AW46" s="2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>
        <f t="shared" si="29"/>
        <v>20</v>
      </c>
      <c r="BK46" s="1">
        <v>6</v>
      </c>
      <c r="BL46" s="17">
        <v>1</v>
      </c>
      <c r="BM46" s="17" t="s">
        <v>149</v>
      </c>
      <c r="BN46" t="str">
        <f t="shared" si="3"/>
        <v/>
      </c>
      <c r="BO46" t="str">
        <f t="shared" si="4"/>
        <v/>
      </c>
      <c r="BP46" t="str">
        <f t="shared" si="5"/>
        <v/>
      </c>
      <c r="BQ46" t="str">
        <f t="shared" si="6"/>
        <v/>
      </c>
      <c r="BR46" t="str">
        <f t="shared" si="7"/>
        <v/>
      </c>
      <c r="BS46" t="str">
        <f t="shared" si="8"/>
        <v/>
      </c>
      <c r="BT46" t="str">
        <f t="shared" si="9"/>
        <v/>
      </c>
      <c r="BU46" t="str">
        <f t="shared" si="10"/>
        <v/>
      </c>
      <c r="BV46" t="str">
        <f t="shared" si="11"/>
        <v/>
      </c>
      <c r="BW46" t="str">
        <f t="shared" si="12"/>
        <v/>
      </c>
      <c r="BX46" t="str">
        <f t="shared" si="13"/>
        <v/>
      </c>
      <c r="BY46" t="str">
        <f t="shared" si="14"/>
        <v/>
      </c>
      <c r="BZ46">
        <f t="shared" si="28"/>
        <v>0</v>
      </c>
      <c r="CA46" t="str">
        <f t="shared" si="16"/>
        <v/>
      </c>
      <c r="CB46" t="str">
        <f t="shared" si="17"/>
        <v/>
      </c>
      <c r="CC46" t="str">
        <f t="shared" si="18"/>
        <v/>
      </c>
      <c r="CD46" t="str">
        <f t="shared" si="19"/>
        <v/>
      </c>
      <c r="CE46" t="str">
        <f t="shared" si="20"/>
        <v/>
      </c>
      <c r="CF46" t="str">
        <f t="shared" si="21"/>
        <v/>
      </c>
      <c r="CG46" t="str">
        <f t="shared" si="22"/>
        <v/>
      </c>
      <c r="CH46" t="str">
        <f t="shared" si="23"/>
        <v/>
      </c>
      <c r="CI46" t="str">
        <f t="shared" si="24"/>
        <v/>
      </c>
      <c r="CJ46" t="str">
        <f t="shared" si="25"/>
        <v/>
      </c>
      <c r="CK46" t="str">
        <f t="shared" si="26"/>
        <v/>
      </c>
      <c r="CL46" t="str">
        <f t="shared" si="27"/>
        <v/>
      </c>
    </row>
    <row r="47" spans="1:90" x14ac:dyDescent="0.15">
      <c r="A47" s="1">
        <v>92</v>
      </c>
      <c r="B47" s="3" t="s">
        <v>126</v>
      </c>
      <c r="C47" s="3" t="s">
        <v>124</v>
      </c>
      <c r="D47" s="1" t="s">
        <v>24</v>
      </c>
      <c r="E47" s="6">
        <v>10</v>
      </c>
      <c r="F47" s="6"/>
      <c r="G47" s="6"/>
      <c r="H47" s="6"/>
      <c r="I47" s="6">
        <v>10</v>
      </c>
      <c r="J47" s="6">
        <v>10</v>
      </c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4"/>
      <c r="AM47" s="4"/>
      <c r="AN47" s="4"/>
      <c r="AO47" s="4"/>
      <c r="AP47" s="4"/>
      <c r="AQ47" s="4"/>
      <c r="AR47" s="2"/>
      <c r="AS47" s="2"/>
      <c r="AT47" s="2"/>
      <c r="AU47" s="2"/>
      <c r="AV47" s="2"/>
      <c r="AW47" s="2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>
        <f t="shared" si="29"/>
        <v>30</v>
      </c>
      <c r="BK47" s="1">
        <v>6</v>
      </c>
      <c r="BL47" s="17">
        <v>1</v>
      </c>
      <c r="BM47" s="17" t="s">
        <v>181</v>
      </c>
      <c r="BN47" t="str">
        <f t="shared" si="3"/>
        <v/>
      </c>
      <c r="BO47" t="str">
        <f t="shared" si="4"/>
        <v/>
      </c>
      <c r="BP47" t="str">
        <f t="shared" si="5"/>
        <v/>
      </c>
      <c r="BQ47" t="str">
        <f t="shared" si="6"/>
        <v/>
      </c>
      <c r="BR47" t="str">
        <f t="shared" si="7"/>
        <v/>
      </c>
      <c r="BS47" t="str">
        <f t="shared" si="8"/>
        <v/>
      </c>
      <c r="BT47" t="str">
        <f t="shared" si="9"/>
        <v/>
      </c>
      <c r="BU47" t="str">
        <f t="shared" si="10"/>
        <v/>
      </c>
      <c r="BV47" t="str">
        <f t="shared" si="11"/>
        <v/>
      </c>
      <c r="BW47" t="str">
        <f t="shared" si="12"/>
        <v/>
      </c>
      <c r="BX47" t="str">
        <f t="shared" si="13"/>
        <v/>
      </c>
      <c r="BY47" t="str">
        <f t="shared" si="14"/>
        <v/>
      </c>
      <c r="BZ47">
        <f t="shared" si="28"/>
        <v>0</v>
      </c>
      <c r="CA47" t="str">
        <f t="shared" si="16"/>
        <v/>
      </c>
      <c r="CB47" t="str">
        <f t="shared" si="17"/>
        <v/>
      </c>
      <c r="CC47" t="str">
        <f t="shared" si="18"/>
        <v/>
      </c>
      <c r="CD47" t="str">
        <f t="shared" si="19"/>
        <v/>
      </c>
      <c r="CE47" t="str">
        <f t="shared" si="20"/>
        <v/>
      </c>
      <c r="CF47" t="str">
        <f t="shared" si="21"/>
        <v/>
      </c>
      <c r="CG47" t="str">
        <f t="shared" si="22"/>
        <v/>
      </c>
      <c r="CH47" t="str">
        <f t="shared" si="23"/>
        <v/>
      </c>
      <c r="CI47" t="str">
        <f t="shared" si="24"/>
        <v/>
      </c>
      <c r="CJ47" t="str">
        <f t="shared" si="25"/>
        <v/>
      </c>
      <c r="CK47" t="str">
        <f t="shared" si="26"/>
        <v/>
      </c>
      <c r="CL47" t="str">
        <f t="shared" si="27"/>
        <v/>
      </c>
    </row>
    <row r="48" spans="1:90" x14ac:dyDescent="0.15">
      <c r="A48" s="1">
        <v>75</v>
      </c>
      <c r="B48" s="3" t="s">
        <v>86</v>
      </c>
      <c r="C48" s="3" t="s">
        <v>87</v>
      </c>
      <c r="D48" s="1" t="s">
        <v>24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>
        <v>20</v>
      </c>
      <c r="T48" s="6"/>
      <c r="U48" s="6"/>
      <c r="V48" s="6"/>
      <c r="W48" s="6"/>
      <c r="X48" s="6"/>
      <c r="Y48" s="6"/>
      <c r="Z48" s="6">
        <v>25</v>
      </c>
      <c r="AA48" s="6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4"/>
      <c r="AM48" s="4"/>
      <c r="AN48" s="4"/>
      <c r="AO48" s="4"/>
      <c r="AP48" s="4"/>
      <c r="AQ48" s="4"/>
      <c r="AR48" s="2"/>
      <c r="AS48" s="2"/>
      <c r="AT48" s="2"/>
      <c r="AU48" s="2"/>
      <c r="AV48" s="2"/>
      <c r="AW48" s="2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>
        <f t="shared" si="29"/>
        <v>45</v>
      </c>
      <c r="BK48" s="1">
        <v>8</v>
      </c>
      <c r="BL48" s="17">
        <v>1</v>
      </c>
      <c r="BM48" s="17" t="s">
        <v>175</v>
      </c>
      <c r="BN48" t="str">
        <f t="shared" si="3"/>
        <v/>
      </c>
      <c r="BO48" t="str">
        <f t="shared" si="4"/>
        <v/>
      </c>
      <c r="BP48" t="str">
        <f t="shared" si="5"/>
        <v/>
      </c>
      <c r="BQ48" t="str">
        <f t="shared" si="6"/>
        <v/>
      </c>
      <c r="BR48" t="str">
        <f t="shared" si="7"/>
        <v/>
      </c>
      <c r="BS48" t="str">
        <f t="shared" si="8"/>
        <v/>
      </c>
      <c r="BT48" t="str">
        <f t="shared" si="9"/>
        <v/>
      </c>
      <c r="BU48" t="str">
        <f t="shared" si="10"/>
        <v/>
      </c>
      <c r="BV48" t="str">
        <f t="shared" si="11"/>
        <v/>
      </c>
      <c r="BW48" t="str">
        <f t="shared" si="12"/>
        <v/>
      </c>
      <c r="BX48" t="str">
        <f t="shared" si="13"/>
        <v/>
      </c>
      <c r="BY48" t="str">
        <f t="shared" si="14"/>
        <v/>
      </c>
      <c r="BZ48">
        <f t="shared" si="28"/>
        <v>0</v>
      </c>
      <c r="CA48" t="str">
        <f t="shared" si="16"/>
        <v/>
      </c>
      <c r="CB48" t="str">
        <f t="shared" si="17"/>
        <v/>
      </c>
      <c r="CC48" t="str">
        <f t="shared" si="18"/>
        <v/>
      </c>
      <c r="CD48" t="str">
        <f t="shared" si="19"/>
        <v/>
      </c>
      <c r="CE48" t="str">
        <f t="shared" si="20"/>
        <v/>
      </c>
      <c r="CF48" t="str">
        <f t="shared" si="21"/>
        <v/>
      </c>
      <c r="CG48" t="str">
        <f t="shared" si="22"/>
        <v/>
      </c>
      <c r="CH48" t="str">
        <f t="shared" si="23"/>
        <v/>
      </c>
      <c r="CI48" t="str">
        <f t="shared" si="24"/>
        <v/>
      </c>
      <c r="CJ48" t="str">
        <f t="shared" si="25"/>
        <v/>
      </c>
      <c r="CK48" t="str">
        <f t="shared" si="26"/>
        <v/>
      </c>
      <c r="CL48" t="str">
        <f t="shared" si="27"/>
        <v/>
      </c>
    </row>
    <row r="49" spans="1:90" x14ac:dyDescent="0.15">
      <c r="A49" s="1">
        <v>56</v>
      </c>
      <c r="B49" s="1" t="s">
        <v>71</v>
      </c>
      <c r="C49" s="1" t="s">
        <v>68</v>
      </c>
      <c r="D49" s="1" t="s">
        <v>1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4"/>
      <c r="AM49" s="4"/>
      <c r="AN49" s="4"/>
      <c r="AO49" s="4"/>
      <c r="AP49" s="4"/>
      <c r="AQ49" s="4">
        <v>10</v>
      </c>
      <c r="AR49" s="2"/>
      <c r="AS49" s="2"/>
      <c r="AT49" s="2"/>
      <c r="AU49" s="2"/>
      <c r="AV49" s="2">
        <v>10</v>
      </c>
      <c r="AW49" s="2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>
        <f t="shared" si="29"/>
        <v>20</v>
      </c>
      <c r="BK49" s="1">
        <v>9</v>
      </c>
      <c r="BL49" s="17">
        <v>1</v>
      </c>
      <c r="BM49" s="17" t="s">
        <v>203</v>
      </c>
      <c r="BN49" t="str">
        <f t="shared" si="3"/>
        <v/>
      </c>
      <c r="BO49" t="str">
        <f t="shared" si="4"/>
        <v/>
      </c>
      <c r="BP49" t="str">
        <f t="shared" si="5"/>
        <v/>
      </c>
      <c r="BQ49" t="str">
        <f t="shared" si="6"/>
        <v/>
      </c>
      <c r="BR49" t="str">
        <f t="shared" si="7"/>
        <v/>
      </c>
      <c r="BS49">
        <f t="shared" si="8"/>
        <v>9</v>
      </c>
      <c r="BT49" t="str">
        <f t="shared" si="9"/>
        <v/>
      </c>
      <c r="BU49" t="str">
        <f t="shared" si="10"/>
        <v/>
      </c>
      <c r="BV49" t="str">
        <f t="shared" si="11"/>
        <v/>
      </c>
      <c r="BW49" t="str">
        <f t="shared" si="12"/>
        <v/>
      </c>
      <c r="BX49" t="str">
        <f t="shared" si="13"/>
        <v/>
      </c>
      <c r="BY49" t="str">
        <f t="shared" si="14"/>
        <v/>
      </c>
      <c r="BZ49">
        <f t="shared" si="28"/>
        <v>1</v>
      </c>
      <c r="CA49" t="str">
        <f t="shared" si="16"/>
        <v/>
      </c>
      <c r="CB49" t="str">
        <f t="shared" si="17"/>
        <v/>
      </c>
      <c r="CC49" t="str">
        <f t="shared" si="18"/>
        <v/>
      </c>
      <c r="CD49" t="str">
        <f t="shared" si="19"/>
        <v/>
      </c>
      <c r="CE49" t="str">
        <f t="shared" si="20"/>
        <v/>
      </c>
      <c r="CF49">
        <f t="shared" si="21"/>
        <v>9</v>
      </c>
      <c r="CG49" t="str">
        <f t="shared" si="22"/>
        <v/>
      </c>
      <c r="CH49" t="str">
        <f t="shared" si="23"/>
        <v/>
      </c>
      <c r="CI49" t="str">
        <f t="shared" si="24"/>
        <v/>
      </c>
      <c r="CJ49" t="str">
        <f t="shared" si="25"/>
        <v/>
      </c>
      <c r="CK49" t="str">
        <f t="shared" si="26"/>
        <v/>
      </c>
      <c r="CL49" t="str">
        <f t="shared" si="27"/>
        <v/>
      </c>
    </row>
    <row r="50" spans="1:90" x14ac:dyDescent="0.15">
      <c r="A50" s="1">
        <v>57</v>
      </c>
      <c r="B50" s="1" t="s">
        <v>134</v>
      </c>
      <c r="C50" s="1" t="s">
        <v>68</v>
      </c>
      <c r="D50" s="1" t="s">
        <v>1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4"/>
      <c r="AM50" s="4"/>
      <c r="AN50" s="4"/>
      <c r="AO50" s="4"/>
      <c r="AP50" s="4"/>
      <c r="AQ50" s="4">
        <v>10</v>
      </c>
      <c r="AR50" s="2"/>
      <c r="AS50" s="2"/>
      <c r="AT50" s="2"/>
      <c r="AU50" s="2"/>
      <c r="AV50" s="2">
        <v>10</v>
      </c>
      <c r="AW50" s="2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>
        <f t="shared" si="29"/>
        <v>20</v>
      </c>
      <c r="BK50" s="1">
        <v>9</v>
      </c>
      <c r="BL50" s="17">
        <v>1</v>
      </c>
      <c r="BM50" s="17" t="s">
        <v>203</v>
      </c>
      <c r="BN50" t="str">
        <f t="shared" si="3"/>
        <v/>
      </c>
      <c r="BO50" t="str">
        <f t="shared" si="4"/>
        <v/>
      </c>
      <c r="BP50" t="str">
        <f t="shared" si="5"/>
        <v/>
      </c>
      <c r="BQ50" t="str">
        <f t="shared" si="6"/>
        <v/>
      </c>
      <c r="BR50" t="str">
        <f t="shared" si="7"/>
        <v/>
      </c>
      <c r="BS50">
        <f t="shared" si="8"/>
        <v>9</v>
      </c>
      <c r="BT50" t="str">
        <f t="shared" si="9"/>
        <v/>
      </c>
      <c r="BU50" t="str">
        <f t="shared" si="10"/>
        <v/>
      </c>
      <c r="BV50" t="str">
        <f t="shared" si="11"/>
        <v/>
      </c>
      <c r="BW50" t="str">
        <f t="shared" si="12"/>
        <v/>
      </c>
      <c r="BX50" t="str">
        <f t="shared" si="13"/>
        <v/>
      </c>
      <c r="BY50" t="str">
        <f t="shared" si="14"/>
        <v/>
      </c>
      <c r="BZ50">
        <f t="shared" si="28"/>
        <v>1</v>
      </c>
      <c r="CA50" t="str">
        <f t="shared" si="16"/>
        <v/>
      </c>
      <c r="CB50" t="str">
        <f t="shared" si="17"/>
        <v/>
      </c>
      <c r="CC50" t="str">
        <f t="shared" si="18"/>
        <v/>
      </c>
      <c r="CD50" t="str">
        <f t="shared" si="19"/>
        <v/>
      </c>
      <c r="CE50" t="str">
        <f t="shared" si="20"/>
        <v/>
      </c>
      <c r="CF50">
        <f t="shared" si="21"/>
        <v>9</v>
      </c>
      <c r="CG50" t="str">
        <f t="shared" si="22"/>
        <v/>
      </c>
      <c r="CH50" t="str">
        <f t="shared" si="23"/>
        <v/>
      </c>
      <c r="CI50" t="str">
        <f t="shared" si="24"/>
        <v/>
      </c>
      <c r="CJ50" t="str">
        <f t="shared" si="25"/>
        <v/>
      </c>
      <c r="CK50" t="str">
        <f t="shared" si="26"/>
        <v/>
      </c>
      <c r="CL50" t="str">
        <f t="shared" si="27"/>
        <v/>
      </c>
    </row>
    <row r="51" spans="1:90" x14ac:dyDescent="0.15">
      <c r="A51" s="1">
        <v>76</v>
      </c>
      <c r="B51" s="3" t="s">
        <v>86</v>
      </c>
      <c r="C51" s="3" t="s">
        <v>87</v>
      </c>
      <c r="D51" s="1" t="s">
        <v>1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>
        <v>20</v>
      </c>
      <c r="V51" s="6"/>
      <c r="W51" s="6"/>
      <c r="X51" s="6"/>
      <c r="Y51" s="6"/>
      <c r="Z51" s="6"/>
      <c r="AA51" s="6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4"/>
      <c r="AM51" s="4"/>
      <c r="AN51" s="4"/>
      <c r="AO51" s="4"/>
      <c r="AP51" s="4"/>
      <c r="AQ51" s="4"/>
      <c r="AR51" s="2"/>
      <c r="AS51" s="2"/>
      <c r="AT51" s="2"/>
      <c r="AU51" s="2"/>
      <c r="AV51" s="2"/>
      <c r="AW51" s="2"/>
      <c r="AX51" s="1"/>
      <c r="AY51" s="1"/>
      <c r="AZ51" s="1"/>
      <c r="BA51" s="1"/>
      <c r="BB51" s="1">
        <v>10</v>
      </c>
      <c r="BC51" s="1"/>
      <c r="BD51" s="1"/>
      <c r="BE51" s="1"/>
      <c r="BF51" s="1"/>
      <c r="BG51" s="1"/>
      <c r="BH51" s="1"/>
      <c r="BI51" s="1"/>
      <c r="BJ51" s="1">
        <f t="shared" si="29"/>
        <v>30</v>
      </c>
      <c r="BK51" s="1">
        <v>10</v>
      </c>
      <c r="BL51" s="17">
        <v>1</v>
      </c>
      <c r="BM51" s="17" t="s">
        <v>188</v>
      </c>
      <c r="BN51" t="str">
        <f t="shared" si="3"/>
        <v/>
      </c>
      <c r="BO51" t="str">
        <f t="shared" si="4"/>
        <v/>
      </c>
      <c r="BP51" t="str">
        <f t="shared" si="5"/>
        <v/>
      </c>
      <c r="BQ51" t="str">
        <f t="shared" si="6"/>
        <v/>
      </c>
      <c r="BR51" t="str">
        <f t="shared" si="7"/>
        <v/>
      </c>
      <c r="BS51" t="str">
        <f t="shared" si="8"/>
        <v/>
      </c>
      <c r="BT51" t="str">
        <f t="shared" si="9"/>
        <v/>
      </c>
      <c r="BU51" t="str">
        <f t="shared" si="10"/>
        <v/>
      </c>
      <c r="BV51" t="str">
        <f t="shared" si="11"/>
        <v/>
      </c>
      <c r="BW51" t="str">
        <f t="shared" si="12"/>
        <v/>
      </c>
      <c r="BX51" t="str">
        <f t="shared" si="13"/>
        <v/>
      </c>
      <c r="BY51" t="str">
        <f t="shared" si="14"/>
        <v/>
      </c>
      <c r="BZ51">
        <f t="shared" si="28"/>
        <v>0</v>
      </c>
      <c r="CA51" t="str">
        <f t="shared" si="16"/>
        <v/>
      </c>
      <c r="CB51" t="str">
        <f t="shared" si="17"/>
        <v/>
      </c>
      <c r="CC51" t="str">
        <f t="shared" si="18"/>
        <v/>
      </c>
      <c r="CD51" t="str">
        <f t="shared" si="19"/>
        <v/>
      </c>
      <c r="CE51" t="str">
        <f t="shared" si="20"/>
        <v/>
      </c>
      <c r="CF51" t="str">
        <f t="shared" si="21"/>
        <v/>
      </c>
      <c r="CG51" t="str">
        <f t="shared" si="22"/>
        <v/>
      </c>
      <c r="CH51" t="str">
        <f t="shared" si="23"/>
        <v/>
      </c>
      <c r="CI51" t="str">
        <f t="shared" si="24"/>
        <v/>
      </c>
      <c r="CJ51" t="str">
        <f t="shared" si="25"/>
        <v/>
      </c>
      <c r="CK51" t="str">
        <f t="shared" si="26"/>
        <v/>
      </c>
      <c r="CL51" t="str">
        <f t="shared" si="27"/>
        <v/>
      </c>
    </row>
    <row r="52" spans="1:90" x14ac:dyDescent="0.15">
      <c r="A52" s="1">
        <v>97</v>
      </c>
      <c r="B52" s="3" t="s">
        <v>98</v>
      </c>
      <c r="C52" s="3" t="s">
        <v>97</v>
      </c>
      <c r="D52" s="1" t="s">
        <v>24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1">
        <v>10</v>
      </c>
      <c r="AC52" s="1"/>
      <c r="AD52" s="1"/>
      <c r="AE52" s="1"/>
      <c r="AF52" s="1"/>
      <c r="AG52" s="1"/>
      <c r="AH52" s="1"/>
      <c r="AI52" s="1"/>
      <c r="AJ52" s="1"/>
      <c r="AK52" s="1"/>
      <c r="AL52" s="4"/>
      <c r="AM52" s="4"/>
      <c r="AN52" s="4"/>
      <c r="AO52" s="4"/>
      <c r="AP52" s="4"/>
      <c r="AQ52" s="4"/>
      <c r="AR52" s="2"/>
      <c r="AS52" s="2"/>
      <c r="AT52" s="2"/>
      <c r="AU52" s="2"/>
      <c r="AV52" s="2"/>
      <c r="AW52" s="2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>
        <f t="shared" si="29"/>
        <v>10</v>
      </c>
      <c r="BK52" s="1">
        <v>10</v>
      </c>
      <c r="BL52" s="17">
        <v>1</v>
      </c>
      <c r="BM52" s="17" t="s">
        <v>183</v>
      </c>
      <c r="BN52" t="str">
        <f t="shared" si="3"/>
        <v/>
      </c>
      <c r="BO52" t="str">
        <f t="shared" si="4"/>
        <v/>
      </c>
      <c r="BP52" t="str">
        <f t="shared" si="5"/>
        <v/>
      </c>
      <c r="BQ52" t="str">
        <f t="shared" si="6"/>
        <v/>
      </c>
      <c r="BR52" t="str">
        <f t="shared" si="7"/>
        <v/>
      </c>
      <c r="BS52" t="str">
        <f t="shared" si="8"/>
        <v/>
      </c>
      <c r="BT52" t="str">
        <f t="shared" si="9"/>
        <v/>
      </c>
      <c r="BU52" t="str">
        <f t="shared" si="10"/>
        <v/>
      </c>
      <c r="BV52" t="str">
        <f t="shared" si="11"/>
        <v/>
      </c>
      <c r="BW52" t="str">
        <f t="shared" si="12"/>
        <v/>
      </c>
      <c r="BX52" t="str">
        <f t="shared" si="13"/>
        <v/>
      </c>
      <c r="BY52" t="str">
        <f t="shared" si="14"/>
        <v/>
      </c>
      <c r="BZ52">
        <f t="shared" si="28"/>
        <v>0</v>
      </c>
      <c r="CA52" t="str">
        <f t="shared" si="16"/>
        <v/>
      </c>
      <c r="CB52" t="str">
        <f t="shared" si="17"/>
        <v/>
      </c>
      <c r="CC52" t="str">
        <f t="shared" si="18"/>
        <v/>
      </c>
      <c r="CD52" t="str">
        <f t="shared" si="19"/>
        <v/>
      </c>
      <c r="CE52" t="str">
        <f t="shared" si="20"/>
        <v/>
      </c>
      <c r="CF52" t="str">
        <f t="shared" si="21"/>
        <v/>
      </c>
      <c r="CG52" t="str">
        <f t="shared" si="22"/>
        <v/>
      </c>
      <c r="CH52" t="str">
        <f t="shared" si="23"/>
        <v/>
      </c>
      <c r="CI52" t="str">
        <f t="shared" si="24"/>
        <v/>
      </c>
      <c r="CJ52" t="str">
        <f t="shared" si="25"/>
        <v/>
      </c>
      <c r="CK52" t="str">
        <f t="shared" si="26"/>
        <v/>
      </c>
      <c r="CL52" t="str">
        <f t="shared" si="27"/>
        <v/>
      </c>
    </row>
    <row r="53" spans="1:90" x14ac:dyDescent="0.15">
      <c r="A53" s="1">
        <v>2</v>
      </c>
      <c r="B53" s="1" t="s">
        <v>8</v>
      </c>
      <c r="C53" s="1" t="s">
        <v>2</v>
      </c>
      <c r="D53" s="1" t="s">
        <v>1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1">
        <v>15</v>
      </c>
      <c r="AC53" s="1"/>
      <c r="AD53" s="1"/>
      <c r="AE53" s="1"/>
      <c r="AF53" s="1"/>
      <c r="AG53" s="1"/>
      <c r="AH53" s="1"/>
      <c r="AI53" s="1"/>
      <c r="AJ53" s="1"/>
      <c r="AK53" s="1"/>
      <c r="AL53" s="4"/>
      <c r="AM53" s="4"/>
      <c r="AN53" s="4"/>
      <c r="AO53" s="4"/>
      <c r="AP53" s="4"/>
      <c r="AQ53" s="4"/>
      <c r="AR53" s="2"/>
      <c r="AS53" s="2"/>
      <c r="AT53" s="2"/>
      <c r="AU53" s="2">
        <v>15</v>
      </c>
      <c r="AV53" s="2"/>
      <c r="AW53" s="2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>
        <f t="shared" si="29"/>
        <v>30</v>
      </c>
      <c r="BK53" s="1">
        <v>15</v>
      </c>
      <c r="BL53" s="17">
        <v>1</v>
      </c>
      <c r="BM53" s="17" t="s">
        <v>145</v>
      </c>
      <c r="BN53" t="str">
        <f t="shared" si="3"/>
        <v/>
      </c>
      <c r="BO53" t="str">
        <f t="shared" si="4"/>
        <v/>
      </c>
      <c r="BP53" t="str">
        <f t="shared" si="5"/>
        <v/>
      </c>
      <c r="BQ53" t="str">
        <f t="shared" si="6"/>
        <v/>
      </c>
      <c r="BR53" t="str">
        <f t="shared" si="7"/>
        <v/>
      </c>
      <c r="BS53" t="str">
        <f t="shared" si="8"/>
        <v/>
      </c>
      <c r="BT53" t="str">
        <f t="shared" si="9"/>
        <v/>
      </c>
      <c r="BU53" t="str">
        <f t="shared" si="10"/>
        <v/>
      </c>
      <c r="BV53" t="str">
        <f t="shared" si="11"/>
        <v/>
      </c>
      <c r="BW53" t="str">
        <f t="shared" si="12"/>
        <v/>
      </c>
      <c r="BX53" t="str">
        <f t="shared" si="13"/>
        <v/>
      </c>
      <c r="BY53" t="str">
        <f t="shared" si="14"/>
        <v/>
      </c>
      <c r="BZ53">
        <f t="shared" si="28"/>
        <v>0</v>
      </c>
      <c r="CA53" t="str">
        <f t="shared" si="16"/>
        <v/>
      </c>
      <c r="CB53" t="str">
        <f t="shared" si="17"/>
        <v/>
      </c>
      <c r="CC53" t="str">
        <f t="shared" si="18"/>
        <v/>
      </c>
      <c r="CD53" t="str">
        <f t="shared" si="19"/>
        <v/>
      </c>
      <c r="CE53" t="str">
        <f t="shared" si="20"/>
        <v/>
      </c>
      <c r="CF53" t="str">
        <f t="shared" si="21"/>
        <v/>
      </c>
      <c r="CG53" t="str">
        <f t="shared" si="22"/>
        <v/>
      </c>
      <c r="CH53" t="str">
        <f t="shared" si="23"/>
        <v/>
      </c>
      <c r="CI53" t="str">
        <f t="shared" si="24"/>
        <v/>
      </c>
      <c r="CJ53" t="str">
        <f t="shared" si="25"/>
        <v/>
      </c>
      <c r="CK53" t="str">
        <f t="shared" si="26"/>
        <v/>
      </c>
      <c r="CL53" t="str">
        <f t="shared" si="27"/>
        <v/>
      </c>
    </row>
    <row r="54" spans="1:90" x14ac:dyDescent="0.15">
      <c r="A54" s="1">
        <v>62</v>
      </c>
      <c r="B54" s="1" t="s">
        <v>76</v>
      </c>
      <c r="C54" s="1" t="s">
        <v>68</v>
      </c>
      <c r="D54" s="1" t="s">
        <v>1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1"/>
      <c r="AC54" s="1"/>
      <c r="AD54" s="1"/>
      <c r="AE54" s="1"/>
      <c r="AF54" s="1"/>
      <c r="AG54" s="1"/>
      <c r="AH54" s="1"/>
      <c r="AI54" s="1"/>
      <c r="AJ54" s="1">
        <v>15</v>
      </c>
      <c r="AK54" s="1"/>
      <c r="AL54" s="4"/>
      <c r="AM54" s="4"/>
      <c r="AN54" s="4"/>
      <c r="AO54" s="4"/>
      <c r="AP54" s="4"/>
      <c r="AQ54" s="4"/>
      <c r="AR54" s="2"/>
      <c r="AS54" s="2"/>
      <c r="AT54" s="2"/>
      <c r="AU54" s="2"/>
      <c r="AV54" s="2"/>
      <c r="AW54" s="2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>
        <f t="shared" si="29"/>
        <v>15</v>
      </c>
      <c r="BK54" s="1">
        <v>15</v>
      </c>
      <c r="BL54" s="17">
        <v>1</v>
      </c>
      <c r="BM54" s="17" t="s">
        <v>170</v>
      </c>
      <c r="BN54" t="str">
        <f t="shared" si="3"/>
        <v/>
      </c>
      <c r="BO54" t="str">
        <f t="shared" si="4"/>
        <v/>
      </c>
      <c r="BP54" t="str">
        <f t="shared" si="5"/>
        <v/>
      </c>
      <c r="BQ54" t="str">
        <f t="shared" si="6"/>
        <v/>
      </c>
      <c r="BR54" t="str">
        <f t="shared" si="7"/>
        <v/>
      </c>
      <c r="BS54" t="str">
        <f t="shared" si="8"/>
        <v/>
      </c>
      <c r="BT54" t="str">
        <f t="shared" si="9"/>
        <v/>
      </c>
      <c r="BU54" t="str">
        <f t="shared" si="10"/>
        <v/>
      </c>
      <c r="BV54" t="str">
        <f t="shared" si="11"/>
        <v/>
      </c>
      <c r="BW54" t="str">
        <f t="shared" si="12"/>
        <v/>
      </c>
      <c r="BX54" t="str">
        <f t="shared" si="13"/>
        <v/>
      </c>
      <c r="BY54" t="str">
        <f t="shared" si="14"/>
        <v/>
      </c>
      <c r="BZ54">
        <f t="shared" si="28"/>
        <v>0</v>
      </c>
      <c r="CA54" t="str">
        <f t="shared" si="16"/>
        <v/>
      </c>
      <c r="CB54" t="str">
        <f t="shared" si="17"/>
        <v/>
      </c>
      <c r="CC54" t="str">
        <f t="shared" si="18"/>
        <v/>
      </c>
      <c r="CD54" t="str">
        <f t="shared" si="19"/>
        <v/>
      </c>
      <c r="CE54" t="str">
        <f t="shared" si="20"/>
        <v/>
      </c>
      <c r="CF54" t="str">
        <f t="shared" si="21"/>
        <v/>
      </c>
      <c r="CG54" t="str">
        <f t="shared" si="22"/>
        <v/>
      </c>
      <c r="CH54" t="str">
        <f t="shared" si="23"/>
        <v/>
      </c>
      <c r="CI54" t="str">
        <f t="shared" si="24"/>
        <v/>
      </c>
      <c r="CJ54" t="str">
        <f t="shared" si="25"/>
        <v/>
      </c>
      <c r="CK54" t="str">
        <f t="shared" si="26"/>
        <v/>
      </c>
      <c r="CL54" t="str">
        <f t="shared" si="27"/>
        <v/>
      </c>
    </row>
    <row r="55" spans="1:90" x14ac:dyDescent="0.15">
      <c r="A55" s="1">
        <v>64</v>
      </c>
      <c r="B55" s="3" t="s">
        <v>78</v>
      </c>
      <c r="C55" s="1" t="s">
        <v>68</v>
      </c>
      <c r="D55" s="1" t="s">
        <v>1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1"/>
      <c r="AC55" s="1"/>
      <c r="AD55" s="1"/>
      <c r="AE55" s="1"/>
      <c r="AF55" s="1"/>
      <c r="AG55" s="1"/>
      <c r="AH55" s="1"/>
      <c r="AI55" s="1"/>
      <c r="AJ55" s="1"/>
      <c r="AK55" s="1">
        <v>15</v>
      </c>
      <c r="AL55" s="4"/>
      <c r="AM55" s="4"/>
      <c r="AN55" s="4"/>
      <c r="AO55" s="4"/>
      <c r="AP55" s="4"/>
      <c r="AQ55" s="4"/>
      <c r="AR55" s="2"/>
      <c r="AS55" s="2"/>
      <c r="AT55" s="2"/>
      <c r="AU55" s="2"/>
      <c r="AV55" s="2"/>
      <c r="AW55" s="2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>
        <f t="shared" si="29"/>
        <v>15</v>
      </c>
      <c r="BK55" s="1">
        <v>15</v>
      </c>
      <c r="BL55" s="17">
        <v>1</v>
      </c>
      <c r="BM55" s="17" t="s">
        <v>172</v>
      </c>
      <c r="BN55" t="str">
        <f t="shared" si="3"/>
        <v/>
      </c>
      <c r="BO55" t="str">
        <f t="shared" si="4"/>
        <v/>
      </c>
      <c r="BP55" t="str">
        <f t="shared" si="5"/>
        <v/>
      </c>
      <c r="BQ55" t="str">
        <f t="shared" si="6"/>
        <v/>
      </c>
      <c r="BR55" t="str">
        <f t="shared" si="7"/>
        <v/>
      </c>
      <c r="BS55" t="str">
        <f t="shared" si="8"/>
        <v/>
      </c>
      <c r="BT55" t="str">
        <f t="shared" si="9"/>
        <v/>
      </c>
      <c r="BU55" t="str">
        <f t="shared" si="10"/>
        <v/>
      </c>
      <c r="BV55" t="str">
        <f t="shared" si="11"/>
        <v/>
      </c>
      <c r="BW55" t="str">
        <f t="shared" si="12"/>
        <v/>
      </c>
      <c r="BX55" t="str">
        <f t="shared" si="13"/>
        <v/>
      </c>
      <c r="BY55" t="str">
        <f t="shared" si="14"/>
        <v/>
      </c>
      <c r="BZ55">
        <f t="shared" si="28"/>
        <v>0</v>
      </c>
      <c r="CA55" t="str">
        <f t="shared" si="16"/>
        <v/>
      </c>
      <c r="CB55" t="str">
        <f t="shared" si="17"/>
        <v/>
      </c>
      <c r="CC55" t="str">
        <f t="shared" si="18"/>
        <v/>
      </c>
      <c r="CD55" t="str">
        <f t="shared" si="19"/>
        <v/>
      </c>
      <c r="CE55" t="str">
        <f t="shared" si="20"/>
        <v/>
      </c>
      <c r="CF55" t="str">
        <f t="shared" si="21"/>
        <v/>
      </c>
      <c r="CG55" t="str">
        <f t="shared" si="22"/>
        <v/>
      </c>
      <c r="CH55" t="str">
        <f t="shared" si="23"/>
        <v/>
      </c>
      <c r="CI55" t="str">
        <f t="shared" si="24"/>
        <v/>
      </c>
      <c r="CJ55" t="str">
        <f t="shared" si="25"/>
        <v/>
      </c>
      <c r="CK55" t="str">
        <f t="shared" si="26"/>
        <v/>
      </c>
      <c r="CL55" t="str">
        <f t="shared" si="27"/>
        <v/>
      </c>
    </row>
    <row r="56" spans="1:90" x14ac:dyDescent="0.15">
      <c r="A56" s="1">
        <v>98</v>
      </c>
      <c r="B56" s="3" t="s">
        <v>98</v>
      </c>
      <c r="C56" s="3" t="s">
        <v>97</v>
      </c>
      <c r="D56" s="1" t="s">
        <v>1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1">
        <v>50</v>
      </c>
      <c r="AC56" s="1"/>
      <c r="AD56" s="1"/>
      <c r="AE56" s="1"/>
      <c r="AF56" s="1"/>
      <c r="AG56" s="1"/>
      <c r="AH56" s="1"/>
      <c r="AI56" s="1"/>
      <c r="AJ56" s="1"/>
      <c r="AK56" s="1"/>
      <c r="AL56" s="4"/>
      <c r="AM56" s="4"/>
      <c r="AN56" s="4"/>
      <c r="AO56" s="4"/>
      <c r="AP56" s="4"/>
      <c r="AQ56" s="4"/>
      <c r="AR56" s="2"/>
      <c r="AS56" s="2"/>
      <c r="AT56" s="2"/>
      <c r="AU56" s="2"/>
      <c r="AV56" s="2"/>
      <c r="AW56" s="2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>
        <f t="shared" si="29"/>
        <v>50</v>
      </c>
      <c r="BK56" s="1">
        <v>50</v>
      </c>
      <c r="BL56" s="17">
        <v>1</v>
      </c>
      <c r="BM56" s="17" t="s">
        <v>184</v>
      </c>
      <c r="BN56" t="str">
        <f t="shared" si="3"/>
        <v/>
      </c>
      <c r="BO56" t="str">
        <f t="shared" si="4"/>
        <v/>
      </c>
      <c r="BP56" t="str">
        <f t="shared" si="5"/>
        <v/>
      </c>
      <c r="BQ56" t="str">
        <f t="shared" si="6"/>
        <v/>
      </c>
      <c r="BR56" t="str">
        <f t="shared" si="7"/>
        <v/>
      </c>
      <c r="BS56" t="str">
        <f t="shared" si="8"/>
        <v/>
      </c>
      <c r="BT56" t="str">
        <f t="shared" si="9"/>
        <v/>
      </c>
      <c r="BU56" t="str">
        <f t="shared" si="10"/>
        <v/>
      </c>
      <c r="BV56" t="str">
        <f t="shared" si="11"/>
        <v/>
      </c>
      <c r="BW56" t="str">
        <f t="shared" si="12"/>
        <v/>
      </c>
      <c r="BX56" t="str">
        <f t="shared" si="13"/>
        <v/>
      </c>
      <c r="BY56" t="str">
        <f t="shared" si="14"/>
        <v/>
      </c>
      <c r="BZ56">
        <f t="shared" si="28"/>
        <v>0</v>
      </c>
      <c r="CA56" t="str">
        <f t="shared" si="16"/>
        <v/>
      </c>
      <c r="CB56" t="str">
        <f t="shared" si="17"/>
        <v/>
      </c>
      <c r="CC56" t="str">
        <f t="shared" si="18"/>
        <v/>
      </c>
      <c r="CD56" t="str">
        <f t="shared" si="19"/>
        <v/>
      </c>
      <c r="CE56" t="str">
        <f t="shared" si="20"/>
        <v/>
      </c>
      <c r="CF56" t="str">
        <f t="shared" si="21"/>
        <v/>
      </c>
      <c r="CG56" t="str">
        <f t="shared" si="22"/>
        <v/>
      </c>
      <c r="CH56" t="str">
        <f t="shared" si="23"/>
        <v/>
      </c>
      <c r="CI56" t="str">
        <f t="shared" si="24"/>
        <v/>
      </c>
      <c r="CJ56" t="str">
        <f t="shared" si="25"/>
        <v/>
      </c>
      <c r="CK56" t="str">
        <f t="shared" si="26"/>
        <v/>
      </c>
      <c r="CL56" t="str">
        <f t="shared" si="27"/>
        <v/>
      </c>
    </row>
    <row r="57" spans="1:90" x14ac:dyDescent="0.15">
      <c r="A57" s="1">
        <v>99</v>
      </c>
      <c r="B57" s="3" t="s">
        <v>98</v>
      </c>
      <c r="C57" s="3" t="s">
        <v>97</v>
      </c>
      <c r="D57" s="1" t="s">
        <v>13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1">
        <v>200</v>
      </c>
      <c r="AC57" s="1"/>
      <c r="AD57" s="1"/>
      <c r="AE57" s="1"/>
      <c r="AF57" s="1"/>
      <c r="AG57" s="1"/>
      <c r="AH57" s="1"/>
      <c r="AI57" s="1"/>
      <c r="AJ57" s="1"/>
      <c r="AK57" s="1"/>
      <c r="AL57" s="4"/>
      <c r="AM57" s="4"/>
      <c r="AN57" s="4"/>
      <c r="AO57" s="4"/>
      <c r="AP57" s="4"/>
      <c r="AQ57" s="4"/>
      <c r="AR57" s="2"/>
      <c r="AS57" s="2"/>
      <c r="AT57" s="2"/>
      <c r="AU57" s="2"/>
      <c r="AV57" s="2"/>
      <c r="AW57" s="2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>
        <f t="shared" si="29"/>
        <v>200</v>
      </c>
      <c r="BK57" s="1">
        <v>200</v>
      </c>
      <c r="BL57" s="17">
        <v>1</v>
      </c>
      <c r="BM57" s="17" t="s">
        <v>185</v>
      </c>
      <c r="BN57" t="str">
        <f t="shared" si="3"/>
        <v/>
      </c>
      <c r="BO57" t="str">
        <f t="shared" si="4"/>
        <v/>
      </c>
      <c r="BP57" t="str">
        <f t="shared" si="5"/>
        <v/>
      </c>
      <c r="BQ57" t="str">
        <f t="shared" si="6"/>
        <v/>
      </c>
      <c r="BR57" t="str">
        <f t="shared" si="7"/>
        <v/>
      </c>
      <c r="BS57" t="str">
        <f t="shared" si="8"/>
        <v/>
      </c>
      <c r="BT57" t="str">
        <f t="shared" si="9"/>
        <v/>
      </c>
      <c r="BU57" t="str">
        <f t="shared" si="10"/>
        <v/>
      </c>
      <c r="BV57" t="str">
        <f t="shared" si="11"/>
        <v/>
      </c>
      <c r="BW57" t="str">
        <f t="shared" si="12"/>
        <v/>
      </c>
      <c r="BX57" t="str">
        <f t="shared" si="13"/>
        <v/>
      </c>
      <c r="BY57" t="str">
        <f t="shared" si="14"/>
        <v/>
      </c>
      <c r="BZ57">
        <f t="shared" si="28"/>
        <v>0</v>
      </c>
      <c r="CA57" t="str">
        <f t="shared" si="16"/>
        <v/>
      </c>
      <c r="CB57" t="str">
        <f t="shared" si="17"/>
        <v/>
      </c>
      <c r="CC57" t="str">
        <f t="shared" si="18"/>
        <v/>
      </c>
      <c r="CD57" t="str">
        <f t="shared" si="19"/>
        <v/>
      </c>
      <c r="CE57" t="str">
        <f t="shared" si="20"/>
        <v/>
      </c>
      <c r="CF57" t="str">
        <f t="shared" si="21"/>
        <v/>
      </c>
      <c r="CG57" t="str">
        <f t="shared" si="22"/>
        <v/>
      </c>
      <c r="CH57" t="str">
        <f t="shared" si="23"/>
        <v/>
      </c>
      <c r="CI57" t="str">
        <f t="shared" si="24"/>
        <v/>
      </c>
      <c r="CJ57" t="str">
        <f t="shared" si="25"/>
        <v/>
      </c>
      <c r="CK57" t="str">
        <f t="shared" si="26"/>
        <v/>
      </c>
      <c r="CL57" t="str">
        <f t="shared" si="27"/>
        <v/>
      </c>
    </row>
    <row r="58" spans="1:90" ht="27" x14ac:dyDescent="0.15">
      <c r="A58" s="1">
        <v>60</v>
      </c>
      <c r="B58" s="1" t="s">
        <v>74</v>
      </c>
      <c r="C58" s="1" t="s">
        <v>68</v>
      </c>
      <c r="D58" s="1" t="s">
        <v>1</v>
      </c>
      <c r="E58" s="6"/>
      <c r="F58" s="6"/>
      <c r="G58" s="6"/>
      <c r="H58" s="6"/>
      <c r="I58" s="6"/>
      <c r="J58" s="6"/>
      <c r="K58" s="6">
        <v>5</v>
      </c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>
        <v>5</v>
      </c>
      <c r="Y58" s="6"/>
      <c r="Z58" s="6"/>
      <c r="AA58" s="6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4"/>
      <c r="AM58" s="4"/>
      <c r="AN58" s="4"/>
      <c r="AO58" s="4"/>
      <c r="AP58" s="4"/>
      <c r="AQ58" s="4"/>
      <c r="AR58" s="2"/>
      <c r="AS58" s="2"/>
      <c r="AT58" s="2"/>
      <c r="AU58" s="2"/>
      <c r="AV58" s="2"/>
      <c r="AW58" s="2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>
        <f t="shared" si="29"/>
        <v>10</v>
      </c>
      <c r="BK58" s="1">
        <v>3</v>
      </c>
      <c r="BL58" s="17">
        <v>2</v>
      </c>
      <c r="BM58" s="17" t="s">
        <v>168</v>
      </c>
      <c r="BN58" t="str">
        <f t="shared" si="3"/>
        <v/>
      </c>
      <c r="BO58" t="str">
        <f t="shared" si="4"/>
        <v/>
      </c>
      <c r="BP58" t="str">
        <f t="shared" si="5"/>
        <v/>
      </c>
      <c r="BQ58" t="str">
        <f t="shared" si="6"/>
        <v/>
      </c>
      <c r="BR58" t="str">
        <f t="shared" si="7"/>
        <v/>
      </c>
      <c r="BS58" t="str">
        <f t="shared" si="8"/>
        <v/>
      </c>
      <c r="BT58" t="str">
        <f t="shared" si="9"/>
        <v/>
      </c>
      <c r="BU58" t="str">
        <f t="shared" si="10"/>
        <v/>
      </c>
      <c r="BV58" t="str">
        <f t="shared" si="11"/>
        <v/>
      </c>
      <c r="BW58" t="str">
        <f t="shared" si="12"/>
        <v/>
      </c>
      <c r="BX58" t="str">
        <f t="shared" si="13"/>
        <v/>
      </c>
      <c r="BY58" t="str">
        <f t="shared" si="14"/>
        <v/>
      </c>
      <c r="BZ58">
        <f t="shared" si="28"/>
        <v>0</v>
      </c>
      <c r="CA58" t="str">
        <f t="shared" si="16"/>
        <v/>
      </c>
      <c r="CB58" t="str">
        <f t="shared" si="17"/>
        <v/>
      </c>
      <c r="CC58" t="str">
        <f t="shared" si="18"/>
        <v/>
      </c>
      <c r="CD58" t="str">
        <f t="shared" si="19"/>
        <v/>
      </c>
      <c r="CE58" t="str">
        <f t="shared" si="20"/>
        <v/>
      </c>
      <c r="CF58" t="str">
        <f t="shared" si="21"/>
        <v/>
      </c>
      <c r="CG58" t="str">
        <f t="shared" si="22"/>
        <v/>
      </c>
      <c r="CH58" t="str">
        <f t="shared" si="23"/>
        <v/>
      </c>
      <c r="CI58" t="str">
        <f t="shared" si="24"/>
        <v/>
      </c>
      <c r="CJ58" t="str">
        <f t="shared" si="25"/>
        <v/>
      </c>
      <c r="CK58" t="str">
        <f t="shared" si="26"/>
        <v/>
      </c>
      <c r="CL58" t="str">
        <f t="shared" si="27"/>
        <v/>
      </c>
    </row>
    <row r="59" spans="1:90" ht="27" x14ac:dyDescent="0.15">
      <c r="A59" s="1">
        <v>24</v>
      </c>
      <c r="B59" s="1" t="s">
        <v>50</v>
      </c>
      <c r="C59" s="1" t="s">
        <v>33</v>
      </c>
      <c r="D59" s="1" t="s">
        <v>26</v>
      </c>
      <c r="E59" s="6"/>
      <c r="F59" s="6"/>
      <c r="G59" s="6"/>
      <c r="H59" s="6"/>
      <c r="I59" s="6">
        <v>4</v>
      </c>
      <c r="J59" s="6"/>
      <c r="K59" s="6">
        <v>4</v>
      </c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4"/>
      <c r="AM59" s="4"/>
      <c r="AN59" s="4">
        <v>5</v>
      </c>
      <c r="AO59" s="4"/>
      <c r="AP59" s="4"/>
      <c r="AQ59" s="4"/>
      <c r="AR59" s="2">
        <v>5</v>
      </c>
      <c r="AS59" s="2"/>
      <c r="AT59" s="2"/>
      <c r="AU59" s="2"/>
      <c r="AV59" s="2"/>
      <c r="AW59" s="2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>
        <f t="shared" si="29"/>
        <v>18</v>
      </c>
      <c r="BK59" s="1">
        <v>5</v>
      </c>
      <c r="BL59" s="17">
        <v>2</v>
      </c>
      <c r="BM59" s="17" t="s">
        <v>154</v>
      </c>
      <c r="BN59" t="str">
        <f t="shared" si="3"/>
        <v/>
      </c>
      <c r="BO59" t="str">
        <f t="shared" si="4"/>
        <v/>
      </c>
      <c r="BP59" t="str">
        <f t="shared" si="5"/>
        <v/>
      </c>
      <c r="BQ59" t="str">
        <f t="shared" si="6"/>
        <v/>
      </c>
      <c r="BR59" t="str">
        <f t="shared" si="7"/>
        <v/>
      </c>
      <c r="BS59" t="str">
        <f t="shared" si="8"/>
        <v/>
      </c>
      <c r="BT59">
        <f t="shared" si="9"/>
        <v>4</v>
      </c>
      <c r="BU59" t="str">
        <f t="shared" si="10"/>
        <v/>
      </c>
      <c r="BV59" t="str">
        <f t="shared" si="11"/>
        <v/>
      </c>
      <c r="BW59" t="str">
        <f t="shared" si="12"/>
        <v/>
      </c>
      <c r="BX59" t="str">
        <f t="shared" si="13"/>
        <v/>
      </c>
      <c r="BY59" t="str">
        <f t="shared" si="14"/>
        <v/>
      </c>
      <c r="BZ59">
        <f t="shared" si="28"/>
        <v>1</v>
      </c>
      <c r="CA59" t="str">
        <f t="shared" si="16"/>
        <v/>
      </c>
      <c r="CB59" t="str">
        <f t="shared" si="17"/>
        <v/>
      </c>
      <c r="CC59" t="str">
        <f t="shared" si="18"/>
        <v/>
      </c>
      <c r="CD59" t="str">
        <f t="shared" si="19"/>
        <v/>
      </c>
      <c r="CE59" t="str">
        <f t="shared" si="20"/>
        <v/>
      </c>
      <c r="CF59" t="str">
        <f t="shared" si="21"/>
        <v/>
      </c>
      <c r="CG59">
        <f t="shared" si="22"/>
        <v>4</v>
      </c>
      <c r="CH59" t="str">
        <f t="shared" si="23"/>
        <v/>
      </c>
      <c r="CI59" t="str">
        <f t="shared" si="24"/>
        <v/>
      </c>
      <c r="CJ59" t="str">
        <f t="shared" si="25"/>
        <v/>
      </c>
      <c r="CK59" t="str">
        <f t="shared" si="26"/>
        <v/>
      </c>
      <c r="CL59" t="str">
        <f t="shared" si="27"/>
        <v/>
      </c>
    </row>
    <row r="60" spans="1:90" ht="27" x14ac:dyDescent="0.15">
      <c r="A60" s="1">
        <v>39</v>
      </c>
      <c r="B60" s="1" t="s">
        <v>59</v>
      </c>
      <c r="C60" s="1" t="s">
        <v>52</v>
      </c>
      <c r="D60" s="1" t="s">
        <v>26</v>
      </c>
      <c r="E60" s="6"/>
      <c r="F60" s="6">
        <v>6</v>
      </c>
      <c r="G60" s="6"/>
      <c r="H60" s="6"/>
      <c r="I60" s="6"/>
      <c r="J60" s="6"/>
      <c r="K60" s="6"/>
      <c r="L60" s="6">
        <v>6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4">
        <v>10</v>
      </c>
      <c r="AM60" s="4"/>
      <c r="AN60" s="4"/>
      <c r="AO60" s="4"/>
      <c r="AP60" s="4"/>
      <c r="AQ60" s="4"/>
      <c r="AR60" s="2"/>
      <c r="AS60" s="2">
        <v>10</v>
      </c>
      <c r="AT60" s="2"/>
      <c r="AU60" s="2"/>
      <c r="AV60" s="2"/>
      <c r="AW60" s="2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>
        <f t="shared" si="29"/>
        <v>32</v>
      </c>
      <c r="BK60" s="1">
        <v>5</v>
      </c>
      <c r="BL60" s="17">
        <v>2</v>
      </c>
      <c r="BM60" s="17" t="s">
        <v>200</v>
      </c>
      <c r="BN60" t="str">
        <f t="shared" si="3"/>
        <v/>
      </c>
      <c r="BO60" t="str">
        <f t="shared" si="4"/>
        <v/>
      </c>
      <c r="BP60" t="str">
        <f t="shared" si="5"/>
        <v/>
      </c>
      <c r="BQ60" t="str">
        <f t="shared" si="6"/>
        <v/>
      </c>
      <c r="BR60" t="str">
        <f t="shared" si="7"/>
        <v/>
      </c>
      <c r="BS60" t="str">
        <f t="shared" si="8"/>
        <v/>
      </c>
      <c r="BT60" t="str">
        <f t="shared" si="9"/>
        <v/>
      </c>
      <c r="BU60">
        <f t="shared" si="10"/>
        <v>3</v>
      </c>
      <c r="BV60" t="str">
        <f t="shared" si="11"/>
        <v/>
      </c>
      <c r="BW60" t="str">
        <f t="shared" si="12"/>
        <v/>
      </c>
      <c r="BX60" t="str">
        <f t="shared" si="13"/>
        <v/>
      </c>
      <c r="BY60" t="str">
        <f t="shared" si="14"/>
        <v/>
      </c>
      <c r="BZ60">
        <f t="shared" si="28"/>
        <v>1</v>
      </c>
      <c r="CA60" t="str">
        <f t="shared" si="16"/>
        <v/>
      </c>
      <c r="CB60" t="str">
        <f t="shared" si="17"/>
        <v/>
      </c>
      <c r="CC60" t="str">
        <f t="shared" si="18"/>
        <v/>
      </c>
      <c r="CD60" t="str">
        <f t="shared" si="19"/>
        <v/>
      </c>
      <c r="CE60" t="str">
        <f t="shared" si="20"/>
        <v/>
      </c>
      <c r="CF60" t="str">
        <f t="shared" si="21"/>
        <v/>
      </c>
      <c r="CG60" t="str">
        <f t="shared" si="22"/>
        <v/>
      </c>
      <c r="CH60">
        <f t="shared" si="23"/>
        <v>3</v>
      </c>
      <c r="CI60" t="str">
        <f t="shared" si="24"/>
        <v/>
      </c>
      <c r="CJ60" t="str">
        <f t="shared" si="25"/>
        <v/>
      </c>
      <c r="CK60" t="str">
        <f t="shared" si="26"/>
        <v/>
      </c>
      <c r="CL60" t="str">
        <f t="shared" si="27"/>
        <v/>
      </c>
    </row>
    <row r="61" spans="1:90" ht="27" x14ac:dyDescent="0.15">
      <c r="A61" s="1">
        <v>67</v>
      </c>
      <c r="B61" s="3" t="s">
        <v>82</v>
      </c>
      <c r="C61" s="1" t="s">
        <v>68</v>
      </c>
      <c r="D61" s="1" t="s">
        <v>1</v>
      </c>
      <c r="E61" s="6"/>
      <c r="F61" s="6"/>
      <c r="G61" s="6"/>
      <c r="H61" s="6"/>
      <c r="I61" s="6"/>
      <c r="J61" s="6"/>
      <c r="K61" s="6"/>
      <c r="L61" s="6"/>
      <c r="M61" s="6"/>
      <c r="N61" s="6">
        <v>5</v>
      </c>
      <c r="O61" s="6"/>
      <c r="P61" s="6"/>
      <c r="Q61" s="6"/>
      <c r="R61" s="6"/>
      <c r="S61" s="6"/>
      <c r="T61" s="6"/>
      <c r="U61" s="6"/>
      <c r="V61" s="6"/>
      <c r="W61" s="6"/>
      <c r="X61" s="6">
        <v>5</v>
      </c>
      <c r="Y61" s="6"/>
      <c r="Z61" s="6"/>
      <c r="AA61" s="6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4"/>
      <c r="AM61" s="4"/>
      <c r="AN61" s="4"/>
      <c r="AO61" s="4"/>
      <c r="AP61" s="4"/>
      <c r="AQ61" s="4"/>
      <c r="AR61" s="2"/>
      <c r="AS61" s="2"/>
      <c r="AT61" s="2"/>
      <c r="AU61" s="2"/>
      <c r="AV61" s="2"/>
      <c r="AW61" s="2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>
        <f t="shared" si="29"/>
        <v>10</v>
      </c>
      <c r="BK61" s="1">
        <v>5</v>
      </c>
      <c r="BL61" s="17">
        <v>2</v>
      </c>
      <c r="BM61" s="17" t="s">
        <v>173</v>
      </c>
      <c r="BN61" t="str">
        <f t="shared" si="3"/>
        <v/>
      </c>
      <c r="BO61" t="str">
        <f t="shared" si="4"/>
        <v/>
      </c>
      <c r="BP61" t="str">
        <f t="shared" si="5"/>
        <v/>
      </c>
      <c r="BQ61" t="str">
        <f t="shared" si="6"/>
        <v/>
      </c>
      <c r="BR61" t="str">
        <f t="shared" si="7"/>
        <v/>
      </c>
      <c r="BS61" t="str">
        <f t="shared" si="8"/>
        <v/>
      </c>
      <c r="BT61" t="str">
        <f t="shared" si="9"/>
        <v/>
      </c>
      <c r="BU61" t="str">
        <f t="shared" si="10"/>
        <v/>
      </c>
      <c r="BV61" t="str">
        <f t="shared" si="11"/>
        <v/>
      </c>
      <c r="BW61" t="str">
        <f t="shared" si="12"/>
        <v/>
      </c>
      <c r="BX61" t="str">
        <f t="shared" si="13"/>
        <v/>
      </c>
      <c r="BY61" t="str">
        <f t="shared" si="14"/>
        <v/>
      </c>
      <c r="BZ61">
        <f t="shared" si="28"/>
        <v>0</v>
      </c>
      <c r="CA61" t="str">
        <f t="shared" si="16"/>
        <v/>
      </c>
      <c r="CB61" t="str">
        <f t="shared" si="17"/>
        <v/>
      </c>
      <c r="CC61" t="str">
        <f t="shared" si="18"/>
        <v/>
      </c>
      <c r="CD61" t="str">
        <f t="shared" si="19"/>
        <v/>
      </c>
      <c r="CE61" t="str">
        <f t="shared" si="20"/>
        <v/>
      </c>
      <c r="CF61" t="str">
        <f t="shared" si="21"/>
        <v/>
      </c>
      <c r="CG61" t="str">
        <f t="shared" si="22"/>
        <v/>
      </c>
      <c r="CH61" t="str">
        <f t="shared" si="23"/>
        <v/>
      </c>
      <c r="CI61" t="str">
        <f t="shared" si="24"/>
        <v/>
      </c>
      <c r="CJ61" t="str">
        <f t="shared" si="25"/>
        <v/>
      </c>
      <c r="CK61" t="str">
        <f t="shared" si="26"/>
        <v/>
      </c>
      <c r="CL61" t="str">
        <f t="shared" si="27"/>
        <v/>
      </c>
    </row>
    <row r="62" spans="1:90" ht="27" x14ac:dyDescent="0.15">
      <c r="A62" s="1">
        <v>20</v>
      </c>
      <c r="B62" s="1" t="s">
        <v>40</v>
      </c>
      <c r="C62" s="1" t="s">
        <v>33</v>
      </c>
      <c r="D62" s="1" t="s">
        <v>25</v>
      </c>
      <c r="E62" s="6"/>
      <c r="F62" s="6">
        <v>5</v>
      </c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1"/>
      <c r="AC62" s="1"/>
      <c r="AD62" s="1">
        <v>5</v>
      </c>
      <c r="AE62" s="1"/>
      <c r="AF62" s="1"/>
      <c r="AG62" s="1"/>
      <c r="AH62" s="1"/>
      <c r="AI62" s="1"/>
      <c r="AJ62" s="1"/>
      <c r="AK62" s="1"/>
      <c r="AL62" s="4"/>
      <c r="AM62" s="4"/>
      <c r="AN62" s="4"/>
      <c r="AO62" s="4"/>
      <c r="AP62" s="4"/>
      <c r="AQ62" s="4"/>
      <c r="AR62" s="2"/>
      <c r="AS62" s="2"/>
      <c r="AT62" s="2"/>
      <c r="AU62" s="2"/>
      <c r="AV62" s="2"/>
      <c r="AW62" s="2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>
        <f t="shared" si="29"/>
        <v>10</v>
      </c>
      <c r="BK62" s="1">
        <v>6</v>
      </c>
      <c r="BL62" s="17">
        <v>2</v>
      </c>
      <c r="BM62" s="17" t="s">
        <v>152</v>
      </c>
      <c r="BN62" t="str">
        <f t="shared" si="3"/>
        <v/>
      </c>
      <c r="BO62" t="str">
        <f t="shared" si="4"/>
        <v/>
      </c>
      <c r="BP62" t="str">
        <f t="shared" si="5"/>
        <v/>
      </c>
      <c r="BQ62" t="str">
        <f t="shared" si="6"/>
        <v/>
      </c>
      <c r="BR62" t="str">
        <f t="shared" si="7"/>
        <v/>
      </c>
      <c r="BS62" t="str">
        <f t="shared" si="8"/>
        <v/>
      </c>
      <c r="BT62" t="str">
        <f t="shared" si="9"/>
        <v/>
      </c>
      <c r="BU62" t="str">
        <f t="shared" si="10"/>
        <v/>
      </c>
      <c r="BV62" t="str">
        <f t="shared" si="11"/>
        <v/>
      </c>
      <c r="BW62" t="str">
        <f t="shared" si="12"/>
        <v/>
      </c>
      <c r="BX62" t="str">
        <f t="shared" si="13"/>
        <v/>
      </c>
      <c r="BY62" t="str">
        <f t="shared" si="14"/>
        <v/>
      </c>
      <c r="BZ62">
        <f t="shared" si="28"/>
        <v>0</v>
      </c>
      <c r="CA62" t="str">
        <f t="shared" si="16"/>
        <v/>
      </c>
      <c r="CB62" t="str">
        <f t="shared" si="17"/>
        <v/>
      </c>
      <c r="CC62" t="str">
        <f t="shared" si="18"/>
        <v/>
      </c>
      <c r="CD62" t="str">
        <f t="shared" si="19"/>
        <v/>
      </c>
      <c r="CE62" t="str">
        <f t="shared" si="20"/>
        <v/>
      </c>
      <c r="CF62" t="str">
        <f t="shared" si="21"/>
        <v/>
      </c>
      <c r="CG62" t="str">
        <f t="shared" si="22"/>
        <v/>
      </c>
      <c r="CH62" t="str">
        <f t="shared" si="23"/>
        <v/>
      </c>
      <c r="CI62" t="str">
        <f t="shared" si="24"/>
        <v/>
      </c>
      <c r="CJ62" t="str">
        <f t="shared" si="25"/>
        <v/>
      </c>
      <c r="CK62" t="str">
        <f t="shared" si="26"/>
        <v/>
      </c>
      <c r="CL62" t="str">
        <f t="shared" si="27"/>
        <v/>
      </c>
    </row>
    <row r="63" spans="1:90" ht="27" x14ac:dyDescent="0.15">
      <c r="A63" s="1">
        <v>41</v>
      </c>
      <c r="B63" s="1" t="s">
        <v>63</v>
      </c>
      <c r="C63" s="1" t="s">
        <v>52</v>
      </c>
      <c r="D63" s="1" t="s">
        <v>13</v>
      </c>
      <c r="E63" s="6"/>
      <c r="F63" s="6"/>
      <c r="G63" s="6"/>
      <c r="H63" s="6"/>
      <c r="I63" s="6"/>
      <c r="J63" s="6"/>
      <c r="K63" s="6"/>
      <c r="L63" s="6">
        <v>6</v>
      </c>
      <c r="M63" s="6"/>
      <c r="N63" s="6"/>
      <c r="O63" s="6">
        <v>6</v>
      </c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4">
        <v>10</v>
      </c>
      <c r="AM63" s="4"/>
      <c r="AN63" s="4"/>
      <c r="AO63" s="4"/>
      <c r="AP63" s="4"/>
      <c r="AQ63" s="4"/>
      <c r="AR63" s="2"/>
      <c r="AS63" s="2">
        <v>10</v>
      </c>
      <c r="AT63" s="2"/>
      <c r="AU63" s="2"/>
      <c r="AV63" s="2"/>
      <c r="AW63" s="2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>
        <f t="shared" si="29"/>
        <v>32</v>
      </c>
      <c r="BK63" s="1">
        <v>6</v>
      </c>
      <c r="BL63" s="17">
        <v>2</v>
      </c>
      <c r="BM63" s="17" t="s">
        <v>201</v>
      </c>
      <c r="BN63" t="str">
        <f t="shared" si="3"/>
        <v/>
      </c>
      <c r="BO63" t="str">
        <f t="shared" si="4"/>
        <v/>
      </c>
      <c r="BP63" t="str">
        <f t="shared" si="5"/>
        <v/>
      </c>
      <c r="BQ63" t="str">
        <f t="shared" si="6"/>
        <v/>
      </c>
      <c r="BR63" t="str">
        <f t="shared" si="7"/>
        <v/>
      </c>
      <c r="BS63" t="str">
        <f t="shared" si="8"/>
        <v/>
      </c>
      <c r="BT63" t="str">
        <f t="shared" si="9"/>
        <v/>
      </c>
      <c r="BU63">
        <f t="shared" si="10"/>
        <v>3</v>
      </c>
      <c r="BV63" t="str">
        <f t="shared" si="11"/>
        <v/>
      </c>
      <c r="BW63" t="str">
        <f t="shared" si="12"/>
        <v/>
      </c>
      <c r="BX63" t="str">
        <f t="shared" si="13"/>
        <v/>
      </c>
      <c r="BY63" t="str">
        <f t="shared" si="14"/>
        <v/>
      </c>
      <c r="BZ63">
        <f t="shared" si="28"/>
        <v>1</v>
      </c>
      <c r="CA63" t="str">
        <f t="shared" si="16"/>
        <v/>
      </c>
      <c r="CB63" t="str">
        <f t="shared" si="17"/>
        <v/>
      </c>
      <c r="CC63" t="str">
        <f t="shared" si="18"/>
        <v/>
      </c>
      <c r="CD63" t="str">
        <f t="shared" si="19"/>
        <v/>
      </c>
      <c r="CE63" t="str">
        <f t="shared" si="20"/>
        <v/>
      </c>
      <c r="CF63" t="str">
        <f t="shared" si="21"/>
        <v/>
      </c>
      <c r="CG63" t="str">
        <f t="shared" si="22"/>
        <v/>
      </c>
      <c r="CH63">
        <f t="shared" si="23"/>
        <v>3</v>
      </c>
      <c r="CI63" t="str">
        <f t="shared" si="24"/>
        <v/>
      </c>
      <c r="CJ63" t="str">
        <f t="shared" si="25"/>
        <v/>
      </c>
      <c r="CK63" t="str">
        <f t="shared" si="26"/>
        <v/>
      </c>
      <c r="CL63" t="str">
        <f t="shared" si="27"/>
        <v/>
      </c>
    </row>
    <row r="64" spans="1:90" ht="27" x14ac:dyDescent="0.15">
      <c r="A64" s="1">
        <v>21</v>
      </c>
      <c r="B64" s="1" t="s">
        <v>41</v>
      </c>
      <c r="C64" s="1" t="s">
        <v>33</v>
      </c>
      <c r="D64" s="1" t="s">
        <v>26</v>
      </c>
      <c r="E64" s="6"/>
      <c r="F64" s="6"/>
      <c r="G64" s="6">
        <v>6</v>
      </c>
      <c r="H64" s="6">
        <v>6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4"/>
      <c r="AM64" s="4"/>
      <c r="AN64" s="4">
        <v>10</v>
      </c>
      <c r="AO64" s="4"/>
      <c r="AP64" s="4"/>
      <c r="AQ64" s="4"/>
      <c r="AR64" s="2"/>
      <c r="AS64" s="2"/>
      <c r="AT64" s="2"/>
      <c r="AU64" s="2"/>
      <c r="AV64" s="2"/>
      <c r="AW64" s="2">
        <v>10</v>
      </c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>
        <f t="shared" si="29"/>
        <v>32</v>
      </c>
      <c r="BK64" s="1">
        <v>8</v>
      </c>
      <c r="BL64" s="17">
        <v>2</v>
      </c>
      <c r="BM64" s="17" t="s">
        <v>195</v>
      </c>
      <c r="BN64" t="str">
        <f t="shared" si="3"/>
        <v/>
      </c>
      <c r="BO64" t="str">
        <f t="shared" si="4"/>
        <v/>
      </c>
      <c r="BP64" t="str">
        <f t="shared" si="5"/>
        <v/>
      </c>
      <c r="BQ64" t="str">
        <f t="shared" si="6"/>
        <v/>
      </c>
      <c r="BR64" t="str">
        <f t="shared" si="7"/>
        <v/>
      </c>
      <c r="BS64" t="str">
        <f t="shared" si="8"/>
        <v/>
      </c>
      <c r="BT64" t="str">
        <f t="shared" si="9"/>
        <v/>
      </c>
      <c r="BU64" t="str">
        <f t="shared" si="10"/>
        <v/>
      </c>
      <c r="BV64" t="str">
        <f t="shared" si="11"/>
        <v/>
      </c>
      <c r="BW64" t="str">
        <f t="shared" si="12"/>
        <v/>
      </c>
      <c r="BX64" t="str">
        <f t="shared" si="13"/>
        <v/>
      </c>
      <c r="BY64">
        <f t="shared" si="14"/>
        <v>3</v>
      </c>
      <c r="BZ64">
        <f t="shared" si="28"/>
        <v>1</v>
      </c>
      <c r="CA64" t="str">
        <f t="shared" si="16"/>
        <v/>
      </c>
      <c r="CB64" t="str">
        <f t="shared" si="17"/>
        <v/>
      </c>
      <c r="CC64" t="str">
        <f t="shared" si="18"/>
        <v/>
      </c>
      <c r="CD64" t="str">
        <f t="shared" si="19"/>
        <v/>
      </c>
      <c r="CE64" t="str">
        <f t="shared" si="20"/>
        <v/>
      </c>
      <c r="CF64" t="str">
        <f t="shared" si="21"/>
        <v/>
      </c>
      <c r="CG64" t="str">
        <f t="shared" si="22"/>
        <v/>
      </c>
      <c r="CH64" t="str">
        <f t="shared" si="23"/>
        <v/>
      </c>
      <c r="CI64" t="str">
        <f t="shared" si="24"/>
        <v/>
      </c>
      <c r="CJ64" t="str">
        <f t="shared" si="25"/>
        <v/>
      </c>
      <c r="CK64" t="str">
        <f t="shared" si="26"/>
        <v/>
      </c>
      <c r="CL64">
        <f t="shared" si="27"/>
        <v>3</v>
      </c>
    </row>
    <row r="65" spans="1:90" ht="27" x14ac:dyDescent="0.15">
      <c r="A65" s="1">
        <v>101</v>
      </c>
      <c r="B65" s="3" t="s">
        <v>99</v>
      </c>
      <c r="C65" s="3" t="s">
        <v>97</v>
      </c>
      <c r="D65" s="1" t="s">
        <v>13</v>
      </c>
      <c r="E65" s="6"/>
      <c r="F65" s="6"/>
      <c r="G65" s="6"/>
      <c r="H65" s="6">
        <v>6</v>
      </c>
      <c r="I65" s="6">
        <v>6</v>
      </c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4"/>
      <c r="AM65" s="4"/>
      <c r="AN65" s="4"/>
      <c r="AO65" s="4"/>
      <c r="AP65" s="4">
        <v>8</v>
      </c>
      <c r="AQ65" s="4"/>
      <c r="AR65" s="2">
        <v>8</v>
      </c>
      <c r="AS65" s="2"/>
      <c r="AT65" s="2"/>
      <c r="AU65" s="2"/>
      <c r="AV65" s="2"/>
      <c r="AW65" s="2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>
        <f t="shared" si="29"/>
        <v>28</v>
      </c>
      <c r="BK65" s="1">
        <v>9</v>
      </c>
      <c r="BL65" s="17">
        <v>2</v>
      </c>
      <c r="BM65" s="17" t="s">
        <v>187</v>
      </c>
      <c r="BN65" t="str">
        <f t="shared" si="3"/>
        <v/>
      </c>
      <c r="BO65" t="str">
        <f t="shared" si="4"/>
        <v/>
      </c>
      <c r="BP65" t="str">
        <f t="shared" si="5"/>
        <v/>
      </c>
      <c r="BQ65" t="str">
        <f t="shared" si="6"/>
        <v/>
      </c>
      <c r="BR65" t="str">
        <f t="shared" si="7"/>
        <v/>
      </c>
      <c r="BS65" t="str">
        <f t="shared" si="8"/>
        <v/>
      </c>
      <c r="BT65">
        <f t="shared" si="9"/>
        <v>7</v>
      </c>
      <c r="BU65" t="str">
        <f t="shared" si="10"/>
        <v/>
      </c>
      <c r="BV65" t="str">
        <f t="shared" si="11"/>
        <v/>
      </c>
      <c r="BW65" t="str">
        <f t="shared" si="12"/>
        <v/>
      </c>
      <c r="BX65" t="str">
        <f t="shared" si="13"/>
        <v/>
      </c>
      <c r="BY65" t="str">
        <f t="shared" si="14"/>
        <v/>
      </c>
      <c r="BZ65">
        <f t="shared" si="28"/>
        <v>1</v>
      </c>
      <c r="CA65" t="str">
        <f t="shared" si="16"/>
        <v/>
      </c>
      <c r="CB65" t="str">
        <f t="shared" si="17"/>
        <v/>
      </c>
      <c r="CC65" t="str">
        <f t="shared" si="18"/>
        <v/>
      </c>
      <c r="CD65" t="str">
        <f t="shared" si="19"/>
        <v/>
      </c>
      <c r="CE65" t="str">
        <f t="shared" si="20"/>
        <v/>
      </c>
      <c r="CF65" t="str">
        <f t="shared" si="21"/>
        <v/>
      </c>
      <c r="CG65">
        <f t="shared" si="22"/>
        <v>7</v>
      </c>
      <c r="CH65" t="str">
        <f t="shared" si="23"/>
        <v/>
      </c>
      <c r="CI65" t="str">
        <f t="shared" si="24"/>
        <v/>
      </c>
      <c r="CJ65" t="str">
        <f t="shared" si="25"/>
        <v/>
      </c>
      <c r="CK65" t="str">
        <f t="shared" si="26"/>
        <v/>
      </c>
      <c r="CL65" t="str">
        <f t="shared" si="27"/>
        <v/>
      </c>
    </row>
    <row r="66" spans="1:90" ht="27" x14ac:dyDescent="0.15">
      <c r="A66" s="1">
        <v>27</v>
      </c>
      <c r="B66" s="1" t="s">
        <v>109</v>
      </c>
      <c r="C66" s="1" t="s">
        <v>33</v>
      </c>
      <c r="D66" s="1" t="s">
        <v>24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1"/>
      <c r="AC66" s="1"/>
      <c r="AD66" s="1"/>
      <c r="AE66" s="1">
        <v>5</v>
      </c>
      <c r="AF66" s="1">
        <v>5</v>
      </c>
      <c r="AG66" s="1"/>
      <c r="AH66" s="1"/>
      <c r="AI66" s="1"/>
      <c r="AJ66" s="1"/>
      <c r="AK66" s="1"/>
      <c r="AL66" s="4"/>
      <c r="AM66" s="4"/>
      <c r="AN66" s="4"/>
      <c r="AO66" s="4"/>
      <c r="AP66" s="4"/>
      <c r="AQ66" s="4"/>
      <c r="AR66" s="2"/>
      <c r="AS66" s="2"/>
      <c r="AT66" s="2"/>
      <c r="AU66" s="2"/>
      <c r="AV66" s="2"/>
      <c r="AW66" s="2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>
        <f t="shared" ref="BJ66:BJ95" si="30">SUM(E66:BI66)</f>
        <v>10</v>
      </c>
      <c r="BK66" s="1">
        <v>10</v>
      </c>
      <c r="BL66" s="17">
        <v>2</v>
      </c>
      <c r="BM66" s="17" t="s">
        <v>155</v>
      </c>
      <c r="BN66" t="str">
        <f t="shared" si="3"/>
        <v/>
      </c>
      <c r="BO66" t="str">
        <f t="shared" si="4"/>
        <v/>
      </c>
      <c r="BP66" t="str">
        <f t="shared" si="5"/>
        <v/>
      </c>
      <c r="BQ66" t="str">
        <f t="shared" si="6"/>
        <v/>
      </c>
      <c r="BR66" t="str">
        <f t="shared" si="7"/>
        <v/>
      </c>
      <c r="BS66" t="str">
        <f t="shared" si="8"/>
        <v/>
      </c>
      <c r="BT66" t="str">
        <f t="shared" si="9"/>
        <v/>
      </c>
      <c r="BU66" t="str">
        <f t="shared" si="10"/>
        <v/>
      </c>
      <c r="BV66" t="str">
        <f t="shared" si="11"/>
        <v/>
      </c>
      <c r="BW66" t="str">
        <f t="shared" si="12"/>
        <v/>
      </c>
      <c r="BX66" t="str">
        <f t="shared" si="13"/>
        <v/>
      </c>
      <c r="BY66" t="str">
        <f t="shared" si="14"/>
        <v/>
      </c>
      <c r="BZ66">
        <f t="shared" si="28"/>
        <v>0</v>
      </c>
      <c r="CA66" t="str">
        <f t="shared" si="16"/>
        <v/>
      </c>
      <c r="CB66" t="str">
        <f t="shared" si="17"/>
        <v/>
      </c>
      <c r="CC66" t="str">
        <f t="shared" si="18"/>
        <v/>
      </c>
      <c r="CD66" t="str">
        <f t="shared" si="19"/>
        <v/>
      </c>
      <c r="CE66" t="str">
        <f t="shared" si="20"/>
        <v/>
      </c>
      <c r="CF66" t="str">
        <f t="shared" si="21"/>
        <v/>
      </c>
      <c r="CG66" t="str">
        <f t="shared" si="22"/>
        <v/>
      </c>
      <c r="CH66" t="str">
        <f t="shared" si="23"/>
        <v/>
      </c>
      <c r="CI66" t="str">
        <f t="shared" si="24"/>
        <v/>
      </c>
      <c r="CJ66" t="str">
        <f t="shared" si="25"/>
        <v/>
      </c>
      <c r="CK66" t="str">
        <f t="shared" si="26"/>
        <v/>
      </c>
      <c r="CL66" t="str">
        <f t="shared" si="27"/>
        <v/>
      </c>
    </row>
    <row r="67" spans="1:90" ht="27" x14ac:dyDescent="0.15">
      <c r="A67" s="1">
        <v>81</v>
      </c>
      <c r="B67" s="3" t="s">
        <v>93</v>
      </c>
      <c r="C67" s="3" t="s">
        <v>87</v>
      </c>
      <c r="D67" s="1" t="s">
        <v>13</v>
      </c>
      <c r="E67" s="6"/>
      <c r="F67" s="6"/>
      <c r="G67" s="6"/>
      <c r="H67" s="6"/>
      <c r="I67" s="6"/>
      <c r="J67" s="6"/>
      <c r="K67" s="6"/>
      <c r="L67" s="6">
        <v>6</v>
      </c>
      <c r="M67" s="6"/>
      <c r="N67" s="6"/>
      <c r="O67" s="6">
        <v>6</v>
      </c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4"/>
      <c r="AM67" s="4"/>
      <c r="AN67" s="4"/>
      <c r="AO67" s="4">
        <v>10</v>
      </c>
      <c r="AP67" s="4"/>
      <c r="AQ67" s="4"/>
      <c r="AR67" s="2"/>
      <c r="AS67" s="2"/>
      <c r="AT67" s="2"/>
      <c r="AU67" s="2"/>
      <c r="AV67" s="2">
        <v>10</v>
      </c>
      <c r="AW67" s="2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>
        <f t="shared" si="30"/>
        <v>32</v>
      </c>
      <c r="BK67" s="1">
        <v>10</v>
      </c>
      <c r="BL67" s="17">
        <v>2</v>
      </c>
      <c r="BM67" s="17" t="s">
        <v>177</v>
      </c>
      <c r="BN67" t="str">
        <f t="shared" ref="BN67:BN95" si="31">IF(AL67&gt;AL$97, AL67-AL$97,"")</f>
        <v/>
      </c>
      <c r="BO67" t="str">
        <f t="shared" ref="BO67:BO95" si="32">IF(AM67&gt;AM$97, AM67-AM$97,"")</f>
        <v/>
      </c>
      <c r="BP67" t="str">
        <f t="shared" ref="BP67:BP95" si="33">IF(AN67&gt;AN$97, AN67-AN$97,"")</f>
        <v/>
      </c>
      <c r="BQ67">
        <f t="shared" ref="BQ67:BQ95" si="34">IF(AO67&gt;AO$97, AO67-AO$97,"")</f>
        <v>7</v>
      </c>
      <c r="BR67" t="str">
        <f t="shared" ref="BR67:BR95" si="35">IF(AP67&gt;AP$97, AP67-AP$97,"")</f>
        <v/>
      </c>
      <c r="BS67" t="str">
        <f t="shared" ref="BS67:BS95" si="36">IF(AQ67&gt;AQ$97, AQ67-AQ$97,"")</f>
        <v/>
      </c>
      <c r="BT67" t="str">
        <f t="shared" ref="BT67:BT95" si="37">IF(AR67&gt;AR$97, AR67-AR$97,"")</f>
        <v/>
      </c>
      <c r="BU67" t="str">
        <f t="shared" ref="BU67:BU95" si="38">IF(AS67&gt;AS$97, AS67-AS$97,"")</f>
        <v/>
      </c>
      <c r="BV67" t="str">
        <f t="shared" ref="BV67:BV95" si="39">IF(AT67&gt;AT$97, AT67-AT$97,"")</f>
        <v/>
      </c>
      <c r="BW67" t="str">
        <f t="shared" ref="BW67:BW95" si="40">IF(AU67&gt;AU$97, AU67-AU$97,"")</f>
        <v/>
      </c>
      <c r="BX67" t="str">
        <f t="shared" ref="BX67:BX95" si="41">IF(AV67&gt;AV$97, AV67-AV$97,"")</f>
        <v/>
      </c>
      <c r="BY67" t="str">
        <f t="shared" ref="BY67:BY95" si="42">IF(AW67&gt;AW$97, AW67-AW$97,"")</f>
        <v/>
      </c>
      <c r="BZ67">
        <f t="shared" si="28"/>
        <v>1</v>
      </c>
      <c r="CA67" t="str">
        <f t="shared" ref="CA67:CA95" si="43">IF($BZ67=1,BN67,"")</f>
        <v/>
      </c>
      <c r="CB67" t="str">
        <f t="shared" ref="CB67:CB95" si="44">IF($BZ67=1,BO67,"")</f>
        <v/>
      </c>
      <c r="CC67" t="str">
        <f t="shared" ref="CC67:CC95" si="45">IF($BZ67=1,BP67,"")</f>
        <v/>
      </c>
      <c r="CD67">
        <f t="shared" ref="CD67:CD95" si="46">IF($BZ67=1,BQ67,"")</f>
        <v>7</v>
      </c>
      <c r="CE67" t="str">
        <f t="shared" ref="CE67:CE95" si="47">IF($BZ67=1,BR67,"")</f>
        <v/>
      </c>
      <c r="CF67" t="str">
        <f t="shared" ref="CF67:CF95" si="48">IF($BZ67=1,BS67,"")</f>
        <v/>
      </c>
      <c r="CG67" t="str">
        <f t="shared" ref="CG67:CG95" si="49">IF($BZ67=1,BT67,"")</f>
        <v/>
      </c>
      <c r="CH67" t="str">
        <f t="shared" ref="CH67:CH95" si="50">IF($BZ67=1,BU67,"")</f>
        <v/>
      </c>
      <c r="CI67" t="str">
        <f t="shared" ref="CI67:CI95" si="51">IF($BZ67=1,BV67,"")</f>
        <v/>
      </c>
      <c r="CJ67" t="str">
        <f t="shared" ref="CJ67:CJ95" si="52">IF($BZ67=1,BW67,"")</f>
        <v/>
      </c>
      <c r="CK67" t="str">
        <f t="shared" ref="CK67:CK95" si="53">IF($BZ67=1,BX67,"")</f>
        <v/>
      </c>
      <c r="CL67" t="str">
        <f t="shared" ref="CL67:CL95" si="54">IF($BZ67=1,BY67,"")</f>
        <v/>
      </c>
    </row>
    <row r="68" spans="1:90" ht="27" x14ac:dyDescent="0.15">
      <c r="A68" s="1">
        <v>86</v>
      </c>
      <c r="B68" s="3" t="s">
        <v>122</v>
      </c>
      <c r="C68" s="3" t="s">
        <v>87</v>
      </c>
      <c r="D68" s="1" t="s">
        <v>24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1"/>
      <c r="AC68" s="1"/>
      <c r="AD68" s="1"/>
      <c r="AE68" s="1"/>
      <c r="AF68" s="1"/>
      <c r="AG68" s="1"/>
      <c r="AH68" s="1">
        <v>5</v>
      </c>
      <c r="AI68" s="1">
        <v>5</v>
      </c>
      <c r="AJ68" s="1"/>
      <c r="AK68" s="1"/>
      <c r="AL68" s="4"/>
      <c r="AM68" s="4"/>
      <c r="AN68" s="4"/>
      <c r="AO68" s="4"/>
      <c r="AP68" s="4"/>
      <c r="AQ68" s="4"/>
      <c r="AR68" s="2"/>
      <c r="AS68" s="2"/>
      <c r="AT68" s="2"/>
      <c r="AU68" s="2"/>
      <c r="AV68" s="2"/>
      <c r="AW68" s="2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>
        <f t="shared" si="30"/>
        <v>10</v>
      </c>
      <c r="BK68" s="1">
        <v>10</v>
      </c>
      <c r="BL68" s="17">
        <v>2</v>
      </c>
      <c r="BM68" s="17" t="s">
        <v>179</v>
      </c>
      <c r="BN68" t="str">
        <f t="shared" si="31"/>
        <v/>
      </c>
      <c r="BO68" t="str">
        <f t="shared" si="32"/>
        <v/>
      </c>
      <c r="BP68" t="str">
        <f t="shared" si="33"/>
        <v/>
      </c>
      <c r="BQ68" t="str">
        <f t="shared" si="34"/>
        <v/>
      </c>
      <c r="BR68" t="str">
        <f t="shared" si="35"/>
        <v/>
      </c>
      <c r="BS68" t="str">
        <f t="shared" si="36"/>
        <v/>
      </c>
      <c r="BT68" t="str">
        <f t="shared" si="37"/>
        <v/>
      </c>
      <c r="BU68" t="str">
        <f t="shared" si="38"/>
        <v/>
      </c>
      <c r="BV68" t="str">
        <f t="shared" si="39"/>
        <v/>
      </c>
      <c r="BW68" t="str">
        <f t="shared" si="40"/>
        <v/>
      </c>
      <c r="BX68" t="str">
        <f t="shared" si="41"/>
        <v/>
      </c>
      <c r="BY68" t="str">
        <f t="shared" si="42"/>
        <v/>
      </c>
      <c r="BZ68">
        <f t="shared" si="28"/>
        <v>0</v>
      </c>
      <c r="CA68" t="str">
        <f t="shared" si="43"/>
        <v/>
      </c>
      <c r="CB68" t="str">
        <f t="shared" si="44"/>
        <v/>
      </c>
      <c r="CC68" t="str">
        <f t="shared" si="45"/>
        <v/>
      </c>
      <c r="CD68" t="str">
        <f t="shared" si="46"/>
        <v/>
      </c>
      <c r="CE68" t="str">
        <f t="shared" si="47"/>
        <v/>
      </c>
      <c r="CF68" t="str">
        <f t="shared" si="48"/>
        <v/>
      </c>
      <c r="CG68" t="str">
        <f t="shared" si="49"/>
        <v/>
      </c>
      <c r="CH68" t="str">
        <f t="shared" si="50"/>
        <v/>
      </c>
      <c r="CI68" t="str">
        <f t="shared" si="51"/>
        <v/>
      </c>
      <c r="CJ68" t="str">
        <f t="shared" si="52"/>
        <v/>
      </c>
      <c r="CK68" t="str">
        <f t="shared" si="53"/>
        <v/>
      </c>
      <c r="CL68" t="str">
        <f t="shared" si="54"/>
        <v/>
      </c>
    </row>
    <row r="69" spans="1:90" ht="27" x14ac:dyDescent="0.15">
      <c r="A69" s="1">
        <v>87</v>
      </c>
      <c r="B69" s="3" t="s">
        <v>122</v>
      </c>
      <c r="C69" s="3" t="s">
        <v>87</v>
      </c>
      <c r="D69" s="1" t="s">
        <v>1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1"/>
      <c r="AC69" s="1"/>
      <c r="AD69" s="1"/>
      <c r="AE69" s="1"/>
      <c r="AF69" s="1"/>
      <c r="AG69" s="1"/>
      <c r="AH69" s="1">
        <v>5</v>
      </c>
      <c r="AI69" s="1">
        <v>5</v>
      </c>
      <c r="AJ69" s="1"/>
      <c r="AK69" s="1"/>
      <c r="AL69" s="4"/>
      <c r="AM69" s="4"/>
      <c r="AN69" s="4"/>
      <c r="AO69" s="4"/>
      <c r="AP69" s="4"/>
      <c r="AQ69" s="4"/>
      <c r="AR69" s="2"/>
      <c r="AS69" s="2"/>
      <c r="AT69" s="2"/>
      <c r="AU69" s="2"/>
      <c r="AV69" s="2"/>
      <c r="AW69" s="2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>
        <f t="shared" si="30"/>
        <v>10</v>
      </c>
      <c r="BK69" s="1">
        <v>10</v>
      </c>
      <c r="BL69" s="17">
        <v>2</v>
      </c>
      <c r="BM69" s="17" t="s">
        <v>179</v>
      </c>
      <c r="BN69" t="str">
        <f t="shared" si="31"/>
        <v/>
      </c>
      <c r="BO69" t="str">
        <f t="shared" si="32"/>
        <v/>
      </c>
      <c r="BP69" t="str">
        <f t="shared" si="33"/>
        <v/>
      </c>
      <c r="BQ69" t="str">
        <f t="shared" si="34"/>
        <v/>
      </c>
      <c r="BR69" t="str">
        <f t="shared" si="35"/>
        <v/>
      </c>
      <c r="BS69" t="str">
        <f t="shared" si="36"/>
        <v/>
      </c>
      <c r="BT69" t="str">
        <f t="shared" si="37"/>
        <v/>
      </c>
      <c r="BU69" t="str">
        <f t="shared" si="38"/>
        <v/>
      </c>
      <c r="BV69" t="str">
        <f t="shared" si="39"/>
        <v/>
      </c>
      <c r="BW69" t="str">
        <f t="shared" si="40"/>
        <v/>
      </c>
      <c r="BX69" t="str">
        <f t="shared" si="41"/>
        <v/>
      </c>
      <c r="BY69" t="str">
        <f t="shared" si="42"/>
        <v/>
      </c>
      <c r="BZ69">
        <f t="shared" si="28"/>
        <v>0</v>
      </c>
      <c r="CA69" t="str">
        <f t="shared" si="43"/>
        <v/>
      </c>
      <c r="CB69" t="str">
        <f t="shared" si="44"/>
        <v/>
      </c>
      <c r="CC69" t="str">
        <f t="shared" si="45"/>
        <v/>
      </c>
      <c r="CD69" t="str">
        <f t="shared" si="46"/>
        <v/>
      </c>
      <c r="CE69" t="str">
        <f t="shared" si="47"/>
        <v/>
      </c>
      <c r="CF69" t="str">
        <f t="shared" si="48"/>
        <v/>
      </c>
      <c r="CG69" t="str">
        <f t="shared" si="49"/>
        <v/>
      </c>
      <c r="CH69" t="str">
        <f t="shared" si="50"/>
        <v/>
      </c>
      <c r="CI69" t="str">
        <f t="shared" si="51"/>
        <v/>
      </c>
      <c r="CJ69" t="str">
        <f t="shared" si="52"/>
        <v/>
      </c>
      <c r="CK69" t="str">
        <f t="shared" si="53"/>
        <v/>
      </c>
      <c r="CL69" t="str">
        <f t="shared" si="54"/>
        <v/>
      </c>
    </row>
    <row r="70" spans="1:90" ht="27" x14ac:dyDescent="0.15">
      <c r="A70" s="1">
        <v>88</v>
      </c>
      <c r="B70" s="3" t="s">
        <v>123</v>
      </c>
      <c r="C70" s="3" t="s">
        <v>124</v>
      </c>
      <c r="D70" s="1" t="s">
        <v>24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1"/>
      <c r="AC70" s="1"/>
      <c r="AD70" s="1"/>
      <c r="AE70" s="1">
        <v>5</v>
      </c>
      <c r="AF70" s="1">
        <v>5</v>
      </c>
      <c r="AG70" s="1"/>
      <c r="AH70" s="1"/>
      <c r="AI70" s="1"/>
      <c r="AJ70" s="1"/>
      <c r="AK70" s="1"/>
      <c r="AL70" s="4"/>
      <c r="AM70" s="4"/>
      <c r="AN70" s="4"/>
      <c r="AO70" s="4"/>
      <c r="AP70" s="4"/>
      <c r="AQ70" s="4"/>
      <c r="AR70" s="2"/>
      <c r="AS70" s="2"/>
      <c r="AT70" s="2"/>
      <c r="AU70" s="2"/>
      <c r="AV70" s="2"/>
      <c r="AW70" s="2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>
        <f t="shared" si="30"/>
        <v>10</v>
      </c>
      <c r="BK70" s="1">
        <v>10</v>
      </c>
      <c r="BL70" s="17">
        <v>2</v>
      </c>
      <c r="BM70" s="17" t="s">
        <v>155</v>
      </c>
      <c r="BN70" t="str">
        <f t="shared" si="31"/>
        <v/>
      </c>
      <c r="BO70" t="str">
        <f t="shared" si="32"/>
        <v/>
      </c>
      <c r="BP70" t="str">
        <f t="shared" si="33"/>
        <v/>
      </c>
      <c r="BQ70" t="str">
        <f t="shared" si="34"/>
        <v/>
      </c>
      <c r="BR70" t="str">
        <f t="shared" si="35"/>
        <v/>
      </c>
      <c r="BS70" t="str">
        <f t="shared" si="36"/>
        <v/>
      </c>
      <c r="BT70" t="str">
        <f t="shared" si="37"/>
        <v/>
      </c>
      <c r="BU70" t="str">
        <f t="shared" si="38"/>
        <v/>
      </c>
      <c r="BV70" t="str">
        <f t="shared" si="39"/>
        <v/>
      </c>
      <c r="BW70" t="str">
        <f t="shared" si="40"/>
        <v/>
      </c>
      <c r="BX70" t="str">
        <f t="shared" si="41"/>
        <v/>
      </c>
      <c r="BY70" t="str">
        <f t="shared" si="42"/>
        <v/>
      </c>
      <c r="BZ70">
        <f t="shared" si="28"/>
        <v>0</v>
      </c>
      <c r="CA70" t="str">
        <f t="shared" si="43"/>
        <v/>
      </c>
      <c r="CB70" t="str">
        <f t="shared" si="44"/>
        <v/>
      </c>
      <c r="CC70" t="str">
        <f t="shared" si="45"/>
        <v/>
      </c>
      <c r="CD70" t="str">
        <f t="shared" si="46"/>
        <v/>
      </c>
      <c r="CE70" t="str">
        <f t="shared" si="47"/>
        <v/>
      </c>
      <c r="CF70" t="str">
        <f t="shared" si="48"/>
        <v/>
      </c>
      <c r="CG70" t="str">
        <f t="shared" si="49"/>
        <v/>
      </c>
      <c r="CH70" t="str">
        <f t="shared" si="50"/>
        <v/>
      </c>
      <c r="CI70" t="str">
        <f t="shared" si="51"/>
        <v/>
      </c>
      <c r="CJ70" t="str">
        <f t="shared" si="52"/>
        <v/>
      </c>
      <c r="CK70" t="str">
        <f t="shared" si="53"/>
        <v/>
      </c>
      <c r="CL70" t="str">
        <f t="shared" si="54"/>
        <v/>
      </c>
    </row>
    <row r="71" spans="1:90" ht="27" x14ac:dyDescent="0.15">
      <c r="A71" s="1">
        <v>5</v>
      </c>
      <c r="B71" s="1" t="s">
        <v>22</v>
      </c>
      <c r="C71" s="1" t="s">
        <v>2</v>
      </c>
      <c r="D71" s="1" t="s">
        <v>12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4"/>
      <c r="AM71" s="4">
        <v>10</v>
      </c>
      <c r="AN71" s="4"/>
      <c r="AO71" s="4"/>
      <c r="AP71" s="4"/>
      <c r="AQ71" s="4"/>
      <c r="AR71" s="2"/>
      <c r="AS71" s="2"/>
      <c r="AT71" s="2"/>
      <c r="AU71" s="2"/>
      <c r="AV71" s="2"/>
      <c r="AW71" s="2">
        <v>10</v>
      </c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>
        <f t="shared" si="30"/>
        <v>20</v>
      </c>
      <c r="BK71" s="1">
        <v>12</v>
      </c>
      <c r="BL71" s="17">
        <v>2</v>
      </c>
      <c r="BM71" s="17" t="s">
        <v>192</v>
      </c>
      <c r="BN71" t="str">
        <f t="shared" si="31"/>
        <v/>
      </c>
      <c r="BO71">
        <f t="shared" si="32"/>
        <v>9</v>
      </c>
      <c r="BP71" t="str">
        <f t="shared" si="33"/>
        <v/>
      </c>
      <c r="BQ71" t="str">
        <f t="shared" si="34"/>
        <v/>
      </c>
      <c r="BR71" t="str">
        <f t="shared" si="35"/>
        <v/>
      </c>
      <c r="BS71" t="str">
        <f t="shared" si="36"/>
        <v/>
      </c>
      <c r="BT71" t="str">
        <f t="shared" si="37"/>
        <v/>
      </c>
      <c r="BU71" t="str">
        <f t="shared" si="38"/>
        <v/>
      </c>
      <c r="BV71" t="str">
        <f t="shared" si="39"/>
        <v/>
      </c>
      <c r="BW71" t="str">
        <f t="shared" si="40"/>
        <v/>
      </c>
      <c r="BX71" t="str">
        <f t="shared" si="41"/>
        <v/>
      </c>
      <c r="BY71">
        <f t="shared" si="42"/>
        <v>3</v>
      </c>
      <c r="BZ71">
        <f t="shared" si="28"/>
        <v>2</v>
      </c>
      <c r="CA71" t="str">
        <f t="shared" si="43"/>
        <v/>
      </c>
      <c r="CB71" t="str">
        <f t="shared" si="44"/>
        <v/>
      </c>
      <c r="CC71" t="str">
        <f t="shared" si="45"/>
        <v/>
      </c>
      <c r="CD71" t="str">
        <f t="shared" si="46"/>
        <v/>
      </c>
      <c r="CE71" t="str">
        <f t="shared" si="47"/>
        <v/>
      </c>
      <c r="CF71" t="str">
        <f t="shared" si="48"/>
        <v/>
      </c>
      <c r="CG71" t="str">
        <f t="shared" si="49"/>
        <v/>
      </c>
      <c r="CH71" t="str">
        <f t="shared" si="50"/>
        <v/>
      </c>
      <c r="CI71" t="str">
        <f t="shared" si="51"/>
        <v/>
      </c>
      <c r="CJ71" t="str">
        <f t="shared" si="52"/>
        <v/>
      </c>
      <c r="CK71" t="str">
        <f t="shared" si="53"/>
        <v/>
      </c>
      <c r="CL71" t="str">
        <f t="shared" si="54"/>
        <v/>
      </c>
    </row>
    <row r="72" spans="1:90" ht="27" x14ac:dyDescent="0.15">
      <c r="A72" s="1">
        <v>6</v>
      </c>
      <c r="B72" s="1" t="s">
        <v>61</v>
      </c>
      <c r="C72" s="1" t="s">
        <v>2</v>
      </c>
      <c r="D72" s="1" t="s">
        <v>23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4"/>
      <c r="AM72" s="4">
        <v>10</v>
      </c>
      <c r="AN72" s="4"/>
      <c r="AO72" s="4"/>
      <c r="AP72" s="4"/>
      <c r="AQ72" s="4"/>
      <c r="AR72" s="2"/>
      <c r="AS72" s="2"/>
      <c r="AT72" s="2"/>
      <c r="AU72" s="2"/>
      <c r="AV72" s="2"/>
      <c r="AW72" s="2">
        <v>10</v>
      </c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>
        <f t="shared" si="30"/>
        <v>20</v>
      </c>
      <c r="BK72" s="1">
        <v>12</v>
      </c>
      <c r="BL72" s="17">
        <v>2</v>
      </c>
      <c r="BM72" s="17" t="s">
        <v>192</v>
      </c>
      <c r="BN72" t="str">
        <f t="shared" si="31"/>
        <v/>
      </c>
      <c r="BO72">
        <f t="shared" si="32"/>
        <v>9</v>
      </c>
      <c r="BP72" t="str">
        <f t="shared" si="33"/>
        <v/>
      </c>
      <c r="BQ72" t="str">
        <f t="shared" si="34"/>
        <v/>
      </c>
      <c r="BR72" t="str">
        <f t="shared" si="35"/>
        <v/>
      </c>
      <c r="BS72" t="str">
        <f t="shared" si="36"/>
        <v/>
      </c>
      <c r="BT72" t="str">
        <f t="shared" si="37"/>
        <v/>
      </c>
      <c r="BU72" t="str">
        <f t="shared" si="38"/>
        <v/>
      </c>
      <c r="BV72" t="str">
        <f t="shared" si="39"/>
        <v/>
      </c>
      <c r="BW72" t="str">
        <f t="shared" si="40"/>
        <v/>
      </c>
      <c r="BX72" t="str">
        <f t="shared" si="41"/>
        <v/>
      </c>
      <c r="BY72">
        <f t="shared" si="42"/>
        <v>3</v>
      </c>
      <c r="BZ72">
        <f t="shared" si="28"/>
        <v>2</v>
      </c>
      <c r="CA72" t="str">
        <f t="shared" si="43"/>
        <v/>
      </c>
      <c r="CB72" t="str">
        <f t="shared" si="44"/>
        <v/>
      </c>
      <c r="CC72" t="str">
        <f t="shared" si="45"/>
        <v/>
      </c>
      <c r="CD72" t="str">
        <f t="shared" si="46"/>
        <v/>
      </c>
      <c r="CE72" t="str">
        <f t="shared" si="47"/>
        <v/>
      </c>
      <c r="CF72" t="str">
        <f t="shared" si="48"/>
        <v/>
      </c>
      <c r="CG72" t="str">
        <f t="shared" si="49"/>
        <v/>
      </c>
      <c r="CH72" t="str">
        <f t="shared" si="50"/>
        <v/>
      </c>
      <c r="CI72" t="str">
        <f t="shared" si="51"/>
        <v/>
      </c>
      <c r="CJ72" t="str">
        <f t="shared" si="52"/>
        <v/>
      </c>
      <c r="CK72" t="str">
        <f t="shared" si="53"/>
        <v/>
      </c>
      <c r="CL72" t="str">
        <f t="shared" si="54"/>
        <v/>
      </c>
    </row>
    <row r="73" spans="1:90" ht="27" x14ac:dyDescent="0.15">
      <c r="A73" s="1">
        <v>8</v>
      </c>
      <c r="B73" s="1" t="s">
        <v>62</v>
      </c>
      <c r="C73" s="1" t="s">
        <v>2</v>
      </c>
      <c r="D73" s="1" t="s">
        <v>26</v>
      </c>
      <c r="E73" s="6">
        <v>6</v>
      </c>
      <c r="F73" s="6"/>
      <c r="G73" s="6"/>
      <c r="H73" s="6">
        <v>6</v>
      </c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4"/>
      <c r="AM73" s="4">
        <v>10</v>
      </c>
      <c r="AN73" s="4"/>
      <c r="AO73" s="4"/>
      <c r="AP73" s="4"/>
      <c r="AQ73" s="4"/>
      <c r="AR73" s="2"/>
      <c r="AS73" s="2"/>
      <c r="AT73" s="2"/>
      <c r="AU73" s="2"/>
      <c r="AV73" s="2"/>
      <c r="AW73" s="2">
        <v>10</v>
      </c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>
        <f t="shared" si="30"/>
        <v>32</v>
      </c>
      <c r="BK73" s="1">
        <v>12</v>
      </c>
      <c r="BL73" s="17">
        <v>2</v>
      </c>
      <c r="BM73" s="17" t="s">
        <v>192</v>
      </c>
      <c r="BN73" t="str">
        <f t="shared" si="31"/>
        <v/>
      </c>
      <c r="BO73">
        <f t="shared" si="32"/>
        <v>9</v>
      </c>
      <c r="BP73" t="str">
        <f t="shared" si="33"/>
        <v/>
      </c>
      <c r="BQ73" t="str">
        <f t="shared" si="34"/>
        <v/>
      </c>
      <c r="BR73" t="str">
        <f t="shared" si="35"/>
        <v/>
      </c>
      <c r="BS73" t="str">
        <f t="shared" si="36"/>
        <v/>
      </c>
      <c r="BT73" t="str">
        <f t="shared" si="37"/>
        <v/>
      </c>
      <c r="BU73" t="str">
        <f t="shared" si="38"/>
        <v/>
      </c>
      <c r="BV73" t="str">
        <f t="shared" si="39"/>
        <v/>
      </c>
      <c r="BW73" t="str">
        <f t="shared" si="40"/>
        <v/>
      </c>
      <c r="BX73" t="str">
        <f t="shared" si="41"/>
        <v/>
      </c>
      <c r="BY73">
        <f t="shared" si="42"/>
        <v>3</v>
      </c>
      <c r="BZ73">
        <f t="shared" si="28"/>
        <v>2</v>
      </c>
      <c r="CA73" t="str">
        <f t="shared" si="43"/>
        <v/>
      </c>
      <c r="CB73" t="str">
        <f t="shared" si="44"/>
        <v/>
      </c>
      <c r="CC73" t="str">
        <f t="shared" si="45"/>
        <v/>
      </c>
      <c r="CD73" t="str">
        <f t="shared" si="46"/>
        <v/>
      </c>
      <c r="CE73" t="str">
        <f t="shared" si="47"/>
        <v/>
      </c>
      <c r="CF73" t="str">
        <f t="shared" si="48"/>
        <v/>
      </c>
      <c r="CG73" t="str">
        <f t="shared" si="49"/>
        <v/>
      </c>
      <c r="CH73" t="str">
        <f t="shared" si="50"/>
        <v/>
      </c>
      <c r="CI73" t="str">
        <f t="shared" si="51"/>
        <v/>
      </c>
      <c r="CJ73" t="str">
        <f t="shared" si="52"/>
        <v/>
      </c>
      <c r="CK73" t="str">
        <f t="shared" si="53"/>
        <v/>
      </c>
      <c r="CL73" t="str">
        <f t="shared" si="54"/>
        <v/>
      </c>
    </row>
    <row r="74" spans="1:90" ht="27" x14ac:dyDescent="0.15">
      <c r="A74" s="1">
        <v>34</v>
      </c>
      <c r="B74" s="1" t="s">
        <v>51</v>
      </c>
      <c r="C74" s="1" t="s">
        <v>52</v>
      </c>
      <c r="D74" s="1" t="s">
        <v>25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4">
        <v>15</v>
      </c>
      <c r="AM74" s="4"/>
      <c r="AN74" s="4"/>
      <c r="AO74" s="4"/>
      <c r="AP74" s="4"/>
      <c r="AQ74" s="4"/>
      <c r="AR74" s="2"/>
      <c r="AS74" s="2"/>
      <c r="AT74" s="2"/>
      <c r="AU74" s="2"/>
      <c r="AV74" s="2"/>
      <c r="AW74" s="2">
        <v>15</v>
      </c>
      <c r="AX74" s="1"/>
      <c r="AY74" s="1"/>
      <c r="AZ74" s="1"/>
      <c r="BA74" s="1"/>
      <c r="BB74" s="1">
        <v>15</v>
      </c>
      <c r="BC74" s="1">
        <v>15</v>
      </c>
      <c r="BD74" s="1"/>
      <c r="BE74" s="1"/>
      <c r="BF74" s="1"/>
      <c r="BG74" s="1"/>
      <c r="BH74" s="1"/>
      <c r="BI74" s="1"/>
      <c r="BJ74" s="1">
        <f t="shared" si="30"/>
        <v>60</v>
      </c>
      <c r="BK74" s="1">
        <v>12</v>
      </c>
      <c r="BL74" s="17">
        <v>2</v>
      </c>
      <c r="BM74" s="17" t="s">
        <v>196</v>
      </c>
      <c r="BN74">
        <f t="shared" si="31"/>
        <v>4</v>
      </c>
      <c r="BO74" t="str">
        <f t="shared" si="32"/>
        <v/>
      </c>
      <c r="BP74" t="str">
        <f t="shared" si="33"/>
        <v/>
      </c>
      <c r="BQ74" t="str">
        <f t="shared" si="34"/>
        <v/>
      </c>
      <c r="BR74" t="str">
        <f t="shared" si="35"/>
        <v/>
      </c>
      <c r="BS74" t="str">
        <f t="shared" si="36"/>
        <v/>
      </c>
      <c r="BT74" t="str">
        <f t="shared" si="37"/>
        <v/>
      </c>
      <c r="BU74" t="str">
        <f t="shared" si="38"/>
        <v/>
      </c>
      <c r="BV74" t="str">
        <f t="shared" si="39"/>
        <v/>
      </c>
      <c r="BW74" t="str">
        <f t="shared" si="40"/>
        <v/>
      </c>
      <c r="BX74" t="str">
        <f t="shared" si="41"/>
        <v/>
      </c>
      <c r="BY74">
        <f t="shared" si="42"/>
        <v>8</v>
      </c>
      <c r="BZ74">
        <f t="shared" si="28"/>
        <v>2</v>
      </c>
      <c r="CA74" t="str">
        <f t="shared" si="43"/>
        <v/>
      </c>
      <c r="CB74" t="str">
        <f t="shared" si="44"/>
        <v/>
      </c>
      <c r="CC74" t="str">
        <f t="shared" si="45"/>
        <v/>
      </c>
      <c r="CD74" t="str">
        <f t="shared" si="46"/>
        <v/>
      </c>
      <c r="CE74" t="str">
        <f t="shared" si="47"/>
        <v/>
      </c>
      <c r="CF74" t="str">
        <f t="shared" si="48"/>
        <v/>
      </c>
      <c r="CG74" t="str">
        <f t="shared" si="49"/>
        <v/>
      </c>
      <c r="CH74" t="str">
        <f t="shared" si="50"/>
        <v/>
      </c>
      <c r="CI74" t="str">
        <f t="shared" si="51"/>
        <v/>
      </c>
      <c r="CJ74" t="str">
        <f t="shared" si="52"/>
        <v/>
      </c>
      <c r="CK74" t="str">
        <f t="shared" si="53"/>
        <v/>
      </c>
      <c r="CL74" t="str">
        <f t="shared" si="54"/>
        <v/>
      </c>
    </row>
    <row r="75" spans="1:90" ht="27" x14ac:dyDescent="0.15">
      <c r="A75" s="1">
        <v>82</v>
      </c>
      <c r="B75" s="3" t="s">
        <v>94</v>
      </c>
      <c r="C75" s="3" t="s">
        <v>87</v>
      </c>
      <c r="D75" s="1" t="s">
        <v>13</v>
      </c>
      <c r="E75" s="6"/>
      <c r="F75" s="6"/>
      <c r="G75" s="6"/>
      <c r="H75" s="6"/>
      <c r="I75" s="6"/>
      <c r="J75" s="6"/>
      <c r="K75" s="6"/>
      <c r="L75" s="6">
        <v>6</v>
      </c>
      <c r="M75" s="6"/>
      <c r="N75" s="6">
        <v>6</v>
      </c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4"/>
      <c r="AM75" s="4"/>
      <c r="AN75" s="4"/>
      <c r="AO75" s="4">
        <v>10</v>
      </c>
      <c r="AP75" s="4"/>
      <c r="AQ75" s="4"/>
      <c r="AR75" s="2"/>
      <c r="AS75" s="2"/>
      <c r="AT75" s="2"/>
      <c r="AU75" s="2">
        <v>10</v>
      </c>
      <c r="AV75" s="2"/>
      <c r="AW75" s="2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>
        <f t="shared" si="30"/>
        <v>32</v>
      </c>
      <c r="BK75" s="1">
        <v>12</v>
      </c>
      <c r="BL75" s="17">
        <v>2</v>
      </c>
      <c r="BM75" s="17" t="s">
        <v>178</v>
      </c>
      <c r="BN75" t="str">
        <f t="shared" si="31"/>
        <v/>
      </c>
      <c r="BO75" t="str">
        <f t="shared" si="32"/>
        <v/>
      </c>
      <c r="BP75" t="str">
        <f t="shared" si="33"/>
        <v/>
      </c>
      <c r="BQ75">
        <f t="shared" si="34"/>
        <v>7</v>
      </c>
      <c r="BR75" t="str">
        <f t="shared" si="35"/>
        <v/>
      </c>
      <c r="BS75" t="str">
        <f t="shared" si="36"/>
        <v/>
      </c>
      <c r="BT75" t="str">
        <f t="shared" si="37"/>
        <v/>
      </c>
      <c r="BU75" t="str">
        <f t="shared" si="38"/>
        <v/>
      </c>
      <c r="BV75" t="str">
        <f t="shared" si="39"/>
        <v/>
      </c>
      <c r="BW75" t="str">
        <f t="shared" si="40"/>
        <v/>
      </c>
      <c r="BX75" t="str">
        <f t="shared" si="41"/>
        <v/>
      </c>
      <c r="BY75" t="str">
        <f t="shared" si="42"/>
        <v/>
      </c>
      <c r="BZ75">
        <f t="shared" si="28"/>
        <v>1</v>
      </c>
      <c r="CA75" t="str">
        <f t="shared" si="43"/>
        <v/>
      </c>
      <c r="CB75" t="str">
        <f t="shared" si="44"/>
        <v/>
      </c>
      <c r="CC75" t="str">
        <f t="shared" si="45"/>
        <v/>
      </c>
      <c r="CD75">
        <f t="shared" si="46"/>
        <v>7</v>
      </c>
      <c r="CE75" t="str">
        <f t="shared" si="47"/>
        <v/>
      </c>
      <c r="CF75" t="str">
        <f t="shared" si="48"/>
        <v/>
      </c>
      <c r="CG75" t="str">
        <f t="shared" si="49"/>
        <v/>
      </c>
      <c r="CH75" t="str">
        <f t="shared" si="50"/>
        <v/>
      </c>
      <c r="CI75" t="str">
        <f t="shared" si="51"/>
        <v/>
      </c>
      <c r="CJ75" t="str">
        <f t="shared" si="52"/>
        <v/>
      </c>
      <c r="CK75" t="str">
        <f t="shared" si="53"/>
        <v/>
      </c>
      <c r="CL75" t="str">
        <f t="shared" si="54"/>
        <v/>
      </c>
    </row>
    <row r="76" spans="1:90" ht="27" x14ac:dyDescent="0.15">
      <c r="A76" s="1">
        <v>72</v>
      </c>
      <c r="B76" s="3" t="s">
        <v>138</v>
      </c>
      <c r="C76" s="1" t="s">
        <v>68</v>
      </c>
      <c r="D76" s="1" t="s">
        <v>13</v>
      </c>
      <c r="E76" s="6"/>
      <c r="F76" s="6"/>
      <c r="G76" s="6"/>
      <c r="H76" s="6"/>
      <c r="I76" s="6"/>
      <c r="J76" s="6"/>
      <c r="K76" s="6"/>
      <c r="L76" s="6">
        <v>6</v>
      </c>
      <c r="M76" s="6">
        <v>6</v>
      </c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4"/>
      <c r="AM76" s="4"/>
      <c r="AN76" s="4"/>
      <c r="AO76" s="4"/>
      <c r="AP76" s="4"/>
      <c r="AQ76" s="4">
        <v>10</v>
      </c>
      <c r="AR76" s="2"/>
      <c r="AS76" s="2"/>
      <c r="AT76" s="2"/>
      <c r="AU76" s="2"/>
      <c r="AV76" s="2">
        <v>10</v>
      </c>
      <c r="AW76" s="2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>
        <f t="shared" si="30"/>
        <v>32</v>
      </c>
      <c r="BK76" s="1">
        <v>13</v>
      </c>
      <c r="BL76" s="17">
        <v>2</v>
      </c>
      <c r="BM76" s="17" t="s">
        <v>208</v>
      </c>
      <c r="BN76" t="str">
        <f t="shared" si="31"/>
        <v/>
      </c>
      <c r="BO76" t="str">
        <f t="shared" si="32"/>
        <v/>
      </c>
      <c r="BP76" t="str">
        <f t="shared" si="33"/>
        <v/>
      </c>
      <c r="BQ76" t="str">
        <f t="shared" si="34"/>
        <v/>
      </c>
      <c r="BR76" t="str">
        <f t="shared" si="35"/>
        <v/>
      </c>
      <c r="BS76">
        <f t="shared" si="36"/>
        <v>9</v>
      </c>
      <c r="BT76" t="str">
        <f t="shared" si="37"/>
        <v/>
      </c>
      <c r="BU76" t="str">
        <f t="shared" si="38"/>
        <v/>
      </c>
      <c r="BV76" t="str">
        <f t="shared" si="39"/>
        <v/>
      </c>
      <c r="BW76" t="str">
        <f t="shared" si="40"/>
        <v/>
      </c>
      <c r="BX76" t="str">
        <f t="shared" si="41"/>
        <v/>
      </c>
      <c r="BY76" t="str">
        <f t="shared" si="42"/>
        <v/>
      </c>
      <c r="BZ76">
        <f t="shared" ref="BZ76:BZ95" si="55">COUNTIF(BN76:BY76, "&gt;0")</f>
        <v>1</v>
      </c>
      <c r="CA76" t="str">
        <f t="shared" si="43"/>
        <v/>
      </c>
      <c r="CB76" t="str">
        <f t="shared" si="44"/>
        <v/>
      </c>
      <c r="CC76" t="str">
        <f t="shared" si="45"/>
        <v/>
      </c>
      <c r="CD76" t="str">
        <f t="shared" si="46"/>
        <v/>
      </c>
      <c r="CE76" t="str">
        <f t="shared" si="47"/>
        <v/>
      </c>
      <c r="CF76">
        <f t="shared" si="48"/>
        <v>9</v>
      </c>
      <c r="CG76" t="str">
        <f t="shared" si="49"/>
        <v/>
      </c>
      <c r="CH76" t="str">
        <f t="shared" si="50"/>
        <v/>
      </c>
      <c r="CI76" t="str">
        <f t="shared" si="51"/>
        <v/>
      </c>
      <c r="CJ76" t="str">
        <f t="shared" si="52"/>
        <v/>
      </c>
      <c r="CK76" t="str">
        <f t="shared" si="53"/>
        <v/>
      </c>
      <c r="CL76" t="str">
        <f t="shared" si="54"/>
        <v/>
      </c>
    </row>
    <row r="77" spans="1:90" ht="27" x14ac:dyDescent="0.15">
      <c r="A77" s="1">
        <v>13</v>
      </c>
      <c r="B77" s="1" t="s">
        <v>117</v>
      </c>
      <c r="C77" s="1" t="s">
        <v>2</v>
      </c>
      <c r="D77" s="1" t="s">
        <v>1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>
        <v>15</v>
      </c>
      <c r="Q77" s="6"/>
      <c r="R77" s="6"/>
      <c r="S77" s="6"/>
      <c r="T77" s="6"/>
      <c r="U77" s="6"/>
      <c r="V77" s="6">
        <v>15</v>
      </c>
      <c r="W77" s="6"/>
      <c r="X77" s="6"/>
      <c r="Y77" s="6"/>
      <c r="Z77" s="6"/>
      <c r="AA77" s="6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4"/>
      <c r="AM77" s="4"/>
      <c r="AN77" s="4"/>
      <c r="AO77" s="4"/>
      <c r="AP77" s="4"/>
      <c r="AQ77" s="4"/>
      <c r="AR77" s="2"/>
      <c r="AS77" s="2"/>
      <c r="AT77" s="2"/>
      <c r="AU77" s="2"/>
      <c r="AV77" s="2"/>
      <c r="AW77" s="2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>
        <f t="shared" si="30"/>
        <v>30</v>
      </c>
      <c r="BK77" s="1">
        <v>16</v>
      </c>
      <c r="BL77" s="17">
        <v>2</v>
      </c>
      <c r="BM77" s="17" t="s">
        <v>190</v>
      </c>
      <c r="BN77" t="str">
        <f t="shared" si="31"/>
        <v/>
      </c>
      <c r="BO77" t="str">
        <f t="shared" si="32"/>
        <v/>
      </c>
      <c r="BP77" t="str">
        <f t="shared" si="33"/>
        <v/>
      </c>
      <c r="BQ77" t="str">
        <f t="shared" si="34"/>
        <v/>
      </c>
      <c r="BR77" t="str">
        <f t="shared" si="35"/>
        <v/>
      </c>
      <c r="BS77" t="str">
        <f t="shared" si="36"/>
        <v/>
      </c>
      <c r="BT77" t="str">
        <f t="shared" si="37"/>
        <v/>
      </c>
      <c r="BU77" t="str">
        <f t="shared" si="38"/>
        <v/>
      </c>
      <c r="BV77" t="str">
        <f t="shared" si="39"/>
        <v/>
      </c>
      <c r="BW77" t="str">
        <f t="shared" si="40"/>
        <v/>
      </c>
      <c r="BX77" t="str">
        <f t="shared" si="41"/>
        <v/>
      </c>
      <c r="BY77" t="str">
        <f t="shared" si="42"/>
        <v/>
      </c>
      <c r="BZ77">
        <f t="shared" si="55"/>
        <v>0</v>
      </c>
      <c r="CA77" t="str">
        <f t="shared" si="43"/>
        <v/>
      </c>
      <c r="CB77" t="str">
        <f t="shared" si="44"/>
        <v/>
      </c>
      <c r="CC77" t="str">
        <f t="shared" si="45"/>
        <v/>
      </c>
      <c r="CD77" t="str">
        <f t="shared" si="46"/>
        <v/>
      </c>
      <c r="CE77" t="str">
        <f t="shared" si="47"/>
        <v/>
      </c>
      <c r="CF77" t="str">
        <f t="shared" si="48"/>
        <v/>
      </c>
      <c r="CG77" t="str">
        <f t="shared" si="49"/>
        <v/>
      </c>
      <c r="CH77" t="str">
        <f t="shared" si="50"/>
        <v/>
      </c>
      <c r="CI77" t="str">
        <f t="shared" si="51"/>
        <v/>
      </c>
      <c r="CJ77" t="str">
        <f t="shared" si="52"/>
        <v/>
      </c>
      <c r="CK77" t="str">
        <f t="shared" si="53"/>
        <v/>
      </c>
      <c r="CL77" t="str">
        <f t="shared" si="54"/>
        <v/>
      </c>
    </row>
    <row r="78" spans="1:90" ht="40.5" x14ac:dyDescent="0.15">
      <c r="A78" s="1">
        <v>9</v>
      </c>
      <c r="B78" s="1" t="s">
        <v>29</v>
      </c>
      <c r="C78" s="1" t="s">
        <v>2</v>
      </c>
      <c r="D78" s="1" t="s">
        <v>26</v>
      </c>
      <c r="E78" s="6"/>
      <c r="F78" s="6"/>
      <c r="G78" s="6"/>
      <c r="H78" s="6"/>
      <c r="I78" s="6">
        <v>4</v>
      </c>
      <c r="J78" s="6"/>
      <c r="K78" s="6">
        <v>4</v>
      </c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4"/>
      <c r="AM78" s="4">
        <v>5</v>
      </c>
      <c r="AN78" s="4"/>
      <c r="AO78" s="4"/>
      <c r="AP78" s="4"/>
      <c r="AQ78" s="4"/>
      <c r="AR78" s="2">
        <v>5</v>
      </c>
      <c r="AS78" s="2"/>
      <c r="AT78" s="2"/>
      <c r="AU78" s="2"/>
      <c r="AV78" s="2"/>
      <c r="AW78" s="2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>
        <f t="shared" si="30"/>
        <v>18</v>
      </c>
      <c r="BK78" s="1">
        <v>9</v>
      </c>
      <c r="BL78" s="17">
        <v>3</v>
      </c>
      <c r="BM78" s="17" t="s">
        <v>147</v>
      </c>
      <c r="BN78" t="str">
        <f t="shared" si="31"/>
        <v/>
      </c>
      <c r="BO78">
        <f t="shared" si="32"/>
        <v>4</v>
      </c>
      <c r="BP78" t="str">
        <f t="shared" si="33"/>
        <v/>
      </c>
      <c r="BQ78" t="str">
        <f t="shared" si="34"/>
        <v/>
      </c>
      <c r="BR78" t="str">
        <f t="shared" si="35"/>
        <v/>
      </c>
      <c r="BS78" t="str">
        <f t="shared" si="36"/>
        <v/>
      </c>
      <c r="BT78">
        <f t="shared" si="37"/>
        <v>4</v>
      </c>
      <c r="BU78" t="str">
        <f t="shared" si="38"/>
        <v/>
      </c>
      <c r="BV78" t="str">
        <f t="shared" si="39"/>
        <v/>
      </c>
      <c r="BW78" t="str">
        <f t="shared" si="40"/>
        <v/>
      </c>
      <c r="BX78" t="str">
        <f t="shared" si="41"/>
        <v/>
      </c>
      <c r="BY78" t="str">
        <f t="shared" si="42"/>
        <v/>
      </c>
      <c r="BZ78">
        <f t="shared" si="55"/>
        <v>2</v>
      </c>
      <c r="CA78" t="str">
        <f t="shared" si="43"/>
        <v/>
      </c>
      <c r="CB78" t="str">
        <f t="shared" si="44"/>
        <v/>
      </c>
      <c r="CC78" t="str">
        <f t="shared" si="45"/>
        <v/>
      </c>
      <c r="CD78" t="str">
        <f t="shared" si="46"/>
        <v/>
      </c>
      <c r="CE78" t="str">
        <f t="shared" si="47"/>
        <v/>
      </c>
      <c r="CF78" t="str">
        <f t="shared" si="48"/>
        <v/>
      </c>
      <c r="CG78" t="str">
        <f t="shared" si="49"/>
        <v/>
      </c>
      <c r="CH78" t="str">
        <f t="shared" si="50"/>
        <v/>
      </c>
      <c r="CI78" t="str">
        <f t="shared" si="51"/>
        <v/>
      </c>
      <c r="CJ78" t="str">
        <f t="shared" si="52"/>
        <v/>
      </c>
      <c r="CK78" t="str">
        <f t="shared" si="53"/>
        <v/>
      </c>
      <c r="CL78" t="str">
        <f t="shared" si="54"/>
        <v/>
      </c>
    </row>
    <row r="79" spans="1:90" ht="40.5" x14ac:dyDescent="0.15">
      <c r="A79" s="1">
        <v>69</v>
      </c>
      <c r="B79" s="3" t="s">
        <v>83</v>
      </c>
      <c r="C79" s="1" t="s">
        <v>68</v>
      </c>
      <c r="D79" s="1" t="s">
        <v>13</v>
      </c>
      <c r="E79" s="6"/>
      <c r="F79" s="6"/>
      <c r="G79" s="6"/>
      <c r="H79" s="6">
        <v>6</v>
      </c>
      <c r="I79" s="6">
        <v>6</v>
      </c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4"/>
      <c r="AM79" s="4"/>
      <c r="AN79" s="4"/>
      <c r="AO79" s="4"/>
      <c r="AP79" s="4"/>
      <c r="AQ79" s="4">
        <v>10</v>
      </c>
      <c r="AR79" s="2"/>
      <c r="AS79" s="2">
        <v>10</v>
      </c>
      <c r="AT79" s="2"/>
      <c r="AU79" s="2"/>
      <c r="AV79" s="2"/>
      <c r="AW79" s="2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>
        <f t="shared" si="30"/>
        <v>32</v>
      </c>
      <c r="BK79" s="1">
        <v>14</v>
      </c>
      <c r="BL79" s="17">
        <v>3</v>
      </c>
      <c r="BM79" s="17" t="s">
        <v>207</v>
      </c>
      <c r="BN79" t="str">
        <f t="shared" si="31"/>
        <v/>
      </c>
      <c r="BO79" t="str">
        <f t="shared" si="32"/>
        <v/>
      </c>
      <c r="BP79" t="str">
        <f t="shared" si="33"/>
        <v/>
      </c>
      <c r="BQ79" t="str">
        <f t="shared" si="34"/>
        <v/>
      </c>
      <c r="BR79" t="str">
        <f t="shared" si="35"/>
        <v/>
      </c>
      <c r="BS79">
        <f t="shared" si="36"/>
        <v>9</v>
      </c>
      <c r="BT79" t="str">
        <f t="shared" si="37"/>
        <v/>
      </c>
      <c r="BU79">
        <f t="shared" si="38"/>
        <v>3</v>
      </c>
      <c r="BV79" t="str">
        <f t="shared" si="39"/>
        <v/>
      </c>
      <c r="BW79" t="str">
        <f t="shared" si="40"/>
        <v/>
      </c>
      <c r="BX79" t="str">
        <f t="shared" si="41"/>
        <v/>
      </c>
      <c r="BY79" t="str">
        <f t="shared" si="42"/>
        <v/>
      </c>
      <c r="BZ79">
        <f t="shared" si="55"/>
        <v>2</v>
      </c>
      <c r="CA79" t="str">
        <f t="shared" si="43"/>
        <v/>
      </c>
      <c r="CB79" t="str">
        <f t="shared" si="44"/>
        <v/>
      </c>
      <c r="CC79" t="str">
        <f t="shared" si="45"/>
        <v/>
      </c>
      <c r="CD79" t="str">
        <f t="shared" si="46"/>
        <v/>
      </c>
      <c r="CE79" t="str">
        <f t="shared" si="47"/>
        <v/>
      </c>
      <c r="CF79" t="str">
        <f t="shared" si="48"/>
        <v/>
      </c>
      <c r="CG79" t="str">
        <f t="shared" si="49"/>
        <v/>
      </c>
      <c r="CH79" t="str">
        <f t="shared" si="50"/>
        <v/>
      </c>
      <c r="CI79" t="str">
        <f t="shared" si="51"/>
        <v/>
      </c>
      <c r="CJ79" t="str">
        <f t="shared" si="52"/>
        <v/>
      </c>
      <c r="CK79" t="str">
        <f t="shared" si="53"/>
        <v/>
      </c>
      <c r="CL79" t="str">
        <f t="shared" si="54"/>
        <v/>
      </c>
    </row>
    <row r="80" spans="1:90" ht="40.5" x14ac:dyDescent="0.15">
      <c r="A80" s="1">
        <v>28</v>
      </c>
      <c r="B80" s="1" t="s">
        <v>109</v>
      </c>
      <c r="C80" s="1" t="s">
        <v>33</v>
      </c>
      <c r="D80" s="1" t="s">
        <v>1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1"/>
      <c r="AC80" s="1"/>
      <c r="AD80" s="1"/>
      <c r="AE80" s="1">
        <v>5</v>
      </c>
      <c r="AF80" s="1">
        <v>5</v>
      </c>
      <c r="AG80" s="1">
        <v>5</v>
      </c>
      <c r="AH80" s="1"/>
      <c r="AI80" s="1"/>
      <c r="AJ80" s="1"/>
      <c r="AK80" s="1"/>
      <c r="AL80" s="4"/>
      <c r="AM80" s="4"/>
      <c r="AN80" s="4"/>
      <c r="AO80" s="4"/>
      <c r="AP80" s="4"/>
      <c r="AQ80" s="4"/>
      <c r="AR80" s="2"/>
      <c r="AS80" s="2"/>
      <c r="AT80" s="2"/>
      <c r="AU80" s="2"/>
      <c r="AV80" s="2"/>
      <c r="AW80" s="2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>
        <f t="shared" si="30"/>
        <v>15</v>
      </c>
      <c r="BK80" s="1">
        <v>15</v>
      </c>
      <c r="BL80" s="17">
        <v>3</v>
      </c>
      <c r="BM80" s="17" t="s">
        <v>156</v>
      </c>
      <c r="BN80" t="str">
        <f t="shared" si="31"/>
        <v/>
      </c>
      <c r="BO80" t="str">
        <f t="shared" si="32"/>
        <v/>
      </c>
      <c r="BP80" t="str">
        <f t="shared" si="33"/>
        <v/>
      </c>
      <c r="BQ80" t="str">
        <f t="shared" si="34"/>
        <v/>
      </c>
      <c r="BR80" t="str">
        <f t="shared" si="35"/>
        <v/>
      </c>
      <c r="BS80" t="str">
        <f t="shared" si="36"/>
        <v/>
      </c>
      <c r="BT80" t="str">
        <f t="shared" si="37"/>
        <v/>
      </c>
      <c r="BU80" t="str">
        <f t="shared" si="38"/>
        <v/>
      </c>
      <c r="BV80" t="str">
        <f t="shared" si="39"/>
        <v/>
      </c>
      <c r="BW80" t="str">
        <f t="shared" si="40"/>
        <v/>
      </c>
      <c r="BX80" t="str">
        <f t="shared" si="41"/>
        <v/>
      </c>
      <c r="BY80" t="str">
        <f t="shared" si="42"/>
        <v/>
      </c>
      <c r="BZ80">
        <f t="shared" si="55"/>
        <v>0</v>
      </c>
      <c r="CA80" t="str">
        <f t="shared" si="43"/>
        <v/>
      </c>
      <c r="CB80" t="str">
        <f t="shared" si="44"/>
        <v/>
      </c>
      <c r="CC80" t="str">
        <f t="shared" si="45"/>
        <v/>
      </c>
      <c r="CD80" t="str">
        <f t="shared" si="46"/>
        <v/>
      </c>
      <c r="CE80" t="str">
        <f t="shared" si="47"/>
        <v/>
      </c>
      <c r="CF80" t="str">
        <f t="shared" si="48"/>
        <v/>
      </c>
      <c r="CG80" t="str">
        <f t="shared" si="49"/>
        <v/>
      </c>
      <c r="CH80" t="str">
        <f t="shared" si="50"/>
        <v/>
      </c>
      <c r="CI80" t="str">
        <f t="shared" si="51"/>
        <v/>
      </c>
      <c r="CJ80" t="str">
        <f t="shared" si="52"/>
        <v/>
      </c>
      <c r="CK80" t="str">
        <f t="shared" si="53"/>
        <v/>
      </c>
      <c r="CL80" t="str">
        <f t="shared" si="54"/>
        <v/>
      </c>
    </row>
    <row r="81" spans="1:90" ht="40.5" x14ac:dyDescent="0.15">
      <c r="A81" s="1">
        <v>89</v>
      </c>
      <c r="B81" s="3" t="s">
        <v>123</v>
      </c>
      <c r="C81" s="3" t="s">
        <v>124</v>
      </c>
      <c r="D81" s="1" t="s">
        <v>1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1"/>
      <c r="AC81" s="1">
        <v>5</v>
      </c>
      <c r="AD81" s="1"/>
      <c r="AE81" s="1">
        <v>5</v>
      </c>
      <c r="AF81" s="1">
        <v>5</v>
      </c>
      <c r="AG81" s="1"/>
      <c r="AH81" s="1"/>
      <c r="AI81" s="1"/>
      <c r="AJ81" s="1"/>
      <c r="AK81" s="1"/>
      <c r="AL81" s="4"/>
      <c r="AM81" s="4"/>
      <c r="AN81" s="4"/>
      <c r="AO81" s="4"/>
      <c r="AP81" s="4"/>
      <c r="AQ81" s="4"/>
      <c r="AR81" s="2"/>
      <c r="AS81" s="2"/>
      <c r="AT81" s="2"/>
      <c r="AU81" s="2"/>
      <c r="AV81" s="2"/>
      <c r="AW81" s="2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>
        <f t="shared" si="30"/>
        <v>15</v>
      </c>
      <c r="BK81" s="1">
        <v>15</v>
      </c>
      <c r="BL81" s="17">
        <v>3</v>
      </c>
      <c r="BM81" s="17" t="s">
        <v>180</v>
      </c>
      <c r="BN81" t="str">
        <f t="shared" si="31"/>
        <v/>
      </c>
      <c r="BO81" t="str">
        <f t="shared" si="32"/>
        <v/>
      </c>
      <c r="BP81" t="str">
        <f t="shared" si="33"/>
        <v/>
      </c>
      <c r="BQ81" t="str">
        <f t="shared" si="34"/>
        <v/>
      </c>
      <c r="BR81" t="str">
        <f t="shared" si="35"/>
        <v/>
      </c>
      <c r="BS81" t="str">
        <f t="shared" si="36"/>
        <v/>
      </c>
      <c r="BT81" t="str">
        <f t="shared" si="37"/>
        <v/>
      </c>
      <c r="BU81" t="str">
        <f t="shared" si="38"/>
        <v/>
      </c>
      <c r="BV81" t="str">
        <f t="shared" si="39"/>
        <v/>
      </c>
      <c r="BW81" t="str">
        <f t="shared" si="40"/>
        <v/>
      </c>
      <c r="BX81" t="str">
        <f t="shared" si="41"/>
        <v/>
      </c>
      <c r="BY81" t="str">
        <f t="shared" si="42"/>
        <v/>
      </c>
      <c r="BZ81">
        <f t="shared" si="55"/>
        <v>0</v>
      </c>
      <c r="CA81" t="str">
        <f t="shared" si="43"/>
        <v/>
      </c>
      <c r="CB81" t="str">
        <f t="shared" si="44"/>
        <v/>
      </c>
      <c r="CC81" t="str">
        <f t="shared" si="45"/>
        <v/>
      </c>
      <c r="CD81" t="str">
        <f t="shared" si="46"/>
        <v/>
      </c>
      <c r="CE81" t="str">
        <f t="shared" si="47"/>
        <v/>
      </c>
      <c r="CF81" t="str">
        <f t="shared" si="48"/>
        <v/>
      </c>
      <c r="CG81" t="str">
        <f t="shared" si="49"/>
        <v/>
      </c>
      <c r="CH81" t="str">
        <f t="shared" si="50"/>
        <v/>
      </c>
      <c r="CI81" t="str">
        <f t="shared" si="51"/>
        <v/>
      </c>
      <c r="CJ81" t="str">
        <f t="shared" si="52"/>
        <v/>
      </c>
      <c r="CK81" t="str">
        <f t="shared" si="53"/>
        <v/>
      </c>
      <c r="CL81" t="str">
        <f t="shared" si="54"/>
        <v/>
      </c>
    </row>
    <row r="82" spans="1:90" ht="40.5" x14ac:dyDescent="0.15">
      <c r="A82" s="1">
        <v>58</v>
      </c>
      <c r="B82" s="1" t="s">
        <v>72</v>
      </c>
      <c r="C82" s="1" t="s">
        <v>68</v>
      </c>
      <c r="D82" s="1" t="s">
        <v>13</v>
      </c>
      <c r="E82" s="6"/>
      <c r="F82" s="6"/>
      <c r="G82" s="6">
        <v>10</v>
      </c>
      <c r="H82" s="6"/>
      <c r="I82" s="6"/>
      <c r="J82" s="6"/>
      <c r="K82" s="6"/>
      <c r="L82" s="6"/>
      <c r="M82" s="6"/>
      <c r="N82" s="6">
        <v>10</v>
      </c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4"/>
      <c r="AM82" s="4"/>
      <c r="AN82" s="4"/>
      <c r="AO82" s="4"/>
      <c r="AP82" s="4"/>
      <c r="AQ82" s="4">
        <v>10</v>
      </c>
      <c r="AR82" s="2"/>
      <c r="AS82" s="2"/>
      <c r="AT82" s="2"/>
      <c r="AU82" s="2">
        <v>10</v>
      </c>
      <c r="AV82" s="2"/>
      <c r="AW82" s="2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>
        <f t="shared" si="30"/>
        <v>40</v>
      </c>
      <c r="BK82" s="1">
        <v>27</v>
      </c>
      <c r="BL82" s="17">
        <v>3</v>
      </c>
      <c r="BM82" s="17" t="s">
        <v>204</v>
      </c>
      <c r="BN82" t="str">
        <f t="shared" si="31"/>
        <v/>
      </c>
      <c r="BO82" t="str">
        <f t="shared" si="32"/>
        <v/>
      </c>
      <c r="BP82" t="str">
        <f t="shared" si="33"/>
        <v/>
      </c>
      <c r="BQ82" t="str">
        <f t="shared" si="34"/>
        <v/>
      </c>
      <c r="BR82" t="str">
        <f t="shared" si="35"/>
        <v/>
      </c>
      <c r="BS82">
        <f t="shared" si="36"/>
        <v>9</v>
      </c>
      <c r="BT82" t="str">
        <f t="shared" si="37"/>
        <v/>
      </c>
      <c r="BU82" t="str">
        <f t="shared" si="38"/>
        <v/>
      </c>
      <c r="BV82" t="str">
        <f t="shared" si="39"/>
        <v/>
      </c>
      <c r="BW82" t="str">
        <f t="shared" si="40"/>
        <v/>
      </c>
      <c r="BX82" t="str">
        <f t="shared" si="41"/>
        <v/>
      </c>
      <c r="BY82" t="str">
        <f t="shared" si="42"/>
        <v/>
      </c>
      <c r="BZ82">
        <f t="shared" si="55"/>
        <v>1</v>
      </c>
      <c r="CA82" t="str">
        <f t="shared" si="43"/>
        <v/>
      </c>
      <c r="CB82" t="str">
        <f t="shared" si="44"/>
        <v/>
      </c>
      <c r="CC82" t="str">
        <f t="shared" si="45"/>
        <v/>
      </c>
      <c r="CD82" t="str">
        <f t="shared" si="46"/>
        <v/>
      </c>
      <c r="CE82" t="str">
        <f t="shared" si="47"/>
        <v/>
      </c>
      <c r="CF82">
        <f t="shared" si="48"/>
        <v>9</v>
      </c>
      <c r="CG82" t="str">
        <f t="shared" si="49"/>
        <v/>
      </c>
      <c r="CH82" t="str">
        <f t="shared" si="50"/>
        <v/>
      </c>
      <c r="CI82" t="str">
        <f t="shared" si="51"/>
        <v/>
      </c>
      <c r="CJ82" t="str">
        <f t="shared" si="52"/>
        <v/>
      </c>
      <c r="CK82" t="str">
        <f t="shared" si="53"/>
        <v/>
      </c>
      <c r="CL82" t="str">
        <f t="shared" si="54"/>
        <v/>
      </c>
    </row>
    <row r="83" spans="1:90" ht="40.5" x14ac:dyDescent="0.15">
      <c r="A83" s="1">
        <v>65</v>
      </c>
      <c r="B83" s="3" t="s">
        <v>78</v>
      </c>
      <c r="C83" s="1" t="s">
        <v>68</v>
      </c>
      <c r="D83" s="1" t="s">
        <v>13</v>
      </c>
      <c r="E83" s="6"/>
      <c r="F83" s="6"/>
      <c r="G83" s="6">
        <v>10</v>
      </c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1"/>
      <c r="AC83" s="1"/>
      <c r="AD83" s="1"/>
      <c r="AE83" s="1"/>
      <c r="AF83" s="1"/>
      <c r="AG83" s="1"/>
      <c r="AH83" s="1"/>
      <c r="AI83" s="1"/>
      <c r="AJ83" s="1"/>
      <c r="AK83" s="1">
        <v>25</v>
      </c>
      <c r="AL83" s="4"/>
      <c r="AM83" s="4"/>
      <c r="AN83" s="4"/>
      <c r="AO83" s="4"/>
      <c r="AP83" s="4"/>
      <c r="AQ83" s="4">
        <v>10</v>
      </c>
      <c r="AR83" s="2"/>
      <c r="AS83" s="2"/>
      <c r="AT83" s="2"/>
      <c r="AU83" s="2">
        <v>10</v>
      </c>
      <c r="AV83" s="2"/>
      <c r="AW83" s="2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>
        <f t="shared" si="30"/>
        <v>55</v>
      </c>
      <c r="BK83" s="1">
        <v>43</v>
      </c>
      <c r="BL83" s="17">
        <v>3</v>
      </c>
      <c r="BM83" s="17" t="s">
        <v>205</v>
      </c>
      <c r="BN83" t="str">
        <f t="shared" si="31"/>
        <v/>
      </c>
      <c r="BO83" t="str">
        <f t="shared" si="32"/>
        <v/>
      </c>
      <c r="BP83" t="str">
        <f t="shared" si="33"/>
        <v/>
      </c>
      <c r="BQ83" t="str">
        <f t="shared" si="34"/>
        <v/>
      </c>
      <c r="BR83" t="str">
        <f t="shared" si="35"/>
        <v/>
      </c>
      <c r="BS83">
        <f t="shared" si="36"/>
        <v>9</v>
      </c>
      <c r="BT83" t="str">
        <f t="shared" si="37"/>
        <v/>
      </c>
      <c r="BU83" t="str">
        <f t="shared" si="38"/>
        <v/>
      </c>
      <c r="BV83" t="str">
        <f t="shared" si="39"/>
        <v/>
      </c>
      <c r="BW83" t="str">
        <f t="shared" si="40"/>
        <v/>
      </c>
      <c r="BX83" t="str">
        <f t="shared" si="41"/>
        <v/>
      </c>
      <c r="BY83" t="str">
        <f t="shared" si="42"/>
        <v/>
      </c>
      <c r="BZ83">
        <f t="shared" si="55"/>
        <v>1</v>
      </c>
      <c r="CA83" t="str">
        <f t="shared" si="43"/>
        <v/>
      </c>
      <c r="CB83" t="str">
        <f t="shared" si="44"/>
        <v/>
      </c>
      <c r="CC83" t="str">
        <f t="shared" si="45"/>
        <v/>
      </c>
      <c r="CD83" t="str">
        <f t="shared" si="46"/>
        <v/>
      </c>
      <c r="CE83" t="str">
        <f t="shared" si="47"/>
        <v/>
      </c>
      <c r="CF83">
        <f t="shared" si="48"/>
        <v>9</v>
      </c>
      <c r="CG83" t="str">
        <f t="shared" si="49"/>
        <v/>
      </c>
      <c r="CH83" t="str">
        <f t="shared" si="50"/>
        <v/>
      </c>
      <c r="CI83" t="str">
        <f t="shared" si="51"/>
        <v/>
      </c>
      <c r="CJ83" t="str">
        <f t="shared" si="52"/>
        <v/>
      </c>
      <c r="CK83" t="str">
        <f t="shared" si="53"/>
        <v/>
      </c>
      <c r="CL83" t="str">
        <f t="shared" si="54"/>
        <v/>
      </c>
    </row>
    <row r="84" spans="1:90" ht="40.5" x14ac:dyDescent="0.15">
      <c r="A84" s="1">
        <v>93</v>
      </c>
      <c r="B84" s="3" t="s">
        <v>126</v>
      </c>
      <c r="C84" s="3" t="s">
        <v>124</v>
      </c>
      <c r="D84" s="1" t="s">
        <v>1</v>
      </c>
      <c r="E84" s="6"/>
      <c r="F84" s="6">
        <v>20</v>
      </c>
      <c r="G84" s="6"/>
      <c r="H84" s="6"/>
      <c r="I84" s="6"/>
      <c r="J84" s="6"/>
      <c r="K84" s="6">
        <v>20</v>
      </c>
      <c r="L84" s="6"/>
      <c r="M84" s="6"/>
      <c r="N84" s="6">
        <v>20</v>
      </c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4"/>
      <c r="AM84" s="4"/>
      <c r="AN84" s="4"/>
      <c r="AO84" s="4"/>
      <c r="AP84" s="4"/>
      <c r="AQ84" s="4"/>
      <c r="AR84" s="2"/>
      <c r="AS84" s="2"/>
      <c r="AT84" s="2"/>
      <c r="AU84" s="2"/>
      <c r="AV84" s="2"/>
      <c r="AW84" s="2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>
        <f t="shared" si="30"/>
        <v>60</v>
      </c>
      <c r="BK84" s="1">
        <v>52</v>
      </c>
      <c r="BL84" s="17">
        <v>3</v>
      </c>
      <c r="BM84" s="17" t="s">
        <v>182</v>
      </c>
      <c r="BN84" t="str">
        <f t="shared" si="31"/>
        <v/>
      </c>
      <c r="BO84" t="str">
        <f t="shared" si="32"/>
        <v/>
      </c>
      <c r="BP84" t="str">
        <f t="shared" si="33"/>
        <v/>
      </c>
      <c r="BQ84" t="str">
        <f t="shared" si="34"/>
        <v/>
      </c>
      <c r="BR84" t="str">
        <f t="shared" si="35"/>
        <v/>
      </c>
      <c r="BS84" t="str">
        <f t="shared" si="36"/>
        <v/>
      </c>
      <c r="BT84" t="str">
        <f t="shared" si="37"/>
        <v/>
      </c>
      <c r="BU84" t="str">
        <f t="shared" si="38"/>
        <v/>
      </c>
      <c r="BV84" t="str">
        <f t="shared" si="39"/>
        <v/>
      </c>
      <c r="BW84" t="str">
        <f t="shared" si="40"/>
        <v/>
      </c>
      <c r="BX84" t="str">
        <f t="shared" si="41"/>
        <v/>
      </c>
      <c r="BY84" t="str">
        <f t="shared" si="42"/>
        <v/>
      </c>
      <c r="BZ84">
        <f t="shared" si="55"/>
        <v>0</v>
      </c>
      <c r="CA84" t="str">
        <f t="shared" si="43"/>
        <v/>
      </c>
      <c r="CB84" t="str">
        <f t="shared" si="44"/>
        <v/>
      </c>
      <c r="CC84" t="str">
        <f t="shared" si="45"/>
        <v/>
      </c>
      <c r="CD84" t="str">
        <f t="shared" si="46"/>
        <v/>
      </c>
      <c r="CE84" t="str">
        <f t="shared" si="47"/>
        <v/>
      </c>
      <c r="CF84" t="str">
        <f t="shared" si="48"/>
        <v/>
      </c>
      <c r="CG84" t="str">
        <f t="shared" si="49"/>
        <v/>
      </c>
      <c r="CH84" t="str">
        <f t="shared" si="50"/>
        <v/>
      </c>
      <c r="CI84" t="str">
        <f t="shared" si="51"/>
        <v/>
      </c>
      <c r="CJ84" t="str">
        <f t="shared" si="52"/>
        <v/>
      </c>
      <c r="CK84" t="str">
        <f t="shared" si="53"/>
        <v/>
      </c>
      <c r="CL84" t="str">
        <f t="shared" si="54"/>
        <v/>
      </c>
    </row>
    <row r="85" spans="1:90" ht="54" x14ac:dyDescent="0.15">
      <c r="A85" s="1">
        <v>68</v>
      </c>
      <c r="B85" s="3" t="s">
        <v>82</v>
      </c>
      <c r="C85" s="1" t="s">
        <v>68</v>
      </c>
      <c r="D85" s="1" t="s">
        <v>13</v>
      </c>
      <c r="E85" s="6"/>
      <c r="F85" s="6">
        <v>6</v>
      </c>
      <c r="G85" s="6"/>
      <c r="H85" s="6"/>
      <c r="I85" s="6"/>
      <c r="J85" s="6"/>
      <c r="K85" s="6"/>
      <c r="L85" s="6"/>
      <c r="M85" s="6"/>
      <c r="N85" s="6">
        <v>6</v>
      </c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4"/>
      <c r="AM85" s="4"/>
      <c r="AN85" s="4"/>
      <c r="AO85" s="4"/>
      <c r="AP85" s="4"/>
      <c r="AQ85" s="4">
        <v>10</v>
      </c>
      <c r="AR85" s="2"/>
      <c r="AS85" s="2"/>
      <c r="AT85" s="2"/>
      <c r="AU85" s="2"/>
      <c r="AV85" s="2"/>
      <c r="AW85" s="2">
        <v>10</v>
      </c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>
        <f t="shared" si="30"/>
        <v>32</v>
      </c>
      <c r="BK85" s="1">
        <v>19</v>
      </c>
      <c r="BL85" s="17">
        <v>4</v>
      </c>
      <c r="BM85" s="17" t="s">
        <v>206</v>
      </c>
      <c r="BN85" t="str">
        <f t="shared" si="31"/>
        <v/>
      </c>
      <c r="BO85" t="str">
        <f t="shared" si="32"/>
        <v/>
      </c>
      <c r="BP85" t="str">
        <f t="shared" si="33"/>
        <v/>
      </c>
      <c r="BQ85" t="str">
        <f t="shared" si="34"/>
        <v/>
      </c>
      <c r="BR85" t="str">
        <f t="shared" si="35"/>
        <v/>
      </c>
      <c r="BS85">
        <f t="shared" si="36"/>
        <v>9</v>
      </c>
      <c r="BT85" t="str">
        <f t="shared" si="37"/>
        <v/>
      </c>
      <c r="BU85" t="str">
        <f t="shared" si="38"/>
        <v/>
      </c>
      <c r="BV85" t="str">
        <f t="shared" si="39"/>
        <v/>
      </c>
      <c r="BW85" t="str">
        <f t="shared" si="40"/>
        <v/>
      </c>
      <c r="BX85" t="str">
        <f t="shared" si="41"/>
        <v/>
      </c>
      <c r="BY85">
        <f t="shared" si="42"/>
        <v>3</v>
      </c>
      <c r="BZ85">
        <f t="shared" si="55"/>
        <v>2</v>
      </c>
      <c r="CA85" t="str">
        <f t="shared" si="43"/>
        <v/>
      </c>
      <c r="CB85" t="str">
        <f t="shared" si="44"/>
        <v/>
      </c>
      <c r="CC85" t="str">
        <f t="shared" si="45"/>
        <v/>
      </c>
      <c r="CD85" t="str">
        <f t="shared" si="46"/>
        <v/>
      </c>
      <c r="CE85" t="str">
        <f t="shared" si="47"/>
        <v/>
      </c>
      <c r="CF85" t="str">
        <f t="shared" si="48"/>
        <v/>
      </c>
      <c r="CG85" t="str">
        <f t="shared" si="49"/>
        <v/>
      </c>
      <c r="CH85" t="str">
        <f t="shared" si="50"/>
        <v/>
      </c>
      <c r="CI85" t="str">
        <f t="shared" si="51"/>
        <v/>
      </c>
      <c r="CJ85" t="str">
        <f t="shared" si="52"/>
        <v/>
      </c>
      <c r="CK85" t="str">
        <f t="shared" si="53"/>
        <v/>
      </c>
      <c r="CL85" t="str">
        <f t="shared" si="54"/>
        <v/>
      </c>
    </row>
    <row r="86" spans="1:90" ht="54" x14ac:dyDescent="0.15">
      <c r="A86" s="1">
        <v>14</v>
      </c>
      <c r="B86" s="1" t="s">
        <v>32</v>
      </c>
      <c r="C86" s="1" t="s">
        <v>33</v>
      </c>
      <c r="D86" s="1" t="s">
        <v>34</v>
      </c>
      <c r="E86" s="6"/>
      <c r="F86" s="6"/>
      <c r="G86" s="6">
        <v>15</v>
      </c>
      <c r="H86" s="6">
        <v>15</v>
      </c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4"/>
      <c r="AM86" s="4"/>
      <c r="AN86" s="4">
        <v>15</v>
      </c>
      <c r="AO86" s="4"/>
      <c r="AP86" s="4"/>
      <c r="AQ86" s="4"/>
      <c r="AR86" s="2"/>
      <c r="AS86" s="2"/>
      <c r="AT86" s="2"/>
      <c r="AU86" s="2"/>
      <c r="AV86" s="2"/>
      <c r="AW86" s="2">
        <v>15</v>
      </c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>
        <f t="shared" si="30"/>
        <v>60</v>
      </c>
      <c r="BK86" s="1">
        <v>29</v>
      </c>
      <c r="BL86" s="17">
        <v>4</v>
      </c>
      <c r="BM86" s="17" t="s">
        <v>193</v>
      </c>
      <c r="BN86" t="str">
        <f t="shared" si="31"/>
        <v/>
      </c>
      <c r="BO86" t="str">
        <f t="shared" si="32"/>
        <v/>
      </c>
      <c r="BP86">
        <f t="shared" si="33"/>
        <v>5</v>
      </c>
      <c r="BQ86" t="str">
        <f t="shared" si="34"/>
        <v/>
      </c>
      <c r="BR86" t="str">
        <f t="shared" si="35"/>
        <v/>
      </c>
      <c r="BS86" t="str">
        <f t="shared" si="36"/>
        <v/>
      </c>
      <c r="BT86" t="str">
        <f t="shared" si="37"/>
        <v/>
      </c>
      <c r="BU86" t="str">
        <f t="shared" si="38"/>
        <v/>
      </c>
      <c r="BV86" t="str">
        <f t="shared" si="39"/>
        <v/>
      </c>
      <c r="BW86" t="str">
        <f t="shared" si="40"/>
        <v/>
      </c>
      <c r="BX86" t="str">
        <f t="shared" si="41"/>
        <v/>
      </c>
      <c r="BY86">
        <f t="shared" si="42"/>
        <v>8</v>
      </c>
      <c r="BZ86">
        <f t="shared" si="55"/>
        <v>2</v>
      </c>
      <c r="CA86" t="str">
        <f t="shared" si="43"/>
        <v/>
      </c>
      <c r="CB86" t="str">
        <f t="shared" si="44"/>
        <v/>
      </c>
      <c r="CC86" t="str">
        <f t="shared" si="45"/>
        <v/>
      </c>
      <c r="CD86" t="str">
        <f t="shared" si="46"/>
        <v/>
      </c>
      <c r="CE86" t="str">
        <f t="shared" si="47"/>
        <v/>
      </c>
      <c r="CF86" t="str">
        <f t="shared" si="48"/>
        <v/>
      </c>
      <c r="CG86" t="str">
        <f t="shared" si="49"/>
        <v/>
      </c>
      <c r="CH86" t="str">
        <f t="shared" si="50"/>
        <v/>
      </c>
      <c r="CI86" t="str">
        <f t="shared" si="51"/>
        <v/>
      </c>
      <c r="CJ86" t="str">
        <f t="shared" si="52"/>
        <v/>
      </c>
      <c r="CK86" t="str">
        <f t="shared" si="53"/>
        <v/>
      </c>
      <c r="CL86" t="str">
        <f t="shared" si="54"/>
        <v/>
      </c>
    </row>
    <row r="87" spans="1:90" ht="54" x14ac:dyDescent="0.15">
      <c r="A87" s="1">
        <v>78</v>
      </c>
      <c r="B87" s="3" t="s">
        <v>90</v>
      </c>
      <c r="C87" s="3" t="s">
        <v>87</v>
      </c>
      <c r="D87" s="1" t="s">
        <v>1</v>
      </c>
      <c r="E87" s="6"/>
      <c r="F87" s="6"/>
      <c r="G87" s="6">
        <v>15</v>
      </c>
      <c r="H87" s="6">
        <v>15</v>
      </c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4"/>
      <c r="AM87" s="4"/>
      <c r="AN87" s="4"/>
      <c r="AO87" s="4"/>
      <c r="AP87" s="4"/>
      <c r="AQ87" s="4"/>
      <c r="AR87" s="2"/>
      <c r="AS87" s="2"/>
      <c r="AT87" s="2"/>
      <c r="AU87" s="2"/>
      <c r="AV87" s="2">
        <v>15</v>
      </c>
      <c r="AW87" s="2">
        <v>15</v>
      </c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>
        <f t="shared" si="30"/>
        <v>60</v>
      </c>
      <c r="BK87" s="1">
        <v>29</v>
      </c>
      <c r="BL87" s="17">
        <v>4</v>
      </c>
      <c r="BM87" s="17" t="s">
        <v>197</v>
      </c>
      <c r="BN87" t="str">
        <f t="shared" si="31"/>
        <v/>
      </c>
      <c r="BO87" t="str">
        <f t="shared" si="32"/>
        <v/>
      </c>
      <c r="BP87" t="str">
        <f t="shared" si="33"/>
        <v/>
      </c>
      <c r="BQ87" t="str">
        <f t="shared" si="34"/>
        <v/>
      </c>
      <c r="BR87" t="str">
        <f t="shared" si="35"/>
        <v/>
      </c>
      <c r="BS87" t="str">
        <f t="shared" si="36"/>
        <v/>
      </c>
      <c r="BT87" t="str">
        <f t="shared" si="37"/>
        <v/>
      </c>
      <c r="BU87" t="str">
        <f t="shared" si="38"/>
        <v/>
      </c>
      <c r="BV87" t="str">
        <f t="shared" si="39"/>
        <v/>
      </c>
      <c r="BW87" t="str">
        <f t="shared" si="40"/>
        <v/>
      </c>
      <c r="BX87">
        <f t="shared" si="41"/>
        <v>5</v>
      </c>
      <c r="BY87">
        <f t="shared" si="42"/>
        <v>8</v>
      </c>
      <c r="BZ87">
        <f t="shared" si="55"/>
        <v>2</v>
      </c>
      <c r="CA87" t="str">
        <f t="shared" si="43"/>
        <v/>
      </c>
      <c r="CB87" t="str">
        <f t="shared" si="44"/>
        <v/>
      </c>
      <c r="CC87" t="str">
        <f t="shared" si="45"/>
        <v/>
      </c>
      <c r="CD87" t="str">
        <f t="shared" si="46"/>
        <v/>
      </c>
      <c r="CE87" t="str">
        <f t="shared" si="47"/>
        <v/>
      </c>
      <c r="CF87" t="str">
        <f t="shared" si="48"/>
        <v/>
      </c>
      <c r="CG87" t="str">
        <f t="shared" si="49"/>
        <v/>
      </c>
      <c r="CH87" t="str">
        <f t="shared" si="50"/>
        <v/>
      </c>
      <c r="CI87" t="str">
        <f t="shared" si="51"/>
        <v/>
      </c>
      <c r="CJ87" t="str">
        <f t="shared" si="52"/>
        <v/>
      </c>
      <c r="CK87" t="str">
        <f t="shared" si="53"/>
        <v/>
      </c>
      <c r="CL87" t="str">
        <f t="shared" si="54"/>
        <v/>
      </c>
    </row>
    <row r="88" spans="1:90" ht="54" x14ac:dyDescent="0.15">
      <c r="A88" s="1">
        <v>95</v>
      </c>
      <c r="B88" s="3" t="s">
        <v>129</v>
      </c>
      <c r="C88" s="3" t="s">
        <v>97</v>
      </c>
      <c r="D88" s="1" t="s">
        <v>1</v>
      </c>
      <c r="E88" s="6"/>
      <c r="F88" s="6"/>
      <c r="G88" s="6"/>
      <c r="H88" s="6"/>
      <c r="I88" s="6"/>
      <c r="J88" s="6"/>
      <c r="K88" s="6"/>
      <c r="L88" s="6">
        <v>15</v>
      </c>
      <c r="M88" s="6"/>
      <c r="N88" s="6"/>
      <c r="O88" s="6">
        <v>15</v>
      </c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4"/>
      <c r="AM88" s="4"/>
      <c r="AN88" s="4"/>
      <c r="AO88" s="4"/>
      <c r="AP88" s="4"/>
      <c r="AQ88" s="4"/>
      <c r="AR88" s="2"/>
      <c r="AS88" s="2"/>
      <c r="AT88" s="2"/>
      <c r="AU88" s="2"/>
      <c r="AV88" s="2">
        <v>15</v>
      </c>
      <c r="AW88" s="2">
        <v>15</v>
      </c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>
        <f t="shared" si="30"/>
        <v>60</v>
      </c>
      <c r="BK88" s="1">
        <v>30</v>
      </c>
      <c r="BL88" s="17">
        <v>4</v>
      </c>
      <c r="BM88" s="17" t="s">
        <v>198</v>
      </c>
      <c r="BN88" t="str">
        <f t="shared" si="31"/>
        <v/>
      </c>
      <c r="BO88" t="str">
        <f t="shared" si="32"/>
        <v/>
      </c>
      <c r="BP88" t="str">
        <f t="shared" si="33"/>
        <v/>
      </c>
      <c r="BQ88" t="str">
        <f t="shared" si="34"/>
        <v/>
      </c>
      <c r="BR88" t="str">
        <f t="shared" si="35"/>
        <v/>
      </c>
      <c r="BS88" t="str">
        <f t="shared" si="36"/>
        <v/>
      </c>
      <c r="BT88" t="str">
        <f t="shared" si="37"/>
        <v/>
      </c>
      <c r="BU88" t="str">
        <f t="shared" si="38"/>
        <v/>
      </c>
      <c r="BV88" t="str">
        <f t="shared" si="39"/>
        <v/>
      </c>
      <c r="BW88" t="str">
        <f t="shared" si="40"/>
        <v/>
      </c>
      <c r="BX88">
        <f t="shared" si="41"/>
        <v>5</v>
      </c>
      <c r="BY88">
        <f t="shared" si="42"/>
        <v>8</v>
      </c>
      <c r="BZ88">
        <f t="shared" si="55"/>
        <v>2</v>
      </c>
      <c r="CA88" t="str">
        <f t="shared" si="43"/>
        <v/>
      </c>
      <c r="CB88" t="str">
        <f t="shared" si="44"/>
        <v/>
      </c>
      <c r="CC88" t="str">
        <f t="shared" si="45"/>
        <v/>
      </c>
      <c r="CD88" t="str">
        <f t="shared" si="46"/>
        <v/>
      </c>
      <c r="CE88" t="str">
        <f t="shared" si="47"/>
        <v/>
      </c>
      <c r="CF88" t="str">
        <f t="shared" si="48"/>
        <v/>
      </c>
      <c r="CG88" t="str">
        <f t="shared" si="49"/>
        <v/>
      </c>
      <c r="CH88" t="str">
        <f t="shared" si="50"/>
        <v/>
      </c>
      <c r="CI88" t="str">
        <f t="shared" si="51"/>
        <v/>
      </c>
      <c r="CJ88" t="str">
        <f t="shared" si="52"/>
        <v/>
      </c>
      <c r="CK88" t="str">
        <f t="shared" si="53"/>
        <v/>
      </c>
      <c r="CL88" t="str">
        <f t="shared" si="54"/>
        <v/>
      </c>
    </row>
    <row r="89" spans="1:90" ht="54" x14ac:dyDescent="0.15">
      <c r="A89" s="1">
        <v>54</v>
      </c>
      <c r="B89" s="1" t="s">
        <v>67</v>
      </c>
      <c r="C89" s="1" t="s">
        <v>68</v>
      </c>
      <c r="D89" s="1" t="s">
        <v>1</v>
      </c>
      <c r="E89" s="6"/>
      <c r="F89" s="6">
        <v>15</v>
      </c>
      <c r="G89" s="6"/>
      <c r="H89" s="6">
        <v>15</v>
      </c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4"/>
      <c r="AM89" s="4"/>
      <c r="AN89" s="4"/>
      <c r="AO89" s="4"/>
      <c r="AP89" s="4"/>
      <c r="AQ89" s="4">
        <v>15</v>
      </c>
      <c r="AR89" s="2"/>
      <c r="AS89" s="2"/>
      <c r="AT89" s="2"/>
      <c r="AU89" s="2"/>
      <c r="AV89" s="2">
        <v>15</v>
      </c>
      <c r="AW89" s="2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>
        <f t="shared" si="30"/>
        <v>60</v>
      </c>
      <c r="BK89" s="1">
        <v>32</v>
      </c>
      <c r="BL89" s="17">
        <v>4</v>
      </c>
      <c r="BM89" s="17" t="s">
        <v>202</v>
      </c>
      <c r="BN89" t="str">
        <f t="shared" si="31"/>
        <v/>
      </c>
      <c r="BO89" t="str">
        <f t="shared" si="32"/>
        <v/>
      </c>
      <c r="BP89" t="str">
        <f t="shared" si="33"/>
        <v/>
      </c>
      <c r="BQ89" t="str">
        <f t="shared" si="34"/>
        <v/>
      </c>
      <c r="BR89" t="str">
        <f t="shared" si="35"/>
        <v/>
      </c>
      <c r="BS89">
        <f t="shared" si="36"/>
        <v>14</v>
      </c>
      <c r="BT89" t="str">
        <f t="shared" si="37"/>
        <v/>
      </c>
      <c r="BU89" t="str">
        <f t="shared" si="38"/>
        <v/>
      </c>
      <c r="BV89" t="str">
        <f t="shared" si="39"/>
        <v/>
      </c>
      <c r="BW89" t="str">
        <f t="shared" si="40"/>
        <v/>
      </c>
      <c r="BX89">
        <f t="shared" si="41"/>
        <v>5</v>
      </c>
      <c r="BY89" t="str">
        <f t="shared" si="42"/>
        <v/>
      </c>
      <c r="BZ89">
        <f t="shared" si="55"/>
        <v>2</v>
      </c>
      <c r="CA89" t="str">
        <f t="shared" si="43"/>
        <v/>
      </c>
      <c r="CB89" t="str">
        <f t="shared" si="44"/>
        <v/>
      </c>
      <c r="CC89" t="str">
        <f t="shared" si="45"/>
        <v/>
      </c>
      <c r="CD89" t="str">
        <f t="shared" si="46"/>
        <v/>
      </c>
      <c r="CE89" t="str">
        <f t="shared" si="47"/>
        <v/>
      </c>
      <c r="CF89" t="str">
        <f t="shared" si="48"/>
        <v/>
      </c>
      <c r="CG89" t="str">
        <f t="shared" si="49"/>
        <v/>
      </c>
      <c r="CH89" t="str">
        <f t="shared" si="50"/>
        <v/>
      </c>
      <c r="CI89" t="str">
        <f t="shared" si="51"/>
        <v/>
      </c>
      <c r="CJ89" t="str">
        <f t="shared" si="52"/>
        <v/>
      </c>
      <c r="CK89" t="str">
        <f t="shared" si="53"/>
        <v/>
      </c>
      <c r="CL89" t="str">
        <f t="shared" si="54"/>
        <v/>
      </c>
    </row>
    <row r="90" spans="1:90" ht="54" x14ac:dyDescent="0.15">
      <c r="A90" s="1">
        <v>1</v>
      </c>
      <c r="B90" s="1" t="s">
        <v>0</v>
      </c>
      <c r="C90" s="1" t="s">
        <v>2</v>
      </c>
      <c r="D90" s="1" t="s">
        <v>1</v>
      </c>
      <c r="E90" s="6">
        <v>10</v>
      </c>
      <c r="F90" s="6">
        <v>10</v>
      </c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4"/>
      <c r="AM90" s="4">
        <v>10</v>
      </c>
      <c r="AN90" s="4"/>
      <c r="AO90" s="4"/>
      <c r="AP90" s="4"/>
      <c r="AQ90" s="4"/>
      <c r="AR90" s="2">
        <v>15</v>
      </c>
      <c r="AS90" s="2">
        <v>15</v>
      </c>
      <c r="AT90" s="2"/>
      <c r="AU90" s="2"/>
      <c r="AV90" s="2"/>
      <c r="AW90" s="2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>
        <f t="shared" si="30"/>
        <v>60</v>
      </c>
      <c r="BK90" s="1">
        <v>37</v>
      </c>
      <c r="BL90" s="17">
        <v>4</v>
      </c>
      <c r="BM90" s="17" t="s">
        <v>199</v>
      </c>
      <c r="BN90" t="str">
        <f t="shared" si="31"/>
        <v/>
      </c>
      <c r="BO90">
        <f t="shared" si="32"/>
        <v>9</v>
      </c>
      <c r="BP90" t="str">
        <f t="shared" si="33"/>
        <v/>
      </c>
      <c r="BQ90" t="str">
        <f t="shared" si="34"/>
        <v/>
      </c>
      <c r="BR90" t="str">
        <f t="shared" si="35"/>
        <v/>
      </c>
      <c r="BS90" t="str">
        <f t="shared" si="36"/>
        <v/>
      </c>
      <c r="BT90">
        <f t="shared" si="37"/>
        <v>14</v>
      </c>
      <c r="BU90">
        <f t="shared" si="38"/>
        <v>8</v>
      </c>
      <c r="BV90" t="str">
        <f t="shared" si="39"/>
        <v/>
      </c>
      <c r="BW90" t="str">
        <f t="shared" si="40"/>
        <v/>
      </c>
      <c r="BX90" t="str">
        <f t="shared" si="41"/>
        <v/>
      </c>
      <c r="BY90" t="str">
        <f t="shared" si="42"/>
        <v/>
      </c>
      <c r="BZ90">
        <f t="shared" si="55"/>
        <v>3</v>
      </c>
      <c r="CA90" t="str">
        <f t="shared" si="43"/>
        <v/>
      </c>
      <c r="CB90" t="str">
        <f t="shared" si="44"/>
        <v/>
      </c>
      <c r="CC90" t="str">
        <f t="shared" si="45"/>
        <v/>
      </c>
      <c r="CD90" t="str">
        <f t="shared" si="46"/>
        <v/>
      </c>
      <c r="CE90" t="str">
        <f t="shared" si="47"/>
        <v/>
      </c>
      <c r="CF90" t="str">
        <f t="shared" si="48"/>
        <v/>
      </c>
      <c r="CG90" t="str">
        <f t="shared" si="49"/>
        <v/>
      </c>
      <c r="CH90" t="str">
        <f t="shared" si="50"/>
        <v/>
      </c>
      <c r="CI90" t="str">
        <f t="shared" si="51"/>
        <v/>
      </c>
      <c r="CJ90" t="str">
        <f t="shared" si="52"/>
        <v/>
      </c>
      <c r="CK90" t="str">
        <f t="shared" si="53"/>
        <v/>
      </c>
      <c r="CL90" t="str">
        <f t="shared" si="54"/>
        <v/>
      </c>
    </row>
    <row r="91" spans="1:90" ht="54" x14ac:dyDescent="0.15">
      <c r="A91" s="1">
        <v>3</v>
      </c>
      <c r="B91" s="1" t="s">
        <v>11</v>
      </c>
      <c r="C91" s="1" t="s">
        <v>2</v>
      </c>
      <c r="D91" s="1" t="s">
        <v>12</v>
      </c>
      <c r="E91" s="6">
        <v>15</v>
      </c>
      <c r="F91" s="6"/>
      <c r="G91" s="6">
        <v>15</v>
      </c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4"/>
      <c r="AM91" s="4">
        <v>15</v>
      </c>
      <c r="AN91" s="4"/>
      <c r="AO91" s="4"/>
      <c r="AP91" s="4"/>
      <c r="AQ91" s="4"/>
      <c r="AR91" s="2"/>
      <c r="AS91" s="2"/>
      <c r="AT91" s="2"/>
      <c r="AU91" s="2"/>
      <c r="AV91" s="2"/>
      <c r="AW91" s="2">
        <v>15</v>
      </c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>
        <f t="shared" si="30"/>
        <v>60</v>
      </c>
      <c r="BK91" s="1">
        <v>41</v>
      </c>
      <c r="BL91" s="17">
        <v>4</v>
      </c>
      <c r="BM91" s="17" t="s">
        <v>191</v>
      </c>
      <c r="BN91" t="str">
        <f t="shared" si="31"/>
        <v/>
      </c>
      <c r="BO91">
        <f t="shared" si="32"/>
        <v>14</v>
      </c>
      <c r="BP91" t="str">
        <f t="shared" si="33"/>
        <v/>
      </c>
      <c r="BQ91" t="str">
        <f t="shared" si="34"/>
        <v/>
      </c>
      <c r="BR91" t="str">
        <f t="shared" si="35"/>
        <v/>
      </c>
      <c r="BS91" t="str">
        <f t="shared" si="36"/>
        <v/>
      </c>
      <c r="BT91" t="str">
        <f t="shared" si="37"/>
        <v/>
      </c>
      <c r="BU91" t="str">
        <f t="shared" si="38"/>
        <v/>
      </c>
      <c r="BV91" t="str">
        <f t="shared" si="39"/>
        <v/>
      </c>
      <c r="BW91" t="str">
        <f t="shared" si="40"/>
        <v/>
      </c>
      <c r="BX91" t="str">
        <f t="shared" si="41"/>
        <v/>
      </c>
      <c r="BY91">
        <f t="shared" si="42"/>
        <v>8</v>
      </c>
      <c r="BZ91">
        <f t="shared" si="55"/>
        <v>2</v>
      </c>
      <c r="CA91" t="str">
        <f t="shared" si="43"/>
        <v/>
      </c>
      <c r="CB91" t="str">
        <f t="shared" si="44"/>
        <v/>
      </c>
      <c r="CC91" t="str">
        <f t="shared" si="45"/>
        <v/>
      </c>
      <c r="CD91" t="str">
        <f t="shared" si="46"/>
        <v/>
      </c>
      <c r="CE91" t="str">
        <f t="shared" si="47"/>
        <v/>
      </c>
      <c r="CF91" t="str">
        <f t="shared" si="48"/>
        <v/>
      </c>
      <c r="CG91" t="str">
        <f t="shared" si="49"/>
        <v/>
      </c>
      <c r="CH91" t="str">
        <f t="shared" si="50"/>
        <v/>
      </c>
      <c r="CI91" t="str">
        <f t="shared" si="51"/>
        <v/>
      </c>
      <c r="CJ91" t="str">
        <f t="shared" si="52"/>
        <v/>
      </c>
      <c r="CK91" t="str">
        <f t="shared" si="53"/>
        <v/>
      </c>
      <c r="CL91" t="str">
        <f t="shared" si="54"/>
        <v/>
      </c>
    </row>
    <row r="92" spans="1:90" ht="54" x14ac:dyDescent="0.15">
      <c r="A92" s="1">
        <v>77</v>
      </c>
      <c r="B92" s="3" t="s">
        <v>86</v>
      </c>
      <c r="C92" s="3" t="s">
        <v>87</v>
      </c>
      <c r="D92" s="1" t="s">
        <v>13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4"/>
      <c r="AM92" s="4"/>
      <c r="AN92" s="4"/>
      <c r="AO92" s="4">
        <v>20</v>
      </c>
      <c r="AP92" s="4"/>
      <c r="AQ92" s="4"/>
      <c r="AR92" s="2">
        <v>20</v>
      </c>
      <c r="AS92" s="2">
        <v>20</v>
      </c>
      <c r="AT92" s="2"/>
      <c r="AU92" s="2"/>
      <c r="AV92" s="2"/>
      <c r="AW92" s="2">
        <v>10</v>
      </c>
      <c r="AX92" s="1"/>
      <c r="AY92" s="1"/>
      <c r="AZ92" s="1"/>
      <c r="BA92" s="1"/>
      <c r="BB92" s="1">
        <v>20</v>
      </c>
      <c r="BC92" s="1"/>
      <c r="BD92" s="1"/>
      <c r="BE92" s="1"/>
      <c r="BF92" s="1"/>
      <c r="BG92" s="1"/>
      <c r="BH92" s="1"/>
      <c r="BI92" s="1"/>
      <c r="BJ92" s="1">
        <f t="shared" si="30"/>
        <v>90</v>
      </c>
      <c r="BK92" s="1">
        <v>52</v>
      </c>
      <c r="BL92" s="17">
        <v>4</v>
      </c>
      <c r="BM92" s="17" t="s">
        <v>209</v>
      </c>
      <c r="BN92" t="str">
        <f t="shared" si="31"/>
        <v/>
      </c>
      <c r="BO92" t="str">
        <f t="shared" si="32"/>
        <v/>
      </c>
      <c r="BP92" t="str">
        <f t="shared" si="33"/>
        <v/>
      </c>
      <c r="BQ92">
        <f t="shared" si="34"/>
        <v>17</v>
      </c>
      <c r="BR92" t="str">
        <f t="shared" si="35"/>
        <v/>
      </c>
      <c r="BS92" t="str">
        <f t="shared" si="36"/>
        <v/>
      </c>
      <c r="BT92">
        <f t="shared" si="37"/>
        <v>19</v>
      </c>
      <c r="BU92">
        <f t="shared" si="38"/>
        <v>13</v>
      </c>
      <c r="BV92" t="str">
        <f t="shared" si="39"/>
        <v/>
      </c>
      <c r="BW92" t="str">
        <f t="shared" si="40"/>
        <v/>
      </c>
      <c r="BX92" t="str">
        <f t="shared" si="41"/>
        <v/>
      </c>
      <c r="BY92">
        <f t="shared" si="42"/>
        <v>3</v>
      </c>
      <c r="BZ92">
        <f t="shared" si="55"/>
        <v>4</v>
      </c>
      <c r="CA92" t="str">
        <f t="shared" si="43"/>
        <v/>
      </c>
      <c r="CB92" t="str">
        <f t="shared" si="44"/>
        <v/>
      </c>
      <c r="CC92" t="str">
        <f t="shared" si="45"/>
        <v/>
      </c>
      <c r="CD92" t="str">
        <f t="shared" si="46"/>
        <v/>
      </c>
      <c r="CE92" t="str">
        <f t="shared" si="47"/>
        <v/>
      </c>
      <c r="CF92" t="str">
        <f t="shared" si="48"/>
        <v/>
      </c>
      <c r="CG92" t="str">
        <f t="shared" si="49"/>
        <v/>
      </c>
      <c r="CH92" t="str">
        <f t="shared" si="50"/>
        <v/>
      </c>
      <c r="CI92" t="str">
        <f t="shared" si="51"/>
        <v/>
      </c>
      <c r="CJ92" t="str">
        <f t="shared" si="52"/>
        <v/>
      </c>
      <c r="CK92" t="str">
        <f t="shared" si="53"/>
        <v/>
      </c>
      <c r="CL92" t="str">
        <f t="shared" si="54"/>
        <v/>
      </c>
    </row>
    <row r="93" spans="1:90" ht="54" x14ac:dyDescent="0.15">
      <c r="A93" s="1">
        <v>85</v>
      </c>
      <c r="B93" s="3" t="s">
        <v>95</v>
      </c>
      <c r="C93" s="3" t="s">
        <v>87</v>
      </c>
      <c r="D93" s="1" t="s">
        <v>43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4"/>
      <c r="AM93" s="4"/>
      <c r="AN93" s="4"/>
      <c r="AO93" s="4"/>
      <c r="AP93" s="4"/>
      <c r="AQ93" s="4"/>
      <c r="AR93" s="2"/>
      <c r="AS93" s="2"/>
      <c r="AT93" s="2"/>
      <c r="AU93" s="2"/>
      <c r="AV93" s="2"/>
      <c r="AW93" s="2"/>
      <c r="AX93" s="1"/>
      <c r="AY93" s="1"/>
      <c r="AZ93" s="1"/>
      <c r="BA93" s="1"/>
      <c r="BB93" s="1"/>
      <c r="BC93" s="1"/>
      <c r="BD93" s="1"/>
      <c r="BE93" s="1"/>
      <c r="BF93" s="1">
        <v>50</v>
      </c>
      <c r="BG93" s="1">
        <v>50</v>
      </c>
      <c r="BH93" s="1">
        <v>50</v>
      </c>
      <c r="BI93" s="1">
        <v>50</v>
      </c>
      <c r="BJ93" s="1">
        <f t="shared" si="30"/>
        <v>200</v>
      </c>
      <c r="BK93" s="1">
        <v>195</v>
      </c>
      <c r="BL93" s="17">
        <v>4</v>
      </c>
      <c r="BM93" s="17" t="s">
        <v>189</v>
      </c>
      <c r="BN93" t="str">
        <f t="shared" si="31"/>
        <v/>
      </c>
      <c r="BO93" t="str">
        <f t="shared" si="32"/>
        <v/>
      </c>
      <c r="BP93" t="str">
        <f t="shared" si="33"/>
        <v/>
      </c>
      <c r="BQ93" t="str">
        <f t="shared" si="34"/>
        <v/>
      </c>
      <c r="BR93" t="str">
        <f t="shared" si="35"/>
        <v/>
      </c>
      <c r="BS93" t="str">
        <f t="shared" si="36"/>
        <v/>
      </c>
      <c r="BT93" t="str">
        <f t="shared" si="37"/>
        <v/>
      </c>
      <c r="BU93" t="str">
        <f t="shared" si="38"/>
        <v/>
      </c>
      <c r="BV93" t="str">
        <f t="shared" si="39"/>
        <v/>
      </c>
      <c r="BW93" t="str">
        <f t="shared" si="40"/>
        <v/>
      </c>
      <c r="BX93" t="str">
        <f t="shared" si="41"/>
        <v/>
      </c>
      <c r="BY93" t="str">
        <f t="shared" si="42"/>
        <v/>
      </c>
      <c r="BZ93">
        <f t="shared" si="55"/>
        <v>0</v>
      </c>
      <c r="CA93" t="str">
        <f t="shared" si="43"/>
        <v/>
      </c>
      <c r="CB93" t="str">
        <f t="shared" si="44"/>
        <v/>
      </c>
      <c r="CC93" t="str">
        <f t="shared" si="45"/>
        <v/>
      </c>
      <c r="CD93" t="str">
        <f t="shared" si="46"/>
        <v/>
      </c>
      <c r="CE93" t="str">
        <f t="shared" si="47"/>
        <v/>
      </c>
      <c r="CF93" t="str">
        <f t="shared" si="48"/>
        <v/>
      </c>
      <c r="CG93" t="str">
        <f t="shared" si="49"/>
        <v/>
      </c>
      <c r="CH93" t="str">
        <f t="shared" si="50"/>
        <v/>
      </c>
      <c r="CI93" t="str">
        <f t="shared" si="51"/>
        <v/>
      </c>
      <c r="CJ93" t="str">
        <f t="shared" si="52"/>
        <v/>
      </c>
      <c r="CK93" t="str">
        <f t="shared" si="53"/>
        <v/>
      </c>
      <c r="CL93" t="str">
        <f t="shared" si="54"/>
        <v/>
      </c>
    </row>
    <row r="94" spans="1:90" ht="54" x14ac:dyDescent="0.15">
      <c r="A94" s="1">
        <v>23</v>
      </c>
      <c r="B94" s="1" t="s">
        <v>42</v>
      </c>
      <c r="C94" s="1" t="s">
        <v>33</v>
      </c>
      <c r="D94" s="1" t="s">
        <v>43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4"/>
      <c r="AM94" s="4"/>
      <c r="AN94" s="4"/>
      <c r="AO94" s="4"/>
      <c r="AP94" s="4"/>
      <c r="AQ94" s="4"/>
      <c r="AR94" s="2"/>
      <c r="AS94" s="2"/>
      <c r="AT94" s="2"/>
      <c r="AU94" s="2"/>
      <c r="AV94" s="2"/>
      <c r="AW94" s="2"/>
      <c r="AX94" s="1"/>
      <c r="AY94" s="1"/>
      <c r="AZ94" s="1"/>
      <c r="BA94" s="1"/>
      <c r="BB94" s="1"/>
      <c r="BC94" s="1"/>
      <c r="BD94" s="1">
        <v>50</v>
      </c>
      <c r="BE94" s="1">
        <v>50</v>
      </c>
      <c r="BF94" s="1"/>
      <c r="BG94" s="1"/>
      <c r="BH94" s="1">
        <v>50</v>
      </c>
      <c r="BI94" s="1">
        <v>50</v>
      </c>
      <c r="BJ94" s="1">
        <f t="shared" si="30"/>
        <v>200</v>
      </c>
      <c r="BK94" s="1">
        <v>200</v>
      </c>
      <c r="BL94" s="17">
        <v>4</v>
      </c>
      <c r="BM94" s="17" t="s">
        <v>153</v>
      </c>
      <c r="BN94" t="str">
        <f t="shared" si="31"/>
        <v/>
      </c>
      <c r="BO94" t="str">
        <f t="shared" si="32"/>
        <v/>
      </c>
      <c r="BP94" t="str">
        <f t="shared" si="33"/>
        <v/>
      </c>
      <c r="BQ94" t="str">
        <f t="shared" si="34"/>
        <v/>
      </c>
      <c r="BR94" t="str">
        <f t="shared" si="35"/>
        <v/>
      </c>
      <c r="BS94" t="str">
        <f t="shared" si="36"/>
        <v/>
      </c>
      <c r="BT94" t="str">
        <f t="shared" si="37"/>
        <v/>
      </c>
      <c r="BU94" t="str">
        <f t="shared" si="38"/>
        <v/>
      </c>
      <c r="BV94" t="str">
        <f t="shared" si="39"/>
        <v/>
      </c>
      <c r="BW94" t="str">
        <f t="shared" si="40"/>
        <v/>
      </c>
      <c r="BX94" t="str">
        <f t="shared" si="41"/>
        <v/>
      </c>
      <c r="BY94" t="str">
        <f t="shared" si="42"/>
        <v/>
      </c>
      <c r="BZ94">
        <f t="shared" si="55"/>
        <v>0</v>
      </c>
      <c r="CA94" t="str">
        <f t="shared" si="43"/>
        <v/>
      </c>
      <c r="CB94" t="str">
        <f t="shared" si="44"/>
        <v/>
      </c>
      <c r="CC94" t="str">
        <f t="shared" si="45"/>
        <v/>
      </c>
      <c r="CD94" t="str">
        <f t="shared" si="46"/>
        <v/>
      </c>
      <c r="CE94" t="str">
        <f t="shared" si="47"/>
        <v/>
      </c>
      <c r="CF94" t="str">
        <f t="shared" si="48"/>
        <v/>
      </c>
      <c r="CG94" t="str">
        <f t="shared" si="49"/>
        <v/>
      </c>
      <c r="CH94" t="str">
        <f t="shared" si="50"/>
        <v/>
      </c>
      <c r="CI94" t="str">
        <f t="shared" si="51"/>
        <v/>
      </c>
      <c r="CJ94" t="str">
        <f t="shared" si="52"/>
        <v/>
      </c>
      <c r="CK94" t="str">
        <f t="shared" si="53"/>
        <v/>
      </c>
      <c r="CL94" t="str">
        <f t="shared" si="54"/>
        <v/>
      </c>
    </row>
    <row r="95" spans="1:90" ht="54" x14ac:dyDescent="0.15">
      <c r="A95" s="1">
        <v>102</v>
      </c>
      <c r="B95" s="3" t="s">
        <v>99</v>
      </c>
      <c r="C95" s="3" t="s">
        <v>97</v>
      </c>
      <c r="D95" s="1" t="s">
        <v>43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4"/>
      <c r="AM95" s="4"/>
      <c r="AN95" s="4"/>
      <c r="AO95" s="4"/>
      <c r="AP95" s="4"/>
      <c r="AQ95" s="4"/>
      <c r="AR95" s="2"/>
      <c r="AS95" s="2"/>
      <c r="AT95" s="2"/>
      <c r="AU95" s="2"/>
      <c r="AV95" s="2"/>
      <c r="AW95" s="2"/>
      <c r="AX95" s="1"/>
      <c r="AY95" s="1"/>
      <c r="AZ95" s="1"/>
      <c r="BA95" s="1"/>
      <c r="BB95" s="1"/>
      <c r="BC95" s="1"/>
      <c r="BD95" s="1">
        <v>50</v>
      </c>
      <c r="BE95" s="1">
        <v>50</v>
      </c>
      <c r="BF95" s="1"/>
      <c r="BG95" s="1"/>
      <c r="BH95" s="1">
        <v>50</v>
      </c>
      <c r="BI95" s="1">
        <v>50</v>
      </c>
      <c r="BJ95" s="1">
        <f t="shared" si="30"/>
        <v>200</v>
      </c>
      <c r="BK95" s="1">
        <v>200</v>
      </c>
      <c r="BL95" s="17">
        <v>4</v>
      </c>
      <c r="BM95" s="17" t="s">
        <v>153</v>
      </c>
      <c r="BN95" t="str">
        <f t="shared" si="31"/>
        <v/>
      </c>
      <c r="BO95" t="str">
        <f t="shared" si="32"/>
        <v/>
      </c>
      <c r="BP95" t="str">
        <f t="shared" si="33"/>
        <v/>
      </c>
      <c r="BQ95" t="str">
        <f t="shared" si="34"/>
        <v/>
      </c>
      <c r="BR95" t="str">
        <f t="shared" si="35"/>
        <v/>
      </c>
      <c r="BS95" t="str">
        <f t="shared" si="36"/>
        <v/>
      </c>
      <c r="BT95" t="str">
        <f t="shared" si="37"/>
        <v/>
      </c>
      <c r="BU95" t="str">
        <f t="shared" si="38"/>
        <v/>
      </c>
      <c r="BV95" t="str">
        <f t="shared" si="39"/>
        <v/>
      </c>
      <c r="BW95" t="str">
        <f t="shared" si="40"/>
        <v/>
      </c>
      <c r="BX95" t="str">
        <f t="shared" si="41"/>
        <v/>
      </c>
      <c r="BY95" t="str">
        <f t="shared" si="42"/>
        <v/>
      </c>
      <c r="BZ95">
        <f t="shared" si="55"/>
        <v>0</v>
      </c>
      <c r="CA95" t="str">
        <f t="shared" si="43"/>
        <v/>
      </c>
      <c r="CB95" t="str">
        <f t="shared" si="44"/>
        <v/>
      </c>
      <c r="CC95" t="str">
        <f t="shared" si="45"/>
        <v/>
      </c>
      <c r="CD95" t="str">
        <f t="shared" si="46"/>
        <v/>
      </c>
      <c r="CE95" t="str">
        <f t="shared" si="47"/>
        <v/>
      </c>
      <c r="CF95" t="str">
        <f t="shared" si="48"/>
        <v/>
      </c>
      <c r="CG95" t="str">
        <f t="shared" si="49"/>
        <v/>
      </c>
      <c r="CH95" t="str">
        <f t="shared" si="50"/>
        <v/>
      </c>
      <c r="CI95" t="str">
        <f t="shared" si="51"/>
        <v/>
      </c>
      <c r="CJ95" t="str">
        <f t="shared" si="52"/>
        <v/>
      </c>
      <c r="CK95" t="str">
        <f t="shared" si="53"/>
        <v/>
      </c>
      <c r="CL95" t="str">
        <f t="shared" si="54"/>
        <v/>
      </c>
    </row>
    <row r="96" spans="1:90" x14ac:dyDescent="0.15">
      <c r="A96" s="1"/>
      <c r="B96" s="1" t="s">
        <v>101</v>
      </c>
      <c r="C96" s="1"/>
      <c r="D96" s="1"/>
      <c r="E96" s="6">
        <f t="shared" ref="E96:AJ96" si="56">SUM(E2:E95)</f>
        <v>47</v>
      </c>
      <c r="F96" s="6">
        <f t="shared" si="56"/>
        <v>84</v>
      </c>
      <c r="G96" s="6">
        <f t="shared" si="56"/>
        <v>86</v>
      </c>
      <c r="H96" s="6">
        <f t="shared" si="56"/>
        <v>91</v>
      </c>
      <c r="I96" s="6">
        <f t="shared" si="56"/>
        <v>35</v>
      </c>
      <c r="J96" s="6">
        <f t="shared" si="56"/>
        <v>10</v>
      </c>
      <c r="K96" s="6">
        <f t="shared" si="56"/>
        <v>38</v>
      </c>
      <c r="L96" s="6">
        <f t="shared" si="56"/>
        <v>45</v>
      </c>
      <c r="M96" s="6">
        <f t="shared" si="56"/>
        <v>17</v>
      </c>
      <c r="N96" s="6">
        <f t="shared" si="56"/>
        <v>47</v>
      </c>
      <c r="O96" s="6">
        <f t="shared" si="56"/>
        <v>42</v>
      </c>
      <c r="P96" s="6">
        <f t="shared" si="56"/>
        <v>25</v>
      </c>
      <c r="Q96" s="6">
        <f t="shared" si="56"/>
        <v>15</v>
      </c>
      <c r="R96" s="6">
        <f t="shared" si="56"/>
        <v>15</v>
      </c>
      <c r="S96" s="6">
        <f t="shared" si="56"/>
        <v>28</v>
      </c>
      <c r="T96" s="6">
        <f t="shared" si="56"/>
        <v>10</v>
      </c>
      <c r="U96" s="6">
        <f t="shared" si="56"/>
        <v>30</v>
      </c>
      <c r="V96" s="6">
        <f t="shared" si="56"/>
        <v>15</v>
      </c>
      <c r="W96" s="6">
        <f t="shared" si="56"/>
        <v>15</v>
      </c>
      <c r="X96" s="6">
        <f t="shared" si="56"/>
        <v>20</v>
      </c>
      <c r="Y96" s="6">
        <f t="shared" si="56"/>
        <v>10</v>
      </c>
      <c r="Z96" s="6">
        <f t="shared" si="56"/>
        <v>25</v>
      </c>
      <c r="AA96" s="6">
        <f t="shared" si="56"/>
        <v>4</v>
      </c>
      <c r="AB96" s="1">
        <f t="shared" si="56"/>
        <v>277</v>
      </c>
      <c r="AC96" s="1">
        <f t="shared" si="56"/>
        <v>10</v>
      </c>
      <c r="AD96" s="1">
        <f t="shared" si="56"/>
        <v>15</v>
      </c>
      <c r="AE96" s="1">
        <f t="shared" si="56"/>
        <v>25</v>
      </c>
      <c r="AF96" s="1">
        <f t="shared" si="56"/>
        <v>25</v>
      </c>
      <c r="AG96" s="1">
        <f t="shared" si="56"/>
        <v>5</v>
      </c>
      <c r="AH96" s="1">
        <f t="shared" si="56"/>
        <v>20</v>
      </c>
      <c r="AI96" s="1">
        <f t="shared" si="56"/>
        <v>10</v>
      </c>
      <c r="AJ96" s="1">
        <f t="shared" si="56"/>
        <v>25</v>
      </c>
      <c r="AK96" s="1">
        <f t="shared" ref="AK96:BI96" si="57">SUM(AK2:AK95)</f>
        <v>50</v>
      </c>
      <c r="AL96" s="4">
        <f t="shared" si="57"/>
        <v>65</v>
      </c>
      <c r="AM96" s="4">
        <f t="shared" si="57"/>
        <v>60</v>
      </c>
      <c r="AN96" s="4">
        <f t="shared" si="57"/>
        <v>45</v>
      </c>
      <c r="AO96" s="4">
        <f t="shared" si="57"/>
        <v>45</v>
      </c>
      <c r="AP96" s="4">
        <f t="shared" si="57"/>
        <v>8</v>
      </c>
      <c r="AQ96" s="4">
        <f t="shared" si="57"/>
        <v>85</v>
      </c>
      <c r="AR96" s="2">
        <f t="shared" si="57"/>
        <v>53</v>
      </c>
      <c r="AS96" s="2">
        <f t="shared" si="57"/>
        <v>65</v>
      </c>
      <c r="AT96" s="2">
        <f t="shared" si="57"/>
        <v>10</v>
      </c>
      <c r="AU96" s="2">
        <f t="shared" si="57"/>
        <v>65</v>
      </c>
      <c r="AV96" s="2">
        <f t="shared" si="57"/>
        <v>120</v>
      </c>
      <c r="AW96" s="2">
        <f t="shared" si="57"/>
        <v>190</v>
      </c>
      <c r="AX96" s="1">
        <f t="shared" si="57"/>
        <v>60</v>
      </c>
      <c r="AY96" s="1">
        <f t="shared" si="57"/>
        <v>60</v>
      </c>
      <c r="AZ96" s="1">
        <f t="shared" si="57"/>
        <v>60</v>
      </c>
      <c r="BA96" s="1">
        <f t="shared" si="57"/>
        <v>60</v>
      </c>
      <c r="BB96" s="1">
        <f t="shared" si="57"/>
        <v>85</v>
      </c>
      <c r="BC96" s="1">
        <f t="shared" si="57"/>
        <v>55</v>
      </c>
      <c r="BD96" s="1">
        <f t="shared" si="57"/>
        <v>100</v>
      </c>
      <c r="BE96" s="1">
        <f t="shared" si="57"/>
        <v>100</v>
      </c>
      <c r="BF96" s="1">
        <f t="shared" si="57"/>
        <v>50</v>
      </c>
      <c r="BG96" s="1">
        <f t="shared" si="57"/>
        <v>50</v>
      </c>
      <c r="BH96" s="1">
        <f t="shared" si="57"/>
        <v>150</v>
      </c>
      <c r="BI96" s="1">
        <f t="shared" si="57"/>
        <v>150</v>
      </c>
      <c r="BJ96" s="1"/>
      <c r="BK96" s="1"/>
      <c r="BL96" s="17"/>
      <c r="BM96" s="17"/>
      <c r="BN96">
        <f>MIN(BN2:BN95)</f>
        <v>4</v>
      </c>
      <c r="BO96">
        <f t="shared" ref="BO96:CA96" si="58">MIN(BO2:BO95)</f>
        <v>4</v>
      </c>
      <c r="BP96">
        <f t="shared" si="58"/>
        <v>5</v>
      </c>
      <c r="BQ96">
        <f t="shared" si="58"/>
        <v>2</v>
      </c>
      <c r="BR96">
        <f t="shared" si="58"/>
        <v>0</v>
      </c>
      <c r="BS96">
        <f t="shared" si="58"/>
        <v>9</v>
      </c>
      <c r="BT96">
        <f t="shared" si="58"/>
        <v>4</v>
      </c>
      <c r="BU96">
        <f t="shared" si="58"/>
        <v>3</v>
      </c>
      <c r="BV96">
        <f t="shared" si="58"/>
        <v>0</v>
      </c>
      <c r="BW96">
        <f t="shared" si="58"/>
        <v>0</v>
      </c>
      <c r="BX96">
        <f t="shared" si="58"/>
        <v>5</v>
      </c>
      <c r="BY96">
        <f t="shared" si="58"/>
        <v>3</v>
      </c>
      <c r="CA96">
        <f t="shared" si="58"/>
        <v>0</v>
      </c>
      <c r="CB96">
        <f t="shared" ref="CB96" si="59">MIN(CB2:CB95)</f>
        <v>0</v>
      </c>
      <c r="CC96">
        <f t="shared" ref="CC96" si="60">MIN(CC2:CC95)</f>
        <v>0</v>
      </c>
      <c r="CD96">
        <f t="shared" ref="CD96" si="61">MIN(CD2:CD95)</f>
        <v>2</v>
      </c>
      <c r="CE96">
        <f t="shared" ref="CE96" si="62">MIN(CE2:CE95)</f>
        <v>0</v>
      </c>
      <c r="CF96">
        <f t="shared" ref="CF96" si="63">MIN(CF2:CF95)</f>
        <v>9</v>
      </c>
      <c r="CG96">
        <f t="shared" ref="CG96" si="64">MIN(CG2:CG95)</f>
        <v>4</v>
      </c>
      <c r="CH96">
        <f t="shared" ref="CH96" si="65">MIN(CH2:CH95)</f>
        <v>3</v>
      </c>
      <c r="CI96">
        <f t="shared" ref="CI96" si="66">MIN(CI2:CI95)</f>
        <v>0</v>
      </c>
      <c r="CJ96">
        <f t="shared" ref="CJ96" si="67">MIN(CJ2:CJ95)</f>
        <v>0</v>
      </c>
      <c r="CK96">
        <f t="shared" ref="CK96" si="68">MIN(CK2:CK95)</f>
        <v>0</v>
      </c>
      <c r="CL96">
        <f t="shared" ref="CL96" si="69">MIN(CL2:CL95)</f>
        <v>3</v>
      </c>
    </row>
    <row r="97" spans="1:65" x14ac:dyDescent="0.15">
      <c r="A97" s="1"/>
      <c r="B97" s="3" t="s">
        <v>142</v>
      </c>
      <c r="C97" s="1"/>
      <c r="D97" s="1"/>
      <c r="E97" s="1">
        <v>10</v>
      </c>
      <c r="F97" s="1">
        <v>4</v>
      </c>
      <c r="G97" s="1">
        <v>1</v>
      </c>
      <c r="H97" s="1">
        <v>13</v>
      </c>
      <c r="I97" s="1">
        <v>4</v>
      </c>
      <c r="J97" s="1">
        <v>20</v>
      </c>
      <c r="K97" s="1">
        <v>3</v>
      </c>
      <c r="L97" s="1">
        <v>10</v>
      </c>
      <c r="M97" s="1">
        <v>2</v>
      </c>
      <c r="N97" s="1">
        <v>1</v>
      </c>
      <c r="O97" s="1">
        <v>3</v>
      </c>
      <c r="P97" s="1">
        <v>4</v>
      </c>
      <c r="Q97" s="1">
        <v>13</v>
      </c>
      <c r="R97" s="1">
        <v>2</v>
      </c>
      <c r="S97" s="1">
        <v>12</v>
      </c>
      <c r="T97" s="1">
        <v>2</v>
      </c>
      <c r="U97" s="1">
        <v>10</v>
      </c>
      <c r="V97" s="1">
        <v>10</v>
      </c>
      <c r="W97" s="1">
        <v>27</v>
      </c>
      <c r="X97" s="1">
        <v>4</v>
      </c>
      <c r="Y97" s="1">
        <v>35</v>
      </c>
      <c r="Z97" s="1">
        <v>84</v>
      </c>
      <c r="AA97" s="1">
        <v>32</v>
      </c>
      <c r="AB97" s="1">
        <v>0</v>
      </c>
      <c r="AC97" s="1">
        <v>0</v>
      </c>
      <c r="AD97" s="1">
        <v>0</v>
      </c>
      <c r="AE97" s="1">
        <v>0</v>
      </c>
      <c r="AF97" s="1">
        <v>0</v>
      </c>
      <c r="AG97" s="1">
        <v>0</v>
      </c>
      <c r="AH97" s="1">
        <v>0</v>
      </c>
      <c r="AI97" s="1">
        <v>0</v>
      </c>
      <c r="AJ97" s="1">
        <v>0</v>
      </c>
      <c r="AK97" s="1">
        <v>0</v>
      </c>
      <c r="AL97" s="14">
        <v>11</v>
      </c>
      <c r="AM97" s="14">
        <v>1</v>
      </c>
      <c r="AN97" s="14">
        <v>10</v>
      </c>
      <c r="AO97" s="14">
        <v>3</v>
      </c>
      <c r="AP97" s="14">
        <v>8</v>
      </c>
      <c r="AQ97" s="14">
        <v>1</v>
      </c>
      <c r="AR97" s="14">
        <v>1</v>
      </c>
      <c r="AS97" s="14">
        <v>7</v>
      </c>
      <c r="AT97" s="14">
        <v>17</v>
      </c>
      <c r="AU97" s="14">
        <v>15</v>
      </c>
      <c r="AV97" s="14">
        <v>10</v>
      </c>
      <c r="AW97" s="14">
        <v>7</v>
      </c>
      <c r="AX97" s="1">
        <v>24</v>
      </c>
      <c r="AY97" s="1">
        <v>28</v>
      </c>
      <c r="AZ97" s="1">
        <v>45</v>
      </c>
      <c r="BA97" s="1">
        <v>44</v>
      </c>
      <c r="BB97" s="1">
        <v>32</v>
      </c>
      <c r="BC97" s="1">
        <v>28</v>
      </c>
      <c r="BD97" s="1"/>
      <c r="BE97" s="1"/>
      <c r="BF97" s="1">
        <v>5</v>
      </c>
      <c r="BG97" s="1"/>
      <c r="BH97" s="1"/>
      <c r="BI97" s="1"/>
      <c r="BJ97" s="1"/>
      <c r="BK97" s="1"/>
      <c r="BL97" s="17"/>
      <c r="BM97" s="17"/>
    </row>
  </sheetData>
  <autoFilter ref="A1:BJ96"/>
  <sortState ref="A2:BM97">
    <sortCondition ref="BL2:BL97"/>
    <sortCondition ref="BK2:BK97"/>
  </sortState>
  <phoneticPr fontId="1" type="noConversion"/>
  <conditionalFormatting sqref="E88:E89">
    <cfRule type="cellIs" dxfId="0" priority="1" operator="greaterThan">
      <formula>$E$97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257175</xdr:colOff>
                    <xdr:row>97</xdr:row>
                    <xdr:rowOff>133350</xdr:rowOff>
                  </from>
                  <to>
                    <xdr:col>1</xdr:col>
                    <xdr:colOff>476250</xdr:colOff>
                    <xdr:row>99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"/>
  <sheetViews>
    <sheetView workbookViewId="0">
      <selection activeCell="D42" sqref="D42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135</v>
      </c>
      <c r="B1" s="5" t="s">
        <v>131</v>
      </c>
      <c r="C1" s="5" t="s">
        <v>136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69</v>
      </c>
      <c r="C3" s="1">
        <v>120</v>
      </c>
    </row>
    <row r="4" spans="1:3" x14ac:dyDescent="0.15">
      <c r="A4" s="1">
        <v>4</v>
      </c>
      <c r="B4" s="4" t="s">
        <v>70</v>
      </c>
      <c r="C4" s="1">
        <v>85</v>
      </c>
    </row>
    <row r="5" spans="1:3" x14ac:dyDescent="0.15">
      <c r="A5" s="1">
        <v>3</v>
      </c>
      <c r="B5" s="4" t="s">
        <v>53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35</v>
      </c>
      <c r="C10" s="1">
        <v>45</v>
      </c>
    </row>
    <row r="11" spans="1:3" x14ac:dyDescent="0.15">
      <c r="A11" s="1">
        <v>5</v>
      </c>
      <c r="B11" s="4" t="s">
        <v>89</v>
      </c>
      <c r="C11" s="1">
        <v>45</v>
      </c>
    </row>
    <row r="12" spans="1:3" x14ac:dyDescent="0.15">
      <c r="A12" s="1">
        <v>11</v>
      </c>
      <c r="B12" s="2" t="s">
        <v>55</v>
      </c>
      <c r="C12" s="1">
        <v>10</v>
      </c>
    </row>
    <row r="13" spans="1:3" x14ac:dyDescent="0.15">
      <c r="A13" s="1">
        <v>6</v>
      </c>
      <c r="B13" s="4" t="s">
        <v>100</v>
      </c>
      <c r="C13" s="1">
        <v>8</v>
      </c>
    </row>
    <row r="19" spans="7:18" x14ac:dyDescent="0.15">
      <c r="G19" s="10" t="s">
        <v>53</v>
      </c>
      <c r="H19" s="10" t="s">
        <v>5</v>
      </c>
      <c r="I19" s="10" t="s">
        <v>35</v>
      </c>
      <c r="J19" s="10" t="s">
        <v>89</v>
      </c>
      <c r="K19" s="10" t="s">
        <v>100</v>
      </c>
      <c r="L19" s="10" t="s">
        <v>70</v>
      </c>
      <c r="M19" s="11" t="s">
        <v>6</v>
      </c>
      <c r="N19" s="11" t="s">
        <v>7</v>
      </c>
      <c r="O19" s="11" t="s">
        <v>55</v>
      </c>
      <c r="P19" s="11" t="s">
        <v>9</v>
      </c>
      <c r="Q19" s="11" t="s">
        <v>69</v>
      </c>
      <c r="R19" s="11" t="s">
        <v>14</v>
      </c>
    </row>
    <row r="20" spans="7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211</v>
      </c>
      <c r="B1" s="8" t="s">
        <v>212</v>
      </c>
      <c r="C1" s="8" t="s">
        <v>213</v>
      </c>
    </row>
    <row r="2" spans="1:3" x14ac:dyDescent="0.15">
      <c r="A2" s="1">
        <v>5</v>
      </c>
      <c r="B2" s="10" t="s">
        <v>100</v>
      </c>
      <c r="C2" s="1">
        <v>0</v>
      </c>
    </row>
    <row r="3" spans="1:3" x14ac:dyDescent="0.15">
      <c r="A3" s="1">
        <v>9</v>
      </c>
      <c r="B3" s="11" t="s">
        <v>55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89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53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35</v>
      </c>
      <c r="C11" s="1">
        <v>5</v>
      </c>
    </row>
    <row r="12" spans="1:3" x14ac:dyDescent="0.15">
      <c r="A12" s="1">
        <v>11</v>
      </c>
      <c r="B12" s="11" t="s">
        <v>69</v>
      </c>
      <c r="C12" s="1">
        <v>5</v>
      </c>
    </row>
    <row r="13" spans="1:3" x14ac:dyDescent="0.15">
      <c r="A13" s="1">
        <v>6</v>
      </c>
      <c r="B13" s="10" t="s">
        <v>70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53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35</v>
      </c>
      <c r="C4">
        <v>0</v>
      </c>
    </row>
    <row r="5" spans="2:3" x14ac:dyDescent="0.15">
      <c r="B5" s="10" t="s">
        <v>100</v>
      </c>
      <c r="C5">
        <v>0</v>
      </c>
    </row>
    <row r="6" spans="2:3" x14ac:dyDescent="0.15">
      <c r="B6" s="11" t="s">
        <v>55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69</v>
      </c>
      <c r="C8">
        <v>0</v>
      </c>
    </row>
    <row r="9" spans="2:3" x14ac:dyDescent="0.15">
      <c r="B9" s="10" t="s">
        <v>89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70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2019-12-23T09:21:48Z</dcterms:modified>
</cp:coreProperties>
</file>