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E:\yuel\project\MonsterBook\bin\"/>
    </mc:Choice>
  </mc:AlternateContent>
  <xr:revisionPtr revIDLastSave="0" documentId="13_ncr:1_{A831FD87-D6E8-48C9-9B36-01E08C293D17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9"/>
  <definedNames>
    <definedName name="_xlnm._FilterDatabase" localSheetId="0" hidden="1">Sheet1!$A$1:$BM$115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L115" i="1" l="1"/>
  <c r="AL117" i="1" s="1"/>
  <c r="AM115" i="1"/>
  <c r="AM117" i="1" s="1"/>
  <c r="AZ115" i="1"/>
  <c r="AZ117" i="1" s="1"/>
  <c r="CP3" i="1" l="1"/>
  <c r="CP4" i="1"/>
  <c r="CP5" i="1"/>
  <c r="CP84" i="1"/>
  <c r="CP6" i="1"/>
  <c r="CP7" i="1"/>
  <c r="CP8" i="1"/>
  <c r="CP9" i="1"/>
  <c r="CP10" i="1"/>
  <c r="CP68" i="1"/>
  <c r="CP69" i="1"/>
  <c r="CP70" i="1"/>
  <c r="CP71" i="1"/>
  <c r="CP72" i="1"/>
  <c r="CP73" i="1"/>
  <c r="CP74" i="1"/>
  <c r="CP75" i="1"/>
  <c r="CP81" i="1"/>
  <c r="CP82" i="1"/>
  <c r="CP83" i="1"/>
  <c r="CP15" i="1"/>
  <c r="CP22" i="1"/>
  <c r="CP23" i="1"/>
  <c r="CP24" i="1"/>
  <c r="CP17" i="1"/>
  <c r="CP85" i="1"/>
  <c r="CP66" i="1"/>
  <c r="CP89" i="1"/>
  <c r="CP88" i="1"/>
  <c r="CP92" i="1"/>
  <c r="CP93" i="1"/>
  <c r="CP27" i="1"/>
  <c r="CP95" i="1"/>
  <c r="CP96" i="1"/>
  <c r="CP11" i="1"/>
  <c r="CP12" i="1"/>
  <c r="CP18" i="1"/>
  <c r="CP13" i="1"/>
  <c r="CP16" i="1"/>
  <c r="CP19" i="1"/>
  <c r="CP25" i="1"/>
  <c r="CP26" i="1"/>
  <c r="CP76" i="1"/>
  <c r="CP101" i="1"/>
  <c r="CP102" i="1"/>
  <c r="CP14" i="1"/>
  <c r="CP20" i="1"/>
  <c r="CP106" i="1"/>
  <c r="CP107" i="1"/>
  <c r="CP62" i="1"/>
  <c r="CP99" i="1"/>
  <c r="CP21" i="1"/>
  <c r="CP29" i="1"/>
  <c r="CP94" i="1"/>
  <c r="CP91" i="1"/>
  <c r="CP28" i="1"/>
  <c r="CP30" i="1"/>
  <c r="CP103" i="1"/>
  <c r="CP31" i="1"/>
  <c r="CP79" i="1"/>
  <c r="CP109" i="1"/>
  <c r="CP110" i="1"/>
  <c r="CP114" i="1"/>
  <c r="CP2" i="1"/>
  <c r="CP115" i="1" l="1"/>
  <c r="BQ3" i="1"/>
  <c r="BR3" i="1"/>
  <c r="BS3" i="1"/>
  <c r="BT3" i="1"/>
  <c r="BU3" i="1"/>
  <c r="BV3" i="1"/>
  <c r="BW3" i="1"/>
  <c r="BX3" i="1"/>
  <c r="BY3" i="1"/>
  <c r="BZ3" i="1"/>
  <c r="CA3" i="1"/>
  <c r="CB3" i="1"/>
  <c r="BQ4" i="1"/>
  <c r="BR4" i="1"/>
  <c r="BS4" i="1"/>
  <c r="BT4" i="1"/>
  <c r="BU4" i="1"/>
  <c r="BV4" i="1"/>
  <c r="BW4" i="1"/>
  <c r="BX4" i="1"/>
  <c r="BY4" i="1"/>
  <c r="BZ4" i="1"/>
  <c r="CA4" i="1"/>
  <c r="CB4" i="1"/>
  <c r="BQ5" i="1"/>
  <c r="BR5" i="1"/>
  <c r="BS5" i="1"/>
  <c r="BT5" i="1"/>
  <c r="BU5" i="1"/>
  <c r="BV5" i="1"/>
  <c r="BW5" i="1"/>
  <c r="BX5" i="1"/>
  <c r="BY5" i="1"/>
  <c r="BZ5" i="1"/>
  <c r="CA5" i="1"/>
  <c r="CB5" i="1"/>
  <c r="BQ9" i="1"/>
  <c r="BR9" i="1"/>
  <c r="BS9" i="1"/>
  <c r="BT9" i="1"/>
  <c r="BU9" i="1"/>
  <c r="BV9" i="1"/>
  <c r="BW9" i="1"/>
  <c r="BX9" i="1"/>
  <c r="BY9" i="1"/>
  <c r="BZ9" i="1"/>
  <c r="CA9" i="1"/>
  <c r="CB9" i="1"/>
  <c r="BQ7" i="1"/>
  <c r="BR7" i="1"/>
  <c r="BS7" i="1"/>
  <c r="BT7" i="1"/>
  <c r="BU7" i="1"/>
  <c r="BV7" i="1"/>
  <c r="BW7" i="1"/>
  <c r="BX7" i="1"/>
  <c r="BY7" i="1"/>
  <c r="BZ7" i="1"/>
  <c r="CA7" i="1"/>
  <c r="CB7" i="1"/>
  <c r="BQ82" i="1"/>
  <c r="BR82" i="1"/>
  <c r="BS82" i="1"/>
  <c r="BT82" i="1"/>
  <c r="BU82" i="1"/>
  <c r="BV82" i="1"/>
  <c r="BW82" i="1"/>
  <c r="BX82" i="1"/>
  <c r="BY82" i="1"/>
  <c r="BZ82" i="1"/>
  <c r="CA82" i="1"/>
  <c r="CB82" i="1"/>
  <c r="BQ8" i="1"/>
  <c r="BR8" i="1"/>
  <c r="BS8" i="1"/>
  <c r="BT8" i="1"/>
  <c r="BU8" i="1"/>
  <c r="BV8" i="1"/>
  <c r="BW8" i="1"/>
  <c r="BX8" i="1"/>
  <c r="BY8" i="1"/>
  <c r="BZ8" i="1"/>
  <c r="CA8" i="1"/>
  <c r="CB8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BQ6" i="1"/>
  <c r="BR6" i="1"/>
  <c r="BS6" i="1"/>
  <c r="BT6" i="1"/>
  <c r="BU6" i="1"/>
  <c r="BV6" i="1"/>
  <c r="BW6" i="1"/>
  <c r="BX6" i="1"/>
  <c r="BY6" i="1"/>
  <c r="BZ6" i="1"/>
  <c r="CA6" i="1"/>
  <c r="CB6" i="1"/>
  <c r="BQ84" i="1"/>
  <c r="BR84" i="1"/>
  <c r="BS84" i="1"/>
  <c r="BT84" i="1"/>
  <c r="BU84" i="1"/>
  <c r="BV84" i="1"/>
  <c r="BW84" i="1"/>
  <c r="BX84" i="1"/>
  <c r="BY84" i="1"/>
  <c r="BZ84" i="1"/>
  <c r="CA84" i="1"/>
  <c r="CB84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BQ69" i="1"/>
  <c r="BR69" i="1"/>
  <c r="BS69" i="1"/>
  <c r="BT69" i="1"/>
  <c r="BU69" i="1"/>
  <c r="BV69" i="1"/>
  <c r="BW69" i="1"/>
  <c r="BX69" i="1"/>
  <c r="BY69" i="1"/>
  <c r="BZ69" i="1"/>
  <c r="CA69" i="1"/>
  <c r="CB69" i="1"/>
  <c r="BQ70" i="1"/>
  <c r="BR70" i="1"/>
  <c r="BS70" i="1"/>
  <c r="BT70" i="1"/>
  <c r="BU70" i="1"/>
  <c r="BV70" i="1"/>
  <c r="BW70" i="1"/>
  <c r="BX70" i="1"/>
  <c r="BY70" i="1"/>
  <c r="BZ70" i="1"/>
  <c r="CA70" i="1"/>
  <c r="CB70" i="1"/>
  <c r="BQ71" i="1"/>
  <c r="BR71" i="1"/>
  <c r="BS71" i="1"/>
  <c r="BT71" i="1"/>
  <c r="BU71" i="1"/>
  <c r="BV71" i="1"/>
  <c r="BW71" i="1"/>
  <c r="BX71" i="1"/>
  <c r="BY71" i="1"/>
  <c r="BZ71" i="1"/>
  <c r="CA71" i="1"/>
  <c r="CB71" i="1"/>
  <c r="BQ72" i="1"/>
  <c r="BR72" i="1"/>
  <c r="BS72" i="1"/>
  <c r="BT72" i="1"/>
  <c r="BU72" i="1"/>
  <c r="BV72" i="1"/>
  <c r="BW72" i="1"/>
  <c r="BX72" i="1"/>
  <c r="BY72" i="1"/>
  <c r="BZ72" i="1"/>
  <c r="CA72" i="1"/>
  <c r="CB72" i="1"/>
  <c r="BQ73" i="1"/>
  <c r="BR73" i="1"/>
  <c r="BS73" i="1"/>
  <c r="BT73" i="1"/>
  <c r="BU73" i="1"/>
  <c r="BV73" i="1"/>
  <c r="BW73" i="1"/>
  <c r="BX73" i="1"/>
  <c r="BY73" i="1"/>
  <c r="BZ73" i="1"/>
  <c r="CA73" i="1"/>
  <c r="CB73" i="1"/>
  <c r="BQ74" i="1"/>
  <c r="BR74" i="1"/>
  <c r="BS74" i="1"/>
  <c r="BT74" i="1"/>
  <c r="BU74" i="1"/>
  <c r="BV74" i="1"/>
  <c r="BW74" i="1"/>
  <c r="BX74" i="1"/>
  <c r="BY74" i="1"/>
  <c r="BZ74" i="1"/>
  <c r="CA74" i="1"/>
  <c r="CB74" i="1"/>
  <c r="BQ75" i="1"/>
  <c r="BR75" i="1"/>
  <c r="BS75" i="1"/>
  <c r="BT75" i="1"/>
  <c r="BU75" i="1"/>
  <c r="BV75" i="1"/>
  <c r="BW75" i="1"/>
  <c r="BX75" i="1"/>
  <c r="BY75" i="1"/>
  <c r="BZ75" i="1"/>
  <c r="CA75" i="1"/>
  <c r="CB75" i="1"/>
  <c r="BQ68" i="1"/>
  <c r="BR68" i="1"/>
  <c r="BS68" i="1"/>
  <c r="BT68" i="1"/>
  <c r="BU68" i="1"/>
  <c r="BV68" i="1"/>
  <c r="BW68" i="1"/>
  <c r="BX68" i="1"/>
  <c r="BY68" i="1"/>
  <c r="BZ68" i="1"/>
  <c r="CA68" i="1"/>
  <c r="CB68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BQ85" i="1"/>
  <c r="BR85" i="1"/>
  <c r="BS85" i="1"/>
  <c r="BT85" i="1"/>
  <c r="BU85" i="1"/>
  <c r="BV85" i="1"/>
  <c r="BW85" i="1"/>
  <c r="BX85" i="1"/>
  <c r="BY85" i="1"/>
  <c r="BZ85" i="1"/>
  <c r="CA85" i="1"/>
  <c r="CB85" i="1"/>
  <c r="BQ88" i="1"/>
  <c r="BR88" i="1"/>
  <c r="BS88" i="1"/>
  <c r="BT88" i="1"/>
  <c r="BU88" i="1"/>
  <c r="BV88" i="1"/>
  <c r="BW88" i="1"/>
  <c r="BX88" i="1"/>
  <c r="BY88" i="1"/>
  <c r="BZ88" i="1"/>
  <c r="CA88" i="1"/>
  <c r="CB88" i="1"/>
  <c r="BQ92" i="1"/>
  <c r="BR92" i="1"/>
  <c r="BS92" i="1"/>
  <c r="BT92" i="1"/>
  <c r="BU92" i="1"/>
  <c r="BV92" i="1"/>
  <c r="BW92" i="1"/>
  <c r="BX92" i="1"/>
  <c r="BY92" i="1"/>
  <c r="BZ92" i="1"/>
  <c r="CA92" i="1"/>
  <c r="CB92" i="1"/>
  <c r="BQ93" i="1"/>
  <c r="BR93" i="1"/>
  <c r="BS93" i="1"/>
  <c r="BT93" i="1"/>
  <c r="BU93" i="1"/>
  <c r="BV93" i="1"/>
  <c r="BW93" i="1"/>
  <c r="BX93" i="1"/>
  <c r="BY93" i="1"/>
  <c r="BZ93" i="1"/>
  <c r="CA93" i="1"/>
  <c r="CB93" i="1"/>
  <c r="BQ95" i="1"/>
  <c r="BR95" i="1"/>
  <c r="BS95" i="1"/>
  <c r="BT95" i="1"/>
  <c r="BU95" i="1"/>
  <c r="BV95" i="1"/>
  <c r="BW95" i="1"/>
  <c r="BX95" i="1"/>
  <c r="BY95" i="1"/>
  <c r="BZ95" i="1"/>
  <c r="CA95" i="1"/>
  <c r="CB95" i="1"/>
  <c r="BQ96" i="1"/>
  <c r="BR96" i="1"/>
  <c r="BS96" i="1"/>
  <c r="BT96" i="1"/>
  <c r="BU96" i="1"/>
  <c r="BV96" i="1"/>
  <c r="BW96" i="1"/>
  <c r="BX96" i="1"/>
  <c r="BY96" i="1"/>
  <c r="BZ96" i="1"/>
  <c r="CA96" i="1"/>
  <c r="CB9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BQ83" i="1"/>
  <c r="BR83" i="1"/>
  <c r="BS83" i="1"/>
  <c r="BT83" i="1"/>
  <c r="BU83" i="1"/>
  <c r="BV83" i="1"/>
  <c r="BW83" i="1"/>
  <c r="BX83" i="1"/>
  <c r="BY83" i="1"/>
  <c r="BZ83" i="1"/>
  <c r="CA83" i="1"/>
  <c r="CB83" i="1"/>
  <c r="BQ76" i="1"/>
  <c r="BR76" i="1"/>
  <c r="BS76" i="1"/>
  <c r="BT76" i="1"/>
  <c r="BU76" i="1"/>
  <c r="BV76" i="1"/>
  <c r="BW76" i="1"/>
  <c r="BX76" i="1"/>
  <c r="BY76" i="1"/>
  <c r="BZ76" i="1"/>
  <c r="CA76" i="1"/>
  <c r="CB76" i="1"/>
  <c r="BQ81" i="1"/>
  <c r="BR81" i="1"/>
  <c r="BS81" i="1"/>
  <c r="BT81" i="1"/>
  <c r="BU81" i="1"/>
  <c r="BV81" i="1"/>
  <c r="BW81" i="1"/>
  <c r="BX81" i="1"/>
  <c r="BY81" i="1"/>
  <c r="BZ81" i="1"/>
  <c r="CA81" i="1"/>
  <c r="CB81" i="1"/>
  <c r="BQ62" i="1"/>
  <c r="BR62" i="1"/>
  <c r="BS62" i="1"/>
  <c r="BT62" i="1"/>
  <c r="BU62" i="1"/>
  <c r="BV62" i="1"/>
  <c r="BW62" i="1"/>
  <c r="BX62" i="1"/>
  <c r="BY62" i="1"/>
  <c r="BZ62" i="1"/>
  <c r="CA62" i="1"/>
  <c r="CB62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BQ101" i="1"/>
  <c r="BR101" i="1"/>
  <c r="BS101" i="1"/>
  <c r="BT101" i="1"/>
  <c r="BU101" i="1"/>
  <c r="BV101" i="1"/>
  <c r="BW101" i="1"/>
  <c r="BX101" i="1"/>
  <c r="BY101" i="1"/>
  <c r="BZ101" i="1"/>
  <c r="CA101" i="1"/>
  <c r="CB101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BQ102" i="1"/>
  <c r="BR102" i="1"/>
  <c r="BS102" i="1"/>
  <c r="BT102" i="1"/>
  <c r="BU102" i="1"/>
  <c r="BV102" i="1"/>
  <c r="BW102" i="1"/>
  <c r="BX102" i="1"/>
  <c r="BY102" i="1"/>
  <c r="BZ102" i="1"/>
  <c r="CA102" i="1"/>
  <c r="CB10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BQ89" i="1"/>
  <c r="BR89" i="1"/>
  <c r="BS89" i="1"/>
  <c r="BT89" i="1"/>
  <c r="BU89" i="1"/>
  <c r="BV89" i="1"/>
  <c r="BW89" i="1"/>
  <c r="BX89" i="1"/>
  <c r="BY89" i="1"/>
  <c r="BZ89" i="1"/>
  <c r="CA89" i="1"/>
  <c r="CB89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BQ106" i="1"/>
  <c r="BR106" i="1"/>
  <c r="BS106" i="1"/>
  <c r="BT106" i="1"/>
  <c r="BU106" i="1"/>
  <c r="BV106" i="1"/>
  <c r="BW106" i="1"/>
  <c r="BX106" i="1"/>
  <c r="BY106" i="1"/>
  <c r="BZ106" i="1"/>
  <c r="CA106" i="1"/>
  <c r="CB106" i="1"/>
  <c r="BQ107" i="1"/>
  <c r="BR107" i="1"/>
  <c r="BS107" i="1"/>
  <c r="BT107" i="1"/>
  <c r="BU107" i="1"/>
  <c r="BV107" i="1"/>
  <c r="BW107" i="1"/>
  <c r="BX107" i="1"/>
  <c r="BY107" i="1"/>
  <c r="BZ107" i="1"/>
  <c r="CA107" i="1"/>
  <c r="CB107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BQ94" i="1"/>
  <c r="BR94" i="1"/>
  <c r="BS94" i="1"/>
  <c r="BT94" i="1"/>
  <c r="BU94" i="1"/>
  <c r="BV94" i="1"/>
  <c r="BW94" i="1"/>
  <c r="BX94" i="1"/>
  <c r="BY94" i="1"/>
  <c r="BZ94" i="1"/>
  <c r="CA94" i="1"/>
  <c r="CB94" i="1"/>
  <c r="BQ91" i="1"/>
  <c r="BR91" i="1"/>
  <c r="BS91" i="1"/>
  <c r="BT91" i="1"/>
  <c r="BU91" i="1"/>
  <c r="BV91" i="1"/>
  <c r="BW91" i="1"/>
  <c r="BX91" i="1"/>
  <c r="BY91" i="1"/>
  <c r="BZ91" i="1"/>
  <c r="CA91" i="1"/>
  <c r="CB91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BQ79" i="1"/>
  <c r="BR79" i="1"/>
  <c r="BS79" i="1"/>
  <c r="BT79" i="1"/>
  <c r="BU79" i="1"/>
  <c r="BV79" i="1"/>
  <c r="BW79" i="1"/>
  <c r="BX79" i="1"/>
  <c r="BY79" i="1"/>
  <c r="BZ79" i="1"/>
  <c r="CA79" i="1"/>
  <c r="CB79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BQ103" i="1"/>
  <c r="BR103" i="1"/>
  <c r="BS103" i="1"/>
  <c r="BT103" i="1"/>
  <c r="BU103" i="1"/>
  <c r="BV103" i="1"/>
  <c r="BW103" i="1"/>
  <c r="BX103" i="1"/>
  <c r="BY103" i="1"/>
  <c r="BZ103" i="1"/>
  <c r="CA103" i="1"/>
  <c r="CB103" i="1"/>
  <c r="BQ66" i="1"/>
  <c r="BR66" i="1"/>
  <c r="BS66" i="1"/>
  <c r="BT66" i="1"/>
  <c r="BU66" i="1"/>
  <c r="BV66" i="1"/>
  <c r="BW66" i="1"/>
  <c r="BX66" i="1"/>
  <c r="BY66" i="1"/>
  <c r="BZ66" i="1"/>
  <c r="CA66" i="1"/>
  <c r="CB66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BQ99" i="1"/>
  <c r="BR99" i="1"/>
  <c r="BS99" i="1"/>
  <c r="BT99" i="1"/>
  <c r="BU99" i="1"/>
  <c r="BV99" i="1"/>
  <c r="BW99" i="1"/>
  <c r="BX99" i="1"/>
  <c r="BY99" i="1"/>
  <c r="BZ99" i="1"/>
  <c r="CA99" i="1"/>
  <c r="CB99" i="1"/>
  <c r="BQ109" i="1"/>
  <c r="BR109" i="1"/>
  <c r="BS109" i="1"/>
  <c r="BT109" i="1"/>
  <c r="BU109" i="1"/>
  <c r="BV109" i="1"/>
  <c r="BW109" i="1"/>
  <c r="BX109" i="1"/>
  <c r="BY109" i="1"/>
  <c r="BZ109" i="1"/>
  <c r="CA109" i="1"/>
  <c r="CB109" i="1"/>
  <c r="BQ110" i="1"/>
  <c r="BR110" i="1"/>
  <c r="BS110" i="1"/>
  <c r="BT110" i="1"/>
  <c r="BU110" i="1"/>
  <c r="BV110" i="1"/>
  <c r="BW110" i="1"/>
  <c r="BX110" i="1"/>
  <c r="BY110" i="1"/>
  <c r="BZ110" i="1"/>
  <c r="CA110" i="1"/>
  <c r="CB110" i="1"/>
  <c r="BQ114" i="1"/>
  <c r="BR114" i="1"/>
  <c r="BS114" i="1"/>
  <c r="BT114" i="1"/>
  <c r="BU114" i="1"/>
  <c r="BV114" i="1"/>
  <c r="BW114" i="1"/>
  <c r="BX114" i="1"/>
  <c r="BY114" i="1"/>
  <c r="BZ114" i="1"/>
  <c r="CA114" i="1"/>
  <c r="CB114" i="1"/>
  <c r="BR2" i="1"/>
  <c r="BS2" i="1"/>
  <c r="BT2" i="1"/>
  <c r="BU2" i="1"/>
  <c r="BV2" i="1"/>
  <c r="BW2" i="1"/>
  <c r="BX2" i="1"/>
  <c r="BY2" i="1"/>
  <c r="BZ2" i="1"/>
  <c r="CA2" i="1"/>
  <c r="CB2" i="1"/>
  <c r="BQ2" i="1"/>
  <c r="CC10" i="1" l="1"/>
  <c r="CO10" i="1" s="1"/>
  <c r="CC70" i="1"/>
  <c r="CO70" i="1" s="1"/>
  <c r="CC69" i="1"/>
  <c r="CK69" i="1" s="1"/>
  <c r="CC9" i="1"/>
  <c r="CE9" i="1" s="1"/>
  <c r="BX115" i="1"/>
  <c r="BZ115" i="1"/>
  <c r="BU115" i="1"/>
  <c r="BW115" i="1"/>
  <c r="BS115" i="1"/>
  <c r="BR115" i="1"/>
  <c r="CA115" i="1"/>
  <c r="BV115" i="1"/>
  <c r="BY115" i="1"/>
  <c r="CB115" i="1"/>
  <c r="CC28" i="1"/>
  <c r="CH28" i="1" s="1"/>
  <c r="CC83" i="1"/>
  <c r="CJ83" i="1" s="1"/>
  <c r="CC95" i="1"/>
  <c r="CF95" i="1" s="1"/>
  <c r="CC25" i="1"/>
  <c r="CG25" i="1" s="1"/>
  <c r="CC29" i="1"/>
  <c r="CD29" i="1" s="1"/>
  <c r="CC5" i="1"/>
  <c r="CK5" i="1" s="1"/>
  <c r="CC4" i="1"/>
  <c r="CK4" i="1" s="1"/>
  <c r="CC3" i="1"/>
  <c r="CK3" i="1" s="1"/>
  <c r="CC110" i="1"/>
  <c r="CD110" i="1" s="1"/>
  <c r="CC30" i="1"/>
  <c r="CH30" i="1" s="1"/>
  <c r="CC103" i="1"/>
  <c r="CH103" i="1" s="1"/>
  <c r="CC91" i="1"/>
  <c r="CO91" i="1" s="1"/>
  <c r="CC107" i="1"/>
  <c r="CG107" i="1" s="1"/>
  <c r="CC19" i="1"/>
  <c r="CE19" i="1" s="1"/>
  <c r="CC14" i="1"/>
  <c r="CO14" i="1" s="1"/>
  <c r="CC15" i="1"/>
  <c r="CN15" i="1" s="1"/>
  <c r="CC24" i="1"/>
  <c r="CO24" i="1" s="1"/>
  <c r="CC22" i="1"/>
  <c r="CE22" i="1" s="1"/>
  <c r="CC13" i="1"/>
  <c r="CK13" i="1" s="1"/>
  <c r="CC81" i="1"/>
  <c r="CE81" i="1" s="1"/>
  <c r="CC16" i="1"/>
  <c r="CK16" i="1" s="1"/>
  <c r="CC93" i="1"/>
  <c r="CI93" i="1" s="1"/>
  <c r="CC88" i="1"/>
  <c r="CE88" i="1" s="1"/>
  <c r="CC27" i="1"/>
  <c r="CH27" i="1" s="1"/>
  <c r="CC17" i="1"/>
  <c r="CL17" i="1" s="1"/>
  <c r="CC68" i="1"/>
  <c r="CL68" i="1" s="1"/>
  <c r="CC74" i="1"/>
  <c r="CE74" i="1" s="1"/>
  <c r="CC73" i="1"/>
  <c r="CM73" i="1" s="1"/>
  <c r="CC72" i="1"/>
  <c r="CK72" i="1" s="1"/>
  <c r="CC71" i="1"/>
  <c r="CO71" i="1" s="1"/>
  <c r="CC18" i="1"/>
  <c r="CD18" i="1" s="1"/>
  <c r="CC84" i="1"/>
  <c r="CN84" i="1" s="1"/>
  <c r="CC6" i="1"/>
  <c r="CI6" i="1" s="1"/>
  <c r="CC26" i="1"/>
  <c r="CG26" i="1" s="1"/>
  <c r="CC8" i="1"/>
  <c r="CK8" i="1" s="1"/>
  <c r="CC82" i="1"/>
  <c r="CK82" i="1" s="1"/>
  <c r="CC7" i="1"/>
  <c r="CF7" i="1" s="1"/>
  <c r="CC114" i="1"/>
  <c r="CG114" i="1" s="1"/>
  <c r="CC109" i="1"/>
  <c r="CO109" i="1" s="1"/>
  <c r="CC66" i="1"/>
  <c r="CG66" i="1" s="1"/>
  <c r="CC79" i="1"/>
  <c r="CL79" i="1" s="1"/>
  <c r="CC94" i="1"/>
  <c r="CK94" i="1" s="1"/>
  <c r="CC21" i="1"/>
  <c r="CH21" i="1" s="1"/>
  <c r="CC106" i="1"/>
  <c r="CO106" i="1" s="1"/>
  <c r="CC11" i="1"/>
  <c r="CM11" i="1" s="1"/>
  <c r="CC20" i="1"/>
  <c r="CO20" i="1" s="1"/>
  <c r="CC89" i="1"/>
  <c r="CE89" i="1" s="1"/>
  <c r="CC23" i="1"/>
  <c r="CH23" i="1" s="1"/>
  <c r="CC102" i="1"/>
  <c r="CK102" i="1" s="1"/>
  <c r="CC101" i="1"/>
  <c r="CI101" i="1" s="1"/>
  <c r="CC62" i="1"/>
  <c r="CK62" i="1" s="1"/>
  <c r="CC76" i="1"/>
  <c r="CF76" i="1" s="1"/>
  <c r="CC12" i="1"/>
  <c r="CE12" i="1" s="1"/>
  <c r="CC96" i="1"/>
  <c r="CL96" i="1" s="1"/>
  <c r="CC92" i="1"/>
  <c r="CJ92" i="1" s="1"/>
  <c r="CC85" i="1"/>
  <c r="CO85" i="1" s="1"/>
  <c r="CC75" i="1"/>
  <c r="CJ75" i="1" s="1"/>
  <c r="CC2" i="1"/>
  <c r="CE2" i="1" s="1"/>
  <c r="CC99" i="1"/>
  <c r="CH99" i="1" s="1"/>
  <c r="CC31" i="1"/>
  <c r="CD31" i="1" s="1"/>
  <c r="BT115" i="1"/>
  <c r="BQ115" i="1"/>
  <c r="BM24" i="1"/>
  <c r="BM11" i="1"/>
  <c r="BM14" i="1"/>
  <c r="BM79" i="1"/>
  <c r="BM3" i="1"/>
  <c r="BM69" i="1"/>
  <c r="BM70" i="1"/>
  <c r="BM71" i="1"/>
  <c r="BM76" i="1"/>
  <c r="BM62" i="1"/>
  <c r="BM110" i="1"/>
  <c r="BM12" i="1"/>
  <c r="BM101" i="1"/>
  <c r="BM106" i="1"/>
  <c r="BM72" i="1"/>
  <c r="BM73" i="1"/>
  <c r="BM89" i="1"/>
  <c r="BM4" i="1"/>
  <c r="BM9" i="1"/>
  <c r="BM83" i="1"/>
  <c r="BM7" i="1"/>
  <c r="BM81" i="1"/>
  <c r="BM82" i="1"/>
  <c r="BM84" i="1"/>
  <c r="BM103" i="1"/>
  <c r="BM5" i="1"/>
  <c r="BM21" i="1"/>
  <c r="BM16" i="1"/>
  <c r="BM92" i="1"/>
  <c r="BM74" i="1"/>
  <c r="BM93" i="1"/>
  <c r="BM94" i="1"/>
  <c r="BM28" i="1"/>
  <c r="BM19" i="1"/>
  <c r="BM20" i="1"/>
  <c r="BM27" i="1"/>
  <c r="BM99" i="1"/>
  <c r="BM31" i="1"/>
  <c r="BM13" i="1"/>
  <c r="BM15" i="1"/>
  <c r="BM8" i="1"/>
  <c r="BM18" i="1"/>
  <c r="BM109" i="1"/>
  <c r="BM102" i="1"/>
  <c r="BM107" i="1"/>
  <c r="BM75" i="1"/>
  <c r="BM68" i="1"/>
  <c r="BM17" i="1"/>
  <c r="BM91" i="1"/>
  <c r="BM25" i="1"/>
  <c r="BM29" i="1"/>
  <c r="BM26" i="1"/>
  <c r="BM85" i="1"/>
  <c r="BM95" i="1"/>
  <c r="BM96" i="1"/>
  <c r="J115" i="1"/>
  <c r="J117" i="1" s="1"/>
  <c r="K115" i="1"/>
  <c r="K117" i="1" s="1"/>
  <c r="L115" i="1"/>
  <c r="L117" i="1" s="1"/>
  <c r="M115" i="1"/>
  <c r="M117" i="1" s="1"/>
  <c r="N115" i="1"/>
  <c r="N117" i="1" s="1"/>
  <c r="O115" i="1"/>
  <c r="O117" i="1" s="1"/>
  <c r="P115" i="1"/>
  <c r="P117" i="1" s="1"/>
  <c r="Q115" i="1"/>
  <c r="Q117" i="1" s="1"/>
  <c r="R115" i="1"/>
  <c r="R117" i="1" s="1"/>
  <c r="S115" i="1"/>
  <c r="S117" i="1" s="1"/>
  <c r="T115" i="1"/>
  <c r="T117" i="1" s="1"/>
  <c r="U115" i="1"/>
  <c r="U117" i="1" s="1"/>
  <c r="V115" i="1"/>
  <c r="V117" i="1" s="1"/>
  <c r="W115" i="1"/>
  <c r="W117" i="1" s="1"/>
  <c r="X115" i="1"/>
  <c r="X117" i="1" s="1"/>
  <c r="Y115" i="1"/>
  <c r="Y117" i="1" s="1"/>
  <c r="Z115" i="1"/>
  <c r="Z117" i="1" s="1"/>
  <c r="AA115" i="1"/>
  <c r="AA117" i="1" s="1"/>
  <c r="AB115" i="1"/>
  <c r="AB117" i="1" s="1"/>
  <c r="AC115" i="1"/>
  <c r="AC117" i="1" s="1"/>
  <c r="AD115" i="1"/>
  <c r="AD117" i="1" s="1"/>
  <c r="AE115" i="1"/>
  <c r="AE117" i="1" s="1"/>
  <c r="AF115" i="1"/>
  <c r="AF117" i="1" s="1"/>
  <c r="AG115" i="1"/>
  <c r="AG117" i="1" s="1"/>
  <c r="AH115" i="1"/>
  <c r="AH117" i="1" s="1"/>
  <c r="AI115" i="1"/>
  <c r="AI117" i="1" s="1"/>
  <c r="AJ115" i="1"/>
  <c r="AJ117" i="1" s="1"/>
  <c r="AK115" i="1"/>
  <c r="AK117" i="1" s="1"/>
  <c r="AO115" i="1"/>
  <c r="AO117" i="1" s="1"/>
  <c r="AP115" i="1"/>
  <c r="AP117" i="1" s="1"/>
  <c r="AN115" i="1"/>
  <c r="AN117" i="1" s="1"/>
  <c r="AS115" i="1"/>
  <c r="AS117" i="1" s="1"/>
  <c r="AQ115" i="1"/>
  <c r="AQ117" i="1" s="1"/>
  <c r="AR115" i="1"/>
  <c r="AR117" i="1" s="1"/>
  <c r="BM88" i="1"/>
  <c r="BM30" i="1"/>
  <c r="BM2" i="1"/>
  <c r="BM22" i="1"/>
  <c r="BM23" i="1"/>
  <c r="BM6" i="1"/>
  <c r="BM10" i="1"/>
  <c r="BM114" i="1"/>
  <c r="BM66" i="1"/>
  <c r="BC115" i="1"/>
  <c r="BC117" i="1" s="1"/>
  <c r="BD115" i="1"/>
  <c r="BD117" i="1" s="1"/>
  <c r="BB115" i="1"/>
  <c r="BB117" i="1" s="1"/>
  <c r="BA115" i="1"/>
  <c r="BA117" i="1" s="1"/>
  <c r="BE115" i="1"/>
  <c r="BE117" i="1" s="1"/>
  <c r="BF115" i="1"/>
  <c r="BF117" i="1" s="1"/>
  <c r="BG115" i="1"/>
  <c r="BG117" i="1" s="1"/>
  <c r="BH115" i="1"/>
  <c r="BH117" i="1" s="1"/>
  <c r="BI115" i="1"/>
  <c r="BI117" i="1" s="1"/>
  <c r="BJ115" i="1"/>
  <c r="BJ117" i="1" s="1"/>
  <c r="BK115" i="1"/>
  <c r="BK117" i="1" s="1"/>
  <c r="BL115" i="1"/>
  <c r="BL117" i="1" s="1"/>
  <c r="F115" i="1"/>
  <c r="F117" i="1" s="1"/>
  <c r="G115" i="1"/>
  <c r="G117" i="1" s="1"/>
  <c r="H115" i="1"/>
  <c r="H117" i="1" s="1"/>
  <c r="I115" i="1"/>
  <c r="I117" i="1" s="1"/>
  <c r="AT115" i="1"/>
  <c r="AT117" i="1" s="1"/>
  <c r="AU115" i="1"/>
  <c r="AU117" i="1" s="1"/>
  <c r="AW115" i="1"/>
  <c r="AW117" i="1" s="1"/>
  <c r="AY115" i="1"/>
  <c r="AY117" i="1" s="1"/>
  <c r="AV115" i="1"/>
  <c r="AV117" i="1" s="1"/>
  <c r="AX115" i="1"/>
  <c r="AX117" i="1" s="1"/>
  <c r="E115" i="1"/>
  <c r="E117" i="1" s="1"/>
  <c r="CL9" i="1" l="1"/>
  <c r="CK74" i="1"/>
  <c r="CE26" i="1"/>
  <c r="CH74" i="1"/>
  <c r="CM4" i="1"/>
  <c r="CM6" i="1"/>
  <c r="CG24" i="1"/>
  <c r="CF83" i="1"/>
  <c r="CG5" i="1"/>
  <c r="CN7" i="1"/>
  <c r="CD9" i="1"/>
  <c r="CJ26" i="1"/>
  <c r="CE83" i="1"/>
  <c r="CM83" i="1"/>
  <c r="CD83" i="1"/>
  <c r="CO83" i="1"/>
  <c r="CK15" i="1"/>
  <c r="CH83" i="1"/>
  <c r="CF28" i="1"/>
  <c r="CM28" i="1"/>
  <c r="CN28" i="1"/>
  <c r="CE28" i="1"/>
  <c r="CI26" i="1"/>
  <c r="CL28" i="1"/>
  <c r="CN26" i="1"/>
  <c r="CD28" i="1"/>
  <c r="CM68" i="1"/>
  <c r="CL20" i="1"/>
  <c r="CO101" i="1"/>
  <c r="CM74" i="1"/>
  <c r="CK7" i="1"/>
  <c r="CF26" i="1"/>
  <c r="CN25" i="1"/>
  <c r="CG4" i="1"/>
  <c r="CI4" i="1"/>
  <c r="CJ28" i="1"/>
  <c r="CG82" i="1"/>
  <c r="CJ101" i="1"/>
  <c r="CH71" i="1"/>
  <c r="CK91" i="1"/>
  <c r="CK25" i="1"/>
  <c r="CL91" i="1"/>
  <c r="CJ25" i="1"/>
  <c r="CF25" i="1"/>
  <c r="CO25" i="1"/>
  <c r="CI81" i="1"/>
  <c r="CK2" i="1"/>
  <c r="CH25" i="1"/>
  <c r="CI30" i="1"/>
  <c r="CN8" i="1"/>
  <c r="CF13" i="1"/>
  <c r="CN30" i="1"/>
  <c r="CG30" i="1"/>
  <c r="CE25" i="1"/>
  <c r="CM25" i="1"/>
  <c r="CI16" i="1"/>
  <c r="CE84" i="1"/>
  <c r="CD15" i="1"/>
  <c r="CD25" i="1"/>
  <c r="CL15" i="1"/>
  <c r="CO9" i="1"/>
  <c r="CL25" i="1"/>
  <c r="CD16" i="1"/>
  <c r="CI9" i="1"/>
  <c r="CO3" i="1"/>
  <c r="CG16" i="1"/>
  <c r="CI25" i="1"/>
  <c r="CO16" i="1"/>
  <c r="CF91" i="1"/>
  <c r="CL16" i="1"/>
  <c r="CL30" i="1"/>
  <c r="CN91" i="1"/>
  <c r="CJ71" i="1"/>
  <c r="CM84" i="1"/>
  <c r="CG15" i="1"/>
  <c r="CH114" i="1"/>
  <c r="CN114" i="1"/>
  <c r="CO29" i="1"/>
  <c r="CM114" i="1"/>
  <c r="CN29" i="1"/>
  <c r="CJ114" i="1"/>
  <c r="CM29" i="1"/>
  <c r="CJ17" i="1"/>
  <c r="CK29" i="1"/>
  <c r="CJ29" i="1"/>
  <c r="CG29" i="1"/>
  <c r="CG95" i="1"/>
  <c r="CL29" i="1"/>
  <c r="CM92" i="1"/>
  <c r="CO114" i="1"/>
  <c r="CE29" i="1"/>
  <c r="CF114" i="1"/>
  <c r="CD92" i="1"/>
  <c r="CH29" i="1"/>
  <c r="CE114" i="1"/>
  <c r="CF29" i="1"/>
  <c r="CO26" i="1"/>
  <c r="CO93" i="1"/>
  <c r="CI107" i="1"/>
  <c r="CN70" i="1"/>
  <c r="CN107" i="1"/>
  <c r="CH93" i="1"/>
  <c r="CH66" i="1"/>
  <c r="CK70" i="1"/>
  <c r="CK20" i="1"/>
  <c r="CM70" i="1"/>
  <c r="CI66" i="1"/>
  <c r="CE70" i="1"/>
  <c r="CL66" i="1"/>
  <c r="CL70" i="1"/>
  <c r="CK107" i="1"/>
  <c r="CF66" i="1"/>
  <c r="CH70" i="1"/>
  <c r="CJ107" i="1"/>
  <c r="CE66" i="1"/>
  <c r="CL107" i="1"/>
  <c r="CF107" i="1"/>
  <c r="CO66" i="1"/>
  <c r="CF70" i="1"/>
  <c r="CN93" i="1"/>
  <c r="CE107" i="1"/>
  <c r="CN66" i="1"/>
  <c r="CM93" i="1"/>
  <c r="CD107" i="1"/>
  <c r="CK66" i="1"/>
  <c r="CO21" i="1"/>
  <c r="CL6" i="1"/>
  <c r="CO2" i="1"/>
  <c r="CJ62" i="1"/>
  <c r="CG93" i="1"/>
  <c r="CJ93" i="1"/>
  <c r="CO107" i="1"/>
  <c r="CF99" i="1"/>
  <c r="CG70" i="1"/>
  <c r="CO7" i="1"/>
  <c r="CL26" i="1"/>
  <c r="CH109" i="1"/>
  <c r="CL84" i="1"/>
  <c r="CO15" i="1"/>
  <c r="CD74" i="1"/>
  <c r="CM17" i="1"/>
  <c r="CI91" i="1"/>
  <c r="CI7" i="1"/>
  <c r="CF68" i="1"/>
  <c r="CO76" i="1"/>
  <c r="CG28" i="1"/>
  <c r="CI17" i="1"/>
  <c r="CJ3" i="1"/>
  <c r="CG83" i="1"/>
  <c r="CJ2" i="1"/>
  <c r="CE16" i="1"/>
  <c r="CH79" i="1"/>
  <c r="CG2" i="1"/>
  <c r="CJ22" i="1"/>
  <c r="CM23" i="1"/>
  <c r="CN106" i="1"/>
  <c r="CF3" i="1"/>
  <c r="CK83" i="1"/>
  <c r="CM16" i="1"/>
  <c r="CG9" i="1"/>
  <c r="CF2" i="1"/>
  <c r="CJ109" i="1"/>
  <c r="CM20" i="1"/>
  <c r="CI106" i="1"/>
  <c r="CD3" i="1"/>
  <c r="CJ76" i="1"/>
  <c r="CD26" i="1"/>
  <c r="CJ9" i="1"/>
  <c r="CK84" i="1"/>
  <c r="CH13" i="1"/>
  <c r="CJ15" i="1"/>
  <c r="CN74" i="1"/>
  <c r="CO28" i="1"/>
  <c r="CE91" i="1"/>
  <c r="CM24" i="1"/>
  <c r="CJ7" i="1"/>
  <c r="CF31" i="1"/>
  <c r="CL83" i="1"/>
  <c r="CK22" i="1"/>
  <c r="CI31" i="1"/>
  <c r="CI84" i="1"/>
  <c r="CN13" i="1"/>
  <c r="CL31" i="1"/>
  <c r="CI15" i="1"/>
  <c r="CJ6" i="1"/>
  <c r="CL76" i="1"/>
  <c r="CF9" i="1"/>
  <c r="CD19" i="1"/>
  <c r="CE4" i="1"/>
  <c r="CD82" i="1"/>
  <c r="CD7" i="1"/>
  <c r="CO31" i="1"/>
  <c r="CI83" i="1"/>
  <c r="CH84" i="1"/>
  <c r="CL13" i="1"/>
  <c r="CH15" i="1"/>
  <c r="CD6" i="1"/>
  <c r="CI76" i="1"/>
  <c r="CN9" i="1"/>
  <c r="CF74" i="1"/>
  <c r="CO19" i="1"/>
  <c r="CI82" i="1"/>
  <c r="CN69" i="1"/>
  <c r="CK31" i="1"/>
  <c r="CE76" i="1"/>
  <c r="CF19" i="1"/>
  <c r="CH76" i="1"/>
  <c r="CL19" i="1"/>
  <c r="CL7" i="1"/>
  <c r="CM69" i="1"/>
  <c r="CJ31" i="1"/>
  <c r="CK26" i="1"/>
  <c r="CK68" i="1"/>
  <c r="CK92" i="1"/>
  <c r="CI29" i="1"/>
  <c r="CH6" i="1"/>
  <c r="CO11" i="1"/>
  <c r="CI19" i="1"/>
  <c r="CJ69" i="1"/>
  <c r="CG31" i="1"/>
  <c r="CF92" i="1"/>
  <c r="CH11" i="1"/>
  <c r="CG69" i="1"/>
  <c r="CN79" i="1"/>
  <c r="CJ88" i="1"/>
  <c r="CF69" i="1"/>
  <c r="CM79" i="1"/>
  <c r="CF88" i="1"/>
  <c r="CD69" i="1"/>
  <c r="CK79" i="1"/>
  <c r="CI69" i="1"/>
  <c r="CH31" i="1"/>
  <c r="CN76" i="1"/>
  <c r="CG79" i="1"/>
  <c r="CK19" i="1"/>
  <c r="CN19" i="1"/>
  <c r="CH69" i="1"/>
  <c r="CK76" i="1"/>
  <c r="CD79" i="1"/>
  <c r="CM19" i="1"/>
  <c r="CG19" i="1"/>
  <c r="CD76" i="1"/>
  <c r="CI79" i="1"/>
  <c r="CJ19" i="1"/>
  <c r="CG20" i="1"/>
  <c r="CN4" i="1"/>
  <c r="CL3" i="1"/>
  <c r="CF103" i="1"/>
  <c r="CH7" i="1"/>
  <c r="CH26" i="1"/>
  <c r="CJ68" i="1"/>
  <c r="CM13" i="1"/>
  <c r="CE92" i="1"/>
  <c r="CK110" i="1"/>
  <c r="CG101" i="1"/>
  <c r="CJ74" i="1"/>
  <c r="CK11" i="1"/>
  <c r="CI8" i="1"/>
  <c r="CN22" i="1"/>
  <c r="CE20" i="1"/>
  <c r="CH106" i="1"/>
  <c r="CF82" i="1"/>
  <c r="CL71" i="1"/>
  <c r="CE7" i="1"/>
  <c r="CD109" i="1"/>
  <c r="CG68" i="1"/>
  <c r="CD13" i="1"/>
  <c r="CN92" i="1"/>
  <c r="CN101" i="1"/>
  <c r="CG74" i="1"/>
  <c r="CE11" i="1"/>
  <c r="CH8" i="1"/>
  <c r="CM22" i="1"/>
  <c r="CN109" i="1"/>
  <c r="CG10" i="1"/>
  <c r="CD20" i="1"/>
  <c r="CN82" i="1"/>
  <c r="CI71" i="1"/>
  <c r="CI109" i="1"/>
  <c r="CI2" i="1"/>
  <c r="CD68" i="1"/>
  <c r="CI13" i="1"/>
  <c r="CL92" i="1"/>
  <c r="CH101" i="1"/>
  <c r="CO74" i="1"/>
  <c r="CL11" i="1"/>
  <c r="CG22" i="1"/>
  <c r="CK28" i="1"/>
  <c r="CM91" i="1"/>
  <c r="CF4" i="1"/>
  <c r="CN3" i="1"/>
  <c r="CO82" i="1"/>
  <c r="CH72" i="1"/>
  <c r="CN6" i="1"/>
  <c r="CI11" i="1"/>
  <c r="CF22" i="1"/>
  <c r="CG3" i="1"/>
  <c r="CL82" i="1"/>
  <c r="CN85" i="1"/>
  <c r="CD85" i="1"/>
  <c r="CG92" i="1"/>
  <c r="CJ20" i="1"/>
  <c r="CG106" i="1"/>
  <c r="CI3" i="1"/>
  <c r="CN71" i="1"/>
  <c r="CM7" i="1"/>
  <c r="CE95" i="1"/>
  <c r="CL109" i="1"/>
  <c r="CJ84" i="1"/>
  <c r="CI68" i="1"/>
  <c r="CJ13" i="1"/>
  <c r="CN81" i="1"/>
  <c r="CJ11" i="1"/>
  <c r="CM101" i="1"/>
  <c r="CH110" i="1"/>
  <c r="CK6" i="1"/>
  <c r="CL74" i="1"/>
  <c r="CG11" i="1"/>
  <c r="CN2" i="1"/>
  <c r="CD22" i="1"/>
  <c r="CM109" i="1"/>
  <c r="CI28" i="1"/>
  <c r="CD23" i="1"/>
  <c r="CI20" i="1"/>
  <c r="CM106" i="1"/>
  <c r="CJ4" i="1"/>
  <c r="CH3" i="1"/>
  <c r="CH82" i="1"/>
  <c r="CG71" i="1"/>
  <c r="CJ85" i="1"/>
  <c r="CG7" i="1"/>
  <c r="CL95" i="1"/>
  <c r="CN83" i="1"/>
  <c r="CM26" i="1"/>
  <c r="CM2" i="1"/>
  <c r="CF84" i="1"/>
  <c r="CH68" i="1"/>
  <c r="CG13" i="1"/>
  <c r="CJ81" i="1"/>
  <c r="CK101" i="1"/>
  <c r="CG6" i="1"/>
  <c r="CI74" i="1"/>
  <c r="CF11" i="1"/>
  <c r="CL2" i="1"/>
  <c r="CL22" i="1"/>
  <c r="CK109" i="1"/>
  <c r="CO23" i="1"/>
  <c r="CH20" i="1"/>
  <c r="CJ106" i="1"/>
  <c r="CO4" i="1"/>
  <c r="CE3" i="1"/>
  <c r="CE82" i="1"/>
  <c r="CK71" i="1"/>
  <c r="CG85" i="1"/>
  <c r="CE13" i="1"/>
  <c r="CN16" i="1"/>
  <c r="CO13" i="1"/>
  <c r="CF101" i="1"/>
  <c r="CO6" i="1"/>
  <c r="CN11" i="1"/>
  <c r="CG109" i="1"/>
  <c r="CF20" i="1"/>
  <c r="CG91" i="1"/>
  <c r="CK106" i="1"/>
  <c r="CH4" i="1"/>
  <c r="CM3" i="1"/>
  <c r="CM82" i="1"/>
  <c r="CF71" i="1"/>
  <c r="CL85" i="1"/>
  <c r="CE101" i="1"/>
  <c r="CD11" i="1"/>
  <c r="CN20" i="1"/>
  <c r="CL106" i="1"/>
  <c r="CJ82" i="1"/>
  <c r="CM71" i="1"/>
  <c r="CI85" i="1"/>
  <c r="CH85" i="1"/>
  <c r="CM85" i="1"/>
  <c r="CD2" i="1"/>
  <c r="CF109" i="1"/>
  <c r="CH91" i="1"/>
  <c r="CF106" i="1"/>
  <c r="CF85" i="1"/>
  <c r="CO12" i="1"/>
  <c r="CO94" i="1"/>
  <c r="CL12" i="1"/>
  <c r="CL94" i="1"/>
  <c r="CI12" i="1"/>
  <c r="CM27" i="1"/>
  <c r="CI94" i="1"/>
  <c r="CF18" i="1"/>
  <c r="CH94" i="1"/>
  <c r="CE18" i="1"/>
  <c r="CN14" i="1"/>
  <c r="CM18" i="1"/>
  <c r="CJ14" i="1"/>
  <c r="CE94" i="1"/>
  <c r="CK27" i="1"/>
  <c r="CG27" i="1"/>
  <c r="CO18" i="1"/>
  <c r="CG14" i="1"/>
  <c r="CF27" i="1"/>
  <c r="CJ18" i="1"/>
  <c r="CI21" i="1"/>
  <c r="CJ8" i="1"/>
  <c r="CL18" i="1"/>
  <c r="CE14" i="1"/>
  <c r="CM12" i="1"/>
  <c r="CN27" i="1"/>
  <c r="CN96" i="1"/>
  <c r="CG8" i="1"/>
  <c r="CI18" i="1"/>
  <c r="CM14" i="1"/>
  <c r="CJ12" i="1"/>
  <c r="CJ27" i="1"/>
  <c r="CG96" i="1"/>
  <c r="CJ96" i="1"/>
  <c r="CD8" i="1"/>
  <c r="CH18" i="1"/>
  <c r="CF62" i="1"/>
  <c r="CL99" i="1"/>
  <c r="CF14" i="1"/>
  <c r="CG12" i="1"/>
  <c r="CE27" i="1"/>
  <c r="CD27" i="1"/>
  <c r="CN94" i="1"/>
  <c r="CK18" i="1"/>
  <c r="CO8" i="1"/>
  <c r="CJ72" i="1"/>
  <c r="CL14" i="1"/>
  <c r="CF12" i="1"/>
  <c r="CO27" i="1"/>
  <c r="CM94" i="1"/>
  <c r="CL8" i="1"/>
  <c r="CE62" i="1"/>
  <c r="CI70" i="1"/>
  <c r="CI72" i="1"/>
  <c r="CM88" i="1"/>
  <c r="CI14" i="1"/>
  <c r="CD12" i="1"/>
  <c r="CI27" i="1"/>
  <c r="CG94" i="1"/>
  <c r="CH14" i="1"/>
  <c r="CG89" i="1"/>
  <c r="CL10" i="1"/>
  <c r="CI95" i="1"/>
  <c r="CO89" i="1"/>
  <c r="CH81" i="1"/>
  <c r="CF96" i="1"/>
  <c r="CF21" i="1"/>
  <c r="CM30" i="1"/>
  <c r="CH17" i="1"/>
  <c r="CI10" i="1"/>
  <c r="CF23" i="1"/>
  <c r="CF5" i="1"/>
  <c r="CG72" i="1"/>
  <c r="CL24" i="1"/>
  <c r="CH95" i="1"/>
  <c r="CL89" i="1"/>
  <c r="CD30" i="1"/>
  <c r="CD96" i="1"/>
  <c r="CE21" i="1"/>
  <c r="CK30" i="1"/>
  <c r="CH10" i="1"/>
  <c r="CG23" i="1"/>
  <c r="CO5" i="1"/>
  <c r="CE72" i="1"/>
  <c r="CI24" i="1"/>
  <c r="CN95" i="1"/>
  <c r="CI89" i="1"/>
  <c r="CI96" i="1"/>
  <c r="CN21" i="1"/>
  <c r="CJ30" i="1"/>
  <c r="CN23" i="1"/>
  <c r="CI5" i="1"/>
  <c r="CF72" i="1"/>
  <c r="CH24" i="1"/>
  <c r="CK21" i="1"/>
  <c r="CH89" i="1"/>
  <c r="CF110" i="1"/>
  <c r="CH96" i="1"/>
  <c r="CM21" i="1"/>
  <c r="CK23" i="1"/>
  <c r="CH5" i="1"/>
  <c r="CD72" i="1"/>
  <c r="CG81" i="1"/>
  <c r="CE110" i="1"/>
  <c r="CG21" i="1"/>
  <c r="CJ89" i="1"/>
  <c r="CJ23" i="1"/>
  <c r="CE5" i="1"/>
  <c r="CO99" i="1"/>
  <c r="CO72" i="1"/>
  <c r="CJ95" i="1"/>
  <c r="CF81" i="1"/>
  <c r="CO110" i="1"/>
  <c r="CD21" i="1"/>
  <c r="CK81" i="1"/>
  <c r="CN17" i="1"/>
  <c r="CN10" i="1"/>
  <c r="CE23" i="1"/>
  <c r="CL72" i="1"/>
  <c r="CK85" i="1"/>
  <c r="CM95" i="1"/>
  <c r="CN110" i="1"/>
  <c r="CJ10" i="1"/>
  <c r="CN24" i="1"/>
  <c r="CK95" i="1"/>
  <c r="CJ21" i="1"/>
  <c r="CD81" i="1"/>
  <c r="CF30" i="1"/>
  <c r="CM81" i="1"/>
  <c r="CL110" i="1"/>
  <c r="CG17" i="1"/>
  <c r="CE10" i="1"/>
  <c r="CL23" i="1"/>
  <c r="CN5" i="1"/>
  <c r="CM72" i="1"/>
  <c r="CG73" i="1"/>
  <c r="CE85" i="1"/>
  <c r="CK24" i="1"/>
  <c r="CD95" i="1"/>
  <c r="CN89" i="1"/>
  <c r="CO81" i="1"/>
  <c r="CM96" i="1"/>
  <c r="CE30" i="1"/>
  <c r="CF17" i="1"/>
  <c r="CM10" i="1"/>
  <c r="CI23" i="1"/>
  <c r="CM5" i="1"/>
  <c r="CN72" i="1"/>
  <c r="CN73" i="1"/>
  <c r="CJ24" i="1"/>
  <c r="CO95" i="1"/>
  <c r="CM89" i="1"/>
  <c r="CL81" i="1"/>
  <c r="CK17" i="1"/>
  <c r="CK96" i="1"/>
  <c r="CO30" i="1"/>
  <c r="CI110" i="1"/>
  <c r="CD17" i="1"/>
  <c r="CF10" i="1"/>
  <c r="CJ5" i="1"/>
  <c r="CF73" i="1"/>
  <c r="CF24" i="1"/>
  <c r="CG75" i="1"/>
  <c r="CE69" i="1"/>
  <c r="CH12" i="1"/>
  <c r="CE31" i="1"/>
  <c r="CK114" i="1"/>
  <c r="CD66" i="1"/>
  <c r="CD93" i="1"/>
  <c r="CH107" i="1"/>
  <c r="CF8" i="1"/>
  <c r="CG84" i="1"/>
  <c r="CE68" i="1"/>
  <c r="CL27" i="1"/>
  <c r="CH16" i="1"/>
  <c r="CK89" i="1"/>
  <c r="CM66" i="1"/>
  <c r="CO92" i="1"/>
  <c r="CJ94" i="1"/>
  <c r="CM110" i="1"/>
  <c r="CE96" i="1"/>
  <c r="CD101" i="1"/>
  <c r="CL21" i="1"/>
  <c r="CJ16" i="1"/>
  <c r="CM76" i="1"/>
  <c r="CF79" i="1"/>
  <c r="CK9" i="1"/>
  <c r="CH2" i="1"/>
  <c r="CN18" i="1"/>
  <c r="CE17" i="1"/>
  <c r="CO22" i="1"/>
  <c r="CH19" i="1"/>
  <c r="CK10" i="1"/>
  <c r="CJ91" i="1"/>
  <c r="CD5" i="1"/>
  <c r="CE75" i="1"/>
  <c r="CG62" i="1"/>
  <c r="CE106" i="1"/>
  <c r="CE99" i="1"/>
  <c r="CD4" i="1"/>
  <c r="CJ70" i="1"/>
  <c r="CE71" i="1"/>
  <c r="CK73" i="1"/>
  <c r="CK88" i="1"/>
  <c r="CE24" i="1"/>
  <c r="CK14" i="1"/>
  <c r="CE103" i="1"/>
  <c r="CF102" i="1"/>
  <c r="CK75" i="1"/>
  <c r="CO103" i="1"/>
  <c r="CE93" i="1"/>
  <c r="CO69" i="1"/>
  <c r="CE102" i="1"/>
  <c r="CN31" i="1"/>
  <c r="CJ79" i="1"/>
  <c r="CL93" i="1"/>
  <c r="CE8" i="1"/>
  <c r="CD84" i="1"/>
  <c r="CO68" i="1"/>
  <c r="CF89" i="1"/>
  <c r="CJ66" i="1"/>
  <c r="CI92" i="1"/>
  <c r="CF15" i="1"/>
  <c r="CF94" i="1"/>
  <c r="CJ110" i="1"/>
  <c r="CO96" i="1"/>
  <c r="CL101" i="1"/>
  <c r="CG76" i="1"/>
  <c r="CO79" i="1"/>
  <c r="CH9" i="1"/>
  <c r="CK12" i="1"/>
  <c r="CM8" i="1"/>
  <c r="CG18" i="1"/>
  <c r="CO17" i="1"/>
  <c r="CI22" i="1"/>
  <c r="CE109" i="1"/>
  <c r="CD10" i="1"/>
  <c r="CD91" i="1"/>
  <c r="CL5" i="1"/>
  <c r="CD75" i="1"/>
  <c r="CD62" i="1"/>
  <c r="CD106" i="1"/>
  <c r="CN99" i="1"/>
  <c r="CL4" i="1"/>
  <c r="CD70" i="1"/>
  <c r="CD71" i="1"/>
  <c r="CD73" i="1"/>
  <c r="CD88" i="1"/>
  <c r="CD24" i="1"/>
  <c r="CD14" i="1"/>
  <c r="CN103" i="1"/>
  <c r="CL69" i="1"/>
  <c r="CN12" i="1"/>
  <c r="CN102" i="1"/>
  <c r="CM31" i="1"/>
  <c r="CE79" i="1"/>
  <c r="CM9" i="1"/>
  <c r="CM107" i="1"/>
  <c r="CN68" i="1"/>
  <c r="CO84" i="1"/>
  <c r="CF16" i="1"/>
  <c r="CD89" i="1"/>
  <c r="CH92" i="1"/>
  <c r="CD94" i="1"/>
  <c r="CG110" i="1"/>
  <c r="CH22" i="1"/>
  <c r="CO75" i="1"/>
  <c r="CO62" i="1"/>
  <c r="CM99" i="1"/>
  <c r="CO73" i="1"/>
  <c r="CO88" i="1"/>
  <c r="CM103" i="1"/>
  <c r="CJ102" i="1"/>
  <c r="CM102" i="1"/>
  <c r="CL75" i="1"/>
  <c r="CL62" i="1"/>
  <c r="CK99" i="1"/>
  <c r="CL73" i="1"/>
  <c r="CL88" i="1"/>
  <c r="CK103" i="1"/>
  <c r="CF6" i="1"/>
  <c r="CE6" i="1"/>
  <c r="CG102" i="1"/>
  <c r="CI75" i="1"/>
  <c r="CI62" i="1"/>
  <c r="CJ99" i="1"/>
  <c r="CI73" i="1"/>
  <c r="CI88" i="1"/>
  <c r="CJ103" i="1"/>
  <c r="CD102" i="1"/>
  <c r="CH75" i="1"/>
  <c r="CH62" i="1"/>
  <c r="CG99" i="1"/>
  <c r="CH73" i="1"/>
  <c r="CH88" i="1"/>
  <c r="CG103" i="1"/>
  <c r="CE15" i="1"/>
  <c r="CM15" i="1"/>
  <c r="CO102" i="1"/>
  <c r="CN75" i="1"/>
  <c r="CM62" i="1"/>
  <c r="CD99" i="1"/>
  <c r="CJ73" i="1"/>
  <c r="CN88" i="1"/>
  <c r="CD103" i="1"/>
  <c r="CL102" i="1"/>
  <c r="CM75" i="1"/>
  <c r="CL103" i="1"/>
  <c r="CI102" i="1"/>
  <c r="CF75" i="1"/>
  <c r="CN62" i="1"/>
  <c r="CI99" i="1"/>
  <c r="CE73" i="1"/>
  <c r="CG88" i="1"/>
  <c r="CI103" i="1"/>
  <c r="CF93" i="1"/>
  <c r="CK93" i="1"/>
  <c r="CH102" i="1"/>
  <c r="CD114" i="1"/>
  <c r="CI114" i="1"/>
  <c r="CL114" i="1"/>
  <c r="CO115" i="1" l="1"/>
  <c r="CK115" i="1"/>
  <c r="CG115" i="1"/>
  <c r="CE115" i="1"/>
  <c r="CJ115" i="1"/>
  <c r="CI115" i="1"/>
  <c r="CN115" i="1"/>
  <c r="CD115" i="1"/>
  <c r="CH115" i="1"/>
  <c r="CM115" i="1"/>
  <c r="CL115" i="1"/>
  <c r="CF115" i="1"/>
</calcChain>
</file>

<file path=xl/sharedStrings.xml><?xml version="1.0" encoding="utf-8"?>
<sst xmlns="http://schemas.openxmlformats.org/spreadsheetml/2006/main" count="541" uniqueCount="218">
  <si>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</si>
  <si>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</si>
  <si>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</si>
  <si>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</si>
  <si>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</si>
  <si>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</si>
  <si>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</si>
  <si>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</si>
  <si>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笨DJ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</si>
  <si>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</si>
  <si>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</si>
  <si>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</si>
  <si>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</si>
  <si>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</si>
  <si>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</si>
  <si>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</si>
  <si>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</si>
  <si>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</si>
  <si>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</si>
  <si>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</si>
  <si>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</si>
  <si>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</si>
  <si>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噗冬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</si>
  <si>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</si>
  <si>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</si>
  <si>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</si>
  <si>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</si>
  <si>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大地符文</t>
    <phoneticPr fontId="1" type="noConversion"/>
  </si>
  <si>
    <t>神农鼎</t>
    <phoneticPr fontId="1" type="noConversion"/>
  </si>
  <si>
    <t>张飞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</si>
  <si>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</si>
  <si>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</si>
  <si>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</si>
  <si>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</si>
  <si>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</si>
  <si>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</si>
  <si>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</si>
  <si>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</si>
  <si>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</si>
  <si>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</si>
  <si>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</si>
  <si>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</si>
  <si>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</si>
  <si>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</si>
  <si>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</si>
  <si>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</si>
  <si>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</si>
  <si>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</si>
  <si>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神将关云长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</si>
  <si>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</si>
  <si>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</si>
  <si>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</si>
  <si>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</si>
  <si>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痴花</t>
    <phoneticPr fontId="1" type="noConversion"/>
  </si>
  <si>
    <t>千年玄冰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</si>
  <si>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</si>
  <si>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</si>
  <si>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</si>
  <si>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锤丸君</t>
    <phoneticPr fontId="1" type="noConversion"/>
  </si>
  <si>
    <t>风仆</t>
    <phoneticPr fontId="1" type="noConversion"/>
  </si>
  <si>
    <t>成年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</si>
  <si>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</si>
  <si>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</si>
  <si>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</si>
  <si>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</si>
  <si>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</si>
  <si>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</si>
  <si>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结缘者</t>
    <phoneticPr fontId="1" type="noConversion"/>
  </si>
  <si>
    <t>伏羲琴</t>
    <phoneticPr fontId="1" type="noConversion"/>
  </si>
  <si>
    <t>烈焰之心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</si>
  <si>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</si>
  <si>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</si>
  <si>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</si>
  <si>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火焰符文</t>
    <phoneticPr fontId="1" type="noConversion"/>
  </si>
  <si>
    <t>汉钟离</t>
    <phoneticPr fontId="1" type="noConversion"/>
  </si>
  <si>
    <t>光辉符文</t>
    <phoneticPr fontId="1" type="noConversion"/>
  </si>
  <si>
    <t>辉耀之星</t>
    <phoneticPr fontId="1" type="noConversion"/>
  </si>
  <si>
    <t>光</t>
    <phoneticPr fontId="1" type="noConversion"/>
  </si>
  <si>
    <t>光元素</t>
    <phoneticPr fontId="1" type="noConversion"/>
  </si>
  <si>
    <t>六方天运骰</t>
    <phoneticPr fontId="1" type="noConversion"/>
  </si>
  <si>
    <t>芝鼠</t>
    <phoneticPr fontId="1" type="noConversion"/>
  </si>
  <si>
    <t>九色鹿</t>
    <phoneticPr fontId="1" type="noConversion"/>
  </si>
  <si>
    <t>妲己</t>
    <phoneticPr fontId="1" type="noConversion"/>
  </si>
  <si>
    <t>藕丁小童子</t>
    <phoneticPr fontId="1" type="noConversion"/>
  </si>
  <si>
    <t>米花伞</t>
    <phoneticPr fontId="1" type="noConversion"/>
  </si>
  <si>
    <t>暗</t>
    <phoneticPr fontId="1" type="noConversion"/>
  </si>
  <si>
    <t>妈蛋</t>
    <phoneticPr fontId="1" type="noConversion"/>
  </si>
  <si>
    <t>月冕霓晴符</t>
    <phoneticPr fontId="1" type="noConversion"/>
  </si>
  <si>
    <t>合计</t>
    <phoneticPr fontId="1" type="noConversion"/>
  </si>
  <si>
    <t>自然符文</t>
    <phoneticPr fontId="1" type="noConversion"/>
  </si>
  <si>
    <t>上古神杖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</si>
  <si>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</si>
  <si>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</si>
  <si>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</si>
  <si>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</si>
  <si>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</si>
  <si>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</si>
  <si>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远古神石</t>
    <phoneticPr fontId="1" type="noConversion"/>
  </si>
  <si>
    <t>土元素</t>
    <phoneticPr fontId="1" type="noConversion"/>
  </si>
  <si>
    <t>寒冰符文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</si>
  <si>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</si>
  <si>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</si>
  <si>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</si>
  <si>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</si>
  <si>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黑桃三</t>
    <phoneticPr fontId="1" type="noConversion"/>
  </si>
  <si>
    <t>昊天塔</t>
    <phoneticPr fontId="1" type="noConversion"/>
  </si>
  <si>
    <t>紫冰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</si>
  <si>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</si>
  <si>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</si>
  <si>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</si>
  <si>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</si>
  <si>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</si>
  <si>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</si>
  <si>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</si>
  <si>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蓝采和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</si>
  <si>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</si>
  <si>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</si>
  <si>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</si>
  <si>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</si>
  <si>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</si>
  <si>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</si>
  <si>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</si>
  <si>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</si>
  <si>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</si>
  <si>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名将吕布威登</t>
    <phoneticPr fontId="1" type="noConversion"/>
  </si>
  <si>
    <t>名将吕布威登</t>
    <phoneticPr fontId="1" type="noConversion"/>
  </si>
  <si>
    <t>宫主</t>
    <phoneticPr fontId="1" type="noConversion"/>
  </si>
  <si>
    <t>碧水独角兽</t>
    <phoneticPr fontId="1" type="noConversion"/>
  </si>
  <si>
    <t>奇摩摩</t>
    <phoneticPr fontId="1" type="noConversion"/>
  </si>
  <si>
    <t>奇摩摩</t>
    <phoneticPr fontId="1" type="noConversion"/>
  </si>
  <si>
    <t>囚牛</t>
    <phoneticPr fontId="1" type="noConversion"/>
  </si>
  <si>
    <t>小铁匠</t>
    <phoneticPr fontId="1" type="noConversion"/>
  </si>
  <si>
    <t>赤笛仔</t>
    <phoneticPr fontId="1" type="noConversion"/>
  </si>
  <si>
    <t>何仙姑</t>
    <phoneticPr fontId="1" type="noConversion"/>
  </si>
  <si>
    <t>螃蟹(5),</t>
    <phoneticPr fontId="1" type="noConversion"/>
  </si>
  <si>
    <t>金钗(5),</t>
    <phoneticPr fontId="1" type="noConversion"/>
  </si>
  <si>
    <t>仙丹(5),</t>
    <phoneticPr fontId="1" type="noConversion"/>
  </si>
  <si>
    <t>桂花酒(5),</t>
    <phoneticPr fontId="1" type="noConversion"/>
  </si>
  <si>
    <t>桂花(5),</t>
    <phoneticPr fontId="1" type="noConversion"/>
  </si>
  <si>
    <t>彗星(5),</t>
    <phoneticPr fontId="1" type="noConversion"/>
  </si>
  <si>
    <t>金甲虫(13),</t>
    <phoneticPr fontId="1" type="noConversion"/>
  </si>
  <si>
    <t>金钗(15),</t>
    <phoneticPr fontId="1" type="noConversion"/>
  </si>
  <si>
    <t>彗星(15),</t>
    <phoneticPr fontId="1" type="noConversion"/>
  </si>
  <si>
    <t>金甲虫(48),</t>
    <phoneticPr fontId="1" type="noConversion"/>
  </si>
  <si>
    <t>金甲虫(198),</t>
    <phoneticPr fontId="1" type="noConversion"/>
  </si>
  <si>
    <t>桂花(5),_x000D_
桂花酒(5),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</si>
  <si>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</si>
  <si>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</si>
  <si>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超进阶素材水(45),_x000D_
超进阶素材火(50),_x000D_
超进阶素材光(50),_x000D_
超进阶素材暗(50),</t>
    <phoneticPr fontId="1" type="noConversion"/>
  </si>
  <si>
    <t>超进阶素材土(45),_x000D_
超进阶素材木(50),_x000D_
超进阶素材光(50),_x000D_
超进阶素材暗(50),</t>
    <phoneticPr fontId="1" type="noConversion"/>
  </si>
  <si>
    <t>金甲虫(8),</t>
    <phoneticPr fontId="1" type="noConversion"/>
  </si>
  <si>
    <t>小猪妖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</si>
  <si>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</si>
  <si>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</si>
  <si>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</si>
  <si>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</si>
  <si>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</si>
  <si>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</si>
  <si>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</si>
  <si>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小穗穗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</si>
  <si>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</si>
  <si>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</si>
  <si>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</si>
  <si>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</si>
  <si>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葫芦妖</t>
    <phoneticPr fontId="1" type="noConversion"/>
  </si>
  <si>
    <t>粽仔</t>
    <phoneticPr fontId="1" type="noConversion"/>
  </si>
  <si>
    <t>狮子星</t>
    <phoneticPr fontId="1" type="noConversion"/>
  </si>
  <si>
    <t>地</t>
    <phoneticPr fontId="1" type="noConversion"/>
  </si>
  <si>
    <t>包小福</t>
    <phoneticPr fontId="1" type="noConversion"/>
  </si>
  <si>
    <t>明珠</t>
    <phoneticPr fontId="1" type="noConversion"/>
  </si>
  <si>
    <t>戟月</t>
    <phoneticPr fontId="1" type="noConversion"/>
  </si>
  <si>
    <t>超</t>
    <phoneticPr fontId="1" type="noConversion"/>
  </si>
  <si>
    <t>菱绢</t>
    <phoneticPr fontId="1" type="noConversion"/>
  </si>
  <si>
    <t>天秤星</t>
    <phoneticPr fontId="1" type="noConversion"/>
  </si>
  <si>
    <t>懒懒鹿</t>
    <phoneticPr fontId="1" type="noConversion"/>
  </si>
  <si>
    <t>大宝剑</t>
    <phoneticPr fontId="1" type="noConversion"/>
  </si>
  <si>
    <t>芹正</t>
    <phoneticPr fontId="1" type="noConversion"/>
  </si>
  <si>
    <t>付炬</t>
    <phoneticPr fontId="1" type="noConversion"/>
  </si>
  <si>
    <t>火</t>
    <phoneticPr fontId="1" type="noConversion"/>
  </si>
  <si>
    <t>十二地支.巳</t>
    <phoneticPr fontId="1" type="noConversion"/>
  </si>
  <si>
    <t>字母罗</t>
    <phoneticPr fontId="1" type="noConversion"/>
  </si>
  <si>
    <t>光</t>
    <phoneticPr fontId="1" type="noConversion"/>
  </si>
  <si>
    <t>牛小宝</t>
    <phoneticPr fontId="1" type="noConversion"/>
  </si>
  <si>
    <t>汪仔</t>
    <phoneticPr fontId="1" type="noConversion"/>
  </si>
  <si>
    <t>馄饨</t>
    <phoneticPr fontId="1" type="noConversion"/>
  </si>
  <si>
    <t>金灵</t>
    <phoneticPr fontId="1" type="noConversion"/>
  </si>
  <si>
    <t>甘冰</t>
    <phoneticPr fontId="1" type="noConversion"/>
  </si>
  <si>
    <t>剑灵</t>
    <phoneticPr fontId="1" type="noConversion"/>
  </si>
  <si>
    <t>羽妖仔</t>
    <phoneticPr fontId="1" type="noConversion"/>
  </si>
  <si>
    <t>子鹿</t>
    <phoneticPr fontId="1" type="noConversion"/>
  </si>
  <si>
    <t>煤球</t>
    <phoneticPr fontId="1" type="noConversion"/>
  </si>
  <si>
    <t>暗</t>
    <phoneticPr fontId="1" type="noConversion"/>
  </si>
  <si>
    <t>夕</t>
    <phoneticPr fontId="1" type="noConversion"/>
  </si>
  <si>
    <t>秘窟冰晶卵(8),</t>
  </si>
  <si>
    <t>炼妖壶(4),</t>
    <phoneticPr fontId="1" type="noConversion"/>
  </si>
  <si>
    <t>桂花酒(5),</t>
  </si>
  <si>
    <t>桂花(5),</t>
  </si>
  <si>
    <t>龙灵不朽藤(2),</t>
  </si>
  <si>
    <t>龙灵不朽藤(2),</t>
    <phoneticPr fontId="1" type="noConversion"/>
  </si>
  <si>
    <t>秘窟冰晶卵(13),</t>
  </si>
  <si>
    <t>秘窟冰晶卵(13),</t>
    <phoneticPr fontId="1" type="noConversion"/>
  </si>
  <si>
    <t>彗星(25),</t>
    <phoneticPr fontId="1" type="noConversion"/>
  </si>
  <si>
    <t>六方天运骰(6),_x000D_
力量符文叉大(2),</t>
    <phoneticPr fontId="1" type="noConversion"/>
  </si>
  <si>
    <t>炼妖壶(9),_x000D_
赤焰十字星(2),</t>
    <phoneticPr fontId="1" type="noConversion"/>
  </si>
  <si>
    <t>炼妖壶(14),</t>
    <phoneticPr fontId="1" type="noConversion"/>
  </si>
  <si>
    <t>龙灵不朽藤(7),</t>
  </si>
  <si>
    <t>龙灵不朽藤(7),</t>
    <phoneticPr fontId="1" type="noConversion"/>
  </si>
  <si>
    <t>超进阶素材水(45),_x000D_
超进阶素材火(50),_x000D_
超进阶素材光(50),_x000D_
超进阶素材暗(50),</t>
  </si>
  <si>
    <t>超进阶素材土(45),_x000D_
超进阶素材木(50),_x000D_
超进阶素材光(50),_x000D_
超进阶素材暗(50),</t>
  </si>
  <si>
    <t>六方天运骰(1),</t>
  </si>
  <si>
    <t>赤焰十字星(27),_x000D_
力量符文叉大(22),_x000D_
逆鳞(10),_x000D_
星座素材火(2),</t>
  </si>
  <si>
    <t>糯米(3),_x000D_
粽叶(5),</t>
  </si>
  <si>
    <t>糯米(5),_x000D_
粽叶(10),</t>
  </si>
  <si>
    <t>糯米(10),_x000D_
粽叶(10),</t>
  </si>
  <si>
    <t>糯米(2),</t>
  </si>
  <si>
    <t>糯米(5),_x000D_
粽叶(1),</t>
  </si>
  <si>
    <t>神农鼎(2),_x000D_
幸运符文叉大(4),</t>
  </si>
  <si>
    <t>幸运符文叉大(4),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</si>
</sst>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2" xfId="0" applyFill="1" applyBorder="1">
      <alignment vertical="center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2" xfId="0" applyFont="1" applyFill="1" applyBorder="1">
      <alignment vertical="center"/>
    </xf>
    <xf numFmtId="0" fontId="5" fillId="0" borderId="0" xfId="0" applyFont="1">
      <alignment vertical="center"/>
    </xf>
    <xf numFmtId="0" fontId="5" fillId="0" borderId="1" xfId="0" applyFont="1" applyFill="1" applyBorder="1">
      <alignment vertical="center"/>
    </xf>
    <xf numFmtId="0" fontId="4" fillId="0" borderId="1" xfId="0" applyFont="1" applyFill="1" applyBorder="1">
      <alignment vertical="center"/>
    </xf>
    <xf numFmtId="0" fontId="2" fillId="0" borderId="0" xfId="0" applyFont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</cellXfs>
  <cellStyles count="1">
    <cellStyle name="常规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119</xdr:row>
          <xdr:rowOff>28575</xdr:rowOff>
        </xdr:from>
        <xdr:to>
          <xdr:col>1</xdr:col>
          <xdr:colOff>428625</xdr:colOff>
          <xdr:row>120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P117"/>
  <sheetViews>
    <sheetView tabSelected="1" workbookViewId="0">
      <pane xSplit="2" ySplit="1" topLeftCell="BG2" activePane="bottomRight" state="frozen"/>
      <selection pane="topRight" activeCell="C1" sqref="C1"/>
      <selection pane="bottomLeft" activeCell="A3" sqref="A3"/>
      <selection pane="bottomRight" activeCell="BO107" sqref="BO107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24" width="13.75" bestFit="1" customWidth="1"/>
    <col min="25" max="26" width="11.75" bestFit="1" customWidth="1"/>
    <col min="27" max="27" width="13.75" bestFit="1" customWidth="1"/>
    <col min="28" max="28" width="11.75" bestFit="1" customWidth="1"/>
    <col min="29" max="31" width="9.75" bestFit="1" customWidth="1"/>
    <col min="32" max="32" width="11.75" bestFit="1" customWidth="1"/>
    <col min="33" max="34" width="9.75" bestFit="1" customWidth="1"/>
    <col min="35" max="35" width="11.75" bestFit="1" customWidth="1"/>
    <col min="36" max="37" width="9.75" bestFit="1" customWidth="1"/>
    <col min="38" max="39" width="9.75" customWidth="1"/>
    <col min="40" max="45" width="15.875" style="7" bestFit="1" customWidth="1"/>
    <col min="46" max="51" width="18.125" style="7" bestFit="1" customWidth="1"/>
    <col min="52" max="52" width="18.125" style="7" customWidth="1"/>
    <col min="53" max="58" width="15.875" bestFit="1" customWidth="1"/>
    <col min="59" max="64" width="18.125" bestFit="1" customWidth="1"/>
    <col min="65" max="65" width="9.75" bestFit="1" customWidth="1"/>
    <col min="66" max="66" width="7.5" customWidth="1"/>
    <col min="67" max="67" width="7.625" style="15" customWidth="1"/>
    <col min="68" max="68" width="18.625" style="15" bestFit="1" customWidth="1"/>
    <col min="69" max="74" width="11.875" bestFit="1" customWidth="1"/>
    <col min="75" max="80" width="14.125" bestFit="1" customWidth="1"/>
  </cols>
  <sheetData>
    <row r="1" spans="1:94" s="13" customFormat="1" x14ac:dyDescent="0.15">
      <c r="A1" s="8" t="s">
        <v>108</v>
      </c>
      <c r="B1" s="8" t="s">
        <v>109</v>
      </c>
      <c r="C1" s="8" t="s">
        <v>111</v>
      </c>
      <c r="D1" s="8" t="s">
        <v>110</v>
      </c>
      <c r="E1" s="9" t="s">
        <v>3</v>
      </c>
      <c r="F1" s="9" t="s">
        <v>4</v>
      </c>
      <c r="G1" s="9" t="s">
        <v>15</v>
      </c>
      <c r="H1" s="9" t="s">
        <v>28</v>
      </c>
      <c r="I1" s="9" t="s">
        <v>30</v>
      </c>
      <c r="J1" s="9" t="s">
        <v>105</v>
      </c>
      <c r="K1" s="9" t="s">
        <v>31</v>
      </c>
      <c r="L1" s="9" t="s">
        <v>56</v>
      </c>
      <c r="M1" s="9" t="s">
        <v>62</v>
      </c>
      <c r="N1" s="9" t="s">
        <v>68</v>
      </c>
      <c r="O1" s="9" t="s">
        <v>61</v>
      </c>
      <c r="P1" s="9" t="s">
        <v>27</v>
      </c>
      <c r="Q1" s="9" t="s">
        <v>73</v>
      </c>
      <c r="R1" s="9" t="s">
        <v>99</v>
      </c>
      <c r="S1" s="9" t="s">
        <v>75</v>
      </c>
      <c r="T1" s="9" t="s">
        <v>89</v>
      </c>
      <c r="U1" s="9" t="s">
        <v>76</v>
      </c>
      <c r="V1" s="9" t="s">
        <v>97</v>
      </c>
      <c r="W1" s="9" t="s">
        <v>54</v>
      </c>
      <c r="X1" s="9" t="s">
        <v>69</v>
      </c>
      <c r="Y1" s="9" t="s">
        <v>98</v>
      </c>
      <c r="Z1" s="9" t="s">
        <v>78</v>
      </c>
      <c r="AA1" s="9" t="s">
        <v>90</v>
      </c>
      <c r="AB1" s="8" t="s">
        <v>10</v>
      </c>
      <c r="AC1" s="8" t="s">
        <v>37</v>
      </c>
      <c r="AD1" s="8" t="s">
        <v>38</v>
      </c>
      <c r="AE1" s="8" t="s">
        <v>91</v>
      </c>
      <c r="AF1" s="8" t="s">
        <v>92</v>
      </c>
      <c r="AG1" s="8" t="s">
        <v>94</v>
      </c>
      <c r="AH1" s="8" t="s">
        <v>95</v>
      </c>
      <c r="AI1" s="8" t="s">
        <v>100</v>
      </c>
      <c r="AJ1" s="8" t="s">
        <v>70</v>
      </c>
      <c r="AK1" s="8" t="s">
        <v>72</v>
      </c>
      <c r="AL1" s="8" t="s">
        <v>162</v>
      </c>
      <c r="AM1" s="8" t="s">
        <v>163</v>
      </c>
      <c r="AN1" s="10" t="s">
        <v>51</v>
      </c>
      <c r="AO1" s="10" t="s">
        <v>5</v>
      </c>
      <c r="AP1" s="10" t="s">
        <v>35</v>
      </c>
      <c r="AQ1" s="10" t="s">
        <v>79</v>
      </c>
      <c r="AR1" s="10" t="s">
        <v>87</v>
      </c>
      <c r="AS1" s="10" t="s">
        <v>66</v>
      </c>
      <c r="AT1" s="11" t="s">
        <v>6</v>
      </c>
      <c r="AU1" s="11" t="s">
        <v>7</v>
      </c>
      <c r="AV1" s="11" t="s">
        <v>52</v>
      </c>
      <c r="AW1" s="11" t="s">
        <v>9</v>
      </c>
      <c r="AX1" s="11" t="s">
        <v>65</v>
      </c>
      <c r="AY1" s="11" t="s">
        <v>14</v>
      </c>
      <c r="AZ1" s="29" t="s">
        <v>158</v>
      </c>
      <c r="BA1" s="8" t="s">
        <v>19</v>
      </c>
      <c r="BB1" s="8" t="s">
        <v>18</v>
      </c>
      <c r="BC1" s="8" t="s">
        <v>16</v>
      </c>
      <c r="BD1" s="8" t="s">
        <v>17</v>
      </c>
      <c r="BE1" s="8" t="s">
        <v>20</v>
      </c>
      <c r="BF1" s="8" t="s">
        <v>21</v>
      </c>
      <c r="BG1" s="8" t="s">
        <v>42</v>
      </c>
      <c r="BH1" s="8" t="s">
        <v>43</v>
      </c>
      <c r="BI1" s="8" t="s">
        <v>44</v>
      </c>
      <c r="BJ1" s="8" t="s">
        <v>45</v>
      </c>
      <c r="BK1" s="8" t="s">
        <v>46</v>
      </c>
      <c r="BL1" s="8" t="s">
        <v>47</v>
      </c>
      <c r="BM1" s="12" t="s">
        <v>117</v>
      </c>
      <c r="BN1" s="8" t="s">
        <v>118</v>
      </c>
      <c r="BO1" s="16" t="s">
        <v>119</v>
      </c>
      <c r="BP1" s="16"/>
      <c r="BQ1" s="10" t="s">
        <v>51</v>
      </c>
      <c r="BR1" s="10" t="s">
        <v>5</v>
      </c>
      <c r="BS1" s="10" t="s">
        <v>35</v>
      </c>
      <c r="BT1" s="10" t="s">
        <v>79</v>
      </c>
      <c r="BU1" s="10" t="s">
        <v>87</v>
      </c>
      <c r="BV1" s="10" t="s">
        <v>66</v>
      </c>
      <c r="BW1" s="11" t="s">
        <v>6</v>
      </c>
      <c r="BX1" s="11" t="s">
        <v>7</v>
      </c>
      <c r="BY1" s="11" t="s">
        <v>52</v>
      </c>
      <c r="BZ1" s="11" t="s">
        <v>9</v>
      </c>
      <c r="CA1" s="11" t="s">
        <v>65</v>
      </c>
      <c r="CB1" s="11" t="s">
        <v>14</v>
      </c>
      <c r="CC1" s="8"/>
      <c r="CD1" s="10" t="s">
        <v>51</v>
      </c>
      <c r="CE1" s="10" t="s">
        <v>5</v>
      </c>
      <c r="CF1" s="10" t="s">
        <v>35</v>
      </c>
      <c r="CG1" s="10" t="s">
        <v>79</v>
      </c>
      <c r="CH1" s="10" t="s">
        <v>87</v>
      </c>
      <c r="CI1" s="10" t="s">
        <v>66</v>
      </c>
      <c r="CJ1" s="11" t="s">
        <v>6</v>
      </c>
      <c r="CK1" s="11" t="s">
        <v>7</v>
      </c>
      <c r="CL1" s="11" t="s">
        <v>52</v>
      </c>
      <c r="CM1" s="11" t="s">
        <v>9</v>
      </c>
      <c r="CN1" s="11" t="s">
        <v>65</v>
      </c>
      <c r="CO1" s="11" t="s">
        <v>14</v>
      </c>
      <c r="CP1" s="28"/>
    </row>
    <row r="2" spans="1:94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4"/>
      <c r="AO2" s="4"/>
      <c r="AP2" s="4"/>
      <c r="AQ2" s="4"/>
      <c r="AR2" s="4"/>
      <c r="AS2" s="4"/>
      <c r="AT2" s="2"/>
      <c r="AU2" s="2"/>
      <c r="AV2" s="2"/>
      <c r="AW2" s="2"/>
      <c r="AX2" s="2"/>
      <c r="AY2" s="2"/>
      <c r="AZ2" s="14"/>
      <c r="BA2" s="1"/>
      <c r="BB2" s="1"/>
      <c r="BC2" s="1">
        <v>20</v>
      </c>
      <c r="BD2" s="1">
        <v>20</v>
      </c>
      <c r="BE2" s="1">
        <v>20</v>
      </c>
      <c r="BF2" s="1">
        <v>20</v>
      </c>
      <c r="BG2" s="1"/>
      <c r="BH2" s="1"/>
      <c r="BI2" s="1"/>
      <c r="BJ2" s="1"/>
      <c r="BK2" s="1"/>
      <c r="BL2" s="1"/>
      <c r="BM2" s="1">
        <f>SUM(E2:BL2)</f>
        <v>80</v>
      </c>
      <c r="BN2" s="1">
        <v>0</v>
      </c>
      <c r="BO2" s="17">
        <v>0</v>
      </c>
      <c r="BP2" s="17"/>
      <c r="BQ2" s="1" t="str">
        <f>IF(AN2&gt;AN$116, AN2-AN$116,"")</f>
        <v/>
      </c>
      <c r="BR2" s="1" t="str">
        <f>IF(AO2&gt;AO$116, AO2-AO$116,"")</f>
        <v/>
      </c>
      <c r="BS2" s="1" t="str">
        <f>IF(AP2&gt;AP$116, AP2-AP$116,"")</f>
        <v/>
      </c>
      <c r="BT2" s="1" t="str">
        <f>IF(AQ2&gt;AQ$116, AQ2-AQ$116,"")</f>
        <v/>
      </c>
      <c r="BU2" s="1" t="str">
        <f>IF(AR2&gt;AR$116, AR2-AR$116,"")</f>
        <v/>
      </c>
      <c r="BV2" s="1" t="str">
        <f>IF(AS2&gt;AS$116, AS2-AS$116,"")</f>
        <v/>
      </c>
      <c r="BW2" s="1" t="str">
        <f>IF(AT2&gt;AT$116, AT2-AT$116,"")</f>
        <v/>
      </c>
      <c r="BX2" s="1" t="str">
        <f>IF(AU2&gt;AU$116, AU2-AU$116,"")</f>
        <v/>
      </c>
      <c r="BY2" s="1" t="str">
        <f>IF(AV2&gt;AV$116, AV2-AV$116,"")</f>
        <v/>
      </c>
      <c r="BZ2" s="1" t="str">
        <f>IF(AW2&gt;AW$116, AW2-AW$116,"")</f>
        <v/>
      </c>
      <c r="CA2" s="1" t="str">
        <f>IF(AX2&gt;AX$116, AX2-AX$116,"")</f>
        <v/>
      </c>
      <c r="CB2" s="1" t="str">
        <f>IF(AY2&gt;AY$116, AY2-AY$116,"")</f>
        <v/>
      </c>
      <c r="CC2" s="1">
        <f>12-COUNTA(BQ2:CB2)</f>
        <v>0</v>
      </c>
      <c r="CD2" s="1" t="str">
        <f>IF($CC2=1,BQ2,"")</f>
        <v/>
      </c>
      <c r="CE2" s="1" t="str">
        <f>IF($CC2=1,BR2,"")</f>
        <v/>
      </c>
      <c r="CF2" s="1" t="str">
        <f>IF($CC2=1,BS2,"")</f>
        <v/>
      </c>
      <c r="CG2" s="1" t="str">
        <f>IF($CC2=1,BT2,"")</f>
        <v/>
      </c>
      <c r="CH2" s="1" t="str">
        <f>IF($CC2=1,BU2,"")</f>
        <v/>
      </c>
      <c r="CI2" s="1" t="str">
        <f>IF($CC2=1,BV2,"")</f>
        <v/>
      </c>
      <c r="CJ2" s="1" t="str">
        <f>IF($CC2=1,BW2,"")</f>
        <v/>
      </c>
      <c r="CK2" s="1" t="str">
        <f>IF($CC2=1,BX2,"")</f>
        <v/>
      </c>
      <c r="CL2" s="1" t="str">
        <f>IF($CC2=1,BY2,"")</f>
        <v/>
      </c>
      <c r="CM2" s="1" t="str">
        <f>IF($CC2=1,BZ2,"")</f>
        <v/>
      </c>
      <c r="CN2" s="1" t="str">
        <f>IF($CC2=1,CA2,"")</f>
        <v/>
      </c>
      <c r="CO2" s="1" t="str">
        <f>IF($CC2=1,CB2,"")</f>
        <v/>
      </c>
      <c r="CP2" s="18">
        <f>SUM(AB2:BL2)</f>
        <v>80</v>
      </c>
    </row>
    <row r="3" spans="1:94" x14ac:dyDescent="0.15">
      <c r="A3" s="1">
        <v>15</v>
      </c>
      <c r="B3" s="1" t="s">
        <v>32</v>
      </c>
      <c r="C3" s="1" t="s">
        <v>33</v>
      </c>
      <c r="D3" s="1" t="s">
        <v>26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4"/>
      <c r="AO3" s="4"/>
      <c r="AP3" s="4"/>
      <c r="AQ3" s="4"/>
      <c r="AR3" s="4"/>
      <c r="AS3" s="4"/>
      <c r="AT3" s="2"/>
      <c r="AU3" s="2"/>
      <c r="AV3" s="2"/>
      <c r="AW3" s="2"/>
      <c r="AX3" s="2"/>
      <c r="AY3" s="2"/>
      <c r="AZ3" s="14"/>
      <c r="BA3" s="1">
        <v>20</v>
      </c>
      <c r="BB3" s="1">
        <v>20</v>
      </c>
      <c r="BC3" s="1">
        <v>20</v>
      </c>
      <c r="BD3" s="1">
        <v>20</v>
      </c>
      <c r="BE3" s="1"/>
      <c r="BF3" s="1"/>
      <c r="BG3" s="1"/>
      <c r="BH3" s="1"/>
      <c r="BI3" s="1"/>
      <c r="BJ3" s="1"/>
      <c r="BK3" s="1"/>
      <c r="BL3" s="1"/>
      <c r="BM3" s="1">
        <f>SUM(E3:BL3)</f>
        <v>80</v>
      </c>
      <c r="BN3" s="1">
        <v>0</v>
      </c>
      <c r="BO3" s="17">
        <v>0</v>
      </c>
      <c r="BP3" s="17"/>
      <c r="BQ3" s="1" t="str">
        <f>IF(AN3&gt;AN$116, AN3-AN$116,"")</f>
        <v/>
      </c>
      <c r="BR3" s="1" t="str">
        <f>IF(AO3&gt;AO$116, AO3-AO$116,"")</f>
        <v/>
      </c>
      <c r="BS3" s="1" t="str">
        <f>IF(AP3&gt;AP$116, AP3-AP$116,"")</f>
        <v/>
      </c>
      <c r="BT3" s="1" t="str">
        <f>IF(AQ3&gt;AQ$116, AQ3-AQ$116,"")</f>
        <v/>
      </c>
      <c r="BU3" s="1" t="str">
        <f>IF(AR3&gt;AR$116, AR3-AR$116,"")</f>
        <v/>
      </c>
      <c r="BV3" s="1" t="str">
        <f>IF(AS3&gt;AS$116, AS3-AS$116,"")</f>
        <v/>
      </c>
      <c r="BW3" s="1" t="str">
        <f>IF(AT3&gt;AT$116, AT3-AT$116,"")</f>
        <v/>
      </c>
      <c r="BX3" s="1" t="str">
        <f>IF(AU3&gt;AU$116, AU3-AU$116,"")</f>
        <v/>
      </c>
      <c r="BY3" s="1" t="str">
        <f>IF(AV3&gt;AV$116, AV3-AV$116,"")</f>
        <v/>
      </c>
      <c r="BZ3" s="1" t="str">
        <f>IF(AW3&gt;AW$116, AW3-AW$116,"")</f>
        <v/>
      </c>
      <c r="CA3" s="1" t="str">
        <f>IF(AX3&gt;AX$116, AX3-AX$116,"")</f>
        <v/>
      </c>
      <c r="CB3" s="1" t="str">
        <f>IF(AY3&gt;AY$116, AY3-AY$116,"")</f>
        <v/>
      </c>
      <c r="CC3" s="1">
        <f>12-COUNTA(BQ3:CB3)</f>
        <v>0</v>
      </c>
      <c r="CD3" s="1" t="str">
        <f>IF($CC3=1,BQ3,"")</f>
        <v/>
      </c>
      <c r="CE3" s="1" t="str">
        <f>IF($CC3=1,BR3,"")</f>
        <v/>
      </c>
      <c r="CF3" s="1" t="str">
        <f>IF($CC3=1,BS3,"")</f>
        <v/>
      </c>
      <c r="CG3" s="1" t="str">
        <f>IF($CC3=1,BT3,"")</f>
        <v/>
      </c>
      <c r="CH3" s="1" t="str">
        <f>IF($CC3=1,BU3,"")</f>
        <v/>
      </c>
      <c r="CI3" s="1" t="str">
        <f>IF($CC3=1,BV3,"")</f>
        <v/>
      </c>
      <c r="CJ3" s="1" t="str">
        <f>IF($CC3=1,BW3,"")</f>
        <v/>
      </c>
      <c r="CK3" s="1" t="str">
        <f>IF($CC3=1,BX3,"")</f>
        <v/>
      </c>
      <c r="CL3" s="1" t="str">
        <f>IF($CC3=1,BY3,"")</f>
        <v/>
      </c>
      <c r="CM3" s="1" t="str">
        <f>IF($CC3=1,BZ3,"")</f>
        <v/>
      </c>
      <c r="CN3" s="1" t="str">
        <f>IF($CC3=1,CA3,"")</f>
        <v/>
      </c>
      <c r="CO3" s="1" t="str">
        <f>IF($CC3=1,CB3,"")</f>
        <v/>
      </c>
      <c r="CP3" s="18">
        <f>SUM(AB3:BL3)</f>
        <v>80</v>
      </c>
    </row>
    <row r="4" spans="1:94" x14ac:dyDescent="0.15">
      <c r="A4" s="1">
        <v>35</v>
      </c>
      <c r="B4" s="1" t="s">
        <v>49</v>
      </c>
      <c r="C4" s="1" t="s">
        <v>50</v>
      </c>
      <c r="D4" s="1" t="s">
        <v>26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4"/>
      <c r="AO4" s="4"/>
      <c r="AP4" s="4"/>
      <c r="AQ4" s="4"/>
      <c r="AR4" s="4"/>
      <c r="AS4" s="4"/>
      <c r="AT4" s="2"/>
      <c r="AU4" s="2"/>
      <c r="AV4" s="2"/>
      <c r="AW4" s="2"/>
      <c r="AX4" s="2"/>
      <c r="AY4" s="2"/>
      <c r="AZ4" s="14"/>
      <c r="BA4" s="1">
        <v>20</v>
      </c>
      <c r="BB4" s="1">
        <v>20</v>
      </c>
      <c r="BC4" s="1">
        <v>20</v>
      </c>
      <c r="BD4" s="1">
        <v>20</v>
      </c>
      <c r="BE4" s="1"/>
      <c r="BF4" s="1"/>
      <c r="BG4" s="1"/>
      <c r="BH4" s="1"/>
      <c r="BI4" s="1"/>
      <c r="BJ4" s="1"/>
      <c r="BK4" s="1"/>
      <c r="BL4" s="1"/>
      <c r="BM4" s="1">
        <f>SUM(E4:BL4)</f>
        <v>80</v>
      </c>
      <c r="BN4" s="1">
        <v>0</v>
      </c>
      <c r="BO4" s="17">
        <v>0</v>
      </c>
      <c r="BP4" s="17"/>
      <c r="BQ4" s="1" t="str">
        <f>IF(AN4&gt;AN$116, AN4-AN$116,"")</f>
        <v/>
      </c>
      <c r="BR4" s="1" t="str">
        <f>IF(AO4&gt;AO$116, AO4-AO$116,"")</f>
        <v/>
      </c>
      <c r="BS4" s="1" t="str">
        <f>IF(AP4&gt;AP$116, AP4-AP$116,"")</f>
        <v/>
      </c>
      <c r="BT4" s="1" t="str">
        <f>IF(AQ4&gt;AQ$116, AQ4-AQ$116,"")</f>
        <v/>
      </c>
      <c r="BU4" s="1" t="str">
        <f>IF(AR4&gt;AR$116, AR4-AR$116,"")</f>
        <v/>
      </c>
      <c r="BV4" s="1" t="str">
        <f>IF(AS4&gt;AS$116, AS4-AS$116,"")</f>
        <v/>
      </c>
      <c r="BW4" s="1" t="str">
        <f>IF(AT4&gt;AT$116, AT4-AT$116,"")</f>
        <v/>
      </c>
      <c r="BX4" s="1" t="str">
        <f>IF(AU4&gt;AU$116, AU4-AU$116,"")</f>
        <v/>
      </c>
      <c r="BY4" s="1" t="str">
        <f>IF(AV4&gt;AV$116, AV4-AV$116,"")</f>
        <v/>
      </c>
      <c r="BZ4" s="1" t="str">
        <f>IF(AW4&gt;AW$116, AW4-AW$116,"")</f>
        <v/>
      </c>
      <c r="CA4" s="1" t="str">
        <f>IF(AX4&gt;AX$116, AX4-AX$116,"")</f>
        <v/>
      </c>
      <c r="CB4" s="1" t="str">
        <f>IF(AY4&gt;AY$116, AY4-AY$116,"")</f>
        <v/>
      </c>
      <c r="CC4" s="1">
        <f>12-COUNTA(BQ4:CB4)</f>
        <v>0</v>
      </c>
      <c r="CD4" s="1" t="str">
        <f>IF($CC4=1,BQ4,"")</f>
        <v/>
      </c>
      <c r="CE4" s="1" t="str">
        <f>IF($CC4=1,BR4,"")</f>
        <v/>
      </c>
      <c r="CF4" s="1" t="str">
        <f>IF($CC4=1,BS4,"")</f>
        <v/>
      </c>
      <c r="CG4" s="1" t="str">
        <f>IF($CC4=1,BT4,"")</f>
        <v/>
      </c>
      <c r="CH4" s="1" t="str">
        <f>IF($CC4=1,BU4,"")</f>
        <v/>
      </c>
      <c r="CI4" s="1" t="str">
        <f>IF($CC4=1,BV4,"")</f>
        <v/>
      </c>
      <c r="CJ4" s="1" t="str">
        <f>IF($CC4=1,BW4,"")</f>
        <v/>
      </c>
      <c r="CK4" s="1" t="str">
        <f>IF($CC4=1,BX4,"")</f>
        <v/>
      </c>
      <c r="CL4" s="1" t="str">
        <f>IF($CC4=1,BY4,"")</f>
        <v/>
      </c>
      <c r="CM4" s="1" t="str">
        <f>IF($CC4=1,BZ4,"")</f>
        <v/>
      </c>
      <c r="CN4" s="1" t="str">
        <f>IF($CC4=1,CA4,"")</f>
        <v/>
      </c>
      <c r="CO4" s="1" t="str">
        <f>IF($CC4=1,CB4,"")</f>
        <v/>
      </c>
      <c r="CP4" s="18">
        <f>SUM(AB4:BL4)</f>
        <v>80</v>
      </c>
    </row>
    <row r="5" spans="1:94" x14ac:dyDescent="0.15">
      <c r="A5" s="1">
        <v>55</v>
      </c>
      <c r="B5" s="1" t="s">
        <v>63</v>
      </c>
      <c r="C5" s="1" t="s">
        <v>64</v>
      </c>
      <c r="D5" s="1" t="s">
        <v>13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4"/>
      <c r="AO5" s="4"/>
      <c r="AP5" s="4"/>
      <c r="AQ5" s="4"/>
      <c r="AR5" s="4"/>
      <c r="AS5" s="4"/>
      <c r="AT5" s="2"/>
      <c r="AU5" s="2"/>
      <c r="AV5" s="2"/>
      <c r="AW5" s="2"/>
      <c r="AX5" s="2"/>
      <c r="AY5" s="2"/>
      <c r="AZ5" s="14"/>
      <c r="BA5" s="1">
        <v>20</v>
      </c>
      <c r="BB5" s="1">
        <v>20</v>
      </c>
      <c r="BC5" s="1"/>
      <c r="BD5" s="1"/>
      <c r="BE5" s="1">
        <v>20</v>
      </c>
      <c r="BF5" s="1">
        <v>20</v>
      </c>
      <c r="BG5" s="1"/>
      <c r="BH5" s="1"/>
      <c r="BI5" s="1"/>
      <c r="BJ5" s="1"/>
      <c r="BK5" s="1"/>
      <c r="BL5" s="1"/>
      <c r="BM5" s="1">
        <f>SUM(E5:BL5)</f>
        <v>80</v>
      </c>
      <c r="BN5" s="1">
        <v>0</v>
      </c>
      <c r="BO5" s="17">
        <v>0</v>
      </c>
      <c r="BP5" s="17"/>
      <c r="BQ5" s="1" t="str">
        <f>IF(AN5&gt;AN$116, AN5-AN$116,"")</f>
        <v/>
      </c>
      <c r="BR5" s="1" t="str">
        <f>IF(AO5&gt;AO$116, AO5-AO$116,"")</f>
        <v/>
      </c>
      <c r="BS5" s="1" t="str">
        <f>IF(AP5&gt;AP$116, AP5-AP$116,"")</f>
        <v/>
      </c>
      <c r="BT5" s="1" t="str">
        <f>IF(AQ5&gt;AQ$116, AQ5-AQ$116,"")</f>
        <v/>
      </c>
      <c r="BU5" s="1" t="str">
        <f>IF(AR5&gt;AR$116, AR5-AR$116,"")</f>
        <v/>
      </c>
      <c r="BV5" s="1" t="str">
        <f>IF(AS5&gt;AS$116, AS5-AS$116,"")</f>
        <v/>
      </c>
      <c r="BW5" s="1" t="str">
        <f>IF(AT5&gt;AT$116, AT5-AT$116,"")</f>
        <v/>
      </c>
      <c r="BX5" s="1" t="str">
        <f>IF(AU5&gt;AU$116, AU5-AU$116,"")</f>
        <v/>
      </c>
      <c r="BY5" s="1" t="str">
        <f>IF(AV5&gt;AV$116, AV5-AV$116,"")</f>
        <v/>
      </c>
      <c r="BZ5" s="1" t="str">
        <f>IF(AW5&gt;AW$116, AW5-AW$116,"")</f>
        <v/>
      </c>
      <c r="CA5" s="1" t="str">
        <f>IF(AX5&gt;AX$116, AX5-AX$116,"")</f>
        <v/>
      </c>
      <c r="CB5" s="1" t="str">
        <f>IF(AY5&gt;AY$116, AY5-AY$116,"")</f>
        <v/>
      </c>
      <c r="CC5" s="1">
        <f>12-COUNTA(BQ5:CB5)</f>
        <v>0</v>
      </c>
      <c r="CD5" s="1" t="str">
        <f>IF($CC5=1,BQ5,"")</f>
        <v/>
      </c>
      <c r="CE5" s="1" t="str">
        <f>IF($CC5=1,BR5,"")</f>
        <v/>
      </c>
      <c r="CF5" s="1" t="str">
        <f>IF($CC5=1,BS5,"")</f>
        <v/>
      </c>
      <c r="CG5" s="1" t="str">
        <f>IF($CC5=1,BT5,"")</f>
        <v/>
      </c>
      <c r="CH5" s="1" t="str">
        <f>IF($CC5=1,BU5,"")</f>
        <v/>
      </c>
      <c r="CI5" s="1" t="str">
        <f>IF($CC5=1,BV5,"")</f>
        <v/>
      </c>
      <c r="CJ5" s="1" t="str">
        <f>IF($CC5=1,BW5,"")</f>
        <v/>
      </c>
      <c r="CK5" s="1" t="str">
        <f>IF($CC5=1,BX5,"")</f>
        <v/>
      </c>
      <c r="CL5" s="1" t="str">
        <f>IF($CC5=1,BY5,"")</f>
        <v/>
      </c>
      <c r="CM5" s="1" t="str">
        <f>IF($CC5=1,BZ5,"")</f>
        <v/>
      </c>
      <c r="CN5" s="1" t="str">
        <f>IF($CC5=1,CA5,"")</f>
        <v/>
      </c>
      <c r="CO5" s="1" t="str">
        <f>IF($CC5=1,CB5,"")</f>
        <v/>
      </c>
      <c r="CP5" s="18">
        <f>SUM(AB5:BL5)</f>
        <v>80</v>
      </c>
    </row>
    <row r="6" spans="1:94" x14ac:dyDescent="0.15">
      <c r="A6" s="19">
        <v>7</v>
      </c>
      <c r="B6" s="19" t="s">
        <v>58</v>
      </c>
      <c r="C6" s="19" t="s">
        <v>2</v>
      </c>
      <c r="D6" s="19" t="s">
        <v>25</v>
      </c>
      <c r="E6" s="20"/>
      <c r="F6" s="20"/>
      <c r="G6" s="20">
        <v>5</v>
      </c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21"/>
      <c r="AO6" s="21"/>
      <c r="AP6" s="21"/>
      <c r="AQ6" s="21"/>
      <c r="AR6" s="21"/>
      <c r="AS6" s="21"/>
      <c r="AT6" s="22"/>
      <c r="AU6" s="22"/>
      <c r="AV6" s="22"/>
      <c r="AW6" s="22"/>
      <c r="AX6" s="22"/>
      <c r="AY6" s="22"/>
      <c r="AZ6" s="30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>
        <f>SUM(E6:BL6)</f>
        <v>5</v>
      </c>
      <c r="BN6" s="19">
        <v>0</v>
      </c>
      <c r="BO6" s="23">
        <v>0</v>
      </c>
      <c r="BP6" s="23"/>
      <c r="BQ6" s="19" t="str">
        <f>IF(AN6&gt;AN$116, AN6-AN$116,"")</f>
        <v/>
      </c>
      <c r="BR6" s="19" t="str">
        <f>IF(AO6&gt;AO$116, AO6-AO$116,"")</f>
        <v/>
      </c>
      <c r="BS6" s="19" t="str">
        <f>IF(AP6&gt;AP$116, AP6-AP$116,"")</f>
        <v/>
      </c>
      <c r="BT6" s="19" t="str">
        <f>IF(AQ6&gt;AQ$116, AQ6-AQ$116,"")</f>
        <v/>
      </c>
      <c r="BU6" s="19" t="str">
        <f>IF(AR6&gt;AR$116, AR6-AR$116,"")</f>
        <v/>
      </c>
      <c r="BV6" s="19" t="str">
        <f>IF(AS6&gt;AS$116, AS6-AS$116,"")</f>
        <v/>
      </c>
      <c r="BW6" s="19" t="str">
        <f>IF(AT6&gt;AT$116, AT6-AT$116,"")</f>
        <v/>
      </c>
      <c r="BX6" s="19" t="str">
        <f>IF(AU6&gt;AU$116, AU6-AU$116,"")</f>
        <v/>
      </c>
      <c r="BY6" s="19" t="str">
        <f>IF(AV6&gt;AV$116, AV6-AV$116,"")</f>
        <v/>
      </c>
      <c r="BZ6" s="19" t="str">
        <f>IF(AW6&gt;AW$116, AW6-AW$116,"")</f>
        <v/>
      </c>
      <c r="CA6" s="19" t="str">
        <f>IF(AX6&gt;AX$116, AX6-AX$116,"")</f>
        <v/>
      </c>
      <c r="CB6" s="19" t="str">
        <f>IF(AY6&gt;AY$116, AY6-AY$116,"")</f>
        <v/>
      </c>
      <c r="CC6" s="19">
        <f>COUNTIF(BQ6:CB6, "&gt;0")</f>
        <v>0</v>
      </c>
      <c r="CD6" s="19" t="str">
        <f>IF($CC6=1,BQ6,"")</f>
        <v/>
      </c>
      <c r="CE6" s="19" t="str">
        <f>IF($CC6=1,BR6,"")</f>
        <v/>
      </c>
      <c r="CF6" s="19" t="str">
        <f>IF($CC6=1,BS6,"")</f>
        <v/>
      </c>
      <c r="CG6" s="19" t="str">
        <f>IF($CC6=1,BT6,"")</f>
        <v/>
      </c>
      <c r="CH6" s="19" t="str">
        <f>IF($CC6=1,BU6,"")</f>
        <v/>
      </c>
      <c r="CI6" s="19" t="str">
        <f>IF($CC6=1,BV6,"")</f>
        <v/>
      </c>
      <c r="CJ6" s="19" t="str">
        <f>IF($CC6=1,BW6,"")</f>
        <v/>
      </c>
      <c r="CK6" s="19" t="str">
        <f>IF($CC6=1,BX6,"")</f>
        <v/>
      </c>
      <c r="CL6" s="19" t="str">
        <f>IF($CC6=1,BY6,"")</f>
        <v/>
      </c>
      <c r="CM6" s="19" t="str">
        <f>IF($CC6=1,BZ6,"")</f>
        <v/>
      </c>
      <c r="CN6" s="19" t="str">
        <f>IF($CC6=1,CA6,"")</f>
        <v/>
      </c>
      <c r="CO6" s="19" t="str">
        <f>IF($CC6=1,CB6,"")</f>
        <v/>
      </c>
      <c r="CP6" s="24">
        <f>SUM(AB6:BL6)</f>
        <v>0</v>
      </c>
    </row>
    <row r="7" spans="1:94" s="25" customFormat="1" x14ac:dyDescent="0.15">
      <c r="A7" s="19">
        <v>40</v>
      </c>
      <c r="B7" s="19" t="s">
        <v>59</v>
      </c>
      <c r="C7" s="19" t="s">
        <v>50</v>
      </c>
      <c r="D7" s="19" t="s">
        <v>60</v>
      </c>
      <c r="E7" s="20"/>
      <c r="F7" s="20"/>
      <c r="G7" s="20"/>
      <c r="H7" s="20"/>
      <c r="I7" s="20"/>
      <c r="J7" s="20"/>
      <c r="K7" s="20"/>
      <c r="L7" s="20"/>
      <c r="M7" s="20"/>
      <c r="N7" s="20"/>
      <c r="O7" s="20">
        <v>5</v>
      </c>
      <c r="P7" s="20"/>
      <c r="Q7" s="20"/>
      <c r="R7" s="20"/>
      <c r="S7" s="20"/>
      <c r="T7" s="20"/>
      <c r="U7" s="20"/>
      <c r="V7" s="20"/>
      <c r="W7" s="20">
        <v>5</v>
      </c>
      <c r="X7" s="20"/>
      <c r="Y7" s="20"/>
      <c r="Z7" s="20"/>
      <c r="AA7" s="20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21"/>
      <c r="AO7" s="21"/>
      <c r="AP7" s="21"/>
      <c r="AQ7" s="21"/>
      <c r="AR7" s="21"/>
      <c r="AS7" s="21"/>
      <c r="AT7" s="22"/>
      <c r="AU7" s="22"/>
      <c r="AV7" s="22"/>
      <c r="AW7" s="22"/>
      <c r="AX7" s="22"/>
      <c r="AY7" s="22"/>
      <c r="AZ7" s="30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>
        <f>SUM(E7:BL7)</f>
        <v>10</v>
      </c>
      <c r="BN7" s="19">
        <v>0</v>
      </c>
      <c r="BO7" s="23">
        <v>0</v>
      </c>
      <c r="BP7" s="23"/>
      <c r="BQ7" s="19" t="str">
        <f>IF(AN7&gt;AN$116, AN7-AN$116,"")</f>
        <v/>
      </c>
      <c r="BR7" s="19" t="str">
        <f>IF(AO7&gt;AO$116, AO7-AO$116,"")</f>
        <v/>
      </c>
      <c r="BS7" s="19" t="str">
        <f>IF(AP7&gt;AP$116, AP7-AP$116,"")</f>
        <v/>
      </c>
      <c r="BT7" s="19" t="str">
        <f>IF(AQ7&gt;AQ$116, AQ7-AQ$116,"")</f>
        <v/>
      </c>
      <c r="BU7" s="19" t="str">
        <f>IF(AR7&gt;AR$116, AR7-AR$116,"")</f>
        <v/>
      </c>
      <c r="BV7" s="19" t="str">
        <f>IF(AS7&gt;AS$116, AS7-AS$116,"")</f>
        <v/>
      </c>
      <c r="BW7" s="19" t="str">
        <f>IF(AT7&gt;AT$116, AT7-AT$116,"")</f>
        <v/>
      </c>
      <c r="BX7" s="19" t="str">
        <f>IF(AU7&gt;AU$116, AU7-AU$116,"")</f>
        <v/>
      </c>
      <c r="BY7" s="19" t="str">
        <f>IF(AV7&gt;AV$116, AV7-AV$116,"")</f>
        <v/>
      </c>
      <c r="BZ7" s="19" t="str">
        <f>IF(AW7&gt;AW$116, AW7-AW$116,"")</f>
        <v/>
      </c>
      <c r="CA7" s="19" t="str">
        <f>IF(AX7&gt;AX$116, AX7-AX$116,"")</f>
        <v/>
      </c>
      <c r="CB7" s="19" t="str">
        <f>IF(AY7&gt;AY$116, AY7-AY$116,"")</f>
        <v/>
      </c>
      <c r="CC7" s="19">
        <f>COUNTIF(BQ7:CB7, "&gt;0")</f>
        <v>0</v>
      </c>
      <c r="CD7" s="19" t="str">
        <f>IF($CC7=1,BQ7,"")</f>
        <v/>
      </c>
      <c r="CE7" s="19" t="str">
        <f>IF($CC7=1,BR7,"")</f>
        <v/>
      </c>
      <c r="CF7" s="19" t="str">
        <f>IF($CC7=1,BS7,"")</f>
        <v/>
      </c>
      <c r="CG7" s="19" t="str">
        <f>IF($CC7=1,BT7,"")</f>
        <v/>
      </c>
      <c r="CH7" s="19" t="str">
        <f>IF($CC7=1,BU7,"")</f>
        <v/>
      </c>
      <c r="CI7" s="19" t="str">
        <f>IF($CC7=1,BV7,"")</f>
        <v/>
      </c>
      <c r="CJ7" s="19" t="str">
        <f>IF($CC7=1,BW7,"")</f>
        <v/>
      </c>
      <c r="CK7" s="19" t="str">
        <f>IF($CC7=1,BX7,"")</f>
        <v/>
      </c>
      <c r="CL7" s="19" t="str">
        <f>IF($CC7=1,BY7,"")</f>
        <v/>
      </c>
      <c r="CM7" s="19" t="str">
        <f>IF($CC7=1,BZ7,"")</f>
        <v/>
      </c>
      <c r="CN7" s="19" t="str">
        <f>IF($CC7=1,CA7,"")</f>
        <v/>
      </c>
      <c r="CO7" s="19" t="str">
        <f>IF($CC7=1,CB7,"")</f>
        <v/>
      </c>
      <c r="CP7" s="24">
        <f>SUM(AB7:BL7)</f>
        <v>0</v>
      </c>
    </row>
    <row r="8" spans="1:94" s="25" customFormat="1" x14ac:dyDescent="0.15">
      <c r="A8" s="19">
        <v>83</v>
      </c>
      <c r="B8" s="26" t="s">
        <v>83</v>
      </c>
      <c r="C8" s="26" t="s">
        <v>77</v>
      </c>
      <c r="D8" s="19" t="s">
        <v>1</v>
      </c>
      <c r="E8" s="20"/>
      <c r="F8" s="20"/>
      <c r="G8" s="20"/>
      <c r="H8" s="20"/>
      <c r="I8" s="20"/>
      <c r="J8" s="20"/>
      <c r="K8" s="20"/>
      <c r="L8" s="20"/>
      <c r="M8" s="20"/>
      <c r="N8" s="20"/>
      <c r="O8" s="20">
        <v>5</v>
      </c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21"/>
      <c r="AO8" s="21"/>
      <c r="AP8" s="21"/>
      <c r="AQ8" s="21"/>
      <c r="AR8" s="21"/>
      <c r="AS8" s="21"/>
      <c r="AT8" s="22"/>
      <c r="AU8" s="22"/>
      <c r="AV8" s="22"/>
      <c r="AW8" s="22"/>
      <c r="AX8" s="22"/>
      <c r="AY8" s="22"/>
      <c r="AZ8" s="30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>
        <f>SUM(E8:BL8)</f>
        <v>5</v>
      </c>
      <c r="BN8" s="19">
        <v>0</v>
      </c>
      <c r="BO8" s="23">
        <v>0</v>
      </c>
      <c r="BP8" s="23"/>
      <c r="BQ8" s="19" t="str">
        <f>IF(AN8&gt;AN$116, AN8-AN$116,"")</f>
        <v/>
      </c>
      <c r="BR8" s="19" t="str">
        <f>IF(AO8&gt;AO$116, AO8-AO$116,"")</f>
        <v/>
      </c>
      <c r="BS8" s="19" t="str">
        <f>IF(AP8&gt;AP$116, AP8-AP$116,"")</f>
        <v/>
      </c>
      <c r="BT8" s="19" t="str">
        <f>IF(AQ8&gt;AQ$116, AQ8-AQ$116,"")</f>
        <v/>
      </c>
      <c r="BU8" s="19" t="str">
        <f>IF(AR8&gt;AR$116, AR8-AR$116,"")</f>
        <v/>
      </c>
      <c r="BV8" s="19" t="str">
        <f>IF(AS8&gt;AS$116, AS8-AS$116,"")</f>
        <v/>
      </c>
      <c r="BW8" s="19" t="str">
        <f>IF(AT8&gt;AT$116, AT8-AT$116,"")</f>
        <v/>
      </c>
      <c r="BX8" s="19" t="str">
        <f>IF(AU8&gt;AU$116, AU8-AU$116,"")</f>
        <v/>
      </c>
      <c r="BY8" s="19" t="str">
        <f>IF(AV8&gt;AV$116, AV8-AV$116,"")</f>
        <v/>
      </c>
      <c r="BZ8" s="19" t="str">
        <f>IF(AW8&gt;AW$116, AW8-AW$116,"")</f>
        <v/>
      </c>
      <c r="CA8" s="19" t="str">
        <f>IF(AX8&gt;AX$116, AX8-AX$116,"")</f>
        <v/>
      </c>
      <c r="CB8" s="19" t="str">
        <f>IF(AY8&gt;AY$116, AY8-AY$116,"")</f>
        <v/>
      </c>
      <c r="CC8" s="19">
        <f>COUNTIF(BQ8:CB8, "&gt;0")</f>
        <v>0</v>
      </c>
      <c r="CD8" s="19" t="str">
        <f>IF($CC8=1,BQ8,"")</f>
        <v/>
      </c>
      <c r="CE8" s="19" t="str">
        <f>IF($CC8=1,BR8,"")</f>
        <v/>
      </c>
      <c r="CF8" s="19" t="str">
        <f>IF($CC8=1,BS8,"")</f>
        <v/>
      </c>
      <c r="CG8" s="19" t="str">
        <f>IF($CC8=1,BT8,"")</f>
        <v/>
      </c>
      <c r="CH8" s="19" t="str">
        <f>IF($CC8=1,BU8,"")</f>
        <v/>
      </c>
      <c r="CI8" s="19" t="str">
        <f>IF($CC8=1,BV8,"")</f>
        <v/>
      </c>
      <c r="CJ8" s="19" t="str">
        <f>IF($CC8=1,BW8,"")</f>
        <v/>
      </c>
      <c r="CK8" s="19" t="str">
        <f>IF($CC8=1,BX8,"")</f>
        <v/>
      </c>
      <c r="CL8" s="19" t="str">
        <f>IF($CC8=1,BY8,"")</f>
        <v/>
      </c>
      <c r="CM8" s="19" t="str">
        <f>IF($CC8=1,BZ8,"")</f>
        <v/>
      </c>
      <c r="CN8" s="19" t="str">
        <f>IF($CC8=1,CA8,"")</f>
        <v/>
      </c>
      <c r="CO8" s="19" t="str">
        <f>IF($CC8=1,CB8,"")</f>
        <v/>
      </c>
      <c r="CP8" s="24">
        <f>SUM(AB8:BL8)</f>
        <v>0</v>
      </c>
    </row>
    <row r="9" spans="1:94" s="25" customFormat="1" x14ac:dyDescent="0.15">
      <c r="A9" s="19">
        <v>37</v>
      </c>
      <c r="B9" s="19" t="s">
        <v>53</v>
      </c>
      <c r="C9" s="19" t="s">
        <v>50</v>
      </c>
      <c r="D9" s="19" t="s">
        <v>25</v>
      </c>
      <c r="E9" s="20"/>
      <c r="F9" s="20">
        <v>5</v>
      </c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>
        <v>5</v>
      </c>
      <c r="X9" s="20"/>
      <c r="Y9" s="20"/>
      <c r="Z9" s="20"/>
      <c r="AA9" s="20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21"/>
      <c r="AO9" s="21"/>
      <c r="AP9" s="21"/>
      <c r="AQ9" s="21"/>
      <c r="AR9" s="21"/>
      <c r="AS9" s="21"/>
      <c r="AT9" s="22"/>
      <c r="AU9" s="22"/>
      <c r="AV9" s="22"/>
      <c r="AW9" s="22"/>
      <c r="AX9" s="22"/>
      <c r="AY9" s="22"/>
      <c r="AZ9" s="30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>
        <f>SUM(E9:BL9)</f>
        <v>10</v>
      </c>
      <c r="BN9" s="19">
        <v>0</v>
      </c>
      <c r="BO9" s="23">
        <v>0</v>
      </c>
      <c r="BP9" s="23"/>
      <c r="BQ9" s="19" t="str">
        <f>IF(AN9&gt;AN$116, AN9-AN$116,"")</f>
        <v/>
      </c>
      <c r="BR9" s="19" t="str">
        <f>IF(AO9&gt;AO$116, AO9-AO$116,"")</f>
        <v/>
      </c>
      <c r="BS9" s="19" t="str">
        <f>IF(AP9&gt;AP$116, AP9-AP$116,"")</f>
        <v/>
      </c>
      <c r="BT9" s="19" t="str">
        <f>IF(AQ9&gt;AQ$116, AQ9-AQ$116,"")</f>
        <v/>
      </c>
      <c r="BU9" s="19" t="str">
        <f>IF(AR9&gt;AR$116, AR9-AR$116,"")</f>
        <v/>
      </c>
      <c r="BV9" s="19" t="str">
        <f>IF(AS9&gt;AS$116, AS9-AS$116,"")</f>
        <v/>
      </c>
      <c r="BW9" s="19" t="str">
        <f>IF(AT9&gt;AT$116, AT9-AT$116,"")</f>
        <v/>
      </c>
      <c r="BX9" s="19" t="str">
        <f>IF(AU9&gt;AU$116, AU9-AU$116,"")</f>
        <v/>
      </c>
      <c r="BY9" s="19" t="str">
        <f>IF(AV9&gt;AV$116, AV9-AV$116,"")</f>
        <v/>
      </c>
      <c r="BZ9" s="19" t="str">
        <f>IF(AW9&gt;AW$116, AW9-AW$116,"")</f>
        <v/>
      </c>
      <c r="CA9" s="19" t="str">
        <f>IF(AX9&gt;AX$116, AX9-AX$116,"")</f>
        <v/>
      </c>
      <c r="CB9" s="19" t="str">
        <f>IF(AY9&gt;AY$116, AY9-AY$116,"")</f>
        <v/>
      </c>
      <c r="CC9" s="19">
        <f>COUNTIF(BQ9:CB9, "&gt;0")</f>
        <v>0</v>
      </c>
      <c r="CD9" s="19" t="str">
        <f>IF($CC9=1,BQ9,"")</f>
        <v/>
      </c>
      <c r="CE9" s="19" t="str">
        <f>IF($CC9=1,BR9,"")</f>
        <v/>
      </c>
      <c r="CF9" s="19" t="str">
        <f>IF($CC9=1,BS9,"")</f>
        <v/>
      </c>
      <c r="CG9" s="19" t="str">
        <f>IF($CC9=1,BT9,"")</f>
        <v/>
      </c>
      <c r="CH9" s="19" t="str">
        <f>IF($CC9=1,BU9,"")</f>
        <v/>
      </c>
      <c r="CI9" s="19" t="str">
        <f>IF($CC9=1,BV9,"")</f>
        <v/>
      </c>
      <c r="CJ9" s="19" t="str">
        <f>IF($CC9=1,BW9,"")</f>
        <v/>
      </c>
      <c r="CK9" s="19" t="str">
        <f>IF($CC9=1,BX9,"")</f>
        <v/>
      </c>
      <c r="CL9" s="19" t="str">
        <f>IF($CC9=1,BY9,"")</f>
        <v/>
      </c>
      <c r="CM9" s="19" t="str">
        <f>IF($CC9=1,BZ9,"")</f>
        <v/>
      </c>
      <c r="CN9" s="19" t="str">
        <f>IF($CC9=1,CA9,"")</f>
        <v/>
      </c>
      <c r="CO9" s="19" t="str">
        <f>IF($CC9=1,CB9,"")</f>
        <v/>
      </c>
      <c r="CP9" s="24">
        <f>SUM(AB9:BL9)</f>
        <v>0</v>
      </c>
    </row>
    <row r="10" spans="1:94" s="25" customFormat="1" x14ac:dyDescent="0.15">
      <c r="A10" s="1">
        <v>101</v>
      </c>
      <c r="B10" s="3" t="s">
        <v>125</v>
      </c>
      <c r="C10" s="3" t="s">
        <v>85</v>
      </c>
      <c r="D10" s="1" t="s">
        <v>13</v>
      </c>
      <c r="E10" s="6"/>
      <c r="F10" s="6"/>
      <c r="G10" s="6"/>
      <c r="H10" s="6">
        <v>6</v>
      </c>
      <c r="I10" s="6">
        <v>6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4"/>
      <c r="AO10" s="4"/>
      <c r="AP10" s="4"/>
      <c r="AQ10" s="4"/>
      <c r="AR10" s="4">
        <v>8</v>
      </c>
      <c r="AS10" s="4"/>
      <c r="AT10" s="2">
        <v>8</v>
      </c>
      <c r="AU10" s="2"/>
      <c r="AV10" s="2"/>
      <c r="AW10" s="2"/>
      <c r="AX10" s="2"/>
      <c r="AY10" s="2"/>
      <c r="AZ10" s="14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>
        <f>SUM(E10:BL10)</f>
        <v>28</v>
      </c>
      <c r="BN10" s="1">
        <v>0</v>
      </c>
      <c r="BO10" s="17">
        <v>0</v>
      </c>
      <c r="BP10" s="17"/>
      <c r="BQ10" s="1" t="str">
        <f>IF(AN10&gt;AN$116, AN10-AN$116,"")</f>
        <v/>
      </c>
      <c r="BR10" s="1" t="str">
        <f>IF(AO10&gt;AO$116, AO10-AO$116,"")</f>
        <v/>
      </c>
      <c r="BS10" s="1" t="str">
        <f>IF(AP10&gt;AP$116, AP10-AP$116,"")</f>
        <v/>
      </c>
      <c r="BT10" s="1" t="str">
        <f>IF(AQ10&gt;AQ$116, AQ10-AQ$116,"")</f>
        <v/>
      </c>
      <c r="BU10" s="1" t="str">
        <f>IF(AR10&gt;AR$116, AR10-AR$116,"")</f>
        <v/>
      </c>
      <c r="BV10" s="1" t="str">
        <f>IF(AS10&gt;AS$116, AS10-AS$116,"")</f>
        <v/>
      </c>
      <c r="BW10" s="1" t="str">
        <f>IF(AT10&gt;AT$116, AT10-AT$116,"")</f>
        <v/>
      </c>
      <c r="BX10" s="1" t="str">
        <f>IF(AU10&gt;AU$116, AU10-AU$116,"")</f>
        <v/>
      </c>
      <c r="BY10" s="1" t="str">
        <f>IF(AV10&gt;AV$116, AV10-AV$116,"")</f>
        <v/>
      </c>
      <c r="BZ10" s="1" t="str">
        <f>IF(AW10&gt;AW$116, AW10-AW$116,"")</f>
        <v/>
      </c>
      <c r="CA10" s="1" t="str">
        <f>IF(AX10&gt;AX$116, AX10-AX$116,"")</f>
        <v/>
      </c>
      <c r="CB10" s="1" t="str">
        <f>IF(AY10&gt;AY$116, AY10-AY$116,"")</f>
        <v/>
      </c>
      <c r="CC10" s="1">
        <f>COUNTIF(BQ10:CB10, "&gt;0")</f>
        <v>0</v>
      </c>
      <c r="CD10" s="1" t="str">
        <f>IF($CC10=1,BQ10,"")</f>
        <v/>
      </c>
      <c r="CE10" s="1" t="str">
        <f>IF($CC10=1,BR10,"")</f>
        <v/>
      </c>
      <c r="CF10" s="1" t="str">
        <f>IF($CC10=1,BS10,"")</f>
        <v/>
      </c>
      <c r="CG10" s="1" t="str">
        <f>IF($CC10=1,BT10,"")</f>
        <v/>
      </c>
      <c r="CH10" s="1" t="str">
        <f>IF($CC10=1,BU10,"")</f>
        <v/>
      </c>
      <c r="CI10" s="1" t="str">
        <f>IF($CC10=1,BV10,"")</f>
        <v/>
      </c>
      <c r="CJ10" s="1" t="str">
        <f>IF($CC10=1,BW10,"")</f>
        <v/>
      </c>
      <c r="CK10" s="1" t="str">
        <f>IF($CC10=1,BX10,"")</f>
        <v/>
      </c>
      <c r="CL10" s="1" t="str">
        <f>IF($CC10=1,BY10,"")</f>
        <v/>
      </c>
      <c r="CM10" s="1" t="str">
        <f>IF($CC10=1,BZ10,"")</f>
        <v/>
      </c>
      <c r="CN10" s="1" t="str">
        <f>IF($CC10=1,CA10,"")</f>
        <v/>
      </c>
      <c r="CO10" s="1" t="str">
        <f>IF($CC10=1,CB10,"")</f>
        <v/>
      </c>
      <c r="CP10" s="18">
        <f>SUM(AB10:BL10)</f>
        <v>16</v>
      </c>
    </row>
    <row r="11" spans="1:94" x14ac:dyDescent="0.15">
      <c r="A11" s="1">
        <v>9</v>
      </c>
      <c r="B11" s="1" t="s">
        <v>29</v>
      </c>
      <c r="C11" s="1" t="s">
        <v>2</v>
      </c>
      <c r="D11" s="1" t="s">
        <v>26</v>
      </c>
      <c r="E11" s="6"/>
      <c r="F11" s="6"/>
      <c r="G11" s="6"/>
      <c r="H11" s="6"/>
      <c r="I11" s="6">
        <v>4</v>
      </c>
      <c r="J11" s="6"/>
      <c r="K11" s="6">
        <v>4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4"/>
      <c r="AO11" s="4">
        <v>5</v>
      </c>
      <c r="AP11" s="4"/>
      <c r="AQ11" s="4"/>
      <c r="AR11" s="4"/>
      <c r="AS11" s="4"/>
      <c r="AT11" s="2">
        <v>5</v>
      </c>
      <c r="AU11" s="2"/>
      <c r="AV11" s="2"/>
      <c r="AW11" s="2"/>
      <c r="AX11" s="2"/>
      <c r="AY11" s="2"/>
      <c r="AZ11" s="14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>
        <f>SUM(E11:BL11)</f>
        <v>18</v>
      </c>
      <c r="BN11" s="1">
        <v>0</v>
      </c>
      <c r="BO11" s="17">
        <v>0</v>
      </c>
      <c r="BP11" s="17"/>
      <c r="BQ11" s="1" t="str">
        <f>IF(AN11&gt;AN$116, AN11-AN$116,"")</f>
        <v/>
      </c>
      <c r="BR11" s="1" t="str">
        <f>IF(AO11&gt;AO$116, AO11-AO$116,"")</f>
        <v/>
      </c>
      <c r="BS11" s="1" t="str">
        <f>IF(AP11&gt;AP$116, AP11-AP$116,"")</f>
        <v/>
      </c>
      <c r="BT11" s="1" t="str">
        <f>IF(AQ11&gt;AQ$116, AQ11-AQ$116,"")</f>
        <v/>
      </c>
      <c r="BU11" s="1" t="str">
        <f>IF(AR11&gt;AR$116, AR11-AR$116,"")</f>
        <v/>
      </c>
      <c r="BV11" s="1" t="str">
        <f>IF(AS11&gt;AS$116, AS11-AS$116,"")</f>
        <v/>
      </c>
      <c r="BW11" s="1" t="str">
        <f>IF(AT11&gt;AT$116, AT11-AT$116,"")</f>
        <v/>
      </c>
      <c r="BX11" s="1" t="str">
        <f>IF(AU11&gt;AU$116, AU11-AU$116,"")</f>
        <v/>
      </c>
      <c r="BY11" s="1" t="str">
        <f>IF(AV11&gt;AV$116, AV11-AV$116,"")</f>
        <v/>
      </c>
      <c r="BZ11" s="1" t="str">
        <f>IF(AW11&gt;AW$116, AW11-AW$116,"")</f>
        <v/>
      </c>
      <c r="CA11" s="1" t="str">
        <f>IF(AX11&gt;AX$116, AX11-AX$116,"")</f>
        <v/>
      </c>
      <c r="CB11" s="1" t="str">
        <f>IF(AY11&gt;AY$116, AY11-AY$116,"")</f>
        <v/>
      </c>
      <c r="CC11" s="1">
        <f>COUNTIF(BQ11:CB11, "&gt;0")</f>
        <v>0</v>
      </c>
      <c r="CD11" s="1" t="str">
        <f>IF($CC11=1,BQ11,"")</f>
        <v/>
      </c>
      <c r="CE11" s="1" t="str">
        <f>IF($CC11=1,BR11,"")</f>
        <v/>
      </c>
      <c r="CF11" s="1" t="str">
        <f>IF($CC11=1,BS11,"")</f>
        <v/>
      </c>
      <c r="CG11" s="1" t="str">
        <f>IF($CC11=1,BT11,"")</f>
        <v/>
      </c>
      <c r="CH11" s="1" t="str">
        <f>IF($CC11=1,BU11,"")</f>
        <v/>
      </c>
      <c r="CI11" s="1" t="str">
        <f>IF($CC11=1,BV11,"")</f>
        <v/>
      </c>
      <c r="CJ11" s="1" t="str">
        <f>IF($CC11=1,BW11,"")</f>
        <v/>
      </c>
      <c r="CK11" s="1" t="str">
        <f>IF($CC11=1,BX11,"")</f>
        <v/>
      </c>
      <c r="CL11" s="1" t="str">
        <f>IF($CC11=1,BY11,"")</f>
        <v/>
      </c>
      <c r="CM11" s="1" t="str">
        <f>IF($CC11=1,BZ11,"")</f>
        <v/>
      </c>
      <c r="CN11" s="1" t="str">
        <f>IF($CC11=1,CA11,"")</f>
        <v/>
      </c>
      <c r="CO11" s="1" t="str">
        <f>IF($CC11=1,CB11,"")</f>
        <v/>
      </c>
      <c r="CP11" s="18">
        <f>SUM(AB11:BL11)</f>
        <v>10</v>
      </c>
    </row>
    <row r="12" spans="1:94" x14ac:dyDescent="0.15">
      <c r="A12" s="1">
        <v>24</v>
      </c>
      <c r="B12" s="1" t="s">
        <v>48</v>
      </c>
      <c r="C12" s="1" t="s">
        <v>33</v>
      </c>
      <c r="D12" s="1" t="s">
        <v>26</v>
      </c>
      <c r="E12" s="6"/>
      <c r="F12" s="6"/>
      <c r="G12" s="6"/>
      <c r="H12" s="6"/>
      <c r="I12" s="6">
        <v>4</v>
      </c>
      <c r="J12" s="6"/>
      <c r="K12" s="6">
        <v>4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4"/>
      <c r="AO12" s="4"/>
      <c r="AP12" s="4">
        <v>5</v>
      </c>
      <c r="AQ12" s="4"/>
      <c r="AR12" s="4"/>
      <c r="AS12" s="4"/>
      <c r="AT12" s="2">
        <v>5</v>
      </c>
      <c r="AU12" s="2"/>
      <c r="AV12" s="2"/>
      <c r="AW12" s="2"/>
      <c r="AX12" s="2"/>
      <c r="AY12" s="2"/>
      <c r="AZ12" s="14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>
        <f>SUM(E12:BL12)</f>
        <v>18</v>
      </c>
      <c r="BN12" s="1">
        <v>0</v>
      </c>
      <c r="BO12" s="17">
        <v>0</v>
      </c>
      <c r="BP12" s="17"/>
      <c r="BQ12" s="1" t="str">
        <f>IF(AN12&gt;AN$116, AN12-AN$116,"")</f>
        <v/>
      </c>
      <c r="BR12" s="1" t="str">
        <f>IF(AO12&gt;AO$116, AO12-AO$116,"")</f>
        <v/>
      </c>
      <c r="BS12" s="1" t="str">
        <f>IF(AP12&gt;AP$116, AP12-AP$116,"")</f>
        <v/>
      </c>
      <c r="BT12" s="1" t="str">
        <f>IF(AQ12&gt;AQ$116, AQ12-AQ$116,"")</f>
        <v/>
      </c>
      <c r="BU12" s="1" t="str">
        <f>IF(AR12&gt;AR$116, AR12-AR$116,"")</f>
        <v/>
      </c>
      <c r="BV12" s="1" t="str">
        <f>IF(AS12&gt;AS$116, AS12-AS$116,"")</f>
        <v/>
      </c>
      <c r="BW12" s="1" t="str">
        <f>IF(AT12&gt;AT$116, AT12-AT$116,"")</f>
        <v/>
      </c>
      <c r="BX12" s="1" t="str">
        <f>IF(AU12&gt;AU$116, AU12-AU$116,"")</f>
        <v/>
      </c>
      <c r="BY12" s="1" t="str">
        <f>IF(AV12&gt;AV$116, AV12-AV$116,"")</f>
        <v/>
      </c>
      <c r="BZ12" s="1" t="str">
        <f>IF(AW12&gt;AW$116, AW12-AW$116,"")</f>
        <v/>
      </c>
      <c r="CA12" s="1" t="str">
        <f>IF(AX12&gt;AX$116, AX12-AX$116,"")</f>
        <v/>
      </c>
      <c r="CB12" s="1" t="str">
        <f>IF(AY12&gt;AY$116, AY12-AY$116,"")</f>
        <v/>
      </c>
      <c r="CC12" s="1">
        <f>COUNTIF(BQ12:CB12, "&gt;0")</f>
        <v>0</v>
      </c>
      <c r="CD12" s="1" t="str">
        <f>IF($CC12=1,BQ12,"")</f>
        <v/>
      </c>
      <c r="CE12" s="1" t="str">
        <f>IF($CC12=1,BR12,"")</f>
        <v/>
      </c>
      <c r="CF12" s="1" t="str">
        <f>IF($CC12=1,BS12,"")</f>
        <v/>
      </c>
      <c r="CG12" s="1" t="str">
        <f>IF($CC12=1,BT12,"")</f>
        <v/>
      </c>
      <c r="CH12" s="1" t="str">
        <f>IF($CC12=1,BU12,"")</f>
        <v/>
      </c>
      <c r="CI12" s="1" t="str">
        <f>IF($CC12=1,BV12,"")</f>
        <v/>
      </c>
      <c r="CJ12" s="1" t="str">
        <f>IF($CC12=1,BW12,"")</f>
        <v/>
      </c>
      <c r="CK12" s="1" t="str">
        <f>IF($CC12=1,BX12,"")</f>
        <v/>
      </c>
      <c r="CL12" s="1" t="str">
        <f>IF($CC12=1,BY12,"")</f>
        <v/>
      </c>
      <c r="CM12" s="1" t="str">
        <f>IF($CC12=1,BZ12,"")</f>
        <v/>
      </c>
      <c r="CN12" s="1" t="str">
        <f>IF($CC12=1,CA12,"")</f>
        <v/>
      </c>
      <c r="CO12" s="1" t="str">
        <f>IF($CC12=1,CB12,"")</f>
        <v/>
      </c>
      <c r="CP12" s="18">
        <f>SUM(AB12:BL12)</f>
        <v>10</v>
      </c>
    </row>
    <row r="13" spans="1:94" x14ac:dyDescent="0.15">
      <c r="A13" s="1">
        <v>81</v>
      </c>
      <c r="B13" s="3" t="s">
        <v>81</v>
      </c>
      <c r="C13" s="3" t="s">
        <v>77</v>
      </c>
      <c r="D13" s="1" t="s">
        <v>13</v>
      </c>
      <c r="E13" s="6"/>
      <c r="F13" s="6"/>
      <c r="G13" s="6"/>
      <c r="H13" s="6"/>
      <c r="I13" s="6"/>
      <c r="J13" s="6"/>
      <c r="K13" s="6"/>
      <c r="L13" s="6">
        <v>6</v>
      </c>
      <c r="M13" s="6"/>
      <c r="N13" s="6"/>
      <c r="O13" s="6">
        <v>6</v>
      </c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4"/>
      <c r="AO13" s="4"/>
      <c r="AP13" s="4"/>
      <c r="AQ13" s="4">
        <v>10</v>
      </c>
      <c r="AR13" s="4"/>
      <c r="AS13" s="4"/>
      <c r="AT13" s="2"/>
      <c r="AU13" s="2"/>
      <c r="AV13" s="2"/>
      <c r="AW13" s="2"/>
      <c r="AX13" s="2">
        <v>10</v>
      </c>
      <c r="AY13" s="2"/>
      <c r="AZ13" s="14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>
        <f>SUM(E13:BL13)</f>
        <v>32</v>
      </c>
      <c r="BN13" s="1">
        <v>0</v>
      </c>
      <c r="BO13" s="17">
        <v>0</v>
      </c>
      <c r="BP13" s="17"/>
      <c r="BQ13" s="1" t="str">
        <f>IF(AN13&gt;AN$116, AN13-AN$116,"")</f>
        <v/>
      </c>
      <c r="BR13" s="1" t="str">
        <f>IF(AO13&gt;AO$116, AO13-AO$116,"")</f>
        <v/>
      </c>
      <c r="BS13" s="1" t="str">
        <f>IF(AP13&gt;AP$116, AP13-AP$116,"")</f>
        <v/>
      </c>
      <c r="BT13" s="1" t="str">
        <f>IF(AQ13&gt;AQ$116, AQ13-AQ$116,"")</f>
        <v/>
      </c>
      <c r="BU13" s="1" t="str">
        <f>IF(AR13&gt;AR$116, AR13-AR$116,"")</f>
        <v/>
      </c>
      <c r="BV13" s="1" t="str">
        <f>IF(AS13&gt;AS$116, AS13-AS$116,"")</f>
        <v/>
      </c>
      <c r="BW13" s="1" t="str">
        <f>IF(AT13&gt;AT$116, AT13-AT$116,"")</f>
        <v/>
      </c>
      <c r="BX13" s="1" t="str">
        <f>IF(AU13&gt;AU$116, AU13-AU$116,"")</f>
        <v/>
      </c>
      <c r="BY13" s="1" t="str">
        <f>IF(AV13&gt;AV$116, AV13-AV$116,"")</f>
        <v/>
      </c>
      <c r="BZ13" s="1" t="str">
        <f>IF(AW13&gt;AW$116, AW13-AW$116,"")</f>
        <v/>
      </c>
      <c r="CA13" s="1" t="str">
        <f>IF(AX13&gt;AX$116, AX13-AX$116,"")</f>
        <v/>
      </c>
      <c r="CB13" s="1" t="str">
        <f>IF(AY13&gt;AY$116, AY13-AY$116,"")</f>
        <v/>
      </c>
      <c r="CC13" s="1">
        <f>COUNTIF(BQ13:CB13, "&gt;0")</f>
        <v>0</v>
      </c>
      <c r="CD13" s="1" t="str">
        <f>IF($CC13=1,BQ13,"")</f>
        <v/>
      </c>
      <c r="CE13" s="1" t="str">
        <f>IF($CC13=1,BR13,"")</f>
        <v/>
      </c>
      <c r="CF13" s="1" t="str">
        <f>IF($CC13=1,BS13,"")</f>
        <v/>
      </c>
      <c r="CG13" s="1" t="str">
        <f>IF($CC13=1,BT13,"")</f>
        <v/>
      </c>
      <c r="CH13" s="1" t="str">
        <f>IF($CC13=1,BU13,"")</f>
        <v/>
      </c>
      <c r="CI13" s="1" t="str">
        <f>IF($CC13=1,BV13,"")</f>
        <v/>
      </c>
      <c r="CJ13" s="1" t="str">
        <f>IF($CC13=1,BW13,"")</f>
        <v/>
      </c>
      <c r="CK13" s="1" t="str">
        <f>IF($CC13=1,BX13,"")</f>
        <v/>
      </c>
      <c r="CL13" s="1" t="str">
        <f>IF($CC13=1,BY13,"")</f>
        <v/>
      </c>
      <c r="CM13" s="1" t="str">
        <f>IF($CC13=1,BZ13,"")</f>
        <v/>
      </c>
      <c r="CN13" s="1" t="str">
        <f>IF($CC13=1,CA13,"")</f>
        <v/>
      </c>
      <c r="CO13" s="1" t="str">
        <f>IF($CC13=1,CB13,"")</f>
        <v/>
      </c>
      <c r="CP13" s="18">
        <f>SUM(AB13:BL13)</f>
        <v>20</v>
      </c>
    </row>
    <row r="14" spans="1:94" x14ac:dyDescent="0.15">
      <c r="A14" s="19">
        <v>13</v>
      </c>
      <c r="B14" s="19" t="s">
        <v>131</v>
      </c>
      <c r="C14" s="19" t="s">
        <v>2</v>
      </c>
      <c r="D14" s="19" t="s">
        <v>1</v>
      </c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>
        <v>15</v>
      </c>
      <c r="Q14" s="20"/>
      <c r="R14" s="20"/>
      <c r="S14" s="20"/>
      <c r="T14" s="20"/>
      <c r="U14" s="20"/>
      <c r="V14" s="20">
        <v>15</v>
      </c>
      <c r="W14" s="20"/>
      <c r="X14" s="20"/>
      <c r="Y14" s="20"/>
      <c r="Z14" s="20"/>
      <c r="AA14" s="20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21"/>
      <c r="AO14" s="21"/>
      <c r="AP14" s="21"/>
      <c r="AQ14" s="21"/>
      <c r="AR14" s="21"/>
      <c r="AS14" s="21"/>
      <c r="AT14" s="22"/>
      <c r="AU14" s="22"/>
      <c r="AV14" s="22"/>
      <c r="AW14" s="22"/>
      <c r="AX14" s="22"/>
      <c r="AY14" s="22"/>
      <c r="AZ14" s="30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>
        <f>SUM(E14:BL14)</f>
        <v>30</v>
      </c>
      <c r="BN14" s="19">
        <v>0</v>
      </c>
      <c r="BO14" s="23">
        <v>0</v>
      </c>
      <c r="BP14" s="23"/>
      <c r="BQ14" s="19" t="str">
        <f>IF(AN14&gt;AN$116, AN14-AN$116,"")</f>
        <v/>
      </c>
      <c r="BR14" s="19" t="str">
        <f>IF(AO14&gt;AO$116, AO14-AO$116,"")</f>
        <v/>
      </c>
      <c r="BS14" s="19" t="str">
        <f>IF(AP14&gt;AP$116, AP14-AP$116,"")</f>
        <v/>
      </c>
      <c r="BT14" s="19" t="str">
        <f>IF(AQ14&gt;AQ$116, AQ14-AQ$116,"")</f>
        <v/>
      </c>
      <c r="BU14" s="19" t="str">
        <f>IF(AR14&gt;AR$116, AR14-AR$116,"")</f>
        <v/>
      </c>
      <c r="BV14" s="19" t="str">
        <f>IF(AS14&gt;AS$116, AS14-AS$116,"")</f>
        <v/>
      </c>
      <c r="BW14" s="19" t="str">
        <f>IF(AT14&gt;AT$116, AT14-AT$116,"")</f>
        <v/>
      </c>
      <c r="BX14" s="19" t="str">
        <f>IF(AU14&gt;AU$116, AU14-AU$116,"")</f>
        <v/>
      </c>
      <c r="BY14" s="19" t="str">
        <f>IF(AV14&gt;AV$116, AV14-AV$116,"")</f>
        <v/>
      </c>
      <c r="BZ14" s="19" t="str">
        <f>IF(AW14&gt;AW$116, AW14-AW$116,"")</f>
        <v/>
      </c>
      <c r="CA14" s="19" t="str">
        <f>IF(AX14&gt;AX$116, AX14-AX$116,"")</f>
        <v/>
      </c>
      <c r="CB14" s="19" t="str">
        <f>IF(AY14&gt;AY$116, AY14-AY$116,"")</f>
        <v/>
      </c>
      <c r="CC14" s="19">
        <f>COUNTIF(BQ14:CB14, "&gt;0")</f>
        <v>0</v>
      </c>
      <c r="CD14" s="19" t="str">
        <f>IF($CC14=1,BQ14,"")</f>
        <v/>
      </c>
      <c r="CE14" s="19" t="str">
        <f>IF($CC14=1,BR14,"")</f>
        <v/>
      </c>
      <c r="CF14" s="19" t="str">
        <f>IF($CC14=1,BS14,"")</f>
        <v/>
      </c>
      <c r="CG14" s="19" t="str">
        <f>IF($CC14=1,BT14,"")</f>
        <v/>
      </c>
      <c r="CH14" s="19" t="str">
        <f>IF($CC14=1,BU14,"")</f>
        <v/>
      </c>
      <c r="CI14" s="19" t="str">
        <f>IF($CC14=1,BV14,"")</f>
        <v/>
      </c>
      <c r="CJ14" s="19" t="str">
        <f>IF($CC14=1,BW14,"")</f>
        <v/>
      </c>
      <c r="CK14" s="19" t="str">
        <f>IF($CC14=1,BX14,"")</f>
        <v/>
      </c>
      <c r="CL14" s="19" t="str">
        <f>IF($CC14=1,BY14,"")</f>
        <v/>
      </c>
      <c r="CM14" s="19" t="str">
        <f>IF($CC14=1,BZ14,"")</f>
        <v/>
      </c>
      <c r="CN14" s="19" t="str">
        <f>IF($CC14=1,CA14,"")</f>
        <v/>
      </c>
      <c r="CO14" s="19" t="str">
        <f>IF($CC14=1,CB14,"")</f>
        <v/>
      </c>
      <c r="CP14" s="24">
        <f>SUM(AB14:BL14)</f>
        <v>0</v>
      </c>
    </row>
    <row r="15" spans="1:94" x14ac:dyDescent="0.15">
      <c r="A15" s="1">
        <v>82</v>
      </c>
      <c r="B15" s="3" t="s">
        <v>82</v>
      </c>
      <c r="C15" s="3" t="s">
        <v>77</v>
      </c>
      <c r="D15" s="1" t="s">
        <v>13</v>
      </c>
      <c r="E15" s="6"/>
      <c r="F15" s="6"/>
      <c r="G15" s="6"/>
      <c r="H15" s="6"/>
      <c r="I15" s="6"/>
      <c r="J15" s="6"/>
      <c r="K15" s="6"/>
      <c r="L15" s="6">
        <v>6</v>
      </c>
      <c r="M15" s="6"/>
      <c r="N15" s="6">
        <v>6</v>
      </c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4"/>
      <c r="AO15" s="4"/>
      <c r="AP15" s="4"/>
      <c r="AQ15" s="4">
        <v>10</v>
      </c>
      <c r="AR15" s="4"/>
      <c r="AS15" s="4"/>
      <c r="AT15" s="2"/>
      <c r="AU15" s="2"/>
      <c r="AV15" s="2"/>
      <c r="AW15" s="2">
        <v>10</v>
      </c>
      <c r="AX15" s="2"/>
      <c r="AY15" s="2"/>
      <c r="AZ15" s="14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>
        <f>SUM(E15:BL15)</f>
        <v>32</v>
      </c>
      <c r="BN15" s="1">
        <v>0</v>
      </c>
      <c r="BO15" s="17">
        <v>0</v>
      </c>
      <c r="BP15" s="17"/>
      <c r="BQ15" s="1" t="str">
        <f>IF(AN15&gt;AN$116, AN15-AN$116,"")</f>
        <v/>
      </c>
      <c r="BR15" s="1" t="str">
        <f>IF(AO15&gt;AO$116, AO15-AO$116,"")</f>
        <v/>
      </c>
      <c r="BS15" s="1" t="str">
        <f>IF(AP15&gt;AP$116, AP15-AP$116,"")</f>
        <v/>
      </c>
      <c r="BT15" s="1" t="str">
        <f>IF(AQ15&gt;AQ$116, AQ15-AQ$116,"")</f>
        <v/>
      </c>
      <c r="BU15" s="1" t="str">
        <f>IF(AR15&gt;AR$116, AR15-AR$116,"")</f>
        <v/>
      </c>
      <c r="BV15" s="1" t="str">
        <f>IF(AS15&gt;AS$116, AS15-AS$116,"")</f>
        <v/>
      </c>
      <c r="BW15" s="1" t="str">
        <f>IF(AT15&gt;AT$116, AT15-AT$116,"")</f>
        <v/>
      </c>
      <c r="BX15" s="1" t="str">
        <f>IF(AU15&gt;AU$116, AU15-AU$116,"")</f>
        <v/>
      </c>
      <c r="BY15" s="1" t="str">
        <f>IF(AV15&gt;AV$116, AV15-AV$116,"")</f>
        <v/>
      </c>
      <c r="BZ15" s="1" t="str">
        <f>IF(AW15&gt;AW$116, AW15-AW$116,"")</f>
        <v/>
      </c>
      <c r="CA15" s="1" t="str">
        <f>IF(AX15&gt;AX$116, AX15-AX$116,"")</f>
        <v/>
      </c>
      <c r="CB15" s="1" t="str">
        <f>IF(AY15&gt;AY$116, AY15-AY$116,"")</f>
        <v/>
      </c>
      <c r="CC15" s="1">
        <f>COUNTIF(BQ15:CB15, "&gt;0")</f>
        <v>0</v>
      </c>
      <c r="CD15" s="1" t="str">
        <f>IF($CC15=1,BQ15,"")</f>
        <v/>
      </c>
      <c r="CE15" s="1" t="str">
        <f>IF($CC15=1,BR15,"")</f>
        <v/>
      </c>
      <c r="CF15" s="1" t="str">
        <f>IF($CC15=1,BS15,"")</f>
        <v/>
      </c>
      <c r="CG15" s="1" t="str">
        <f>IF($CC15=1,BT15,"")</f>
        <v/>
      </c>
      <c r="CH15" s="1" t="str">
        <f>IF($CC15=1,BU15,"")</f>
        <v/>
      </c>
      <c r="CI15" s="1" t="str">
        <f>IF($CC15=1,BV15,"")</f>
        <v/>
      </c>
      <c r="CJ15" s="1" t="str">
        <f>IF($CC15=1,BW15,"")</f>
        <v/>
      </c>
      <c r="CK15" s="1" t="str">
        <f>IF($CC15=1,BX15,"")</f>
        <v/>
      </c>
      <c r="CL15" s="1" t="str">
        <f>IF($CC15=1,BY15,"")</f>
        <v/>
      </c>
      <c r="CM15" s="1" t="str">
        <f>IF($CC15=1,BZ15,"")</f>
        <v/>
      </c>
      <c r="CN15" s="1" t="str">
        <f>IF($CC15=1,CA15,"")</f>
        <v/>
      </c>
      <c r="CO15" s="1" t="str">
        <f>IF($CC15=1,CB15,"")</f>
        <v/>
      </c>
      <c r="CP15" s="18">
        <f>SUM(AB15:BL15)</f>
        <v>20</v>
      </c>
    </row>
    <row r="16" spans="1:94" x14ac:dyDescent="0.15">
      <c r="A16" s="19">
        <v>60</v>
      </c>
      <c r="B16" s="19" t="s">
        <v>126</v>
      </c>
      <c r="C16" s="19" t="s">
        <v>64</v>
      </c>
      <c r="D16" s="19" t="s">
        <v>1</v>
      </c>
      <c r="E16" s="20"/>
      <c r="F16" s="20"/>
      <c r="G16" s="20"/>
      <c r="H16" s="20"/>
      <c r="I16" s="20"/>
      <c r="J16" s="20"/>
      <c r="K16" s="20">
        <v>5</v>
      </c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>
        <v>5</v>
      </c>
      <c r="Y16" s="20"/>
      <c r="Z16" s="20"/>
      <c r="AA16" s="20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21"/>
      <c r="AO16" s="21"/>
      <c r="AP16" s="21"/>
      <c r="AQ16" s="21"/>
      <c r="AR16" s="21"/>
      <c r="AS16" s="21"/>
      <c r="AT16" s="22"/>
      <c r="AU16" s="22"/>
      <c r="AV16" s="22"/>
      <c r="AW16" s="22"/>
      <c r="AX16" s="22"/>
      <c r="AY16" s="22"/>
      <c r="AZ16" s="30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>
        <f>SUM(E16:BL16)</f>
        <v>10</v>
      </c>
      <c r="BN16" s="19">
        <v>0</v>
      </c>
      <c r="BO16" s="23">
        <v>0</v>
      </c>
      <c r="BP16" s="23"/>
      <c r="BQ16" s="19" t="str">
        <f>IF(AN16&gt;AN$116, AN16-AN$116,"")</f>
        <v/>
      </c>
      <c r="BR16" s="19" t="str">
        <f>IF(AO16&gt;AO$116, AO16-AO$116,"")</f>
        <v/>
      </c>
      <c r="BS16" s="19" t="str">
        <f>IF(AP16&gt;AP$116, AP16-AP$116,"")</f>
        <v/>
      </c>
      <c r="BT16" s="19" t="str">
        <f>IF(AQ16&gt;AQ$116, AQ16-AQ$116,"")</f>
        <v/>
      </c>
      <c r="BU16" s="19" t="str">
        <f>IF(AR16&gt;AR$116, AR16-AR$116,"")</f>
        <v/>
      </c>
      <c r="BV16" s="19" t="str">
        <f>IF(AS16&gt;AS$116, AS16-AS$116,"")</f>
        <v/>
      </c>
      <c r="BW16" s="19" t="str">
        <f>IF(AT16&gt;AT$116, AT16-AT$116,"")</f>
        <v/>
      </c>
      <c r="BX16" s="19" t="str">
        <f>IF(AU16&gt;AU$116, AU16-AU$116,"")</f>
        <v/>
      </c>
      <c r="BY16" s="19" t="str">
        <f>IF(AV16&gt;AV$116, AV16-AV$116,"")</f>
        <v/>
      </c>
      <c r="BZ16" s="19" t="str">
        <f>IF(AW16&gt;AW$116, AW16-AW$116,"")</f>
        <v/>
      </c>
      <c r="CA16" s="19" t="str">
        <f>IF(AX16&gt;AX$116, AX16-AX$116,"")</f>
        <v/>
      </c>
      <c r="CB16" s="19" t="str">
        <f>IF(AY16&gt;AY$116, AY16-AY$116,"")</f>
        <v/>
      </c>
      <c r="CC16" s="19">
        <f>COUNTIF(BQ16:CB16, "&gt;0")</f>
        <v>0</v>
      </c>
      <c r="CD16" s="19" t="str">
        <f>IF($CC16=1,BQ16,"")</f>
        <v/>
      </c>
      <c r="CE16" s="19" t="str">
        <f>IF($CC16=1,BR16,"")</f>
        <v/>
      </c>
      <c r="CF16" s="19" t="str">
        <f>IF($CC16=1,BS16,"")</f>
        <v/>
      </c>
      <c r="CG16" s="19" t="str">
        <f>IF($CC16=1,BT16,"")</f>
        <v/>
      </c>
      <c r="CH16" s="19" t="str">
        <f>IF($CC16=1,BU16,"")</f>
        <v/>
      </c>
      <c r="CI16" s="19" t="str">
        <f>IF($CC16=1,BV16,"")</f>
        <v/>
      </c>
      <c r="CJ16" s="19" t="str">
        <f>IF($CC16=1,BW16,"")</f>
        <v/>
      </c>
      <c r="CK16" s="19" t="str">
        <f>IF($CC16=1,BX16,"")</f>
        <v/>
      </c>
      <c r="CL16" s="19" t="str">
        <f>IF($CC16=1,BY16,"")</f>
        <v/>
      </c>
      <c r="CM16" s="19" t="str">
        <f>IF($CC16=1,BZ16,"")</f>
        <v/>
      </c>
      <c r="CN16" s="19" t="str">
        <f>IF($CC16=1,CA16,"")</f>
        <v/>
      </c>
      <c r="CO16" s="19" t="str">
        <f>IF($CC16=1,CB16,"")</f>
        <v/>
      </c>
      <c r="CP16" s="24">
        <f>SUM(AB16:BL16)</f>
        <v>0</v>
      </c>
    </row>
    <row r="17" spans="1:94" x14ac:dyDescent="0.15">
      <c r="A17" s="19">
        <v>92</v>
      </c>
      <c r="B17" s="27" t="s">
        <v>104</v>
      </c>
      <c r="C17" s="27" t="s">
        <v>102</v>
      </c>
      <c r="D17" s="19" t="s">
        <v>24</v>
      </c>
      <c r="E17" s="20">
        <v>10</v>
      </c>
      <c r="F17" s="20"/>
      <c r="G17" s="20"/>
      <c r="H17" s="20"/>
      <c r="I17" s="20">
        <v>10</v>
      </c>
      <c r="J17" s="20">
        <v>10</v>
      </c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21"/>
      <c r="AO17" s="21"/>
      <c r="AP17" s="21"/>
      <c r="AQ17" s="21"/>
      <c r="AR17" s="21"/>
      <c r="AS17" s="21"/>
      <c r="AT17" s="22"/>
      <c r="AU17" s="22"/>
      <c r="AV17" s="22"/>
      <c r="AW17" s="22"/>
      <c r="AX17" s="22"/>
      <c r="AY17" s="22"/>
      <c r="AZ17" s="30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>
        <f>SUM(E17:BL17)</f>
        <v>30</v>
      </c>
      <c r="BN17" s="19">
        <v>0</v>
      </c>
      <c r="BO17" s="23">
        <v>0</v>
      </c>
      <c r="BP17" s="23"/>
      <c r="BQ17" s="19" t="str">
        <f>IF(AN17&gt;AN$116, AN17-AN$116,"")</f>
        <v/>
      </c>
      <c r="BR17" s="19" t="str">
        <f>IF(AO17&gt;AO$116, AO17-AO$116,"")</f>
        <v/>
      </c>
      <c r="BS17" s="19" t="str">
        <f>IF(AP17&gt;AP$116, AP17-AP$116,"")</f>
        <v/>
      </c>
      <c r="BT17" s="19" t="str">
        <f>IF(AQ17&gt;AQ$116, AQ17-AQ$116,"")</f>
        <v/>
      </c>
      <c r="BU17" s="19" t="str">
        <f>IF(AR17&gt;AR$116, AR17-AR$116,"")</f>
        <v/>
      </c>
      <c r="BV17" s="19" t="str">
        <f>IF(AS17&gt;AS$116, AS17-AS$116,"")</f>
        <v/>
      </c>
      <c r="BW17" s="19" t="str">
        <f>IF(AT17&gt;AT$116, AT17-AT$116,"")</f>
        <v/>
      </c>
      <c r="BX17" s="19" t="str">
        <f>IF(AU17&gt;AU$116, AU17-AU$116,"")</f>
        <v/>
      </c>
      <c r="BY17" s="19" t="str">
        <f>IF(AV17&gt;AV$116, AV17-AV$116,"")</f>
        <v/>
      </c>
      <c r="BZ17" s="19" t="str">
        <f>IF(AW17&gt;AW$116, AW17-AW$116,"")</f>
        <v/>
      </c>
      <c r="CA17" s="19" t="str">
        <f>IF(AX17&gt;AX$116, AX17-AX$116,"")</f>
        <v/>
      </c>
      <c r="CB17" s="19" t="str">
        <f>IF(AY17&gt;AY$116, AY17-AY$116,"")</f>
        <v/>
      </c>
      <c r="CC17" s="19">
        <f>COUNTIF(BQ17:CB17, "&gt;0")</f>
        <v>0</v>
      </c>
      <c r="CD17" s="19" t="str">
        <f>IF($CC17=1,BQ17,"")</f>
        <v/>
      </c>
      <c r="CE17" s="19" t="str">
        <f>IF($CC17=1,BR17,"")</f>
        <v/>
      </c>
      <c r="CF17" s="19" t="str">
        <f>IF($CC17=1,BS17,"")</f>
        <v/>
      </c>
      <c r="CG17" s="19" t="str">
        <f>IF($CC17=1,BT17,"")</f>
        <v/>
      </c>
      <c r="CH17" s="19" t="str">
        <f>IF($CC17=1,BU17,"")</f>
        <v/>
      </c>
      <c r="CI17" s="19" t="str">
        <f>IF($CC17=1,BV17,"")</f>
        <v/>
      </c>
      <c r="CJ17" s="19" t="str">
        <f>IF($CC17=1,BW17,"")</f>
        <v/>
      </c>
      <c r="CK17" s="19" t="str">
        <f>IF($CC17=1,BX17,"")</f>
        <v/>
      </c>
      <c r="CL17" s="19" t="str">
        <f>IF($CC17=1,BY17,"")</f>
        <v/>
      </c>
      <c r="CM17" s="19" t="str">
        <f>IF($CC17=1,BZ17,"")</f>
        <v/>
      </c>
      <c r="CN17" s="19" t="str">
        <f>IF($CC17=1,CA17,"")</f>
        <v/>
      </c>
      <c r="CO17" s="19" t="str">
        <f>IF($CC17=1,CB17,"")</f>
        <v/>
      </c>
      <c r="CP17" s="24">
        <f>SUM(AB17:BL17)</f>
        <v>0</v>
      </c>
    </row>
    <row r="18" spans="1:94" x14ac:dyDescent="0.15">
      <c r="A18" s="1">
        <v>84</v>
      </c>
      <c r="B18" s="3" t="s">
        <v>83</v>
      </c>
      <c r="C18" s="3" t="s">
        <v>77</v>
      </c>
      <c r="D18" s="1" t="s">
        <v>13</v>
      </c>
      <c r="E18" s="6"/>
      <c r="F18" s="6"/>
      <c r="G18" s="6">
        <v>5</v>
      </c>
      <c r="H18" s="6">
        <v>5</v>
      </c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4"/>
      <c r="AO18" s="4"/>
      <c r="AP18" s="4"/>
      <c r="AQ18" s="4"/>
      <c r="AR18" s="4"/>
      <c r="AS18" s="4"/>
      <c r="AT18" s="2"/>
      <c r="AU18" s="2"/>
      <c r="AV18" s="2"/>
      <c r="AW18" s="2"/>
      <c r="AX18" s="2">
        <v>5</v>
      </c>
      <c r="AY18" s="2">
        <v>5</v>
      </c>
      <c r="AZ18" s="14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>
        <f>SUM(E18:BL18)</f>
        <v>20</v>
      </c>
      <c r="BN18" s="1">
        <v>0</v>
      </c>
      <c r="BO18" s="17">
        <v>0</v>
      </c>
      <c r="BP18" s="17"/>
      <c r="BQ18" s="1" t="str">
        <f>IF(AN18&gt;AN$116, AN18-AN$116,"")</f>
        <v/>
      </c>
      <c r="BR18" s="1" t="str">
        <f>IF(AO18&gt;AO$116, AO18-AO$116,"")</f>
        <v/>
      </c>
      <c r="BS18" s="1" t="str">
        <f>IF(AP18&gt;AP$116, AP18-AP$116,"")</f>
        <v/>
      </c>
      <c r="BT18" s="1" t="str">
        <f>IF(AQ18&gt;AQ$116, AQ18-AQ$116,"")</f>
        <v/>
      </c>
      <c r="BU18" s="1" t="str">
        <f>IF(AR18&gt;AR$116, AR18-AR$116,"")</f>
        <v/>
      </c>
      <c r="BV18" s="1" t="str">
        <f>IF(AS18&gt;AS$116, AS18-AS$116,"")</f>
        <v/>
      </c>
      <c r="BW18" s="1" t="str">
        <f>IF(AT18&gt;AT$116, AT18-AT$116,"")</f>
        <v/>
      </c>
      <c r="BX18" s="1" t="str">
        <f>IF(AU18&gt;AU$116, AU18-AU$116,"")</f>
        <v/>
      </c>
      <c r="BY18" s="1" t="str">
        <f>IF(AV18&gt;AV$116, AV18-AV$116,"")</f>
        <v/>
      </c>
      <c r="BZ18" s="1" t="str">
        <f>IF(AW18&gt;AW$116, AW18-AW$116,"")</f>
        <v/>
      </c>
      <c r="CA18" s="1" t="str">
        <f>IF(AX18&gt;AX$116, AX18-AX$116,"")</f>
        <v/>
      </c>
      <c r="CB18" s="1" t="str">
        <f>IF(AY18&gt;AY$116, AY18-AY$116,"")</f>
        <v/>
      </c>
      <c r="CC18" s="1">
        <f>COUNTIF(BQ18:CB18, "&gt;0")</f>
        <v>0</v>
      </c>
      <c r="CD18" s="1" t="str">
        <f>IF($CC18=1,BQ18,"")</f>
        <v/>
      </c>
      <c r="CE18" s="1" t="str">
        <f>IF($CC18=1,BR18,"")</f>
        <v/>
      </c>
      <c r="CF18" s="1" t="str">
        <f>IF($CC18=1,BS18,"")</f>
        <v/>
      </c>
      <c r="CG18" s="1" t="str">
        <f>IF($CC18=1,BT18,"")</f>
        <v/>
      </c>
      <c r="CH18" s="1" t="str">
        <f>IF($CC18=1,BU18,"")</f>
        <v/>
      </c>
      <c r="CI18" s="1" t="str">
        <f>IF($CC18=1,BV18,"")</f>
        <v/>
      </c>
      <c r="CJ18" s="1" t="str">
        <f>IF($CC18=1,BW18,"")</f>
        <v/>
      </c>
      <c r="CK18" s="1" t="str">
        <f>IF($CC18=1,BX18,"")</f>
        <v/>
      </c>
      <c r="CL18" s="1" t="str">
        <f>IF($CC18=1,BY18,"")</f>
        <v/>
      </c>
      <c r="CM18" s="1" t="str">
        <f>IF($CC18=1,BZ18,"")</f>
        <v/>
      </c>
      <c r="CN18" s="1" t="str">
        <f>IF($CC18=1,CA18,"")</f>
        <v/>
      </c>
      <c r="CO18" s="1" t="str">
        <f>IF($CC18=1,CB18,"")</f>
        <v/>
      </c>
      <c r="CP18" s="18">
        <f>SUM(AB18:BL18)</f>
        <v>10</v>
      </c>
    </row>
    <row r="19" spans="1:94" x14ac:dyDescent="0.15">
      <c r="A19" s="1">
        <v>69</v>
      </c>
      <c r="B19" s="3" t="s">
        <v>74</v>
      </c>
      <c r="C19" s="1" t="s">
        <v>64</v>
      </c>
      <c r="D19" s="1" t="s">
        <v>13</v>
      </c>
      <c r="E19" s="6"/>
      <c r="F19" s="6"/>
      <c r="G19" s="6"/>
      <c r="H19" s="6">
        <v>6</v>
      </c>
      <c r="I19" s="6">
        <v>6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4"/>
      <c r="AO19" s="4"/>
      <c r="AP19" s="4"/>
      <c r="AQ19" s="4"/>
      <c r="AR19" s="4"/>
      <c r="AS19" s="4">
        <v>10</v>
      </c>
      <c r="AT19" s="2"/>
      <c r="AU19" s="2">
        <v>10</v>
      </c>
      <c r="AV19" s="2"/>
      <c r="AW19" s="2"/>
      <c r="AX19" s="2"/>
      <c r="AY19" s="2"/>
      <c r="AZ19" s="14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>
        <f>SUM(E19:BL19)</f>
        <v>32</v>
      </c>
      <c r="BN19" s="1">
        <v>0</v>
      </c>
      <c r="BO19" s="17">
        <v>0</v>
      </c>
      <c r="BP19" s="17"/>
      <c r="BQ19" s="1" t="str">
        <f>IF(AN19&gt;AN$116, AN19-AN$116,"")</f>
        <v/>
      </c>
      <c r="BR19" s="1" t="str">
        <f>IF(AO19&gt;AO$116, AO19-AO$116,"")</f>
        <v/>
      </c>
      <c r="BS19" s="1" t="str">
        <f>IF(AP19&gt;AP$116, AP19-AP$116,"")</f>
        <v/>
      </c>
      <c r="BT19" s="1" t="str">
        <f>IF(AQ19&gt;AQ$116, AQ19-AQ$116,"")</f>
        <v/>
      </c>
      <c r="BU19" s="1" t="str">
        <f>IF(AR19&gt;AR$116, AR19-AR$116,"")</f>
        <v/>
      </c>
      <c r="BV19" s="1" t="str">
        <f>IF(AS19&gt;AS$116, AS19-AS$116,"")</f>
        <v/>
      </c>
      <c r="BW19" s="1" t="str">
        <f>IF(AT19&gt;AT$116, AT19-AT$116,"")</f>
        <v/>
      </c>
      <c r="BX19" s="1" t="str">
        <f>IF(AU19&gt;AU$116, AU19-AU$116,"")</f>
        <v/>
      </c>
      <c r="BY19" s="1" t="str">
        <f>IF(AV19&gt;AV$116, AV19-AV$116,"")</f>
        <v/>
      </c>
      <c r="BZ19" s="1" t="str">
        <f>IF(AW19&gt;AW$116, AW19-AW$116,"")</f>
        <v/>
      </c>
      <c r="CA19" s="1" t="str">
        <f>IF(AX19&gt;AX$116, AX19-AX$116,"")</f>
        <v/>
      </c>
      <c r="CB19" s="1" t="str">
        <f>IF(AY19&gt;AY$116, AY19-AY$116,"")</f>
        <v/>
      </c>
      <c r="CC19" s="1">
        <f>COUNTIF(BQ19:CB19, "&gt;0")</f>
        <v>0</v>
      </c>
      <c r="CD19" s="1" t="str">
        <f>IF($CC19=1,BQ19,"")</f>
        <v/>
      </c>
      <c r="CE19" s="1" t="str">
        <f>IF($CC19=1,BR19,"")</f>
        <v/>
      </c>
      <c r="CF19" s="1" t="str">
        <f>IF($CC19=1,BS19,"")</f>
        <v/>
      </c>
      <c r="CG19" s="1" t="str">
        <f>IF($CC19=1,BT19,"")</f>
        <v/>
      </c>
      <c r="CH19" s="1" t="str">
        <f>IF($CC19=1,BU19,"")</f>
        <v/>
      </c>
      <c r="CI19" s="1" t="str">
        <f>IF($CC19=1,BV19,"")</f>
        <v/>
      </c>
      <c r="CJ19" s="1" t="str">
        <f>IF($CC19=1,BW19,"")</f>
        <v/>
      </c>
      <c r="CK19" s="1" t="str">
        <f>IF($CC19=1,BX19,"")</f>
        <v/>
      </c>
      <c r="CL19" s="1" t="str">
        <f>IF($CC19=1,BY19,"")</f>
        <v/>
      </c>
      <c r="CM19" s="1" t="str">
        <f>IF($CC19=1,BZ19,"")</f>
        <v/>
      </c>
      <c r="CN19" s="1" t="str">
        <f>IF($CC19=1,CA19,"")</f>
        <v/>
      </c>
      <c r="CO19" s="1" t="str">
        <f>IF($CC19=1,CB19,"")</f>
        <v/>
      </c>
      <c r="CP19" s="18">
        <f>SUM(AB19:BL19)</f>
        <v>20</v>
      </c>
    </row>
    <row r="20" spans="1:94" x14ac:dyDescent="0.15">
      <c r="A20" s="1">
        <v>72</v>
      </c>
      <c r="B20" s="3" t="s">
        <v>115</v>
      </c>
      <c r="C20" s="1" t="s">
        <v>64</v>
      </c>
      <c r="D20" s="1" t="s">
        <v>13</v>
      </c>
      <c r="E20" s="6"/>
      <c r="F20" s="6"/>
      <c r="G20" s="6"/>
      <c r="H20" s="6"/>
      <c r="I20" s="6"/>
      <c r="J20" s="6"/>
      <c r="K20" s="6"/>
      <c r="L20" s="6">
        <v>6</v>
      </c>
      <c r="M20" s="6">
        <v>6</v>
      </c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4"/>
      <c r="AO20" s="4"/>
      <c r="AP20" s="4"/>
      <c r="AQ20" s="4"/>
      <c r="AR20" s="4"/>
      <c r="AS20" s="4">
        <v>10</v>
      </c>
      <c r="AT20" s="2"/>
      <c r="AU20" s="2"/>
      <c r="AV20" s="2"/>
      <c r="AW20" s="2"/>
      <c r="AX20" s="2">
        <v>10</v>
      </c>
      <c r="AY20" s="2"/>
      <c r="AZ20" s="14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>
        <f>SUM(E20:BL20)</f>
        <v>32</v>
      </c>
      <c r="BN20" s="1">
        <v>0</v>
      </c>
      <c r="BO20" s="17">
        <v>0</v>
      </c>
      <c r="BP20" s="17"/>
      <c r="BQ20" s="1" t="str">
        <f>IF(AN20&gt;AN$116, AN20-AN$116,"")</f>
        <v/>
      </c>
      <c r="BR20" s="1" t="str">
        <f>IF(AO20&gt;AO$116, AO20-AO$116,"")</f>
        <v/>
      </c>
      <c r="BS20" s="1" t="str">
        <f>IF(AP20&gt;AP$116, AP20-AP$116,"")</f>
        <v/>
      </c>
      <c r="BT20" s="1" t="str">
        <f>IF(AQ20&gt;AQ$116, AQ20-AQ$116,"")</f>
        <v/>
      </c>
      <c r="BU20" s="1" t="str">
        <f>IF(AR20&gt;AR$116, AR20-AR$116,"")</f>
        <v/>
      </c>
      <c r="BV20" s="1" t="str">
        <f>IF(AS20&gt;AS$116, AS20-AS$116,"")</f>
        <v/>
      </c>
      <c r="BW20" s="1" t="str">
        <f>IF(AT20&gt;AT$116, AT20-AT$116,"")</f>
        <v/>
      </c>
      <c r="BX20" s="1" t="str">
        <f>IF(AU20&gt;AU$116, AU20-AU$116,"")</f>
        <v/>
      </c>
      <c r="BY20" s="1" t="str">
        <f>IF(AV20&gt;AV$116, AV20-AV$116,"")</f>
        <v/>
      </c>
      <c r="BZ20" s="1" t="str">
        <f>IF(AW20&gt;AW$116, AW20-AW$116,"")</f>
        <v/>
      </c>
      <c r="CA20" s="1" t="str">
        <f>IF(AX20&gt;AX$116, AX20-AX$116,"")</f>
        <v/>
      </c>
      <c r="CB20" s="1" t="str">
        <f>IF(AY20&gt;AY$116, AY20-AY$116,"")</f>
        <v/>
      </c>
      <c r="CC20" s="1">
        <f>COUNTIF(BQ20:CB20, "&gt;0")</f>
        <v>0</v>
      </c>
      <c r="CD20" s="1" t="str">
        <f>IF($CC20=1,BQ20,"")</f>
        <v/>
      </c>
      <c r="CE20" s="1" t="str">
        <f>IF($CC20=1,BR20,"")</f>
        <v/>
      </c>
      <c r="CF20" s="1" t="str">
        <f>IF($CC20=1,BS20,"")</f>
        <v/>
      </c>
      <c r="CG20" s="1" t="str">
        <f>IF($CC20=1,BT20,"")</f>
        <v/>
      </c>
      <c r="CH20" s="1" t="str">
        <f>IF($CC20=1,BU20,"")</f>
        <v/>
      </c>
      <c r="CI20" s="1" t="str">
        <f>IF($CC20=1,BV20,"")</f>
        <v/>
      </c>
      <c r="CJ20" s="1" t="str">
        <f>IF($CC20=1,BW20,"")</f>
        <v/>
      </c>
      <c r="CK20" s="1" t="str">
        <f>IF($CC20=1,BX20,"")</f>
        <v/>
      </c>
      <c r="CL20" s="1" t="str">
        <f>IF($CC20=1,BY20,"")</f>
        <v/>
      </c>
      <c r="CM20" s="1" t="str">
        <f>IF($CC20=1,BZ20,"")</f>
        <v/>
      </c>
      <c r="CN20" s="1" t="str">
        <f>IF($CC20=1,CA20,"")</f>
        <v/>
      </c>
      <c r="CO20" s="1" t="str">
        <f>IF($CC20=1,CB20,"")</f>
        <v/>
      </c>
      <c r="CP20" s="18">
        <f>SUM(AB20:BL20)</f>
        <v>20</v>
      </c>
    </row>
    <row r="21" spans="1:94" x14ac:dyDescent="0.15">
      <c r="A21" s="1">
        <v>58</v>
      </c>
      <c r="B21" s="1" t="s">
        <v>67</v>
      </c>
      <c r="C21" s="1" t="s">
        <v>64</v>
      </c>
      <c r="D21" s="1" t="s">
        <v>13</v>
      </c>
      <c r="E21" s="6"/>
      <c r="F21" s="6"/>
      <c r="G21" s="6">
        <v>10</v>
      </c>
      <c r="H21" s="6"/>
      <c r="I21" s="6"/>
      <c r="J21" s="6"/>
      <c r="K21" s="6"/>
      <c r="L21" s="6"/>
      <c r="M21" s="6"/>
      <c r="N21" s="6">
        <v>10</v>
      </c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4"/>
      <c r="AO21" s="4"/>
      <c r="AP21" s="4"/>
      <c r="AQ21" s="4"/>
      <c r="AR21" s="4"/>
      <c r="AS21" s="4">
        <v>10</v>
      </c>
      <c r="AT21" s="2"/>
      <c r="AU21" s="2"/>
      <c r="AV21" s="2"/>
      <c r="AW21" s="2">
        <v>10</v>
      </c>
      <c r="AX21" s="2"/>
      <c r="AY21" s="2"/>
      <c r="AZ21" s="14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>
        <f>SUM(E21:BL21)</f>
        <v>40</v>
      </c>
      <c r="BN21" s="1">
        <v>0</v>
      </c>
      <c r="BO21" s="17">
        <v>0</v>
      </c>
      <c r="BP21" s="17"/>
      <c r="BQ21" s="1" t="str">
        <f>IF(AN21&gt;AN$116, AN21-AN$116,"")</f>
        <v/>
      </c>
      <c r="BR21" s="1" t="str">
        <f>IF(AO21&gt;AO$116, AO21-AO$116,"")</f>
        <v/>
      </c>
      <c r="BS21" s="1" t="str">
        <f>IF(AP21&gt;AP$116, AP21-AP$116,"")</f>
        <v/>
      </c>
      <c r="BT21" s="1" t="str">
        <f>IF(AQ21&gt;AQ$116, AQ21-AQ$116,"")</f>
        <v/>
      </c>
      <c r="BU21" s="1" t="str">
        <f>IF(AR21&gt;AR$116, AR21-AR$116,"")</f>
        <v/>
      </c>
      <c r="BV21" s="1" t="str">
        <f>IF(AS21&gt;AS$116, AS21-AS$116,"")</f>
        <v/>
      </c>
      <c r="BW21" s="1" t="str">
        <f>IF(AT21&gt;AT$116, AT21-AT$116,"")</f>
        <v/>
      </c>
      <c r="BX21" s="1" t="str">
        <f>IF(AU21&gt;AU$116, AU21-AU$116,"")</f>
        <v/>
      </c>
      <c r="BY21" s="1" t="str">
        <f>IF(AV21&gt;AV$116, AV21-AV$116,"")</f>
        <v/>
      </c>
      <c r="BZ21" s="1" t="str">
        <f>IF(AW21&gt;AW$116, AW21-AW$116,"")</f>
        <v/>
      </c>
      <c r="CA21" s="1" t="str">
        <f>IF(AX21&gt;AX$116, AX21-AX$116,"")</f>
        <v/>
      </c>
      <c r="CB21" s="1" t="str">
        <f>IF(AY21&gt;AY$116, AY21-AY$116,"")</f>
        <v/>
      </c>
      <c r="CC21" s="1">
        <f>COUNTIF(BQ21:CB21, "&gt;0")</f>
        <v>0</v>
      </c>
      <c r="CD21" s="1" t="str">
        <f>IF($CC21=1,BQ21,"")</f>
        <v/>
      </c>
      <c r="CE21" s="1" t="str">
        <f>IF($CC21=1,BR21,"")</f>
        <v/>
      </c>
      <c r="CF21" s="1" t="str">
        <f>IF($CC21=1,BS21,"")</f>
        <v/>
      </c>
      <c r="CG21" s="1" t="str">
        <f>IF($CC21=1,BT21,"")</f>
        <v/>
      </c>
      <c r="CH21" s="1" t="str">
        <f>IF($CC21=1,BU21,"")</f>
        <v/>
      </c>
      <c r="CI21" s="1" t="str">
        <f>IF($CC21=1,BV21,"")</f>
        <v/>
      </c>
      <c r="CJ21" s="1" t="str">
        <f>IF($CC21=1,BW21,"")</f>
        <v/>
      </c>
      <c r="CK21" s="1" t="str">
        <f>IF($CC21=1,BX21,"")</f>
        <v/>
      </c>
      <c r="CL21" s="1" t="str">
        <f>IF($CC21=1,BY21,"")</f>
        <v/>
      </c>
      <c r="CM21" s="1" t="str">
        <f>IF($CC21=1,BZ21,"")</f>
        <v/>
      </c>
      <c r="CN21" s="1" t="str">
        <f>IF($CC21=1,CA21,"")</f>
        <v/>
      </c>
      <c r="CO21" s="1" t="str">
        <f>IF($CC21=1,CB21,"")</f>
        <v/>
      </c>
      <c r="CP21" s="18">
        <f>SUM(AB21:BL21)</f>
        <v>20</v>
      </c>
    </row>
    <row r="22" spans="1:94" x14ac:dyDescent="0.15">
      <c r="A22" s="1">
        <v>5</v>
      </c>
      <c r="B22" s="1" t="s">
        <v>22</v>
      </c>
      <c r="C22" s="1" t="s">
        <v>2</v>
      </c>
      <c r="D22" s="1" t="s">
        <v>12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4"/>
      <c r="AO22" s="4">
        <v>10</v>
      </c>
      <c r="AP22" s="4"/>
      <c r="AQ22" s="4"/>
      <c r="AR22" s="4"/>
      <c r="AS22" s="4"/>
      <c r="AT22" s="2"/>
      <c r="AU22" s="2"/>
      <c r="AV22" s="2"/>
      <c r="AW22" s="2"/>
      <c r="AX22" s="2"/>
      <c r="AY22" s="2">
        <v>10</v>
      </c>
      <c r="AZ22" s="14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>
        <f>SUM(E22:BL22)</f>
        <v>20</v>
      </c>
      <c r="BN22" s="1">
        <v>0</v>
      </c>
      <c r="BO22" s="17">
        <v>0</v>
      </c>
      <c r="BP22" s="17"/>
      <c r="BQ22" s="1" t="str">
        <f>IF(AN22&gt;AN$116, AN22-AN$116,"")</f>
        <v/>
      </c>
      <c r="BR22" s="1" t="str">
        <f>IF(AO22&gt;AO$116, AO22-AO$116,"")</f>
        <v/>
      </c>
      <c r="BS22" s="1" t="str">
        <f>IF(AP22&gt;AP$116, AP22-AP$116,"")</f>
        <v/>
      </c>
      <c r="BT22" s="1" t="str">
        <f>IF(AQ22&gt;AQ$116, AQ22-AQ$116,"")</f>
        <v/>
      </c>
      <c r="BU22" s="1" t="str">
        <f>IF(AR22&gt;AR$116, AR22-AR$116,"")</f>
        <v/>
      </c>
      <c r="BV22" s="1" t="str">
        <f>IF(AS22&gt;AS$116, AS22-AS$116,"")</f>
        <v/>
      </c>
      <c r="BW22" s="1" t="str">
        <f>IF(AT22&gt;AT$116, AT22-AT$116,"")</f>
        <v/>
      </c>
      <c r="BX22" s="1" t="str">
        <f>IF(AU22&gt;AU$116, AU22-AU$116,"")</f>
        <v/>
      </c>
      <c r="BY22" s="1" t="str">
        <f>IF(AV22&gt;AV$116, AV22-AV$116,"")</f>
        <v/>
      </c>
      <c r="BZ22" s="1" t="str">
        <f>IF(AW22&gt;AW$116, AW22-AW$116,"")</f>
        <v/>
      </c>
      <c r="CA22" s="1" t="str">
        <f>IF(AX22&gt;AX$116, AX22-AX$116,"")</f>
        <v/>
      </c>
      <c r="CB22" s="1" t="str">
        <f>IF(AY22&gt;AY$116, AY22-AY$116,"")</f>
        <v/>
      </c>
      <c r="CC22" s="1">
        <f>COUNTIF(BQ22:CB22, "&gt;0")</f>
        <v>0</v>
      </c>
      <c r="CD22" s="1" t="str">
        <f>IF($CC22=1,BQ22,"")</f>
        <v/>
      </c>
      <c r="CE22" s="1" t="str">
        <f>IF($CC22=1,BR22,"")</f>
        <v/>
      </c>
      <c r="CF22" s="1" t="str">
        <f>IF($CC22=1,BS22,"")</f>
        <v/>
      </c>
      <c r="CG22" s="1" t="str">
        <f>IF($CC22=1,BT22,"")</f>
        <v/>
      </c>
      <c r="CH22" s="1" t="str">
        <f>IF($CC22=1,BU22,"")</f>
        <v/>
      </c>
      <c r="CI22" s="1" t="str">
        <f>IF($CC22=1,BV22,"")</f>
        <v/>
      </c>
      <c r="CJ22" s="1" t="str">
        <f>IF($CC22=1,BW22,"")</f>
        <v/>
      </c>
      <c r="CK22" s="1" t="str">
        <f>IF($CC22=1,BX22,"")</f>
        <v/>
      </c>
      <c r="CL22" s="1" t="str">
        <f>IF($CC22=1,BY22,"")</f>
        <v/>
      </c>
      <c r="CM22" s="1" t="str">
        <f>IF($CC22=1,BZ22,"")</f>
        <v/>
      </c>
      <c r="CN22" s="1" t="str">
        <f>IF($CC22=1,CA22,"")</f>
        <v/>
      </c>
      <c r="CO22" s="1" t="str">
        <f>IF($CC22=1,CB22,"")</f>
        <v/>
      </c>
      <c r="CP22" s="18">
        <f>SUM(AB22:BL22)</f>
        <v>20</v>
      </c>
    </row>
    <row r="23" spans="1:94" x14ac:dyDescent="0.15">
      <c r="A23" s="1">
        <v>6</v>
      </c>
      <c r="B23" s="1" t="s">
        <v>57</v>
      </c>
      <c r="C23" s="1" t="s">
        <v>2</v>
      </c>
      <c r="D23" s="1" t="s">
        <v>23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4"/>
      <c r="AO23" s="4">
        <v>10</v>
      </c>
      <c r="AP23" s="4"/>
      <c r="AQ23" s="4"/>
      <c r="AR23" s="4"/>
      <c r="AS23" s="4"/>
      <c r="AT23" s="2"/>
      <c r="AU23" s="2"/>
      <c r="AV23" s="2"/>
      <c r="AW23" s="2"/>
      <c r="AX23" s="2"/>
      <c r="AY23" s="2">
        <v>10</v>
      </c>
      <c r="AZ23" s="14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>
        <f>SUM(E23:BL23)</f>
        <v>20</v>
      </c>
      <c r="BN23" s="1">
        <v>0</v>
      </c>
      <c r="BO23" s="17">
        <v>0</v>
      </c>
      <c r="BP23" s="17"/>
      <c r="BQ23" s="1" t="str">
        <f>IF(AN23&gt;AN$116, AN23-AN$116,"")</f>
        <v/>
      </c>
      <c r="BR23" s="1" t="str">
        <f>IF(AO23&gt;AO$116, AO23-AO$116,"")</f>
        <v/>
      </c>
      <c r="BS23" s="1" t="str">
        <f>IF(AP23&gt;AP$116, AP23-AP$116,"")</f>
        <v/>
      </c>
      <c r="BT23" s="1" t="str">
        <f>IF(AQ23&gt;AQ$116, AQ23-AQ$116,"")</f>
        <v/>
      </c>
      <c r="BU23" s="1" t="str">
        <f>IF(AR23&gt;AR$116, AR23-AR$116,"")</f>
        <v/>
      </c>
      <c r="BV23" s="1" t="str">
        <f>IF(AS23&gt;AS$116, AS23-AS$116,"")</f>
        <v/>
      </c>
      <c r="BW23" s="1" t="str">
        <f>IF(AT23&gt;AT$116, AT23-AT$116,"")</f>
        <v/>
      </c>
      <c r="BX23" s="1" t="str">
        <f>IF(AU23&gt;AU$116, AU23-AU$116,"")</f>
        <v/>
      </c>
      <c r="BY23" s="1" t="str">
        <f>IF(AV23&gt;AV$116, AV23-AV$116,"")</f>
        <v/>
      </c>
      <c r="BZ23" s="1" t="str">
        <f>IF(AW23&gt;AW$116, AW23-AW$116,"")</f>
        <v/>
      </c>
      <c r="CA23" s="1" t="str">
        <f>IF(AX23&gt;AX$116, AX23-AX$116,"")</f>
        <v/>
      </c>
      <c r="CB23" s="1" t="str">
        <f>IF(AY23&gt;AY$116, AY23-AY$116,"")</f>
        <v/>
      </c>
      <c r="CC23" s="1">
        <f>COUNTIF(BQ23:CB23, "&gt;0")</f>
        <v>0</v>
      </c>
      <c r="CD23" s="1" t="str">
        <f>IF($CC23=1,BQ23,"")</f>
        <v/>
      </c>
      <c r="CE23" s="1" t="str">
        <f>IF($CC23=1,BR23,"")</f>
        <v/>
      </c>
      <c r="CF23" s="1" t="str">
        <f>IF($CC23=1,BS23,"")</f>
        <v/>
      </c>
      <c r="CG23" s="1" t="str">
        <f>IF($CC23=1,BT23,"")</f>
        <v/>
      </c>
      <c r="CH23" s="1" t="str">
        <f>IF($CC23=1,BU23,"")</f>
        <v/>
      </c>
      <c r="CI23" s="1" t="str">
        <f>IF($CC23=1,BV23,"")</f>
        <v/>
      </c>
      <c r="CJ23" s="1" t="str">
        <f>IF($CC23=1,BW23,"")</f>
        <v/>
      </c>
      <c r="CK23" s="1" t="str">
        <f>IF($CC23=1,BX23,"")</f>
        <v/>
      </c>
      <c r="CL23" s="1" t="str">
        <f>IF($CC23=1,BY23,"")</f>
        <v/>
      </c>
      <c r="CM23" s="1" t="str">
        <f>IF($CC23=1,BZ23,"")</f>
        <v/>
      </c>
      <c r="CN23" s="1" t="str">
        <f>IF($CC23=1,CA23,"")</f>
        <v/>
      </c>
      <c r="CO23" s="1" t="str">
        <f>IF($CC23=1,CB23,"")</f>
        <v/>
      </c>
      <c r="CP23" s="18">
        <f>SUM(AB23:BL23)</f>
        <v>20</v>
      </c>
    </row>
    <row r="24" spans="1:94" x14ac:dyDescent="0.15">
      <c r="A24" s="1">
        <v>8</v>
      </c>
      <c r="B24" s="1" t="s">
        <v>58</v>
      </c>
      <c r="C24" s="1" t="s">
        <v>2</v>
      </c>
      <c r="D24" s="1" t="s">
        <v>26</v>
      </c>
      <c r="E24" s="6">
        <v>6</v>
      </c>
      <c r="F24" s="6"/>
      <c r="G24" s="6"/>
      <c r="H24" s="6">
        <v>6</v>
      </c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4"/>
      <c r="AO24" s="4">
        <v>10</v>
      </c>
      <c r="AP24" s="4"/>
      <c r="AQ24" s="4"/>
      <c r="AR24" s="4"/>
      <c r="AS24" s="4"/>
      <c r="AT24" s="2"/>
      <c r="AU24" s="2"/>
      <c r="AV24" s="2"/>
      <c r="AW24" s="2"/>
      <c r="AX24" s="2"/>
      <c r="AY24" s="2">
        <v>10</v>
      </c>
      <c r="AZ24" s="14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>
        <f>SUM(E24:BL24)</f>
        <v>32</v>
      </c>
      <c r="BN24" s="1">
        <v>0</v>
      </c>
      <c r="BO24" s="17">
        <v>0</v>
      </c>
      <c r="BP24" s="17"/>
      <c r="BQ24" s="1" t="str">
        <f>IF(AN24&gt;AN$116, AN24-AN$116,"")</f>
        <v/>
      </c>
      <c r="BR24" s="1" t="str">
        <f>IF(AO24&gt;AO$116, AO24-AO$116,"")</f>
        <v/>
      </c>
      <c r="BS24" s="1" t="str">
        <f>IF(AP24&gt;AP$116, AP24-AP$116,"")</f>
        <v/>
      </c>
      <c r="BT24" s="1" t="str">
        <f>IF(AQ24&gt;AQ$116, AQ24-AQ$116,"")</f>
        <v/>
      </c>
      <c r="BU24" s="1" t="str">
        <f>IF(AR24&gt;AR$116, AR24-AR$116,"")</f>
        <v/>
      </c>
      <c r="BV24" s="1" t="str">
        <f>IF(AS24&gt;AS$116, AS24-AS$116,"")</f>
        <v/>
      </c>
      <c r="BW24" s="1" t="str">
        <f>IF(AT24&gt;AT$116, AT24-AT$116,"")</f>
        <v/>
      </c>
      <c r="BX24" s="1" t="str">
        <f>IF(AU24&gt;AU$116, AU24-AU$116,"")</f>
        <v/>
      </c>
      <c r="BY24" s="1" t="str">
        <f>IF(AV24&gt;AV$116, AV24-AV$116,"")</f>
        <v/>
      </c>
      <c r="BZ24" s="1" t="str">
        <f>IF(AW24&gt;AW$116, AW24-AW$116,"")</f>
        <v/>
      </c>
      <c r="CA24" s="1" t="str">
        <f>IF(AX24&gt;AX$116, AX24-AX$116,"")</f>
        <v/>
      </c>
      <c r="CB24" s="1" t="str">
        <f>IF(AY24&gt;AY$116, AY24-AY$116,"")</f>
        <v/>
      </c>
      <c r="CC24" s="1">
        <f>COUNTIF(BQ24:CB24, "&gt;0")</f>
        <v>0</v>
      </c>
      <c r="CD24" s="1" t="str">
        <f>IF($CC24=1,BQ24,"")</f>
        <v/>
      </c>
      <c r="CE24" s="1" t="str">
        <f>IF($CC24=1,BR24,"")</f>
        <v/>
      </c>
      <c r="CF24" s="1" t="str">
        <f>IF($CC24=1,BS24,"")</f>
        <v/>
      </c>
      <c r="CG24" s="1" t="str">
        <f>IF($CC24=1,BT24,"")</f>
        <v/>
      </c>
      <c r="CH24" s="1" t="str">
        <f>IF($CC24=1,BU24,"")</f>
        <v/>
      </c>
      <c r="CI24" s="1" t="str">
        <f>IF($CC24=1,BV24,"")</f>
        <v/>
      </c>
      <c r="CJ24" s="1" t="str">
        <f>IF($CC24=1,BW24,"")</f>
        <v/>
      </c>
      <c r="CK24" s="1" t="str">
        <f>IF($CC24=1,BX24,"")</f>
        <v/>
      </c>
      <c r="CL24" s="1" t="str">
        <f>IF($CC24=1,BY24,"")</f>
        <v/>
      </c>
      <c r="CM24" s="1" t="str">
        <f>IF($CC24=1,BZ24,"")</f>
        <v/>
      </c>
      <c r="CN24" s="1" t="str">
        <f>IF($CC24=1,CA24,"")</f>
        <v/>
      </c>
      <c r="CO24" s="1" t="str">
        <f>IF($CC24=1,CB24,"")</f>
        <v/>
      </c>
      <c r="CP24" s="18">
        <f>SUM(AB24:BL24)</f>
        <v>20</v>
      </c>
    </row>
    <row r="25" spans="1:94" x14ac:dyDescent="0.15">
      <c r="A25" s="1">
        <v>94</v>
      </c>
      <c r="B25" s="3" t="s">
        <v>106</v>
      </c>
      <c r="C25" s="3" t="s">
        <v>85</v>
      </c>
      <c r="D25" s="1" t="s">
        <v>1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4"/>
      <c r="AO25" s="4"/>
      <c r="AP25" s="4"/>
      <c r="AQ25" s="4"/>
      <c r="AR25" s="4"/>
      <c r="AS25" s="4"/>
      <c r="AT25" s="2"/>
      <c r="AU25" s="2"/>
      <c r="AV25" s="2"/>
      <c r="AW25" s="2"/>
      <c r="AX25" s="2">
        <v>10</v>
      </c>
      <c r="AY25" s="2">
        <v>10</v>
      </c>
      <c r="AZ25" s="14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>
        <f>SUM(E25:BL25)</f>
        <v>20</v>
      </c>
      <c r="BN25" s="1">
        <v>0</v>
      </c>
      <c r="BO25" s="17">
        <v>0</v>
      </c>
      <c r="BP25" s="17"/>
      <c r="BQ25" s="1" t="str">
        <f>IF(AN25&gt;AN$116, AN25-AN$116,"")</f>
        <v/>
      </c>
      <c r="BR25" s="1" t="str">
        <f>IF(AO25&gt;AO$116, AO25-AO$116,"")</f>
        <v/>
      </c>
      <c r="BS25" s="1" t="str">
        <f>IF(AP25&gt;AP$116, AP25-AP$116,"")</f>
        <v/>
      </c>
      <c r="BT25" s="1" t="str">
        <f>IF(AQ25&gt;AQ$116, AQ25-AQ$116,"")</f>
        <v/>
      </c>
      <c r="BU25" s="1" t="str">
        <f>IF(AR25&gt;AR$116, AR25-AR$116,"")</f>
        <v/>
      </c>
      <c r="BV25" s="1" t="str">
        <f>IF(AS25&gt;AS$116, AS25-AS$116,"")</f>
        <v/>
      </c>
      <c r="BW25" s="1" t="str">
        <f>IF(AT25&gt;AT$116, AT25-AT$116,"")</f>
        <v/>
      </c>
      <c r="BX25" s="1" t="str">
        <f>IF(AU25&gt;AU$116, AU25-AU$116,"")</f>
        <v/>
      </c>
      <c r="BY25" s="1" t="str">
        <f>IF(AV25&gt;AV$116, AV25-AV$116,"")</f>
        <v/>
      </c>
      <c r="BZ25" s="1" t="str">
        <f>IF(AW25&gt;AW$116, AW25-AW$116,"")</f>
        <v/>
      </c>
      <c r="CA25" s="1" t="str">
        <f>IF(AX25&gt;AX$116, AX25-AX$116,"")</f>
        <v/>
      </c>
      <c r="CB25" s="1" t="str">
        <f>IF(AY25&gt;AY$116, AY25-AY$116,"")</f>
        <v/>
      </c>
      <c r="CC25" s="1">
        <f>COUNTIF(BQ25:CB25, "&gt;0")</f>
        <v>0</v>
      </c>
      <c r="CD25" s="1" t="str">
        <f>IF($CC25=1,BQ25,"")</f>
        <v/>
      </c>
      <c r="CE25" s="1" t="str">
        <f>IF($CC25=1,BR25,"")</f>
        <v/>
      </c>
      <c r="CF25" s="1" t="str">
        <f>IF($CC25=1,BS25,"")</f>
        <v/>
      </c>
      <c r="CG25" s="1" t="str">
        <f>IF($CC25=1,BT25,"")</f>
        <v/>
      </c>
      <c r="CH25" s="1" t="str">
        <f>IF($CC25=1,BU25,"")</f>
        <v/>
      </c>
      <c r="CI25" s="1" t="str">
        <f>IF($CC25=1,BV25,"")</f>
        <v/>
      </c>
      <c r="CJ25" s="1" t="str">
        <f>IF($CC25=1,BW25,"")</f>
        <v/>
      </c>
      <c r="CK25" s="1" t="str">
        <f>IF($CC25=1,BX25,"")</f>
        <v/>
      </c>
      <c r="CL25" s="1" t="str">
        <f>IF($CC25=1,BY25,"")</f>
        <v/>
      </c>
      <c r="CM25" s="1" t="str">
        <f>IF($CC25=1,BZ25,"")</f>
        <v/>
      </c>
      <c r="CN25" s="1" t="str">
        <f>IF($CC25=1,CA25,"")</f>
        <v/>
      </c>
      <c r="CO25" s="1" t="str">
        <f>IF($CC25=1,CB25,"")</f>
        <v/>
      </c>
      <c r="CP25" s="18">
        <f>SUM(AB25:BL25)</f>
        <v>20</v>
      </c>
    </row>
    <row r="26" spans="1:94" x14ac:dyDescent="0.15">
      <c r="A26" s="1">
        <v>96</v>
      </c>
      <c r="B26" s="3" t="s">
        <v>84</v>
      </c>
      <c r="C26" s="3" t="s">
        <v>85</v>
      </c>
      <c r="D26" s="1" t="s">
        <v>1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4"/>
      <c r="AO26" s="4"/>
      <c r="AP26" s="4"/>
      <c r="AQ26" s="4"/>
      <c r="AR26" s="4"/>
      <c r="AS26" s="4"/>
      <c r="AT26" s="2"/>
      <c r="AU26" s="2"/>
      <c r="AV26" s="2"/>
      <c r="AW26" s="2"/>
      <c r="AX26" s="2">
        <v>10</v>
      </c>
      <c r="AY26" s="2">
        <v>10</v>
      </c>
      <c r="AZ26" s="14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>
        <f>SUM(E26:BL26)</f>
        <v>20</v>
      </c>
      <c r="BN26" s="1">
        <v>0</v>
      </c>
      <c r="BO26" s="17">
        <v>0</v>
      </c>
      <c r="BP26" s="17"/>
      <c r="BQ26" s="1" t="str">
        <f>IF(AN26&gt;AN$116, AN26-AN$116,"")</f>
        <v/>
      </c>
      <c r="BR26" s="1" t="str">
        <f>IF(AO26&gt;AO$116, AO26-AO$116,"")</f>
        <v/>
      </c>
      <c r="BS26" s="1" t="str">
        <f>IF(AP26&gt;AP$116, AP26-AP$116,"")</f>
        <v/>
      </c>
      <c r="BT26" s="1" t="str">
        <f>IF(AQ26&gt;AQ$116, AQ26-AQ$116,"")</f>
        <v/>
      </c>
      <c r="BU26" s="1" t="str">
        <f>IF(AR26&gt;AR$116, AR26-AR$116,"")</f>
        <v/>
      </c>
      <c r="BV26" s="1" t="str">
        <f>IF(AS26&gt;AS$116, AS26-AS$116,"")</f>
        <v/>
      </c>
      <c r="BW26" s="1" t="str">
        <f>IF(AT26&gt;AT$116, AT26-AT$116,"")</f>
        <v/>
      </c>
      <c r="BX26" s="1" t="str">
        <f>IF(AU26&gt;AU$116, AU26-AU$116,"")</f>
        <v/>
      </c>
      <c r="BY26" s="1" t="str">
        <f>IF(AV26&gt;AV$116, AV26-AV$116,"")</f>
        <v/>
      </c>
      <c r="BZ26" s="1" t="str">
        <f>IF(AW26&gt;AW$116, AW26-AW$116,"")</f>
        <v/>
      </c>
      <c r="CA26" s="1" t="str">
        <f>IF(AX26&gt;AX$116, AX26-AX$116,"")</f>
        <v/>
      </c>
      <c r="CB26" s="1" t="str">
        <f>IF(AY26&gt;AY$116, AY26-AY$116,"")</f>
        <v/>
      </c>
      <c r="CC26" s="1">
        <f>COUNTIF(BQ26:CB26, "&gt;0")</f>
        <v>0</v>
      </c>
      <c r="CD26" s="1" t="str">
        <f>IF($CC26=1,BQ26,"")</f>
        <v/>
      </c>
      <c r="CE26" s="1" t="str">
        <f>IF($CC26=1,BR26,"")</f>
        <v/>
      </c>
      <c r="CF26" s="1" t="str">
        <f>IF($CC26=1,BS26,"")</f>
        <v/>
      </c>
      <c r="CG26" s="1" t="str">
        <f>IF($CC26=1,BT26,"")</f>
        <v/>
      </c>
      <c r="CH26" s="1" t="str">
        <f>IF($CC26=1,BU26,"")</f>
        <v/>
      </c>
      <c r="CI26" s="1" t="str">
        <f>IF($CC26=1,BV26,"")</f>
        <v/>
      </c>
      <c r="CJ26" s="1" t="str">
        <f>IF($CC26=1,BW26,"")</f>
        <v/>
      </c>
      <c r="CK26" s="1" t="str">
        <f>IF($CC26=1,BX26,"")</f>
        <v/>
      </c>
      <c r="CL26" s="1" t="str">
        <f>IF($CC26=1,BY26,"")</f>
        <v/>
      </c>
      <c r="CM26" s="1" t="str">
        <f>IF($CC26=1,BZ26,"")</f>
        <v/>
      </c>
      <c r="CN26" s="1" t="str">
        <f>IF($CC26=1,CA26,"")</f>
        <v/>
      </c>
      <c r="CO26" s="1" t="str">
        <f>IF($CC26=1,CB26,"")</f>
        <v/>
      </c>
      <c r="CP26" s="18">
        <f>SUM(AB26:BL26)</f>
        <v>20</v>
      </c>
    </row>
    <row r="27" spans="1:94" s="25" customFormat="1" x14ac:dyDescent="0.15">
      <c r="A27" s="1">
        <v>76</v>
      </c>
      <c r="B27" s="3" t="s">
        <v>128</v>
      </c>
      <c r="C27" s="3" t="s">
        <v>77</v>
      </c>
      <c r="D27" s="1" t="s">
        <v>1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>
        <v>20</v>
      </c>
      <c r="V27" s="6"/>
      <c r="W27" s="6"/>
      <c r="X27" s="6"/>
      <c r="Y27" s="6"/>
      <c r="Z27" s="6"/>
      <c r="AA27" s="6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4"/>
      <c r="AO27" s="4"/>
      <c r="AP27" s="4"/>
      <c r="AQ27" s="4"/>
      <c r="AR27" s="4"/>
      <c r="AS27" s="4"/>
      <c r="AT27" s="2"/>
      <c r="AU27" s="2"/>
      <c r="AV27" s="2"/>
      <c r="AW27" s="2"/>
      <c r="AX27" s="2"/>
      <c r="AY27" s="2"/>
      <c r="AZ27" s="14"/>
      <c r="BA27" s="1"/>
      <c r="BB27" s="1"/>
      <c r="BC27" s="1"/>
      <c r="BD27" s="1"/>
      <c r="BE27" s="1">
        <v>10</v>
      </c>
      <c r="BF27" s="1"/>
      <c r="BG27" s="1"/>
      <c r="BH27" s="1"/>
      <c r="BI27" s="1"/>
      <c r="BJ27" s="1"/>
      <c r="BK27" s="1"/>
      <c r="BL27" s="1"/>
      <c r="BM27" s="1">
        <f>SUM(E27:BL27)</f>
        <v>30</v>
      </c>
      <c r="BN27" s="1">
        <v>0</v>
      </c>
      <c r="BO27" s="17">
        <v>0</v>
      </c>
      <c r="BP27" s="17"/>
      <c r="BQ27" s="1" t="str">
        <f>IF(AN27&gt;AN$116, AN27-AN$116,"")</f>
        <v/>
      </c>
      <c r="BR27" s="1" t="str">
        <f>IF(AO27&gt;AO$116, AO27-AO$116,"")</f>
        <v/>
      </c>
      <c r="BS27" s="1" t="str">
        <f>IF(AP27&gt;AP$116, AP27-AP$116,"")</f>
        <v/>
      </c>
      <c r="BT27" s="1" t="str">
        <f>IF(AQ27&gt;AQ$116, AQ27-AQ$116,"")</f>
        <v/>
      </c>
      <c r="BU27" s="1" t="str">
        <f>IF(AR27&gt;AR$116, AR27-AR$116,"")</f>
        <v/>
      </c>
      <c r="BV27" s="1" t="str">
        <f>IF(AS27&gt;AS$116, AS27-AS$116,"")</f>
        <v/>
      </c>
      <c r="BW27" s="1" t="str">
        <f>IF(AT27&gt;AT$116, AT27-AT$116,"")</f>
        <v/>
      </c>
      <c r="BX27" s="1" t="str">
        <f>IF(AU27&gt;AU$116, AU27-AU$116,"")</f>
        <v/>
      </c>
      <c r="BY27" s="1" t="str">
        <f>IF(AV27&gt;AV$116, AV27-AV$116,"")</f>
        <v/>
      </c>
      <c r="BZ27" s="1" t="str">
        <f>IF(AW27&gt;AW$116, AW27-AW$116,"")</f>
        <v/>
      </c>
      <c r="CA27" s="1" t="str">
        <f>IF(AX27&gt;AX$116, AX27-AX$116,"")</f>
        <v/>
      </c>
      <c r="CB27" s="1" t="str">
        <f>IF(AY27&gt;AY$116, AY27-AY$116,"")</f>
        <v/>
      </c>
      <c r="CC27" s="1">
        <f>COUNTIF(BQ27:CB27, "&gt;0")</f>
        <v>0</v>
      </c>
      <c r="CD27" s="1" t="str">
        <f>IF($CC27=1,BQ27,"")</f>
        <v/>
      </c>
      <c r="CE27" s="1" t="str">
        <f>IF($CC27=1,BR27,"")</f>
        <v/>
      </c>
      <c r="CF27" s="1" t="str">
        <f>IF($CC27=1,BS27,"")</f>
        <v/>
      </c>
      <c r="CG27" s="1" t="str">
        <f>IF($CC27=1,BT27,"")</f>
        <v/>
      </c>
      <c r="CH27" s="1" t="str">
        <f>IF($CC27=1,BU27,"")</f>
        <v/>
      </c>
      <c r="CI27" s="1" t="str">
        <f>IF($CC27=1,BV27,"")</f>
        <v/>
      </c>
      <c r="CJ27" s="1" t="str">
        <f>IF($CC27=1,BW27,"")</f>
        <v/>
      </c>
      <c r="CK27" s="1" t="str">
        <f>IF($CC27=1,BX27,"")</f>
        <v/>
      </c>
      <c r="CL27" s="1" t="str">
        <f>IF($CC27=1,BY27,"")</f>
        <v/>
      </c>
      <c r="CM27" s="1" t="str">
        <f>IF($CC27=1,BZ27,"")</f>
        <v/>
      </c>
      <c r="CN27" s="1" t="str">
        <f>IF($CC27=1,CA27,"")</f>
        <v/>
      </c>
      <c r="CO27" s="1" t="str">
        <f>IF($CC27=1,CB27,"")</f>
        <v/>
      </c>
      <c r="CP27" s="18">
        <f>SUM(AB27:BL27)</f>
        <v>10</v>
      </c>
    </row>
    <row r="28" spans="1:94" x14ac:dyDescent="0.15">
      <c r="A28" s="1">
        <v>68</v>
      </c>
      <c r="B28" s="3" t="s">
        <v>130</v>
      </c>
      <c r="C28" s="1" t="s">
        <v>64</v>
      </c>
      <c r="D28" s="1" t="s">
        <v>13</v>
      </c>
      <c r="E28" s="6"/>
      <c r="F28" s="6">
        <v>6</v>
      </c>
      <c r="G28" s="6"/>
      <c r="H28" s="6"/>
      <c r="I28" s="6"/>
      <c r="J28" s="6"/>
      <c r="K28" s="6"/>
      <c r="L28" s="6"/>
      <c r="M28" s="6"/>
      <c r="N28" s="6">
        <v>6</v>
      </c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4"/>
      <c r="AO28" s="4"/>
      <c r="AP28" s="4"/>
      <c r="AQ28" s="4"/>
      <c r="AR28" s="4"/>
      <c r="AS28" s="4">
        <v>10</v>
      </c>
      <c r="AT28" s="2"/>
      <c r="AU28" s="2"/>
      <c r="AV28" s="2"/>
      <c r="AW28" s="2"/>
      <c r="AX28" s="2"/>
      <c r="AY28" s="2">
        <v>10</v>
      </c>
      <c r="AZ28" s="14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>
        <f>SUM(E28:BL28)</f>
        <v>32</v>
      </c>
      <c r="BN28" s="1">
        <v>0</v>
      </c>
      <c r="BO28" s="17">
        <v>0</v>
      </c>
      <c r="BP28" s="17"/>
      <c r="BQ28" s="1" t="str">
        <f>IF(AN28&gt;AN$116, AN28-AN$116,"")</f>
        <v/>
      </c>
      <c r="BR28" s="1" t="str">
        <f>IF(AO28&gt;AO$116, AO28-AO$116,"")</f>
        <v/>
      </c>
      <c r="BS28" s="1" t="str">
        <f>IF(AP28&gt;AP$116, AP28-AP$116,"")</f>
        <v/>
      </c>
      <c r="BT28" s="1" t="str">
        <f>IF(AQ28&gt;AQ$116, AQ28-AQ$116,"")</f>
        <v/>
      </c>
      <c r="BU28" s="1" t="str">
        <f>IF(AR28&gt;AR$116, AR28-AR$116,"")</f>
        <v/>
      </c>
      <c r="BV28" s="1" t="str">
        <f>IF(AS28&gt;AS$116, AS28-AS$116,"")</f>
        <v/>
      </c>
      <c r="BW28" s="1" t="str">
        <f>IF(AT28&gt;AT$116, AT28-AT$116,"")</f>
        <v/>
      </c>
      <c r="BX28" s="1" t="str">
        <f>IF(AU28&gt;AU$116, AU28-AU$116,"")</f>
        <v/>
      </c>
      <c r="BY28" s="1" t="str">
        <f>IF(AV28&gt;AV$116, AV28-AV$116,"")</f>
        <v/>
      </c>
      <c r="BZ28" s="1" t="str">
        <f>IF(AW28&gt;AW$116, AW28-AW$116,"")</f>
        <v/>
      </c>
      <c r="CA28" s="1" t="str">
        <f>IF(AX28&gt;AX$116, AX28-AX$116,"")</f>
        <v/>
      </c>
      <c r="CB28" s="1" t="str">
        <f>IF(AY28&gt;AY$116, AY28-AY$116,"")</f>
        <v/>
      </c>
      <c r="CC28" s="1">
        <f>COUNTIF(BQ28:CB28, "&gt;0")</f>
        <v>0</v>
      </c>
      <c r="CD28" s="1" t="str">
        <f>IF($CC28=1,BQ28,"")</f>
        <v/>
      </c>
      <c r="CE28" s="1" t="str">
        <f>IF($CC28=1,BR28,"")</f>
        <v/>
      </c>
      <c r="CF28" s="1" t="str">
        <f>IF($CC28=1,BS28,"")</f>
        <v/>
      </c>
      <c r="CG28" s="1" t="str">
        <f>IF($CC28=1,BT28,"")</f>
        <v/>
      </c>
      <c r="CH28" s="1" t="str">
        <f>IF($CC28=1,BU28,"")</f>
        <v/>
      </c>
      <c r="CI28" s="1" t="str">
        <f>IF($CC28=1,BV28,"")</f>
        <v/>
      </c>
      <c r="CJ28" s="1" t="str">
        <f>IF($CC28=1,BW28,"")</f>
        <v/>
      </c>
      <c r="CK28" s="1" t="str">
        <f>IF($CC28=1,BX28,"")</f>
        <v/>
      </c>
      <c r="CL28" s="1" t="str">
        <f>IF($CC28=1,BY28,"")</f>
        <v/>
      </c>
      <c r="CM28" s="1" t="str">
        <f>IF($CC28=1,BZ28,"")</f>
        <v/>
      </c>
      <c r="CN28" s="1" t="str">
        <f>IF($CC28=1,CA28,"")</f>
        <v/>
      </c>
      <c r="CO28" s="1" t="str">
        <f>IF($CC28=1,CB28,"")</f>
        <v/>
      </c>
      <c r="CP28" s="18">
        <f>SUM(AB28:BL28)</f>
        <v>20</v>
      </c>
    </row>
    <row r="29" spans="1:94" x14ac:dyDescent="0.15">
      <c r="A29" s="1">
        <v>95</v>
      </c>
      <c r="B29" s="3" t="s">
        <v>107</v>
      </c>
      <c r="C29" s="3" t="s">
        <v>85</v>
      </c>
      <c r="D29" s="1" t="s">
        <v>1</v>
      </c>
      <c r="E29" s="6"/>
      <c r="F29" s="6"/>
      <c r="G29" s="6"/>
      <c r="H29" s="6"/>
      <c r="I29" s="6"/>
      <c r="J29" s="6"/>
      <c r="K29" s="6"/>
      <c r="L29" s="6">
        <v>15</v>
      </c>
      <c r="M29" s="6"/>
      <c r="N29" s="6"/>
      <c r="O29" s="6">
        <v>15</v>
      </c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4"/>
      <c r="AO29" s="4"/>
      <c r="AP29" s="4"/>
      <c r="AQ29" s="4"/>
      <c r="AR29" s="4"/>
      <c r="AS29" s="4"/>
      <c r="AT29" s="2"/>
      <c r="AU29" s="2"/>
      <c r="AV29" s="2"/>
      <c r="AW29" s="2"/>
      <c r="AX29" s="2">
        <v>15</v>
      </c>
      <c r="AY29" s="2">
        <v>15</v>
      </c>
      <c r="AZ29" s="14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>
        <f>SUM(E29:BL29)</f>
        <v>60</v>
      </c>
      <c r="BN29" s="1">
        <v>0</v>
      </c>
      <c r="BO29" s="17">
        <v>0</v>
      </c>
      <c r="BP29" s="17"/>
      <c r="BQ29" s="1" t="str">
        <f>IF(AN29&gt;AN$116, AN29-AN$116,"")</f>
        <v/>
      </c>
      <c r="BR29" s="1" t="str">
        <f>IF(AO29&gt;AO$116, AO29-AO$116,"")</f>
        <v/>
      </c>
      <c r="BS29" s="1" t="str">
        <f>IF(AP29&gt;AP$116, AP29-AP$116,"")</f>
        <v/>
      </c>
      <c r="BT29" s="1" t="str">
        <f>IF(AQ29&gt;AQ$116, AQ29-AQ$116,"")</f>
        <v/>
      </c>
      <c r="BU29" s="1" t="str">
        <f>IF(AR29&gt;AR$116, AR29-AR$116,"")</f>
        <v/>
      </c>
      <c r="BV29" s="1" t="str">
        <f>IF(AS29&gt;AS$116, AS29-AS$116,"")</f>
        <v/>
      </c>
      <c r="BW29" s="1" t="str">
        <f>IF(AT29&gt;AT$116, AT29-AT$116,"")</f>
        <v/>
      </c>
      <c r="BX29" s="1" t="str">
        <f>IF(AU29&gt;AU$116, AU29-AU$116,"")</f>
        <v/>
      </c>
      <c r="BY29" s="1" t="str">
        <f>IF(AV29&gt;AV$116, AV29-AV$116,"")</f>
        <v/>
      </c>
      <c r="BZ29" s="1" t="str">
        <f>IF(AW29&gt;AW$116, AW29-AW$116,"")</f>
        <v/>
      </c>
      <c r="CA29" s="1" t="str">
        <f>IF(AX29&gt;AX$116, AX29-AX$116,"")</f>
        <v/>
      </c>
      <c r="CB29" s="1" t="str">
        <f>IF(AY29&gt;AY$116, AY29-AY$116,"")</f>
        <v/>
      </c>
      <c r="CC29" s="1">
        <f>COUNTIF(BQ29:CB29, "&gt;0")</f>
        <v>0</v>
      </c>
      <c r="CD29" s="1" t="str">
        <f>IF($CC29=1,BQ29,"")</f>
        <v/>
      </c>
      <c r="CE29" s="1" t="str">
        <f>IF($CC29=1,BR29,"")</f>
        <v/>
      </c>
      <c r="CF29" s="1" t="str">
        <f>IF($CC29=1,BS29,"")</f>
        <v/>
      </c>
      <c r="CG29" s="1" t="str">
        <f>IF($CC29=1,BT29,"")</f>
        <v/>
      </c>
      <c r="CH29" s="1" t="str">
        <f>IF($CC29=1,BU29,"")</f>
        <v/>
      </c>
      <c r="CI29" s="1" t="str">
        <f>IF($CC29=1,BV29,"")</f>
        <v/>
      </c>
      <c r="CJ29" s="1" t="str">
        <f>IF($CC29=1,BW29,"")</f>
        <v/>
      </c>
      <c r="CK29" s="1" t="str">
        <f>IF($CC29=1,BX29,"")</f>
        <v/>
      </c>
      <c r="CL29" s="1" t="str">
        <f>IF($CC29=1,BY29,"")</f>
        <v/>
      </c>
      <c r="CM29" s="1" t="str">
        <f>IF($CC29=1,BZ29,"")</f>
        <v/>
      </c>
      <c r="CN29" s="1" t="str">
        <f>IF($CC29=1,CA29,"")</f>
        <v/>
      </c>
      <c r="CO29" s="1" t="str">
        <f>IF($CC29=1,CB29,"")</f>
        <v/>
      </c>
      <c r="CP29" s="18">
        <f>SUM(AB29:BL29)</f>
        <v>30</v>
      </c>
    </row>
    <row r="30" spans="1:94" x14ac:dyDescent="0.15">
      <c r="A30" s="1">
        <v>3</v>
      </c>
      <c r="B30" s="1" t="s">
        <v>11</v>
      </c>
      <c r="C30" s="1" t="s">
        <v>2</v>
      </c>
      <c r="D30" s="1" t="s">
        <v>12</v>
      </c>
      <c r="E30" s="6">
        <v>15</v>
      </c>
      <c r="F30" s="6"/>
      <c r="G30" s="6">
        <v>15</v>
      </c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4"/>
      <c r="AO30" s="4">
        <v>15</v>
      </c>
      <c r="AP30" s="4"/>
      <c r="AQ30" s="4"/>
      <c r="AR30" s="4"/>
      <c r="AS30" s="4"/>
      <c r="AT30" s="2"/>
      <c r="AU30" s="2"/>
      <c r="AV30" s="2"/>
      <c r="AW30" s="2"/>
      <c r="AX30" s="2"/>
      <c r="AY30" s="2">
        <v>15</v>
      </c>
      <c r="AZ30" s="14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>
        <f>SUM(E30:BL30)</f>
        <v>60</v>
      </c>
      <c r="BN30" s="1">
        <v>0</v>
      </c>
      <c r="BO30" s="17">
        <v>0</v>
      </c>
      <c r="BP30" s="17"/>
      <c r="BQ30" s="1" t="str">
        <f>IF(AN30&gt;AN$116, AN30-AN$116,"")</f>
        <v/>
      </c>
      <c r="BR30" s="1" t="str">
        <f>IF(AO30&gt;AO$116, AO30-AO$116,"")</f>
        <v/>
      </c>
      <c r="BS30" s="1" t="str">
        <f>IF(AP30&gt;AP$116, AP30-AP$116,"")</f>
        <v/>
      </c>
      <c r="BT30" s="1" t="str">
        <f>IF(AQ30&gt;AQ$116, AQ30-AQ$116,"")</f>
        <v/>
      </c>
      <c r="BU30" s="1" t="str">
        <f>IF(AR30&gt;AR$116, AR30-AR$116,"")</f>
        <v/>
      </c>
      <c r="BV30" s="1" t="str">
        <f>IF(AS30&gt;AS$116, AS30-AS$116,"")</f>
        <v/>
      </c>
      <c r="BW30" s="1" t="str">
        <f>IF(AT30&gt;AT$116, AT30-AT$116,"")</f>
        <v/>
      </c>
      <c r="BX30" s="1" t="str">
        <f>IF(AU30&gt;AU$116, AU30-AU$116,"")</f>
        <v/>
      </c>
      <c r="BY30" s="1" t="str">
        <f>IF(AV30&gt;AV$116, AV30-AV$116,"")</f>
        <v/>
      </c>
      <c r="BZ30" s="1" t="str">
        <f>IF(AW30&gt;AW$116, AW30-AW$116,"")</f>
        <v/>
      </c>
      <c r="CA30" s="1" t="str">
        <f>IF(AX30&gt;AX$116, AX30-AX$116,"")</f>
        <v/>
      </c>
      <c r="CB30" s="1" t="str">
        <f>IF(AY30&gt;AY$116, AY30-AY$116,"")</f>
        <v/>
      </c>
      <c r="CC30" s="1">
        <f>COUNTIF(BQ30:CB30, "&gt;0")</f>
        <v>0</v>
      </c>
      <c r="CD30" s="1" t="str">
        <f>IF($CC30=1,BQ30,"")</f>
        <v/>
      </c>
      <c r="CE30" s="1" t="str">
        <f>IF($CC30=1,BR30,"")</f>
        <v/>
      </c>
      <c r="CF30" s="1" t="str">
        <f>IF($CC30=1,BS30,"")</f>
        <v/>
      </c>
      <c r="CG30" s="1" t="str">
        <f>IF($CC30=1,BT30,"")</f>
        <v/>
      </c>
      <c r="CH30" s="1" t="str">
        <f>IF($CC30=1,BU30,"")</f>
        <v/>
      </c>
      <c r="CI30" s="1" t="str">
        <f>IF($CC30=1,BV30,"")</f>
        <v/>
      </c>
      <c r="CJ30" s="1" t="str">
        <f>IF($CC30=1,BW30,"")</f>
        <v/>
      </c>
      <c r="CK30" s="1" t="str">
        <f>IF($CC30=1,BX30,"")</f>
        <v/>
      </c>
      <c r="CL30" s="1" t="str">
        <f>IF($CC30=1,BY30,"")</f>
        <v/>
      </c>
      <c r="CM30" s="1" t="str">
        <f>IF($CC30=1,BZ30,"")</f>
        <v/>
      </c>
      <c r="CN30" s="1" t="str">
        <f>IF($CC30=1,CA30,"")</f>
        <v/>
      </c>
      <c r="CO30" s="1" t="str">
        <f>IF($CC30=1,CB30,"")</f>
        <v/>
      </c>
      <c r="CP30" s="18">
        <f>SUM(AB30:BL30)</f>
        <v>30</v>
      </c>
    </row>
    <row r="31" spans="1:94" x14ac:dyDescent="0.15">
      <c r="A31" s="1">
        <v>78</v>
      </c>
      <c r="B31" s="3" t="s">
        <v>80</v>
      </c>
      <c r="C31" s="3" t="s">
        <v>77</v>
      </c>
      <c r="D31" s="1" t="s">
        <v>1</v>
      </c>
      <c r="E31" s="6"/>
      <c r="F31" s="6"/>
      <c r="G31" s="6">
        <v>15</v>
      </c>
      <c r="H31" s="6">
        <v>15</v>
      </c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4"/>
      <c r="AO31" s="4"/>
      <c r="AP31" s="4"/>
      <c r="AQ31" s="4"/>
      <c r="AR31" s="4"/>
      <c r="AS31" s="4"/>
      <c r="AT31" s="2"/>
      <c r="AU31" s="2"/>
      <c r="AV31" s="2"/>
      <c r="AW31" s="2"/>
      <c r="AX31" s="2">
        <v>15</v>
      </c>
      <c r="AY31" s="2">
        <v>15</v>
      </c>
      <c r="AZ31" s="14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>
        <f>SUM(E31:BL31)</f>
        <v>60</v>
      </c>
      <c r="BN31" s="1">
        <v>0</v>
      </c>
      <c r="BO31" s="17">
        <v>0</v>
      </c>
      <c r="BP31" s="17"/>
      <c r="BQ31" s="1" t="str">
        <f>IF(AN31&gt;AN$116, AN31-AN$116,"")</f>
        <v/>
      </c>
      <c r="BR31" s="1" t="str">
        <f>IF(AO31&gt;AO$116, AO31-AO$116,"")</f>
        <v/>
      </c>
      <c r="BS31" s="1" t="str">
        <f>IF(AP31&gt;AP$116, AP31-AP$116,"")</f>
        <v/>
      </c>
      <c r="BT31" s="1" t="str">
        <f>IF(AQ31&gt;AQ$116, AQ31-AQ$116,"")</f>
        <v/>
      </c>
      <c r="BU31" s="1" t="str">
        <f>IF(AR31&gt;AR$116, AR31-AR$116,"")</f>
        <v/>
      </c>
      <c r="BV31" s="1" t="str">
        <f>IF(AS31&gt;AS$116, AS31-AS$116,"")</f>
        <v/>
      </c>
      <c r="BW31" s="1" t="str">
        <f>IF(AT31&gt;AT$116, AT31-AT$116,"")</f>
        <v/>
      </c>
      <c r="BX31" s="1" t="str">
        <f>IF(AU31&gt;AU$116, AU31-AU$116,"")</f>
        <v/>
      </c>
      <c r="BY31" s="1" t="str">
        <f>IF(AV31&gt;AV$116, AV31-AV$116,"")</f>
        <v/>
      </c>
      <c r="BZ31" s="1" t="str">
        <f>IF(AW31&gt;AW$116, AW31-AW$116,"")</f>
        <v/>
      </c>
      <c r="CA31" s="1" t="str">
        <f>IF(AX31&gt;AX$116, AX31-AX$116,"")</f>
        <v/>
      </c>
      <c r="CB31" s="1" t="str">
        <f>IF(AY31&gt;AY$116, AY31-AY$116,"")</f>
        <v/>
      </c>
      <c r="CC31" s="1">
        <f>COUNTIF(BQ31:CB31, "&gt;0")</f>
        <v>0</v>
      </c>
      <c r="CD31" s="1" t="str">
        <f>IF($CC31=1,BQ31,"")</f>
        <v/>
      </c>
      <c r="CE31" s="1" t="str">
        <f>IF($CC31=1,BR31,"")</f>
        <v/>
      </c>
      <c r="CF31" s="1" t="str">
        <f>IF($CC31=1,BS31,"")</f>
        <v/>
      </c>
      <c r="CG31" s="1" t="str">
        <f>IF($CC31=1,BT31,"")</f>
        <v/>
      </c>
      <c r="CH31" s="1" t="str">
        <f>IF($CC31=1,BU31,"")</f>
        <v/>
      </c>
      <c r="CI31" s="1" t="str">
        <f>IF($CC31=1,BV31,"")</f>
        <v/>
      </c>
      <c r="CJ31" s="1" t="str">
        <f>IF($CC31=1,BW31,"")</f>
        <v/>
      </c>
      <c r="CK31" s="1" t="str">
        <f>IF($CC31=1,BX31,"")</f>
        <v/>
      </c>
      <c r="CL31" s="1" t="str">
        <f>IF($CC31=1,BY31,"")</f>
        <v/>
      </c>
      <c r="CM31" s="1" t="str">
        <f>IF($CC31=1,BZ31,"")</f>
        <v/>
      </c>
      <c r="CN31" s="1" t="str">
        <f>IF($CC31=1,CA31,"")</f>
        <v/>
      </c>
      <c r="CO31" s="1" t="str">
        <f>IF($CC31=1,CB31,"")</f>
        <v/>
      </c>
      <c r="CP31" s="18">
        <f>SUM(AB31:BL31)</f>
        <v>30</v>
      </c>
    </row>
    <row r="32" spans="1:94" x14ac:dyDescent="0.15">
      <c r="A32" s="1"/>
      <c r="B32" s="1" t="s">
        <v>151</v>
      </c>
      <c r="C32" s="1" t="s">
        <v>152</v>
      </c>
      <c r="D32" s="1" t="s">
        <v>153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4"/>
      <c r="AO32" s="4">
        <v>10</v>
      </c>
      <c r="AP32" s="4"/>
      <c r="AQ32" s="4"/>
      <c r="AR32" s="4"/>
      <c r="AS32" s="4"/>
      <c r="AT32" s="2"/>
      <c r="AU32" s="2"/>
      <c r="AV32" s="2"/>
      <c r="AW32" s="2"/>
      <c r="AX32" s="2"/>
      <c r="AY32" s="2"/>
      <c r="AZ32" s="14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>
        <v>0</v>
      </c>
      <c r="BO32" s="17">
        <v>0</v>
      </c>
      <c r="BP32" s="17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8"/>
    </row>
    <row r="33" spans="1:94" x14ac:dyDescent="0.15">
      <c r="A33" s="1"/>
      <c r="B33" s="1" t="s">
        <v>155</v>
      </c>
      <c r="C33" s="1" t="s">
        <v>156</v>
      </c>
      <c r="D33" s="1" t="s">
        <v>154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4"/>
      <c r="AO33" s="4"/>
      <c r="AP33" s="4"/>
      <c r="AQ33" s="4"/>
      <c r="AR33" s="4"/>
      <c r="AS33" s="4"/>
      <c r="AT33" s="2"/>
      <c r="AU33" s="2"/>
      <c r="AV33" s="2"/>
      <c r="AW33" s="2"/>
      <c r="AX33" s="2"/>
      <c r="AY33" s="2"/>
      <c r="AZ33" s="14"/>
      <c r="BA33" s="1">
        <v>20</v>
      </c>
      <c r="BB33" s="1">
        <v>20</v>
      </c>
      <c r="BC33" s="1">
        <v>20</v>
      </c>
      <c r="BD33" s="1">
        <v>20</v>
      </c>
      <c r="BE33" s="1"/>
      <c r="BF33" s="1"/>
      <c r="BG33" s="1"/>
      <c r="BH33" s="1"/>
      <c r="BI33" s="1"/>
      <c r="BJ33" s="1"/>
      <c r="BK33" s="1"/>
      <c r="BL33" s="1"/>
      <c r="BM33" s="1"/>
      <c r="BN33" s="1">
        <v>0</v>
      </c>
      <c r="BO33" s="17">
        <v>0</v>
      </c>
      <c r="BP33" s="17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8"/>
    </row>
    <row r="34" spans="1:94" x14ac:dyDescent="0.15">
      <c r="A34" s="1"/>
      <c r="B34" s="1" t="s">
        <v>164</v>
      </c>
      <c r="C34" s="1" t="s">
        <v>156</v>
      </c>
      <c r="D34" s="1" t="s">
        <v>153</v>
      </c>
      <c r="E34" s="6"/>
      <c r="F34" s="6">
        <v>5</v>
      </c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4"/>
      <c r="AO34" s="4"/>
      <c r="AP34" s="4"/>
      <c r="AQ34" s="4"/>
      <c r="AR34" s="4"/>
      <c r="AS34" s="4"/>
      <c r="AT34" s="2"/>
      <c r="AU34" s="2"/>
      <c r="AV34" s="2"/>
      <c r="AW34" s="2"/>
      <c r="AX34" s="2"/>
      <c r="AY34" s="2"/>
      <c r="AZ34" s="14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>
        <v>0</v>
      </c>
      <c r="BO34" s="17">
        <v>0</v>
      </c>
      <c r="BP34" s="17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8"/>
    </row>
    <row r="35" spans="1:94" x14ac:dyDescent="0.15">
      <c r="A35" s="1"/>
      <c r="B35" s="1" t="s">
        <v>166</v>
      </c>
      <c r="C35" s="1" t="s">
        <v>167</v>
      </c>
      <c r="D35" s="1" t="s">
        <v>153</v>
      </c>
      <c r="E35" s="6">
        <v>15</v>
      </c>
      <c r="F35" s="6"/>
      <c r="G35" s="6">
        <v>15</v>
      </c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4"/>
      <c r="AO35" s="4">
        <v>15</v>
      </c>
      <c r="AP35" s="4"/>
      <c r="AQ35" s="4"/>
      <c r="AR35" s="4"/>
      <c r="AS35" s="4"/>
      <c r="AT35" s="2"/>
      <c r="AU35" s="2"/>
      <c r="AV35" s="2"/>
      <c r="AW35" s="2"/>
      <c r="AX35" s="2"/>
      <c r="AY35" s="2">
        <v>15</v>
      </c>
      <c r="AZ35" s="14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>
        <v>0</v>
      </c>
      <c r="BO35" s="17">
        <v>0</v>
      </c>
      <c r="BP35" s="17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8"/>
    </row>
    <row r="36" spans="1:94" x14ac:dyDescent="0.15">
      <c r="A36" s="1"/>
      <c r="B36" s="1" t="s">
        <v>166</v>
      </c>
      <c r="C36" s="1" t="s">
        <v>167</v>
      </c>
      <c r="D36" s="1" t="s">
        <v>154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4"/>
      <c r="AO36" s="4"/>
      <c r="AP36" s="4"/>
      <c r="AQ36" s="4"/>
      <c r="AR36" s="4"/>
      <c r="AS36" s="4"/>
      <c r="AT36" s="2"/>
      <c r="AU36" s="2"/>
      <c r="AV36" s="2"/>
      <c r="AW36" s="2"/>
      <c r="AX36" s="2"/>
      <c r="AY36" s="2"/>
      <c r="AZ36" s="14"/>
      <c r="BA36" s="1"/>
      <c r="BB36" s="1"/>
      <c r="BC36" s="1">
        <v>20</v>
      </c>
      <c r="BD36" s="1">
        <v>20</v>
      </c>
      <c r="BE36" s="1">
        <v>20</v>
      </c>
      <c r="BF36" s="1">
        <v>20</v>
      </c>
      <c r="BG36" s="1"/>
      <c r="BH36" s="1"/>
      <c r="BI36" s="1"/>
      <c r="BJ36" s="1"/>
      <c r="BK36" s="1"/>
      <c r="BL36" s="1"/>
      <c r="BM36" s="1"/>
      <c r="BN36" s="1">
        <v>0</v>
      </c>
      <c r="BO36" s="17">
        <v>0</v>
      </c>
      <c r="BP36" s="17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8"/>
    </row>
    <row r="37" spans="1:94" x14ac:dyDescent="0.15">
      <c r="A37" s="1"/>
      <c r="B37" s="1" t="s">
        <v>168</v>
      </c>
      <c r="C37" s="1" t="s">
        <v>167</v>
      </c>
      <c r="D37" s="1" t="s">
        <v>153</v>
      </c>
      <c r="E37" s="6">
        <v>15</v>
      </c>
      <c r="F37" s="6"/>
      <c r="G37" s="6">
        <v>15</v>
      </c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4"/>
      <c r="AO37" s="4">
        <v>15</v>
      </c>
      <c r="AP37" s="4"/>
      <c r="AQ37" s="4"/>
      <c r="AR37" s="4"/>
      <c r="AS37" s="4"/>
      <c r="AT37" s="2"/>
      <c r="AU37" s="2"/>
      <c r="AV37" s="2"/>
      <c r="AW37" s="2"/>
      <c r="AX37" s="2"/>
      <c r="AY37" s="2">
        <v>15</v>
      </c>
      <c r="AZ37" s="14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>
        <v>0</v>
      </c>
      <c r="BO37" s="17">
        <v>0</v>
      </c>
      <c r="BP37" s="17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8"/>
    </row>
    <row r="38" spans="1:94" x14ac:dyDescent="0.15">
      <c r="A38" s="1"/>
      <c r="B38" s="1" t="s">
        <v>169</v>
      </c>
      <c r="C38" s="1" t="s">
        <v>167</v>
      </c>
      <c r="D38" s="1" t="s">
        <v>153</v>
      </c>
      <c r="E38" s="6"/>
      <c r="F38" s="6"/>
      <c r="G38" s="6"/>
      <c r="H38" s="6"/>
      <c r="I38" s="6">
        <v>3</v>
      </c>
      <c r="J38" s="6"/>
      <c r="K38" s="6">
        <v>3</v>
      </c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4"/>
      <c r="AO38" s="4"/>
      <c r="AP38" s="4"/>
      <c r="AQ38" s="4"/>
      <c r="AR38" s="4"/>
      <c r="AS38" s="4"/>
      <c r="AT38" s="2"/>
      <c r="AU38" s="2"/>
      <c r="AV38" s="2"/>
      <c r="AW38" s="2"/>
      <c r="AX38" s="2"/>
      <c r="AY38" s="2"/>
      <c r="AZ38" s="14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>
        <v>0</v>
      </c>
      <c r="BO38" s="17">
        <v>0</v>
      </c>
      <c r="BP38" s="17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8"/>
    </row>
    <row r="39" spans="1:94" x14ac:dyDescent="0.15">
      <c r="A39" s="1"/>
      <c r="B39" s="1" t="s">
        <v>170</v>
      </c>
      <c r="C39" s="1" t="s">
        <v>167</v>
      </c>
      <c r="D39" s="1" t="s">
        <v>153</v>
      </c>
      <c r="E39" s="6"/>
      <c r="F39" s="6"/>
      <c r="G39" s="6"/>
      <c r="H39" s="6"/>
      <c r="I39" s="6"/>
      <c r="J39" s="6"/>
      <c r="K39" s="6"/>
      <c r="L39" s="6"/>
      <c r="M39" s="6"/>
      <c r="N39" s="6">
        <v>5</v>
      </c>
      <c r="O39" s="6"/>
      <c r="P39" s="6"/>
      <c r="Q39" s="6"/>
      <c r="R39" s="6"/>
      <c r="S39" s="6"/>
      <c r="T39" s="6"/>
      <c r="U39" s="6"/>
      <c r="V39" s="6">
        <v>5</v>
      </c>
      <c r="W39" s="6"/>
      <c r="X39" s="6"/>
      <c r="Y39" s="6"/>
      <c r="Z39" s="6"/>
      <c r="AA39" s="6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4"/>
      <c r="AO39" s="4"/>
      <c r="AP39" s="4"/>
      <c r="AQ39" s="4"/>
      <c r="AR39" s="4"/>
      <c r="AS39" s="4"/>
      <c r="AT39" s="2"/>
      <c r="AU39" s="2"/>
      <c r="AV39" s="2"/>
      <c r="AW39" s="2"/>
      <c r="AX39" s="2"/>
      <c r="AY39" s="2"/>
      <c r="AZ39" s="14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>
        <v>0</v>
      </c>
      <c r="BO39" s="17">
        <v>0</v>
      </c>
      <c r="BP39" s="17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8"/>
    </row>
    <row r="40" spans="1:94" x14ac:dyDescent="0.15">
      <c r="A40" s="1"/>
      <c r="B40" s="1" t="s">
        <v>170</v>
      </c>
      <c r="C40" s="1" t="s">
        <v>167</v>
      </c>
      <c r="D40" s="1" t="s">
        <v>154</v>
      </c>
      <c r="E40" s="6">
        <v>10</v>
      </c>
      <c r="F40" s="6"/>
      <c r="G40" s="6">
        <v>10</v>
      </c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4"/>
      <c r="AO40" s="4">
        <v>10</v>
      </c>
      <c r="AP40" s="4"/>
      <c r="AQ40" s="4"/>
      <c r="AR40" s="4"/>
      <c r="AS40" s="4"/>
      <c r="AT40" s="2"/>
      <c r="AU40" s="2"/>
      <c r="AV40" s="2"/>
      <c r="AW40" s="2"/>
      <c r="AX40" s="2"/>
      <c r="AY40" s="2">
        <v>10</v>
      </c>
      <c r="AZ40" s="14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>
        <v>0</v>
      </c>
      <c r="BO40" s="17">
        <v>0</v>
      </c>
      <c r="BP40" s="17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8"/>
    </row>
    <row r="41" spans="1:94" s="25" customFormat="1" x14ac:dyDescent="0.15">
      <c r="A41" s="1"/>
      <c r="B41" s="1" t="s">
        <v>173</v>
      </c>
      <c r="C41" s="1" t="s">
        <v>152</v>
      </c>
      <c r="D41" s="1" t="s">
        <v>154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4"/>
      <c r="AO41" s="4"/>
      <c r="AP41" s="4"/>
      <c r="AQ41" s="4"/>
      <c r="AR41" s="4"/>
      <c r="AS41" s="4"/>
      <c r="AT41" s="2"/>
      <c r="AU41" s="2"/>
      <c r="AV41" s="2"/>
      <c r="AW41" s="2"/>
      <c r="AX41" s="2"/>
      <c r="AY41" s="2"/>
      <c r="AZ41" s="14"/>
      <c r="BA41" s="1">
        <v>20</v>
      </c>
      <c r="BB41" s="1">
        <v>20</v>
      </c>
      <c r="BC41" s="1">
        <v>20</v>
      </c>
      <c r="BD41" s="1">
        <v>20</v>
      </c>
      <c r="BE41" s="1"/>
      <c r="BF41" s="1"/>
      <c r="BG41" s="1"/>
      <c r="BH41" s="1"/>
      <c r="BI41" s="1"/>
      <c r="BJ41" s="1"/>
      <c r="BK41" s="1"/>
      <c r="BL41" s="1"/>
      <c r="BM41" s="1"/>
      <c r="BN41" s="1">
        <v>0</v>
      </c>
      <c r="BO41" s="17">
        <v>0</v>
      </c>
      <c r="BP41" s="17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8"/>
    </row>
    <row r="42" spans="1:94" x14ac:dyDescent="0.15">
      <c r="A42" s="1"/>
      <c r="B42" s="1" t="s">
        <v>175</v>
      </c>
      <c r="C42" s="1" t="s">
        <v>152</v>
      </c>
      <c r="D42" s="1" t="s">
        <v>153</v>
      </c>
      <c r="E42" s="6"/>
      <c r="F42" s="6"/>
      <c r="G42" s="6"/>
      <c r="H42" s="6"/>
      <c r="I42" s="6"/>
      <c r="J42" s="6"/>
      <c r="K42" s="6">
        <v>5</v>
      </c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4"/>
      <c r="AO42" s="4"/>
      <c r="AP42" s="4"/>
      <c r="AQ42" s="4"/>
      <c r="AR42" s="4"/>
      <c r="AS42" s="4"/>
      <c r="AT42" s="2"/>
      <c r="AU42" s="2"/>
      <c r="AV42" s="2"/>
      <c r="AW42" s="2"/>
      <c r="AX42" s="2"/>
      <c r="AY42" s="2"/>
      <c r="AZ42" s="14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>
        <v>0</v>
      </c>
      <c r="BO42" s="17">
        <v>0</v>
      </c>
      <c r="BP42" s="17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8"/>
    </row>
    <row r="43" spans="1:94" x14ac:dyDescent="0.15">
      <c r="A43" s="1"/>
      <c r="B43" s="1" t="s">
        <v>176</v>
      </c>
      <c r="C43" s="1" t="s">
        <v>178</v>
      </c>
      <c r="D43" s="1" t="s">
        <v>153</v>
      </c>
      <c r="E43" s="6"/>
      <c r="F43" s="6"/>
      <c r="G43" s="6">
        <v>2</v>
      </c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>
        <v>5</v>
      </c>
      <c r="Y43" s="6"/>
      <c r="Z43" s="6"/>
      <c r="AA43" s="6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4"/>
      <c r="AO43" s="4"/>
      <c r="AP43" s="4"/>
      <c r="AQ43" s="4"/>
      <c r="AR43" s="4"/>
      <c r="AS43" s="4"/>
      <c r="AT43" s="2"/>
      <c r="AU43" s="2"/>
      <c r="AV43" s="2"/>
      <c r="AW43" s="2"/>
      <c r="AX43" s="2"/>
      <c r="AY43" s="2"/>
      <c r="AZ43" s="14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>
        <v>0</v>
      </c>
      <c r="BO43" s="17">
        <v>0</v>
      </c>
      <c r="BP43" s="17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8"/>
    </row>
    <row r="44" spans="1:94" x14ac:dyDescent="0.15">
      <c r="A44" s="1"/>
      <c r="B44" s="1" t="s">
        <v>177</v>
      </c>
      <c r="C44" s="1" t="s">
        <v>178</v>
      </c>
      <c r="D44" s="1" t="s">
        <v>153</v>
      </c>
      <c r="E44" s="6"/>
      <c r="F44" s="6"/>
      <c r="G44" s="6">
        <v>5</v>
      </c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>
        <v>5</v>
      </c>
      <c r="Y44" s="6"/>
      <c r="Z44" s="6"/>
      <c r="AA44" s="6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4"/>
      <c r="AO44" s="4"/>
      <c r="AP44" s="4"/>
      <c r="AQ44" s="4"/>
      <c r="AR44" s="4"/>
      <c r="AS44" s="4"/>
      <c r="AT44" s="2"/>
      <c r="AU44" s="2"/>
      <c r="AV44" s="2"/>
      <c r="AW44" s="2"/>
      <c r="AX44" s="2"/>
      <c r="AY44" s="2"/>
      <c r="AZ44" s="14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>
        <v>0</v>
      </c>
      <c r="BO44" s="17">
        <v>0</v>
      </c>
      <c r="BP44" s="17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8"/>
    </row>
    <row r="45" spans="1:94" x14ac:dyDescent="0.15">
      <c r="A45" s="1"/>
      <c r="B45" s="1" t="s">
        <v>177</v>
      </c>
      <c r="C45" s="1" t="s">
        <v>178</v>
      </c>
      <c r="D45" s="1" t="s">
        <v>154</v>
      </c>
      <c r="E45" s="6"/>
      <c r="F45" s="6"/>
      <c r="G45" s="6">
        <v>6</v>
      </c>
      <c r="H45" s="6">
        <v>6</v>
      </c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4"/>
      <c r="AO45" s="4"/>
      <c r="AP45" s="4"/>
      <c r="AQ45" s="4"/>
      <c r="AR45" s="4"/>
      <c r="AS45" s="4">
        <v>10</v>
      </c>
      <c r="AT45" s="2">
        <v>10</v>
      </c>
      <c r="AU45" s="2"/>
      <c r="AV45" s="2"/>
      <c r="AW45" s="2"/>
      <c r="AX45" s="2"/>
      <c r="AY45" s="2"/>
      <c r="AZ45" s="14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>
        <v>0</v>
      </c>
      <c r="BO45" s="17">
        <v>0</v>
      </c>
      <c r="BP45" s="17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8"/>
    </row>
    <row r="46" spans="1:94" x14ac:dyDescent="0.15">
      <c r="A46" s="1"/>
      <c r="B46" s="1" t="s">
        <v>179</v>
      </c>
      <c r="C46" s="1" t="s">
        <v>178</v>
      </c>
      <c r="D46" s="1" t="s">
        <v>153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>
        <v>10</v>
      </c>
      <c r="Y46" s="6"/>
      <c r="Z46" s="6"/>
      <c r="AA46" s="6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4"/>
      <c r="AO46" s="4"/>
      <c r="AP46" s="4"/>
      <c r="AQ46" s="4"/>
      <c r="AR46" s="4"/>
      <c r="AS46" s="4"/>
      <c r="AT46" s="2"/>
      <c r="AU46" s="2"/>
      <c r="AV46" s="2"/>
      <c r="AW46" s="2"/>
      <c r="AX46" s="2"/>
      <c r="AY46" s="2"/>
      <c r="AZ46" s="14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>
        <v>0</v>
      </c>
      <c r="BO46" s="17">
        <v>0</v>
      </c>
      <c r="BP46" s="17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8"/>
    </row>
    <row r="47" spans="1:94" x14ac:dyDescent="0.15">
      <c r="A47" s="1"/>
      <c r="B47" s="1" t="s">
        <v>182</v>
      </c>
      <c r="C47" s="1" t="s">
        <v>181</v>
      </c>
      <c r="D47" s="1" t="s">
        <v>153</v>
      </c>
      <c r="E47" s="6"/>
      <c r="F47" s="6"/>
      <c r="G47" s="6">
        <v>15</v>
      </c>
      <c r="H47" s="6">
        <v>15</v>
      </c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4"/>
      <c r="AO47" s="4"/>
      <c r="AP47" s="4"/>
      <c r="AQ47" s="4"/>
      <c r="AR47" s="4"/>
      <c r="AS47" s="4"/>
      <c r="AT47" s="2"/>
      <c r="AU47" s="2"/>
      <c r="AV47" s="2"/>
      <c r="AW47" s="2"/>
      <c r="AX47" s="2">
        <v>15</v>
      </c>
      <c r="AY47" s="2">
        <v>15</v>
      </c>
      <c r="AZ47" s="14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>
        <v>0</v>
      </c>
      <c r="BO47" s="17">
        <v>0</v>
      </c>
      <c r="BP47" s="17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8"/>
    </row>
    <row r="48" spans="1:94" s="25" customFormat="1" x14ac:dyDescent="0.15">
      <c r="A48" s="1"/>
      <c r="B48" s="1" t="s">
        <v>183</v>
      </c>
      <c r="C48" s="1" t="s">
        <v>181</v>
      </c>
      <c r="D48" s="1" t="s">
        <v>153</v>
      </c>
      <c r="E48" s="6"/>
      <c r="F48" s="6"/>
      <c r="G48" s="6"/>
      <c r="H48" s="6">
        <v>5</v>
      </c>
      <c r="I48" s="6"/>
      <c r="J48" s="6"/>
      <c r="K48" s="6"/>
      <c r="L48" s="6"/>
      <c r="M48" s="6">
        <v>5</v>
      </c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4"/>
      <c r="AO48" s="4"/>
      <c r="AP48" s="4"/>
      <c r="AQ48" s="4"/>
      <c r="AR48" s="4"/>
      <c r="AS48" s="4"/>
      <c r="AT48" s="2"/>
      <c r="AU48" s="2"/>
      <c r="AV48" s="2"/>
      <c r="AW48" s="2"/>
      <c r="AX48" s="2"/>
      <c r="AY48" s="2"/>
      <c r="AZ48" s="14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>
        <v>0</v>
      </c>
      <c r="BO48" s="17">
        <v>0</v>
      </c>
      <c r="BP48" s="17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8"/>
    </row>
    <row r="49" spans="1:94" x14ac:dyDescent="0.15">
      <c r="A49" s="1"/>
      <c r="B49" s="1" t="s">
        <v>183</v>
      </c>
      <c r="C49" s="1" t="s">
        <v>181</v>
      </c>
      <c r="D49" s="1" t="s">
        <v>154</v>
      </c>
      <c r="E49" s="6"/>
      <c r="F49" s="6"/>
      <c r="G49" s="6"/>
      <c r="H49" s="6">
        <v>6</v>
      </c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4"/>
      <c r="AO49" s="4"/>
      <c r="AP49" s="4"/>
      <c r="AQ49" s="4">
        <v>10</v>
      </c>
      <c r="AR49" s="4"/>
      <c r="AS49" s="4"/>
      <c r="AT49" s="2"/>
      <c r="AU49" s="2"/>
      <c r="AV49" s="2"/>
      <c r="AW49" s="2">
        <v>6</v>
      </c>
      <c r="AX49" s="2">
        <v>6</v>
      </c>
      <c r="AY49" s="2"/>
      <c r="AZ49" s="14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>
        <v>0</v>
      </c>
      <c r="BO49" s="17">
        <v>0</v>
      </c>
      <c r="BP49" s="17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8"/>
    </row>
    <row r="50" spans="1:94" x14ac:dyDescent="0.15">
      <c r="A50" s="1"/>
      <c r="B50" s="1" t="s">
        <v>184</v>
      </c>
      <c r="C50" s="1" t="s">
        <v>181</v>
      </c>
      <c r="D50" s="1" t="s">
        <v>153</v>
      </c>
      <c r="E50" s="6"/>
      <c r="F50" s="6"/>
      <c r="G50" s="6"/>
      <c r="H50" s="6"/>
      <c r="I50" s="6"/>
      <c r="J50" s="6">
        <v>5</v>
      </c>
      <c r="K50" s="6"/>
      <c r="L50" s="6"/>
      <c r="M50" s="6"/>
      <c r="N50" s="6"/>
      <c r="O50" s="6"/>
      <c r="P50" s="6"/>
      <c r="Q50" s="6"/>
      <c r="R50" s="6"/>
      <c r="S50" s="6"/>
      <c r="T50" s="6"/>
      <c r="U50" s="6">
        <v>5</v>
      </c>
      <c r="V50" s="6"/>
      <c r="W50" s="6"/>
      <c r="X50" s="6"/>
      <c r="Y50" s="6"/>
      <c r="Z50" s="6"/>
      <c r="AA50" s="6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4"/>
      <c r="AO50" s="4"/>
      <c r="AP50" s="4"/>
      <c r="AQ50" s="4"/>
      <c r="AR50" s="4"/>
      <c r="AS50" s="4"/>
      <c r="AT50" s="2"/>
      <c r="AU50" s="2"/>
      <c r="AV50" s="2"/>
      <c r="AW50" s="2"/>
      <c r="AX50" s="2"/>
      <c r="AY50" s="2"/>
      <c r="AZ50" s="14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>
        <v>0</v>
      </c>
      <c r="BO50" s="17">
        <v>0</v>
      </c>
      <c r="BP50" s="17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8"/>
    </row>
    <row r="51" spans="1:94" x14ac:dyDescent="0.15">
      <c r="A51" s="1"/>
      <c r="B51" s="1" t="s">
        <v>185</v>
      </c>
      <c r="C51" s="1" t="s">
        <v>181</v>
      </c>
      <c r="D51" s="1" t="s">
        <v>153</v>
      </c>
      <c r="E51" s="6"/>
      <c r="F51" s="6">
        <v>5</v>
      </c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4"/>
      <c r="AO51" s="4"/>
      <c r="AP51" s="4"/>
      <c r="AQ51" s="4"/>
      <c r="AR51" s="4"/>
      <c r="AS51" s="4"/>
      <c r="AT51" s="2"/>
      <c r="AU51" s="2"/>
      <c r="AV51" s="2"/>
      <c r="AW51" s="2"/>
      <c r="AX51" s="2"/>
      <c r="AY51" s="2"/>
      <c r="AZ51" s="14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>
        <v>0</v>
      </c>
      <c r="BO51" s="17">
        <v>0</v>
      </c>
      <c r="BP51" s="17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8"/>
    </row>
    <row r="52" spans="1:94" x14ac:dyDescent="0.15">
      <c r="A52" s="1"/>
      <c r="B52" s="1" t="s">
        <v>186</v>
      </c>
      <c r="C52" s="1" t="s">
        <v>181</v>
      </c>
      <c r="D52" s="1" t="s">
        <v>153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>
        <v>5</v>
      </c>
      <c r="P52" s="6"/>
      <c r="Q52" s="6"/>
      <c r="R52" s="6"/>
      <c r="S52" s="6"/>
      <c r="T52" s="6"/>
      <c r="U52" s="6">
        <v>5</v>
      </c>
      <c r="V52" s="6"/>
      <c r="W52" s="6"/>
      <c r="X52" s="6"/>
      <c r="Y52" s="6"/>
      <c r="Z52" s="6"/>
      <c r="AA52" s="6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4"/>
      <c r="AO52" s="4"/>
      <c r="AP52" s="4"/>
      <c r="AQ52" s="4"/>
      <c r="AR52" s="4"/>
      <c r="AS52" s="4"/>
      <c r="AT52" s="2"/>
      <c r="AU52" s="2"/>
      <c r="AV52" s="2"/>
      <c r="AW52" s="2"/>
      <c r="AX52" s="2"/>
      <c r="AY52" s="2"/>
      <c r="AZ52" s="14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>
        <v>0</v>
      </c>
      <c r="BO52" s="17">
        <v>0</v>
      </c>
      <c r="BP52" s="17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8"/>
    </row>
    <row r="53" spans="1:94" x14ac:dyDescent="0.15">
      <c r="A53" s="1"/>
      <c r="B53" s="1" t="s">
        <v>186</v>
      </c>
      <c r="C53" s="1" t="s">
        <v>181</v>
      </c>
      <c r="D53" s="1" t="s">
        <v>154</v>
      </c>
      <c r="E53" s="6"/>
      <c r="F53" s="6">
        <v>6</v>
      </c>
      <c r="G53" s="6"/>
      <c r="H53" s="6"/>
      <c r="I53" s="6"/>
      <c r="J53" s="6"/>
      <c r="K53" s="6"/>
      <c r="L53" s="6"/>
      <c r="M53" s="6"/>
      <c r="N53" s="6"/>
      <c r="O53" s="6">
        <v>6</v>
      </c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4"/>
      <c r="AO53" s="4"/>
      <c r="AP53" s="4"/>
      <c r="AQ53" s="4">
        <v>10</v>
      </c>
      <c r="AR53" s="4"/>
      <c r="AS53" s="4"/>
      <c r="AT53" s="2"/>
      <c r="AU53" s="2"/>
      <c r="AV53" s="2">
        <v>10</v>
      </c>
      <c r="AW53" s="2"/>
      <c r="AX53" s="2"/>
      <c r="AY53" s="2"/>
      <c r="AZ53" s="14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>
        <v>0</v>
      </c>
      <c r="BO53" s="17">
        <v>0</v>
      </c>
      <c r="BP53" s="17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8"/>
    </row>
    <row r="54" spans="1:94" x14ac:dyDescent="0.15">
      <c r="A54" s="1"/>
      <c r="B54" s="1" t="s">
        <v>187</v>
      </c>
      <c r="C54" s="1" t="s">
        <v>181</v>
      </c>
      <c r="D54" s="1" t="s">
        <v>153</v>
      </c>
      <c r="E54" s="6"/>
      <c r="F54" s="6"/>
      <c r="G54" s="6"/>
      <c r="H54" s="6"/>
      <c r="I54" s="6"/>
      <c r="J54" s="6"/>
      <c r="K54" s="6">
        <v>5</v>
      </c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4"/>
      <c r="AO54" s="4"/>
      <c r="AP54" s="4"/>
      <c r="AQ54" s="4"/>
      <c r="AR54" s="4"/>
      <c r="AS54" s="4"/>
      <c r="AT54" s="2"/>
      <c r="AU54" s="2"/>
      <c r="AV54" s="2"/>
      <c r="AW54" s="2"/>
      <c r="AX54" s="2"/>
      <c r="AY54" s="2"/>
      <c r="AZ54" s="14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>
        <v>0</v>
      </c>
      <c r="BO54" s="17">
        <v>0</v>
      </c>
      <c r="BP54" s="17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8"/>
    </row>
    <row r="55" spans="1:94" x14ac:dyDescent="0.15">
      <c r="A55" s="1"/>
      <c r="B55" s="1" t="s">
        <v>187</v>
      </c>
      <c r="C55" s="1" t="s">
        <v>181</v>
      </c>
      <c r="D55" s="1" t="s">
        <v>154</v>
      </c>
      <c r="E55" s="6"/>
      <c r="F55" s="6"/>
      <c r="G55" s="6"/>
      <c r="H55" s="6">
        <v>10</v>
      </c>
      <c r="I55" s="6"/>
      <c r="J55" s="6">
        <v>10</v>
      </c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4"/>
      <c r="AO55" s="4"/>
      <c r="AP55" s="4"/>
      <c r="AQ55" s="4">
        <v>10</v>
      </c>
      <c r="AR55" s="4"/>
      <c r="AS55" s="4"/>
      <c r="AT55" s="2"/>
      <c r="AU55" s="2"/>
      <c r="AV55" s="2">
        <v>10</v>
      </c>
      <c r="AW55" s="2"/>
      <c r="AX55" s="2"/>
      <c r="AY55" s="2"/>
      <c r="AZ55" s="14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>
        <v>0</v>
      </c>
      <c r="BO55" s="17">
        <v>0</v>
      </c>
      <c r="BP55" s="17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8"/>
    </row>
    <row r="56" spans="1:94" x14ac:dyDescent="0.15">
      <c r="A56" s="1"/>
      <c r="B56" s="1" t="s">
        <v>188</v>
      </c>
      <c r="C56" s="1" t="s">
        <v>181</v>
      </c>
      <c r="D56" s="1" t="s">
        <v>153</v>
      </c>
      <c r="E56" s="6"/>
      <c r="F56" s="6"/>
      <c r="G56" s="6"/>
      <c r="H56" s="6">
        <v>5</v>
      </c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>
        <v>5</v>
      </c>
      <c r="W56" s="6"/>
      <c r="X56" s="6"/>
      <c r="Y56" s="6"/>
      <c r="Z56" s="6"/>
      <c r="AA56" s="6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4"/>
      <c r="AO56" s="4"/>
      <c r="AP56" s="4"/>
      <c r="AQ56" s="4"/>
      <c r="AR56" s="4"/>
      <c r="AS56" s="4"/>
      <c r="AT56" s="2"/>
      <c r="AU56" s="2"/>
      <c r="AV56" s="2"/>
      <c r="AW56" s="2"/>
      <c r="AX56" s="2"/>
      <c r="AY56" s="2"/>
      <c r="AZ56" s="14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>
        <v>0</v>
      </c>
      <c r="BO56" s="17">
        <v>0</v>
      </c>
      <c r="BP56" s="17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8"/>
    </row>
    <row r="57" spans="1:94" s="25" customFormat="1" x14ac:dyDescent="0.15">
      <c r="A57" s="1"/>
      <c r="B57" s="1" t="s">
        <v>188</v>
      </c>
      <c r="C57" s="1" t="s">
        <v>181</v>
      </c>
      <c r="D57" s="1" t="s">
        <v>154</v>
      </c>
      <c r="E57" s="6"/>
      <c r="F57" s="6"/>
      <c r="G57" s="6"/>
      <c r="H57" s="6">
        <v>6</v>
      </c>
      <c r="I57" s="6"/>
      <c r="J57" s="6">
        <v>6</v>
      </c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4"/>
      <c r="AO57" s="4"/>
      <c r="AP57" s="4"/>
      <c r="AQ57" s="4">
        <v>8</v>
      </c>
      <c r="AR57" s="4"/>
      <c r="AS57" s="4"/>
      <c r="AT57" s="2"/>
      <c r="AU57" s="2"/>
      <c r="AV57" s="2">
        <v>8</v>
      </c>
      <c r="AW57" s="2"/>
      <c r="AX57" s="2"/>
      <c r="AY57" s="2"/>
      <c r="AZ57" s="14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>
        <v>0</v>
      </c>
      <c r="BO57" s="17">
        <v>0</v>
      </c>
      <c r="BP57" s="17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8"/>
    </row>
    <row r="58" spans="1:94" x14ac:dyDescent="0.15">
      <c r="A58" s="1"/>
      <c r="B58" s="1" t="s">
        <v>189</v>
      </c>
      <c r="C58" s="1" t="s">
        <v>181</v>
      </c>
      <c r="D58" s="1" t="s">
        <v>153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4"/>
      <c r="AO58" s="4"/>
      <c r="AP58" s="4"/>
      <c r="AQ58" s="4"/>
      <c r="AR58" s="4"/>
      <c r="AS58" s="4"/>
      <c r="AT58" s="2"/>
      <c r="AU58" s="2"/>
      <c r="AV58" s="2"/>
      <c r="AW58" s="2"/>
      <c r="AX58" s="2">
        <v>10</v>
      </c>
      <c r="AY58" s="2">
        <v>10</v>
      </c>
      <c r="AZ58" s="14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>
        <v>0</v>
      </c>
      <c r="BO58" s="17">
        <v>0</v>
      </c>
      <c r="BP58" s="17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8"/>
    </row>
    <row r="59" spans="1:94" x14ac:dyDescent="0.15">
      <c r="A59" s="1"/>
      <c r="B59" s="1" t="s">
        <v>192</v>
      </c>
      <c r="C59" s="1" t="s">
        <v>191</v>
      </c>
      <c r="D59" s="1" t="s">
        <v>153</v>
      </c>
      <c r="E59" s="6"/>
      <c r="F59" s="6"/>
      <c r="G59" s="6">
        <v>5</v>
      </c>
      <c r="H59" s="6"/>
      <c r="I59" s="6"/>
      <c r="J59" s="6"/>
      <c r="K59" s="6"/>
      <c r="L59" s="6"/>
      <c r="M59" s="6"/>
      <c r="N59" s="6"/>
      <c r="O59" s="6">
        <v>5</v>
      </c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4"/>
      <c r="AO59" s="4"/>
      <c r="AP59" s="4"/>
      <c r="AQ59" s="4"/>
      <c r="AR59" s="4"/>
      <c r="AS59" s="4"/>
      <c r="AT59" s="2"/>
      <c r="AU59" s="2"/>
      <c r="AV59" s="2"/>
      <c r="AW59" s="2"/>
      <c r="AX59" s="2"/>
      <c r="AY59" s="2"/>
      <c r="AZ59" s="14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>
        <v>0</v>
      </c>
      <c r="BO59" s="17">
        <v>0</v>
      </c>
      <c r="BP59" s="17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8"/>
    </row>
    <row r="60" spans="1:94" x14ac:dyDescent="0.15">
      <c r="A60" s="1"/>
      <c r="B60" s="1" t="s">
        <v>192</v>
      </c>
      <c r="C60" s="1" t="s">
        <v>191</v>
      </c>
      <c r="D60" s="1" t="s">
        <v>154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>
        <v>6</v>
      </c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4"/>
      <c r="AO60" s="4"/>
      <c r="AP60" s="4"/>
      <c r="AQ60" s="4"/>
      <c r="AR60" s="4">
        <v>10</v>
      </c>
      <c r="AS60" s="4"/>
      <c r="AT60" s="2"/>
      <c r="AU60" s="2"/>
      <c r="AV60" s="2"/>
      <c r="AW60" s="2">
        <v>6</v>
      </c>
      <c r="AX60" s="2">
        <v>6</v>
      </c>
      <c r="AY60" s="2"/>
      <c r="AZ60" s="14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>
        <v>0</v>
      </c>
      <c r="BO60" s="17">
        <v>0</v>
      </c>
      <c r="BP60" s="17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8"/>
    </row>
    <row r="61" spans="1:94" x14ac:dyDescent="0.15">
      <c r="A61" s="1"/>
      <c r="B61" s="1" t="s">
        <v>151</v>
      </c>
      <c r="C61" s="1" t="s">
        <v>152</v>
      </c>
      <c r="D61" s="1" t="s">
        <v>154</v>
      </c>
      <c r="E61" s="6">
        <v>10</v>
      </c>
      <c r="F61" s="6"/>
      <c r="G61" s="6">
        <v>10</v>
      </c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4"/>
      <c r="AO61" s="4"/>
      <c r="AP61" s="4"/>
      <c r="AQ61" s="4">
        <v>15</v>
      </c>
      <c r="AR61" s="4"/>
      <c r="AS61" s="4"/>
      <c r="AT61" s="2"/>
      <c r="AU61" s="2"/>
      <c r="AV61" s="2"/>
      <c r="AW61" s="2">
        <v>15</v>
      </c>
      <c r="AX61" s="2">
        <v>15</v>
      </c>
      <c r="AY61" s="2"/>
      <c r="AZ61" s="14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>
        <v>1</v>
      </c>
      <c r="BO61" s="17">
        <v>1</v>
      </c>
      <c r="BP61" s="17" t="s">
        <v>209</v>
      </c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8"/>
    </row>
    <row r="62" spans="1:94" x14ac:dyDescent="0.15">
      <c r="A62" s="1">
        <v>21</v>
      </c>
      <c r="B62" s="1" t="s">
        <v>40</v>
      </c>
      <c r="C62" s="1" t="s">
        <v>33</v>
      </c>
      <c r="D62" s="1" t="s">
        <v>26</v>
      </c>
      <c r="E62" s="6"/>
      <c r="F62" s="6"/>
      <c r="G62" s="6">
        <v>6</v>
      </c>
      <c r="H62" s="6">
        <v>6</v>
      </c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4"/>
      <c r="AO62" s="4"/>
      <c r="AP62" s="4">
        <v>10</v>
      </c>
      <c r="AQ62" s="4"/>
      <c r="AR62" s="4"/>
      <c r="AS62" s="4"/>
      <c r="AT62" s="2"/>
      <c r="AU62" s="2"/>
      <c r="AV62" s="2"/>
      <c r="AW62" s="2"/>
      <c r="AX62" s="2"/>
      <c r="AY62" s="2">
        <v>10</v>
      </c>
      <c r="AZ62" s="14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>
        <f>SUM(E62:BL62)</f>
        <v>32</v>
      </c>
      <c r="BN62" s="1">
        <v>2</v>
      </c>
      <c r="BO62" s="17">
        <v>1</v>
      </c>
      <c r="BP62" s="17" t="s">
        <v>198</v>
      </c>
      <c r="BQ62" s="1" t="str">
        <f>IF(AN62&gt;AN$116, AN62-AN$116,"")</f>
        <v/>
      </c>
      <c r="BR62" s="1" t="str">
        <f>IF(AO62&gt;AO$116, AO62-AO$116,"")</f>
        <v/>
      </c>
      <c r="BS62" s="1">
        <f>IF(AP62&gt;AP$116, AP62-AP$116,"")</f>
        <v>2</v>
      </c>
      <c r="BT62" s="1" t="str">
        <f>IF(AQ62&gt;AQ$116, AQ62-AQ$116,"")</f>
        <v/>
      </c>
      <c r="BU62" s="1" t="str">
        <f>IF(AR62&gt;AR$116, AR62-AR$116,"")</f>
        <v/>
      </c>
      <c r="BV62" s="1" t="str">
        <f>IF(AS62&gt;AS$116, AS62-AS$116,"")</f>
        <v/>
      </c>
      <c r="BW62" s="1" t="str">
        <f>IF(AT62&gt;AT$116, AT62-AT$116,"")</f>
        <v/>
      </c>
      <c r="BX62" s="1" t="str">
        <f>IF(AU62&gt;AU$116, AU62-AU$116,"")</f>
        <v/>
      </c>
      <c r="BY62" s="1" t="str">
        <f>IF(AV62&gt;AV$116, AV62-AV$116,"")</f>
        <v/>
      </c>
      <c r="BZ62" s="1" t="str">
        <f>IF(AW62&gt;AW$116, AW62-AW$116,"")</f>
        <v/>
      </c>
      <c r="CA62" s="1" t="str">
        <f>IF(AX62&gt;AX$116, AX62-AX$116,"")</f>
        <v/>
      </c>
      <c r="CB62" s="1" t="str">
        <f>IF(AY62&gt;AY$116, AY62-AY$116,"")</f>
        <v/>
      </c>
      <c r="CC62" s="1">
        <f>COUNTIF(BQ62:CB62, "&gt;0")</f>
        <v>1</v>
      </c>
      <c r="CD62" s="1" t="str">
        <f>IF($CC62=1,BQ62,"")</f>
        <v/>
      </c>
      <c r="CE62" s="1" t="str">
        <f>IF($CC62=1,BR62,"")</f>
        <v/>
      </c>
      <c r="CF62" s="1">
        <f>IF($CC62=1,BS62,"")</f>
        <v>2</v>
      </c>
      <c r="CG62" s="1" t="str">
        <f>IF($CC62=1,BT62,"")</f>
        <v/>
      </c>
      <c r="CH62" s="1" t="str">
        <f>IF($CC62=1,BU62,"")</f>
        <v/>
      </c>
      <c r="CI62" s="1" t="str">
        <f>IF($CC62=1,BV62,"")</f>
        <v/>
      </c>
      <c r="CJ62" s="1" t="str">
        <f>IF($CC62=1,BW62,"")</f>
        <v/>
      </c>
      <c r="CK62" s="1" t="str">
        <f>IF($CC62=1,BX62,"")</f>
        <v/>
      </c>
      <c r="CL62" s="1" t="str">
        <f>IF($CC62=1,BY62,"")</f>
        <v/>
      </c>
      <c r="CM62" s="1" t="str">
        <f>IF($CC62=1,BZ62,"")</f>
        <v/>
      </c>
      <c r="CN62" s="1" t="str">
        <f>IF($CC62=1,CA62,"")</f>
        <v/>
      </c>
      <c r="CO62" s="1" t="str">
        <f>IF($CC62=1,CB62,"")</f>
        <v/>
      </c>
      <c r="CP62" s="18">
        <f>SUM(AB62:BL62)</f>
        <v>20</v>
      </c>
    </row>
    <row r="63" spans="1:94" x14ac:dyDescent="0.15">
      <c r="A63" s="1"/>
      <c r="B63" s="1" t="s">
        <v>159</v>
      </c>
      <c r="C63" s="1" t="s">
        <v>156</v>
      </c>
      <c r="D63" s="1" t="s">
        <v>153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4"/>
      <c r="AO63" s="4"/>
      <c r="AP63" s="4">
        <v>10</v>
      </c>
      <c r="AQ63" s="4"/>
      <c r="AR63" s="4"/>
      <c r="AS63" s="4"/>
      <c r="AT63" s="2"/>
      <c r="AU63" s="2"/>
      <c r="AV63" s="2"/>
      <c r="AW63" s="2"/>
      <c r="AX63" s="2"/>
      <c r="AY63" s="2">
        <v>10</v>
      </c>
      <c r="AZ63" s="14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>
        <v>2</v>
      </c>
      <c r="BO63" s="17">
        <v>1</v>
      </c>
      <c r="BP63" s="17" t="s">
        <v>197</v>
      </c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8"/>
    </row>
    <row r="64" spans="1:94" x14ac:dyDescent="0.15">
      <c r="A64" s="1"/>
      <c r="B64" s="1" t="s">
        <v>164</v>
      </c>
      <c r="C64" s="1" t="s">
        <v>156</v>
      </c>
      <c r="D64" s="1" t="s">
        <v>154</v>
      </c>
      <c r="E64" s="6">
        <v>6</v>
      </c>
      <c r="F64" s="6">
        <v>6</v>
      </c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4"/>
      <c r="AO64" s="4"/>
      <c r="AP64" s="4">
        <v>10</v>
      </c>
      <c r="AQ64" s="4"/>
      <c r="AR64" s="4"/>
      <c r="AS64" s="4"/>
      <c r="AT64" s="2"/>
      <c r="AU64" s="2">
        <v>10</v>
      </c>
      <c r="AV64" s="2"/>
      <c r="AW64" s="2"/>
      <c r="AX64" s="2"/>
      <c r="AY64" s="2"/>
      <c r="AZ64" s="14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>
        <v>2</v>
      </c>
      <c r="BO64" s="17">
        <v>1</v>
      </c>
      <c r="BP64" s="17" t="s">
        <v>197</v>
      </c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8"/>
    </row>
    <row r="65" spans="1:94" x14ac:dyDescent="0.15">
      <c r="A65" s="1"/>
      <c r="B65" s="1" t="s">
        <v>165</v>
      </c>
      <c r="C65" s="1" t="s">
        <v>156</v>
      </c>
      <c r="D65" s="1" t="s">
        <v>161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>
        <v>2</v>
      </c>
      <c r="AM65" s="1"/>
      <c r="AN65" s="4"/>
      <c r="AO65" s="4"/>
      <c r="AP65" s="4"/>
      <c r="AQ65" s="4"/>
      <c r="AR65" s="4"/>
      <c r="AS65" s="4"/>
      <c r="AT65" s="2"/>
      <c r="AU65" s="2"/>
      <c r="AV65" s="2"/>
      <c r="AW65" s="2"/>
      <c r="AX65" s="2"/>
      <c r="AY65" s="2"/>
      <c r="AZ65" s="14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>
        <v>2</v>
      </c>
      <c r="BO65" s="17">
        <v>1</v>
      </c>
      <c r="BP65" s="17" t="s">
        <v>214</v>
      </c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8"/>
    </row>
    <row r="66" spans="1:94" x14ac:dyDescent="0.15">
      <c r="A66" s="1">
        <v>1</v>
      </c>
      <c r="B66" s="1" t="s">
        <v>0</v>
      </c>
      <c r="C66" s="1" t="s">
        <v>2</v>
      </c>
      <c r="D66" s="1" t="s">
        <v>1</v>
      </c>
      <c r="E66" s="6">
        <v>10</v>
      </c>
      <c r="F66" s="6">
        <v>10</v>
      </c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4"/>
      <c r="AO66" s="4">
        <v>10</v>
      </c>
      <c r="AP66" s="4"/>
      <c r="AQ66" s="4"/>
      <c r="AR66" s="4"/>
      <c r="AS66" s="4"/>
      <c r="AT66" s="2">
        <v>15</v>
      </c>
      <c r="AU66" s="2">
        <v>15</v>
      </c>
      <c r="AV66" s="2"/>
      <c r="AW66" s="2"/>
      <c r="AX66" s="2"/>
      <c r="AY66" s="2"/>
      <c r="AZ66" s="14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>
        <f>SUM(E66:BL66)</f>
        <v>60</v>
      </c>
      <c r="BN66" s="1">
        <v>4</v>
      </c>
      <c r="BO66" s="17">
        <v>1</v>
      </c>
      <c r="BP66" s="17" t="s">
        <v>194</v>
      </c>
      <c r="BQ66" s="1" t="str">
        <f>IF(AN66&gt;AN$116, AN66-AN$116,"")</f>
        <v/>
      </c>
      <c r="BR66" s="1" t="str">
        <f>IF(AO66&gt;AO$116, AO66-AO$116,"")</f>
        <v/>
      </c>
      <c r="BS66" s="1" t="str">
        <f>IF(AP66&gt;AP$116, AP66-AP$116,"")</f>
        <v/>
      </c>
      <c r="BT66" s="1" t="str">
        <f>IF(AQ66&gt;AQ$116, AQ66-AQ$116,"")</f>
        <v/>
      </c>
      <c r="BU66" s="1" t="str">
        <f>IF(AR66&gt;AR$116, AR66-AR$116,"")</f>
        <v/>
      </c>
      <c r="BV66" s="1" t="str">
        <f>IF(AS66&gt;AS$116, AS66-AS$116,"")</f>
        <v/>
      </c>
      <c r="BW66" s="1" t="str">
        <f>IF(AT66&gt;AT$116, AT66-AT$116,"")</f>
        <v/>
      </c>
      <c r="BX66" s="1" t="str">
        <f>IF(AU66&gt;AU$116, AU66-AU$116,"")</f>
        <v/>
      </c>
      <c r="BY66" s="1" t="str">
        <f>IF(AV66&gt;AV$116, AV66-AV$116,"")</f>
        <v/>
      </c>
      <c r="BZ66" s="1" t="str">
        <f>IF(AW66&gt;AW$116, AW66-AW$116,"")</f>
        <v/>
      </c>
      <c r="CA66" s="1" t="str">
        <f>IF(AX66&gt;AX$116, AX66-AX$116,"")</f>
        <v/>
      </c>
      <c r="CB66" s="1" t="str">
        <f>IF(AY66&gt;AY$116, AY66-AY$116,"")</f>
        <v/>
      </c>
      <c r="CC66" s="1">
        <f>COUNTIF(BQ66:CB66, "&gt;0")</f>
        <v>0</v>
      </c>
      <c r="CD66" s="1" t="str">
        <f>IF($CC66=1,BQ66,"")</f>
        <v/>
      </c>
      <c r="CE66" s="1" t="str">
        <f>IF($CC66=1,BR66,"")</f>
        <v/>
      </c>
      <c r="CF66" s="1" t="str">
        <f>IF($CC66=1,BS66,"")</f>
        <v/>
      </c>
      <c r="CG66" s="1" t="str">
        <f>IF($CC66=1,BT66,"")</f>
        <v/>
      </c>
      <c r="CH66" s="1" t="str">
        <f>IF($CC66=1,BU66,"")</f>
        <v/>
      </c>
      <c r="CI66" s="1" t="str">
        <f>IF($CC66=1,BV66,"")</f>
        <v/>
      </c>
      <c r="CJ66" s="1" t="str">
        <f>IF($CC66=1,BW66,"")</f>
        <v/>
      </c>
      <c r="CK66" s="1" t="str">
        <f>IF($CC66=1,BX66,"")</f>
        <v/>
      </c>
      <c r="CL66" s="1" t="str">
        <f>IF($CC66=1,BY66,"")</f>
        <v/>
      </c>
      <c r="CM66" s="1" t="str">
        <f>IF($CC66=1,BZ66,"")</f>
        <v/>
      </c>
      <c r="CN66" s="1" t="str">
        <f>IF($CC66=1,CA66,"")</f>
        <v/>
      </c>
      <c r="CO66" s="1" t="str">
        <f>IF($CC66=1,CB66,"")</f>
        <v/>
      </c>
      <c r="CP66" s="18">
        <f>SUM(AB66:BL66)</f>
        <v>40</v>
      </c>
    </row>
    <row r="67" spans="1:94" x14ac:dyDescent="0.15">
      <c r="A67" s="1"/>
      <c r="B67" s="1" t="s">
        <v>190</v>
      </c>
      <c r="C67" s="1" t="s">
        <v>191</v>
      </c>
      <c r="D67" s="1" t="s">
        <v>153</v>
      </c>
      <c r="E67" s="6"/>
      <c r="F67" s="6"/>
      <c r="G67" s="6"/>
      <c r="H67" s="6"/>
      <c r="I67" s="6"/>
      <c r="J67" s="6"/>
      <c r="K67" s="6"/>
      <c r="L67" s="6">
        <v>20</v>
      </c>
      <c r="M67" s="6"/>
      <c r="N67" s="6"/>
      <c r="O67" s="6">
        <v>20</v>
      </c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4"/>
      <c r="AO67" s="4"/>
      <c r="AP67" s="4"/>
      <c r="AQ67" s="4"/>
      <c r="AR67" s="4"/>
      <c r="AS67" s="4"/>
      <c r="AT67" s="2"/>
      <c r="AU67" s="2"/>
      <c r="AV67" s="2"/>
      <c r="AW67" s="2"/>
      <c r="AX67" s="2">
        <v>20</v>
      </c>
      <c r="AY67" s="2">
        <v>20</v>
      </c>
      <c r="AZ67" s="14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>
        <v>4</v>
      </c>
      <c r="BO67" s="17">
        <v>1</v>
      </c>
      <c r="BP67" s="17" t="s">
        <v>217</v>
      </c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8"/>
    </row>
    <row r="68" spans="1:94" x14ac:dyDescent="0.15">
      <c r="A68" s="1">
        <v>91</v>
      </c>
      <c r="B68" s="3" t="s">
        <v>103</v>
      </c>
      <c r="C68" s="3" t="s">
        <v>102</v>
      </c>
      <c r="D68" s="1" t="s">
        <v>1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>
        <v>4</v>
      </c>
      <c r="T68" s="6"/>
      <c r="U68" s="6"/>
      <c r="V68" s="6"/>
      <c r="W68" s="6"/>
      <c r="X68" s="6"/>
      <c r="Y68" s="6"/>
      <c r="Z68" s="6"/>
      <c r="AA68" s="6"/>
      <c r="AB68" s="1"/>
      <c r="AC68" s="1"/>
      <c r="AD68" s="1"/>
      <c r="AE68" s="1"/>
      <c r="AF68" s="1"/>
      <c r="AG68" s="1"/>
      <c r="AH68" s="1"/>
      <c r="AI68" s="1"/>
      <c r="AJ68" s="1">
        <v>5</v>
      </c>
      <c r="AK68" s="1"/>
      <c r="AL68" s="1"/>
      <c r="AM68" s="1"/>
      <c r="AN68" s="4"/>
      <c r="AO68" s="4"/>
      <c r="AP68" s="4"/>
      <c r="AQ68" s="4"/>
      <c r="AR68" s="4"/>
      <c r="AS68" s="4"/>
      <c r="AT68" s="2"/>
      <c r="AU68" s="2"/>
      <c r="AV68" s="2"/>
      <c r="AW68" s="2"/>
      <c r="AX68" s="2"/>
      <c r="AY68" s="2"/>
      <c r="AZ68" s="14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>
        <f>SUM(E68:BL68)</f>
        <v>9</v>
      </c>
      <c r="BN68" s="1">
        <v>5</v>
      </c>
      <c r="BO68" s="17">
        <v>1</v>
      </c>
      <c r="BP68" s="17" t="s">
        <v>135</v>
      </c>
      <c r="BQ68" s="1" t="str">
        <f>IF(AN68&gt;AN$116, AN68-AN$116,"")</f>
        <v/>
      </c>
      <c r="BR68" s="1" t="str">
        <f>IF(AO68&gt;AO$116, AO68-AO$116,"")</f>
        <v/>
      </c>
      <c r="BS68" s="1" t="str">
        <f>IF(AP68&gt;AP$116, AP68-AP$116,"")</f>
        <v/>
      </c>
      <c r="BT68" s="1" t="str">
        <f>IF(AQ68&gt;AQ$116, AQ68-AQ$116,"")</f>
        <v/>
      </c>
      <c r="BU68" s="1" t="str">
        <f>IF(AR68&gt;AR$116, AR68-AR$116,"")</f>
        <v/>
      </c>
      <c r="BV68" s="1" t="str">
        <f>IF(AS68&gt;AS$116, AS68-AS$116,"")</f>
        <v/>
      </c>
      <c r="BW68" s="1" t="str">
        <f>IF(AT68&gt;AT$116, AT68-AT$116,"")</f>
        <v/>
      </c>
      <c r="BX68" s="1" t="str">
        <f>IF(AU68&gt;AU$116, AU68-AU$116,"")</f>
        <v/>
      </c>
      <c r="BY68" s="1" t="str">
        <f>IF(AV68&gt;AV$116, AV68-AV$116,"")</f>
        <v/>
      </c>
      <c r="BZ68" s="1" t="str">
        <f>IF(AW68&gt;AW$116, AW68-AW$116,"")</f>
        <v/>
      </c>
      <c r="CA68" s="1" t="str">
        <f>IF(AX68&gt;AX$116, AX68-AX$116,"")</f>
        <v/>
      </c>
      <c r="CB68" s="1" t="str">
        <f>IF(AY68&gt;AY$116, AY68-AY$116,"")</f>
        <v/>
      </c>
      <c r="CC68" s="1">
        <f>COUNTIF(BQ68:CB68, "&gt;0")</f>
        <v>0</v>
      </c>
      <c r="CD68" s="1" t="str">
        <f>IF($CC68=1,BQ68,"")</f>
        <v/>
      </c>
      <c r="CE68" s="1" t="str">
        <f>IF($CC68=1,BR68,"")</f>
        <v/>
      </c>
      <c r="CF68" s="1" t="str">
        <f>IF($CC68=1,BS68,"")</f>
        <v/>
      </c>
      <c r="CG68" s="1" t="str">
        <f>IF($CC68=1,BT68,"")</f>
        <v/>
      </c>
      <c r="CH68" s="1" t="str">
        <f>IF($CC68=1,BU68,"")</f>
        <v/>
      </c>
      <c r="CI68" s="1" t="str">
        <f>IF($CC68=1,BV68,"")</f>
        <v/>
      </c>
      <c r="CJ68" s="1" t="str">
        <f>IF($CC68=1,BW68,"")</f>
        <v/>
      </c>
      <c r="CK68" s="1" t="str">
        <f>IF($CC68=1,BX68,"")</f>
        <v/>
      </c>
      <c r="CL68" s="1" t="str">
        <f>IF($CC68=1,BY68,"")</f>
        <v/>
      </c>
      <c r="CM68" s="1" t="str">
        <f>IF($CC68=1,BZ68,"")</f>
        <v/>
      </c>
      <c r="CN68" s="1" t="str">
        <f>IF($CC68=1,CA68,"")</f>
        <v/>
      </c>
      <c r="CO68" s="1" t="str">
        <f>IF($CC68=1,CB68,"")</f>
        <v/>
      </c>
      <c r="CP68" s="18">
        <f>SUM(AB68:BL68)</f>
        <v>5</v>
      </c>
    </row>
    <row r="69" spans="1:94" x14ac:dyDescent="0.15">
      <c r="A69" s="1">
        <v>17</v>
      </c>
      <c r="B69" s="1" t="s">
        <v>36</v>
      </c>
      <c r="C69" s="1" t="s">
        <v>33</v>
      </c>
      <c r="D69" s="1" t="s">
        <v>24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1"/>
      <c r="AC69" s="1">
        <v>5</v>
      </c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4"/>
      <c r="AO69" s="4"/>
      <c r="AP69" s="4"/>
      <c r="AQ69" s="4"/>
      <c r="AR69" s="4"/>
      <c r="AS69" s="4"/>
      <c r="AT69" s="2"/>
      <c r="AU69" s="2"/>
      <c r="AV69" s="2"/>
      <c r="AW69" s="2"/>
      <c r="AX69" s="2"/>
      <c r="AY69" s="2"/>
      <c r="AZ69" s="14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>
        <f>SUM(E69:BL69)</f>
        <v>5</v>
      </c>
      <c r="BN69" s="1">
        <v>5</v>
      </c>
      <c r="BO69" s="17">
        <v>1</v>
      </c>
      <c r="BP69" s="17" t="s">
        <v>134</v>
      </c>
      <c r="BQ69" s="1" t="str">
        <f>IF(AN69&gt;AN$116, AN69-AN$116,"")</f>
        <v/>
      </c>
      <c r="BR69" s="1" t="str">
        <f>IF(AO69&gt;AO$116, AO69-AO$116,"")</f>
        <v/>
      </c>
      <c r="BS69" s="1" t="str">
        <f>IF(AP69&gt;AP$116, AP69-AP$116,"")</f>
        <v/>
      </c>
      <c r="BT69" s="1" t="str">
        <f>IF(AQ69&gt;AQ$116, AQ69-AQ$116,"")</f>
        <v/>
      </c>
      <c r="BU69" s="1" t="str">
        <f>IF(AR69&gt;AR$116, AR69-AR$116,"")</f>
        <v/>
      </c>
      <c r="BV69" s="1" t="str">
        <f>IF(AS69&gt;AS$116, AS69-AS$116,"")</f>
        <v/>
      </c>
      <c r="BW69" s="1" t="str">
        <f>IF(AT69&gt;AT$116, AT69-AT$116,"")</f>
        <v/>
      </c>
      <c r="BX69" s="1" t="str">
        <f>IF(AU69&gt;AU$116, AU69-AU$116,"")</f>
        <v/>
      </c>
      <c r="BY69" s="1" t="str">
        <f>IF(AV69&gt;AV$116, AV69-AV$116,"")</f>
        <v/>
      </c>
      <c r="BZ69" s="1" t="str">
        <f>IF(AW69&gt;AW$116, AW69-AW$116,"")</f>
        <v/>
      </c>
      <c r="CA69" s="1" t="str">
        <f>IF(AX69&gt;AX$116, AX69-AX$116,"")</f>
        <v/>
      </c>
      <c r="CB69" s="1" t="str">
        <f>IF(AY69&gt;AY$116, AY69-AY$116,"")</f>
        <v/>
      </c>
      <c r="CC69" s="1">
        <f>COUNTIF(BQ69:CB69, "&gt;0")</f>
        <v>0</v>
      </c>
      <c r="CD69" s="1" t="str">
        <f>IF($CC69=1,BQ69,"")</f>
        <v/>
      </c>
      <c r="CE69" s="1" t="str">
        <f>IF($CC69=1,BR69,"")</f>
        <v/>
      </c>
      <c r="CF69" s="1" t="str">
        <f>IF($CC69=1,BS69,"")</f>
        <v/>
      </c>
      <c r="CG69" s="1" t="str">
        <f>IF($CC69=1,BT69,"")</f>
        <v/>
      </c>
      <c r="CH69" s="1" t="str">
        <f>IF($CC69=1,BU69,"")</f>
        <v/>
      </c>
      <c r="CI69" s="1" t="str">
        <f>IF($CC69=1,BV69,"")</f>
        <v/>
      </c>
      <c r="CJ69" s="1" t="str">
        <f>IF($CC69=1,BW69,"")</f>
        <v/>
      </c>
      <c r="CK69" s="1" t="str">
        <f>IF($CC69=1,BX69,"")</f>
        <v/>
      </c>
      <c r="CL69" s="1" t="str">
        <f>IF($CC69=1,BY69,"")</f>
        <v/>
      </c>
      <c r="CM69" s="1" t="str">
        <f>IF($CC69=1,BZ69,"")</f>
        <v/>
      </c>
      <c r="CN69" s="1" t="str">
        <f>IF($CC69=1,CA69,"")</f>
        <v/>
      </c>
      <c r="CO69" s="1" t="str">
        <f>IF($CC69=1,CB69,"")</f>
        <v/>
      </c>
      <c r="CP69" s="18">
        <f>SUM(AB69:BL69)</f>
        <v>5</v>
      </c>
    </row>
    <row r="70" spans="1:94" x14ac:dyDescent="0.15">
      <c r="A70" s="1">
        <v>18</v>
      </c>
      <c r="B70" s="1" t="s">
        <v>36</v>
      </c>
      <c r="C70" s="1" t="s">
        <v>33</v>
      </c>
      <c r="D70" s="1" t="s">
        <v>25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1"/>
      <c r="AC70" s="1"/>
      <c r="AD70" s="1">
        <v>5</v>
      </c>
      <c r="AE70" s="1"/>
      <c r="AF70" s="1"/>
      <c r="AG70" s="1"/>
      <c r="AH70" s="1"/>
      <c r="AI70" s="1"/>
      <c r="AJ70" s="1"/>
      <c r="AK70" s="1"/>
      <c r="AL70" s="1"/>
      <c r="AM70" s="1"/>
      <c r="AN70" s="4"/>
      <c r="AO70" s="4"/>
      <c r="AP70" s="4"/>
      <c r="AQ70" s="4"/>
      <c r="AR70" s="4"/>
      <c r="AS70" s="4"/>
      <c r="AT70" s="2"/>
      <c r="AU70" s="2"/>
      <c r="AV70" s="2"/>
      <c r="AW70" s="2"/>
      <c r="AX70" s="2"/>
      <c r="AY70" s="2"/>
      <c r="AZ70" s="14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>
        <f>SUM(E70:BL70)</f>
        <v>5</v>
      </c>
      <c r="BN70" s="1">
        <v>5</v>
      </c>
      <c r="BO70" s="17">
        <v>1</v>
      </c>
      <c r="BP70" s="17" t="s">
        <v>136</v>
      </c>
      <c r="BQ70" s="1" t="str">
        <f>IF(AN70&gt;AN$116, AN70-AN$116,"")</f>
        <v/>
      </c>
      <c r="BR70" s="1" t="str">
        <f>IF(AO70&gt;AO$116, AO70-AO$116,"")</f>
        <v/>
      </c>
      <c r="BS70" s="1" t="str">
        <f>IF(AP70&gt;AP$116, AP70-AP$116,"")</f>
        <v/>
      </c>
      <c r="BT70" s="1" t="str">
        <f>IF(AQ70&gt;AQ$116, AQ70-AQ$116,"")</f>
        <v/>
      </c>
      <c r="BU70" s="1" t="str">
        <f>IF(AR70&gt;AR$116, AR70-AR$116,"")</f>
        <v/>
      </c>
      <c r="BV70" s="1" t="str">
        <f>IF(AS70&gt;AS$116, AS70-AS$116,"")</f>
        <v/>
      </c>
      <c r="BW70" s="1" t="str">
        <f>IF(AT70&gt;AT$116, AT70-AT$116,"")</f>
        <v/>
      </c>
      <c r="BX70" s="1" t="str">
        <f>IF(AU70&gt;AU$116, AU70-AU$116,"")</f>
        <v/>
      </c>
      <c r="BY70" s="1" t="str">
        <f>IF(AV70&gt;AV$116, AV70-AV$116,"")</f>
        <v/>
      </c>
      <c r="BZ70" s="1" t="str">
        <f>IF(AW70&gt;AW$116, AW70-AW$116,"")</f>
        <v/>
      </c>
      <c r="CA70" s="1" t="str">
        <f>IF(AX70&gt;AX$116, AX70-AX$116,"")</f>
        <v/>
      </c>
      <c r="CB70" s="1" t="str">
        <f>IF(AY70&gt;AY$116, AY70-AY$116,"")</f>
        <v/>
      </c>
      <c r="CC70" s="1">
        <f>COUNTIF(BQ70:CB70, "&gt;0")</f>
        <v>0</v>
      </c>
      <c r="CD70" s="1" t="str">
        <f>IF($CC70=1,BQ70,"")</f>
        <v/>
      </c>
      <c r="CE70" s="1" t="str">
        <f>IF($CC70=1,BR70,"")</f>
        <v/>
      </c>
      <c r="CF70" s="1" t="str">
        <f>IF($CC70=1,BS70,"")</f>
        <v/>
      </c>
      <c r="CG70" s="1" t="str">
        <f>IF($CC70=1,BT70,"")</f>
        <v/>
      </c>
      <c r="CH70" s="1" t="str">
        <f>IF($CC70=1,BU70,"")</f>
        <v/>
      </c>
      <c r="CI70" s="1" t="str">
        <f>IF($CC70=1,BV70,"")</f>
        <v/>
      </c>
      <c r="CJ70" s="1" t="str">
        <f>IF($CC70=1,BW70,"")</f>
        <v/>
      </c>
      <c r="CK70" s="1" t="str">
        <f>IF($CC70=1,BX70,"")</f>
        <v/>
      </c>
      <c r="CL70" s="1" t="str">
        <f>IF($CC70=1,BY70,"")</f>
        <v/>
      </c>
      <c r="CM70" s="1" t="str">
        <f>IF($CC70=1,BZ70,"")</f>
        <v/>
      </c>
      <c r="CN70" s="1" t="str">
        <f>IF($CC70=1,CA70,"")</f>
        <v/>
      </c>
      <c r="CO70" s="1" t="str">
        <f>IF($CC70=1,CB70,"")</f>
        <v/>
      </c>
      <c r="CP70" s="18">
        <f>SUM(AB70:BL70)</f>
        <v>5</v>
      </c>
    </row>
    <row r="71" spans="1:94" x14ac:dyDescent="0.15">
      <c r="A71" s="1">
        <v>19</v>
      </c>
      <c r="B71" s="1" t="s">
        <v>39</v>
      </c>
      <c r="C71" s="1" t="s">
        <v>33</v>
      </c>
      <c r="D71" s="1" t="s">
        <v>24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1"/>
      <c r="AC71" s="1"/>
      <c r="AD71" s="1">
        <v>5</v>
      </c>
      <c r="AE71" s="1"/>
      <c r="AF71" s="1"/>
      <c r="AG71" s="1"/>
      <c r="AH71" s="1"/>
      <c r="AI71" s="1"/>
      <c r="AJ71" s="1"/>
      <c r="AK71" s="1"/>
      <c r="AL71" s="1"/>
      <c r="AM71" s="1"/>
      <c r="AN71" s="4"/>
      <c r="AO71" s="4"/>
      <c r="AP71" s="4"/>
      <c r="AQ71" s="4"/>
      <c r="AR71" s="4"/>
      <c r="AS71" s="4"/>
      <c r="AT71" s="2"/>
      <c r="AU71" s="2"/>
      <c r="AV71" s="2"/>
      <c r="AW71" s="2"/>
      <c r="AX71" s="2"/>
      <c r="AY71" s="2"/>
      <c r="AZ71" s="14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>
        <f>SUM(E71:BL71)</f>
        <v>5</v>
      </c>
      <c r="BN71" s="1">
        <v>5</v>
      </c>
      <c r="BO71" s="17">
        <v>1</v>
      </c>
      <c r="BP71" s="17" t="s">
        <v>136</v>
      </c>
      <c r="BQ71" s="1" t="str">
        <f>IF(AN71&gt;AN$116, AN71-AN$116,"")</f>
        <v/>
      </c>
      <c r="BR71" s="1" t="str">
        <f>IF(AO71&gt;AO$116, AO71-AO$116,"")</f>
        <v/>
      </c>
      <c r="BS71" s="1" t="str">
        <f>IF(AP71&gt;AP$116, AP71-AP$116,"")</f>
        <v/>
      </c>
      <c r="BT71" s="1" t="str">
        <f>IF(AQ71&gt;AQ$116, AQ71-AQ$116,"")</f>
        <v/>
      </c>
      <c r="BU71" s="1" t="str">
        <f>IF(AR71&gt;AR$116, AR71-AR$116,"")</f>
        <v/>
      </c>
      <c r="BV71" s="1" t="str">
        <f>IF(AS71&gt;AS$116, AS71-AS$116,"")</f>
        <v/>
      </c>
      <c r="BW71" s="1" t="str">
        <f>IF(AT71&gt;AT$116, AT71-AT$116,"")</f>
        <v/>
      </c>
      <c r="BX71" s="1" t="str">
        <f>IF(AU71&gt;AU$116, AU71-AU$116,"")</f>
        <v/>
      </c>
      <c r="BY71" s="1" t="str">
        <f>IF(AV71&gt;AV$116, AV71-AV$116,"")</f>
        <v/>
      </c>
      <c r="BZ71" s="1" t="str">
        <f>IF(AW71&gt;AW$116, AW71-AW$116,"")</f>
        <v/>
      </c>
      <c r="CA71" s="1" t="str">
        <f>IF(AX71&gt;AX$116, AX71-AX$116,"")</f>
        <v/>
      </c>
      <c r="CB71" s="1" t="str">
        <f>IF(AY71&gt;AY$116, AY71-AY$116,"")</f>
        <v/>
      </c>
      <c r="CC71" s="1">
        <f>COUNTIF(BQ71:CB71, "&gt;0")</f>
        <v>0</v>
      </c>
      <c r="CD71" s="1" t="str">
        <f>IF($CC71=1,BQ71,"")</f>
        <v/>
      </c>
      <c r="CE71" s="1" t="str">
        <f>IF($CC71=1,BR71,"")</f>
        <v/>
      </c>
      <c r="CF71" s="1" t="str">
        <f>IF($CC71=1,BS71,"")</f>
        <v/>
      </c>
      <c r="CG71" s="1" t="str">
        <f>IF($CC71=1,BT71,"")</f>
        <v/>
      </c>
      <c r="CH71" s="1" t="str">
        <f>IF($CC71=1,BU71,"")</f>
        <v/>
      </c>
      <c r="CI71" s="1" t="str">
        <f>IF($CC71=1,BV71,"")</f>
        <v/>
      </c>
      <c r="CJ71" s="1" t="str">
        <f>IF($CC71=1,BW71,"")</f>
        <v/>
      </c>
      <c r="CK71" s="1" t="str">
        <f>IF($CC71=1,BX71,"")</f>
        <v/>
      </c>
      <c r="CL71" s="1" t="str">
        <f>IF($CC71=1,BY71,"")</f>
        <v/>
      </c>
      <c r="CM71" s="1" t="str">
        <f>IF($CC71=1,BZ71,"")</f>
        <v/>
      </c>
      <c r="CN71" s="1" t="str">
        <f>IF($CC71=1,CA71,"")</f>
        <v/>
      </c>
      <c r="CO71" s="1" t="str">
        <f>IF($CC71=1,CB71,"")</f>
        <v/>
      </c>
      <c r="CP71" s="18">
        <f>SUM(AB71:BL71)</f>
        <v>5</v>
      </c>
    </row>
    <row r="72" spans="1:94" x14ac:dyDescent="0.15">
      <c r="A72" s="1">
        <v>32</v>
      </c>
      <c r="B72" s="1" t="s">
        <v>96</v>
      </c>
      <c r="C72" s="1" t="s">
        <v>33</v>
      </c>
      <c r="D72" s="1" t="s">
        <v>24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1"/>
      <c r="AC72" s="1"/>
      <c r="AD72" s="1"/>
      <c r="AE72" s="1"/>
      <c r="AF72" s="1">
        <v>5</v>
      </c>
      <c r="AG72" s="1"/>
      <c r="AH72" s="1"/>
      <c r="AI72" s="1"/>
      <c r="AJ72" s="1"/>
      <c r="AK72" s="1"/>
      <c r="AL72" s="1"/>
      <c r="AM72" s="1"/>
      <c r="AN72" s="4"/>
      <c r="AO72" s="4"/>
      <c r="AP72" s="4"/>
      <c r="AQ72" s="4"/>
      <c r="AR72" s="4"/>
      <c r="AS72" s="4"/>
      <c r="AT72" s="2"/>
      <c r="AU72" s="2"/>
      <c r="AV72" s="2"/>
      <c r="AW72" s="2"/>
      <c r="AX72" s="2"/>
      <c r="AY72" s="2"/>
      <c r="AZ72" s="14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>
        <f>SUM(E72:BL72)</f>
        <v>5</v>
      </c>
      <c r="BN72" s="1">
        <v>5</v>
      </c>
      <c r="BO72" s="17">
        <v>1</v>
      </c>
      <c r="BP72" s="17" t="s">
        <v>137</v>
      </c>
      <c r="BQ72" s="1" t="str">
        <f>IF(AN72&gt;AN$116, AN72-AN$116,"")</f>
        <v/>
      </c>
      <c r="BR72" s="1" t="str">
        <f>IF(AO72&gt;AO$116, AO72-AO$116,"")</f>
        <v/>
      </c>
      <c r="BS72" s="1" t="str">
        <f>IF(AP72&gt;AP$116, AP72-AP$116,"")</f>
        <v/>
      </c>
      <c r="BT72" s="1" t="str">
        <f>IF(AQ72&gt;AQ$116, AQ72-AQ$116,"")</f>
        <v/>
      </c>
      <c r="BU72" s="1" t="str">
        <f>IF(AR72&gt;AR$116, AR72-AR$116,"")</f>
        <v/>
      </c>
      <c r="BV72" s="1" t="str">
        <f>IF(AS72&gt;AS$116, AS72-AS$116,"")</f>
        <v/>
      </c>
      <c r="BW72" s="1" t="str">
        <f>IF(AT72&gt;AT$116, AT72-AT$116,"")</f>
        <v/>
      </c>
      <c r="BX72" s="1" t="str">
        <f>IF(AU72&gt;AU$116, AU72-AU$116,"")</f>
        <v/>
      </c>
      <c r="BY72" s="1" t="str">
        <f>IF(AV72&gt;AV$116, AV72-AV$116,"")</f>
        <v/>
      </c>
      <c r="BZ72" s="1" t="str">
        <f>IF(AW72&gt;AW$116, AW72-AW$116,"")</f>
        <v/>
      </c>
      <c r="CA72" s="1" t="str">
        <f>IF(AX72&gt;AX$116, AX72-AX$116,"")</f>
        <v/>
      </c>
      <c r="CB72" s="1" t="str">
        <f>IF(AY72&gt;AY$116, AY72-AY$116,"")</f>
        <v/>
      </c>
      <c r="CC72" s="1">
        <f>COUNTIF(BQ72:CB72, "&gt;0")</f>
        <v>0</v>
      </c>
      <c r="CD72" s="1" t="str">
        <f>IF($CC72=1,BQ72,"")</f>
        <v/>
      </c>
      <c r="CE72" s="1" t="str">
        <f>IF($CC72=1,BR72,"")</f>
        <v/>
      </c>
      <c r="CF72" s="1" t="str">
        <f>IF($CC72=1,BS72,"")</f>
        <v/>
      </c>
      <c r="CG72" s="1" t="str">
        <f>IF($CC72=1,BT72,"")</f>
        <v/>
      </c>
      <c r="CH72" s="1" t="str">
        <f>IF($CC72=1,BU72,"")</f>
        <v/>
      </c>
      <c r="CI72" s="1" t="str">
        <f>IF($CC72=1,BV72,"")</f>
        <v/>
      </c>
      <c r="CJ72" s="1" t="str">
        <f>IF($CC72=1,BW72,"")</f>
        <v/>
      </c>
      <c r="CK72" s="1" t="str">
        <f>IF($CC72=1,BX72,"")</f>
        <v/>
      </c>
      <c r="CL72" s="1" t="str">
        <f>IF($CC72=1,BY72,"")</f>
        <v/>
      </c>
      <c r="CM72" s="1" t="str">
        <f>IF($CC72=1,BZ72,"")</f>
        <v/>
      </c>
      <c r="CN72" s="1" t="str">
        <f>IF($CC72=1,CA72,"")</f>
        <v/>
      </c>
      <c r="CO72" s="1" t="str">
        <f>IF($CC72=1,CB72,"")</f>
        <v/>
      </c>
      <c r="CP72" s="18">
        <f>SUM(AB72:BL72)</f>
        <v>5</v>
      </c>
    </row>
    <row r="73" spans="1:94" x14ac:dyDescent="0.15">
      <c r="A73" s="1">
        <v>33</v>
      </c>
      <c r="B73" s="1" t="s">
        <v>96</v>
      </c>
      <c r="C73" s="1" t="s">
        <v>33</v>
      </c>
      <c r="D73" s="1" t="s">
        <v>1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1"/>
      <c r="AC73" s="1"/>
      <c r="AD73" s="1"/>
      <c r="AE73" s="1">
        <v>5</v>
      </c>
      <c r="AF73" s="1"/>
      <c r="AG73" s="1"/>
      <c r="AH73" s="1"/>
      <c r="AI73" s="1"/>
      <c r="AJ73" s="1"/>
      <c r="AK73" s="1"/>
      <c r="AL73" s="1"/>
      <c r="AM73" s="1"/>
      <c r="AN73" s="4"/>
      <c r="AO73" s="4"/>
      <c r="AP73" s="4"/>
      <c r="AQ73" s="4"/>
      <c r="AR73" s="4"/>
      <c r="AS73" s="4"/>
      <c r="AT73" s="2"/>
      <c r="AU73" s="2"/>
      <c r="AV73" s="2"/>
      <c r="AW73" s="2"/>
      <c r="AX73" s="2"/>
      <c r="AY73" s="2"/>
      <c r="AZ73" s="14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>
        <f>SUM(E73:BL73)</f>
        <v>5</v>
      </c>
      <c r="BN73" s="1">
        <v>5</v>
      </c>
      <c r="BO73" s="17">
        <v>1</v>
      </c>
      <c r="BP73" s="17" t="s">
        <v>138</v>
      </c>
      <c r="BQ73" s="1" t="str">
        <f>IF(AN73&gt;AN$116, AN73-AN$116,"")</f>
        <v/>
      </c>
      <c r="BR73" s="1" t="str">
        <f>IF(AO73&gt;AO$116, AO73-AO$116,"")</f>
        <v/>
      </c>
      <c r="BS73" s="1" t="str">
        <f>IF(AP73&gt;AP$116, AP73-AP$116,"")</f>
        <v/>
      </c>
      <c r="BT73" s="1" t="str">
        <f>IF(AQ73&gt;AQ$116, AQ73-AQ$116,"")</f>
        <v/>
      </c>
      <c r="BU73" s="1" t="str">
        <f>IF(AR73&gt;AR$116, AR73-AR$116,"")</f>
        <v/>
      </c>
      <c r="BV73" s="1" t="str">
        <f>IF(AS73&gt;AS$116, AS73-AS$116,"")</f>
        <v/>
      </c>
      <c r="BW73" s="1" t="str">
        <f>IF(AT73&gt;AT$116, AT73-AT$116,"")</f>
        <v/>
      </c>
      <c r="BX73" s="1" t="str">
        <f>IF(AU73&gt;AU$116, AU73-AU$116,"")</f>
        <v/>
      </c>
      <c r="BY73" s="1" t="str">
        <f>IF(AV73&gt;AV$116, AV73-AV$116,"")</f>
        <v/>
      </c>
      <c r="BZ73" s="1" t="str">
        <f>IF(AW73&gt;AW$116, AW73-AW$116,"")</f>
        <v/>
      </c>
      <c r="CA73" s="1" t="str">
        <f>IF(AX73&gt;AX$116, AX73-AX$116,"")</f>
        <v/>
      </c>
      <c r="CB73" s="1" t="str">
        <f>IF(AY73&gt;AY$116, AY73-AY$116,"")</f>
        <v/>
      </c>
      <c r="CC73" s="1">
        <f>COUNTIF(BQ73:CB73, "&gt;0")</f>
        <v>0</v>
      </c>
      <c r="CD73" s="1" t="str">
        <f>IF($CC73=1,BQ73,"")</f>
        <v/>
      </c>
      <c r="CE73" s="1" t="str">
        <f>IF($CC73=1,BR73,"")</f>
        <v/>
      </c>
      <c r="CF73" s="1" t="str">
        <f>IF($CC73=1,BS73,"")</f>
        <v/>
      </c>
      <c r="CG73" s="1" t="str">
        <f>IF($CC73=1,BT73,"")</f>
        <v/>
      </c>
      <c r="CH73" s="1" t="str">
        <f>IF($CC73=1,BU73,"")</f>
        <v/>
      </c>
      <c r="CI73" s="1" t="str">
        <f>IF($CC73=1,BV73,"")</f>
        <v/>
      </c>
      <c r="CJ73" s="1" t="str">
        <f>IF($CC73=1,BW73,"")</f>
        <v/>
      </c>
      <c r="CK73" s="1" t="str">
        <f>IF($CC73=1,BX73,"")</f>
        <v/>
      </c>
      <c r="CL73" s="1" t="str">
        <f>IF($CC73=1,BY73,"")</f>
        <v/>
      </c>
      <c r="CM73" s="1" t="str">
        <f>IF($CC73=1,BZ73,"")</f>
        <v/>
      </c>
      <c r="CN73" s="1" t="str">
        <f>IF($CC73=1,CA73,"")</f>
        <v/>
      </c>
      <c r="CO73" s="1" t="str">
        <f>IF($CC73=1,CB73,"")</f>
        <v/>
      </c>
      <c r="CP73" s="18">
        <f>SUM(AB73:BL73)</f>
        <v>5</v>
      </c>
    </row>
    <row r="74" spans="1:94" x14ac:dyDescent="0.15">
      <c r="A74" s="1">
        <v>63</v>
      </c>
      <c r="B74" s="3" t="s">
        <v>71</v>
      </c>
      <c r="C74" s="1" t="s">
        <v>64</v>
      </c>
      <c r="D74" s="1" t="s">
        <v>24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1"/>
      <c r="AC74" s="1"/>
      <c r="AD74" s="1"/>
      <c r="AE74" s="1"/>
      <c r="AF74" s="1"/>
      <c r="AG74" s="1"/>
      <c r="AH74" s="1"/>
      <c r="AI74" s="1"/>
      <c r="AJ74" s="1"/>
      <c r="AK74" s="1">
        <v>5</v>
      </c>
      <c r="AL74" s="1"/>
      <c r="AM74" s="1"/>
      <c r="AN74" s="4"/>
      <c r="AO74" s="4"/>
      <c r="AP74" s="4"/>
      <c r="AQ74" s="4"/>
      <c r="AR74" s="4"/>
      <c r="AS74" s="4"/>
      <c r="AT74" s="2"/>
      <c r="AU74" s="2"/>
      <c r="AV74" s="2"/>
      <c r="AW74" s="2"/>
      <c r="AX74" s="2"/>
      <c r="AY74" s="2"/>
      <c r="AZ74" s="14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>
        <f>SUM(E74:BL74)</f>
        <v>5</v>
      </c>
      <c r="BN74" s="1">
        <v>5</v>
      </c>
      <c r="BO74" s="17">
        <v>1</v>
      </c>
      <c r="BP74" s="17" t="s">
        <v>139</v>
      </c>
      <c r="BQ74" s="1" t="str">
        <f>IF(AN74&gt;AN$116, AN74-AN$116,"")</f>
        <v/>
      </c>
      <c r="BR74" s="1" t="str">
        <f>IF(AO74&gt;AO$116, AO74-AO$116,"")</f>
        <v/>
      </c>
      <c r="BS74" s="1" t="str">
        <f>IF(AP74&gt;AP$116, AP74-AP$116,"")</f>
        <v/>
      </c>
      <c r="BT74" s="1" t="str">
        <f>IF(AQ74&gt;AQ$116, AQ74-AQ$116,"")</f>
        <v/>
      </c>
      <c r="BU74" s="1" t="str">
        <f>IF(AR74&gt;AR$116, AR74-AR$116,"")</f>
        <v/>
      </c>
      <c r="BV74" s="1" t="str">
        <f>IF(AS74&gt;AS$116, AS74-AS$116,"")</f>
        <v/>
      </c>
      <c r="BW74" s="1" t="str">
        <f>IF(AT74&gt;AT$116, AT74-AT$116,"")</f>
        <v/>
      </c>
      <c r="BX74" s="1" t="str">
        <f>IF(AU74&gt;AU$116, AU74-AU$116,"")</f>
        <v/>
      </c>
      <c r="BY74" s="1" t="str">
        <f>IF(AV74&gt;AV$116, AV74-AV$116,"")</f>
        <v/>
      </c>
      <c r="BZ74" s="1" t="str">
        <f>IF(AW74&gt;AW$116, AW74-AW$116,"")</f>
        <v/>
      </c>
      <c r="CA74" s="1" t="str">
        <f>IF(AX74&gt;AX$116, AX74-AX$116,"")</f>
        <v/>
      </c>
      <c r="CB74" s="1" t="str">
        <f>IF(AY74&gt;AY$116, AY74-AY$116,"")</f>
        <v/>
      </c>
      <c r="CC74" s="1">
        <f>COUNTIF(BQ74:CB74, "&gt;0")</f>
        <v>0</v>
      </c>
      <c r="CD74" s="1" t="str">
        <f>IF($CC74=1,BQ74,"")</f>
        <v/>
      </c>
      <c r="CE74" s="1" t="str">
        <f>IF($CC74=1,BR74,"")</f>
        <v/>
      </c>
      <c r="CF74" s="1" t="str">
        <f>IF($CC74=1,BS74,"")</f>
        <v/>
      </c>
      <c r="CG74" s="1" t="str">
        <f>IF($CC74=1,BT74,"")</f>
        <v/>
      </c>
      <c r="CH74" s="1" t="str">
        <f>IF($CC74=1,BU74,"")</f>
        <v/>
      </c>
      <c r="CI74" s="1" t="str">
        <f>IF($CC74=1,BV74,"")</f>
        <v/>
      </c>
      <c r="CJ74" s="1" t="str">
        <f>IF($CC74=1,BW74,"")</f>
        <v/>
      </c>
      <c r="CK74" s="1" t="str">
        <f>IF($CC74=1,BX74,"")</f>
        <v/>
      </c>
      <c r="CL74" s="1" t="str">
        <f>IF($CC74=1,BY74,"")</f>
        <v/>
      </c>
      <c r="CM74" s="1" t="str">
        <f>IF($CC74=1,BZ74,"")</f>
        <v/>
      </c>
      <c r="CN74" s="1" t="str">
        <f>IF($CC74=1,CA74,"")</f>
        <v/>
      </c>
      <c r="CO74" s="1" t="str">
        <f>IF($CC74=1,CB74,"")</f>
        <v/>
      </c>
      <c r="CP74" s="18">
        <f>SUM(AB74:BL74)</f>
        <v>5</v>
      </c>
    </row>
    <row r="75" spans="1:94" x14ac:dyDescent="0.15">
      <c r="A75" s="1">
        <v>90</v>
      </c>
      <c r="B75" s="3" t="s">
        <v>103</v>
      </c>
      <c r="C75" s="3" t="s">
        <v>102</v>
      </c>
      <c r="D75" s="1" t="s">
        <v>24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>
        <v>4</v>
      </c>
      <c r="T75" s="6"/>
      <c r="U75" s="6"/>
      <c r="V75" s="6"/>
      <c r="W75" s="6"/>
      <c r="X75" s="6"/>
      <c r="Y75" s="6"/>
      <c r="Z75" s="6"/>
      <c r="AA75" s="6"/>
      <c r="AB75" s="1"/>
      <c r="AC75" s="1"/>
      <c r="AD75" s="1"/>
      <c r="AE75" s="1"/>
      <c r="AF75" s="1"/>
      <c r="AG75" s="1"/>
      <c r="AH75" s="1"/>
      <c r="AI75" s="1"/>
      <c r="AJ75" s="1"/>
      <c r="AK75" s="1">
        <v>5</v>
      </c>
      <c r="AL75" s="1"/>
      <c r="AM75" s="1"/>
      <c r="AN75" s="4"/>
      <c r="AO75" s="4"/>
      <c r="AP75" s="4"/>
      <c r="AQ75" s="4"/>
      <c r="AR75" s="4"/>
      <c r="AS75" s="4"/>
      <c r="AT75" s="2"/>
      <c r="AU75" s="2"/>
      <c r="AV75" s="2"/>
      <c r="AW75" s="2"/>
      <c r="AX75" s="2"/>
      <c r="AY75" s="2"/>
      <c r="AZ75" s="14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>
        <f>SUM(E75:BL75)</f>
        <v>9</v>
      </c>
      <c r="BN75" s="1">
        <v>5</v>
      </c>
      <c r="BO75" s="17">
        <v>1</v>
      </c>
      <c r="BP75" s="17" t="s">
        <v>139</v>
      </c>
      <c r="BQ75" s="1" t="str">
        <f>IF(AN75&gt;AN$116, AN75-AN$116,"")</f>
        <v/>
      </c>
      <c r="BR75" s="1" t="str">
        <f>IF(AO75&gt;AO$116, AO75-AO$116,"")</f>
        <v/>
      </c>
      <c r="BS75" s="1" t="str">
        <f>IF(AP75&gt;AP$116, AP75-AP$116,"")</f>
        <v/>
      </c>
      <c r="BT75" s="1" t="str">
        <f>IF(AQ75&gt;AQ$116, AQ75-AQ$116,"")</f>
        <v/>
      </c>
      <c r="BU75" s="1" t="str">
        <f>IF(AR75&gt;AR$116, AR75-AR$116,"")</f>
        <v/>
      </c>
      <c r="BV75" s="1" t="str">
        <f>IF(AS75&gt;AS$116, AS75-AS$116,"")</f>
        <v/>
      </c>
      <c r="BW75" s="1" t="str">
        <f>IF(AT75&gt;AT$116, AT75-AT$116,"")</f>
        <v/>
      </c>
      <c r="BX75" s="1" t="str">
        <f>IF(AU75&gt;AU$116, AU75-AU$116,"")</f>
        <v/>
      </c>
      <c r="BY75" s="1" t="str">
        <f>IF(AV75&gt;AV$116, AV75-AV$116,"")</f>
        <v/>
      </c>
      <c r="BZ75" s="1" t="str">
        <f>IF(AW75&gt;AW$116, AW75-AW$116,"")</f>
        <v/>
      </c>
      <c r="CA75" s="1" t="str">
        <f>IF(AX75&gt;AX$116, AX75-AX$116,"")</f>
        <v/>
      </c>
      <c r="CB75" s="1" t="str">
        <f>IF(AY75&gt;AY$116, AY75-AY$116,"")</f>
        <v/>
      </c>
      <c r="CC75" s="1">
        <f>COUNTIF(BQ75:CB75, "&gt;0")</f>
        <v>0</v>
      </c>
      <c r="CD75" s="1" t="str">
        <f>IF($CC75=1,BQ75,"")</f>
        <v/>
      </c>
      <c r="CE75" s="1" t="str">
        <f>IF($CC75=1,BR75,"")</f>
        <v/>
      </c>
      <c r="CF75" s="1" t="str">
        <f>IF($CC75=1,BS75,"")</f>
        <v/>
      </c>
      <c r="CG75" s="1" t="str">
        <f>IF($CC75=1,BT75,"")</f>
        <v/>
      </c>
      <c r="CH75" s="1" t="str">
        <f>IF($CC75=1,BU75,"")</f>
        <v/>
      </c>
      <c r="CI75" s="1" t="str">
        <f>IF($CC75=1,BV75,"")</f>
        <v/>
      </c>
      <c r="CJ75" s="1" t="str">
        <f>IF($CC75=1,BW75,"")</f>
        <v/>
      </c>
      <c r="CK75" s="1" t="str">
        <f>IF($CC75=1,BX75,"")</f>
        <v/>
      </c>
      <c r="CL75" s="1" t="str">
        <f>IF($CC75=1,BY75,"")</f>
        <v/>
      </c>
      <c r="CM75" s="1" t="str">
        <f>IF($CC75=1,BZ75,"")</f>
        <v/>
      </c>
      <c r="CN75" s="1" t="str">
        <f>IF($CC75=1,CA75,"")</f>
        <v/>
      </c>
      <c r="CO75" s="1" t="str">
        <f>IF($CC75=1,CB75,"")</f>
        <v/>
      </c>
      <c r="CP75" s="18">
        <f>SUM(AB75:BL75)</f>
        <v>5</v>
      </c>
    </row>
    <row r="76" spans="1:94" x14ac:dyDescent="0.15">
      <c r="A76" s="1">
        <v>20</v>
      </c>
      <c r="B76" s="1" t="s">
        <v>39</v>
      </c>
      <c r="C76" s="1" t="s">
        <v>33</v>
      </c>
      <c r="D76" s="1" t="s">
        <v>25</v>
      </c>
      <c r="E76" s="6"/>
      <c r="F76" s="6">
        <v>5</v>
      </c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1"/>
      <c r="AC76" s="1"/>
      <c r="AD76" s="1">
        <v>5</v>
      </c>
      <c r="AE76" s="1"/>
      <c r="AF76" s="1"/>
      <c r="AG76" s="1"/>
      <c r="AH76" s="1"/>
      <c r="AI76" s="1"/>
      <c r="AJ76" s="1"/>
      <c r="AK76" s="1"/>
      <c r="AL76" s="1"/>
      <c r="AM76" s="1"/>
      <c r="AN76" s="4"/>
      <c r="AO76" s="4"/>
      <c r="AP76" s="4"/>
      <c r="AQ76" s="4"/>
      <c r="AR76" s="4"/>
      <c r="AS76" s="4"/>
      <c r="AT76" s="2"/>
      <c r="AU76" s="2"/>
      <c r="AV76" s="2"/>
      <c r="AW76" s="2"/>
      <c r="AX76" s="2"/>
      <c r="AY76" s="2"/>
      <c r="AZ76" s="14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>
        <f>SUM(E76:BL76)</f>
        <v>10</v>
      </c>
      <c r="BN76" s="1">
        <v>5</v>
      </c>
      <c r="BO76" s="17">
        <v>1</v>
      </c>
      <c r="BP76" s="17" t="s">
        <v>136</v>
      </c>
      <c r="BQ76" s="1" t="str">
        <f>IF(AN76&gt;AN$116, AN76-AN$116,"")</f>
        <v/>
      </c>
      <c r="BR76" s="1" t="str">
        <f>IF(AO76&gt;AO$116, AO76-AO$116,"")</f>
        <v/>
      </c>
      <c r="BS76" s="1" t="str">
        <f>IF(AP76&gt;AP$116, AP76-AP$116,"")</f>
        <v/>
      </c>
      <c r="BT76" s="1" t="str">
        <f>IF(AQ76&gt;AQ$116, AQ76-AQ$116,"")</f>
        <v/>
      </c>
      <c r="BU76" s="1" t="str">
        <f>IF(AR76&gt;AR$116, AR76-AR$116,"")</f>
        <v/>
      </c>
      <c r="BV76" s="1" t="str">
        <f>IF(AS76&gt;AS$116, AS76-AS$116,"")</f>
        <v/>
      </c>
      <c r="BW76" s="1" t="str">
        <f>IF(AT76&gt;AT$116, AT76-AT$116,"")</f>
        <v/>
      </c>
      <c r="BX76" s="1" t="str">
        <f>IF(AU76&gt;AU$116, AU76-AU$116,"")</f>
        <v/>
      </c>
      <c r="BY76" s="1" t="str">
        <f>IF(AV76&gt;AV$116, AV76-AV$116,"")</f>
        <v/>
      </c>
      <c r="BZ76" s="1" t="str">
        <f>IF(AW76&gt;AW$116, AW76-AW$116,"")</f>
        <v/>
      </c>
      <c r="CA76" s="1" t="str">
        <f>IF(AX76&gt;AX$116, AX76-AX$116,"")</f>
        <v/>
      </c>
      <c r="CB76" s="1" t="str">
        <f>IF(AY76&gt;AY$116, AY76-AY$116,"")</f>
        <v/>
      </c>
      <c r="CC76" s="1">
        <f>COUNTIF(BQ76:CB76, "&gt;0")</f>
        <v>0</v>
      </c>
      <c r="CD76" s="1" t="str">
        <f>IF($CC76=1,BQ76,"")</f>
        <v/>
      </c>
      <c r="CE76" s="1" t="str">
        <f>IF($CC76=1,BR76,"")</f>
        <v/>
      </c>
      <c r="CF76" s="1" t="str">
        <f>IF($CC76=1,BS76,"")</f>
        <v/>
      </c>
      <c r="CG76" s="1" t="str">
        <f>IF($CC76=1,BT76,"")</f>
        <v/>
      </c>
      <c r="CH76" s="1" t="str">
        <f>IF($CC76=1,BU76,"")</f>
        <v/>
      </c>
      <c r="CI76" s="1" t="str">
        <f>IF($CC76=1,BV76,"")</f>
        <v/>
      </c>
      <c r="CJ76" s="1" t="str">
        <f>IF($CC76=1,BW76,"")</f>
        <v/>
      </c>
      <c r="CK76" s="1" t="str">
        <f>IF($CC76=1,BX76,"")</f>
        <v/>
      </c>
      <c r="CL76" s="1" t="str">
        <f>IF($CC76=1,BY76,"")</f>
        <v/>
      </c>
      <c r="CM76" s="1" t="str">
        <f>IF($CC76=1,BZ76,"")</f>
        <v/>
      </c>
      <c r="CN76" s="1" t="str">
        <f>IF($CC76=1,CA76,"")</f>
        <v/>
      </c>
      <c r="CO76" s="1" t="str">
        <f>IF($CC76=1,CB76,"")</f>
        <v/>
      </c>
      <c r="CP76" s="18">
        <f>SUM(AB76:BL76)</f>
        <v>5</v>
      </c>
    </row>
    <row r="77" spans="1:94" x14ac:dyDescent="0.15">
      <c r="A77" s="1"/>
      <c r="B77" s="1" t="s">
        <v>172</v>
      </c>
      <c r="C77" s="1" t="s">
        <v>167</v>
      </c>
      <c r="D77" s="1" t="s">
        <v>161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1"/>
      <c r="AC77" s="1"/>
      <c r="AD77" s="1"/>
      <c r="AE77" s="1">
        <v>5</v>
      </c>
      <c r="AF77" s="1"/>
      <c r="AG77" s="1"/>
      <c r="AH77" s="1"/>
      <c r="AI77" s="1"/>
      <c r="AJ77" s="1"/>
      <c r="AK77" s="1"/>
      <c r="AL77" s="1"/>
      <c r="AM77" s="1"/>
      <c r="AN77" s="4"/>
      <c r="AO77" s="4"/>
      <c r="AP77" s="4"/>
      <c r="AQ77" s="4"/>
      <c r="AR77" s="4"/>
      <c r="AS77" s="4"/>
      <c r="AT77" s="2"/>
      <c r="AU77" s="2"/>
      <c r="AV77" s="2"/>
      <c r="AW77" s="2"/>
      <c r="AX77" s="2"/>
      <c r="AY77" s="2"/>
      <c r="AZ77" s="14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>
        <v>5</v>
      </c>
      <c r="BO77" s="17">
        <v>1</v>
      </c>
      <c r="BP77" s="17" t="s">
        <v>196</v>
      </c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8"/>
    </row>
    <row r="78" spans="1:94" x14ac:dyDescent="0.15">
      <c r="A78" s="1"/>
      <c r="B78" s="1" t="s">
        <v>172</v>
      </c>
      <c r="C78" s="1" t="s">
        <v>167</v>
      </c>
      <c r="D78" s="1" t="s">
        <v>154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1"/>
      <c r="AC78" s="1"/>
      <c r="AD78" s="1"/>
      <c r="AE78" s="1"/>
      <c r="AF78" s="1">
        <v>5</v>
      </c>
      <c r="AG78" s="1"/>
      <c r="AH78" s="1"/>
      <c r="AI78" s="1"/>
      <c r="AJ78" s="1"/>
      <c r="AK78" s="1"/>
      <c r="AL78" s="1"/>
      <c r="AM78" s="1"/>
      <c r="AN78" s="4"/>
      <c r="AO78" s="4"/>
      <c r="AP78" s="4"/>
      <c r="AQ78" s="4"/>
      <c r="AR78" s="4"/>
      <c r="AS78" s="4"/>
      <c r="AT78" s="2"/>
      <c r="AU78" s="2"/>
      <c r="AV78" s="2"/>
      <c r="AW78" s="2"/>
      <c r="AX78" s="2"/>
      <c r="AY78" s="2"/>
      <c r="AZ78" s="14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>
        <v>5</v>
      </c>
      <c r="BO78" s="17">
        <v>1</v>
      </c>
      <c r="BP78" s="17" t="s">
        <v>195</v>
      </c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8"/>
    </row>
    <row r="79" spans="1:94" x14ac:dyDescent="0.15">
      <c r="A79" s="1">
        <v>14</v>
      </c>
      <c r="B79" s="1" t="s">
        <v>32</v>
      </c>
      <c r="C79" s="1" t="s">
        <v>33</v>
      </c>
      <c r="D79" s="1" t="s">
        <v>34</v>
      </c>
      <c r="E79" s="6"/>
      <c r="F79" s="6"/>
      <c r="G79" s="6">
        <v>15</v>
      </c>
      <c r="H79" s="6">
        <v>15</v>
      </c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4"/>
      <c r="AO79" s="4"/>
      <c r="AP79" s="4">
        <v>15</v>
      </c>
      <c r="AQ79" s="4"/>
      <c r="AR79" s="4"/>
      <c r="AS79" s="4"/>
      <c r="AT79" s="2"/>
      <c r="AU79" s="2"/>
      <c r="AV79" s="2"/>
      <c r="AW79" s="2"/>
      <c r="AX79" s="2"/>
      <c r="AY79" s="2">
        <v>15</v>
      </c>
      <c r="AZ79" s="14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>
        <f>SUM(E79:BL79)</f>
        <v>60</v>
      </c>
      <c r="BN79" s="1">
        <v>7</v>
      </c>
      <c r="BO79" s="17">
        <v>1</v>
      </c>
      <c r="BP79" s="17" t="s">
        <v>206</v>
      </c>
      <c r="BQ79" s="1" t="str">
        <f>IF(AN79&gt;AN$116, AN79-AN$116,"")</f>
        <v/>
      </c>
      <c r="BR79" s="1" t="str">
        <f>IF(AO79&gt;AO$116, AO79-AO$116,"")</f>
        <v/>
      </c>
      <c r="BS79" s="1">
        <f>IF(AP79&gt;AP$116, AP79-AP$116,"")</f>
        <v>7</v>
      </c>
      <c r="BT79" s="1" t="str">
        <f>IF(AQ79&gt;AQ$116, AQ79-AQ$116,"")</f>
        <v/>
      </c>
      <c r="BU79" s="1" t="str">
        <f>IF(AR79&gt;AR$116, AR79-AR$116,"")</f>
        <v/>
      </c>
      <c r="BV79" s="1" t="str">
        <f>IF(AS79&gt;AS$116, AS79-AS$116,"")</f>
        <v/>
      </c>
      <c r="BW79" s="1" t="str">
        <f>IF(AT79&gt;AT$116, AT79-AT$116,"")</f>
        <v/>
      </c>
      <c r="BX79" s="1" t="str">
        <f>IF(AU79&gt;AU$116, AU79-AU$116,"")</f>
        <v/>
      </c>
      <c r="BY79" s="1" t="str">
        <f>IF(AV79&gt;AV$116, AV79-AV$116,"")</f>
        <v/>
      </c>
      <c r="BZ79" s="1" t="str">
        <f>IF(AW79&gt;AW$116, AW79-AW$116,"")</f>
        <v/>
      </c>
      <c r="CA79" s="1" t="str">
        <f>IF(AX79&gt;AX$116, AX79-AX$116,"")</f>
        <v/>
      </c>
      <c r="CB79" s="1" t="str">
        <f>IF(AY79&gt;AY$116, AY79-AY$116,"")</f>
        <v/>
      </c>
      <c r="CC79" s="1">
        <f>COUNTIF(BQ79:CB79, "&gt;0")</f>
        <v>1</v>
      </c>
      <c r="CD79" s="1" t="str">
        <f>IF($CC79=1,BQ79,"")</f>
        <v/>
      </c>
      <c r="CE79" s="1" t="str">
        <f>IF($CC79=1,BR79,"")</f>
        <v/>
      </c>
      <c r="CF79" s="1">
        <f>IF($CC79=1,BS79,"")</f>
        <v>7</v>
      </c>
      <c r="CG79" s="1" t="str">
        <f>IF($CC79=1,BT79,"")</f>
        <v/>
      </c>
      <c r="CH79" s="1" t="str">
        <f>IF($CC79=1,BU79,"")</f>
        <v/>
      </c>
      <c r="CI79" s="1" t="str">
        <f>IF($CC79=1,BV79,"")</f>
        <v/>
      </c>
      <c r="CJ79" s="1" t="str">
        <f>IF($CC79=1,BW79,"")</f>
        <v/>
      </c>
      <c r="CK79" s="1" t="str">
        <f>IF($CC79=1,BX79,"")</f>
        <v/>
      </c>
      <c r="CL79" s="1" t="str">
        <f>IF($CC79=1,BY79,"")</f>
        <v/>
      </c>
      <c r="CM79" s="1" t="str">
        <f>IF($CC79=1,BZ79,"")</f>
        <v/>
      </c>
      <c r="CN79" s="1" t="str">
        <f>IF($CC79=1,CA79,"")</f>
        <v/>
      </c>
      <c r="CO79" s="1" t="str">
        <f>IF($CC79=1,CB79,"")</f>
        <v/>
      </c>
      <c r="CP79" s="18">
        <f>SUM(AB79:BL79)</f>
        <v>30</v>
      </c>
    </row>
    <row r="80" spans="1:94" x14ac:dyDescent="0.15">
      <c r="A80" s="1"/>
      <c r="B80" s="1" t="s">
        <v>155</v>
      </c>
      <c r="C80" s="1" t="s">
        <v>156</v>
      </c>
      <c r="D80" s="1" t="s">
        <v>153</v>
      </c>
      <c r="E80" s="6"/>
      <c r="F80" s="6"/>
      <c r="G80" s="6">
        <v>15</v>
      </c>
      <c r="H80" s="6">
        <v>15</v>
      </c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4"/>
      <c r="AO80" s="4"/>
      <c r="AP80" s="4">
        <v>15</v>
      </c>
      <c r="AQ80" s="4"/>
      <c r="AR80" s="4"/>
      <c r="AS80" s="4"/>
      <c r="AT80" s="2"/>
      <c r="AU80" s="2"/>
      <c r="AV80" s="2"/>
      <c r="AW80" s="2"/>
      <c r="AX80" s="2"/>
      <c r="AY80" s="2">
        <v>15</v>
      </c>
      <c r="AZ80" s="14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>
        <v>7</v>
      </c>
      <c r="BO80" s="17">
        <v>1</v>
      </c>
      <c r="BP80" s="17" t="s">
        <v>205</v>
      </c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8"/>
    </row>
    <row r="81" spans="1:94" x14ac:dyDescent="0.15">
      <c r="A81" s="1">
        <v>41</v>
      </c>
      <c r="B81" s="1" t="s">
        <v>59</v>
      </c>
      <c r="C81" s="1" t="s">
        <v>50</v>
      </c>
      <c r="D81" s="1" t="s">
        <v>13</v>
      </c>
      <c r="E81" s="6"/>
      <c r="F81" s="6"/>
      <c r="G81" s="6"/>
      <c r="H81" s="6"/>
      <c r="I81" s="6"/>
      <c r="J81" s="6"/>
      <c r="K81" s="6"/>
      <c r="L81" s="6">
        <v>6</v>
      </c>
      <c r="M81" s="6"/>
      <c r="N81" s="6"/>
      <c r="O81" s="6">
        <v>6</v>
      </c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4">
        <v>10</v>
      </c>
      <c r="AO81" s="4"/>
      <c r="AP81" s="4"/>
      <c r="AQ81" s="4"/>
      <c r="AR81" s="4"/>
      <c r="AS81" s="4"/>
      <c r="AT81" s="2"/>
      <c r="AU81" s="2">
        <v>10</v>
      </c>
      <c r="AV81" s="2"/>
      <c r="AW81" s="2"/>
      <c r="AX81" s="2"/>
      <c r="AY81" s="2"/>
      <c r="AZ81" s="14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>
        <f>SUM(E81:BL81)</f>
        <v>32</v>
      </c>
      <c r="BN81" s="1">
        <v>8</v>
      </c>
      <c r="BO81" s="17">
        <v>1</v>
      </c>
      <c r="BP81" s="17" t="s">
        <v>193</v>
      </c>
      <c r="BQ81" s="1">
        <f>IF(AN81&gt;AN$116, AN81-AN$116,"")</f>
        <v>8</v>
      </c>
      <c r="BR81" s="1" t="str">
        <f>IF(AO81&gt;AO$116, AO81-AO$116,"")</f>
        <v/>
      </c>
      <c r="BS81" s="1" t="str">
        <f>IF(AP81&gt;AP$116, AP81-AP$116,"")</f>
        <v/>
      </c>
      <c r="BT81" s="1" t="str">
        <f>IF(AQ81&gt;AQ$116, AQ81-AQ$116,"")</f>
        <v/>
      </c>
      <c r="BU81" s="1" t="str">
        <f>IF(AR81&gt;AR$116, AR81-AR$116,"")</f>
        <v/>
      </c>
      <c r="BV81" s="1" t="str">
        <f>IF(AS81&gt;AS$116, AS81-AS$116,"")</f>
        <v/>
      </c>
      <c r="BW81" s="1" t="str">
        <f>IF(AT81&gt;AT$116, AT81-AT$116,"")</f>
        <v/>
      </c>
      <c r="BX81" s="1" t="str">
        <f>IF(AU81&gt;AU$116, AU81-AU$116,"")</f>
        <v/>
      </c>
      <c r="BY81" s="1" t="str">
        <f>IF(AV81&gt;AV$116, AV81-AV$116,"")</f>
        <v/>
      </c>
      <c r="BZ81" s="1" t="str">
        <f>IF(AW81&gt;AW$116, AW81-AW$116,"")</f>
        <v/>
      </c>
      <c r="CA81" s="1" t="str">
        <f>IF(AX81&gt;AX$116, AX81-AX$116,"")</f>
        <v/>
      </c>
      <c r="CB81" s="1" t="str">
        <f>IF(AY81&gt;AY$116, AY81-AY$116,"")</f>
        <v/>
      </c>
      <c r="CC81" s="1">
        <f>COUNTIF(BQ81:CB81, "&gt;0")</f>
        <v>1</v>
      </c>
      <c r="CD81" s="1">
        <f>IF($CC81=1,BQ81,"")</f>
        <v>8</v>
      </c>
      <c r="CE81" s="1" t="str">
        <f>IF($CC81=1,BR81,"")</f>
        <v/>
      </c>
      <c r="CF81" s="1" t="str">
        <f>IF($CC81=1,BS81,"")</f>
        <v/>
      </c>
      <c r="CG81" s="1" t="str">
        <f>IF($CC81=1,BT81,"")</f>
        <v/>
      </c>
      <c r="CH81" s="1" t="str">
        <f>IF($CC81=1,BU81,"")</f>
        <v/>
      </c>
      <c r="CI81" s="1" t="str">
        <f>IF($CC81=1,BV81,"")</f>
        <v/>
      </c>
      <c r="CJ81" s="1" t="str">
        <f>IF($CC81=1,BW81,"")</f>
        <v/>
      </c>
      <c r="CK81" s="1" t="str">
        <f>IF($CC81=1,BX81,"")</f>
        <v/>
      </c>
      <c r="CL81" s="1" t="str">
        <f>IF($CC81=1,BY81,"")</f>
        <v/>
      </c>
      <c r="CM81" s="1" t="str">
        <f>IF($CC81=1,BZ81,"")</f>
        <v/>
      </c>
      <c r="CN81" s="1" t="str">
        <f>IF($CC81=1,CA81,"")</f>
        <v/>
      </c>
      <c r="CO81" s="1" t="str">
        <f>IF($CC81=1,CB81,"")</f>
        <v/>
      </c>
      <c r="CP81" s="18">
        <f>SUM(AB81:BL81)</f>
        <v>20</v>
      </c>
    </row>
    <row r="82" spans="1:94" x14ac:dyDescent="0.15">
      <c r="A82" s="1">
        <v>43</v>
      </c>
      <c r="B82" s="1" t="s">
        <v>114</v>
      </c>
      <c r="C82" s="1" t="s">
        <v>50</v>
      </c>
      <c r="D82" s="1" t="s">
        <v>13</v>
      </c>
      <c r="E82" s="6"/>
      <c r="F82" s="6">
        <v>6</v>
      </c>
      <c r="G82" s="6"/>
      <c r="H82" s="6">
        <v>6</v>
      </c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4">
        <v>10</v>
      </c>
      <c r="AO82" s="4"/>
      <c r="AP82" s="4"/>
      <c r="AQ82" s="4"/>
      <c r="AR82" s="4"/>
      <c r="AS82" s="4"/>
      <c r="AT82" s="2"/>
      <c r="AU82" s="2"/>
      <c r="AV82" s="2"/>
      <c r="AW82" s="2">
        <v>10</v>
      </c>
      <c r="AX82" s="2"/>
      <c r="AY82" s="2"/>
      <c r="AZ82" s="14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>
        <f>SUM(E82:BL82)</f>
        <v>32</v>
      </c>
      <c r="BN82" s="1">
        <v>8</v>
      </c>
      <c r="BO82" s="17">
        <v>1</v>
      </c>
      <c r="BP82" s="17" t="s">
        <v>193</v>
      </c>
      <c r="BQ82" s="1">
        <f>IF(AN82&gt;AN$116, AN82-AN$116,"")</f>
        <v>8</v>
      </c>
      <c r="BR82" s="1" t="str">
        <f>IF(AO82&gt;AO$116, AO82-AO$116,"")</f>
        <v/>
      </c>
      <c r="BS82" s="1" t="str">
        <f>IF(AP82&gt;AP$116, AP82-AP$116,"")</f>
        <v/>
      </c>
      <c r="BT82" s="1" t="str">
        <f>IF(AQ82&gt;AQ$116, AQ82-AQ$116,"")</f>
        <v/>
      </c>
      <c r="BU82" s="1" t="str">
        <f>IF(AR82&gt;AR$116, AR82-AR$116,"")</f>
        <v/>
      </c>
      <c r="BV82" s="1" t="str">
        <f>IF(AS82&gt;AS$116, AS82-AS$116,"")</f>
        <v/>
      </c>
      <c r="BW82" s="1" t="str">
        <f>IF(AT82&gt;AT$116, AT82-AT$116,"")</f>
        <v/>
      </c>
      <c r="BX82" s="1" t="str">
        <f>IF(AU82&gt;AU$116, AU82-AU$116,"")</f>
        <v/>
      </c>
      <c r="BY82" s="1" t="str">
        <f>IF(AV82&gt;AV$116, AV82-AV$116,"")</f>
        <v/>
      </c>
      <c r="BZ82" s="1" t="str">
        <f>IF(AW82&gt;AW$116, AW82-AW$116,"")</f>
        <v/>
      </c>
      <c r="CA82" s="1" t="str">
        <f>IF(AX82&gt;AX$116, AX82-AX$116,"")</f>
        <v/>
      </c>
      <c r="CB82" s="1" t="str">
        <f>IF(AY82&gt;AY$116, AY82-AY$116,"")</f>
        <v/>
      </c>
      <c r="CC82" s="1">
        <f>COUNTIF(BQ82:CB82, "&gt;0")</f>
        <v>1</v>
      </c>
      <c r="CD82" s="1">
        <f>IF($CC82=1,BQ82,"")</f>
        <v>8</v>
      </c>
      <c r="CE82" s="1" t="str">
        <f>IF($CC82=1,BR82,"")</f>
        <v/>
      </c>
      <c r="CF82" s="1" t="str">
        <f>IF($CC82=1,BS82,"")</f>
        <v/>
      </c>
      <c r="CG82" s="1" t="str">
        <f>IF($CC82=1,BT82,"")</f>
        <v/>
      </c>
      <c r="CH82" s="1" t="str">
        <f>IF($CC82=1,BU82,"")</f>
        <v/>
      </c>
      <c r="CI82" s="1" t="str">
        <f>IF($CC82=1,BV82,"")</f>
        <v/>
      </c>
      <c r="CJ82" s="1" t="str">
        <f>IF($CC82=1,BW82,"")</f>
        <v/>
      </c>
      <c r="CK82" s="1" t="str">
        <f>IF($CC82=1,BX82,"")</f>
        <v/>
      </c>
      <c r="CL82" s="1" t="str">
        <f>IF($CC82=1,BY82,"")</f>
        <v/>
      </c>
      <c r="CM82" s="1" t="str">
        <f>IF($CC82=1,BZ82,"")</f>
        <v/>
      </c>
      <c r="CN82" s="1" t="str">
        <f>IF($CC82=1,CA82,"")</f>
        <v/>
      </c>
      <c r="CO82" s="1" t="str">
        <f>IF($CC82=1,CB82,"")</f>
        <v/>
      </c>
      <c r="CP82" s="18">
        <f>SUM(AB82:BL82)</f>
        <v>20</v>
      </c>
    </row>
    <row r="83" spans="1:94" x14ac:dyDescent="0.15">
      <c r="A83" s="1">
        <v>39</v>
      </c>
      <c r="B83" s="1" t="s">
        <v>55</v>
      </c>
      <c r="C83" s="1" t="s">
        <v>50</v>
      </c>
      <c r="D83" s="1" t="s">
        <v>26</v>
      </c>
      <c r="E83" s="6"/>
      <c r="F83" s="6">
        <v>6</v>
      </c>
      <c r="G83" s="6"/>
      <c r="H83" s="6"/>
      <c r="I83" s="6"/>
      <c r="J83" s="6"/>
      <c r="K83" s="6"/>
      <c r="L83" s="6">
        <v>6</v>
      </c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4">
        <v>10</v>
      </c>
      <c r="AO83" s="4"/>
      <c r="AP83" s="4"/>
      <c r="AQ83" s="4"/>
      <c r="AR83" s="4"/>
      <c r="AS83" s="4"/>
      <c r="AT83" s="2"/>
      <c r="AU83" s="2">
        <v>10</v>
      </c>
      <c r="AV83" s="2"/>
      <c r="AW83" s="2"/>
      <c r="AX83" s="2"/>
      <c r="AY83" s="2"/>
      <c r="AZ83" s="14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>
        <f>SUM(E83:BL83)</f>
        <v>32</v>
      </c>
      <c r="BN83" s="1">
        <v>8</v>
      </c>
      <c r="BO83" s="17">
        <v>1</v>
      </c>
      <c r="BP83" s="17" t="s">
        <v>193</v>
      </c>
      <c r="BQ83" s="1">
        <f>IF(AN83&gt;AN$116, AN83-AN$116,"")</f>
        <v>8</v>
      </c>
      <c r="BR83" s="1" t="str">
        <f>IF(AO83&gt;AO$116, AO83-AO$116,"")</f>
        <v/>
      </c>
      <c r="BS83" s="1" t="str">
        <f>IF(AP83&gt;AP$116, AP83-AP$116,"")</f>
        <v/>
      </c>
      <c r="BT83" s="1" t="str">
        <f>IF(AQ83&gt;AQ$116, AQ83-AQ$116,"")</f>
        <v/>
      </c>
      <c r="BU83" s="1" t="str">
        <f>IF(AR83&gt;AR$116, AR83-AR$116,"")</f>
        <v/>
      </c>
      <c r="BV83" s="1" t="str">
        <f>IF(AS83&gt;AS$116, AS83-AS$116,"")</f>
        <v/>
      </c>
      <c r="BW83" s="1" t="str">
        <f>IF(AT83&gt;AT$116, AT83-AT$116,"")</f>
        <v/>
      </c>
      <c r="BX83" s="1" t="str">
        <f>IF(AU83&gt;AU$116, AU83-AU$116,"")</f>
        <v/>
      </c>
      <c r="BY83" s="1" t="str">
        <f>IF(AV83&gt;AV$116, AV83-AV$116,"")</f>
        <v/>
      </c>
      <c r="BZ83" s="1" t="str">
        <f>IF(AW83&gt;AW$116, AW83-AW$116,"")</f>
        <v/>
      </c>
      <c r="CA83" s="1" t="str">
        <f>IF(AX83&gt;AX$116, AX83-AX$116,"")</f>
        <v/>
      </c>
      <c r="CB83" s="1" t="str">
        <f>IF(AY83&gt;AY$116, AY83-AY$116,"")</f>
        <v/>
      </c>
      <c r="CC83" s="1">
        <f>COUNTIF(BQ83:CB83, "&gt;0")</f>
        <v>1</v>
      </c>
      <c r="CD83" s="1">
        <f>IF($CC83=1,BQ83,"")</f>
        <v>8</v>
      </c>
      <c r="CE83" s="1" t="str">
        <f>IF($CC83=1,BR83,"")</f>
        <v/>
      </c>
      <c r="CF83" s="1" t="str">
        <f>IF($CC83=1,BS83,"")</f>
        <v/>
      </c>
      <c r="CG83" s="1" t="str">
        <f>IF($CC83=1,BT83,"")</f>
        <v/>
      </c>
      <c r="CH83" s="1" t="str">
        <f>IF($CC83=1,BU83,"")</f>
        <v/>
      </c>
      <c r="CI83" s="1" t="str">
        <f>IF($CC83=1,BV83,"")</f>
        <v/>
      </c>
      <c r="CJ83" s="1" t="str">
        <f>IF($CC83=1,BW83,"")</f>
        <v/>
      </c>
      <c r="CK83" s="1" t="str">
        <f>IF($CC83=1,BX83,"")</f>
        <v/>
      </c>
      <c r="CL83" s="1" t="str">
        <f>IF($CC83=1,BY83,"")</f>
        <v/>
      </c>
      <c r="CM83" s="1" t="str">
        <f>IF($CC83=1,BZ83,"")</f>
        <v/>
      </c>
      <c r="CN83" s="1" t="str">
        <f>IF($CC83=1,CA83,"")</f>
        <v/>
      </c>
      <c r="CO83" s="1" t="str">
        <f>IF($CC83=1,CB83,"")</f>
        <v/>
      </c>
      <c r="CP83" s="18">
        <f>SUM(AB83:BL83)</f>
        <v>20</v>
      </c>
    </row>
    <row r="84" spans="1:94" x14ac:dyDescent="0.15">
      <c r="A84" s="1">
        <v>45</v>
      </c>
      <c r="B84" s="1" t="s">
        <v>133</v>
      </c>
      <c r="C84" s="1" t="s">
        <v>50</v>
      </c>
      <c r="D84" s="1" t="s">
        <v>13</v>
      </c>
      <c r="E84" s="6">
        <v>6</v>
      </c>
      <c r="F84" s="6"/>
      <c r="G84" s="6"/>
      <c r="H84" s="6"/>
      <c r="I84" s="6"/>
      <c r="J84" s="6"/>
      <c r="K84" s="6"/>
      <c r="L84" s="6"/>
      <c r="M84" s="6">
        <v>6</v>
      </c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4">
        <v>10</v>
      </c>
      <c r="AO84" s="4"/>
      <c r="AP84" s="4"/>
      <c r="AQ84" s="4"/>
      <c r="AR84" s="4"/>
      <c r="AS84" s="4"/>
      <c r="AT84" s="2"/>
      <c r="AU84" s="2"/>
      <c r="AV84" s="2"/>
      <c r="AW84" s="2">
        <v>10</v>
      </c>
      <c r="AX84" s="2"/>
      <c r="AY84" s="2"/>
      <c r="AZ84" s="14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>
        <f>SUM(E84:BL84)</f>
        <v>32</v>
      </c>
      <c r="BN84" s="1">
        <v>8</v>
      </c>
      <c r="BO84" s="17">
        <v>1</v>
      </c>
      <c r="BP84" s="17" t="s">
        <v>193</v>
      </c>
      <c r="BQ84" s="1">
        <f>IF(AN84&gt;AN$116, AN84-AN$116,"")</f>
        <v>8</v>
      </c>
      <c r="BR84" s="1" t="str">
        <f>IF(AO84&gt;AO$116, AO84-AO$116,"")</f>
        <v/>
      </c>
      <c r="BS84" s="1" t="str">
        <f>IF(AP84&gt;AP$116, AP84-AP$116,"")</f>
        <v/>
      </c>
      <c r="BT84" s="1" t="str">
        <f>IF(AQ84&gt;AQ$116, AQ84-AQ$116,"")</f>
        <v/>
      </c>
      <c r="BU84" s="1" t="str">
        <f>IF(AR84&gt;AR$116, AR84-AR$116,"")</f>
        <v/>
      </c>
      <c r="BV84" s="1" t="str">
        <f>IF(AS84&gt;AS$116, AS84-AS$116,"")</f>
        <v/>
      </c>
      <c r="BW84" s="1" t="str">
        <f>IF(AT84&gt;AT$116, AT84-AT$116,"")</f>
        <v/>
      </c>
      <c r="BX84" s="1" t="str">
        <f>IF(AU84&gt;AU$116, AU84-AU$116,"")</f>
        <v/>
      </c>
      <c r="BY84" s="1" t="str">
        <f>IF(AV84&gt;AV$116, AV84-AV$116,"")</f>
        <v/>
      </c>
      <c r="BZ84" s="1" t="str">
        <f>IF(AW84&gt;AW$116, AW84-AW$116,"")</f>
        <v/>
      </c>
      <c r="CA84" s="1" t="str">
        <f>IF(AX84&gt;AX$116, AX84-AX$116,"")</f>
        <v/>
      </c>
      <c r="CB84" s="1" t="str">
        <f>IF(AY84&gt;AY$116, AY84-AY$116,"")</f>
        <v/>
      </c>
      <c r="CC84" s="1">
        <f>COUNTIF(BQ84:CB84, "&gt;0")</f>
        <v>1</v>
      </c>
      <c r="CD84" s="1">
        <f>IF($CC84=1,BQ84,"")</f>
        <v>8</v>
      </c>
      <c r="CE84" s="1" t="str">
        <f>IF($CC84=1,BR84,"")</f>
        <v/>
      </c>
      <c r="CF84" s="1" t="str">
        <f>IF($CC84=1,BS84,"")</f>
        <v/>
      </c>
      <c r="CG84" s="1" t="str">
        <f>IF($CC84=1,BT84,"")</f>
        <v/>
      </c>
      <c r="CH84" s="1" t="str">
        <f>IF($CC84=1,BU84,"")</f>
        <v/>
      </c>
      <c r="CI84" s="1" t="str">
        <f>IF($CC84=1,BV84,"")</f>
        <v/>
      </c>
      <c r="CJ84" s="1" t="str">
        <f>IF($CC84=1,BW84,"")</f>
        <v/>
      </c>
      <c r="CK84" s="1" t="str">
        <f>IF($CC84=1,BX84,"")</f>
        <v/>
      </c>
      <c r="CL84" s="1" t="str">
        <f>IF($CC84=1,BY84,"")</f>
        <v/>
      </c>
      <c r="CM84" s="1" t="str">
        <f>IF($CC84=1,BZ84,"")</f>
        <v/>
      </c>
      <c r="CN84" s="1" t="str">
        <f>IF($CC84=1,CA84,"")</f>
        <v/>
      </c>
      <c r="CO84" s="1" t="str">
        <f>IF($CC84=1,CB84,"")</f>
        <v/>
      </c>
      <c r="CP84" s="18">
        <f>SUM(AB84:BL84)</f>
        <v>20</v>
      </c>
    </row>
    <row r="85" spans="1:94" x14ac:dyDescent="0.15">
      <c r="A85" s="1">
        <v>97</v>
      </c>
      <c r="B85" s="3" t="s">
        <v>86</v>
      </c>
      <c r="C85" s="3" t="s">
        <v>85</v>
      </c>
      <c r="D85" s="1" t="s">
        <v>24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1">
        <v>10</v>
      </c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4"/>
      <c r="AO85" s="4"/>
      <c r="AP85" s="4"/>
      <c r="AQ85" s="4"/>
      <c r="AR85" s="4"/>
      <c r="AS85" s="4"/>
      <c r="AT85" s="2"/>
      <c r="AU85" s="2"/>
      <c r="AV85" s="2"/>
      <c r="AW85" s="2"/>
      <c r="AX85" s="2"/>
      <c r="AY85" s="2"/>
      <c r="AZ85" s="14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>
        <f>SUM(E85:BL85)</f>
        <v>10</v>
      </c>
      <c r="BN85" s="1">
        <v>8</v>
      </c>
      <c r="BO85" s="17">
        <v>1</v>
      </c>
      <c r="BP85" s="17" t="s">
        <v>150</v>
      </c>
      <c r="BQ85" s="1" t="str">
        <f>IF(AN85&gt;AN$116, AN85-AN$116,"")</f>
        <v/>
      </c>
      <c r="BR85" s="1" t="str">
        <f>IF(AO85&gt;AO$116, AO85-AO$116,"")</f>
        <v/>
      </c>
      <c r="BS85" s="1" t="str">
        <f>IF(AP85&gt;AP$116, AP85-AP$116,"")</f>
        <v/>
      </c>
      <c r="BT85" s="1" t="str">
        <f>IF(AQ85&gt;AQ$116, AQ85-AQ$116,"")</f>
        <v/>
      </c>
      <c r="BU85" s="1" t="str">
        <f>IF(AR85&gt;AR$116, AR85-AR$116,"")</f>
        <v/>
      </c>
      <c r="BV85" s="1" t="str">
        <f>IF(AS85&gt;AS$116, AS85-AS$116,"")</f>
        <v/>
      </c>
      <c r="BW85" s="1" t="str">
        <f>IF(AT85&gt;AT$116, AT85-AT$116,"")</f>
        <v/>
      </c>
      <c r="BX85" s="1" t="str">
        <f>IF(AU85&gt;AU$116, AU85-AU$116,"")</f>
        <v/>
      </c>
      <c r="BY85" s="1" t="str">
        <f>IF(AV85&gt;AV$116, AV85-AV$116,"")</f>
        <v/>
      </c>
      <c r="BZ85" s="1" t="str">
        <f>IF(AW85&gt;AW$116, AW85-AW$116,"")</f>
        <v/>
      </c>
      <c r="CA85" s="1" t="str">
        <f>IF(AX85&gt;AX$116, AX85-AX$116,"")</f>
        <v/>
      </c>
      <c r="CB85" s="1" t="str">
        <f>IF(AY85&gt;AY$116, AY85-AY$116,"")</f>
        <v/>
      </c>
      <c r="CC85" s="1">
        <f>COUNTIF(BQ85:CB85, "&gt;0")</f>
        <v>0</v>
      </c>
      <c r="CD85" s="1" t="str">
        <f>IF($CC85=1,BQ85,"")</f>
        <v/>
      </c>
      <c r="CE85" s="1" t="str">
        <f>IF($CC85=1,BR85,"")</f>
        <v/>
      </c>
      <c r="CF85" s="1" t="str">
        <f>IF($CC85=1,BS85,"")</f>
        <v/>
      </c>
      <c r="CG85" s="1" t="str">
        <f>IF($CC85=1,BT85,"")</f>
        <v/>
      </c>
      <c r="CH85" s="1" t="str">
        <f>IF($CC85=1,BU85,"")</f>
        <v/>
      </c>
      <c r="CI85" s="1" t="str">
        <f>IF($CC85=1,BV85,"")</f>
        <v/>
      </c>
      <c r="CJ85" s="1" t="str">
        <f>IF($CC85=1,BW85,"")</f>
        <v/>
      </c>
      <c r="CK85" s="1" t="str">
        <f>IF($CC85=1,BX85,"")</f>
        <v/>
      </c>
      <c r="CL85" s="1" t="str">
        <f>IF($CC85=1,BY85,"")</f>
        <v/>
      </c>
      <c r="CM85" s="1" t="str">
        <f>IF($CC85=1,BZ85,"")</f>
        <v/>
      </c>
      <c r="CN85" s="1" t="str">
        <f>IF($CC85=1,CA85,"")</f>
        <v/>
      </c>
      <c r="CO85" s="1" t="str">
        <f>IF($CC85=1,CB85,"")</f>
        <v/>
      </c>
      <c r="CP85" s="18">
        <f>SUM(AB85:BL85)</f>
        <v>10</v>
      </c>
    </row>
    <row r="86" spans="1:94" x14ac:dyDescent="0.15">
      <c r="A86" s="1"/>
      <c r="B86" s="1" t="s">
        <v>174</v>
      </c>
      <c r="C86" s="1" t="s">
        <v>152</v>
      </c>
      <c r="D86" s="1" t="s">
        <v>153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4">
        <v>10</v>
      </c>
      <c r="AO86" s="4"/>
      <c r="AP86" s="4"/>
      <c r="AQ86" s="4"/>
      <c r="AR86" s="4"/>
      <c r="AS86" s="4"/>
      <c r="AT86" s="2"/>
      <c r="AU86" s="2"/>
      <c r="AV86" s="2"/>
      <c r="AW86" s="2"/>
      <c r="AX86" s="2"/>
      <c r="AY86" s="2">
        <v>10</v>
      </c>
      <c r="AZ86" s="14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>
        <v>8</v>
      </c>
      <c r="BO86" s="17">
        <v>1</v>
      </c>
      <c r="BP86" s="17" t="s">
        <v>193</v>
      </c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8"/>
    </row>
    <row r="87" spans="1:94" x14ac:dyDescent="0.15">
      <c r="A87" s="1"/>
      <c r="B87" s="1" t="s">
        <v>175</v>
      </c>
      <c r="C87" s="1" t="s">
        <v>152</v>
      </c>
      <c r="D87" s="1" t="s">
        <v>154</v>
      </c>
      <c r="E87" s="6"/>
      <c r="F87" s="6"/>
      <c r="G87" s="6"/>
      <c r="H87" s="6">
        <v>6</v>
      </c>
      <c r="I87" s="6"/>
      <c r="J87" s="6"/>
      <c r="K87" s="6">
        <v>6</v>
      </c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4">
        <v>10</v>
      </c>
      <c r="AO87" s="4"/>
      <c r="AP87" s="4"/>
      <c r="AQ87" s="4"/>
      <c r="AR87" s="4"/>
      <c r="AS87" s="4"/>
      <c r="AT87" s="2">
        <v>10</v>
      </c>
      <c r="AU87" s="2"/>
      <c r="AV87" s="2"/>
      <c r="AW87" s="2"/>
      <c r="AX87" s="2"/>
      <c r="AY87" s="2"/>
      <c r="AZ87" s="14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>
        <v>8</v>
      </c>
      <c r="BO87" s="17">
        <v>1</v>
      </c>
      <c r="BP87" s="17" t="s">
        <v>193</v>
      </c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8"/>
    </row>
    <row r="88" spans="1:94" x14ac:dyDescent="0.15">
      <c r="A88" s="1">
        <v>2</v>
      </c>
      <c r="B88" s="1" t="s">
        <v>8</v>
      </c>
      <c r="C88" s="1" t="s">
        <v>2</v>
      </c>
      <c r="D88" s="1" t="s">
        <v>1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1">
        <v>15</v>
      </c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4"/>
      <c r="AO88" s="4"/>
      <c r="AP88" s="4"/>
      <c r="AQ88" s="4"/>
      <c r="AR88" s="4"/>
      <c r="AS88" s="4"/>
      <c r="AT88" s="2"/>
      <c r="AU88" s="2"/>
      <c r="AV88" s="2"/>
      <c r="AW88" s="2">
        <v>15</v>
      </c>
      <c r="AX88" s="2"/>
      <c r="AY88" s="2"/>
      <c r="AZ88" s="14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>
        <f>SUM(E88:BL88)</f>
        <v>30</v>
      </c>
      <c r="BN88" s="1">
        <v>13</v>
      </c>
      <c r="BO88" s="17">
        <v>1</v>
      </c>
      <c r="BP88" s="17" t="s">
        <v>140</v>
      </c>
      <c r="BQ88" s="1" t="str">
        <f>IF(AN88&gt;AN$116, AN88-AN$116,"")</f>
        <v/>
      </c>
      <c r="BR88" s="1" t="str">
        <f>IF(AO88&gt;AO$116, AO88-AO$116,"")</f>
        <v/>
      </c>
      <c r="BS88" s="1" t="str">
        <f>IF(AP88&gt;AP$116, AP88-AP$116,"")</f>
        <v/>
      </c>
      <c r="BT88" s="1" t="str">
        <f>IF(AQ88&gt;AQ$116, AQ88-AQ$116,"")</f>
        <v/>
      </c>
      <c r="BU88" s="1" t="str">
        <f>IF(AR88&gt;AR$116, AR88-AR$116,"")</f>
        <v/>
      </c>
      <c r="BV88" s="1" t="str">
        <f>IF(AS88&gt;AS$116, AS88-AS$116,"")</f>
        <v/>
      </c>
      <c r="BW88" s="1" t="str">
        <f>IF(AT88&gt;AT$116, AT88-AT$116,"")</f>
        <v/>
      </c>
      <c r="BX88" s="1" t="str">
        <f>IF(AU88&gt;AU$116, AU88-AU$116,"")</f>
        <v/>
      </c>
      <c r="BY88" s="1" t="str">
        <f>IF(AV88&gt;AV$116, AV88-AV$116,"")</f>
        <v/>
      </c>
      <c r="BZ88" s="1" t="str">
        <f>IF(AW88&gt;AW$116, AW88-AW$116,"")</f>
        <v/>
      </c>
      <c r="CA88" s="1" t="str">
        <f>IF(AX88&gt;AX$116, AX88-AX$116,"")</f>
        <v/>
      </c>
      <c r="CB88" s="1" t="str">
        <f>IF(AY88&gt;AY$116, AY88-AY$116,"")</f>
        <v/>
      </c>
      <c r="CC88" s="1">
        <f>COUNTIF(BQ88:CB88, "&gt;0")</f>
        <v>0</v>
      </c>
      <c r="CD88" s="1" t="str">
        <f>IF($CC88=1,BQ88,"")</f>
        <v/>
      </c>
      <c r="CE88" s="1" t="str">
        <f>IF($CC88=1,BR88,"")</f>
        <v/>
      </c>
      <c r="CF88" s="1" t="str">
        <f>IF($CC88=1,BS88,"")</f>
        <v/>
      </c>
      <c r="CG88" s="1" t="str">
        <f>IF($CC88=1,BT88,"")</f>
        <v/>
      </c>
      <c r="CH88" s="1" t="str">
        <f>IF($CC88=1,BU88,"")</f>
        <v/>
      </c>
      <c r="CI88" s="1" t="str">
        <f>IF($CC88=1,BV88,"")</f>
        <v/>
      </c>
      <c r="CJ88" s="1" t="str">
        <f>IF($CC88=1,BW88,"")</f>
        <v/>
      </c>
      <c r="CK88" s="1" t="str">
        <f>IF($CC88=1,BX88,"")</f>
        <v/>
      </c>
      <c r="CL88" s="1" t="str">
        <f>IF($CC88=1,BY88,"")</f>
        <v/>
      </c>
      <c r="CM88" s="1" t="str">
        <f>IF($CC88=1,BZ88,"")</f>
        <v/>
      </c>
      <c r="CN88" s="1" t="str">
        <f>IF($CC88=1,CA88,"")</f>
        <v/>
      </c>
      <c r="CO88" s="1" t="str">
        <f>IF($CC88=1,CB88,"")</f>
        <v/>
      </c>
      <c r="CP88" s="18">
        <f>SUM(AB88:BL88)</f>
        <v>30</v>
      </c>
    </row>
    <row r="89" spans="1:94" x14ac:dyDescent="0.15">
      <c r="A89" s="1">
        <v>34</v>
      </c>
      <c r="B89" s="1" t="s">
        <v>49</v>
      </c>
      <c r="C89" s="1" t="s">
        <v>50</v>
      </c>
      <c r="D89" s="1" t="s">
        <v>25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4">
        <v>15</v>
      </c>
      <c r="AO89" s="4"/>
      <c r="AP89" s="4"/>
      <c r="AQ89" s="4"/>
      <c r="AR89" s="4"/>
      <c r="AS89" s="4"/>
      <c r="AT89" s="2"/>
      <c r="AU89" s="2"/>
      <c r="AV89" s="2"/>
      <c r="AW89" s="2"/>
      <c r="AX89" s="2"/>
      <c r="AY89" s="2">
        <v>15</v>
      </c>
      <c r="AZ89" s="14"/>
      <c r="BA89" s="1"/>
      <c r="BB89" s="1"/>
      <c r="BC89" s="1"/>
      <c r="BD89" s="1"/>
      <c r="BE89" s="1">
        <v>15</v>
      </c>
      <c r="BF89" s="1">
        <v>15</v>
      </c>
      <c r="BG89" s="1"/>
      <c r="BH89" s="1"/>
      <c r="BI89" s="1"/>
      <c r="BJ89" s="1"/>
      <c r="BK89" s="1"/>
      <c r="BL89" s="1"/>
      <c r="BM89" s="1">
        <f>SUM(E89:BL89)</f>
        <v>60</v>
      </c>
      <c r="BN89" s="1">
        <v>13</v>
      </c>
      <c r="BO89" s="17">
        <v>1</v>
      </c>
      <c r="BP89" s="17" t="s">
        <v>200</v>
      </c>
      <c r="BQ89" s="1">
        <f>IF(AN89&gt;AN$116, AN89-AN$116,"")</f>
        <v>13</v>
      </c>
      <c r="BR89" s="1" t="str">
        <f>IF(AO89&gt;AO$116, AO89-AO$116,"")</f>
        <v/>
      </c>
      <c r="BS89" s="1" t="str">
        <f>IF(AP89&gt;AP$116, AP89-AP$116,"")</f>
        <v/>
      </c>
      <c r="BT89" s="1" t="str">
        <f>IF(AQ89&gt;AQ$116, AQ89-AQ$116,"")</f>
        <v/>
      </c>
      <c r="BU89" s="1" t="str">
        <f>IF(AR89&gt;AR$116, AR89-AR$116,"")</f>
        <v/>
      </c>
      <c r="BV89" s="1" t="str">
        <f>IF(AS89&gt;AS$116, AS89-AS$116,"")</f>
        <v/>
      </c>
      <c r="BW89" s="1" t="str">
        <f>IF(AT89&gt;AT$116, AT89-AT$116,"")</f>
        <v/>
      </c>
      <c r="BX89" s="1" t="str">
        <f>IF(AU89&gt;AU$116, AU89-AU$116,"")</f>
        <v/>
      </c>
      <c r="BY89" s="1" t="str">
        <f>IF(AV89&gt;AV$116, AV89-AV$116,"")</f>
        <v/>
      </c>
      <c r="BZ89" s="1" t="str">
        <f>IF(AW89&gt;AW$116, AW89-AW$116,"")</f>
        <v/>
      </c>
      <c r="CA89" s="1" t="str">
        <f>IF(AX89&gt;AX$116, AX89-AX$116,"")</f>
        <v/>
      </c>
      <c r="CB89" s="1" t="str">
        <f>IF(AY89&gt;AY$116, AY89-AY$116,"")</f>
        <v/>
      </c>
      <c r="CC89" s="1">
        <f>COUNTIF(BQ89:CB89, "&gt;0")</f>
        <v>1</v>
      </c>
      <c r="CD89" s="1">
        <f>IF($CC89=1,BQ89,"")</f>
        <v>13</v>
      </c>
      <c r="CE89" s="1" t="str">
        <f>IF($CC89=1,BR89,"")</f>
        <v/>
      </c>
      <c r="CF89" s="1" t="str">
        <f>IF($CC89=1,BS89,"")</f>
        <v/>
      </c>
      <c r="CG89" s="1" t="str">
        <f>IF($CC89=1,BT89,"")</f>
        <v/>
      </c>
      <c r="CH89" s="1" t="str">
        <f>IF($CC89=1,BU89,"")</f>
        <v/>
      </c>
      <c r="CI89" s="1" t="str">
        <f>IF($CC89=1,BV89,"")</f>
        <v/>
      </c>
      <c r="CJ89" s="1" t="str">
        <f>IF($CC89=1,BW89,"")</f>
        <v/>
      </c>
      <c r="CK89" s="1" t="str">
        <f>IF($CC89=1,BX89,"")</f>
        <v/>
      </c>
      <c r="CL89" s="1" t="str">
        <f>IF($CC89=1,BY89,"")</f>
        <v/>
      </c>
      <c r="CM89" s="1" t="str">
        <f>IF($CC89=1,BZ89,"")</f>
        <v/>
      </c>
      <c r="CN89" s="1" t="str">
        <f>IF($CC89=1,CA89,"")</f>
        <v/>
      </c>
      <c r="CO89" s="1" t="str">
        <f>IF($CC89=1,CB89,"")</f>
        <v/>
      </c>
      <c r="CP89" s="18">
        <f>SUM(AB89:BL89)</f>
        <v>60</v>
      </c>
    </row>
    <row r="90" spans="1:94" x14ac:dyDescent="0.15">
      <c r="A90" s="1"/>
      <c r="B90" s="1" t="s">
        <v>173</v>
      </c>
      <c r="C90" s="1" t="s">
        <v>152</v>
      </c>
      <c r="D90" s="1" t="s">
        <v>153</v>
      </c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4">
        <v>15</v>
      </c>
      <c r="AO90" s="4"/>
      <c r="AP90" s="4"/>
      <c r="AQ90" s="4"/>
      <c r="AR90" s="4"/>
      <c r="AS90" s="4"/>
      <c r="AT90" s="2"/>
      <c r="AU90" s="2"/>
      <c r="AV90" s="2"/>
      <c r="AW90" s="2"/>
      <c r="AX90" s="2"/>
      <c r="AY90" s="2">
        <v>15</v>
      </c>
      <c r="AZ90" s="14"/>
      <c r="BA90" s="1"/>
      <c r="BB90" s="1"/>
      <c r="BC90" s="1"/>
      <c r="BD90" s="1"/>
      <c r="BE90" s="1">
        <v>15</v>
      </c>
      <c r="BF90" s="1">
        <v>15</v>
      </c>
      <c r="BG90" s="1"/>
      <c r="BH90" s="1"/>
      <c r="BI90" s="1"/>
      <c r="BJ90" s="1"/>
      <c r="BK90" s="1"/>
      <c r="BL90" s="1"/>
      <c r="BM90" s="1"/>
      <c r="BN90" s="1">
        <v>13</v>
      </c>
      <c r="BO90" s="17">
        <v>1</v>
      </c>
      <c r="BP90" s="17" t="s">
        <v>199</v>
      </c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8"/>
    </row>
    <row r="91" spans="1:94" x14ac:dyDescent="0.15">
      <c r="A91" s="19">
        <v>93</v>
      </c>
      <c r="B91" s="27" t="s">
        <v>104</v>
      </c>
      <c r="C91" s="27" t="s">
        <v>102</v>
      </c>
      <c r="D91" s="19" t="s">
        <v>1</v>
      </c>
      <c r="E91" s="20"/>
      <c r="F91" s="20">
        <v>20</v>
      </c>
      <c r="G91" s="20"/>
      <c r="H91" s="20"/>
      <c r="I91" s="20"/>
      <c r="J91" s="20"/>
      <c r="K91" s="20">
        <v>20</v>
      </c>
      <c r="L91" s="20"/>
      <c r="M91" s="20"/>
      <c r="N91" s="20">
        <v>20</v>
      </c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19"/>
      <c r="AC91" s="19"/>
      <c r="AD91" s="19"/>
      <c r="AE91" s="19"/>
      <c r="AF91" s="19"/>
      <c r="AG91" s="19"/>
      <c r="AH91" s="19"/>
      <c r="AI91" s="19"/>
      <c r="AJ91" s="19"/>
      <c r="AK91" s="19"/>
      <c r="AL91" s="19"/>
      <c r="AM91" s="19"/>
      <c r="AN91" s="21"/>
      <c r="AO91" s="21"/>
      <c r="AP91" s="21"/>
      <c r="AQ91" s="21"/>
      <c r="AR91" s="21"/>
      <c r="AS91" s="21"/>
      <c r="AT91" s="22"/>
      <c r="AU91" s="22"/>
      <c r="AV91" s="22"/>
      <c r="AW91" s="22"/>
      <c r="AX91" s="22"/>
      <c r="AY91" s="22"/>
      <c r="AZ91" s="30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>
        <f>SUM(E91:BL91)</f>
        <v>60</v>
      </c>
      <c r="BN91" s="19">
        <v>14</v>
      </c>
      <c r="BO91" s="23">
        <v>1</v>
      </c>
      <c r="BP91" s="23" t="s">
        <v>204</v>
      </c>
      <c r="BQ91" s="19" t="str">
        <f>IF(AN91&gt;AN$116, AN91-AN$116,"")</f>
        <v/>
      </c>
      <c r="BR91" s="19" t="str">
        <f>IF(AO91&gt;AO$116, AO91-AO$116,"")</f>
        <v/>
      </c>
      <c r="BS91" s="19" t="str">
        <f>IF(AP91&gt;AP$116, AP91-AP$116,"")</f>
        <v/>
      </c>
      <c r="BT91" s="19" t="str">
        <f>IF(AQ91&gt;AQ$116, AQ91-AQ$116,"")</f>
        <v/>
      </c>
      <c r="BU91" s="19" t="str">
        <f>IF(AR91&gt;AR$116, AR91-AR$116,"")</f>
        <v/>
      </c>
      <c r="BV91" s="19" t="str">
        <f>IF(AS91&gt;AS$116, AS91-AS$116,"")</f>
        <v/>
      </c>
      <c r="BW91" s="19" t="str">
        <f>IF(AT91&gt;AT$116, AT91-AT$116,"")</f>
        <v/>
      </c>
      <c r="BX91" s="19" t="str">
        <f>IF(AU91&gt;AU$116, AU91-AU$116,"")</f>
        <v/>
      </c>
      <c r="BY91" s="19" t="str">
        <f>IF(AV91&gt;AV$116, AV91-AV$116,"")</f>
        <v/>
      </c>
      <c r="BZ91" s="19" t="str">
        <f>IF(AW91&gt;AW$116, AW91-AW$116,"")</f>
        <v/>
      </c>
      <c r="CA91" s="19" t="str">
        <f>IF(AX91&gt;AX$116, AX91-AX$116,"")</f>
        <v/>
      </c>
      <c r="CB91" s="19" t="str">
        <f>IF(AY91&gt;AY$116, AY91-AY$116,"")</f>
        <v/>
      </c>
      <c r="CC91" s="19">
        <f>COUNTIF(BQ91:CB91, "&gt;0")</f>
        <v>0</v>
      </c>
      <c r="CD91" s="19" t="str">
        <f>IF($CC91=1,BQ91,"")</f>
        <v/>
      </c>
      <c r="CE91" s="19" t="str">
        <f>IF($CC91=1,BR91,"")</f>
        <v/>
      </c>
      <c r="CF91" s="19" t="str">
        <f>IF($CC91=1,BS91,"")</f>
        <v/>
      </c>
      <c r="CG91" s="19" t="str">
        <f>IF($CC91=1,BT91,"")</f>
        <v/>
      </c>
      <c r="CH91" s="19" t="str">
        <f>IF($CC91=1,BU91,"")</f>
        <v/>
      </c>
      <c r="CI91" s="19" t="str">
        <f>IF($CC91=1,BV91,"")</f>
        <v/>
      </c>
      <c r="CJ91" s="19" t="str">
        <f>IF($CC91=1,BW91,"")</f>
        <v/>
      </c>
      <c r="CK91" s="19" t="str">
        <f>IF($CC91=1,BX91,"")</f>
        <v/>
      </c>
      <c r="CL91" s="19" t="str">
        <f>IF($CC91=1,BY91,"")</f>
        <v/>
      </c>
      <c r="CM91" s="19" t="str">
        <f>IF($CC91=1,BZ91,"")</f>
        <v/>
      </c>
      <c r="CN91" s="19" t="str">
        <f>IF($CC91=1,CA91,"")</f>
        <v/>
      </c>
      <c r="CO91" s="19" t="str">
        <f>IF($CC91=1,CB91,"")</f>
        <v/>
      </c>
      <c r="CP91" s="24">
        <f>SUM(AB91:BL91)</f>
        <v>0</v>
      </c>
    </row>
    <row r="92" spans="1:94" x14ac:dyDescent="0.15">
      <c r="A92" s="1">
        <v>62</v>
      </c>
      <c r="B92" s="1" t="s">
        <v>132</v>
      </c>
      <c r="C92" s="1" t="s">
        <v>64</v>
      </c>
      <c r="D92" s="1" t="s">
        <v>1</v>
      </c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1"/>
      <c r="AC92" s="1"/>
      <c r="AD92" s="1"/>
      <c r="AE92" s="1"/>
      <c r="AF92" s="1"/>
      <c r="AG92" s="1"/>
      <c r="AH92" s="1"/>
      <c r="AI92" s="1"/>
      <c r="AJ92" s="1">
        <v>15</v>
      </c>
      <c r="AK92" s="1"/>
      <c r="AL92" s="1"/>
      <c r="AM92" s="1"/>
      <c r="AN92" s="4"/>
      <c r="AO92" s="4"/>
      <c r="AP92" s="4"/>
      <c r="AQ92" s="4"/>
      <c r="AR92" s="4"/>
      <c r="AS92" s="4"/>
      <c r="AT92" s="2"/>
      <c r="AU92" s="2"/>
      <c r="AV92" s="2"/>
      <c r="AW92" s="2"/>
      <c r="AX92" s="2"/>
      <c r="AY92" s="2"/>
      <c r="AZ92" s="14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>
        <f>SUM(E92:BL92)</f>
        <v>15</v>
      </c>
      <c r="BN92" s="1">
        <v>15</v>
      </c>
      <c r="BO92" s="17">
        <v>1</v>
      </c>
      <c r="BP92" s="17" t="s">
        <v>141</v>
      </c>
      <c r="BQ92" s="1" t="str">
        <f>IF(AN92&gt;AN$116, AN92-AN$116,"")</f>
        <v/>
      </c>
      <c r="BR92" s="1" t="str">
        <f>IF(AO92&gt;AO$116, AO92-AO$116,"")</f>
        <v/>
      </c>
      <c r="BS92" s="1" t="str">
        <f>IF(AP92&gt;AP$116, AP92-AP$116,"")</f>
        <v/>
      </c>
      <c r="BT92" s="1" t="str">
        <f>IF(AQ92&gt;AQ$116, AQ92-AQ$116,"")</f>
        <v/>
      </c>
      <c r="BU92" s="1" t="str">
        <f>IF(AR92&gt;AR$116, AR92-AR$116,"")</f>
        <v/>
      </c>
      <c r="BV92" s="1" t="str">
        <f>IF(AS92&gt;AS$116, AS92-AS$116,"")</f>
        <v/>
      </c>
      <c r="BW92" s="1" t="str">
        <f>IF(AT92&gt;AT$116, AT92-AT$116,"")</f>
        <v/>
      </c>
      <c r="BX92" s="1" t="str">
        <f>IF(AU92&gt;AU$116, AU92-AU$116,"")</f>
        <v/>
      </c>
      <c r="BY92" s="1" t="str">
        <f>IF(AV92&gt;AV$116, AV92-AV$116,"")</f>
        <v/>
      </c>
      <c r="BZ92" s="1" t="str">
        <f>IF(AW92&gt;AW$116, AW92-AW$116,"")</f>
        <v/>
      </c>
      <c r="CA92" s="1" t="str">
        <f>IF(AX92&gt;AX$116, AX92-AX$116,"")</f>
        <v/>
      </c>
      <c r="CB92" s="1" t="str">
        <f>IF(AY92&gt;AY$116, AY92-AY$116,"")</f>
        <v/>
      </c>
      <c r="CC92" s="1">
        <f>COUNTIF(BQ92:CB92, "&gt;0")</f>
        <v>0</v>
      </c>
      <c r="CD92" s="1" t="str">
        <f>IF($CC92=1,BQ92,"")</f>
        <v/>
      </c>
      <c r="CE92" s="1" t="str">
        <f>IF($CC92=1,BR92,"")</f>
        <v/>
      </c>
      <c r="CF92" s="1" t="str">
        <f>IF($CC92=1,BS92,"")</f>
        <v/>
      </c>
      <c r="CG92" s="1" t="str">
        <f>IF($CC92=1,BT92,"")</f>
        <v/>
      </c>
      <c r="CH92" s="1" t="str">
        <f>IF($CC92=1,BU92,"")</f>
        <v/>
      </c>
      <c r="CI92" s="1" t="str">
        <f>IF($CC92=1,BV92,"")</f>
        <v/>
      </c>
      <c r="CJ92" s="1" t="str">
        <f>IF($CC92=1,BW92,"")</f>
        <v/>
      </c>
      <c r="CK92" s="1" t="str">
        <f>IF($CC92=1,BX92,"")</f>
        <v/>
      </c>
      <c r="CL92" s="1" t="str">
        <f>IF($CC92=1,BY92,"")</f>
        <v/>
      </c>
      <c r="CM92" s="1" t="str">
        <f>IF($CC92=1,BZ92,"")</f>
        <v/>
      </c>
      <c r="CN92" s="1" t="str">
        <f>IF($CC92=1,CA92,"")</f>
        <v/>
      </c>
      <c r="CO92" s="1" t="str">
        <f>IF($CC92=1,CB92,"")</f>
        <v/>
      </c>
      <c r="CP92" s="18">
        <f>SUM(AB92:BL92)</f>
        <v>15</v>
      </c>
    </row>
    <row r="93" spans="1:94" x14ac:dyDescent="0.15">
      <c r="A93" s="1">
        <v>64</v>
      </c>
      <c r="B93" s="3" t="s">
        <v>71</v>
      </c>
      <c r="C93" s="1" t="s">
        <v>64</v>
      </c>
      <c r="D93" s="1" t="s">
        <v>1</v>
      </c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1"/>
      <c r="AC93" s="1"/>
      <c r="AD93" s="1"/>
      <c r="AE93" s="1"/>
      <c r="AF93" s="1"/>
      <c r="AG93" s="1"/>
      <c r="AH93" s="1"/>
      <c r="AI93" s="1"/>
      <c r="AJ93" s="1"/>
      <c r="AK93" s="1">
        <v>15</v>
      </c>
      <c r="AL93" s="1"/>
      <c r="AM93" s="1"/>
      <c r="AN93" s="4"/>
      <c r="AO93" s="4"/>
      <c r="AP93" s="4"/>
      <c r="AQ93" s="4"/>
      <c r="AR93" s="4"/>
      <c r="AS93" s="4"/>
      <c r="AT93" s="2"/>
      <c r="AU93" s="2"/>
      <c r="AV93" s="2"/>
      <c r="AW93" s="2"/>
      <c r="AX93" s="2"/>
      <c r="AY93" s="2"/>
      <c r="AZ93" s="14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>
        <f>SUM(E93:BL93)</f>
        <v>15</v>
      </c>
      <c r="BN93" s="1">
        <v>15</v>
      </c>
      <c r="BO93" s="17">
        <v>1</v>
      </c>
      <c r="BP93" s="17" t="s">
        <v>142</v>
      </c>
      <c r="BQ93" s="1" t="str">
        <f>IF(AN93&gt;AN$116, AN93-AN$116,"")</f>
        <v/>
      </c>
      <c r="BR93" s="1" t="str">
        <f>IF(AO93&gt;AO$116, AO93-AO$116,"")</f>
        <v/>
      </c>
      <c r="BS93" s="1" t="str">
        <f>IF(AP93&gt;AP$116, AP93-AP$116,"")</f>
        <v/>
      </c>
      <c r="BT93" s="1" t="str">
        <f>IF(AQ93&gt;AQ$116, AQ93-AQ$116,"")</f>
        <v/>
      </c>
      <c r="BU93" s="1" t="str">
        <f>IF(AR93&gt;AR$116, AR93-AR$116,"")</f>
        <v/>
      </c>
      <c r="BV93" s="1" t="str">
        <f>IF(AS93&gt;AS$116, AS93-AS$116,"")</f>
        <v/>
      </c>
      <c r="BW93" s="1" t="str">
        <f>IF(AT93&gt;AT$116, AT93-AT$116,"")</f>
        <v/>
      </c>
      <c r="BX93" s="1" t="str">
        <f>IF(AU93&gt;AU$116, AU93-AU$116,"")</f>
        <v/>
      </c>
      <c r="BY93" s="1" t="str">
        <f>IF(AV93&gt;AV$116, AV93-AV$116,"")</f>
        <v/>
      </c>
      <c r="BZ93" s="1" t="str">
        <f>IF(AW93&gt;AW$116, AW93-AW$116,"")</f>
        <v/>
      </c>
      <c r="CA93" s="1" t="str">
        <f>IF(AX93&gt;AX$116, AX93-AX$116,"")</f>
        <v/>
      </c>
      <c r="CB93" s="1" t="str">
        <f>IF(AY93&gt;AY$116, AY93-AY$116,"")</f>
        <v/>
      </c>
      <c r="CC93" s="1">
        <f>COUNTIF(BQ93:CB93, "&gt;0")</f>
        <v>0</v>
      </c>
      <c r="CD93" s="1" t="str">
        <f>IF($CC93=1,BQ93,"")</f>
        <v/>
      </c>
      <c r="CE93" s="1" t="str">
        <f>IF($CC93=1,BR93,"")</f>
        <v/>
      </c>
      <c r="CF93" s="1" t="str">
        <f>IF($CC93=1,BS93,"")</f>
        <v/>
      </c>
      <c r="CG93" s="1" t="str">
        <f>IF($CC93=1,BT93,"")</f>
        <v/>
      </c>
      <c r="CH93" s="1" t="str">
        <f>IF($CC93=1,BU93,"")</f>
        <v/>
      </c>
      <c r="CI93" s="1" t="str">
        <f>IF($CC93=1,BV93,"")</f>
        <v/>
      </c>
      <c r="CJ93" s="1" t="str">
        <f>IF($CC93=1,BW93,"")</f>
        <v/>
      </c>
      <c r="CK93" s="1" t="str">
        <f>IF($CC93=1,BX93,"")</f>
        <v/>
      </c>
      <c r="CL93" s="1" t="str">
        <f>IF($CC93=1,BY93,"")</f>
        <v/>
      </c>
      <c r="CM93" s="1" t="str">
        <f>IF($CC93=1,BZ93,"")</f>
        <v/>
      </c>
      <c r="CN93" s="1" t="str">
        <f>IF($CC93=1,CA93,"")</f>
        <v/>
      </c>
      <c r="CO93" s="1" t="str">
        <f>IF($CC93=1,CB93,"")</f>
        <v/>
      </c>
      <c r="CP93" s="18">
        <f>SUM(AB93:BL93)</f>
        <v>15</v>
      </c>
    </row>
    <row r="94" spans="1:94" x14ac:dyDescent="0.15">
      <c r="A94" s="1">
        <v>65</v>
      </c>
      <c r="B94" s="3" t="s">
        <v>71</v>
      </c>
      <c r="C94" s="1" t="s">
        <v>64</v>
      </c>
      <c r="D94" s="1" t="s">
        <v>13</v>
      </c>
      <c r="E94" s="6"/>
      <c r="F94" s="6"/>
      <c r="G94" s="6">
        <v>10</v>
      </c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1"/>
      <c r="AC94" s="1"/>
      <c r="AD94" s="1"/>
      <c r="AE94" s="1"/>
      <c r="AF94" s="1"/>
      <c r="AG94" s="1"/>
      <c r="AH94" s="1"/>
      <c r="AI94" s="1"/>
      <c r="AJ94" s="1"/>
      <c r="AK94" s="1">
        <v>25</v>
      </c>
      <c r="AL94" s="1"/>
      <c r="AM94" s="1"/>
      <c r="AN94" s="4"/>
      <c r="AO94" s="4"/>
      <c r="AP94" s="4"/>
      <c r="AQ94" s="4"/>
      <c r="AR94" s="4"/>
      <c r="AS94" s="4">
        <v>10</v>
      </c>
      <c r="AT94" s="2"/>
      <c r="AU94" s="2"/>
      <c r="AV94" s="2"/>
      <c r="AW94" s="2">
        <v>10</v>
      </c>
      <c r="AX94" s="2"/>
      <c r="AY94" s="2"/>
      <c r="AZ94" s="14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>
        <f>SUM(E94:BL94)</f>
        <v>55</v>
      </c>
      <c r="BN94" s="1">
        <v>25</v>
      </c>
      <c r="BO94" s="17">
        <v>1</v>
      </c>
      <c r="BP94" s="17" t="s">
        <v>201</v>
      </c>
      <c r="BQ94" s="1" t="str">
        <f>IF(AN94&gt;AN$116, AN94-AN$116,"")</f>
        <v/>
      </c>
      <c r="BR94" s="1" t="str">
        <f>IF(AO94&gt;AO$116, AO94-AO$116,"")</f>
        <v/>
      </c>
      <c r="BS94" s="1" t="str">
        <f>IF(AP94&gt;AP$116, AP94-AP$116,"")</f>
        <v/>
      </c>
      <c r="BT94" s="1" t="str">
        <f>IF(AQ94&gt;AQ$116, AQ94-AQ$116,"")</f>
        <v/>
      </c>
      <c r="BU94" s="1" t="str">
        <f>IF(AR94&gt;AR$116, AR94-AR$116,"")</f>
        <v/>
      </c>
      <c r="BV94" s="1" t="str">
        <f>IF(AS94&gt;AS$116, AS94-AS$116,"")</f>
        <v/>
      </c>
      <c r="BW94" s="1" t="str">
        <f>IF(AT94&gt;AT$116, AT94-AT$116,"")</f>
        <v/>
      </c>
      <c r="BX94" s="1" t="str">
        <f>IF(AU94&gt;AU$116, AU94-AU$116,"")</f>
        <v/>
      </c>
      <c r="BY94" s="1" t="str">
        <f>IF(AV94&gt;AV$116, AV94-AV$116,"")</f>
        <v/>
      </c>
      <c r="BZ94" s="1" t="str">
        <f>IF(AW94&gt;AW$116, AW94-AW$116,"")</f>
        <v/>
      </c>
      <c r="CA94" s="1" t="str">
        <f>IF(AX94&gt;AX$116, AX94-AX$116,"")</f>
        <v/>
      </c>
      <c r="CB94" s="1" t="str">
        <f>IF(AY94&gt;AY$116, AY94-AY$116,"")</f>
        <v/>
      </c>
      <c r="CC94" s="1">
        <f>COUNTIF(BQ94:CB94, "&gt;0")</f>
        <v>0</v>
      </c>
      <c r="CD94" s="1" t="str">
        <f>IF($CC94=1,BQ94,"")</f>
        <v/>
      </c>
      <c r="CE94" s="1" t="str">
        <f>IF($CC94=1,BR94,"")</f>
        <v/>
      </c>
      <c r="CF94" s="1" t="str">
        <f>IF($CC94=1,BS94,"")</f>
        <v/>
      </c>
      <c r="CG94" s="1" t="str">
        <f>IF($CC94=1,BT94,"")</f>
        <v/>
      </c>
      <c r="CH94" s="1" t="str">
        <f>IF($CC94=1,BU94,"")</f>
        <v/>
      </c>
      <c r="CI94" s="1" t="str">
        <f>IF($CC94=1,BV94,"")</f>
        <v/>
      </c>
      <c r="CJ94" s="1" t="str">
        <f>IF($CC94=1,BW94,"")</f>
        <v/>
      </c>
      <c r="CK94" s="1" t="str">
        <f>IF($CC94=1,BX94,"")</f>
        <v/>
      </c>
      <c r="CL94" s="1" t="str">
        <f>IF($CC94=1,BY94,"")</f>
        <v/>
      </c>
      <c r="CM94" s="1" t="str">
        <f>IF($CC94=1,BZ94,"")</f>
        <v/>
      </c>
      <c r="CN94" s="1" t="str">
        <f>IF($CC94=1,CA94,"")</f>
        <v/>
      </c>
      <c r="CO94" s="1" t="str">
        <f>IF($CC94=1,CB94,"")</f>
        <v/>
      </c>
      <c r="CP94" s="18">
        <f>SUM(AB94:BL94)</f>
        <v>45</v>
      </c>
    </row>
    <row r="95" spans="1:94" x14ac:dyDescent="0.15">
      <c r="A95" s="1">
        <v>98</v>
      </c>
      <c r="B95" s="3" t="s">
        <v>86</v>
      </c>
      <c r="C95" s="3" t="s">
        <v>85</v>
      </c>
      <c r="D95" s="1" t="s">
        <v>1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1">
        <v>50</v>
      </c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4"/>
      <c r="AO95" s="4"/>
      <c r="AP95" s="4"/>
      <c r="AQ95" s="4"/>
      <c r="AR95" s="4"/>
      <c r="AS95" s="4"/>
      <c r="AT95" s="2"/>
      <c r="AU95" s="2"/>
      <c r="AV95" s="2"/>
      <c r="AW95" s="2"/>
      <c r="AX95" s="2"/>
      <c r="AY95" s="2"/>
      <c r="AZ95" s="14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>
        <f>SUM(E95:BL95)</f>
        <v>50</v>
      </c>
      <c r="BN95" s="1">
        <v>48</v>
      </c>
      <c r="BO95" s="17">
        <v>1</v>
      </c>
      <c r="BP95" s="17" t="s">
        <v>143</v>
      </c>
      <c r="BQ95" s="1" t="str">
        <f>IF(AN95&gt;AN$116, AN95-AN$116,"")</f>
        <v/>
      </c>
      <c r="BR95" s="1" t="str">
        <f>IF(AO95&gt;AO$116, AO95-AO$116,"")</f>
        <v/>
      </c>
      <c r="BS95" s="1" t="str">
        <f>IF(AP95&gt;AP$116, AP95-AP$116,"")</f>
        <v/>
      </c>
      <c r="BT95" s="1" t="str">
        <f>IF(AQ95&gt;AQ$116, AQ95-AQ$116,"")</f>
        <v/>
      </c>
      <c r="BU95" s="1" t="str">
        <f>IF(AR95&gt;AR$116, AR95-AR$116,"")</f>
        <v/>
      </c>
      <c r="BV95" s="1" t="str">
        <f>IF(AS95&gt;AS$116, AS95-AS$116,"")</f>
        <v/>
      </c>
      <c r="BW95" s="1" t="str">
        <f>IF(AT95&gt;AT$116, AT95-AT$116,"")</f>
        <v/>
      </c>
      <c r="BX95" s="1" t="str">
        <f>IF(AU95&gt;AU$116, AU95-AU$116,"")</f>
        <v/>
      </c>
      <c r="BY95" s="1" t="str">
        <f>IF(AV95&gt;AV$116, AV95-AV$116,"")</f>
        <v/>
      </c>
      <c r="BZ95" s="1" t="str">
        <f>IF(AW95&gt;AW$116, AW95-AW$116,"")</f>
        <v/>
      </c>
      <c r="CA95" s="1" t="str">
        <f>IF(AX95&gt;AX$116, AX95-AX$116,"")</f>
        <v/>
      </c>
      <c r="CB95" s="1" t="str">
        <f>IF(AY95&gt;AY$116, AY95-AY$116,"")</f>
        <v/>
      </c>
      <c r="CC95" s="1">
        <f>COUNTIF(BQ95:CB95, "&gt;0")</f>
        <v>0</v>
      </c>
      <c r="CD95" s="1" t="str">
        <f>IF($CC95=1,BQ95,"")</f>
        <v/>
      </c>
      <c r="CE95" s="1" t="str">
        <f>IF($CC95=1,BR95,"")</f>
        <v/>
      </c>
      <c r="CF95" s="1" t="str">
        <f>IF($CC95=1,BS95,"")</f>
        <v/>
      </c>
      <c r="CG95" s="1" t="str">
        <f>IF($CC95=1,BT95,"")</f>
        <v/>
      </c>
      <c r="CH95" s="1" t="str">
        <f>IF($CC95=1,BU95,"")</f>
        <v/>
      </c>
      <c r="CI95" s="1" t="str">
        <f>IF($CC95=1,BV95,"")</f>
        <v/>
      </c>
      <c r="CJ95" s="1" t="str">
        <f>IF($CC95=1,BW95,"")</f>
        <v/>
      </c>
      <c r="CK95" s="1" t="str">
        <f>IF($CC95=1,BX95,"")</f>
        <v/>
      </c>
      <c r="CL95" s="1" t="str">
        <f>IF($CC95=1,BY95,"")</f>
        <v/>
      </c>
      <c r="CM95" s="1" t="str">
        <f>IF($CC95=1,BZ95,"")</f>
        <v/>
      </c>
      <c r="CN95" s="1" t="str">
        <f>IF($CC95=1,CA95,"")</f>
        <v/>
      </c>
      <c r="CO95" s="1" t="str">
        <f>IF($CC95=1,CB95,"")</f>
        <v/>
      </c>
      <c r="CP95" s="18">
        <f>SUM(AB95:BL95)</f>
        <v>50</v>
      </c>
    </row>
    <row r="96" spans="1:94" x14ac:dyDescent="0.15">
      <c r="A96" s="1">
        <v>99</v>
      </c>
      <c r="B96" s="3" t="s">
        <v>86</v>
      </c>
      <c r="C96" s="3" t="s">
        <v>85</v>
      </c>
      <c r="D96" s="1" t="s">
        <v>13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1">
        <v>200</v>
      </c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4"/>
      <c r="AO96" s="4"/>
      <c r="AP96" s="4"/>
      <c r="AQ96" s="4"/>
      <c r="AR96" s="4"/>
      <c r="AS96" s="4"/>
      <c r="AT96" s="2"/>
      <c r="AU96" s="2"/>
      <c r="AV96" s="2"/>
      <c r="AW96" s="2"/>
      <c r="AX96" s="2"/>
      <c r="AY96" s="2"/>
      <c r="AZ96" s="14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>
        <f>SUM(E96:BL96)</f>
        <v>200</v>
      </c>
      <c r="BN96" s="1">
        <v>198</v>
      </c>
      <c r="BO96" s="17">
        <v>1</v>
      </c>
      <c r="BP96" s="17" t="s">
        <v>144</v>
      </c>
      <c r="BQ96" s="1" t="str">
        <f>IF(AN96&gt;AN$116, AN96-AN$116,"")</f>
        <v/>
      </c>
      <c r="BR96" s="1" t="str">
        <f>IF(AO96&gt;AO$116, AO96-AO$116,"")</f>
        <v/>
      </c>
      <c r="BS96" s="1" t="str">
        <f>IF(AP96&gt;AP$116, AP96-AP$116,"")</f>
        <v/>
      </c>
      <c r="BT96" s="1" t="str">
        <f>IF(AQ96&gt;AQ$116, AQ96-AQ$116,"")</f>
        <v/>
      </c>
      <c r="BU96" s="1" t="str">
        <f>IF(AR96&gt;AR$116, AR96-AR$116,"")</f>
        <v/>
      </c>
      <c r="BV96" s="1" t="str">
        <f>IF(AS96&gt;AS$116, AS96-AS$116,"")</f>
        <v/>
      </c>
      <c r="BW96" s="1" t="str">
        <f>IF(AT96&gt;AT$116, AT96-AT$116,"")</f>
        <v/>
      </c>
      <c r="BX96" s="1" t="str">
        <f>IF(AU96&gt;AU$116, AU96-AU$116,"")</f>
        <v/>
      </c>
      <c r="BY96" s="1" t="str">
        <f>IF(AV96&gt;AV$116, AV96-AV$116,"")</f>
        <v/>
      </c>
      <c r="BZ96" s="1" t="str">
        <f>IF(AW96&gt;AW$116, AW96-AW$116,"")</f>
        <v/>
      </c>
      <c r="CA96" s="1" t="str">
        <f>IF(AX96&gt;AX$116, AX96-AX$116,"")</f>
        <v/>
      </c>
      <c r="CB96" s="1" t="str">
        <f>IF(AY96&gt;AY$116, AY96-AY$116,"")</f>
        <v/>
      </c>
      <c r="CC96" s="1">
        <f>COUNTIF(BQ96:CB96, "&gt;0")</f>
        <v>0</v>
      </c>
      <c r="CD96" s="1" t="str">
        <f>IF($CC96=1,BQ96,"")</f>
        <v/>
      </c>
      <c r="CE96" s="1" t="str">
        <f>IF($CC96=1,BR96,"")</f>
        <v/>
      </c>
      <c r="CF96" s="1" t="str">
        <f>IF($CC96=1,BS96,"")</f>
        <v/>
      </c>
      <c r="CG96" s="1" t="str">
        <f>IF($CC96=1,BT96,"")</f>
        <v/>
      </c>
      <c r="CH96" s="1" t="str">
        <f>IF($CC96=1,BU96,"")</f>
        <v/>
      </c>
      <c r="CI96" s="1" t="str">
        <f>IF($CC96=1,BV96,"")</f>
        <v/>
      </c>
      <c r="CJ96" s="1" t="str">
        <f>IF($CC96=1,BW96,"")</f>
        <v/>
      </c>
      <c r="CK96" s="1" t="str">
        <f>IF($CC96=1,BX96,"")</f>
        <v/>
      </c>
      <c r="CL96" s="1" t="str">
        <f>IF($CC96=1,BY96,"")</f>
        <v/>
      </c>
      <c r="CM96" s="1" t="str">
        <f>IF($CC96=1,BZ96,"")</f>
        <v/>
      </c>
      <c r="CN96" s="1" t="str">
        <f>IF($CC96=1,CA96,"")</f>
        <v/>
      </c>
      <c r="CO96" s="1" t="str">
        <f>IF($CC96=1,CB96,"")</f>
        <v/>
      </c>
      <c r="CP96" s="18">
        <f>SUM(AB96:BL96)</f>
        <v>200</v>
      </c>
    </row>
    <row r="97" spans="1:94" ht="27" x14ac:dyDescent="0.15">
      <c r="A97" s="1"/>
      <c r="B97" s="1" t="s">
        <v>165</v>
      </c>
      <c r="C97" s="1" t="s">
        <v>156</v>
      </c>
      <c r="D97" s="1" t="s">
        <v>153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>
        <v>5</v>
      </c>
      <c r="AM97" s="1">
        <v>1</v>
      </c>
      <c r="AN97" s="4"/>
      <c r="AO97" s="4"/>
      <c r="AP97" s="4"/>
      <c r="AQ97" s="4"/>
      <c r="AR97" s="4"/>
      <c r="AS97" s="4"/>
      <c r="AT97" s="2"/>
      <c r="AU97" s="2"/>
      <c r="AV97" s="2"/>
      <c r="AW97" s="2"/>
      <c r="AX97" s="2"/>
      <c r="AY97" s="2"/>
      <c r="AZ97" s="14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>
        <v>6</v>
      </c>
      <c r="BO97" s="17">
        <v>2</v>
      </c>
      <c r="BP97" s="17" t="s">
        <v>215</v>
      </c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8"/>
    </row>
    <row r="98" spans="1:94" ht="27" x14ac:dyDescent="0.15">
      <c r="A98" s="1"/>
      <c r="B98" s="1" t="s">
        <v>180</v>
      </c>
      <c r="C98" s="1" t="s">
        <v>181</v>
      </c>
      <c r="D98" s="1" t="s">
        <v>153</v>
      </c>
      <c r="E98" s="6"/>
      <c r="F98" s="6"/>
      <c r="G98" s="6">
        <v>20</v>
      </c>
      <c r="H98" s="6">
        <v>20</v>
      </c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4"/>
      <c r="AO98" s="4"/>
      <c r="AP98" s="4"/>
      <c r="AQ98" s="4"/>
      <c r="AR98" s="4"/>
      <c r="AS98" s="4"/>
      <c r="AT98" s="2"/>
      <c r="AU98" s="2"/>
      <c r="AV98" s="2"/>
      <c r="AW98" s="2"/>
      <c r="AX98" s="2">
        <v>20</v>
      </c>
      <c r="AY98" s="2">
        <v>20</v>
      </c>
      <c r="AZ98" s="14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>
        <v>6</v>
      </c>
      <c r="BO98" s="17">
        <v>2</v>
      </c>
      <c r="BP98" s="17" t="s">
        <v>216</v>
      </c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8"/>
    </row>
    <row r="99" spans="1:94" ht="27" x14ac:dyDescent="0.15">
      <c r="A99" s="1">
        <v>77</v>
      </c>
      <c r="B99" s="3" t="s">
        <v>129</v>
      </c>
      <c r="C99" s="3" t="s">
        <v>77</v>
      </c>
      <c r="D99" s="1" t="s">
        <v>13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4"/>
      <c r="AO99" s="4"/>
      <c r="AP99" s="4"/>
      <c r="AQ99" s="4">
        <v>20</v>
      </c>
      <c r="AR99" s="4"/>
      <c r="AS99" s="4"/>
      <c r="AT99" s="2">
        <v>20</v>
      </c>
      <c r="AU99" s="2">
        <v>20</v>
      </c>
      <c r="AV99" s="2"/>
      <c r="AW99" s="2"/>
      <c r="AX99" s="2"/>
      <c r="AY99" s="2">
        <v>10</v>
      </c>
      <c r="AZ99" s="14"/>
      <c r="BA99" s="1"/>
      <c r="BB99" s="1"/>
      <c r="BC99" s="1"/>
      <c r="BD99" s="1"/>
      <c r="BE99" s="1">
        <v>20</v>
      </c>
      <c r="BF99" s="1"/>
      <c r="BG99" s="1"/>
      <c r="BH99" s="1"/>
      <c r="BI99" s="1"/>
      <c r="BJ99" s="1"/>
      <c r="BK99" s="1"/>
      <c r="BL99" s="1"/>
      <c r="BM99" s="1">
        <f>SUM(E99:BL99)</f>
        <v>90</v>
      </c>
      <c r="BN99" s="1">
        <v>8</v>
      </c>
      <c r="BO99" s="17">
        <v>2</v>
      </c>
      <c r="BP99" s="17" t="s">
        <v>202</v>
      </c>
      <c r="BQ99" s="1" t="str">
        <f>IF(AN99&gt;AN$116, AN99-AN$116,"")</f>
        <v/>
      </c>
      <c r="BR99" s="1" t="str">
        <f>IF(AO99&gt;AO$116, AO99-AO$116,"")</f>
        <v/>
      </c>
      <c r="BS99" s="1" t="str">
        <f>IF(AP99&gt;AP$116, AP99-AP$116,"")</f>
        <v/>
      </c>
      <c r="BT99" s="1">
        <f>IF(AQ99&gt;AQ$116, AQ99-AQ$116,"")</f>
        <v>6</v>
      </c>
      <c r="BU99" s="1" t="str">
        <f>IF(AR99&gt;AR$116, AR99-AR$116,"")</f>
        <v/>
      </c>
      <c r="BV99" s="1" t="str">
        <f>IF(AS99&gt;AS$116, AS99-AS$116,"")</f>
        <v/>
      </c>
      <c r="BW99" s="1">
        <f>IF(AT99&gt;AT$116, AT99-AT$116,"")</f>
        <v>2</v>
      </c>
      <c r="BX99" s="1" t="str">
        <f>IF(AU99&gt;AU$116, AU99-AU$116,"")</f>
        <v/>
      </c>
      <c r="BY99" s="1" t="str">
        <f>IF(AV99&gt;AV$116, AV99-AV$116,"")</f>
        <v/>
      </c>
      <c r="BZ99" s="1" t="str">
        <f>IF(AW99&gt;AW$116, AW99-AW$116,"")</f>
        <v/>
      </c>
      <c r="CA99" s="1" t="str">
        <f>IF(AX99&gt;AX$116, AX99-AX$116,"")</f>
        <v/>
      </c>
      <c r="CB99" s="1" t="str">
        <f>IF(AY99&gt;AY$116, AY99-AY$116,"")</f>
        <v/>
      </c>
      <c r="CC99" s="1">
        <f>COUNTIF(BQ99:CB99, "&gt;0")</f>
        <v>2</v>
      </c>
      <c r="CD99" s="1" t="str">
        <f>IF($CC99=1,BQ99,"")</f>
        <v/>
      </c>
      <c r="CE99" s="1" t="str">
        <f>IF($CC99=1,BR99,"")</f>
        <v/>
      </c>
      <c r="CF99" s="1" t="str">
        <f>IF($CC99=1,BS99,"")</f>
        <v/>
      </c>
      <c r="CG99" s="1" t="str">
        <f>IF($CC99=1,BT99,"")</f>
        <v/>
      </c>
      <c r="CH99" s="1" t="str">
        <f>IF($CC99=1,BU99,"")</f>
        <v/>
      </c>
      <c r="CI99" s="1" t="str">
        <f>IF($CC99=1,BV99,"")</f>
        <v/>
      </c>
      <c r="CJ99" s="1" t="str">
        <f>IF($CC99=1,BW99,"")</f>
        <v/>
      </c>
      <c r="CK99" s="1" t="str">
        <f>IF($CC99=1,BX99,"")</f>
        <v/>
      </c>
      <c r="CL99" s="1" t="str">
        <f>IF($CC99=1,BY99,"")</f>
        <v/>
      </c>
      <c r="CM99" s="1" t="str">
        <f>IF($CC99=1,BZ99,"")</f>
        <v/>
      </c>
      <c r="CN99" s="1" t="str">
        <f>IF($CC99=1,CA99,"")</f>
        <v/>
      </c>
      <c r="CO99" s="1" t="str">
        <f>IF($CC99=1,CB99,"")</f>
        <v/>
      </c>
      <c r="CP99" s="18">
        <f>SUM(AB99:BL99)</f>
        <v>90</v>
      </c>
    </row>
    <row r="100" spans="1:94" ht="27" x14ac:dyDescent="0.15">
      <c r="A100" s="1"/>
      <c r="B100" s="1" t="s">
        <v>160</v>
      </c>
      <c r="C100" s="1" t="s">
        <v>156</v>
      </c>
      <c r="D100" s="1" t="s">
        <v>161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>
        <v>3</v>
      </c>
      <c r="AM100" s="1">
        <v>5</v>
      </c>
      <c r="AN100" s="4"/>
      <c r="AO100" s="4"/>
      <c r="AP100" s="4"/>
      <c r="AQ100" s="4"/>
      <c r="AR100" s="4"/>
      <c r="AS100" s="4"/>
      <c r="AT100" s="2"/>
      <c r="AU100" s="2"/>
      <c r="AV100" s="2"/>
      <c r="AW100" s="2"/>
      <c r="AX100" s="2"/>
      <c r="AY100" s="2"/>
      <c r="AZ100" s="14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>
        <v>8</v>
      </c>
      <c r="BO100" s="17">
        <v>2</v>
      </c>
      <c r="BP100" s="17" t="s">
        <v>211</v>
      </c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8"/>
    </row>
    <row r="101" spans="1:94" ht="27" x14ac:dyDescent="0.15">
      <c r="A101" s="1">
        <v>27</v>
      </c>
      <c r="B101" s="1" t="s">
        <v>93</v>
      </c>
      <c r="C101" s="1" t="s">
        <v>33</v>
      </c>
      <c r="D101" s="1" t="s">
        <v>24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1"/>
      <c r="AC101" s="1"/>
      <c r="AD101" s="1"/>
      <c r="AE101" s="1">
        <v>5</v>
      </c>
      <c r="AF101" s="1">
        <v>5</v>
      </c>
      <c r="AG101" s="1"/>
      <c r="AH101" s="1"/>
      <c r="AI101" s="1"/>
      <c r="AJ101" s="1"/>
      <c r="AK101" s="1"/>
      <c r="AL101" s="1"/>
      <c r="AM101" s="1"/>
      <c r="AN101" s="4"/>
      <c r="AO101" s="4"/>
      <c r="AP101" s="4"/>
      <c r="AQ101" s="4"/>
      <c r="AR101" s="4"/>
      <c r="AS101" s="4"/>
      <c r="AT101" s="2"/>
      <c r="AU101" s="2"/>
      <c r="AV101" s="2"/>
      <c r="AW101" s="2"/>
      <c r="AX101" s="2"/>
      <c r="AY101" s="2"/>
      <c r="AZ101" s="14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>
        <f>SUM(E101:BL101)</f>
        <v>10</v>
      </c>
      <c r="BN101" s="1">
        <v>10</v>
      </c>
      <c r="BO101" s="17">
        <v>2</v>
      </c>
      <c r="BP101" s="17" t="s">
        <v>145</v>
      </c>
      <c r="BQ101" s="1" t="str">
        <f>IF(AN101&gt;AN$116, AN101-AN$116,"")</f>
        <v/>
      </c>
      <c r="BR101" s="1" t="str">
        <f>IF(AO101&gt;AO$116, AO101-AO$116,"")</f>
        <v/>
      </c>
      <c r="BS101" s="1" t="str">
        <f>IF(AP101&gt;AP$116, AP101-AP$116,"")</f>
        <v/>
      </c>
      <c r="BT101" s="1" t="str">
        <f>IF(AQ101&gt;AQ$116, AQ101-AQ$116,"")</f>
        <v/>
      </c>
      <c r="BU101" s="1" t="str">
        <f>IF(AR101&gt;AR$116, AR101-AR$116,"")</f>
        <v/>
      </c>
      <c r="BV101" s="1" t="str">
        <f>IF(AS101&gt;AS$116, AS101-AS$116,"")</f>
        <v/>
      </c>
      <c r="BW101" s="1" t="str">
        <f>IF(AT101&gt;AT$116, AT101-AT$116,"")</f>
        <v/>
      </c>
      <c r="BX101" s="1" t="str">
        <f>IF(AU101&gt;AU$116, AU101-AU$116,"")</f>
        <v/>
      </c>
      <c r="BY101" s="1" t="str">
        <f>IF(AV101&gt;AV$116, AV101-AV$116,"")</f>
        <v/>
      </c>
      <c r="BZ101" s="1" t="str">
        <f>IF(AW101&gt;AW$116, AW101-AW$116,"")</f>
        <v/>
      </c>
      <c r="CA101" s="1" t="str">
        <f>IF(AX101&gt;AX$116, AX101-AX$116,"")</f>
        <v/>
      </c>
      <c r="CB101" s="1" t="str">
        <f>IF(AY101&gt;AY$116, AY101-AY$116,"")</f>
        <v/>
      </c>
      <c r="CC101" s="1">
        <f>COUNTIF(BQ101:CB101, "&gt;0")</f>
        <v>0</v>
      </c>
      <c r="CD101" s="1" t="str">
        <f>IF($CC101=1,BQ101,"")</f>
        <v/>
      </c>
      <c r="CE101" s="1" t="str">
        <f>IF($CC101=1,BR101,"")</f>
        <v/>
      </c>
      <c r="CF101" s="1" t="str">
        <f>IF($CC101=1,BS101,"")</f>
        <v/>
      </c>
      <c r="CG101" s="1" t="str">
        <f>IF($CC101=1,BT101,"")</f>
        <v/>
      </c>
      <c r="CH101" s="1" t="str">
        <f>IF($CC101=1,BU101,"")</f>
        <v/>
      </c>
      <c r="CI101" s="1" t="str">
        <f>IF($CC101=1,BV101,"")</f>
        <v/>
      </c>
      <c r="CJ101" s="1" t="str">
        <f>IF($CC101=1,BW101,"")</f>
        <v/>
      </c>
      <c r="CK101" s="1" t="str">
        <f>IF($CC101=1,BX101,"")</f>
        <v/>
      </c>
      <c r="CL101" s="1" t="str">
        <f>IF($CC101=1,BY101,"")</f>
        <v/>
      </c>
      <c r="CM101" s="1" t="str">
        <f>IF($CC101=1,BZ101,"")</f>
        <v/>
      </c>
      <c r="CN101" s="1" t="str">
        <f>IF($CC101=1,CA101,"")</f>
        <v/>
      </c>
      <c r="CO101" s="1" t="str">
        <f>IF($CC101=1,CB101,"")</f>
        <v/>
      </c>
      <c r="CP101" s="18">
        <f>SUM(AB101:BL101)</f>
        <v>10</v>
      </c>
    </row>
    <row r="102" spans="1:94" ht="27" x14ac:dyDescent="0.15">
      <c r="A102" s="1">
        <v>88</v>
      </c>
      <c r="B102" s="3" t="s">
        <v>101</v>
      </c>
      <c r="C102" s="3" t="s">
        <v>102</v>
      </c>
      <c r="D102" s="1" t="s">
        <v>24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1"/>
      <c r="AC102" s="1"/>
      <c r="AD102" s="1"/>
      <c r="AE102" s="1">
        <v>5</v>
      </c>
      <c r="AF102" s="1">
        <v>5</v>
      </c>
      <c r="AG102" s="1"/>
      <c r="AH102" s="1"/>
      <c r="AI102" s="1"/>
      <c r="AJ102" s="1"/>
      <c r="AK102" s="1"/>
      <c r="AL102" s="1"/>
      <c r="AM102" s="1"/>
      <c r="AN102" s="4"/>
      <c r="AO102" s="4"/>
      <c r="AP102" s="4"/>
      <c r="AQ102" s="4"/>
      <c r="AR102" s="4"/>
      <c r="AS102" s="4"/>
      <c r="AT102" s="2"/>
      <c r="AU102" s="2"/>
      <c r="AV102" s="2"/>
      <c r="AW102" s="2"/>
      <c r="AX102" s="2"/>
      <c r="AY102" s="2"/>
      <c r="AZ102" s="14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>
        <f>SUM(E102:BL102)</f>
        <v>10</v>
      </c>
      <c r="BN102" s="1">
        <v>10</v>
      </c>
      <c r="BO102" s="17">
        <v>2</v>
      </c>
      <c r="BP102" s="17" t="s">
        <v>145</v>
      </c>
      <c r="BQ102" s="1" t="str">
        <f>IF(AN102&gt;AN$116, AN102-AN$116,"")</f>
        <v/>
      </c>
      <c r="BR102" s="1" t="str">
        <f>IF(AO102&gt;AO$116, AO102-AO$116,"")</f>
        <v/>
      </c>
      <c r="BS102" s="1" t="str">
        <f>IF(AP102&gt;AP$116, AP102-AP$116,"")</f>
        <v/>
      </c>
      <c r="BT102" s="1" t="str">
        <f>IF(AQ102&gt;AQ$116, AQ102-AQ$116,"")</f>
        <v/>
      </c>
      <c r="BU102" s="1" t="str">
        <f>IF(AR102&gt;AR$116, AR102-AR$116,"")</f>
        <v/>
      </c>
      <c r="BV102" s="1" t="str">
        <f>IF(AS102&gt;AS$116, AS102-AS$116,"")</f>
        <v/>
      </c>
      <c r="BW102" s="1" t="str">
        <f>IF(AT102&gt;AT$116, AT102-AT$116,"")</f>
        <v/>
      </c>
      <c r="BX102" s="1" t="str">
        <f>IF(AU102&gt;AU$116, AU102-AU$116,"")</f>
        <v/>
      </c>
      <c r="BY102" s="1" t="str">
        <f>IF(AV102&gt;AV$116, AV102-AV$116,"")</f>
        <v/>
      </c>
      <c r="BZ102" s="1" t="str">
        <f>IF(AW102&gt;AW$116, AW102-AW$116,"")</f>
        <v/>
      </c>
      <c r="CA102" s="1" t="str">
        <f>IF(AX102&gt;AX$116, AX102-AX$116,"")</f>
        <v/>
      </c>
      <c r="CB102" s="1" t="str">
        <f>IF(AY102&gt;AY$116, AY102-AY$116,"")</f>
        <v/>
      </c>
      <c r="CC102" s="1">
        <f>COUNTIF(BQ102:CB102, "&gt;0")</f>
        <v>0</v>
      </c>
      <c r="CD102" s="1" t="str">
        <f>IF($CC102=1,BQ102,"")</f>
        <v/>
      </c>
      <c r="CE102" s="1" t="str">
        <f>IF($CC102=1,BR102,"")</f>
        <v/>
      </c>
      <c r="CF102" s="1" t="str">
        <f>IF($CC102=1,BS102,"")</f>
        <v/>
      </c>
      <c r="CG102" s="1" t="str">
        <f>IF($CC102=1,BT102,"")</f>
        <v/>
      </c>
      <c r="CH102" s="1" t="str">
        <f>IF($CC102=1,BU102,"")</f>
        <v/>
      </c>
      <c r="CI102" s="1" t="str">
        <f>IF($CC102=1,BV102,"")</f>
        <v/>
      </c>
      <c r="CJ102" s="1" t="str">
        <f>IF($CC102=1,BW102,"")</f>
        <v/>
      </c>
      <c r="CK102" s="1" t="str">
        <f>IF($CC102=1,BX102,"")</f>
        <v/>
      </c>
      <c r="CL102" s="1" t="str">
        <f>IF($CC102=1,BY102,"")</f>
        <v/>
      </c>
      <c r="CM102" s="1" t="str">
        <f>IF($CC102=1,BZ102,"")</f>
        <v/>
      </c>
      <c r="CN102" s="1" t="str">
        <f>IF($CC102=1,CA102,"")</f>
        <v/>
      </c>
      <c r="CO102" s="1" t="str">
        <f>IF($CC102=1,CB102,"")</f>
        <v/>
      </c>
      <c r="CP102" s="18">
        <f>SUM(AB102:BL102)</f>
        <v>10</v>
      </c>
    </row>
    <row r="103" spans="1:94" ht="27" x14ac:dyDescent="0.15">
      <c r="A103" s="1">
        <v>54</v>
      </c>
      <c r="B103" s="1" t="s">
        <v>63</v>
      </c>
      <c r="C103" s="1" t="s">
        <v>64</v>
      </c>
      <c r="D103" s="1" t="s">
        <v>1</v>
      </c>
      <c r="E103" s="6"/>
      <c r="F103" s="6">
        <v>15</v>
      </c>
      <c r="G103" s="6"/>
      <c r="H103" s="6">
        <v>15</v>
      </c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4"/>
      <c r="AO103" s="4"/>
      <c r="AP103" s="4"/>
      <c r="AQ103" s="4"/>
      <c r="AR103" s="4"/>
      <c r="AS103" s="4">
        <v>15</v>
      </c>
      <c r="AT103" s="2"/>
      <c r="AU103" s="2"/>
      <c r="AV103" s="2"/>
      <c r="AW103" s="2"/>
      <c r="AX103" s="2">
        <v>15</v>
      </c>
      <c r="AY103" s="2"/>
      <c r="AZ103" s="14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>
        <f>SUM(E103:BL103)</f>
        <v>60</v>
      </c>
      <c r="BN103" s="1">
        <v>11</v>
      </c>
      <c r="BO103" s="17">
        <v>2</v>
      </c>
      <c r="BP103" s="17" t="s">
        <v>203</v>
      </c>
      <c r="BQ103" s="1" t="str">
        <f>IF(AN103&gt;AN$116, AN103-AN$116,"")</f>
        <v/>
      </c>
      <c r="BR103" s="1" t="str">
        <f>IF(AO103&gt;AO$116, AO103-AO$116,"")</f>
        <v/>
      </c>
      <c r="BS103" s="1" t="str">
        <f>IF(AP103&gt;AP$116, AP103-AP$116,"")</f>
        <v/>
      </c>
      <c r="BT103" s="1" t="str">
        <f>IF(AQ103&gt;AQ$116, AQ103-AQ$116,"")</f>
        <v/>
      </c>
      <c r="BU103" s="1" t="str">
        <f>IF(AR103&gt;AR$116, AR103-AR$116,"")</f>
        <v/>
      </c>
      <c r="BV103" s="1">
        <f>IF(AS103&gt;AS$116, AS103-AS$116,"")</f>
        <v>2</v>
      </c>
      <c r="BW103" s="1" t="str">
        <f>IF(AT103&gt;AT$116, AT103-AT$116,"")</f>
        <v/>
      </c>
      <c r="BX103" s="1" t="str">
        <f>IF(AU103&gt;AU$116, AU103-AU$116,"")</f>
        <v/>
      </c>
      <c r="BY103" s="1" t="str">
        <f>IF(AV103&gt;AV$116, AV103-AV$116,"")</f>
        <v/>
      </c>
      <c r="BZ103" s="1" t="str">
        <f>IF(AW103&gt;AW$116, AW103-AW$116,"")</f>
        <v/>
      </c>
      <c r="CA103" s="1" t="str">
        <f>IF(AX103&gt;AX$116, AX103-AX$116,"")</f>
        <v/>
      </c>
      <c r="CB103" s="1" t="str">
        <f>IF(AY103&gt;AY$116, AY103-AY$116,"")</f>
        <v/>
      </c>
      <c r="CC103" s="1">
        <f>COUNTIF(BQ103:CB103, "&gt;0")</f>
        <v>1</v>
      </c>
      <c r="CD103" s="1" t="str">
        <f>IF($CC103=1,BQ103,"")</f>
        <v/>
      </c>
      <c r="CE103" s="1" t="str">
        <f>IF($CC103=1,BR103,"")</f>
        <v/>
      </c>
      <c r="CF103" s="1" t="str">
        <f>IF($CC103=1,BS103,"")</f>
        <v/>
      </c>
      <c r="CG103" s="1" t="str">
        <f>IF($CC103=1,BT103,"")</f>
        <v/>
      </c>
      <c r="CH103" s="1" t="str">
        <f>IF($CC103=1,BU103,"")</f>
        <v/>
      </c>
      <c r="CI103" s="1">
        <f>IF($CC103=1,BV103,"")</f>
        <v>2</v>
      </c>
      <c r="CJ103" s="1" t="str">
        <f>IF($CC103=1,BW103,"")</f>
        <v/>
      </c>
      <c r="CK103" s="1" t="str">
        <f>IF($CC103=1,BX103,"")</f>
        <v/>
      </c>
      <c r="CL103" s="1" t="str">
        <f>IF($CC103=1,BY103,"")</f>
        <v/>
      </c>
      <c r="CM103" s="1" t="str">
        <f>IF($CC103=1,BZ103,"")</f>
        <v/>
      </c>
      <c r="CN103" s="1" t="str">
        <f>IF($CC103=1,CA103,"")</f>
        <v/>
      </c>
      <c r="CO103" s="1" t="str">
        <f>IF($CC103=1,CB103,"")</f>
        <v/>
      </c>
      <c r="CP103" s="18">
        <f>SUM(AB103:BL103)</f>
        <v>30</v>
      </c>
    </row>
    <row r="104" spans="1:94" ht="27" x14ac:dyDescent="0.15">
      <c r="A104" s="1"/>
      <c r="B104" s="1" t="s">
        <v>160</v>
      </c>
      <c r="C104" s="1" t="s">
        <v>156</v>
      </c>
      <c r="D104" s="1" t="s">
        <v>153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>
        <v>5</v>
      </c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>
        <v>5</v>
      </c>
      <c r="AM104" s="1">
        <v>10</v>
      </c>
      <c r="AN104" s="4"/>
      <c r="AO104" s="4"/>
      <c r="AP104" s="4"/>
      <c r="AQ104" s="4"/>
      <c r="AR104" s="4"/>
      <c r="AS104" s="4"/>
      <c r="AT104" s="2"/>
      <c r="AU104" s="2"/>
      <c r="AV104" s="2"/>
      <c r="AW104" s="2"/>
      <c r="AX104" s="2"/>
      <c r="AY104" s="2"/>
      <c r="AZ104" s="14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>
        <v>15</v>
      </c>
      <c r="BO104" s="17">
        <v>2</v>
      </c>
      <c r="BP104" s="17" t="s">
        <v>212</v>
      </c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8"/>
    </row>
    <row r="105" spans="1:94" ht="27" x14ac:dyDescent="0.15">
      <c r="A105" s="1"/>
      <c r="B105" s="1" t="s">
        <v>160</v>
      </c>
      <c r="C105" s="1" t="s">
        <v>156</v>
      </c>
      <c r="D105" s="1" t="s">
        <v>154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>
        <v>10</v>
      </c>
      <c r="AM105" s="1">
        <v>10</v>
      </c>
      <c r="AN105" s="4"/>
      <c r="AO105" s="4"/>
      <c r="AP105" s="4">
        <v>5</v>
      </c>
      <c r="AQ105" s="4"/>
      <c r="AR105" s="4"/>
      <c r="AS105" s="4"/>
      <c r="AT105" s="2"/>
      <c r="AU105" s="2">
        <v>5</v>
      </c>
      <c r="AV105" s="2"/>
      <c r="AW105" s="2"/>
      <c r="AX105" s="2"/>
      <c r="AY105" s="2"/>
      <c r="AZ105" s="14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>
        <v>20</v>
      </c>
      <c r="BO105" s="17">
        <v>2</v>
      </c>
      <c r="BP105" s="17" t="s">
        <v>213</v>
      </c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8"/>
    </row>
    <row r="106" spans="1:94" ht="40.5" x14ac:dyDescent="0.15">
      <c r="A106" s="1">
        <v>28</v>
      </c>
      <c r="B106" s="1" t="s">
        <v>93</v>
      </c>
      <c r="C106" s="1" t="s">
        <v>33</v>
      </c>
      <c r="D106" s="1" t="s">
        <v>1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1"/>
      <c r="AC106" s="1"/>
      <c r="AD106" s="1"/>
      <c r="AE106" s="1">
        <v>5</v>
      </c>
      <c r="AF106" s="1">
        <v>5</v>
      </c>
      <c r="AG106" s="1">
        <v>5</v>
      </c>
      <c r="AH106" s="1"/>
      <c r="AI106" s="1"/>
      <c r="AJ106" s="1"/>
      <c r="AK106" s="1"/>
      <c r="AL106" s="1"/>
      <c r="AM106" s="1"/>
      <c r="AN106" s="4"/>
      <c r="AO106" s="4"/>
      <c r="AP106" s="4"/>
      <c r="AQ106" s="4"/>
      <c r="AR106" s="4"/>
      <c r="AS106" s="4"/>
      <c r="AT106" s="2"/>
      <c r="AU106" s="2"/>
      <c r="AV106" s="2"/>
      <c r="AW106" s="2"/>
      <c r="AX106" s="2"/>
      <c r="AY106" s="2"/>
      <c r="AZ106" s="14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>
        <f>SUM(E106:BL106)</f>
        <v>15</v>
      </c>
      <c r="BN106" s="1">
        <v>15</v>
      </c>
      <c r="BO106" s="17">
        <v>3</v>
      </c>
      <c r="BP106" s="17" t="s">
        <v>146</v>
      </c>
      <c r="BQ106" s="1" t="str">
        <f>IF(AN106&gt;AN$116, AN106-AN$116,"")</f>
        <v/>
      </c>
      <c r="BR106" s="1" t="str">
        <f>IF(AO106&gt;AO$116, AO106-AO$116,"")</f>
        <v/>
      </c>
      <c r="BS106" s="1" t="str">
        <f>IF(AP106&gt;AP$116, AP106-AP$116,"")</f>
        <v/>
      </c>
      <c r="BT106" s="1" t="str">
        <f>IF(AQ106&gt;AQ$116, AQ106-AQ$116,"")</f>
        <v/>
      </c>
      <c r="BU106" s="1" t="str">
        <f>IF(AR106&gt;AR$116, AR106-AR$116,"")</f>
        <v/>
      </c>
      <c r="BV106" s="1" t="str">
        <f>IF(AS106&gt;AS$116, AS106-AS$116,"")</f>
        <v/>
      </c>
      <c r="BW106" s="1" t="str">
        <f>IF(AT106&gt;AT$116, AT106-AT$116,"")</f>
        <v/>
      </c>
      <c r="BX106" s="1" t="str">
        <f>IF(AU106&gt;AU$116, AU106-AU$116,"")</f>
        <v/>
      </c>
      <c r="BY106" s="1" t="str">
        <f>IF(AV106&gt;AV$116, AV106-AV$116,"")</f>
        <v/>
      </c>
      <c r="BZ106" s="1" t="str">
        <f>IF(AW106&gt;AW$116, AW106-AW$116,"")</f>
        <v/>
      </c>
      <c r="CA106" s="1" t="str">
        <f>IF(AX106&gt;AX$116, AX106-AX$116,"")</f>
        <v/>
      </c>
      <c r="CB106" s="1" t="str">
        <f>IF(AY106&gt;AY$116, AY106-AY$116,"")</f>
        <v/>
      </c>
      <c r="CC106" s="1">
        <f>COUNTIF(BQ106:CB106, "&gt;0")</f>
        <v>0</v>
      </c>
      <c r="CD106" s="1" t="str">
        <f>IF($CC106=1,BQ106,"")</f>
        <v/>
      </c>
      <c r="CE106" s="1" t="str">
        <f>IF($CC106=1,BR106,"")</f>
        <v/>
      </c>
      <c r="CF106" s="1" t="str">
        <f>IF($CC106=1,BS106,"")</f>
        <v/>
      </c>
      <c r="CG106" s="1" t="str">
        <f>IF($CC106=1,BT106,"")</f>
        <v/>
      </c>
      <c r="CH106" s="1" t="str">
        <f>IF($CC106=1,BU106,"")</f>
        <v/>
      </c>
      <c r="CI106" s="1" t="str">
        <f>IF($CC106=1,BV106,"")</f>
        <v/>
      </c>
      <c r="CJ106" s="1" t="str">
        <f>IF($CC106=1,BW106,"")</f>
        <v/>
      </c>
      <c r="CK106" s="1" t="str">
        <f>IF($CC106=1,BX106,"")</f>
        <v/>
      </c>
      <c r="CL106" s="1" t="str">
        <f>IF($CC106=1,BY106,"")</f>
        <v/>
      </c>
      <c r="CM106" s="1" t="str">
        <f>IF($CC106=1,BZ106,"")</f>
        <v/>
      </c>
      <c r="CN106" s="1" t="str">
        <f>IF($CC106=1,CA106,"")</f>
        <v/>
      </c>
      <c r="CO106" s="1" t="str">
        <f>IF($CC106=1,CB106,"")</f>
        <v/>
      </c>
      <c r="CP106" s="18">
        <f>SUM(AB106:BL106)</f>
        <v>15</v>
      </c>
    </row>
    <row r="107" spans="1:94" ht="40.5" x14ac:dyDescent="0.15">
      <c r="A107" s="1">
        <v>89</v>
      </c>
      <c r="B107" s="3" t="s">
        <v>101</v>
      </c>
      <c r="C107" s="3" t="s">
        <v>102</v>
      </c>
      <c r="D107" s="1" t="s">
        <v>1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1"/>
      <c r="AC107" s="1">
        <v>5</v>
      </c>
      <c r="AD107" s="1"/>
      <c r="AE107" s="1">
        <v>5</v>
      </c>
      <c r="AF107" s="1">
        <v>5</v>
      </c>
      <c r="AG107" s="1"/>
      <c r="AH107" s="1"/>
      <c r="AI107" s="1"/>
      <c r="AJ107" s="1"/>
      <c r="AK107" s="1"/>
      <c r="AL107" s="1"/>
      <c r="AM107" s="1"/>
      <c r="AN107" s="4"/>
      <c r="AO107" s="4"/>
      <c r="AP107" s="4"/>
      <c r="AQ107" s="4"/>
      <c r="AR107" s="4"/>
      <c r="AS107" s="4"/>
      <c r="AT107" s="2"/>
      <c r="AU107" s="2"/>
      <c r="AV107" s="2"/>
      <c r="AW107" s="2"/>
      <c r="AX107" s="2"/>
      <c r="AY107" s="2"/>
      <c r="AZ107" s="14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>
        <f>SUM(E107:BL107)</f>
        <v>15</v>
      </c>
      <c r="BN107" s="1">
        <v>15</v>
      </c>
      <c r="BO107" s="17">
        <v>3</v>
      </c>
      <c r="BP107" s="17" t="s">
        <v>147</v>
      </c>
      <c r="BQ107" s="1" t="str">
        <f>IF(AN107&gt;AN$116, AN107-AN$116,"")</f>
        <v/>
      </c>
      <c r="BR107" s="1" t="str">
        <f>IF(AO107&gt;AO$116, AO107-AO$116,"")</f>
        <v/>
      </c>
      <c r="BS107" s="1" t="str">
        <f>IF(AP107&gt;AP$116, AP107-AP$116,"")</f>
        <v/>
      </c>
      <c r="BT107" s="1" t="str">
        <f>IF(AQ107&gt;AQ$116, AQ107-AQ$116,"")</f>
        <v/>
      </c>
      <c r="BU107" s="1" t="str">
        <f>IF(AR107&gt;AR$116, AR107-AR$116,"")</f>
        <v/>
      </c>
      <c r="BV107" s="1" t="str">
        <f>IF(AS107&gt;AS$116, AS107-AS$116,"")</f>
        <v/>
      </c>
      <c r="BW107" s="1" t="str">
        <f>IF(AT107&gt;AT$116, AT107-AT$116,"")</f>
        <v/>
      </c>
      <c r="BX107" s="1" t="str">
        <f>IF(AU107&gt;AU$116, AU107-AU$116,"")</f>
        <v/>
      </c>
      <c r="BY107" s="1" t="str">
        <f>IF(AV107&gt;AV$116, AV107-AV$116,"")</f>
        <v/>
      </c>
      <c r="BZ107" s="1" t="str">
        <f>IF(AW107&gt;AW$116, AW107-AW$116,"")</f>
        <v/>
      </c>
      <c r="CA107" s="1" t="str">
        <f>IF(AX107&gt;AX$116, AX107-AX$116,"")</f>
        <v/>
      </c>
      <c r="CB107" s="1" t="str">
        <f>IF(AY107&gt;AY$116, AY107-AY$116,"")</f>
        <v/>
      </c>
      <c r="CC107" s="1">
        <f>COUNTIF(BQ107:CB107, "&gt;0")</f>
        <v>0</v>
      </c>
      <c r="CD107" s="1" t="str">
        <f>IF($CC107=1,BQ107,"")</f>
        <v/>
      </c>
      <c r="CE107" s="1" t="str">
        <f>IF($CC107=1,BR107,"")</f>
        <v/>
      </c>
      <c r="CF107" s="1" t="str">
        <f>IF($CC107=1,BS107,"")</f>
        <v/>
      </c>
      <c r="CG107" s="1" t="str">
        <f>IF($CC107=1,BT107,"")</f>
        <v/>
      </c>
      <c r="CH107" s="1" t="str">
        <f>IF($CC107=1,BU107,"")</f>
        <v/>
      </c>
      <c r="CI107" s="1" t="str">
        <f>IF($CC107=1,BV107,"")</f>
        <v/>
      </c>
      <c r="CJ107" s="1" t="str">
        <f>IF($CC107=1,BW107,"")</f>
        <v/>
      </c>
      <c r="CK107" s="1" t="str">
        <f>IF($CC107=1,BX107,"")</f>
        <v/>
      </c>
      <c r="CL107" s="1" t="str">
        <f>IF($CC107=1,BY107,"")</f>
        <v/>
      </c>
      <c r="CM107" s="1" t="str">
        <f>IF($CC107=1,BZ107,"")</f>
        <v/>
      </c>
      <c r="CN107" s="1" t="str">
        <f>IF($CC107=1,CA107,"")</f>
        <v/>
      </c>
      <c r="CO107" s="1" t="str">
        <f>IF($CC107=1,CB107,"")</f>
        <v/>
      </c>
      <c r="CP107" s="18">
        <f>SUM(AB107:BL107)</f>
        <v>15</v>
      </c>
    </row>
    <row r="108" spans="1:94" ht="54" x14ac:dyDescent="0.15">
      <c r="A108" s="1"/>
      <c r="B108" s="1" t="s">
        <v>155</v>
      </c>
      <c r="C108" s="1" t="s">
        <v>156</v>
      </c>
      <c r="D108" s="1" t="s">
        <v>157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4"/>
      <c r="AO108" s="4"/>
      <c r="AP108" s="4"/>
      <c r="AQ108" s="4"/>
      <c r="AR108" s="4"/>
      <c r="AS108" s="4">
        <v>40</v>
      </c>
      <c r="AT108" s="2">
        <v>40</v>
      </c>
      <c r="AU108" s="2"/>
      <c r="AV108" s="2"/>
      <c r="AW108" s="2"/>
      <c r="AX108" s="2"/>
      <c r="AY108" s="2">
        <v>40</v>
      </c>
      <c r="AZ108" s="14">
        <v>10</v>
      </c>
      <c r="BA108" s="1">
        <v>50</v>
      </c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>
        <v>61</v>
      </c>
      <c r="BO108" s="17">
        <v>4</v>
      </c>
      <c r="BP108" s="17" t="s">
        <v>210</v>
      </c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8"/>
    </row>
    <row r="109" spans="1:94" ht="54" x14ac:dyDescent="0.15">
      <c r="A109" s="1">
        <v>85</v>
      </c>
      <c r="B109" s="3" t="s">
        <v>83</v>
      </c>
      <c r="C109" s="3" t="s">
        <v>77</v>
      </c>
      <c r="D109" s="1" t="s">
        <v>41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4"/>
      <c r="AO109" s="4"/>
      <c r="AP109" s="4"/>
      <c r="AQ109" s="4"/>
      <c r="AR109" s="4"/>
      <c r="AS109" s="4"/>
      <c r="AT109" s="2"/>
      <c r="AU109" s="2"/>
      <c r="AV109" s="2"/>
      <c r="AW109" s="2"/>
      <c r="AX109" s="2"/>
      <c r="AY109" s="2"/>
      <c r="AZ109" s="14"/>
      <c r="BA109" s="1"/>
      <c r="BB109" s="1"/>
      <c r="BC109" s="1"/>
      <c r="BD109" s="1"/>
      <c r="BE109" s="1"/>
      <c r="BF109" s="1"/>
      <c r="BG109" s="1"/>
      <c r="BH109" s="1"/>
      <c r="BI109" s="1">
        <v>50</v>
      </c>
      <c r="BJ109" s="1">
        <v>50</v>
      </c>
      <c r="BK109" s="1">
        <v>50</v>
      </c>
      <c r="BL109" s="1">
        <v>50</v>
      </c>
      <c r="BM109" s="1">
        <f>SUM(E109:BL109)</f>
        <v>200</v>
      </c>
      <c r="BN109" s="1">
        <v>195</v>
      </c>
      <c r="BO109" s="17">
        <v>4</v>
      </c>
      <c r="BP109" s="17" t="s">
        <v>148</v>
      </c>
      <c r="BQ109" s="1" t="str">
        <f>IF(AN109&gt;AN$116, AN109-AN$116,"")</f>
        <v/>
      </c>
      <c r="BR109" s="1" t="str">
        <f>IF(AO109&gt;AO$116, AO109-AO$116,"")</f>
        <v/>
      </c>
      <c r="BS109" s="1" t="str">
        <f>IF(AP109&gt;AP$116, AP109-AP$116,"")</f>
        <v/>
      </c>
      <c r="BT109" s="1" t="str">
        <f>IF(AQ109&gt;AQ$116, AQ109-AQ$116,"")</f>
        <v/>
      </c>
      <c r="BU109" s="1" t="str">
        <f>IF(AR109&gt;AR$116, AR109-AR$116,"")</f>
        <v/>
      </c>
      <c r="BV109" s="1" t="str">
        <f>IF(AS109&gt;AS$116, AS109-AS$116,"")</f>
        <v/>
      </c>
      <c r="BW109" s="1" t="str">
        <f>IF(AT109&gt;AT$116, AT109-AT$116,"")</f>
        <v/>
      </c>
      <c r="BX109" s="1" t="str">
        <f>IF(AU109&gt;AU$116, AU109-AU$116,"")</f>
        <v/>
      </c>
      <c r="BY109" s="1" t="str">
        <f>IF(AV109&gt;AV$116, AV109-AV$116,"")</f>
        <v/>
      </c>
      <c r="BZ109" s="1" t="str">
        <f>IF(AW109&gt;AW$116, AW109-AW$116,"")</f>
        <v/>
      </c>
      <c r="CA109" s="1" t="str">
        <f>IF(AX109&gt;AX$116, AX109-AX$116,"")</f>
        <v/>
      </c>
      <c r="CB109" s="1" t="str">
        <f>IF(AY109&gt;AY$116, AY109-AY$116,"")</f>
        <v/>
      </c>
      <c r="CC109" s="1">
        <f>COUNTIF(BQ109:CB109, "&gt;0")</f>
        <v>0</v>
      </c>
      <c r="CD109" s="1" t="str">
        <f>IF($CC109=1,BQ109,"")</f>
        <v/>
      </c>
      <c r="CE109" s="1" t="str">
        <f>IF($CC109=1,BR109,"")</f>
        <v/>
      </c>
      <c r="CF109" s="1" t="str">
        <f>IF($CC109=1,BS109,"")</f>
        <v/>
      </c>
      <c r="CG109" s="1" t="str">
        <f>IF($CC109=1,BT109,"")</f>
        <v/>
      </c>
      <c r="CH109" s="1" t="str">
        <f>IF($CC109=1,BU109,"")</f>
        <v/>
      </c>
      <c r="CI109" s="1" t="str">
        <f>IF($CC109=1,BV109,"")</f>
        <v/>
      </c>
      <c r="CJ109" s="1" t="str">
        <f>IF($CC109=1,BW109,"")</f>
        <v/>
      </c>
      <c r="CK109" s="1" t="str">
        <f>IF($CC109=1,BX109,"")</f>
        <v/>
      </c>
      <c r="CL109" s="1" t="str">
        <f>IF($CC109=1,BY109,"")</f>
        <v/>
      </c>
      <c r="CM109" s="1" t="str">
        <f>IF($CC109=1,BZ109,"")</f>
        <v/>
      </c>
      <c r="CN109" s="1" t="str">
        <f>IF($CC109=1,CA109,"")</f>
        <v/>
      </c>
      <c r="CO109" s="1" t="str">
        <f>IF($CC109=1,CB109,"")</f>
        <v/>
      </c>
      <c r="CP109" s="18">
        <f>SUM(AB109:BL109)</f>
        <v>200</v>
      </c>
    </row>
    <row r="110" spans="1:94" ht="54" x14ac:dyDescent="0.15">
      <c r="A110" s="1">
        <v>23</v>
      </c>
      <c r="B110" s="1" t="s">
        <v>127</v>
      </c>
      <c r="C110" s="1" t="s">
        <v>33</v>
      </c>
      <c r="D110" s="1" t="s">
        <v>41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4"/>
      <c r="AO110" s="4"/>
      <c r="AP110" s="4"/>
      <c r="AQ110" s="4"/>
      <c r="AR110" s="4"/>
      <c r="AS110" s="4"/>
      <c r="AT110" s="2"/>
      <c r="AU110" s="2"/>
      <c r="AV110" s="2"/>
      <c r="AW110" s="2"/>
      <c r="AX110" s="2"/>
      <c r="AY110" s="2"/>
      <c r="AZ110" s="14"/>
      <c r="BA110" s="1"/>
      <c r="BB110" s="1"/>
      <c r="BC110" s="1"/>
      <c r="BD110" s="1"/>
      <c r="BE110" s="1"/>
      <c r="BF110" s="1"/>
      <c r="BG110" s="1">
        <v>50</v>
      </c>
      <c r="BH110" s="1">
        <v>50</v>
      </c>
      <c r="BI110" s="1"/>
      <c r="BJ110" s="1"/>
      <c r="BK110" s="1">
        <v>50</v>
      </c>
      <c r="BL110" s="1">
        <v>50</v>
      </c>
      <c r="BM110" s="1">
        <f>SUM(E110:BL110)</f>
        <v>200</v>
      </c>
      <c r="BN110" s="1">
        <v>195</v>
      </c>
      <c r="BO110" s="17">
        <v>4</v>
      </c>
      <c r="BP110" s="17" t="s">
        <v>149</v>
      </c>
      <c r="BQ110" s="1" t="str">
        <f>IF(AN110&gt;AN$116, AN110-AN$116,"")</f>
        <v/>
      </c>
      <c r="BR110" s="1" t="str">
        <f>IF(AO110&gt;AO$116, AO110-AO$116,"")</f>
        <v/>
      </c>
      <c r="BS110" s="1" t="str">
        <f>IF(AP110&gt;AP$116, AP110-AP$116,"")</f>
        <v/>
      </c>
      <c r="BT110" s="1" t="str">
        <f>IF(AQ110&gt;AQ$116, AQ110-AQ$116,"")</f>
        <v/>
      </c>
      <c r="BU110" s="1" t="str">
        <f>IF(AR110&gt;AR$116, AR110-AR$116,"")</f>
        <v/>
      </c>
      <c r="BV110" s="1" t="str">
        <f>IF(AS110&gt;AS$116, AS110-AS$116,"")</f>
        <v/>
      </c>
      <c r="BW110" s="1" t="str">
        <f>IF(AT110&gt;AT$116, AT110-AT$116,"")</f>
        <v/>
      </c>
      <c r="BX110" s="1" t="str">
        <f>IF(AU110&gt;AU$116, AU110-AU$116,"")</f>
        <v/>
      </c>
      <c r="BY110" s="1" t="str">
        <f>IF(AV110&gt;AV$116, AV110-AV$116,"")</f>
        <v/>
      </c>
      <c r="BZ110" s="1" t="str">
        <f>IF(AW110&gt;AW$116, AW110-AW$116,"")</f>
        <v/>
      </c>
      <c r="CA110" s="1" t="str">
        <f>IF(AX110&gt;AX$116, AX110-AX$116,"")</f>
        <v/>
      </c>
      <c r="CB110" s="1" t="str">
        <f>IF(AY110&gt;AY$116, AY110-AY$116,"")</f>
        <v/>
      </c>
      <c r="CC110" s="1">
        <f>COUNTIF(BQ110:CB110, "&gt;0")</f>
        <v>0</v>
      </c>
      <c r="CD110" s="1" t="str">
        <f>IF($CC110=1,BQ110,"")</f>
        <v/>
      </c>
      <c r="CE110" s="1" t="str">
        <f>IF($CC110=1,BR110,"")</f>
        <v/>
      </c>
      <c r="CF110" s="1" t="str">
        <f>IF($CC110=1,BS110,"")</f>
        <v/>
      </c>
      <c r="CG110" s="1" t="str">
        <f>IF($CC110=1,BT110,"")</f>
        <v/>
      </c>
      <c r="CH110" s="1" t="str">
        <f>IF($CC110=1,BU110,"")</f>
        <v/>
      </c>
      <c r="CI110" s="1" t="str">
        <f>IF($CC110=1,BV110,"")</f>
        <v/>
      </c>
      <c r="CJ110" s="1" t="str">
        <f>IF($CC110=1,BW110,"")</f>
        <v/>
      </c>
      <c r="CK110" s="1" t="str">
        <f>IF($CC110=1,BX110,"")</f>
        <v/>
      </c>
      <c r="CL110" s="1" t="str">
        <f>IF($CC110=1,BY110,"")</f>
        <v/>
      </c>
      <c r="CM110" s="1" t="str">
        <f>IF($CC110=1,BZ110,"")</f>
        <v/>
      </c>
      <c r="CN110" s="1" t="str">
        <f>IF($CC110=1,CA110,"")</f>
        <v/>
      </c>
      <c r="CO110" s="1" t="str">
        <f>IF($CC110=1,CB110,"")</f>
        <v/>
      </c>
      <c r="CP110" s="18">
        <f>SUM(AB110:BL110)</f>
        <v>200</v>
      </c>
    </row>
    <row r="111" spans="1:94" ht="54" x14ac:dyDescent="0.15">
      <c r="A111" s="1"/>
      <c r="B111" s="1" t="s">
        <v>170</v>
      </c>
      <c r="C111" s="1" t="s">
        <v>167</v>
      </c>
      <c r="D111" s="1" t="s">
        <v>171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4"/>
      <c r="AO111" s="4"/>
      <c r="AP111" s="4"/>
      <c r="AQ111" s="4"/>
      <c r="AR111" s="4"/>
      <c r="AS111" s="4"/>
      <c r="AT111" s="2"/>
      <c r="AU111" s="2"/>
      <c r="AV111" s="2"/>
      <c r="AW111" s="2"/>
      <c r="AX111" s="2"/>
      <c r="AY111" s="2"/>
      <c r="AZ111" s="14"/>
      <c r="BA111" s="1"/>
      <c r="BB111" s="1"/>
      <c r="BC111" s="1"/>
      <c r="BD111" s="1"/>
      <c r="BE111" s="1"/>
      <c r="BF111" s="1"/>
      <c r="BG111" s="1">
        <v>50</v>
      </c>
      <c r="BH111" s="1">
        <v>50</v>
      </c>
      <c r="BI111" s="1"/>
      <c r="BJ111" s="1"/>
      <c r="BK111" s="1">
        <v>50</v>
      </c>
      <c r="BL111" s="1">
        <v>50</v>
      </c>
      <c r="BM111" s="1"/>
      <c r="BN111" s="1">
        <v>195</v>
      </c>
      <c r="BO111" s="17">
        <v>4</v>
      </c>
      <c r="BP111" s="17" t="s">
        <v>208</v>
      </c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8"/>
    </row>
    <row r="112" spans="1:94" ht="54" x14ac:dyDescent="0.15">
      <c r="A112" s="1"/>
      <c r="B112" s="1" t="s">
        <v>187</v>
      </c>
      <c r="C112" s="1" t="s">
        <v>181</v>
      </c>
      <c r="D112" s="1" t="s">
        <v>171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4"/>
      <c r="AO112" s="4"/>
      <c r="AP112" s="4"/>
      <c r="AQ112" s="4"/>
      <c r="AR112" s="4"/>
      <c r="AS112" s="4"/>
      <c r="AT112" s="2"/>
      <c r="AU112" s="2"/>
      <c r="AV112" s="2"/>
      <c r="AW112" s="2"/>
      <c r="AX112" s="2"/>
      <c r="AY112" s="2"/>
      <c r="AZ112" s="14"/>
      <c r="BA112" s="1"/>
      <c r="BB112" s="1"/>
      <c r="BC112" s="1"/>
      <c r="BD112" s="1"/>
      <c r="BE112" s="1"/>
      <c r="BF112" s="1"/>
      <c r="BG112" s="1"/>
      <c r="BH112" s="1"/>
      <c r="BI112" s="1">
        <v>50</v>
      </c>
      <c r="BJ112" s="1">
        <v>50</v>
      </c>
      <c r="BK112" s="1">
        <v>50</v>
      </c>
      <c r="BL112" s="1">
        <v>50</v>
      </c>
      <c r="BM112" s="1"/>
      <c r="BN112" s="1">
        <v>195</v>
      </c>
      <c r="BO112" s="17">
        <v>4</v>
      </c>
      <c r="BP112" s="17" t="s">
        <v>207</v>
      </c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8"/>
    </row>
    <row r="113" spans="1:94" ht="54" x14ac:dyDescent="0.15">
      <c r="A113" s="1"/>
      <c r="B113" s="1" t="s">
        <v>188</v>
      </c>
      <c r="C113" s="1" t="s">
        <v>181</v>
      </c>
      <c r="D113" s="1" t="s">
        <v>171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4"/>
      <c r="AO113" s="4"/>
      <c r="AP113" s="4"/>
      <c r="AQ113" s="4"/>
      <c r="AR113" s="4"/>
      <c r="AS113" s="4"/>
      <c r="AT113" s="2"/>
      <c r="AU113" s="2"/>
      <c r="AV113" s="2"/>
      <c r="AW113" s="2"/>
      <c r="AX113" s="2"/>
      <c r="AY113" s="2"/>
      <c r="AZ113" s="14"/>
      <c r="BA113" s="1"/>
      <c r="BB113" s="1"/>
      <c r="BC113" s="1"/>
      <c r="BD113" s="1"/>
      <c r="BE113" s="1"/>
      <c r="BF113" s="1"/>
      <c r="BG113" s="1"/>
      <c r="BH113" s="1"/>
      <c r="BI113" s="1">
        <v>50</v>
      </c>
      <c r="BJ113" s="1">
        <v>50</v>
      </c>
      <c r="BK113" s="1">
        <v>50</v>
      </c>
      <c r="BL113" s="1">
        <v>50</v>
      </c>
      <c r="BM113" s="1"/>
      <c r="BN113" s="1">
        <v>195</v>
      </c>
      <c r="BO113" s="17">
        <v>4</v>
      </c>
      <c r="BP113" s="17" t="s">
        <v>207</v>
      </c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8"/>
    </row>
    <row r="114" spans="1:94" ht="54" x14ac:dyDescent="0.15">
      <c r="A114" s="1">
        <v>102</v>
      </c>
      <c r="B114" s="3" t="s">
        <v>124</v>
      </c>
      <c r="C114" s="3" t="s">
        <v>85</v>
      </c>
      <c r="D114" s="1" t="s">
        <v>41</v>
      </c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4"/>
      <c r="AO114" s="4"/>
      <c r="AP114" s="4"/>
      <c r="AQ114" s="4"/>
      <c r="AR114" s="4"/>
      <c r="AS114" s="4"/>
      <c r="AT114" s="2"/>
      <c r="AU114" s="2"/>
      <c r="AV114" s="2"/>
      <c r="AW114" s="2"/>
      <c r="AX114" s="2"/>
      <c r="AY114" s="2"/>
      <c r="AZ114" s="14"/>
      <c r="BA114" s="1"/>
      <c r="BB114" s="1"/>
      <c r="BC114" s="1"/>
      <c r="BD114" s="1"/>
      <c r="BE114" s="1"/>
      <c r="BF114" s="1"/>
      <c r="BG114" s="1">
        <v>50</v>
      </c>
      <c r="BH114" s="1">
        <v>50</v>
      </c>
      <c r="BI114" s="1"/>
      <c r="BJ114" s="1"/>
      <c r="BK114" s="1">
        <v>50</v>
      </c>
      <c r="BL114" s="1">
        <v>50</v>
      </c>
      <c r="BM114" s="1">
        <f>SUM(E114:BL114)</f>
        <v>200</v>
      </c>
      <c r="BN114" s="1">
        <v>195</v>
      </c>
      <c r="BO114" s="17">
        <v>4</v>
      </c>
      <c r="BP114" s="17" t="s">
        <v>149</v>
      </c>
      <c r="BQ114" s="1" t="str">
        <f>IF(AN114&gt;AN$116, AN114-AN$116,"")</f>
        <v/>
      </c>
      <c r="BR114" s="1" t="str">
        <f>IF(AO114&gt;AO$116, AO114-AO$116,"")</f>
        <v/>
      </c>
      <c r="BS114" s="1" t="str">
        <f>IF(AP114&gt;AP$116, AP114-AP$116,"")</f>
        <v/>
      </c>
      <c r="BT114" s="1" t="str">
        <f>IF(AQ114&gt;AQ$116, AQ114-AQ$116,"")</f>
        <v/>
      </c>
      <c r="BU114" s="1" t="str">
        <f>IF(AR114&gt;AR$116, AR114-AR$116,"")</f>
        <v/>
      </c>
      <c r="BV114" s="1" t="str">
        <f>IF(AS114&gt;AS$116, AS114-AS$116,"")</f>
        <v/>
      </c>
      <c r="BW114" s="1" t="str">
        <f>IF(AT114&gt;AT$116, AT114-AT$116,"")</f>
        <v/>
      </c>
      <c r="BX114" s="1" t="str">
        <f>IF(AU114&gt;AU$116, AU114-AU$116,"")</f>
        <v/>
      </c>
      <c r="BY114" s="1" t="str">
        <f>IF(AV114&gt;AV$116, AV114-AV$116,"")</f>
        <v/>
      </c>
      <c r="BZ114" s="1" t="str">
        <f>IF(AW114&gt;AW$116, AW114-AW$116,"")</f>
        <v/>
      </c>
      <c r="CA114" s="1" t="str">
        <f>IF(AX114&gt;AX$116, AX114-AX$116,"")</f>
        <v/>
      </c>
      <c r="CB114" s="1" t="str">
        <f>IF(AY114&gt;AY$116, AY114-AY$116,"")</f>
        <v/>
      </c>
      <c r="CC114" s="1">
        <f>COUNTIF(BQ114:CB114, "&gt;0")</f>
        <v>0</v>
      </c>
      <c r="CD114" s="1" t="str">
        <f>IF($CC114=1,BQ114,"")</f>
        <v/>
      </c>
      <c r="CE114" s="1" t="str">
        <f>IF($CC114=1,BR114,"")</f>
        <v/>
      </c>
      <c r="CF114" s="1" t="str">
        <f>IF($CC114=1,BS114,"")</f>
        <v/>
      </c>
      <c r="CG114" s="1" t="str">
        <f>IF($CC114=1,BT114,"")</f>
        <v/>
      </c>
      <c r="CH114" s="1" t="str">
        <f>IF($CC114=1,BU114,"")</f>
        <v/>
      </c>
      <c r="CI114" s="1" t="str">
        <f>IF($CC114=1,BV114,"")</f>
        <v/>
      </c>
      <c r="CJ114" s="1" t="str">
        <f>IF($CC114=1,BW114,"")</f>
        <v/>
      </c>
      <c r="CK114" s="1" t="str">
        <f>IF($CC114=1,BX114,"")</f>
        <v/>
      </c>
      <c r="CL114" s="1" t="str">
        <f>IF($CC114=1,BY114,"")</f>
        <v/>
      </c>
      <c r="CM114" s="1" t="str">
        <f>IF($CC114=1,BZ114,"")</f>
        <v/>
      </c>
      <c r="CN114" s="1" t="str">
        <f>IF($CC114=1,CA114,"")</f>
        <v/>
      </c>
      <c r="CO114" s="1" t="str">
        <f>IF($CC114=1,CB114,"")</f>
        <v/>
      </c>
      <c r="CP114" s="18">
        <f>SUM(AB114:BL114)</f>
        <v>200</v>
      </c>
    </row>
    <row r="115" spans="1:94" x14ac:dyDescent="0.15">
      <c r="A115" s="1"/>
      <c r="B115" s="1" t="s">
        <v>88</v>
      </c>
      <c r="C115" s="1"/>
      <c r="D115" s="1"/>
      <c r="E115" s="6">
        <f>SUM(E2:E114)</f>
        <v>103</v>
      </c>
      <c r="F115" s="6">
        <f>SUM(F2:F114)</f>
        <v>95</v>
      </c>
      <c r="G115" s="6">
        <f>SUM(G2:G114)</f>
        <v>199</v>
      </c>
      <c r="H115" s="6">
        <f>SUM(H2:H114)</f>
        <v>174</v>
      </c>
      <c r="I115" s="6">
        <f>SUM(I2:I114)</f>
        <v>33</v>
      </c>
      <c r="J115" s="6">
        <f>SUM(J2:J114)</f>
        <v>31</v>
      </c>
      <c r="K115" s="6">
        <f>SUM(K2:K114)</f>
        <v>52</v>
      </c>
      <c r="L115" s="6">
        <f>SUM(L2:L114)</f>
        <v>65</v>
      </c>
      <c r="M115" s="6">
        <f>SUM(M2:M114)</f>
        <v>17</v>
      </c>
      <c r="N115" s="6">
        <f>SUM(N2:N114)</f>
        <v>47</v>
      </c>
      <c r="O115" s="6">
        <f>SUM(O2:O114)</f>
        <v>84</v>
      </c>
      <c r="P115" s="6">
        <f>SUM(P2:P114)</f>
        <v>15</v>
      </c>
      <c r="Q115" s="6">
        <f>SUM(Q2:Q114)</f>
        <v>0</v>
      </c>
      <c r="R115" s="6">
        <f>SUM(R2:R114)</f>
        <v>0</v>
      </c>
      <c r="S115" s="6">
        <f>SUM(S2:S114)</f>
        <v>8</v>
      </c>
      <c r="T115" s="6">
        <f>SUM(T2:T114)</f>
        <v>0</v>
      </c>
      <c r="U115" s="6">
        <f>SUM(U2:U114)</f>
        <v>30</v>
      </c>
      <c r="V115" s="6">
        <f>SUM(V2:V114)</f>
        <v>25</v>
      </c>
      <c r="W115" s="6">
        <f>SUM(W2:W114)</f>
        <v>10</v>
      </c>
      <c r="X115" s="6">
        <f>SUM(X2:X114)</f>
        <v>25</v>
      </c>
      <c r="Y115" s="6">
        <f>SUM(Y2:Y114)</f>
        <v>0</v>
      </c>
      <c r="Z115" s="6">
        <f>SUM(Z2:Z114)</f>
        <v>0</v>
      </c>
      <c r="AA115" s="6">
        <f>SUM(AA2:AA114)</f>
        <v>0</v>
      </c>
      <c r="AB115" s="1">
        <f>SUM(AB2:AB114)</f>
        <v>275</v>
      </c>
      <c r="AC115" s="1">
        <f>SUM(AC2:AC114)</f>
        <v>10</v>
      </c>
      <c r="AD115" s="1">
        <f>SUM(AD2:AD114)</f>
        <v>15</v>
      </c>
      <c r="AE115" s="1">
        <f>SUM(AE2:AE114)</f>
        <v>30</v>
      </c>
      <c r="AF115" s="1">
        <f>SUM(AF2:AF114)</f>
        <v>30</v>
      </c>
      <c r="AG115" s="1">
        <f>SUM(AG2:AG114)</f>
        <v>5</v>
      </c>
      <c r="AH115" s="1">
        <f>SUM(AH2:AH114)</f>
        <v>0</v>
      </c>
      <c r="AI115" s="1">
        <f>SUM(AI2:AI114)</f>
        <v>0</v>
      </c>
      <c r="AJ115" s="1">
        <f>SUM(AJ2:AJ114)</f>
        <v>20</v>
      </c>
      <c r="AK115" s="1">
        <f>SUM(AK2:AK114)</f>
        <v>50</v>
      </c>
      <c r="AL115" s="1">
        <f>SUM(AL2:AL114)</f>
        <v>25</v>
      </c>
      <c r="AM115" s="1">
        <f>SUM(AM2:AM114)</f>
        <v>26</v>
      </c>
      <c r="AN115" s="4">
        <f>SUM(AN2:AN114)</f>
        <v>90</v>
      </c>
      <c r="AO115" s="4">
        <f>SUM(AO2:AO114)</f>
        <v>110</v>
      </c>
      <c r="AP115" s="4">
        <f>SUM(AP2:AP114)</f>
        <v>70</v>
      </c>
      <c r="AQ115" s="4">
        <f>SUM(AQ2:AQ114)</f>
        <v>93</v>
      </c>
      <c r="AR115" s="4">
        <f>SUM(AR2:AR114)</f>
        <v>18</v>
      </c>
      <c r="AS115" s="4">
        <f>SUM(AS2:AS114)</f>
        <v>115</v>
      </c>
      <c r="AT115" s="2">
        <f>SUM(AT2:AT114)</f>
        <v>113</v>
      </c>
      <c r="AU115" s="2">
        <f>SUM(AU2:AU114)</f>
        <v>80</v>
      </c>
      <c r="AV115" s="2">
        <f>SUM(AV2:AV114)</f>
        <v>28</v>
      </c>
      <c r="AW115" s="2">
        <f>SUM(AW2:AW114)</f>
        <v>92</v>
      </c>
      <c r="AX115" s="2">
        <f>SUM(AX2:AX114)</f>
        <v>182</v>
      </c>
      <c r="AY115" s="2">
        <f>SUM(AY2:AY114)</f>
        <v>355</v>
      </c>
      <c r="AZ115" s="1">
        <f>SUM(AZ2:AZ114)</f>
        <v>10</v>
      </c>
      <c r="BA115" s="1">
        <f>SUM(BA2:BA114)</f>
        <v>150</v>
      </c>
      <c r="BB115" s="1">
        <f>SUM(BB2:BB114)</f>
        <v>100</v>
      </c>
      <c r="BC115" s="1">
        <f>SUM(BC2:BC114)</f>
        <v>120</v>
      </c>
      <c r="BD115" s="1">
        <f>SUM(BD2:BD114)</f>
        <v>120</v>
      </c>
      <c r="BE115" s="1">
        <f>SUM(BE2:BE114)</f>
        <v>120</v>
      </c>
      <c r="BF115" s="1">
        <f>SUM(BF2:BF114)</f>
        <v>90</v>
      </c>
      <c r="BG115" s="1">
        <f>SUM(BG2:BG114)</f>
        <v>150</v>
      </c>
      <c r="BH115" s="1">
        <f>SUM(BH2:BH114)</f>
        <v>150</v>
      </c>
      <c r="BI115" s="1">
        <f>SUM(BI2:BI114)</f>
        <v>150</v>
      </c>
      <c r="BJ115" s="1">
        <f>SUM(BJ2:BJ114)</f>
        <v>150</v>
      </c>
      <c r="BK115" s="1">
        <f>SUM(BK2:BK114)</f>
        <v>300</v>
      </c>
      <c r="BL115" s="1">
        <f>SUM(BL2:BL114)</f>
        <v>300</v>
      </c>
      <c r="BM115" s="1"/>
      <c r="BN115" s="1"/>
      <c r="BO115" s="17"/>
      <c r="BP115" s="17"/>
      <c r="BQ115" s="1">
        <f>MIN(BQ2:BQ114)</f>
        <v>8</v>
      </c>
      <c r="BR115" s="1">
        <f>MIN(BR2:BR114)</f>
        <v>0</v>
      </c>
      <c r="BS115" s="1">
        <f>MIN(BS2:BS114)</f>
        <v>2</v>
      </c>
      <c r="BT115" s="1">
        <f>MIN(BT2:BT114)</f>
        <v>6</v>
      </c>
      <c r="BU115" s="1">
        <f>MIN(BU2:BU114)</f>
        <v>0</v>
      </c>
      <c r="BV115" s="1">
        <f>MIN(BV2:BV114)</f>
        <v>2</v>
      </c>
      <c r="BW115" s="1">
        <f>MIN(BW2:BW114)</f>
        <v>2</v>
      </c>
      <c r="BX115" s="1">
        <f>MIN(BX2:BX114)</f>
        <v>0</v>
      </c>
      <c r="BY115" s="1">
        <f>MIN(BY2:BY114)</f>
        <v>0</v>
      </c>
      <c r="BZ115" s="1">
        <f>MIN(BZ2:BZ114)</f>
        <v>0</v>
      </c>
      <c r="CA115" s="1">
        <f>MIN(CA2:CA114)</f>
        <v>0</v>
      </c>
      <c r="CB115" s="1">
        <f>MIN(CB2:CB114)</f>
        <v>0</v>
      </c>
      <c r="CC115" s="1"/>
      <c r="CD115" s="1">
        <f>MIN(CD2:CD114)</f>
        <v>8</v>
      </c>
      <c r="CE115" s="1">
        <f>MIN(CE2:CE114)</f>
        <v>0</v>
      </c>
      <c r="CF115" s="1">
        <f>MIN(CF2:CF114)</f>
        <v>2</v>
      </c>
      <c r="CG115" s="1">
        <f>MIN(CG2:CG114)</f>
        <v>0</v>
      </c>
      <c r="CH115" s="1">
        <f>MIN(CH2:CH114)</f>
        <v>0</v>
      </c>
      <c r="CI115" s="1">
        <f>MIN(CI2:CI114)</f>
        <v>2</v>
      </c>
      <c r="CJ115" s="1">
        <f>MIN(CJ2:CJ114)</f>
        <v>0</v>
      </c>
      <c r="CK115" s="1">
        <f>MIN(CK2:CK114)</f>
        <v>0</v>
      </c>
      <c r="CL115" s="1">
        <f>MIN(CL2:CL114)</f>
        <v>0</v>
      </c>
      <c r="CM115" s="1">
        <f>MIN(CM2:CM114)</f>
        <v>0</v>
      </c>
      <c r="CN115" s="1">
        <f>MIN(CN2:CN114)</f>
        <v>0</v>
      </c>
      <c r="CO115" s="1">
        <f>MIN(CO2:CO114)</f>
        <v>0</v>
      </c>
      <c r="CP115" s="18">
        <f>COUNTIF(CP2:CP114,"=0")</f>
        <v>8</v>
      </c>
    </row>
    <row r="116" spans="1:94" x14ac:dyDescent="0.15">
      <c r="A116" s="1"/>
      <c r="B116" s="3" t="s">
        <v>116</v>
      </c>
      <c r="C116" s="1"/>
      <c r="D116" s="1"/>
      <c r="E116" s="1">
        <v>34</v>
      </c>
      <c r="F116" s="1">
        <v>6</v>
      </c>
      <c r="G116" s="1">
        <v>25</v>
      </c>
      <c r="H116" s="1">
        <v>18</v>
      </c>
      <c r="I116" s="1">
        <v>27</v>
      </c>
      <c r="J116" s="1">
        <v>43</v>
      </c>
      <c r="K116" s="1">
        <v>23</v>
      </c>
      <c r="L116" s="1">
        <v>39</v>
      </c>
      <c r="M116" s="1">
        <v>19</v>
      </c>
      <c r="N116" s="1">
        <v>20</v>
      </c>
      <c r="O116" s="1">
        <v>21</v>
      </c>
      <c r="P116" s="1">
        <v>53</v>
      </c>
      <c r="Q116" s="1">
        <v>54</v>
      </c>
      <c r="R116" s="1">
        <v>66</v>
      </c>
      <c r="S116" s="1">
        <v>46</v>
      </c>
      <c r="T116" s="1">
        <v>50</v>
      </c>
      <c r="U116" s="1">
        <v>39</v>
      </c>
      <c r="V116" s="1">
        <v>40</v>
      </c>
      <c r="W116" s="1">
        <v>43</v>
      </c>
      <c r="X116" s="1">
        <v>48</v>
      </c>
      <c r="Y116" s="1">
        <v>115</v>
      </c>
      <c r="Z116" s="1">
        <v>139</v>
      </c>
      <c r="AA116" s="1">
        <v>38</v>
      </c>
      <c r="AB116" s="1">
        <v>2</v>
      </c>
      <c r="AC116" s="1">
        <v>0</v>
      </c>
      <c r="AD116" s="1">
        <v>0</v>
      </c>
      <c r="AE116" s="1">
        <v>0</v>
      </c>
      <c r="AF116" s="1">
        <v>0</v>
      </c>
      <c r="AG116" s="1">
        <v>0</v>
      </c>
      <c r="AH116" s="1">
        <v>33</v>
      </c>
      <c r="AI116" s="1">
        <v>43</v>
      </c>
      <c r="AJ116" s="1">
        <v>0</v>
      </c>
      <c r="AK116" s="1">
        <v>0</v>
      </c>
      <c r="AL116" s="1">
        <v>0</v>
      </c>
      <c r="AM116" s="1">
        <v>0</v>
      </c>
      <c r="AN116" s="14">
        <v>2</v>
      </c>
      <c r="AO116" s="14">
        <v>15</v>
      </c>
      <c r="AP116" s="14">
        <v>8</v>
      </c>
      <c r="AQ116" s="14">
        <v>14</v>
      </c>
      <c r="AR116" s="14">
        <v>12</v>
      </c>
      <c r="AS116" s="14">
        <v>13</v>
      </c>
      <c r="AT116" s="14">
        <v>18</v>
      </c>
      <c r="AU116" s="14">
        <v>24</v>
      </c>
      <c r="AV116" s="14">
        <v>12</v>
      </c>
      <c r="AW116" s="14">
        <v>32</v>
      </c>
      <c r="AX116" s="14">
        <v>16</v>
      </c>
      <c r="AY116" s="14">
        <v>48</v>
      </c>
      <c r="AZ116" s="14"/>
      <c r="BA116" s="1">
        <v>48</v>
      </c>
      <c r="BB116" s="1">
        <v>48</v>
      </c>
      <c r="BC116" s="1">
        <v>81</v>
      </c>
      <c r="BD116" s="1">
        <v>90</v>
      </c>
      <c r="BE116" s="1">
        <v>48</v>
      </c>
      <c r="BF116" s="1">
        <v>44</v>
      </c>
      <c r="BG116" s="1">
        <v>5</v>
      </c>
      <c r="BH116" s="1"/>
      <c r="BI116" s="1">
        <v>5</v>
      </c>
      <c r="BJ116" s="1"/>
      <c r="BK116" s="1"/>
      <c r="BL116" s="1"/>
      <c r="BM116" s="1"/>
      <c r="BN116" s="1"/>
      <c r="BO116" s="17"/>
      <c r="BP116" s="17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</row>
    <row r="117" spans="1:94" x14ac:dyDescent="0.15">
      <c r="A117" s="1"/>
      <c r="B117" s="3" t="s">
        <v>123</v>
      </c>
      <c r="C117" s="1"/>
      <c r="D117" s="1"/>
      <c r="E117" s="1">
        <f>E116-E115</f>
        <v>-69</v>
      </c>
      <c r="F117" s="1">
        <f>F116-F115</f>
        <v>-89</v>
      </c>
      <c r="G117" s="1">
        <f>G116-G115</f>
        <v>-174</v>
      </c>
      <c r="H117" s="1">
        <f>H116-H115</f>
        <v>-156</v>
      </c>
      <c r="I117" s="1">
        <f>I116-I115</f>
        <v>-6</v>
      </c>
      <c r="J117" s="1">
        <f>J116-J115</f>
        <v>12</v>
      </c>
      <c r="K117" s="1">
        <f>K116-K115</f>
        <v>-29</v>
      </c>
      <c r="L117" s="1">
        <f>L116-L115</f>
        <v>-26</v>
      </c>
      <c r="M117" s="1">
        <f>M116-M115</f>
        <v>2</v>
      </c>
      <c r="N117" s="1">
        <f>N116-N115</f>
        <v>-27</v>
      </c>
      <c r="O117" s="1">
        <f>O116-O115</f>
        <v>-63</v>
      </c>
      <c r="P117" s="1">
        <f>P116-P115</f>
        <v>38</v>
      </c>
      <c r="Q117" s="1">
        <f>Q116-Q115</f>
        <v>54</v>
      </c>
      <c r="R117" s="1">
        <f>R116-R115</f>
        <v>66</v>
      </c>
      <c r="S117" s="1">
        <f>S116-S115</f>
        <v>38</v>
      </c>
      <c r="T117" s="1">
        <f>T116-T115</f>
        <v>50</v>
      </c>
      <c r="U117" s="1">
        <f>U116-U115</f>
        <v>9</v>
      </c>
      <c r="V117" s="1">
        <f>V116-V115</f>
        <v>15</v>
      </c>
      <c r="W117" s="1">
        <f>W116-W115</f>
        <v>33</v>
      </c>
      <c r="X117" s="1">
        <f>X116-X115</f>
        <v>23</v>
      </c>
      <c r="Y117" s="1">
        <f>Y116-Y115</f>
        <v>115</v>
      </c>
      <c r="Z117" s="1">
        <f>Z116-Z115</f>
        <v>139</v>
      </c>
      <c r="AA117" s="1">
        <f>AA116-AA115</f>
        <v>38</v>
      </c>
      <c r="AB117" s="1">
        <f>AB116-AB115</f>
        <v>-273</v>
      </c>
      <c r="AC117" s="1">
        <f>AC116-AC115</f>
        <v>-10</v>
      </c>
      <c r="AD117" s="1">
        <f>AD116-AD115</f>
        <v>-15</v>
      </c>
      <c r="AE117" s="1">
        <f>AE116-AE115</f>
        <v>-30</v>
      </c>
      <c r="AF117" s="1">
        <f>AF116-AF115</f>
        <v>-30</v>
      </c>
      <c r="AG117" s="1">
        <f>AG116-AG115</f>
        <v>-5</v>
      </c>
      <c r="AH117" s="1">
        <f>AH116-AH115</f>
        <v>33</v>
      </c>
      <c r="AI117" s="1">
        <f>AI116-AI115</f>
        <v>43</v>
      </c>
      <c r="AJ117" s="1">
        <f>AJ116-AJ115</f>
        <v>-20</v>
      </c>
      <c r="AK117" s="1">
        <f>AK116-AK115</f>
        <v>-50</v>
      </c>
      <c r="AL117" s="1">
        <f>AL116-AL115</f>
        <v>-25</v>
      </c>
      <c r="AM117" s="1">
        <f>AM116-AM115</f>
        <v>-26</v>
      </c>
      <c r="AN117" s="1">
        <f>AN116-AN115</f>
        <v>-88</v>
      </c>
      <c r="AO117" s="1">
        <f>AO116-AO115</f>
        <v>-95</v>
      </c>
      <c r="AP117" s="1">
        <f>AP116-AP115</f>
        <v>-62</v>
      </c>
      <c r="AQ117" s="1">
        <f>AQ116-AQ115</f>
        <v>-79</v>
      </c>
      <c r="AR117" s="1">
        <f>AR116-AR115</f>
        <v>-6</v>
      </c>
      <c r="AS117" s="1">
        <f>AS116-AS115</f>
        <v>-102</v>
      </c>
      <c r="AT117" s="1">
        <f>AT116-AT115</f>
        <v>-95</v>
      </c>
      <c r="AU117" s="1">
        <f>AU116-AU115</f>
        <v>-56</v>
      </c>
      <c r="AV117" s="1">
        <f>AV116-AV115</f>
        <v>-16</v>
      </c>
      <c r="AW117" s="1">
        <f>AW116-AW115</f>
        <v>-60</v>
      </c>
      <c r="AX117" s="1">
        <f>AX116-AX115</f>
        <v>-166</v>
      </c>
      <c r="AY117" s="1">
        <f>AY116-AY115</f>
        <v>-307</v>
      </c>
      <c r="AZ117" s="1">
        <f>AZ116-AZ115</f>
        <v>-10</v>
      </c>
      <c r="BA117" s="1">
        <f>BA116-BA115</f>
        <v>-102</v>
      </c>
      <c r="BB117" s="1">
        <f>BB116-BB115</f>
        <v>-52</v>
      </c>
      <c r="BC117" s="1">
        <f>BC116-BC115</f>
        <v>-39</v>
      </c>
      <c r="BD117" s="1">
        <f>BD116-BD115</f>
        <v>-30</v>
      </c>
      <c r="BE117" s="1">
        <f>BE116-BE115</f>
        <v>-72</v>
      </c>
      <c r="BF117" s="1">
        <f>BF116-BF115</f>
        <v>-46</v>
      </c>
      <c r="BG117" s="1">
        <f>BG116-BG115</f>
        <v>-145</v>
      </c>
      <c r="BH117" s="1">
        <f>BH116-BH115</f>
        <v>-150</v>
      </c>
      <c r="BI117" s="1">
        <f>BI116-BI115</f>
        <v>-145</v>
      </c>
      <c r="BJ117" s="1">
        <f>BJ116-BJ115</f>
        <v>-150</v>
      </c>
      <c r="BK117" s="1">
        <f>BK116-BK115</f>
        <v>-300</v>
      </c>
      <c r="BL117" s="1">
        <f>BL116-BL115</f>
        <v>-300</v>
      </c>
      <c r="BM117" s="1"/>
      <c r="BN117" s="1"/>
      <c r="BO117" s="17"/>
      <c r="BP117" s="17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</row>
  </sheetData>
  <autoFilter ref="A1:BM115" xr:uid="{00000000-0009-0000-0000-000000000000}"/>
  <sortState xmlns:xlrd2="http://schemas.microsoft.com/office/spreadsheetml/2017/richdata2" ref="A2:CP117">
    <sortCondition ref="BO2:BO117"/>
    <sortCondition ref="BN2:BN117"/>
  </sortState>
  <phoneticPr fontId="1" type="noConversion"/>
  <conditionalFormatting sqref="E58:E59">
    <cfRule type="cellIs" dxfId="2" priority="4" operator="greaterThan">
      <formula>$E$116</formula>
    </cfRule>
  </conditionalFormatting>
  <conditionalFormatting sqref="E115">
    <cfRule type="cellIs" dxfId="1" priority="3" operator="greaterThan">
      <formula>$E$116</formula>
    </cfRule>
  </conditionalFormatting>
  <conditionalFormatting sqref="E117:BL1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119</xdr:row>
                    <xdr:rowOff>28575</xdr:rowOff>
                  </from>
                  <to>
                    <xdr:col>1</xdr:col>
                    <xdr:colOff>428625</xdr:colOff>
                    <xdr:row>120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20"/>
  <sheetViews>
    <sheetView workbookViewId="0">
      <selection activeCell="D42" sqref="D42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112</v>
      </c>
      <c r="B1" s="5" t="s">
        <v>109</v>
      </c>
      <c r="C1" s="5" t="s">
        <v>113</v>
      </c>
    </row>
    <row r="2" spans="1:3" x14ac:dyDescent="0.15">
      <c r="A2" s="1">
        <v>10</v>
      </c>
      <c r="B2" s="2" t="s">
        <v>14</v>
      </c>
      <c r="C2" s="1">
        <v>190</v>
      </c>
    </row>
    <row r="3" spans="1:3" x14ac:dyDescent="0.15">
      <c r="A3" s="1">
        <v>12</v>
      </c>
      <c r="B3" s="2" t="s">
        <v>65</v>
      </c>
      <c r="C3" s="1">
        <v>120</v>
      </c>
    </row>
    <row r="4" spans="1:3" x14ac:dyDescent="0.15">
      <c r="A4" s="1">
        <v>4</v>
      </c>
      <c r="B4" s="4" t="s">
        <v>66</v>
      </c>
      <c r="C4" s="1">
        <v>85</v>
      </c>
    </row>
    <row r="5" spans="1:3" x14ac:dyDescent="0.15">
      <c r="A5" s="1">
        <v>3</v>
      </c>
      <c r="B5" s="4" t="s">
        <v>51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9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35</v>
      </c>
      <c r="C10" s="1">
        <v>45</v>
      </c>
    </row>
    <row r="11" spans="1:3" x14ac:dyDescent="0.15">
      <c r="A11" s="1">
        <v>5</v>
      </c>
      <c r="B11" s="4" t="s">
        <v>79</v>
      </c>
      <c r="C11" s="1">
        <v>45</v>
      </c>
    </row>
    <row r="12" spans="1:3" x14ac:dyDescent="0.15">
      <c r="A12" s="1">
        <v>11</v>
      </c>
      <c r="B12" s="2" t="s">
        <v>52</v>
      </c>
      <c r="C12" s="1">
        <v>10</v>
      </c>
    </row>
    <row r="13" spans="1:3" x14ac:dyDescent="0.15">
      <c r="A13" s="1">
        <v>6</v>
      </c>
      <c r="B13" s="4" t="s">
        <v>87</v>
      </c>
      <c r="C13" s="1">
        <v>8</v>
      </c>
    </row>
    <row r="19" spans="7:18" x14ac:dyDescent="0.15">
      <c r="G19" s="10" t="s">
        <v>51</v>
      </c>
      <c r="H19" s="10" t="s">
        <v>5</v>
      </c>
      <c r="I19" s="10" t="s">
        <v>35</v>
      </c>
      <c r="J19" s="10" t="s">
        <v>79</v>
      </c>
      <c r="K19" s="10" t="s">
        <v>87</v>
      </c>
      <c r="L19" s="10" t="s">
        <v>66</v>
      </c>
      <c r="M19" s="11" t="s">
        <v>6</v>
      </c>
      <c r="N19" s="11" t="s">
        <v>7</v>
      </c>
      <c r="O19" s="11" t="s">
        <v>52</v>
      </c>
      <c r="P19" s="11" t="s">
        <v>9</v>
      </c>
      <c r="Q19" s="11" t="s">
        <v>65</v>
      </c>
      <c r="R19" s="11" t="s">
        <v>14</v>
      </c>
    </row>
    <row r="20" spans="7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</sheetData>
  <sortState xmlns:xlrd2="http://schemas.microsoft.com/office/spreadsheetml/2017/richdata2" ref="A2:C13">
    <sortCondition descending="1" ref="C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120</v>
      </c>
      <c r="B1" s="8" t="s">
        <v>121</v>
      </c>
      <c r="C1" s="8" t="s">
        <v>122</v>
      </c>
    </row>
    <row r="2" spans="1:3" x14ac:dyDescent="0.15">
      <c r="A2" s="1">
        <v>5</v>
      </c>
      <c r="B2" s="10" t="s">
        <v>87</v>
      </c>
      <c r="C2" s="1">
        <v>0</v>
      </c>
    </row>
    <row r="3" spans="1:3" x14ac:dyDescent="0.15">
      <c r="A3" s="1">
        <v>9</v>
      </c>
      <c r="B3" s="11" t="s">
        <v>52</v>
      </c>
      <c r="C3" s="1">
        <v>0</v>
      </c>
    </row>
    <row r="4" spans="1:3" x14ac:dyDescent="0.15">
      <c r="A4" s="1">
        <v>10</v>
      </c>
      <c r="B4" s="11" t="s">
        <v>9</v>
      </c>
      <c r="C4" s="1">
        <v>0</v>
      </c>
    </row>
    <row r="5" spans="1:3" x14ac:dyDescent="0.15">
      <c r="A5" s="1">
        <v>4</v>
      </c>
      <c r="B5" s="10" t="s">
        <v>79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14</v>
      </c>
      <c r="C7" s="1">
        <v>3</v>
      </c>
    </row>
    <row r="8" spans="1:3" x14ac:dyDescent="0.15">
      <c r="A8" s="1">
        <v>1</v>
      </c>
      <c r="B8" s="10" t="s">
        <v>51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35</v>
      </c>
      <c r="C11" s="1">
        <v>5</v>
      </c>
    </row>
    <row r="12" spans="1:3" x14ac:dyDescent="0.15">
      <c r="A12" s="1">
        <v>11</v>
      </c>
      <c r="B12" s="11" t="s">
        <v>65</v>
      </c>
      <c r="C12" s="1">
        <v>5</v>
      </c>
    </row>
    <row r="13" spans="1:3" x14ac:dyDescent="0.15">
      <c r="A13" s="1">
        <v>6</v>
      </c>
      <c r="B13" s="10" t="s">
        <v>66</v>
      </c>
      <c r="C13" s="1">
        <v>9</v>
      </c>
    </row>
  </sheetData>
  <sortState xmlns:xlrd2="http://schemas.microsoft.com/office/spreadsheetml/2017/richdata2" ref="A2:C13">
    <sortCondition ref="C4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51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35</v>
      </c>
      <c r="C4">
        <v>0</v>
      </c>
    </row>
    <row r="5" spans="2:3" x14ac:dyDescent="0.15">
      <c r="B5" s="10" t="s">
        <v>87</v>
      </c>
      <c r="C5">
        <v>0</v>
      </c>
    </row>
    <row r="6" spans="2:3" x14ac:dyDescent="0.15">
      <c r="B6" s="11" t="s">
        <v>52</v>
      </c>
      <c r="C6">
        <v>0</v>
      </c>
    </row>
    <row r="7" spans="2:3" x14ac:dyDescent="0.15">
      <c r="B7" s="11" t="s">
        <v>9</v>
      </c>
      <c r="C7">
        <v>0</v>
      </c>
    </row>
    <row r="8" spans="2:3" x14ac:dyDescent="0.15">
      <c r="B8" s="11" t="s">
        <v>65</v>
      </c>
      <c r="C8">
        <v>0</v>
      </c>
    </row>
    <row r="9" spans="2:3" x14ac:dyDescent="0.15">
      <c r="B9" s="10" t="s">
        <v>79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14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66</v>
      </c>
      <c r="C13">
        <v>9</v>
      </c>
    </row>
  </sheetData>
  <sortState xmlns:xlrd2="http://schemas.microsoft.com/office/spreadsheetml/2017/richdata2"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yue</cp:lastModifiedBy>
  <dcterms:created xsi:type="dcterms:W3CDTF">2019-12-18T08:38:17Z</dcterms:created>
  <dcterms:modified xsi:type="dcterms:W3CDTF">2020-01-27T13:08:02Z</dcterms:modified>
</cp:coreProperties>
</file>