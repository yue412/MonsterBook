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Sheet1!$A$1:$BP$146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6" i="1"/>
  <c r="BU6" i="1"/>
  <c r="BV6" i="1"/>
  <c r="BW6" i="1"/>
  <c r="BX6" i="1"/>
  <c r="BY6" i="1"/>
  <c r="BZ6" i="1"/>
  <c r="CA6" i="1"/>
  <c r="CB6" i="1"/>
  <c r="CC6" i="1"/>
  <c r="CD6" i="1"/>
  <c r="CE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9" i="1"/>
  <c r="BU9" i="1"/>
  <c r="BV9" i="1"/>
  <c r="BW9" i="1"/>
  <c r="BX9" i="1"/>
  <c r="BY9" i="1"/>
  <c r="BZ9" i="1"/>
  <c r="CA9" i="1"/>
  <c r="CB9" i="1"/>
  <c r="CC9" i="1"/>
  <c r="CD9" i="1"/>
  <c r="CE9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BP3" i="1"/>
  <c r="BP4" i="1"/>
  <c r="BP5" i="1"/>
  <c r="BP6" i="1"/>
  <c r="BP7" i="1"/>
  <c r="BP8" i="1"/>
  <c r="BP9" i="1"/>
  <c r="BP10" i="1"/>
  <c r="BP11" i="1"/>
  <c r="BP19" i="1"/>
  <c r="BP20" i="1"/>
  <c r="BP12" i="1"/>
  <c r="BP46" i="1"/>
  <c r="BP13" i="1"/>
  <c r="BP14" i="1"/>
  <c r="BP48" i="1"/>
  <c r="BP15" i="1"/>
  <c r="BP16" i="1"/>
  <c r="BP17" i="1"/>
  <c r="BP21" i="1"/>
  <c r="BP22" i="1"/>
  <c r="BP18" i="1"/>
  <c r="BP24" i="1"/>
  <c r="BP25" i="1"/>
  <c r="BP26" i="1"/>
  <c r="BP27" i="1"/>
  <c r="BP28" i="1"/>
  <c r="BP29" i="1"/>
  <c r="BP30" i="1"/>
  <c r="BP31" i="1"/>
  <c r="BP32" i="1"/>
  <c r="BP33" i="1"/>
  <c r="BP57" i="1"/>
  <c r="BP34" i="1"/>
  <c r="BP35" i="1"/>
  <c r="BP36" i="1"/>
  <c r="BP37" i="1"/>
  <c r="BP61" i="1"/>
  <c r="BP38" i="1"/>
  <c r="BP39" i="1"/>
  <c r="BP40" i="1"/>
  <c r="BP41" i="1"/>
  <c r="BP42" i="1"/>
  <c r="BP43" i="1"/>
  <c r="BP44" i="1"/>
  <c r="BP45" i="1"/>
  <c r="BP47" i="1"/>
  <c r="BP49" i="1"/>
  <c r="BP73" i="1"/>
  <c r="BP79" i="1"/>
  <c r="BP50" i="1"/>
  <c r="BP51" i="1"/>
  <c r="BP52" i="1"/>
  <c r="BP53" i="1"/>
  <c r="BP54" i="1"/>
  <c r="BP62" i="1"/>
  <c r="BP55" i="1"/>
  <c r="BP58" i="1"/>
  <c r="BP56" i="1"/>
  <c r="BP59" i="1"/>
  <c r="BP60" i="1"/>
  <c r="BP63" i="1"/>
  <c r="BP64" i="1"/>
  <c r="BP66" i="1"/>
  <c r="BP67" i="1"/>
  <c r="BP68" i="1"/>
  <c r="BP65" i="1"/>
  <c r="BP69" i="1"/>
  <c r="BP70" i="1"/>
  <c r="BP71" i="1"/>
  <c r="BP72" i="1"/>
  <c r="BP74" i="1"/>
  <c r="BP75" i="1"/>
  <c r="BP76" i="1"/>
  <c r="BP77" i="1"/>
  <c r="BP78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102" i="1"/>
  <c r="BP96" i="1"/>
  <c r="BP93" i="1"/>
  <c r="BP94" i="1"/>
  <c r="BP95" i="1"/>
  <c r="BP97" i="1"/>
  <c r="BP98" i="1"/>
  <c r="BP99" i="1"/>
  <c r="BP100" i="1"/>
  <c r="BP101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20" i="1"/>
  <c r="BP121" i="1"/>
  <c r="BP122" i="1"/>
  <c r="BP123" i="1"/>
  <c r="BP124" i="1"/>
  <c r="BP118" i="1"/>
  <c r="BP119" i="1"/>
  <c r="BP125" i="1"/>
  <c r="BP126" i="1"/>
  <c r="BP127" i="1"/>
  <c r="BP128" i="1"/>
  <c r="BP129" i="1"/>
  <c r="BP130" i="1"/>
  <c r="BP131" i="1"/>
  <c r="BP132" i="1"/>
  <c r="BP133" i="1"/>
  <c r="BP134" i="1"/>
  <c r="BP135" i="1"/>
  <c r="BP138" i="1"/>
  <c r="BP136" i="1"/>
  <c r="BP137" i="1"/>
  <c r="BP139" i="1"/>
  <c r="BP140" i="1"/>
  <c r="BP141" i="1"/>
  <c r="BP142" i="1"/>
  <c r="BP143" i="1"/>
  <c r="BP144" i="1"/>
  <c r="BP145" i="1"/>
  <c r="CF143" i="1" l="1"/>
  <c r="CF142" i="1"/>
  <c r="CF138" i="1"/>
  <c r="CF70" i="1"/>
  <c r="CF43" i="1"/>
  <c r="CF25" i="1"/>
  <c r="CF5" i="1"/>
  <c r="CF4" i="1"/>
  <c r="CF105" i="1"/>
  <c r="CF69" i="1"/>
  <c r="CF42" i="1"/>
  <c r="CF22" i="1"/>
  <c r="CF103" i="1"/>
  <c r="CF81" i="1"/>
  <c r="CF68" i="1"/>
  <c r="CF45" i="1"/>
  <c r="CF44" i="1"/>
  <c r="CF39" i="1"/>
  <c r="CF28" i="1"/>
  <c r="CF27" i="1"/>
  <c r="CF26" i="1"/>
  <c r="CF21" i="1"/>
  <c r="CF11" i="1"/>
  <c r="CF10" i="1"/>
  <c r="CF6" i="1"/>
  <c r="CF3" i="1"/>
  <c r="CF139" i="1"/>
  <c r="CF136" i="1"/>
  <c r="CF98" i="1"/>
  <c r="CF102" i="1"/>
  <c r="CF90" i="1"/>
  <c r="CF88" i="1"/>
  <c r="CF87" i="1"/>
  <c r="CF86" i="1"/>
  <c r="CF85" i="1"/>
  <c r="CF84" i="1"/>
  <c r="CF63" i="1"/>
  <c r="CF60" i="1"/>
  <c r="CF59" i="1"/>
  <c r="CF56" i="1"/>
  <c r="CF58" i="1"/>
  <c r="CF55" i="1"/>
  <c r="CF62" i="1"/>
  <c r="CF38" i="1"/>
  <c r="CF34" i="1"/>
  <c r="CF57" i="1"/>
  <c r="CF31" i="1"/>
  <c r="CF30" i="1"/>
  <c r="CF29" i="1"/>
  <c r="CF17" i="1"/>
  <c r="CF16" i="1"/>
  <c r="CF15" i="1"/>
  <c r="CF48" i="1"/>
  <c r="CF46" i="1"/>
  <c r="CS142" i="1"/>
  <c r="CM142" i="1" l="1"/>
  <c r="CO142" i="1" l="1"/>
  <c r="CK142" i="1"/>
  <c r="CI142" i="1"/>
  <c r="CN142" i="1"/>
  <c r="CP142" i="1"/>
  <c r="CJ142" i="1"/>
  <c r="CL142" i="1"/>
  <c r="CG142" i="1"/>
  <c r="CQ142" i="1"/>
  <c r="CH142" i="1"/>
  <c r="CR142" i="1"/>
  <c r="CS3" i="1"/>
  <c r="CS4" i="1"/>
  <c r="CS5" i="1"/>
  <c r="CS86" i="1"/>
  <c r="CS16" i="1"/>
  <c r="CS17" i="1"/>
  <c r="CS56" i="1"/>
  <c r="CS10" i="1"/>
  <c r="CS25" i="1"/>
  <c r="CS26" i="1"/>
  <c r="CS27" i="1"/>
  <c r="CS28" i="1"/>
  <c r="CS29" i="1"/>
  <c r="CS30" i="1"/>
  <c r="CS31" i="1"/>
  <c r="CS45" i="1"/>
  <c r="CS46" i="1"/>
  <c r="CS63" i="1"/>
  <c r="CS21" i="1"/>
  <c r="CS22" i="1"/>
  <c r="CS58" i="1"/>
  <c r="CS11" i="1"/>
  <c r="CS62" i="1"/>
  <c r="CS34" i="1"/>
  <c r="CS69" i="1"/>
  <c r="CS38" i="1"/>
  <c r="CS42" i="1"/>
  <c r="CS43" i="1"/>
  <c r="CS44" i="1"/>
  <c r="CS6" i="1"/>
  <c r="CS15" i="1"/>
  <c r="CS81" i="1"/>
  <c r="CS87" i="1"/>
  <c r="CS55" i="1"/>
  <c r="CS39" i="1"/>
  <c r="CS57" i="1"/>
  <c r="CS59" i="1"/>
  <c r="CS60" i="1"/>
  <c r="CS88" i="1"/>
  <c r="CS84" i="1"/>
  <c r="CS85" i="1"/>
  <c r="CS90" i="1"/>
  <c r="CS68" i="1"/>
  <c r="CS70" i="1"/>
  <c r="CS136" i="1"/>
  <c r="CS102" i="1"/>
  <c r="CS48" i="1"/>
  <c r="CS98" i="1"/>
  <c r="CS138" i="1"/>
  <c r="CS105" i="1"/>
  <c r="CS103" i="1"/>
  <c r="CS143" i="1"/>
  <c r="CS139" i="1"/>
  <c r="CS2" i="1"/>
  <c r="CS146" i="1" l="1"/>
  <c r="BU2" i="1"/>
  <c r="BV2" i="1"/>
  <c r="BW2" i="1"/>
  <c r="BX2" i="1"/>
  <c r="BY2" i="1"/>
  <c r="BZ2" i="1"/>
  <c r="CA2" i="1"/>
  <c r="CB2" i="1"/>
  <c r="CC2" i="1"/>
  <c r="CD2" i="1"/>
  <c r="CE2" i="1"/>
  <c r="BT2" i="1"/>
  <c r="CR56" i="1" l="1"/>
  <c r="CR26" i="1"/>
  <c r="CN25" i="1"/>
  <c r="CA146" i="1"/>
  <c r="CC146" i="1"/>
  <c r="BX146" i="1"/>
  <c r="BZ146" i="1"/>
  <c r="BV146" i="1"/>
  <c r="BU146" i="1"/>
  <c r="CD146" i="1"/>
  <c r="BY146" i="1"/>
  <c r="CB146" i="1"/>
  <c r="CE146" i="1"/>
  <c r="CK48" i="1"/>
  <c r="CM46" i="1"/>
  <c r="CI43" i="1"/>
  <c r="CJ39" i="1"/>
  <c r="CG70" i="1"/>
  <c r="CN5" i="1"/>
  <c r="CN4" i="1"/>
  <c r="CN3" i="1"/>
  <c r="CG139" i="1"/>
  <c r="CK98" i="1"/>
  <c r="CK138" i="1"/>
  <c r="CR102" i="1"/>
  <c r="CJ85" i="1"/>
  <c r="CH55" i="1"/>
  <c r="CQ63" i="1"/>
  <c r="CR58" i="1"/>
  <c r="CH21" i="1"/>
  <c r="CN87" i="1"/>
  <c r="CH45" i="1"/>
  <c r="CL42" i="1"/>
  <c r="CH69" i="1"/>
  <c r="CO11" i="1"/>
  <c r="CO10" i="1"/>
  <c r="CH30" i="1"/>
  <c r="CP29" i="1"/>
  <c r="CN28" i="1"/>
  <c r="CR27" i="1"/>
  <c r="CG81" i="1"/>
  <c r="CQ86" i="1"/>
  <c r="CN17" i="1"/>
  <c r="CI16" i="1"/>
  <c r="CR143" i="1"/>
  <c r="CJ62" i="1"/>
  <c r="CO103" i="1"/>
  <c r="CN136" i="1"/>
  <c r="CR84" i="1"/>
  <c r="CP6" i="1"/>
  <c r="CR88" i="1"/>
  <c r="CH34" i="1"/>
  <c r="CK22" i="1"/>
  <c r="CN60" i="1"/>
  <c r="CL59" i="1"/>
  <c r="CN90" i="1"/>
  <c r="CI57" i="1"/>
  <c r="CH15" i="1"/>
  <c r="CO44" i="1"/>
  <c r="CM38" i="1"/>
  <c r="CM31" i="1"/>
  <c r="CF2" i="1"/>
  <c r="CH2" i="1" s="1"/>
  <c r="CK68" i="1"/>
  <c r="CG105" i="1"/>
  <c r="BW146" i="1"/>
  <c r="BT146" i="1"/>
  <c r="BP2" i="1"/>
  <c r="CN30" i="1" l="1"/>
  <c r="CK30" i="1"/>
  <c r="CP4" i="1"/>
  <c r="CJ58" i="1"/>
  <c r="CI46" i="1"/>
  <c r="CJ5" i="1"/>
  <c r="CQ16" i="1"/>
  <c r="CH46" i="1"/>
  <c r="CP46" i="1"/>
  <c r="CG46" i="1"/>
  <c r="CR46" i="1"/>
  <c r="CN63" i="1"/>
  <c r="CK46" i="1"/>
  <c r="CI48" i="1"/>
  <c r="CP48" i="1"/>
  <c r="CQ48" i="1"/>
  <c r="CH48" i="1"/>
  <c r="CO48" i="1"/>
  <c r="CG48" i="1"/>
  <c r="CP10" i="1"/>
  <c r="CO88" i="1"/>
  <c r="CR59" i="1"/>
  <c r="CP30" i="1"/>
  <c r="CN16" i="1"/>
  <c r="CQ39" i="1"/>
  <c r="CJ4" i="1"/>
  <c r="CL4" i="1"/>
  <c r="CM48" i="1"/>
  <c r="CM59" i="1"/>
  <c r="CK27" i="1"/>
  <c r="CN102" i="1"/>
  <c r="CN39" i="1"/>
  <c r="CO102" i="1"/>
  <c r="CM39" i="1"/>
  <c r="CI39" i="1"/>
  <c r="CR39" i="1"/>
  <c r="CL45" i="1"/>
  <c r="CN2" i="1"/>
  <c r="CK39" i="1"/>
  <c r="CL98" i="1"/>
  <c r="CQ17" i="1"/>
  <c r="CI87" i="1"/>
  <c r="CQ98" i="1"/>
  <c r="CJ98" i="1"/>
  <c r="CH39" i="1"/>
  <c r="CP39" i="1"/>
  <c r="CH86" i="1"/>
  <c r="CG63" i="1"/>
  <c r="CG39" i="1"/>
  <c r="CO63" i="1"/>
  <c r="CO39" i="1"/>
  <c r="CR3" i="1"/>
  <c r="CL39" i="1"/>
  <c r="CI102" i="1"/>
  <c r="CO98" i="1"/>
  <c r="CQ102" i="1"/>
  <c r="CM27" i="1"/>
  <c r="CP86" i="1"/>
  <c r="CJ63" i="1"/>
  <c r="CR70" i="1"/>
  <c r="CQ70" i="1"/>
  <c r="CP70" i="1"/>
  <c r="CM11" i="1"/>
  <c r="CN70" i="1"/>
  <c r="CM70" i="1"/>
  <c r="CJ70" i="1"/>
  <c r="CJ43" i="1"/>
  <c r="CO70" i="1"/>
  <c r="CP38" i="1"/>
  <c r="CH70" i="1"/>
  <c r="CG38" i="1"/>
  <c r="CK70" i="1"/>
  <c r="CI70" i="1"/>
  <c r="CR42" i="1"/>
  <c r="CL85" i="1"/>
  <c r="CQ26" i="1"/>
  <c r="CQ85" i="1"/>
  <c r="CK42" i="1"/>
  <c r="CK62" i="1"/>
  <c r="CN26" i="1"/>
  <c r="CN88" i="1"/>
  <c r="CP26" i="1"/>
  <c r="CL62" i="1"/>
  <c r="CH26" i="1"/>
  <c r="CO62" i="1"/>
  <c r="CO26" i="1"/>
  <c r="CN85" i="1"/>
  <c r="CI62" i="1"/>
  <c r="CK26" i="1"/>
  <c r="CM85" i="1"/>
  <c r="CH62" i="1"/>
  <c r="CO85" i="1"/>
  <c r="CI85" i="1"/>
  <c r="CR62" i="1"/>
  <c r="CI26" i="1"/>
  <c r="CQ42" i="1"/>
  <c r="CH85" i="1"/>
  <c r="CQ62" i="1"/>
  <c r="CP42" i="1"/>
  <c r="CG85" i="1"/>
  <c r="CN62" i="1"/>
  <c r="CR2" i="1"/>
  <c r="CM90" i="1"/>
  <c r="CJ42" i="1"/>
  <c r="CM42" i="1"/>
  <c r="CR85" i="1"/>
  <c r="CI68" i="1"/>
  <c r="CJ26" i="1"/>
  <c r="CR16" i="1"/>
  <c r="CK143" i="1"/>
  <c r="CO86" i="1"/>
  <c r="CR63" i="1"/>
  <c r="CG30" i="1"/>
  <c r="CP11" i="1"/>
  <c r="CL102" i="1"/>
  <c r="CL16" i="1"/>
  <c r="CI10" i="1"/>
  <c r="CR57" i="1"/>
  <c r="CJ48" i="1"/>
  <c r="CL11" i="1"/>
  <c r="CM3" i="1"/>
  <c r="CJ46" i="1"/>
  <c r="CM2" i="1"/>
  <c r="CK103" i="1"/>
  <c r="CJ2" i="1"/>
  <c r="CM21" i="1"/>
  <c r="CP22" i="1"/>
  <c r="CQ84" i="1"/>
  <c r="CI3" i="1"/>
  <c r="CN46" i="1"/>
  <c r="CI2" i="1"/>
  <c r="CM143" i="1"/>
  <c r="CP88" i="1"/>
  <c r="CL84" i="1"/>
  <c r="CG3" i="1"/>
  <c r="CM57" i="1"/>
  <c r="CN86" i="1"/>
  <c r="CK87" i="1"/>
  <c r="CM63" i="1"/>
  <c r="CQ30" i="1"/>
  <c r="CR48" i="1"/>
  <c r="CH102" i="1"/>
  <c r="CP58" i="1"/>
  <c r="CM16" i="1"/>
  <c r="CI105" i="1"/>
  <c r="CO46" i="1"/>
  <c r="CN21" i="1"/>
  <c r="CL105" i="1"/>
  <c r="CL86" i="1"/>
  <c r="CQ87" i="1"/>
  <c r="CO105" i="1"/>
  <c r="CL63" i="1"/>
  <c r="CO57" i="1"/>
  <c r="CG55" i="1"/>
  <c r="CH4" i="1"/>
  <c r="CG16" i="1"/>
  <c r="CR105" i="1"/>
  <c r="CL46" i="1"/>
  <c r="CK86" i="1"/>
  <c r="CO87" i="1"/>
  <c r="CK63" i="1"/>
  <c r="CL57" i="1"/>
  <c r="CI30" i="1"/>
  <c r="CR55" i="1"/>
  <c r="CQ25" i="1"/>
  <c r="CN105" i="1"/>
  <c r="CH57" i="1"/>
  <c r="CI55" i="1"/>
  <c r="CK57" i="1"/>
  <c r="CO55" i="1"/>
  <c r="CO16" i="1"/>
  <c r="CP25" i="1"/>
  <c r="CM105" i="1"/>
  <c r="CN10" i="1"/>
  <c r="CN38" i="1"/>
  <c r="CL70" i="1"/>
  <c r="CR6" i="1"/>
  <c r="CL55" i="1"/>
  <c r="CM25" i="1"/>
  <c r="CJ105" i="1"/>
  <c r="CI38" i="1"/>
  <c r="CK6" i="1"/>
  <c r="CJ25" i="1"/>
  <c r="CQ103" i="1"/>
  <c r="CM69" i="1"/>
  <c r="CI25" i="1"/>
  <c r="CP103" i="1"/>
  <c r="CI69" i="1"/>
  <c r="CG25" i="1"/>
  <c r="CN103" i="1"/>
  <c r="CL25" i="1"/>
  <c r="CK105" i="1"/>
  <c r="CQ57" i="1"/>
  <c r="CJ103" i="1"/>
  <c r="CN55" i="1"/>
  <c r="CQ55" i="1"/>
  <c r="CK25" i="1"/>
  <c r="CN57" i="1"/>
  <c r="CG103" i="1"/>
  <c r="CP55" i="1"/>
  <c r="CJ55" i="1"/>
  <c r="CG57" i="1"/>
  <c r="CL103" i="1"/>
  <c r="CM55" i="1"/>
  <c r="CJ88" i="1"/>
  <c r="CQ4" i="1"/>
  <c r="CO3" i="1"/>
  <c r="CI138" i="1"/>
  <c r="CK16" i="1"/>
  <c r="CM10" i="1"/>
  <c r="CP87" i="1"/>
  <c r="CH38" i="1"/>
  <c r="CN139" i="1"/>
  <c r="CJ59" i="1"/>
  <c r="CM30" i="1"/>
  <c r="CN6" i="1"/>
  <c r="CL17" i="1"/>
  <c r="CQ21" i="1"/>
  <c r="CH88" i="1"/>
  <c r="CK84" i="1"/>
  <c r="CO27" i="1"/>
  <c r="CH16" i="1"/>
  <c r="CG143" i="1"/>
  <c r="CJ10" i="1"/>
  <c r="CG87" i="1"/>
  <c r="CQ38" i="1"/>
  <c r="CQ59" i="1"/>
  <c r="CJ30" i="1"/>
  <c r="CH6" i="1"/>
  <c r="CK17" i="1"/>
  <c r="CP21" i="1"/>
  <c r="CQ143" i="1"/>
  <c r="CJ56" i="1"/>
  <c r="CG88" i="1"/>
  <c r="CL27" i="1"/>
  <c r="CL143" i="1"/>
  <c r="CL2" i="1"/>
  <c r="CG10" i="1"/>
  <c r="CL87" i="1"/>
  <c r="CO38" i="1"/>
  <c r="CK59" i="1"/>
  <c r="CR30" i="1"/>
  <c r="CO6" i="1"/>
  <c r="CJ21" i="1"/>
  <c r="CN48" i="1"/>
  <c r="CP102" i="1"/>
  <c r="CI4" i="1"/>
  <c r="CQ3" i="1"/>
  <c r="CK28" i="1"/>
  <c r="CL6" i="1"/>
  <c r="CI21" i="1"/>
  <c r="CJ3" i="1"/>
  <c r="CJ38" i="1"/>
  <c r="CM88" i="1"/>
  <c r="CJ84" i="1"/>
  <c r="CL3" i="1"/>
  <c r="CQ27" i="1"/>
  <c r="CP16" i="1"/>
  <c r="CH43" i="1"/>
  <c r="CO143" i="1"/>
  <c r="CM86" i="1"/>
  <c r="CL10" i="1"/>
  <c r="CM87" i="1"/>
  <c r="CQ45" i="1"/>
  <c r="CM6" i="1"/>
  <c r="CP59" i="1"/>
  <c r="CK139" i="1"/>
  <c r="CO30" i="1"/>
  <c r="CJ6" i="1"/>
  <c r="CQ2" i="1"/>
  <c r="CG21" i="1"/>
  <c r="CP143" i="1"/>
  <c r="CL48" i="1"/>
  <c r="CG22" i="1"/>
  <c r="CL88" i="1"/>
  <c r="CP84" i="1"/>
  <c r="CM4" i="1"/>
  <c r="CK3" i="1"/>
  <c r="CJ27" i="1"/>
  <c r="CJ16" i="1"/>
  <c r="CO43" i="1"/>
  <c r="CQ46" i="1"/>
  <c r="CP2" i="1"/>
  <c r="CI86" i="1"/>
  <c r="CK10" i="1"/>
  <c r="CJ87" i="1"/>
  <c r="CM45" i="1"/>
  <c r="CN59" i="1"/>
  <c r="CL30" i="1"/>
  <c r="CI6" i="1"/>
  <c r="CO2" i="1"/>
  <c r="CO21" i="1"/>
  <c r="CN143" i="1"/>
  <c r="CR22" i="1"/>
  <c r="CK88" i="1"/>
  <c r="CM84" i="1"/>
  <c r="CR4" i="1"/>
  <c r="CH3" i="1"/>
  <c r="CN27" i="1"/>
  <c r="CH87" i="1"/>
  <c r="CR87" i="1"/>
  <c r="CI59" i="1"/>
  <c r="CQ6" i="1"/>
  <c r="CJ143" i="1"/>
  <c r="CI88" i="1"/>
  <c r="CJ102" i="1"/>
  <c r="CN84" i="1"/>
  <c r="CK4" i="1"/>
  <c r="CP3" i="1"/>
  <c r="CI27" i="1"/>
  <c r="CH59" i="1"/>
  <c r="CG6" i="1"/>
  <c r="CQ88" i="1"/>
  <c r="CO84" i="1"/>
  <c r="CP27" i="1"/>
  <c r="CG2" i="1"/>
  <c r="CI143" i="1"/>
  <c r="CK102" i="1"/>
  <c r="CI84" i="1"/>
  <c r="CR15" i="1"/>
  <c r="CR136" i="1"/>
  <c r="CO15" i="1"/>
  <c r="CO136" i="1"/>
  <c r="CL15" i="1"/>
  <c r="CL136" i="1"/>
  <c r="CI81" i="1"/>
  <c r="CK136" i="1"/>
  <c r="CH81" i="1"/>
  <c r="CP81" i="1"/>
  <c r="CH136" i="1"/>
  <c r="CR81" i="1"/>
  <c r="CM81" i="1"/>
  <c r="CM17" i="1"/>
  <c r="CO81" i="1"/>
  <c r="CP15" i="1"/>
  <c r="CQ44" i="1"/>
  <c r="CJ17" i="1"/>
  <c r="CL81" i="1"/>
  <c r="CM15" i="1"/>
  <c r="CJ44" i="1"/>
  <c r="CM44" i="1"/>
  <c r="CG17" i="1"/>
  <c r="CK81" i="1"/>
  <c r="CI90" i="1"/>
  <c r="CO68" i="1"/>
  <c r="CJ15" i="1"/>
  <c r="CQ136" i="1"/>
  <c r="CN81" i="1"/>
  <c r="CR17" i="1"/>
  <c r="CM28" i="1"/>
  <c r="CI15" i="1"/>
  <c r="CP136" i="1"/>
  <c r="CO17" i="1"/>
  <c r="CH90" i="1"/>
  <c r="CL26" i="1"/>
  <c r="CL28" i="1"/>
  <c r="CP69" i="1"/>
  <c r="CG15" i="1"/>
  <c r="CJ136" i="1"/>
  <c r="CJ34" i="1"/>
  <c r="CO56" i="1"/>
  <c r="CL43" i="1"/>
  <c r="CR34" i="1"/>
  <c r="CK45" i="1"/>
  <c r="CI44" i="1"/>
  <c r="CP98" i="1"/>
  <c r="CK11" i="1"/>
  <c r="CL56" i="1"/>
  <c r="CI22" i="1"/>
  <c r="CI5" i="1"/>
  <c r="CJ28" i="1"/>
  <c r="CO58" i="1"/>
  <c r="CK43" i="1"/>
  <c r="CO34" i="1"/>
  <c r="CG98" i="1"/>
  <c r="CG44" i="1"/>
  <c r="CN98" i="1"/>
  <c r="CK56" i="1"/>
  <c r="CJ22" i="1"/>
  <c r="CR5" i="1"/>
  <c r="CH28" i="1"/>
  <c r="CL58" i="1"/>
  <c r="CQ43" i="1"/>
  <c r="CL34" i="1"/>
  <c r="CL44" i="1"/>
  <c r="CM98" i="1"/>
  <c r="CQ22" i="1"/>
  <c r="CL5" i="1"/>
  <c r="CI28" i="1"/>
  <c r="CK58" i="1"/>
  <c r="CK34" i="1"/>
  <c r="CI139" i="1"/>
  <c r="CK44" i="1"/>
  <c r="CN22" i="1"/>
  <c r="CK5" i="1"/>
  <c r="CG28" i="1"/>
  <c r="CJ45" i="1"/>
  <c r="CH139" i="1"/>
  <c r="CM34" i="1"/>
  <c r="CM22" i="1"/>
  <c r="CH5" i="1"/>
  <c r="CR68" i="1"/>
  <c r="CR28" i="1"/>
  <c r="CM43" i="1"/>
  <c r="CI45" i="1"/>
  <c r="CR139" i="1"/>
  <c r="CN45" i="1"/>
  <c r="CQ11" i="1"/>
  <c r="CQ56" i="1"/>
  <c r="CH22" i="1"/>
  <c r="CO28" i="1"/>
  <c r="CP43" i="1"/>
  <c r="CQ139" i="1"/>
  <c r="CM56" i="1"/>
  <c r="CQ58" i="1"/>
  <c r="CN43" i="1"/>
  <c r="CG45" i="1"/>
  <c r="CI98" i="1"/>
  <c r="CP45" i="1"/>
  <c r="CO139" i="1"/>
  <c r="CJ11" i="1"/>
  <c r="CH56" i="1"/>
  <c r="CO22" i="1"/>
  <c r="CQ5" i="1"/>
  <c r="CP28" i="1"/>
  <c r="CJ29" i="1"/>
  <c r="CN58" i="1"/>
  <c r="CG43" i="1"/>
  <c r="CQ34" i="1"/>
  <c r="CR45" i="1"/>
  <c r="CP44" i="1"/>
  <c r="CH98" i="1"/>
  <c r="CI11" i="1"/>
  <c r="CP56" i="1"/>
  <c r="CL22" i="1"/>
  <c r="CP5" i="1"/>
  <c r="CQ28" i="1"/>
  <c r="CQ29" i="1"/>
  <c r="CM58" i="1"/>
  <c r="CR43" i="1"/>
  <c r="CP34" i="1"/>
  <c r="CO45" i="1"/>
  <c r="CN11" i="1"/>
  <c r="CN44" i="1"/>
  <c r="CR98" i="1"/>
  <c r="CL139" i="1"/>
  <c r="CG11" i="1"/>
  <c r="CI56" i="1"/>
  <c r="CM5" i="1"/>
  <c r="CI29" i="1"/>
  <c r="CI58" i="1"/>
  <c r="CJ31" i="1"/>
  <c r="CH25" i="1"/>
  <c r="CK15" i="1"/>
  <c r="CH105" i="1"/>
  <c r="CG62" i="1"/>
  <c r="CG42" i="1"/>
  <c r="CK85" i="1"/>
  <c r="CI17" i="1"/>
  <c r="CJ86" i="1"/>
  <c r="CH10" i="1"/>
  <c r="CN34" i="1"/>
  <c r="CP62" i="1"/>
  <c r="CR38" i="1"/>
  <c r="CM136" i="1"/>
  <c r="CP139" i="1"/>
  <c r="CH44" i="1"/>
  <c r="CG59" i="1"/>
  <c r="CP57" i="1"/>
  <c r="CI103" i="1"/>
  <c r="CK2" i="1"/>
  <c r="CQ81" i="1"/>
  <c r="CH11" i="1"/>
  <c r="CR21" i="1"/>
  <c r="CK55" i="1"/>
  <c r="CN56" i="1"/>
  <c r="CM102" i="1"/>
  <c r="CG5" i="1"/>
  <c r="CH31" i="1"/>
  <c r="CJ90" i="1"/>
  <c r="CH84" i="1"/>
  <c r="CH68" i="1"/>
  <c r="CG4" i="1"/>
  <c r="CM26" i="1"/>
  <c r="CH27" i="1"/>
  <c r="CN29" i="1"/>
  <c r="CN69" i="1"/>
  <c r="CH58" i="1"/>
  <c r="CH138" i="1"/>
  <c r="CI60" i="1"/>
  <c r="CN31" i="1"/>
  <c r="CR138" i="1"/>
  <c r="CH42" i="1"/>
  <c r="CR25" i="1"/>
  <c r="CH60" i="1"/>
  <c r="CQ105" i="1"/>
  <c r="CM103" i="1"/>
  <c r="CO42" i="1"/>
  <c r="CH17" i="1"/>
  <c r="CG86" i="1"/>
  <c r="CR10" i="1"/>
  <c r="CI34" i="1"/>
  <c r="CM62" i="1"/>
  <c r="CL38" i="1"/>
  <c r="CI63" i="1"/>
  <c r="CI136" i="1"/>
  <c r="CM139" i="1"/>
  <c r="CR44" i="1"/>
  <c r="CO59" i="1"/>
  <c r="CJ57" i="1"/>
  <c r="CR103" i="1"/>
  <c r="CN15" i="1"/>
  <c r="CP17" i="1"/>
  <c r="CJ81" i="1"/>
  <c r="CR11" i="1"/>
  <c r="CL21" i="1"/>
  <c r="CH143" i="1"/>
  <c r="CG56" i="1"/>
  <c r="CG102" i="1"/>
  <c r="CO5" i="1"/>
  <c r="CG31" i="1"/>
  <c r="CG90" i="1"/>
  <c r="CG84" i="1"/>
  <c r="CQ68" i="1"/>
  <c r="CO4" i="1"/>
  <c r="CG26" i="1"/>
  <c r="CG27" i="1"/>
  <c r="CG29" i="1"/>
  <c r="CG69" i="1"/>
  <c r="CG58" i="1"/>
  <c r="CQ138" i="1"/>
  <c r="CO25" i="1"/>
  <c r="CQ15" i="1"/>
  <c r="CQ60" i="1"/>
  <c r="CP105" i="1"/>
  <c r="CH103" i="1"/>
  <c r="CP85" i="1"/>
  <c r="CQ10" i="1"/>
  <c r="CR86" i="1"/>
  <c r="CG34" i="1"/>
  <c r="CK38" i="1"/>
  <c r="CG136" i="1"/>
  <c r="CJ139" i="1"/>
  <c r="CK21" i="1"/>
  <c r="CR31" i="1"/>
  <c r="CR90" i="1"/>
  <c r="CP68" i="1"/>
  <c r="CR29" i="1"/>
  <c r="CR69" i="1"/>
  <c r="CP138" i="1"/>
  <c r="CM60" i="1"/>
  <c r="CP60" i="1"/>
  <c r="CO31" i="1"/>
  <c r="CO90" i="1"/>
  <c r="CN68" i="1"/>
  <c r="CO29" i="1"/>
  <c r="CO69" i="1"/>
  <c r="CN138" i="1"/>
  <c r="CJ60" i="1"/>
  <c r="CL31" i="1"/>
  <c r="CL90" i="1"/>
  <c r="CM68" i="1"/>
  <c r="CL29" i="1"/>
  <c r="CL69" i="1"/>
  <c r="CM138" i="1"/>
  <c r="CG60" i="1"/>
  <c r="CK31" i="1"/>
  <c r="CK90" i="1"/>
  <c r="CJ68" i="1"/>
  <c r="CK29" i="1"/>
  <c r="CK69" i="1"/>
  <c r="CJ138" i="1"/>
  <c r="CH63" i="1"/>
  <c r="CP63" i="1"/>
  <c r="CR60" i="1"/>
  <c r="CQ31" i="1"/>
  <c r="CP90" i="1"/>
  <c r="CG68" i="1"/>
  <c r="CM29" i="1"/>
  <c r="CQ69" i="1"/>
  <c r="CG138" i="1"/>
  <c r="CO60" i="1"/>
  <c r="CP31" i="1"/>
  <c r="CO138" i="1"/>
  <c r="CL60" i="1"/>
  <c r="CI31" i="1"/>
  <c r="CQ90" i="1"/>
  <c r="CL68" i="1"/>
  <c r="CH29" i="1"/>
  <c r="CJ69" i="1"/>
  <c r="CL138" i="1"/>
  <c r="CI42" i="1"/>
  <c r="CN42" i="1"/>
  <c r="CK60" i="1"/>
  <c r="CR146" i="1" l="1"/>
  <c r="CN146" i="1"/>
  <c r="CJ146" i="1"/>
  <c r="CH146" i="1"/>
  <c r="CM146" i="1"/>
  <c r="CL146" i="1"/>
  <c r="CQ146" i="1"/>
  <c r="CG146" i="1"/>
  <c r="CK146" i="1"/>
  <c r="CP146" i="1"/>
  <c r="CO146" i="1"/>
  <c r="CI146" i="1"/>
  <c r="BM146" i="1" l="1"/>
  <c r="BM148" i="1" s="1"/>
  <c r="AM146" i="1"/>
  <c r="AM148" i="1" s="1"/>
  <c r="L146" i="1"/>
  <c r="L148" i="1" s="1"/>
  <c r="AY146" i="1"/>
  <c r="AY148" i="1" s="1"/>
  <c r="BK146" i="1"/>
  <c r="BK148" i="1" s="1"/>
  <c r="AJ146" i="1"/>
  <c r="AJ148" i="1" s="1"/>
  <c r="AW146" i="1"/>
  <c r="AW148" i="1" s="1"/>
  <c r="BH146" i="1"/>
  <c r="BH148" i="1" s="1"/>
  <c r="AU146" i="1"/>
  <c r="AU148" i="1" s="1"/>
  <c r="AH146" i="1"/>
  <c r="AH148" i="1" s="1"/>
  <c r="AL146" i="1"/>
  <c r="AL148" i="1" s="1"/>
  <c r="BD146" i="1"/>
  <c r="BD148" i="1" s="1"/>
  <c r="BA146" i="1"/>
  <c r="BA148" i="1" s="1"/>
  <c r="BL146" i="1"/>
  <c r="BL148" i="1" s="1"/>
  <c r="AZ146" i="1"/>
  <c r="AZ148" i="1" s="1"/>
  <c r="J146" i="1"/>
  <c r="J148" i="1" s="1"/>
  <c r="H146" i="1"/>
  <c r="H148" i="1" s="1"/>
  <c r="G146" i="1"/>
  <c r="G148" i="1" s="1"/>
  <c r="BG146" i="1"/>
  <c r="BG148" i="1" s="1"/>
  <c r="AQ146" i="1"/>
  <c r="AQ148" i="1" s="1"/>
  <c r="AE146" i="1"/>
  <c r="AE148" i="1" s="1"/>
  <c r="F146" i="1"/>
  <c r="F148" i="1" s="1"/>
  <c r="BB146" i="1"/>
  <c r="BB148" i="1" s="1"/>
  <c r="BJ146" i="1"/>
  <c r="BJ148" i="1" s="1"/>
  <c r="AX146" i="1"/>
  <c r="AX148" i="1" s="1"/>
  <c r="AI146" i="1"/>
  <c r="AI148" i="1" s="1"/>
  <c r="I146" i="1"/>
  <c r="I148" i="1" s="1"/>
  <c r="AG146" i="1"/>
  <c r="AG148" i="1" s="1"/>
  <c r="BE146" i="1"/>
  <c r="BE148" i="1" s="1"/>
  <c r="AF146" i="1"/>
  <c r="AF148" i="1" s="1"/>
  <c r="BF146" i="1"/>
  <c r="BF148" i="1" s="1"/>
  <c r="AS146" i="1"/>
  <c r="AS148" i="1" s="1"/>
  <c r="O146" i="1"/>
  <c r="O148" i="1" s="1"/>
  <c r="BO146" i="1"/>
  <c r="BO148" i="1" s="1"/>
  <c r="AR146" i="1"/>
  <c r="AR148" i="1" s="1"/>
  <c r="N146" i="1"/>
  <c r="N148" i="1" s="1"/>
  <c r="K146" i="1"/>
  <c r="K148" i="1" s="1"/>
  <c r="AK146" i="1"/>
  <c r="AK148" i="1" s="1"/>
  <c r="BI146" i="1"/>
  <c r="BI148" i="1" s="1"/>
  <c r="AT146" i="1"/>
  <c r="AT148" i="1" s="1"/>
  <c r="AV146" i="1"/>
  <c r="AV148" i="1" s="1"/>
  <c r="E146" i="1"/>
  <c r="E148" i="1" s="1"/>
  <c r="BN146" i="1"/>
  <c r="BN148" i="1" s="1"/>
  <c r="AN146" i="1"/>
  <c r="AN148" i="1" s="1"/>
  <c r="M146" i="1"/>
  <c r="M148" i="1" s="1"/>
  <c r="AP146" i="1"/>
  <c r="AP148" i="1" s="1"/>
  <c r="BC146" i="1"/>
  <c r="BC148" i="1" s="1"/>
  <c r="AO146" i="1"/>
  <c r="AO148" i="1" s="1"/>
  <c r="V146" i="1"/>
  <c r="V148" i="1" s="1"/>
  <c r="Y146" i="1"/>
  <c r="Y148" i="1" s="1"/>
  <c r="W146" i="1"/>
  <c r="W148" i="1" s="1"/>
  <c r="S146" i="1"/>
  <c r="S148" i="1" s="1"/>
  <c r="X146" i="1"/>
  <c r="X148" i="1" s="1"/>
  <c r="R146" i="1"/>
  <c r="R148" i="1" s="1"/>
  <c r="Z146" i="1"/>
  <c r="Z148" i="1" s="1"/>
  <c r="U146" i="1"/>
  <c r="U148" i="1" s="1"/>
  <c r="T146" i="1"/>
  <c r="T148" i="1" s="1"/>
  <c r="AC146" i="1"/>
  <c r="AC148" i="1" s="1"/>
  <c r="Q146" i="1"/>
  <c r="Q148" i="1" s="1"/>
  <c r="AB146" i="1"/>
  <c r="AB148" i="1" s="1"/>
  <c r="P146" i="1"/>
  <c r="P148" i="1" s="1"/>
  <c r="AA146" i="1"/>
  <c r="AA148" i="1" s="1"/>
  <c r="AD146" i="1"/>
  <c r="AD148" i="1" s="1"/>
</calcChain>
</file>

<file path=xl/sharedStrings.xml><?xml version="1.0" encoding="utf-8"?>
<sst xmlns="http://schemas.openxmlformats.org/spreadsheetml/2006/main" count="717" uniqueCount="315">
  <si>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</si>
  <si>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</si>
  <si>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</si>
  <si>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</si>
  <si>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</si>
  <si>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</si>
  <si>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</si>
  <si>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</si>
  <si>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</si>
  <si>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</si>
  <si>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</si>
  <si>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</si>
  <si>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</si>
  <si>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</si>
  <si>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</si>
  <si>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</si>
  <si>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</si>
  <si>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</si>
  <si>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</si>
  <si>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</si>
  <si>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</si>
  <si>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</si>
  <si>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</si>
  <si>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</si>
  <si>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</si>
  <si>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</si>
  <si>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</si>
  <si>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</si>
  <si>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</si>
  <si>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</si>
  <si>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</si>
  <si>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</si>
  <si>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</si>
  <si>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</si>
  <si>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</si>
  <si>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</si>
  <si>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</si>
  <si>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</si>
  <si>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</si>
  <si>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</si>
  <si>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</si>
  <si>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</si>
  <si>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</si>
  <si>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</si>
  <si>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</si>
  <si>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</si>
  <si>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</si>
  <si>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</si>
  <si>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</si>
  <si>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</si>
  <si>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</si>
  <si>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</si>
  <si>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</si>
  <si>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</si>
  <si>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</si>
  <si>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</si>
  <si>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</si>
  <si>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</si>
  <si>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</si>
  <si>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</si>
  <si>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</si>
  <si>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</si>
  <si>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</si>
  <si>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</si>
  <si>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</si>
  <si>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</si>
  <si>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</si>
  <si>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</si>
  <si>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</si>
  <si>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</si>
  <si>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</si>
  <si>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</si>
  <si>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</si>
  <si>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</si>
  <si>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</si>
  <si>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</si>
  <si>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</si>
  <si>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</si>
  <si>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</si>
  <si>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</si>
  <si>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</si>
  <si>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</si>
  <si>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</si>
  <si>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</si>
  <si>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</si>
  <si>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</si>
  <si>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</si>
  <si>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</si>
  <si>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</si>
  <si>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</si>
  <si>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</si>
  <si>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</si>
  <si>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</si>
  <si>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</si>
  <si>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</si>
  <si>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</si>
  <si>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</si>
  <si>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</si>
  <si>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</si>
  <si>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</si>
  <si>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</si>
  <si>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</si>
  <si>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</si>
  <si>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</si>
  <si>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</si>
  <si>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</si>
  <si>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</si>
  <si>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</si>
  <si>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</si>
  <si>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</si>
  <si>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</si>
  <si>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</si>
  <si>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</si>
  <si>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</si>
  <si>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</si>
  <si>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</si>
  <si>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</si>
  <si>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</si>
  <si>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</si>
  <si>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</si>
  <si>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</si>
  <si>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</si>
  <si>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</si>
  <si>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</si>
  <si>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</si>
  <si>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</si>
  <si>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</si>
  <si>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火</t>
    <phoneticPr fontId="1" type="noConversion"/>
  </si>
  <si>
    <t>光</t>
    <phoneticPr fontId="1" type="noConversion"/>
  </si>
  <si>
    <t>子鹿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</si>
  <si>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</si>
  <si>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</si>
  <si>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</si>
  <si>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</si>
  <si>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</si>
  <si>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</si>
  <si>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</si>
  <si>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</si>
  <si>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</si>
  <si>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</si>
  <si>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</si>
  <si>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</si>
  <si>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</si>
  <si>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</si>
  <si>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</si>
  <si>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</si>
  <si>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</si>
  <si>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</si>
  <si>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</si>
  <si>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</si>
  <si>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</si>
  <si>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</si>
  <si>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</si>
  <si>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</si>
  <si>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</si>
  <si>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</si>
  <si>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</si>
  <si>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</si>
  <si>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</si>
  <si>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</si>
  <si>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</si>
  <si>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</si>
  <si>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</si>
  <si>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</si>
  <si>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</si>
  <si>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</si>
  <si>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</si>
  <si>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</si>
  <si>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</si>
  <si>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</si>
  <si>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</si>
  <si>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</si>
  <si>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</si>
  <si>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</si>
  <si>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</si>
  <si>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</si>
  <si>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</si>
  <si>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</si>
  <si>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</si>
  <si>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</si>
  <si>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</si>
  <si>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</si>
  <si>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</si>
  <si>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</si>
  <si>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</si>
  <si>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</si>
  <si>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</si>
  <si>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</si>
  <si>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</si>
  <si>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</si>
  <si>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</si>
  <si>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</si>
  <si>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</si>
  <si>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</si>
  <si>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</si>
  <si>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</si>
  <si>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</si>
  <si>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白鹿</t>
    <phoneticPr fontId="1" type="noConversion"/>
  </si>
  <si>
    <t>墓烛幽儿</t>
    <phoneticPr fontId="1" type="noConversion"/>
  </si>
  <si>
    <t>囚仔</t>
    <phoneticPr fontId="1" type="noConversion"/>
  </si>
  <si>
    <t>望仔</t>
    <phoneticPr fontId="1" type="noConversion"/>
  </si>
  <si>
    <t>瘾者</t>
    <phoneticPr fontId="1" type="noConversion"/>
  </si>
  <si>
    <t>葫芦侠</t>
    <phoneticPr fontId="1" type="noConversion"/>
  </si>
  <si>
    <t>葫芦侠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</si>
  <si>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</si>
  <si>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</si>
  <si>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</si>
  <si>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小诸葛</t>
  </si>
  <si>
    <t>星道士</t>
    <phoneticPr fontId="1" type="noConversion"/>
  </si>
  <si>
    <t>光</t>
    <phoneticPr fontId="1" type="noConversion"/>
  </si>
  <si>
    <t>成年</t>
    <phoneticPr fontId="1" type="noConversion"/>
  </si>
  <si>
    <t>炼妖壶(4),</t>
  </si>
  <si>
    <t>秘窟冰晶卵(1),</t>
    <phoneticPr fontId="1" type="noConversion"/>
  </si>
  <si>
    <t>炼妖壶(5),_x000D_
秘窟冰晶卵(1),</t>
    <phoneticPr fontId="1" type="noConversion"/>
  </si>
  <si>
    <t>女娲石(2),</t>
    <phoneticPr fontId="1" type="noConversion"/>
  </si>
  <si>
    <t>糯米(2),</t>
    <phoneticPr fontId="1" type="noConversion"/>
  </si>
  <si>
    <t>炼妖壶(5),_x000D_
赤焰十字星(2),</t>
    <phoneticPr fontId="1" type="noConversion"/>
  </si>
  <si>
    <t>龙灵不朽藤(3),</t>
    <phoneticPr fontId="1" type="noConversion"/>
  </si>
  <si>
    <t>太一之轮(3),</t>
    <phoneticPr fontId="1" type="noConversion"/>
  </si>
  <si>
    <t>太一之轮(3),</t>
    <phoneticPr fontId="1" type="noConversion"/>
  </si>
  <si>
    <t>愚山乾坤石(4),</t>
    <phoneticPr fontId="1" type="noConversion"/>
  </si>
  <si>
    <t>神农鼎(5),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</si>
  <si>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</si>
  <si>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</si>
  <si>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</si>
  <si>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</si>
  <si>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</si>
  <si>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桂花(5),</t>
    <phoneticPr fontId="1" type="noConversion"/>
  </si>
  <si>
    <t>炼妖壶(4),_x000D_
仙丹(5),</t>
    <phoneticPr fontId="1" type="noConversion"/>
  </si>
  <si>
    <t>秘窟冰晶卵(6),</t>
    <phoneticPr fontId="1" type="noConversion"/>
  </si>
  <si>
    <t>龙灵不朽藤(8),</t>
    <phoneticPr fontId="1" type="noConversion"/>
  </si>
  <si>
    <t>东皇钟(8),</t>
    <phoneticPr fontId="1" type="noConversion"/>
  </si>
  <si>
    <t>炼妖壶(5),_x000D_
龙灵不朽藤(8),</t>
    <phoneticPr fontId="1" type="noConversion"/>
  </si>
  <si>
    <t>金钗(8),</t>
    <phoneticPr fontId="1" type="noConversion"/>
  </si>
  <si>
    <t>幸运符文叉大(9),</t>
    <phoneticPr fontId="1" type="noConversion"/>
  </si>
  <si>
    <t>幸运符文叉大(9),</t>
    <phoneticPr fontId="1" type="noConversion"/>
  </si>
  <si>
    <t>彗星(15),</t>
    <phoneticPr fontId="1" type="noConversion"/>
  </si>
  <si>
    <t>金甲虫(45),</t>
    <phoneticPr fontId="1" type="noConversion"/>
  </si>
  <si>
    <t>金甲虫(195),</t>
    <phoneticPr fontId="1" type="noConversion"/>
  </si>
  <si>
    <t>太一之轮(4),_x000D_
秘窟冰晶卵(1),</t>
    <phoneticPr fontId="1" type="noConversion"/>
  </si>
  <si>
    <t>糯米(5),_x000D_
粽叶(1),</t>
    <phoneticPr fontId="1" type="noConversion"/>
  </si>
  <si>
    <t>神农鼎(6),_x000D_
六方天运骰(1),</t>
    <phoneticPr fontId="1" type="noConversion"/>
  </si>
  <si>
    <t>神农鼎(6),_x000D_
轩辕剑(2),_x000D_
秘窟冰晶卵(1),</t>
    <phoneticPr fontId="1" type="noConversion"/>
  </si>
  <si>
    <t>炼妖壶(5),_x000D_
太一之轮(4),_x000D_
六方天运骰(3),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</si>
  <si>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</si>
  <si>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</si>
  <si>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炼妖壶(9),_x000D_
愚山乾坤石(4),</t>
    <phoneticPr fontId="1" type="noConversion"/>
  </si>
  <si>
    <t>神农鼎(6),_x000D_
赤焰十字星(2),</t>
    <phoneticPr fontId="1" type="noConversion"/>
  </si>
  <si>
    <t>神农鼎(6),_x000D_
愚山乾坤石(4),</t>
    <phoneticPr fontId="1" type="noConversion"/>
  </si>
  <si>
    <t>神农鼎(6),_x000D_
月冕霓晴符(2),</t>
    <phoneticPr fontId="1" type="noConversion"/>
  </si>
  <si>
    <t>桂花(5),_x000D_
桂花酒(5),</t>
    <phoneticPr fontId="1" type="noConversion"/>
  </si>
  <si>
    <t>六方天运骰(3),_x000D_
魅力符文叉大(10),</t>
    <phoneticPr fontId="1" type="noConversion"/>
  </si>
  <si>
    <t>神农鼎(10),_x000D_
六方天运骰(3),</t>
    <phoneticPr fontId="1" type="noConversion"/>
  </si>
  <si>
    <t>女娲石(10),_x000D_
愚山乾坤石(4),</t>
    <phoneticPr fontId="1" type="noConversion"/>
  </si>
  <si>
    <t>女娲石(10),_x000D_
愚山乾坤石(4),</t>
    <phoneticPr fontId="1" type="noConversion"/>
  </si>
  <si>
    <t>六方天运骰(13),_x000D_
力量符文叉大(1),</t>
    <phoneticPr fontId="1" type="noConversion"/>
  </si>
  <si>
    <t>太一之轮(4),_x000D_
幸运符文叉大(9),</t>
    <phoneticPr fontId="1" type="noConversion"/>
  </si>
  <si>
    <t>金甲虫(10),_x000D_
魅力符文叉大(15),</t>
    <phoneticPr fontId="1" type="noConversion"/>
  </si>
  <si>
    <t>太一之轮(13),_x000D_
幸运符文叉大(14),</t>
    <phoneticPr fontId="1" type="noConversion"/>
  </si>
  <si>
    <t>太一之轮(18),_x000D_
幸运符文叉大(19),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</si>
  <si>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</si>
  <si>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</si>
  <si>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</si>
  <si>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</si>
  <si>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</si>
  <si>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</si>
  <si>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女娲石(5),_x000D_
神农鼎(5),_x000D_
幸运符文叉大(4),</t>
    <phoneticPr fontId="1" type="noConversion"/>
  </si>
  <si>
    <t>女娲石(6),_x000D_
神农鼎(6),_x000D_
赤焰十字星(2),</t>
    <phoneticPr fontId="1" type="noConversion"/>
  </si>
  <si>
    <t>欠条大(8),_x000D_
骰子大(4),_x000D_
六方天运骰(3),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</si>
  <si>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</si>
  <si>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</si>
  <si>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崆峒印(5),_x000D_
秘窟冰晶卵(1),_x000D_
魅力符文叉大(10),</t>
    <phoneticPr fontId="1" type="noConversion"/>
  </si>
  <si>
    <t>太一之轮(4),_x000D_
六方天运骰(3),_x000D_
幸运符文叉大(9),</t>
    <phoneticPr fontId="1" type="noConversion"/>
  </si>
  <si>
    <t>崆峒印(5),_x000D_
赤焰十字星(2),_x000D_
幸运符文叉大(9),</t>
    <phoneticPr fontId="1" type="noConversion"/>
  </si>
  <si>
    <t>太一之轮(3),_x000D_
糯米(5),_x000D_
粽叶(10),</t>
    <phoneticPr fontId="1" type="noConversion"/>
  </si>
  <si>
    <t>女娲石(6),_x000D_
神农鼎(6),_x000D_
龙灵不朽藤(8),</t>
    <phoneticPr fontId="1" type="noConversion"/>
  </si>
  <si>
    <t>钱袋大(10),_x000D_
筹码大(9),_x000D_
秘窟冰晶卵(1),</t>
    <phoneticPr fontId="1" type="noConversion"/>
  </si>
  <si>
    <t>钱袋大(10),_x000D_
筹码大(9),_x000D_
秘窟冰晶卵(1),</t>
    <phoneticPr fontId="1" type="noConversion"/>
  </si>
  <si>
    <t>炼妖壶(19),_x000D_
轩辕剑(16),_x000D_
伏羲琴(7),</t>
    <phoneticPr fontId="1" type="noConversion"/>
  </si>
  <si>
    <t>糯米(10),_x000D_
粽叶(10),_x000D_
龙灵不朽藤(3),</t>
    <phoneticPr fontId="1" type="noConversion"/>
  </si>
  <si>
    <t>欠条大(8),_x000D_
钱袋大(10),_x000D_
月冕霓晴符(4),</t>
    <phoneticPr fontId="1" type="noConversion"/>
  </si>
  <si>
    <t>欠条大(8),_x000D_
钱袋大(10),_x000D_
月冕霓晴符(4),</t>
    <phoneticPr fontId="1" type="noConversion"/>
  </si>
  <si>
    <t>崆峒印(9),_x000D_
智慧符文叉大(2),_x000D_
魅力符文叉大(15),</t>
    <phoneticPr fontId="1" type="noConversion"/>
  </si>
  <si>
    <t>东皇钟(3),_x000D_
女娲石(15),_x000D_
愚山乾坤石(9),</t>
    <phoneticPr fontId="1" type="noConversion"/>
  </si>
  <si>
    <t>东皇钟(3),_x000D_
女娲石(15),_x000D_
愚山乾坤石(9),</t>
    <phoneticPr fontId="1" type="noConversion"/>
  </si>
  <si>
    <t>东皇钟(3),_x000D_
崆峒印(14),_x000D_
幸运符文叉大(14),</t>
    <phoneticPr fontId="1" type="noConversion"/>
  </si>
  <si>
    <t>女娲石(15),_x000D_
神农鼎(15),_x000D_
龙灵不朽藤(13),</t>
    <phoneticPr fontId="1" type="noConversion"/>
  </si>
  <si>
    <t>女娲石(15),_x000D_
神农鼎(15),_x000D_
龙灵不朽藤(13),</t>
    <phoneticPr fontId="1" type="noConversion"/>
  </si>
  <si>
    <t>女娲石(15),_x000D_
神农鼎(15),_x000D_
幸运符文叉大(14),</t>
    <phoneticPr fontId="1" type="noConversion"/>
  </si>
  <si>
    <t>女娲石(20),_x000D_
神农鼎(20),_x000D_
幸运符文叉大(19),</t>
    <phoneticPr fontId="1" type="noConversion"/>
  </si>
  <si>
    <t>赤焰十字星(32),_x000D_
力量符文叉大(21),_x000D_
逆鳞(10),</t>
    <phoneticPr fontId="1" type="noConversion"/>
  </si>
  <si>
    <t>女娲石(5),_x000D_
骰子小(3),_x000D_
筹码小(5),_x000D_
庄家令牌中(3),</t>
    <phoneticPr fontId="1" type="noConversion"/>
  </si>
  <si>
    <t>欠条中(4),_x000D_
骰子小(8),_x000D_
筹码中(4),_x000D_
庄家令牌小(2),</t>
    <phoneticPr fontId="1" type="noConversion"/>
  </si>
  <si>
    <t>神农鼎(7),_x000D_
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</si>
  <si>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</si>
  <si>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</si>
  <si>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</si>
  <si>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</si>
  <si>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</si>
  <si>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女娲石(10),_x000D_
骰子大(4),_x000D_
庄家令牌大(6),_x000D_
赤焰十字星(2),</t>
    <phoneticPr fontId="1" type="noConversion"/>
  </si>
  <si>
    <t>欠条中(4),_x000D_
骰子小(8),_x000D_
筹码小(10),_x000D_
庄家令牌小(2),</t>
    <phoneticPr fontId="1" type="noConversion"/>
  </si>
  <si>
    <t>欠条中(4),_x000D_
骰子小(8),_x000D_
筹码小(10),_x000D_
庄家令牌小(2),</t>
    <phoneticPr fontId="1" type="noConversion"/>
  </si>
  <si>
    <t>神农鼎(10),_x000D_
欠条大(8),_x000D_
骰子大(4),_x000D_
愚山乾坤石(4),</t>
    <phoneticPr fontId="1" type="noConversion"/>
  </si>
  <si>
    <t>太一之轮(8),_x000D_
欠条大(8),_x000D_
骰子大(4),_x000D_
龙灵不朽藤(8),</t>
    <phoneticPr fontId="1" type="noConversion"/>
  </si>
  <si>
    <t>神农鼎(10),_x000D_
欠条大(8),_x000D_
钱袋大(10),_x000D_
月冕霓晴符(4),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</si>
  <si>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</si>
  <si>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</si>
  <si>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</si>
  <si>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炼妖壶(14),_x000D_
神农鼎(15),_x000D_
赤焰十字星(7),_x000D_
幸运符文叉大(14),</t>
    <phoneticPr fontId="1" type="noConversion"/>
  </si>
  <si>
    <t>女娲石(10),_x000D_
彗星(25),_x000D_
赤焰十字星(2),_x000D_
魅力符文叉大(10),</t>
    <phoneticPr fontId="1" type="noConversion"/>
  </si>
  <si>
    <t>女娲石(10),_x000D_
六方天运骰(8),_x000D_
魅力符文叉大(15),_x000D_
幸运符文叉大(14),</t>
    <phoneticPr fontId="1" type="noConversion"/>
  </si>
  <si>
    <t>超进阶素材土(37),_x000D_
超进阶素材木(37),_x000D_
超进阶素材光(50),_x000D_
超进阶素材暗(50),</t>
    <phoneticPr fontId="1" type="noConversion"/>
  </si>
  <si>
    <t>超进阶素材水(25),_x000D_
超进阶素材火(50),_x000D_
超进阶素材光(50),_x000D_
超进阶素材暗(50),</t>
    <phoneticPr fontId="1" type="noConversion"/>
  </si>
  <si>
    <t>崆峒印(4),</t>
  </si>
  <si>
    <t>超进阶素材水(25),_x000D_
超进阶素材火(50),_x000D_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</si>
</sst>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150</xdr:row>
          <xdr:rowOff>28575</xdr:rowOff>
        </xdr:from>
        <xdr:to>
          <xdr:col>1</xdr:col>
          <xdr:colOff>428625</xdr:colOff>
          <xdr:row>151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48"/>
  <sheetViews>
    <sheetView tabSelected="1" workbookViewId="0">
      <pane xSplit="2" ySplit="1" topLeftCell="C29" activePane="bottomRight" state="frozen"/>
      <selection pane="topRight" activeCell="C1" sqref="C1"/>
      <selection pane="bottomLeft" activeCell="A3" sqref="A3"/>
      <selection pane="bottomRight" activeCell="C44" sqref="C4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91</v>
      </c>
      <c r="B1" s="8" t="s">
        <v>92</v>
      </c>
      <c r="C1" s="8" t="s">
        <v>94</v>
      </c>
      <c r="D1" s="8" t="s">
        <v>93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88</v>
      </c>
      <c r="K1" s="9" t="s">
        <v>30</v>
      </c>
      <c r="L1" s="9" t="s">
        <v>53</v>
      </c>
      <c r="M1" s="9" t="s">
        <v>58</v>
      </c>
      <c r="N1" s="9" t="s">
        <v>63</v>
      </c>
      <c r="O1" s="9" t="s">
        <v>57</v>
      </c>
      <c r="P1" s="31" t="s">
        <v>135</v>
      </c>
      <c r="Q1" s="31" t="s">
        <v>147</v>
      </c>
      <c r="R1" s="31" t="s">
        <v>141</v>
      </c>
      <c r="S1" s="31" t="s">
        <v>136</v>
      </c>
      <c r="T1" s="31" t="s">
        <v>145</v>
      </c>
      <c r="U1" s="31" t="s">
        <v>151</v>
      </c>
      <c r="V1" s="31" t="s">
        <v>137</v>
      </c>
      <c r="W1" s="31" t="s">
        <v>144</v>
      </c>
      <c r="X1" s="31" t="s">
        <v>142</v>
      </c>
      <c r="Y1" s="31" t="s">
        <v>138</v>
      </c>
      <c r="Z1" s="31" t="s">
        <v>146</v>
      </c>
      <c r="AA1" s="31" t="s">
        <v>153</v>
      </c>
      <c r="AB1" s="31" t="s">
        <v>140</v>
      </c>
      <c r="AC1" s="31" t="s">
        <v>139</v>
      </c>
      <c r="AD1" s="31" t="s">
        <v>164</v>
      </c>
      <c r="AE1" s="8" t="s">
        <v>10</v>
      </c>
      <c r="AF1" s="8" t="s">
        <v>36</v>
      </c>
      <c r="AG1" s="8" t="s">
        <v>37</v>
      </c>
      <c r="AH1" s="8" t="s">
        <v>77</v>
      </c>
      <c r="AI1" s="8" t="s">
        <v>78</v>
      </c>
      <c r="AJ1" s="8" t="s">
        <v>80</v>
      </c>
      <c r="AK1" s="8" t="s">
        <v>81</v>
      </c>
      <c r="AL1" s="8" t="s">
        <v>83</v>
      </c>
      <c r="AM1" s="8" t="s">
        <v>64</v>
      </c>
      <c r="AN1" s="8" t="s">
        <v>66</v>
      </c>
      <c r="AO1" s="8" t="s">
        <v>121</v>
      </c>
      <c r="AP1" s="8" t="s">
        <v>122</v>
      </c>
      <c r="AQ1" s="10" t="s">
        <v>50</v>
      </c>
      <c r="AR1" s="10" t="s">
        <v>5</v>
      </c>
      <c r="AS1" s="10" t="s">
        <v>34</v>
      </c>
      <c r="AT1" s="10" t="s">
        <v>69</v>
      </c>
      <c r="AU1" s="10" t="s">
        <v>75</v>
      </c>
      <c r="AV1" s="10" t="s">
        <v>62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61</v>
      </c>
      <c r="BB1" s="11" t="s">
        <v>14</v>
      </c>
      <c r="BC1" s="29" t="s">
        <v>118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99</v>
      </c>
      <c r="BQ1" s="8" t="s">
        <v>100</v>
      </c>
      <c r="BR1" s="16" t="s">
        <v>101</v>
      </c>
      <c r="BS1" s="16"/>
      <c r="BT1" s="10" t="s">
        <v>50</v>
      </c>
      <c r="BU1" s="10" t="s">
        <v>5</v>
      </c>
      <c r="BV1" s="10" t="s">
        <v>34</v>
      </c>
      <c r="BW1" s="10" t="s">
        <v>69</v>
      </c>
      <c r="BX1" s="10" t="s">
        <v>75</v>
      </c>
      <c r="BY1" s="10" t="s">
        <v>62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61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69</v>
      </c>
      <c r="CK1" s="10" t="s">
        <v>75</v>
      </c>
      <c r="CL1" s="10" t="s">
        <v>62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61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IF(AQ2&gt;AQ$147, AQ2-AQ$147,"")</f>
        <v/>
      </c>
      <c r="BU2" s="1" t="str">
        <f>IF(AR2&gt;AR$147, AR2-AR$147,"")</f>
        <v/>
      </c>
      <c r="BV2" s="1" t="str">
        <f>IF(AS2&gt;AS$147, AS2-AS$147,"")</f>
        <v/>
      </c>
      <c r="BW2" s="1" t="str">
        <f>IF(AT2&gt;AT$147, AT2-AT$147,"")</f>
        <v/>
      </c>
      <c r="BX2" s="1" t="str">
        <f>IF(AU2&gt;AU$147, AU2-AU$147,"")</f>
        <v/>
      </c>
      <c r="BY2" s="1" t="str">
        <f>IF(AV2&gt;AV$147, AV2-AV$147,"")</f>
        <v/>
      </c>
      <c r="BZ2" s="1" t="str">
        <f>IF(AW2&gt;AW$147, AW2-AW$147,"")</f>
        <v/>
      </c>
      <c r="CA2" s="1" t="str">
        <f>IF(AX2&gt;AX$147, AX2-AX$147,"")</f>
        <v/>
      </c>
      <c r="CB2" s="1" t="str">
        <f>IF(AY2&gt;AY$147, AY2-AY$147,"")</f>
        <v/>
      </c>
      <c r="CC2" s="1" t="str">
        <f>IF(AZ2&gt;AZ$147, AZ2-AZ$147,"")</f>
        <v/>
      </c>
      <c r="CD2" s="1" t="str">
        <f>IF(BA2&gt;BA$147, BA2-BA$147,"")</f>
        <v/>
      </c>
      <c r="CE2" s="1" t="str">
        <f>IF(BB2&gt;BB$147, BB2-BB$147,"")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18">
        <f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IF(AQ3&gt;AQ$147, AQ3-AQ$147,"")</f>
        <v/>
      </c>
      <c r="BU3" s="1" t="str">
        <f>IF(AR3&gt;AR$147, AR3-AR$147,"")</f>
        <v/>
      </c>
      <c r="BV3" s="1" t="str">
        <f>IF(AS3&gt;AS$147, AS3-AS$147,"")</f>
        <v/>
      </c>
      <c r="BW3" s="1" t="str">
        <f>IF(AT3&gt;AT$147, AT3-AT$147,"")</f>
        <v/>
      </c>
      <c r="BX3" s="1" t="str">
        <f>IF(AU3&gt;AU$147, AU3-AU$147,"")</f>
        <v/>
      </c>
      <c r="BY3" s="1" t="str">
        <f>IF(AV3&gt;AV$147, AV3-AV$147,"")</f>
        <v/>
      </c>
      <c r="BZ3" s="1" t="str">
        <f>IF(AW3&gt;AW$147, AW3-AW$147,"")</f>
        <v/>
      </c>
      <c r="CA3" s="1" t="str">
        <f>IF(AX3&gt;AX$147, AX3-AX$147,"")</f>
        <v/>
      </c>
      <c r="CB3" s="1" t="str">
        <f>IF(AY3&gt;AY$147, AY3-AY$147,"")</f>
        <v/>
      </c>
      <c r="CC3" s="1" t="str">
        <f>IF(AZ3&gt;AZ$147, AZ3-AZ$147,"")</f>
        <v/>
      </c>
      <c r="CD3" s="1" t="str">
        <f>IF(BA3&gt;BA$147, BA3-BA$147,"")</f>
        <v/>
      </c>
      <c r="CE3" s="1" t="str">
        <f>IF(BB3&gt;BB$147, BB3-BB$147,"")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18">
        <f>SUM(AE3:BO3)</f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IF(AQ4&gt;AQ$147, AQ4-AQ$147,"")</f>
        <v/>
      </c>
      <c r="BU4" s="1" t="str">
        <f>IF(AR4&gt;AR$147, AR4-AR$147,"")</f>
        <v/>
      </c>
      <c r="BV4" s="1" t="str">
        <f>IF(AS4&gt;AS$147, AS4-AS$147,"")</f>
        <v/>
      </c>
      <c r="BW4" s="1" t="str">
        <f>IF(AT4&gt;AT$147, AT4-AT$147,"")</f>
        <v/>
      </c>
      <c r="BX4" s="1" t="str">
        <f>IF(AU4&gt;AU$147, AU4-AU$147,"")</f>
        <v/>
      </c>
      <c r="BY4" s="1" t="str">
        <f>IF(AV4&gt;AV$147, AV4-AV$147,"")</f>
        <v/>
      </c>
      <c r="BZ4" s="1" t="str">
        <f>IF(AW4&gt;AW$147, AW4-AW$147,"")</f>
        <v/>
      </c>
      <c r="CA4" s="1" t="str">
        <f>IF(AX4&gt;AX$147, AX4-AX$147,"")</f>
        <v/>
      </c>
      <c r="CB4" s="1" t="str">
        <f>IF(AY4&gt;AY$147, AY4-AY$147,"")</f>
        <v/>
      </c>
      <c r="CC4" s="1" t="str">
        <f>IF(AZ4&gt;AZ$147, AZ4-AZ$147,"")</f>
        <v/>
      </c>
      <c r="CD4" s="1" t="str">
        <f>IF(BA4&gt;BA$147, BA4-BA$147,"")</f>
        <v/>
      </c>
      <c r="CE4" s="1" t="str">
        <f>IF(BB4&gt;BB$147, BB4-BB$147,"")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18">
        <f>SUM(AE4:BO4)</f>
        <v>80</v>
      </c>
    </row>
    <row r="5" spans="1:97" x14ac:dyDescent="0.15">
      <c r="A5" s="1">
        <v>55</v>
      </c>
      <c r="B5" s="1" t="s">
        <v>59</v>
      </c>
      <c r="C5" s="1" t="s">
        <v>60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IF(AQ5&gt;AQ$147, AQ5-AQ$147,"")</f>
        <v/>
      </c>
      <c r="BU5" s="1" t="str">
        <f>IF(AR5&gt;AR$147, AR5-AR$147,"")</f>
        <v/>
      </c>
      <c r="BV5" s="1" t="str">
        <f>IF(AS5&gt;AS$147, AS5-AS$147,"")</f>
        <v/>
      </c>
      <c r="BW5" s="1" t="str">
        <f>IF(AT5&gt;AT$147, AT5-AT$147,"")</f>
        <v/>
      </c>
      <c r="BX5" s="1" t="str">
        <f>IF(AU5&gt;AU$147, AU5-AU$147,"")</f>
        <v/>
      </c>
      <c r="BY5" s="1" t="str">
        <f>IF(AV5&gt;AV$147, AV5-AV$147,"")</f>
        <v/>
      </c>
      <c r="BZ5" s="1" t="str">
        <f>IF(AW5&gt;AW$147, AW5-AW$147,"")</f>
        <v/>
      </c>
      <c r="CA5" s="1" t="str">
        <f>IF(AX5&gt;AX$147, AX5-AX$147,"")</f>
        <v/>
      </c>
      <c r="CB5" s="1" t="str">
        <f>IF(AY5&gt;AY$147, AY5-AY$147,"")</f>
        <v/>
      </c>
      <c r="CC5" s="1" t="str">
        <f>IF(AZ5&gt;AZ$147, AZ5-AZ$147,"")</f>
        <v/>
      </c>
      <c r="CD5" s="1" t="str">
        <f>IF(BA5&gt;BA$147, BA5-BA$147,"")</f>
        <v/>
      </c>
      <c r="CE5" s="1" t="str">
        <f>IF(BB5&gt;BB$147, BB5-BB$147,"")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18">
        <f>SUM(AE5:BO5)</f>
        <v>80</v>
      </c>
    </row>
    <row r="6" spans="1:97" s="25" customFormat="1" x14ac:dyDescent="0.15">
      <c r="A6" s="1">
        <v>9</v>
      </c>
      <c r="B6" s="1" t="s">
        <v>28</v>
      </c>
      <c r="C6" s="1" t="s">
        <v>2</v>
      </c>
      <c r="D6" s="1" t="s">
        <v>26</v>
      </c>
      <c r="E6" s="6"/>
      <c r="F6" s="6"/>
      <c r="G6" s="6"/>
      <c r="H6" s="6"/>
      <c r="I6" s="6">
        <v>4</v>
      </c>
      <c r="J6" s="6"/>
      <c r="K6" s="6">
        <v>4</v>
      </c>
      <c r="L6" s="6"/>
      <c r="M6" s="6"/>
      <c r="N6" s="6"/>
      <c r="O6" s="6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>
        <v>5</v>
      </c>
      <c r="AS6" s="4"/>
      <c r="AT6" s="4"/>
      <c r="AU6" s="4"/>
      <c r="AV6" s="4"/>
      <c r="AW6" s="2">
        <v>5</v>
      </c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18</v>
      </c>
      <c r="BQ6" s="1">
        <v>0</v>
      </c>
      <c r="BR6" s="17">
        <v>0</v>
      </c>
      <c r="BS6" s="17"/>
      <c r="BT6" s="1" t="str">
        <f>IF(AQ6&gt;AQ$147, AQ6-AQ$147,"")</f>
        <v/>
      </c>
      <c r="BU6" s="1" t="str">
        <f>IF(AR6&gt;AR$147, AR6-AR$147,"")</f>
        <v/>
      </c>
      <c r="BV6" s="1" t="str">
        <f>IF(AS6&gt;AS$147, AS6-AS$147,"")</f>
        <v/>
      </c>
      <c r="BW6" s="1" t="str">
        <f>IF(AT6&gt;AT$147, AT6-AT$147,"")</f>
        <v/>
      </c>
      <c r="BX6" s="1" t="str">
        <f>IF(AU6&gt;AU$147, AU6-AU$147,"")</f>
        <v/>
      </c>
      <c r="BY6" s="1" t="str">
        <f>IF(AV6&gt;AV$147, AV6-AV$147,"")</f>
        <v/>
      </c>
      <c r="BZ6" s="1" t="str">
        <f>IF(AW6&gt;AW$147, AW6-AW$147,"")</f>
        <v/>
      </c>
      <c r="CA6" s="1" t="str">
        <f>IF(AX6&gt;AX$147, AX6-AX$147,"")</f>
        <v/>
      </c>
      <c r="CB6" s="1" t="str">
        <f>IF(AY6&gt;AY$147, AY6-AY$147,"")</f>
        <v/>
      </c>
      <c r="CC6" s="1" t="str">
        <f>IF(AZ6&gt;AZ$147, AZ6-AZ$147,"")</f>
        <v/>
      </c>
      <c r="CD6" s="1" t="str">
        <f>IF(BA6&gt;BA$147, BA6-BA$147,"")</f>
        <v/>
      </c>
      <c r="CE6" s="1" t="str">
        <f>IF(BB6&gt;BB$147, BB6-BB$147,"")</f>
        <v/>
      </c>
      <c r="CF6" s="1">
        <f>COUNTIF(BT6:CE6, "&gt;0")</f>
        <v>0</v>
      </c>
      <c r="CG6" s="1" t="str">
        <f>IF($CF6=1,BT6,"")</f>
        <v/>
      </c>
      <c r="CH6" s="1" t="str">
        <f>IF($CF6=1,BU6,"")</f>
        <v/>
      </c>
      <c r="CI6" s="1" t="str">
        <f>IF($CF6=1,BV6,"")</f>
        <v/>
      </c>
      <c r="CJ6" s="1" t="str">
        <f>IF($CF6=1,BW6,"")</f>
        <v/>
      </c>
      <c r="CK6" s="1" t="str">
        <f>IF($CF6=1,BX6,"")</f>
        <v/>
      </c>
      <c r="CL6" s="1" t="str">
        <f>IF($CF6=1,BY6,"")</f>
        <v/>
      </c>
      <c r="CM6" s="1" t="str">
        <f>IF($CF6=1,BZ6,"")</f>
        <v/>
      </c>
      <c r="CN6" s="1" t="str">
        <f>IF($CF6=1,CA6,"")</f>
        <v/>
      </c>
      <c r="CO6" s="1" t="str">
        <f>IF($CF6=1,CB6,"")</f>
        <v/>
      </c>
      <c r="CP6" s="1" t="str">
        <f>IF($CF6=1,CC6,"")</f>
        <v/>
      </c>
      <c r="CQ6" s="1" t="str">
        <f>IF($CF6=1,CD6,"")</f>
        <v/>
      </c>
      <c r="CR6" s="1" t="str">
        <f>IF($CF6=1,CE6,"")</f>
        <v/>
      </c>
      <c r="CS6" s="18">
        <f>SUM(AE6:BO6)</f>
        <v>10</v>
      </c>
    </row>
    <row r="7" spans="1:97" s="25" customFormat="1" x14ac:dyDescent="0.15">
      <c r="A7" s="1"/>
      <c r="B7" s="1" t="s">
        <v>115</v>
      </c>
      <c r="C7" s="1" t="s">
        <v>116</v>
      </c>
      <c r="D7" s="1" t="s">
        <v>114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>
        <v>20</v>
      </c>
      <c r="BE7" s="1">
        <v>20</v>
      </c>
      <c r="BF7" s="1">
        <v>20</v>
      </c>
      <c r="BG7" s="1">
        <v>20</v>
      </c>
      <c r="BH7" s="1"/>
      <c r="BI7" s="1"/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IF(AQ7&gt;AQ$147, AQ7-AQ$147,"")</f>
        <v/>
      </c>
      <c r="BU7" s="1" t="str">
        <f>IF(AR7&gt;AR$147, AR7-AR$147,"")</f>
        <v/>
      </c>
      <c r="BV7" s="1" t="str">
        <f>IF(AS7&gt;AS$147, AS7-AS$147,"")</f>
        <v/>
      </c>
      <c r="BW7" s="1" t="str">
        <f>IF(AT7&gt;AT$147, AT7-AT$147,"")</f>
        <v/>
      </c>
      <c r="BX7" s="1" t="str">
        <f>IF(AU7&gt;AU$147, AU7-AU$147,"")</f>
        <v/>
      </c>
      <c r="BY7" s="1" t="str">
        <f>IF(AV7&gt;AV$147, AV7-AV$147,"")</f>
        <v/>
      </c>
      <c r="BZ7" s="1" t="str">
        <f>IF(AW7&gt;AW$147, AW7-AW$147,"")</f>
        <v/>
      </c>
      <c r="CA7" s="1" t="str">
        <f>IF(AX7&gt;AX$147, AX7-AX$147,"")</f>
        <v/>
      </c>
      <c r="CB7" s="1" t="str">
        <f>IF(AY7&gt;AY$147, AY7-AY$147,"")</f>
        <v/>
      </c>
      <c r="CC7" s="1" t="str">
        <f>IF(AZ7&gt;AZ$147, AZ7-AZ$147,"")</f>
        <v/>
      </c>
      <c r="CD7" s="1" t="str">
        <f>IF(BA7&gt;BA$147, BA7-BA$147,"")</f>
        <v/>
      </c>
      <c r="CE7" s="1" t="str">
        <f>IF(BB7&gt;BB$147, BB7-BB$147,"")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8"/>
    </row>
    <row r="8" spans="1:97" s="25" customFormat="1" x14ac:dyDescent="0.15">
      <c r="A8" s="1"/>
      <c r="B8" s="1" t="s">
        <v>185</v>
      </c>
      <c r="C8" s="1" t="s">
        <v>124</v>
      </c>
      <c r="D8" s="1" t="s">
        <v>114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>
        <v>20</v>
      </c>
      <c r="BG8" s="1">
        <v>20</v>
      </c>
      <c r="BH8" s="1">
        <v>20</v>
      </c>
      <c r="BI8" s="1">
        <v>20</v>
      </c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IF(AQ8&gt;AQ$147, AQ8-AQ$147,"")</f>
        <v/>
      </c>
      <c r="BU8" s="1" t="str">
        <f>IF(AR8&gt;AR$147, AR8-AR$147,"")</f>
        <v/>
      </c>
      <c r="BV8" s="1" t="str">
        <f>IF(AS8&gt;AS$147, AS8-AS$147,"")</f>
        <v/>
      </c>
      <c r="BW8" s="1" t="str">
        <f>IF(AT8&gt;AT$147, AT8-AT$147,"")</f>
        <v/>
      </c>
      <c r="BX8" s="1" t="str">
        <f>IF(AU8&gt;AU$147, AU8-AU$147,"")</f>
        <v/>
      </c>
      <c r="BY8" s="1" t="str">
        <f>IF(AV8&gt;AV$147, AV8-AV$147,"")</f>
        <v/>
      </c>
      <c r="BZ8" s="1" t="str">
        <f>IF(AW8&gt;AW$147, AW8-AW$147,"")</f>
        <v/>
      </c>
      <c r="CA8" s="1" t="str">
        <f>IF(AX8&gt;AX$147, AX8-AX$147,"")</f>
        <v/>
      </c>
      <c r="CB8" s="1" t="str">
        <f>IF(AY8&gt;AY$147, AY8-AY$147,"")</f>
        <v/>
      </c>
      <c r="CC8" s="1" t="str">
        <f>IF(AZ8&gt;AZ$147, AZ8-AZ$147,"")</f>
        <v/>
      </c>
      <c r="CD8" s="1" t="str">
        <f>IF(BA8&gt;BA$147, BA8-BA$147,"")</f>
        <v/>
      </c>
      <c r="CE8" s="1" t="str">
        <f>IF(BB8&gt;BB$147, BB8-BB$147,"")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8"/>
    </row>
    <row r="9" spans="1:97" x14ac:dyDescent="0.15">
      <c r="A9" s="1"/>
      <c r="B9" s="1" t="s">
        <v>193</v>
      </c>
      <c r="C9" s="1" t="s">
        <v>112</v>
      </c>
      <c r="D9" s="1" t="s">
        <v>114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>
        <v>20</v>
      </c>
      <c r="BE9" s="1">
        <v>20</v>
      </c>
      <c r="BF9" s="1">
        <v>20</v>
      </c>
      <c r="BG9" s="1">
        <v>20</v>
      </c>
      <c r="BH9" s="1"/>
      <c r="BI9" s="1"/>
      <c r="BJ9" s="1"/>
      <c r="BK9" s="1"/>
      <c r="BL9" s="1"/>
      <c r="BM9" s="1"/>
      <c r="BN9" s="1"/>
      <c r="BO9" s="1"/>
      <c r="BP9" s="1">
        <f>SUM(E9:BO9)</f>
        <v>80</v>
      </c>
      <c r="BQ9" s="1">
        <v>0</v>
      </c>
      <c r="BR9" s="17">
        <v>0</v>
      </c>
      <c r="BS9" s="17"/>
      <c r="BT9" s="1" t="str">
        <f>IF(AQ9&gt;AQ$147, AQ9-AQ$147,"")</f>
        <v/>
      </c>
      <c r="BU9" s="1" t="str">
        <f>IF(AR9&gt;AR$147, AR9-AR$147,"")</f>
        <v/>
      </c>
      <c r="BV9" s="1" t="str">
        <f>IF(AS9&gt;AS$147, AS9-AS$147,"")</f>
        <v/>
      </c>
      <c r="BW9" s="1" t="str">
        <f>IF(AT9&gt;AT$147, AT9-AT$147,"")</f>
        <v/>
      </c>
      <c r="BX9" s="1" t="str">
        <f>IF(AU9&gt;AU$147, AU9-AU$147,"")</f>
        <v/>
      </c>
      <c r="BY9" s="1" t="str">
        <f>IF(AV9&gt;AV$147, AV9-AV$147,"")</f>
        <v/>
      </c>
      <c r="BZ9" s="1" t="str">
        <f>IF(AW9&gt;AW$147, AW9-AW$147,"")</f>
        <v/>
      </c>
      <c r="CA9" s="1" t="str">
        <f>IF(AX9&gt;AX$147, AX9-AX$147,"")</f>
        <v/>
      </c>
      <c r="CB9" s="1" t="str">
        <f>IF(AY9&gt;AY$147, AY9-AY$147,"")</f>
        <v/>
      </c>
      <c r="CC9" s="1" t="str">
        <f>IF(AZ9&gt;AZ$147, AZ9-AZ$147,"")</f>
        <v/>
      </c>
      <c r="CD9" s="1" t="str">
        <f>IF(BA9&gt;BA$147, BA9-BA$147,"")</f>
        <v/>
      </c>
      <c r="CE9" s="1" t="str">
        <f>IF(BB9&gt;BB$147, BB9-BB$147,"")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8"/>
    </row>
    <row r="10" spans="1:97" x14ac:dyDescent="0.15">
      <c r="A10" s="1">
        <v>91</v>
      </c>
      <c r="B10" s="3" t="s">
        <v>86</v>
      </c>
      <c r="C10" s="3" t="s">
        <v>85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>
        <v>5</v>
      </c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5</v>
      </c>
      <c r="BQ10" s="1">
        <v>0</v>
      </c>
      <c r="BR10" s="17">
        <v>0</v>
      </c>
      <c r="BS10" s="17"/>
      <c r="BT10" s="1" t="str">
        <f>IF(AQ10&gt;AQ$147, AQ10-AQ$147,"")</f>
        <v/>
      </c>
      <c r="BU10" s="1" t="str">
        <f>IF(AR10&gt;AR$147, AR10-AR$147,"")</f>
        <v/>
      </c>
      <c r="BV10" s="1" t="str">
        <f>IF(AS10&gt;AS$147, AS10-AS$147,"")</f>
        <v/>
      </c>
      <c r="BW10" s="1" t="str">
        <f>IF(AT10&gt;AT$147, AT10-AT$147,"")</f>
        <v/>
      </c>
      <c r="BX10" s="1" t="str">
        <f>IF(AU10&gt;AU$147, AU10-AU$147,"")</f>
        <v/>
      </c>
      <c r="BY10" s="1" t="str">
        <f>IF(AV10&gt;AV$147, AV10-AV$147,"")</f>
        <v/>
      </c>
      <c r="BZ10" s="1" t="str">
        <f>IF(AW10&gt;AW$147, AW10-AW$147,"")</f>
        <v/>
      </c>
      <c r="CA10" s="1" t="str">
        <f>IF(AX10&gt;AX$147, AX10-AX$147,"")</f>
        <v/>
      </c>
      <c r="CB10" s="1" t="str">
        <f>IF(AY10&gt;AY$147, AY10-AY$147,"")</f>
        <v/>
      </c>
      <c r="CC10" s="1" t="str">
        <f>IF(AZ10&gt;AZ$147, AZ10-AZ$147,"")</f>
        <v/>
      </c>
      <c r="CD10" s="1" t="str">
        <f>IF(BA10&gt;BA$147, BA10-BA$147,"")</f>
        <v/>
      </c>
      <c r="CE10" s="1" t="str">
        <f>IF(BB10&gt;BB$147, BB10-BB$147,"")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18">
        <f>SUM(AE10:BO10)</f>
        <v>5</v>
      </c>
    </row>
    <row r="11" spans="1:97" x14ac:dyDescent="0.15">
      <c r="A11" s="19">
        <v>92</v>
      </c>
      <c r="B11" s="27" t="s">
        <v>87</v>
      </c>
      <c r="C11" s="27" t="s">
        <v>85</v>
      </c>
      <c r="D11" s="19" t="s">
        <v>24</v>
      </c>
      <c r="E11" s="20">
        <v>10</v>
      </c>
      <c r="F11" s="20"/>
      <c r="G11" s="20"/>
      <c r="H11" s="20"/>
      <c r="I11" s="20">
        <v>10</v>
      </c>
      <c r="J11" s="20">
        <v>10</v>
      </c>
      <c r="K11" s="20"/>
      <c r="L11" s="20"/>
      <c r="M11" s="20"/>
      <c r="N11" s="20"/>
      <c r="O11" s="20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1"/>
      <c r="AR11" s="21"/>
      <c r="AS11" s="21"/>
      <c r="AT11" s="21"/>
      <c r="AU11" s="21"/>
      <c r="AV11" s="21"/>
      <c r="AW11" s="22"/>
      <c r="AX11" s="22"/>
      <c r="AY11" s="22"/>
      <c r="AZ11" s="22"/>
      <c r="BA11" s="22"/>
      <c r="BB11" s="22"/>
      <c r="BC11" s="30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">
        <f>SUM(E11:BO11)</f>
        <v>30</v>
      </c>
      <c r="BQ11" s="19">
        <v>0</v>
      </c>
      <c r="BR11" s="23">
        <v>0</v>
      </c>
      <c r="BS11" s="23"/>
      <c r="BT11" s="1" t="str">
        <f>IF(AQ11&gt;AQ$147, AQ11-AQ$147,"")</f>
        <v/>
      </c>
      <c r="BU11" s="1" t="str">
        <f>IF(AR11&gt;AR$147, AR11-AR$147,"")</f>
        <v/>
      </c>
      <c r="BV11" s="1" t="str">
        <f>IF(AS11&gt;AS$147, AS11-AS$147,"")</f>
        <v/>
      </c>
      <c r="BW11" s="1" t="str">
        <f>IF(AT11&gt;AT$147, AT11-AT$147,"")</f>
        <v/>
      </c>
      <c r="BX11" s="1" t="str">
        <f>IF(AU11&gt;AU$147, AU11-AU$147,"")</f>
        <v/>
      </c>
      <c r="BY11" s="1" t="str">
        <f>IF(AV11&gt;AV$147, AV11-AV$147,"")</f>
        <v/>
      </c>
      <c r="BZ11" s="1" t="str">
        <f>IF(AW11&gt;AW$147, AW11-AW$147,"")</f>
        <v/>
      </c>
      <c r="CA11" s="1" t="str">
        <f>IF(AX11&gt;AX$147, AX11-AX$147,"")</f>
        <v/>
      </c>
      <c r="CB11" s="1" t="str">
        <f>IF(AY11&gt;AY$147, AY11-AY$147,"")</f>
        <v/>
      </c>
      <c r="CC11" s="1" t="str">
        <f>IF(AZ11&gt;AZ$147, AZ11-AZ$147,"")</f>
        <v/>
      </c>
      <c r="CD11" s="1" t="str">
        <f>IF(BA11&gt;BA$147, BA11-BA$147,"")</f>
        <v/>
      </c>
      <c r="CE11" s="1" t="str">
        <f>IF(BB11&gt;BB$147, BB11-BB$147,"")</f>
        <v/>
      </c>
      <c r="CF11" s="19">
        <f>COUNTIF(BT11:CE11, "&gt;0")</f>
        <v>0</v>
      </c>
      <c r="CG11" s="19" t="str">
        <f>IF($CF11=1,BT11,"")</f>
        <v/>
      </c>
      <c r="CH11" s="19" t="str">
        <f>IF($CF11=1,BU11,"")</f>
        <v/>
      </c>
      <c r="CI11" s="19" t="str">
        <f>IF($CF11=1,BV11,"")</f>
        <v/>
      </c>
      <c r="CJ11" s="19" t="str">
        <f>IF($CF11=1,BW11,"")</f>
        <v/>
      </c>
      <c r="CK11" s="19" t="str">
        <f>IF($CF11=1,BX11,"")</f>
        <v/>
      </c>
      <c r="CL11" s="19" t="str">
        <f>IF($CF11=1,BY11,"")</f>
        <v/>
      </c>
      <c r="CM11" s="19" t="str">
        <f>IF($CF11=1,BZ11,"")</f>
        <v/>
      </c>
      <c r="CN11" s="19" t="str">
        <f>IF($CF11=1,CA11,"")</f>
        <v/>
      </c>
      <c r="CO11" s="19" t="str">
        <f>IF($CF11=1,CB11,"")</f>
        <v/>
      </c>
      <c r="CP11" s="19" t="str">
        <f>IF($CF11=1,CC11,"")</f>
        <v/>
      </c>
      <c r="CQ11" s="19" t="str">
        <f>IF($CF11=1,CD11,"")</f>
        <v/>
      </c>
      <c r="CR11" s="19" t="str">
        <f>IF($CF11=1,CE11,"")</f>
        <v/>
      </c>
      <c r="CS11" s="24">
        <f>SUM(AE11:BO11)</f>
        <v>0</v>
      </c>
    </row>
    <row r="12" spans="1:97" x14ac:dyDescent="0.15">
      <c r="A12" s="1"/>
      <c r="B12" s="1" t="s">
        <v>197</v>
      </c>
      <c r="C12" s="1" t="s">
        <v>112</v>
      </c>
      <c r="D12" s="1" t="s">
        <v>113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>
        <v>10</v>
      </c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>
        <v>10</v>
      </c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20</v>
      </c>
      <c r="BQ12" s="1">
        <v>1</v>
      </c>
      <c r="BR12" s="17">
        <v>1</v>
      </c>
      <c r="BS12" s="17" t="s">
        <v>212</v>
      </c>
      <c r="BT12" s="1">
        <f>IF(AQ12&gt;AQ$147, AQ12-AQ$147,"")</f>
        <v>1</v>
      </c>
      <c r="BU12" s="1" t="str">
        <f>IF(AR12&gt;AR$147, AR12-AR$147,"")</f>
        <v/>
      </c>
      <c r="BV12" s="1" t="str">
        <f>IF(AS12&gt;AS$147, AS12-AS$147,"")</f>
        <v/>
      </c>
      <c r="BW12" s="1" t="str">
        <f>IF(AT12&gt;AT$147, AT12-AT$147,"")</f>
        <v/>
      </c>
      <c r="BX12" s="1" t="str">
        <f>IF(AU12&gt;AU$147, AU12-AU$147,"")</f>
        <v/>
      </c>
      <c r="BY12" s="1" t="str">
        <f>IF(AV12&gt;AV$147, AV12-AV$147,"")</f>
        <v/>
      </c>
      <c r="BZ12" s="1" t="str">
        <f>IF(AW12&gt;AW$147, AW12-AW$147,"")</f>
        <v/>
      </c>
      <c r="CA12" s="1" t="str">
        <f>IF(AX12&gt;AX$147, AX12-AX$147,"")</f>
        <v/>
      </c>
      <c r="CB12" s="1" t="str">
        <f>IF(AY12&gt;AY$147, AY12-AY$147,"")</f>
        <v/>
      </c>
      <c r="CC12" s="1" t="str">
        <f>IF(AZ12&gt;AZ$147, AZ12-AZ$147,"")</f>
        <v/>
      </c>
      <c r="CD12" s="1" t="str">
        <f>IF(BA12&gt;BA$147, BA12-BA$147,"")</f>
        <v/>
      </c>
      <c r="CE12" s="1" t="str">
        <f>IF(BB12&gt;BB$147, BB12-BB$147,"")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8"/>
    </row>
    <row r="13" spans="1:97" x14ac:dyDescent="0.15">
      <c r="A13" s="1"/>
      <c r="B13" s="1" t="s">
        <v>199</v>
      </c>
      <c r="C13" s="1" t="s">
        <v>127</v>
      </c>
      <c r="D13" s="1" t="s">
        <v>113</v>
      </c>
      <c r="E13" s="6"/>
      <c r="F13" s="6"/>
      <c r="G13" s="6">
        <v>2</v>
      </c>
      <c r="H13" s="6"/>
      <c r="I13" s="6"/>
      <c r="J13" s="6"/>
      <c r="K13" s="6"/>
      <c r="L13" s="6"/>
      <c r="M13" s="6"/>
      <c r="N13" s="6"/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2</v>
      </c>
      <c r="BQ13" s="1">
        <v>2</v>
      </c>
      <c r="BR13" s="17">
        <v>1</v>
      </c>
      <c r="BS13" s="17" t="s">
        <v>214</v>
      </c>
      <c r="BT13" s="1" t="str">
        <f>IF(AQ13&gt;AQ$147, AQ13-AQ$147,"")</f>
        <v/>
      </c>
      <c r="BU13" s="1" t="str">
        <f>IF(AR13&gt;AR$147, AR13-AR$147,"")</f>
        <v/>
      </c>
      <c r="BV13" s="1" t="str">
        <f>IF(AS13&gt;AS$147, AS13-AS$147,"")</f>
        <v/>
      </c>
      <c r="BW13" s="1" t="str">
        <f>IF(AT13&gt;AT$147, AT13-AT$147,"")</f>
        <v/>
      </c>
      <c r="BX13" s="1" t="str">
        <f>IF(AU13&gt;AU$147, AU13-AU$147,"")</f>
        <v/>
      </c>
      <c r="BY13" s="1" t="str">
        <f>IF(AV13&gt;AV$147, AV13-AV$147,"")</f>
        <v/>
      </c>
      <c r="BZ13" s="1" t="str">
        <f>IF(AW13&gt;AW$147, AW13-AW$147,"")</f>
        <v/>
      </c>
      <c r="CA13" s="1" t="str">
        <f>IF(AX13&gt;AX$147, AX13-AX$147,"")</f>
        <v/>
      </c>
      <c r="CB13" s="1" t="str">
        <f>IF(AY13&gt;AY$147, AY13-AY$147,"")</f>
        <v/>
      </c>
      <c r="CC13" s="1" t="str">
        <f>IF(AZ13&gt;AZ$147, AZ13-AZ$147,"")</f>
        <v/>
      </c>
      <c r="CD13" s="1" t="str">
        <f>IF(BA13&gt;BA$147, BA13-BA$147,"")</f>
        <v/>
      </c>
      <c r="CE13" s="1" t="str">
        <f>IF(BB13&gt;BB$147, BB13-BB$147,"")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8"/>
    </row>
    <row r="14" spans="1:97" s="25" customFormat="1" x14ac:dyDescent="0.15">
      <c r="A14" s="1"/>
      <c r="B14" s="1" t="s">
        <v>123</v>
      </c>
      <c r="C14" s="1" t="s">
        <v>116</v>
      </c>
      <c r="D14" s="1" t="s">
        <v>120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>
        <v>2</v>
      </c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2</v>
      </c>
      <c r="BQ14" s="1">
        <v>2</v>
      </c>
      <c r="BR14" s="17">
        <v>1</v>
      </c>
      <c r="BS14" s="17" t="s">
        <v>215</v>
      </c>
      <c r="BT14" s="1" t="str">
        <f>IF(AQ14&gt;AQ$147, AQ14-AQ$147,"")</f>
        <v/>
      </c>
      <c r="BU14" s="1" t="str">
        <f>IF(AR14&gt;AR$147, AR14-AR$147,"")</f>
        <v/>
      </c>
      <c r="BV14" s="1" t="str">
        <f>IF(AS14&gt;AS$147, AS14-AS$147,"")</f>
        <v/>
      </c>
      <c r="BW14" s="1" t="str">
        <f>IF(AT14&gt;AT$147, AT14-AT$147,"")</f>
        <v/>
      </c>
      <c r="BX14" s="1" t="str">
        <f>IF(AU14&gt;AU$147, AU14-AU$147,"")</f>
        <v/>
      </c>
      <c r="BY14" s="1" t="str">
        <f>IF(AV14&gt;AV$147, AV14-AV$147,"")</f>
        <v/>
      </c>
      <c r="BZ14" s="1" t="str">
        <f>IF(AW14&gt;AW$147, AW14-AW$147,"")</f>
        <v/>
      </c>
      <c r="CA14" s="1" t="str">
        <f>IF(AX14&gt;AX$147, AX14-AX$147,"")</f>
        <v/>
      </c>
      <c r="CB14" s="1" t="str">
        <f>IF(AY14&gt;AY$147, AY14-AY$147,"")</f>
        <v/>
      </c>
      <c r="CC14" s="1" t="str">
        <f>IF(AZ14&gt;AZ$147, AZ14-AZ$147,"")</f>
        <v/>
      </c>
      <c r="CD14" s="1" t="str">
        <f>IF(BA14&gt;BA$147, BA14-BA$147,"")</f>
        <v/>
      </c>
      <c r="CE14" s="1" t="str">
        <f>IF(BB14&gt;BB$147, BB14-BB$147,"")</f>
        <v/>
      </c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8"/>
    </row>
    <row r="15" spans="1:97" x14ac:dyDescent="0.15">
      <c r="A15" s="1">
        <v>24</v>
      </c>
      <c r="B15" s="1" t="s">
        <v>47</v>
      </c>
      <c r="C15" s="1" t="s">
        <v>32</v>
      </c>
      <c r="D15" s="1" t="s">
        <v>26</v>
      </c>
      <c r="E15" s="6"/>
      <c r="F15" s="6"/>
      <c r="G15" s="6"/>
      <c r="H15" s="6"/>
      <c r="I15" s="6">
        <v>4</v>
      </c>
      <c r="J15" s="6"/>
      <c r="K15" s="6">
        <v>4</v>
      </c>
      <c r="L15" s="6"/>
      <c r="M15" s="6"/>
      <c r="N15" s="6"/>
      <c r="O15" s="6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>
        <v>5</v>
      </c>
      <c r="AT15" s="4"/>
      <c r="AU15" s="4"/>
      <c r="AV15" s="4"/>
      <c r="AW15" s="2">
        <v>5</v>
      </c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18</v>
      </c>
      <c r="BQ15" s="1">
        <v>3</v>
      </c>
      <c r="BR15" s="17">
        <v>1</v>
      </c>
      <c r="BS15" s="17" t="s">
        <v>217</v>
      </c>
      <c r="BT15" s="1" t="str">
        <f>IF(AQ15&gt;AQ$147, AQ15-AQ$147,"")</f>
        <v/>
      </c>
      <c r="BU15" s="1" t="str">
        <f>IF(AR15&gt;AR$147, AR15-AR$147,"")</f>
        <v/>
      </c>
      <c r="BV15" s="1">
        <f>IF(AS15&gt;AS$147, AS15-AS$147,"")</f>
        <v>3</v>
      </c>
      <c r="BW15" s="1" t="str">
        <f>IF(AT15&gt;AT$147, AT15-AT$147,"")</f>
        <v/>
      </c>
      <c r="BX15" s="1" t="str">
        <f>IF(AU15&gt;AU$147, AU15-AU$147,"")</f>
        <v/>
      </c>
      <c r="BY15" s="1" t="str">
        <f>IF(AV15&gt;AV$147, AV15-AV$147,"")</f>
        <v/>
      </c>
      <c r="BZ15" s="1" t="str">
        <f>IF(AW15&gt;AW$147, AW15-AW$147,"")</f>
        <v/>
      </c>
      <c r="CA15" s="1" t="str">
        <f>IF(AX15&gt;AX$147, AX15-AX$147,"")</f>
        <v/>
      </c>
      <c r="CB15" s="1" t="str">
        <f>IF(AY15&gt;AY$147, AY15-AY$147,"")</f>
        <v/>
      </c>
      <c r="CC15" s="1" t="str">
        <f>IF(AZ15&gt;AZ$147, AZ15-AZ$147,"")</f>
        <v/>
      </c>
      <c r="CD15" s="1" t="str">
        <f>IF(BA15&gt;BA$147, BA15-BA$147,"")</f>
        <v/>
      </c>
      <c r="CE15" s="1" t="str">
        <f>IF(BB15&gt;BB$147, BB15-BB$147,"")</f>
        <v/>
      </c>
      <c r="CF15" s="1">
        <f>COUNTIF(BT15:CE15, "&gt;0")</f>
        <v>1</v>
      </c>
      <c r="CG15" s="1" t="str">
        <f>IF($CF15=1,BT15,"")</f>
        <v/>
      </c>
      <c r="CH15" s="1" t="str">
        <f>IF($CF15=1,BU15,"")</f>
        <v/>
      </c>
      <c r="CI15" s="1">
        <f>IF($CF15=1,BV15,"")</f>
        <v>3</v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18">
        <f>SUM(AE15:BO15)</f>
        <v>10</v>
      </c>
    </row>
    <row r="16" spans="1:97" x14ac:dyDescent="0.15">
      <c r="A16" s="19">
        <v>40</v>
      </c>
      <c r="B16" s="19" t="s">
        <v>55</v>
      </c>
      <c r="C16" s="19" t="s">
        <v>49</v>
      </c>
      <c r="D16" s="19" t="s">
        <v>56</v>
      </c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>
        <v>5</v>
      </c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1"/>
      <c r="AR16" s="21"/>
      <c r="AS16" s="21"/>
      <c r="AT16" s="21"/>
      <c r="AU16" s="21"/>
      <c r="AV16" s="21"/>
      <c r="AW16" s="22"/>
      <c r="AX16" s="22"/>
      <c r="AY16" s="22"/>
      <c r="AZ16" s="22"/>
      <c r="BA16" s="22"/>
      <c r="BB16" s="22"/>
      <c r="BC16" s="30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">
        <f>SUM(E16:BO16)</f>
        <v>5</v>
      </c>
      <c r="BQ16" s="19">
        <v>3</v>
      </c>
      <c r="BR16" s="23">
        <v>1</v>
      </c>
      <c r="BS16" s="23" t="s">
        <v>218</v>
      </c>
      <c r="BT16" s="1" t="str">
        <f>IF(AQ16&gt;AQ$147, AQ16-AQ$147,"")</f>
        <v/>
      </c>
      <c r="BU16" s="1" t="str">
        <f>IF(AR16&gt;AR$147, AR16-AR$147,"")</f>
        <v/>
      </c>
      <c r="BV16" s="1" t="str">
        <f>IF(AS16&gt;AS$147, AS16-AS$147,"")</f>
        <v/>
      </c>
      <c r="BW16" s="1" t="str">
        <f>IF(AT16&gt;AT$147, AT16-AT$147,"")</f>
        <v/>
      </c>
      <c r="BX16" s="1" t="str">
        <f>IF(AU16&gt;AU$147, AU16-AU$147,"")</f>
        <v/>
      </c>
      <c r="BY16" s="1" t="str">
        <f>IF(AV16&gt;AV$147, AV16-AV$147,"")</f>
        <v/>
      </c>
      <c r="BZ16" s="1" t="str">
        <f>IF(AW16&gt;AW$147, AW16-AW$147,"")</f>
        <v/>
      </c>
      <c r="CA16" s="1" t="str">
        <f>IF(AX16&gt;AX$147, AX16-AX$147,"")</f>
        <v/>
      </c>
      <c r="CB16" s="1" t="str">
        <f>IF(AY16&gt;AY$147, AY16-AY$147,"")</f>
        <v/>
      </c>
      <c r="CC16" s="1" t="str">
        <f>IF(AZ16&gt;AZ$147, AZ16-AZ$147,"")</f>
        <v/>
      </c>
      <c r="CD16" s="1" t="str">
        <f>IF(BA16&gt;BA$147, BA16-BA$147,"")</f>
        <v/>
      </c>
      <c r="CE16" s="1" t="str">
        <f>IF(BB16&gt;BB$147, BB16-BB$147,"")</f>
        <v/>
      </c>
      <c r="CF16" s="19">
        <f>COUNTIF(BT16:CE16, "&gt;0")</f>
        <v>0</v>
      </c>
      <c r="CG16" s="19" t="str">
        <f>IF($CF16=1,BT16,"")</f>
        <v/>
      </c>
      <c r="CH16" s="19" t="str">
        <f>IF($CF16=1,BU16,"")</f>
        <v/>
      </c>
      <c r="CI16" s="19" t="str">
        <f>IF($CF16=1,BV16,"")</f>
        <v/>
      </c>
      <c r="CJ16" s="19" t="str">
        <f>IF($CF16=1,BW16,"")</f>
        <v/>
      </c>
      <c r="CK16" s="19" t="str">
        <f>IF($CF16=1,BX16,"")</f>
        <v/>
      </c>
      <c r="CL16" s="19" t="str">
        <f>IF($CF16=1,BY16,"")</f>
        <v/>
      </c>
      <c r="CM16" s="19" t="str">
        <f>IF($CF16=1,BZ16,"")</f>
        <v/>
      </c>
      <c r="CN16" s="19" t="str">
        <f>IF($CF16=1,CA16,"")</f>
        <v/>
      </c>
      <c r="CO16" s="19" t="str">
        <f>IF($CF16=1,CB16,"")</f>
        <v/>
      </c>
      <c r="CP16" s="19" t="str">
        <f>IF($CF16=1,CC16,"")</f>
        <v/>
      </c>
      <c r="CQ16" s="19" t="str">
        <f>IF($CF16=1,CD16,"")</f>
        <v/>
      </c>
      <c r="CR16" s="19" t="str">
        <f>IF($CF16=1,CE16,"")</f>
        <v/>
      </c>
      <c r="CS16" s="24">
        <f>SUM(AE16:BO16)</f>
        <v>0</v>
      </c>
    </row>
    <row r="17" spans="1:97" x14ac:dyDescent="0.15">
      <c r="A17" s="19">
        <v>83</v>
      </c>
      <c r="B17" s="26" t="s">
        <v>73</v>
      </c>
      <c r="C17" s="26" t="s">
        <v>68</v>
      </c>
      <c r="D17" s="19" t="s">
        <v>1</v>
      </c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>
        <v>5</v>
      </c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1"/>
      <c r="AR17" s="21"/>
      <c r="AS17" s="21"/>
      <c r="AT17" s="21"/>
      <c r="AU17" s="21"/>
      <c r="AV17" s="21"/>
      <c r="AW17" s="22"/>
      <c r="AX17" s="22"/>
      <c r="AY17" s="22"/>
      <c r="AZ17" s="22"/>
      <c r="BA17" s="22"/>
      <c r="BB17" s="22"/>
      <c r="BC17" s="30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">
        <f>SUM(E17:BO17)</f>
        <v>5</v>
      </c>
      <c r="BQ17" s="19">
        <v>3</v>
      </c>
      <c r="BR17" s="23">
        <v>1</v>
      </c>
      <c r="BS17" s="23" t="s">
        <v>219</v>
      </c>
      <c r="BT17" s="1" t="str">
        <f>IF(AQ17&gt;AQ$147, AQ17-AQ$147,"")</f>
        <v/>
      </c>
      <c r="BU17" s="1" t="str">
        <f>IF(AR17&gt;AR$147, AR17-AR$147,"")</f>
        <v/>
      </c>
      <c r="BV17" s="1" t="str">
        <f>IF(AS17&gt;AS$147, AS17-AS$147,"")</f>
        <v/>
      </c>
      <c r="BW17" s="1" t="str">
        <f>IF(AT17&gt;AT$147, AT17-AT$147,"")</f>
        <v/>
      </c>
      <c r="BX17" s="1" t="str">
        <f>IF(AU17&gt;AU$147, AU17-AU$147,"")</f>
        <v/>
      </c>
      <c r="BY17" s="1" t="str">
        <f>IF(AV17&gt;AV$147, AV17-AV$147,"")</f>
        <v/>
      </c>
      <c r="BZ17" s="1" t="str">
        <f>IF(AW17&gt;AW$147, AW17-AW$147,"")</f>
        <v/>
      </c>
      <c r="CA17" s="1" t="str">
        <f>IF(AX17&gt;AX$147, AX17-AX$147,"")</f>
        <v/>
      </c>
      <c r="CB17" s="1" t="str">
        <f>IF(AY17&gt;AY$147, AY17-AY$147,"")</f>
        <v/>
      </c>
      <c r="CC17" s="1" t="str">
        <f>IF(AZ17&gt;AZ$147, AZ17-AZ$147,"")</f>
        <v/>
      </c>
      <c r="CD17" s="1" t="str">
        <f>IF(BA17&gt;BA$147, BA17-BA$147,"")</f>
        <v/>
      </c>
      <c r="CE17" s="1" t="str">
        <f>IF(BB17&gt;BB$147, BB17-BB$147,"")</f>
        <v/>
      </c>
      <c r="CF17" s="19">
        <f>COUNTIF(BT17:CE17, "&gt;0")</f>
        <v>0</v>
      </c>
      <c r="CG17" s="19" t="str">
        <f>IF($CF17=1,BT17,"")</f>
        <v/>
      </c>
      <c r="CH17" s="19" t="str">
        <f>IF($CF17=1,BU17,"")</f>
        <v/>
      </c>
      <c r="CI17" s="19" t="str">
        <f>IF($CF17=1,BV17,"")</f>
        <v/>
      </c>
      <c r="CJ17" s="19" t="str">
        <f>IF($CF17=1,BW17,"")</f>
        <v/>
      </c>
      <c r="CK17" s="19" t="str">
        <f>IF($CF17=1,BX17,"")</f>
        <v/>
      </c>
      <c r="CL17" s="19" t="str">
        <f>IF($CF17=1,BY17,"")</f>
        <v/>
      </c>
      <c r="CM17" s="19" t="str">
        <f>IF($CF17=1,BZ17,"")</f>
        <v/>
      </c>
      <c r="CN17" s="19" t="str">
        <f>IF($CF17=1,CA17,"")</f>
        <v/>
      </c>
      <c r="CO17" s="19" t="str">
        <f>IF($CF17=1,CB17,"")</f>
        <v/>
      </c>
      <c r="CP17" s="19" t="str">
        <f>IF($CF17=1,CC17,"")</f>
        <v/>
      </c>
      <c r="CQ17" s="19" t="str">
        <f>IF($CF17=1,CD17,"")</f>
        <v/>
      </c>
      <c r="CR17" s="19" t="str">
        <f>IF($CF17=1,CE17,"")</f>
        <v/>
      </c>
      <c r="CS17" s="24">
        <f>SUM(AE17:BO17)</f>
        <v>0</v>
      </c>
    </row>
    <row r="18" spans="1:97" x14ac:dyDescent="0.15">
      <c r="A18" s="1"/>
      <c r="B18" s="1" t="s">
        <v>201</v>
      </c>
      <c r="C18" s="1" t="s">
        <v>128</v>
      </c>
      <c r="D18" s="1" t="s">
        <v>113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>
        <v>5</v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3</v>
      </c>
      <c r="BR18" s="17">
        <v>1</v>
      </c>
      <c r="BS18" s="17" t="s">
        <v>219</v>
      </c>
      <c r="BT18" s="1" t="str">
        <f>IF(AQ18&gt;AQ$147, AQ18-AQ$147,"")</f>
        <v/>
      </c>
      <c r="BU18" s="1" t="str">
        <f>IF(AR18&gt;AR$147, AR18-AR$147,"")</f>
        <v/>
      </c>
      <c r="BV18" s="1" t="str">
        <f>IF(AS18&gt;AS$147, AS18-AS$147,"")</f>
        <v/>
      </c>
      <c r="BW18" s="1" t="str">
        <f>IF(AT18&gt;AT$147, AT18-AT$147,"")</f>
        <v/>
      </c>
      <c r="BX18" s="1" t="str">
        <f>IF(AU18&gt;AU$147, AU18-AU$147,"")</f>
        <v/>
      </c>
      <c r="BY18" s="1" t="str">
        <f>IF(AV18&gt;AV$147, AV18-AV$147,"")</f>
        <v/>
      </c>
      <c r="BZ18" s="1" t="str">
        <f>IF(AW18&gt;AW$147, AW18-AW$147,"")</f>
        <v/>
      </c>
      <c r="CA18" s="1" t="str">
        <f>IF(AX18&gt;AX$147, AX18-AX$147,"")</f>
        <v/>
      </c>
      <c r="CB18" s="1" t="str">
        <f>IF(AY18&gt;AY$147, AY18-AY$147,"")</f>
        <v/>
      </c>
      <c r="CC18" s="1" t="str">
        <f>IF(AZ18&gt;AZ$147, AZ18-AZ$147,"")</f>
        <v/>
      </c>
      <c r="CD18" s="1" t="str">
        <f>IF(BA18&gt;BA$147, BA18-BA$147,"")</f>
        <v/>
      </c>
      <c r="CE18" s="1" t="str">
        <f>IF(BB18&gt;BB$147, BB18-BB$147,"")</f>
        <v/>
      </c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8"/>
    </row>
    <row r="19" spans="1:97" x14ac:dyDescent="0.15">
      <c r="A19" s="1"/>
      <c r="B19" s="1" t="s">
        <v>203</v>
      </c>
      <c r="C19" s="1" t="s">
        <v>116</v>
      </c>
      <c r="D19" s="1" t="s">
        <v>113</v>
      </c>
      <c r="E19" s="6"/>
      <c r="F19" s="6">
        <v>5</v>
      </c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4</v>
      </c>
      <c r="BR19" s="17">
        <v>1</v>
      </c>
      <c r="BS19" s="17" t="s">
        <v>211</v>
      </c>
      <c r="BT19" s="1" t="str">
        <f>IF(AQ19&gt;AQ$147, AQ19-AQ$147,"")</f>
        <v/>
      </c>
      <c r="BU19" s="1" t="str">
        <f>IF(AR19&gt;AR$147, AR19-AR$147,"")</f>
        <v/>
      </c>
      <c r="BV19" s="1" t="str">
        <f>IF(AS19&gt;AS$147, AS19-AS$147,"")</f>
        <v/>
      </c>
      <c r="BW19" s="1" t="str">
        <f>IF(AT19&gt;AT$147, AT19-AT$147,"")</f>
        <v/>
      </c>
      <c r="BX19" s="1" t="str">
        <f>IF(AU19&gt;AU$147, AU19-AU$147,"")</f>
        <v/>
      </c>
      <c r="BY19" s="1" t="str">
        <f>IF(AV19&gt;AV$147, AV19-AV$147,"")</f>
        <v/>
      </c>
      <c r="BZ19" s="1" t="str">
        <f>IF(AW19&gt;AW$147, AW19-AW$147,"")</f>
        <v/>
      </c>
      <c r="CA19" s="1" t="str">
        <f>IF(AX19&gt;AX$147, AX19-AX$147,"")</f>
        <v/>
      </c>
      <c r="CB19" s="1" t="str">
        <f>IF(AY19&gt;AY$147, AY19-AY$147,"")</f>
        <v/>
      </c>
      <c r="CC19" s="1" t="str">
        <f>IF(AZ19&gt;AZ$147, AZ19-AZ$147,"")</f>
        <v/>
      </c>
      <c r="CD19" s="1" t="str">
        <f>IF(BA19&gt;BA$147, BA19-BA$147,"")</f>
        <v/>
      </c>
      <c r="CE19" s="1" t="str">
        <f>IF(BB19&gt;BB$147, BB19-BB$147,"")</f>
        <v/>
      </c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8"/>
    </row>
    <row r="20" spans="1:97" x14ac:dyDescent="0.15">
      <c r="A20" s="1"/>
      <c r="B20" s="1" t="s">
        <v>200</v>
      </c>
      <c r="C20" s="1" t="s">
        <v>128</v>
      </c>
      <c r="D20" s="1" t="s">
        <v>113</v>
      </c>
      <c r="E20" s="6"/>
      <c r="F20" s="6">
        <v>5</v>
      </c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4</v>
      </c>
      <c r="BR20" s="17">
        <v>1</v>
      </c>
      <c r="BS20" s="17" t="s">
        <v>211</v>
      </c>
      <c r="BT20" s="1" t="str">
        <f>IF(AQ20&gt;AQ$147, AQ20-AQ$147,"")</f>
        <v/>
      </c>
      <c r="BU20" s="1" t="str">
        <f>IF(AR20&gt;AR$147, AR20-AR$147,"")</f>
        <v/>
      </c>
      <c r="BV20" s="1" t="str">
        <f>IF(AS20&gt;AS$147, AS20-AS$147,"")</f>
        <v/>
      </c>
      <c r="BW20" s="1" t="str">
        <f>IF(AT20&gt;AT$147, AT20-AT$147,"")</f>
        <v/>
      </c>
      <c r="BX20" s="1" t="str">
        <f>IF(AU20&gt;AU$147, AU20-AU$147,"")</f>
        <v/>
      </c>
      <c r="BY20" s="1" t="str">
        <f>IF(AV20&gt;AV$147, AV20-AV$147,"")</f>
        <v/>
      </c>
      <c r="BZ20" s="1" t="str">
        <f>IF(AW20&gt;AW$147, AW20-AW$147,"")</f>
        <v/>
      </c>
      <c r="CA20" s="1" t="str">
        <f>IF(AX20&gt;AX$147, AX20-AX$147,"")</f>
        <v/>
      </c>
      <c r="CB20" s="1" t="str">
        <f>IF(AY20&gt;AY$147, AY20-AY$147,"")</f>
        <v/>
      </c>
      <c r="CC20" s="1" t="str">
        <f>IF(AZ20&gt;AZ$147, AZ20-AZ$147,"")</f>
        <v/>
      </c>
      <c r="CD20" s="1" t="str">
        <f>IF(BA20&gt;BA$147, BA20-BA$147,"")</f>
        <v/>
      </c>
      <c r="CE20" s="1" t="str">
        <f>IF(BB20&gt;BB$147, BB20-BB$147,"")</f>
        <v/>
      </c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8"/>
    </row>
    <row r="21" spans="1:97" x14ac:dyDescent="0.15">
      <c r="A21" s="1">
        <v>5</v>
      </c>
      <c r="B21" s="1" t="s">
        <v>22</v>
      </c>
      <c r="C21" s="1" t="s">
        <v>2</v>
      </c>
      <c r="D21" s="1" t="s">
        <v>12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>
        <v>10</v>
      </c>
      <c r="AS21" s="4"/>
      <c r="AT21" s="4"/>
      <c r="AU21" s="4"/>
      <c r="AV21" s="4"/>
      <c r="AW21" s="2"/>
      <c r="AX21" s="2"/>
      <c r="AY21" s="2"/>
      <c r="AZ21" s="2"/>
      <c r="BA21" s="2"/>
      <c r="BB21" s="2">
        <v>10</v>
      </c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20</v>
      </c>
      <c r="BQ21" s="1">
        <v>4</v>
      </c>
      <c r="BR21" s="17">
        <v>1</v>
      </c>
      <c r="BS21" s="17" t="s">
        <v>220</v>
      </c>
      <c r="BT21" s="1" t="str">
        <f>IF(AQ21&gt;AQ$147, AQ21-AQ$147,"")</f>
        <v/>
      </c>
      <c r="BU21" s="1">
        <f>IF(AR21&gt;AR$147, AR21-AR$147,"")</f>
        <v>4</v>
      </c>
      <c r="BV21" s="1" t="str">
        <f>IF(AS21&gt;AS$147, AS21-AS$147,"")</f>
        <v/>
      </c>
      <c r="BW21" s="1" t="str">
        <f>IF(AT21&gt;AT$147, AT21-AT$147,"")</f>
        <v/>
      </c>
      <c r="BX21" s="1" t="str">
        <f>IF(AU21&gt;AU$147, AU21-AU$147,"")</f>
        <v/>
      </c>
      <c r="BY21" s="1" t="str">
        <f>IF(AV21&gt;AV$147, AV21-AV$147,"")</f>
        <v/>
      </c>
      <c r="BZ21" s="1" t="str">
        <f>IF(AW21&gt;AW$147, AW21-AW$147,"")</f>
        <v/>
      </c>
      <c r="CA21" s="1" t="str">
        <f>IF(AX21&gt;AX$147, AX21-AX$147,"")</f>
        <v/>
      </c>
      <c r="CB21" s="1" t="str">
        <f>IF(AY21&gt;AY$147, AY21-AY$147,"")</f>
        <v/>
      </c>
      <c r="CC21" s="1" t="str">
        <f>IF(AZ21&gt;AZ$147, AZ21-AZ$147,"")</f>
        <v/>
      </c>
      <c r="CD21" s="1" t="str">
        <f>IF(BA21&gt;BA$147, BA21-BA$147,"")</f>
        <v/>
      </c>
      <c r="CE21" s="1" t="str">
        <f>IF(BB21&gt;BB$147, BB21-BB$147,"")</f>
        <v/>
      </c>
      <c r="CF21" s="1">
        <f>COUNTIF(BT21:CE21, "&gt;0")</f>
        <v>1</v>
      </c>
      <c r="CG21" s="1" t="str">
        <f>IF($CF21=1,BT21,"")</f>
        <v/>
      </c>
      <c r="CH21" s="1">
        <f>IF($CF21=1,BU21,"")</f>
        <v>4</v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18">
        <f>SUM(AE21:BO21)</f>
        <v>20</v>
      </c>
    </row>
    <row r="22" spans="1:97" s="25" customFormat="1" x14ac:dyDescent="0.15">
      <c r="A22" s="1">
        <v>6</v>
      </c>
      <c r="B22" s="1" t="s">
        <v>54</v>
      </c>
      <c r="C22" s="1" t="s">
        <v>2</v>
      </c>
      <c r="D22" s="1" t="s">
        <v>23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>
        <v>10</v>
      </c>
      <c r="AS22" s="4"/>
      <c r="AT22" s="4"/>
      <c r="AU22" s="4"/>
      <c r="AV22" s="4"/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20</v>
      </c>
      <c r="BQ22" s="1">
        <v>4</v>
      </c>
      <c r="BR22" s="17">
        <v>1</v>
      </c>
      <c r="BS22" s="17" t="s">
        <v>220</v>
      </c>
      <c r="BT22" s="1" t="str">
        <f>IF(AQ22&gt;AQ$147, AQ22-AQ$147,"")</f>
        <v/>
      </c>
      <c r="BU22" s="1">
        <f>IF(AR22&gt;AR$147, AR22-AR$147,"")</f>
        <v>4</v>
      </c>
      <c r="BV22" s="1" t="str">
        <f>IF(AS22&gt;AS$147, AS22-AS$147,"")</f>
        <v/>
      </c>
      <c r="BW22" s="1" t="str">
        <f>IF(AT22&gt;AT$147, AT22-AT$147,"")</f>
        <v/>
      </c>
      <c r="BX22" s="1" t="str">
        <f>IF(AU22&gt;AU$147, AU22-AU$147,"")</f>
        <v/>
      </c>
      <c r="BY22" s="1" t="str">
        <f>IF(AV22&gt;AV$147, AV22-AV$147,"")</f>
        <v/>
      </c>
      <c r="BZ22" s="1" t="str">
        <f>IF(AW22&gt;AW$147, AW22-AW$147,"")</f>
        <v/>
      </c>
      <c r="CA22" s="1" t="str">
        <f>IF(AX22&gt;AX$147, AX22-AX$147,"")</f>
        <v/>
      </c>
      <c r="CB22" s="1" t="str">
        <f>IF(AY22&gt;AY$147, AY22-AY$147,"")</f>
        <v/>
      </c>
      <c r="CC22" s="1" t="str">
        <f>IF(AZ22&gt;AZ$147, AZ22-AZ$147,"")</f>
        <v/>
      </c>
      <c r="CD22" s="1" t="str">
        <f>IF(BA22&gt;BA$147, BA22-BA$147,"")</f>
        <v/>
      </c>
      <c r="CE22" s="1" t="str">
        <f>IF(BB22&gt;BB$147, BB22-BB$147,"")</f>
        <v/>
      </c>
      <c r="CF22" s="1">
        <f>COUNTIF(BT22:CE22, "&gt;0")</f>
        <v>1</v>
      </c>
      <c r="CG22" s="1" t="str">
        <f>IF($CF22=1,BT22,"")</f>
        <v/>
      </c>
      <c r="CH22" s="1">
        <f>IF($CF22=1,BU22,"")</f>
        <v>4</v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18">
        <f>SUM(AE22:BO22)</f>
        <v>20</v>
      </c>
    </row>
    <row r="23" spans="1:97" x14ac:dyDescent="0.15">
      <c r="A23" s="1"/>
      <c r="B23" s="1" t="s">
        <v>208</v>
      </c>
      <c r="C23" s="1" t="s">
        <v>209</v>
      </c>
      <c r="D23" s="1" t="s">
        <v>210</v>
      </c>
      <c r="E23" s="6"/>
      <c r="F23" s="6"/>
      <c r="G23" s="6"/>
      <c r="H23" s="6"/>
      <c r="I23" s="6"/>
      <c r="J23" s="6"/>
      <c r="K23" s="6"/>
      <c r="L23" s="6"/>
      <c r="M23" s="6">
        <v>5</v>
      </c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v>4</v>
      </c>
      <c r="BR23" s="17">
        <v>1</v>
      </c>
      <c r="BS23" s="17" t="s">
        <v>313</v>
      </c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x14ac:dyDescent="0.15">
      <c r="A24" s="1"/>
      <c r="B24" s="1" t="s">
        <v>207</v>
      </c>
      <c r="C24" s="1" t="s">
        <v>128</v>
      </c>
      <c r="D24" s="1" t="s">
        <v>113</v>
      </c>
      <c r="E24" s="6"/>
      <c r="F24" s="6"/>
      <c r="G24" s="6"/>
      <c r="H24" s="6">
        <v>5</v>
      </c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5</v>
      </c>
      <c r="BQ24" s="1">
        <v>5</v>
      </c>
      <c r="BR24" s="17">
        <v>1</v>
      </c>
      <c r="BS24" s="17" t="s">
        <v>221</v>
      </c>
      <c r="BT24" s="1" t="str">
        <f>IF(AQ24&gt;AQ$147, AQ24-AQ$147,"")</f>
        <v/>
      </c>
      <c r="BU24" s="1" t="str">
        <f>IF(AR24&gt;AR$147, AR24-AR$147,"")</f>
        <v/>
      </c>
      <c r="BV24" s="1" t="str">
        <f>IF(AS24&gt;AS$147, AS24-AS$147,"")</f>
        <v/>
      </c>
      <c r="BW24" s="1" t="str">
        <f>IF(AT24&gt;AT$147, AT24-AT$147,"")</f>
        <v/>
      </c>
      <c r="BX24" s="1" t="str">
        <f>IF(AU24&gt;AU$147, AU24-AU$147,"")</f>
        <v/>
      </c>
      <c r="BY24" s="1" t="str">
        <f>IF(AV24&gt;AV$147, AV24-AV$147,"")</f>
        <v/>
      </c>
      <c r="BZ24" s="1" t="str">
        <f>IF(AW24&gt;AW$147, AW24-AW$147,"")</f>
        <v/>
      </c>
      <c r="CA24" s="1" t="str">
        <f>IF(AX24&gt;AX$147, AX24-AX$147,"")</f>
        <v/>
      </c>
      <c r="CB24" s="1" t="str">
        <f>IF(AY24&gt;AY$147, AY24-AY$147,"")</f>
        <v/>
      </c>
      <c r="CC24" s="1" t="str">
        <f>IF(AZ24&gt;AZ$147, AZ24-AZ$147,"")</f>
        <v/>
      </c>
      <c r="CD24" s="1" t="str">
        <f>IF(BA24&gt;BA$147, BA24-BA$147,"")</f>
        <v/>
      </c>
      <c r="CE24" s="1" t="str">
        <f>IF(BB24&gt;BB$147, BB24-BB$147,"")</f>
        <v/>
      </c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x14ac:dyDescent="0.15">
      <c r="A25" s="1">
        <v>17</v>
      </c>
      <c r="B25" s="1" t="s">
        <v>35</v>
      </c>
      <c r="C25" s="1" t="s">
        <v>32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>
        <v>5</v>
      </c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5</v>
      </c>
      <c r="BQ25" s="1">
        <v>5</v>
      </c>
      <c r="BR25" s="17">
        <v>1</v>
      </c>
      <c r="BS25" s="17" t="s">
        <v>222</v>
      </c>
      <c r="BT25" s="1" t="str">
        <f>IF(AQ25&gt;AQ$147, AQ25-AQ$147,"")</f>
        <v/>
      </c>
      <c r="BU25" s="1" t="str">
        <f>IF(AR25&gt;AR$147, AR25-AR$147,"")</f>
        <v/>
      </c>
      <c r="BV25" s="1" t="str">
        <f>IF(AS25&gt;AS$147, AS25-AS$147,"")</f>
        <v/>
      </c>
      <c r="BW25" s="1" t="str">
        <f>IF(AT25&gt;AT$147, AT25-AT$147,"")</f>
        <v/>
      </c>
      <c r="BX25" s="1" t="str">
        <f>IF(AU25&gt;AU$147, AU25-AU$147,"")</f>
        <v/>
      </c>
      <c r="BY25" s="1" t="str">
        <f>IF(AV25&gt;AV$147, AV25-AV$147,"")</f>
        <v/>
      </c>
      <c r="BZ25" s="1" t="str">
        <f>IF(AW25&gt;AW$147, AW25-AW$147,"")</f>
        <v/>
      </c>
      <c r="CA25" s="1" t="str">
        <f>IF(AX25&gt;AX$147, AX25-AX$147,"")</f>
        <v/>
      </c>
      <c r="CB25" s="1" t="str">
        <f>IF(AY25&gt;AY$147, AY25-AY$147,"")</f>
        <v/>
      </c>
      <c r="CC25" s="1" t="str">
        <f>IF(AZ25&gt;AZ$147, AZ25-AZ$147,"")</f>
        <v/>
      </c>
      <c r="CD25" s="1" t="str">
        <f>IF(BA25&gt;BA$147, BA25-BA$147,"")</f>
        <v/>
      </c>
      <c r="CE25" s="1" t="str">
        <f>IF(BB25&gt;BB$147, BB25-BB$147,"")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18">
        <f>SUM(AE25:BO25)</f>
        <v>5</v>
      </c>
    </row>
    <row r="26" spans="1:97" x14ac:dyDescent="0.15">
      <c r="A26" s="1">
        <v>18</v>
      </c>
      <c r="B26" s="1" t="s">
        <v>35</v>
      </c>
      <c r="C26" s="1" t="s">
        <v>32</v>
      </c>
      <c r="D26" s="1" t="s">
        <v>25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>
        <v>5</v>
      </c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5</v>
      </c>
      <c r="BQ26" s="1">
        <v>5</v>
      </c>
      <c r="BR26" s="17">
        <v>1</v>
      </c>
      <c r="BS26" s="17" t="s">
        <v>223</v>
      </c>
      <c r="BT26" s="1" t="str">
        <f>IF(AQ26&gt;AQ$147, AQ26-AQ$147,"")</f>
        <v/>
      </c>
      <c r="BU26" s="1" t="str">
        <f>IF(AR26&gt;AR$147, AR26-AR$147,"")</f>
        <v/>
      </c>
      <c r="BV26" s="1" t="str">
        <f>IF(AS26&gt;AS$147, AS26-AS$147,"")</f>
        <v/>
      </c>
      <c r="BW26" s="1" t="str">
        <f>IF(AT26&gt;AT$147, AT26-AT$147,"")</f>
        <v/>
      </c>
      <c r="BX26" s="1" t="str">
        <f>IF(AU26&gt;AU$147, AU26-AU$147,"")</f>
        <v/>
      </c>
      <c r="BY26" s="1" t="str">
        <f>IF(AV26&gt;AV$147, AV26-AV$147,"")</f>
        <v/>
      </c>
      <c r="BZ26" s="1" t="str">
        <f>IF(AW26&gt;AW$147, AW26-AW$147,"")</f>
        <v/>
      </c>
      <c r="CA26" s="1" t="str">
        <f>IF(AX26&gt;AX$147, AX26-AX$147,"")</f>
        <v/>
      </c>
      <c r="CB26" s="1" t="str">
        <f>IF(AY26&gt;AY$147, AY26-AY$147,"")</f>
        <v/>
      </c>
      <c r="CC26" s="1" t="str">
        <f>IF(AZ26&gt;AZ$147, AZ26-AZ$147,"")</f>
        <v/>
      </c>
      <c r="CD26" s="1" t="str">
        <f>IF(BA26&gt;BA$147, BA26-BA$147,"")</f>
        <v/>
      </c>
      <c r="CE26" s="1" t="str">
        <f>IF(BB26&gt;BB$147, BB26-BB$147,"")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18">
        <f>SUM(AE26:BO26)</f>
        <v>5</v>
      </c>
    </row>
    <row r="27" spans="1:97" x14ac:dyDescent="0.15">
      <c r="A27" s="1">
        <v>19</v>
      </c>
      <c r="B27" s="1" t="s">
        <v>38</v>
      </c>
      <c r="C27" s="1" t="s">
        <v>32</v>
      </c>
      <c r="D27" s="1" t="s">
        <v>24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>
        <v>5</v>
      </c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5</v>
      </c>
      <c r="BQ27" s="1">
        <v>5</v>
      </c>
      <c r="BR27" s="17">
        <v>1</v>
      </c>
      <c r="BS27" s="17" t="s">
        <v>223</v>
      </c>
      <c r="BT27" s="1" t="str">
        <f>IF(AQ27&gt;AQ$147, AQ27-AQ$147,"")</f>
        <v/>
      </c>
      <c r="BU27" s="1" t="str">
        <f>IF(AR27&gt;AR$147, AR27-AR$147,"")</f>
        <v/>
      </c>
      <c r="BV27" s="1" t="str">
        <f>IF(AS27&gt;AS$147, AS27-AS$147,"")</f>
        <v/>
      </c>
      <c r="BW27" s="1" t="str">
        <f>IF(AT27&gt;AT$147, AT27-AT$147,"")</f>
        <v/>
      </c>
      <c r="BX27" s="1" t="str">
        <f>IF(AU27&gt;AU$147, AU27-AU$147,"")</f>
        <v/>
      </c>
      <c r="BY27" s="1" t="str">
        <f>IF(AV27&gt;AV$147, AV27-AV$147,"")</f>
        <v/>
      </c>
      <c r="BZ27" s="1" t="str">
        <f>IF(AW27&gt;AW$147, AW27-AW$147,"")</f>
        <v/>
      </c>
      <c r="CA27" s="1" t="str">
        <f>IF(AX27&gt;AX$147, AX27-AX$147,"")</f>
        <v/>
      </c>
      <c r="CB27" s="1" t="str">
        <f>IF(AY27&gt;AY$147, AY27-AY$147,"")</f>
        <v/>
      </c>
      <c r="CC27" s="1" t="str">
        <f>IF(AZ27&gt;AZ$147, AZ27-AZ$147,"")</f>
        <v/>
      </c>
      <c r="CD27" s="1" t="str">
        <f>IF(BA27&gt;BA$147, BA27-BA$147,"")</f>
        <v/>
      </c>
      <c r="CE27" s="1" t="str">
        <f>IF(BB27&gt;BB$147, BB27-BB$147,"")</f>
        <v/>
      </c>
      <c r="CF27" s="1">
        <f>COUNTIF(BT27:CE27, "&gt;0")</f>
        <v>0</v>
      </c>
      <c r="CG27" s="1" t="str">
        <f>IF($CF27=1,BT27,"")</f>
        <v/>
      </c>
      <c r="CH27" s="1" t="str">
        <f>IF($CF27=1,BU27,"")</f>
        <v/>
      </c>
      <c r="CI27" s="1" t="str">
        <f>IF($CF27=1,BV27,"")</f>
        <v/>
      </c>
      <c r="CJ27" s="1" t="str">
        <f>IF($CF27=1,BW27,"")</f>
        <v/>
      </c>
      <c r="CK27" s="1" t="str">
        <f>IF($CF27=1,BX27,"")</f>
        <v/>
      </c>
      <c r="CL27" s="1" t="str">
        <f>IF($CF27=1,BY27,"")</f>
        <v/>
      </c>
      <c r="CM27" s="1" t="str">
        <f>IF($CF27=1,BZ27,"")</f>
        <v/>
      </c>
      <c r="CN27" s="1" t="str">
        <f>IF($CF27=1,CA27,"")</f>
        <v/>
      </c>
      <c r="CO27" s="1" t="str">
        <f>IF($CF27=1,CB27,"")</f>
        <v/>
      </c>
      <c r="CP27" s="1" t="str">
        <f>IF($CF27=1,CC27,"")</f>
        <v/>
      </c>
      <c r="CQ27" s="1" t="str">
        <f>IF($CF27=1,CD27,"")</f>
        <v/>
      </c>
      <c r="CR27" s="1" t="str">
        <f>IF($CF27=1,CE27,"")</f>
        <v/>
      </c>
      <c r="CS27" s="18">
        <f>SUM(AE27:BO27)</f>
        <v>5</v>
      </c>
    </row>
    <row r="28" spans="1:97" x14ac:dyDescent="0.15">
      <c r="A28" s="1">
        <v>32</v>
      </c>
      <c r="B28" s="1" t="s">
        <v>82</v>
      </c>
      <c r="C28" s="1" t="s">
        <v>32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>
        <v>5</v>
      </c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5</v>
      </c>
      <c r="BQ28" s="1">
        <v>5</v>
      </c>
      <c r="BR28" s="17">
        <v>1</v>
      </c>
      <c r="BS28" s="17" t="s">
        <v>224</v>
      </c>
      <c r="BT28" s="1" t="str">
        <f>IF(AQ28&gt;AQ$147, AQ28-AQ$147,"")</f>
        <v/>
      </c>
      <c r="BU28" s="1" t="str">
        <f>IF(AR28&gt;AR$147, AR28-AR$147,"")</f>
        <v/>
      </c>
      <c r="BV28" s="1" t="str">
        <f>IF(AS28&gt;AS$147, AS28-AS$147,"")</f>
        <v/>
      </c>
      <c r="BW28" s="1" t="str">
        <f>IF(AT28&gt;AT$147, AT28-AT$147,"")</f>
        <v/>
      </c>
      <c r="BX28" s="1" t="str">
        <f>IF(AU28&gt;AU$147, AU28-AU$147,"")</f>
        <v/>
      </c>
      <c r="BY28" s="1" t="str">
        <f>IF(AV28&gt;AV$147, AV28-AV$147,"")</f>
        <v/>
      </c>
      <c r="BZ28" s="1" t="str">
        <f>IF(AW28&gt;AW$147, AW28-AW$147,"")</f>
        <v/>
      </c>
      <c r="CA28" s="1" t="str">
        <f>IF(AX28&gt;AX$147, AX28-AX$147,"")</f>
        <v/>
      </c>
      <c r="CB28" s="1" t="str">
        <f>IF(AY28&gt;AY$147, AY28-AY$147,"")</f>
        <v/>
      </c>
      <c r="CC28" s="1" t="str">
        <f>IF(AZ28&gt;AZ$147, AZ28-AZ$147,"")</f>
        <v/>
      </c>
      <c r="CD28" s="1" t="str">
        <f>IF(BA28&gt;BA$147, BA28-BA$147,"")</f>
        <v/>
      </c>
      <c r="CE28" s="1" t="str">
        <f>IF(BB28&gt;BB$147, BB28-BB$147,"")</f>
        <v/>
      </c>
      <c r="CF28" s="1">
        <f>COUNTIF(BT28:CE28, "&gt;0")</f>
        <v>0</v>
      </c>
      <c r="CG28" s="1" t="str">
        <f>IF($CF28=1,BT28,"")</f>
        <v/>
      </c>
      <c r="CH28" s="1" t="str">
        <f>IF($CF28=1,BU28,"")</f>
        <v/>
      </c>
      <c r="CI28" s="1" t="str">
        <f>IF($CF28=1,BV28,"")</f>
        <v/>
      </c>
      <c r="CJ28" s="1" t="str">
        <f>IF($CF28=1,BW28,"")</f>
        <v/>
      </c>
      <c r="CK28" s="1" t="str">
        <f>IF($CF28=1,BX28,"")</f>
        <v/>
      </c>
      <c r="CL28" s="1" t="str">
        <f>IF($CF28=1,BY28,"")</f>
        <v/>
      </c>
      <c r="CM28" s="1" t="str">
        <f>IF($CF28=1,BZ28,"")</f>
        <v/>
      </c>
      <c r="CN28" s="1" t="str">
        <f>IF($CF28=1,CA28,"")</f>
        <v/>
      </c>
      <c r="CO28" s="1" t="str">
        <f>IF($CF28=1,CB28,"")</f>
        <v/>
      </c>
      <c r="CP28" s="1" t="str">
        <f>IF($CF28=1,CC28,"")</f>
        <v/>
      </c>
      <c r="CQ28" s="1" t="str">
        <f>IF($CF28=1,CD28,"")</f>
        <v/>
      </c>
      <c r="CR28" s="1" t="str">
        <f>IF($CF28=1,CE28,"")</f>
        <v/>
      </c>
      <c r="CS28" s="18">
        <f>SUM(AE28:BO28)</f>
        <v>5</v>
      </c>
    </row>
    <row r="29" spans="1:97" x14ac:dyDescent="0.15">
      <c r="A29" s="1">
        <v>33</v>
      </c>
      <c r="B29" s="1" t="s">
        <v>82</v>
      </c>
      <c r="C29" s="1" t="s">
        <v>32</v>
      </c>
      <c r="D29" s="1" t="s">
        <v>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>
        <v>5</v>
      </c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5</v>
      </c>
      <c r="BQ29" s="1">
        <v>5</v>
      </c>
      <c r="BR29" s="17">
        <v>1</v>
      </c>
      <c r="BS29" s="17" t="s">
        <v>225</v>
      </c>
      <c r="BT29" s="1" t="str">
        <f>IF(AQ29&gt;AQ$147, AQ29-AQ$147,"")</f>
        <v/>
      </c>
      <c r="BU29" s="1" t="str">
        <f>IF(AR29&gt;AR$147, AR29-AR$147,"")</f>
        <v/>
      </c>
      <c r="BV29" s="1" t="str">
        <f>IF(AS29&gt;AS$147, AS29-AS$147,"")</f>
        <v/>
      </c>
      <c r="BW29" s="1" t="str">
        <f>IF(AT29&gt;AT$147, AT29-AT$147,"")</f>
        <v/>
      </c>
      <c r="BX29" s="1" t="str">
        <f>IF(AU29&gt;AU$147, AU29-AU$147,"")</f>
        <v/>
      </c>
      <c r="BY29" s="1" t="str">
        <f>IF(AV29&gt;AV$147, AV29-AV$147,"")</f>
        <v/>
      </c>
      <c r="BZ29" s="1" t="str">
        <f>IF(AW29&gt;AW$147, AW29-AW$147,"")</f>
        <v/>
      </c>
      <c r="CA29" s="1" t="str">
        <f>IF(AX29&gt;AX$147, AX29-AX$147,"")</f>
        <v/>
      </c>
      <c r="CB29" s="1" t="str">
        <f>IF(AY29&gt;AY$147, AY29-AY$147,"")</f>
        <v/>
      </c>
      <c r="CC29" s="1" t="str">
        <f>IF(AZ29&gt;AZ$147, AZ29-AZ$147,"")</f>
        <v/>
      </c>
      <c r="CD29" s="1" t="str">
        <f>IF(BA29&gt;BA$147, BA29-BA$147,"")</f>
        <v/>
      </c>
      <c r="CE29" s="1" t="str">
        <f>IF(BB29&gt;BB$147, BB29-BB$147,"")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18">
        <f>SUM(AE29:BO29)</f>
        <v>5</v>
      </c>
    </row>
    <row r="30" spans="1:97" x14ac:dyDescent="0.15">
      <c r="A30" s="1">
        <v>63</v>
      </c>
      <c r="B30" s="3" t="s">
        <v>65</v>
      </c>
      <c r="C30" s="1" t="s">
        <v>60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>
        <v>5</v>
      </c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5</v>
      </c>
      <c r="BQ30" s="1">
        <v>5</v>
      </c>
      <c r="BR30" s="17">
        <v>1</v>
      </c>
      <c r="BS30" s="17" t="s">
        <v>226</v>
      </c>
      <c r="BT30" s="1" t="str">
        <f>IF(AQ30&gt;AQ$147, AQ30-AQ$147,"")</f>
        <v/>
      </c>
      <c r="BU30" s="1" t="str">
        <f>IF(AR30&gt;AR$147, AR30-AR$147,"")</f>
        <v/>
      </c>
      <c r="BV30" s="1" t="str">
        <f>IF(AS30&gt;AS$147, AS30-AS$147,"")</f>
        <v/>
      </c>
      <c r="BW30" s="1" t="str">
        <f>IF(AT30&gt;AT$147, AT30-AT$147,"")</f>
        <v/>
      </c>
      <c r="BX30" s="1" t="str">
        <f>IF(AU30&gt;AU$147, AU30-AU$147,"")</f>
        <v/>
      </c>
      <c r="BY30" s="1" t="str">
        <f>IF(AV30&gt;AV$147, AV30-AV$147,"")</f>
        <v/>
      </c>
      <c r="BZ30" s="1" t="str">
        <f>IF(AW30&gt;AW$147, AW30-AW$147,"")</f>
        <v/>
      </c>
      <c r="CA30" s="1" t="str">
        <f>IF(AX30&gt;AX$147, AX30-AX$147,"")</f>
        <v/>
      </c>
      <c r="CB30" s="1" t="str">
        <f>IF(AY30&gt;AY$147, AY30-AY$147,"")</f>
        <v/>
      </c>
      <c r="CC30" s="1" t="str">
        <f>IF(AZ30&gt;AZ$147, AZ30-AZ$147,"")</f>
        <v/>
      </c>
      <c r="CD30" s="1" t="str">
        <f>IF(BA30&gt;BA$147, BA30-BA$147,"")</f>
        <v/>
      </c>
      <c r="CE30" s="1" t="str">
        <f>IF(BB30&gt;BB$147, BB30-BB$147,"")</f>
        <v/>
      </c>
      <c r="CF30" s="1">
        <f>COUNTIF(BT30:CE30, "&gt;0")</f>
        <v>0</v>
      </c>
      <c r="CG30" s="1" t="str">
        <f>IF($CF30=1,BT30,"")</f>
        <v/>
      </c>
      <c r="CH30" s="1" t="str">
        <f>IF($CF30=1,BU30,"")</f>
        <v/>
      </c>
      <c r="CI30" s="1" t="str">
        <f>IF($CF30=1,BV30,"")</f>
        <v/>
      </c>
      <c r="CJ30" s="1" t="str">
        <f>IF($CF30=1,BW30,"")</f>
        <v/>
      </c>
      <c r="CK30" s="1" t="str">
        <f>IF($CF30=1,BX30,"")</f>
        <v/>
      </c>
      <c r="CL30" s="1" t="str">
        <f>IF($CF30=1,BY30,"")</f>
        <v/>
      </c>
      <c r="CM30" s="1" t="str">
        <f>IF($CF30=1,BZ30,"")</f>
        <v/>
      </c>
      <c r="CN30" s="1" t="str">
        <f>IF($CF30=1,CA30,"")</f>
        <v/>
      </c>
      <c r="CO30" s="1" t="str">
        <f>IF($CF30=1,CB30,"")</f>
        <v/>
      </c>
      <c r="CP30" s="1" t="str">
        <f>IF($CF30=1,CC30,"")</f>
        <v/>
      </c>
      <c r="CQ30" s="1" t="str">
        <f>IF($CF30=1,CD30,"")</f>
        <v/>
      </c>
      <c r="CR30" s="1" t="str">
        <f>IF($CF30=1,CE30,"")</f>
        <v/>
      </c>
      <c r="CS30" s="18">
        <f>SUM(AE30:BO30)</f>
        <v>5</v>
      </c>
    </row>
    <row r="31" spans="1:97" x14ac:dyDescent="0.15">
      <c r="A31" s="1">
        <v>90</v>
      </c>
      <c r="B31" s="3" t="s">
        <v>86</v>
      </c>
      <c r="C31" s="3" t="s">
        <v>85</v>
      </c>
      <c r="D31" s="1" t="s">
        <v>24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>
        <v>5</v>
      </c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5</v>
      </c>
      <c r="BQ31" s="1">
        <v>5</v>
      </c>
      <c r="BR31" s="17">
        <v>1</v>
      </c>
      <c r="BS31" s="17" t="s">
        <v>226</v>
      </c>
      <c r="BT31" s="1" t="str">
        <f>IF(AQ31&gt;AQ$147, AQ31-AQ$147,"")</f>
        <v/>
      </c>
      <c r="BU31" s="1" t="str">
        <f>IF(AR31&gt;AR$147, AR31-AR$147,"")</f>
        <v/>
      </c>
      <c r="BV31" s="1" t="str">
        <f>IF(AS31&gt;AS$147, AS31-AS$147,"")</f>
        <v/>
      </c>
      <c r="BW31" s="1" t="str">
        <f>IF(AT31&gt;AT$147, AT31-AT$147,"")</f>
        <v/>
      </c>
      <c r="BX31" s="1" t="str">
        <f>IF(AU31&gt;AU$147, AU31-AU$147,"")</f>
        <v/>
      </c>
      <c r="BY31" s="1" t="str">
        <f>IF(AV31&gt;AV$147, AV31-AV$147,"")</f>
        <v/>
      </c>
      <c r="BZ31" s="1" t="str">
        <f>IF(AW31&gt;AW$147, AW31-AW$147,"")</f>
        <v/>
      </c>
      <c r="CA31" s="1" t="str">
        <f>IF(AX31&gt;AX$147, AX31-AX$147,"")</f>
        <v/>
      </c>
      <c r="CB31" s="1" t="str">
        <f>IF(AY31&gt;AY$147, AY31-AY$147,"")</f>
        <v/>
      </c>
      <c r="CC31" s="1" t="str">
        <f>IF(AZ31&gt;AZ$147, AZ31-AZ$147,"")</f>
        <v/>
      </c>
      <c r="CD31" s="1" t="str">
        <f>IF(BA31&gt;BA$147, BA31-BA$147,"")</f>
        <v/>
      </c>
      <c r="CE31" s="1" t="str">
        <f>IF(BB31&gt;BB$147, BB31-BB$147,"")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18">
        <f>SUM(AE31:BO31)</f>
        <v>5</v>
      </c>
    </row>
    <row r="32" spans="1:97" x14ac:dyDescent="0.15">
      <c r="A32" s="1"/>
      <c r="B32" s="1" t="s">
        <v>126</v>
      </c>
      <c r="C32" s="1" t="s">
        <v>124</v>
      </c>
      <c r="D32" s="1" t="s">
        <v>120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>
        <v>5</v>
      </c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5</v>
      </c>
      <c r="BQ32" s="1">
        <v>5</v>
      </c>
      <c r="BR32" s="17">
        <v>1</v>
      </c>
      <c r="BS32" s="17" t="s">
        <v>227</v>
      </c>
      <c r="BT32" s="1" t="str">
        <f>IF(AQ32&gt;AQ$147, AQ32-AQ$147,"")</f>
        <v/>
      </c>
      <c r="BU32" s="1" t="str">
        <f>IF(AR32&gt;AR$147, AR32-AR$147,"")</f>
        <v/>
      </c>
      <c r="BV32" s="1" t="str">
        <f>IF(AS32&gt;AS$147, AS32-AS$147,"")</f>
        <v/>
      </c>
      <c r="BW32" s="1" t="str">
        <f>IF(AT32&gt;AT$147, AT32-AT$147,"")</f>
        <v/>
      </c>
      <c r="BX32" s="1" t="str">
        <f>IF(AU32&gt;AU$147, AU32-AU$147,"")</f>
        <v/>
      </c>
      <c r="BY32" s="1" t="str">
        <f>IF(AV32&gt;AV$147, AV32-AV$147,"")</f>
        <v/>
      </c>
      <c r="BZ32" s="1" t="str">
        <f>IF(AW32&gt;AW$147, AW32-AW$147,"")</f>
        <v/>
      </c>
      <c r="CA32" s="1" t="str">
        <f>IF(AX32&gt;AX$147, AX32-AX$147,"")</f>
        <v/>
      </c>
      <c r="CB32" s="1" t="str">
        <f>IF(AY32&gt;AY$147, AY32-AY$147,"")</f>
        <v/>
      </c>
      <c r="CC32" s="1" t="str">
        <f>IF(AZ32&gt;AZ$147, AZ32-AZ$147,"")</f>
        <v/>
      </c>
      <c r="CD32" s="1" t="str">
        <f>IF(BA32&gt;BA$147, BA32-BA$147,"")</f>
        <v/>
      </c>
      <c r="CE32" s="1" t="str">
        <f>IF(BB32&gt;BB$147, BB32-BB$147,"")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126</v>
      </c>
      <c r="C33" s="1" t="s">
        <v>124</v>
      </c>
      <c r="D33" s="1" t="s">
        <v>114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>
        <v>5</v>
      </c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5</v>
      </c>
      <c r="BQ33" s="1">
        <v>5</v>
      </c>
      <c r="BR33" s="17">
        <v>1</v>
      </c>
      <c r="BS33" s="17" t="s">
        <v>224</v>
      </c>
      <c r="BT33" s="1" t="str">
        <f>IF(AQ33&gt;AQ$147, AQ33-AQ$147,"")</f>
        <v/>
      </c>
      <c r="BU33" s="1" t="str">
        <f>IF(AR33&gt;AR$147, AR33-AR$147,"")</f>
        <v/>
      </c>
      <c r="BV33" s="1" t="str">
        <f>IF(AS33&gt;AS$147, AS33-AS$147,"")</f>
        <v/>
      </c>
      <c r="BW33" s="1" t="str">
        <f>IF(AT33&gt;AT$147, AT33-AT$147,"")</f>
        <v/>
      </c>
      <c r="BX33" s="1" t="str">
        <f>IF(AU33&gt;AU$147, AU33-AU$147,"")</f>
        <v/>
      </c>
      <c r="BY33" s="1" t="str">
        <f>IF(AV33&gt;AV$147, AV33-AV$147,"")</f>
        <v/>
      </c>
      <c r="BZ33" s="1" t="str">
        <f>IF(AW33&gt;AW$147, AW33-AW$147,"")</f>
        <v/>
      </c>
      <c r="CA33" s="1" t="str">
        <f>IF(AX33&gt;AX$147, AX33-AX$147,"")</f>
        <v/>
      </c>
      <c r="CB33" s="1" t="str">
        <f>IF(AY33&gt;AY$147, AY33-AY$147,"")</f>
        <v/>
      </c>
      <c r="CC33" s="1" t="str">
        <f>IF(AZ33&gt;AZ$147, AZ33-AZ$147,"")</f>
        <v/>
      </c>
      <c r="CD33" s="1" t="str">
        <f>IF(BA33&gt;BA$147, BA33-BA$147,"")</f>
        <v/>
      </c>
      <c r="CE33" s="1" t="str">
        <f>IF(BB33&gt;BB$147, BB33-BB$147,"")</f>
        <v/>
      </c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>
        <v>34</v>
      </c>
      <c r="B34" s="1" t="s">
        <v>48</v>
      </c>
      <c r="C34" s="1" t="s">
        <v>49</v>
      </c>
      <c r="D34" s="1" t="s">
        <v>25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>
        <v>15</v>
      </c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>
        <v>15</v>
      </c>
      <c r="BC34" s="14"/>
      <c r="BD34" s="1"/>
      <c r="BE34" s="1"/>
      <c r="BF34" s="1"/>
      <c r="BG34" s="1"/>
      <c r="BH34" s="1">
        <v>15</v>
      </c>
      <c r="BI34" s="1">
        <v>15</v>
      </c>
      <c r="BJ34" s="1"/>
      <c r="BK34" s="1"/>
      <c r="BL34" s="1"/>
      <c r="BM34" s="1"/>
      <c r="BN34" s="1"/>
      <c r="BO34" s="1"/>
      <c r="BP34" s="1">
        <f>SUM(E34:BO34)</f>
        <v>60</v>
      </c>
      <c r="BQ34" s="1">
        <v>6</v>
      </c>
      <c r="BR34" s="17">
        <v>1</v>
      </c>
      <c r="BS34" s="17" t="s">
        <v>229</v>
      </c>
      <c r="BT34" s="1">
        <f>IF(AQ34&gt;AQ$147, AQ34-AQ$147,"")</f>
        <v>6</v>
      </c>
      <c r="BU34" s="1" t="str">
        <f>IF(AR34&gt;AR$147, AR34-AR$147,"")</f>
        <v/>
      </c>
      <c r="BV34" s="1" t="str">
        <f>IF(AS34&gt;AS$147, AS34-AS$147,"")</f>
        <v/>
      </c>
      <c r="BW34" s="1" t="str">
        <f>IF(AT34&gt;AT$147, AT34-AT$147,"")</f>
        <v/>
      </c>
      <c r="BX34" s="1" t="str">
        <f>IF(AU34&gt;AU$147, AU34-AU$147,"")</f>
        <v/>
      </c>
      <c r="BY34" s="1" t="str">
        <f>IF(AV34&gt;AV$147, AV34-AV$147,"")</f>
        <v/>
      </c>
      <c r="BZ34" s="1" t="str">
        <f>IF(AW34&gt;AW$147, AW34-AW$147,"")</f>
        <v/>
      </c>
      <c r="CA34" s="1" t="str">
        <f>IF(AX34&gt;AX$147, AX34-AX$147,"")</f>
        <v/>
      </c>
      <c r="CB34" s="1" t="str">
        <f>IF(AY34&gt;AY$147, AY34-AY$147,"")</f>
        <v/>
      </c>
      <c r="CC34" s="1" t="str">
        <f>IF(AZ34&gt;AZ$147, AZ34-AZ$147,"")</f>
        <v/>
      </c>
      <c r="CD34" s="1" t="str">
        <f>IF(BA34&gt;BA$147, BA34-BA$147,"")</f>
        <v/>
      </c>
      <c r="CE34" s="1" t="str">
        <f>IF(BB34&gt;BB$147, BB34-BB$147,"")</f>
        <v/>
      </c>
      <c r="CF34" s="1">
        <f>COUNTIF(BT34:CE34, "&gt;0")</f>
        <v>1</v>
      </c>
      <c r="CG34" s="1">
        <f>IF($CF34=1,BT34,"")</f>
        <v>6</v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18">
        <f>SUM(AE34:BO34)</f>
        <v>60</v>
      </c>
    </row>
    <row r="35" spans="1:97" s="25" customFormat="1" x14ac:dyDescent="0.15">
      <c r="A35" s="1"/>
      <c r="B35" s="1" t="s">
        <v>194</v>
      </c>
      <c r="C35" s="1" t="s">
        <v>112</v>
      </c>
      <c r="D35" s="1" t="s">
        <v>113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>
        <v>15</v>
      </c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>
        <v>15</v>
      </c>
      <c r="BC35" s="14"/>
      <c r="BD35" s="1"/>
      <c r="BE35" s="1"/>
      <c r="BF35" s="1"/>
      <c r="BG35" s="1"/>
      <c r="BH35" s="1">
        <v>15</v>
      </c>
      <c r="BI35" s="1">
        <v>15</v>
      </c>
      <c r="BJ35" s="1"/>
      <c r="BK35" s="1"/>
      <c r="BL35" s="1"/>
      <c r="BM35" s="1"/>
      <c r="BN35" s="1"/>
      <c r="BO35" s="1"/>
      <c r="BP35" s="1">
        <f>SUM(E35:BO35)</f>
        <v>60</v>
      </c>
      <c r="BQ35" s="1">
        <v>6</v>
      </c>
      <c r="BR35" s="17">
        <v>1</v>
      </c>
      <c r="BS35" s="17" t="s">
        <v>229</v>
      </c>
      <c r="BT35" s="1">
        <f>IF(AQ35&gt;AQ$147, AQ35-AQ$147,"")</f>
        <v>6</v>
      </c>
      <c r="BU35" s="1" t="str">
        <f>IF(AR35&gt;AR$147, AR35-AR$147,"")</f>
        <v/>
      </c>
      <c r="BV35" s="1" t="str">
        <f>IF(AS35&gt;AS$147, AS35-AS$147,"")</f>
        <v/>
      </c>
      <c r="BW35" s="1" t="str">
        <f>IF(AT35&gt;AT$147, AT35-AT$147,"")</f>
        <v/>
      </c>
      <c r="BX35" s="1" t="str">
        <f>IF(AU35&gt;AU$147, AU35-AU$147,"")</f>
        <v/>
      </c>
      <c r="BY35" s="1" t="str">
        <f>IF(AV35&gt;AV$147, AV35-AV$147,"")</f>
        <v/>
      </c>
      <c r="BZ35" s="1" t="str">
        <f>IF(AW35&gt;AW$147, AW35-AW$147,"")</f>
        <v/>
      </c>
      <c r="CA35" s="1" t="str">
        <f>IF(AX35&gt;AX$147, AX35-AX$147,"")</f>
        <v/>
      </c>
      <c r="CB35" s="1" t="str">
        <f>IF(AY35&gt;AY$147, AY35-AY$147,"")</f>
        <v/>
      </c>
      <c r="CC35" s="1" t="str">
        <f>IF(AZ35&gt;AZ$147, AZ35-AZ$147,"")</f>
        <v/>
      </c>
      <c r="CD35" s="1" t="str">
        <f>IF(BA35&gt;BA$147, BA35-BA$147,"")</f>
        <v/>
      </c>
      <c r="CE35" s="1" t="str">
        <f>IF(BB35&gt;BB$147, BB35-BB$147,"")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180</v>
      </c>
      <c r="C36" s="1" t="s">
        <v>116</v>
      </c>
      <c r="D36" s="1" t="s">
        <v>113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>
        <v>10</v>
      </c>
      <c r="AT36" s="4"/>
      <c r="AU36" s="4"/>
      <c r="AV36" s="4"/>
      <c r="AW36" s="2"/>
      <c r="AX36" s="2"/>
      <c r="AY36" s="2"/>
      <c r="AZ36" s="2"/>
      <c r="BA36" s="2"/>
      <c r="BB36" s="2">
        <v>10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20</v>
      </c>
      <c r="BQ36" s="1">
        <v>8</v>
      </c>
      <c r="BR36" s="17">
        <v>1</v>
      </c>
      <c r="BS36" s="17" t="s">
        <v>230</v>
      </c>
      <c r="BT36" s="1" t="str">
        <f>IF(AQ36&gt;AQ$147, AQ36-AQ$147,"")</f>
        <v/>
      </c>
      <c r="BU36" s="1" t="str">
        <f>IF(AR36&gt;AR$147, AR36-AR$147,"")</f>
        <v/>
      </c>
      <c r="BV36" s="1">
        <f>IF(AS36&gt;AS$147, AS36-AS$147,"")</f>
        <v>8</v>
      </c>
      <c r="BW36" s="1" t="str">
        <f>IF(AT36&gt;AT$147, AT36-AT$147,"")</f>
        <v/>
      </c>
      <c r="BX36" s="1" t="str">
        <f>IF(AU36&gt;AU$147, AU36-AU$147,"")</f>
        <v/>
      </c>
      <c r="BY36" s="1" t="str">
        <f>IF(AV36&gt;AV$147, AV36-AV$147,"")</f>
        <v/>
      </c>
      <c r="BZ36" s="1" t="str">
        <f>IF(AW36&gt;AW$147, AW36-AW$147,"")</f>
        <v/>
      </c>
      <c r="CA36" s="1" t="str">
        <f>IF(AX36&gt;AX$147, AX36-AX$147,"")</f>
        <v/>
      </c>
      <c r="CB36" s="1" t="str">
        <f>IF(AY36&gt;AY$147, AY36-AY$147,"")</f>
        <v/>
      </c>
      <c r="CC36" s="1" t="str">
        <f>IF(AZ36&gt;AZ$147, AZ36-AZ$147,"")</f>
        <v/>
      </c>
      <c r="CD36" s="1" t="str">
        <f>IF(BA36&gt;BA$147, BA36-BA$147,"")</f>
        <v/>
      </c>
      <c r="CE36" s="1" t="str">
        <f>IF(BB36&gt;BB$147, BB36-BB$147,"")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175</v>
      </c>
      <c r="C37" s="1" t="s">
        <v>32</v>
      </c>
      <c r="D37" s="1" t="s">
        <v>168</v>
      </c>
      <c r="E37" s="6">
        <v>20</v>
      </c>
      <c r="F37" s="6"/>
      <c r="G37" s="6"/>
      <c r="H37" s="6"/>
      <c r="I37" s="6">
        <v>20</v>
      </c>
      <c r="J37" s="6">
        <v>20</v>
      </c>
      <c r="K37" s="6"/>
      <c r="L37" s="6"/>
      <c r="M37" s="6"/>
      <c r="N37" s="6"/>
      <c r="O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60</v>
      </c>
      <c r="BQ37" s="1">
        <v>8</v>
      </c>
      <c r="BR37" s="17">
        <v>1</v>
      </c>
      <c r="BS37" s="17" t="s">
        <v>231</v>
      </c>
      <c r="BT37" s="1" t="str">
        <f>IF(AQ37&gt;AQ$147, AQ37-AQ$147,"")</f>
        <v/>
      </c>
      <c r="BU37" s="1" t="str">
        <f>IF(AR37&gt;AR$147, AR37-AR$147,"")</f>
        <v/>
      </c>
      <c r="BV37" s="1" t="str">
        <f>IF(AS37&gt;AS$147, AS37-AS$147,"")</f>
        <v/>
      </c>
      <c r="BW37" s="1" t="str">
        <f>IF(AT37&gt;AT$147, AT37-AT$147,"")</f>
        <v/>
      </c>
      <c r="BX37" s="1" t="str">
        <f>IF(AU37&gt;AU$147, AU37-AU$147,"")</f>
        <v/>
      </c>
      <c r="BY37" s="1" t="str">
        <f>IF(AV37&gt;AV$147, AV37-AV$147,"")</f>
        <v/>
      </c>
      <c r="BZ37" s="1" t="str">
        <f>IF(AW37&gt;AW$147, AW37-AW$147,"")</f>
        <v/>
      </c>
      <c r="CA37" s="1" t="str">
        <f>IF(AX37&gt;AX$147, AX37-AX$147,"")</f>
        <v/>
      </c>
      <c r="CB37" s="1" t="str">
        <f>IF(AY37&gt;AY$147, AY37-AY$147,"")</f>
        <v/>
      </c>
      <c r="CC37" s="1" t="str">
        <f>IF(AZ37&gt;AZ$147, AZ37-AZ$147,"")</f>
        <v/>
      </c>
      <c r="CD37" s="1" t="str">
        <f>IF(BA37&gt;BA$147, BA37-BA$147,"")</f>
        <v/>
      </c>
      <c r="CE37" s="1" t="str">
        <f>IF(BB37&gt;BB$147, BB37-BB$147,"")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>
        <v>62</v>
      </c>
      <c r="B38" s="1" t="s">
        <v>110</v>
      </c>
      <c r="C38" s="1" t="s">
        <v>60</v>
      </c>
      <c r="D38" s="1" t="s">
        <v>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>
        <v>15</v>
      </c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15</v>
      </c>
      <c r="BQ38" s="1">
        <v>8</v>
      </c>
      <c r="BR38" s="17">
        <v>1</v>
      </c>
      <c r="BS38" s="17" t="s">
        <v>233</v>
      </c>
      <c r="BT38" s="1" t="str">
        <f>IF(AQ38&gt;AQ$147, AQ38-AQ$147,"")</f>
        <v/>
      </c>
      <c r="BU38" s="1" t="str">
        <f>IF(AR38&gt;AR$147, AR38-AR$147,"")</f>
        <v/>
      </c>
      <c r="BV38" s="1" t="str">
        <f>IF(AS38&gt;AS$147, AS38-AS$147,"")</f>
        <v/>
      </c>
      <c r="BW38" s="1" t="str">
        <f>IF(AT38&gt;AT$147, AT38-AT$147,"")</f>
        <v/>
      </c>
      <c r="BX38" s="1" t="str">
        <f>IF(AU38&gt;AU$147, AU38-AU$147,"")</f>
        <v/>
      </c>
      <c r="BY38" s="1" t="str">
        <f>IF(AV38&gt;AV$147, AV38-AV$147,"")</f>
        <v/>
      </c>
      <c r="BZ38" s="1" t="str">
        <f>IF(AW38&gt;AW$147, AW38-AW$147,"")</f>
        <v/>
      </c>
      <c r="CA38" s="1" t="str">
        <f>IF(AX38&gt;AX$147, AX38-AX$147,"")</f>
        <v/>
      </c>
      <c r="CB38" s="1" t="str">
        <f>IF(AY38&gt;AY$147, AY38-AY$147,"")</f>
        <v/>
      </c>
      <c r="CC38" s="1" t="str">
        <f>IF(AZ38&gt;AZ$147, AZ38-AZ$147,"")</f>
        <v/>
      </c>
      <c r="CD38" s="1" t="str">
        <f>IF(BA38&gt;BA$147, BA38-BA$147,"")</f>
        <v/>
      </c>
      <c r="CE38" s="1" t="str">
        <f>IF(BB38&gt;BB$147, BB38-BB$147,"")</f>
        <v/>
      </c>
      <c r="CF38" s="1">
        <f>COUNTIF(BT38:CE38, "&gt;0")</f>
        <v>0</v>
      </c>
      <c r="CG38" s="1" t="str">
        <f>IF($CF38=1,BT38,"")</f>
        <v/>
      </c>
      <c r="CH38" s="1" t="str">
        <f>IF($CF38=1,BU38,"")</f>
        <v/>
      </c>
      <c r="CI38" s="1" t="str">
        <f>IF($CF38=1,BV38,"")</f>
        <v/>
      </c>
      <c r="CJ38" s="1" t="str">
        <f>IF($CF38=1,BW38,"")</f>
        <v/>
      </c>
      <c r="CK38" s="1" t="str">
        <f>IF($CF38=1,BX38,"")</f>
        <v/>
      </c>
      <c r="CL38" s="1" t="str">
        <f>IF($CF38=1,BY38,"")</f>
        <v/>
      </c>
      <c r="CM38" s="1" t="str">
        <f>IF($CF38=1,BZ38,"")</f>
        <v/>
      </c>
      <c r="CN38" s="1" t="str">
        <f>IF($CF38=1,CA38,"")</f>
        <v/>
      </c>
      <c r="CO38" s="1" t="str">
        <f>IF($CF38=1,CB38,"")</f>
        <v/>
      </c>
      <c r="CP38" s="1" t="str">
        <f>IF($CF38=1,CC38,"")</f>
        <v/>
      </c>
      <c r="CQ38" s="1" t="str">
        <f>IF($CF38=1,CD38,"")</f>
        <v/>
      </c>
      <c r="CR38" s="1" t="str">
        <f>IF($CF38=1,CE38,"")</f>
        <v/>
      </c>
      <c r="CS38" s="18">
        <f>SUM(AE38:BO38)</f>
        <v>15</v>
      </c>
    </row>
    <row r="39" spans="1:97" x14ac:dyDescent="0.15">
      <c r="A39" s="1">
        <v>94</v>
      </c>
      <c r="B39" s="3" t="s">
        <v>89</v>
      </c>
      <c r="C39" s="3" t="s">
        <v>74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>
        <v>10</v>
      </c>
      <c r="BB39" s="2">
        <v>10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20</v>
      </c>
      <c r="BQ39" s="1">
        <v>9</v>
      </c>
      <c r="BR39" s="17">
        <v>1</v>
      </c>
      <c r="BS39" s="17" t="s">
        <v>234</v>
      </c>
      <c r="BT39" s="1" t="str">
        <f>IF(AQ39&gt;AQ$147, AQ39-AQ$147,"")</f>
        <v/>
      </c>
      <c r="BU39" s="1" t="str">
        <f>IF(AR39&gt;AR$147, AR39-AR$147,"")</f>
        <v/>
      </c>
      <c r="BV39" s="1" t="str">
        <f>IF(AS39&gt;AS$147, AS39-AS$147,"")</f>
        <v/>
      </c>
      <c r="BW39" s="1" t="str">
        <f>IF(AT39&gt;AT$147, AT39-AT$147,"")</f>
        <v/>
      </c>
      <c r="BX39" s="1" t="str">
        <f>IF(AU39&gt;AU$147, AU39-AU$147,"")</f>
        <v/>
      </c>
      <c r="BY39" s="1" t="str">
        <f>IF(AV39&gt;AV$147, AV39-AV$147,"")</f>
        <v/>
      </c>
      <c r="BZ39" s="1" t="str">
        <f>IF(AW39&gt;AW$147, AW39-AW$147,"")</f>
        <v/>
      </c>
      <c r="CA39" s="1" t="str">
        <f>IF(AX39&gt;AX$147, AX39-AX$147,"")</f>
        <v/>
      </c>
      <c r="CB39" s="1" t="str">
        <f>IF(AY39&gt;AY$147, AY39-AY$147,"")</f>
        <v/>
      </c>
      <c r="CC39" s="1" t="str">
        <f>IF(AZ39&gt;AZ$147, AZ39-AZ$147,"")</f>
        <v/>
      </c>
      <c r="CD39" s="1">
        <f>IF(BA39&gt;BA$147, BA39-BA$147,"")</f>
        <v>9</v>
      </c>
      <c r="CE39" s="1" t="str">
        <f>IF(BB39&gt;BB$147, BB39-BB$147,"")</f>
        <v/>
      </c>
      <c r="CF39" s="1">
        <f>COUNTIF(BT39:CE39, "&gt;0")</f>
        <v>1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>
        <f>IF($CF39=1,CD39,"")</f>
        <v>9</v>
      </c>
      <c r="CR39" s="1" t="str">
        <f>IF($CF39=1,CE39,"")</f>
        <v/>
      </c>
      <c r="CS39" s="18">
        <f>SUM(AE39:BO39)</f>
        <v>20</v>
      </c>
    </row>
    <row r="40" spans="1:97" x14ac:dyDescent="0.15">
      <c r="A40" s="1"/>
      <c r="B40" s="1" t="s">
        <v>129</v>
      </c>
      <c r="C40" s="1" t="s">
        <v>128</v>
      </c>
      <c r="D40" s="1" t="s">
        <v>113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>
        <v>10</v>
      </c>
      <c r="BB40" s="2">
        <v>10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20</v>
      </c>
      <c r="BQ40" s="1">
        <v>9</v>
      </c>
      <c r="BR40" s="17">
        <v>1</v>
      </c>
      <c r="BS40" s="17" t="s">
        <v>234</v>
      </c>
      <c r="BT40" s="1" t="str">
        <f>IF(AQ40&gt;AQ$147, AQ40-AQ$147,"")</f>
        <v/>
      </c>
      <c r="BU40" s="1" t="str">
        <f>IF(AR40&gt;AR$147, AR40-AR$147,"")</f>
        <v/>
      </c>
      <c r="BV40" s="1" t="str">
        <f>IF(AS40&gt;AS$147, AS40-AS$147,"")</f>
        <v/>
      </c>
      <c r="BW40" s="1" t="str">
        <f>IF(AT40&gt;AT$147, AT40-AT$147,"")</f>
        <v/>
      </c>
      <c r="BX40" s="1" t="str">
        <f>IF(AU40&gt;AU$147, AU40-AU$147,"")</f>
        <v/>
      </c>
      <c r="BY40" s="1" t="str">
        <f>IF(AV40&gt;AV$147, AV40-AV$147,"")</f>
        <v/>
      </c>
      <c r="BZ40" s="1" t="str">
        <f>IF(AW40&gt;AW$147, AW40-AW$147,"")</f>
        <v/>
      </c>
      <c r="CA40" s="1" t="str">
        <f>IF(AX40&gt;AX$147, AX40-AX$147,"")</f>
        <v/>
      </c>
      <c r="CB40" s="1" t="str">
        <f>IF(AY40&gt;AY$147, AY40-AY$147,"")</f>
        <v/>
      </c>
      <c r="CC40" s="1" t="str">
        <f>IF(AZ40&gt;AZ$147, AZ40-AZ$147,"")</f>
        <v/>
      </c>
      <c r="CD40" s="1">
        <f>IF(BA40&gt;BA$147, BA40-BA$147,"")</f>
        <v>9</v>
      </c>
      <c r="CE40" s="1" t="str">
        <f>IF(BB40&gt;BB$147, BB40-BB$147,"")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x14ac:dyDescent="0.15">
      <c r="A41" s="1"/>
      <c r="B41" s="1" t="s">
        <v>198</v>
      </c>
      <c r="C41" s="1" t="s">
        <v>159</v>
      </c>
      <c r="D41" s="1" t="s">
        <v>133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>
        <v>10</v>
      </c>
      <c r="BB41" s="2">
        <v>10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20</v>
      </c>
      <c r="BQ41" s="1">
        <v>9</v>
      </c>
      <c r="BR41" s="17">
        <v>1</v>
      </c>
      <c r="BS41" s="17" t="s">
        <v>235</v>
      </c>
      <c r="BT41" s="1" t="str">
        <f>IF(AQ41&gt;AQ$147, AQ41-AQ$147,"")</f>
        <v/>
      </c>
      <c r="BU41" s="1" t="str">
        <f>IF(AR41&gt;AR$147, AR41-AR$147,"")</f>
        <v/>
      </c>
      <c r="BV41" s="1" t="str">
        <f>IF(AS41&gt;AS$147, AS41-AS$147,"")</f>
        <v/>
      </c>
      <c r="BW41" s="1" t="str">
        <f>IF(AT41&gt;AT$147, AT41-AT$147,"")</f>
        <v/>
      </c>
      <c r="BX41" s="1" t="str">
        <f>IF(AU41&gt;AU$147, AU41-AU$147,"")</f>
        <v/>
      </c>
      <c r="BY41" s="1" t="str">
        <f>IF(AV41&gt;AV$147, AV41-AV$147,"")</f>
        <v/>
      </c>
      <c r="BZ41" s="1" t="str">
        <f>IF(AW41&gt;AW$147, AW41-AW$147,"")</f>
        <v/>
      </c>
      <c r="CA41" s="1" t="str">
        <f>IF(AX41&gt;AX$147, AX41-AX$147,"")</f>
        <v/>
      </c>
      <c r="CB41" s="1" t="str">
        <f>IF(AY41&gt;AY$147, AY41-AY$147,"")</f>
        <v/>
      </c>
      <c r="CC41" s="1" t="str">
        <f>IF(AZ41&gt;AZ$147, AZ41-AZ$147,"")</f>
        <v/>
      </c>
      <c r="CD41" s="1">
        <f>IF(BA41&gt;BA$147, BA41-BA$147,"")</f>
        <v>9</v>
      </c>
      <c r="CE41" s="1" t="str">
        <f>IF(BB41&gt;BB$147, BB41-BB$147,"")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>
        <v>64</v>
      </c>
      <c r="B42" s="3" t="s">
        <v>65</v>
      </c>
      <c r="C42" s="1" t="s">
        <v>60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>
        <v>15</v>
      </c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15</v>
      </c>
      <c r="BQ42" s="1">
        <v>15</v>
      </c>
      <c r="BR42" s="17">
        <v>1</v>
      </c>
      <c r="BS42" s="17" t="s">
        <v>236</v>
      </c>
      <c r="BT42" s="1" t="str">
        <f>IF(AQ42&gt;AQ$147, AQ42-AQ$147,"")</f>
        <v/>
      </c>
      <c r="BU42" s="1" t="str">
        <f>IF(AR42&gt;AR$147, AR42-AR$147,"")</f>
        <v/>
      </c>
      <c r="BV42" s="1" t="str">
        <f>IF(AS42&gt;AS$147, AS42-AS$147,"")</f>
        <v/>
      </c>
      <c r="BW42" s="1" t="str">
        <f>IF(AT42&gt;AT$147, AT42-AT$147,"")</f>
        <v/>
      </c>
      <c r="BX42" s="1" t="str">
        <f>IF(AU42&gt;AU$147, AU42-AU$147,"")</f>
        <v/>
      </c>
      <c r="BY42" s="1" t="str">
        <f>IF(AV42&gt;AV$147, AV42-AV$147,"")</f>
        <v/>
      </c>
      <c r="BZ42" s="1" t="str">
        <f>IF(AW42&gt;AW$147, AW42-AW$147,"")</f>
        <v/>
      </c>
      <c r="CA42" s="1" t="str">
        <f>IF(AX42&gt;AX$147, AX42-AX$147,"")</f>
        <v/>
      </c>
      <c r="CB42" s="1" t="str">
        <f>IF(AY42&gt;AY$147, AY42-AY$147,"")</f>
        <v/>
      </c>
      <c r="CC42" s="1" t="str">
        <f>IF(AZ42&gt;AZ$147, AZ42-AZ$147,"")</f>
        <v/>
      </c>
      <c r="CD42" s="1" t="str">
        <f>IF(BA42&gt;BA$147, BA42-BA$147,"")</f>
        <v/>
      </c>
      <c r="CE42" s="1" t="str">
        <f>IF(BB42&gt;BB$147, BB42-BB$147,"")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18">
        <f>SUM(AE42:BO42)</f>
        <v>15</v>
      </c>
    </row>
    <row r="43" spans="1:97" x14ac:dyDescent="0.15">
      <c r="A43" s="1">
        <v>98</v>
      </c>
      <c r="B43" s="3" t="s">
        <v>181</v>
      </c>
      <c r="C43" s="3" t="s">
        <v>74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>
        <v>50</v>
      </c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50</v>
      </c>
      <c r="BQ43" s="1">
        <v>45</v>
      </c>
      <c r="BR43" s="17">
        <v>1</v>
      </c>
      <c r="BS43" s="17" t="s">
        <v>237</v>
      </c>
      <c r="BT43" s="1" t="str">
        <f>IF(AQ43&gt;AQ$147, AQ43-AQ$147,"")</f>
        <v/>
      </c>
      <c r="BU43" s="1" t="str">
        <f>IF(AR43&gt;AR$147, AR43-AR$147,"")</f>
        <v/>
      </c>
      <c r="BV43" s="1" t="str">
        <f>IF(AS43&gt;AS$147, AS43-AS$147,"")</f>
        <v/>
      </c>
      <c r="BW43" s="1" t="str">
        <f>IF(AT43&gt;AT$147, AT43-AT$147,"")</f>
        <v/>
      </c>
      <c r="BX43" s="1" t="str">
        <f>IF(AU43&gt;AU$147, AU43-AU$147,"")</f>
        <v/>
      </c>
      <c r="BY43" s="1" t="str">
        <f>IF(AV43&gt;AV$147, AV43-AV$147,"")</f>
        <v/>
      </c>
      <c r="BZ43" s="1" t="str">
        <f>IF(AW43&gt;AW$147, AW43-AW$147,"")</f>
        <v/>
      </c>
      <c r="CA43" s="1" t="str">
        <f>IF(AX43&gt;AX$147, AX43-AX$147,"")</f>
        <v/>
      </c>
      <c r="CB43" s="1" t="str">
        <f>IF(AY43&gt;AY$147, AY43-AY$147,"")</f>
        <v/>
      </c>
      <c r="CC43" s="1" t="str">
        <f>IF(AZ43&gt;AZ$147, AZ43-AZ$147,"")</f>
        <v/>
      </c>
      <c r="CD43" s="1" t="str">
        <f>IF(BA43&gt;BA$147, BA43-BA$147,"")</f>
        <v/>
      </c>
      <c r="CE43" s="1" t="str">
        <f>IF(BB43&gt;BB$147, BB43-BB$147,"")</f>
        <v/>
      </c>
      <c r="CF43" s="1">
        <f>COUNTIF(BT43:CE43, "&gt;0")</f>
        <v>0</v>
      </c>
      <c r="CG43" s="1" t="str">
        <f>IF($CF43=1,BT43,"")</f>
        <v/>
      </c>
      <c r="CH43" s="1" t="str">
        <f>IF($CF43=1,BU43,"")</f>
        <v/>
      </c>
      <c r="CI43" s="1" t="str">
        <f>IF($CF43=1,BV43,"")</f>
        <v/>
      </c>
      <c r="CJ43" s="1" t="str">
        <f>IF($CF43=1,BW43,"")</f>
        <v/>
      </c>
      <c r="CK43" s="1" t="str">
        <f>IF($CF43=1,BX43,"")</f>
        <v/>
      </c>
      <c r="CL43" s="1" t="str">
        <f>IF($CF43=1,BY43,"")</f>
        <v/>
      </c>
      <c r="CM43" s="1" t="str">
        <f>IF($CF43=1,BZ43,"")</f>
        <v/>
      </c>
      <c r="CN43" s="1" t="str">
        <f>IF($CF43=1,CA43,"")</f>
        <v/>
      </c>
      <c r="CO43" s="1" t="str">
        <f>IF($CF43=1,CB43,"")</f>
        <v/>
      </c>
      <c r="CP43" s="1" t="str">
        <f>IF($CF43=1,CC43,"")</f>
        <v/>
      </c>
      <c r="CQ43" s="1" t="str">
        <f>IF($CF43=1,CD43,"")</f>
        <v/>
      </c>
      <c r="CR43" s="1" t="str">
        <f>IF($CF43=1,CE43,"")</f>
        <v/>
      </c>
      <c r="CS43" s="18">
        <f>SUM(AE43:BO43)</f>
        <v>50</v>
      </c>
    </row>
    <row r="44" spans="1:97" x14ac:dyDescent="0.15">
      <c r="A44" s="1">
        <v>99</v>
      </c>
      <c r="B44" s="3" t="s">
        <v>181</v>
      </c>
      <c r="C44" s="3" t="s">
        <v>74</v>
      </c>
      <c r="D44" s="1" t="s">
        <v>13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>
        <v>200</v>
      </c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200</v>
      </c>
      <c r="BQ44" s="1">
        <v>195</v>
      </c>
      <c r="BR44" s="17">
        <v>1</v>
      </c>
      <c r="BS44" s="17" t="s">
        <v>238</v>
      </c>
      <c r="BT44" s="1" t="str">
        <f>IF(AQ44&gt;AQ$147, AQ44-AQ$147,"")</f>
        <v/>
      </c>
      <c r="BU44" s="1" t="str">
        <f>IF(AR44&gt;AR$147, AR44-AR$147,"")</f>
        <v/>
      </c>
      <c r="BV44" s="1" t="str">
        <f>IF(AS44&gt;AS$147, AS44-AS$147,"")</f>
        <v/>
      </c>
      <c r="BW44" s="1" t="str">
        <f>IF(AT44&gt;AT$147, AT44-AT$147,"")</f>
        <v/>
      </c>
      <c r="BX44" s="1" t="str">
        <f>IF(AU44&gt;AU$147, AU44-AU$147,"")</f>
        <v/>
      </c>
      <c r="BY44" s="1" t="str">
        <f>IF(AV44&gt;AV$147, AV44-AV$147,"")</f>
        <v/>
      </c>
      <c r="BZ44" s="1" t="str">
        <f>IF(AW44&gt;AW$147, AW44-AW$147,"")</f>
        <v/>
      </c>
      <c r="CA44" s="1" t="str">
        <f>IF(AX44&gt;AX$147, AX44-AX$147,"")</f>
        <v/>
      </c>
      <c r="CB44" s="1" t="str">
        <f>IF(AY44&gt;AY$147, AY44-AY$147,"")</f>
        <v/>
      </c>
      <c r="CC44" s="1" t="str">
        <f>IF(AZ44&gt;AZ$147, AZ44-AZ$147,"")</f>
        <v/>
      </c>
      <c r="CD44" s="1" t="str">
        <f>IF(BA44&gt;BA$147, BA44-BA$147,"")</f>
        <v/>
      </c>
      <c r="CE44" s="1" t="str">
        <f>IF(BB44&gt;BB$147, BB44-BB$147,"")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18">
        <f>SUM(AE44:BO44)</f>
        <v>200</v>
      </c>
    </row>
    <row r="45" spans="1:97" ht="27" x14ac:dyDescent="0.15">
      <c r="A45" s="1">
        <v>41</v>
      </c>
      <c r="B45" s="1" t="s">
        <v>55</v>
      </c>
      <c r="C45" s="1" t="s">
        <v>49</v>
      </c>
      <c r="D45" s="1" t="s">
        <v>13</v>
      </c>
      <c r="E45" s="6"/>
      <c r="F45" s="6"/>
      <c r="G45" s="6"/>
      <c r="H45" s="6"/>
      <c r="I45" s="6"/>
      <c r="J45" s="6"/>
      <c r="K45" s="6"/>
      <c r="L45" s="6">
        <v>6</v>
      </c>
      <c r="M45" s="6"/>
      <c r="N45" s="6"/>
      <c r="O45" s="6">
        <v>6</v>
      </c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>
        <v>10</v>
      </c>
      <c r="AR45" s="4"/>
      <c r="AS45" s="4"/>
      <c r="AT45" s="4"/>
      <c r="AU45" s="4"/>
      <c r="AV45" s="4"/>
      <c r="AW45" s="2"/>
      <c r="AX45" s="2">
        <v>10</v>
      </c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32</v>
      </c>
      <c r="BQ45" s="1">
        <v>5</v>
      </c>
      <c r="BR45" s="17">
        <v>2</v>
      </c>
      <c r="BS45" s="17" t="s">
        <v>239</v>
      </c>
      <c r="BT45" s="1">
        <f>IF(AQ45&gt;AQ$147, AQ45-AQ$147,"")</f>
        <v>1</v>
      </c>
      <c r="BU45" s="1" t="str">
        <f>IF(AR45&gt;AR$147, AR45-AR$147,"")</f>
        <v/>
      </c>
      <c r="BV45" s="1" t="str">
        <f>IF(AS45&gt;AS$147, AS45-AS$147,"")</f>
        <v/>
      </c>
      <c r="BW45" s="1" t="str">
        <f>IF(AT45&gt;AT$147, AT45-AT$147,"")</f>
        <v/>
      </c>
      <c r="BX45" s="1" t="str">
        <f>IF(AU45&gt;AU$147, AU45-AU$147,"")</f>
        <v/>
      </c>
      <c r="BY45" s="1" t="str">
        <f>IF(AV45&gt;AV$147, AV45-AV$147,"")</f>
        <v/>
      </c>
      <c r="BZ45" s="1" t="str">
        <f>IF(AW45&gt;AW$147, AW45-AW$147,"")</f>
        <v/>
      </c>
      <c r="CA45" s="1" t="str">
        <f>IF(AX45&gt;AX$147, AX45-AX$147,"")</f>
        <v/>
      </c>
      <c r="CB45" s="1" t="str">
        <f>IF(AY45&gt;AY$147, AY45-AY$147,"")</f>
        <v/>
      </c>
      <c r="CC45" s="1" t="str">
        <f>IF(AZ45&gt;AZ$147, AZ45-AZ$147,"")</f>
        <v/>
      </c>
      <c r="CD45" s="1" t="str">
        <f>IF(BA45&gt;BA$147, BA45-BA$147,"")</f>
        <v/>
      </c>
      <c r="CE45" s="1" t="str">
        <f>IF(BB45&gt;BB$147, BB45-BB$147,"")</f>
        <v/>
      </c>
      <c r="CF45" s="1">
        <f>COUNTIF(BT45:CE45, "&gt;0")</f>
        <v>1</v>
      </c>
      <c r="CG45" s="1">
        <f>IF($CF45=1,BT45,"")</f>
        <v>1</v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18">
        <f>SUM(AE45:BO45)</f>
        <v>20</v>
      </c>
    </row>
    <row r="46" spans="1:97" ht="27" x14ac:dyDescent="0.15">
      <c r="A46" s="1">
        <v>39</v>
      </c>
      <c r="B46" s="1" t="s">
        <v>52</v>
      </c>
      <c r="C46" s="1" t="s">
        <v>49</v>
      </c>
      <c r="D46" s="1" t="s">
        <v>26</v>
      </c>
      <c r="E46" s="6"/>
      <c r="F46" s="6">
        <v>6</v>
      </c>
      <c r="G46" s="6"/>
      <c r="H46" s="6"/>
      <c r="I46" s="6"/>
      <c r="J46" s="6"/>
      <c r="K46" s="6"/>
      <c r="L46" s="6">
        <v>6</v>
      </c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>
        <v>10</v>
      </c>
      <c r="AR46" s="4"/>
      <c r="AS46" s="4"/>
      <c r="AT46" s="4"/>
      <c r="AU46" s="4"/>
      <c r="AV46" s="4"/>
      <c r="AW46" s="2"/>
      <c r="AX46" s="2">
        <v>10</v>
      </c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32</v>
      </c>
      <c r="BQ46" s="1">
        <v>6</v>
      </c>
      <c r="BR46" s="17">
        <v>2</v>
      </c>
      <c r="BS46" s="17" t="s">
        <v>213</v>
      </c>
      <c r="BT46" s="1">
        <f>IF(AQ46&gt;AQ$147, AQ46-AQ$147,"")</f>
        <v>1</v>
      </c>
      <c r="BU46" s="1" t="str">
        <f>IF(AR46&gt;AR$147, AR46-AR$147,"")</f>
        <v/>
      </c>
      <c r="BV46" s="1" t="str">
        <f>IF(AS46&gt;AS$147, AS46-AS$147,"")</f>
        <v/>
      </c>
      <c r="BW46" s="1" t="str">
        <f>IF(AT46&gt;AT$147, AT46-AT$147,"")</f>
        <v/>
      </c>
      <c r="BX46" s="1" t="str">
        <f>IF(AU46&gt;AU$147, AU46-AU$147,"")</f>
        <v/>
      </c>
      <c r="BY46" s="1" t="str">
        <f>IF(AV46&gt;AV$147, AV46-AV$147,"")</f>
        <v/>
      </c>
      <c r="BZ46" s="1" t="str">
        <f>IF(AW46&gt;AW$147, AW46-AW$147,"")</f>
        <v/>
      </c>
      <c r="CA46" s="1" t="str">
        <f>IF(AX46&gt;AX$147, AX46-AX$147,"")</f>
        <v/>
      </c>
      <c r="CB46" s="1" t="str">
        <f>IF(AY46&gt;AY$147, AY46-AY$147,"")</f>
        <v/>
      </c>
      <c r="CC46" s="1" t="str">
        <f>IF(AZ46&gt;AZ$147, AZ46-AZ$147,"")</f>
        <v/>
      </c>
      <c r="CD46" s="1" t="str">
        <f>IF(BA46&gt;BA$147, BA46-BA$147,"")</f>
        <v/>
      </c>
      <c r="CE46" s="1" t="str">
        <f>IF(BB46&gt;BB$147, BB46-BB$147,"")</f>
        <v/>
      </c>
      <c r="CF46" s="1">
        <f>COUNTIF(BT46:CE46, "&gt;0")</f>
        <v>1</v>
      </c>
      <c r="CG46" s="1">
        <f>IF($CF46=1,BT46,"")</f>
        <v>1</v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18">
        <f>SUM(AE46:BO46)</f>
        <v>20</v>
      </c>
    </row>
    <row r="47" spans="1:97" ht="27" x14ac:dyDescent="0.15">
      <c r="A47" s="1"/>
      <c r="B47" s="1" t="s">
        <v>123</v>
      </c>
      <c r="C47" s="1" t="s">
        <v>116</v>
      </c>
      <c r="D47" s="1" t="s">
        <v>113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>
        <v>5</v>
      </c>
      <c r="AP47" s="1">
        <v>1</v>
      </c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6</v>
      </c>
      <c r="BQ47" s="1">
        <v>6</v>
      </c>
      <c r="BR47" s="17">
        <v>2</v>
      </c>
      <c r="BS47" s="17" t="s">
        <v>240</v>
      </c>
      <c r="BT47" s="1" t="str">
        <f>IF(AQ47&gt;AQ$147, AQ47-AQ$147,"")</f>
        <v/>
      </c>
      <c r="BU47" s="1" t="str">
        <f>IF(AR47&gt;AR$147, AR47-AR$147,"")</f>
        <v/>
      </c>
      <c r="BV47" s="1" t="str">
        <f>IF(AS47&gt;AS$147, AS47-AS$147,"")</f>
        <v/>
      </c>
      <c r="BW47" s="1" t="str">
        <f>IF(AT47&gt;AT$147, AT47-AT$147,"")</f>
        <v/>
      </c>
      <c r="BX47" s="1" t="str">
        <f>IF(AU47&gt;AU$147, AU47-AU$147,"")</f>
        <v/>
      </c>
      <c r="BY47" s="1" t="str">
        <f>IF(AV47&gt;AV$147, AV47-AV$147,"")</f>
        <v/>
      </c>
      <c r="BZ47" s="1" t="str">
        <f>IF(AW47&gt;AW$147, AW47-AW$147,"")</f>
        <v/>
      </c>
      <c r="CA47" s="1" t="str">
        <f>IF(AX47&gt;AX$147, AX47-AX$147,"")</f>
        <v/>
      </c>
      <c r="CB47" s="1" t="str">
        <f>IF(AY47&gt;AY$147, AY47-AY$147,"")</f>
        <v/>
      </c>
      <c r="CC47" s="1" t="str">
        <f>IF(AZ47&gt;AZ$147, AZ47-AZ$147,"")</f>
        <v/>
      </c>
      <c r="CD47" s="1" t="str">
        <f>IF(BA47&gt;BA$147, BA47-BA$147,"")</f>
        <v/>
      </c>
      <c r="CE47" s="1" t="str">
        <f>IF(BB47&gt;BB$147, BB47-BB$147,"")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ht="27" x14ac:dyDescent="0.15">
      <c r="A48" s="1">
        <v>68</v>
      </c>
      <c r="B48" s="3" t="s">
        <v>109</v>
      </c>
      <c r="C48" s="1" t="s">
        <v>60</v>
      </c>
      <c r="D48" s="1" t="s">
        <v>13</v>
      </c>
      <c r="E48" s="6"/>
      <c r="F48" s="6">
        <v>6</v>
      </c>
      <c r="G48" s="6"/>
      <c r="H48" s="6"/>
      <c r="I48" s="6"/>
      <c r="J48" s="6"/>
      <c r="K48" s="6"/>
      <c r="L48" s="6"/>
      <c r="M48" s="6"/>
      <c r="N48" s="6">
        <v>6</v>
      </c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>
        <v>10</v>
      </c>
      <c r="AW48" s="2"/>
      <c r="AX48" s="2"/>
      <c r="AY48" s="2"/>
      <c r="AZ48" s="2"/>
      <c r="BA48" s="2"/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32</v>
      </c>
      <c r="BQ48" s="1">
        <v>7</v>
      </c>
      <c r="BR48" s="17">
        <v>2</v>
      </c>
      <c r="BS48" s="17" t="s">
        <v>216</v>
      </c>
      <c r="BT48" s="1" t="str">
        <f>IF(AQ48&gt;AQ$147, AQ48-AQ$147,"")</f>
        <v/>
      </c>
      <c r="BU48" s="1" t="str">
        <f>IF(AR48&gt;AR$147, AR48-AR$147,"")</f>
        <v/>
      </c>
      <c r="BV48" s="1" t="str">
        <f>IF(AS48&gt;AS$147, AS48-AS$147,"")</f>
        <v/>
      </c>
      <c r="BW48" s="1" t="str">
        <f>IF(AT48&gt;AT$147, AT48-AT$147,"")</f>
        <v/>
      </c>
      <c r="BX48" s="1" t="str">
        <f>IF(AU48&gt;AU$147, AU48-AU$147,"")</f>
        <v/>
      </c>
      <c r="BY48" s="1">
        <f>IF(AV48&gt;AV$147, AV48-AV$147,"")</f>
        <v>2</v>
      </c>
      <c r="BZ48" s="1" t="str">
        <f>IF(AW48&gt;AW$147, AW48-AW$147,"")</f>
        <v/>
      </c>
      <c r="CA48" s="1" t="str">
        <f>IF(AX48&gt;AX$147, AX48-AX$147,"")</f>
        <v/>
      </c>
      <c r="CB48" s="1" t="str">
        <f>IF(AY48&gt;AY$147, AY48-AY$147,"")</f>
        <v/>
      </c>
      <c r="CC48" s="1" t="str">
        <f>IF(AZ48&gt;AZ$147, AZ48-AZ$147,"")</f>
        <v/>
      </c>
      <c r="CD48" s="1" t="str">
        <f>IF(BA48&gt;BA$147, BA48-BA$147,"")</f>
        <v/>
      </c>
      <c r="CE48" s="1" t="str">
        <f>IF(BB48&gt;BB$147, BB48-BB$147,"")</f>
        <v/>
      </c>
      <c r="CF48" s="1">
        <f>COUNTIF(BT48:CE48, "&gt;0")</f>
        <v>1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>
        <f>IF($CF48=1,BY48,"")</f>
        <v>2</v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18">
        <f>SUM(AE48:BO48)</f>
        <v>20</v>
      </c>
    </row>
    <row r="49" spans="1:97" ht="27" x14ac:dyDescent="0.15">
      <c r="A49" s="1"/>
      <c r="B49" s="1" t="s">
        <v>207</v>
      </c>
      <c r="C49" s="1" t="s">
        <v>128</v>
      </c>
      <c r="D49" s="1" t="s">
        <v>114</v>
      </c>
      <c r="E49" s="6"/>
      <c r="F49" s="6"/>
      <c r="G49" s="6"/>
      <c r="H49" s="6">
        <v>6</v>
      </c>
      <c r="I49" s="6"/>
      <c r="J49" s="6">
        <v>6</v>
      </c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>
        <v>8</v>
      </c>
      <c r="AU49" s="4"/>
      <c r="AV49" s="4"/>
      <c r="AW49" s="2"/>
      <c r="AX49" s="2"/>
      <c r="AY49" s="2">
        <v>8</v>
      </c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28</v>
      </c>
      <c r="BQ49" s="1">
        <v>7</v>
      </c>
      <c r="BR49" s="17">
        <v>2</v>
      </c>
      <c r="BS49" s="17" t="s">
        <v>241</v>
      </c>
      <c r="BT49" s="1" t="str">
        <f>IF(AQ49&gt;AQ$147, AQ49-AQ$147,"")</f>
        <v/>
      </c>
      <c r="BU49" s="1" t="str">
        <f>IF(AR49&gt;AR$147, AR49-AR$147,"")</f>
        <v/>
      </c>
      <c r="BV49" s="1" t="str">
        <f>IF(AS49&gt;AS$147, AS49-AS$147,"")</f>
        <v/>
      </c>
      <c r="BW49" s="1">
        <f>IF(AT49&gt;AT$147, AT49-AT$147,"")</f>
        <v>1</v>
      </c>
      <c r="BX49" s="1" t="str">
        <f>IF(AU49&gt;AU$147, AU49-AU$147,"")</f>
        <v/>
      </c>
      <c r="BY49" s="1" t="str">
        <f>IF(AV49&gt;AV$147, AV49-AV$147,"")</f>
        <v/>
      </c>
      <c r="BZ49" s="1" t="str">
        <f>IF(AW49&gt;AW$147, AW49-AW$147,"")</f>
        <v/>
      </c>
      <c r="CA49" s="1" t="str">
        <f>IF(AX49&gt;AX$147, AX49-AX$147,"")</f>
        <v/>
      </c>
      <c r="CB49" s="1" t="str">
        <f>IF(AY49&gt;AY$147, AY49-AY$147,"")</f>
        <v/>
      </c>
      <c r="CC49" s="1" t="str">
        <f>IF(AZ49&gt;AZ$147, AZ49-AZ$147,"")</f>
        <v/>
      </c>
      <c r="CD49" s="1" t="str">
        <f>IF(BA49&gt;BA$147, BA49-BA$147,"")</f>
        <v/>
      </c>
      <c r="CE49" s="1" t="str">
        <f>IF(BB49&gt;BB$147, BB49-BB$147,"")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ht="27" x14ac:dyDescent="0.15">
      <c r="A50" s="1"/>
      <c r="B50" s="1" t="s">
        <v>119</v>
      </c>
      <c r="C50" s="1" t="s">
        <v>116</v>
      </c>
      <c r="D50" s="1" t="s">
        <v>120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3</v>
      </c>
      <c r="AP50" s="1">
        <v>5</v>
      </c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8</v>
      </c>
      <c r="BQ50" s="1">
        <v>8</v>
      </c>
      <c r="BR50" s="17">
        <v>2</v>
      </c>
      <c r="BS50" s="17" t="s">
        <v>244</v>
      </c>
      <c r="BT50" s="1" t="str">
        <f>IF(AQ50&gt;AQ$147, AQ50-AQ$147,"")</f>
        <v/>
      </c>
      <c r="BU50" s="1" t="str">
        <f>IF(AR50&gt;AR$147, AR50-AR$147,"")</f>
        <v/>
      </c>
      <c r="BV50" s="1" t="str">
        <f>IF(AS50&gt;AS$147, AS50-AS$147,"")</f>
        <v/>
      </c>
      <c r="BW50" s="1" t="str">
        <f>IF(AT50&gt;AT$147, AT50-AT$147,"")</f>
        <v/>
      </c>
      <c r="BX50" s="1" t="str">
        <f>IF(AU50&gt;AU$147, AU50-AU$147,"")</f>
        <v/>
      </c>
      <c r="BY50" s="1" t="str">
        <f>IF(AV50&gt;AV$147, AV50-AV$147,"")</f>
        <v/>
      </c>
      <c r="BZ50" s="1" t="str">
        <f>IF(AW50&gt;AW$147, AW50-AW$147,"")</f>
        <v/>
      </c>
      <c r="CA50" s="1" t="str">
        <f>IF(AX50&gt;AX$147, AX50-AX$147,"")</f>
        <v/>
      </c>
      <c r="CB50" s="1" t="str">
        <f>IF(AY50&gt;AY$147, AY50-AY$147,"")</f>
        <v/>
      </c>
      <c r="CC50" s="1" t="str">
        <f>IF(AZ50&gt;AZ$147, AZ50-AZ$147,"")</f>
        <v/>
      </c>
      <c r="CD50" s="1" t="str">
        <f>IF(BA50&gt;BA$147, BA50-BA$147,"")</f>
        <v/>
      </c>
      <c r="CE50" s="1" t="str">
        <f>IF(BB50&gt;BB$147, BB50-BB$147,"")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ht="27" x14ac:dyDescent="0.15">
      <c r="A51" s="1"/>
      <c r="B51" s="1" t="s">
        <v>143</v>
      </c>
      <c r="C51" s="1" t="s">
        <v>131</v>
      </c>
      <c r="D51" s="1" t="s">
        <v>133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32"/>
      <c r="Q51" s="32">
        <v>5</v>
      </c>
      <c r="R51" s="32">
        <v>2</v>
      </c>
      <c r="S51" s="32"/>
      <c r="T51" s="32">
        <v>5</v>
      </c>
      <c r="U51" s="32"/>
      <c r="V51" s="32"/>
      <c r="W51" s="32"/>
      <c r="X51" s="32"/>
      <c r="Y51" s="32"/>
      <c r="Z51" s="32">
        <v>5</v>
      </c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8</v>
      </c>
      <c r="BR51" s="17">
        <v>2</v>
      </c>
      <c r="BS51" s="17" t="s">
        <v>245</v>
      </c>
      <c r="BT51" s="1" t="str">
        <f>IF(AQ51&gt;AQ$147, AQ51-AQ$147,"")</f>
        <v/>
      </c>
      <c r="BU51" s="1" t="str">
        <f>IF(AR51&gt;AR$147, AR51-AR$147,"")</f>
        <v/>
      </c>
      <c r="BV51" s="1" t="str">
        <f>IF(AS51&gt;AS$147, AS51-AS$147,"")</f>
        <v/>
      </c>
      <c r="BW51" s="1" t="str">
        <f>IF(AT51&gt;AT$147, AT51-AT$147,"")</f>
        <v/>
      </c>
      <c r="BX51" s="1" t="str">
        <f>IF(AU51&gt;AU$147, AU51-AU$147,"")</f>
        <v/>
      </c>
      <c r="BY51" s="1" t="str">
        <f>IF(AV51&gt;AV$147, AV51-AV$147,"")</f>
        <v/>
      </c>
      <c r="BZ51" s="1" t="str">
        <f>IF(AW51&gt;AW$147, AW51-AW$147,"")</f>
        <v/>
      </c>
      <c r="CA51" s="1" t="str">
        <f>IF(AX51&gt;AX$147, AX51-AX$147,"")</f>
        <v/>
      </c>
      <c r="CB51" s="1" t="str">
        <f>IF(AY51&gt;AY$147, AY51-AY$147,"")</f>
        <v/>
      </c>
      <c r="CC51" s="1" t="str">
        <f>IF(AZ51&gt;AZ$147, AZ51-AZ$147,"")</f>
        <v/>
      </c>
      <c r="CD51" s="1" t="str">
        <f>IF(BA51&gt;BA$147, BA51-BA$147,"")</f>
        <v/>
      </c>
      <c r="CE51" s="1" t="str">
        <f>IF(BB51&gt;BB$147, BB51-BB$147,"")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8"/>
    </row>
    <row r="52" spans="1:97" ht="27" x14ac:dyDescent="0.15">
      <c r="A52" s="1"/>
      <c r="B52" s="1" t="s">
        <v>148</v>
      </c>
      <c r="C52" s="1" t="s">
        <v>131</v>
      </c>
      <c r="D52" s="1" t="s">
        <v>133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32"/>
      <c r="Q52" s="32">
        <v>5</v>
      </c>
      <c r="R52" s="32">
        <v>2</v>
      </c>
      <c r="S52" s="32"/>
      <c r="T52" s="32">
        <v>5</v>
      </c>
      <c r="U52" s="32"/>
      <c r="V52" s="32"/>
      <c r="W52" s="32"/>
      <c r="X52" s="32"/>
      <c r="Y52" s="32"/>
      <c r="Z52" s="32">
        <v>5</v>
      </c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8</v>
      </c>
      <c r="BR52" s="17">
        <v>2</v>
      </c>
      <c r="BS52" s="17" t="s">
        <v>245</v>
      </c>
      <c r="BT52" s="1" t="str">
        <f>IF(AQ52&gt;AQ$147, AQ52-AQ$147,"")</f>
        <v/>
      </c>
      <c r="BU52" s="1" t="str">
        <f>IF(AR52&gt;AR$147, AR52-AR$147,"")</f>
        <v/>
      </c>
      <c r="BV52" s="1" t="str">
        <f>IF(AS52&gt;AS$147, AS52-AS$147,"")</f>
        <v/>
      </c>
      <c r="BW52" s="1" t="str">
        <f>IF(AT52&gt;AT$147, AT52-AT$147,"")</f>
        <v/>
      </c>
      <c r="BX52" s="1" t="str">
        <f>IF(AU52&gt;AU$147, AU52-AU$147,"")</f>
        <v/>
      </c>
      <c r="BY52" s="1" t="str">
        <f>IF(AV52&gt;AV$147, AV52-AV$147,"")</f>
        <v/>
      </c>
      <c r="BZ52" s="1" t="str">
        <f>IF(AW52&gt;AW$147, AW52-AW$147,"")</f>
        <v/>
      </c>
      <c r="CA52" s="1" t="str">
        <f>IF(AX52&gt;AX$147, AX52-AX$147,"")</f>
        <v/>
      </c>
      <c r="CB52" s="1" t="str">
        <f>IF(AY52&gt;AY$147, AY52-AY$147,"")</f>
        <v/>
      </c>
      <c r="CC52" s="1" t="str">
        <f>IF(AZ52&gt;AZ$147, AZ52-AZ$147,"")</f>
        <v/>
      </c>
      <c r="CD52" s="1" t="str">
        <f>IF(BA52&gt;BA$147, BA52-BA$147,"")</f>
        <v/>
      </c>
      <c r="CE52" s="1" t="str">
        <f>IF(BB52&gt;BB$147, BB52-BB$147,"")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ht="27" x14ac:dyDescent="0.15">
      <c r="A53" s="1"/>
      <c r="B53" s="1" t="s">
        <v>156</v>
      </c>
      <c r="C53" s="1" t="s">
        <v>154</v>
      </c>
      <c r="D53" s="1" t="s">
        <v>133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32"/>
      <c r="Q53" s="32">
        <v>5</v>
      </c>
      <c r="R53" s="32">
        <v>2</v>
      </c>
      <c r="S53" s="32"/>
      <c r="T53" s="32">
        <v>5</v>
      </c>
      <c r="U53" s="32"/>
      <c r="V53" s="32"/>
      <c r="W53" s="32"/>
      <c r="X53" s="32"/>
      <c r="Y53" s="32"/>
      <c r="Z53" s="32">
        <v>5</v>
      </c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8</v>
      </c>
      <c r="BR53" s="17">
        <v>2</v>
      </c>
      <c r="BS53" s="17" t="s">
        <v>245</v>
      </c>
      <c r="BT53" s="1" t="str">
        <f>IF(AQ53&gt;AQ$147, AQ53-AQ$147,"")</f>
        <v/>
      </c>
      <c r="BU53" s="1" t="str">
        <f>IF(AR53&gt;AR$147, AR53-AR$147,"")</f>
        <v/>
      </c>
      <c r="BV53" s="1" t="str">
        <f>IF(AS53&gt;AS$147, AS53-AS$147,"")</f>
        <v/>
      </c>
      <c r="BW53" s="1" t="str">
        <f>IF(AT53&gt;AT$147, AT53-AT$147,"")</f>
        <v/>
      </c>
      <c r="BX53" s="1" t="str">
        <f>IF(AU53&gt;AU$147, AU53-AU$147,"")</f>
        <v/>
      </c>
      <c r="BY53" s="1" t="str">
        <f>IF(AV53&gt;AV$147, AV53-AV$147,"")</f>
        <v/>
      </c>
      <c r="BZ53" s="1" t="str">
        <f>IF(AW53&gt;AW$147, AW53-AW$147,"")</f>
        <v/>
      </c>
      <c r="CA53" s="1" t="str">
        <f>IF(AX53&gt;AX$147, AX53-AX$147,"")</f>
        <v/>
      </c>
      <c r="CB53" s="1" t="str">
        <f>IF(AY53&gt;AY$147, AY53-AY$147,"")</f>
        <v/>
      </c>
      <c r="CC53" s="1" t="str">
        <f>IF(AZ53&gt;AZ$147, AZ53-AZ$147,"")</f>
        <v/>
      </c>
      <c r="CD53" s="1" t="str">
        <f>IF(BA53&gt;BA$147, BA53-BA$147,"")</f>
        <v/>
      </c>
      <c r="CE53" s="1" t="str">
        <f>IF(BB53&gt;BB$147, BB53-BB$147,"")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ht="27" x14ac:dyDescent="0.15">
      <c r="A54" s="1"/>
      <c r="B54" s="1" t="s">
        <v>158</v>
      </c>
      <c r="C54" s="1" t="s">
        <v>159</v>
      </c>
      <c r="D54" s="1" t="s">
        <v>133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32"/>
      <c r="Q54" s="32">
        <v>5</v>
      </c>
      <c r="R54" s="32"/>
      <c r="S54" s="32"/>
      <c r="T54" s="32">
        <v>5</v>
      </c>
      <c r="U54" s="32"/>
      <c r="V54" s="32"/>
      <c r="W54" s="32"/>
      <c r="X54" s="32">
        <v>2</v>
      </c>
      <c r="Y54" s="32"/>
      <c r="Z54" s="32">
        <v>5</v>
      </c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8</v>
      </c>
      <c r="BR54" s="17">
        <v>2</v>
      </c>
      <c r="BS54" s="17" t="s">
        <v>245</v>
      </c>
      <c r="BT54" s="1" t="str">
        <f>IF(AQ54&gt;AQ$147, AQ54-AQ$147,"")</f>
        <v/>
      </c>
      <c r="BU54" s="1" t="str">
        <f>IF(AR54&gt;AR$147, AR54-AR$147,"")</f>
        <v/>
      </c>
      <c r="BV54" s="1" t="str">
        <f>IF(AS54&gt;AS$147, AS54-AS$147,"")</f>
        <v/>
      </c>
      <c r="BW54" s="1" t="str">
        <f>IF(AT54&gt;AT$147, AT54-AT$147,"")</f>
        <v/>
      </c>
      <c r="BX54" s="1" t="str">
        <f>IF(AU54&gt;AU$147, AU54-AU$147,"")</f>
        <v/>
      </c>
      <c r="BY54" s="1" t="str">
        <f>IF(AV54&gt;AV$147, AV54-AV$147,"")</f>
        <v/>
      </c>
      <c r="BZ54" s="1" t="str">
        <f>IF(AW54&gt;AW$147, AW54-AW$147,"")</f>
        <v/>
      </c>
      <c r="CA54" s="1" t="str">
        <f>IF(AX54&gt;AX$147, AX54-AX$147,"")</f>
        <v/>
      </c>
      <c r="CB54" s="1" t="str">
        <f>IF(AY54&gt;AY$147, AY54-AY$147,"")</f>
        <v/>
      </c>
      <c r="CC54" s="1" t="str">
        <f>IF(AZ54&gt;AZ$147, AZ54-AZ$147,"")</f>
        <v/>
      </c>
      <c r="CD54" s="1" t="str">
        <f>IF(BA54&gt;BA$147, BA54-BA$147,"")</f>
        <v/>
      </c>
      <c r="CE54" s="1" t="str">
        <f>IF(BB54&gt;BB$147, BB54-BB$147,"")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8"/>
    </row>
    <row r="55" spans="1:97" ht="27" x14ac:dyDescent="0.15">
      <c r="A55" s="1">
        <v>69</v>
      </c>
      <c r="B55" s="3" t="s">
        <v>67</v>
      </c>
      <c r="C55" s="1" t="s">
        <v>60</v>
      </c>
      <c r="D55" s="1" t="s">
        <v>13</v>
      </c>
      <c r="E55" s="6"/>
      <c r="F55" s="6"/>
      <c r="G55" s="6"/>
      <c r="H55" s="6">
        <v>6</v>
      </c>
      <c r="I55" s="6">
        <v>6</v>
      </c>
      <c r="J55" s="6"/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>
        <v>10</v>
      </c>
      <c r="AW55" s="2"/>
      <c r="AX55" s="2">
        <v>10</v>
      </c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8</v>
      </c>
      <c r="BR55" s="17">
        <v>2</v>
      </c>
      <c r="BS55" s="17" t="s">
        <v>247</v>
      </c>
      <c r="BT55" s="1" t="str">
        <f>IF(AQ55&gt;AQ$147, AQ55-AQ$147,"")</f>
        <v/>
      </c>
      <c r="BU55" s="1" t="str">
        <f>IF(AR55&gt;AR$147, AR55-AR$147,"")</f>
        <v/>
      </c>
      <c r="BV55" s="1" t="str">
        <f>IF(AS55&gt;AS$147, AS55-AS$147,"")</f>
        <v/>
      </c>
      <c r="BW55" s="1" t="str">
        <f>IF(AT55&gt;AT$147, AT55-AT$147,"")</f>
        <v/>
      </c>
      <c r="BX55" s="1" t="str">
        <f>IF(AU55&gt;AU$147, AU55-AU$147,"")</f>
        <v/>
      </c>
      <c r="BY55" s="1">
        <f>IF(AV55&gt;AV$147, AV55-AV$147,"")</f>
        <v>2</v>
      </c>
      <c r="BZ55" s="1" t="str">
        <f>IF(AW55&gt;AW$147, AW55-AW$147,"")</f>
        <v/>
      </c>
      <c r="CA55" s="1" t="str">
        <f>IF(AX55&gt;AX$147, AX55-AX$147,"")</f>
        <v/>
      </c>
      <c r="CB55" s="1" t="str">
        <f>IF(AY55&gt;AY$147, AY55-AY$147,"")</f>
        <v/>
      </c>
      <c r="CC55" s="1" t="str">
        <f>IF(AZ55&gt;AZ$147, AZ55-AZ$147,"")</f>
        <v/>
      </c>
      <c r="CD55" s="1" t="str">
        <f>IF(BA55&gt;BA$147, BA55-BA$147,"")</f>
        <v/>
      </c>
      <c r="CE55" s="1" t="str">
        <f>IF(BB55&gt;BB$147, BB55-BB$147,"")</f>
        <v/>
      </c>
      <c r="CF55" s="1">
        <f>COUNTIF(BT55:CE55, "&gt;0")</f>
        <v>1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>
        <f>IF($CF55=1,BY55,"")</f>
        <v>2</v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18">
        <f>SUM(AE55:BO55)</f>
        <v>20</v>
      </c>
    </row>
    <row r="56" spans="1:97" ht="27" x14ac:dyDescent="0.15">
      <c r="A56" s="1">
        <v>101</v>
      </c>
      <c r="B56" s="3" t="s">
        <v>107</v>
      </c>
      <c r="C56" s="3" t="s">
        <v>74</v>
      </c>
      <c r="D56" s="1" t="s">
        <v>13</v>
      </c>
      <c r="E56" s="6"/>
      <c r="F56" s="6"/>
      <c r="G56" s="6"/>
      <c r="H56" s="6">
        <v>6</v>
      </c>
      <c r="I56" s="6">
        <v>6</v>
      </c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>
        <v>8</v>
      </c>
      <c r="AV56" s="4"/>
      <c r="AW56" s="2">
        <v>8</v>
      </c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28</v>
      </c>
      <c r="BQ56" s="1">
        <v>8</v>
      </c>
      <c r="BR56" s="17">
        <v>2</v>
      </c>
      <c r="BS56" s="17" t="s">
        <v>249</v>
      </c>
      <c r="BT56" s="1" t="str">
        <f>IF(AQ56&gt;AQ$147, AQ56-AQ$147,"")</f>
        <v/>
      </c>
      <c r="BU56" s="1" t="str">
        <f>IF(AR56&gt;AR$147, AR56-AR$147,"")</f>
        <v/>
      </c>
      <c r="BV56" s="1" t="str">
        <f>IF(AS56&gt;AS$147, AS56-AS$147,"")</f>
        <v/>
      </c>
      <c r="BW56" s="1" t="str">
        <f>IF(AT56&gt;AT$147, AT56-AT$147,"")</f>
        <v/>
      </c>
      <c r="BX56" s="1">
        <f>IF(AU56&gt;AU$147, AU56-AU$147,"")</f>
        <v>2</v>
      </c>
      <c r="BY56" s="1" t="str">
        <f>IF(AV56&gt;AV$147, AV56-AV$147,"")</f>
        <v/>
      </c>
      <c r="BZ56" s="1" t="str">
        <f>IF(AW56&gt;AW$147, AW56-AW$147,"")</f>
        <v/>
      </c>
      <c r="CA56" s="1" t="str">
        <f>IF(AX56&gt;AX$147, AX56-AX$147,"")</f>
        <v/>
      </c>
      <c r="CB56" s="1" t="str">
        <f>IF(AY56&gt;AY$147, AY56-AY$147,"")</f>
        <v/>
      </c>
      <c r="CC56" s="1" t="str">
        <f>IF(AZ56&gt;AZ$147, AZ56-AZ$147,"")</f>
        <v/>
      </c>
      <c r="CD56" s="1" t="str">
        <f>IF(BA56&gt;BA$147, BA56-BA$147,"")</f>
        <v/>
      </c>
      <c r="CE56" s="1" t="str">
        <f>IF(BB56&gt;BB$147, BB56-BB$147,"")</f>
        <v/>
      </c>
      <c r="CF56" s="1">
        <f>COUNTIF(BT56:CE56, "&gt;0")</f>
        <v>1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>
        <f>IF($CF56=1,BX56,"")</f>
        <v>2</v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18">
        <f>SUM(AE56:BO56)</f>
        <v>16</v>
      </c>
    </row>
    <row r="57" spans="1:97" ht="27" x14ac:dyDescent="0.15">
      <c r="A57" s="1">
        <v>20</v>
      </c>
      <c r="B57" s="1" t="s">
        <v>38</v>
      </c>
      <c r="C57" s="1" t="s">
        <v>32</v>
      </c>
      <c r="D57" s="1" t="s">
        <v>25</v>
      </c>
      <c r="E57" s="6"/>
      <c r="F57" s="6">
        <v>5</v>
      </c>
      <c r="G57" s="6"/>
      <c r="H57" s="6"/>
      <c r="I57" s="6"/>
      <c r="J57" s="6"/>
      <c r="K57" s="6"/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>
        <v>5</v>
      </c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10</v>
      </c>
      <c r="BQ57" s="1">
        <v>9</v>
      </c>
      <c r="BR57" s="17">
        <v>2</v>
      </c>
      <c r="BS57" s="17" t="s">
        <v>228</v>
      </c>
      <c r="BT57" s="1" t="str">
        <f>IF(AQ57&gt;AQ$147, AQ57-AQ$147,"")</f>
        <v/>
      </c>
      <c r="BU57" s="1" t="str">
        <f>IF(AR57&gt;AR$147, AR57-AR$147,"")</f>
        <v/>
      </c>
      <c r="BV57" s="1" t="str">
        <f>IF(AS57&gt;AS$147, AS57-AS$147,"")</f>
        <v/>
      </c>
      <c r="BW57" s="1" t="str">
        <f>IF(AT57&gt;AT$147, AT57-AT$147,"")</f>
        <v/>
      </c>
      <c r="BX57" s="1" t="str">
        <f>IF(AU57&gt;AU$147, AU57-AU$147,"")</f>
        <v/>
      </c>
      <c r="BY57" s="1" t="str">
        <f>IF(AV57&gt;AV$147, AV57-AV$147,"")</f>
        <v/>
      </c>
      <c r="BZ57" s="1" t="str">
        <f>IF(AW57&gt;AW$147, AW57-AW$147,"")</f>
        <v/>
      </c>
      <c r="CA57" s="1" t="str">
        <f>IF(AX57&gt;AX$147, AX57-AX$147,"")</f>
        <v/>
      </c>
      <c r="CB57" s="1" t="str">
        <f>IF(AY57&gt;AY$147, AY57-AY$147,"")</f>
        <v/>
      </c>
      <c r="CC57" s="1" t="str">
        <f>IF(AZ57&gt;AZ$147, AZ57-AZ$147,"")</f>
        <v/>
      </c>
      <c r="CD57" s="1" t="str">
        <f>IF(BA57&gt;BA$147, BA57-BA$147,"")</f>
        <v/>
      </c>
      <c r="CE57" s="1" t="str">
        <f>IF(BB57&gt;BB$147, BB57-BB$147,"")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18">
        <f>SUM(AE57:BO57)</f>
        <v>5</v>
      </c>
    </row>
    <row r="58" spans="1:97" ht="27" x14ac:dyDescent="0.15">
      <c r="A58" s="1">
        <v>8</v>
      </c>
      <c r="B58" s="1" t="s">
        <v>183</v>
      </c>
      <c r="C58" s="1" t="s">
        <v>2</v>
      </c>
      <c r="D58" s="1" t="s">
        <v>26</v>
      </c>
      <c r="E58" s="6">
        <v>6</v>
      </c>
      <c r="F58" s="6"/>
      <c r="G58" s="6"/>
      <c r="H58" s="6">
        <v>6</v>
      </c>
      <c r="I58" s="6"/>
      <c r="J58" s="6"/>
      <c r="K58" s="6"/>
      <c r="L58" s="6"/>
      <c r="M58" s="6"/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>
        <v>10</v>
      </c>
      <c r="AS58" s="4"/>
      <c r="AT58" s="4"/>
      <c r="AU58" s="4"/>
      <c r="AV58" s="4"/>
      <c r="AW58" s="2"/>
      <c r="AX58" s="2"/>
      <c r="AY58" s="2"/>
      <c r="AZ58" s="2"/>
      <c r="BA58" s="2"/>
      <c r="BB58" s="2">
        <v>10</v>
      </c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32</v>
      </c>
      <c r="BQ58" s="1">
        <v>10</v>
      </c>
      <c r="BR58" s="17">
        <v>2</v>
      </c>
      <c r="BS58" s="17" t="s">
        <v>248</v>
      </c>
      <c r="BT58" s="1" t="str">
        <f>IF(AQ58&gt;AQ$147, AQ58-AQ$147,"")</f>
        <v/>
      </c>
      <c r="BU58" s="1">
        <f>IF(AR58&gt;AR$147, AR58-AR$147,"")</f>
        <v>4</v>
      </c>
      <c r="BV58" s="1" t="str">
        <f>IF(AS58&gt;AS$147, AS58-AS$147,"")</f>
        <v/>
      </c>
      <c r="BW58" s="1" t="str">
        <f>IF(AT58&gt;AT$147, AT58-AT$147,"")</f>
        <v/>
      </c>
      <c r="BX58" s="1" t="str">
        <f>IF(AU58&gt;AU$147, AU58-AU$147,"")</f>
        <v/>
      </c>
      <c r="BY58" s="1" t="str">
        <f>IF(AV58&gt;AV$147, AV58-AV$147,"")</f>
        <v/>
      </c>
      <c r="BZ58" s="1" t="str">
        <f>IF(AW58&gt;AW$147, AW58-AW$147,"")</f>
        <v/>
      </c>
      <c r="CA58" s="1" t="str">
        <f>IF(AX58&gt;AX$147, AX58-AX$147,"")</f>
        <v/>
      </c>
      <c r="CB58" s="1" t="str">
        <f>IF(AY58&gt;AY$147, AY58-AY$147,"")</f>
        <v/>
      </c>
      <c r="CC58" s="1" t="str">
        <f>IF(AZ58&gt;AZ$147, AZ58-AZ$147,"")</f>
        <v/>
      </c>
      <c r="CD58" s="1" t="str">
        <f>IF(BA58&gt;BA$147, BA58-BA$147,"")</f>
        <v/>
      </c>
      <c r="CE58" s="1" t="str">
        <f>IF(BB58&gt;BB$147, BB58-BB$147,"")</f>
        <v/>
      </c>
      <c r="CF58" s="1">
        <f>COUNTIF(BT58:CE58, "&gt;0")</f>
        <v>1</v>
      </c>
      <c r="CG58" s="1" t="str">
        <f>IF($CF58=1,BT58,"")</f>
        <v/>
      </c>
      <c r="CH58" s="1">
        <f>IF($CF58=1,BU58,"")</f>
        <v>4</v>
      </c>
      <c r="CI58" s="1" t="str">
        <f>IF($CF58=1,BV58,"")</f>
        <v/>
      </c>
      <c r="CJ58" s="1" t="str">
        <f>IF($CF58=1,BW58,"")</f>
        <v/>
      </c>
      <c r="CK58" s="1" t="str">
        <f>IF($CF58=1,BX58,"")</f>
        <v/>
      </c>
      <c r="CL58" s="1" t="str">
        <f>IF($CF58=1,BY58,"")</f>
        <v/>
      </c>
      <c r="CM58" s="1" t="str">
        <f>IF($CF58=1,BZ58,"")</f>
        <v/>
      </c>
      <c r="CN58" s="1" t="str">
        <f>IF($CF58=1,CA58,"")</f>
        <v/>
      </c>
      <c r="CO58" s="1" t="str">
        <f>IF($CF58=1,CB58,"")</f>
        <v/>
      </c>
      <c r="CP58" s="1" t="str">
        <f>IF($CF58=1,CC58,"")</f>
        <v/>
      </c>
      <c r="CQ58" s="1" t="str">
        <f>IF($CF58=1,CD58,"")</f>
        <v/>
      </c>
      <c r="CR58" s="1" t="str">
        <f>IF($CF58=1,CE58,"")</f>
        <v/>
      </c>
      <c r="CS58" s="18">
        <f>SUM(AE58:BO58)</f>
        <v>20</v>
      </c>
    </row>
    <row r="59" spans="1:97" ht="27" x14ac:dyDescent="0.15">
      <c r="A59" s="1">
        <v>27</v>
      </c>
      <c r="B59" s="1" t="s">
        <v>79</v>
      </c>
      <c r="C59" s="1" t="s">
        <v>32</v>
      </c>
      <c r="D59" s="1" t="s">
        <v>24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>
        <v>5</v>
      </c>
      <c r="AI59" s="1">
        <v>5</v>
      </c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10</v>
      </c>
      <c r="BQ59" s="1">
        <v>10</v>
      </c>
      <c r="BR59" s="17">
        <v>2</v>
      </c>
      <c r="BS59" s="17" t="s">
        <v>250</v>
      </c>
      <c r="BT59" s="1" t="str">
        <f>IF(AQ59&gt;AQ$147, AQ59-AQ$147,"")</f>
        <v/>
      </c>
      <c r="BU59" s="1" t="str">
        <f>IF(AR59&gt;AR$147, AR59-AR$147,"")</f>
        <v/>
      </c>
      <c r="BV59" s="1" t="str">
        <f>IF(AS59&gt;AS$147, AS59-AS$147,"")</f>
        <v/>
      </c>
      <c r="BW59" s="1" t="str">
        <f>IF(AT59&gt;AT$147, AT59-AT$147,"")</f>
        <v/>
      </c>
      <c r="BX59" s="1" t="str">
        <f>IF(AU59&gt;AU$147, AU59-AU$147,"")</f>
        <v/>
      </c>
      <c r="BY59" s="1" t="str">
        <f>IF(AV59&gt;AV$147, AV59-AV$147,"")</f>
        <v/>
      </c>
      <c r="BZ59" s="1" t="str">
        <f>IF(AW59&gt;AW$147, AW59-AW$147,"")</f>
        <v/>
      </c>
      <c r="CA59" s="1" t="str">
        <f>IF(AX59&gt;AX$147, AX59-AX$147,"")</f>
        <v/>
      </c>
      <c r="CB59" s="1" t="str">
        <f>IF(AY59&gt;AY$147, AY59-AY$147,"")</f>
        <v/>
      </c>
      <c r="CC59" s="1" t="str">
        <f>IF(AZ59&gt;AZ$147, AZ59-AZ$147,"")</f>
        <v/>
      </c>
      <c r="CD59" s="1" t="str">
        <f>IF(BA59&gt;BA$147, BA59-BA$147,"")</f>
        <v/>
      </c>
      <c r="CE59" s="1" t="str">
        <f>IF(BB59&gt;BB$147, BB59-BB$147,"")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18">
        <f>SUM(AE59:BO59)</f>
        <v>10</v>
      </c>
    </row>
    <row r="60" spans="1:97" ht="27" x14ac:dyDescent="0.15">
      <c r="A60" s="1">
        <v>88</v>
      </c>
      <c r="B60" s="3" t="s">
        <v>84</v>
      </c>
      <c r="C60" s="3" t="s">
        <v>85</v>
      </c>
      <c r="D60" s="1" t="s">
        <v>24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>
        <v>5</v>
      </c>
      <c r="AI60" s="1">
        <v>5</v>
      </c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10</v>
      </c>
      <c r="BQ60" s="1">
        <v>10</v>
      </c>
      <c r="BR60" s="17">
        <v>2</v>
      </c>
      <c r="BS60" s="17" t="s">
        <v>250</v>
      </c>
      <c r="BT60" s="1" t="str">
        <f>IF(AQ60&gt;AQ$147, AQ60-AQ$147,"")</f>
        <v/>
      </c>
      <c r="BU60" s="1" t="str">
        <f>IF(AR60&gt;AR$147, AR60-AR$147,"")</f>
        <v/>
      </c>
      <c r="BV60" s="1" t="str">
        <f>IF(AS60&gt;AS$147, AS60-AS$147,"")</f>
        <v/>
      </c>
      <c r="BW60" s="1" t="str">
        <f>IF(AT60&gt;AT$147, AT60-AT$147,"")</f>
        <v/>
      </c>
      <c r="BX60" s="1" t="str">
        <f>IF(AU60&gt;AU$147, AU60-AU$147,"")</f>
        <v/>
      </c>
      <c r="BY60" s="1" t="str">
        <f>IF(AV60&gt;AV$147, AV60-AV$147,"")</f>
        <v/>
      </c>
      <c r="BZ60" s="1" t="str">
        <f>IF(AW60&gt;AW$147, AW60-AW$147,"")</f>
        <v/>
      </c>
      <c r="CA60" s="1" t="str">
        <f>IF(AX60&gt;AX$147, AX60-AX$147,"")</f>
        <v/>
      </c>
      <c r="CB60" s="1" t="str">
        <f>IF(AY60&gt;AY$147, AY60-AY$147,"")</f>
        <v/>
      </c>
      <c r="CC60" s="1" t="str">
        <f>IF(AZ60&gt;AZ$147, AZ60-AZ$147,"")</f>
        <v/>
      </c>
      <c r="CD60" s="1" t="str">
        <f>IF(BA60&gt;BA$147, BA60-BA$147,"")</f>
        <v/>
      </c>
      <c r="CE60" s="1" t="str">
        <f>IF(BB60&gt;BB$147, BB60-BB$147,"")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18">
        <f>SUM(AE60:BO60)</f>
        <v>10</v>
      </c>
    </row>
    <row r="61" spans="1:97" ht="27" x14ac:dyDescent="0.15">
      <c r="A61" s="1"/>
      <c r="B61" s="1" t="s">
        <v>202</v>
      </c>
      <c r="C61" s="1" t="s">
        <v>116</v>
      </c>
      <c r="D61" s="1" t="s">
        <v>114</v>
      </c>
      <c r="E61" s="6">
        <v>6</v>
      </c>
      <c r="F61" s="6">
        <v>6</v>
      </c>
      <c r="G61" s="6"/>
      <c r="H61" s="6"/>
      <c r="I61" s="6"/>
      <c r="J61" s="6"/>
      <c r="K61" s="6"/>
      <c r="L61" s="6"/>
      <c r="M61" s="6"/>
      <c r="N61" s="6"/>
      <c r="O61" s="6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>
        <v>10</v>
      </c>
      <c r="AT61" s="4"/>
      <c r="AU61" s="4"/>
      <c r="AV61" s="4"/>
      <c r="AW61" s="2"/>
      <c r="AX61" s="2">
        <v>10</v>
      </c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32</v>
      </c>
      <c r="BQ61" s="1">
        <v>13</v>
      </c>
      <c r="BR61" s="17">
        <v>2</v>
      </c>
      <c r="BS61" s="17" t="s">
        <v>232</v>
      </c>
      <c r="BT61" s="1" t="str">
        <f>IF(AQ61&gt;AQ$147, AQ61-AQ$147,"")</f>
        <v/>
      </c>
      <c r="BU61" s="1" t="str">
        <f>IF(AR61&gt;AR$147, AR61-AR$147,"")</f>
        <v/>
      </c>
      <c r="BV61" s="1">
        <f>IF(AS61&gt;AS$147, AS61-AS$147,"")</f>
        <v>8</v>
      </c>
      <c r="BW61" s="1" t="str">
        <f>IF(AT61&gt;AT$147, AT61-AT$147,"")</f>
        <v/>
      </c>
      <c r="BX61" s="1" t="str">
        <f>IF(AU61&gt;AU$147, AU61-AU$147,"")</f>
        <v/>
      </c>
      <c r="BY61" s="1" t="str">
        <f>IF(AV61&gt;AV$147, AV61-AV$147,"")</f>
        <v/>
      </c>
      <c r="BZ61" s="1" t="str">
        <f>IF(AW61&gt;AW$147, AW61-AW$147,"")</f>
        <v/>
      </c>
      <c r="CA61" s="1" t="str">
        <f>IF(AX61&gt;AX$147, AX61-AX$147,"")</f>
        <v/>
      </c>
      <c r="CB61" s="1" t="str">
        <f>IF(AY61&gt;AY$147, AY61-AY$147,"")</f>
        <v/>
      </c>
      <c r="CC61" s="1" t="str">
        <f>IF(AZ61&gt;AZ$147, AZ61-AZ$147,"")</f>
        <v/>
      </c>
      <c r="CD61" s="1" t="str">
        <f>IF(BA61&gt;BA$147, BA61-BA$147,"")</f>
        <v/>
      </c>
      <c r="CE61" s="1" t="str">
        <f>IF(BB61&gt;BB$147, BB61-BB$147,"")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ht="27" x14ac:dyDescent="0.15">
      <c r="A62" s="1">
        <v>1</v>
      </c>
      <c r="B62" s="1" t="s">
        <v>0</v>
      </c>
      <c r="C62" s="1" t="s">
        <v>2</v>
      </c>
      <c r="D62" s="1" t="s">
        <v>1</v>
      </c>
      <c r="E62" s="6">
        <v>10</v>
      </c>
      <c r="F62" s="6">
        <v>10</v>
      </c>
      <c r="G62" s="6"/>
      <c r="H62" s="6"/>
      <c r="I62" s="6"/>
      <c r="J62" s="6"/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>
        <v>10</v>
      </c>
      <c r="AS62" s="4"/>
      <c r="AT62" s="4"/>
      <c r="AU62" s="4"/>
      <c r="AV62" s="4"/>
      <c r="AW62" s="2">
        <v>15</v>
      </c>
      <c r="AX62" s="2">
        <v>15</v>
      </c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13</v>
      </c>
      <c r="BR62" s="17">
        <v>2</v>
      </c>
      <c r="BS62" s="17" t="s">
        <v>246</v>
      </c>
      <c r="BT62" s="1" t="str">
        <f>IF(AQ62&gt;AQ$147, AQ62-AQ$147,"")</f>
        <v/>
      </c>
      <c r="BU62" s="1">
        <f>IF(AR62&gt;AR$147, AR62-AR$147,"")</f>
        <v>4</v>
      </c>
      <c r="BV62" s="1" t="str">
        <f>IF(AS62&gt;AS$147, AS62-AS$147,"")</f>
        <v/>
      </c>
      <c r="BW62" s="1" t="str">
        <f>IF(AT62&gt;AT$147, AT62-AT$147,"")</f>
        <v/>
      </c>
      <c r="BX62" s="1" t="str">
        <f>IF(AU62&gt;AU$147, AU62-AU$147,"")</f>
        <v/>
      </c>
      <c r="BY62" s="1" t="str">
        <f>IF(AV62&gt;AV$147, AV62-AV$147,"")</f>
        <v/>
      </c>
      <c r="BZ62" s="1" t="str">
        <f>IF(AW62&gt;AW$147, AW62-AW$147,"")</f>
        <v/>
      </c>
      <c r="CA62" s="1" t="str">
        <f>IF(AX62&gt;AX$147, AX62-AX$147,"")</f>
        <v/>
      </c>
      <c r="CB62" s="1" t="str">
        <f>IF(AY62&gt;AY$147, AY62-AY$147,"")</f>
        <v/>
      </c>
      <c r="CC62" s="1" t="str">
        <f>IF(AZ62&gt;AZ$147, AZ62-AZ$147,"")</f>
        <v/>
      </c>
      <c r="CD62" s="1" t="str">
        <f>IF(BA62&gt;BA$147, BA62-BA$147,"")</f>
        <v/>
      </c>
      <c r="CE62" s="1" t="str">
        <f>IF(BB62&gt;BB$147, BB62-BB$147,"")</f>
        <v/>
      </c>
      <c r="CF62" s="1">
        <f>COUNTIF(BT62:CE62, "&gt;0")</f>
        <v>1</v>
      </c>
      <c r="CG62" s="1" t="str">
        <f>IF($CF62=1,BT62,"")</f>
        <v/>
      </c>
      <c r="CH62" s="1">
        <f>IF($CF62=1,BU62,"")</f>
        <v>4</v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18">
        <f>SUM(AE62:BO62)</f>
        <v>40</v>
      </c>
    </row>
    <row r="63" spans="1:97" ht="27" x14ac:dyDescent="0.15">
      <c r="A63" s="1">
        <v>82</v>
      </c>
      <c r="B63" s="3" t="s">
        <v>72</v>
      </c>
      <c r="C63" s="3" t="s">
        <v>68</v>
      </c>
      <c r="D63" s="1" t="s">
        <v>13</v>
      </c>
      <c r="E63" s="6"/>
      <c r="F63" s="6"/>
      <c r="G63" s="6"/>
      <c r="H63" s="6"/>
      <c r="I63" s="6"/>
      <c r="J63" s="6"/>
      <c r="K63" s="6"/>
      <c r="L63" s="6">
        <v>6</v>
      </c>
      <c r="M63" s="6"/>
      <c r="N63" s="6">
        <v>6</v>
      </c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>
        <v>10</v>
      </c>
      <c r="AU63" s="4"/>
      <c r="AV63" s="4"/>
      <c r="AW63" s="2"/>
      <c r="AX63" s="2"/>
      <c r="AY63" s="2"/>
      <c r="AZ63" s="2">
        <v>10</v>
      </c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32</v>
      </c>
      <c r="BQ63" s="1">
        <v>13</v>
      </c>
      <c r="BR63" s="17">
        <v>2</v>
      </c>
      <c r="BS63" s="17" t="s">
        <v>251</v>
      </c>
      <c r="BT63" s="1" t="str">
        <f>IF(AQ63&gt;AQ$147, AQ63-AQ$147,"")</f>
        <v/>
      </c>
      <c r="BU63" s="1" t="str">
        <f>IF(AR63&gt;AR$147, AR63-AR$147,"")</f>
        <v/>
      </c>
      <c r="BV63" s="1" t="str">
        <f>IF(AS63&gt;AS$147, AS63-AS$147,"")</f>
        <v/>
      </c>
      <c r="BW63" s="1">
        <f>IF(AT63&gt;AT$147, AT63-AT$147,"")</f>
        <v>3</v>
      </c>
      <c r="BX63" s="1" t="str">
        <f>IF(AU63&gt;AU$147, AU63-AU$147,"")</f>
        <v/>
      </c>
      <c r="BY63" s="1" t="str">
        <f>IF(AV63&gt;AV$147, AV63-AV$147,"")</f>
        <v/>
      </c>
      <c r="BZ63" s="1" t="str">
        <f>IF(AW63&gt;AW$147, AW63-AW$147,"")</f>
        <v/>
      </c>
      <c r="CA63" s="1" t="str">
        <f>IF(AX63&gt;AX$147, AX63-AX$147,"")</f>
        <v/>
      </c>
      <c r="CB63" s="1" t="str">
        <f>IF(AY63&gt;AY$147, AY63-AY$147,"")</f>
        <v/>
      </c>
      <c r="CC63" s="1">
        <f>IF(AZ63&gt;AZ$147, AZ63-AZ$147,"")</f>
        <v>10</v>
      </c>
      <c r="CD63" s="1" t="str">
        <f>IF(BA63&gt;BA$147, BA63-BA$147,"")</f>
        <v/>
      </c>
      <c r="CE63" s="1" t="str">
        <f>IF(BB63&gt;BB$147, BB63-BB$147,"")</f>
        <v/>
      </c>
      <c r="CF63" s="1">
        <f>COUNTIF(BT63:CE63, "&gt;0")</f>
        <v>2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18">
        <f>SUM(AE63:BO63)</f>
        <v>20</v>
      </c>
    </row>
    <row r="64" spans="1:97" ht="27" x14ac:dyDescent="0.15">
      <c r="A64" s="1"/>
      <c r="B64" s="1" t="s">
        <v>205</v>
      </c>
      <c r="C64" s="1" t="s">
        <v>128</v>
      </c>
      <c r="D64" s="1" t="s">
        <v>114</v>
      </c>
      <c r="E64" s="6"/>
      <c r="F64" s="6"/>
      <c r="G64" s="6"/>
      <c r="H64" s="6">
        <v>10</v>
      </c>
      <c r="I64" s="6"/>
      <c r="J64" s="6">
        <v>10</v>
      </c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>
        <v>10</v>
      </c>
      <c r="AU64" s="4"/>
      <c r="AV64" s="4"/>
      <c r="AW64" s="2"/>
      <c r="AX64" s="2"/>
      <c r="AY64" s="2">
        <v>10</v>
      </c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13</v>
      </c>
      <c r="BR64" s="17">
        <v>2</v>
      </c>
      <c r="BS64" s="17" t="s">
        <v>252</v>
      </c>
      <c r="BT64" s="1" t="str">
        <f>IF(AQ64&gt;AQ$147, AQ64-AQ$147,"")</f>
        <v/>
      </c>
      <c r="BU64" s="1" t="str">
        <f>IF(AR64&gt;AR$147, AR64-AR$147,"")</f>
        <v/>
      </c>
      <c r="BV64" s="1" t="str">
        <f>IF(AS64&gt;AS$147, AS64-AS$147,"")</f>
        <v/>
      </c>
      <c r="BW64" s="1">
        <f>IF(AT64&gt;AT$147, AT64-AT$147,"")</f>
        <v>3</v>
      </c>
      <c r="BX64" s="1" t="str">
        <f>IF(AU64&gt;AU$147, AU64-AU$147,"")</f>
        <v/>
      </c>
      <c r="BY64" s="1" t="str">
        <f>IF(AV64&gt;AV$147, AV64-AV$147,"")</f>
        <v/>
      </c>
      <c r="BZ64" s="1" t="str">
        <f>IF(AW64&gt;AW$147, AW64-AW$147,"")</f>
        <v/>
      </c>
      <c r="CA64" s="1" t="str">
        <f>IF(AX64&gt;AX$147, AX64-AX$147,"")</f>
        <v/>
      </c>
      <c r="CB64" s="1" t="str">
        <f>IF(AY64&gt;AY$147, AY64-AY$147,"")</f>
        <v/>
      </c>
      <c r="CC64" s="1" t="str">
        <f>IF(AZ64&gt;AZ$147, AZ64-AZ$147,"")</f>
        <v/>
      </c>
      <c r="CD64" s="1" t="str">
        <f>IF(BA64&gt;BA$147, BA64-BA$147,"")</f>
        <v/>
      </c>
      <c r="CE64" s="1" t="str">
        <f>IF(BB64&gt;BB$147, BB64-BB$147,"")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8"/>
    </row>
    <row r="65" spans="1:97" ht="27" x14ac:dyDescent="0.15">
      <c r="A65" s="1"/>
      <c r="B65" s="1" t="s">
        <v>182</v>
      </c>
      <c r="C65" s="1" t="s">
        <v>161</v>
      </c>
      <c r="D65" s="1" t="s">
        <v>134</v>
      </c>
      <c r="E65" s="6"/>
      <c r="F65" s="6"/>
      <c r="G65" s="6"/>
      <c r="H65" s="6"/>
      <c r="I65" s="6"/>
      <c r="J65" s="6"/>
      <c r="K65" s="6"/>
      <c r="L65" s="6">
        <v>6</v>
      </c>
      <c r="M65" s="6"/>
      <c r="N65" s="6"/>
      <c r="O65" s="6">
        <v>6</v>
      </c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>
        <v>10</v>
      </c>
      <c r="BB65" s="2">
        <v>10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32</v>
      </c>
      <c r="BQ65" s="1">
        <v>13</v>
      </c>
      <c r="BR65" s="17">
        <v>2</v>
      </c>
      <c r="BS65" s="17" t="s">
        <v>256</v>
      </c>
      <c r="BT65" s="1" t="str">
        <f>IF(AQ65&gt;AQ$147, AQ65-AQ$147,"")</f>
        <v/>
      </c>
      <c r="BU65" s="1" t="str">
        <f>IF(AR65&gt;AR$147, AR65-AR$147,"")</f>
        <v/>
      </c>
      <c r="BV65" s="1" t="str">
        <f>IF(AS65&gt;AS$147, AS65-AS$147,"")</f>
        <v/>
      </c>
      <c r="BW65" s="1" t="str">
        <f>IF(AT65&gt;AT$147, AT65-AT$147,"")</f>
        <v/>
      </c>
      <c r="BX65" s="1" t="str">
        <f>IF(AU65&gt;AU$147, AU65-AU$147,"")</f>
        <v/>
      </c>
      <c r="BY65" s="1" t="str">
        <f>IF(AV65&gt;AV$147, AV65-AV$147,"")</f>
        <v/>
      </c>
      <c r="BZ65" s="1" t="str">
        <f>IF(AW65&gt;AW$147, AW65-AW$147,"")</f>
        <v/>
      </c>
      <c r="CA65" s="1" t="str">
        <f>IF(AX65&gt;AX$147, AX65-AX$147,"")</f>
        <v/>
      </c>
      <c r="CB65" s="1" t="str">
        <f>IF(AY65&gt;AY$147, AY65-AY$147,"")</f>
        <v/>
      </c>
      <c r="CC65" s="1" t="str">
        <f>IF(AZ65&gt;AZ$147, AZ65-AZ$147,"")</f>
        <v/>
      </c>
      <c r="CD65" s="1">
        <f>IF(BA65&gt;BA$147, BA65-BA$147,"")</f>
        <v>9</v>
      </c>
      <c r="CE65" s="1" t="str">
        <f>IF(BB65&gt;BB$147, BB65-BB$147,"")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8"/>
    </row>
    <row r="66" spans="1:97" ht="27" x14ac:dyDescent="0.15">
      <c r="A66" s="1"/>
      <c r="B66" s="1" t="s">
        <v>190</v>
      </c>
      <c r="C66" s="1" t="s">
        <v>124</v>
      </c>
      <c r="D66" s="1" t="s">
        <v>114</v>
      </c>
      <c r="E66" s="6">
        <v>10</v>
      </c>
      <c r="F66" s="6"/>
      <c r="G66" s="6">
        <v>10</v>
      </c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>
        <v>10</v>
      </c>
      <c r="AS66" s="4"/>
      <c r="AT66" s="4"/>
      <c r="AU66" s="4"/>
      <c r="AV66" s="4"/>
      <c r="AW66" s="2"/>
      <c r="AX66" s="2"/>
      <c r="AY66" s="2"/>
      <c r="AZ66" s="2"/>
      <c r="BA66" s="2"/>
      <c r="BB66" s="2">
        <v>10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40</v>
      </c>
      <c r="BQ66" s="1">
        <v>14</v>
      </c>
      <c r="BR66" s="17">
        <v>2</v>
      </c>
      <c r="BS66" s="17" t="s">
        <v>253</v>
      </c>
      <c r="BT66" s="1" t="str">
        <f>IF(AQ66&gt;AQ$147, AQ66-AQ$147,"")</f>
        <v/>
      </c>
      <c r="BU66" s="1">
        <f>IF(AR66&gt;AR$147, AR66-AR$147,"")</f>
        <v>4</v>
      </c>
      <c r="BV66" s="1" t="str">
        <f>IF(AS66&gt;AS$147, AS66-AS$147,"")</f>
        <v/>
      </c>
      <c r="BW66" s="1" t="str">
        <f>IF(AT66&gt;AT$147, AT66-AT$147,"")</f>
        <v/>
      </c>
      <c r="BX66" s="1" t="str">
        <f>IF(AU66&gt;AU$147, AU66-AU$147,"")</f>
        <v/>
      </c>
      <c r="BY66" s="1" t="str">
        <f>IF(AV66&gt;AV$147, AV66-AV$147,"")</f>
        <v/>
      </c>
      <c r="BZ66" s="1" t="str">
        <f>IF(AW66&gt;AW$147, AW66-AW$147,"")</f>
        <v/>
      </c>
      <c r="CA66" s="1" t="str">
        <f>IF(AX66&gt;AX$147, AX66-AX$147,"")</f>
        <v/>
      </c>
      <c r="CB66" s="1" t="str">
        <f>IF(AY66&gt;AY$147, AY66-AY$147,"")</f>
        <v/>
      </c>
      <c r="CC66" s="1" t="str">
        <f>IF(AZ66&gt;AZ$147, AZ66-AZ$147,"")</f>
        <v/>
      </c>
      <c r="CD66" s="1" t="str">
        <f>IF(BA66&gt;BA$147, BA66-BA$147,"")</f>
        <v/>
      </c>
      <c r="CE66" s="1" t="str">
        <f>IF(BB66&gt;BB$147, BB66-BB$147,"")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8"/>
    </row>
    <row r="67" spans="1:97" ht="27" x14ac:dyDescent="0.15">
      <c r="A67" s="1"/>
      <c r="B67" s="1" t="s">
        <v>188</v>
      </c>
      <c r="C67" s="1" t="s">
        <v>160</v>
      </c>
      <c r="D67" s="1" t="s">
        <v>134</v>
      </c>
      <c r="E67" s="6">
        <v>10</v>
      </c>
      <c r="F67" s="6"/>
      <c r="G67" s="6">
        <v>10</v>
      </c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>
        <v>10</v>
      </c>
      <c r="AS67" s="4"/>
      <c r="AT67" s="4"/>
      <c r="AU67" s="4"/>
      <c r="AV67" s="4"/>
      <c r="AW67" s="2"/>
      <c r="AX67" s="2"/>
      <c r="AY67" s="2"/>
      <c r="AZ67" s="2"/>
      <c r="BA67" s="2"/>
      <c r="BB67" s="2">
        <v>10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14</v>
      </c>
      <c r="BR67" s="17">
        <v>2</v>
      </c>
      <c r="BS67" s="17" t="s">
        <v>254</v>
      </c>
      <c r="BT67" s="1" t="str">
        <f>IF(AQ67&gt;AQ$147, AQ67-AQ$147,"")</f>
        <v/>
      </c>
      <c r="BU67" s="1">
        <f>IF(AR67&gt;AR$147, AR67-AR$147,"")</f>
        <v>4</v>
      </c>
      <c r="BV67" s="1" t="str">
        <f>IF(AS67&gt;AS$147, AS67-AS$147,"")</f>
        <v/>
      </c>
      <c r="BW67" s="1" t="str">
        <f>IF(AT67&gt;AT$147, AT67-AT$147,"")</f>
        <v/>
      </c>
      <c r="BX67" s="1" t="str">
        <f>IF(AU67&gt;AU$147, AU67-AU$147,"")</f>
        <v/>
      </c>
      <c r="BY67" s="1" t="str">
        <f>IF(AV67&gt;AV$147, AV67-AV$147,"")</f>
        <v/>
      </c>
      <c r="BZ67" s="1" t="str">
        <f>IF(AW67&gt;AW$147, AW67-AW$147,"")</f>
        <v/>
      </c>
      <c r="CA67" s="1" t="str">
        <f>IF(AX67&gt;AX$147, AX67-AX$147,"")</f>
        <v/>
      </c>
      <c r="CB67" s="1" t="str">
        <f>IF(AY67&gt;AY$147, AY67-AY$147,"")</f>
        <v/>
      </c>
      <c r="CC67" s="1" t="str">
        <f>IF(AZ67&gt;AZ$147, AZ67-AZ$147,"")</f>
        <v/>
      </c>
      <c r="CD67" s="1" t="str">
        <f>IF(BA67&gt;BA$147, BA67-BA$147,"")</f>
        <v/>
      </c>
      <c r="CE67" s="1" t="str">
        <f>IF(BB67&gt;BB$147, BB67-BB$147,"")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8"/>
    </row>
    <row r="68" spans="1:97" ht="27" x14ac:dyDescent="0.15">
      <c r="A68" s="1">
        <v>77</v>
      </c>
      <c r="B68" s="3" t="s">
        <v>178</v>
      </c>
      <c r="C68" s="3" t="s">
        <v>68</v>
      </c>
      <c r="D68" s="1" t="s">
        <v>13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>
        <v>20</v>
      </c>
      <c r="AU68" s="4"/>
      <c r="AV68" s="4"/>
      <c r="AW68" s="2">
        <v>20</v>
      </c>
      <c r="AX68" s="2">
        <v>20</v>
      </c>
      <c r="AY68" s="2"/>
      <c r="AZ68" s="2"/>
      <c r="BA68" s="2"/>
      <c r="BB68" s="2">
        <v>10</v>
      </c>
      <c r="BC68" s="14"/>
      <c r="BD68" s="1"/>
      <c r="BE68" s="1"/>
      <c r="BF68" s="1"/>
      <c r="BG68" s="1"/>
      <c r="BH68" s="1">
        <v>20</v>
      </c>
      <c r="BI68" s="1"/>
      <c r="BJ68" s="1"/>
      <c r="BK68" s="1"/>
      <c r="BL68" s="1"/>
      <c r="BM68" s="1"/>
      <c r="BN68" s="1"/>
      <c r="BO68" s="1"/>
      <c r="BP68" s="1">
        <f>SUM(E68:BO68)</f>
        <v>90</v>
      </c>
      <c r="BQ68" s="1">
        <v>14</v>
      </c>
      <c r="BR68" s="17">
        <v>2</v>
      </c>
      <c r="BS68" s="17" t="s">
        <v>255</v>
      </c>
      <c r="BT68" s="1" t="str">
        <f>IF(AQ68&gt;AQ$147, AQ68-AQ$147,"")</f>
        <v/>
      </c>
      <c r="BU68" s="1" t="str">
        <f>IF(AR68&gt;AR$147, AR68-AR$147,"")</f>
        <v/>
      </c>
      <c r="BV68" s="1" t="str">
        <f>IF(AS68&gt;AS$147, AS68-AS$147,"")</f>
        <v/>
      </c>
      <c r="BW68" s="1">
        <f>IF(AT68&gt;AT$147, AT68-AT$147,"")</f>
        <v>13</v>
      </c>
      <c r="BX68" s="1" t="str">
        <f>IF(AU68&gt;AU$147, AU68-AU$147,"")</f>
        <v/>
      </c>
      <c r="BY68" s="1" t="str">
        <f>IF(AV68&gt;AV$147, AV68-AV$147,"")</f>
        <v/>
      </c>
      <c r="BZ68" s="1">
        <f>IF(AW68&gt;AW$147, AW68-AW$147,"")</f>
        <v>1</v>
      </c>
      <c r="CA68" s="1" t="str">
        <f>IF(AX68&gt;AX$147, AX68-AX$147,"")</f>
        <v/>
      </c>
      <c r="CB68" s="1" t="str">
        <f>IF(AY68&gt;AY$147, AY68-AY$147,"")</f>
        <v/>
      </c>
      <c r="CC68" s="1" t="str">
        <f>IF(AZ68&gt;AZ$147, AZ68-AZ$147,"")</f>
        <v/>
      </c>
      <c r="CD68" s="1" t="str">
        <f>IF(BA68&gt;BA$147, BA68-BA$147,"")</f>
        <v/>
      </c>
      <c r="CE68" s="1" t="str">
        <f>IF(BB68&gt;BB$147, BB68-BB$147,"")</f>
        <v/>
      </c>
      <c r="CF68" s="1">
        <f>COUNTIF(BT68:CE68, "&gt;0")</f>
        <v>2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18">
        <f>SUM(AE68:BO68)</f>
        <v>90</v>
      </c>
    </row>
    <row r="69" spans="1:97" ht="27" x14ac:dyDescent="0.15">
      <c r="A69" s="1">
        <v>2</v>
      </c>
      <c r="B69" s="1" t="s">
        <v>8</v>
      </c>
      <c r="C69" s="1" t="s">
        <v>2</v>
      </c>
      <c r="D69" s="1" t="s">
        <v>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>
        <v>15</v>
      </c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>
        <v>15</v>
      </c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30</v>
      </c>
      <c r="BQ69" s="1">
        <v>25</v>
      </c>
      <c r="BR69" s="17">
        <v>2</v>
      </c>
      <c r="BS69" s="17" t="s">
        <v>257</v>
      </c>
      <c r="BT69" s="1" t="str">
        <f>IF(AQ69&gt;AQ$147, AQ69-AQ$147,"")</f>
        <v/>
      </c>
      <c r="BU69" s="1" t="str">
        <f>IF(AR69&gt;AR$147, AR69-AR$147,"")</f>
        <v/>
      </c>
      <c r="BV69" s="1" t="str">
        <f>IF(AS69&gt;AS$147, AS69-AS$147,"")</f>
        <v/>
      </c>
      <c r="BW69" s="1" t="str">
        <f>IF(AT69&gt;AT$147, AT69-AT$147,"")</f>
        <v/>
      </c>
      <c r="BX69" s="1" t="str">
        <f>IF(AU69&gt;AU$147, AU69-AU$147,"")</f>
        <v/>
      </c>
      <c r="BY69" s="1" t="str">
        <f>IF(AV69&gt;AV$147, AV69-AV$147,"")</f>
        <v/>
      </c>
      <c r="BZ69" s="1" t="str">
        <f>IF(AW69&gt;AW$147, AW69-AW$147,"")</f>
        <v/>
      </c>
      <c r="CA69" s="1" t="str">
        <f>IF(AX69&gt;AX$147, AX69-AX$147,"")</f>
        <v/>
      </c>
      <c r="CB69" s="1" t="str">
        <f>IF(AY69&gt;AY$147, AY69-AY$147,"")</f>
        <v/>
      </c>
      <c r="CC69" s="1">
        <f>IF(AZ69&gt;AZ$147, AZ69-AZ$147,"")</f>
        <v>15</v>
      </c>
      <c r="CD69" s="1" t="str">
        <f>IF(BA69&gt;BA$147, BA69-BA$147,"")</f>
        <v/>
      </c>
      <c r="CE69" s="1" t="str">
        <f>IF(BB69&gt;BB$147, BB69-BB$147,"")</f>
        <v/>
      </c>
      <c r="CF69" s="1">
        <f>COUNTIF(BT69:CE69, "&gt;0")</f>
        <v>1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>
        <f>IF($CF69=1,CC69,"")</f>
        <v>15</v>
      </c>
      <c r="CQ69" s="1" t="str">
        <f>IF($CF69=1,CD69,"")</f>
        <v/>
      </c>
      <c r="CR69" s="1" t="str">
        <f>IF($CF69=1,CE69,"")</f>
        <v/>
      </c>
      <c r="CS69" s="18">
        <f>SUM(AE69:BO69)</f>
        <v>30</v>
      </c>
    </row>
    <row r="70" spans="1:97" ht="27" x14ac:dyDescent="0.15">
      <c r="A70" s="1">
        <v>95</v>
      </c>
      <c r="B70" s="3" t="s">
        <v>90</v>
      </c>
      <c r="C70" s="3" t="s">
        <v>74</v>
      </c>
      <c r="D70" s="1" t="s">
        <v>1</v>
      </c>
      <c r="E70" s="6"/>
      <c r="F70" s="6"/>
      <c r="G70" s="6"/>
      <c r="H70" s="6"/>
      <c r="I70" s="6"/>
      <c r="J70" s="6"/>
      <c r="K70" s="6"/>
      <c r="L70" s="6">
        <v>15</v>
      </c>
      <c r="M70" s="6"/>
      <c r="N70" s="6"/>
      <c r="O70" s="6">
        <v>15</v>
      </c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>
        <v>15</v>
      </c>
      <c r="BB70" s="2">
        <v>15</v>
      </c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60</v>
      </c>
      <c r="BQ70" s="1">
        <v>27</v>
      </c>
      <c r="BR70" s="17">
        <v>2</v>
      </c>
      <c r="BS70" s="17" t="s">
        <v>258</v>
      </c>
      <c r="BT70" s="1" t="str">
        <f>IF(AQ70&gt;AQ$147, AQ70-AQ$147,"")</f>
        <v/>
      </c>
      <c r="BU70" s="1" t="str">
        <f>IF(AR70&gt;AR$147, AR70-AR$147,"")</f>
        <v/>
      </c>
      <c r="BV70" s="1" t="str">
        <f>IF(AS70&gt;AS$147, AS70-AS$147,"")</f>
        <v/>
      </c>
      <c r="BW70" s="1" t="str">
        <f>IF(AT70&gt;AT$147, AT70-AT$147,"")</f>
        <v/>
      </c>
      <c r="BX70" s="1" t="str">
        <f>IF(AU70&gt;AU$147, AU70-AU$147,"")</f>
        <v/>
      </c>
      <c r="BY70" s="1" t="str">
        <f>IF(AV70&gt;AV$147, AV70-AV$147,"")</f>
        <v/>
      </c>
      <c r="BZ70" s="1" t="str">
        <f>IF(AW70&gt;AW$147, AW70-AW$147,"")</f>
        <v/>
      </c>
      <c r="CA70" s="1" t="str">
        <f>IF(AX70&gt;AX$147, AX70-AX$147,"")</f>
        <v/>
      </c>
      <c r="CB70" s="1" t="str">
        <f>IF(AY70&gt;AY$147, AY70-AY$147,"")</f>
        <v/>
      </c>
      <c r="CC70" s="1" t="str">
        <f>IF(AZ70&gt;AZ$147, AZ70-AZ$147,"")</f>
        <v/>
      </c>
      <c r="CD70" s="1">
        <f>IF(BA70&gt;BA$147, BA70-BA$147,"")</f>
        <v>14</v>
      </c>
      <c r="CE70" s="1" t="str">
        <f>IF(BB70&gt;BB$147, BB70-BB$147,"")</f>
        <v/>
      </c>
      <c r="CF70" s="1">
        <f>COUNTIF(BT70:CE70, "&gt;0")</f>
        <v>1</v>
      </c>
      <c r="CG70" s="1" t="str">
        <f>IF($CF70=1,BT70,"")</f>
        <v/>
      </c>
      <c r="CH70" s="1" t="str">
        <f>IF($CF70=1,BU70,"")</f>
        <v/>
      </c>
      <c r="CI70" s="1" t="str">
        <f>IF($CF70=1,BV70,"")</f>
        <v/>
      </c>
      <c r="CJ70" s="1" t="str">
        <f>IF($CF70=1,BW70,"")</f>
        <v/>
      </c>
      <c r="CK70" s="1" t="str">
        <f>IF($CF70=1,BX70,"")</f>
        <v/>
      </c>
      <c r="CL70" s="1" t="str">
        <f>IF($CF70=1,BY70,"")</f>
        <v/>
      </c>
      <c r="CM70" s="1" t="str">
        <f>IF($CF70=1,BZ70,"")</f>
        <v/>
      </c>
      <c r="CN70" s="1" t="str">
        <f>IF($CF70=1,CA70,"")</f>
        <v/>
      </c>
      <c r="CO70" s="1" t="str">
        <f>IF($CF70=1,CB70,"")</f>
        <v/>
      </c>
      <c r="CP70" s="1" t="str">
        <f>IF($CF70=1,CC70,"")</f>
        <v/>
      </c>
      <c r="CQ70" s="1">
        <f>IF($CF70=1,CD70,"")</f>
        <v>14</v>
      </c>
      <c r="CR70" s="1" t="str">
        <f>IF($CF70=1,CE70,"")</f>
        <v/>
      </c>
      <c r="CS70" s="18">
        <f>SUM(AE70:BO70)</f>
        <v>30</v>
      </c>
    </row>
    <row r="71" spans="1:97" ht="27" x14ac:dyDescent="0.15">
      <c r="A71" s="1"/>
      <c r="B71" s="1" t="s">
        <v>179</v>
      </c>
      <c r="C71" s="1" t="s">
        <v>130</v>
      </c>
      <c r="D71" s="1" t="s">
        <v>113</v>
      </c>
      <c r="E71" s="6"/>
      <c r="F71" s="6"/>
      <c r="G71" s="6"/>
      <c r="H71" s="6"/>
      <c r="I71" s="6"/>
      <c r="J71" s="6"/>
      <c r="K71" s="6"/>
      <c r="L71" s="6">
        <v>20</v>
      </c>
      <c r="M71" s="6"/>
      <c r="N71" s="6"/>
      <c r="O71" s="6">
        <v>20</v>
      </c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>
        <v>20</v>
      </c>
      <c r="BB71" s="2">
        <v>20</v>
      </c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80</v>
      </c>
      <c r="BQ71" s="1">
        <v>37</v>
      </c>
      <c r="BR71" s="17">
        <v>2</v>
      </c>
      <c r="BS71" s="17" t="s">
        <v>259</v>
      </c>
      <c r="BT71" s="1" t="str">
        <f>IF(AQ71&gt;AQ$147, AQ71-AQ$147,"")</f>
        <v/>
      </c>
      <c r="BU71" s="1" t="str">
        <f>IF(AR71&gt;AR$147, AR71-AR$147,"")</f>
        <v/>
      </c>
      <c r="BV71" s="1" t="str">
        <f>IF(AS71&gt;AS$147, AS71-AS$147,"")</f>
        <v/>
      </c>
      <c r="BW71" s="1" t="str">
        <f>IF(AT71&gt;AT$147, AT71-AT$147,"")</f>
        <v/>
      </c>
      <c r="BX71" s="1" t="str">
        <f>IF(AU71&gt;AU$147, AU71-AU$147,"")</f>
        <v/>
      </c>
      <c r="BY71" s="1" t="str">
        <f>IF(AV71&gt;AV$147, AV71-AV$147,"")</f>
        <v/>
      </c>
      <c r="BZ71" s="1" t="str">
        <f>IF(AW71&gt;AW$147, AW71-AW$147,"")</f>
        <v/>
      </c>
      <c r="CA71" s="1" t="str">
        <f>IF(AX71&gt;AX$147, AX71-AX$147,"")</f>
        <v/>
      </c>
      <c r="CB71" s="1" t="str">
        <f>IF(AY71&gt;AY$147, AY71-AY$147,"")</f>
        <v/>
      </c>
      <c r="CC71" s="1" t="str">
        <f>IF(AZ71&gt;AZ$147, AZ71-AZ$147,"")</f>
        <v/>
      </c>
      <c r="CD71" s="1">
        <f>IF(BA71&gt;BA$147, BA71-BA$147,"")</f>
        <v>19</v>
      </c>
      <c r="CE71" s="1" t="str">
        <f>IF(BB71&gt;BB$147, BB71-BB$147,"")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ht="40.5" x14ac:dyDescent="0.15">
      <c r="A72" s="1"/>
      <c r="B72" s="1" t="s">
        <v>165</v>
      </c>
      <c r="C72" s="1" t="s">
        <v>161</v>
      </c>
      <c r="D72" s="1" t="s">
        <v>133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>
        <v>2</v>
      </c>
      <c r="V72" s="32"/>
      <c r="W72" s="32"/>
      <c r="X72" s="32"/>
      <c r="Y72" s="32"/>
      <c r="Z72" s="32"/>
      <c r="AA72" s="32">
        <v>2</v>
      </c>
      <c r="AB72" s="32"/>
      <c r="AC72" s="32">
        <v>5</v>
      </c>
      <c r="AD72" s="32">
        <v>2</v>
      </c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11</v>
      </c>
      <c r="BQ72" s="1">
        <v>6</v>
      </c>
      <c r="BR72" s="17">
        <v>3</v>
      </c>
      <c r="BS72" s="17" t="s">
        <v>260</v>
      </c>
      <c r="BT72" s="1" t="str">
        <f>IF(AQ72&gt;AQ$147, AQ72-AQ$147,"")</f>
        <v/>
      </c>
      <c r="BU72" s="1" t="str">
        <f>IF(AR72&gt;AR$147, AR72-AR$147,"")</f>
        <v/>
      </c>
      <c r="BV72" s="1" t="str">
        <f>IF(AS72&gt;AS$147, AS72-AS$147,"")</f>
        <v/>
      </c>
      <c r="BW72" s="1" t="str">
        <f>IF(AT72&gt;AT$147, AT72-AT$147,"")</f>
        <v/>
      </c>
      <c r="BX72" s="1" t="str">
        <f>IF(AU72&gt;AU$147, AU72-AU$147,"")</f>
        <v/>
      </c>
      <c r="BY72" s="1" t="str">
        <f>IF(AV72&gt;AV$147, AV72-AV$147,"")</f>
        <v/>
      </c>
      <c r="BZ72" s="1" t="str">
        <f>IF(AW72&gt;AW$147, AW72-AW$147,"")</f>
        <v/>
      </c>
      <c r="CA72" s="1" t="str">
        <f>IF(AX72&gt;AX$147, AX72-AX$147,"")</f>
        <v/>
      </c>
      <c r="CB72" s="1" t="str">
        <f>IF(AY72&gt;AY$147, AY72-AY$147,"")</f>
        <v/>
      </c>
      <c r="CC72" s="1" t="str">
        <f>IF(AZ72&gt;AZ$147, AZ72-AZ$147,"")</f>
        <v/>
      </c>
      <c r="CD72" s="1" t="str">
        <f>IF(BA72&gt;BA$147, BA72-BA$147,"")</f>
        <v/>
      </c>
      <c r="CE72" s="1" t="str">
        <f>IF(BB72&gt;BB$147, BB72-BB$147,"")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ht="40.5" x14ac:dyDescent="0.15">
      <c r="A73" s="1"/>
      <c r="B73" s="1" t="s">
        <v>204</v>
      </c>
      <c r="C73" s="1" t="s">
        <v>112</v>
      </c>
      <c r="D73" s="1" t="s">
        <v>114</v>
      </c>
      <c r="E73" s="6"/>
      <c r="F73" s="6"/>
      <c r="G73" s="6"/>
      <c r="H73" s="6">
        <v>6</v>
      </c>
      <c r="I73" s="6"/>
      <c r="J73" s="6"/>
      <c r="K73" s="6">
        <v>6</v>
      </c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10</v>
      </c>
      <c r="AR73" s="4"/>
      <c r="AS73" s="4"/>
      <c r="AT73" s="4"/>
      <c r="AU73" s="4"/>
      <c r="AV73" s="4"/>
      <c r="AW73" s="2">
        <v>10</v>
      </c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32</v>
      </c>
      <c r="BQ73" s="1">
        <v>9</v>
      </c>
      <c r="BR73" s="17">
        <v>3</v>
      </c>
      <c r="BS73" s="17" t="s">
        <v>242</v>
      </c>
      <c r="BT73" s="1">
        <f>IF(AQ73&gt;AQ$147, AQ73-AQ$147,"")</f>
        <v>1</v>
      </c>
      <c r="BU73" s="1" t="str">
        <f>IF(AR73&gt;AR$147, AR73-AR$147,"")</f>
        <v/>
      </c>
      <c r="BV73" s="1" t="str">
        <f>IF(AS73&gt;AS$147, AS73-AS$147,"")</f>
        <v/>
      </c>
      <c r="BW73" s="1" t="str">
        <f>IF(AT73&gt;AT$147, AT73-AT$147,"")</f>
        <v/>
      </c>
      <c r="BX73" s="1" t="str">
        <f>IF(AU73&gt;AU$147, AU73-AU$147,"")</f>
        <v/>
      </c>
      <c r="BY73" s="1" t="str">
        <f>IF(AV73&gt;AV$147, AV73-AV$147,"")</f>
        <v/>
      </c>
      <c r="BZ73" s="1" t="str">
        <f>IF(AW73&gt;AW$147, AW73-AW$147,"")</f>
        <v/>
      </c>
      <c r="CA73" s="1" t="str">
        <f>IF(AX73&gt;AX$147, AX73-AX$147,"")</f>
        <v/>
      </c>
      <c r="CB73" s="1" t="str">
        <f>IF(AY73&gt;AY$147, AY73-AY$147,"")</f>
        <v/>
      </c>
      <c r="CC73" s="1" t="str">
        <f>IF(AZ73&gt;AZ$147, AZ73-AZ$147,"")</f>
        <v/>
      </c>
      <c r="CD73" s="1" t="str">
        <f>IF(BA73&gt;BA$147, BA73-BA$147,"")</f>
        <v/>
      </c>
      <c r="CE73" s="1" t="str">
        <f>IF(BB73&gt;BB$147, BB73-BB$147,"")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ht="40.5" x14ac:dyDescent="0.15">
      <c r="A74" s="1"/>
      <c r="B74" s="1" t="s">
        <v>158</v>
      </c>
      <c r="C74" s="1" t="s">
        <v>159</v>
      </c>
      <c r="D74" s="1" t="s">
        <v>134</v>
      </c>
      <c r="E74" s="6"/>
      <c r="F74" s="6"/>
      <c r="G74" s="6"/>
      <c r="H74" s="6"/>
      <c r="I74" s="6"/>
      <c r="J74" s="6"/>
      <c r="K74" s="6"/>
      <c r="L74" s="6">
        <v>7</v>
      </c>
      <c r="M74" s="6"/>
      <c r="N74" s="6"/>
      <c r="O74" s="6"/>
      <c r="P74" s="32"/>
      <c r="Q74" s="32">
        <v>7</v>
      </c>
      <c r="R74" s="32"/>
      <c r="S74" s="32"/>
      <c r="T74" s="32">
        <v>7</v>
      </c>
      <c r="U74" s="32"/>
      <c r="V74" s="32"/>
      <c r="W74" s="32"/>
      <c r="X74" s="32">
        <v>7</v>
      </c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28</v>
      </c>
      <c r="BQ74" s="1">
        <v>9</v>
      </c>
      <c r="BR74" s="17">
        <v>3</v>
      </c>
      <c r="BS74" s="17" t="s">
        <v>261</v>
      </c>
      <c r="BT74" s="1" t="str">
        <f>IF(AQ74&gt;AQ$147, AQ74-AQ$147,"")</f>
        <v/>
      </c>
      <c r="BU74" s="1" t="str">
        <f>IF(AR74&gt;AR$147, AR74-AR$147,"")</f>
        <v/>
      </c>
      <c r="BV74" s="1" t="str">
        <f>IF(AS74&gt;AS$147, AS74-AS$147,"")</f>
        <v/>
      </c>
      <c r="BW74" s="1" t="str">
        <f>IF(AT74&gt;AT$147, AT74-AT$147,"")</f>
        <v/>
      </c>
      <c r="BX74" s="1" t="str">
        <f>IF(AU74&gt;AU$147, AU74-AU$147,"")</f>
        <v/>
      </c>
      <c r="BY74" s="1" t="str">
        <f>IF(AV74&gt;AV$147, AV74-AV$147,"")</f>
        <v/>
      </c>
      <c r="BZ74" s="1" t="str">
        <f>IF(AW74&gt;AW$147, AW74-AW$147,"")</f>
        <v/>
      </c>
      <c r="CA74" s="1" t="str">
        <f>IF(AX74&gt;AX$147, AX74-AX$147,"")</f>
        <v/>
      </c>
      <c r="CB74" s="1" t="str">
        <f>IF(AY74&gt;AY$147, AY74-AY$147,"")</f>
        <v/>
      </c>
      <c r="CC74" s="1" t="str">
        <f>IF(AZ74&gt;AZ$147, AZ74-AZ$147,"")</f>
        <v/>
      </c>
      <c r="CD74" s="1" t="str">
        <f>IF(BA74&gt;BA$147, BA74-BA$147,"")</f>
        <v/>
      </c>
      <c r="CE74" s="1" t="str">
        <f>IF(BB74&gt;BB$147, BB74-BB$147,"")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ht="40.5" x14ac:dyDescent="0.15">
      <c r="A75" s="1"/>
      <c r="B75" s="1" t="s">
        <v>152</v>
      </c>
      <c r="C75" s="1" t="s">
        <v>150</v>
      </c>
      <c r="D75" s="1" t="s">
        <v>133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>
        <v>5</v>
      </c>
      <c r="R75" s="32"/>
      <c r="S75" s="32"/>
      <c r="T75" s="32">
        <v>5</v>
      </c>
      <c r="U75" s="32"/>
      <c r="V75" s="32"/>
      <c r="W75" s="32"/>
      <c r="X75" s="32"/>
      <c r="Y75" s="32"/>
      <c r="Z75" s="32">
        <v>5</v>
      </c>
      <c r="AA75" s="32">
        <v>2</v>
      </c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9</v>
      </c>
      <c r="BR75" s="17">
        <v>3</v>
      </c>
      <c r="BS75" s="17" t="s">
        <v>262</v>
      </c>
      <c r="BT75" s="1" t="str">
        <f>IF(AQ75&gt;AQ$147, AQ75-AQ$147,"")</f>
        <v/>
      </c>
      <c r="BU75" s="1" t="str">
        <f>IF(AR75&gt;AR$147, AR75-AR$147,"")</f>
        <v/>
      </c>
      <c r="BV75" s="1" t="str">
        <f>IF(AS75&gt;AS$147, AS75-AS$147,"")</f>
        <v/>
      </c>
      <c r="BW75" s="1" t="str">
        <f>IF(AT75&gt;AT$147, AT75-AT$147,"")</f>
        <v/>
      </c>
      <c r="BX75" s="1" t="str">
        <f>IF(AU75&gt;AU$147, AU75-AU$147,"")</f>
        <v/>
      </c>
      <c r="BY75" s="1" t="str">
        <f>IF(AV75&gt;AV$147, AV75-AV$147,"")</f>
        <v/>
      </c>
      <c r="BZ75" s="1" t="str">
        <f>IF(AW75&gt;AW$147, AW75-AW$147,"")</f>
        <v/>
      </c>
      <c r="CA75" s="1" t="str">
        <f>IF(AX75&gt;AX$147, AX75-AX$147,"")</f>
        <v/>
      </c>
      <c r="CB75" s="1" t="str">
        <f>IF(AY75&gt;AY$147, AY75-AY$147,"")</f>
        <v/>
      </c>
      <c r="CC75" s="1" t="str">
        <f>IF(AZ75&gt;AZ$147, AZ75-AZ$147,"")</f>
        <v/>
      </c>
      <c r="CD75" s="1" t="str">
        <f>IF(BA75&gt;BA$147, BA75-BA$147,"")</f>
        <v/>
      </c>
      <c r="CE75" s="1" t="str">
        <f>IF(BB75&gt;BB$147, BB75-BB$147,"")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ht="40.5" x14ac:dyDescent="0.15">
      <c r="A76" s="1"/>
      <c r="B76" s="1" t="s">
        <v>162</v>
      </c>
      <c r="C76" s="1" t="s">
        <v>161</v>
      </c>
      <c r="D76" s="1" t="s">
        <v>133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32"/>
      <c r="Q76" s="32">
        <v>5</v>
      </c>
      <c r="R76" s="32"/>
      <c r="S76" s="32"/>
      <c r="T76" s="32">
        <v>5</v>
      </c>
      <c r="U76" s="32"/>
      <c r="V76" s="32"/>
      <c r="W76" s="32"/>
      <c r="X76" s="32"/>
      <c r="Y76" s="32"/>
      <c r="Z76" s="32">
        <v>5</v>
      </c>
      <c r="AA76" s="32">
        <v>2</v>
      </c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9</v>
      </c>
      <c r="BR76" s="17">
        <v>3</v>
      </c>
      <c r="BS76" s="17" t="s">
        <v>262</v>
      </c>
      <c r="BT76" s="1" t="str">
        <f>IF(AQ76&gt;AQ$147, AQ76-AQ$147,"")</f>
        <v/>
      </c>
      <c r="BU76" s="1" t="str">
        <f>IF(AR76&gt;AR$147, AR76-AR$147,"")</f>
        <v/>
      </c>
      <c r="BV76" s="1" t="str">
        <f>IF(AS76&gt;AS$147, AS76-AS$147,"")</f>
        <v/>
      </c>
      <c r="BW76" s="1" t="str">
        <f>IF(AT76&gt;AT$147, AT76-AT$147,"")</f>
        <v/>
      </c>
      <c r="BX76" s="1" t="str">
        <f>IF(AU76&gt;AU$147, AU76-AU$147,"")</f>
        <v/>
      </c>
      <c r="BY76" s="1" t="str">
        <f>IF(AV76&gt;AV$147, AV76-AV$147,"")</f>
        <v/>
      </c>
      <c r="BZ76" s="1" t="str">
        <f>IF(AW76&gt;AW$147, AW76-AW$147,"")</f>
        <v/>
      </c>
      <c r="CA76" s="1" t="str">
        <f>IF(AX76&gt;AX$147, AX76-AX$147,"")</f>
        <v/>
      </c>
      <c r="CB76" s="1" t="str">
        <f>IF(AY76&gt;AY$147, AY76-AY$147,"")</f>
        <v/>
      </c>
      <c r="CC76" s="1" t="str">
        <f>IF(AZ76&gt;AZ$147, AZ76-AZ$147,"")</f>
        <v/>
      </c>
      <c r="CD76" s="1" t="str">
        <f>IF(BA76&gt;BA$147, BA76-BA$147,"")</f>
        <v/>
      </c>
      <c r="CE76" s="1" t="str">
        <f>IF(BB76&gt;BB$147, BB76-BB$147,"")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ht="40.5" x14ac:dyDescent="0.15">
      <c r="A77" s="1"/>
      <c r="B77" s="1" t="s">
        <v>170</v>
      </c>
      <c r="C77" s="1" t="s">
        <v>128</v>
      </c>
      <c r="D77" s="1" t="s">
        <v>172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32"/>
      <c r="Q77" s="32">
        <v>5</v>
      </c>
      <c r="R77" s="32"/>
      <c r="S77" s="32"/>
      <c r="T77" s="32">
        <v>5</v>
      </c>
      <c r="U77" s="32"/>
      <c r="V77" s="32"/>
      <c r="W77" s="32"/>
      <c r="X77" s="32"/>
      <c r="Y77" s="32"/>
      <c r="Z77" s="32">
        <v>5</v>
      </c>
      <c r="AA77" s="32">
        <v>2</v>
      </c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263</v>
      </c>
      <c r="BT77" s="1" t="str">
        <f>IF(AQ77&gt;AQ$147, AQ77-AQ$147,"")</f>
        <v/>
      </c>
      <c r="BU77" s="1" t="str">
        <f>IF(AR77&gt;AR$147, AR77-AR$147,"")</f>
        <v/>
      </c>
      <c r="BV77" s="1" t="str">
        <f>IF(AS77&gt;AS$147, AS77-AS$147,"")</f>
        <v/>
      </c>
      <c r="BW77" s="1" t="str">
        <f>IF(AT77&gt;AT$147, AT77-AT$147,"")</f>
        <v/>
      </c>
      <c r="BX77" s="1" t="str">
        <f>IF(AU77&gt;AU$147, AU77-AU$147,"")</f>
        <v/>
      </c>
      <c r="BY77" s="1" t="str">
        <f>IF(AV77&gt;AV$147, AV77-AV$147,"")</f>
        <v/>
      </c>
      <c r="BZ77" s="1" t="str">
        <f>IF(AW77&gt;AW$147, AW77-AW$147,"")</f>
        <v/>
      </c>
      <c r="CA77" s="1" t="str">
        <f>IF(AX77&gt;AX$147, AX77-AX$147,"")</f>
        <v/>
      </c>
      <c r="CB77" s="1" t="str">
        <f>IF(AY77&gt;AY$147, AY77-AY$147,"")</f>
        <v/>
      </c>
      <c r="CC77" s="1" t="str">
        <f>IF(AZ77&gt;AZ$147, AZ77-AZ$147,"")</f>
        <v/>
      </c>
      <c r="CD77" s="1" t="str">
        <f>IF(BA77&gt;BA$147, BA77-BA$147,"")</f>
        <v/>
      </c>
      <c r="CE77" s="1" t="str">
        <f>IF(BB77&gt;BB$147, BB77-BB$147,"")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ht="40.5" x14ac:dyDescent="0.15">
      <c r="A78" s="1"/>
      <c r="B78" s="1" t="s">
        <v>165</v>
      </c>
      <c r="C78" s="1" t="s">
        <v>161</v>
      </c>
      <c r="D78" s="1" t="s">
        <v>132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32"/>
      <c r="Q78" s="32">
        <v>5</v>
      </c>
      <c r="R78" s="32"/>
      <c r="S78" s="32"/>
      <c r="T78" s="32">
        <v>5</v>
      </c>
      <c r="U78" s="32"/>
      <c r="V78" s="32"/>
      <c r="W78" s="32">
        <v>5</v>
      </c>
      <c r="X78" s="32"/>
      <c r="Y78" s="32"/>
      <c r="Z78" s="32">
        <v>5</v>
      </c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20</v>
      </c>
      <c r="BQ78" s="1">
        <v>11</v>
      </c>
      <c r="BR78" s="17">
        <v>3</v>
      </c>
      <c r="BS78" s="17" t="s">
        <v>264</v>
      </c>
      <c r="BT78" s="1" t="str">
        <f>IF(AQ78&gt;AQ$147, AQ78-AQ$147,"")</f>
        <v/>
      </c>
      <c r="BU78" s="1" t="str">
        <f>IF(AR78&gt;AR$147, AR78-AR$147,"")</f>
        <v/>
      </c>
      <c r="BV78" s="1" t="str">
        <f>IF(AS78&gt;AS$147, AS78-AS$147,"")</f>
        <v/>
      </c>
      <c r="BW78" s="1" t="str">
        <f>IF(AT78&gt;AT$147, AT78-AT$147,"")</f>
        <v/>
      </c>
      <c r="BX78" s="1" t="str">
        <f>IF(AU78&gt;AU$147, AU78-AU$147,"")</f>
        <v/>
      </c>
      <c r="BY78" s="1" t="str">
        <f>IF(AV78&gt;AV$147, AV78-AV$147,"")</f>
        <v/>
      </c>
      <c r="BZ78" s="1" t="str">
        <f>IF(AW78&gt;AW$147, AW78-AW$147,"")</f>
        <v/>
      </c>
      <c r="CA78" s="1" t="str">
        <f>IF(AX78&gt;AX$147, AX78-AX$147,"")</f>
        <v/>
      </c>
      <c r="CB78" s="1" t="str">
        <f>IF(AY78&gt;AY$147, AY78-AY$147,"")</f>
        <v/>
      </c>
      <c r="CC78" s="1" t="str">
        <f>IF(AZ78&gt;AZ$147, AZ78-AZ$147,"")</f>
        <v/>
      </c>
      <c r="CD78" s="1" t="str">
        <f>IF(BA78&gt;BA$147, BA78-BA$147,"")</f>
        <v/>
      </c>
      <c r="CE78" s="1" t="str">
        <f>IF(BB78&gt;BB$147, BB78-BB$147,"")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ht="40.5" x14ac:dyDescent="0.15">
      <c r="A79" s="1"/>
      <c r="B79" s="1" t="s">
        <v>201</v>
      </c>
      <c r="C79" s="1" t="s">
        <v>128</v>
      </c>
      <c r="D79" s="1" t="s">
        <v>114</v>
      </c>
      <c r="E79" s="6"/>
      <c r="F79" s="6">
        <v>6</v>
      </c>
      <c r="G79" s="6"/>
      <c r="H79" s="6"/>
      <c r="I79" s="6"/>
      <c r="J79" s="6"/>
      <c r="K79" s="6"/>
      <c r="L79" s="6"/>
      <c r="M79" s="6"/>
      <c r="N79" s="6"/>
      <c r="O79" s="6">
        <v>6</v>
      </c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>
        <v>10</v>
      </c>
      <c r="AU79" s="4"/>
      <c r="AV79" s="4"/>
      <c r="AW79" s="2"/>
      <c r="AX79" s="2"/>
      <c r="AY79" s="2">
        <v>10</v>
      </c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32</v>
      </c>
      <c r="BQ79" s="1">
        <v>12</v>
      </c>
      <c r="BR79" s="17">
        <v>3</v>
      </c>
      <c r="BS79" s="17" t="s">
        <v>243</v>
      </c>
      <c r="BT79" s="1" t="str">
        <f>IF(AQ79&gt;AQ$147, AQ79-AQ$147,"")</f>
        <v/>
      </c>
      <c r="BU79" s="1" t="str">
        <f>IF(AR79&gt;AR$147, AR79-AR$147,"")</f>
        <v/>
      </c>
      <c r="BV79" s="1" t="str">
        <f>IF(AS79&gt;AS$147, AS79-AS$147,"")</f>
        <v/>
      </c>
      <c r="BW79" s="1">
        <f>IF(AT79&gt;AT$147, AT79-AT$147,"")</f>
        <v>3</v>
      </c>
      <c r="BX79" s="1" t="str">
        <f>IF(AU79&gt;AU$147, AU79-AU$147,"")</f>
        <v/>
      </c>
      <c r="BY79" s="1" t="str">
        <f>IF(AV79&gt;AV$147, AV79-AV$147,"")</f>
        <v/>
      </c>
      <c r="BZ79" s="1" t="str">
        <f>IF(AW79&gt;AW$147, AW79-AW$147,"")</f>
        <v/>
      </c>
      <c r="CA79" s="1" t="str">
        <f>IF(AX79&gt;AX$147, AX79-AX$147,"")</f>
        <v/>
      </c>
      <c r="CB79" s="1" t="str">
        <f>IF(AY79&gt;AY$147, AY79-AY$147,"")</f>
        <v/>
      </c>
      <c r="CC79" s="1" t="str">
        <f>IF(AZ79&gt;AZ$147, AZ79-AZ$147,"")</f>
        <v/>
      </c>
      <c r="CD79" s="1" t="str">
        <f>IF(BA79&gt;BA$147, BA79-BA$147,"")</f>
        <v/>
      </c>
      <c r="CE79" s="1" t="str">
        <f>IF(BB79&gt;BB$147, BB79-BB$147,"")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8"/>
    </row>
    <row r="80" spans="1:97" ht="40.5" x14ac:dyDescent="0.15">
      <c r="A80" s="1"/>
      <c r="B80" s="1" t="s">
        <v>156</v>
      </c>
      <c r="C80" s="1" t="s">
        <v>154</v>
      </c>
      <c r="D80" s="1" t="s">
        <v>134</v>
      </c>
      <c r="E80" s="6"/>
      <c r="F80" s="6"/>
      <c r="G80" s="6"/>
      <c r="H80" s="6"/>
      <c r="I80" s="6">
        <v>7</v>
      </c>
      <c r="J80" s="6"/>
      <c r="K80" s="6"/>
      <c r="L80" s="6"/>
      <c r="M80" s="6"/>
      <c r="N80" s="6"/>
      <c r="O80" s="6"/>
      <c r="P80" s="32"/>
      <c r="Q80" s="32">
        <v>7</v>
      </c>
      <c r="R80" s="32">
        <v>7</v>
      </c>
      <c r="S80" s="32"/>
      <c r="T80" s="32">
        <v>7</v>
      </c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28</v>
      </c>
      <c r="BQ80" s="1">
        <v>13</v>
      </c>
      <c r="BR80" s="17">
        <v>3</v>
      </c>
      <c r="BS80" s="17" t="s">
        <v>265</v>
      </c>
      <c r="BT80" s="1" t="str">
        <f>IF(AQ80&gt;AQ$147, AQ80-AQ$147,"")</f>
        <v/>
      </c>
      <c r="BU80" s="1" t="str">
        <f>IF(AR80&gt;AR$147, AR80-AR$147,"")</f>
        <v/>
      </c>
      <c r="BV80" s="1" t="str">
        <f>IF(AS80&gt;AS$147, AS80-AS$147,"")</f>
        <v/>
      </c>
      <c r="BW80" s="1" t="str">
        <f>IF(AT80&gt;AT$147, AT80-AT$147,"")</f>
        <v/>
      </c>
      <c r="BX80" s="1" t="str">
        <f>IF(AU80&gt;AU$147, AU80-AU$147,"")</f>
        <v/>
      </c>
      <c r="BY80" s="1" t="str">
        <f>IF(AV80&gt;AV$147, AV80-AV$147,"")</f>
        <v/>
      </c>
      <c r="BZ80" s="1" t="str">
        <f>IF(AW80&gt;AW$147, AW80-AW$147,"")</f>
        <v/>
      </c>
      <c r="CA80" s="1" t="str">
        <f>IF(AX80&gt;AX$147, AX80-AX$147,"")</f>
        <v/>
      </c>
      <c r="CB80" s="1" t="str">
        <f>IF(AY80&gt;AY$147, AY80-AY$147,"")</f>
        <v/>
      </c>
      <c r="CC80" s="1" t="str">
        <f>IF(AZ80&gt;AZ$147, AZ80-AZ$147,"")</f>
        <v/>
      </c>
      <c r="CD80" s="1" t="str">
        <f>IF(BA80&gt;BA$147, BA80-BA$147,"")</f>
        <v/>
      </c>
      <c r="CE80" s="1" t="str">
        <f>IF(BB80&gt;BB$147, BB80-BB$147,"")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8"/>
    </row>
    <row r="81" spans="1:97" ht="40.5" x14ac:dyDescent="0.15">
      <c r="A81" s="1">
        <v>84</v>
      </c>
      <c r="B81" s="3" t="s">
        <v>73</v>
      </c>
      <c r="C81" s="3" t="s">
        <v>68</v>
      </c>
      <c r="D81" s="1" t="s">
        <v>13</v>
      </c>
      <c r="E81" s="6"/>
      <c r="F81" s="6"/>
      <c r="G81" s="6">
        <v>5</v>
      </c>
      <c r="H81" s="6">
        <v>5</v>
      </c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>
        <v>5</v>
      </c>
      <c r="BB81" s="2">
        <v>5</v>
      </c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14</v>
      </c>
      <c r="BR81" s="17">
        <v>3</v>
      </c>
      <c r="BS81" s="17" t="s">
        <v>266</v>
      </c>
      <c r="BT81" s="1" t="str">
        <f>IF(AQ81&gt;AQ$147, AQ81-AQ$147,"")</f>
        <v/>
      </c>
      <c r="BU81" s="1" t="str">
        <f>IF(AR81&gt;AR$147, AR81-AR$147,"")</f>
        <v/>
      </c>
      <c r="BV81" s="1" t="str">
        <f>IF(AS81&gt;AS$147, AS81-AS$147,"")</f>
        <v/>
      </c>
      <c r="BW81" s="1" t="str">
        <f>IF(AT81&gt;AT$147, AT81-AT$147,"")</f>
        <v/>
      </c>
      <c r="BX81" s="1" t="str">
        <f>IF(AU81&gt;AU$147, AU81-AU$147,"")</f>
        <v/>
      </c>
      <c r="BY81" s="1" t="str">
        <f>IF(AV81&gt;AV$147, AV81-AV$147,"")</f>
        <v/>
      </c>
      <c r="BZ81" s="1" t="str">
        <f>IF(AW81&gt;AW$147, AW81-AW$147,"")</f>
        <v/>
      </c>
      <c r="CA81" s="1" t="str">
        <f>IF(AX81&gt;AX$147, AX81-AX$147,"")</f>
        <v/>
      </c>
      <c r="CB81" s="1" t="str">
        <f>IF(AY81&gt;AY$147, AY81-AY$147,"")</f>
        <v/>
      </c>
      <c r="CC81" s="1" t="str">
        <f>IF(AZ81&gt;AZ$147, AZ81-AZ$147,"")</f>
        <v/>
      </c>
      <c r="CD81" s="1">
        <f>IF(BA81&gt;BA$147, BA81-BA$147,"")</f>
        <v>4</v>
      </c>
      <c r="CE81" s="1" t="str">
        <f>IF(BB81&gt;BB$147, BB81-BB$147,"")</f>
        <v/>
      </c>
      <c r="CF81" s="1">
        <f>COUNTIF(BT81:CE81, "&gt;0")</f>
        <v>1</v>
      </c>
      <c r="CG81" s="1" t="str">
        <f>IF($CF81=1,BT81,"")</f>
        <v/>
      </c>
      <c r="CH81" s="1" t="str">
        <f>IF($CF81=1,BU81,"")</f>
        <v/>
      </c>
      <c r="CI81" s="1" t="str">
        <f>IF($CF81=1,BV81,"")</f>
        <v/>
      </c>
      <c r="CJ81" s="1" t="str">
        <f>IF($CF81=1,BW81,"")</f>
        <v/>
      </c>
      <c r="CK81" s="1" t="str">
        <f>IF($CF81=1,BX81,"")</f>
        <v/>
      </c>
      <c r="CL81" s="1" t="str">
        <f>IF($CF81=1,BY81,"")</f>
        <v/>
      </c>
      <c r="CM81" s="1" t="str">
        <f>IF($CF81=1,BZ81,"")</f>
        <v/>
      </c>
      <c r="CN81" s="1" t="str">
        <f>IF($CF81=1,CA81,"")</f>
        <v/>
      </c>
      <c r="CO81" s="1" t="str">
        <f>IF($CF81=1,CB81,"")</f>
        <v/>
      </c>
      <c r="CP81" s="1" t="str">
        <f>IF($CF81=1,CC81,"")</f>
        <v/>
      </c>
      <c r="CQ81" s="1">
        <f>IF($CF81=1,CD81,"")</f>
        <v>4</v>
      </c>
      <c r="CR81" s="1" t="str">
        <f>IF($CF81=1,CE81,"")</f>
        <v/>
      </c>
      <c r="CS81" s="18">
        <f>SUM(AE81:BO81)</f>
        <v>10</v>
      </c>
    </row>
    <row r="82" spans="1:97" ht="40.5" x14ac:dyDescent="0.15">
      <c r="A82" s="1"/>
      <c r="B82" s="1" t="s">
        <v>169</v>
      </c>
      <c r="C82" s="1" t="s">
        <v>127</v>
      </c>
      <c r="D82" s="1" t="s">
        <v>114</v>
      </c>
      <c r="E82" s="6"/>
      <c r="F82" s="6"/>
      <c r="G82" s="6">
        <v>6</v>
      </c>
      <c r="H82" s="6">
        <v>6</v>
      </c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10</v>
      </c>
      <c r="AW82" s="2">
        <v>10</v>
      </c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32</v>
      </c>
      <c r="BQ82" s="1">
        <v>14</v>
      </c>
      <c r="BR82" s="17">
        <v>3</v>
      </c>
      <c r="BS82" s="17" t="s">
        <v>267</v>
      </c>
      <c r="BT82" s="1" t="str">
        <f>IF(AQ82&gt;AQ$147, AQ82-AQ$147,"")</f>
        <v/>
      </c>
      <c r="BU82" s="1" t="str">
        <f>IF(AR82&gt;AR$147, AR82-AR$147,"")</f>
        <v/>
      </c>
      <c r="BV82" s="1" t="str">
        <f>IF(AS82&gt;AS$147, AS82-AS$147,"")</f>
        <v/>
      </c>
      <c r="BW82" s="1" t="str">
        <f>IF(AT82&gt;AT$147, AT82-AT$147,"")</f>
        <v/>
      </c>
      <c r="BX82" s="1" t="str">
        <f>IF(AU82&gt;AU$147, AU82-AU$147,"")</f>
        <v/>
      </c>
      <c r="BY82" s="1">
        <f>IF(AV82&gt;AV$147, AV82-AV$147,"")</f>
        <v>2</v>
      </c>
      <c r="BZ82" s="1" t="str">
        <f>IF(AW82&gt;AW$147, AW82-AW$147,"")</f>
        <v/>
      </c>
      <c r="CA82" s="1" t="str">
        <f>IF(AX82&gt;AX$147, AX82-AX$147,"")</f>
        <v/>
      </c>
      <c r="CB82" s="1" t="str">
        <f>IF(AY82&gt;AY$147, AY82-AY$147,"")</f>
        <v/>
      </c>
      <c r="CC82" s="1" t="str">
        <f>IF(AZ82&gt;AZ$147, AZ82-AZ$147,"")</f>
        <v/>
      </c>
      <c r="CD82" s="1" t="str">
        <f>IF(BA82&gt;BA$147, BA82-BA$147,"")</f>
        <v/>
      </c>
      <c r="CE82" s="1" t="str">
        <f>IF(BB82&gt;BB$147, BB82-BB$147,"")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8"/>
    </row>
    <row r="83" spans="1:97" ht="40.5" x14ac:dyDescent="0.15">
      <c r="A83" s="1"/>
      <c r="B83" s="1" t="s">
        <v>177</v>
      </c>
      <c r="C83" s="1" t="s">
        <v>131</v>
      </c>
      <c r="D83" s="1" t="s">
        <v>134</v>
      </c>
      <c r="E83" s="6"/>
      <c r="F83" s="6"/>
      <c r="G83" s="6"/>
      <c r="H83" s="6"/>
      <c r="I83" s="6">
        <v>10</v>
      </c>
      <c r="J83" s="6"/>
      <c r="K83" s="6"/>
      <c r="L83" s="6"/>
      <c r="M83" s="6"/>
      <c r="N83" s="6"/>
      <c r="O83" s="6"/>
      <c r="P83" s="32"/>
      <c r="Q83" s="32"/>
      <c r="R83" s="32">
        <v>10</v>
      </c>
      <c r="S83" s="32"/>
      <c r="T83" s="32"/>
      <c r="U83" s="32"/>
      <c r="V83" s="32"/>
      <c r="W83" s="32"/>
      <c r="X83" s="32">
        <v>10</v>
      </c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>
        <v>10</v>
      </c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15</v>
      </c>
      <c r="BR83" s="17">
        <v>3</v>
      </c>
      <c r="BS83" s="17" t="s">
        <v>268</v>
      </c>
      <c r="BT83" s="1" t="str">
        <f>IF(AQ83&gt;AQ$147, AQ83-AQ$147,"")</f>
        <v/>
      </c>
      <c r="BU83" s="1" t="str">
        <f>IF(AR83&gt;AR$147, AR83-AR$147,"")</f>
        <v/>
      </c>
      <c r="BV83" s="1" t="str">
        <f>IF(AS83&gt;AS$147, AS83-AS$147,"")</f>
        <v/>
      </c>
      <c r="BW83" s="1">
        <f>IF(AT83&gt;AT$147, AT83-AT$147,"")</f>
        <v>3</v>
      </c>
      <c r="BX83" s="1" t="str">
        <f>IF(AU83&gt;AU$147, AU83-AU$147,"")</f>
        <v/>
      </c>
      <c r="BY83" s="1" t="str">
        <f>IF(AV83&gt;AV$147, AV83-AV$147,"")</f>
        <v/>
      </c>
      <c r="BZ83" s="1" t="str">
        <f>IF(AW83&gt;AW$147, AW83-AW$147,"")</f>
        <v/>
      </c>
      <c r="CA83" s="1" t="str">
        <f>IF(AX83&gt;AX$147, AX83-AX$147,"")</f>
        <v/>
      </c>
      <c r="CB83" s="1" t="str">
        <f>IF(AY83&gt;AY$147, AY83-AY$147,"")</f>
        <v/>
      </c>
      <c r="CC83" s="1" t="str">
        <f>IF(AZ83&gt;AZ$147, AZ83-AZ$147,"")</f>
        <v/>
      </c>
      <c r="CD83" s="1" t="str">
        <f>IF(BA83&gt;BA$147, BA83-BA$147,"")</f>
        <v/>
      </c>
      <c r="CE83" s="1" t="str">
        <f>IF(BB83&gt;BB$147, BB83-BB$147,"")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8"/>
    </row>
    <row r="84" spans="1:97" ht="40.5" x14ac:dyDescent="0.15">
      <c r="A84" s="1">
        <v>28</v>
      </c>
      <c r="B84" s="1" t="s">
        <v>79</v>
      </c>
      <c r="C84" s="1" t="s">
        <v>32</v>
      </c>
      <c r="D84" s="1" t="s">
        <v>1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/>
      <c r="AG84" s="1"/>
      <c r="AH84" s="1">
        <v>5</v>
      </c>
      <c r="AI84" s="1">
        <v>5</v>
      </c>
      <c r="AJ84" s="1">
        <v>5</v>
      </c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15</v>
      </c>
      <c r="BQ84" s="1">
        <v>15</v>
      </c>
      <c r="BR84" s="17">
        <v>3</v>
      </c>
      <c r="BS84" s="17" t="s">
        <v>269</v>
      </c>
      <c r="BT84" s="1" t="str">
        <f>IF(AQ84&gt;AQ$147, AQ84-AQ$147,"")</f>
        <v/>
      </c>
      <c r="BU84" s="1" t="str">
        <f>IF(AR84&gt;AR$147, AR84-AR$147,"")</f>
        <v/>
      </c>
      <c r="BV84" s="1" t="str">
        <f>IF(AS84&gt;AS$147, AS84-AS$147,"")</f>
        <v/>
      </c>
      <c r="BW84" s="1" t="str">
        <f>IF(AT84&gt;AT$147, AT84-AT$147,"")</f>
        <v/>
      </c>
      <c r="BX84" s="1" t="str">
        <f>IF(AU84&gt;AU$147, AU84-AU$147,"")</f>
        <v/>
      </c>
      <c r="BY84" s="1" t="str">
        <f>IF(AV84&gt;AV$147, AV84-AV$147,"")</f>
        <v/>
      </c>
      <c r="BZ84" s="1" t="str">
        <f>IF(AW84&gt;AW$147, AW84-AW$147,"")</f>
        <v/>
      </c>
      <c r="CA84" s="1" t="str">
        <f>IF(AX84&gt;AX$147, AX84-AX$147,"")</f>
        <v/>
      </c>
      <c r="CB84" s="1" t="str">
        <f>IF(AY84&gt;AY$147, AY84-AY$147,"")</f>
        <v/>
      </c>
      <c r="CC84" s="1" t="str">
        <f>IF(AZ84&gt;AZ$147, AZ84-AZ$147,"")</f>
        <v/>
      </c>
      <c r="CD84" s="1" t="str">
        <f>IF(BA84&gt;BA$147, BA84-BA$147,"")</f>
        <v/>
      </c>
      <c r="CE84" s="1" t="str">
        <f>IF(BB84&gt;BB$147, BB84-BB$147,"")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18">
        <f>SUM(AE84:BO84)</f>
        <v>15</v>
      </c>
    </row>
    <row r="85" spans="1:97" ht="40.5" x14ac:dyDescent="0.15">
      <c r="A85" s="1">
        <v>89</v>
      </c>
      <c r="B85" s="3" t="s">
        <v>84</v>
      </c>
      <c r="C85" s="3" t="s">
        <v>85</v>
      </c>
      <c r="D85" s="1" t="s">
        <v>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>
        <v>5</v>
      </c>
      <c r="AG85" s="1"/>
      <c r="AH85" s="1">
        <v>5</v>
      </c>
      <c r="AI85" s="1">
        <v>5</v>
      </c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15</v>
      </c>
      <c r="BQ85" s="1">
        <v>15</v>
      </c>
      <c r="BR85" s="17">
        <v>3</v>
      </c>
      <c r="BS85" s="17" t="s">
        <v>270</v>
      </c>
      <c r="BT85" s="1" t="str">
        <f>IF(AQ85&gt;AQ$147, AQ85-AQ$147,"")</f>
        <v/>
      </c>
      <c r="BU85" s="1" t="str">
        <f>IF(AR85&gt;AR$147, AR85-AR$147,"")</f>
        <v/>
      </c>
      <c r="BV85" s="1" t="str">
        <f>IF(AS85&gt;AS$147, AS85-AS$147,"")</f>
        <v/>
      </c>
      <c r="BW85" s="1" t="str">
        <f>IF(AT85&gt;AT$147, AT85-AT$147,"")</f>
        <v/>
      </c>
      <c r="BX85" s="1" t="str">
        <f>IF(AU85&gt;AU$147, AU85-AU$147,"")</f>
        <v/>
      </c>
      <c r="BY85" s="1" t="str">
        <f>IF(AV85&gt;AV$147, AV85-AV$147,"")</f>
        <v/>
      </c>
      <c r="BZ85" s="1" t="str">
        <f>IF(AW85&gt;AW$147, AW85-AW$147,"")</f>
        <v/>
      </c>
      <c r="CA85" s="1" t="str">
        <f>IF(AX85&gt;AX$147, AX85-AX$147,"")</f>
        <v/>
      </c>
      <c r="CB85" s="1" t="str">
        <f>IF(AY85&gt;AY$147, AY85-AY$147,"")</f>
        <v/>
      </c>
      <c r="CC85" s="1" t="str">
        <f>IF(AZ85&gt;AZ$147, AZ85-AZ$147,"")</f>
        <v/>
      </c>
      <c r="CD85" s="1" t="str">
        <f>IF(BA85&gt;BA$147, BA85-BA$147,"")</f>
        <v/>
      </c>
      <c r="CE85" s="1" t="str">
        <f>IF(BB85&gt;BB$147, BB85-BB$147,"")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18">
        <f>SUM(AE85:BO85)</f>
        <v>15</v>
      </c>
    </row>
    <row r="86" spans="1:97" ht="40.5" x14ac:dyDescent="0.15">
      <c r="A86" s="1">
        <v>45</v>
      </c>
      <c r="B86" s="1" t="s">
        <v>111</v>
      </c>
      <c r="C86" s="1" t="s">
        <v>49</v>
      </c>
      <c r="D86" s="1" t="s">
        <v>13</v>
      </c>
      <c r="E86" s="6">
        <v>6</v>
      </c>
      <c r="F86" s="6"/>
      <c r="G86" s="6"/>
      <c r="H86" s="6"/>
      <c r="I86" s="6"/>
      <c r="J86" s="6"/>
      <c r="K86" s="6"/>
      <c r="L86" s="6"/>
      <c r="M86" s="6">
        <v>6</v>
      </c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>
        <v>10</v>
      </c>
      <c r="AR86" s="4"/>
      <c r="AS86" s="4"/>
      <c r="AT86" s="4"/>
      <c r="AU86" s="4"/>
      <c r="AV86" s="4"/>
      <c r="AW86" s="2"/>
      <c r="AX86" s="2"/>
      <c r="AY86" s="2"/>
      <c r="AZ86" s="2">
        <v>10</v>
      </c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32</v>
      </c>
      <c r="BQ86" s="1">
        <v>16</v>
      </c>
      <c r="BR86" s="17">
        <v>3</v>
      </c>
      <c r="BS86" s="17" t="s">
        <v>271</v>
      </c>
      <c r="BT86" s="1">
        <f>IF(AQ86&gt;AQ$147, AQ86-AQ$147,"")</f>
        <v>1</v>
      </c>
      <c r="BU86" s="1" t="str">
        <f>IF(AR86&gt;AR$147, AR86-AR$147,"")</f>
        <v/>
      </c>
      <c r="BV86" s="1" t="str">
        <f>IF(AS86&gt;AS$147, AS86-AS$147,"")</f>
        <v/>
      </c>
      <c r="BW86" s="1" t="str">
        <f>IF(AT86&gt;AT$147, AT86-AT$147,"")</f>
        <v/>
      </c>
      <c r="BX86" s="1" t="str">
        <f>IF(AU86&gt;AU$147, AU86-AU$147,"")</f>
        <v/>
      </c>
      <c r="BY86" s="1" t="str">
        <f>IF(AV86&gt;AV$147, AV86-AV$147,"")</f>
        <v/>
      </c>
      <c r="BZ86" s="1" t="str">
        <f>IF(AW86&gt;AW$147, AW86-AW$147,"")</f>
        <v/>
      </c>
      <c r="CA86" s="1" t="str">
        <f>IF(AX86&gt;AX$147, AX86-AX$147,"")</f>
        <v/>
      </c>
      <c r="CB86" s="1" t="str">
        <f>IF(AY86&gt;AY$147, AY86-AY$147,"")</f>
        <v/>
      </c>
      <c r="CC86" s="1">
        <f>IF(AZ86&gt;AZ$147, AZ86-AZ$147,"")</f>
        <v>10</v>
      </c>
      <c r="CD86" s="1" t="str">
        <f>IF(BA86&gt;BA$147, BA86-BA$147,"")</f>
        <v/>
      </c>
      <c r="CE86" s="1" t="str">
        <f>IF(BB86&gt;BB$147, BB86-BB$147,"")</f>
        <v/>
      </c>
      <c r="CF86" s="1">
        <f>COUNTIF(BT86:CE86, "&gt;0")</f>
        <v>2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18">
        <f>SUM(AE86:BO86)</f>
        <v>20</v>
      </c>
    </row>
    <row r="87" spans="1:97" ht="40.5" x14ac:dyDescent="0.15">
      <c r="A87" s="1">
        <v>81</v>
      </c>
      <c r="B87" s="3" t="s">
        <v>71</v>
      </c>
      <c r="C87" s="3" t="s">
        <v>68</v>
      </c>
      <c r="D87" s="1" t="s">
        <v>13</v>
      </c>
      <c r="E87" s="6"/>
      <c r="F87" s="6"/>
      <c r="G87" s="6"/>
      <c r="H87" s="6"/>
      <c r="I87" s="6"/>
      <c r="J87" s="6"/>
      <c r="K87" s="6"/>
      <c r="L87" s="6">
        <v>6</v>
      </c>
      <c r="M87" s="6"/>
      <c r="N87" s="6"/>
      <c r="O87" s="6">
        <v>6</v>
      </c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>
        <v>10</v>
      </c>
      <c r="AU87" s="4"/>
      <c r="AV87" s="4"/>
      <c r="AW87" s="2"/>
      <c r="AX87" s="2"/>
      <c r="AY87" s="2"/>
      <c r="AZ87" s="2"/>
      <c r="BA87" s="2">
        <v>10</v>
      </c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32</v>
      </c>
      <c r="BQ87" s="1">
        <v>16</v>
      </c>
      <c r="BR87" s="17">
        <v>3</v>
      </c>
      <c r="BS87" s="17" t="s">
        <v>272</v>
      </c>
      <c r="BT87" s="1" t="str">
        <f>IF(AQ87&gt;AQ$147, AQ87-AQ$147,"")</f>
        <v/>
      </c>
      <c r="BU87" s="1" t="str">
        <f>IF(AR87&gt;AR$147, AR87-AR$147,"")</f>
        <v/>
      </c>
      <c r="BV87" s="1" t="str">
        <f>IF(AS87&gt;AS$147, AS87-AS$147,"")</f>
        <v/>
      </c>
      <c r="BW87" s="1">
        <f>IF(AT87&gt;AT$147, AT87-AT$147,"")</f>
        <v>3</v>
      </c>
      <c r="BX87" s="1" t="str">
        <f>IF(AU87&gt;AU$147, AU87-AU$147,"")</f>
        <v/>
      </c>
      <c r="BY87" s="1" t="str">
        <f>IF(AV87&gt;AV$147, AV87-AV$147,"")</f>
        <v/>
      </c>
      <c r="BZ87" s="1" t="str">
        <f>IF(AW87&gt;AW$147, AW87-AW$147,"")</f>
        <v/>
      </c>
      <c r="CA87" s="1" t="str">
        <f>IF(AX87&gt;AX$147, AX87-AX$147,"")</f>
        <v/>
      </c>
      <c r="CB87" s="1" t="str">
        <f>IF(AY87&gt;AY$147, AY87-AY$147,"")</f>
        <v/>
      </c>
      <c r="CC87" s="1" t="str">
        <f>IF(AZ87&gt;AZ$147, AZ87-AZ$147,"")</f>
        <v/>
      </c>
      <c r="CD87" s="1">
        <f>IF(BA87&gt;BA$147, BA87-BA$147,"")</f>
        <v>9</v>
      </c>
      <c r="CE87" s="1" t="str">
        <f>IF(BB87&gt;BB$147, BB87-BB$147,"")</f>
        <v/>
      </c>
      <c r="CF87" s="1">
        <f>COUNTIF(BT87:CE87, "&gt;0")</f>
        <v>2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18">
        <f>SUM(AE87:BO87)</f>
        <v>20</v>
      </c>
    </row>
    <row r="88" spans="1:97" ht="40.5" x14ac:dyDescent="0.15">
      <c r="A88" s="1">
        <v>72</v>
      </c>
      <c r="B88" s="3" t="s">
        <v>97</v>
      </c>
      <c r="C88" s="1" t="s">
        <v>60</v>
      </c>
      <c r="D88" s="1" t="s">
        <v>13</v>
      </c>
      <c r="E88" s="6"/>
      <c r="F88" s="6"/>
      <c r="G88" s="6"/>
      <c r="H88" s="6"/>
      <c r="I88" s="6"/>
      <c r="J88" s="6"/>
      <c r="K88" s="6"/>
      <c r="L88" s="6">
        <v>6</v>
      </c>
      <c r="M88" s="6">
        <v>6</v>
      </c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>
        <v>10</v>
      </c>
      <c r="AW88" s="2"/>
      <c r="AX88" s="2"/>
      <c r="AY88" s="2"/>
      <c r="AZ88" s="2"/>
      <c r="BA88" s="2">
        <v>10</v>
      </c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32</v>
      </c>
      <c r="BQ88" s="1">
        <v>16</v>
      </c>
      <c r="BR88" s="17">
        <v>3</v>
      </c>
      <c r="BS88" s="17" t="s">
        <v>273</v>
      </c>
      <c r="BT88" s="1" t="str">
        <f>IF(AQ88&gt;AQ$147, AQ88-AQ$147,"")</f>
        <v/>
      </c>
      <c r="BU88" s="1" t="str">
        <f>IF(AR88&gt;AR$147, AR88-AR$147,"")</f>
        <v/>
      </c>
      <c r="BV88" s="1" t="str">
        <f>IF(AS88&gt;AS$147, AS88-AS$147,"")</f>
        <v/>
      </c>
      <c r="BW88" s="1" t="str">
        <f>IF(AT88&gt;AT$147, AT88-AT$147,"")</f>
        <v/>
      </c>
      <c r="BX88" s="1" t="str">
        <f>IF(AU88&gt;AU$147, AU88-AU$147,"")</f>
        <v/>
      </c>
      <c r="BY88" s="1">
        <f>IF(AV88&gt;AV$147, AV88-AV$147,"")</f>
        <v>2</v>
      </c>
      <c r="BZ88" s="1" t="str">
        <f>IF(AW88&gt;AW$147, AW88-AW$147,"")</f>
        <v/>
      </c>
      <c r="CA88" s="1" t="str">
        <f>IF(AX88&gt;AX$147, AX88-AX$147,"")</f>
        <v/>
      </c>
      <c r="CB88" s="1" t="str">
        <f>IF(AY88&gt;AY$147, AY88-AY$147,"")</f>
        <v/>
      </c>
      <c r="CC88" s="1" t="str">
        <f>IF(AZ88&gt;AZ$147, AZ88-AZ$147,"")</f>
        <v/>
      </c>
      <c r="CD88" s="1">
        <f>IF(BA88&gt;BA$147, BA88-BA$147,"")</f>
        <v>9</v>
      </c>
      <c r="CE88" s="1" t="str">
        <f>IF(BB88&gt;BB$147, BB88-BB$147,"")</f>
        <v/>
      </c>
      <c r="CF88" s="1">
        <f>COUNTIF(BT88:CE88, "&gt;0")</f>
        <v>2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18">
        <f>SUM(AE88:BO88)</f>
        <v>20</v>
      </c>
    </row>
    <row r="89" spans="1:97" ht="40.5" x14ac:dyDescent="0.15">
      <c r="A89" s="1"/>
      <c r="B89" s="1" t="s">
        <v>119</v>
      </c>
      <c r="C89" s="1" t="s">
        <v>116</v>
      </c>
      <c r="D89" s="1" t="s">
        <v>113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>
        <v>5</v>
      </c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>
        <v>5</v>
      </c>
      <c r="AP89" s="1">
        <v>10</v>
      </c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20</v>
      </c>
      <c r="BQ89" s="1">
        <v>18</v>
      </c>
      <c r="BR89" s="17">
        <v>3</v>
      </c>
      <c r="BS89" s="17" t="s">
        <v>274</v>
      </c>
      <c r="BT89" s="1" t="str">
        <f>IF(AQ89&gt;AQ$147, AQ89-AQ$147,"")</f>
        <v/>
      </c>
      <c r="BU89" s="1" t="str">
        <f>IF(AR89&gt;AR$147, AR89-AR$147,"")</f>
        <v/>
      </c>
      <c r="BV89" s="1" t="str">
        <f>IF(AS89&gt;AS$147, AS89-AS$147,"")</f>
        <v/>
      </c>
      <c r="BW89" s="1" t="str">
        <f>IF(AT89&gt;AT$147, AT89-AT$147,"")</f>
        <v/>
      </c>
      <c r="BX89" s="1" t="str">
        <f>IF(AU89&gt;AU$147, AU89-AU$147,"")</f>
        <v/>
      </c>
      <c r="BY89" s="1" t="str">
        <f>IF(AV89&gt;AV$147, AV89-AV$147,"")</f>
        <v/>
      </c>
      <c r="BZ89" s="1" t="str">
        <f>IF(AW89&gt;AW$147, AW89-AW$147,"")</f>
        <v/>
      </c>
      <c r="CA89" s="1" t="str">
        <f>IF(AX89&gt;AX$147, AX89-AX$147,"")</f>
        <v/>
      </c>
      <c r="CB89" s="1" t="str">
        <f>IF(AY89&gt;AY$147, AY89-AY$147,"")</f>
        <v/>
      </c>
      <c r="CC89" s="1" t="str">
        <f>IF(AZ89&gt;AZ$147, AZ89-AZ$147,"")</f>
        <v/>
      </c>
      <c r="CD89" s="1" t="str">
        <f>IF(BA89&gt;BA$147, BA89-BA$147,"")</f>
        <v/>
      </c>
      <c r="CE89" s="1" t="str">
        <f>IF(BB89&gt;BB$147, BB89-BB$147,"")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40.5" x14ac:dyDescent="0.15">
      <c r="A90" s="1">
        <v>21</v>
      </c>
      <c r="B90" s="1" t="s">
        <v>39</v>
      </c>
      <c r="C90" s="1" t="s">
        <v>32</v>
      </c>
      <c r="D90" s="1" t="s">
        <v>26</v>
      </c>
      <c r="E90" s="6"/>
      <c r="F90" s="6"/>
      <c r="G90" s="6">
        <v>6</v>
      </c>
      <c r="H90" s="6">
        <v>6</v>
      </c>
      <c r="I90" s="6"/>
      <c r="J90" s="6"/>
      <c r="K90" s="6"/>
      <c r="L90" s="6"/>
      <c r="M90" s="6"/>
      <c r="N90" s="6"/>
      <c r="O90" s="6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>
        <v>10</v>
      </c>
      <c r="AT90" s="4"/>
      <c r="AU90" s="4"/>
      <c r="AV90" s="4"/>
      <c r="AW90" s="2"/>
      <c r="AX90" s="2"/>
      <c r="AY90" s="2"/>
      <c r="AZ90" s="2"/>
      <c r="BA90" s="2"/>
      <c r="BB90" s="2">
        <v>10</v>
      </c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32</v>
      </c>
      <c r="BQ90" s="1">
        <v>20</v>
      </c>
      <c r="BR90" s="17">
        <v>3</v>
      </c>
      <c r="BS90" s="17" t="s">
        <v>275</v>
      </c>
      <c r="BT90" s="1" t="str">
        <f>IF(AQ90&gt;AQ$147, AQ90-AQ$147,"")</f>
        <v/>
      </c>
      <c r="BU90" s="1" t="str">
        <f>IF(AR90&gt;AR$147, AR90-AR$147,"")</f>
        <v/>
      </c>
      <c r="BV90" s="1">
        <f>IF(AS90&gt;AS$147, AS90-AS$147,"")</f>
        <v>8</v>
      </c>
      <c r="BW90" s="1" t="str">
        <f>IF(AT90&gt;AT$147, AT90-AT$147,"")</f>
        <v/>
      </c>
      <c r="BX90" s="1" t="str">
        <f>IF(AU90&gt;AU$147, AU90-AU$147,"")</f>
        <v/>
      </c>
      <c r="BY90" s="1" t="str">
        <f>IF(AV90&gt;AV$147, AV90-AV$147,"")</f>
        <v/>
      </c>
      <c r="BZ90" s="1" t="str">
        <f>IF(AW90&gt;AW$147, AW90-AW$147,"")</f>
        <v/>
      </c>
      <c r="CA90" s="1" t="str">
        <f>IF(AX90&gt;AX$147, AX90-AX$147,"")</f>
        <v/>
      </c>
      <c r="CB90" s="1" t="str">
        <f>IF(AY90&gt;AY$147, AY90-AY$147,"")</f>
        <v/>
      </c>
      <c r="CC90" s="1" t="str">
        <f>IF(AZ90&gt;AZ$147, AZ90-AZ$147,"")</f>
        <v/>
      </c>
      <c r="CD90" s="1" t="str">
        <f>IF(BA90&gt;BA$147, BA90-BA$147,"")</f>
        <v/>
      </c>
      <c r="CE90" s="1" t="str">
        <f>IF(BB90&gt;BB$147, BB90-BB$147,"")</f>
        <v/>
      </c>
      <c r="CF90" s="1">
        <f>COUNTIF(BT90:CE90, "&gt;0")</f>
        <v>1</v>
      </c>
      <c r="CG90" s="1" t="str">
        <f>IF($CF90=1,BT90,"")</f>
        <v/>
      </c>
      <c r="CH90" s="1" t="str">
        <f>IF($CF90=1,BU90,"")</f>
        <v/>
      </c>
      <c r="CI90" s="1">
        <f>IF($CF90=1,BV90,"")</f>
        <v>8</v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18">
        <f>SUM(AE90:BO90)</f>
        <v>20</v>
      </c>
    </row>
    <row r="91" spans="1:97" ht="40.5" x14ac:dyDescent="0.15">
      <c r="A91" s="1"/>
      <c r="B91" s="1" t="s">
        <v>157</v>
      </c>
      <c r="C91" s="1" t="s">
        <v>159</v>
      </c>
      <c r="D91" s="1" t="s">
        <v>134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32"/>
      <c r="Q91" s="32"/>
      <c r="R91" s="32"/>
      <c r="S91" s="32"/>
      <c r="T91" s="32"/>
      <c r="U91" s="32">
        <v>10</v>
      </c>
      <c r="V91" s="32"/>
      <c r="W91" s="32"/>
      <c r="X91" s="32"/>
      <c r="Y91" s="32"/>
      <c r="Z91" s="32"/>
      <c r="AA91" s="32">
        <v>10</v>
      </c>
      <c r="AB91" s="32"/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20</v>
      </c>
      <c r="BR91" s="17">
        <v>3</v>
      </c>
      <c r="BS91" s="17" t="s">
        <v>276</v>
      </c>
      <c r="BT91" s="1">
        <f>IF(AQ91&gt;AQ$147, AQ91-AQ$147,"")</f>
        <v>1</v>
      </c>
      <c r="BU91" s="1" t="str">
        <f>IF(AR91&gt;AR$147, AR91-AR$147,"")</f>
        <v/>
      </c>
      <c r="BV91" s="1" t="str">
        <f>IF(AS91&gt;AS$147, AS91-AS$147,"")</f>
        <v/>
      </c>
      <c r="BW91" s="1" t="str">
        <f>IF(AT91&gt;AT$147, AT91-AT$147,"")</f>
        <v/>
      </c>
      <c r="BX91" s="1" t="str">
        <f>IF(AU91&gt;AU$147, AU91-AU$147,"")</f>
        <v/>
      </c>
      <c r="BY91" s="1" t="str">
        <f>IF(AV91&gt;AV$147, AV91-AV$147,"")</f>
        <v/>
      </c>
      <c r="BZ91" s="1" t="str">
        <f>IF(AW91&gt;AW$147, AW91-AW$147,"")</f>
        <v/>
      </c>
      <c r="CA91" s="1" t="str">
        <f>IF(AX91&gt;AX$147, AX91-AX$147,"")</f>
        <v/>
      </c>
      <c r="CB91" s="1" t="str">
        <f>IF(AY91&gt;AY$147, AY91-AY$147,"")</f>
        <v/>
      </c>
      <c r="CC91" s="1" t="str">
        <f>IF(AZ91&gt;AZ$147, AZ91-AZ$147,"")</f>
        <v/>
      </c>
      <c r="CD91" s="1" t="str">
        <f>IF(BA91&gt;BA$147, BA91-BA$147,"")</f>
        <v/>
      </c>
      <c r="CE91" s="1" t="str">
        <f>IF(BB91&gt;BB$147, BB91-BB$147,"")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40.5" x14ac:dyDescent="0.15">
      <c r="A92" s="1"/>
      <c r="B92" s="1" t="s">
        <v>167</v>
      </c>
      <c r="C92" s="1" t="s">
        <v>161</v>
      </c>
      <c r="D92" s="1" t="s">
        <v>134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>
        <v>10</v>
      </c>
      <c r="V92" s="32"/>
      <c r="W92" s="32"/>
      <c r="X92" s="32"/>
      <c r="Y92" s="32"/>
      <c r="Z92" s="32"/>
      <c r="AA92" s="32">
        <v>10</v>
      </c>
      <c r="AB92" s="32"/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20</v>
      </c>
      <c r="BR92" s="17">
        <v>3</v>
      </c>
      <c r="BS92" s="17" t="s">
        <v>277</v>
      </c>
      <c r="BT92" s="1">
        <f>IF(AQ92&gt;AQ$147, AQ92-AQ$147,"")</f>
        <v>1</v>
      </c>
      <c r="BU92" s="1" t="str">
        <f>IF(AR92&gt;AR$147, AR92-AR$147,"")</f>
        <v/>
      </c>
      <c r="BV92" s="1" t="str">
        <f>IF(AS92&gt;AS$147, AS92-AS$147,"")</f>
        <v/>
      </c>
      <c r="BW92" s="1" t="str">
        <f>IF(AT92&gt;AT$147, AT92-AT$147,"")</f>
        <v/>
      </c>
      <c r="BX92" s="1" t="str">
        <f>IF(AU92&gt;AU$147, AU92-AU$147,"")</f>
        <v/>
      </c>
      <c r="BY92" s="1" t="str">
        <f>IF(AV92&gt;AV$147, AV92-AV$147,"")</f>
        <v/>
      </c>
      <c r="BZ92" s="1" t="str">
        <f>IF(AW92&gt;AW$147, AW92-AW$147,"")</f>
        <v/>
      </c>
      <c r="CA92" s="1" t="str">
        <f>IF(AX92&gt;AX$147, AX92-AX$147,"")</f>
        <v/>
      </c>
      <c r="CB92" s="1" t="str">
        <f>IF(AY92&gt;AY$147, AY92-AY$147,"")</f>
        <v/>
      </c>
      <c r="CC92" s="1" t="str">
        <f>IF(AZ92&gt;AZ$147, AZ92-AZ$147,"")</f>
        <v/>
      </c>
      <c r="CD92" s="1" t="str">
        <f>IF(BA92&gt;BA$147, BA92-BA$147,"")</f>
        <v/>
      </c>
      <c r="CE92" s="1" t="str">
        <f>IF(BB92&gt;BB$147, BB92-BB$147,"")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40.5" x14ac:dyDescent="0.15">
      <c r="A93" s="1"/>
      <c r="B93" s="1" t="s">
        <v>149</v>
      </c>
      <c r="C93" s="1" t="s">
        <v>150</v>
      </c>
      <c r="D93" s="1" t="s">
        <v>134</v>
      </c>
      <c r="E93" s="6">
        <v>10</v>
      </c>
      <c r="F93" s="6"/>
      <c r="G93" s="6"/>
      <c r="H93" s="6"/>
      <c r="I93" s="6"/>
      <c r="J93" s="6"/>
      <c r="K93" s="6"/>
      <c r="L93" s="6"/>
      <c r="M93" s="6"/>
      <c r="N93" s="6"/>
      <c r="O93" s="6"/>
      <c r="P93" s="32"/>
      <c r="Q93" s="32"/>
      <c r="R93" s="32">
        <v>10</v>
      </c>
      <c r="S93" s="32"/>
      <c r="T93" s="32"/>
      <c r="U93" s="32">
        <v>10</v>
      </c>
      <c r="V93" s="32"/>
      <c r="W93" s="32"/>
      <c r="X93" s="32"/>
      <c r="Y93" s="32"/>
      <c r="Z93" s="32"/>
      <c r="AA93" s="32"/>
      <c r="AB93" s="32"/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>
        <v>10</v>
      </c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22</v>
      </c>
      <c r="BR93" s="17">
        <v>3</v>
      </c>
      <c r="BS93" s="17" t="s">
        <v>280</v>
      </c>
      <c r="BT93" s="1" t="str">
        <f>IF(AQ93&gt;AQ$147, AQ93-AQ$147,"")</f>
        <v/>
      </c>
      <c r="BU93" s="1" t="str">
        <f>IF(AR93&gt;AR$147, AR93-AR$147,"")</f>
        <v/>
      </c>
      <c r="BV93" s="1" t="str">
        <f>IF(AS93&gt;AS$147, AS93-AS$147,"")</f>
        <v/>
      </c>
      <c r="BW93" s="1" t="str">
        <f>IF(AT93&gt;AT$147, AT93-AT$147,"")</f>
        <v/>
      </c>
      <c r="BX93" s="1">
        <f>IF(AU93&gt;AU$147, AU93-AU$147,"")</f>
        <v>4</v>
      </c>
      <c r="BY93" s="1" t="str">
        <f>IF(AV93&gt;AV$147, AV93-AV$147,"")</f>
        <v/>
      </c>
      <c r="BZ93" s="1" t="str">
        <f>IF(AW93&gt;AW$147, AW93-AW$147,"")</f>
        <v/>
      </c>
      <c r="CA93" s="1" t="str">
        <f>IF(AX93&gt;AX$147, AX93-AX$147,"")</f>
        <v/>
      </c>
      <c r="CB93" s="1" t="str">
        <f>IF(AY93&gt;AY$147, AY93-AY$147,"")</f>
        <v/>
      </c>
      <c r="CC93" s="1" t="str">
        <f>IF(AZ93&gt;AZ$147, AZ93-AZ$147,"")</f>
        <v/>
      </c>
      <c r="CD93" s="1" t="str">
        <f>IF(BA93&gt;BA$147, BA93-BA$147,"")</f>
        <v/>
      </c>
      <c r="CE93" s="1" t="str">
        <f>IF(BB93&gt;BB$147, BB93-BB$147,"")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40.5" x14ac:dyDescent="0.15">
      <c r="A94" s="1"/>
      <c r="B94" s="1" t="s">
        <v>155</v>
      </c>
      <c r="C94" s="1" t="s">
        <v>154</v>
      </c>
      <c r="D94" s="1" t="s">
        <v>134</v>
      </c>
      <c r="E94" s="6">
        <v>10</v>
      </c>
      <c r="F94" s="6"/>
      <c r="G94" s="6"/>
      <c r="H94" s="6"/>
      <c r="I94" s="6"/>
      <c r="J94" s="6"/>
      <c r="K94" s="6"/>
      <c r="L94" s="6"/>
      <c r="M94" s="6"/>
      <c r="N94" s="6"/>
      <c r="O94" s="6"/>
      <c r="P94" s="32"/>
      <c r="Q94" s="32"/>
      <c r="R94" s="32">
        <v>10</v>
      </c>
      <c r="S94" s="32"/>
      <c r="T94" s="32"/>
      <c r="U94" s="32">
        <v>10</v>
      </c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>
        <v>10</v>
      </c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22</v>
      </c>
      <c r="BR94" s="17">
        <v>3</v>
      </c>
      <c r="BS94" s="17" t="s">
        <v>281</v>
      </c>
      <c r="BT94" s="1" t="str">
        <f>IF(AQ94&gt;AQ$147, AQ94-AQ$147,"")</f>
        <v/>
      </c>
      <c r="BU94" s="1" t="str">
        <f>IF(AR94&gt;AR$147, AR94-AR$147,"")</f>
        <v/>
      </c>
      <c r="BV94" s="1" t="str">
        <f>IF(AS94&gt;AS$147, AS94-AS$147,"")</f>
        <v/>
      </c>
      <c r="BW94" s="1" t="str">
        <f>IF(AT94&gt;AT$147, AT94-AT$147,"")</f>
        <v/>
      </c>
      <c r="BX94" s="1">
        <f>IF(AU94&gt;AU$147, AU94-AU$147,"")</f>
        <v>4</v>
      </c>
      <c r="BY94" s="1" t="str">
        <f>IF(AV94&gt;AV$147, AV94-AV$147,"")</f>
        <v/>
      </c>
      <c r="BZ94" s="1" t="str">
        <f>IF(AW94&gt;AW$147, AW94-AW$147,"")</f>
        <v/>
      </c>
      <c r="CA94" s="1" t="str">
        <f>IF(AX94&gt;AX$147, AX94-AX$147,"")</f>
        <v/>
      </c>
      <c r="CB94" s="1" t="str">
        <f>IF(AY94&gt;AY$147, AY94-AY$147,"")</f>
        <v/>
      </c>
      <c r="CC94" s="1" t="str">
        <f>IF(AZ94&gt;AZ$147, AZ94-AZ$147,"")</f>
        <v/>
      </c>
      <c r="CD94" s="1" t="str">
        <f>IF(BA94&gt;BA$147, BA94-BA$147,"")</f>
        <v/>
      </c>
      <c r="CE94" s="1" t="str">
        <f>IF(BB94&gt;BB$147, BB94-BB$147,"")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40.5" x14ac:dyDescent="0.15">
      <c r="A95" s="1"/>
      <c r="B95" s="1" t="s">
        <v>165</v>
      </c>
      <c r="C95" s="1" t="s">
        <v>161</v>
      </c>
      <c r="D95" s="1" t="s">
        <v>134</v>
      </c>
      <c r="E95" s="6">
        <v>10</v>
      </c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>
        <v>10</v>
      </c>
      <c r="S95" s="32"/>
      <c r="T95" s="32"/>
      <c r="U95" s="32">
        <v>10</v>
      </c>
      <c r="V95" s="32"/>
      <c r="W95" s="32"/>
      <c r="X95" s="32"/>
      <c r="Y95" s="32"/>
      <c r="Z95" s="32"/>
      <c r="AA95" s="32"/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>
        <v>10</v>
      </c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22</v>
      </c>
      <c r="BR95" s="17">
        <v>3</v>
      </c>
      <c r="BS95" s="17" t="s">
        <v>281</v>
      </c>
      <c r="BT95" s="1" t="str">
        <f>IF(AQ95&gt;AQ$147, AQ95-AQ$147,"")</f>
        <v/>
      </c>
      <c r="BU95" s="1" t="str">
        <f>IF(AR95&gt;AR$147, AR95-AR$147,"")</f>
        <v/>
      </c>
      <c r="BV95" s="1" t="str">
        <f>IF(AS95&gt;AS$147, AS95-AS$147,"")</f>
        <v/>
      </c>
      <c r="BW95" s="1" t="str">
        <f>IF(AT95&gt;AT$147, AT95-AT$147,"")</f>
        <v/>
      </c>
      <c r="BX95" s="1">
        <f>IF(AU95&gt;AU$147, AU95-AU$147,"")</f>
        <v>4</v>
      </c>
      <c r="BY95" s="1" t="str">
        <f>IF(AV95&gt;AV$147, AV95-AV$147,"")</f>
        <v/>
      </c>
      <c r="BZ95" s="1" t="str">
        <f>IF(AW95&gt;AW$147, AW95-AW$147,"")</f>
        <v/>
      </c>
      <c r="CA95" s="1" t="str">
        <f>IF(AX95&gt;AX$147, AX95-AX$147,"")</f>
        <v/>
      </c>
      <c r="CB95" s="1" t="str">
        <f>IF(AY95&gt;AY$147, AY95-AY$147,"")</f>
        <v/>
      </c>
      <c r="CC95" s="1" t="str">
        <f>IF(AZ95&gt;AZ$147, AZ95-AZ$147,"")</f>
        <v/>
      </c>
      <c r="CD95" s="1" t="str">
        <f>IF(BA95&gt;BA$147, BA95-BA$147,"")</f>
        <v/>
      </c>
      <c r="CE95" s="1" t="str">
        <f>IF(BB95&gt;BB$147, BB95-BB$147,"")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40.5" x14ac:dyDescent="0.15">
      <c r="A96" s="1"/>
      <c r="B96" s="1" t="s">
        <v>119</v>
      </c>
      <c r="C96" s="1" t="s">
        <v>116</v>
      </c>
      <c r="D96" s="1" t="s">
        <v>114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>
        <v>10</v>
      </c>
      <c r="AP96" s="1">
        <v>10</v>
      </c>
      <c r="AQ96" s="4"/>
      <c r="AR96" s="4"/>
      <c r="AS96" s="4">
        <v>5</v>
      </c>
      <c r="AT96" s="4"/>
      <c r="AU96" s="4"/>
      <c r="AV96" s="4"/>
      <c r="AW96" s="2"/>
      <c r="AX96" s="2">
        <v>5</v>
      </c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30</v>
      </c>
      <c r="BQ96" s="1">
        <v>23</v>
      </c>
      <c r="BR96" s="17">
        <v>3</v>
      </c>
      <c r="BS96" s="17" t="s">
        <v>279</v>
      </c>
      <c r="BT96" s="1" t="str">
        <f>IF(AQ96&gt;AQ$147, AQ96-AQ$147,"")</f>
        <v/>
      </c>
      <c r="BU96" s="1" t="str">
        <f>IF(AR96&gt;AR$147, AR96-AR$147,"")</f>
        <v/>
      </c>
      <c r="BV96" s="1">
        <f>IF(AS96&gt;AS$147, AS96-AS$147,"")</f>
        <v>3</v>
      </c>
      <c r="BW96" s="1" t="str">
        <f>IF(AT96&gt;AT$147, AT96-AT$147,"")</f>
        <v/>
      </c>
      <c r="BX96" s="1" t="str">
        <f>IF(AU96&gt;AU$147, AU96-AU$147,"")</f>
        <v/>
      </c>
      <c r="BY96" s="1" t="str">
        <f>IF(AV96&gt;AV$147, AV96-AV$147,"")</f>
        <v/>
      </c>
      <c r="BZ96" s="1" t="str">
        <f>IF(AW96&gt;AW$147, AW96-AW$147,"")</f>
        <v/>
      </c>
      <c r="CA96" s="1" t="str">
        <f>IF(AX96&gt;AX$147, AX96-AX$147,"")</f>
        <v/>
      </c>
      <c r="CB96" s="1" t="str">
        <f>IF(AY96&gt;AY$147, AY96-AY$147,"")</f>
        <v/>
      </c>
      <c r="CC96" s="1" t="str">
        <f>IF(AZ96&gt;AZ$147, AZ96-AZ$147,"")</f>
        <v/>
      </c>
      <c r="CD96" s="1" t="str">
        <f>IF(BA96&gt;BA$147, BA96-BA$147,"")</f>
        <v/>
      </c>
      <c r="CE96" s="1" t="str">
        <f>IF(BB96&gt;BB$147, BB96-BB$147,"")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40.5" x14ac:dyDescent="0.15">
      <c r="A97" s="1"/>
      <c r="B97" s="1" t="s">
        <v>191</v>
      </c>
      <c r="C97" s="1" t="s">
        <v>154</v>
      </c>
      <c r="D97" s="1" t="s">
        <v>133</v>
      </c>
      <c r="E97" s="6"/>
      <c r="F97" s="6"/>
      <c r="G97" s="6"/>
      <c r="H97" s="6"/>
      <c r="I97" s="6"/>
      <c r="J97" s="6">
        <v>10</v>
      </c>
      <c r="K97" s="6"/>
      <c r="L97" s="6">
        <v>10</v>
      </c>
      <c r="M97" s="6">
        <v>10</v>
      </c>
      <c r="N97" s="6"/>
      <c r="O97" s="6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>
        <v>15</v>
      </c>
      <c r="AZ97" s="2">
        <v>15</v>
      </c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60</v>
      </c>
      <c r="BQ97" s="1">
        <v>26</v>
      </c>
      <c r="BR97" s="17">
        <v>3</v>
      </c>
      <c r="BS97" s="17" t="s">
        <v>282</v>
      </c>
      <c r="BT97" s="1" t="str">
        <f>IF(AQ97&gt;AQ$147, AQ97-AQ$147,"")</f>
        <v/>
      </c>
      <c r="BU97" s="1" t="str">
        <f>IF(AR97&gt;AR$147, AR97-AR$147,"")</f>
        <v/>
      </c>
      <c r="BV97" s="1" t="str">
        <f>IF(AS97&gt;AS$147, AS97-AS$147,"")</f>
        <v/>
      </c>
      <c r="BW97" s="1" t="str">
        <f>IF(AT97&gt;AT$147, AT97-AT$147,"")</f>
        <v/>
      </c>
      <c r="BX97" s="1" t="str">
        <f>IF(AU97&gt;AU$147, AU97-AU$147,"")</f>
        <v/>
      </c>
      <c r="BY97" s="1" t="str">
        <f>IF(AV97&gt;AV$147, AV97-AV$147,"")</f>
        <v/>
      </c>
      <c r="BZ97" s="1" t="str">
        <f>IF(AW97&gt;AW$147, AW97-AW$147,"")</f>
        <v/>
      </c>
      <c r="CA97" s="1" t="str">
        <f>IF(AX97&gt;AX$147, AX97-AX$147,"")</f>
        <v/>
      </c>
      <c r="CB97" s="1">
        <f>IF(AY97&gt;AY$147, AY97-AY$147,"")</f>
        <v>2</v>
      </c>
      <c r="CC97" s="1">
        <f>IF(AZ97&gt;AZ$147, AZ97-AZ$147,"")</f>
        <v>15</v>
      </c>
      <c r="CD97" s="1" t="str">
        <f>IF(BA97&gt;BA$147, BA97-BA$147,"")</f>
        <v/>
      </c>
      <c r="CE97" s="1" t="str">
        <f>IF(BB97&gt;BB$147, BB97-BB$147,"")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40.5" x14ac:dyDescent="0.15">
      <c r="A98" s="1">
        <v>3</v>
      </c>
      <c r="B98" s="1" t="s">
        <v>11</v>
      </c>
      <c r="C98" s="1" t="s">
        <v>2</v>
      </c>
      <c r="D98" s="1" t="s">
        <v>12</v>
      </c>
      <c r="E98" s="6">
        <v>15</v>
      </c>
      <c r="F98" s="6"/>
      <c r="G98" s="6">
        <v>15</v>
      </c>
      <c r="H98" s="6"/>
      <c r="I98" s="6"/>
      <c r="J98" s="6"/>
      <c r="K98" s="6"/>
      <c r="L98" s="6"/>
      <c r="M98" s="6"/>
      <c r="N98" s="6"/>
      <c r="O98" s="6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>
        <v>15</v>
      </c>
      <c r="AS98" s="4"/>
      <c r="AT98" s="4"/>
      <c r="AU98" s="4"/>
      <c r="AV98" s="4"/>
      <c r="AW98" s="2"/>
      <c r="AX98" s="2"/>
      <c r="AY98" s="2"/>
      <c r="AZ98" s="2"/>
      <c r="BA98" s="2"/>
      <c r="BB98" s="2">
        <v>15</v>
      </c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60</v>
      </c>
      <c r="BQ98" s="1">
        <v>27</v>
      </c>
      <c r="BR98" s="17">
        <v>3</v>
      </c>
      <c r="BS98" s="17" t="s">
        <v>283</v>
      </c>
      <c r="BT98" s="1" t="str">
        <f>IF(AQ98&gt;AQ$147, AQ98-AQ$147,"")</f>
        <v/>
      </c>
      <c r="BU98" s="1">
        <f>IF(AR98&gt;AR$147, AR98-AR$147,"")</f>
        <v>9</v>
      </c>
      <c r="BV98" s="1" t="str">
        <f>IF(AS98&gt;AS$147, AS98-AS$147,"")</f>
        <v/>
      </c>
      <c r="BW98" s="1" t="str">
        <f>IF(AT98&gt;AT$147, AT98-AT$147,"")</f>
        <v/>
      </c>
      <c r="BX98" s="1" t="str">
        <f>IF(AU98&gt;AU$147, AU98-AU$147,"")</f>
        <v/>
      </c>
      <c r="BY98" s="1" t="str">
        <f>IF(AV98&gt;AV$147, AV98-AV$147,"")</f>
        <v/>
      </c>
      <c r="BZ98" s="1" t="str">
        <f>IF(AW98&gt;AW$147, AW98-AW$147,"")</f>
        <v/>
      </c>
      <c r="CA98" s="1" t="str">
        <f>IF(AX98&gt;AX$147, AX98-AX$147,"")</f>
        <v/>
      </c>
      <c r="CB98" s="1" t="str">
        <f>IF(AY98&gt;AY$147, AY98-AY$147,"")</f>
        <v/>
      </c>
      <c r="CC98" s="1" t="str">
        <f>IF(AZ98&gt;AZ$147, AZ98-AZ$147,"")</f>
        <v/>
      </c>
      <c r="CD98" s="1" t="str">
        <f>IF(BA98&gt;BA$147, BA98-BA$147,"")</f>
        <v/>
      </c>
      <c r="CE98" s="1" t="str">
        <f>IF(BB98&gt;BB$147, BB98-BB$147,"")</f>
        <v/>
      </c>
      <c r="CF98" s="1">
        <f>COUNTIF(BT98:CE98, "&gt;0")</f>
        <v>1</v>
      </c>
      <c r="CG98" s="1" t="str">
        <f>IF($CF98=1,BT98,"")</f>
        <v/>
      </c>
      <c r="CH98" s="1">
        <f>IF($CF98=1,BU98,"")</f>
        <v>9</v>
      </c>
      <c r="CI98" s="1" t="str">
        <f>IF($CF98=1,BV98,"")</f>
        <v/>
      </c>
      <c r="CJ98" s="1" t="str">
        <f>IF($CF98=1,BW98,"")</f>
        <v/>
      </c>
      <c r="CK98" s="1" t="str">
        <f>IF($CF98=1,BX98,"")</f>
        <v/>
      </c>
      <c r="CL98" s="1" t="str">
        <f>IF($CF98=1,BY98,"")</f>
        <v/>
      </c>
      <c r="CM98" s="1" t="str">
        <f>IF($CF98=1,BZ98,"")</f>
        <v/>
      </c>
      <c r="CN98" s="1" t="str">
        <f>IF($CF98=1,CA98,"")</f>
        <v/>
      </c>
      <c r="CO98" s="1" t="str">
        <f>IF($CF98=1,CB98,"")</f>
        <v/>
      </c>
      <c r="CP98" s="1" t="str">
        <f>IF($CF98=1,CC98,"")</f>
        <v/>
      </c>
      <c r="CQ98" s="1" t="str">
        <f>IF($CF98=1,CD98,"")</f>
        <v/>
      </c>
      <c r="CR98" s="1" t="str">
        <f>IF($CF98=1,CE98,"")</f>
        <v/>
      </c>
      <c r="CS98" s="18">
        <f>SUM(AE98:BO98)</f>
        <v>30</v>
      </c>
    </row>
    <row r="99" spans="1:97" ht="40.5" x14ac:dyDescent="0.15">
      <c r="A99" s="1"/>
      <c r="B99" s="1" t="s">
        <v>184</v>
      </c>
      <c r="C99" s="1" t="s">
        <v>124</v>
      </c>
      <c r="D99" s="1" t="s">
        <v>113</v>
      </c>
      <c r="E99" s="6">
        <v>15</v>
      </c>
      <c r="F99" s="6"/>
      <c r="G99" s="6">
        <v>15</v>
      </c>
      <c r="H99" s="6"/>
      <c r="I99" s="6"/>
      <c r="J99" s="6"/>
      <c r="K99" s="6"/>
      <c r="L99" s="6"/>
      <c r="M99" s="6"/>
      <c r="N99" s="6"/>
      <c r="O99" s="6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>
        <v>15</v>
      </c>
      <c r="AS99" s="4"/>
      <c r="AT99" s="4"/>
      <c r="AU99" s="4"/>
      <c r="AV99" s="4"/>
      <c r="AW99" s="2"/>
      <c r="AX99" s="2"/>
      <c r="AY99" s="2"/>
      <c r="AZ99" s="2"/>
      <c r="BA99" s="2"/>
      <c r="BB99" s="2">
        <v>15</v>
      </c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60</v>
      </c>
      <c r="BQ99" s="1">
        <v>27</v>
      </c>
      <c r="BR99" s="17">
        <v>3</v>
      </c>
      <c r="BS99" s="17" t="s">
        <v>284</v>
      </c>
      <c r="BT99" s="1" t="str">
        <f>IF(AQ99&gt;AQ$147, AQ99-AQ$147,"")</f>
        <v/>
      </c>
      <c r="BU99" s="1">
        <f>IF(AR99&gt;AR$147, AR99-AR$147,"")</f>
        <v>9</v>
      </c>
      <c r="BV99" s="1" t="str">
        <f>IF(AS99&gt;AS$147, AS99-AS$147,"")</f>
        <v/>
      </c>
      <c r="BW99" s="1" t="str">
        <f>IF(AT99&gt;AT$147, AT99-AT$147,"")</f>
        <v/>
      </c>
      <c r="BX99" s="1" t="str">
        <f>IF(AU99&gt;AU$147, AU99-AU$147,"")</f>
        <v/>
      </c>
      <c r="BY99" s="1" t="str">
        <f>IF(AV99&gt;AV$147, AV99-AV$147,"")</f>
        <v/>
      </c>
      <c r="BZ99" s="1" t="str">
        <f>IF(AW99&gt;AW$147, AW99-AW$147,"")</f>
        <v/>
      </c>
      <c r="CA99" s="1" t="str">
        <f>IF(AX99&gt;AX$147, AX99-AX$147,"")</f>
        <v/>
      </c>
      <c r="CB99" s="1" t="str">
        <f>IF(AY99&gt;AY$147, AY99-AY$147,"")</f>
        <v/>
      </c>
      <c r="CC99" s="1" t="str">
        <f>IF(AZ99&gt;AZ$147, AZ99-AZ$147,"")</f>
        <v/>
      </c>
      <c r="CD99" s="1" t="str">
        <f>IF(BA99&gt;BA$147, BA99-BA$147,"")</f>
        <v/>
      </c>
      <c r="CE99" s="1" t="str">
        <f>IF(BB99&gt;BB$147, BB99-BB$147,"")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40.5" x14ac:dyDescent="0.15">
      <c r="A100" s="1"/>
      <c r="B100" s="1" t="s">
        <v>186</v>
      </c>
      <c r="C100" s="1" t="s">
        <v>124</v>
      </c>
      <c r="D100" s="1" t="s">
        <v>113</v>
      </c>
      <c r="E100" s="6">
        <v>15</v>
      </c>
      <c r="F100" s="6"/>
      <c r="G100" s="6">
        <v>15</v>
      </c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>
        <v>15</v>
      </c>
      <c r="AS100" s="4"/>
      <c r="AT100" s="4"/>
      <c r="AU100" s="4"/>
      <c r="AV100" s="4"/>
      <c r="AW100" s="2"/>
      <c r="AX100" s="2"/>
      <c r="AY100" s="2"/>
      <c r="AZ100" s="2"/>
      <c r="BA100" s="2"/>
      <c r="BB100" s="2">
        <v>15</v>
      </c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60</v>
      </c>
      <c r="BQ100" s="1">
        <v>27</v>
      </c>
      <c r="BR100" s="17">
        <v>3</v>
      </c>
      <c r="BS100" s="17" t="s">
        <v>284</v>
      </c>
      <c r="BT100" s="1" t="str">
        <f>IF(AQ100&gt;AQ$147, AQ100-AQ$147,"")</f>
        <v/>
      </c>
      <c r="BU100" s="1">
        <f>IF(AR100&gt;AR$147, AR100-AR$147,"")</f>
        <v>9</v>
      </c>
      <c r="BV100" s="1" t="str">
        <f>IF(AS100&gt;AS$147, AS100-AS$147,"")</f>
        <v/>
      </c>
      <c r="BW100" s="1" t="str">
        <f>IF(AT100&gt;AT$147, AT100-AT$147,"")</f>
        <v/>
      </c>
      <c r="BX100" s="1" t="str">
        <f>IF(AU100&gt;AU$147, AU100-AU$147,"")</f>
        <v/>
      </c>
      <c r="BY100" s="1" t="str">
        <f>IF(AV100&gt;AV$147, AV100-AV$147,"")</f>
        <v/>
      </c>
      <c r="BZ100" s="1" t="str">
        <f>IF(AW100&gt;AW$147, AW100-AW$147,"")</f>
        <v/>
      </c>
      <c r="CA100" s="1" t="str">
        <f>IF(AX100&gt;AX$147, AX100-AX$147,"")</f>
        <v/>
      </c>
      <c r="CB100" s="1" t="str">
        <f>IF(AY100&gt;AY$147, AY100-AY$147,"")</f>
        <v/>
      </c>
      <c r="CC100" s="1" t="str">
        <f>IF(AZ100&gt;AZ$147, AZ100-AZ$147,"")</f>
        <v/>
      </c>
      <c r="CD100" s="1" t="str">
        <f>IF(BA100&gt;BA$147, BA100-BA$147,"")</f>
        <v/>
      </c>
      <c r="CE100" s="1" t="str">
        <f>IF(BB100&gt;BB$147, BB100-BB$147,"")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40.5" x14ac:dyDescent="0.15">
      <c r="A101" s="1"/>
      <c r="B101" s="1" t="s">
        <v>192</v>
      </c>
      <c r="C101" s="1" t="s">
        <v>154</v>
      </c>
      <c r="D101" s="1" t="s">
        <v>133</v>
      </c>
      <c r="E101" s="6">
        <v>15</v>
      </c>
      <c r="F101" s="6"/>
      <c r="G101" s="6"/>
      <c r="H101" s="6"/>
      <c r="I101" s="6"/>
      <c r="J101" s="6"/>
      <c r="K101" s="6"/>
      <c r="L101" s="6"/>
      <c r="M101" s="6">
        <v>15</v>
      </c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>
        <v>15</v>
      </c>
      <c r="AX101" s="2"/>
      <c r="AY101" s="2"/>
      <c r="AZ101" s="2"/>
      <c r="BA101" s="2">
        <v>15</v>
      </c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60</v>
      </c>
      <c r="BQ101" s="1">
        <v>31</v>
      </c>
      <c r="BR101" s="17">
        <v>3</v>
      </c>
      <c r="BS101" s="17" t="s">
        <v>285</v>
      </c>
      <c r="BT101" s="1" t="str">
        <f>IF(AQ101&gt;AQ$147, AQ101-AQ$147,"")</f>
        <v/>
      </c>
      <c r="BU101" s="1" t="str">
        <f>IF(AR101&gt;AR$147, AR101-AR$147,"")</f>
        <v/>
      </c>
      <c r="BV101" s="1" t="str">
        <f>IF(AS101&gt;AS$147, AS101-AS$147,"")</f>
        <v/>
      </c>
      <c r="BW101" s="1" t="str">
        <f>IF(AT101&gt;AT$147, AT101-AT$147,"")</f>
        <v/>
      </c>
      <c r="BX101" s="1" t="str">
        <f>IF(AU101&gt;AU$147, AU101-AU$147,"")</f>
        <v/>
      </c>
      <c r="BY101" s="1" t="str">
        <f>IF(AV101&gt;AV$147, AV101-AV$147,"")</f>
        <v/>
      </c>
      <c r="BZ101" s="1" t="str">
        <f>IF(AW101&gt;AW$147, AW101-AW$147,"")</f>
        <v/>
      </c>
      <c r="CA101" s="1" t="str">
        <f>IF(AX101&gt;AX$147, AX101-AX$147,"")</f>
        <v/>
      </c>
      <c r="CB101" s="1" t="str">
        <f>IF(AY101&gt;AY$147, AY101-AY$147,"")</f>
        <v/>
      </c>
      <c r="CC101" s="1" t="str">
        <f>IF(AZ101&gt;AZ$147, AZ101-AZ$147,"")</f>
        <v/>
      </c>
      <c r="CD101" s="1">
        <f>IF(BA101&gt;BA$147, BA101-BA$147,"")</f>
        <v>14</v>
      </c>
      <c r="CE101" s="1" t="str">
        <f>IF(BB101&gt;BB$147, BB101-BB$147,"")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8"/>
    </row>
    <row r="102" spans="1:97" ht="40.5" x14ac:dyDescent="0.15">
      <c r="A102" s="19">
        <v>93</v>
      </c>
      <c r="B102" s="27" t="s">
        <v>87</v>
      </c>
      <c r="C102" s="27" t="s">
        <v>85</v>
      </c>
      <c r="D102" s="19" t="s">
        <v>1</v>
      </c>
      <c r="E102" s="20"/>
      <c r="F102" s="20">
        <v>20</v>
      </c>
      <c r="G102" s="20"/>
      <c r="H102" s="20"/>
      <c r="I102" s="20"/>
      <c r="J102" s="20"/>
      <c r="K102" s="20">
        <v>20</v>
      </c>
      <c r="L102" s="20"/>
      <c r="M102" s="20"/>
      <c r="N102" s="20">
        <v>20</v>
      </c>
      <c r="O102" s="20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21"/>
      <c r="AR102" s="21"/>
      <c r="AS102" s="21"/>
      <c r="AT102" s="21"/>
      <c r="AU102" s="21"/>
      <c r="AV102" s="21"/>
      <c r="AW102" s="22"/>
      <c r="AX102" s="22"/>
      <c r="AY102" s="22"/>
      <c r="AZ102" s="22"/>
      <c r="BA102" s="22"/>
      <c r="BB102" s="22"/>
      <c r="BC102" s="30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">
        <f>SUM(E102:BO102)</f>
        <v>60</v>
      </c>
      <c r="BQ102" s="19">
        <v>42</v>
      </c>
      <c r="BR102" s="23">
        <v>3</v>
      </c>
      <c r="BS102" s="23" t="s">
        <v>278</v>
      </c>
      <c r="BT102" s="1" t="str">
        <f>IF(AQ102&gt;AQ$147, AQ102-AQ$147,"")</f>
        <v/>
      </c>
      <c r="BU102" s="1" t="str">
        <f>IF(AR102&gt;AR$147, AR102-AR$147,"")</f>
        <v/>
      </c>
      <c r="BV102" s="1" t="str">
        <f>IF(AS102&gt;AS$147, AS102-AS$147,"")</f>
        <v/>
      </c>
      <c r="BW102" s="1" t="str">
        <f>IF(AT102&gt;AT$147, AT102-AT$147,"")</f>
        <v/>
      </c>
      <c r="BX102" s="1" t="str">
        <f>IF(AU102&gt;AU$147, AU102-AU$147,"")</f>
        <v/>
      </c>
      <c r="BY102" s="1" t="str">
        <f>IF(AV102&gt;AV$147, AV102-AV$147,"")</f>
        <v/>
      </c>
      <c r="BZ102" s="1" t="str">
        <f>IF(AW102&gt;AW$147, AW102-AW$147,"")</f>
        <v/>
      </c>
      <c r="CA102" s="1" t="str">
        <f>IF(AX102&gt;AX$147, AX102-AX$147,"")</f>
        <v/>
      </c>
      <c r="CB102" s="1" t="str">
        <f>IF(AY102&gt;AY$147, AY102-AY$147,"")</f>
        <v/>
      </c>
      <c r="CC102" s="1" t="str">
        <f>IF(AZ102&gt;AZ$147, AZ102-AZ$147,"")</f>
        <v/>
      </c>
      <c r="CD102" s="1" t="str">
        <f>IF(BA102&gt;BA$147, BA102-BA$147,"")</f>
        <v/>
      </c>
      <c r="CE102" s="1" t="str">
        <f>IF(BB102&gt;BB$147, BB102-BB$147,"")</f>
        <v/>
      </c>
      <c r="CF102" s="19">
        <f>COUNTIF(BT102:CE102, "&gt;0")</f>
        <v>0</v>
      </c>
      <c r="CG102" s="19" t="str">
        <f>IF($CF102=1,BT102,"")</f>
        <v/>
      </c>
      <c r="CH102" s="19" t="str">
        <f>IF($CF102=1,BU102,"")</f>
        <v/>
      </c>
      <c r="CI102" s="19" t="str">
        <f>IF($CF102=1,BV102,"")</f>
        <v/>
      </c>
      <c r="CJ102" s="19" t="str">
        <f>IF($CF102=1,BW102,"")</f>
        <v/>
      </c>
      <c r="CK102" s="19" t="str">
        <f>IF($CF102=1,BX102,"")</f>
        <v/>
      </c>
      <c r="CL102" s="19" t="str">
        <f>IF($CF102=1,BY102,"")</f>
        <v/>
      </c>
      <c r="CM102" s="19" t="str">
        <f>IF($CF102=1,BZ102,"")</f>
        <v/>
      </c>
      <c r="CN102" s="19" t="str">
        <f>IF($CF102=1,CA102,"")</f>
        <v/>
      </c>
      <c r="CO102" s="19" t="str">
        <f>IF($CF102=1,CB102,"")</f>
        <v/>
      </c>
      <c r="CP102" s="19" t="str">
        <f>IF($CF102=1,CC102,"")</f>
        <v/>
      </c>
      <c r="CQ102" s="19" t="str">
        <f>IF($CF102=1,CD102,"")</f>
        <v/>
      </c>
      <c r="CR102" s="19" t="str">
        <f>IF($CF102=1,CE102,"")</f>
        <v/>
      </c>
      <c r="CS102" s="24">
        <f>SUM(AE102:BO102)</f>
        <v>0</v>
      </c>
    </row>
    <row r="103" spans="1:97" ht="40.5" x14ac:dyDescent="0.15">
      <c r="A103" s="1">
        <v>14</v>
      </c>
      <c r="B103" s="1" t="s">
        <v>31</v>
      </c>
      <c r="C103" s="1" t="s">
        <v>32</v>
      </c>
      <c r="D103" s="1" t="s">
        <v>33</v>
      </c>
      <c r="E103" s="6"/>
      <c r="F103" s="6"/>
      <c r="G103" s="6">
        <v>15</v>
      </c>
      <c r="H103" s="6">
        <v>15</v>
      </c>
      <c r="I103" s="6"/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>
        <v>15</v>
      </c>
      <c r="AT103" s="4"/>
      <c r="AU103" s="4"/>
      <c r="AV103" s="4"/>
      <c r="AW103" s="2"/>
      <c r="AX103" s="2"/>
      <c r="AY103" s="2"/>
      <c r="AZ103" s="2"/>
      <c r="BA103" s="2"/>
      <c r="BB103" s="2">
        <v>15</v>
      </c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60</v>
      </c>
      <c r="BQ103" s="1">
        <v>43</v>
      </c>
      <c r="BR103" s="17">
        <v>3</v>
      </c>
      <c r="BS103" s="17" t="s">
        <v>286</v>
      </c>
      <c r="BT103" s="1" t="str">
        <f>IF(AQ103&gt;AQ$147, AQ103-AQ$147,"")</f>
        <v/>
      </c>
      <c r="BU103" s="1" t="str">
        <f>IF(AR103&gt;AR$147, AR103-AR$147,"")</f>
        <v/>
      </c>
      <c r="BV103" s="1">
        <f>IF(AS103&gt;AS$147, AS103-AS$147,"")</f>
        <v>13</v>
      </c>
      <c r="BW103" s="1" t="str">
        <f>IF(AT103&gt;AT$147, AT103-AT$147,"")</f>
        <v/>
      </c>
      <c r="BX103" s="1" t="str">
        <f>IF(AU103&gt;AU$147, AU103-AU$147,"")</f>
        <v/>
      </c>
      <c r="BY103" s="1" t="str">
        <f>IF(AV103&gt;AV$147, AV103-AV$147,"")</f>
        <v/>
      </c>
      <c r="BZ103" s="1" t="str">
        <f>IF(AW103&gt;AW$147, AW103-AW$147,"")</f>
        <v/>
      </c>
      <c r="CA103" s="1" t="str">
        <f>IF(AX103&gt;AX$147, AX103-AX$147,"")</f>
        <v/>
      </c>
      <c r="CB103" s="1" t="str">
        <f>IF(AY103&gt;AY$147, AY103-AY$147,"")</f>
        <v/>
      </c>
      <c r="CC103" s="1" t="str">
        <f>IF(AZ103&gt;AZ$147, AZ103-AZ$147,"")</f>
        <v/>
      </c>
      <c r="CD103" s="1" t="str">
        <f>IF(BA103&gt;BA$147, BA103-BA$147,"")</f>
        <v/>
      </c>
      <c r="CE103" s="1" t="str">
        <f>IF(BB103&gt;BB$147, BB103-BB$147,"")</f>
        <v/>
      </c>
      <c r="CF103" s="1">
        <f>COUNTIF(BT103:CE103, "&gt;0")</f>
        <v>1</v>
      </c>
      <c r="CG103" s="1" t="str">
        <f>IF($CF103=1,BT103,"")</f>
        <v/>
      </c>
      <c r="CH103" s="1" t="str">
        <f>IF($CF103=1,BU103,"")</f>
        <v/>
      </c>
      <c r="CI103" s="1">
        <f>IF($CF103=1,BV103,"")</f>
        <v>13</v>
      </c>
      <c r="CJ103" s="1" t="str">
        <f>IF($CF103=1,BW103,"")</f>
        <v/>
      </c>
      <c r="CK103" s="1" t="str">
        <f>IF($CF103=1,BX103,"")</f>
        <v/>
      </c>
      <c r="CL103" s="1" t="str">
        <f>IF($CF103=1,BY103,"")</f>
        <v/>
      </c>
      <c r="CM103" s="1" t="str">
        <f>IF($CF103=1,BZ103,"")</f>
        <v/>
      </c>
      <c r="CN103" s="1" t="str">
        <f>IF($CF103=1,CA103,"")</f>
        <v/>
      </c>
      <c r="CO103" s="1" t="str">
        <f>IF($CF103=1,CB103,"")</f>
        <v/>
      </c>
      <c r="CP103" s="1" t="str">
        <f>IF($CF103=1,CC103,"")</f>
        <v/>
      </c>
      <c r="CQ103" s="1" t="str">
        <f>IF($CF103=1,CD103,"")</f>
        <v/>
      </c>
      <c r="CR103" s="1" t="str">
        <f>IF($CF103=1,CE103,"")</f>
        <v/>
      </c>
      <c r="CS103" s="18">
        <f>SUM(AE103:BO103)</f>
        <v>30</v>
      </c>
    </row>
    <row r="104" spans="1:97" ht="40.5" x14ac:dyDescent="0.15">
      <c r="A104" s="1"/>
      <c r="B104" s="1" t="s">
        <v>115</v>
      </c>
      <c r="C104" s="1" t="s">
        <v>116</v>
      </c>
      <c r="D104" s="1" t="s">
        <v>113</v>
      </c>
      <c r="E104" s="6"/>
      <c r="F104" s="6"/>
      <c r="G104" s="6">
        <v>15</v>
      </c>
      <c r="H104" s="6">
        <v>15</v>
      </c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>
        <v>15</v>
      </c>
      <c r="AT104" s="4"/>
      <c r="AU104" s="4"/>
      <c r="AV104" s="4"/>
      <c r="AW104" s="2"/>
      <c r="AX104" s="2"/>
      <c r="AY104" s="2"/>
      <c r="AZ104" s="2"/>
      <c r="BA104" s="2"/>
      <c r="BB104" s="2">
        <v>15</v>
      </c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60</v>
      </c>
      <c r="BQ104" s="1">
        <v>43</v>
      </c>
      <c r="BR104" s="17">
        <v>3</v>
      </c>
      <c r="BS104" s="17" t="s">
        <v>287</v>
      </c>
      <c r="BT104" s="1" t="str">
        <f>IF(AQ104&gt;AQ$147, AQ104-AQ$147,"")</f>
        <v/>
      </c>
      <c r="BU104" s="1" t="str">
        <f>IF(AR104&gt;AR$147, AR104-AR$147,"")</f>
        <v/>
      </c>
      <c r="BV104" s="1">
        <f>IF(AS104&gt;AS$147, AS104-AS$147,"")</f>
        <v>13</v>
      </c>
      <c r="BW104" s="1" t="str">
        <f>IF(AT104&gt;AT$147, AT104-AT$147,"")</f>
        <v/>
      </c>
      <c r="BX104" s="1" t="str">
        <f>IF(AU104&gt;AU$147, AU104-AU$147,"")</f>
        <v/>
      </c>
      <c r="BY104" s="1" t="str">
        <f>IF(AV104&gt;AV$147, AV104-AV$147,"")</f>
        <v/>
      </c>
      <c r="BZ104" s="1" t="str">
        <f>IF(AW104&gt;AW$147, AW104-AW$147,"")</f>
        <v/>
      </c>
      <c r="CA104" s="1" t="str">
        <f>IF(AX104&gt;AX$147, AX104-AX$147,"")</f>
        <v/>
      </c>
      <c r="CB104" s="1" t="str">
        <f>IF(AY104&gt;AY$147, AY104-AY$147,"")</f>
        <v/>
      </c>
      <c r="CC104" s="1" t="str">
        <f>IF(AZ104&gt;AZ$147, AZ104-AZ$147,"")</f>
        <v/>
      </c>
      <c r="CD104" s="1" t="str">
        <f>IF(BA104&gt;BA$147, BA104-BA$147,"")</f>
        <v/>
      </c>
      <c r="CE104" s="1" t="str">
        <f>IF(BB104&gt;BB$147, BB104-BB$147,"")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40.5" x14ac:dyDescent="0.15">
      <c r="A105" s="1">
        <v>78</v>
      </c>
      <c r="B105" s="3" t="s">
        <v>70</v>
      </c>
      <c r="C105" s="3" t="s">
        <v>68</v>
      </c>
      <c r="D105" s="1" t="s">
        <v>1</v>
      </c>
      <c r="E105" s="6"/>
      <c r="F105" s="6"/>
      <c r="G105" s="6">
        <v>15</v>
      </c>
      <c r="H105" s="6">
        <v>15</v>
      </c>
      <c r="I105" s="6"/>
      <c r="J105" s="6"/>
      <c r="K105" s="6"/>
      <c r="L105" s="6"/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>
        <v>15</v>
      </c>
      <c r="BB105" s="2">
        <v>15</v>
      </c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60</v>
      </c>
      <c r="BQ105" s="1">
        <v>44</v>
      </c>
      <c r="BR105" s="17">
        <v>3</v>
      </c>
      <c r="BS105" s="17" t="s">
        <v>288</v>
      </c>
      <c r="BT105" s="1" t="str">
        <f>IF(AQ105&gt;AQ$147, AQ105-AQ$147,"")</f>
        <v/>
      </c>
      <c r="BU105" s="1" t="str">
        <f>IF(AR105&gt;AR$147, AR105-AR$147,"")</f>
        <v/>
      </c>
      <c r="BV105" s="1" t="str">
        <f>IF(AS105&gt;AS$147, AS105-AS$147,"")</f>
        <v/>
      </c>
      <c r="BW105" s="1" t="str">
        <f>IF(AT105&gt;AT$147, AT105-AT$147,"")</f>
        <v/>
      </c>
      <c r="BX105" s="1" t="str">
        <f>IF(AU105&gt;AU$147, AU105-AU$147,"")</f>
        <v/>
      </c>
      <c r="BY105" s="1" t="str">
        <f>IF(AV105&gt;AV$147, AV105-AV$147,"")</f>
        <v/>
      </c>
      <c r="BZ105" s="1" t="str">
        <f>IF(AW105&gt;AW$147, AW105-AW$147,"")</f>
        <v/>
      </c>
      <c r="CA105" s="1" t="str">
        <f>IF(AX105&gt;AX$147, AX105-AX$147,"")</f>
        <v/>
      </c>
      <c r="CB105" s="1" t="str">
        <f>IF(AY105&gt;AY$147, AY105-AY$147,"")</f>
        <v/>
      </c>
      <c r="CC105" s="1" t="str">
        <f>IF(AZ105&gt;AZ$147, AZ105-AZ$147,"")</f>
        <v/>
      </c>
      <c r="CD105" s="1">
        <f>IF(BA105&gt;BA$147, BA105-BA$147,"")</f>
        <v>14</v>
      </c>
      <c r="CE105" s="1" t="str">
        <f>IF(BB105&gt;BB$147, BB105-BB$147,"")</f>
        <v/>
      </c>
      <c r="CF105" s="1">
        <f>COUNTIF(BT105:CE105, "&gt;0")</f>
        <v>1</v>
      </c>
      <c r="CG105" s="1" t="str">
        <f>IF($CF105=1,BT105,"")</f>
        <v/>
      </c>
      <c r="CH105" s="1" t="str">
        <f>IF($CF105=1,BU105,"")</f>
        <v/>
      </c>
      <c r="CI105" s="1" t="str">
        <f>IF($CF105=1,BV105,"")</f>
        <v/>
      </c>
      <c r="CJ105" s="1" t="str">
        <f>IF($CF105=1,BW105,"")</f>
        <v/>
      </c>
      <c r="CK105" s="1" t="str">
        <f>IF($CF105=1,BX105,"")</f>
        <v/>
      </c>
      <c r="CL105" s="1" t="str">
        <f>IF($CF105=1,BY105,"")</f>
        <v/>
      </c>
      <c r="CM105" s="1" t="str">
        <f>IF($CF105=1,BZ105,"")</f>
        <v/>
      </c>
      <c r="CN105" s="1" t="str">
        <f>IF($CF105=1,CA105,"")</f>
        <v/>
      </c>
      <c r="CO105" s="1" t="str">
        <f>IF($CF105=1,CB105,"")</f>
        <v/>
      </c>
      <c r="CP105" s="1" t="str">
        <f>IF($CF105=1,CC105,"")</f>
        <v/>
      </c>
      <c r="CQ105" s="1">
        <f>IF($CF105=1,CD105,"")</f>
        <v>14</v>
      </c>
      <c r="CR105" s="1" t="str">
        <f>IF($CF105=1,CE105,"")</f>
        <v/>
      </c>
      <c r="CS105" s="18">
        <f>SUM(AE105:BO105)</f>
        <v>30</v>
      </c>
    </row>
    <row r="106" spans="1:97" ht="40.5" x14ac:dyDescent="0.15">
      <c r="A106" s="1"/>
      <c r="B106" s="1" t="s">
        <v>196</v>
      </c>
      <c r="C106" s="1" t="s">
        <v>128</v>
      </c>
      <c r="D106" s="1" t="s">
        <v>113</v>
      </c>
      <c r="E106" s="6"/>
      <c r="F106" s="6"/>
      <c r="G106" s="6">
        <v>15</v>
      </c>
      <c r="H106" s="6">
        <v>15</v>
      </c>
      <c r="I106" s="6"/>
      <c r="J106" s="6"/>
      <c r="K106" s="6"/>
      <c r="L106" s="6"/>
      <c r="M106" s="6"/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>
        <v>15</v>
      </c>
      <c r="BB106" s="2">
        <v>15</v>
      </c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60</v>
      </c>
      <c r="BQ106" s="1">
        <v>44</v>
      </c>
      <c r="BR106" s="17">
        <v>3</v>
      </c>
      <c r="BS106" s="17" t="s">
        <v>288</v>
      </c>
      <c r="BT106" s="1" t="str">
        <f>IF(AQ106&gt;AQ$147, AQ106-AQ$147,"")</f>
        <v/>
      </c>
      <c r="BU106" s="1" t="str">
        <f>IF(AR106&gt;AR$147, AR106-AR$147,"")</f>
        <v/>
      </c>
      <c r="BV106" s="1" t="str">
        <f>IF(AS106&gt;AS$147, AS106-AS$147,"")</f>
        <v/>
      </c>
      <c r="BW106" s="1" t="str">
        <f>IF(AT106&gt;AT$147, AT106-AT$147,"")</f>
        <v/>
      </c>
      <c r="BX106" s="1" t="str">
        <f>IF(AU106&gt;AU$147, AU106-AU$147,"")</f>
        <v/>
      </c>
      <c r="BY106" s="1" t="str">
        <f>IF(AV106&gt;AV$147, AV106-AV$147,"")</f>
        <v/>
      </c>
      <c r="BZ106" s="1" t="str">
        <f>IF(AW106&gt;AW$147, AW106-AW$147,"")</f>
        <v/>
      </c>
      <c r="CA106" s="1" t="str">
        <f>IF(AX106&gt;AX$147, AX106-AX$147,"")</f>
        <v/>
      </c>
      <c r="CB106" s="1" t="str">
        <f>IF(AY106&gt;AY$147, AY106-AY$147,"")</f>
        <v/>
      </c>
      <c r="CC106" s="1" t="str">
        <f>IF(AZ106&gt;AZ$147, AZ106-AZ$147,"")</f>
        <v/>
      </c>
      <c r="CD106" s="1">
        <f>IF(BA106&gt;BA$147, BA106-BA$147,"")</f>
        <v>14</v>
      </c>
      <c r="CE106" s="1" t="str">
        <f>IF(BB106&gt;BB$147, BB106-BB$147,"")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40.5" x14ac:dyDescent="0.15">
      <c r="A107" s="1"/>
      <c r="B107" s="1" t="s">
        <v>195</v>
      </c>
      <c r="C107" s="1" t="s">
        <v>128</v>
      </c>
      <c r="D107" s="1" t="s">
        <v>113</v>
      </c>
      <c r="E107" s="6"/>
      <c r="F107" s="6"/>
      <c r="G107" s="6">
        <v>20</v>
      </c>
      <c r="H107" s="6">
        <v>20</v>
      </c>
      <c r="I107" s="6"/>
      <c r="J107" s="6"/>
      <c r="K107" s="6"/>
      <c r="L107" s="6"/>
      <c r="M107" s="6"/>
      <c r="N107" s="6"/>
      <c r="O107" s="6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>
        <v>20</v>
      </c>
      <c r="BB107" s="2">
        <v>20</v>
      </c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80</v>
      </c>
      <c r="BQ107" s="1">
        <v>59</v>
      </c>
      <c r="BR107" s="17">
        <v>3</v>
      </c>
      <c r="BS107" s="17" t="s">
        <v>289</v>
      </c>
      <c r="BT107" s="1" t="str">
        <f>IF(AQ107&gt;AQ$147, AQ107-AQ$147,"")</f>
        <v/>
      </c>
      <c r="BU107" s="1" t="str">
        <f>IF(AR107&gt;AR$147, AR107-AR$147,"")</f>
        <v/>
      </c>
      <c r="BV107" s="1" t="str">
        <f>IF(AS107&gt;AS$147, AS107-AS$147,"")</f>
        <v/>
      </c>
      <c r="BW107" s="1" t="str">
        <f>IF(AT107&gt;AT$147, AT107-AT$147,"")</f>
        <v/>
      </c>
      <c r="BX107" s="1" t="str">
        <f>IF(AU107&gt;AU$147, AU107-AU$147,"")</f>
        <v/>
      </c>
      <c r="BY107" s="1" t="str">
        <f>IF(AV107&gt;AV$147, AV107-AV$147,"")</f>
        <v/>
      </c>
      <c r="BZ107" s="1" t="str">
        <f>IF(AW107&gt;AW$147, AW107-AW$147,"")</f>
        <v/>
      </c>
      <c r="CA107" s="1" t="str">
        <f>IF(AX107&gt;AX$147, AX107-AX$147,"")</f>
        <v/>
      </c>
      <c r="CB107" s="1" t="str">
        <f>IF(AY107&gt;AY$147, AY107-AY$147,"")</f>
        <v/>
      </c>
      <c r="CC107" s="1" t="str">
        <f>IF(AZ107&gt;AZ$147, AZ107-AZ$147,"")</f>
        <v/>
      </c>
      <c r="CD107" s="1">
        <f>IF(BA107&gt;BA$147, BA107-BA$147,"")</f>
        <v>19</v>
      </c>
      <c r="CE107" s="1" t="str">
        <f>IF(BB107&gt;BB$147, BB107-BB$147,"")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40.5" x14ac:dyDescent="0.15">
      <c r="A108" s="1"/>
      <c r="B108" s="1" t="s">
        <v>115</v>
      </c>
      <c r="C108" s="1" t="s">
        <v>116</v>
      </c>
      <c r="D108" s="1" t="s">
        <v>117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>
        <v>40</v>
      </c>
      <c r="AW108" s="2">
        <v>40</v>
      </c>
      <c r="AX108" s="2"/>
      <c r="AY108" s="2"/>
      <c r="AZ108" s="2"/>
      <c r="BA108" s="2"/>
      <c r="BB108" s="2">
        <v>40</v>
      </c>
      <c r="BC108" s="14">
        <v>10</v>
      </c>
      <c r="BD108" s="1">
        <v>50</v>
      </c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180</v>
      </c>
      <c r="BQ108" s="1">
        <v>63</v>
      </c>
      <c r="BR108" s="17">
        <v>3</v>
      </c>
      <c r="BS108" s="17" t="s">
        <v>290</v>
      </c>
      <c r="BT108" s="1" t="str">
        <f>IF(AQ108&gt;AQ$147, AQ108-AQ$147,"")</f>
        <v/>
      </c>
      <c r="BU108" s="1" t="str">
        <f>IF(AR108&gt;AR$147, AR108-AR$147,"")</f>
        <v/>
      </c>
      <c r="BV108" s="1" t="str">
        <f>IF(AS108&gt;AS$147, AS108-AS$147,"")</f>
        <v/>
      </c>
      <c r="BW108" s="1" t="str">
        <f>IF(AT108&gt;AT$147, AT108-AT$147,"")</f>
        <v/>
      </c>
      <c r="BX108" s="1" t="str">
        <f>IF(AU108&gt;AU$147, AU108-AU$147,"")</f>
        <v/>
      </c>
      <c r="BY108" s="1">
        <f>IF(AV108&gt;AV$147, AV108-AV$147,"")</f>
        <v>32</v>
      </c>
      <c r="BZ108" s="1">
        <f>IF(AW108&gt;AW$147, AW108-AW$147,"")</f>
        <v>21</v>
      </c>
      <c r="CA108" s="1" t="str">
        <f>IF(AX108&gt;AX$147, AX108-AX$147,"")</f>
        <v/>
      </c>
      <c r="CB108" s="1" t="str">
        <f>IF(AY108&gt;AY$147, AY108-AY$147,"")</f>
        <v/>
      </c>
      <c r="CC108" s="1" t="str">
        <f>IF(AZ108&gt;AZ$147, AZ108-AZ$147,"")</f>
        <v/>
      </c>
      <c r="CD108" s="1" t="str">
        <f>IF(BA108&gt;BA$147, BA108-BA$147,"")</f>
        <v/>
      </c>
      <c r="CE108" s="1" t="str">
        <f>IF(BB108&gt;BB$147, BB108-BB$147,"")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54" x14ac:dyDescent="0.15">
      <c r="A109" s="1"/>
      <c r="B109" s="1" t="s">
        <v>166</v>
      </c>
      <c r="C109" s="1" t="s">
        <v>161</v>
      </c>
      <c r="D109" s="1" t="s">
        <v>134</v>
      </c>
      <c r="E109" s="6"/>
      <c r="F109" s="6"/>
      <c r="G109" s="6">
        <v>5</v>
      </c>
      <c r="H109" s="6"/>
      <c r="I109" s="6"/>
      <c r="J109" s="6"/>
      <c r="K109" s="6"/>
      <c r="L109" s="6"/>
      <c r="M109" s="6"/>
      <c r="N109" s="6"/>
      <c r="O109" s="6"/>
      <c r="P109" s="32"/>
      <c r="Q109" s="32"/>
      <c r="R109" s="32"/>
      <c r="S109" s="32"/>
      <c r="T109" s="32"/>
      <c r="U109" s="32"/>
      <c r="V109" s="32">
        <v>5</v>
      </c>
      <c r="W109" s="32"/>
      <c r="X109" s="32"/>
      <c r="Y109" s="32">
        <v>5</v>
      </c>
      <c r="Z109" s="32"/>
      <c r="AA109" s="32"/>
      <c r="AB109" s="32"/>
      <c r="AC109" s="32">
        <v>5</v>
      </c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20</v>
      </c>
      <c r="BQ109" s="1">
        <v>16</v>
      </c>
      <c r="BR109" s="17">
        <v>4</v>
      </c>
      <c r="BS109" s="17" t="s">
        <v>291</v>
      </c>
      <c r="BT109" s="1" t="str">
        <f>IF(AQ109&gt;AQ$147, AQ109-AQ$147,"")</f>
        <v/>
      </c>
      <c r="BU109" s="1" t="str">
        <f>IF(AR109&gt;AR$147, AR109-AR$147,"")</f>
        <v/>
      </c>
      <c r="BV109" s="1" t="str">
        <f>IF(AS109&gt;AS$147, AS109-AS$147,"")</f>
        <v/>
      </c>
      <c r="BW109" s="1" t="str">
        <f>IF(AT109&gt;AT$147, AT109-AT$147,"")</f>
        <v/>
      </c>
      <c r="BX109" s="1" t="str">
        <f>IF(AU109&gt;AU$147, AU109-AU$147,"")</f>
        <v/>
      </c>
      <c r="BY109" s="1" t="str">
        <f>IF(AV109&gt;AV$147, AV109-AV$147,"")</f>
        <v/>
      </c>
      <c r="BZ109" s="1" t="str">
        <f>IF(AW109&gt;AW$147, AW109-AW$147,"")</f>
        <v/>
      </c>
      <c r="CA109" s="1" t="str">
        <f>IF(AX109&gt;AX$147, AX109-AX$147,"")</f>
        <v/>
      </c>
      <c r="CB109" s="1" t="str">
        <f>IF(AY109&gt;AY$147, AY109-AY$147,"")</f>
        <v/>
      </c>
      <c r="CC109" s="1" t="str">
        <f>IF(AZ109&gt;AZ$147, AZ109-AZ$147,"")</f>
        <v/>
      </c>
      <c r="CD109" s="1" t="str">
        <f>IF(BA109&gt;BA$147, BA109-BA$147,"")</f>
        <v/>
      </c>
      <c r="CE109" s="1" t="str">
        <f>IF(BB109&gt;BB$147, BB109-BB$147,"")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54" x14ac:dyDescent="0.15">
      <c r="A110" s="1"/>
      <c r="B110" s="1" t="s">
        <v>163</v>
      </c>
      <c r="C110" s="1" t="s">
        <v>161</v>
      </c>
      <c r="D110" s="1" t="s">
        <v>133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/>
      <c r="Q110" s="32">
        <v>5</v>
      </c>
      <c r="R110" s="32"/>
      <c r="S110" s="32"/>
      <c r="T110" s="32"/>
      <c r="U110" s="32"/>
      <c r="V110" s="32">
        <v>10</v>
      </c>
      <c r="W110" s="32"/>
      <c r="X110" s="32"/>
      <c r="Y110" s="32"/>
      <c r="Z110" s="32">
        <v>5</v>
      </c>
      <c r="AA110" s="32"/>
      <c r="AB110" s="32">
        <v>10</v>
      </c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30</v>
      </c>
      <c r="BQ110" s="1">
        <v>18</v>
      </c>
      <c r="BR110" s="17">
        <v>4</v>
      </c>
      <c r="BS110" s="17" t="s">
        <v>292</v>
      </c>
      <c r="BT110" s="1" t="str">
        <f>IF(AQ110&gt;AQ$147, AQ110-AQ$147,"")</f>
        <v/>
      </c>
      <c r="BU110" s="1" t="str">
        <f>IF(AR110&gt;AR$147, AR110-AR$147,"")</f>
        <v/>
      </c>
      <c r="BV110" s="1" t="str">
        <f>IF(AS110&gt;AS$147, AS110-AS$147,"")</f>
        <v/>
      </c>
      <c r="BW110" s="1" t="str">
        <f>IF(AT110&gt;AT$147, AT110-AT$147,"")</f>
        <v/>
      </c>
      <c r="BX110" s="1" t="str">
        <f>IF(AU110&gt;AU$147, AU110-AU$147,"")</f>
        <v/>
      </c>
      <c r="BY110" s="1" t="str">
        <f>IF(AV110&gt;AV$147, AV110-AV$147,"")</f>
        <v/>
      </c>
      <c r="BZ110" s="1" t="str">
        <f>IF(AW110&gt;AW$147, AW110-AW$147,"")</f>
        <v/>
      </c>
      <c r="CA110" s="1" t="str">
        <f>IF(AX110&gt;AX$147, AX110-AX$147,"")</f>
        <v/>
      </c>
      <c r="CB110" s="1" t="str">
        <f>IF(AY110&gt;AY$147, AY110-AY$147,"")</f>
        <v/>
      </c>
      <c r="CC110" s="1" t="str">
        <f>IF(AZ110&gt;AZ$147, AZ110-AZ$147,"")</f>
        <v/>
      </c>
      <c r="CD110" s="1" t="str">
        <f>IF(BA110&gt;BA$147, BA110-BA$147,"")</f>
        <v/>
      </c>
      <c r="CE110" s="1" t="str">
        <f>IF(BB110&gt;BB$147, BB110-BB$147,"")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54" x14ac:dyDescent="0.15">
      <c r="A111" s="1"/>
      <c r="B111" s="1" t="s">
        <v>152</v>
      </c>
      <c r="C111" s="1" t="s">
        <v>150</v>
      </c>
      <c r="D111" s="1" t="s">
        <v>134</v>
      </c>
      <c r="E111" s="6"/>
      <c r="F111" s="6"/>
      <c r="G111" s="6"/>
      <c r="H111" s="6">
        <v>7</v>
      </c>
      <c r="I111" s="6"/>
      <c r="J111" s="6"/>
      <c r="K111" s="6"/>
      <c r="L111" s="6"/>
      <c r="M111" s="6"/>
      <c r="N111" s="6"/>
      <c r="O111" s="6"/>
      <c r="P111" s="32"/>
      <c r="Q111" s="32">
        <v>7</v>
      </c>
      <c r="R111" s="32"/>
      <c r="S111" s="32"/>
      <c r="T111" s="32">
        <v>7</v>
      </c>
      <c r="U111" s="32"/>
      <c r="V111" s="32"/>
      <c r="W111" s="32"/>
      <c r="X111" s="32"/>
      <c r="Y111" s="32"/>
      <c r="Z111" s="32"/>
      <c r="AA111" s="32">
        <v>7</v>
      </c>
      <c r="AB111" s="32"/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28</v>
      </c>
      <c r="BQ111" s="1">
        <v>21</v>
      </c>
      <c r="BR111" s="17">
        <v>4</v>
      </c>
      <c r="BS111" s="17" t="s">
        <v>293</v>
      </c>
      <c r="BT111" s="1" t="str">
        <f>IF(AQ111&gt;AQ$147, AQ111-AQ$147,"")</f>
        <v/>
      </c>
      <c r="BU111" s="1" t="str">
        <f>IF(AR111&gt;AR$147, AR111-AR$147,"")</f>
        <v/>
      </c>
      <c r="BV111" s="1" t="str">
        <f>IF(AS111&gt;AS$147, AS111-AS$147,"")</f>
        <v/>
      </c>
      <c r="BW111" s="1" t="str">
        <f>IF(AT111&gt;AT$147, AT111-AT$147,"")</f>
        <v/>
      </c>
      <c r="BX111" s="1" t="str">
        <f>IF(AU111&gt;AU$147, AU111-AU$147,"")</f>
        <v/>
      </c>
      <c r="BY111" s="1" t="str">
        <f>IF(AV111&gt;AV$147, AV111-AV$147,"")</f>
        <v/>
      </c>
      <c r="BZ111" s="1" t="str">
        <f>IF(AW111&gt;AW$147, AW111-AW$147,"")</f>
        <v/>
      </c>
      <c r="CA111" s="1" t="str">
        <f>IF(AX111&gt;AX$147, AX111-AX$147,"")</f>
        <v/>
      </c>
      <c r="CB111" s="1" t="str">
        <f>IF(AY111&gt;AY$147, AY111-AY$147,"")</f>
        <v/>
      </c>
      <c r="CC111" s="1" t="str">
        <f>IF(AZ111&gt;AZ$147, AZ111-AZ$147,"")</f>
        <v/>
      </c>
      <c r="CD111" s="1" t="str">
        <f>IF(BA111&gt;BA$147, BA111-BA$147,"")</f>
        <v/>
      </c>
      <c r="CE111" s="1" t="str">
        <f>IF(BB111&gt;BB$147, BB111-BB$147,"")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54" x14ac:dyDescent="0.15">
      <c r="A112" s="1"/>
      <c r="B112" s="1" t="s">
        <v>143</v>
      </c>
      <c r="C112" s="1" t="s">
        <v>131</v>
      </c>
      <c r="D112" s="1" t="s">
        <v>132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>
        <v>10</v>
      </c>
      <c r="Q112" s="32"/>
      <c r="R112" s="32"/>
      <c r="S112" s="32">
        <v>10</v>
      </c>
      <c r="T112" s="32"/>
      <c r="U112" s="32"/>
      <c r="V112" s="32"/>
      <c r="W112" s="32">
        <v>5</v>
      </c>
      <c r="X112" s="32"/>
      <c r="Y112" s="32"/>
      <c r="Z112" s="32"/>
      <c r="AA112" s="32"/>
      <c r="AB112" s="32">
        <v>10</v>
      </c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22</v>
      </c>
      <c r="BR112" s="17">
        <v>4</v>
      </c>
      <c r="BS112" s="17" t="s">
        <v>294</v>
      </c>
      <c r="BT112" s="1" t="str">
        <f>IF(AQ112&gt;AQ$147, AQ112-AQ$147,"")</f>
        <v/>
      </c>
      <c r="BU112" s="1" t="str">
        <f>IF(AR112&gt;AR$147, AR112-AR$147,"")</f>
        <v/>
      </c>
      <c r="BV112" s="1" t="str">
        <f>IF(AS112&gt;AS$147, AS112-AS$147,"")</f>
        <v/>
      </c>
      <c r="BW112" s="1" t="str">
        <f>IF(AT112&gt;AT$147, AT112-AT$147,"")</f>
        <v/>
      </c>
      <c r="BX112" s="1" t="str">
        <f>IF(AU112&gt;AU$147, AU112-AU$147,"")</f>
        <v/>
      </c>
      <c r="BY112" s="1" t="str">
        <f>IF(AV112&gt;AV$147, AV112-AV$147,"")</f>
        <v/>
      </c>
      <c r="BZ112" s="1" t="str">
        <f>IF(AW112&gt;AW$147, AW112-AW$147,"")</f>
        <v/>
      </c>
      <c r="CA112" s="1" t="str">
        <f>IF(AX112&gt;AX$147, AX112-AX$147,"")</f>
        <v/>
      </c>
      <c r="CB112" s="1" t="str">
        <f>IF(AY112&gt;AY$147, AY112-AY$147,"")</f>
        <v/>
      </c>
      <c r="CC112" s="1" t="str">
        <f>IF(AZ112&gt;AZ$147, AZ112-AZ$147,"")</f>
        <v/>
      </c>
      <c r="CD112" s="1" t="str">
        <f>IF(BA112&gt;BA$147, BA112-BA$147,"")</f>
        <v/>
      </c>
      <c r="CE112" s="1" t="str">
        <f>IF(BB112&gt;BB$147, BB112-BB$147,"")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54" x14ac:dyDescent="0.15">
      <c r="A113" s="1"/>
      <c r="B113" s="1" t="s">
        <v>148</v>
      </c>
      <c r="C113" s="1" t="s">
        <v>131</v>
      </c>
      <c r="D113" s="1" t="s">
        <v>132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>
        <v>10</v>
      </c>
      <c r="Q113" s="32"/>
      <c r="R113" s="32"/>
      <c r="S113" s="32">
        <v>10</v>
      </c>
      <c r="T113" s="32"/>
      <c r="U113" s="32"/>
      <c r="V113" s="32"/>
      <c r="W113" s="32">
        <v>5</v>
      </c>
      <c r="X113" s="32"/>
      <c r="Y113" s="32"/>
      <c r="Z113" s="32"/>
      <c r="AA113" s="32"/>
      <c r="AB113" s="32">
        <v>10</v>
      </c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22</v>
      </c>
      <c r="BR113" s="17">
        <v>4</v>
      </c>
      <c r="BS113" s="17" t="s">
        <v>295</v>
      </c>
      <c r="BT113" s="1" t="str">
        <f>IF(AQ113&gt;AQ$147, AQ113-AQ$147,"")</f>
        <v/>
      </c>
      <c r="BU113" s="1" t="str">
        <f>IF(AR113&gt;AR$147, AR113-AR$147,"")</f>
        <v/>
      </c>
      <c r="BV113" s="1" t="str">
        <f>IF(AS113&gt;AS$147, AS113-AS$147,"")</f>
        <v/>
      </c>
      <c r="BW113" s="1" t="str">
        <f>IF(AT113&gt;AT$147, AT113-AT$147,"")</f>
        <v/>
      </c>
      <c r="BX113" s="1" t="str">
        <f>IF(AU113&gt;AU$147, AU113-AU$147,"")</f>
        <v/>
      </c>
      <c r="BY113" s="1" t="str">
        <f>IF(AV113&gt;AV$147, AV113-AV$147,"")</f>
        <v/>
      </c>
      <c r="BZ113" s="1" t="str">
        <f>IF(AW113&gt;AW$147, AW113-AW$147,"")</f>
        <v/>
      </c>
      <c r="CA113" s="1" t="str">
        <f>IF(AX113&gt;AX$147, AX113-AX$147,"")</f>
        <v/>
      </c>
      <c r="CB113" s="1" t="str">
        <f>IF(AY113&gt;AY$147, AY113-AY$147,"")</f>
        <v/>
      </c>
      <c r="CC113" s="1" t="str">
        <f>IF(AZ113&gt;AZ$147, AZ113-AZ$147,"")</f>
        <v/>
      </c>
      <c r="CD113" s="1" t="str">
        <f>IF(BA113&gt;BA$147, BA113-BA$147,"")</f>
        <v/>
      </c>
      <c r="CE113" s="1" t="str">
        <f>IF(BB113&gt;BB$147, BB113-BB$147,"")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54" x14ac:dyDescent="0.15">
      <c r="A114" s="1"/>
      <c r="B114" s="1" t="s">
        <v>152</v>
      </c>
      <c r="C114" s="1" t="s">
        <v>150</v>
      </c>
      <c r="D114" s="1" t="s">
        <v>132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2">
        <v>10</v>
      </c>
      <c r="Q114" s="32"/>
      <c r="R114" s="32"/>
      <c r="S114" s="32">
        <v>10</v>
      </c>
      <c r="T114" s="32"/>
      <c r="U114" s="32"/>
      <c r="V114" s="32"/>
      <c r="W114" s="32">
        <v>5</v>
      </c>
      <c r="X114" s="32"/>
      <c r="Y114" s="32"/>
      <c r="Z114" s="32"/>
      <c r="AA114" s="32"/>
      <c r="AB114" s="32">
        <v>10</v>
      </c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35</v>
      </c>
      <c r="BQ114" s="1">
        <v>22</v>
      </c>
      <c r="BR114" s="17">
        <v>4</v>
      </c>
      <c r="BS114" s="17" t="s">
        <v>294</v>
      </c>
      <c r="BT114" s="1" t="str">
        <f>IF(AQ114&gt;AQ$147, AQ114-AQ$147,"")</f>
        <v/>
      </c>
      <c r="BU114" s="1" t="str">
        <f>IF(AR114&gt;AR$147, AR114-AR$147,"")</f>
        <v/>
      </c>
      <c r="BV114" s="1" t="str">
        <f>IF(AS114&gt;AS$147, AS114-AS$147,"")</f>
        <v/>
      </c>
      <c r="BW114" s="1" t="str">
        <f>IF(AT114&gt;AT$147, AT114-AT$147,"")</f>
        <v/>
      </c>
      <c r="BX114" s="1" t="str">
        <f>IF(AU114&gt;AU$147, AU114-AU$147,"")</f>
        <v/>
      </c>
      <c r="BY114" s="1" t="str">
        <f>IF(AV114&gt;AV$147, AV114-AV$147,"")</f>
        <v/>
      </c>
      <c r="BZ114" s="1" t="str">
        <f>IF(AW114&gt;AW$147, AW114-AW$147,"")</f>
        <v/>
      </c>
      <c r="CA114" s="1" t="str">
        <f>IF(AX114&gt;AX$147, AX114-AX$147,"")</f>
        <v/>
      </c>
      <c r="CB114" s="1" t="str">
        <f>IF(AY114&gt;AY$147, AY114-AY$147,"")</f>
        <v/>
      </c>
      <c r="CC114" s="1" t="str">
        <f>IF(AZ114&gt;AZ$147, AZ114-AZ$147,"")</f>
        <v/>
      </c>
      <c r="CD114" s="1" t="str">
        <f>IF(BA114&gt;BA$147, BA114-BA$147,"")</f>
        <v/>
      </c>
      <c r="CE114" s="1" t="str">
        <f>IF(BB114&gt;BB$147, BB114-BB$147,"")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54" x14ac:dyDescent="0.15">
      <c r="A115" s="1"/>
      <c r="B115" s="1" t="s">
        <v>156</v>
      </c>
      <c r="C115" s="1" t="s">
        <v>154</v>
      </c>
      <c r="D115" s="1" t="s">
        <v>132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2">
        <v>10</v>
      </c>
      <c r="Q115" s="32"/>
      <c r="R115" s="32"/>
      <c r="S115" s="32">
        <v>10</v>
      </c>
      <c r="T115" s="32"/>
      <c r="U115" s="32"/>
      <c r="V115" s="32"/>
      <c r="W115" s="32">
        <v>5</v>
      </c>
      <c r="X115" s="32"/>
      <c r="Y115" s="32"/>
      <c r="Z115" s="32"/>
      <c r="AA115" s="32"/>
      <c r="AB115" s="32">
        <v>10</v>
      </c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35</v>
      </c>
      <c r="BQ115" s="1">
        <v>22</v>
      </c>
      <c r="BR115" s="17">
        <v>4</v>
      </c>
      <c r="BS115" s="17" t="s">
        <v>294</v>
      </c>
      <c r="BT115" s="1" t="str">
        <f>IF(AQ115&gt;AQ$147, AQ115-AQ$147,"")</f>
        <v/>
      </c>
      <c r="BU115" s="1" t="str">
        <f>IF(AR115&gt;AR$147, AR115-AR$147,"")</f>
        <v/>
      </c>
      <c r="BV115" s="1" t="str">
        <f>IF(AS115&gt;AS$147, AS115-AS$147,"")</f>
        <v/>
      </c>
      <c r="BW115" s="1" t="str">
        <f>IF(AT115&gt;AT$147, AT115-AT$147,"")</f>
        <v/>
      </c>
      <c r="BX115" s="1" t="str">
        <f>IF(AU115&gt;AU$147, AU115-AU$147,"")</f>
        <v/>
      </c>
      <c r="BY115" s="1" t="str">
        <f>IF(AV115&gt;AV$147, AV115-AV$147,"")</f>
        <v/>
      </c>
      <c r="BZ115" s="1" t="str">
        <f>IF(AW115&gt;AW$147, AW115-AW$147,"")</f>
        <v/>
      </c>
      <c r="CA115" s="1" t="str">
        <f>IF(AX115&gt;AX$147, AX115-AX$147,"")</f>
        <v/>
      </c>
      <c r="CB115" s="1" t="str">
        <f>IF(AY115&gt;AY$147, AY115-AY$147,"")</f>
        <v/>
      </c>
      <c r="CC115" s="1" t="str">
        <f>IF(AZ115&gt;AZ$147, AZ115-AZ$147,"")</f>
        <v/>
      </c>
      <c r="CD115" s="1" t="str">
        <f>IF(BA115&gt;BA$147, BA115-BA$147,"")</f>
        <v/>
      </c>
      <c r="CE115" s="1" t="str">
        <f>IF(BB115&gt;BB$147, BB115-BB$147,"")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54" x14ac:dyDescent="0.15">
      <c r="A116" s="1"/>
      <c r="B116" s="1" t="s">
        <v>162</v>
      </c>
      <c r="C116" s="1" t="s">
        <v>161</v>
      </c>
      <c r="D116" s="1" t="s">
        <v>132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>
        <v>10</v>
      </c>
      <c r="Q116" s="32"/>
      <c r="R116" s="32"/>
      <c r="S116" s="32">
        <v>10</v>
      </c>
      <c r="T116" s="32"/>
      <c r="U116" s="32"/>
      <c r="V116" s="32"/>
      <c r="W116" s="32">
        <v>5</v>
      </c>
      <c r="X116" s="32"/>
      <c r="Y116" s="32"/>
      <c r="Z116" s="32"/>
      <c r="AA116" s="32"/>
      <c r="AB116" s="32">
        <v>10</v>
      </c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35</v>
      </c>
      <c r="BQ116" s="1">
        <v>22</v>
      </c>
      <c r="BR116" s="17">
        <v>4</v>
      </c>
      <c r="BS116" s="17" t="s">
        <v>294</v>
      </c>
      <c r="BT116" s="1" t="str">
        <f>IF(AQ116&gt;AQ$147, AQ116-AQ$147,"")</f>
        <v/>
      </c>
      <c r="BU116" s="1" t="str">
        <f>IF(AR116&gt;AR$147, AR116-AR$147,"")</f>
        <v/>
      </c>
      <c r="BV116" s="1" t="str">
        <f>IF(AS116&gt;AS$147, AS116-AS$147,"")</f>
        <v/>
      </c>
      <c r="BW116" s="1" t="str">
        <f>IF(AT116&gt;AT$147, AT116-AT$147,"")</f>
        <v/>
      </c>
      <c r="BX116" s="1" t="str">
        <f>IF(AU116&gt;AU$147, AU116-AU$147,"")</f>
        <v/>
      </c>
      <c r="BY116" s="1" t="str">
        <f>IF(AV116&gt;AV$147, AV116-AV$147,"")</f>
        <v/>
      </c>
      <c r="BZ116" s="1" t="str">
        <f>IF(AW116&gt;AW$147, AW116-AW$147,"")</f>
        <v/>
      </c>
      <c r="CA116" s="1" t="str">
        <f>IF(AX116&gt;AX$147, AX116-AX$147,"")</f>
        <v/>
      </c>
      <c r="CB116" s="1" t="str">
        <f>IF(AY116&gt;AY$147, AY116-AY$147,"")</f>
        <v/>
      </c>
      <c r="CC116" s="1" t="str">
        <f>IF(AZ116&gt;AZ$147, AZ116-AZ$147,"")</f>
        <v/>
      </c>
      <c r="CD116" s="1" t="str">
        <f>IF(BA116&gt;BA$147, BA116-BA$147,"")</f>
        <v/>
      </c>
      <c r="CE116" s="1" t="str">
        <f>IF(BB116&gt;BB$147, BB116-BB$147,"")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54" x14ac:dyDescent="0.15">
      <c r="A117" s="1"/>
      <c r="B117" s="1" t="s">
        <v>170</v>
      </c>
      <c r="C117" s="1" t="s">
        <v>128</v>
      </c>
      <c r="D117" s="1" t="s">
        <v>171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32">
        <v>10</v>
      </c>
      <c r="Q117" s="32"/>
      <c r="R117" s="32"/>
      <c r="S117" s="32">
        <v>10</v>
      </c>
      <c r="T117" s="32"/>
      <c r="U117" s="32"/>
      <c r="V117" s="32"/>
      <c r="W117" s="32">
        <v>5</v>
      </c>
      <c r="X117" s="32"/>
      <c r="Y117" s="32"/>
      <c r="Z117" s="32"/>
      <c r="AA117" s="32"/>
      <c r="AB117" s="32">
        <v>10</v>
      </c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35</v>
      </c>
      <c r="BQ117" s="1">
        <v>22</v>
      </c>
      <c r="BR117" s="17">
        <v>4</v>
      </c>
      <c r="BS117" s="17" t="s">
        <v>295</v>
      </c>
      <c r="BT117" s="1" t="str">
        <f>IF(AQ117&gt;AQ$147, AQ117-AQ$147,"")</f>
        <v/>
      </c>
      <c r="BU117" s="1" t="str">
        <f>IF(AR117&gt;AR$147, AR117-AR$147,"")</f>
        <v/>
      </c>
      <c r="BV117" s="1" t="str">
        <f>IF(AS117&gt;AS$147, AS117-AS$147,"")</f>
        <v/>
      </c>
      <c r="BW117" s="1" t="str">
        <f>IF(AT117&gt;AT$147, AT117-AT$147,"")</f>
        <v/>
      </c>
      <c r="BX117" s="1" t="str">
        <f>IF(AU117&gt;AU$147, AU117-AU$147,"")</f>
        <v/>
      </c>
      <c r="BY117" s="1" t="str">
        <f>IF(AV117&gt;AV$147, AV117-AV$147,"")</f>
        <v/>
      </c>
      <c r="BZ117" s="1" t="str">
        <f>IF(AW117&gt;AW$147, AW117-AW$147,"")</f>
        <v/>
      </c>
      <c r="CA117" s="1" t="str">
        <f>IF(AX117&gt;AX$147, AX117-AX$147,"")</f>
        <v/>
      </c>
      <c r="CB117" s="1" t="str">
        <f>IF(AY117&gt;AY$147, AY117-AY$147,"")</f>
        <v/>
      </c>
      <c r="CC117" s="1" t="str">
        <f>IF(AZ117&gt;AZ$147, AZ117-AZ$147,"")</f>
        <v/>
      </c>
      <c r="CD117" s="1" t="str">
        <f>IF(BA117&gt;BA$147, BA117-BA$147,"")</f>
        <v/>
      </c>
      <c r="CE117" s="1" t="str">
        <f>IF(BB117&gt;BB$147, BB117-BB$147,"")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54" x14ac:dyDescent="0.15">
      <c r="A118" s="1"/>
      <c r="B118" s="1" t="s">
        <v>162</v>
      </c>
      <c r="C118" s="1" t="s">
        <v>161</v>
      </c>
      <c r="D118" s="1" t="s">
        <v>134</v>
      </c>
      <c r="E118" s="6"/>
      <c r="F118" s="6"/>
      <c r="G118" s="6">
        <v>10</v>
      </c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>
        <v>10</v>
      </c>
      <c r="Y118" s="32"/>
      <c r="Z118" s="32"/>
      <c r="AA118" s="32"/>
      <c r="AB118" s="32"/>
      <c r="AC118" s="32"/>
      <c r="AD118" s="32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22</v>
      </c>
      <c r="BR118" s="17">
        <v>4</v>
      </c>
      <c r="BS118" s="17" t="s">
        <v>299</v>
      </c>
      <c r="BT118" s="1" t="str">
        <f>IF(AQ118&gt;AQ$147, AQ118-AQ$147,"")</f>
        <v/>
      </c>
      <c r="BU118" s="1" t="str">
        <f>IF(AR118&gt;AR$147, AR118-AR$147,"")</f>
        <v/>
      </c>
      <c r="BV118" s="1" t="str">
        <f>IF(AS118&gt;AS$147, AS118-AS$147,"")</f>
        <v/>
      </c>
      <c r="BW118" s="1" t="str">
        <f>IF(AT118&gt;AT$147, AT118-AT$147,"")</f>
        <v/>
      </c>
      <c r="BX118" s="1" t="str">
        <f>IF(AU118&gt;AU$147, AU118-AU$147,"")</f>
        <v/>
      </c>
      <c r="BY118" s="1">
        <f>IF(AV118&gt;AV$147, AV118-AV$147,"")</f>
        <v>2</v>
      </c>
      <c r="BZ118" s="1" t="str">
        <f>IF(AW118&gt;AW$147, AW118-AW$147,"")</f>
        <v/>
      </c>
      <c r="CA118" s="1" t="str">
        <f>IF(AX118&gt;AX$147, AX118-AX$147,"")</f>
        <v/>
      </c>
      <c r="CB118" s="1" t="str">
        <f>IF(AY118&gt;AY$147, AY118-AY$147,"")</f>
        <v/>
      </c>
      <c r="CC118" s="1" t="str">
        <f>IF(AZ118&gt;AZ$147, AZ118-AZ$147,"")</f>
        <v/>
      </c>
      <c r="CD118" s="1" t="str">
        <f>IF(BA118&gt;BA$147, BA118-BA$147,"")</f>
        <v/>
      </c>
      <c r="CE118" s="1" t="str">
        <f>IF(BB118&gt;BB$147, BB118-BB$147,"")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54" x14ac:dyDescent="0.15">
      <c r="A119" s="1"/>
      <c r="B119" s="1" t="s">
        <v>170</v>
      </c>
      <c r="C119" s="1" t="s">
        <v>128</v>
      </c>
      <c r="D119" s="1" t="s">
        <v>173</v>
      </c>
      <c r="E119" s="6"/>
      <c r="F119" s="6"/>
      <c r="G119" s="6">
        <v>10</v>
      </c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/>
      <c r="W119" s="32"/>
      <c r="X119" s="32">
        <v>10</v>
      </c>
      <c r="Y119" s="32"/>
      <c r="Z119" s="32"/>
      <c r="AA119" s="32"/>
      <c r="AB119" s="32"/>
      <c r="AC119" s="32"/>
      <c r="AD119" s="32">
        <v>10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22</v>
      </c>
      <c r="BR119" s="17">
        <v>4</v>
      </c>
      <c r="BS119" s="17" t="s">
        <v>299</v>
      </c>
      <c r="BT119" s="1" t="str">
        <f>IF(AQ119&gt;AQ$147, AQ119-AQ$147,"")</f>
        <v/>
      </c>
      <c r="BU119" s="1" t="str">
        <f>IF(AR119&gt;AR$147, AR119-AR$147,"")</f>
        <v/>
      </c>
      <c r="BV119" s="1" t="str">
        <f>IF(AS119&gt;AS$147, AS119-AS$147,"")</f>
        <v/>
      </c>
      <c r="BW119" s="1" t="str">
        <f>IF(AT119&gt;AT$147, AT119-AT$147,"")</f>
        <v/>
      </c>
      <c r="BX119" s="1" t="str">
        <f>IF(AU119&gt;AU$147, AU119-AU$147,"")</f>
        <v/>
      </c>
      <c r="BY119" s="1">
        <f>IF(AV119&gt;AV$147, AV119-AV$147,"")</f>
        <v>2</v>
      </c>
      <c r="BZ119" s="1" t="str">
        <f>IF(AW119&gt;AW$147, AW119-AW$147,"")</f>
        <v/>
      </c>
      <c r="CA119" s="1" t="str">
        <f>IF(AX119&gt;AX$147, AX119-AX$147,"")</f>
        <v/>
      </c>
      <c r="CB119" s="1" t="str">
        <f>IF(AY119&gt;AY$147, AY119-AY$147,"")</f>
        <v/>
      </c>
      <c r="CC119" s="1" t="str">
        <f>IF(AZ119&gt;AZ$147, AZ119-AZ$147,"")</f>
        <v/>
      </c>
      <c r="CD119" s="1" t="str">
        <f>IF(BA119&gt;BA$147, BA119-BA$147,"")</f>
        <v/>
      </c>
      <c r="CE119" s="1" t="str">
        <f>IF(BB119&gt;BB$147, BB119-BB$147,"")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54" x14ac:dyDescent="0.15">
      <c r="A120" s="1"/>
      <c r="B120" s="1" t="s">
        <v>176</v>
      </c>
      <c r="C120" s="1" t="s">
        <v>131</v>
      </c>
      <c r="D120" s="1" t="s">
        <v>133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2"/>
      <c r="Q120" s="32"/>
      <c r="R120" s="32"/>
      <c r="S120" s="32"/>
      <c r="T120" s="32"/>
      <c r="U120" s="32"/>
      <c r="V120" s="32">
        <v>10</v>
      </c>
      <c r="W120" s="32"/>
      <c r="X120" s="32"/>
      <c r="Y120" s="32">
        <v>10</v>
      </c>
      <c r="Z120" s="32"/>
      <c r="AA120" s="32"/>
      <c r="AB120" s="32">
        <v>10</v>
      </c>
      <c r="AC120" s="32">
        <v>5</v>
      </c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35</v>
      </c>
      <c r="BQ120" s="1">
        <v>23</v>
      </c>
      <c r="BR120" s="17">
        <v>4</v>
      </c>
      <c r="BS120" s="17" t="s">
        <v>296</v>
      </c>
      <c r="BT120" s="1" t="str">
        <f>IF(AQ120&gt;AQ$147, AQ120-AQ$147,"")</f>
        <v/>
      </c>
      <c r="BU120" s="1" t="str">
        <f>IF(AR120&gt;AR$147, AR120-AR$147,"")</f>
        <v/>
      </c>
      <c r="BV120" s="1" t="str">
        <f>IF(AS120&gt;AS$147, AS120-AS$147,"")</f>
        <v/>
      </c>
      <c r="BW120" s="1" t="str">
        <f>IF(AT120&gt;AT$147, AT120-AT$147,"")</f>
        <v/>
      </c>
      <c r="BX120" s="1" t="str">
        <f>IF(AU120&gt;AU$147, AU120-AU$147,"")</f>
        <v/>
      </c>
      <c r="BY120" s="1" t="str">
        <f>IF(AV120&gt;AV$147, AV120-AV$147,"")</f>
        <v/>
      </c>
      <c r="BZ120" s="1" t="str">
        <f>IF(AW120&gt;AW$147, AW120-AW$147,"")</f>
        <v/>
      </c>
      <c r="CA120" s="1" t="str">
        <f>IF(AX120&gt;AX$147, AX120-AX$147,"")</f>
        <v/>
      </c>
      <c r="CB120" s="1" t="str">
        <f>IF(AY120&gt;AY$147, AY120-AY$147,"")</f>
        <v/>
      </c>
      <c r="CC120" s="1" t="str">
        <f>IF(AZ120&gt;AZ$147, AZ120-AZ$147,"")</f>
        <v/>
      </c>
      <c r="CD120" s="1" t="str">
        <f>IF(BA120&gt;BA$147, BA120-BA$147,"")</f>
        <v/>
      </c>
      <c r="CE120" s="1" t="str">
        <f>IF(BB120&gt;BB$147, BB120-BB$147,"")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54" x14ac:dyDescent="0.15">
      <c r="A121" s="1"/>
      <c r="B121" s="1" t="s">
        <v>157</v>
      </c>
      <c r="C121" s="1" t="s">
        <v>159</v>
      </c>
      <c r="D121" s="1" t="s">
        <v>133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2"/>
      <c r="Q121" s="32"/>
      <c r="R121" s="32"/>
      <c r="S121" s="32"/>
      <c r="T121" s="32"/>
      <c r="U121" s="32"/>
      <c r="V121" s="32">
        <v>10</v>
      </c>
      <c r="W121" s="32"/>
      <c r="X121" s="32"/>
      <c r="Y121" s="32">
        <v>10</v>
      </c>
      <c r="Z121" s="32"/>
      <c r="AA121" s="32"/>
      <c r="AB121" s="32">
        <v>10</v>
      </c>
      <c r="AC121" s="32">
        <v>5</v>
      </c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35</v>
      </c>
      <c r="BQ121" s="1">
        <v>23</v>
      </c>
      <c r="BR121" s="17">
        <v>4</v>
      </c>
      <c r="BS121" s="17" t="s">
        <v>297</v>
      </c>
      <c r="BT121" s="1" t="str">
        <f>IF(AQ121&gt;AQ$147, AQ121-AQ$147,"")</f>
        <v/>
      </c>
      <c r="BU121" s="1" t="str">
        <f>IF(AR121&gt;AR$147, AR121-AR$147,"")</f>
        <v/>
      </c>
      <c r="BV121" s="1" t="str">
        <f>IF(AS121&gt;AS$147, AS121-AS$147,"")</f>
        <v/>
      </c>
      <c r="BW121" s="1" t="str">
        <f>IF(AT121&gt;AT$147, AT121-AT$147,"")</f>
        <v/>
      </c>
      <c r="BX121" s="1" t="str">
        <f>IF(AU121&gt;AU$147, AU121-AU$147,"")</f>
        <v/>
      </c>
      <c r="BY121" s="1" t="str">
        <f>IF(AV121&gt;AV$147, AV121-AV$147,"")</f>
        <v/>
      </c>
      <c r="BZ121" s="1" t="str">
        <f>IF(AW121&gt;AW$147, AW121-AW$147,"")</f>
        <v/>
      </c>
      <c r="CA121" s="1" t="str">
        <f>IF(AX121&gt;AX$147, AX121-AX$147,"")</f>
        <v/>
      </c>
      <c r="CB121" s="1" t="str">
        <f>IF(AY121&gt;AY$147, AY121-AY$147,"")</f>
        <v/>
      </c>
      <c r="CC121" s="1" t="str">
        <f>IF(AZ121&gt;AZ$147, AZ121-AZ$147,"")</f>
        <v/>
      </c>
      <c r="CD121" s="1" t="str">
        <f>IF(BA121&gt;BA$147, BA121-BA$147,"")</f>
        <v/>
      </c>
      <c r="CE121" s="1" t="str">
        <f>IF(BB121&gt;BB$147, BB121-BB$147,"")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54" x14ac:dyDescent="0.15">
      <c r="A122" s="1"/>
      <c r="B122" s="1" t="s">
        <v>166</v>
      </c>
      <c r="C122" s="1" t="s">
        <v>161</v>
      </c>
      <c r="D122" s="1" t="s">
        <v>133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/>
      <c r="V122" s="32">
        <v>10</v>
      </c>
      <c r="W122" s="32"/>
      <c r="X122" s="32"/>
      <c r="Y122" s="32">
        <v>10</v>
      </c>
      <c r="Z122" s="32"/>
      <c r="AA122" s="32"/>
      <c r="AB122" s="32">
        <v>10</v>
      </c>
      <c r="AC122" s="32">
        <v>5</v>
      </c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35</v>
      </c>
      <c r="BQ122" s="1">
        <v>23</v>
      </c>
      <c r="BR122" s="17">
        <v>4</v>
      </c>
      <c r="BS122" s="17" t="s">
        <v>296</v>
      </c>
      <c r="BT122" s="1" t="str">
        <f>IF(AQ122&gt;AQ$147, AQ122-AQ$147,"")</f>
        <v/>
      </c>
      <c r="BU122" s="1" t="str">
        <f>IF(AR122&gt;AR$147, AR122-AR$147,"")</f>
        <v/>
      </c>
      <c r="BV122" s="1" t="str">
        <f>IF(AS122&gt;AS$147, AS122-AS$147,"")</f>
        <v/>
      </c>
      <c r="BW122" s="1" t="str">
        <f>IF(AT122&gt;AT$147, AT122-AT$147,"")</f>
        <v/>
      </c>
      <c r="BX122" s="1" t="str">
        <f>IF(AU122&gt;AU$147, AU122-AU$147,"")</f>
        <v/>
      </c>
      <c r="BY122" s="1" t="str">
        <f>IF(AV122&gt;AV$147, AV122-AV$147,"")</f>
        <v/>
      </c>
      <c r="BZ122" s="1" t="str">
        <f>IF(AW122&gt;AW$147, AW122-AW$147,"")</f>
        <v/>
      </c>
      <c r="CA122" s="1" t="str">
        <f>IF(AX122&gt;AX$147, AX122-AX$147,"")</f>
        <v/>
      </c>
      <c r="CB122" s="1" t="str">
        <f>IF(AY122&gt;AY$147, AY122-AY$147,"")</f>
        <v/>
      </c>
      <c r="CC122" s="1" t="str">
        <f>IF(AZ122&gt;AZ$147, AZ122-AZ$147,"")</f>
        <v/>
      </c>
      <c r="CD122" s="1" t="str">
        <f>IF(BA122&gt;BA$147, BA122-BA$147,"")</f>
        <v/>
      </c>
      <c r="CE122" s="1" t="str">
        <f>IF(BB122&gt;BB$147, BB122-BB$147,"")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54" x14ac:dyDescent="0.15">
      <c r="A123" s="1"/>
      <c r="B123" s="1" t="s">
        <v>167</v>
      </c>
      <c r="C123" s="1" t="s">
        <v>161</v>
      </c>
      <c r="D123" s="1" t="s">
        <v>133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/>
      <c r="R123" s="32"/>
      <c r="S123" s="32"/>
      <c r="T123" s="32"/>
      <c r="U123" s="32"/>
      <c r="V123" s="32">
        <v>10</v>
      </c>
      <c r="W123" s="32"/>
      <c r="X123" s="32"/>
      <c r="Y123" s="32">
        <v>10</v>
      </c>
      <c r="Z123" s="32"/>
      <c r="AA123" s="32"/>
      <c r="AB123" s="32">
        <v>10</v>
      </c>
      <c r="AC123" s="32">
        <v>5</v>
      </c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35</v>
      </c>
      <c r="BQ123" s="1">
        <v>23</v>
      </c>
      <c r="BR123" s="17">
        <v>4</v>
      </c>
      <c r="BS123" s="17" t="s">
        <v>297</v>
      </c>
      <c r="BT123" s="1" t="str">
        <f>IF(AQ123&gt;AQ$147, AQ123-AQ$147,"")</f>
        <v/>
      </c>
      <c r="BU123" s="1" t="str">
        <f>IF(AR123&gt;AR$147, AR123-AR$147,"")</f>
        <v/>
      </c>
      <c r="BV123" s="1" t="str">
        <f>IF(AS123&gt;AS$147, AS123-AS$147,"")</f>
        <v/>
      </c>
      <c r="BW123" s="1" t="str">
        <f>IF(AT123&gt;AT$147, AT123-AT$147,"")</f>
        <v/>
      </c>
      <c r="BX123" s="1" t="str">
        <f>IF(AU123&gt;AU$147, AU123-AU$147,"")</f>
        <v/>
      </c>
      <c r="BY123" s="1" t="str">
        <f>IF(AV123&gt;AV$147, AV123-AV$147,"")</f>
        <v/>
      </c>
      <c r="BZ123" s="1" t="str">
        <f>IF(AW123&gt;AW$147, AW123-AW$147,"")</f>
        <v/>
      </c>
      <c r="CA123" s="1" t="str">
        <f>IF(AX123&gt;AX$147, AX123-AX$147,"")</f>
        <v/>
      </c>
      <c r="CB123" s="1" t="str">
        <f>IF(AY123&gt;AY$147, AY123-AY$147,"")</f>
        <v/>
      </c>
      <c r="CC123" s="1" t="str">
        <f>IF(AZ123&gt;AZ$147, AZ123-AZ$147,"")</f>
        <v/>
      </c>
      <c r="CD123" s="1" t="str">
        <f>IF(BA123&gt;BA$147, BA123-BA$147,"")</f>
        <v/>
      </c>
      <c r="CE123" s="1" t="str">
        <f>IF(BB123&gt;BB$147, BB123-BB$147,"")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54" x14ac:dyDescent="0.15">
      <c r="A124" s="1"/>
      <c r="B124" s="1" t="s">
        <v>158</v>
      </c>
      <c r="C124" s="1" t="s">
        <v>159</v>
      </c>
      <c r="D124" s="1" t="s">
        <v>132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>
        <v>10</v>
      </c>
      <c r="Q124" s="32"/>
      <c r="R124" s="32"/>
      <c r="S124" s="32">
        <v>10</v>
      </c>
      <c r="T124" s="32"/>
      <c r="U124" s="32"/>
      <c r="V124" s="32"/>
      <c r="W124" s="32"/>
      <c r="X124" s="32"/>
      <c r="Y124" s="32"/>
      <c r="Z124" s="32">
        <v>5</v>
      </c>
      <c r="AA124" s="32"/>
      <c r="AB124" s="32">
        <v>10</v>
      </c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35</v>
      </c>
      <c r="BQ124" s="1">
        <v>23</v>
      </c>
      <c r="BR124" s="17">
        <v>4</v>
      </c>
      <c r="BS124" s="17" t="s">
        <v>298</v>
      </c>
      <c r="BT124" s="1" t="str">
        <f>IF(AQ124&gt;AQ$147, AQ124-AQ$147,"")</f>
        <v/>
      </c>
      <c r="BU124" s="1" t="str">
        <f>IF(AR124&gt;AR$147, AR124-AR$147,"")</f>
        <v/>
      </c>
      <c r="BV124" s="1" t="str">
        <f>IF(AS124&gt;AS$147, AS124-AS$147,"")</f>
        <v/>
      </c>
      <c r="BW124" s="1" t="str">
        <f>IF(AT124&gt;AT$147, AT124-AT$147,"")</f>
        <v/>
      </c>
      <c r="BX124" s="1" t="str">
        <f>IF(AU124&gt;AU$147, AU124-AU$147,"")</f>
        <v/>
      </c>
      <c r="BY124" s="1" t="str">
        <f>IF(AV124&gt;AV$147, AV124-AV$147,"")</f>
        <v/>
      </c>
      <c r="BZ124" s="1" t="str">
        <f>IF(AW124&gt;AW$147, AW124-AW$147,"")</f>
        <v/>
      </c>
      <c r="CA124" s="1" t="str">
        <f>IF(AX124&gt;AX$147, AX124-AX$147,"")</f>
        <v/>
      </c>
      <c r="CB124" s="1" t="str">
        <f>IF(AY124&gt;AY$147, AY124-AY$147,"")</f>
        <v/>
      </c>
      <c r="CC124" s="1" t="str">
        <f>IF(AZ124&gt;AZ$147, AZ124-AZ$147,"")</f>
        <v/>
      </c>
      <c r="CD124" s="1" t="str">
        <f>IF(BA124&gt;BA$147, BA124-BA$147,"")</f>
        <v/>
      </c>
      <c r="CE124" s="1" t="str">
        <f>IF(BB124&gt;BB$147, BB124-BB$147,"")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54" x14ac:dyDescent="0.15">
      <c r="A125" s="1"/>
      <c r="B125" s="1" t="s">
        <v>149</v>
      </c>
      <c r="C125" s="1" t="s">
        <v>150</v>
      </c>
      <c r="D125" s="1" t="s">
        <v>133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>
        <v>5</v>
      </c>
      <c r="R125" s="32"/>
      <c r="S125" s="32"/>
      <c r="T125" s="32"/>
      <c r="U125" s="32"/>
      <c r="V125" s="32">
        <v>10</v>
      </c>
      <c r="W125" s="32"/>
      <c r="X125" s="32"/>
      <c r="Y125" s="32">
        <v>10</v>
      </c>
      <c r="Z125" s="32"/>
      <c r="AA125" s="32"/>
      <c r="AB125" s="32">
        <v>10</v>
      </c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35</v>
      </c>
      <c r="BQ125" s="1">
        <v>24</v>
      </c>
      <c r="BR125" s="17">
        <v>4</v>
      </c>
      <c r="BS125" s="17" t="s">
        <v>300</v>
      </c>
      <c r="BT125" s="1" t="str">
        <f>IF(AQ125&gt;AQ$147, AQ125-AQ$147,"")</f>
        <v/>
      </c>
      <c r="BU125" s="1" t="str">
        <f>IF(AR125&gt;AR$147, AR125-AR$147,"")</f>
        <v/>
      </c>
      <c r="BV125" s="1" t="str">
        <f>IF(AS125&gt;AS$147, AS125-AS$147,"")</f>
        <v/>
      </c>
      <c r="BW125" s="1" t="str">
        <f>IF(AT125&gt;AT$147, AT125-AT$147,"")</f>
        <v/>
      </c>
      <c r="BX125" s="1" t="str">
        <f>IF(AU125&gt;AU$147, AU125-AU$147,"")</f>
        <v/>
      </c>
      <c r="BY125" s="1" t="str">
        <f>IF(AV125&gt;AV$147, AV125-AV$147,"")</f>
        <v/>
      </c>
      <c r="BZ125" s="1" t="str">
        <f>IF(AW125&gt;AW$147, AW125-AW$147,"")</f>
        <v/>
      </c>
      <c r="CA125" s="1" t="str">
        <f>IF(AX125&gt;AX$147, AX125-AX$147,"")</f>
        <v/>
      </c>
      <c r="CB125" s="1" t="str">
        <f>IF(AY125&gt;AY$147, AY125-AY$147,"")</f>
        <v/>
      </c>
      <c r="CC125" s="1" t="str">
        <f>IF(AZ125&gt;AZ$147, AZ125-AZ$147,"")</f>
        <v/>
      </c>
      <c r="CD125" s="1" t="str">
        <f>IF(BA125&gt;BA$147, BA125-BA$147,"")</f>
        <v/>
      </c>
      <c r="CE125" s="1" t="str">
        <f>IF(BB125&gt;BB$147, BB125-BB$147,"")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54" x14ac:dyDescent="0.15">
      <c r="A126" s="1"/>
      <c r="B126" s="1" t="s">
        <v>155</v>
      </c>
      <c r="C126" s="1" t="s">
        <v>154</v>
      </c>
      <c r="D126" s="1" t="s">
        <v>133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32"/>
      <c r="Q126" s="32">
        <v>5</v>
      </c>
      <c r="R126" s="32"/>
      <c r="S126" s="32"/>
      <c r="T126" s="32"/>
      <c r="U126" s="32"/>
      <c r="V126" s="32">
        <v>10</v>
      </c>
      <c r="W126" s="32"/>
      <c r="X126" s="32"/>
      <c r="Y126" s="32">
        <v>10</v>
      </c>
      <c r="Z126" s="32"/>
      <c r="AA126" s="32"/>
      <c r="AB126" s="32">
        <v>10</v>
      </c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35</v>
      </c>
      <c r="BQ126" s="1">
        <v>24</v>
      </c>
      <c r="BR126" s="17">
        <v>4</v>
      </c>
      <c r="BS126" s="17" t="s">
        <v>301</v>
      </c>
      <c r="BT126" s="1" t="str">
        <f>IF(AQ126&gt;AQ$147, AQ126-AQ$147,"")</f>
        <v/>
      </c>
      <c r="BU126" s="1" t="str">
        <f>IF(AR126&gt;AR$147, AR126-AR$147,"")</f>
        <v/>
      </c>
      <c r="BV126" s="1" t="str">
        <f>IF(AS126&gt;AS$147, AS126-AS$147,"")</f>
        <v/>
      </c>
      <c r="BW126" s="1" t="str">
        <f>IF(AT126&gt;AT$147, AT126-AT$147,"")</f>
        <v/>
      </c>
      <c r="BX126" s="1" t="str">
        <f>IF(AU126&gt;AU$147, AU126-AU$147,"")</f>
        <v/>
      </c>
      <c r="BY126" s="1" t="str">
        <f>IF(AV126&gt;AV$147, AV126-AV$147,"")</f>
        <v/>
      </c>
      <c r="BZ126" s="1" t="str">
        <f>IF(AW126&gt;AW$147, AW126-AW$147,"")</f>
        <v/>
      </c>
      <c r="CA126" s="1" t="str">
        <f>IF(AX126&gt;AX$147, AX126-AX$147,"")</f>
        <v/>
      </c>
      <c r="CB126" s="1" t="str">
        <f>IF(AY126&gt;AY$147, AY126-AY$147,"")</f>
        <v/>
      </c>
      <c r="CC126" s="1" t="str">
        <f>IF(AZ126&gt;AZ$147, AZ126-AZ$147,"")</f>
        <v/>
      </c>
      <c r="CD126" s="1" t="str">
        <f>IF(BA126&gt;BA$147, BA126-BA$147,"")</f>
        <v/>
      </c>
      <c r="CE126" s="1" t="str">
        <f>IF(BB126&gt;BB$147, BB126-BB$147,"")</f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54" x14ac:dyDescent="0.15">
      <c r="A127" s="1"/>
      <c r="B127" s="1" t="s">
        <v>148</v>
      </c>
      <c r="C127" s="1" t="s">
        <v>131</v>
      </c>
      <c r="D127" s="1" t="s">
        <v>134</v>
      </c>
      <c r="E127" s="6"/>
      <c r="F127" s="6"/>
      <c r="G127" s="6"/>
      <c r="H127" s="6">
        <v>10</v>
      </c>
      <c r="I127" s="6"/>
      <c r="J127" s="6"/>
      <c r="K127" s="6"/>
      <c r="L127" s="6"/>
      <c r="M127" s="6"/>
      <c r="N127" s="6"/>
      <c r="O127" s="6"/>
      <c r="P127" s="32"/>
      <c r="Q127" s="32"/>
      <c r="R127" s="32">
        <v>10</v>
      </c>
      <c r="S127" s="32"/>
      <c r="T127" s="32"/>
      <c r="U127" s="32"/>
      <c r="V127" s="32"/>
      <c r="W127" s="32"/>
      <c r="X127" s="32">
        <v>10</v>
      </c>
      <c r="Y127" s="32"/>
      <c r="Z127" s="32"/>
      <c r="AA127" s="32"/>
      <c r="AB127" s="32"/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>
        <v>10</v>
      </c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40</v>
      </c>
      <c r="BQ127" s="1">
        <v>26</v>
      </c>
      <c r="BR127" s="17">
        <v>4</v>
      </c>
      <c r="BS127" s="17" t="s">
        <v>302</v>
      </c>
      <c r="BT127" s="1" t="str">
        <f>IF(AQ127&gt;AQ$147, AQ127-AQ$147,"")</f>
        <v/>
      </c>
      <c r="BU127" s="1">
        <f>IF(AR127&gt;AR$147, AR127-AR$147,"")</f>
        <v>4</v>
      </c>
      <c r="BV127" s="1" t="str">
        <f>IF(AS127&gt;AS$147, AS127-AS$147,"")</f>
        <v/>
      </c>
      <c r="BW127" s="1" t="str">
        <f>IF(AT127&gt;AT$147, AT127-AT$147,"")</f>
        <v/>
      </c>
      <c r="BX127" s="1" t="str">
        <f>IF(AU127&gt;AU$147, AU127-AU$147,"")</f>
        <v/>
      </c>
      <c r="BY127" s="1" t="str">
        <f>IF(AV127&gt;AV$147, AV127-AV$147,"")</f>
        <v/>
      </c>
      <c r="BZ127" s="1" t="str">
        <f>IF(AW127&gt;AW$147, AW127-AW$147,"")</f>
        <v/>
      </c>
      <c r="CA127" s="1" t="str">
        <f>IF(AX127&gt;AX$147, AX127-AX$147,"")</f>
        <v/>
      </c>
      <c r="CB127" s="1" t="str">
        <f>IF(AY127&gt;AY$147, AY127-AY$147,"")</f>
        <v/>
      </c>
      <c r="CC127" s="1" t="str">
        <f>IF(AZ127&gt;AZ$147, AZ127-AZ$147,"")</f>
        <v/>
      </c>
      <c r="CD127" s="1" t="str">
        <f>IF(BA127&gt;BA$147, BA127-BA$147,"")</f>
        <v/>
      </c>
      <c r="CE127" s="1" t="str">
        <f>IF(BB127&gt;BB$147, BB127-BB$147,"")</f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54" x14ac:dyDescent="0.15">
      <c r="A128" s="1"/>
      <c r="B128" s="1" t="s">
        <v>143</v>
      </c>
      <c r="C128" s="1" t="s">
        <v>131</v>
      </c>
      <c r="D128" s="1" t="s">
        <v>134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>
        <v>10</v>
      </c>
      <c r="P128" s="32"/>
      <c r="Q128" s="32"/>
      <c r="R128" s="32">
        <v>10</v>
      </c>
      <c r="S128" s="32"/>
      <c r="T128" s="32"/>
      <c r="U128" s="32"/>
      <c r="V128" s="32"/>
      <c r="W128" s="32"/>
      <c r="X128" s="32">
        <v>10</v>
      </c>
      <c r="Y128" s="32"/>
      <c r="Z128" s="32"/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>
        <v>10</v>
      </c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40</v>
      </c>
      <c r="BQ128" s="1">
        <v>28</v>
      </c>
      <c r="BR128" s="17">
        <v>4</v>
      </c>
      <c r="BS128" s="17" t="s">
        <v>303</v>
      </c>
      <c r="BT128" s="1" t="str">
        <f>IF(AQ128&gt;AQ$147, AQ128-AQ$147,"")</f>
        <v/>
      </c>
      <c r="BU128" s="1" t="str">
        <f>IF(AR128&gt;AR$147, AR128-AR$147,"")</f>
        <v/>
      </c>
      <c r="BV128" s="1">
        <f>IF(AS128&gt;AS$147, AS128-AS$147,"")</f>
        <v>8</v>
      </c>
      <c r="BW128" s="1" t="str">
        <f>IF(AT128&gt;AT$147, AT128-AT$147,"")</f>
        <v/>
      </c>
      <c r="BX128" s="1" t="str">
        <f>IF(AU128&gt;AU$147, AU128-AU$147,"")</f>
        <v/>
      </c>
      <c r="BY128" s="1" t="str">
        <f>IF(AV128&gt;AV$147, AV128-AV$147,"")</f>
        <v/>
      </c>
      <c r="BZ128" s="1" t="str">
        <f>IF(AW128&gt;AW$147, AW128-AW$147,"")</f>
        <v/>
      </c>
      <c r="CA128" s="1" t="str">
        <f>IF(AX128&gt;AX$147, AX128-AX$147,"")</f>
        <v/>
      </c>
      <c r="CB128" s="1" t="str">
        <f>IF(AY128&gt;AY$147, AY128-AY$147,"")</f>
        <v/>
      </c>
      <c r="CC128" s="1" t="str">
        <f>IF(AZ128&gt;AZ$147, AZ128-AZ$147,"")</f>
        <v/>
      </c>
      <c r="CD128" s="1" t="str">
        <f>IF(BA128&gt;BA$147, BA128-BA$147,"")</f>
        <v/>
      </c>
      <c r="CE128" s="1" t="str">
        <f>IF(BB128&gt;BB$147, BB128-BB$147,"")</f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54" x14ac:dyDescent="0.15">
      <c r="A129" s="1"/>
      <c r="B129" s="1" t="s">
        <v>163</v>
      </c>
      <c r="C129" s="1" t="s">
        <v>161</v>
      </c>
      <c r="D129" s="1" t="s">
        <v>134</v>
      </c>
      <c r="E129" s="6"/>
      <c r="F129" s="6"/>
      <c r="G129" s="6"/>
      <c r="H129" s="6">
        <v>10</v>
      </c>
      <c r="I129" s="6"/>
      <c r="J129" s="6"/>
      <c r="K129" s="6"/>
      <c r="L129" s="6"/>
      <c r="M129" s="6"/>
      <c r="N129" s="6"/>
      <c r="O129" s="6"/>
      <c r="P129" s="32"/>
      <c r="Q129" s="32"/>
      <c r="R129" s="32">
        <v>10</v>
      </c>
      <c r="S129" s="32"/>
      <c r="T129" s="32"/>
      <c r="U129" s="32">
        <v>10</v>
      </c>
      <c r="V129" s="32"/>
      <c r="W129" s="32"/>
      <c r="X129" s="32"/>
      <c r="Y129" s="32"/>
      <c r="Z129" s="32"/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>
        <v>10</v>
      </c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40</v>
      </c>
      <c r="BQ129" s="1">
        <v>32</v>
      </c>
      <c r="BR129" s="17">
        <v>4</v>
      </c>
      <c r="BS129" s="17" t="s">
        <v>304</v>
      </c>
      <c r="BT129" s="1" t="str">
        <f>IF(AQ129&gt;AQ$147, AQ129-AQ$147,"")</f>
        <v/>
      </c>
      <c r="BU129" s="1" t="str">
        <f>IF(AR129&gt;AR$147, AR129-AR$147,"")</f>
        <v/>
      </c>
      <c r="BV129" s="1" t="str">
        <f>IF(AS129&gt;AS$147, AS129-AS$147,"")</f>
        <v/>
      </c>
      <c r="BW129" s="1" t="str">
        <f>IF(AT129&gt;AT$147, AT129-AT$147,"")</f>
        <v/>
      </c>
      <c r="BX129" s="1">
        <f>IF(AU129&gt;AU$147, AU129-AU$147,"")</f>
        <v>4</v>
      </c>
      <c r="BY129" s="1" t="str">
        <f>IF(AV129&gt;AV$147, AV129-AV$147,"")</f>
        <v/>
      </c>
      <c r="BZ129" s="1" t="str">
        <f>IF(AW129&gt;AW$147, AW129-AW$147,"")</f>
        <v/>
      </c>
      <c r="CA129" s="1" t="str">
        <f>IF(AX129&gt;AX$147, AX129-AX$147,"")</f>
        <v/>
      </c>
      <c r="CB129" s="1" t="str">
        <f>IF(AY129&gt;AY$147, AY129-AY$147,"")</f>
        <v/>
      </c>
      <c r="CC129" s="1" t="str">
        <f>IF(AZ129&gt;AZ$147, AZ129-AZ$147,"")</f>
        <v/>
      </c>
      <c r="CD129" s="1" t="str">
        <f>IF(BA129&gt;BA$147, BA129-BA$147,"")</f>
        <v/>
      </c>
      <c r="CE129" s="1" t="str">
        <f>IF(BB129&gt;BB$147, BB129-BB$147,"")</f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54" x14ac:dyDescent="0.15">
      <c r="A130" s="1"/>
      <c r="B130" s="1" t="s">
        <v>149</v>
      </c>
      <c r="C130" s="1" t="s">
        <v>150</v>
      </c>
      <c r="D130" s="1" t="s">
        <v>132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>
        <v>10</v>
      </c>
      <c r="Q130" s="32"/>
      <c r="R130" s="32"/>
      <c r="S130" s="32">
        <v>10</v>
      </c>
      <c r="T130" s="32"/>
      <c r="U130" s="32"/>
      <c r="V130" s="32">
        <v>10</v>
      </c>
      <c r="W130" s="32"/>
      <c r="X130" s="32"/>
      <c r="Y130" s="32">
        <v>10</v>
      </c>
      <c r="Z130" s="32"/>
      <c r="AA130" s="32"/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35</v>
      </c>
      <c r="BR130" s="17">
        <v>4</v>
      </c>
      <c r="BS130" s="17" t="s">
        <v>305</v>
      </c>
      <c r="BT130" s="1" t="str">
        <f>IF(AQ130&gt;AQ$147, AQ130-AQ$147,"")</f>
        <v/>
      </c>
      <c r="BU130" s="1" t="str">
        <f>IF(AR130&gt;AR$147, AR130-AR$147,"")</f>
        <v/>
      </c>
      <c r="BV130" s="1" t="str">
        <f>IF(AS130&gt;AS$147, AS130-AS$147,"")</f>
        <v/>
      </c>
      <c r="BW130" s="1" t="str">
        <f>IF(AT130&gt;AT$147, AT130-AT$147,"")</f>
        <v/>
      </c>
      <c r="BX130" s="1" t="str">
        <f>IF(AU130&gt;AU$147, AU130-AU$147,"")</f>
        <v/>
      </c>
      <c r="BY130" s="1" t="str">
        <f>IF(AV130&gt;AV$147, AV130-AV$147,"")</f>
        <v/>
      </c>
      <c r="BZ130" s="1" t="str">
        <f>IF(AW130&gt;AW$147, AW130-AW$147,"")</f>
        <v/>
      </c>
      <c r="CA130" s="1" t="str">
        <f>IF(AX130&gt;AX$147, AX130-AX$147,"")</f>
        <v/>
      </c>
      <c r="CB130" s="1" t="str">
        <f>IF(AY130&gt;AY$147, AY130-AY$147,"")</f>
        <v/>
      </c>
      <c r="CC130" s="1" t="str">
        <f>IF(AZ130&gt;AZ$147, AZ130-AZ$147,"")</f>
        <v/>
      </c>
      <c r="CD130" s="1" t="str">
        <f>IF(BA130&gt;BA$147, BA130-BA$147,"")</f>
        <v/>
      </c>
      <c r="CE130" s="1" t="str">
        <f>IF(BB130&gt;BB$147, BB130-BB$147,"")</f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54" x14ac:dyDescent="0.15">
      <c r="A131" s="1"/>
      <c r="B131" s="1" t="s">
        <v>155</v>
      </c>
      <c r="C131" s="1" t="s">
        <v>154</v>
      </c>
      <c r="D131" s="1" t="s">
        <v>132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>
        <v>10</v>
      </c>
      <c r="Q131" s="32"/>
      <c r="R131" s="32"/>
      <c r="S131" s="32">
        <v>10</v>
      </c>
      <c r="T131" s="32"/>
      <c r="U131" s="32"/>
      <c r="V131" s="32">
        <v>10</v>
      </c>
      <c r="W131" s="32"/>
      <c r="X131" s="32"/>
      <c r="Y131" s="32">
        <v>10</v>
      </c>
      <c r="Z131" s="32"/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35</v>
      </c>
      <c r="BR131" s="17">
        <v>4</v>
      </c>
      <c r="BS131" s="17" t="s">
        <v>306</v>
      </c>
      <c r="BT131" s="1" t="str">
        <f>IF(AQ131&gt;AQ$147, AQ131-AQ$147,"")</f>
        <v/>
      </c>
      <c r="BU131" s="1" t="str">
        <f>IF(AR131&gt;AR$147, AR131-AR$147,"")</f>
        <v/>
      </c>
      <c r="BV131" s="1" t="str">
        <f>IF(AS131&gt;AS$147, AS131-AS$147,"")</f>
        <v/>
      </c>
      <c r="BW131" s="1" t="str">
        <f>IF(AT131&gt;AT$147, AT131-AT$147,"")</f>
        <v/>
      </c>
      <c r="BX131" s="1" t="str">
        <f>IF(AU131&gt;AU$147, AU131-AU$147,"")</f>
        <v/>
      </c>
      <c r="BY131" s="1" t="str">
        <f>IF(AV131&gt;AV$147, AV131-AV$147,"")</f>
        <v/>
      </c>
      <c r="BZ131" s="1" t="str">
        <f>IF(AW131&gt;AW$147, AW131-AW$147,"")</f>
        <v/>
      </c>
      <c r="CA131" s="1" t="str">
        <f>IF(AX131&gt;AX$147, AX131-AX$147,"")</f>
        <v/>
      </c>
      <c r="CB131" s="1" t="str">
        <f>IF(AY131&gt;AY$147, AY131-AY$147,"")</f>
        <v/>
      </c>
      <c r="CC131" s="1" t="str">
        <f>IF(AZ131&gt;AZ$147, AZ131-AZ$147,"")</f>
        <v/>
      </c>
      <c r="CD131" s="1" t="str">
        <f>IF(BA131&gt;BA$147, BA131-BA$147,"")</f>
        <v/>
      </c>
      <c r="CE131" s="1" t="str">
        <f>IF(BB131&gt;BB$147, BB131-BB$147,"")</f>
        <v/>
      </c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54" x14ac:dyDescent="0.15">
      <c r="A132" s="1"/>
      <c r="B132" s="1" t="s">
        <v>157</v>
      </c>
      <c r="C132" s="1" t="s">
        <v>159</v>
      </c>
      <c r="D132" s="1" t="s">
        <v>132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>
        <v>10</v>
      </c>
      <c r="Q132" s="32"/>
      <c r="R132" s="32"/>
      <c r="S132" s="32">
        <v>10</v>
      </c>
      <c r="T132" s="32"/>
      <c r="U132" s="32"/>
      <c r="V132" s="32">
        <v>10</v>
      </c>
      <c r="W132" s="32"/>
      <c r="X132" s="32"/>
      <c r="Y132" s="32">
        <v>10</v>
      </c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35</v>
      </c>
      <c r="BR132" s="17">
        <v>4</v>
      </c>
      <c r="BS132" s="17" t="s">
        <v>307</v>
      </c>
      <c r="BT132" s="1" t="str">
        <f>IF(AQ132&gt;AQ$147, AQ132-AQ$147,"")</f>
        <v/>
      </c>
      <c r="BU132" s="1" t="str">
        <f>IF(AR132&gt;AR$147, AR132-AR$147,"")</f>
        <v/>
      </c>
      <c r="BV132" s="1" t="str">
        <f>IF(AS132&gt;AS$147, AS132-AS$147,"")</f>
        <v/>
      </c>
      <c r="BW132" s="1" t="str">
        <f>IF(AT132&gt;AT$147, AT132-AT$147,"")</f>
        <v/>
      </c>
      <c r="BX132" s="1" t="str">
        <f>IF(AU132&gt;AU$147, AU132-AU$147,"")</f>
        <v/>
      </c>
      <c r="BY132" s="1" t="str">
        <f>IF(AV132&gt;AV$147, AV132-AV$147,"")</f>
        <v/>
      </c>
      <c r="BZ132" s="1" t="str">
        <f>IF(AW132&gt;AW$147, AW132-AW$147,"")</f>
        <v/>
      </c>
      <c r="CA132" s="1" t="str">
        <f>IF(AX132&gt;AX$147, AX132-AX$147,"")</f>
        <v/>
      </c>
      <c r="CB132" s="1" t="str">
        <f>IF(AY132&gt;AY$147, AY132-AY$147,"")</f>
        <v/>
      </c>
      <c r="CC132" s="1" t="str">
        <f>IF(AZ132&gt;AZ$147, AZ132-AZ$147,"")</f>
        <v/>
      </c>
      <c r="CD132" s="1" t="str">
        <f>IF(BA132&gt;BA$147, BA132-BA$147,"")</f>
        <v/>
      </c>
      <c r="CE132" s="1" t="str">
        <f>IF(BB132&gt;BB$147, BB132-BB$147,"")</f>
        <v/>
      </c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54" x14ac:dyDescent="0.15">
      <c r="A133" s="1"/>
      <c r="B133" s="1" t="s">
        <v>163</v>
      </c>
      <c r="C133" s="1" t="s">
        <v>161</v>
      </c>
      <c r="D133" s="1" t="s">
        <v>132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2">
        <v>10</v>
      </c>
      <c r="Q133" s="32"/>
      <c r="R133" s="32"/>
      <c r="S133" s="32">
        <v>10</v>
      </c>
      <c r="T133" s="32"/>
      <c r="U133" s="32"/>
      <c r="V133" s="32">
        <v>10</v>
      </c>
      <c r="W133" s="32"/>
      <c r="X133" s="32"/>
      <c r="Y133" s="32">
        <v>10</v>
      </c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35</v>
      </c>
      <c r="BR133" s="17">
        <v>4</v>
      </c>
      <c r="BS133" s="17" t="s">
        <v>307</v>
      </c>
      <c r="BT133" s="1" t="str">
        <f>IF(AQ133&gt;AQ$147, AQ133-AQ$147,"")</f>
        <v/>
      </c>
      <c r="BU133" s="1" t="str">
        <f>IF(AR133&gt;AR$147, AR133-AR$147,"")</f>
        <v/>
      </c>
      <c r="BV133" s="1" t="str">
        <f>IF(AS133&gt;AS$147, AS133-AS$147,"")</f>
        <v/>
      </c>
      <c r="BW133" s="1" t="str">
        <f>IF(AT133&gt;AT$147, AT133-AT$147,"")</f>
        <v/>
      </c>
      <c r="BX133" s="1" t="str">
        <f>IF(AU133&gt;AU$147, AU133-AU$147,"")</f>
        <v/>
      </c>
      <c r="BY133" s="1" t="str">
        <f>IF(AV133&gt;AV$147, AV133-AV$147,"")</f>
        <v/>
      </c>
      <c r="BZ133" s="1" t="str">
        <f>IF(AW133&gt;AW$147, AW133-AW$147,"")</f>
        <v/>
      </c>
      <c r="CA133" s="1" t="str">
        <f>IF(AX133&gt;AX$147, AX133-AX$147,"")</f>
        <v/>
      </c>
      <c r="CB133" s="1" t="str">
        <f>IF(AY133&gt;AY$147, AY133-AY$147,"")</f>
        <v/>
      </c>
      <c r="CC133" s="1" t="str">
        <f>IF(AZ133&gt;AZ$147, AZ133-AZ$147,"")</f>
        <v/>
      </c>
      <c r="CD133" s="1" t="str">
        <f>IF(BA133&gt;BA$147, BA133-BA$147,"")</f>
        <v/>
      </c>
      <c r="CE133" s="1" t="str">
        <f>IF(BB133&gt;BB$147, BB133-BB$147,"")</f>
        <v/>
      </c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54" x14ac:dyDescent="0.15">
      <c r="A134" s="1"/>
      <c r="B134" s="1" t="s">
        <v>166</v>
      </c>
      <c r="C134" s="1" t="s">
        <v>161</v>
      </c>
      <c r="D134" s="1" t="s">
        <v>132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2">
        <v>10</v>
      </c>
      <c r="Q134" s="32"/>
      <c r="R134" s="32"/>
      <c r="S134" s="32">
        <v>10</v>
      </c>
      <c r="T134" s="32"/>
      <c r="U134" s="32"/>
      <c r="V134" s="32">
        <v>10</v>
      </c>
      <c r="W134" s="32"/>
      <c r="X134" s="32"/>
      <c r="Y134" s="32">
        <v>10</v>
      </c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35</v>
      </c>
      <c r="BR134" s="17">
        <v>4</v>
      </c>
      <c r="BS134" s="17" t="s">
        <v>306</v>
      </c>
      <c r="BT134" s="1" t="str">
        <f>IF(AQ134&gt;AQ$147, AQ134-AQ$147,"")</f>
        <v/>
      </c>
      <c r="BU134" s="1" t="str">
        <f>IF(AR134&gt;AR$147, AR134-AR$147,"")</f>
        <v/>
      </c>
      <c r="BV134" s="1" t="str">
        <f>IF(AS134&gt;AS$147, AS134-AS$147,"")</f>
        <v/>
      </c>
      <c r="BW134" s="1" t="str">
        <f>IF(AT134&gt;AT$147, AT134-AT$147,"")</f>
        <v/>
      </c>
      <c r="BX134" s="1" t="str">
        <f>IF(AU134&gt;AU$147, AU134-AU$147,"")</f>
        <v/>
      </c>
      <c r="BY134" s="1" t="str">
        <f>IF(AV134&gt;AV$147, AV134-AV$147,"")</f>
        <v/>
      </c>
      <c r="BZ134" s="1" t="str">
        <f>IF(AW134&gt;AW$147, AW134-AW$147,"")</f>
        <v/>
      </c>
      <c r="CA134" s="1" t="str">
        <f>IF(AX134&gt;AX$147, AX134-AX$147,"")</f>
        <v/>
      </c>
      <c r="CB134" s="1" t="str">
        <f>IF(AY134&gt;AY$147, AY134-AY$147,"")</f>
        <v/>
      </c>
      <c r="CC134" s="1" t="str">
        <f>IF(AZ134&gt;AZ$147, AZ134-AZ$147,"")</f>
        <v/>
      </c>
      <c r="CD134" s="1" t="str">
        <f>IF(BA134&gt;BA$147, BA134-BA$147,"")</f>
        <v/>
      </c>
      <c r="CE134" s="1" t="str">
        <f>IF(BB134&gt;BB$147, BB134-BB$147,"")</f>
        <v/>
      </c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54" x14ac:dyDescent="0.15">
      <c r="A135" s="1"/>
      <c r="B135" s="1" t="s">
        <v>167</v>
      </c>
      <c r="C135" s="1" t="s">
        <v>161</v>
      </c>
      <c r="D135" s="1" t="s">
        <v>132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32">
        <v>10</v>
      </c>
      <c r="Q135" s="32"/>
      <c r="R135" s="32"/>
      <c r="S135" s="32">
        <v>10</v>
      </c>
      <c r="T135" s="32"/>
      <c r="U135" s="32"/>
      <c r="V135" s="32">
        <v>10</v>
      </c>
      <c r="W135" s="32"/>
      <c r="X135" s="32"/>
      <c r="Y135" s="32">
        <v>10</v>
      </c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40</v>
      </c>
      <c r="BQ135" s="1">
        <v>35</v>
      </c>
      <c r="BR135" s="17">
        <v>4</v>
      </c>
      <c r="BS135" s="17" t="s">
        <v>307</v>
      </c>
      <c r="BT135" s="1" t="str">
        <f>IF(AQ135&gt;AQ$147, AQ135-AQ$147,"")</f>
        <v/>
      </c>
      <c r="BU135" s="1" t="str">
        <f>IF(AR135&gt;AR$147, AR135-AR$147,"")</f>
        <v/>
      </c>
      <c r="BV135" s="1" t="str">
        <f>IF(AS135&gt;AS$147, AS135-AS$147,"")</f>
        <v/>
      </c>
      <c r="BW135" s="1" t="str">
        <f>IF(AT135&gt;AT$147, AT135-AT$147,"")</f>
        <v/>
      </c>
      <c r="BX135" s="1" t="str">
        <f>IF(AU135&gt;AU$147, AU135-AU$147,"")</f>
        <v/>
      </c>
      <c r="BY135" s="1" t="str">
        <f>IF(AV135&gt;AV$147, AV135-AV$147,"")</f>
        <v/>
      </c>
      <c r="BZ135" s="1" t="str">
        <f>IF(AW135&gt;AW$147, AW135-AW$147,"")</f>
        <v/>
      </c>
      <c r="CA135" s="1" t="str">
        <f>IF(AX135&gt;AX$147, AX135-AX$147,"")</f>
        <v/>
      </c>
      <c r="CB135" s="1" t="str">
        <f>IF(AY135&gt;AY$147, AY135-AY$147,"")</f>
        <v/>
      </c>
      <c r="CC135" s="1" t="str">
        <f>IF(AZ135&gt;AZ$147, AZ135-AZ$147,"")</f>
        <v/>
      </c>
      <c r="CD135" s="1" t="str">
        <f>IF(BA135&gt;BA$147, BA135-BA$147,"")</f>
        <v/>
      </c>
      <c r="CE135" s="1" t="str">
        <f>IF(BB135&gt;BB$147, BB135-BB$147,"")</f>
        <v/>
      </c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54" x14ac:dyDescent="0.15">
      <c r="A136" s="1">
        <v>65</v>
      </c>
      <c r="B136" s="3" t="s">
        <v>65</v>
      </c>
      <c r="C136" s="1" t="s">
        <v>60</v>
      </c>
      <c r="D136" s="1" t="s">
        <v>13</v>
      </c>
      <c r="E136" s="6"/>
      <c r="F136" s="6"/>
      <c r="G136" s="6">
        <v>10</v>
      </c>
      <c r="H136" s="6"/>
      <c r="I136" s="6"/>
      <c r="J136" s="6"/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>
        <v>25</v>
      </c>
      <c r="AO136" s="1"/>
      <c r="AP136" s="1"/>
      <c r="AQ136" s="4"/>
      <c r="AR136" s="4"/>
      <c r="AS136" s="4"/>
      <c r="AT136" s="4"/>
      <c r="AU136" s="4"/>
      <c r="AV136" s="4">
        <v>10</v>
      </c>
      <c r="AW136" s="2"/>
      <c r="AX136" s="2"/>
      <c r="AY136" s="2"/>
      <c r="AZ136" s="2">
        <v>10</v>
      </c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55</v>
      </c>
      <c r="BQ136" s="1">
        <v>47</v>
      </c>
      <c r="BR136" s="17">
        <v>4</v>
      </c>
      <c r="BS136" s="17" t="s">
        <v>309</v>
      </c>
      <c r="BT136" s="1" t="str">
        <f>IF(AQ136&gt;AQ$147, AQ136-AQ$147,"")</f>
        <v/>
      </c>
      <c r="BU136" s="1" t="str">
        <f>IF(AR136&gt;AR$147, AR136-AR$147,"")</f>
        <v/>
      </c>
      <c r="BV136" s="1" t="str">
        <f>IF(AS136&gt;AS$147, AS136-AS$147,"")</f>
        <v/>
      </c>
      <c r="BW136" s="1" t="str">
        <f>IF(AT136&gt;AT$147, AT136-AT$147,"")</f>
        <v/>
      </c>
      <c r="BX136" s="1" t="str">
        <f>IF(AU136&gt;AU$147, AU136-AU$147,"")</f>
        <v/>
      </c>
      <c r="BY136" s="1">
        <f>IF(AV136&gt;AV$147, AV136-AV$147,"")</f>
        <v>2</v>
      </c>
      <c r="BZ136" s="1" t="str">
        <f>IF(AW136&gt;AW$147, AW136-AW$147,"")</f>
        <v/>
      </c>
      <c r="CA136" s="1" t="str">
        <f>IF(AX136&gt;AX$147, AX136-AX$147,"")</f>
        <v/>
      </c>
      <c r="CB136" s="1" t="str">
        <f>IF(AY136&gt;AY$147, AY136-AY$147,"")</f>
        <v/>
      </c>
      <c r="CC136" s="1">
        <f>IF(AZ136&gt;AZ$147, AZ136-AZ$147,"")</f>
        <v>10</v>
      </c>
      <c r="CD136" s="1" t="str">
        <f>IF(BA136&gt;BA$147, BA136-BA$147,"")</f>
        <v/>
      </c>
      <c r="CE136" s="1" t="str">
        <f>IF(BB136&gt;BB$147, BB136-BB$147,"")</f>
        <v/>
      </c>
      <c r="CF136" s="1">
        <f>COUNTIF(BT136:CE136, "&gt;0")</f>
        <v>2</v>
      </c>
      <c r="CG136" s="1" t="str">
        <f>IF($CF136=1,BT136,"")</f>
        <v/>
      </c>
      <c r="CH136" s="1" t="str">
        <f>IF($CF136=1,BU136,"")</f>
        <v/>
      </c>
      <c r="CI136" s="1" t="str">
        <f>IF($CF136=1,BV136,"")</f>
        <v/>
      </c>
      <c r="CJ136" s="1" t="str">
        <f>IF($CF136=1,BW136,"")</f>
        <v/>
      </c>
      <c r="CK136" s="1" t="str">
        <f>IF($CF136=1,BX136,"")</f>
        <v/>
      </c>
      <c r="CL136" s="1" t="str">
        <f>IF($CF136=1,BY136,"")</f>
        <v/>
      </c>
      <c r="CM136" s="1" t="str">
        <f>IF($CF136=1,BZ136,"")</f>
        <v/>
      </c>
      <c r="CN136" s="1" t="str">
        <f>IF($CF136=1,CA136,"")</f>
        <v/>
      </c>
      <c r="CO136" s="1" t="str">
        <f>IF($CF136=1,CB136,"")</f>
        <v/>
      </c>
      <c r="CP136" s="1" t="str">
        <f>IF($CF136=1,CC136,"")</f>
        <v/>
      </c>
      <c r="CQ136" s="1" t="str">
        <f>IF($CF136=1,CD136,"")</f>
        <v/>
      </c>
      <c r="CR136" s="1" t="str">
        <f>IF($CF136=1,CE136,"")</f>
        <v/>
      </c>
      <c r="CS136" s="18">
        <f>SUM(AE136:BO136)</f>
        <v>45</v>
      </c>
    </row>
    <row r="137" spans="1:97" ht="54" x14ac:dyDescent="0.15">
      <c r="A137" s="1"/>
      <c r="B137" s="1" t="s">
        <v>174</v>
      </c>
      <c r="C137" s="1" t="s">
        <v>112</v>
      </c>
      <c r="D137" s="1" t="s">
        <v>114</v>
      </c>
      <c r="E137" s="6">
        <v>10</v>
      </c>
      <c r="F137" s="6"/>
      <c r="G137" s="6">
        <v>10</v>
      </c>
      <c r="H137" s="6"/>
      <c r="I137" s="6"/>
      <c r="J137" s="6"/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>
        <v>15</v>
      </c>
      <c r="AU137" s="4"/>
      <c r="AV137" s="4"/>
      <c r="AW137" s="2"/>
      <c r="AX137" s="2"/>
      <c r="AY137" s="2"/>
      <c r="AZ137" s="2">
        <v>15</v>
      </c>
      <c r="BA137" s="2">
        <v>15</v>
      </c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65</v>
      </c>
      <c r="BQ137" s="1">
        <v>47</v>
      </c>
      <c r="BR137" s="17">
        <v>4</v>
      </c>
      <c r="BS137" s="17" t="s">
        <v>310</v>
      </c>
      <c r="BT137" s="1" t="str">
        <f>IF(AQ137&gt;AQ$147, AQ137-AQ$147,"")</f>
        <v/>
      </c>
      <c r="BU137" s="1" t="str">
        <f>IF(AR137&gt;AR$147, AR137-AR$147,"")</f>
        <v/>
      </c>
      <c r="BV137" s="1" t="str">
        <f>IF(AS137&gt;AS$147, AS137-AS$147,"")</f>
        <v/>
      </c>
      <c r="BW137" s="1">
        <f>IF(AT137&gt;AT$147, AT137-AT$147,"")</f>
        <v>8</v>
      </c>
      <c r="BX137" s="1" t="str">
        <f>IF(AU137&gt;AU$147, AU137-AU$147,"")</f>
        <v/>
      </c>
      <c r="BY137" s="1" t="str">
        <f>IF(AV137&gt;AV$147, AV137-AV$147,"")</f>
        <v/>
      </c>
      <c r="BZ137" s="1" t="str">
        <f>IF(AW137&gt;AW$147, AW137-AW$147,"")</f>
        <v/>
      </c>
      <c r="CA137" s="1" t="str">
        <f>IF(AX137&gt;AX$147, AX137-AX$147,"")</f>
        <v/>
      </c>
      <c r="CB137" s="1" t="str">
        <f>IF(AY137&gt;AY$147, AY137-AY$147,"")</f>
        <v/>
      </c>
      <c r="CC137" s="1">
        <f>IF(AZ137&gt;AZ$147, AZ137-AZ$147,"")</f>
        <v>15</v>
      </c>
      <c r="CD137" s="1">
        <f>IF(BA137&gt;BA$147, BA137-BA$147,"")</f>
        <v>14</v>
      </c>
      <c r="CE137" s="1" t="str">
        <f>IF(BB137&gt;BB$147, BB137-BB$147,"")</f>
        <v/>
      </c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54" x14ac:dyDescent="0.15">
      <c r="A138" s="1">
        <v>54</v>
      </c>
      <c r="B138" s="1" t="s">
        <v>59</v>
      </c>
      <c r="C138" s="1" t="s">
        <v>60</v>
      </c>
      <c r="D138" s="1" t="s">
        <v>1</v>
      </c>
      <c r="E138" s="6"/>
      <c r="F138" s="6">
        <v>15</v>
      </c>
      <c r="G138" s="6"/>
      <c r="H138" s="6">
        <v>15</v>
      </c>
      <c r="I138" s="6"/>
      <c r="J138" s="6"/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>
        <v>15</v>
      </c>
      <c r="AW138" s="2"/>
      <c r="AX138" s="2"/>
      <c r="AY138" s="2"/>
      <c r="AZ138" s="2"/>
      <c r="BA138" s="2">
        <v>15</v>
      </c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60</v>
      </c>
      <c r="BQ138" s="1">
        <v>50</v>
      </c>
      <c r="BR138" s="17">
        <v>4</v>
      </c>
      <c r="BS138" s="17" t="s">
        <v>308</v>
      </c>
      <c r="BT138" s="1" t="str">
        <f>IF(AQ138&gt;AQ$147, AQ138-AQ$147,"")</f>
        <v/>
      </c>
      <c r="BU138" s="1" t="str">
        <f>IF(AR138&gt;AR$147, AR138-AR$147,"")</f>
        <v/>
      </c>
      <c r="BV138" s="1" t="str">
        <f>IF(AS138&gt;AS$147, AS138-AS$147,"")</f>
        <v/>
      </c>
      <c r="BW138" s="1" t="str">
        <f>IF(AT138&gt;AT$147, AT138-AT$147,"")</f>
        <v/>
      </c>
      <c r="BX138" s="1" t="str">
        <f>IF(AU138&gt;AU$147, AU138-AU$147,"")</f>
        <v/>
      </c>
      <c r="BY138" s="1">
        <f>IF(AV138&gt;AV$147, AV138-AV$147,"")</f>
        <v>7</v>
      </c>
      <c r="BZ138" s="1" t="str">
        <f>IF(AW138&gt;AW$147, AW138-AW$147,"")</f>
        <v/>
      </c>
      <c r="CA138" s="1" t="str">
        <f>IF(AX138&gt;AX$147, AX138-AX$147,"")</f>
        <v/>
      </c>
      <c r="CB138" s="1" t="str">
        <f>IF(AY138&gt;AY$147, AY138-AY$147,"")</f>
        <v/>
      </c>
      <c r="CC138" s="1" t="str">
        <f>IF(AZ138&gt;AZ$147, AZ138-AZ$147,"")</f>
        <v/>
      </c>
      <c r="CD138" s="1">
        <f>IF(BA138&gt;BA$147, BA138-BA$147,"")</f>
        <v>14</v>
      </c>
      <c r="CE138" s="1" t="str">
        <f>IF(BB138&gt;BB$147, BB138-BB$147,"")</f>
        <v/>
      </c>
      <c r="CF138" s="1">
        <f>COUNTIF(BT138:CE138, "&gt;0")</f>
        <v>2</v>
      </c>
      <c r="CG138" s="1" t="str">
        <f>IF($CF138=1,BT138,"")</f>
        <v/>
      </c>
      <c r="CH138" s="1" t="str">
        <f>IF($CF138=1,BU138,"")</f>
        <v/>
      </c>
      <c r="CI138" s="1" t="str">
        <f>IF($CF138=1,BV138,"")</f>
        <v/>
      </c>
      <c r="CJ138" s="1" t="str">
        <f>IF($CF138=1,BW138,"")</f>
        <v/>
      </c>
      <c r="CK138" s="1" t="str">
        <f>IF($CF138=1,BX138,"")</f>
        <v/>
      </c>
      <c r="CL138" s="1" t="str">
        <f>IF($CF138=1,BY138,"")</f>
        <v/>
      </c>
      <c r="CM138" s="1" t="str">
        <f>IF($CF138=1,BZ138,"")</f>
        <v/>
      </c>
      <c r="CN138" s="1" t="str">
        <f>IF($CF138=1,CA138,"")</f>
        <v/>
      </c>
      <c r="CO138" s="1" t="str">
        <f>IF($CF138=1,CB138,"")</f>
        <v/>
      </c>
      <c r="CP138" s="1" t="str">
        <f>IF($CF138=1,CC138,"")</f>
        <v/>
      </c>
      <c r="CQ138" s="1" t="str">
        <f>IF($CF138=1,CD138,"")</f>
        <v/>
      </c>
      <c r="CR138" s="1" t="str">
        <f>IF($CF138=1,CE138,"")</f>
        <v/>
      </c>
      <c r="CS138" s="18">
        <f>SUM(AE138:BO138)</f>
        <v>30</v>
      </c>
    </row>
    <row r="139" spans="1:97" ht="54" x14ac:dyDescent="0.15">
      <c r="A139" s="1">
        <v>23</v>
      </c>
      <c r="B139" s="1" t="s">
        <v>108</v>
      </c>
      <c r="C139" s="1" t="s">
        <v>32</v>
      </c>
      <c r="D139" s="1" t="s">
        <v>40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>
        <v>50</v>
      </c>
      <c r="BK139" s="1">
        <v>50</v>
      </c>
      <c r="BL139" s="1"/>
      <c r="BM139" s="1"/>
      <c r="BN139" s="1">
        <v>50</v>
      </c>
      <c r="BO139" s="1">
        <v>50</v>
      </c>
      <c r="BP139" s="1">
        <f>SUM(E139:BO139)</f>
        <v>200</v>
      </c>
      <c r="BQ139" s="1">
        <v>174</v>
      </c>
      <c r="BR139" s="17">
        <v>4</v>
      </c>
      <c r="BS139" s="17" t="s">
        <v>311</v>
      </c>
      <c r="BT139" s="1" t="str">
        <f>IF(AQ139&gt;AQ$147, AQ139-AQ$147,"")</f>
        <v/>
      </c>
      <c r="BU139" s="1" t="str">
        <f>IF(AR139&gt;AR$147, AR139-AR$147,"")</f>
        <v/>
      </c>
      <c r="BV139" s="1" t="str">
        <f>IF(AS139&gt;AS$147, AS139-AS$147,"")</f>
        <v/>
      </c>
      <c r="BW139" s="1" t="str">
        <f>IF(AT139&gt;AT$147, AT139-AT$147,"")</f>
        <v/>
      </c>
      <c r="BX139" s="1" t="str">
        <f>IF(AU139&gt;AU$147, AU139-AU$147,"")</f>
        <v/>
      </c>
      <c r="BY139" s="1" t="str">
        <f>IF(AV139&gt;AV$147, AV139-AV$147,"")</f>
        <v/>
      </c>
      <c r="BZ139" s="1" t="str">
        <f>IF(AW139&gt;AW$147, AW139-AW$147,"")</f>
        <v/>
      </c>
      <c r="CA139" s="1" t="str">
        <f>IF(AX139&gt;AX$147, AX139-AX$147,"")</f>
        <v/>
      </c>
      <c r="CB139" s="1" t="str">
        <f>IF(AY139&gt;AY$147, AY139-AY$147,"")</f>
        <v/>
      </c>
      <c r="CC139" s="1" t="str">
        <f>IF(AZ139&gt;AZ$147, AZ139-AZ$147,"")</f>
        <v/>
      </c>
      <c r="CD139" s="1" t="str">
        <f>IF(BA139&gt;BA$147, BA139-BA$147,"")</f>
        <v/>
      </c>
      <c r="CE139" s="1" t="str">
        <f>IF(BB139&gt;BB$147, BB139-BB$147,"")</f>
        <v/>
      </c>
      <c r="CF139" s="1">
        <f>COUNTIF(BT139:CE139, "&gt;0")</f>
        <v>0</v>
      </c>
      <c r="CG139" s="1" t="str">
        <f>IF($CF139=1,BT139,"")</f>
        <v/>
      </c>
      <c r="CH139" s="1" t="str">
        <f>IF($CF139=1,BU139,"")</f>
        <v/>
      </c>
      <c r="CI139" s="1" t="str">
        <f>IF($CF139=1,BV139,"")</f>
        <v/>
      </c>
      <c r="CJ139" s="1" t="str">
        <f>IF($CF139=1,BW139,"")</f>
        <v/>
      </c>
      <c r="CK139" s="1" t="str">
        <f>IF($CF139=1,BX139,"")</f>
        <v/>
      </c>
      <c r="CL139" s="1" t="str">
        <f>IF($CF139=1,BY139,"")</f>
        <v/>
      </c>
      <c r="CM139" s="1" t="str">
        <f>IF($CF139=1,BZ139,"")</f>
        <v/>
      </c>
      <c r="CN139" s="1" t="str">
        <f>IF($CF139=1,CA139,"")</f>
        <v/>
      </c>
      <c r="CO139" s="1" t="str">
        <f>IF($CF139=1,CB139,"")</f>
        <v/>
      </c>
      <c r="CP139" s="1" t="str">
        <f>IF($CF139=1,CC139,"")</f>
        <v/>
      </c>
      <c r="CQ139" s="1" t="str">
        <f>IF($CF139=1,CD139,"")</f>
        <v/>
      </c>
      <c r="CR139" s="1" t="str">
        <f>IF($CF139=1,CE139,"")</f>
        <v/>
      </c>
      <c r="CS139" s="18">
        <f>SUM(AE139:BO139)</f>
        <v>200</v>
      </c>
    </row>
    <row r="140" spans="1:97" ht="54" x14ac:dyDescent="0.15">
      <c r="A140" s="1"/>
      <c r="B140" s="1" t="s">
        <v>189</v>
      </c>
      <c r="C140" s="1" t="s">
        <v>124</v>
      </c>
      <c r="D140" s="1" t="s">
        <v>125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>
        <v>50</v>
      </c>
      <c r="BK140" s="1">
        <v>50</v>
      </c>
      <c r="BL140" s="1"/>
      <c r="BM140" s="1"/>
      <c r="BN140" s="1">
        <v>50</v>
      </c>
      <c r="BO140" s="1">
        <v>50</v>
      </c>
      <c r="BP140" s="1">
        <f>SUM(E140:BO140)</f>
        <v>200</v>
      </c>
      <c r="BQ140" s="1">
        <v>174</v>
      </c>
      <c r="BR140" s="17">
        <v>4</v>
      </c>
      <c r="BS140" s="17" t="s">
        <v>311</v>
      </c>
      <c r="BT140" s="1" t="str">
        <f>IF(AQ140&gt;AQ$147, AQ140-AQ$147,"")</f>
        <v/>
      </c>
      <c r="BU140" s="1" t="str">
        <f>IF(AR140&gt;AR$147, AR140-AR$147,"")</f>
        <v/>
      </c>
      <c r="BV140" s="1" t="str">
        <f>IF(AS140&gt;AS$147, AS140-AS$147,"")</f>
        <v/>
      </c>
      <c r="BW140" s="1" t="str">
        <f>IF(AT140&gt;AT$147, AT140-AT$147,"")</f>
        <v/>
      </c>
      <c r="BX140" s="1" t="str">
        <f>IF(AU140&gt;AU$147, AU140-AU$147,"")</f>
        <v/>
      </c>
      <c r="BY140" s="1" t="str">
        <f>IF(AV140&gt;AV$147, AV140-AV$147,"")</f>
        <v/>
      </c>
      <c r="BZ140" s="1" t="str">
        <f>IF(AW140&gt;AW$147, AW140-AW$147,"")</f>
        <v/>
      </c>
      <c r="CA140" s="1" t="str">
        <f>IF(AX140&gt;AX$147, AX140-AX$147,"")</f>
        <v/>
      </c>
      <c r="CB140" s="1" t="str">
        <f>IF(AY140&gt;AY$147, AY140-AY$147,"")</f>
        <v/>
      </c>
      <c r="CC140" s="1" t="str">
        <f>IF(AZ140&gt;AZ$147, AZ140-AZ$147,"")</f>
        <v/>
      </c>
      <c r="CD140" s="1" t="str">
        <f>IF(BA140&gt;BA$147, BA140-BA$147,"")</f>
        <v/>
      </c>
      <c r="CE140" s="1" t="str">
        <f>IF(BB140&gt;BB$147, BB140-BB$147,"")</f>
        <v/>
      </c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8"/>
    </row>
    <row r="141" spans="1:97" ht="54" x14ac:dyDescent="0.15">
      <c r="A141" s="1"/>
      <c r="B141" s="1" t="s">
        <v>187</v>
      </c>
      <c r="C141" s="1" t="s">
        <v>160</v>
      </c>
      <c r="D141" s="1" t="s">
        <v>40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>
        <v>50</v>
      </c>
      <c r="BK141" s="1">
        <v>50</v>
      </c>
      <c r="BL141" s="1"/>
      <c r="BM141" s="1"/>
      <c r="BN141" s="1">
        <v>50</v>
      </c>
      <c r="BO141" s="1">
        <v>50</v>
      </c>
      <c r="BP141" s="1">
        <f>SUM(E141:BO141)</f>
        <v>200</v>
      </c>
      <c r="BQ141" s="1">
        <v>174</v>
      </c>
      <c r="BR141" s="17">
        <v>4</v>
      </c>
      <c r="BS141" s="17" t="s">
        <v>311</v>
      </c>
      <c r="BT141" s="1" t="str">
        <f>IF(AQ141&gt;AQ$147, AQ141-AQ$147,"")</f>
        <v/>
      </c>
      <c r="BU141" s="1" t="str">
        <f>IF(AR141&gt;AR$147, AR141-AR$147,"")</f>
        <v/>
      </c>
      <c r="BV141" s="1" t="str">
        <f>IF(AS141&gt;AS$147, AS141-AS$147,"")</f>
        <v/>
      </c>
      <c r="BW141" s="1" t="str">
        <f>IF(AT141&gt;AT$147, AT141-AT$147,"")</f>
        <v/>
      </c>
      <c r="BX141" s="1" t="str">
        <f>IF(AU141&gt;AU$147, AU141-AU$147,"")</f>
        <v/>
      </c>
      <c r="BY141" s="1" t="str">
        <f>IF(AV141&gt;AV$147, AV141-AV$147,"")</f>
        <v/>
      </c>
      <c r="BZ141" s="1" t="str">
        <f>IF(AW141&gt;AW$147, AW141-AW$147,"")</f>
        <v/>
      </c>
      <c r="CA141" s="1" t="str">
        <f>IF(AX141&gt;AX$147, AX141-AX$147,"")</f>
        <v/>
      </c>
      <c r="CB141" s="1" t="str">
        <f>IF(AY141&gt;AY$147, AY141-AY$147,"")</f>
        <v/>
      </c>
      <c r="CC141" s="1" t="str">
        <f>IF(AZ141&gt;AZ$147, AZ141-AZ$147,"")</f>
        <v/>
      </c>
      <c r="CD141" s="1" t="str">
        <f>IF(BA141&gt;BA$147, BA141-BA$147,"")</f>
        <v/>
      </c>
      <c r="CE141" s="1" t="str">
        <f>IF(BB141&gt;BB$147, BB141-BB$147,"")</f>
        <v/>
      </c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54" x14ac:dyDescent="0.15">
      <c r="A142" s="1">
        <v>102</v>
      </c>
      <c r="B142" s="3" t="s">
        <v>106</v>
      </c>
      <c r="C142" s="3" t="s">
        <v>74</v>
      </c>
      <c r="D142" s="1" t="s">
        <v>40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>
        <v>50</v>
      </c>
      <c r="BK142" s="1">
        <v>50</v>
      </c>
      <c r="BL142" s="1"/>
      <c r="BM142" s="1"/>
      <c r="BN142" s="1">
        <v>50</v>
      </c>
      <c r="BO142" s="1">
        <v>50</v>
      </c>
      <c r="BP142" s="1">
        <f>SUM(E142:BO142)</f>
        <v>200</v>
      </c>
      <c r="BQ142" s="1">
        <v>174</v>
      </c>
      <c r="BR142" s="17">
        <v>4</v>
      </c>
      <c r="BS142" s="17" t="s">
        <v>311</v>
      </c>
      <c r="BT142" s="1" t="str">
        <f>IF(AQ142&gt;AQ$147, AQ142-AQ$147,"")</f>
        <v/>
      </c>
      <c r="BU142" s="1" t="str">
        <f>IF(AR142&gt;AR$147, AR142-AR$147,"")</f>
        <v/>
      </c>
      <c r="BV142" s="1" t="str">
        <f>IF(AS142&gt;AS$147, AS142-AS$147,"")</f>
        <v/>
      </c>
      <c r="BW142" s="1" t="str">
        <f>IF(AT142&gt;AT$147, AT142-AT$147,"")</f>
        <v/>
      </c>
      <c r="BX142" s="1" t="str">
        <f>IF(AU142&gt;AU$147, AU142-AU$147,"")</f>
        <v/>
      </c>
      <c r="BY142" s="1" t="str">
        <f>IF(AV142&gt;AV$147, AV142-AV$147,"")</f>
        <v/>
      </c>
      <c r="BZ142" s="1" t="str">
        <f>IF(AW142&gt;AW$147, AW142-AW$147,"")</f>
        <v/>
      </c>
      <c r="CA142" s="1" t="str">
        <f>IF(AX142&gt;AX$147, AX142-AX$147,"")</f>
        <v/>
      </c>
      <c r="CB142" s="1" t="str">
        <f>IF(AY142&gt;AY$147, AY142-AY$147,"")</f>
        <v/>
      </c>
      <c r="CC142" s="1" t="str">
        <f>IF(AZ142&gt;AZ$147, AZ142-AZ$147,"")</f>
        <v/>
      </c>
      <c r="CD142" s="1" t="str">
        <f>IF(BA142&gt;BA$147, BA142-BA$147,"")</f>
        <v/>
      </c>
      <c r="CE142" s="1" t="str">
        <f>IF(BB142&gt;BB$147, BB142-BB$147,"")</f>
        <v/>
      </c>
      <c r="CF142" s="1">
        <f>COUNTIF(BT142:CE142, "&gt;0")</f>
        <v>0</v>
      </c>
      <c r="CG142" s="1" t="str">
        <f>IF($CF142=1,BT142,"")</f>
        <v/>
      </c>
      <c r="CH142" s="1" t="str">
        <f>IF($CF142=1,BU142,"")</f>
        <v/>
      </c>
      <c r="CI142" s="1" t="str">
        <f>IF($CF142=1,BV142,"")</f>
        <v/>
      </c>
      <c r="CJ142" s="1" t="str">
        <f>IF($CF142=1,BW142,"")</f>
        <v/>
      </c>
      <c r="CK142" s="1" t="str">
        <f>IF($CF142=1,BX142,"")</f>
        <v/>
      </c>
      <c r="CL142" s="1" t="str">
        <f>IF($CF142=1,BY142,"")</f>
        <v/>
      </c>
      <c r="CM142" s="1" t="str">
        <f>IF($CF142=1,BZ142,"")</f>
        <v/>
      </c>
      <c r="CN142" s="1" t="str">
        <f>IF($CF142=1,CA142,"")</f>
        <v/>
      </c>
      <c r="CO142" s="1" t="str">
        <f>IF($CF142=1,CB142,"")</f>
        <v/>
      </c>
      <c r="CP142" s="1" t="str">
        <f>IF($CF142=1,CC142,"")</f>
        <v/>
      </c>
      <c r="CQ142" s="1" t="str">
        <f>IF($CF142=1,CD142,"")</f>
        <v/>
      </c>
      <c r="CR142" s="1" t="str">
        <f>IF($CF142=1,CE142,"")</f>
        <v/>
      </c>
      <c r="CS142" s="18">
        <f>SUM(AE142:BO142)</f>
        <v>200</v>
      </c>
    </row>
    <row r="143" spans="1:97" ht="54" x14ac:dyDescent="0.15">
      <c r="A143" s="1">
        <v>85</v>
      </c>
      <c r="B143" s="3" t="s">
        <v>73</v>
      </c>
      <c r="C143" s="3" t="s">
        <v>68</v>
      </c>
      <c r="D143" s="1" t="s">
        <v>40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>
        <v>50</v>
      </c>
      <c r="BM143" s="1">
        <v>50</v>
      </c>
      <c r="BN143" s="1">
        <v>50</v>
      </c>
      <c r="BO143" s="1">
        <v>50</v>
      </c>
      <c r="BP143" s="1">
        <f>SUM(E143:BO143)</f>
        <v>200</v>
      </c>
      <c r="BQ143" s="1">
        <v>175</v>
      </c>
      <c r="BR143" s="17">
        <v>4</v>
      </c>
      <c r="BS143" s="17" t="s">
        <v>312</v>
      </c>
      <c r="BT143" s="1" t="str">
        <f>IF(AQ143&gt;AQ$147, AQ143-AQ$147,"")</f>
        <v/>
      </c>
      <c r="BU143" s="1" t="str">
        <f>IF(AR143&gt;AR$147, AR143-AR$147,"")</f>
        <v/>
      </c>
      <c r="BV143" s="1" t="str">
        <f>IF(AS143&gt;AS$147, AS143-AS$147,"")</f>
        <v/>
      </c>
      <c r="BW143" s="1" t="str">
        <f>IF(AT143&gt;AT$147, AT143-AT$147,"")</f>
        <v/>
      </c>
      <c r="BX143" s="1" t="str">
        <f>IF(AU143&gt;AU$147, AU143-AU$147,"")</f>
        <v/>
      </c>
      <c r="BY143" s="1" t="str">
        <f>IF(AV143&gt;AV$147, AV143-AV$147,"")</f>
        <v/>
      </c>
      <c r="BZ143" s="1" t="str">
        <f>IF(AW143&gt;AW$147, AW143-AW$147,"")</f>
        <v/>
      </c>
      <c r="CA143" s="1" t="str">
        <f>IF(AX143&gt;AX$147, AX143-AX$147,"")</f>
        <v/>
      </c>
      <c r="CB143" s="1" t="str">
        <f>IF(AY143&gt;AY$147, AY143-AY$147,"")</f>
        <v/>
      </c>
      <c r="CC143" s="1" t="str">
        <f>IF(AZ143&gt;AZ$147, AZ143-AZ$147,"")</f>
        <v/>
      </c>
      <c r="CD143" s="1" t="str">
        <f>IF(BA143&gt;BA$147, BA143-BA$147,"")</f>
        <v/>
      </c>
      <c r="CE143" s="1" t="str">
        <f>IF(BB143&gt;BB$147, BB143-BB$147,"")</f>
        <v/>
      </c>
      <c r="CF143" s="1">
        <f>COUNTIF(BT143:CE143, "&gt;0")</f>
        <v>0</v>
      </c>
      <c r="CG143" s="1" t="str">
        <f>IF($CF143=1,BT143,"")</f>
        <v/>
      </c>
      <c r="CH143" s="1" t="str">
        <f>IF($CF143=1,BU143,"")</f>
        <v/>
      </c>
      <c r="CI143" s="1" t="str">
        <f>IF($CF143=1,BV143,"")</f>
        <v/>
      </c>
      <c r="CJ143" s="1" t="str">
        <f>IF($CF143=1,BW143,"")</f>
        <v/>
      </c>
      <c r="CK143" s="1" t="str">
        <f>IF($CF143=1,BX143,"")</f>
        <v/>
      </c>
      <c r="CL143" s="1" t="str">
        <f>IF($CF143=1,BY143,"")</f>
        <v/>
      </c>
      <c r="CM143" s="1" t="str">
        <f>IF($CF143=1,BZ143,"")</f>
        <v/>
      </c>
      <c r="CN143" s="1" t="str">
        <f>IF($CF143=1,CA143,"")</f>
        <v/>
      </c>
      <c r="CO143" s="1" t="str">
        <f>IF($CF143=1,CB143,"")</f>
        <v/>
      </c>
      <c r="CP143" s="1" t="str">
        <f>IF($CF143=1,CC143,"")</f>
        <v/>
      </c>
      <c r="CQ143" s="1" t="str">
        <f>IF($CF143=1,CD143,"")</f>
        <v/>
      </c>
      <c r="CR143" s="1" t="str">
        <f>IF($CF143=1,CE143,"")</f>
        <v/>
      </c>
      <c r="CS143" s="18">
        <f>SUM(AE143:BO143)</f>
        <v>200</v>
      </c>
    </row>
    <row r="144" spans="1:97" ht="54" x14ac:dyDescent="0.15">
      <c r="A144" s="1"/>
      <c r="B144" s="1" t="s">
        <v>206</v>
      </c>
      <c r="C144" s="1" t="s">
        <v>128</v>
      </c>
      <c r="D144" s="1" t="s">
        <v>125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>
        <v>50</v>
      </c>
      <c r="BM144" s="1">
        <v>50</v>
      </c>
      <c r="BN144" s="1">
        <v>50</v>
      </c>
      <c r="BO144" s="1">
        <v>50</v>
      </c>
      <c r="BP144" s="1">
        <f>SUM(E144:BO144)</f>
        <v>200</v>
      </c>
      <c r="BQ144" s="1">
        <v>175</v>
      </c>
      <c r="BR144" s="17">
        <v>4</v>
      </c>
      <c r="BS144" s="17" t="s">
        <v>312</v>
      </c>
      <c r="BT144" s="1" t="str">
        <f>IF(AQ144&gt;AQ$147, AQ144-AQ$147,"")</f>
        <v/>
      </c>
      <c r="BU144" s="1" t="str">
        <f>IF(AR144&gt;AR$147, AR144-AR$147,"")</f>
        <v/>
      </c>
      <c r="BV144" s="1" t="str">
        <f>IF(AS144&gt;AS$147, AS144-AS$147,"")</f>
        <v/>
      </c>
      <c r="BW144" s="1" t="str">
        <f>IF(AT144&gt;AT$147, AT144-AT$147,"")</f>
        <v/>
      </c>
      <c r="BX144" s="1" t="str">
        <f>IF(AU144&gt;AU$147, AU144-AU$147,"")</f>
        <v/>
      </c>
      <c r="BY144" s="1" t="str">
        <f>IF(AV144&gt;AV$147, AV144-AV$147,"")</f>
        <v/>
      </c>
      <c r="BZ144" s="1" t="str">
        <f>IF(AW144&gt;AW$147, AW144-AW$147,"")</f>
        <v/>
      </c>
      <c r="CA144" s="1" t="str">
        <f>IF(AX144&gt;AX$147, AX144-AX$147,"")</f>
        <v/>
      </c>
      <c r="CB144" s="1" t="str">
        <f>IF(AY144&gt;AY$147, AY144-AY$147,"")</f>
        <v/>
      </c>
      <c r="CC144" s="1" t="str">
        <f>IF(AZ144&gt;AZ$147, AZ144-AZ$147,"")</f>
        <v/>
      </c>
      <c r="CD144" s="1" t="str">
        <f>IF(BA144&gt;BA$147, BA144-BA$147,"")</f>
        <v/>
      </c>
      <c r="CE144" s="1" t="str">
        <f>IF(BB144&gt;BB$147, BB144-BB$147,"")</f>
        <v/>
      </c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54" x14ac:dyDescent="0.15">
      <c r="A145" s="1"/>
      <c r="B145" s="1" t="s">
        <v>207</v>
      </c>
      <c r="C145" s="1" t="s">
        <v>128</v>
      </c>
      <c r="D145" s="1" t="s">
        <v>125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>
        <v>50</v>
      </c>
      <c r="BM145" s="1">
        <v>50</v>
      </c>
      <c r="BN145" s="1">
        <v>50</v>
      </c>
      <c r="BO145" s="1">
        <v>50</v>
      </c>
      <c r="BP145" s="1">
        <f>SUM(E145:BO145)</f>
        <v>200</v>
      </c>
      <c r="BQ145" s="1">
        <v>175</v>
      </c>
      <c r="BR145" s="17">
        <v>4</v>
      </c>
      <c r="BS145" s="17" t="s">
        <v>314</v>
      </c>
      <c r="BT145" s="1" t="str">
        <f>IF(AQ145&gt;AQ$147, AQ145-AQ$147,"")</f>
        <v/>
      </c>
      <c r="BU145" s="1" t="str">
        <f>IF(AR145&gt;AR$147, AR145-AR$147,"")</f>
        <v/>
      </c>
      <c r="BV145" s="1" t="str">
        <f>IF(AS145&gt;AS$147, AS145-AS$147,"")</f>
        <v/>
      </c>
      <c r="BW145" s="1" t="str">
        <f>IF(AT145&gt;AT$147, AT145-AT$147,"")</f>
        <v/>
      </c>
      <c r="BX145" s="1" t="str">
        <f>IF(AU145&gt;AU$147, AU145-AU$147,"")</f>
        <v/>
      </c>
      <c r="BY145" s="1" t="str">
        <f>IF(AV145&gt;AV$147, AV145-AV$147,"")</f>
        <v/>
      </c>
      <c r="BZ145" s="1" t="str">
        <f>IF(AW145&gt;AW$147, AW145-AW$147,"")</f>
        <v/>
      </c>
      <c r="CA145" s="1" t="str">
        <f>IF(AX145&gt;AX$147, AX145-AX$147,"")</f>
        <v/>
      </c>
      <c r="CB145" s="1" t="str">
        <f>IF(AY145&gt;AY$147, AY145-AY$147,"")</f>
        <v/>
      </c>
      <c r="CC145" s="1" t="str">
        <f>IF(AZ145&gt;AZ$147, AZ145-AZ$147,"")</f>
        <v/>
      </c>
      <c r="CD145" s="1" t="str">
        <f>IF(BA145&gt;BA$147, BA145-BA$147,"")</f>
        <v/>
      </c>
      <c r="CE145" s="1" t="str">
        <f>IF(BB145&gt;BB$147, BB145-BB$147,"")</f>
        <v/>
      </c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x14ac:dyDescent="0.15">
      <c r="A146" s="1"/>
      <c r="B146" s="1" t="s">
        <v>76</v>
      </c>
      <c r="C146" s="1"/>
      <c r="D146" s="1"/>
      <c r="E146" s="6">
        <f>SUM(E2:E145)</f>
        <v>178</v>
      </c>
      <c r="F146" s="6">
        <f>SUM(F2:F145)</f>
        <v>84</v>
      </c>
      <c r="G146" s="6">
        <f>SUM(G2:G145)</f>
        <v>209</v>
      </c>
      <c r="H146" s="6">
        <f>SUM(H2:H145)</f>
        <v>184</v>
      </c>
      <c r="I146" s="6">
        <f>SUM(I2:I145)</f>
        <v>67</v>
      </c>
      <c r="J146" s="6">
        <f>SUM(J2:J145)</f>
        <v>76</v>
      </c>
      <c r="K146" s="6">
        <f>SUM(K2:K145)</f>
        <v>34</v>
      </c>
      <c r="L146" s="6">
        <f>SUM(L2:L145)</f>
        <v>88</v>
      </c>
      <c r="M146" s="6">
        <f>SUM(M2:M145)</f>
        <v>42</v>
      </c>
      <c r="N146" s="6">
        <f>SUM(N2:N145)</f>
        <v>32</v>
      </c>
      <c r="O146" s="6">
        <f>SUM(O2:O145)</f>
        <v>89</v>
      </c>
      <c r="P146" s="32">
        <f>SUM(P2:P145)</f>
        <v>130</v>
      </c>
      <c r="Q146" s="32">
        <f>SUM(Q2:Q145)</f>
        <v>76</v>
      </c>
      <c r="R146" s="32">
        <f>SUM(R2:R145)</f>
        <v>83</v>
      </c>
      <c r="S146" s="32">
        <f>SUM(S2:S145)</f>
        <v>130</v>
      </c>
      <c r="T146" s="32">
        <f>SUM(T2:T145)</f>
        <v>61</v>
      </c>
      <c r="U146" s="32">
        <f>SUM(U2:U145)</f>
        <v>62</v>
      </c>
      <c r="V146" s="32">
        <f>SUM(V2:V145)</f>
        <v>135</v>
      </c>
      <c r="W146" s="32">
        <f>SUM(W2:W145)</f>
        <v>35</v>
      </c>
      <c r="X146" s="32">
        <f>SUM(X2:X145)</f>
        <v>59</v>
      </c>
      <c r="Y146" s="32">
        <f>SUM(Y2:Y145)</f>
        <v>125</v>
      </c>
      <c r="Z146" s="32">
        <f>SUM(Z2:Z145)</f>
        <v>50</v>
      </c>
      <c r="AA146" s="32">
        <f>SUM(AA2:AA145)</f>
        <v>35</v>
      </c>
      <c r="AB146" s="32">
        <f>SUM(AB2:AB145)</f>
        <v>140</v>
      </c>
      <c r="AC146" s="32">
        <f>SUM(AC2:AC145)</f>
        <v>30</v>
      </c>
      <c r="AD146" s="32">
        <f>SUM(AD2:AD145)</f>
        <v>22</v>
      </c>
      <c r="AE146" s="1">
        <f>SUM(AE2:AE145)</f>
        <v>265</v>
      </c>
      <c r="AF146" s="1">
        <f>SUM(AF2:AF145)</f>
        <v>10</v>
      </c>
      <c r="AG146" s="1">
        <f>SUM(AG2:AG145)</f>
        <v>15</v>
      </c>
      <c r="AH146" s="1">
        <f>SUM(AH2:AH145)</f>
        <v>30</v>
      </c>
      <c r="AI146" s="1">
        <f>SUM(AI2:AI145)</f>
        <v>30</v>
      </c>
      <c r="AJ146" s="1">
        <f>SUM(AJ2:AJ145)</f>
        <v>5</v>
      </c>
      <c r="AK146" s="1">
        <f>SUM(AK2:AK145)</f>
        <v>0</v>
      </c>
      <c r="AL146" s="1">
        <f>SUM(AL2:AL145)</f>
        <v>0</v>
      </c>
      <c r="AM146" s="1">
        <f>SUM(AM2:AM145)</f>
        <v>20</v>
      </c>
      <c r="AN146" s="1">
        <f>SUM(AN2:AN145)</f>
        <v>50</v>
      </c>
      <c r="AO146" s="1">
        <f>SUM(AO2:AO145)</f>
        <v>25</v>
      </c>
      <c r="AP146" s="1">
        <f>SUM(AP2:AP145)</f>
        <v>26</v>
      </c>
      <c r="AQ146" s="4">
        <f>SUM(AQ2:AQ145)</f>
        <v>100</v>
      </c>
      <c r="AR146" s="4">
        <f>SUM(AR2:AR145)</f>
        <v>120</v>
      </c>
      <c r="AS146" s="4">
        <f>SUM(AS2:AS145)</f>
        <v>80</v>
      </c>
      <c r="AT146" s="4">
        <f>SUM(AT2:AT145)</f>
        <v>93</v>
      </c>
      <c r="AU146" s="4">
        <f>SUM(AU2:AU145)</f>
        <v>48</v>
      </c>
      <c r="AV146" s="4">
        <f>SUM(AV2:AV145)</f>
        <v>125</v>
      </c>
      <c r="AW146" s="2">
        <f>SUM(AW2:AW145)</f>
        <v>128</v>
      </c>
      <c r="AX146" s="2">
        <f>SUM(AX2:AX145)</f>
        <v>80</v>
      </c>
      <c r="AY146" s="2">
        <f>SUM(AY2:AY145)</f>
        <v>43</v>
      </c>
      <c r="AZ146" s="2">
        <f>SUM(AZ2:AZ145)</f>
        <v>75</v>
      </c>
      <c r="BA146" s="2">
        <f>SUM(BA2:BA145)</f>
        <v>195</v>
      </c>
      <c r="BB146" s="2">
        <f>SUM(BB2:BB145)</f>
        <v>375</v>
      </c>
      <c r="BC146" s="1">
        <f>SUM(BC2:BC145)</f>
        <v>10</v>
      </c>
      <c r="BD146" s="1">
        <f>SUM(BD2:BD145)</f>
        <v>150</v>
      </c>
      <c r="BE146" s="1">
        <f>SUM(BE2:BE145)</f>
        <v>100</v>
      </c>
      <c r="BF146" s="1">
        <f>SUM(BF2:BF145)</f>
        <v>120</v>
      </c>
      <c r="BG146" s="1">
        <f>SUM(BG2:BG145)</f>
        <v>120</v>
      </c>
      <c r="BH146" s="1">
        <f>SUM(BH2:BH145)</f>
        <v>110</v>
      </c>
      <c r="BI146" s="1">
        <f>SUM(BI2:BI145)</f>
        <v>90</v>
      </c>
      <c r="BJ146" s="1">
        <f>SUM(BJ2:BJ145)</f>
        <v>200</v>
      </c>
      <c r="BK146" s="1">
        <f>SUM(BK2:BK145)</f>
        <v>200</v>
      </c>
      <c r="BL146" s="1">
        <f>SUM(BL2:BL145)</f>
        <v>150</v>
      </c>
      <c r="BM146" s="1">
        <f>SUM(BM2:BM145)</f>
        <v>150</v>
      </c>
      <c r="BN146" s="1">
        <f>SUM(BN2:BN145)</f>
        <v>350</v>
      </c>
      <c r="BO146" s="1">
        <f>SUM(BO2:BO145)</f>
        <v>350</v>
      </c>
      <c r="BP146" s="1"/>
      <c r="BQ146" s="1"/>
      <c r="BR146" s="17"/>
      <c r="BS146" s="17"/>
      <c r="BT146" s="1">
        <f>MIN(BT2:BT145)</f>
        <v>1</v>
      </c>
      <c r="BU146" s="1">
        <f>MIN(BU2:BU145)</f>
        <v>4</v>
      </c>
      <c r="BV146" s="1">
        <f>MIN(BV2:BV145)</f>
        <v>3</v>
      </c>
      <c r="BW146" s="1">
        <f>MIN(BW2:BW145)</f>
        <v>1</v>
      </c>
      <c r="BX146" s="1">
        <f>MIN(BX2:BX145)</f>
        <v>2</v>
      </c>
      <c r="BY146" s="1">
        <f>MIN(BY2:BY145)</f>
        <v>2</v>
      </c>
      <c r="BZ146" s="1">
        <f>MIN(BZ2:BZ145)</f>
        <v>1</v>
      </c>
      <c r="CA146" s="1">
        <f>MIN(CA2:CA145)</f>
        <v>0</v>
      </c>
      <c r="CB146" s="1">
        <f>MIN(CB2:CB145)</f>
        <v>2</v>
      </c>
      <c r="CC146" s="1">
        <f>MIN(CC2:CC145)</f>
        <v>10</v>
      </c>
      <c r="CD146" s="1">
        <f>MIN(CD2:CD145)</f>
        <v>4</v>
      </c>
      <c r="CE146" s="1">
        <f>MIN(CE2:CE145)</f>
        <v>0</v>
      </c>
      <c r="CF146" s="1"/>
      <c r="CG146" s="1">
        <f>MIN(CG2:CG145)</f>
        <v>1</v>
      </c>
      <c r="CH146" s="1">
        <f>MIN(CH2:CH145)</f>
        <v>4</v>
      </c>
      <c r="CI146" s="1">
        <f>MIN(CI2:CI145)</f>
        <v>3</v>
      </c>
      <c r="CJ146" s="1">
        <f>MIN(CJ2:CJ145)</f>
        <v>0</v>
      </c>
      <c r="CK146" s="1">
        <f>MIN(CK2:CK145)</f>
        <v>2</v>
      </c>
      <c r="CL146" s="1">
        <f>MIN(CL2:CL145)</f>
        <v>2</v>
      </c>
      <c r="CM146" s="1">
        <f>MIN(CM2:CM145)</f>
        <v>0</v>
      </c>
      <c r="CN146" s="1">
        <f>MIN(CN2:CN145)</f>
        <v>0</v>
      </c>
      <c r="CO146" s="1">
        <f>MIN(CO2:CO145)</f>
        <v>0</v>
      </c>
      <c r="CP146" s="1">
        <f>MIN(CP2:CP145)</f>
        <v>15</v>
      </c>
      <c r="CQ146" s="1">
        <f>MIN(CQ2:CQ145)</f>
        <v>4</v>
      </c>
      <c r="CR146" s="1">
        <f>MIN(CR2:CR145)</f>
        <v>0</v>
      </c>
      <c r="CS146" s="18">
        <f>COUNTIF(CS2:CS145,"=0")</f>
        <v>4</v>
      </c>
    </row>
    <row r="147" spans="1:97" x14ac:dyDescent="0.15">
      <c r="A147" s="1"/>
      <c r="B147" s="3" t="s">
        <v>98</v>
      </c>
      <c r="C147" s="1"/>
      <c r="D147" s="1"/>
      <c r="E147" s="1">
        <v>12</v>
      </c>
      <c r="F147" s="1">
        <v>1</v>
      </c>
      <c r="G147" s="1">
        <v>0</v>
      </c>
      <c r="H147" s="1">
        <v>0</v>
      </c>
      <c r="I147" s="1">
        <v>28</v>
      </c>
      <c r="J147" s="1">
        <v>27</v>
      </c>
      <c r="K147" s="1">
        <v>4</v>
      </c>
      <c r="L147" s="1">
        <v>35</v>
      </c>
      <c r="M147" s="1">
        <v>1</v>
      </c>
      <c r="N147" s="1">
        <v>13</v>
      </c>
      <c r="O147" s="1">
        <v>2</v>
      </c>
      <c r="P147" s="14">
        <v>2</v>
      </c>
      <c r="Q147" s="14">
        <v>1</v>
      </c>
      <c r="R147" s="14">
        <v>2</v>
      </c>
      <c r="S147" s="14">
        <v>1</v>
      </c>
      <c r="T147" s="14">
        <v>5</v>
      </c>
      <c r="U147" s="14">
        <v>0</v>
      </c>
      <c r="V147" s="14">
        <v>2</v>
      </c>
      <c r="W147" s="14">
        <v>2</v>
      </c>
      <c r="X147" s="14">
        <v>6</v>
      </c>
      <c r="Y147" s="14">
        <v>0</v>
      </c>
      <c r="Z147" s="14">
        <v>1</v>
      </c>
      <c r="AA147" s="14">
        <v>1</v>
      </c>
      <c r="AB147" s="14">
        <v>8</v>
      </c>
      <c r="AC147" s="14">
        <v>2</v>
      </c>
      <c r="AD147" s="14">
        <v>4</v>
      </c>
      <c r="AE147" s="1">
        <v>5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33</v>
      </c>
      <c r="AL147" s="1">
        <v>43</v>
      </c>
      <c r="AM147" s="1">
        <v>7</v>
      </c>
      <c r="AN147" s="1">
        <v>0</v>
      </c>
      <c r="AO147" s="1">
        <v>0</v>
      </c>
      <c r="AP147" s="1">
        <v>0</v>
      </c>
      <c r="AQ147" s="14">
        <v>9</v>
      </c>
      <c r="AR147" s="14">
        <v>6</v>
      </c>
      <c r="AS147" s="14">
        <v>2</v>
      </c>
      <c r="AT147" s="14">
        <v>7</v>
      </c>
      <c r="AU147" s="14">
        <v>6</v>
      </c>
      <c r="AV147" s="14">
        <v>8</v>
      </c>
      <c r="AW147" s="14">
        <v>19</v>
      </c>
      <c r="AX147" s="14">
        <v>25</v>
      </c>
      <c r="AY147" s="14">
        <v>13</v>
      </c>
      <c r="AZ147" s="14">
        <v>0</v>
      </c>
      <c r="BA147" s="14">
        <v>1</v>
      </c>
      <c r="BB147" s="14">
        <v>150</v>
      </c>
      <c r="BC147" s="14"/>
      <c r="BD147" s="1">
        <v>66</v>
      </c>
      <c r="BE147" s="1">
        <v>124</v>
      </c>
      <c r="BF147" s="1">
        <v>133</v>
      </c>
      <c r="BG147" s="1">
        <v>142</v>
      </c>
      <c r="BH147" s="1">
        <v>45</v>
      </c>
      <c r="BI147" s="1">
        <v>53</v>
      </c>
      <c r="BJ147" s="1">
        <v>13</v>
      </c>
      <c r="BK147" s="1">
        <v>13</v>
      </c>
      <c r="BL147" s="1">
        <v>25</v>
      </c>
      <c r="BM147" s="1"/>
      <c r="BN147" s="1"/>
      <c r="BO147" s="1"/>
      <c r="BP147" s="1"/>
      <c r="BQ147" s="1"/>
      <c r="BR147" s="17"/>
      <c r="BS147" s="17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34"/>
    </row>
    <row r="148" spans="1:97" x14ac:dyDescent="0.15">
      <c r="A148" s="1"/>
      <c r="B148" s="3" t="s">
        <v>105</v>
      </c>
      <c r="C148" s="1"/>
      <c r="D148" s="1"/>
      <c r="E148" s="1">
        <f>E147-E146</f>
        <v>-166</v>
      </c>
      <c r="F148" s="1">
        <f>F147-F146</f>
        <v>-83</v>
      </c>
      <c r="G148" s="1">
        <f>G147-G146</f>
        <v>-209</v>
      </c>
      <c r="H148" s="1">
        <f>H147-H146</f>
        <v>-184</v>
      </c>
      <c r="I148" s="1">
        <f>I147-I146</f>
        <v>-39</v>
      </c>
      <c r="J148" s="1">
        <f>J147-J146</f>
        <v>-49</v>
      </c>
      <c r="K148" s="1">
        <f>K147-K146</f>
        <v>-30</v>
      </c>
      <c r="L148" s="1">
        <f>L147-L146</f>
        <v>-53</v>
      </c>
      <c r="M148" s="1">
        <f>M147-M146</f>
        <v>-41</v>
      </c>
      <c r="N148" s="1">
        <f>N147-N146</f>
        <v>-19</v>
      </c>
      <c r="O148" s="1">
        <f>O147-O146</f>
        <v>-87</v>
      </c>
      <c r="P148" s="1">
        <f>P147-P146</f>
        <v>-128</v>
      </c>
      <c r="Q148" s="1">
        <f>Q147-Q146</f>
        <v>-75</v>
      </c>
      <c r="R148" s="1">
        <f>R147-R146</f>
        <v>-81</v>
      </c>
      <c r="S148" s="1">
        <f>S147-S146</f>
        <v>-129</v>
      </c>
      <c r="T148" s="1">
        <f>T147-T146</f>
        <v>-56</v>
      </c>
      <c r="U148" s="1">
        <f>U147-U146</f>
        <v>-62</v>
      </c>
      <c r="V148" s="1">
        <f>V147-V146</f>
        <v>-133</v>
      </c>
      <c r="W148" s="1">
        <f>W147-W146</f>
        <v>-33</v>
      </c>
      <c r="X148" s="1">
        <f>X147-X146</f>
        <v>-53</v>
      </c>
      <c r="Y148" s="1">
        <f>Y147-Y146</f>
        <v>-125</v>
      </c>
      <c r="Z148" s="1">
        <f>Z147-Z146</f>
        <v>-49</v>
      </c>
      <c r="AA148" s="1">
        <f>AA147-AA146</f>
        <v>-34</v>
      </c>
      <c r="AB148" s="1">
        <f>AB147-AB146</f>
        <v>-132</v>
      </c>
      <c r="AC148" s="1">
        <f>AC147-AC146</f>
        <v>-28</v>
      </c>
      <c r="AD148" s="1">
        <f>AD147-AD146</f>
        <v>-18</v>
      </c>
      <c r="AE148" s="1">
        <f>AE147-AE146</f>
        <v>-260</v>
      </c>
      <c r="AF148" s="1">
        <f>AF147-AF146</f>
        <v>-10</v>
      </c>
      <c r="AG148" s="1">
        <f>AG147-AG146</f>
        <v>-15</v>
      </c>
      <c r="AH148" s="1">
        <f>AH147-AH146</f>
        <v>-30</v>
      </c>
      <c r="AI148" s="1">
        <f>AI147-AI146</f>
        <v>-30</v>
      </c>
      <c r="AJ148" s="1">
        <f>AJ147-AJ146</f>
        <v>-5</v>
      </c>
      <c r="AK148" s="1">
        <f>AK147-AK146</f>
        <v>33</v>
      </c>
      <c r="AL148" s="1">
        <f>AL147-AL146</f>
        <v>43</v>
      </c>
      <c r="AM148" s="1">
        <f>AM147-AM146</f>
        <v>-13</v>
      </c>
      <c r="AN148" s="1">
        <f>AN147-AN146</f>
        <v>-50</v>
      </c>
      <c r="AO148" s="1">
        <f>AO147-AO146</f>
        <v>-25</v>
      </c>
      <c r="AP148" s="1">
        <f>AP147-AP146</f>
        <v>-26</v>
      </c>
      <c r="AQ148" s="1">
        <f>AQ147-AQ146</f>
        <v>-91</v>
      </c>
      <c r="AR148" s="1">
        <f>AR147-AR146</f>
        <v>-114</v>
      </c>
      <c r="AS148" s="1">
        <f>AS147-AS146</f>
        <v>-78</v>
      </c>
      <c r="AT148" s="1">
        <f>AT147-AT146</f>
        <v>-86</v>
      </c>
      <c r="AU148" s="1">
        <f>AU147-AU146</f>
        <v>-42</v>
      </c>
      <c r="AV148" s="1">
        <f>AV147-AV146</f>
        <v>-117</v>
      </c>
      <c r="AW148" s="1">
        <f>AW147-AW146</f>
        <v>-109</v>
      </c>
      <c r="AX148" s="1">
        <f>AX147-AX146</f>
        <v>-55</v>
      </c>
      <c r="AY148" s="1">
        <f>AY147-AY146</f>
        <v>-30</v>
      </c>
      <c r="AZ148" s="1">
        <f>AZ147-AZ146</f>
        <v>-75</v>
      </c>
      <c r="BA148" s="1">
        <f>BA147-BA146</f>
        <v>-194</v>
      </c>
      <c r="BB148" s="1">
        <f>BB147-BB146</f>
        <v>-225</v>
      </c>
      <c r="BC148" s="1">
        <f>BC147-BC146</f>
        <v>-10</v>
      </c>
      <c r="BD148" s="1">
        <f>BD147-BD146</f>
        <v>-84</v>
      </c>
      <c r="BE148" s="1">
        <f>BE147-BE146</f>
        <v>24</v>
      </c>
      <c r="BF148" s="1">
        <f>BF147-BF146</f>
        <v>13</v>
      </c>
      <c r="BG148" s="1">
        <f>BG147-BG146</f>
        <v>22</v>
      </c>
      <c r="BH148" s="1">
        <f>BH147-BH146</f>
        <v>-65</v>
      </c>
      <c r="BI148" s="1">
        <f>BI147-BI146</f>
        <v>-37</v>
      </c>
      <c r="BJ148" s="1">
        <f>BJ147-BJ146</f>
        <v>-187</v>
      </c>
      <c r="BK148" s="1">
        <f>BK147-BK146</f>
        <v>-187</v>
      </c>
      <c r="BL148" s="1">
        <f>BL147-BL146</f>
        <v>-125</v>
      </c>
      <c r="BM148" s="1">
        <f>BM147-BM146</f>
        <v>-150</v>
      </c>
      <c r="BN148" s="1">
        <f>BN147-BN146</f>
        <v>-350</v>
      </c>
      <c r="BO148" s="1">
        <f>BO147-BO146</f>
        <v>-350</v>
      </c>
      <c r="BP148" s="1"/>
      <c r="BQ148" s="1"/>
      <c r="BR148" s="17"/>
      <c r="BS148" s="17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34"/>
    </row>
  </sheetData>
  <autoFilter ref="A1:BP146"/>
  <sortState ref="A2:CS148">
    <sortCondition ref="BR2:BR148"/>
    <sortCondition ref="BQ2:BQ148"/>
  </sortState>
  <phoneticPr fontId="1" type="noConversion"/>
  <conditionalFormatting sqref="E36">
    <cfRule type="cellIs" dxfId="2" priority="4" operator="greaterThan">
      <formula>$E$147</formula>
    </cfRule>
  </conditionalFormatting>
  <conditionalFormatting sqref="E146">
    <cfRule type="cellIs" dxfId="1" priority="3" operator="greaterThan">
      <formula>$E$147</formula>
    </cfRule>
  </conditionalFormatting>
  <conditionalFormatting sqref="E148:BO14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150</xdr:row>
                    <xdr:rowOff>28575</xdr:rowOff>
                  </from>
                  <to>
                    <xdr:col>1</xdr:col>
                    <xdr:colOff>428625</xdr:colOff>
                    <xdr:row>151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95</v>
      </c>
      <c r="B1" s="5" t="s">
        <v>92</v>
      </c>
      <c r="C1" s="5" t="s">
        <v>96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61</v>
      </c>
      <c r="C3" s="1">
        <v>120</v>
      </c>
    </row>
    <row r="4" spans="1:3" x14ac:dyDescent="0.15">
      <c r="A4" s="1">
        <v>4</v>
      </c>
      <c r="B4" s="4" t="s">
        <v>62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69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75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69</v>
      </c>
      <c r="K19" s="10" t="s">
        <v>75</v>
      </c>
      <c r="L19" s="10" t="s">
        <v>62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61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102</v>
      </c>
      <c r="B1" s="8" t="s">
        <v>103</v>
      </c>
      <c r="C1" s="8" t="s">
        <v>104</v>
      </c>
    </row>
    <row r="2" spans="1:3" x14ac:dyDescent="0.15">
      <c r="A2" s="1">
        <v>5</v>
      </c>
      <c r="B2" s="10" t="s">
        <v>75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61</v>
      </c>
      <c r="C12" s="1">
        <v>5</v>
      </c>
    </row>
    <row r="13" spans="1:3" x14ac:dyDescent="0.15">
      <c r="A13" s="1">
        <v>6</v>
      </c>
      <c r="B13" s="10" t="s">
        <v>62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75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61</v>
      </c>
      <c r="C8">
        <v>0</v>
      </c>
    </row>
    <row r="9" spans="2:3" x14ac:dyDescent="0.15">
      <c r="B9" s="10" t="s">
        <v>69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62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2020-02-10T12:39:53Z</dcterms:modified>
</cp:coreProperties>
</file>