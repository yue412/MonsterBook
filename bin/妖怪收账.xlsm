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1" i="1" l="1"/>
  <c r="BC133" i="1" s="1"/>
  <c r="BD131" i="1"/>
  <c r="BD133" i="1" s="1"/>
  <c r="BE131" i="1"/>
  <c r="BE133" i="1" s="1"/>
  <c r="BF131" i="1"/>
  <c r="BF133" i="1" s="1"/>
  <c r="BG131" i="1"/>
  <c r="BG133" i="1" s="1"/>
  <c r="BH131" i="1"/>
  <c r="BH133" i="1" s="1"/>
  <c r="BI131" i="1"/>
  <c r="BI133" i="1" s="1"/>
  <c r="BJ131" i="1"/>
  <c r="BJ133" i="1" s="1"/>
  <c r="BK131" i="1"/>
  <c r="BK133" i="1" s="1"/>
  <c r="BL131" i="1"/>
  <c r="BL133" i="1" s="1"/>
  <c r="BM131" i="1"/>
  <c r="BM133" i="1" s="1"/>
  <c r="BN131" i="1"/>
  <c r="BN133" i="1" s="1"/>
  <c r="BO131" i="1"/>
  <c r="BO133" i="1" s="1"/>
  <c r="BC132" i="1"/>
  <c r="BC134" i="1" s="1"/>
  <c r="BD132" i="1"/>
  <c r="BD134" i="1" s="1"/>
  <c r="BE132" i="1"/>
  <c r="BE134" i="1" s="1"/>
  <c r="BF132" i="1"/>
  <c r="BF134" i="1" s="1"/>
  <c r="BG132" i="1"/>
  <c r="BG134" i="1" s="1"/>
  <c r="BH132" i="1"/>
  <c r="BH134" i="1" s="1"/>
  <c r="BI132" i="1"/>
  <c r="BI134" i="1" s="1"/>
  <c r="BJ132" i="1"/>
  <c r="BJ134" i="1" s="1"/>
  <c r="BK132" i="1"/>
  <c r="BK134" i="1" s="1"/>
  <c r="BL132" i="1"/>
  <c r="BL134" i="1" s="1"/>
  <c r="BM132" i="1"/>
  <c r="BM134" i="1" s="1"/>
  <c r="BN132" i="1"/>
  <c r="BN134" i="1" s="1"/>
  <c r="BO132" i="1"/>
  <c r="BO134" i="1" s="1"/>
  <c r="BA131" i="1"/>
  <c r="BA133" i="1" s="1"/>
  <c r="BB131" i="1"/>
  <c r="BB133" i="1" s="1"/>
  <c r="BA132" i="1"/>
  <c r="BA134" i="1" s="1"/>
  <c r="BB132" i="1"/>
  <c r="BB134" i="1" s="1"/>
  <c r="AQ131" i="1"/>
  <c r="AQ133" i="1" s="1"/>
  <c r="AR131" i="1"/>
  <c r="AR133" i="1" s="1"/>
  <c r="AS131" i="1"/>
  <c r="AS133" i="1" s="1"/>
  <c r="AT131" i="1"/>
  <c r="AT133" i="1" s="1"/>
  <c r="AU131" i="1"/>
  <c r="AU133" i="1" s="1"/>
  <c r="AV131" i="1"/>
  <c r="AV133" i="1" s="1"/>
  <c r="AW131" i="1"/>
  <c r="AW133" i="1" s="1"/>
  <c r="AX131" i="1"/>
  <c r="AX133" i="1" s="1"/>
  <c r="AY131" i="1"/>
  <c r="AY133" i="1" s="1"/>
  <c r="AZ131" i="1"/>
  <c r="AZ133" i="1" s="1"/>
  <c r="AQ132" i="1"/>
  <c r="AQ134" i="1" s="1"/>
  <c r="AR132" i="1"/>
  <c r="AR134" i="1" s="1"/>
  <c r="AS132" i="1"/>
  <c r="AS134" i="1" s="1"/>
  <c r="AT132" i="1"/>
  <c r="AT134" i="1" s="1"/>
  <c r="AU132" i="1"/>
  <c r="AU134" i="1" s="1"/>
  <c r="AV132" i="1"/>
  <c r="AV134" i="1" s="1"/>
  <c r="AW132" i="1"/>
  <c r="AW134" i="1" s="1"/>
  <c r="AX132" i="1"/>
  <c r="AX134" i="1" s="1"/>
  <c r="AY132" i="1"/>
  <c r="AY134" i="1" s="1"/>
  <c r="AZ132" i="1"/>
  <c r="AZ134" i="1" s="1"/>
  <c r="AI131" i="1"/>
  <c r="AI133" i="1" s="1"/>
  <c r="AJ131" i="1"/>
  <c r="AJ133" i="1" s="1"/>
  <c r="AK131" i="1"/>
  <c r="AK133" i="1" s="1"/>
  <c r="AL131" i="1"/>
  <c r="AL133" i="1" s="1"/>
  <c r="AM131" i="1"/>
  <c r="AM133" i="1" s="1"/>
  <c r="AN131" i="1"/>
  <c r="AN133" i="1" s="1"/>
  <c r="AO131" i="1"/>
  <c r="AO133" i="1" s="1"/>
  <c r="AP131" i="1"/>
  <c r="AP133" i="1" s="1"/>
  <c r="AI132" i="1"/>
  <c r="AI134" i="1" s="1"/>
  <c r="AJ132" i="1"/>
  <c r="AJ134" i="1" s="1"/>
  <c r="AK132" i="1"/>
  <c r="AK134" i="1" s="1"/>
  <c r="AL132" i="1"/>
  <c r="AL134" i="1" s="1"/>
  <c r="AM132" i="1"/>
  <c r="AM134" i="1" s="1"/>
  <c r="AN132" i="1"/>
  <c r="AN134" i="1" s="1"/>
  <c r="AO132" i="1"/>
  <c r="AO134" i="1" s="1"/>
  <c r="AP132" i="1"/>
  <c r="AP134" i="1" s="1"/>
  <c r="AC131" i="1"/>
  <c r="AC133" i="1" s="1"/>
  <c r="AD131" i="1"/>
  <c r="AD133" i="1" s="1"/>
  <c r="AE131" i="1"/>
  <c r="AE133" i="1" s="1"/>
  <c r="AF131" i="1"/>
  <c r="AF133" i="1" s="1"/>
  <c r="AG131" i="1"/>
  <c r="AG133" i="1" s="1"/>
  <c r="AH131" i="1"/>
  <c r="AH133" i="1" s="1"/>
  <c r="AC132" i="1"/>
  <c r="AC134" i="1" s="1"/>
  <c r="AD132" i="1"/>
  <c r="AD134" i="1" s="1"/>
  <c r="AE132" i="1"/>
  <c r="AE134" i="1" s="1"/>
  <c r="AF132" i="1"/>
  <c r="AF134" i="1" s="1"/>
  <c r="AG132" i="1"/>
  <c r="AG134" i="1" s="1"/>
  <c r="AH132" i="1"/>
  <c r="AH134" i="1" s="1"/>
  <c r="W131" i="1"/>
  <c r="W133" i="1" s="1"/>
  <c r="X131" i="1"/>
  <c r="X133" i="1" s="1"/>
  <c r="Y131" i="1"/>
  <c r="Y133" i="1" s="1"/>
  <c r="Z131" i="1"/>
  <c r="Z133" i="1" s="1"/>
  <c r="AA131" i="1"/>
  <c r="AA133" i="1" s="1"/>
  <c r="AB131" i="1"/>
  <c r="AB133" i="1" s="1"/>
  <c r="W132" i="1"/>
  <c r="W134" i="1" s="1"/>
  <c r="X132" i="1"/>
  <c r="X134" i="1" s="1"/>
  <c r="Y132" i="1"/>
  <c r="Y134" i="1" s="1"/>
  <c r="Z132" i="1"/>
  <c r="Z134" i="1" s="1"/>
  <c r="AA132" i="1"/>
  <c r="AA134" i="1" s="1"/>
  <c r="AB132" i="1"/>
  <c r="AB134" i="1" s="1"/>
  <c r="P131" i="1"/>
  <c r="P133" i="1" s="1"/>
  <c r="Q131" i="1"/>
  <c r="Q133" i="1" s="1"/>
  <c r="R131" i="1"/>
  <c r="R133" i="1" s="1"/>
  <c r="S131" i="1"/>
  <c r="S133" i="1" s="1"/>
  <c r="T131" i="1"/>
  <c r="T133" i="1" s="1"/>
  <c r="U131" i="1"/>
  <c r="U133" i="1" s="1"/>
  <c r="V131" i="1"/>
  <c r="V133" i="1" s="1"/>
  <c r="P132" i="1"/>
  <c r="P134" i="1" s="1"/>
  <c r="Q132" i="1"/>
  <c r="Q134" i="1" s="1"/>
  <c r="R132" i="1"/>
  <c r="R134" i="1" s="1"/>
  <c r="S132" i="1"/>
  <c r="S134" i="1" s="1"/>
  <c r="T132" i="1"/>
  <c r="T134" i="1" s="1"/>
  <c r="U132" i="1"/>
  <c r="U134" i="1" s="1"/>
  <c r="V132" i="1"/>
  <c r="V134" i="1" s="1"/>
  <c r="G131" i="1"/>
  <c r="G133" i="1" s="1"/>
  <c r="H131" i="1"/>
  <c r="H133" i="1" s="1"/>
  <c r="I131" i="1"/>
  <c r="I133" i="1" s="1"/>
  <c r="J131" i="1"/>
  <c r="J133" i="1" s="1"/>
  <c r="K131" i="1"/>
  <c r="K133" i="1" s="1"/>
  <c r="L131" i="1"/>
  <c r="L133" i="1" s="1"/>
  <c r="M131" i="1"/>
  <c r="M133" i="1" s="1"/>
  <c r="N131" i="1"/>
  <c r="N133" i="1" s="1"/>
  <c r="O131" i="1"/>
  <c r="O133" i="1" s="1"/>
  <c r="G132" i="1"/>
  <c r="G134" i="1" s="1"/>
  <c r="H132" i="1"/>
  <c r="H134" i="1" s="1"/>
  <c r="I132" i="1"/>
  <c r="I134" i="1" s="1"/>
  <c r="J132" i="1"/>
  <c r="J134" i="1" s="1"/>
  <c r="K132" i="1"/>
  <c r="K134" i="1" s="1"/>
  <c r="L132" i="1"/>
  <c r="L134" i="1" s="1"/>
  <c r="M132" i="1"/>
  <c r="M134" i="1" s="1"/>
  <c r="N132" i="1"/>
  <c r="N134" i="1" s="1"/>
  <c r="O132" i="1"/>
  <c r="O134" i="1" s="1"/>
  <c r="F131" i="1"/>
  <c r="F133" i="1" s="1"/>
  <c r="F132" i="1"/>
  <c r="F134" i="1" s="1"/>
  <c r="E132" i="1"/>
  <c r="E134" i="1" s="1"/>
  <c r="E131" i="1"/>
  <c r="E133" i="1" s="1"/>
  <c r="BP3" i="1" l="1"/>
  <c r="BP4" i="1"/>
  <c r="BP5" i="1"/>
  <c r="BP6" i="1"/>
  <c r="BP7" i="1"/>
  <c r="BP8" i="1"/>
  <c r="BP9" i="1"/>
  <c r="BP51" i="1"/>
  <c r="BP11" i="1"/>
  <c r="BP13" i="1"/>
  <c r="BP14" i="1"/>
  <c r="BP18" i="1"/>
  <c r="BP19" i="1"/>
  <c r="BP20" i="1"/>
  <c r="BP21" i="1"/>
  <c r="BP22" i="1"/>
  <c r="BP23" i="1"/>
  <c r="BP24" i="1"/>
  <c r="BP25" i="1"/>
  <c r="BP26" i="1"/>
  <c r="BP44" i="1"/>
  <c r="BP29" i="1"/>
  <c r="BP30" i="1"/>
  <c r="BP27" i="1"/>
  <c r="BP49" i="1"/>
  <c r="BP12" i="1"/>
  <c r="BP15" i="1"/>
  <c r="BP16" i="1"/>
  <c r="BP31" i="1"/>
  <c r="BP32" i="1"/>
  <c r="BP33" i="1"/>
  <c r="BP34" i="1"/>
  <c r="BP83" i="1"/>
  <c r="BP78" i="1"/>
  <c r="BP38" i="1"/>
  <c r="BP39" i="1"/>
  <c r="BP40" i="1"/>
  <c r="BP41" i="1"/>
  <c r="BP42" i="1"/>
  <c r="BP112" i="1"/>
  <c r="BP43" i="1"/>
  <c r="BP37" i="1"/>
  <c r="BP46" i="1"/>
  <c r="BP47" i="1"/>
  <c r="BP53" i="1"/>
  <c r="BP81" i="1"/>
  <c r="BP35" i="1"/>
  <c r="BP36" i="1"/>
  <c r="BP67" i="1"/>
  <c r="BP17" i="1"/>
  <c r="BP56" i="1"/>
  <c r="BP55" i="1"/>
  <c r="BP65" i="1"/>
  <c r="BP68" i="1"/>
  <c r="BP69" i="1"/>
  <c r="BP70" i="1"/>
  <c r="BP71" i="1"/>
  <c r="BP72" i="1"/>
  <c r="BP73" i="1"/>
  <c r="BP75" i="1"/>
  <c r="BP10" i="1"/>
  <c r="BP82" i="1"/>
  <c r="BP76" i="1"/>
  <c r="BP77" i="1"/>
  <c r="BP52" i="1"/>
  <c r="BP50" i="1"/>
  <c r="BP48" i="1"/>
  <c r="BP54" i="1"/>
  <c r="BP45" i="1"/>
  <c r="BP85" i="1"/>
  <c r="BP86" i="1"/>
  <c r="BP66" i="1"/>
  <c r="BP84" i="1"/>
  <c r="BP108" i="1"/>
  <c r="BP109" i="1"/>
  <c r="BP110" i="1"/>
  <c r="BP60" i="1"/>
  <c r="BP57" i="1"/>
  <c r="BP58" i="1"/>
  <c r="BP59" i="1"/>
  <c r="BP87" i="1"/>
  <c r="BP63" i="1"/>
  <c r="BP64" i="1"/>
  <c r="BP61" i="1"/>
  <c r="BP62" i="1"/>
  <c r="BP88" i="1"/>
  <c r="BP90" i="1"/>
  <c r="BP74" i="1"/>
  <c r="BP92" i="1"/>
  <c r="BP91" i="1"/>
  <c r="BP94" i="1"/>
  <c r="BP95" i="1"/>
  <c r="BP96" i="1"/>
  <c r="BP97" i="1"/>
  <c r="BP98" i="1"/>
  <c r="BP99" i="1"/>
  <c r="BP101" i="1"/>
  <c r="BP102" i="1"/>
  <c r="BP103" i="1"/>
  <c r="BP104" i="1"/>
  <c r="BP105" i="1"/>
  <c r="BP79" i="1"/>
  <c r="BP80" i="1"/>
  <c r="BP106" i="1"/>
  <c r="BP107" i="1"/>
  <c r="BP100" i="1"/>
  <c r="BP93" i="1"/>
  <c r="BP111" i="1"/>
  <c r="BP113" i="1"/>
  <c r="BP114" i="1"/>
  <c r="BP115" i="1"/>
  <c r="BP116" i="1"/>
  <c r="BP117" i="1"/>
  <c r="BP118" i="1"/>
  <c r="BP120" i="1"/>
  <c r="BP89" i="1"/>
  <c r="BP119" i="1"/>
  <c r="BP121" i="1"/>
  <c r="BP122" i="1"/>
  <c r="BP123" i="1"/>
  <c r="BP124" i="1"/>
  <c r="BP125" i="1"/>
  <c r="BP126" i="1"/>
  <c r="BP127" i="1"/>
  <c r="CS124" i="1" l="1"/>
  <c r="CS3" i="1" l="1"/>
  <c r="CS4" i="1"/>
  <c r="CS5" i="1"/>
  <c r="CS52" i="1"/>
  <c r="CS9" i="1"/>
  <c r="CS18" i="1"/>
  <c r="CS19" i="1"/>
  <c r="CS20" i="1"/>
  <c r="CS21" i="1"/>
  <c r="CS22" i="1"/>
  <c r="CS23" i="1"/>
  <c r="CS24" i="1"/>
  <c r="CS51" i="1"/>
  <c r="CS53" i="1"/>
  <c r="CS13" i="1"/>
  <c r="CS14" i="1"/>
  <c r="CS37" i="1"/>
  <c r="CS112" i="1"/>
  <c r="CS29" i="1"/>
  <c r="CS56" i="1"/>
  <c r="CS12" i="1"/>
  <c r="CS31" i="1"/>
  <c r="CS32" i="1"/>
  <c r="CS33" i="1"/>
  <c r="CS10" i="1"/>
  <c r="CS50" i="1"/>
  <c r="CS43" i="1"/>
  <c r="CS15" i="1"/>
  <c r="CS44" i="1"/>
  <c r="CS46" i="1"/>
  <c r="CS47" i="1"/>
  <c r="CS48" i="1"/>
  <c r="CS76" i="1"/>
  <c r="CS77" i="1"/>
  <c r="CS45" i="1"/>
  <c r="CS67" i="1"/>
  <c r="CS55" i="1"/>
  <c r="CS89" i="1"/>
  <c r="CS66" i="1"/>
  <c r="CS57" i="1"/>
  <c r="CS120" i="1"/>
  <c r="CS61" i="1"/>
  <c r="CS63" i="1"/>
  <c r="CS125" i="1"/>
  <c r="CS121" i="1"/>
  <c r="CS2" i="1"/>
  <c r="CS128" i="1" l="1"/>
  <c r="BP2" i="1" l="1"/>
  <c r="BM128" i="1" l="1"/>
  <c r="BM130" i="1" s="1"/>
  <c r="AM128" i="1"/>
  <c r="AM130" i="1" s="1"/>
  <c r="L128" i="1"/>
  <c r="L130" i="1" s="1"/>
  <c r="AY128" i="1"/>
  <c r="BK128" i="1"/>
  <c r="BK130" i="1" s="1"/>
  <c r="AJ128" i="1"/>
  <c r="AJ130" i="1" s="1"/>
  <c r="AW128" i="1"/>
  <c r="BH128" i="1"/>
  <c r="BH130" i="1" s="1"/>
  <c r="AU128" i="1"/>
  <c r="AH128" i="1"/>
  <c r="AH130" i="1" s="1"/>
  <c r="AL128" i="1"/>
  <c r="AL130" i="1" s="1"/>
  <c r="BD128" i="1"/>
  <c r="BD130" i="1" s="1"/>
  <c r="BA128" i="1"/>
  <c r="BL128" i="1"/>
  <c r="BL130" i="1" s="1"/>
  <c r="AZ128" i="1"/>
  <c r="J128" i="1"/>
  <c r="J130" i="1" s="1"/>
  <c r="H128" i="1"/>
  <c r="H130" i="1" s="1"/>
  <c r="G128" i="1"/>
  <c r="G130" i="1" s="1"/>
  <c r="BG128" i="1"/>
  <c r="BG130" i="1" s="1"/>
  <c r="AQ128" i="1"/>
  <c r="AE128" i="1"/>
  <c r="AE130" i="1" s="1"/>
  <c r="F128" i="1"/>
  <c r="F130" i="1" s="1"/>
  <c r="BB128" i="1"/>
  <c r="BJ128" i="1"/>
  <c r="BJ130" i="1" s="1"/>
  <c r="AX128" i="1"/>
  <c r="AI128" i="1"/>
  <c r="AI130" i="1" s="1"/>
  <c r="I128" i="1"/>
  <c r="I130" i="1" s="1"/>
  <c r="AG128" i="1"/>
  <c r="AG130" i="1" s="1"/>
  <c r="BE128" i="1"/>
  <c r="BE130" i="1" s="1"/>
  <c r="AF128" i="1"/>
  <c r="AF130" i="1" s="1"/>
  <c r="BF128" i="1"/>
  <c r="BF130" i="1" s="1"/>
  <c r="AS128" i="1"/>
  <c r="O128" i="1"/>
  <c r="O130" i="1" s="1"/>
  <c r="BO128" i="1"/>
  <c r="BO130" i="1" s="1"/>
  <c r="AR128" i="1"/>
  <c r="N128" i="1"/>
  <c r="N130" i="1" s="1"/>
  <c r="K128" i="1"/>
  <c r="K130" i="1" s="1"/>
  <c r="AK128" i="1"/>
  <c r="AK130" i="1" s="1"/>
  <c r="BI128" i="1"/>
  <c r="BI130" i="1" s="1"/>
  <c r="AT128" i="1"/>
  <c r="AV128" i="1"/>
  <c r="E128" i="1"/>
  <c r="E130" i="1" s="1"/>
  <c r="BN128" i="1"/>
  <c r="BN130" i="1" s="1"/>
  <c r="AN128" i="1"/>
  <c r="AN130" i="1" s="1"/>
  <c r="M128" i="1"/>
  <c r="M130" i="1" s="1"/>
  <c r="AP128" i="1"/>
  <c r="AP130" i="1" s="1"/>
  <c r="BC128" i="1"/>
  <c r="BC130" i="1" s="1"/>
  <c r="AO128" i="1"/>
  <c r="AO130" i="1" s="1"/>
  <c r="V128" i="1"/>
  <c r="V130" i="1" s="1"/>
  <c r="Y128" i="1"/>
  <c r="Y130" i="1" s="1"/>
  <c r="W128" i="1"/>
  <c r="W130" i="1" s="1"/>
  <c r="S128" i="1"/>
  <c r="S130" i="1" s="1"/>
  <c r="X128" i="1"/>
  <c r="X130" i="1" s="1"/>
  <c r="R128" i="1"/>
  <c r="R130" i="1" s="1"/>
  <c r="Z128" i="1"/>
  <c r="Z130" i="1" s="1"/>
  <c r="U128" i="1"/>
  <c r="U130" i="1" s="1"/>
  <c r="T128" i="1"/>
  <c r="T130" i="1" s="1"/>
  <c r="AC128" i="1"/>
  <c r="AC130" i="1" s="1"/>
  <c r="Q128" i="1"/>
  <c r="Q130" i="1" s="1"/>
  <c r="AB128" i="1"/>
  <c r="AB130" i="1" s="1"/>
  <c r="P128" i="1"/>
  <c r="P130" i="1" s="1"/>
  <c r="AA128" i="1"/>
  <c r="AA130" i="1" s="1"/>
  <c r="AD128" i="1"/>
  <c r="AD130" i="1" s="1"/>
  <c r="AR130" i="1" l="1"/>
  <c r="BU51" i="1"/>
  <c r="BU25" i="1"/>
  <c r="BU32" i="1"/>
  <c r="BU112" i="1"/>
  <c r="BU56" i="1"/>
  <c r="BU76" i="1"/>
  <c r="BU5" i="1"/>
  <c r="BU20" i="1"/>
  <c r="BU49" i="1"/>
  <c r="BU38" i="1"/>
  <c r="BU81" i="1"/>
  <c r="BU72" i="1"/>
  <c r="BU109" i="1"/>
  <c r="BU87" i="1"/>
  <c r="BU63" i="1"/>
  <c r="BU64" i="1"/>
  <c r="BU61" i="1"/>
  <c r="BU62" i="1"/>
  <c r="BU88" i="1"/>
  <c r="BU90" i="1"/>
  <c r="BU74" i="1"/>
  <c r="BU92" i="1"/>
  <c r="BU91" i="1"/>
  <c r="BU94" i="1"/>
  <c r="BU95" i="1"/>
  <c r="BU96" i="1"/>
  <c r="BU97" i="1"/>
  <c r="BU98" i="1"/>
  <c r="BU99" i="1"/>
  <c r="BU101" i="1"/>
  <c r="BU102" i="1"/>
  <c r="BU103" i="1"/>
  <c r="BU104" i="1"/>
  <c r="BU105" i="1"/>
  <c r="BU79" i="1"/>
  <c r="BU80" i="1"/>
  <c r="BU106" i="1"/>
  <c r="BU107" i="1"/>
  <c r="BU100" i="1"/>
  <c r="BU93" i="1"/>
  <c r="BU111" i="1"/>
  <c r="BU113" i="1"/>
  <c r="BU114" i="1"/>
  <c r="BU115" i="1"/>
  <c r="BU116" i="1"/>
  <c r="BU44" i="1"/>
  <c r="BU37" i="1"/>
  <c r="BU65" i="1"/>
  <c r="BU52" i="1"/>
  <c r="BU9" i="1"/>
  <c r="BU24" i="1"/>
  <c r="BU31" i="1"/>
  <c r="BU42" i="1"/>
  <c r="BU17" i="1"/>
  <c r="BU82" i="1"/>
  <c r="BU84" i="1"/>
  <c r="BU58" i="1"/>
  <c r="BU4" i="1"/>
  <c r="BU19" i="1"/>
  <c r="BU78" i="1"/>
  <c r="BU53" i="1"/>
  <c r="BU71" i="1"/>
  <c r="BU11" i="1"/>
  <c r="BU26" i="1"/>
  <c r="BU33" i="1"/>
  <c r="BU43" i="1"/>
  <c r="BU55" i="1"/>
  <c r="BU77" i="1"/>
  <c r="BU45" i="1"/>
  <c r="BU66" i="1"/>
  <c r="BU57" i="1"/>
  <c r="BU6" i="1"/>
  <c r="BU21" i="1"/>
  <c r="BU12" i="1"/>
  <c r="BU39" i="1"/>
  <c r="BU35" i="1"/>
  <c r="BU73" i="1"/>
  <c r="BU7" i="1"/>
  <c r="BU18" i="1"/>
  <c r="BU41" i="1"/>
  <c r="BU50" i="1"/>
  <c r="BU3" i="1"/>
  <c r="BU23" i="1"/>
  <c r="BU69" i="1"/>
  <c r="BU89" i="1"/>
  <c r="BU121" i="1"/>
  <c r="BU123" i="1"/>
  <c r="BU127" i="1"/>
  <c r="BU8" i="1"/>
  <c r="BU34" i="1"/>
  <c r="BU59" i="1"/>
  <c r="BU118" i="1"/>
  <c r="BU119" i="1"/>
  <c r="BU122" i="1"/>
  <c r="BU126" i="1"/>
  <c r="BU29" i="1"/>
  <c r="BU48" i="1"/>
  <c r="BU108" i="1"/>
  <c r="BU60" i="1"/>
  <c r="BU125" i="1"/>
  <c r="BU13" i="1"/>
  <c r="BU86" i="1"/>
  <c r="BU120" i="1"/>
  <c r="BU124" i="1"/>
  <c r="BU46" i="1"/>
  <c r="BU117" i="1"/>
  <c r="BU75" i="1"/>
  <c r="BU54" i="1"/>
  <c r="BU30" i="1"/>
  <c r="BU36" i="1"/>
  <c r="BU70" i="1"/>
  <c r="BU14" i="1"/>
  <c r="BU40" i="1"/>
  <c r="BU47" i="1"/>
  <c r="BU15" i="1"/>
  <c r="BU83" i="1"/>
  <c r="BU10" i="1"/>
  <c r="BU22" i="1"/>
  <c r="BU27" i="1"/>
  <c r="BU67" i="1"/>
  <c r="BU85" i="1"/>
  <c r="BU110" i="1"/>
  <c r="BU16" i="1"/>
  <c r="BU68" i="1"/>
  <c r="BU2" i="1"/>
  <c r="AU130" i="1"/>
  <c r="BX3" i="1"/>
  <c r="BX4" i="1"/>
  <c r="BX5" i="1"/>
  <c r="BX6" i="1"/>
  <c r="BX7" i="1"/>
  <c r="BX8" i="1"/>
  <c r="BX9" i="1"/>
  <c r="BX51" i="1"/>
  <c r="BX11" i="1"/>
  <c r="BX13" i="1"/>
  <c r="BX14" i="1"/>
  <c r="BX18" i="1"/>
  <c r="BX19" i="1"/>
  <c r="BX20" i="1"/>
  <c r="BX21" i="1"/>
  <c r="BX22" i="1"/>
  <c r="BX23" i="1"/>
  <c r="BX24" i="1"/>
  <c r="BX25" i="1"/>
  <c r="BX26" i="1"/>
  <c r="BX44" i="1"/>
  <c r="BX29" i="1"/>
  <c r="BX30" i="1"/>
  <c r="BX27" i="1"/>
  <c r="BX49" i="1"/>
  <c r="BX12" i="1"/>
  <c r="BX15" i="1"/>
  <c r="BX16" i="1"/>
  <c r="BX31" i="1"/>
  <c r="BX32" i="1"/>
  <c r="BX33" i="1"/>
  <c r="BX34" i="1"/>
  <c r="BX83" i="1"/>
  <c r="BX78" i="1"/>
  <c r="BX38" i="1"/>
  <c r="BX39" i="1"/>
  <c r="BX40" i="1"/>
  <c r="BX41" i="1"/>
  <c r="BX42" i="1"/>
  <c r="BX112" i="1"/>
  <c r="BX43" i="1"/>
  <c r="BX37" i="1"/>
  <c r="BX46" i="1"/>
  <c r="BX47" i="1"/>
  <c r="BX53" i="1"/>
  <c r="BX81" i="1"/>
  <c r="BX35" i="1"/>
  <c r="BX36" i="1"/>
  <c r="BX67" i="1"/>
  <c r="BX17" i="1"/>
  <c r="BX56" i="1"/>
  <c r="BX55" i="1"/>
  <c r="BX65" i="1"/>
  <c r="BX68" i="1"/>
  <c r="BX69" i="1"/>
  <c r="BX70" i="1"/>
  <c r="BX71" i="1"/>
  <c r="BX72" i="1"/>
  <c r="BX73" i="1"/>
  <c r="BX75" i="1"/>
  <c r="BX10" i="1"/>
  <c r="BX82" i="1"/>
  <c r="BX76" i="1"/>
  <c r="BX77" i="1"/>
  <c r="BX52" i="1"/>
  <c r="BX50" i="1"/>
  <c r="BX48" i="1"/>
  <c r="BX54" i="1"/>
  <c r="BX86" i="1"/>
  <c r="BX110" i="1"/>
  <c r="BX85" i="1"/>
  <c r="BX108" i="1"/>
  <c r="BX59" i="1"/>
  <c r="BX84" i="1"/>
  <c r="BX58" i="1"/>
  <c r="BX88" i="1"/>
  <c r="BX102" i="1"/>
  <c r="BX104" i="1"/>
  <c r="BX61" i="1"/>
  <c r="BX99" i="1"/>
  <c r="BX79" i="1"/>
  <c r="BX107" i="1"/>
  <c r="BX115" i="1"/>
  <c r="BX92" i="1"/>
  <c r="BX111" i="1"/>
  <c r="BX90" i="1"/>
  <c r="BX103" i="1"/>
  <c r="BX63" i="1"/>
  <c r="BX97" i="1"/>
  <c r="BX60" i="1"/>
  <c r="BX95" i="1"/>
  <c r="BX62" i="1"/>
  <c r="BX101" i="1"/>
  <c r="BX105" i="1"/>
  <c r="BX106" i="1"/>
  <c r="BX66" i="1"/>
  <c r="BX91" i="1"/>
  <c r="BX118" i="1"/>
  <c r="BX120" i="1"/>
  <c r="BX89" i="1"/>
  <c r="BX119" i="1"/>
  <c r="BX121" i="1"/>
  <c r="BX122" i="1"/>
  <c r="BX123" i="1"/>
  <c r="BX124" i="1"/>
  <c r="BX125" i="1"/>
  <c r="BX126" i="1"/>
  <c r="BX127" i="1"/>
  <c r="BX113" i="1"/>
  <c r="BX109" i="1"/>
  <c r="BX57" i="1"/>
  <c r="BX64" i="1"/>
  <c r="BX98" i="1"/>
  <c r="BX117" i="1"/>
  <c r="BX96" i="1"/>
  <c r="BX80" i="1"/>
  <c r="BX116" i="1"/>
  <c r="BX45" i="1"/>
  <c r="BX74" i="1"/>
  <c r="BX87" i="1"/>
  <c r="BX100" i="1"/>
  <c r="BX94" i="1"/>
  <c r="BX93" i="1"/>
  <c r="BX114" i="1"/>
  <c r="BX2" i="1"/>
  <c r="BB130" i="1"/>
  <c r="CE11" i="1"/>
  <c r="CE26" i="1"/>
  <c r="CE33" i="1"/>
  <c r="CE43" i="1"/>
  <c r="CE55" i="1"/>
  <c r="CE77" i="1"/>
  <c r="CE6" i="1"/>
  <c r="CE21" i="1"/>
  <c r="CE12" i="1"/>
  <c r="CE39" i="1"/>
  <c r="CE35" i="1"/>
  <c r="CE73" i="1"/>
  <c r="CE45" i="1"/>
  <c r="CE84" i="1"/>
  <c r="CE58" i="1"/>
  <c r="CE13" i="1"/>
  <c r="CE29" i="1"/>
  <c r="CE34" i="1"/>
  <c r="CE68" i="1"/>
  <c r="CE50" i="1"/>
  <c r="CE51" i="1"/>
  <c r="CE25" i="1"/>
  <c r="CE32" i="1"/>
  <c r="CE112" i="1"/>
  <c r="CE56" i="1"/>
  <c r="CE76" i="1"/>
  <c r="CE54" i="1"/>
  <c r="CE86" i="1"/>
  <c r="CE60" i="1"/>
  <c r="CE5" i="1"/>
  <c r="CE20" i="1"/>
  <c r="CE49" i="1"/>
  <c r="CE38" i="1"/>
  <c r="CE81" i="1"/>
  <c r="CE72" i="1"/>
  <c r="CE44" i="1"/>
  <c r="CE37" i="1"/>
  <c r="CE65" i="1"/>
  <c r="CE52" i="1"/>
  <c r="CE110" i="1"/>
  <c r="CE7" i="1"/>
  <c r="CE22" i="1"/>
  <c r="CE15" i="1"/>
  <c r="CE40" i="1"/>
  <c r="CE36" i="1"/>
  <c r="CE75" i="1"/>
  <c r="CE83" i="1"/>
  <c r="CE10" i="1"/>
  <c r="CE57" i="1"/>
  <c r="CE64" i="1"/>
  <c r="CE105" i="1"/>
  <c r="CE106" i="1"/>
  <c r="CE27" i="1"/>
  <c r="CE18" i="1"/>
  <c r="CE41" i="1"/>
  <c r="CE53" i="1"/>
  <c r="CE87" i="1"/>
  <c r="CE96" i="1"/>
  <c r="CE102" i="1"/>
  <c r="CE117" i="1"/>
  <c r="CE118" i="1"/>
  <c r="CE120" i="1"/>
  <c r="CE119" i="1"/>
  <c r="CE121" i="1"/>
  <c r="CE123" i="1"/>
  <c r="CE124" i="1"/>
  <c r="CE126" i="1"/>
  <c r="CE127" i="1"/>
  <c r="CE48" i="1"/>
  <c r="CE61" i="1"/>
  <c r="CE99" i="1"/>
  <c r="CE104" i="1"/>
  <c r="CE116" i="1"/>
  <c r="CE3" i="1"/>
  <c r="CE16" i="1"/>
  <c r="CE78" i="1"/>
  <c r="CE82" i="1"/>
  <c r="CE85" i="1"/>
  <c r="CE88" i="1"/>
  <c r="CE89" i="1"/>
  <c r="CE122" i="1"/>
  <c r="CE125" i="1"/>
  <c r="CE19" i="1"/>
  <c r="CE23" i="1"/>
  <c r="CE17" i="1"/>
  <c r="CE94" i="1"/>
  <c r="CE80" i="1"/>
  <c r="CE100" i="1"/>
  <c r="CE113" i="1"/>
  <c r="CE8" i="1"/>
  <c r="CE42" i="1"/>
  <c r="CE4" i="1"/>
  <c r="CE31" i="1"/>
  <c r="CE69" i="1"/>
  <c r="CE92" i="1"/>
  <c r="CE24" i="1"/>
  <c r="CE46" i="1"/>
  <c r="CE9" i="1"/>
  <c r="CE108" i="1"/>
  <c r="CE90" i="1"/>
  <c r="CE79" i="1"/>
  <c r="CE107" i="1"/>
  <c r="CE111" i="1"/>
  <c r="CE115" i="1"/>
  <c r="CE109" i="1"/>
  <c r="CE91" i="1"/>
  <c r="CE93" i="1"/>
  <c r="CE30" i="1"/>
  <c r="CE59" i="1"/>
  <c r="CE95" i="1"/>
  <c r="CE98" i="1"/>
  <c r="CE14" i="1"/>
  <c r="CE70" i="1"/>
  <c r="CE62" i="1"/>
  <c r="CE101" i="1"/>
  <c r="CE103" i="1"/>
  <c r="CE47" i="1"/>
  <c r="CE66" i="1"/>
  <c r="CE114" i="1"/>
  <c r="CE71" i="1"/>
  <c r="CE97" i="1"/>
  <c r="CE74" i="1"/>
  <c r="CE63" i="1"/>
  <c r="CE67" i="1"/>
  <c r="CE2" i="1"/>
  <c r="AS130" i="1"/>
  <c r="BV3" i="1"/>
  <c r="BV18" i="1"/>
  <c r="BV27" i="1"/>
  <c r="BV83" i="1"/>
  <c r="BV47" i="1"/>
  <c r="BV70" i="1"/>
  <c r="BV54" i="1"/>
  <c r="BV86" i="1"/>
  <c r="BV110" i="1"/>
  <c r="BV51" i="1"/>
  <c r="BV25" i="1"/>
  <c r="BV32" i="1"/>
  <c r="BV112" i="1"/>
  <c r="BV56" i="1"/>
  <c r="BV76" i="1"/>
  <c r="BV5" i="1"/>
  <c r="BV20" i="1"/>
  <c r="BV49" i="1"/>
  <c r="BV38" i="1"/>
  <c r="BV81" i="1"/>
  <c r="BV72" i="1"/>
  <c r="BV109" i="1"/>
  <c r="BV87" i="1"/>
  <c r="BV63" i="1"/>
  <c r="BV64" i="1"/>
  <c r="BV61" i="1"/>
  <c r="BV62" i="1"/>
  <c r="BV88" i="1"/>
  <c r="BV90" i="1"/>
  <c r="BV74" i="1"/>
  <c r="BV92" i="1"/>
  <c r="BV91" i="1"/>
  <c r="BV94" i="1"/>
  <c r="BV95" i="1"/>
  <c r="BV96" i="1"/>
  <c r="BV97" i="1"/>
  <c r="BV98" i="1"/>
  <c r="BV99" i="1"/>
  <c r="BV101" i="1"/>
  <c r="BV102" i="1"/>
  <c r="BV103" i="1"/>
  <c r="BV104" i="1"/>
  <c r="BV105" i="1"/>
  <c r="BV14" i="1"/>
  <c r="BV30" i="1"/>
  <c r="BV46" i="1"/>
  <c r="BV69" i="1"/>
  <c r="BV48" i="1"/>
  <c r="BV9" i="1"/>
  <c r="BV24" i="1"/>
  <c r="BV31" i="1"/>
  <c r="BV42" i="1"/>
  <c r="BV17" i="1"/>
  <c r="BV82" i="1"/>
  <c r="BV84" i="1"/>
  <c r="BV58" i="1"/>
  <c r="BV4" i="1"/>
  <c r="BV19" i="1"/>
  <c r="BV78" i="1"/>
  <c r="BV53" i="1"/>
  <c r="BV71" i="1"/>
  <c r="BV11" i="1"/>
  <c r="BV26" i="1"/>
  <c r="BV33" i="1"/>
  <c r="BV43" i="1"/>
  <c r="BV55" i="1"/>
  <c r="BV77" i="1"/>
  <c r="BV45" i="1"/>
  <c r="BV66" i="1"/>
  <c r="BV57" i="1"/>
  <c r="BV22" i="1"/>
  <c r="BV37" i="1"/>
  <c r="BV67" i="1"/>
  <c r="BV44" i="1"/>
  <c r="BV16" i="1"/>
  <c r="BV68" i="1"/>
  <c r="BV85" i="1"/>
  <c r="BV108" i="1"/>
  <c r="BV60" i="1"/>
  <c r="BV106" i="1"/>
  <c r="BV114" i="1"/>
  <c r="BV23" i="1"/>
  <c r="BV93" i="1"/>
  <c r="BV8" i="1"/>
  <c r="BV34" i="1"/>
  <c r="BV73" i="1"/>
  <c r="BV29" i="1"/>
  <c r="BV35" i="1"/>
  <c r="BV13" i="1"/>
  <c r="BV39" i="1"/>
  <c r="BV59" i="1"/>
  <c r="BV118" i="1"/>
  <c r="BV120" i="1"/>
  <c r="BV89" i="1"/>
  <c r="BV119" i="1"/>
  <c r="BV121" i="1"/>
  <c r="BV122" i="1"/>
  <c r="BV123" i="1"/>
  <c r="BV124" i="1"/>
  <c r="BV125" i="1"/>
  <c r="BV126" i="1"/>
  <c r="BV127" i="1"/>
  <c r="BV12" i="1"/>
  <c r="BV21" i="1"/>
  <c r="BV75" i="1"/>
  <c r="BV65" i="1"/>
  <c r="BV6" i="1"/>
  <c r="BV36" i="1"/>
  <c r="BV80" i="1"/>
  <c r="BV100" i="1"/>
  <c r="BV113" i="1"/>
  <c r="BV116" i="1"/>
  <c r="BV40" i="1"/>
  <c r="BV52" i="1"/>
  <c r="BV15" i="1"/>
  <c r="BV10" i="1"/>
  <c r="BV7" i="1"/>
  <c r="BV41" i="1"/>
  <c r="BV50" i="1"/>
  <c r="BV111" i="1"/>
  <c r="BV115" i="1"/>
  <c r="BV79" i="1"/>
  <c r="BV117" i="1"/>
  <c r="BV107" i="1"/>
  <c r="BV2" i="1"/>
  <c r="AW130" i="1"/>
  <c r="BZ13" i="1"/>
  <c r="BZ29" i="1"/>
  <c r="BZ34" i="1"/>
  <c r="BZ68" i="1"/>
  <c r="BZ50" i="1"/>
  <c r="BZ8" i="1"/>
  <c r="BZ23" i="1"/>
  <c r="BZ16" i="1"/>
  <c r="BZ41" i="1"/>
  <c r="BZ67" i="1"/>
  <c r="BZ10" i="1"/>
  <c r="BZ60" i="1"/>
  <c r="BZ3" i="1"/>
  <c r="BZ18" i="1"/>
  <c r="BZ27" i="1"/>
  <c r="BZ83" i="1"/>
  <c r="BZ47" i="1"/>
  <c r="BZ70" i="1"/>
  <c r="BZ44" i="1"/>
  <c r="BZ37" i="1"/>
  <c r="BZ65" i="1"/>
  <c r="BZ52" i="1"/>
  <c r="BZ109" i="1"/>
  <c r="BZ7" i="1"/>
  <c r="BZ22" i="1"/>
  <c r="BZ15" i="1"/>
  <c r="BZ40" i="1"/>
  <c r="BZ36" i="1"/>
  <c r="BZ75" i="1"/>
  <c r="BZ87" i="1"/>
  <c r="BZ63" i="1"/>
  <c r="BZ64" i="1"/>
  <c r="BZ61" i="1"/>
  <c r="BZ62" i="1"/>
  <c r="BZ88" i="1"/>
  <c r="BZ90" i="1"/>
  <c r="BZ74" i="1"/>
  <c r="BZ92" i="1"/>
  <c r="BZ91" i="1"/>
  <c r="BZ94" i="1"/>
  <c r="BZ95" i="1"/>
  <c r="BZ96" i="1"/>
  <c r="BZ97" i="1"/>
  <c r="BZ98" i="1"/>
  <c r="BZ99" i="1"/>
  <c r="BZ101" i="1"/>
  <c r="BZ102" i="1"/>
  <c r="BZ103" i="1"/>
  <c r="BZ104" i="1"/>
  <c r="BZ105" i="1"/>
  <c r="BZ79" i="1"/>
  <c r="BZ80" i="1"/>
  <c r="BZ106" i="1"/>
  <c r="BZ107" i="1"/>
  <c r="BZ100" i="1"/>
  <c r="BZ93" i="1"/>
  <c r="BZ111" i="1"/>
  <c r="BZ113" i="1"/>
  <c r="BZ114" i="1"/>
  <c r="BZ115" i="1"/>
  <c r="BZ14" i="1"/>
  <c r="BZ30" i="1"/>
  <c r="BZ46" i="1"/>
  <c r="BZ69" i="1"/>
  <c r="BZ48" i="1"/>
  <c r="BZ85" i="1"/>
  <c r="BZ108" i="1"/>
  <c r="BZ59" i="1"/>
  <c r="BZ9" i="1"/>
  <c r="BZ24" i="1"/>
  <c r="BZ31" i="1"/>
  <c r="BZ42" i="1"/>
  <c r="BZ17" i="1"/>
  <c r="BZ82" i="1"/>
  <c r="BZ26" i="1"/>
  <c r="BZ53" i="1"/>
  <c r="BZ45" i="1"/>
  <c r="BZ110" i="1"/>
  <c r="BZ58" i="1"/>
  <c r="BZ19" i="1"/>
  <c r="BZ72" i="1"/>
  <c r="BZ76" i="1"/>
  <c r="BZ4" i="1"/>
  <c r="BZ81" i="1"/>
  <c r="BZ38" i="1"/>
  <c r="BZ49" i="1"/>
  <c r="BZ56" i="1"/>
  <c r="BZ73" i="1"/>
  <c r="BZ86" i="1"/>
  <c r="BZ20" i="1"/>
  <c r="BZ112" i="1"/>
  <c r="BZ35" i="1"/>
  <c r="BZ5" i="1"/>
  <c r="BZ32" i="1"/>
  <c r="BZ39" i="1"/>
  <c r="BZ77" i="1"/>
  <c r="BZ54" i="1"/>
  <c r="BZ25" i="1"/>
  <c r="BZ12" i="1"/>
  <c r="BZ55" i="1"/>
  <c r="BZ71" i="1"/>
  <c r="BZ57" i="1"/>
  <c r="BZ116" i="1"/>
  <c r="BZ51" i="1"/>
  <c r="BZ21" i="1"/>
  <c r="BZ43" i="1"/>
  <c r="BZ66" i="1"/>
  <c r="BZ117" i="1"/>
  <c r="BZ118" i="1"/>
  <c r="BZ120" i="1"/>
  <c r="BZ89" i="1"/>
  <c r="BZ119" i="1"/>
  <c r="BZ121" i="1"/>
  <c r="BZ122" i="1"/>
  <c r="BZ123" i="1"/>
  <c r="BZ124" i="1"/>
  <c r="BZ125" i="1"/>
  <c r="BZ126" i="1"/>
  <c r="BZ127" i="1"/>
  <c r="BZ6" i="1"/>
  <c r="BZ33" i="1"/>
  <c r="BZ11" i="1"/>
  <c r="BZ84" i="1"/>
  <c r="BZ78" i="1"/>
  <c r="BZ2" i="1"/>
  <c r="AT130" i="1"/>
  <c r="BW3" i="1"/>
  <c r="BW4" i="1"/>
  <c r="BW5" i="1"/>
  <c r="BW6" i="1"/>
  <c r="BW7" i="1"/>
  <c r="BW8" i="1"/>
  <c r="BW9" i="1"/>
  <c r="BW51" i="1"/>
  <c r="BW11" i="1"/>
  <c r="BW13" i="1"/>
  <c r="BW14" i="1"/>
  <c r="BW18" i="1"/>
  <c r="BW19" i="1"/>
  <c r="BW20" i="1"/>
  <c r="BW21" i="1"/>
  <c r="BW22" i="1"/>
  <c r="BW23" i="1"/>
  <c r="BW24" i="1"/>
  <c r="BW25" i="1"/>
  <c r="BW26" i="1"/>
  <c r="BW44" i="1"/>
  <c r="BW29" i="1"/>
  <c r="BW30" i="1"/>
  <c r="BW27" i="1"/>
  <c r="BW49" i="1"/>
  <c r="BW12" i="1"/>
  <c r="BW15" i="1"/>
  <c r="BW16" i="1"/>
  <c r="BW31" i="1"/>
  <c r="BW32" i="1"/>
  <c r="BW33" i="1"/>
  <c r="BW34" i="1"/>
  <c r="BW83" i="1"/>
  <c r="BW78" i="1"/>
  <c r="BW38" i="1"/>
  <c r="BW39" i="1"/>
  <c r="BW40" i="1"/>
  <c r="BW41" i="1"/>
  <c r="BW42" i="1"/>
  <c r="BW112" i="1"/>
  <c r="BW43" i="1"/>
  <c r="BW37" i="1"/>
  <c r="BW46" i="1"/>
  <c r="BW47" i="1"/>
  <c r="BW53" i="1"/>
  <c r="BW81" i="1"/>
  <c r="BW35" i="1"/>
  <c r="BW36" i="1"/>
  <c r="BW67" i="1"/>
  <c r="BW17" i="1"/>
  <c r="BW56" i="1"/>
  <c r="BW55" i="1"/>
  <c r="BW65" i="1"/>
  <c r="BW68" i="1"/>
  <c r="BW69" i="1"/>
  <c r="BW70" i="1"/>
  <c r="BW71" i="1"/>
  <c r="BW72" i="1"/>
  <c r="BW73" i="1"/>
  <c r="BW75" i="1"/>
  <c r="BW10" i="1"/>
  <c r="BW82" i="1"/>
  <c r="BW76" i="1"/>
  <c r="BW77" i="1"/>
  <c r="BW52" i="1"/>
  <c r="BW50" i="1"/>
  <c r="BW48" i="1"/>
  <c r="BW54" i="1"/>
  <c r="BW45" i="1"/>
  <c r="BW85" i="1"/>
  <c r="BW86" i="1"/>
  <c r="BW66" i="1"/>
  <c r="BW84" i="1"/>
  <c r="BW108" i="1"/>
  <c r="BW109" i="1"/>
  <c r="BW110" i="1"/>
  <c r="BW60" i="1"/>
  <c r="BW57" i="1"/>
  <c r="BW58" i="1"/>
  <c r="BW59" i="1"/>
  <c r="BW94" i="1"/>
  <c r="BW92" i="1"/>
  <c r="BW79" i="1"/>
  <c r="BW107" i="1"/>
  <c r="BW111" i="1"/>
  <c r="BW115" i="1"/>
  <c r="BW97" i="1"/>
  <c r="BW63" i="1"/>
  <c r="BW95" i="1"/>
  <c r="BW90" i="1"/>
  <c r="BW103" i="1"/>
  <c r="BW62" i="1"/>
  <c r="BW101" i="1"/>
  <c r="BW105" i="1"/>
  <c r="BW106" i="1"/>
  <c r="BW93" i="1"/>
  <c r="BW114" i="1"/>
  <c r="BW91" i="1"/>
  <c r="BW64" i="1"/>
  <c r="BW98" i="1"/>
  <c r="BW117" i="1"/>
  <c r="BW74" i="1"/>
  <c r="BW88" i="1"/>
  <c r="BW102" i="1"/>
  <c r="BW87" i="1"/>
  <c r="BW96" i="1"/>
  <c r="BW80" i="1"/>
  <c r="BW100" i="1"/>
  <c r="BW113" i="1"/>
  <c r="BW116" i="1"/>
  <c r="BW104" i="1"/>
  <c r="BW127" i="1"/>
  <c r="BW118" i="1"/>
  <c r="BW120" i="1"/>
  <c r="BW124" i="1"/>
  <c r="BW121" i="1"/>
  <c r="BW89" i="1"/>
  <c r="BW125" i="1"/>
  <c r="BW99" i="1"/>
  <c r="BW119" i="1"/>
  <c r="BW126" i="1"/>
  <c r="BW122" i="1"/>
  <c r="BW123" i="1"/>
  <c r="BW61" i="1"/>
  <c r="BW2" i="1"/>
  <c r="AY130" i="1"/>
  <c r="CB3" i="1"/>
  <c r="CB4" i="1"/>
  <c r="CB5" i="1"/>
  <c r="CB6" i="1"/>
  <c r="CB7" i="1"/>
  <c r="CB8" i="1"/>
  <c r="CB9" i="1"/>
  <c r="CB51" i="1"/>
  <c r="CB11" i="1"/>
  <c r="CB13" i="1"/>
  <c r="CB14" i="1"/>
  <c r="CB18" i="1"/>
  <c r="CB19" i="1"/>
  <c r="CB20" i="1"/>
  <c r="CB21" i="1"/>
  <c r="CB22" i="1"/>
  <c r="CB23" i="1"/>
  <c r="CB24" i="1"/>
  <c r="CB25" i="1"/>
  <c r="CB26" i="1"/>
  <c r="CB44" i="1"/>
  <c r="CB29" i="1"/>
  <c r="CB30" i="1"/>
  <c r="CB27" i="1"/>
  <c r="CB49" i="1"/>
  <c r="CB12" i="1"/>
  <c r="CB15" i="1"/>
  <c r="CB16" i="1"/>
  <c r="CB31" i="1"/>
  <c r="CB32" i="1"/>
  <c r="CB33" i="1"/>
  <c r="CB34" i="1"/>
  <c r="CB83" i="1"/>
  <c r="CB78" i="1"/>
  <c r="CB38" i="1"/>
  <c r="CB39" i="1"/>
  <c r="CB40" i="1"/>
  <c r="CB41" i="1"/>
  <c r="CB42" i="1"/>
  <c r="CB112" i="1"/>
  <c r="CB43" i="1"/>
  <c r="CB37" i="1"/>
  <c r="CB46" i="1"/>
  <c r="CB47" i="1"/>
  <c r="CB53" i="1"/>
  <c r="CB81" i="1"/>
  <c r="CB35" i="1"/>
  <c r="CB36" i="1"/>
  <c r="CB67" i="1"/>
  <c r="CB17" i="1"/>
  <c r="CB56" i="1"/>
  <c r="CB55" i="1"/>
  <c r="CB65" i="1"/>
  <c r="CB68" i="1"/>
  <c r="CB69" i="1"/>
  <c r="CB70" i="1"/>
  <c r="CB71" i="1"/>
  <c r="CB72" i="1"/>
  <c r="CB73" i="1"/>
  <c r="CB75" i="1"/>
  <c r="CB10" i="1"/>
  <c r="CB82" i="1"/>
  <c r="CB76" i="1"/>
  <c r="CB77" i="1"/>
  <c r="CB52" i="1"/>
  <c r="CB50" i="1"/>
  <c r="CB48" i="1"/>
  <c r="CB54" i="1"/>
  <c r="CB45" i="1"/>
  <c r="CB85" i="1"/>
  <c r="CB86" i="1"/>
  <c r="CB66" i="1"/>
  <c r="CB84" i="1"/>
  <c r="CB108" i="1"/>
  <c r="CB109" i="1"/>
  <c r="CB110" i="1"/>
  <c r="CB60" i="1"/>
  <c r="CB57" i="1"/>
  <c r="CB58" i="1"/>
  <c r="CB59" i="1"/>
  <c r="CB87" i="1"/>
  <c r="CB63" i="1"/>
  <c r="CB64" i="1"/>
  <c r="CB61" i="1"/>
  <c r="CB62" i="1"/>
  <c r="CB88" i="1"/>
  <c r="CB90" i="1"/>
  <c r="CB74" i="1"/>
  <c r="CB92" i="1"/>
  <c r="CB91" i="1"/>
  <c r="CB94" i="1"/>
  <c r="CB95" i="1"/>
  <c r="CB96" i="1"/>
  <c r="CB97" i="1"/>
  <c r="CB98" i="1"/>
  <c r="CB99" i="1"/>
  <c r="CB101" i="1"/>
  <c r="CB102" i="1"/>
  <c r="CB117" i="1"/>
  <c r="CB121" i="1"/>
  <c r="CB125" i="1"/>
  <c r="CB104" i="1"/>
  <c r="CB116" i="1"/>
  <c r="CB79" i="1"/>
  <c r="CB115" i="1"/>
  <c r="CB107" i="1"/>
  <c r="CB111" i="1"/>
  <c r="CB118" i="1"/>
  <c r="CB89" i="1"/>
  <c r="CB122" i="1"/>
  <c r="CB126" i="1"/>
  <c r="CB105" i="1"/>
  <c r="CB106" i="1"/>
  <c r="CB93" i="1"/>
  <c r="CB114" i="1"/>
  <c r="CB120" i="1"/>
  <c r="CB123" i="1"/>
  <c r="CB127" i="1"/>
  <c r="CB119" i="1"/>
  <c r="CB124" i="1"/>
  <c r="CB100" i="1"/>
  <c r="CB113" i="1"/>
  <c r="CB103" i="1"/>
  <c r="CB80" i="1"/>
  <c r="CB2" i="1"/>
  <c r="AZ130" i="1"/>
  <c r="CC3" i="1"/>
  <c r="CC4" i="1"/>
  <c r="CC5" i="1"/>
  <c r="CC6" i="1"/>
  <c r="CC7" i="1"/>
  <c r="CC8" i="1"/>
  <c r="CC9" i="1"/>
  <c r="CC51" i="1"/>
  <c r="CC11" i="1"/>
  <c r="CC13" i="1"/>
  <c r="CC14" i="1"/>
  <c r="CC18" i="1"/>
  <c r="CC19" i="1"/>
  <c r="CC20" i="1"/>
  <c r="CC21" i="1"/>
  <c r="CC22" i="1"/>
  <c r="CC23" i="1"/>
  <c r="CC24" i="1"/>
  <c r="CC25" i="1"/>
  <c r="CC26" i="1"/>
  <c r="CC44" i="1"/>
  <c r="CC29" i="1"/>
  <c r="CC30" i="1"/>
  <c r="CC27" i="1"/>
  <c r="CC49" i="1"/>
  <c r="CC12" i="1"/>
  <c r="CC15" i="1"/>
  <c r="CC16" i="1"/>
  <c r="CC31" i="1"/>
  <c r="CC32" i="1"/>
  <c r="CC33" i="1"/>
  <c r="CC34" i="1"/>
  <c r="CC83" i="1"/>
  <c r="CC78" i="1"/>
  <c r="CC38" i="1"/>
  <c r="CC39" i="1"/>
  <c r="CC40" i="1"/>
  <c r="CC41" i="1"/>
  <c r="CC42" i="1"/>
  <c r="CC112" i="1"/>
  <c r="CC43" i="1"/>
  <c r="CC37" i="1"/>
  <c r="CC46" i="1"/>
  <c r="CC47" i="1"/>
  <c r="CC53" i="1"/>
  <c r="CC81" i="1"/>
  <c r="CC35" i="1"/>
  <c r="CC36" i="1"/>
  <c r="CC67" i="1"/>
  <c r="CC17" i="1"/>
  <c r="CC56" i="1"/>
  <c r="CC55" i="1"/>
  <c r="CC65" i="1"/>
  <c r="CC68" i="1"/>
  <c r="CC69" i="1"/>
  <c r="CC70" i="1"/>
  <c r="CC71" i="1"/>
  <c r="CC72" i="1"/>
  <c r="CC73" i="1"/>
  <c r="CC75" i="1"/>
  <c r="CC10" i="1"/>
  <c r="CC82" i="1"/>
  <c r="CC76" i="1"/>
  <c r="CC77" i="1"/>
  <c r="CC52" i="1"/>
  <c r="CC50" i="1"/>
  <c r="CC48" i="1"/>
  <c r="CC54" i="1"/>
  <c r="CC45" i="1"/>
  <c r="CC85" i="1"/>
  <c r="CC86" i="1"/>
  <c r="CC66" i="1"/>
  <c r="CC57" i="1"/>
  <c r="CC110" i="1"/>
  <c r="CC109" i="1"/>
  <c r="CC87" i="1"/>
  <c r="CC94" i="1"/>
  <c r="CC80" i="1"/>
  <c r="CC100" i="1"/>
  <c r="CC113" i="1"/>
  <c r="CC84" i="1"/>
  <c r="CC61" i="1"/>
  <c r="CC99" i="1"/>
  <c r="CC104" i="1"/>
  <c r="CC116" i="1"/>
  <c r="CC58" i="1"/>
  <c r="CC92" i="1"/>
  <c r="CC63" i="1"/>
  <c r="CC97" i="1"/>
  <c r="CC108" i="1"/>
  <c r="CC90" i="1"/>
  <c r="CC79" i="1"/>
  <c r="CC107" i="1"/>
  <c r="CC111" i="1"/>
  <c r="CC115" i="1"/>
  <c r="CC60" i="1"/>
  <c r="CC59" i="1"/>
  <c r="CC62" i="1"/>
  <c r="CC101" i="1"/>
  <c r="CC103" i="1"/>
  <c r="CC91" i="1"/>
  <c r="CC64" i="1"/>
  <c r="CC98" i="1"/>
  <c r="CC105" i="1"/>
  <c r="CC106" i="1"/>
  <c r="CC93" i="1"/>
  <c r="CC114" i="1"/>
  <c r="CC74" i="1"/>
  <c r="CC96" i="1"/>
  <c r="CC118" i="1"/>
  <c r="CC123" i="1"/>
  <c r="CC95" i="1"/>
  <c r="CC120" i="1"/>
  <c r="CC124" i="1"/>
  <c r="CC89" i="1"/>
  <c r="CC102" i="1"/>
  <c r="CC119" i="1"/>
  <c r="CC125" i="1"/>
  <c r="CC126" i="1"/>
  <c r="CC121" i="1"/>
  <c r="CC127" i="1"/>
  <c r="CC88" i="1"/>
  <c r="CC117" i="1"/>
  <c r="CC122" i="1"/>
  <c r="CC2" i="1"/>
  <c r="AV130" i="1"/>
  <c r="BY8" i="1"/>
  <c r="BY23" i="1"/>
  <c r="BY16" i="1"/>
  <c r="BY41" i="1"/>
  <c r="BY67" i="1"/>
  <c r="BY10" i="1"/>
  <c r="BY60" i="1"/>
  <c r="BY3" i="1"/>
  <c r="BY18" i="1"/>
  <c r="BY27" i="1"/>
  <c r="BY83" i="1"/>
  <c r="BY47" i="1"/>
  <c r="BY70" i="1"/>
  <c r="BY51" i="1"/>
  <c r="BY25" i="1"/>
  <c r="BY32" i="1"/>
  <c r="BY112" i="1"/>
  <c r="BY56" i="1"/>
  <c r="BY76" i="1"/>
  <c r="BY54" i="1"/>
  <c r="BY86" i="1"/>
  <c r="BY110" i="1"/>
  <c r="BY7" i="1"/>
  <c r="BY22" i="1"/>
  <c r="BY15" i="1"/>
  <c r="BY40" i="1"/>
  <c r="BY36" i="1"/>
  <c r="BY75" i="1"/>
  <c r="BY87" i="1"/>
  <c r="BY63" i="1"/>
  <c r="BY64" i="1"/>
  <c r="BY61" i="1"/>
  <c r="BY62" i="1"/>
  <c r="BY88" i="1"/>
  <c r="BY90" i="1"/>
  <c r="BY74" i="1"/>
  <c r="BY92" i="1"/>
  <c r="BY91" i="1"/>
  <c r="BY94" i="1"/>
  <c r="BY95" i="1"/>
  <c r="BY96" i="1"/>
  <c r="BY97" i="1"/>
  <c r="BY98" i="1"/>
  <c r="BY99" i="1"/>
  <c r="BY101" i="1"/>
  <c r="BY102" i="1"/>
  <c r="BY103" i="1"/>
  <c r="BY104" i="1"/>
  <c r="BY105" i="1"/>
  <c r="BY79" i="1"/>
  <c r="BY80" i="1"/>
  <c r="BY106" i="1"/>
  <c r="BY107" i="1"/>
  <c r="BY100" i="1"/>
  <c r="BY93" i="1"/>
  <c r="BY111" i="1"/>
  <c r="BY113" i="1"/>
  <c r="BY114" i="1"/>
  <c r="BY115" i="1"/>
  <c r="BY116" i="1"/>
  <c r="BY117" i="1"/>
  <c r="BY14" i="1"/>
  <c r="BY30" i="1"/>
  <c r="BY46" i="1"/>
  <c r="BY69" i="1"/>
  <c r="BY48" i="1"/>
  <c r="BY85" i="1"/>
  <c r="BY108" i="1"/>
  <c r="BY59" i="1"/>
  <c r="BY9" i="1"/>
  <c r="BY24" i="1"/>
  <c r="BY31" i="1"/>
  <c r="BY42" i="1"/>
  <c r="BY17" i="1"/>
  <c r="BY82" i="1"/>
  <c r="BY4" i="1"/>
  <c r="BY19" i="1"/>
  <c r="BY78" i="1"/>
  <c r="BY53" i="1"/>
  <c r="BY71" i="1"/>
  <c r="BY84" i="1"/>
  <c r="BY58" i="1"/>
  <c r="BY11" i="1"/>
  <c r="BY65" i="1"/>
  <c r="BY72" i="1"/>
  <c r="BY50" i="1"/>
  <c r="BY44" i="1"/>
  <c r="BY81" i="1"/>
  <c r="BY68" i="1"/>
  <c r="BY38" i="1"/>
  <c r="BY49" i="1"/>
  <c r="BY34" i="1"/>
  <c r="BY73" i="1"/>
  <c r="BY20" i="1"/>
  <c r="BY29" i="1"/>
  <c r="BY35" i="1"/>
  <c r="BY5" i="1"/>
  <c r="BY13" i="1"/>
  <c r="BY39" i="1"/>
  <c r="BY77" i="1"/>
  <c r="BY12" i="1"/>
  <c r="BY55" i="1"/>
  <c r="BY52" i="1"/>
  <c r="BY21" i="1"/>
  <c r="BY43" i="1"/>
  <c r="BY66" i="1"/>
  <c r="BY118" i="1"/>
  <c r="BY120" i="1"/>
  <c r="BY89" i="1"/>
  <c r="BY119" i="1"/>
  <c r="BY121" i="1"/>
  <c r="BY122" i="1"/>
  <c r="BY123" i="1"/>
  <c r="BY124" i="1"/>
  <c r="BY125" i="1"/>
  <c r="BY126" i="1"/>
  <c r="BY127" i="1"/>
  <c r="BY45" i="1"/>
  <c r="BY6" i="1"/>
  <c r="BY33" i="1"/>
  <c r="BY109" i="1"/>
  <c r="BY57" i="1"/>
  <c r="BY26" i="1"/>
  <c r="BY37" i="1"/>
  <c r="BY2" i="1"/>
  <c r="AQ130" i="1"/>
  <c r="BT5" i="1"/>
  <c r="BT20" i="1"/>
  <c r="BT49" i="1"/>
  <c r="BT38" i="1"/>
  <c r="BT81" i="1"/>
  <c r="BT72" i="1"/>
  <c r="BT109" i="1"/>
  <c r="BT87" i="1"/>
  <c r="BT63" i="1"/>
  <c r="BT64" i="1"/>
  <c r="BT61" i="1"/>
  <c r="BT62" i="1"/>
  <c r="BT88" i="1"/>
  <c r="BT90" i="1"/>
  <c r="BT74" i="1"/>
  <c r="BT92" i="1"/>
  <c r="BT91" i="1"/>
  <c r="BT94" i="1"/>
  <c r="BT95" i="1"/>
  <c r="BT96" i="1"/>
  <c r="BT97" i="1"/>
  <c r="BT98" i="1"/>
  <c r="BT99" i="1"/>
  <c r="BT101" i="1"/>
  <c r="BT102" i="1"/>
  <c r="BT103" i="1"/>
  <c r="BT104" i="1"/>
  <c r="BT105" i="1"/>
  <c r="BT79" i="1"/>
  <c r="BT80" i="1"/>
  <c r="BT106" i="1"/>
  <c r="BT107" i="1"/>
  <c r="BT100" i="1"/>
  <c r="BT93" i="1"/>
  <c r="BT111" i="1"/>
  <c r="BT113" i="1"/>
  <c r="BT114" i="1"/>
  <c r="BT115" i="1"/>
  <c r="BT116" i="1"/>
  <c r="BT117" i="1"/>
  <c r="BT44" i="1"/>
  <c r="BT37" i="1"/>
  <c r="BT65" i="1"/>
  <c r="BT52" i="1"/>
  <c r="BT7" i="1"/>
  <c r="BT22" i="1"/>
  <c r="BT15" i="1"/>
  <c r="BT40" i="1"/>
  <c r="BT36" i="1"/>
  <c r="BT75" i="1"/>
  <c r="BT85" i="1"/>
  <c r="BT108" i="1"/>
  <c r="BT59" i="1"/>
  <c r="BT4" i="1"/>
  <c r="BT19" i="1"/>
  <c r="BT78" i="1"/>
  <c r="BT53" i="1"/>
  <c r="BT71" i="1"/>
  <c r="BT11" i="1"/>
  <c r="BT26" i="1"/>
  <c r="BT33" i="1"/>
  <c r="BT43" i="1"/>
  <c r="BT55" i="1"/>
  <c r="BT77" i="1"/>
  <c r="BT45" i="1"/>
  <c r="BT66" i="1"/>
  <c r="BT57" i="1"/>
  <c r="BT6" i="1"/>
  <c r="BT21" i="1"/>
  <c r="BT12" i="1"/>
  <c r="BT39" i="1"/>
  <c r="BT35" i="1"/>
  <c r="BT73" i="1"/>
  <c r="BT13" i="1"/>
  <c r="BT29" i="1"/>
  <c r="BT34" i="1"/>
  <c r="BT68" i="1"/>
  <c r="BT50" i="1"/>
  <c r="BT60" i="1"/>
  <c r="BT3" i="1"/>
  <c r="BT16" i="1"/>
  <c r="BT84" i="1"/>
  <c r="BT110" i="1"/>
  <c r="BT8" i="1"/>
  <c r="BT17" i="1"/>
  <c r="BT24" i="1"/>
  <c r="BT42" i="1"/>
  <c r="BT48" i="1"/>
  <c r="BT31" i="1"/>
  <c r="BT69" i="1"/>
  <c r="BT76" i="1"/>
  <c r="BT86" i="1"/>
  <c r="BT118" i="1"/>
  <c r="BT120" i="1"/>
  <c r="BT89" i="1"/>
  <c r="BT119" i="1"/>
  <c r="BT121" i="1"/>
  <c r="BT122" i="1"/>
  <c r="BT123" i="1"/>
  <c r="BT124" i="1"/>
  <c r="BT125" i="1"/>
  <c r="BT126" i="1"/>
  <c r="BT127" i="1"/>
  <c r="BT46" i="1"/>
  <c r="BT56" i="1"/>
  <c r="BT9" i="1"/>
  <c r="BT112" i="1"/>
  <c r="BT54" i="1"/>
  <c r="BT30" i="1"/>
  <c r="BT32" i="1"/>
  <c r="BT70" i="1"/>
  <c r="BT14" i="1"/>
  <c r="BT25" i="1"/>
  <c r="BT47" i="1"/>
  <c r="BT18" i="1"/>
  <c r="BT51" i="1"/>
  <c r="BT83" i="1"/>
  <c r="BT10" i="1"/>
  <c r="BT41" i="1"/>
  <c r="BT27" i="1"/>
  <c r="BT67" i="1"/>
  <c r="BT82" i="1"/>
  <c r="BT23" i="1"/>
  <c r="BT58" i="1"/>
  <c r="BT2" i="1"/>
  <c r="AX130" i="1"/>
  <c r="CA6" i="1"/>
  <c r="CA21" i="1"/>
  <c r="CA12" i="1"/>
  <c r="CA39" i="1"/>
  <c r="CA35" i="1"/>
  <c r="CA73" i="1"/>
  <c r="CA45" i="1"/>
  <c r="CA66" i="1"/>
  <c r="CA57" i="1"/>
  <c r="CA13" i="1"/>
  <c r="CA29" i="1"/>
  <c r="CA34" i="1"/>
  <c r="CA68" i="1"/>
  <c r="CA50" i="1"/>
  <c r="CA8" i="1"/>
  <c r="CA23" i="1"/>
  <c r="CA16" i="1"/>
  <c r="CA41" i="1"/>
  <c r="CA67" i="1"/>
  <c r="CA10" i="1"/>
  <c r="CA60" i="1"/>
  <c r="CA5" i="1"/>
  <c r="CA20" i="1"/>
  <c r="CA49" i="1"/>
  <c r="CA38" i="1"/>
  <c r="CA81" i="1"/>
  <c r="CA72" i="1"/>
  <c r="CA44" i="1"/>
  <c r="CA37" i="1"/>
  <c r="CA65" i="1"/>
  <c r="CA52" i="1"/>
  <c r="CA109" i="1"/>
  <c r="CA7" i="1"/>
  <c r="CA22" i="1"/>
  <c r="CA15" i="1"/>
  <c r="CA40" i="1"/>
  <c r="CA36" i="1"/>
  <c r="CA75" i="1"/>
  <c r="CA87" i="1"/>
  <c r="CA63" i="1"/>
  <c r="CA64" i="1"/>
  <c r="CA61" i="1"/>
  <c r="CA62" i="1"/>
  <c r="CA88" i="1"/>
  <c r="CA90" i="1"/>
  <c r="CA74" i="1"/>
  <c r="CA92" i="1"/>
  <c r="CA91" i="1"/>
  <c r="CA94" i="1"/>
  <c r="CA95" i="1"/>
  <c r="CA96" i="1"/>
  <c r="CA97" i="1"/>
  <c r="CA98" i="1"/>
  <c r="CA99" i="1"/>
  <c r="CA101" i="1"/>
  <c r="CA102" i="1"/>
  <c r="CA14" i="1"/>
  <c r="CA30" i="1"/>
  <c r="CA46" i="1"/>
  <c r="CA69" i="1"/>
  <c r="CA48" i="1"/>
  <c r="CA85" i="1"/>
  <c r="CA108" i="1"/>
  <c r="CA59" i="1"/>
  <c r="CA27" i="1"/>
  <c r="CA33" i="1"/>
  <c r="CA71" i="1"/>
  <c r="CA80" i="1"/>
  <c r="CA113" i="1"/>
  <c r="CA26" i="1"/>
  <c r="CA3" i="1"/>
  <c r="CA11" i="1"/>
  <c r="CA78" i="1"/>
  <c r="CA82" i="1"/>
  <c r="CA84" i="1"/>
  <c r="CA17" i="1"/>
  <c r="CA110" i="1"/>
  <c r="CA58" i="1"/>
  <c r="CA19" i="1"/>
  <c r="CA42" i="1"/>
  <c r="CA79" i="1"/>
  <c r="CA107" i="1"/>
  <c r="CA111" i="1"/>
  <c r="CA115" i="1"/>
  <c r="CA31" i="1"/>
  <c r="CA4" i="1"/>
  <c r="CA24" i="1"/>
  <c r="CA76" i="1"/>
  <c r="CA103" i="1"/>
  <c r="CA9" i="1"/>
  <c r="CA56" i="1"/>
  <c r="CA86" i="1"/>
  <c r="CA112" i="1"/>
  <c r="CA105" i="1"/>
  <c r="CA106" i="1"/>
  <c r="CA93" i="1"/>
  <c r="CA114" i="1"/>
  <c r="CA43" i="1"/>
  <c r="CA117" i="1"/>
  <c r="CA89" i="1"/>
  <c r="CA121" i="1"/>
  <c r="CA124" i="1"/>
  <c r="CA127" i="1"/>
  <c r="CA32" i="1"/>
  <c r="CA70" i="1"/>
  <c r="CA77" i="1"/>
  <c r="CA54" i="1"/>
  <c r="CA51" i="1"/>
  <c r="CA120" i="1"/>
  <c r="CA122" i="1"/>
  <c r="CA125" i="1"/>
  <c r="CA100" i="1"/>
  <c r="CA25" i="1"/>
  <c r="CA47" i="1"/>
  <c r="CA55" i="1"/>
  <c r="CA83" i="1"/>
  <c r="CA118" i="1"/>
  <c r="CA119" i="1"/>
  <c r="CA123" i="1"/>
  <c r="CA126" i="1"/>
  <c r="CA18" i="1"/>
  <c r="CA104" i="1"/>
  <c r="CA116" i="1"/>
  <c r="CA53" i="1"/>
  <c r="CA2" i="1"/>
  <c r="BA130" i="1"/>
  <c r="CD3" i="1"/>
  <c r="CD4" i="1"/>
  <c r="CD5" i="1"/>
  <c r="CD6" i="1"/>
  <c r="CD7" i="1"/>
  <c r="CD8" i="1"/>
  <c r="CD9" i="1"/>
  <c r="CD51" i="1"/>
  <c r="CD11" i="1"/>
  <c r="CD13" i="1"/>
  <c r="CD14" i="1"/>
  <c r="CD18" i="1"/>
  <c r="CD19" i="1"/>
  <c r="CD20" i="1"/>
  <c r="CD21" i="1"/>
  <c r="CD22" i="1"/>
  <c r="CD23" i="1"/>
  <c r="CD24" i="1"/>
  <c r="CD25" i="1"/>
  <c r="CD26" i="1"/>
  <c r="CD44" i="1"/>
  <c r="CD29" i="1"/>
  <c r="CD30" i="1"/>
  <c r="CD27" i="1"/>
  <c r="CD49" i="1"/>
  <c r="CD12" i="1"/>
  <c r="CD15" i="1"/>
  <c r="CD16" i="1"/>
  <c r="CD31" i="1"/>
  <c r="CD32" i="1"/>
  <c r="CD33" i="1"/>
  <c r="CD34" i="1"/>
  <c r="CD83" i="1"/>
  <c r="CD78" i="1"/>
  <c r="CD38" i="1"/>
  <c r="CD39" i="1"/>
  <c r="CD40" i="1"/>
  <c r="CD41" i="1"/>
  <c r="CD42" i="1"/>
  <c r="CD112" i="1"/>
  <c r="CD43" i="1"/>
  <c r="CD37" i="1"/>
  <c r="CD46" i="1"/>
  <c r="CD47" i="1"/>
  <c r="CD53" i="1"/>
  <c r="CD81" i="1"/>
  <c r="CD35" i="1"/>
  <c r="CD36" i="1"/>
  <c r="CD67" i="1"/>
  <c r="CD17" i="1"/>
  <c r="CD56" i="1"/>
  <c r="CD55" i="1"/>
  <c r="CD65" i="1"/>
  <c r="CD68" i="1"/>
  <c r="CD69" i="1"/>
  <c r="CD70" i="1"/>
  <c r="CD71" i="1"/>
  <c r="CD72" i="1"/>
  <c r="CD73" i="1"/>
  <c r="CD75" i="1"/>
  <c r="CD10" i="1"/>
  <c r="CD82" i="1"/>
  <c r="CD76" i="1"/>
  <c r="CD77" i="1"/>
  <c r="CD52" i="1"/>
  <c r="CD50" i="1"/>
  <c r="CD48" i="1"/>
  <c r="CD54" i="1"/>
  <c r="CD45" i="1"/>
  <c r="CD85" i="1"/>
  <c r="CD86" i="1"/>
  <c r="CD84" i="1"/>
  <c r="CD58" i="1"/>
  <c r="CD66" i="1"/>
  <c r="CD57" i="1"/>
  <c r="CD110" i="1"/>
  <c r="CD109" i="1"/>
  <c r="CD88" i="1"/>
  <c r="CD102" i="1"/>
  <c r="CD117" i="1"/>
  <c r="CD118" i="1"/>
  <c r="CD120" i="1"/>
  <c r="CD89" i="1"/>
  <c r="CD119" i="1"/>
  <c r="CD121" i="1"/>
  <c r="CD122" i="1"/>
  <c r="CD123" i="1"/>
  <c r="CD124" i="1"/>
  <c r="CD125" i="1"/>
  <c r="CD126" i="1"/>
  <c r="CD127" i="1"/>
  <c r="CD100" i="1"/>
  <c r="CD113" i="1"/>
  <c r="CD92" i="1"/>
  <c r="CD90" i="1"/>
  <c r="CD94" i="1"/>
  <c r="CD80" i="1"/>
  <c r="CD61" i="1"/>
  <c r="CD99" i="1"/>
  <c r="CD104" i="1"/>
  <c r="CD116" i="1"/>
  <c r="CD63" i="1"/>
  <c r="CD97" i="1"/>
  <c r="CD108" i="1"/>
  <c r="CD79" i="1"/>
  <c r="CD60" i="1"/>
  <c r="CD59" i="1"/>
  <c r="CD95" i="1"/>
  <c r="CD64" i="1"/>
  <c r="CD98" i="1"/>
  <c r="CD105" i="1"/>
  <c r="CD106" i="1"/>
  <c r="CD74" i="1"/>
  <c r="CD62" i="1"/>
  <c r="CD101" i="1"/>
  <c r="CD103" i="1"/>
  <c r="CD93" i="1"/>
  <c r="CD91" i="1"/>
  <c r="CD114" i="1"/>
  <c r="CD96" i="1"/>
  <c r="CD111" i="1"/>
  <c r="CD87" i="1"/>
  <c r="CD115" i="1"/>
  <c r="CD107" i="1"/>
  <c r="CD2" i="1"/>
  <c r="CF23" i="1" l="1"/>
  <c r="CH23" i="1" s="1"/>
  <c r="CF124" i="1"/>
  <c r="CF48" i="1"/>
  <c r="CF45" i="1"/>
  <c r="CF4" i="1"/>
  <c r="CF37" i="1"/>
  <c r="CF32" i="1"/>
  <c r="CF77" i="1"/>
  <c r="BZ128" i="1"/>
  <c r="BV128" i="1"/>
  <c r="CF67" i="1"/>
  <c r="CF24" i="1"/>
  <c r="CF29" i="1"/>
  <c r="CF55" i="1"/>
  <c r="CF44" i="1"/>
  <c r="CF121" i="1"/>
  <c r="CF13" i="1"/>
  <c r="CF43" i="1"/>
  <c r="BW128" i="1"/>
  <c r="CF112" i="1"/>
  <c r="CF33" i="1"/>
  <c r="CB128" i="1"/>
  <c r="CF10" i="1"/>
  <c r="CF89" i="1"/>
  <c r="CC128" i="1"/>
  <c r="CA128" i="1"/>
  <c r="CF9" i="1"/>
  <c r="CF120" i="1"/>
  <c r="CF20" i="1"/>
  <c r="CF51" i="1"/>
  <c r="CF56" i="1"/>
  <c r="CF12" i="1"/>
  <c r="CF15" i="1"/>
  <c r="CF5" i="1"/>
  <c r="CF18" i="1"/>
  <c r="CF46" i="1"/>
  <c r="CF3" i="1"/>
  <c r="BT128" i="1"/>
  <c r="CF21" i="1"/>
  <c r="CF53" i="1"/>
  <c r="CF22" i="1"/>
  <c r="CE128" i="1"/>
  <c r="CD128" i="1"/>
  <c r="CF47" i="1"/>
  <c r="CF76" i="1"/>
  <c r="CF61" i="1"/>
  <c r="CF2" i="1"/>
  <c r="CF50" i="1"/>
  <c r="CF57" i="1"/>
  <c r="CF52" i="1"/>
  <c r="BU128" i="1"/>
  <c r="CF14" i="1"/>
  <c r="CF125" i="1"/>
  <c r="CF31" i="1"/>
  <c r="CF66" i="1"/>
  <c r="CF19" i="1"/>
  <c r="CF63" i="1"/>
  <c r="BY128" i="1"/>
  <c r="BX128" i="1"/>
  <c r="CL23" i="1" l="1"/>
  <c r="CG23" i="1"/>
  <c r="CQ23" i="1"/>
  <c r="CP23" i="1"/>
  <c r="CM23" i="1"/>
  <c r="CI23" i="1"/>
  <c r="CR23" i="1"/>
  <c r="CJ23" i="1"/>
  <c r="CO23" i="1"/>
  <c r="CK23" i="1"/>
  <c r="CN23" i="1"/>
  <c r="CG61" i="1"/>
  <c r="CQ61" i="1"/>
  <c r="CH61" i="1"/>
  <c r="CR61" i="1"/>
  <c r="CI61" i="1"/>
  <c r="CM61" i="1"/>
  <c r="CL61" i="1"/>
  <c r="CP61" i="1"/>
  <c r="CO61" i="1"/>
  <c r="CK61" i="1"/>
  <c r="CN61" i="1"/>
  <c r="CJ61" i="1"/>
  <c r="CN5" i="1"/>
  <c r="CM5" i="1"/>
  <c r="CR5" i="1"/>
  <c r="CI5" i="1"/>
  <c r="CK5" i="1"/>
  <c r="CJ5" i="1"/>
  <c r="CL5" i="1"/>
  <c r="CP5" i="1"/>
  <c r="CQ5" i="1"/>
  <c r="CG5" i="1"/>
  <c r="CH5" i="1"/>
  <c r="CO5" i="1"/>
  <c r="CK67" i="1"/>
  <c r="CQ67" i="1"/>
  <c r="CM67" i="1"/>
  <c r="CL67" i="1"/>
  <c r="CG67" i="1"/>
  <c r="CP67" i="1"/>
  <c r="CJ67" i="1"/>
  <c r="CI67" i="1"/>
  <c r="CN67" i="1"/>
  <c r="CO67" i="1"/>
  <c r="CR67" i="1"/>
  <c r="CH67" i="1"/>
  <c r="CO63" i="1"/>
  <c r="CJ63" i="1"/>
  <c r="CI63" i="1"/>
  <c r="CH63" i="1"/>
  <c r="CR63" i="1"/>
  <c r="CQ63" i="1"/>
  <c r="CM63" i="1"/>
  <c r="CP63" i="1"/>
  <c r="CG63" i="1"/>
  <c r="CK63" i="1"/>
  <c r="CN63" i="1"/>
  <c r="CL63" i="1"/>
  <c r="CR76" i="1"/>
  <c r="CG76" i="1"/>
  <c r="CI76" i="1"/>
  <c r="CN76" i="1"/>
  <c r="CL76" i="1"/>
  <c r="CJ76" i="1"/>
  <c r="CM76" i="1"/>
  <c r="CH76" i="1"/>
  <c r="CO76" i="1"/>
  <c r="CQ76" i="1"/>
  <c r="CK76" i="1"/>
  <c r="CP76" i="1"/>
  <c r="CJ15" i="1"/>
  <c r="CK15" i="1"/>
  <c r="CL15" i="1"/>
  <c r="CN15" i="1"/>
  <c r="CH15" i="1"/>
  <c r="CP15" i="1"/>
  <c r="CM15" i="1"/>
  <c r="CI15" i="1"/>
  <c r="CR15" i="1"/>
  <c r="CG15" i="1"/>
  <c r="CQ15" i="1"/>
  <c r="CO15" i="1"/>
  <c r="CO33" i="1"/>
  <c r="CR33" i="1"/>
  <c r="CN33" i="1"/>
  <c r="CQ33" i="1"/>
  <c r="CK33" i="1"/>
  <c r="CP33" i="1"/>
  <c r="CH33" i="1"/>
  <c r="CJ33" i="1"/>
  <c r="CM33" i="1"/>
  <c r="CL33" i="1"/>
  <c r="CG33" i="1"/>
  <c r="CI33" i="1"/>
  <c r="CR19" i="1"/>
  <c r="CK19" i="1"/>
  <c r="CM19" i="1"/>
  <c r="CL19" i="1"/>
  <c r="CN19" i="1"/>
  <c r="CG19" i="1"/>
  <c r="CP19" i="1"/>
  <c r="CI19" i="1"/>
  <c r="CH19" i="1"/>
  <c r="CJ19" i="1"/>
  <c r="CO19" i="1"/>
  <c r="CQ19" i="1"/>
  <c r="CN47" i="1"/>
  <c r="CH47" i="1"/>
  <c r="CR47" i="1"/>
  <c r="CJ47" i="1"/>
  <c r="CL47" i="1"/>
  <c r="CM47" i="1"/>
  <c r="CP47" i="1"/>
  <c r="CG47" i="1"/>
  <c r="CO47" i="1"/>
  <c r="CK47" i="1"/>
  <c r="CI47" i="1"/>
  <c r="CQ47" i="1"/>
  <c r="CM12" i="1"/>
  <c r="CI12" i="1"/>
  <c r="CK12" i="1"/>
  <c r="CJ12" i="1"/>
  <c r="CL12" i="1"/>
  <c r="CP12" i="1"/>
  <c r="CQ12" i="1"/>
  <c r="CO12" i="1"/>
  <c r="CH12" i="1"/>
  <c r="CG12" i="1"/>
  <c r="CR12" i="1"/>
  <c r="CN12" i="1"/>
  <c r="CJ112" i="1"/>
  <c r="CN112" i="1"/>
  <c r="CK112" i="1"/>
  <c r="CH112" i="1"/>
  <c r="CP112" i="1"/>
  <c r="CR112" i="1"/>
  <c r="CG112" i="1"/>
  <c r="CL112" i="1"/>
  <c r="CM112" i="1"/>
  <c r="CO112" i="1"/>
  <c r="CQ112" i="1"/>
  <c r="CI112" i="1"/>
  <c r="CR66" i="1"/>
  <c r="CL66" i="1"/>
  <c r="CG66" i="1"/>
  <c r="CH66" i="1"/>
  <c r="CK66" i="1"/>
  <c r="CI66" i="1"/>
  <c r="CJ66" i="1"/>
  <c r="CN66" i="1"/>
  <c r="CQ66" i="1"/>
  <c r="CO66" i="1"/>
  <c r="CM66" i="1"/>
  <c r="CP66" i="1"/>
  <c r="CH56" i="1"/>
  <c r="CN56" i="1"/>
  <c r="CG56" i="1"/>
  <c r="CR56" i="1"/>
  <c r="CL56" i="1"/>
  <c r="CJ56" i="1"/>
  <c r="CQ56" i="1"/>
  <c r="CM56" i="1"/>
  <c r="CP56" i="1"/>
  <c r="CK56" i="1"/>
  <c r="CI56" i="1"/>
  <c r="CO56" i="1"/>
  <c r="CL31" i="1"/>
  <c r="CG31" i="1"/>
  <c r="CI31" i="1"/>
  <c r="CK31" i="1"/>
  <c r="CN31" i="1"/>
  <c r="CO31" i="1"/>
  <c r="CJ31" i="1"/>
  <c r="CM31" i="1"/>
  <c r="CQ31" i="1"/>
  <c r="CR31" i="1"/>
  <c r="CH31" i="1"/>
  <c r="CP31" i="1"/>
  <c r="CM51" i="1"/>
  <c r="CN51" i="1"/>
  <c r="CL51" i="1"/>
  <c r="CI51" i="1"/>
  <c r="CO51" i="1"/>
  <c r="CQ51" i="1"/>
  <c r="CJ51" i="1"/>
  <c r="CH51" i="1"/>
  <c r="CP51" i="1"/>
  <c r="CG51" i="1"/>
  <c r="CR51" i="1"/>
  <c r="CK51" i="1"/>
  <c r="CJ77" i="1"/>
  <c r="CQ77" i="1"/>
  <c r="CP77" i="1"/>
  <c r="CM77" i="1"/>
  <c r="CK77" i="1"/>
  <c r="CO77" i="1"/>
  <c r="CI77" i="1"/>
  <c r="CR77" i="1"/>
  <c r="CH77" i="1"/>
  <c r="CL77" i="1"/>
  <c r="CN77" i="1"/>
  <c r="CG77" i="1"/>
  <c r="CR125" i="1"/>
  <c r="CL125" i="1"/>
  <c r="CJ125" i="1"/>
  <c r="CI125" i="1"/>
  <c r="CG125" i="1"/>
  <c r="CN125" i="1"/>
  <c r="CH125" i="1"/>
  <c r="CM125" i="1"/>
  <c r="CP125" i="1"/>
  <c r="CK125" i="1"/>
  <c r="CQ125" i="1"/>
  <c r="CO125" i="1"/>
  <c r="CP22" i="1"/>
  <c r="CR22" i="1"/>
  <c r="CM22" i="1"/>
  <c r="CK22" i="1"/>
  <c r="CL22" i="1"/>
  <c r="CQ22" i="1"/>
  <c r="CO22" i="1"/>
  <c r="CN22" i="1"/>
  <c r="CH22" i="1"/>
  <c r="CG22" i="1"/>
  <c r="CI22" i="1"/>
  <c r="CJ22" i="1"/>
  <c r="CR20" i="1"/>
  <c r="CO20" i="1"/>
  <c r="CJ20" i="1"/>
  <c r="CH20" i="1"/>
  <c r="CK20" i="1"/>
  <c r="CG20" i="1"/>
  <c r="CM20" i="1"/>
  <c r="CI20" i="1"/>
  <c r="CQ20" i="1"/>
  <c r="CN20" i="1"/>
  <c r="CP20" i="1"/>
  <c r="CL20" i="1"/>
  <c r="CH43" i="1"/>
  <c r="CG43" i="1"/>
  <c r="CI43" i="1"/>
  <c r="CN43" i="1"/>
  <c r="CQ43" i="1"/>
  <c r="CO43" i="1"/>
  <c r="CK43" i="1"/>
  <c r="CP43" i="1"/>
  <c r="CJ43" i="1"/>
  <c r="CR43" i="1"/>
  <c r="CL43" i="1"/>
  <c r="CM43" i="1"/>
  <c r="CI32" i="1"/>
  <c r="CN32" i="1"/>
  <c r="CM32" i="1"/>
  <c r="CJ32" i="1"/>
  <c r="CO32" i="1"/>
  <c r="CQ32" i="1"/>
  <c r="CR32" i="1"/>
  <c r="CK32" i="1"/>
  <c r="CH32" i="1"/>
  <c r="CL32" i="1"/>
  <c r="CP32" i="1"/>
  <c r="CG32" i="1"/>
  <c r="CK14" i="1"/>
  <c r="CJ14" i="1"/>
  <c r="CI14" i="1"/>
  <c r="CR14" i="1"/>
  <c r="CN14" i="1"/>
  <c r="CL14" i="1"/>
  <c r="CH14" i="1"/>
  <c r="CO14" i="1"/>
  <c r="CQ14" i="1"/>
  <c r="CG14" i="1"/>
  <c r="CM14" i="1"/>
  <c r="CP14" i="1"/>
  <c r="CQ53" i="1"/>
  <c r="CH53" i="1"/>
  <c r="CP53" i="1"/>
  <c r="CK53" i="1"/>
  <c r="CJ53" i="1"/>
  <c r="CG53" i="1"/>
  <c r="CI53" i="1"/>
  <c r="CN53" i="1"/>
  <c r="CO53" i="1"/>
  <c r="CR53" i="1"/>
  <c r="CM53" i="1"/>
  <c r="CL53" i="1"/>
  <c r="CK120" i="1"/>
  <c r="CJ120" i="1"/>
  <c r="CO120" i="1"/>
  <c r="CM120" i="1"/>
  <c r="CR120" i="1"/>
  <c r="CI120" i="1"/>
  <c r="CP120" i="1"/>
  <c r="CN120" i="1"/>
  <c r="CL120" i="1"/>
  <c r="CG120" i="1"/>
  <c r="CH120" i="1"/>
  <c r="CQ120" i="1"/>
  <c r="CH13" i="1"/>
  <c r="CI13" i="1"/>
  <c r="CO13" i="1"/>
  <c r="CR13" i="1"/>
  <c r="CL13" i="1"/>
  <c r="CN13" i="1"/>
  <c r="CG13" i="1"/>
  <c r="CK13" i="1"/>
  <c r="CP13" i="1"/>
  <c r="CJ13" i="1"/>
  <c r="CM13" i="1"/>
  <c r="CQ13" i="1"/>
  <c r="CR37" i="1"/>
  <c r="CP37" i="1"/>
  <c r="CN37" i="1"/>
  <c r="CJ37" i="1"/>
  <c r="CL37" i="1"/>
  <c r="CH37" i="1"/>
  <c r="CO37" i="1"/>
  <c r="CI37" i="1"/>
  <c r="CG37" i="1"/>
  <c r="CM37" i="1"/>
  <c r="CK37" i="1"/>
  <c r="CQ37" i="1"/>
  <c r="CN21" i="1"/>
  <c r="CK21" i="1"/>
  <c r="CR21" i="1"/>
  <c r="CH21" i="1"/>
  <c r="CG21" i="1"/>
  <c r="CL21" i="1"/>
  <c r="CJ21" i="1"/>
  <c r="CO21" i="1"/>
  <c r="CQ21" i="1"/>
  <c r="CP21" i="1"/>
  <c r="CI21" i="1"/>
  <c r="CM21" i="1"/>
  <c r="CO9" i="1"/>
  <c r="CR9" i="1"/>
  <c r="CI9" i="1"/>
  <c r="CJ9" i="1"/>
  <c r="CG9" i="1"/>
  <c r="CQ9" i="1"/>
  <c r="CM9" i="1"/>
  <c r="CH9" i="1"/>
  <c r="CP9" i="1"/>
  <c r="CN9" i="1"/>
  <c r="CK9" i="1"/>
  <c r="CL9" i="1"/>
  <c r="CG121" i="1"/>
  <c r="CI121" i="1"/>
  <c r="CM121" i="1"/>
  <c r="CK121" i="1"/>
  <c r="CR121" i="1"/>
  <c r="CL121" i="1"/>
  <c r="CQ121" i="1"/>
  <c r="CO121" i="1"/>
  <c r="CP121" i="1"/>
  <c r="CN121" i="1"/>
  <c r="CH121" i="1"/>
  <c r="CJ121" i="1"/>
  <c r="CN4" i="1"/>
  <c r="CL4" i="1"/>
  <c r="CQ4" i="1"/>
  <c r="CM4" i="1"/>
  <c r="CG4" i="1"/>
  <c r="CH4" i="1"/>
  <c r="CP4" i="1"/>
  <c r="CO4" i="1"/>
  <c r="CK4" i="1"/>
  <c r="CR4" i="1"/>
  <c r="CI4" i="1"/>
  <c r="CJ4" i="1"/>
  <c r="CQ52" i="1"/>
  <c r="CR52" i="1"/>
  <c r="CG52" i="1"/>
  <c r="CJ52" i="1"/>
  <c r="CK52" i="1"/>
  <c r="CP52" i="1"/>
  <c r="CI52" i="1"/>
  <c r="CH52" i="1"/>
  <c r="CL52" i="1"/>
  <c r="CN52" i="1"/>
  <c r="CO52" i="1"/>
  <c r="CM52" i="1"/>
  <c r="CI44" i="1"/>
  <c r="CH44" i="1"/>
  <c r="CR44" i="1"/>
  <c r="CK44" i="1"/>
  <c r="CJ44" i="1"/>
  <c r="CP44" i="1"/>
  <c r="CN44" i="1"/>
  <c r="CM44" i="1"/>
  <c r="CL44" i="1"/>
  <c r="CG44" i="1"/>
  <c r="CO44" i="1"/>
  <c r="CQ44" i="1"/>
  <c r="CN45" i="1"/>
  <c r="CL45" i="1"/>
  <c r="CP45" i="1"/>
  <c r="CH45" i="1"/>
  <c r="CM45" i="1"/>
  <c r="CQ45" i="1"/>
  <c r="CO45" i="1"/>
  <c r="CK45" i="1"/>
  <c r="CJ45" i="1"/>
  <c r="CI45" i="1"/>
  <c r="CR45" i="1"/>
  <c r="CG45" i="1"/>
  <c r="CK57" i="1"/>
  <c r="CP57" i="1"/>
  <c r="CL57" i="1"/>
  <c r="CI57" i="1"/>
  <c r="CR57" i="1"/>
  <c r="CQ57" i="1"/>
  <c r="CO57" i="1"/>
  <c r="CH57" i="1"/>
  <c r="CJ57" i="1"/>
  <c r="CM57" i="1"/>
  <c r="CG57" i="1"/>
  <c r="CN57" i="1"/>
  <c r="CN3" i="1"/>
  <c r="CR3" i="1"/>
  <c r="CI3" i="1"/>
  <c r="CO3" i="1"/>
  <c r="CK3" i="1"/>
  <c r="CJ3" i="1"/>
  <c r="CM3" i="1"/>
  <c r="CP3" i="1"/>
  <c r="CG3" i="1"/>
  <c r="CL3" i="1"/>
  <c r="CH3" i="1"/>
  <c r="CQ3" i="1"/>
  <c r="CG55" i="1"/>
  <c r="CM55" i="1"/>
  <c r="CJ55" i="1"/>
  <c r="CO55" i="1"/>
  <c r="CH55" i="1"/>
  <c r="CK55" i="1"/>
  <c r="CR55" i="1"/>
  <c r="CI55" i="1"/>
  <c r="CL55" i="1"/>
  <c r="CQ55" i="1"/>
  <c r="CP55" i="1"/>
  <c r="CN55" i="1"/>
  <c r="CN50" i="1"/>
  <c r="CM50" i="1"/>
  <c r="CI50" i="1"/>
  <c r="CG50" i="1"/>
  <c r="CL50" i="1"/>
  <c r="CP50" i="1"/>
  <c r="CO50" i="1"/>
  <c r="CQ50" i="1"/>
  <c r="CJ50" i="1"/>
  <c r="CK50" i="1"/>
  <c r="CH50" i="1"/>
  <c r="CR50" i="1"/>
  <c r="CL46" i="1"/>
  <c r="CO46" i="1"/>
  <c r="CM46" i="1"/>
  <c r="CP46" i="1"/>
  <c r="CQ46" i="1"/>
  <c r="CK46" i="1"/>
  <c r="CG46" i="1"/>
  <c r="CJ46" i="1"/>
  <c r="CH46" i="1"/>
  <c r="CR46" i="1"/>
  <c r="CN46" i="1"/>
  <c r="CI46" i="1"/>
  <c r="CN89" i="1"/>
  <c r="CP89" i="1"/>
  <c r="CR89" i="1"/>
  <c r="CI89" i="1"/>
  <c r="CO89" i="1"/>
  <c r="CL89" i="1"/>
  <c r="CJ89" i="1"/>
  <c r="CG89" i="1"/>
  <c r="CK89" i="1"/>
  <c r="CM89" i="1"/>
  <c r="CQ89" i="1"/>
  <c r="CH89" i="1"/>
  <c r="CH29" i="1"/>
  <c r="CK29" i="1"/>
  <c r="CQ29" i="1"/>
  <c r="CG29" i="1"/>
  <c r="CL29" i="1"/>
  <c r="CN29" i="1"/>
  <c r="CJ29" i="1"/>
  <c r="CI29" i="1"/>
  <c r="CO29" i="1"/>
  <c r="CM29" i="1"/>
  <c r="CR29" i="1"/>
  <c r="CP29" i="1"/>
  <c r="CR48" i="1"/>
  <c r="CI48" i="1"/>
  <c r="CN48" i="1"/>
  <c r="CP48" i="1"/>
  <c r="CM48" i="1"/>
  <c r="CK48" i="1"/>
  <c r="CO48" i="1"/>
  <c r="CQ48" i="1"/>
  <c r="CH48" i="1"/>
  <c r="CG48" i="1"/>
  <c r="CL48" i="1"/>
  <c r="CJ48" i="1"/>
  <c r="CH2" i="1"/>
  <c r="CO2" i="1"/>
  <c r="CR2" i="1"/>
  <c r="CL2" i="1"/>
  <c r="CK2" i="1"/>
  <c r="CI2" i="1"/>
  <c r="CQ2" i="1"/>
  <c r="CP2" i="1"/>
  <c r="CM2" i="1"/>
  <c r="CJ2" i="1"/>
  <c r="CN2" i="1"/>
  <c r="CG2" i="1"/>
  <c r="CN18" i="1"/>
  <c r="CH18" i="1"/>
  <c r="CJ18" i="1"/>
  <c r="CK18" i="1"/>
  <c r="CP18" i="1"/>
  <c r="CI18" i="1"/>
  <c r="CG18" i="1"/>
  <c r="CO18" i="1"/>
  <c r="CL18" i="1"/>
  <c r="CR18" i="1"/>
  <c r="CQ18" i="1"/>
  <c r="CM18" i="1"/>
  <c r="CG10" i="1"/>
  <c r="CM10" i="1"/>
  <c r="CO10" i="1"/>
  <c r="CQ10" i="1"/>
  <c r="CJ10" i="1"/>
  <c r="CL10" i="1"/>
  <c r="CI10" i="1"/>
  <c r="CK10" i="1"/>
  <c r="CH10" i="1"/>
  <c r="CP10" i="1"/>
  <c r="CN10" i="1"/>
  <c r="CR10" i="1"/>
  <c r="CM24" i="1"/>
  <c r="CL24" i="1"/>
  <c r="CH24" i="1"/>
  <c r="CI24" i="1"/>
  <c r="CR24" i="1"/>
  <c r="CQ24" i="1"/>
  <c r="CO24" i="1"/>
  <c r="CK24" i="1"/>
  <c r="CN24" i="1"/>
  <c r="CJ24" i="1"/>
  <c r="CP24" i="1"/>
  <c r="CG24" i="1"/>
  <c r="CM124" i="1"/>
  <c r="CN124" i="1"/>
  <c r="CP124" i="1"/>
  <c r="CL124" i="1"/>
  <c r="CG124" i="1"/>
  <c r="CR124" i="1"/>
  <c r="CK124" i="1"/>
  <c r="CJ124" i="1"/>
  <c r="CQ124" i="1"/>
  <c r="CH124" i="1"/>
  <c r="CO124" i="1"/>
  <c r="CI124" i="1"/>
  <c r="CQ128" i="1" l="1"/>
  <c r="CH128" i="1"/>
  <c r="CL128" i="1"/>
  <c r="CG128" i="1"/>
  <c r="CP128" i="1"/>
  <c r="CM128" i="1"/>
  <c r="CJ128" i="1"/>
  <c r="CK128" i="1"/>
  <c r="CO128" i="1"/>
  <c r="CI128" i="1"/>
  <c r="CR128" i="1"/>
  <c r="CN128" i="1"/>
</calcChain>
</file>

<file path=xl/sharedStrings.xml><?xml version="1.0" encoding="utf-8"?>
<sst xmlns="http://schemas.openxmlformats.org/spreadsheetml/2006/main" count="675" uniqueCount="303">
  <si>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</si>
  <si>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</si>
  <si>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</si>
  <si>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</si>
  <si>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</si>
  <si>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</si>
  <si>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</si>
  <si>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</si>
  <si>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</si>
  <si>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</si>
  <si>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</si>
  <si>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</si>
  <si>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</si>
  <si>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</si>
  <si>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</si>
  <si>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</si>
  <si>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</si>
  <si>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</si>
  <si>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</si>
  <si>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</si>
  <si>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</si>
  <si>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</si>
  <si>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</si>
  <si>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</si>
  <si>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</si>
  <si>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</si>
  <si>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</si>
  <si>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</si>
  <si>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</si>
  <si>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</si>
  <si>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</si>
  <si>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</si>
  <si>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</si>
  <si>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</si>
  <si>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</si>
  <si>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</si>
  <si>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</si>
  <si>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</si>
  <si>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</si>
  <si>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</si>
  <si>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</si>
  <si>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</si>
  <si>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</si>
  <si>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</si>
  <si>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</si>
  <si>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</si>
  <si>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</si>
  <si>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</si>
  <si>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</si>
  <si>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</si>
  <si>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</si>
  <si>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</si>
  <si>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</si>
  <si>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</si>
  <si>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</si>
  <si>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</si>
  <si>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</si>
  <si>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</si>
  <si>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</si>
  <si>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</si>
  <si>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</si>
  <si>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</si>
  <si>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</si>
  <si>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</si>
  <si>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</si>
  <si>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</si>
  <si>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</si>
  <si>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</si>
  <si>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</si>
  <si>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</si>
  <si>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</si>
  <si>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</si>
  <si>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</si>
  <si>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</si>
  <si>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</si>
  <si>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</si>
  <si>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</si>
  <si>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</si>
  <si>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</si>
  <si>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</si>
  <si>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</si>
  <si>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</si>
  <si>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</si>
  <si>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</si>
  <si>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</si>
  <si>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</si>
  <si>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</si>
  <si>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</si>
  <si>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</si>
  <si>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</si>
  <si>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</si>
  <si>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</si>
  <si>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</si>
  <si>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</si>
  <si>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</si>
  <si>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</si>
  <si>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</si>
  <si>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</si>
  <si>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</si>
  <si>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</si>
  <si>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</si>
  <si>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</si>
  <si>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</si>
  <si>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</si>
  <si>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</si>
  <si>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</si>
  <si>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</si>
  <si>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</si>
  <si>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</si>
  <si>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</si>
  <si>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</si>
  <si>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</si>
  <si>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</si>
  <si>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</si>
  <si>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</si>
  <si>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</si>
  <si>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</si>
  <si>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</si>
  <si>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</si>
  <si>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</si>
  <si>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</si>
  <si>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</si>
  <si>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</si>
  <si>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</si>
  <si>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</si>
  <si>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</si>
  <si>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</si>
  <si>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</si>
  <si>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</si>
  <si>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</si>
  <si>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</si>
  <si>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</si>
  <si>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</si>
  <si>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</si>
  <si>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</si>
  <si>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</si>
  <si>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</si>
  <si>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</si>
  <si>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</si>
  <si>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</si>
  <si>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</si>
  <si>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</si>
  <si>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</si>
  <si>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</si>
  <si>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</si>
  <si>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</si>
  <si>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</si>
  <si>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</si>
  <si>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</si>
  <si>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</si>
  <si>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</si>
  <si>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</si>
  <si>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</si>
  <si>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</si>
  <si>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</si>
  <si>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</si>
  <si>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</si>
  <si>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</si>
  <si>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</si>
  <si>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</si>
  <si>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</si>
  <si>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</si>
  <si>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</si>
  <si>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</si>
  <si>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</si>
  <si>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</si>
  <si>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</si>
  <si>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</si>
  <si>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</si>
  <si>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</si>
  <si>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</si>
  <si>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</si>
  <si>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</si>
  <si>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</si>
  <si>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</si>
  <si>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</si>
  <si>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</si>
  <si>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</si>
  <si>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</si>
  <si>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</si>
  <si>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</si>
  <si>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</si>
  <si>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</si>
  <si>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</si>
  <si>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</si>
  <si>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</si>
  <si>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</si>
  <si>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</si>
  <si>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</si>
  <si>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</si>
  <si>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</si>
  <si>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</si>
  <si>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</si>
  <si>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</si>
  <si>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</si>
  <si>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</si>
  <si>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</si>
  <si>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</si>
  <si>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</si>
  <si>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</si>
  <si>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</si>
  <si>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</si>
  <si>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</si>
  <si>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</si>
  <si>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</si>
  <si>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</si>
  <si>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</si>
  <si>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</si>
  <si>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</si>
  <si>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</si>
  <si>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</si>
  <si>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呜呜少女</t>
    <phoneticPr fontId="1" type="noConversion"/>
  </si>
  <si>
    <t>神算诸葛亮</t>
    <phoneticPr fontId="1" type="noConversion"/>
  </si>
  <si>
    <t>仙丹(5),</t>
    <phoneticPr fontId="1" type="noConversion"/>
  </si>
  <si>
    <t>桂花(5),</t>
    <phoneticPr fontId="1" type="noConversion"/>
  </si>
  <si>
    <t>彗星(5),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</si>
  <si>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</si>
  <si>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</si>
  <si>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</si>
  <si>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</si>
  <si>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超进阶素材土(25),_x000D_
超进阶素材木(25),_x000D_
超进阶素材光(45),_x000D_
超进阶素材暗(50),</t>
    <phoneticPr fontId="1" type="noConversion"/>
  </si>
  <si>
    <t>糯米(5),_x000D_
粽叶(1),</t>
    <phoneticPr fontId="1" type="noConversion"/>
  </si>
  <si>
    <t>炼妖壶(19),_x000D_
轩辕剑(9),</t>
    <phoneticPr fontId="1" type="noConversion"/>
  </si>
  <si>
    <t>欠条中(4),_x000D_
骰子中(3),_x000D_
筹码中(4),</t>
    <phoneticPr fontId="1" type="noConversion"/>
  </si>
  <si>
    <t>骰子大(4),_x000D_
庄家令牌大(6),_x000D_
赤焰十字星(6),</t>
    <phoneticPr fontId="1" type="noConversion"/>
  </si>
  <si>
    <t>钱袋大(10),_x000D_
筹码大(9),_x000D_
秘窟冰晶卵(8),</t>
    <phoneticPr fontId="1" type="noConversion"/>
  </si>
  <si>
    <t>太一之轮(1),_x000D_
欠条大(8),_x000D_
骰子大(4),_x000D_
龙灵不朽藤(7),</t>
    <phoneticPr fontId="1" type="noConversion"/>
  </si>
  <si>
    <t>超进阶素材水(1),_x000D_
超进阶素材火(50),_x000D_
超进阶素材光(45),_x000D_
超进阶素材暗(50),</t>
    <phoneticPr fontId="1" type="noConversion"/>
  </si>
  <si>
    <t>赤兔吕布</t>
    <phoneticPr fontId="1" type="noConversion"/>
  </si>
  <si>
    <t>神农鼎(2),</t>
    <phoneticPr fontId="1" type="noConversion"/>
  </si>
  <si>
    <t>糯米(2),</t>
    <phoneticPr fontId="1" type="noConversion"/>
  </si>
  <si>
    <t>金钗(2),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</si>
  <si>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</si>
  <si>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</si>
  <si>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</si>
  <si>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</si>
  <si>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桂花(5),</t>
    <phoneticPr fontId="1" type="noConversion"/>
  </si>
  <si>
    <t>愚山乾坤石(4),</t>
    <phoneticPr fontId="1" type="noConversion"/>
  </si>
  <si>
    <t>神农鼎(3),_x000D_
愚山乾坤石(4),</t>
    <phoneticPr fontId="1" type="noConversion"/>
  </si>
  <si>
    <t>幸运符文叉大(4),</t>
    <phoneticPr fontId="1" type="noConversion"/>
  </si>
  <si>
    <t>幸运符文叉大(4),</t>
    <phoneticPr fontId="1" type="noConversion"/>
  </si>
  <si>
    <t>神农鼎(3),_x000D_
赤焰十字星(6),</t>
    <phoneticPr fontId="1" type="noConversion"/>
  </si>
  <si>
    <t>龙灵不朽藤(7),</t>
    <phoneticPr fontId="1" type="noConversion"/>
  </si>
  <si>
    <t>神农鼎(3),_x000D_
龙灵不朽藤(7),</t>
    <phoneticPr fontId="1" type="noConversion"/>
  </si>
  <si>
    <t>太一之轮(11),</t>
    <phoneticPr fontId="1" type="noConversion"/>
  </si>
  <si>
    <t>秘窟冰晶卵(13),</t>
    <phoneticPr fontId="1" type="noConversion"/>
  </si>
  <si>
    <t>彗星(15),</t>
    <phoneticPr fontId="1" type="noConversion"/>
  </si>
  <si>
    <t>金甲虫(39),</t>
    <phoneticPr fontId="1" type="noConversion"/>
  </si>
  <si>
    <t>金甲虫(189),</t>
    <phoneticPr fontId="1" type="noConversion"/>
  </si>
  <si>
    <t>东皇钟(2),_x000D_
愚山乾坤石(4),</t>
    <phoneticPr fontId="1" type="noConversion"/>
  </si>
  <si>
    <t>东皇钟(2),_x000D_
愚山乾坤石(4),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</si>
  <si>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</si>
  <si>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</si>
  <si>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炼妖壶(4),_x000D_
仙丹(5),</t>
    <phoneticPr fontId="1" type="noConversion"/>
  </si>
  <si>
    <t>桂花(5),_x000D_
桂花酒(5),</t>
    <phoneticPr fontId="1" type="noConversion"/>
  </si>
  <si>
    <t>神农鼎(3),_x000D_
秘窟冰晶卵(8),_x000D_
力量符文叉大(10),</t>
    <phoneticPr fontId="1" type="noConversion"/>
  </si>
  <si>
    <t>炼妖壶(5),_x000D_
龙灵不朽藤(7),</t>
    <phoneticPr fontId="1" type="noConversion"/>
  </si>
  <si>
    <t>赤焰十字星(6),_x000D_
幸运符文叉大(4),</t>
    <phoneticPr fontId="1" type="noConversion"/>
  </si>
  <si>
    <t>炼妖壶(5),_x000D_
秘窟冰晶卵(8),</t>
    <phoneticPr fontId="1" type="noConversion"/>
  </si>
  <si>
    <t>糯米(5),_x000D_
粽叶(10),</t>
    <phoneticPr fontId="1" type="noConversion"/>
  </si>
  <si>
    <t>六方天运骰(8),_x000D_
幸运符文叉大(4),</t>
    <phoneticPr fontId="1" type="noConversion"/>
  </si>
  <si>
    <t>秘窟冰晶卵(8),_x000D_
魅力符文叉大(6),</t>
    <phoneticPr fontId="1" type="noConversion"/>
  </si>
  <si>
    <t>六方天运骰(8),_x000D_
魅力符文叉大(6),</t>
    <phoneticPr fontId="1" type="noConversion"/>
  </si>
  <si>
    <t>东皇钟(7),_x000D_
愚山乾坤石(9),</t>
    <phoneticPr fontId="1" type="noConversion"/>
  </si>
  <si>
    <t>东皇钟(7),_x000D_
愚山乾坤石(9),</t>
    <phoneticPr fontId="1" type="noConversion"/>
  </si>
  <si>
    <t>太一之轮(6),_x000D_
幸运符文叉大(9),</t>
    <phoneticPr fontId="1" type="noConversion"/>
  </si>
  <si>
    <t>金甲虫(4),_x000D_
魅力符文叉大(11),</t>
    <phoneticPr fontId="1" type="noConversion"/>
  </si>
  <si>
    <t>神农鼎(12),_x000D_
幸运符文叉大(9),</t>
    <phoneticPr fontId="1" type="noConversion"/>
  </si>
  <si>
    <t>神农鼎(12),_x000D_
龙灵不朽藤(12),</t>
    <phoneticPr fontId="1" type="noConversion"/>
  </si>
  <si>
    <t>智慧符文叉大(7),_x000D_
魅力符文叉大(11),</t>
    <phoneticPr fontId="1" type="noConversion"/>
  </si>
  <si>
    <t>太一之轮(11),_x000D_
幸运符文叉大(14),</t>
    <phoneticPr fontId="1" type="noConversion"/>
  </si>
  <si>
    <t>六方天运骰(18),_x000D_
力量符文叉大(20),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</si>
  <si>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</si>
  <si>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</si>
  <si>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骰子小(3),_x000D_
筹码小(5),_x000D_
庄家令牌中(3),</t>
    <phoneticPr fontId="1" type="noConversion"/>
  </si>
  <si>
    <t>神农鼎(7),_x000D_
六方天运骰(8),_x000D_
智慧符文叉大(2),</t>
    <phoneticPr fontId="1" type="noConversion"/>
  </si>
  <si>
    <t>欠条中(6),_x000D_
欠条大(5),_x000D_
钱袋中(2),</t>
    <phoneticPr fontId="1" type="noConversion"/>
  </si>
  <si>
    <t>神农鼎(4),_x000D_
欠条中(6),_x000D_
钱袋中(2),_x000D_
筹码大(6),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</si>
  <si>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</si>
  <si>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</si>
  <si>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炼妖壶(5),_x000D_
六方天运骰(8),_x000D_
智慧符文叉大(2),</t>
    <phoneticPr fontId="1" type="noConversion"/>
  </si>
  <si>
    <t>神农鼎(7),_x000D_
欠条大(8),_x000D_
钱袋大(10),_x000D_
月冕霓晴符(5),</t>
    <phoneticPr fontId="1" type="noConversion"/>
  </si>
  <si>
    <t>东皇钟(2),_x000D_
欠条大(8),_x000D_
钱袋大(10),_x000D_
月冕霓晴符(5),</t>
    <phoneticPr fontId="1" type="noConversion"/>
  </si>
  <si>
    <t>东皇钟(2),_x000D_
欠条大(8),_x000D_
钱袋大(10),_x000D_
月冕霓晴符(5),</t>
    <phoneticPr fontId="1" type="noConversion"/>
  </si>
  <si>
    <t>东皇钟(2),_x000D_
欠条大(8),_x000D_
钱袋大(10),_x000D_
月冕霓晴符(5),</t>
    <phoneticPr fontId="1" type="noConversion"/>
  </si>
  <si>
    <t>欠条大(8),_x000D_
骰子大(4),_x000D_
六方天运骰(8),</t>
    <phoneticPr fontId="1" type="noConversion"/>
  </si>
  <si>
    <t>糯米(10),_x000D_
粽叶(10),_x000D_
龙灵不朽藤(2),</t>
    <phoneticPr fontId="1" type="noConversion"/>
  </si>
  <si>
    <t>东皇钟(7),_x000D_
力量符文叉大(15),_x000D_
幸运符文叉大(9),</t>
    <phoneticPr fontId="1" type="noConversion"/>
  </si>
  <si>
    <t>女娲石(4),_x000D_
神农鼎(17),_x000D_
幸运符文叉大(14),</t>
    <phoneticPr fontId="1" type="noConversion"/>
  </si>
  <si>
    <t>彗星(25),_x000D_
赤焰十字星(6),_x000D_
魅力符文叉大(6),</t>
    <phoneticPr fontId="1" type="noConversion"/>
  </si>
  <si>
    <t>赤焰十字星(36),_x000D_
力量符文叉大(40),_x000D_
逆鳞(1),</t>
    <phoneticPr fontId="1" type="noConversion"/>
  </si>
  <si>
    <t>欠条中(4),_x000D_
骰子小(8),_x000D_
筹码中(4),_x000D_
庄家令牌小(2),</t>
    <phoneticPr fontId="1" type="noConversion"/>
  </si>
  <si>
    <t>神农鼎(7),_x000D_
欠条大(8),_x000D_
骰子大(4),_x000D_
愚山乾坤石(4),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</si>
  <si>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</si>
  <si>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</si>
  <si>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</si>
  <si>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东皇钟(2),_x000D_
炼妖壶(9),_x000D_
愚山乾坤石(4),_x000D_
力量符文叉大(15),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</si>
  <si>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</si>
  <si>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</si>
  <si>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东皇钟(2),_x000D_
六方天运骰(13),_x000D_
魅力符文叉大(11),_x000D_
幸运符文叉大(9),</t>
    <phoneticPr fontId="1" type="noConversion"/>
  </si>
  <si>
    <t>炼妖壶(14),_x000D_
神农鼎(12),_x000D_
赤焰十字星(11),_x000D_
幸运符文叉大(9),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</si>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</sst>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134</xdr:row>
          <xdr:rowOff>28575</xdr:rowOff>
        </xdr:from>
        <xdr:to>
          <xdr:col>1</xdr:col>
          <xdr:colOff>428625</xdr:colOff>
          <xdr:row>135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4"/>
  <sheetViews>
    <sheetView tabSelected="1" workbookViewId="0">
      <pane xSplit="2" ySplit="1" topLeftCell="C121" activePane="bottomRight" state="frozen"/>
      <selection pane="topRight" activeCell="C1" sqref="C1"/>
      <selection pane="bottomLeft" activeCell="A3" sqref="A3"/>
      <selection pane="bottomRight" activeCell="C127" sqref="C127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124</v>
      </c>
      <c r="Q1" s="27" t="s">
        <v>136</v>
      </c>
      <c r="R1" s="27" t="s">
        <v>130</v>
      </c>
      <c r="S1" s="27" t="s">
        <v>125</v>
      </c>
      <c r="T1" s="27" t="s">
        <v>134</v>
      </c>
      <c r="U1" s="27" t="s">
        <v>140</v>
      </c>
      <c r="V1" s="27" t="s">
        <v>126</v>
      </c>
      <c r="W1" s="27" t="s">
        <v>133</v>
      </c>
      <c r="X1" s="27" t="s">
        <v>131</v>
      </c>
      <c r="Y1" s="27" t="s">
        <v>127</v>
      </c>
      <c r="Z1" s="27" t="s">
        <v>135</v>
      </c>
      <c r="AA1" s="27" t="s">
        <v>142</v>
      </c>
      <c r="AB1" s="27" t="s">
        <v>129</v>
      </c>
      <c r="AC1" s="27" t="s">
        <v>128</v>
      </c>
      <c r="AD1" s="27" t="s">
        <v>153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112</v>
      </c>
      <c r="AP1" s="8" t="s">
        <v>113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109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IF(AQ2&gt;AQ$128, AQ2-AQ$128,"")</f>
        <v/>
      </c>
      <c r="BU2" s="1" t="str">
        <f>IF(AR2&gt;AR$128, AR2-AR$128,"")</f>
        <v/>
      </c>
      <c r="BV2" s="1" t="str">
        <f>IF(AS2&gt;AS$128, AS2-AS$128,"")</f>
        <v/>
      </c>
      <c r="BW2" s="1" t="str">
        <f>IF(AT2&gt;AT$128, AT2-AT$128,"")</f>
        <v/>
      </c>
      <c r="BX2" s="1" t="str">
        <f>IF(AU2&gt;AU$128, AU2-AU$128,"")</f>
        <v/>
      </c>
      <c r="BY2" s="1" t="str">
        <f>IF(AV2&gt;AV$128, AV2-AV$128,"")</f>
        <v/>
      </c>
      <c r="BZ2" s="1" t="str">
        <f>IF(AW2&gt;AW$128, AW2-AW$128,"")</f>
        <v/>
      </c>
      <c r="CA2" s="1" t="str">
        <f>IF(AX2&gt;AX$128, AX2-AX$128,"")</f>
        <v/>
      </c>
      <c r="CB2" s="1" t="str">
        <f>IF(AY2&gt;AY$128, AY2-AY$128,"")</f>
        <v/>
      </c>
      <c r="CC2" s="1" t="str">
        <f>IF(AZ2&gt;AZ$128, AZ2-AZ$128,"")</f>
        <v/>
      </c>
      <c r="CD2" s="1" t="str">
        <f>IF(BA2&gt;BA$128, BA2-BA$128,"")</f>
        <v/>
      </c>
      <c r="CE2" s="1" t="str">
        <f>IF(BB2&gt;BB$128, BB2-BB$128,"")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IF(AQ3&gt;AQ$128, AQ3-AQ$128,"")</f>
        <v/>
      </c>
      <c r="BU3" s="1" t="str">
        <f>IF(AR3&gt;AR$128, AR3-AR$128,"")</f>
        <v/>
      </c>
      <c r="BV3" s="1" t="str">
        <f>IF(AS3&gt;AS$128, AS3-AS$128,"")</f>
        <v/>
      </c>
      <c r="BW3" s="1" t="str">
        <f>IF(AT3&gt;AT$128, AT3-AT$128,"")</f>
        <v/>
      </c>
      <c r="BX3" s="1" t="str">
        <f>IF(AU3&gt;AU$128, AU3-AU$128,"")</f>
        <v/>
      </c>
      <c r="BY3" s="1" t="str">
        <f>IF(AV3&gt;AV$128, AV3-AV$128,"")</f>
        <v/>
      </c>
      <c r="BZ3" s="1" t="str">
        <f>IF(AW3&gt;AW$128, AW3-AW$128,"")</f>
        <v/>
      </c>
      <c r="CA3" s="1" t="str">
        <f>IF(AX3&gt;AX$128, AX3-AX$128,"")</f>
        <v/>
      </c>
      <c r="CB3" s="1" t="str">
        <f>IF(AY3&gt;AY$128, AY3-AY$128,"")</f>
        <v/>
      </c>
      <c r="CC3" s="1" t="str">
        <f>IF(AZ3&gt;AZ$128, AZ3-AZ$128,"")</f>
        <v/>
      </c>
      <c r="CD3" s="1" t="str">
        <f>IF(BA3&gt;BA$128, BA3-BA$128,"")</f>
        <v/>
      </c>
      <c r="CE3" s="1" t="str">
        <f>IF(BB3&gt;BB$128, BB3-BB$128,"")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IF(AQ4&gt;AQ$128, AQ4-AQ$128,"")</f>
        <v/>
      </c>
      <c r="BU4" s="1" t="str">
        <f>IF(AR4&gt;AR$128, AR4-AR$128,"")</f>
        <v/>
      </c>
      <c r="BV4" s="1" t="str">
        <f>IF(AS4&gt;AS$128, AS4-AS$128,"")</f>
        <v/>
      </c>
      <c r="BW4" s="1" t="str">
        <f>IF(AT4&gt;AT$128, AT4-AT$128,"")</f>
        <v/>
      </c>
      <c r="BX4" s="1" t="str">
        <f>IF(AU4&gt;AU$128, AU4-AU$128,"")</f>
        <v/>
      </c>
      <c r="BY4" s="1" t="str">
        <f>IF(AV4&gt;AV$128, AV4-AV$128,"")</f>
        <v/>
      </c>
      <c r="BZ4" s="1" t="str">
        <f>IF(AW4&gt;AW$128, AW4-AW$128,"")</f>
        <v/>
      </c>
      <c r="CA4" s="1" t="str">
        <f>IF(AX4&gt;AX$128, AX4-AX$128,"")</f>
        <v/>
      </c>
      <c r="CB4" s="1" t="str">
        <f>IF(AY4&gt;AY$128, AY4-AY$128,"")</f>
        <v/>
      </c>
      <c r="CC4" s="1" t="str">
        <f>IF(AZ4&gt;AZ$128, AZ4-AZ$128,"")</f>
        <v/>
      </c>
      <c r="CD4" s="1" t="str">
        <f>IF(BA4&gt;BA$128, BA4-BA$128,"")</f>
        <v/>
      </c>
      <c r="CE4" s="1" t="str">
        <f>IF(BB4&gt;BB$128, BB4-BB$128,"")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IF(AQ5&gt;AQ$128, AQ5-AQ$128,"")</f>
        <v/>
      </c>
      <c r="BU5" s="1" t="str">
        <f>IF(AR5&gt;AR$128, AR5-AR$128,"")</f>
        <v/>
      </c>
      <c r="BV5" s="1" t="str">
        <f>IF(AS5&gt;AS$128, AS5-AS$128,"")</f>
        <v/>
      </c>
      <c r="BW5" s="1" t="str">
        <f>IF(AT5&gt;AT$128, AT5-AT$128,"")</f>
        <v/>
      </c>
      <c r="BX5" s="1" t="str">
        <f>IF(AU5&gt;AU$128, AU5-AU$128,"")</f>
        <v/>
      </c>
      <c r="BY5" s="1" t="str">
        <f>IF(AV5&gt;AV$128, AV5-AV$128,"")</f>
        <v/>
      </c>
      <c r="BZ5" s="1" t="str">
        <f>IF(AW5&gt;AW$128, AW5-AW$128,"")</f>
        <v/>
      </c>
      <c r="CA5" s="1" t="str">
        <f>IF(AX5&gt;AX$128, AX5-AX$128,"")</f>
        <v/>
      </c>
      <c r="CB5" s="1" t="str">
        <f>IF(AY5&gt;AY$128, AY5-AY$128,"")</f>
        <v/>
      </c>
      <c r="CC5" s="1" t="str">
        <f>IF(AZ5&gt;AZ$128, AZ5-AZ$128,"")</f>
        <v/>
      </c>
      <c r="CD5" s="1" t="str">
        <f>IF(BA5&gt;BA$128, BA5-BA$128,"")</f>
        <v/>
      </c>
      <c r="CE5" s="1" t="str">
        <f>IF(BB5&gt;BB$128, BB5-BB$128,"")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106</v>
      </c>
      <c r="C6" s="1" t="s">
        <v>107</v>
      </c>
      <c r="D6" s="1" t="s">
        <v>105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IF(AQ6&gt;AQ$128, AQ6-AQ$128,"")</f>
        <v/>
      </c>
      <c r="BU6" s="1" t="str">
        <f>IF(AR6&gt;AR$128, AR6-AR$128,"")</f>
        <v/>
      </c>
      <c r="BV6" s="1" t="str">
        <f>IF(AS6&gt;AS$128, AS6-AS$128,"")</f>
        <v/>
      </c>
      <c r="BW6" s="1" t="str">
        <f>IF(AT6&gt;AT$128, AT6-AT$128,"")</f>
        <v/>
      </c>
      <c r="BX6" s="1" t="str">
        <f>IF(AU6&gt;AU$128, AU6-AU$128,"")</f>
        <v/>
      </c>
      <c r="BY6" s="1" t="str">
        <f>IF(AV6&gt;AV$128, AV6-AV$128,"")</f>
        <v/>
      </c>
      <c r="BZ6" s="1" t="str">
        <f>IF(AW6&gt;AW$128, AW6-AW$128,"")</f>
        <v/>
      </c>
      <c r="CA6" s="1" t="str">
        <f>IF(AX6&gt;AX$128, AX6-AX$128,"")</f>
        <v/>
      </c>
      <c r="CB6" s="1" t="str">
        <f>IF(AY6&gt;AY$128, AY6-AY$128,"")</f>
        <v/>
      </c>
      <c r="CC6" s="1" t="str">
        <f>IF(AZ6&gt;AZ$128, AZ6-AZ$128,"")</f>
        <v/>
      </c>
      <c r="CD6" s="1" t="str">
        <f>IF(BA6&gt;BA$128, BA6-BA$128,"")</f>
        <v/>
      </c>
      <c r="CE6" s="1" t="str">
        <f>IF(BB6&gt;BB$128, BB6-BB$128,"")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171</v>
      </c>
      <c r="C7" s="1" t="s">
        <v>115</v>
      </c>
      <c r="D7" s="1" t="s">
        <v>105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IF(AQ7&gt;AQ$128, AQ7-AQ$128,"")</f>
        <v/>
      </c>
      <c r="BU7" s="1" t="str">
        <f>IF(AR7&gt;AR$128, AR7-AR$128,"")</f>
        <v/>
      </c>
      <c r="BV7" s="1" t="str">
        <f>IF(AS7&gt;AS$128, AS7-AS$128,"")</f>
        <v/>
      </c>
      <c r="BW7" s="1" t="str">
        <f>IF(AT7&gt;AT$128, AT7-AT$128,"")</f>
        <v/>
      </c>
      <c r="BX7" s="1" t="str">
        <f>IF(AU7&gt;AU$128, AU7-AU$128,"")</f>
        <v/>
      </c>
      <c r="BY7" s="1" t="str">
        <f>IF(AV7&gt;AV$128, AV7-AV$128,"")</f>
        <v/>
      </c>
      <c r="BZ7" s="1" t="str">
        <f>IF(AW7&gt;AW$128, AW7-AW$128,"")</f>
        <v/>
      </c>
      <c r="CA7" s="1" t="str">
        <f>IF(AX7&gt;AX$128, AX7-AX$128,"")</f>
        <v/>
      </c>
      <c r="CB7" s="1" t="str">
        <f>IF(AY7&gt;AY$128, AY7-AY$128,"")</f>
        <v/>
      </c>
      <c r="CC7" s="1" t="str">
        <f>IF(AZ7&gt;AZ$128, AZ7-AZ$128,"")</f>
        <v/>
      </c>
      <c r="CD7" s="1" t="str">
        <f>IF(BA7&gt;BA$128, BA7-BA$128,"")</f>
        <v/>
      </c>
      <c r="CE7" s="1" t="str">
        <f>IF(BB7&gt;BB$128, BB7-BB$128,"")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179</v>
      </c>
      <c r="C8" s="1" t="s">
        <v>103</v>
      </c>
      <c r="D8" s="1" t="s">
        <v>105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IF(AQ8&gt;AQ$128, AQ8-AQ$128,"")</f>
        <v/>
      </c>
      <c r="BU8" s="1" t="str">
        <f>IF(AR8&gt;AR$128, AR8-AR$128,"")</f>
        <v/>
      </c>
      <c r="BV8" s="1" t="str">
        <f>IF(AS8&gt;AS$128, AS8-AS$128,"")</f>
        <v/>
      </c>
      <c r="BW8" s="1" t="str">
        <f>IF(AT8&gt;AT$128, AT8-AT$128,"")</f>
        <v/>
      </c>
      <c r="BX8" s="1" t="str">
        <f>IF(AU8&gt;AU$128, AU8-AU$128,"")</f>
        <v/>
      </c>
      <c r="BY8" s="1" t="str">
        <f>IF(AV8&gt;AV$128, AV8-AV$128,"")</f>
        <v/>
      </c>
      <c r="BZ8" s="1" t="str">
        <f>IF(AW8&gt;AW$128, AW8-AW$128,"")</f>
        <v/>
      </c>
      <c r="CA8" s="1" t="str">
        <f>IF(AX8&gt;AX$128, AX8-AX$128,"")</f>
        <v/>
      </c>
      <c r="CB8" s="1" t="str">
        <f>IF(AY8&gt;AY$128, AY8-AY$128,"")</f>
        <v/>
      </c>
      <c r="CC8" s="1" t="str">
        <f>IF(AZ8&gt;AZ$128, AZ8-AZ$128,"")</f>
        <v/>
      </c>
      <c r="CD8" s="1" t="str">
        <f>IF(BA8&gt;BA$128, BA8-BA$128,"")</f>
        <v/>
      </c>
      <c r="CE8" s="1" t="str">
        <f>IF(BB8&gt;BB$128, BB8-BB$128,"")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IF(AQ9&gt;AQ$128, AQ9-AQ$128,"")</f>
        <v/>
      </c>
      <c r="BU9" s="1" t="str">
        <f>IF(AR9&gt;AR$128, AR9-AR$128,"")</f>
        <v/>
      </c>
      <c r="BV9" s="1" t="str">
        <f>IF(AS9&gt;AS$128, AS9-AS$128,"")</f>
        <v/>
      </c>
      <c r="BW9" s="1" t="str">
        <f>IF(AT9&gt;AT$128, AT9-AT$128,"")</f>
        <v/>
      </c>
      <c r="BX9" s="1" t="str">
        <f>IF(AU9&gt;AU$128, AU9-AU$128,"")</f>
        <v/>
      </c>
      <c r="BY9" s="1" t="str">
        <f>IF(AV9&gt;AV$128, AV9-AV$128,"")</f>
        <v/>
      </c>
      <c r="BZ9" s="1" t="str">
        <f>IF(AW9&gt;AW$128, AW9-AW$128,"")</f>
        <v/>
      </c>
      <c r="CA9" s="1" t="str">
        <f>IF(AX9&gt;AX$128, AX9-AX$128,"")</f>
        <v/>
      </c>
      <c r="CB9" s="1" t="str">
        <f>IF(AY9&gt;AY$128, AY9-AY$128,"")</f>
        <v/>
      </c>
      <c r="CC9" s="1" t="str">
        <f>IF(AZ9&gt;AZ$128, AZ9-AZ$128,"")</f>
        <v/>
      </c>
      <c r="CD9" s="1" t="str">
        <f>IF(BA9&gt;BA$128, BA9-BA$128,"")</f>
        <v/>
      </c>
      <c r="CE9" s="1" t="str">
        <f>IF(BB9&gt;BB$128, BB9-BB$128,"")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>
        <v>84</v>
      </c>
      <c r="B10" s="3" t="s">
        <v>189</v>
      </c>
      <c r="C10" s="3" t="s">
        <v>64</v>
      </c>
      <c r="D10" s="1" t="s">
        <v>13</v>
      </c>
      <c r="E10" s="6"/>
      <c r="F10" s="6"/>
      <c r="G10" s="6">
        <v>5</v>
      </c>
      <c r="H10" s="6">
        <v>5</v>
      </c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>
        <v>5</v>
      </c>
      <c r="BB10" s="2">
        <v>5</v>
      </c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20</v>
      </c>
      <c r="BQ10" s="1">
        <v>2</v>
      </c>
      <c r="BR10" s="17">
        <v>1</v>
      </c>
      <c r="BS10" s="17" t="s">
        <v>229</v>
      </c>
      <c r="BT10" s="1" t="str">
        <f>IF(AQ10&gt;AQ$128, AQ10-AQ$128,"")</f>
        <v/>
      </c>
      <c r="BU10" s="1" t="str">
        <f>IF(AR10&gt;AR$128, AR10-AR$128,"")</f>
        <v/>
      </c>
      <c r="BV10" s="1" t="str">
        <f>IF(AS10&gt;AS$128, AS10-AS$128,"")</f>
        <v/>
      </c>
      <c r="BW10" s="1" t="str">
        <f>IF(AT10&gt;AT$128, AT10-AT$128,"")</f>
        <v/>
      </c>
      <c r="BX10" s="1" t="str">
        <f>IF(AU10&gt;AU$128, AU10-AU$128,"")</f>
        <v/>
      </c>
      <c r="BY10" s="1" t="str">
        <f>IF(AV10&gt;AV$128, AV10-AV$128,"")</f>
        <v/>
      </c>
      <c r="BZ10" s="1" t="str">
        <f>IF(AW10&gt;AW$128, AW10-AW$128,"")</f>
        <v/>
      </c>
      <c r="CA10" s="1" t="str">
        <f>IF(AX10&gt;AX$128, AX10-AX$128,"")</f>
        <v/>
      </c>
      <c r="CB10" s="1" t="str">
        <f>IF(AY10&gt;AY$128, AY10-AY$128,"")</f>
        <v/>
      </c>
      <c r="CC10" s="1" t="str">
        <f>IF(AZ10&gt;AZ$128, AZ10-AZ$128,"")</f>
        <v/>
      </c>
      <c r="CD10" s="1" t="str">
        <f>IF(BA10&gt;BA$128, BA10-BA$128,"")</f>
        <v/>
      </c>
      <c r="CE10" s="1" t="str">
        <f>IF(BB10&gt;BB$128, BB10-BB$128,"")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10</v>
      </c>
    </row>
    <row r="11" spans="1:97" x14ac:dyDescent="0.15">
      <c r="A11" s="1"/>
      <c r="B11" s="1" t="s">
        <v>114</v>
      </c>
      <c r="C11" s="1" t="s">
        <v>107</v>
      </c>
      <c r="D11" s="1" t="s">
        <v>111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>
        <v>2</v>
      </c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</v>
      </c>
      <c r="BQ11" s="1">
        <v>2</v>
      </c>
      <c r="BR11" s="17">
        <v>1</v>
      </c>
      <c r="BS11" s="17" t="s">
        <v>230</v>
      </c>
      <c r="BT11" s="1" t="str">
        <f>IF(AQ11&gt;AQ$128, AQ11-AQ$128,"")</f>
        <v/>
      </c>
      <c r="BU11" s="1" t="str">
        <f>IF(AR11&gt;AR$128, AR11-AR$128,"")</f>
        <v/>
      </c>
      <c r="BV11" s="1" t="str">
        <f>IF(AS11&gt;AS$128, AS11-AS$128,"")</f>
        <v/>
      </c>
      <c r="BW11" s="1" t="str">
        <f>IF(AT11&gt;AT$128, AT11-AT$128,"")</f>
        <v/>
      </c>
      <c r="BX11" s="1" t="str">
        <f>IF(AU11&gt;AU$128, AU11-AU$128,"")</f>
        <v/>
      </c>
      <c r="BY11" s="1" t="str">
        <f>IF(AV11&gt;AV$128, AV11-AV$128,"")</f>
        <v/>
      </c>
      <c r="BZ11" s="1" t="str">
        <f>IF(AW11&gt;AW$128, AW11-AW$128,"")</f>
        <v/>
      </c>
      <c r="CA11" s="1" t="str">
        <f>IF(AX11&gt;AX$128, AX11-AX$128,"")</f>
        <v/>
      </c>
      <c r="CB11" s="1" t="str">
        <f>IF(AY11&gt;AY$128, AY11-AY$128,"")</f>
        <v/>
      </c>
      <c r="CC11" s="1" t="str">
        <f>IF(AZ11&gt;AZ$128, AZ11-AZ$128,"")</f>
        <v/>
      </c>
      <c r="CD11" s="1" t="str">
        <f>IF(BA11&gt;BA$128, BA11-BA$128,"")</f>
        <v/>
      </c>
      <c r="CE11" s="1" t="str">
        <f>IF(BB11&gt;BB$128, BB11-BB$128,"")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x14ac:dyDescent="0.15">
      <c r="A12" s="1">
        <v>62</v>
      </c>
      <c r="B12" s="1" t="s">
        <v>101</v>
      </c>
      <c r="C12" s="1" t="s">
        <v>56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>
        <v>15</v>
      </c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15</v>
      </c>
      <c r="BQ12" s="1">
        <v>2</v>
      </c>
      <c r="BR12" s="17">
        <v>1</v>
      </c>
      <c r="BS12" s="17" t="s">
        <v>231</v>
      </c>
      <c r="BT12" s="1" t="str">
        <f>IF(AQ12&gt;AQ$128, AQ12-AQ$128,"")</f>
        <v/>
      </c>
      <c r="BU12" s="1" t="str">
        <f>IF(AR12&gt;AR$128, AR12-AR$128,"")</f>
        <v/>
      </c>
      <c r="BV12" s="1" t="str">
        <f>IF(AS12&gt;AS$128, AS12-AS$128,"")</f>
        <v/>
      </c>
      <c r="BW12" s="1" t="str">
        <f>IF(AT12&gt;AT$128, AT12-AT$128,"")</f>
        <v/>
      </c>
      <c r="BX12" s="1" t="str">
        <f>IF(AU12&gt;AU$128, AU12-AU$128,"")</f>
        <v/>
      </c>
      <c r="BY12" s="1" t="str">
        <f>IF(AV12&gt;AV$128, AV12-AV$128,"")</f>
        <v/>
      </c>
      <c r="BZ12" s="1" t="str">
        <f>IF(AW12&gt;AW$128, AW12-AW$128,"")</f>
        <v/>
      </c>
      <c r="CA12" s="1" t="str">
        <f>IF(AX12&gt;AX$128, AX12-AX$128,"")</f>
        <v/>
      </c>
      <c r="CB12" s="1" t="str">
        <f>IF(AY12&gt;AY$128, AY12-AY$128,"")</f>
        <v/>
      </c>
      <c r="CC12" s="1" t="str">
        <f>IF(AZ12&gt;AZ$128, AZ12-AZ$128,"")</f>
        <v/>
      </c>
      <c r="CD12" s="1" t="str">
        <f>IF(BA12&gt;BA$128, BA12-BA$128,"")</f>
        <v/>
      </c>
      <c r="CE12" s="1" t="str">
        <f>IF(BB12&gt;BB$128, BB12-BB$128,"")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15</v>
      </c>
    </row>
    <row r="13" spans="1:97" x14ac:dyDescent="0.15">
      <c r="A13" s="1">
        <v>5</v>
      </c>
      <c r="B13" s="1" t="s">
        <v>22</v>
      </c>
      <c r="C13" s="1" t="s">
        <v>2</v>
      </c>
      <c r="D13" s="1" t="s">
        <v>12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>
        <v>10</v>
      </c>
      <c r="AS13" s="4"/>
      <c r="AT13" s="4"/>
      <c r="AU13" s="4"/>
      <c r="AV13" s="4"/>
      <c r="AW13" s="2"/>
      <c r="AX13" s="2"/>
      <c r="AY13" s="2"/>
      <c r="AZ13" s="2"/>
      <c r="BA13" s="2"/>
      <c r="BB13" s="2">
        <v>10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20</v>
      </c>
      <c r="BQ13" s="1">
        <v>4</v>
      </c>
      <c r="BR13" s="17">
        <v>1</v>
      </c>
      <c r="BS13" s="17" t="s">
        <v>237</v>
      </c>
      <c r="BT13" s="1" t="str">
        <f>IF(AQ13&gt;AQ$128, AQ13-AQ$128,"")</f>
        <v/>
      </c>
      <c r="BU13" s="1" t="str">
        <f>IF(AR13&gt;AR$128, AR13-AR$128,"")</f>
        <v/>
      </c>
      <c r="BV13" s="1" t="str">
        <f>IF(AS13&gt;AS$128, AS13-AS$128,"")</f>
        <v/>
      </c>
      <c r="BW13" s="1" t="str">
        <f>IF(AT13&gt;AT$128, AT13-AT$128,"")</f>
        <v/>
      </c>
      <c r="BX13" s="1" t="str">
        <f>IF(AU13&gt;AU$128, AU13-AU$128,"")</f>
        <v/>
      </c>
      <c r="BY13" s="1" t="str">
        <f>IF(AV13&gt;AV$128, AV13-AV$128,"")</f>
        <v/>
      </c>
      <c r="BZ13" s="1" t="str">
        <f>IF(AW13&gt;AW$128, AW13-AW$128,"")</f>
        <v/>
      </c>
      <c r="CA13" s="1" t="str">
        <f>IF(AX13&gt;AX$128, AX13-AX$128,"")</f>
        <v/>
      </c>
      <c r="CB13" s="1" t="str">
        <f>IF(AY13&gt;AY$128, AY13-AY$128,"")</f>
        <v/>
      </c>
      <c r="CC13" s="1" t="str">
        <f>IF(AZ13&gt;AZ$128, AZ13-AZ$128,"")</f>
        <v/>
      </c>
      <c r="CD13" s="1" t="str">
        <f>IF(BA13&gt;BA$128, BA13-BA$128,"")</f>
        <v/>
      </c>
      <c r="CE13" s="1" t="str">
        <f>IF(BB13&gt;BB$128, BB13-BB$128,"")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20</v>
      </c>
    </row>
    <row r="14" spans="1:97" x14ac:dyDescent="0.15">
      <c r="A14" s="1">
        <v>6</v>
      </c>
      <c r="B14" s="1" t="s">
        <v>52</v>
      </c>
      <c r="C14" s="1" t="s">
        <v>2</v>
      </c>
      <c r="D14" s="1" t="s">
        <v>23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10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20</v>
      </c>
      <c r="BQ14" s="1">
        <v>4</v>
      </c>
      <c r="BR14" s="17">
        <v>1</v>
      </c>
      <c r="BS14" s="17" t="s">
        <v>237</v>
      </c>
      <c r="BT14" s="1" t="str">
        <f>IF(AQ14&gt;AQ$128, AQ14-AQ$128,"")</f>
        <v/>
      </c>
      <c r="BU14" s="1" t="str">
        <f>IF(AR14&gt;AR$128, AR14-AR$128,"")</f>
        <v/>
      </c>
      <c r="BV14" s="1" t="str">
        <f>IF(AS14&gt;AS$128, AS14-AS$128,"")</f>
        <v/>
      </c>
      <c r="BW14" s="1" t="str">
        <f>IF(AT14&gt;AT$128, AT14-AT$128,"")</f>
        <v/>
      </c>
      <c r="BX14" s="1" t="str">
        <f>IF(AU14&gt;AU$128, AU14-AU$128,"")</f>
        <v/>
      </c>
      <c r="BY14" s="1" t="str">
        <f>IF(AV14&gt;AV$128, AV14-AV$128,"")</f>
        <v/>
      </c>
      <c r="BZ14" s="1" t="str">
        <f>IF(AW14&gt;AW$128, AW14-AW$128,"")</f>
        <v/>
      </c>
      <c r="CA14" s="1" t="str">
        <f>IF(AX14&gt;AX$128, AX14-AX$128,"")</f>
        <v/>
      </c>
      <c r="CB14" s="1" t="str">
        <f>IF(AY14&gt;AY$128, AY14-AY$128,"")</f>
        <v/>
      </c>
      <c r="CC14" s="1" t="str">
        <f>IF(AZ14&gt;AZ$128, AZ14-AZ$128,"")</f>
        <v/>
      </c>
      <c r="CD14" s="1" t="str">
        <f>IF(BA14&gt;BA$128, BA14-BA$128,"")</f>
        <v/>
      </c>
      <c r="CE14" s="1" t="str">
        <f>IF(BB14&gt;BB$128, BB14-BB$128,"")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20</v>
      </c>
    </row>
    <row r="15" spans="1:97" x14ac:dyDescent="0.15">
      <c r="A15" s="1">
        <v>94</v>
      </c>
      <c r="B15" s="3" t="s">
        <v>83</v>
      </c>
      <c r="C15" s="3" t="s">
        <v>69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10</v>
      </c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20</v>
      </c>
      <c r="BQ15" s="1">
        <v>4</v>
      </c>
      <c r="BR15" s="17">
        <v>1</v>
      </c>
      <c r="BS15" s="17" t="s">
        <v>239</v>
      </c>
      <c r="BT15" s="1" t="str">
        <f>IF(AQ15&gt;AQ$128, AQ15-AQ$128,"")</f>
        <v/>
      </c>
      <c r="BU15" s="1" t="str">
        <f>IF(AR15&gt;AR$128, AR15-AR$128,"")</f>
        <v/>
      </c>
      <c r="BV15" s="1" t="str">
        <f>IF(AS15&gt;AS$128, AS15-AS$128,"")</f>
        <v/>
      </c>
      <c r="BW15" s="1" t="str">
        <f>IF(AT15&gt;AT$128, AT15-AT$128,"")</f>
        <v/>
      </c>
      <c r="BX15" s="1" t="str">
        <f>IF(AU15&gt;AU$128, AU15-AU$128,"")</f>
        <v/>
      </c>
      <c r="BY15" s="1" t="str">
        <f>IF(AV15&gt;AV$128, AV15-AV$128,"")</f>
        <v/>
      </c>
      <c r="BZ15" s="1" t="str">
        <f>IF(AW15&gt;AW$128, AW15-AW$128,"")</f>
        <v/>
      </c>
      <c r="CA15" s="1" t="str">
        <f>IF(AX15&gt;AX$128, AX15-AX$128,"")</f>
        <v/>
      </c>
      <c r="CB15" s="1" t="str">
        <f>IF(AY15&gt;AY$128, AY15-AY$128,"")</f>
        <v/>
      </c>
      <c r="CC15" s="1" t="str">
        <f>IF(AZ15&gt;AZ$128, AZ15-AZ$128,"")</f>
        <v/>
      </c>
      <c r="CD15" s="1" t="str">
        <f>IF(BA15&gt;BA$128, BA15-BA$128,"")</f>
        <v/>
      </c>
      <c r="CE15" s="1" t="str">
        <f>IF(BB15&gt;BB$128, BB15-BB$128,"")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20</v>
      </c>
    </row>
    <row r="16" spans="1:97" x14ac:dyDescent="0.15">
      <c r="A16" s="1"/>
      <c r="B16" s="1" t="s">
        <v>186</v>
      </c>
      <c r="C16" s="1" t="s">
        <v>118</v>
      </c>
      <c r="D16" s="1" t="s">
        <v>104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20</v>
      </c>
      <c r="BQ16" s="1">
        <v>4</v>
      </c>
      <c r="BR16" s="17">
        <v>1</v>
      </c>
      <c r="BS16" s="17" t="s">
        <v>239</v>
      </c>
      <c r="BT16" s="1" t="str">
        <f>IF(AQ16&gt;AQ$128, AQ16-AQ$128,"")</f>
        <v/>
      </c>
      <c r="BU16" s="1" t="str">
        <f>IF(AR16&gt;AR$128, AR16-AR$128,"")</f>
        <v/>
      </c>
      <c r="BV16" s="1" t="str">
        <f>IF(AS16&gt;AS$128, AS16-AS$128,"")</f>
        <v/>
      </c>
      <c r="BW16" s="1" t="str">
        <f>IF(AT16&gt;AT$128, AT16-AT$128,"")</f>
        <v/>
      </c>
      <c r="BX16" s="1" t="str">
        <f>IF(AU16&gt;AU$128, AU16-AU$128,"")</f>
        <v/>
      </c>
      <c r="BY16" s="1" t="str">
        <f>IF(AV16&gt;AV$128, AV16-AV$128,"")</f>
        <v/>
      </c>
      <c r="BZ16" s="1" t="str">
        <f>IF(AW16&gt;AW$128, AW16-AW$128,"")</f>
        <v/>
      </c>
      <c r="CA16" s="1" t="str">
        <f>IF(AX16&gt;AX$128, AX16-AX$128,"")</f>
        <v/>
      </c>
      <c r="CB16" s="1" t="str">
        <f>IF(AY16&gt;AY$128, AY16-AY$128,"")</f>
        <v/>
      </c>
      <c r="CC16" s="1" t="str">
        <f>IF(AZ16&gt;AZ$128, AZ16-AZ$128,"")</f>
        <v/>
      </c>
      <c r="CD16" s="1" t="str">
        <f>IF(BA16&gt;BA$128, BA16-BA$128,"")</f>
        <v/>
      </c>
      <c r="CE16" s="1" t="str">
        <f>IF(BB16&gt;BB$128, BB16-BB$128,"")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3"/>
    </row>
    <row r="17" spans="1:97" x14ac:dyDescent="0.15">
      <c r="A17" s="1"/>
      <c r="B17" s="1" t="s">
        <v>168</v>
      </c>
      <c r="C17" s="1" t="s">
        <v>150</v>
      </c>
      <c r="D17" s="1" t="s">
        <v>123</v>
      </c>
      <c r="E17" s="6"/>
      <c r="F17" s="6"/>
      <c r="G17" s="6"/>
      <c r="H17" s="6"/>
      <c r="I17" s="6"/>
      <c r="J17" s="6"/>
      <c r="K17" s="6"/>
      <c r="L17" s="6">
        <v>6</v>
      </c>
      <c r="M17" s="6"/>
      <c r="N17" s="6"/>
      <c r="O17" s="6">
        <v>6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>
        <v>10</v>
      </c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4</v>
      </c>
      <c r="BR17" s="17">
        <v>1</v>
      </c>
      <c r="BS17" s="17" t="s">
        <v>240</v>
      </c>
      <c r="BT17" s="1" t="str">
        <f>IF(AQ17&gt;AQ$128, AQ17-AQ$128,"")</f>
        <v/>
      </c>
      <c r="BU17" s="1" t="str">
        <f>IF(AR17&gt;AR$128, AR17-AR$128,"")</f>
        <v/>
      </c>
      <c r="BV17" s="1" t="str">
        <f>IF(AS17&gt;AS$128, AS17-AS$128,"")</f>
        <v/>
      </c>
      <c r="BW17" s="1" t="str">
        <f>IF(AT17&gt;AT$128, AT17-AT$128,"")</f>
        <v/>
      </c>
      <c r="BX17" s="1" t="str">
        <f>IF(AU17&gt;AU$128, AU17-AU$128,"")</f>
        <v/>
      </c>
      <c r="BY17" s="1" t="str">
        <f>IF(AV17&gt;AV$128, AV17-AV$128,"")</f>
        <v/>
      </c>
      <c r="BZ17" s="1" t="str">
        <f>IF(AW17&gt;AW$128, AW17-AW$128,"")</f>
        <v/>
      </c>
      <c r="CA17" s="1" t="str">
        <f>IF(AX17&gt;AX$128, AX17-AX$128,"")</f>
        <v/>
      </c>
      <c r="CB17" s="1" t="str">
        <f>IF(AY17&gt;AY$128, AY17-AY$128,"")</f>
        <v/>
      </c>
      <c r="CC17" s="1" t="str">
        <f>IF(AZ17&gt;AZ$128, AZ17-AZ$128,"")</f>
        <v/>
      </c>
      <c r="CD17" s="1" t="str">
        <f>IF(BA17&gt;BA$128, BA17-BA$128,"")</f>
        <v/>
      </c>
      <c r="CE17" s="1" t="str">
        <f>IF(BB17&gt;BB$128, BB17-BB$128,"")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>
        <v>17</v>
      </c>
      <c r="B18" s="1" t="s">
        <v>34</v>
      </c>
      <c r="C18" s="1" t="s">
        <v>31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>
        <v>5</v>
      </c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232</v>
      </c>
      <c r="BT18" s="1" t="str">
        <f>IF(AQ18&gt;AQ$128, AQ18-AQ$128,"")</f>
        <v/>
      </c>
      <c r="BU18" s="1" t="str">
        <f>IF(AR18&gt;AR$128, AR18-AR$128,"")</f>
        <v/>
      </c>
      <c r="BV18" s="1" t="str">
        <f>IF(AS18&gt;AS$128, AS18-AS$128,"")</f>
        <v/>
      </c>
      <c r="BW18" s="1" t="str">
        <f>IF(AT18&gt;AT$128, AT18-AT$128,"")</f>
        <v/>
      </c>
      <c r="BX18" s="1" t="str">
        <f>IF(AU18&gt;AU$128, AU18-AU$128,"")</f>
        <v/>
      </c>
      <c r="BY18" s="1" t="str">
        <f>IF(AV18&gt;AV$128, AV18-AV$128,"")</f>
        <v/>
      </c>
      <c r="BZ18" s="1" t="str">
        <f>IF(AW18&gt;AW$128, AW18-AW$128,"")</f>
        <v/>
      </c>
      <c r="CA18" s="1" t="str">
        <f>IF(AX18&gt;AX$128, AX18-AX$128,"")</f>
        <v/>
      </c>
      <c r="CB18" s="1" t="str">
        <f>IF(AY18&gt;AY$128, AY18-AY$128,"")</f>
        <v/>
      </c>
      <c r="CC18" s="1" t="str">
        <f>IF(AZ18&gt;AZ$128, AZ18-AZ$128,"")</f>
        <v/>
      </c>
      <c r="CD18" s="1" t="str">
        <f>IF(BA18&gt;BA$128, BA18-BA$128,"")</f>
        <v/>
      </c>
      <c r="CE18" s="1" t="str">
        <f>IF(BB18&gt;BB$128, BB18-BB$128,"")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18</v>
      </c>
      <c r="B19" s="1" t="s">
        <v>34</v>
      </c>
      <c r="C19" s="1" t="s">
        <v>31</v>
      </c>
      <c r="D19" s="1" t="s">
        <v>25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>
        <v>5</v>
      </c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213</v>
      </c>
      <c r="BT19" s="1" t="str">
        <f>IF(AQ19&gt;AQ$128, AQ19-AQ$128,"")</f>
        <v/>
      </c>
      <c r="BU19" s="1" t="str">
        <f>IF(AR19&gt;AR$128, AR19-AR$128,"")</f>
        <v/>
      </c>
      <c r="BV19" s="1" t="str">
        <f>IF(AS19&gt;AS$128, AS19-AS$128,"")</f>
        <v/>
      </c>
      <c r="BW19" s="1" t="str">
        <f>IF(AT19&gt;AT$128, AT19-AT$128,"")</f>
        <v/>
      </c>
      <c r="BX19" s="1" t="str">
        <f>IF(AU19&gt;AU$128, AU19-AU$128,"")</f>
        <v/>
      </c>
      <c r="BY19" s="1" t="str">
        <f>IF(AV19&gt;AV$128, AV19-AV$128,"")</f>
        <v/>
      </c>
      <c r="BZ19" s="1" t="str">
        <f>IF(AW19&gt;AW$128, AW19-AW$128,"")</f>
        <v/>
      </c>
      <c r="CA19" s="1" t="str">
        <f>IF(AX19&gt;AX$128, AX19-AX$128,"")</f>
        <v/>
      </c>
      <c r="CB19" s="1" t="str">
        <f>IF(AY19&gt;AY$128, AY19-AY$128,"")</f>
        <v/>
      </c>
      <c r="CC19" s="1" t="str">
        <f>IF(AZ19&gt;AZ$128, AZ19-AZ$128,"")</f>
        <v/>
      </c>
      <c r="CD19" s="1" t="str">
        <f>IF(BA19&gt;BA$128, BA19-BA$128,"")</f>
        <v/>
      </c>
      <c r="CE19" s="1" t="str">
        <f>IF(BB19&gt;BB$128, BB19-BB$128,"")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19</v>
      </c>
      <c r="B20" s="1" t="s">
        <v>37</v>
      </c>
      <c r="C20" s="1" t="s">
        <v>31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>
        <v>5</v>
      </c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233</v>
      </c>
      <c r="BT20" s="1" t="str">
        <f>IF(AQ20&gt;AQ$128, AQ20-AQ$128,"")</f>
        <v/>
      </c>
      <c r="BU20" s="1" t="str">
        <f>IF(AR20&gt;AR$128, AR20-AR$128,"")</f>
        <v/>
      </c>
      <c r="BV20" s="1" t="str">
        <f>IF(AS20&gt;AS$128, AS20-AS$128,"")</f>
        <v/>
      </c>
      <c r="BW20" s="1" t="str">
        <f>IF(AT20&gt;AT$128, AT20-AT$128,"")</f>
        <v/>
      </c>
      <c r="BX20" s="1" t="str">
        <f>IF(AU20&gt;AU$128, AU20-AU$128,"")</f>
        <v/>
      </c>
      <c r="BY20" s="1" t="str">
        <f>IF(AV20&gt;AV$128, AV20-AV$128,"")</f>
        <v/>
      </c>
      <c r="BZ20" s="1" t="str">
        <f>IF(AW20&gt;AW$128, AW20-AW$128,"")</f>
        <v/>
      </c>
      <c r="CA20" s="1" t="str">
        <f>IF(AX20&gt;AX$128, AX20-AX$128,"")</f>
        <v/>
      </c>
      <c r="CB20" s="1" t="str">
        <f>IF(AY20&gt;AY$128, AY20-AY$128,"")</f>
        <v/>
      </c>
      <c r="CC20" s="1" t="str">
        <f>IF(AZ20&gt;AZ$128, AZ20-AZ$128,"")</f>
        <v/>
      </c>
      <c r="CD20" s="1" t="str">
        <f>IF(BA20&gt;BA$128, BA20-BA$128,"")</f>
        <v/>
      </c>
      <c r="CE20" s="1" t="str">
        <f>IF(BB20&gt;BB$128, BB20-BB$128,"")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>
        <v>32</v>
      </c>
      <c r="B21" s="1" t="s">
        <v>77</v>
      </c>
      <c r="C21" s="1" t="s">
        <v>31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>
        <v>5</v>
      </c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234</v>
      </c>
      <c r="BT21" s="1" t="str">
        <f>IF(AQ21&gt;AQ$128, AQ21-AQ$128,"")</f>
        <v/>
      </c>
      <c r="BU21" s="1" t="str">
        <f>IF(AR21&gt;AR$128, AR21-AR$128,"")</f>
        <v/>
      </c>
      <c r="BV21" s="1" t="str">
        <f>IF(AS21&gt;AS$128, AS21-AS$128,"")</f>
        <v/>
      </c>
      <c r="BW21" s="1" t="str">
        <f>IF(AT21&gt;AT$128, AT21-AT$128,"")</f>
        <v/>
      </c>
      <c r="BX21" s="1" t="str">
        <f>IF(AU21&gt;AU$128, AU21-AU$128,"")</f>
        <v/>
      </c>
      <c r="BY21" s="1" t="str">
        <f>IF(AV21&gt;AV$128, AV21-AV$128,"")</f>
        <v/>
      </c>
      <c r="BZ21" s="1" t="str">
        <f>IF(AW21&gt;AW$128, AW21-AW$128,"")</f>
        <v/>
      </c>
      <c r="CA21" s="1" t="str">
        <f>IF(AX21&gt;AX$128, AX21-AX$128,"")</f>
        <v/>
      </c>
      <c r="CB21" s="1" t="str">
        <f>IF(AY21&gt;AY$128, AY21-AY$128,"")</f>
        <v/>
      </c>
      <c r="CC21" s="1" t="str">
        <f>IF(AZ21&gt;AZ$128, AZ21-AZ$128,"")</f>
        <v/>
      </c>
      <c r="CD21" s="1" t="str">
        <f>IF(BA21&gt;BA$128, BA21-BA$128,"")</f>
        <v/>
      </c>
      <c r="CE21" s="1" t="str">
        <f>IF(BB21&gt;BB$128, BB21-BB$128,"")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1">
        <v>33</v>
      </c>
      <c r="B22" s="1" t="s">
        <v>77</v>
      </c>
      <c r="C22" s="1" t="s">
        <v>31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>
        <v>5</v>
      </c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214</v>
      </c>
      <c r="BT22" s="1" t="str">
        <f>IF(AQ22&gt;AQ$128, AQ22-AQ$128,"")</f>
        <v/>
      </c>
      <c r="BU22" s="1" t="str">
        <f>IF(AR22&gt;AR$128, AR22-AR$128,"")</f>
        <v/>
      </c>
      <c r="BV22" s="1" t="str">
        <f>IF(AS22&gt;AS$128, AS22-AS$128,"")</f>
        <v/>
      </c>
      <c r="BW22" s="1" t="str">
        <f>IF(AT22&gt;AT$128, AT22-AT$128,"")</f>
        <v/>
      </c>
      <c r="BX22" s="1" t="str">
        <f>IF(AU22&gt;AU$128, AU22-AU$128,"")</f>
        <v/>
      </c>
      <c r="BY22" s="1" t="str">
        <f>IF(AV22&gt;AV$128, AV22-AV$128,"")</f>
        <v/>
      </c>
      <c r="BZ22" s="1" t="str">
        <f>IF(AW22&gt;AW$128, AW22-AW$128,"")</f>
        <v/>
      </c>
      <c r="CA22" s="1" t="str">
        <f>IF(AX22&gt;AX$128, AX22-AX$128,"")</f>
        <v/>
      </c>
      <c r="CB22" s="1" t="str">
        <f>IF(AY22&gt;AY$128, AY22-AY$128,"")</f>
        <v/>
      </c>
      <c r="CC22" s="1" t="str">
        <f>IF(AZ22&gt;AZ$128, AZ22-AZ$128,"")</f>
        <v/>
      </c>
      <c r="CD22" s="1" t="str">
        <f>IF(BA22&gt;BA$128, BA22-BA$128,"")</f>
        <v/>
      </c>
      <c r="CE22" s="1" t="str">
        <f>IF(BB22&gt;BB$128, BB22-BB$128,"")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5</v>
      </c>
    </row>
    <row r="23" spans="1:97" x14ac:dyDescent="0.15">
      <c r="A23" s="1">
        <v>63</v>
      </c>
      <c r="B23" s="3" t="s">
        <v>61</v>
      </c>
      <c r="C23" s="1" t="s">
        <v>56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>
        <v>5</v>
      </c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235</v>
      </c>
      <c r="BT23" s="1" t="str">
        <f>IF(AQ23&gt;AQ$128, AQ23-AQ$128,"")</f>
        <v/>
      </c>
      <c r="BU23" s="1" t="str">
        <f>IF(AR23&gt;AR$128, AR23-AR$128,"")</f>
        <v/>
      </c>
      <c r="BV23" s="1" t="str">
        <f>IF(AS23&gt;AS$128, AS23-AS$128,"")</f>
        <v/>
      </c>
      <c r="BW23" s="1" t="str">
        <f>IF(AT23&gt;AT$128, AT23-AT$128,"")</f>
        <v/>
      </c>
      <c r="BX23" s="1" t="str">
        <f>IF(AU23&gt;AU$128, AU23-AU$128,"")</f>
        <v/>
      </c>
      <c r="BY23" s="1" t="str">
        <f>IF(AV23&gt;AV$128, AV23-AV$128,"")</f>
        <v/>
      </c>
      <c r="BZ23" s="1" t="str">
        <f>IF(AW23&gt;AW$128, AW23-AW$128,"")</f>
        <v/>
      </c>
      <c r="CA23" s="1" t="str">
        <f>IF(AX23&gt;AX$128, AX23-AX$128,"")</f>
        <v/>
      </c>
      <c r="CB23" s="1" t="str">
        <f>IF(AY23&gt;AY$128, AY23-AY$128,"")</f>
        <v/>
      </c>
      <c r="CC23" s="1" t="str">
        <f>IF(AZ23&gt;AZ$128, AZ23-AZ$128,"")</f>
        <v/>
      </c>
      <c r="CD23" s="1" t="str">
        <f>IF(BA23&gt;BA$128, BA23-BA$128,"")</f>
        <v/>
      </c>
      <c r="CE23" s="1" t="str">
        <f>IF(BB23&gt;BB$128, BB23-BB$128,"")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5</v>
      </c>
    </row>
    <row r="24" spans="1:97" x14ac:dyDescent="0.15">
      <c r="A24" s="1">
        <v>90</v>
      </c>
      <c r="B24" s="3" t="s">
        <v>81</v>
      </c>
      <c r="C24" s="3" t="s">
        <v>80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>
        <v>5</v>
      </c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5</v>
      </c>
      <c r="BQ24" s="1">
        <v>5</v>
      </c>
      <c r="BR24" s="17">
        <v>1</v>
      </c>
      <c r="BS24" s="17" t="s">
        <v>215</v>
      </c>
      <c r="BT24" s="1" t="str">
        <f>IF(AQ24&gt;AQ$128, AQ24-AQ$128,"")</f>
        <v/>
      </c>
      <c r="BU24" s="1" t="str">
        <f>IF(AR24&gt;AR$128, AR24-AR$128,"")</f>
        <v/>
      </c>
      <c r="BV24" s="1" t="str">
        <f>IF(AS24&gt;AS$128, AS24-AS$128,"")</f>
        <v/>
      </c>
      <c r="BW24" s="1" t="str">
        <f>IF(AT24&gt;AT$128, AT24-AT$128,"")</f>
        <v/>
      </c>
      <c r="BX24" s="1" t="str">
        <f>IF(AU24&gt;AU$128, AU24-AU$128,"")</f>
        <v/>
      </c>
      <c r="BY24" s="1" t="str">
        <f>IF(AV24&gt;AV$128, AV24-AV$128,"")</f>
        <v/>
      </c>
      <c r="BZ24" s="1" t="str">
        <f>IF(AW24&gt;AW$128, AW24-AW$128,"")</f>
        <v/>
      </c>
      <c r="CA24" s="1" t="str">
        <f>IF(AX24&gt;AX$128, AX24-AX$128,"")</f>
        <v/>
      </c>
      <c r="CB24" s="1" t="str">
        <f>IF(AY24&gt;AY$128, AY24-AY$128,"")</f>
        <v/>
      </c>
      <c r="CC24" s="1" t="str">
        <f>IF(AZ24&gt;AZ$128, AZ24-AZ$128,"")</f>
        <v/>
      </c>
      <c r="CD24" s="1" t="str">
        <f>IF(BA24&gt;BA$128, BA24-BA$128,"")</f>
        <v/>
      </c>
      <c r="CE24" s="1" t="str">
        <f>IF(BB24&gt;BB$128, BB24-BB$128,"")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3">
        <f>SUM(AE24:BO24)</f>
        <v>5</v>
      </c>
    </row>
    <row r="25" spans="1:97" x14ac:dyDescent="0.15">
      <c r="A25" s="1"/>
      <c r="B25" s="1" t="s">
        <v>117</v>
      </c>
      <c r="C25" s="1" t="s">
        <v>115</v>
      </c>
      <c r="D25" s="1" t="s">
        <v>111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>
        <v>5</v>
      </c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5</v>
      </c>
      <c r="BQ25" s="1">
        <v>5</v>
      </c>
      <c r="BR25" s="17">
        <v>1</v>
      </c>
      <c r="BS25" s="17" t="s">
        <v>236</v>
      </c>
      <c r="BT25" s="1" t="str">
        <f>IF(AQ25&gt;AQ$128, AQ25-AQ$128,"")</f>
        <v/>
      </c>
      <c r="BU25" s="1" t="str">
        <f>IF(AR25&gt;AR$128, AR25-AR$128,"")</f>
        <v/>
      </c>
      <c r="BV25" s="1" t="str">
        <f>IF(AS25&gt;AS$128, AS25-AS$128,"")</f>
        <v/>
      </c>
      <c r="BW25" s="1" t="str">
        <f>IF(AT25&gt;AT$128, AT25-AT$128,"")</f>
        <v/>
      </c>
      <c r="BX25" s="1" t="str">
        <f>IF(AU25&gt;AU$128, AU25-AU$128,"")</f>
        <v/>
      </c>
      <c r="BY25" s="1" t="str">
        <f>IF(AV25&gt;AV$128, AV25-AV$128,"")</f>
        <v/>
      </c>
      <c r="BZ25" s="1" t="str">
        <f>IF(AW25&gt;AW$128, AW25-AW$128,"")</f>
        <v/>
      </c>
      <c r="CA25" s="1" t="str">
        <f>IF(AX25&gt;AX$128, AX25-AX$128,"")</f>
        <v/>
      </c>
      <c r="CB25" s="1" t="str">
        <f>IF(AY25&gt;AY$128, AY25-AY$128,"")</f>
        <v/>
      </c>
      <c r="CC25" s="1" t="str">
        <f>IF(AZ25&gt;AZ$128, AZ25-AZ$128,"")</f>
        <v/>
      </c>
      <c r="CD25" s="1" t="str">
        <f>IF(BA25&gt;BA$128, BA25-BA$128,"")</f>
        <v/>
      </c>
      <c r="CE25" s="1" t="str">
        <f>IF(BB25&gt;BB$128, BB25-BB$128,"")</f>
        <v/>
      </c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3"/>
    </row>
    <row r="26" spans="1:97" x14ac:dyDescent="0.15">
      <c r="A26" s="1"/>
      <c r="B26" s="1" t="s">
        <v>117</v>
      </c>
      <c r="C26" s="1" t="s">
        <v>115</v>
      </c>
      <c r="D26" s="1" t="s">
        <v>105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>
        <v>5</v>
      </c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5</v>
      </c>
      <c r="BQ26" s="1">
        <v>5</v>
      </c>
      <c r="BR26" s="17">
        <v>1</v>
      </c>
      <c r="BS26" s="17" t="s">
        <v>234</v>
      </c>
      <c r="BT26" s="1" t="str">
        <f>IF(AQ26&gt;AQ$128, AQ26-AQ$128,"")</f>
        <v/>
      </c>
      <c r="BU26" s="1" t="str">
        <f>IF(AR26&gt;AR$128, AR26-AR$128,"")</f>
        <v/>
      </c>
      <c r="BV26" s="1" t="str">
        <f>IF(AS26&gt;AS$128, AS26-AS$128,"")</f>
        <v/>
      </c>
      <c r="BW26" s="1" t="str">
        <f>IF(AT26&gt;AT$128, AT26-AT$128,"")</f>
        <v/>
      </c>
      <c r="BX26" s="1" t="str">
        <f>IF(AU26&gt;AU$128, AU26-AU$128,"")</f>
        <v/>
      </c>
      <c r="BY26" s="1" t="str">
        <f>IF(AV26&gt;AV$128, AV26-AV$128,"")</f>
        <v/>
      </c>
      <c r="BZ26" s="1" t="str">
        <f>IF(AW26&gt;AW$128, AW26-AW$128,"")</f>
        <v/>
      </c>
      <c r="CA26" s="1" t="str">
        <f>IF(AX26&gt;AX$128, AX26-AX$128,"")</f>
        <v/>
      </c>
      <c r="CB26" s="1" t="str">
        <f>IF(AY26&gt;AY$128, AY26-AY$128,"")</f>
        <v/>
      </c>
      <c r="CC26" s="1" t="str">
        <f>IF(AZ26&gt;AZ$128, AZ26-AZ$128,"")</f>
        <v/>
      </c>
      <c r="CD26" s="1" t="str">
        <f>IF(BA26&gt;BA$128, BA26-BA$128,"")</f>
        <v/>
      </c>
      <c r="CE26" s="1" t="str">
        <f>IF(BB26&gt;BB$128, BB26-BB$128,"")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/>
      <c r="B27" s="1" t="s">
        <v>166</v>
      </c>
      <c r="C27" s="1" t="s">
        <v>107</v>
      </c>
      <c r="D27" s="1" t="s">
        <v>104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>
        <v>10</v>
      </c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7</v>
      </c>
      <c r="BR27" s="17">
        <v>1</v>
      </c>
      <c r="BS27" s="17" t="s">
        <v>242</v>
      </c>
      <c r="BT27" s="1" t="str">
        <f>IF(AQ27&gt;AQ$128, AQ27-AQ$128,"")</f>
        <v/>
      </c>
      <c r="BU27" s="1" t="str">
        <f>IF(AR27&gt;AR$128, AR27-AR$128,"")</f>
        <v/>
      </c>
      <c r="BV27" s="1" t="str">
        <f>IF(AS27&gt;AS$128, AS27-AS$128,"")</f>
        <v/>
      </c>
      <c r="BW27" s="1" t="str">
        <f>IF(AT27&gt;AT$128, AT27-AT$128,"")</f>
        <v/>
      </c>
      <c r="BX27" s="1" t="str">
        <f>IF(AU27&gt;AU$128, AU27-AU$128,"")</f>
        <v/>
      </c>
      <c r="BY27" s="1" t="str">
        <f>IF(AV27&gt;AV$128, AV27-AV$128,"")</f>
        <v/>
      </c>
      <c r="BZ27" s="1" t="str">
        <f>IF(AW27&gt;AW$128, AW27-AW$128,"")</f>
        <v/>
      </c>
      <c r="CA27" s="1" t="str">
        <f>IF(AX27&gt;AX$128, AX27-AX$128,"")</f>
        <v/>
      </c>
      <c r="CB27" s="1" t="str">
        <f>IF(AY27&gt;AY$128, AY27-AY$128,"")</f>
        <v/>
      </c>
      <c r="CC27" s="1" t="str">
        <f>IF(AZ27&gt;AZ$128, AZ27-AZ$128,"")</f>
        <v/>
      </c>
      <c r="CD27" s="1" t="str">
        <f>IF(BA27&gt;BA$128, BA27-BA$128,"")</f>
        <v/>
      </c>
      <c r="CE27" s="1" t="str">
        <f>IF(BB27&gt;BB$128, BB27-BB$128,"")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211</v>
      </c>
      <c r="C28" s="1" t="s">
        <v>56</v>
      </c>
      <c r="D28" s="1" t="s">
        <v>209</v>
      </c>
      <c r="E28" s="6"/>
      <c r="F28" s="6"/>
      <c r="G28" s="6"/>
      <c r="H28" s="6"/>
      <c r="I28" s="6"/>
      <c r="J28" s="6"/>
      <c r="K28" s="6"/>
      <c r="L28" s="6">
        <v>20</v>
      </c>
      <c r="M28" s="6"/>
      <c r="N28" s="6"/>
      <c r="O28" s="6">
        <v>20</v>
      </c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11</v>
      </c>
      <c r="BR28" s="17">
        <v>1</v>
      </c>
      <c r="BS28" s="17" t="s">
        <v>244</v>
      </c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>
        <v>34</v>
      </c>
      <c r="B29" s="1" t="s">
        <v>46</v>
      </c>
      <c r="C29" s="1" t="s">
        <v>47</v>
      </c>
      <c r="D29" s="1" t="s">
        <v>25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15</v>
      </c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>
        <v>15</v>
      </c>
      <c r="BC29" s="14"/>
      <c r="BD29" s="1"/>
      <c r="BE29" s="1"/>
      <c r="BF29" s="1"/>
      <c r="BG29" s="1"/>
      <c r="BH29" s="1">
        <v>15</v>
      </c>
      <c r="BI29" s="1">
        <v>15</v>
      </c>
      <c r="BJ29" s="1"/>
      <c r="BK29" s="1"/>
      <c r="BL29" s="1"/>
      <c r="BM29" s="1"/>
      <c r="BN29" s="1"/>
      <c r="BO29" s="1"/>
      <c r="BP29" s="1">
        <f>SUM(E29:BO29)</f>
        <v>60</v>
      </c>
      <c r="BQ29" s="1">
        <v>13</v>
      </c>
      <c r="BR29" s="17">
        <v>1</v>
      </c>
      <c r="BS29" s="17" t="s">
        <v>245</v>
      </c>
      <c r="BT29" s="1" t="str">
        <f>IF(AQ29&gt;AQ$128, AQ29-AQ$128,"")</f>
        <v/>
      </c>
      <c r="BU29" s="1" t="str">
        <f>IF(AR29&gt;AR$128, AR29-AR$128,"")</f>
        <v/>
      </c>
      <c r="BV29" s="1" t="str">
        <f>IF(AS29&gt;AS$128, AS29-AS$128,"")</f>
        <v/>
      </c>
      <c r="BW29" s="1" t="str">
        <f>IF(AT29&gt;AT$128, AT29-AT$128,"")</f>
        <v/>
      </c>
      <c r="BX29" s="1" t="str">
        <f>IF(AU29&gt;AU$128, AU29-AU$128,"")</f>
        <v/>
      </c>
      <c r="BY29" s="1" t="str">
        <f>IF(AV29&gt;AV$128, AV29-AV$128,"")</f>
        <v/>
      </c>
      <c r="BZ29" s="1" t="str">
        <f>IF(AW29&gt;AW$128, AW29-AW$128,"")</f>
        <v/>
      </c>
      <c r="CA29" s="1" t="str">
        <f>IF(AX29&gt;AX$128, AX29-AX$128,"")</f>
        <v/>
      </c>
      <c r="CB29" s="1" t="str">
        <f>IF(AY29&gt;AY$128, AY29-AY$128,"")</f>
        <v/>
      </c>
      <c r="CC29" s="1" t="str">
        <f>IF(AZ29&gt;AZ$128, AZ29-AZ$128,"")</f>
        <v/>
      </c>
      <c r="CD29" s="1" t="str">
        <f>IF(BA29&gt;BA$128, BA29-BA$128,"")</f>
        <v/>
      </c>
      <c r="CE29" s="1" t="str">
        <f>IF(BB29&gt;BB$128, BB29-BB$128,"")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60</v>
      </c>
    </row>
    <row r="30" spans="1:97" x14ac:dyDescent="0.15">
      <c r="A30" s="1"/>
      <c r="B30" s="1" t="s">
        <v>180</v>
      </c>
      <c r="C30" s="1" t="s">
        <v>103</v>
      </c>
      <c r="D30" s="1" t="s">
        <v>104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>
        <v>15</v>
      </c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>
        <v>15</v>
      </c>
      <c r="BC30" s="14"/>
      <c r="BD30" s="1"/>
      <c r="BE30" s="1"/>
      <c r="BF30" s="1"/>
      <c r="BG30" s="1"/>
      <c r="BH30" s="1">
        <v>15</v>
      </c>
      <c r="BI30" s="1">
        <v>15</v>
      </c>
      <c r="BJ30" s="1"/>
      <c r="BK30" s="1"/>
      <c r="BL30" s="1"/>
      <c r="BM30" s="1"/>
      <c r="BN30" s="1"/>
      <c r="BO30" s="1"/>
      <c r="BP30" s="1">
        <f>SUM(E30:BO30)</f>
        <v>60</v>
      </c>
      <c r="BQ30" s="1">
        <v>13</v>
      </c>
      <c r="BR30" s="17">
        <v>1</v>
      </c>
      <c r="BS30" s="17" t="s">
        <v>245</v>
      </c>
      <c r="BT30" s="1" t="str">
        <f>IF(AQ30&gt;AQ$128, AQ30-AQ$128,"")</f>
        <v/>
      </c>
      <c r="BU30" s="1" t="str">
        <f>IF(AR30&gt;AR$128, AR30-AR$128,"")</f>
        <v/>
      </c>
      <c r="BV30" s="1" t="str">
        <f>IF(AS30&gt;AS$128, AS30-AS$128,"")</f>
        <v/>
      </c>
      <c r="BW30" s="1" t="str">
        <f>IF(AT30&gt;AT$128, AT30-AT$128,"")</f>
        <v/>
      </c>
      <c r="BX30" s="1" t="str">
        <f>IF(AU30&gt;AU$128, AU30-AU$128,"")</f>
        <v/>
      </c>
      <c r="BY30" s="1" t="str">
        <f>IF(AV30&gt;AV$128, AV30-AV$128,"")</f>
        <v/>
      </c>
      <c r="BZ30" s="1" t="str">
        <f>IF(AW30&gt;AW$128, AW30-AW$128,"")</f>
        <v/>
      </c>
      <c r="CA30" s="1" t="str">
        <f>IF(AX30&gt;AX$128, AX30-AX$128,"")</f>
        <v/>
      </c>
      <c r="CB30" s="1" t="str">
        <f>IF(AY30&gt;AY$128, AY30-AY$128,"")</f>
        <v/>
      </c>
      <c r="CC30" s="1" t="str">
        <f>IF(AZ30&gt;AZ$128, AZ30-AZ$128,"")</f>
        <v/>
      </c>
      <c r="CD30" s="1" t="str">
        <f>IF(BA30&gt;BA$128, BA30-BA$128,"")</f>
        <v/>
      </c>
      <c r="CE30" s="1" t="str">
        <f>IF(BB30&gt;BB$128, BB30-BB$128,"")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64</v>
      </c>
      <c r="B31" s="3" t="s">
        <v>61</v>
      </c>
      <c r="C31" s="1" t="s">
        <v>56</v>
      </c>
      <c r="D31" s="1" t="s">
        <v>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>
        <v>15</v>
      </c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15</v>
      </c>
      <c r="BQ31" s="1">
        <v>15</v>
      </c>
      <c r="BR31" s="17">
        <v>1</v>
      </c>
      <c r="BS31" s="17" t="s">
        <v>246</v>
      </c>
      <c r="BT31" s="1" t="str">
        <f>IF(AQ31&gt;AQ$128, AQ31-AQ$128,"")</f>
        <v/>
      </c>
      <c r="BU31" s="1" t="str">
        <f>IF(AR31&gt;AR$128, AR31-AR$128,"")</f>
        <v/>
      </c>
      <c r="BV31" s="1" t="str">
        <f>IF(AS31&gt;AS$128, AS31-AS$128,"")</f>
        <v/>
      </c>
      <c r="BW31" s="1" t="str">
        <f>IF(AT31&gt;AT$128, AT31-AT$128,"")</f>
        <v/>
      </c>
      <c r="BX31" s="1" t="str">
        <f>IF(AU31&gt;AU$128, AU31-AU$128,"")</f>
        <v/>
      </c>
      <c r="BY31" s="1" t="str">
        <f>IF(AV31&gt;AV$128, AV31-AV$128,"")</f>
        <v/>
      </c>
      <c r="BZ31" s="1" t="str">
        <f>IF(AW31&gt;AW$128, AW31-AW$128,"")</f>
        <v/>
      </c>
      <c r="CA31" s="1" t="str">
        <f>IF(AX31&gt;AX$128, AX31-AX$128,"")</f>
        <v/>
      </c>
      <c r="CB31" s="1" t="str">
        <f>IF(AY31&gt;AY$128, AY31-AY$128,"")</f>
        <v/>
      </c>
      <c r="CC31" s="1" t="str">
        <f>IF(AZ31&gt;AZ$128, AZ31-AZ$128,"")</f>
        <v/>
      </c>
      <c r="CD31" s="1" t="str">
        <f>IF(BA31&gt;BA$128, BA31-BA$128,"")</f>
        <v/>
      </c>
      <c r="CE31" s="1" t="str">
        <f>IF(BB31&gt;BB$128, BB31-BB$128,"")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15</v>
      </c>
    </row>
    <row r="32" spans="1:97" x14ac:dyDescent="0.15">
      <c r="A32" s="1">
        <v>98</v>
      </c>
      <c r="B32" s="3" t="s">
        <v>167</v>
      </c>
      <c r="C32" s="3" t="s">
        <v>69</v>
      </c>
      <c r="D32" s="1" t="s">
        <v>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>
        <v>50</v>
      </c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50</v>
      </c>
      <c r="BQ32" s="1">
        <v>39</v>
      </c>
      <c r="BR32" s="17">
        <v>1</v>
      </c>
      <c r="BS32" s="17" t="s">
        <v>247</v>
      </c>
      <c r="BT32" s="1" t="str">
        <f>IF(AQ32&gt;AQ$128, AQ32-AQ$128,"")</f>
        <v/>
      </c>
      <c r="BU32" s="1" t="str">
        <f>IF(AR32&gt;AR$128, AR32-AR$128,"")</f>
        <v/>
      </c>
      <c r="BV32" s="1" t="str">
        <f>IF(AS32&gt;AS$128, AS32-AS$128,"")</f>
        <v/>
      </c>
      <c r="BW32" s="1" t="str">
        <f>IF(AT32&gt;AT$128, AT32-AT$128,"")</f>
        <v/>
      </c>
      <c r="BX32" s="1" t="str">
        <f>IF(AU32&gt;AU$128, AU32-AU$128,"")</f>
        <v/>
      </c>
      <c r="BY32" s="1" t="str">
        <f>IF(AV32&gt;AV$128, AV32-AV$128,"")</f>
        <v/>
      </c>
      <c r="BZ32" s="1" t="str">
        <f>IF(AW32&gt;AW$128, AW32-AW$128,"")</f>
        <v/>
      </c>
      <c r="CA32" s="1" t="str">
        <f>IF(AX32&gt;AX$128, AX32-AX$128,"")</f>
        <v/>
      </c>
      <c r="CB32" s="1" t="str">
        <f>IF(AY32&gt;AY$128, AY32-AY$128,"")</f>
        <v/>
      </c>
      <c r="CC32" s="1" t="str">
        <f>IF(AZ32&gt;AZ$128, AZ32-AZ$128,"")</f>
        <v/>
      </c>
      <c r="CD32" s="1" t="str">
        <f>IF(BA32&gt;BA$128, BA32-BA$128,"")</f>
        <v/>
      </c>
      <c r="CE32" s="1" t="str">
        <f>IF(BB32&gt;BB$128, BB32-BB$128,"")</f>
        <v/>
      </c>
      <c r="CF32" s="1">
        <f>COUNTIF(BT32:CE32, "&gt;0")</f>
        <v>0</v>
      </c>
      <c r="CG32" s="1" t="str">
        <f>IF($CF32=1,BT32,"")</f>
        <v/>
      </c>
      <c r="CH32" s="1" t="str">
        <f>IF($CF32=1,BU32,"")</f>
        <v/>
      </c>
      <c r="CI32" s="1" t="str">
        <f>IF($CF32=1,BV32,"")</f>
        <v/>
      </c>
      <c r="CJ32" s="1" t="str">
        <f>IF($CF32=1,BW32,"")</f>
        <v/>
      </c>
      <c r="CK32" s="1" t="str">
        <f>IF($CF32=1,BX32,"")</f>
        <v/>
      </c>
      <c r="CL32" s="1" t="str">
        <f>IF($CF32=1,BY32,"")</f>
        <v/>
      </c>
      <c r="CM32" s="1" t="str">
        <f>IF($CF32=1,BZ32,"")</f>
        <v/>
      </c>
      <c r="CN32" s="1" t="str">
        <f>IF($CF32=1,CA32,"")</f>
        <v/>
      </c>
      <c r="CO32" s="1" t="str">
        <f>IF($CF32=1,CB32,"")</f>
        <v/>
      </c>
      <c r="CP32" s="1" t="str">
        <f>IF($CF32=1,CC32,"")</f>
        <v/>
      </c>
      <c r="CQ32" s="1" t="str">
        <f>IF($CF32=1,CD32,"")</f>
        <v/>
      </c>
      <c r="CR32" s="1" t="str">
        <f>IF($CF32=1,CE32,"")</f>
        <v/>
      </c>
      <c r="CS32" s="3">
        <f>SUM(AE32:BO32)</f>
        <v>50</v>
      </c>
    </row>
    <row r="33" spans="1:97" x14ac:dyDescent="0.15">
      <c r="A33" s="1">
        <v>99</v>
      </c>
      <c r="B33" s="3" t="s">
        <v>167</v>
      </c>
      <c r="C33" s="3" t="s">
        <v>69</v>
      </c>
      <c r="D33" s="1" t="s">
        <v>13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>
        <v>200</v>
      </c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200</v>
      </c>
      <c r="BQ33" s="1">
        <v>189</v>
      </c>
      <c r="BR33" s="17">
        <v>1</v>
      </c>
      <c r="BS33" s="17" t="s">
        <v>248</v>
      </c>
      <c r="BT33" s="1" t="str">
        <f>IF(AQ33&gt;AQ$128, AQ33-AQ$128,"")</f>
        <v/>
      </c>
      <c r="BU33" s="1" t="str">
        <f>IF(AR33&gt;AR$128, AR33-AR$128,"")</f>
        <v/>
      </c>
      <c r="BV33" s="1" t="str">
        <f>IF(AS33&gt;AS$128, AS33-AS$128,"")</f>
        <v/>
      </c>
      <c r="BW33" s="1" t="str">
        <f>IF(AT33&gt;AT$128, AT33-AT$128,"")</f>
        <v/>
      </c>
      <c r="BX33" s="1" t="str">
        <f>IF(AU33&gt;AU$128, AU33-AU$128,"")</f>
        <v/>
      </c>
      <c r="BY33" s="1" t="str">
        <f>IF(AV33&gt;AV$128, AV33-AV$128,"")</f>
        <v/>
      </c>
      <c r="BZ33" s="1" t="str">
        <f>IF(AW33&gt;AW$128, AW33-AW$128,"")</f>
        <v/>
      </c>
      <c r="CA33" s="1" t="str">
        <f>IF(AX33&gt;AX$128, AX33-AX$128,"")</f>
        <v/>
      </c>
      <c r="CB33" s="1" t="str">
        <f>IF(AY33&gt;AY$128, AY33-AY$128,"")</f>
        <v/>
      </c>
      <c r="CC33" s="1" t="str">
        <f>IF(AZ33&gt;AZ$128, AZ33-AZ$128,"")</f>
        <v/>
      </c>
      <c r="CD33" s="1" t="str">
        <f>IF(BA33&gt;BA$128, BA33-BA$128,"")</f>
        <v/>
      </c>
      <c r="CE33" s="1" t="str">
        <f>IF(BB33&gt;BB$128, BB33-BB$128,"")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200</v>
      </c>
    </row>
    <row r="34" spans="1:97" ht="27" x14ac:dyDescent="0.15">
      <c r="A34" s="1"/>
      <c r="B34" s="1" t="s">
        <v>114</v>
      </c>
      <c r="C34" s="1" t="s">
        <v>107</v>
      </c>
      <c r="D34" s="1" t="s">
        <v>104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>
        <v>5</v>
      </c>
      <c r="AP34" s="1">
        <v>1</v>
      </c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6</v>
      </c>
      <c r="BQ34" s="1">
        <v>6</v>
      </c>
      <c r="BR34" s="17">
        <v>2</v>
      </c>
      <c r="BS34" s="17" t="s">
        <v>221</v>
      </c>
      <c r="BT34" s="1" t="str">
        <f>IF(AQ34&gt;AQ$128, AQ34-AQ$128,"")</f>
        <v/>
      </c>
      <c r="BU34" s="1" t="str">
        <f>IF(AR34&gt;AR$128, AR34-AR$128,"")</f>
        <v/>
      </c>
      <c r="BV34" s="1" t="str">
        <f>IF(AS34&gt;AS$128, AS34-AS$128,"")</f>
        <v/>
      </c>
      <c r="BW34" s="1" t="str">
        <f>IF(AT34&gt;AT$128, AT34-AT$128,"")</f>
        <v/>
      </c>
      <c r="BX34" s="1" t="str">
        <f>IF(AU34&gt;AU$128, AU34-AU$128,"")</f>
        <v/>
      </c>
      <c r="BY34" s="1" t="str">
        <f>IF(AV34&gt;AV$128, AV34-AV$128,"")</f>
        <v/>
      </c>
      <c r="BZ34" s="1" t="str">
        <f>IF(AW34&gt;AW$128, AW34-AW$128,"")</f>
        <v/>
      </c>
      <c r="CA34" s="1" t="str">
        <f>IF(AX34&gt;AX$128, AX34-AX$128,"")</f>
        <v/>
      </c>
      <c r="CB34" s="1" t="str">
        <f>IF(AY34&gt;AY$128, AY34-AY$128,"")</f>
        <v/>
      </c>
      <c r="CC34" s="1" t="str">
        <f>IF(AZ34&gt;AZ$128, AZ34-AZ$128,"")</f>
        <v/>
      </c>
      <c r="CD34" s="1" t="str">
        <f>IF(BA34&gt;BA$128, BA34-BA$128,"")</f>
        <v/>
      </c>
      <c r="CE34" s="1" t="str">
        <f>IF(BB34&gt;BB$128, BB34-BB$128,"")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ht="27" x14ac:dyDescent="0.15">
      <c r="A35" s="1"/>
      <c r="B35" s="1" t="s">
        <v>176</v>
      </c>
      <c r="C35" s="1" t="s">
        <v>115</v>
      </c>
      <c r="D35" s="1" t="s">
        <v>105</v>
      </c>
      <c r="E35" s="6">
        <v>10</v>
      </c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10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6</v>
      </c>
      <c r="BR35" s="17">
        <v>2</v>
      </c>
      <c r="BS35" s="17" t="s">
        <v>249</v>
      </c>
      <c r="BT35" s="1" t="str">
        <f>IF(AQ35&gt;AQ$128, AQ35-AQ$128,"")</f>
        <v/>
      </c>
      <c r="BU35" s="1" t="str">
        <f>IF(AR35&gt;AR$128, AR35-AR$128,"")</f>
        <v/>
      </c>
      <c r="BV35" s="1" t="str">
        <f>IF(AS35&gt;AS$128, AS35-AS$128,"")</f>
        <v/>
      </c>
      <c r="BW35" s="1" t="str">
        <f>IF(AT35&gt;AT$128, AT35-AT$128,"")</f>
        <v/>
      </c>
      <c r="BX35" s="1" t="str">
        <f>IF(AU35&gt;AU$128, AU35-AU$128,"")</f>
        <v/>
      </c>
      <c r="BY35" s="1" t="str">
        <f>IF(AV35&gt;AV$128, AV35-AV$128,"")</f>
        <v/>
      </c>
      <c r="BZ35" s="1" t="str">
        <f>IF(AW35&gt;AW$128, AW35-AW$128,"")</f>
        <v/>
      </c>
      <c r="CA35" s="1" t="str">
        <f>IF(AX35&gt;AX$128, AX35-AX$128,"")</f>
        <v/>
      </c>
      <c r="CB35" s="1" t="str">
        <f>IF(AY35&gt;AY$128, AY35-AY$128,"")</f>
        <v/>
      </c>
      <c r="CC35" s="1" t="str">
        <f>IF(AZ35&gt;AZ$128, AZ35-AZ$128,"")</f>
        <v/>
      </c>
      <c r="CD35" s="1" t="str">
        <f>IF(BA35&gt;BA$128, BA35-BA$128,"")</f>
        <v/>
      </c>
      <c r="CE35" s="1" t="str">
        <f>IF(BB35&gt;BB$128, BB35-BB$128,"")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ht="27" x14ac:dyDescent="0.15">
      <c r="A36" s="1"/>
      <c r="B36" s="1" t="s">
        <v>174</v>
      </c>
      <c r="C36" s="1" t="s">
        <v>149</v>
      </c>
      <c r="D36" s="1" t="s">
        <v>123</v>
      </c>
      <c r="E36" s="6">
        <v>10</v>
      </c>
      <c r="F36" s="6"/>
      <c r="G36" s="6">
        <v>10</v>
      </c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>
        <v>10</v>
      </c>
      <c r="AS36" s="4"/>
      <c r="AT36" s="4"/>
      <c r="AU36" s="4"/>
      <c r="AV36" s="4"/>
      <c r="AW36" s="2"/>
      <c r="AX36" s="2"/>
      <c r="AY36" s="2"/>
      <c r="AZ36" s="2"/>
      <c r="BA36" s="2"/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6</v>
      </c>
      <c r="BR36" s="17">
        <v>2</v>
      </c>
      <c r="BS36" s="17" t="s">
        <v>250</v>
      </c>
      <c r="BT36" s="1" t="str">
        <f>IF(AQ36&gt;AQ$128, AQ36-AQ$128,"")</f>
        <v/>
      </c>
      <c r="BU36" s="1" t="str">
        <f>IF(AR36&gt;AR$128, AR36-AR$128,"")</f>
        <v/>
      </c>
      <c r="BV36" s="1" t="str">
        <f>IF(AS36&gt;AS$128, AS36-AS$128,"")</f>
        <v/>
      </c>
      <c r="BW36" s="1" t="str">
        <f>IF(AT36&gt;AT$128, AT36-AT$128,"")</f>
        <v/>
      </c>
      <c r="BX36" s="1" t="str">
        <f>IF(AU36&gt;AU$128, AU36-AU$128,"")</f>
        <v/>
      </c>
      <c r="BY36" s="1" t="str">
        <f>IF(AV36&gt;AV$128, AV36-AV$128,"")</f>
        <v/>
      </c>
      <c r="BZ36" s="1" t="str">
        <f>IF(AW36&gt;AW$128, AW36-AW$128,"")</f>
        <v/>
      </c>
      <c r="CA36" s="1" t="str">
        <f>IF(AX36&gt;AX$128, AX36-AX$128,"")</f>
        <v/>
      </c>
      <c r="CB36" s="1" t="str">
        <f>IF(AY36&gt;AY$128, AY36-AY$128,"")</f>
        <v/>
      </c>
      <c r="CC36" s="1" t="str">
        <f>IF(AZ36&gt;AZ$128, AZ36-AZ$128,"")</f>
        <v/>
      </c>
      <c r="CD36" s="1" t="str">
        <f>IF(BA36&gt;BA$128, BA36-BA$128,"")</f>
        <v/>
      </c>
      <c r="CE36" s="1" t="str">
        <f>IF(BB36&gt;BB$128, BB36-BB$128,"")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ht="27" x14ac:dyDescent="0.15">
      <c r="A37" s="1">
        <v>8</v>
      </c>
      <c r="B37" s="1" t="s">
        <v>169</v>
      </c>
      <c r="C37" s="1" t="s">
        <v>2</v>
      </c>
      <c r="D37" s="1" t="s">
        <v>26</v>
      </c>
      <c r="E37" s="6">
        <v>6</v>
      </c>
      <c r="F37" s="6"/>
      <c r="G37" s="6"/>
      <c r="H37" s="6">
        <v>6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10</v>
      </c>
      <c r="AS37" s="4"/>
      <c r="AT37" s="4"/>
      <c r="AU37" s="4"/>
      <c r="AV37" s="4"/>
      <c r="AW37" s="2"/>
      <c r="AX37" s="2"/>
      <c r="AY37" s="2"/>
      <c r="AZ37" s="2"/>
      <c r="BA37" s="2"/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7</v>
      </c>
      <c r="BR37" s="17">
        <v>2</v>
      </c>
      <c r="BS37" s="17" t="s">
        <v>238</v>
      </c>
      <c r="BT37" s="1" t="str">
        <f>IF(AQ37&gt;AQ$128, AQ37-AQ$128,"")</f>
        <v/>
      </c>
      <c r="BU37" s="1" t="str">
        <f>IF(AR37&gt;AR$128, AR37-AR$128,"")</f>
        <v/>
      </c>
      <c r="BV37" s="1" t="str">
        <f>IF(AS37&gt;AS$128, AS37-AS$128,"")</f>
        <v/>
      </c>
      <c r="BW37" s="1" t="str">
        <f>IF(AT37&gt;AT$128, AT37-AT$128,"")</f>
        <v/>
      </c>
      <c r="BX37" s="1" t="str">
        <f>IF(AU37&gt;AU$128, AU37-AU$128,"")</f>
        <v/>
      </c>
      <c r="BY37" s="1" t="str">
        <f>IF(AV37&gt;AV$128, AV37-AV$128,"")</f>
        <v/>
      </c>
      <c r="BZ37" s="1" t="str">
        <f>IF(AW37&gt;AW$128, AW37-AW$128,"")</f>
        <v/>
      </c>
      <c r="CA37" s="1" t="str">
        <f>IF(AX37&gt;AX$128, AX37-AX$128,"")</f>
        <v/>
      </c>
      <c r="CB37" s="1" t="str">
        <f>IF(AY37&gt;AY$128, AY37-AY$128,"")</f>
        <v/>
      </c>
      <c r="CC37" s="1" t="str">
        <f>IF(AZ37&gt;AZ$128, AZ37-AZ$128,"")</f>
        <v/>
      </c>
      <c r="CD37" s="1" t="str">
        <f>IF(BA37&gt;BA$128, BA37-BA$128,"")</f>
        <v/>
      </c>
      <c r="CE37" s="1" t="str">
        <f>IF(BB37&gt;BB$128, BB37-BB$128,"")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20</v>
      </c>
    </row>
    <row r="38" spans="1:97" ht="27" x14ac:dyDescent="0.15">
      <c r="A38" s="1"/>
      <c r="B38" s="1" t="s">
        <v>110</v>
      </c>
      <c r="C38" s="1" t="s">
        <v>107</v>
      </c>
      <c r="D38" s="1" t="s">
        <v>111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>
        <v>3</v>
      </c>
      <c r="AP38" s="1">
        <v>5</v>
      </c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8</v>
      </c>
      <c r="BQ38" s="1">
        <v>8</v>
      </c>
      <c r="BR38" s="17">
        <v>2</v>
      </c>
      <c r="BS38" s="17" t="s">
        <v>251</v>
      </c>
      <c r="BT38" s="1" t="str">
        <f>IF(AQ38&gt;AQ$128, AQ38-AQ$128,"")</f>
        <v/>
      </c>
      <c r="BU38" s="1" t="str">
        <f>IF(AR38&gt;AR$128, AR38-AR$128,"")</f>
        <v/>
      </c>
      <c r="BV38" s="1" t="str">
        <f>IF(AS38&gt;AS$128, AS38-AS$128,"")</f>
        <v/>
      </c>
      <c r="BW38" s="1" t="str">
        <f>IF(AT38&gt;AT$128, AT38-AT$128,"")</f>
        <v/>
      </c>
      <c r="BX38" s="1" t="str">
        <f>IF(AU38&gt;AU$128, AU38-AU$128,"")</f>
        <v/>
      </c>
      <c r="BY38" s="1" t="str">
        <f>IF(AV38&gt;AV$128, AV38-AV$128,"")</f>
        <v/>
      </c>
      <c r="BZ38" s="1" t="str">
        <f>IF(AW38&gt;AW$128, AW38-AW$128,"")</f>
        <v/>
      </c>
      <c r="CA38" s="1" t="str">
        <f>IF(AX38&gt;AX$128, AX38-AX$128,"")</f>
        <v/>
      </c>
      <c r="CB38" s="1" t="str">
        <f>IF(AY38&gt;AY$128, AY38-AY$128,"")</f>
        <v/>
      </c>
      <c r="CC38" s="1" t="str">
        <f>IF(AZ38&gt;AZ$128, AZ38-AZ$128,"")</f>
        <v/>
      </c>
      <c r="CD38" s="1" t="str">
        <f>IF(BA38&gt;BA$128, BA38-BA$128,"")</f>
        <v/>
      </c>
      <c r="CE38" s="1" t="str">
        <f>IF(BB38&gt;BB$128, BB38-BB$128,"")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ht="27" x14ac:dyDescent="0.15">
      <c r="A39" s="1"/>
      <c r="B39" s="1" t="s">
        <v>132</v>
      </c>
      <c r="C39" s="1" t="s">
        <v>120</v>
      </c>
      <c r="D39" s="1" t="s">
        <v>122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17</v>
      </c>
      <c r="BQ39" s="1">
        <v>8</v>
      </c>
      <c r="BR39" s="17">
        <v>2</v>
      </c>
      <c r="BS39" s="17" t="s">
        <v>252</v>
      </c>
      <c r="BT39" s="1" t="str">
        <f>IF(AQ39&gt;AQ$128, AQ39-AQ$128,"")</f>
        <v/>
      </c>
      <c r="BU39" s="1" t="str">
        <f>IF(AR39&gt;AR$128, AR39-AR$128,"")</f>
        <v/>
      </c>
      <c r="BV39" s="1" t="str">
        <f>IF(AS39&gt;AS$128, AS39-AS$128,"")</f>
        <v/>
      </c>
      <c r="BW39" s="1" t="str">
        <f>IF(AT39&gt;AT$128, AT39-AT$128,"")</f>
        <v/>
      </c>
      <c r="BX39" s="1" t="str">
        <f>IF(AU39&gt;AU$128, AU39-AU$128,"")</f>
        <v/>
      </c>
      <c r="BY39" s="1" t="str">
        <f>IF(AV39&gt;AV$128, AV39-AV$128,"")</f>
        <v/>
      </c>
      <c r="BZ39" s="1" t="str">
        <f>IF(AW39&gt;AW$128, AW39-AW$128,"")</f>
        <v/>
      </c>
      <c r="CA39" s="1" t="str">
        <f>IF(AX39&gt;AX$128, AX39-AX$128,"")</f>
        <v/>
      </c>
      <c r="CB39" s="1" t="str">
        <f>IF(AY39&gt;AY$128, AY39-AY$128,"")</f>
        <v/>
      </c>
      <c r="CC39" s="1" t="str">
        <f>IF(AZ39&gt;AZ$128, AZ39-AZ$128,"")</f>
        <v/>
      </c>
      <c r="CD39" s="1" t="str">
        <f>IF(BA39&gt;BA$128, BA39-BA$128,"")</f>
        <v/>
      </c>
      <c r="CE39" s="1" t="str">
        <f>IF(BB39&gt;BB$128, BB39-BB$128,"")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ht="27" x14ac:dyDescent="0.15">
      <c r="A40" s="1"/>
      <c r="B40" s="1" t="s">
        <v>137</v>
      </c>
      <c r="C40" s="1" t="s">
        <v>120</v>
      </c>
      <c r="D40" s="1" t="s">
        <v>122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17</v>
      </c>
      <c r="BQ40" s="1">
        <v>8</v>
      </c>
      <c r="BR40" s="17">
        <v>2</v>
      </c>
      <c r="BS40" s="17" t="s">
        <v>190</v>
      </c>
      <c r="BT40" s="1" t="str">
        <f>IF(AQ40&gt;AQ$128, AQ40-AQ$128,"")</f>
        <v/>
      </c>
      <c r="BU40" s="1" t="str">
        <f>IF(AR40&gt;AR$128, AR40-AR$128,"")</f>
        <v/>
      </c>
      <c r="BV40" s="1" t="str">
        <f>IF(AS40&gt;AS$128, AS40-AS$128,"")</f>
        <v/>
      </c>
      <c r="BW40" s="1" t="str">
        <f>IF(AT40&gt;AT$128, AT40-AT$128,"")</f>
        <v/>
      </c>
      <c r="BX40" s="1" t="str">
        <f>IF(AU40&gt;AU$128, AU40-AU$128,"")</f>
        <v/>
      </c>
      <c r="BY40" s="1" t="str">
        <f>IF(AV40&gt;AV$128, AV40-AV$128,"")</f>
        <v/>
      </c>
      <c r="BZ40" s="1" t="str">
        <f>IF(AW40&gt;AW$128, AW40-AW$128,"")</f>
        <v/>
      </c>
      <c r="CA40" s="1" t="str">
        <f>IF(AX40&gt;AX$128, AX40-AX$128,"")</f>
        <v/>
      </c>
      <c r="CB40" s="1" t="str">
        <f>IF(AY40&gt;AY$128, AY40-AY$128,"")</f>
        <v/>
      </c>
      <c r="CC40" s="1" t="str">
        <f>IF(AZ40&gt;AZ$128, AZ40-AZ$128,"")</f>
        <v/>
      </c>
      <c r="CD40" s="1" t="str">
        <f>IF(BA40&gt;BA$128, BA40-BA$128,"")</f>
        <v/>
      </c>
      <c r="CE40" s="1" t="str">
        <f>IF(BB40&gt;BB$128, BB40-BB$128,"")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ht="27" x14ac:dyDescent="0.15">
      <c r="A41" s="1"/>
      <c r="B41" s="1" t="s">
        <v>145</v>
      </c>
      <c r="C41" s="1" t="s">
        <v>143</v>
      </c>
      <c r="D41" s="1" t="s">
        <v>122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8</v>
      </c>
      <c r="BR41" s="17">
        <v>2</v>
      </c>
      <c r="BS41" s="17" t="s">
        <v>190</v>
      </c>
      <c r="BT41" s="1" t="str">
        <f>IF(AQ41&gt;AQ$128, AQ41-AQ$128,"")</f>
        <v/>
      </c>
      <c r="BU41" s="1" t="str">
        <f>IF(AR41&gt;AR$128, AR41-AR$128,"")</f>
        <v/>
      </c>
      <c r="BV41" s="1" t="str">
        <f>IF(AS41&gt;AS$128, AS41-AS$128,"")</f>
        <v/>
      </c>
      <c r="BW41" s="1" t="str">
        <f>IF(AT41&gt;AT$128, AT41-AT$128,"")</f>
        <v/>
      </c>
      <c r="BX41" s="1" t="str">
        <f>IF(AU41&gt;AU$128, AU41-AU$128,"")</f>
        <v/>
      </c>
      <c r="BY41" s="1" t="str">
        <f>IF(AV41&gt;AV$128, AV41-AV$128,"")</f>
        <v/>
      </c>
      <c r="BZ41" s="1" t="str">
        <f>IF(AW41&gt;AW$128, AW41-AW$128,"")</f>
        <v/>
      </c>
      <c r="CA41" s="1" t="str">
        <f>IF(AX41&gt;AX$128, AX41-AX$128,"")</f>
        <v/>
      </c>
      <c r="CB41" s="1" t="str">
        <f>IF(AY41&gt;AY$128, AY41-AY$128,"")</f>
        <v/>
      </c>
      <c r="CC41" s="1" t="str">
        <f>IF(AZ41&gt;AZ$128, AZ41-AZ$128,"")</f>
        <v/>
      </c>
      <c r="CD41" s="1" t="str">
        <f>IF(BA41&gt;BA$128, BA41-BA$128,"")</f>
        <v/>
      </c>
      <c r="CE41" s="1" t="str">
        <f>IF(BB41&gt;BB$128, BB41-BB$128,"")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ht="27" x14ac:dyDescent="0.15">
      <c r="A42" s="1"/>
      <c r="B42" s="1" t="s">
        <v>147</v>
      </c>
      <c r="C42" s="1" t="s">
        <v>148</v>
      </c>
      <c r="D42" s="1" t="s">
        <v>122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/>
      <c r="S42" s="28"/>
      <c r="T42" s="28">
        <v>5</v>
      </c>
      <c r="U42" s="28"/>
      <c r="V42" s="28"/>
      <c r="W42" s="28"/>
      <c r="X42" s="28">
        <v>2</v>
      </c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252</v>
      </c>
      <c r="BT42" s="1" t="str">
        <f>IF(AQ42&gt;AQ$128, AQ42-AQ$128,"")</f>
        <v/>
      </c>
      <c r="BU42" s="1" t="str">
        <f>IF(AR42&gt;AR$128, AR42-AR$128,"")</f>
        <v/>
      </c>
      <c r="BV42" s="1" t="str">
        <f>IF(AS42&gt;AS$128, AS42-AS$128,"")</f>
        <v/>
      </c>
      <c r="BW42" s="1" t="str">
        <f>IF(AT42&gt;AT$128, AT42-AT$128,"")</f>
        <v/>
      </c>
      <c r="BX42" s="1" t="str">
        <f>IF(AU42&gt;AU$128, AU42-AU$128,"")</f>
        <v/>
      </c>
      <c r="BY42" s="1" t="str">
        <f>IF(AV42&gt;AV$128, AV42-AV$128,"")</f>
        <v/>
      </c>
      <c r="BZ42" s="1" t="str">
        <f>IF(AW42&gt;AW$128, AW42-AW$128,"")</f>
        <v/>
      </c>
      <c r="CA42" s="1" t="str">
        <f>IF(AX42&gt;AX$128, AX42-AX$128,"")</f>
        <v/>
      </c>
      <c r="CB42" s="1" t="str">
        <f>IF(AY42&gt;AY$128, AY42-AY$128,"")</f>
        <v/>
      </c>
      <c r="CC42" s="1" t="str">
        <f>IF(AZ42&gt;AZ$128, AZ42-AZ$128,"")</f>
        <v/>
      </c>
      <c r="CD42" s="1" t="str">
        <f>IF(BA42&gt;BA$128, BA42-BA$128,"")</f>
        <v/>
      </c>
      <c r="CE42" s="1" t="str">
        <f>IF(BB42&gt;BB$128, BB42-BB$128,"")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ht="27" x14ac:dyDescent="0.15">
      <c r="A43" s="1">
        <v>69</v>
      </c>
      <c r="B43" s="3" t="s">
        <v>63</v>
      </c>
      <c r="C43" s="1" t="s">
        <v>56</v>
      </c>
      <c r="D43" s="1" t="s">
        <v>13</v>
      </c>
      <c r="E43" s="6"/>
      <c r="F43" s="6"/>
      <c r="G43" s="6"/>
      <c r="H43" s="6">
        <v>6</v>
      </c>
      <c r="I43" s="6">
        <v>6</v>
      </c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>
        <v>10</v>
      </c>
      <c r="AW43" s="2"/>
      <c r="AX43" s="2">
        <v>10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9</v>
      </c>
      <c r="BR43" s="17">
        <v>2</v>
      </c>
      <c r="BS43" s="17" t="s">
        <v>241</v>
      </c>
      <c r="BT43" s="1" t="str">
        <f>IF(AQ43&gt;AQ$128, AQ43-AQ$128,"")</f>
        <v/>
      </c>
      <c r="BU43" s="1" t="str">
        <f>IF(AR43&gt;AR$128, AR43-AR$128,"")</f>
        <v/>
      </c>
      <c r="BV43" s="1" t="str">
        <f>IF(AS43&gt;AS$128, AS43-AS$128,"")</f>
        <v/>
      </c>
      <c r="BW43" s="1" t="str">
        <f>IF(AT43&gt;AT$128, AT43-AT$128,"")</f>
        <v/>
      </c>
      <c r="BX43" s="1" t="str">
        <f>IF(AU43&gt;AU$128, AU43-AU$128,"")</f>
        <v/>
      </c>
      <c r="BY43" s="1" t="str">
        <f>IF(AV43&gt;AV$128, AV43-AV$128,"")</f>
        <v/>
      </c>
      <c r="BZ43" s="1" t="str">
        <f>IF(AW43&gt;AW$128, AW43-AW$128,"")</f>
        <v/>
      </c>
      <c r="CA43" s="1" t="str">
        <f>IF(AX43&gt;AX$128, AX43-AX$128,"")</f>
        <v/>
      </c>
      <c r="CB43" s="1" t="str">
        <f>IF(AY43&gt;AY$128, AY43-AY$128,"")</f>
        <v/>
      </c>
      <c r="CC43" s="1" t="str">
        <f>IF(AZ43&gt;AZ$128, AZ43-AZ$128,"")</f>
        <v/>
      </c>
      <c r="CD43" s="1" t="str">
        <f>IF(BA43&gt;BA$128, BA43-BA$128,"")</f>
        <v/>
      </c>
      <c r="CE43" s="1" t="str">
        <f>IF(BB43&gt;BB$128, BB43-BB$128,"")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20</v>
      </c>
    </row>
    <row r="44" spans="1:97" ht="27" x14ac:dyDescent="0.15">
      <c r="A44" s="1">
        <v>20</v>
      </c>
      <c r="B44" s="1" t="s">
        <v>37</v>
      </c>
      <c r="C44" s="1" t="s">
        <v>31</v>
      </c>
      <c r="D44" s="1" t="s">
        <v>25</v>
      </c>
      <c r="E44" s="6"/>
      <c r="F44" s="6">
        <v>5</v>
      </c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>
        <v>5</v>
      </c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10</v>
      </c>
      <c r="BQ44" s="1">
        <v>9</v>
      </c>
      <c r="BR44" s="17">
        <v>2</v>
      </c>
      <c r="BS44" s="17" t="s">
        <v>253</v>
      </c>
      <c r="BT44" s="1" t="str">
        <f>IF(AQ44&gt;AQ$128, AQ44-AQ$128,"")</f>
        <v/>
      </c>
      <c r="BU44" s="1" t="str">
        <f>IF(AR44&gt;AR$128, AR44-AR$128,"")</f>
        <v/>
      </c>
      <c r="BV44" s="1" t="str">
        <f>IF(AS44&gt;AS$128, AS44-AS$128,"")</f>
        <v/>
      </c>
      <c r="BW44" s="1" t="str">
        <f>IF(AT44&gt;AT$128, AT44-AT$128,"")</f>
        <v/>
      </c>
      <c r="BX44" s="1" t="str">
        <f>IF(AU44&gt;AU$128, AU44-AU$128,"")</f>
        <v/>
      </c>
      <c r="BY44" s="1" t="str">
        <f>IF(AV44&gt;AV$128, AV44-AV$128,"")</f>
        <v/>
      </c>
      <c r="BZ44" s="1" t="str">
        <f>IF(AW44&gt;AW$128, AW44-AW$128,"")</f>
        <v/>
      </c>
      <c r="CA44" s="1" t="str">
        <f>IF(AX44&gt;AX$128, AX44-AX$128,"")</f>
        <v/>
      </c>
      <c r="CB44" s="1" t="str">
        <f>IF(AY44&gt;AY$128, AY44-AY$128,"")</f>
        <v/>
      </c>
      <c r="CC44" s="1" t="str">
        <f>IF(AZ44&gt;AZ$128, AZ44-AZ$128,"")</f>
        <v/>
      </c>
      <c r="CD44" s="1" t="str">
        <f>IF(BA44&gt;BA$128, BA44-BA$128,"")</f>
        <v/>
      </c>
      <c r="CE44" s="1" t="str">
        <f>IF(BB44&gt;BB$128, BB44-BB$128,"")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5</v>
      </c>
    </row>
    <row r="45" spans="1:97" ht="27" x14ac:dyDescent="0.15">
      <c r="A45" s="1">
        <v>21</v>
      </c>
      <c r="B45" s="1" t="s">
        <v>38</v>
      </c>
      <c r="C45" s="1" t="s">
        <v>31</v>
      </c>
      <c r="D45" s="1" t="s">
        <v>26</v>
      </c>
      <c r="E45" s="6"/>
      <c r="F45" s="6"/>
      <c r="G45" s="6">
        <v>6</v>
      </c>
      <c r="H45" s="6">
        <v>6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>
        <v>10</v>
      </c>
      <c r="AT45" s="4"/>
      <c r="AU45" s="4"/>
      <c r="AV45" s="4"/>
      <c r="AW45" s="2"/>
      <c r="AX45" s="2"/>
      <c r="AY45" s="2"/>
      <c r="AZ45" s="2"/>
      <c r="BA45" s="2"/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32</v>
      </c>
      <c r="BQ45" s="1">
        <v>10</v>
      </c>
      <c r="BR45" s="17">
        <v>2</v>
      </c>
      <c r="BS45" s="17" t="s">
        <v>243</v>
      </c>
      <c r="BT45" s="1" t="str">
        <f>IF(AQ45&gt;AQ$128, AQ45-AQ$128,"")</f>
        <v/>
      </c>
      <c r="BU45" s="1" t="str">
        <f>IF(AR45&gt;AR$128, AR45-AR$128,"")</f>
        <v/>
      </c>
      <c r="BV45" s="1" t="str">
        <f>IF(AS45&gt;AS$128, AS45-AS$128,"")</f>
        <v/>
      </c>
      <c r="BW45" s="1" t="str">
        <f>IF(AT45&gt;AT$128, AT45-AT$128,"")</f>
        <v/>
      </c>
      <c r="BX45" s="1" t="str">
        <f>IF(AU45&gt;AU$128, AU45-AU$128,"")</f>
        <v/>
      </c>
      <c r="BY45" s="1" t="str">
        <f>IF(AV45&gt;AV$128, AV45-AV$128,"")</f>
        <v/>
      </c>
      <c r="BZ45" s="1" t="str">
        <f>IF(AW45&gt;AW$128, AW45-AW$128,"")</f>
        <v/>
      </c>
      <c r="CA45" s="1" t="str">
        <f>IF(AX45&gt;AX$128, AX45-AX$128,"")</f>
        <v/>
      </c>
      <c r="CB45" s="1" t="str">
        <f>IF(AY45&gt;AY$128, AY45-AY$128,"")</f>
        <v/>
      </c>
      <c r="CC45" s="1" t="str">
        <f>IF(AZ45&gt;AZ$128, AZ45-AZ$128,"")</f>
        <v/>
      </c>
      <c r="CD45" s="1" t="str">
        <f>IF(BA45&gt;BA$128, BA45-BA$128,"")</f>
        <v/>
      </c>
      <c r="CE45" s="1" t="str">
        <f>IF(BB45&gt;BB$128, BB45-BB$128,"")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20</v>
      </c>
    </row>
    <row r="46" spans="1:97" ht="27" x14ac:dyDescent="0.15">
      <c r="A46" s="1">
        <v>27</v>
      </c>
      <c r="B46" s="1" t="s">
        <v>74</v>
      </c>
      <c r="C46" s="1" t="s">
        <v>31</v>
      </c>
      <c r="D46" s="1" t="s">
        <v>24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>
        <v>5</v>
      </c>
      <c r="AI46" s="1">
        <v>5</v>
      </c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10</v>
      </c>
      <c r="BQ46" s="1">
        <v>10</v>
      </c>
      <c r="BR46" s="17">
        <v>2</v>
      </c>
      <c r="BS46" s="17" t="s">
        <v>254</v>
      </c>
      <c r="BT46" s="1" t="str">
        <f>IF(AQ46&gt;AQ$128, AQ46-AQ$128,"")</f>
        <v/>
      </c>
      <c r="BU46" s="1" t="str">
        <f>IF(AR46&gt;AR$128, AR46-AR$128,"")</f>
        <v/>
      </c>
      <c r="BV46" s="1" t="str">
        <f>IF(AS46&gt;AS$128, AS46-AS$128,"")</f>
        <v/>
      </c>
      <c r="BW46" s="1" t="str">
        <f>IF(AT46&gt;AT$128, AT46-AT$128,"")</f>
        <v/>
      </c>
      <c r="BX46" s="1" t="str">
        <f>IF(AU46&gt;AU$128, AU46-AU$128,"")</f>
        <v/>
      </c>
      <c r="BY46" s="1" t="str">
        <f>IF(AV46&gt;AV$128, AV46-AV$128,"")</f>
        <v/>
      </c>
      <c r="BZ46" s="1" t="str">
        <f>IF(AW46&gt;AW$128, AW46-AW$128,"")</f>
        <v/>
      </c>
      <c r="CA46" s="1" t="str">
        <f>IF(AX46&gt;AX$128, AX46-AX$128,"")</f>
        <v/>
      </c>
      <c r="CB46" s="1" t="str">
        <f>IF(AY46&gt;AY$128, AY46-AY$128,"")</f>
        <v/>
      </c>
      <c r="CC46" s="1" t="str">
        <f>IF(AZ46&gt;AZ$128, AZ46-AZ$128,"")</f>
        <v/>
      </c>
      <c r="CD46" s="1" t="str">
        <f>IF(BA46&gt;BA$128, BA46-BA$128,"")</f>
        <v/>
      </c>
      <c r="CE46" s="1" t="str">
        <f>IF(BB46&gt;BB$128, BB46-BB$128,"")</f>
        <v/>
      </c>
      <c r="CF46" s="1">
        <f>COUNTIF(BT46:CE46, "&gt;0")</f>
        <v>0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 t="str">
        <f>IF($CF46=1,BZ46,"")</f>
        <v/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3">
        <f>SUM(AE46:BO46)</f>
        <v>10</v>
      </c>
    </row>
    <row r="47" spans="1:97" ht="27" x14ac:dyDescent="0.15">
      <c r="A47" s="1">
        <v>88</v>
      </c>
      <c r="B47" s="3" t="s">
        <v>79</v>
      </c>
      <c r="C47" s="3" t="s">
        <v>80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10</v>
      </c>
      <c r="BQ47" s="1">
        <v>10</v>
      </c>
      <c r="BR47" s="17">
        <v>2</v>
      </c>
      <c r="BS47" s="17" t="s">
        <v>254</v>
      </c>
      <c r="BT47" s="1" t="str">
        <f>IF(AQ47&gt;AQ$128, AQ47-AQ$128,"")</f>
        <v/>
      </c>
      <c r="BU47" s="1" t="str">
        <f>IF(AR47&gt;AR$128, AR47-AR$128,"")</f>
        <v/>
      </c>
      <c r="BV47" s="1" t="str">
        <f>IF(AS47&gt;AS$128, AS47-AS$128,"")</f>
        <v/>
      </c>
      <c r="BW47" s="1" t="str">
        <f>IF(AT47&gt;AT$128, AT47-AT$128,"")</f>
        <v/>
      </c>
      <c r="BX47" s="1" t="str">
        <f>IF(AU47&gt;AU$128, AU47-AU$128,"")</f>
        <v/>
      </c>
      <c r="BY47" s="1" t="str">
        <f>IF(AV47&gt;AV$128, AV47-AV$128,"")</f>
        <v/>
      </c>
      <c r="BZ47" s="1" t="str">
        <f>IF(AW47&gt;AW$128, AW47-AW$128,"")</f>
        <v/>
      </c>
      <c r="CA47" s="1" t="str">
        <f>IF(AX47&gt;AX$128, AX47-AX$128,"")</f>
        <v/>
      </c>
      <c r="CB47" s="1" t="str">
        <f>IF(AY47&gt;AY$128, AY47-AY$128,"")</f>
        <v/>
      </c>
      <c r="CC47" s="1" t="str">
        <f>IF(AZ47&gt;AZ$128, AZ47-AZ$128,"")</f>
        <v/>
      </c>
      <c r="CD47" s="1" t="str">
        <f>IF(BA47&gt;BA$128, BA47-BA$128,"")</f>
        <v/>
      </c>
      <c r="CE47" s="1" t="str">
        <f>IF(BB47&gt;BB$128, BB47-BB$128,"")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10</v>
      </c>
    </row>
    <row r="48" spans="1:97" ht="27" x14ac:dyDescent="0.15">
      <c r="A48" s="1">
        <v>72</v>
      </c>
      <c r="B48" s="3" t="s">
        <v>91</v>
      </c>
      <c r="C48" s="1" t="s">
        <v>56</v>
      </c>
      <c r="D48" s="1" t="s">
        <v>13</v>
      </c>
      <c r="E48" s="6"/>
      <c r="F48" s="6"/>
      <c r="G48" s="6"/>
      <c r="H48" s="6"/>
      <c r="I48" s="6"/>
      <c r="J48" s="6"/>
      <c r="K48" s="6"/>
      <c r="L48" s="6">
        <v>6</v>
      </c>
      <c r="M48" s="6">
        <v>6</v>
      </c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>
        <v>10</v>
      </c>
      <c r="AW48" s="2"/>
      <c r="AX48" s="2"/>
      <c r="AY48" s="2"/>
      <c r="AZ48" s="2"/>
      <c r="BA48" s="2">
        <v>10</v>
      </c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10</v>
      </c>
      <c r="BR48" s="17">
        <v>2</v>
      </c>
      <c r="BS48" s="17" t="s">
        <v>257</v>
      </c>
      <c r="BT48" s="1" t="str">
        <f>IF(AQ48&gt;AQ$128, AQ48-AQ$128,"")</f>
        <v/>
      </c>
      <c r="BU48" s="1" t="str">
        <f>IF(AR48&gt;AR$128, AR48-AR$128,"")</f>
        <v/>
      </c>
      <c r="BV48" s="1" t="str">
        <f>IF(AS48&gt;AS$128, AS48-AS$128,"")</f>
        <v/>
      </c>
      <c r="BW48" s="1" t="str">
        <f>IF(AT48&gt;AT$128, AT48-AT$128,"")</f>
        <v/>
      </c>
      <c r="BX48" s="1" t="str">
        <f>IF(AU48&gt;AU$128, AU48-AU$128,"")</f>
        <v/>
      </c>
      <c r="BY48" s="1" t="str">
        <f>IF(AV48&gt;AV$128, AV48-AV$128,"")</f>
        <v/>
      </c>
      <c r="BZ48" s="1" t="str">
        <f>IF(AW48&gt;AW$128, AW48-AW$128,"")</f>
        <v/>
      </c>
      <c r="CA48" s="1" t="str">
        <f>IF(AX48&gt;AX$128, AX48-AX$128,"")</f>
        <v/>
      </c>
      <c r="CB48" s="1" t="str">
        <f>IF(AY48&gt;AY$128, AY48-AY$128,"")</f>
        <v/>
      </c>
      <c r="CC48" s="1" t="str">
        <f>IF(AZ48&gt;AZ$128, AZ48-AZ$128,"")</f>
        <v/>
      </c>
      <c r="CD48" s="1" t="str">
        <f>IF(BA48&gt;BA$128, BA48-BA$128,"")</f>
        <v/>
      </c>
      <c r="CE48" s="1" t="str">
        <f>IF(BB48&gt;BB$128, BB48-BB$128,"")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</v>
      </c>
    </row>
    <row r="49" spans="1:97" ht="27" x14ac:dyDescent="0.15">
      <c r="A49" s="1"/>
      <c r="B49" s="1" t="s">
        <v>188</v>
      </c>
      <c r="C49" s="1" t="s">
        <v>107</v>
      </c>
      <c r="D49" s="1" t="s">
        <v>105</v>
      </c>
      <c r="E49" s="6">
        <v>6</v>
      </c>
      <c r="F49" s="6">
        <v>6</v>
      </c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>
        <v>10</v>
      </c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12</v>
      </c>
      <c r="BR49" s="17">
        <v>2</v>
      </c>
      <c r="BS49" s="17" t="s">
        <v>256</v>
      </c>
      <c r="BT49" s="1" t="str">
        <f>IF(AQ49&gt;AQ$128, AQ49-AQ$128,"")</f>
        <v/>
      </c>
      <c r="BU49" s="1" t="str">
        <f>IF(AR49&gt;AR$128, AR49-AR$128,"")</f>
        <v/>
      </c>
      <c r="BV49" s="1" t="str">
        <f>IF(AS49&gt;AS$128, AS49-AS$128,"")</f>
        <v/>
      </c>
      <c r="BW49" s="1" t="str">
        <f>IF(AT49&gt;AT$128, AT49-AT$128,"")</f>
        <v/>
      </c>
      <c r="BX49" s="1" t="str">
        <f>IF(AU49&gt;AU$128, AU49-AU$128,"")</f>
        <v/>
      </c>
      <c r="BY49" s="1" t="str">
        <f>IF(AV49&gt;AV$128, AV49-AV$128,"")</f>
        <v/>
      </c>
      <c r="BZ49" s="1" t="str">
        <f>IF(AW49&gt;AW$128, AW49-AW$128,"")</f>
        <v/>
      </c>
      <c r="CA49" s="1" t="str">
        <f>IF(AX49&gt;AX$128, AX49-AX$128,"")</f>
        <v/>
      </c>
      <c r="CB49" s="1" t="str">
        <f>IF(AY49&gt;AY$128, AY49-AY$128,"")</f>
        <v/>
      </c>
      <c r="CC49" s="1" t="str">
        <f>IF(AZ49&gt;AZ$128, AZ49-AZ$128,"")</f>
        <v/>
      </c>
      <c r="CD49" s="1" t="str">
        <f>IF(BA49&gt;BA$128, BA49-BA$128,"")</f>
        <v/>
      </c>
      <c r="CE49" s="1" t="str">
        <f>IF(BB49&gt;BB$128, BB49-BB$128,"")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81</v>
      </c>
      <c r="B50" s="3" t="s">
        <v>67</v>
      </c>
      <c r="C50" s="3" t="s">
        <v>64</v>
      </c>
      <c r="D50" s="1" t="s">
        <v>13</v>
      </c>
      <c r="E50" s="6"/>
      <c r="F50" s="6"/>
      <c r="G50" s="6"/>
      <c r="H50" s="6"/>
      <c r="I50" s="6"/>
      <c r="J50" s="6"/>
      <c r="K50" s="6"/>
      <c r="L50" s="6">
        <v>6</v>
      </c>
      <c r="M50" s="6"/>
      <c r="N50" s="6"/>
      <c r="O50" s="6">
        <v>6</v>
      </c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>
        <v>10</v>
      </c>
      <c r="AU50" s="4"/>
      <c r="AV50" s="4"/>
      <c r="AW50" s="2"/>
      <c r="AX50" s="2"/>
      <c r="AY50" s="2"/>
      <c r="AZ50" s="2"/>
      <c r="BA50" s="2">
        <v>10</v>
      </c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12</v>
      </c>
      <c r="BR50" s="17">
        <v>2</v>
      </c>
      <c r="BS50" s="17" t="s">
        <v>260</v>
      </c>
      <c r="BT50" s="1" t="str">
        <f>IF(AQ50&gt;AQ$128, AQ50-AQ$128,"")</f>
        <v/>
      </c>
      <c r="BU50" s="1" t="str">
        <f>IF(AR50&gt;AR$128, AR50-AR$128,"")</f>
        <v/>
      </c>
      <c r="BV50" s="1" t="str">
        <f>IF(AS50&gt;AS$128, AS50-AS$128,"")</f>
        <v/>
      </c>
      <c r="BW50" s="1" t="str">
        <f>IF(AT50&gt;AT$128, AT50-AT$128,"")</f>
        <v/>
      </c>
      <c r="BX50" s="1" t="str">
        <f>IF(AU50&gt;AU$128, AU50-AU$128,"")</f>
        <v/>
      </c>
      <c r="BY50" s="1" t="str">
        <f>IF(AV50&gt;AV$128, AV50-AV$128,"")</f>
        <v/>
      </c>
      <c r="BZ50" s="1" t="str">
        <f>IF(AW50&gt;AW$128, AW50-AW$128,"")</f>
        <v/>
      </c>
      <c r="CA50" s="1" t="str">
        <f>IF(AX50&gt;AX$128, AX50-AX$128,"")</f>
        <v/>
      </c>
      <c r="CB50" s="1" t="str">
        <f>IF(AY50&gt;AY$128, AY50-AY$128,"")</f>
        <v/>
      </c>
      <c r="CC50" s="1" t="str">
        <f>IF(AZ50&gt;AZ$128, AZ50-AZ$128,"")</f>
        <v/>
      </c>
      <c r="CD50" s="1" t="str">
        <f>IF(BA50&gt;BA$128, BA50-BA$128,"")</f>
        <v/>
      </c>
      <c r="CE50" s="1" t="str">
        <f>IF(BB50&gt;BB$128, BB50-BB$128,"")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20</v>
      </c>
    </row>
    <row r="51" spans="1:97" ht="27" x14ac:dyDescent="0.15">
      <c r="A51" s="1">
        <v>39</v>
      </c>
      <c r="B51" s="1" t="s">
        <v>50</v>
      </c>
      <c r="C51" s="1" t="s">
        <v>47</v>
      </c>
      <c r="D51" s="1" t="s">
        <v>26</v>
      </c>
      <c r="E51" s="6"/>
      <c r="F51" s="6">
        <v>6</v>
      </c>
      <c r="G51" s="6"/>
      <c r="H51" s="6"/>
      <c r="I51" s="6"/>
      <c r="J51" s="6"/>
      <c r="K51" s="6"/>
      <c r="L51" s="6">
        <v>6</v>
      </c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>
        <v>10</v>
      </c>
      <c r="AR51" s="4"/>
      <c r="AS51" s="4"/>
      <c r="AT51" s="4"/>
      <c r="AU51" s="4"/>
      <c r="AV51" s="4"/>
      <c r="AW51" s="2"/>
      <c r="AX51" s="2">
        <v>10</v>
      </c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13</v>
      </c>
      <c r="BR51" s="17">
        <v>2</v>
      </c>
      <c r="BS51" s="17" t="s">
        <v>258</v>
      </c>
      <c r="BT51" s="1" t="str">
        <f>IF(AQ51&gt;AQ$128, AQ51-AQ$128,"")</f>
        <v/>
      </c>
      <c r="BU51" s="1" t="str">
        <f>IF(AR51&gt;AR$128, AR51-AR$128,"")</f>
        <v/>
      </c>
      <c r="BV51" s="1" t="str">
        <f>IF(AS51&gt;AS$128, AS51-AS$128,"")</f>
        <v/>
      </c>
      <c r="BW51" s="1" t="str">
        <f>IF(AT51&gt;AT$128, AT51-AT$128,"")</f>
        <v/>
      </c>
      <c r="BX51" s="1" t="str">
        <f>IF(AU51&gt;AU$128, AU51-AU$128,"")</f>
        <v/>
      </c>
      <c r="BY51" s="1" t="str">
        <f>IF(AV51&gt;AV$128, AV51-AV$128,"")</f>
        <v/>
      </c>
      <c r="BZ51" s="1" t="str">
        <f>IF(AW51&gt;AW$128, AW51-AW$128,"")</f>
        <v/>
      </c>
      <c r="CA51" s="1" t="str">
        <f>IF(AX51&gt;AX$128, AX51-AX$128,"")</f>
        <v/>
      </c>
      <c r="CB51" s="1" t="str">
        <f>IF(AY51&gt;AY$128, AY51-AY$128,"")</f>
        <v/>
      </c>
      <c r="CC51" s="1" t="str">
        <f>IF(AZ51&gt;AZ$128, AZ51-AZ$128,"")</f>
        <v/>
      </c>
      <c r="CD51" s="1" t="str">
        <f>IF(BA51&gt;BA$128, BA51-BA$128,"")</f>
        <v/>
      </c>
      <c r="CE51" s="1" t="str">
        <f>IF(BB51&gt;BB$128, BB51-BB$128,"")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20</v>
      </c>
    </row>
    <row r="52" spans="1:97" ht="27" x14ac:dyDescent="0.15">
      <c r="A52" s="1">
        <v>45</v>
      </c>
      <c r="B52" s="1" t="s">
        <v>102</v>
      </c>
      <c r="C52" s="1" t="s">
        <v>47</v>
      </c>
      <c r="D52" s="1" t="s">
        <v>13</v>
      </c>
      <c r="E52" s="6">
        <v>6</v>
      </c>
      <c r="F52" s="6"/>
      <c r="G52" s="6"/>
      <c r="H52" s="6"/>
      <c r="I52" s="6"/>
      <c r="J52" s="6"/>
      <c r="K52" s="6"/>
      <c r="L52" s="6"/>
      <c r="M52" s="6">
        <v>6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>
        <v>10</v>
      </c>
      <c r="AR52" s="4"/>
      <c r="AS52" s="4"/>
      <c r="AT52" s="4"/>
      <c r="AU52" s="4"/>
      <c r="AV52" s="4"/>
      <c r="AW52" s="2"/>
      <c r="AX52" s="2"/>
      <c r="AY52" s="2"/>
      <c r="AZ52" s="2">
        <v>10</v>
      </c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14</v>
      </c>
      <c r="BR52" s="17">
        <v>2</v>
      </c>
      <c r="BS52" s="17" t="s">
        <v>261</v>
      </c>
      <c r="BT52" s="1" t="str">
        <f>IF(AQ52&gt;AQ$128, AQ52-AQ$128,"")</f>
        <v/>
      </c>
      <c r="BU52" s="1" t="str">
        <f>IF(AR52&gt;AR$128, AR52-AR$128,"")</f>
        <v/>
      </c>
      <c r="BV52" s="1" t="str">
        <f>IF(AS52&gt;AS$128, AS52-AS$128,"")</f>
        <v/>
      </c>
      <c r="BW52" s="1" t="str">
        <f>IF(AT52&gt;AT$128, AT52-AT$128,"")</f>
        <v/>
      </c>
      <c r="BX52" s="1" t="str">
        <f>IF(AU52&gt;AU$128, AU52-AU$128,"")</f>
        <v/>
      </c>
      <c r="BY52" s="1" t="str">
        <f>IF(AV52&gt;AV$128, AV52-AV$128,"")</f>
        <v/>
      </c>
      <c r="BZ52" s="1" t="str">
        <f>IF(AW52&gt;AW$128, AW52-AW$128,"")</f>
        <v/>
      </c>
      <c r="CA52" s="1" t="str">
        <f>IF(AX52&gt;AX$128, AX52-AX$128,"")</f>
        <v/>
      </c>
      <c r="CB52" s="1" t="str">
        <f>IF(AY52&gt;AY$128, AY52-AY$128,"")</f>
        <v/>
      </c>
      <c r="CC52" s="1" t="str">
        <f>IF(AZ52&gt;AZ$128, AZ52-AZ$128,"")</f>
        <v/>
      </c>
      <c r="CD52" s="1" t="str">
        <f>IF(BA52&gt;BA$128, BA52-BA$128,"")</f>
        <v/>
      </c>
      <c r="CE52" s="1" t="str">
        <f>IF(BB52&gt;BB$128, BB52-BB$128,"")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20</v>
      </c>
    </row>
    <row r="53" spans="1:97" ht="27" x14ac:dyDescent="0.15">
      <c r="A53" s="1">
        <v>82</v>
      </c>
      <c r="B53" s="3" t="s">
        <v>68</v>
      </c>
      <c r="C53" s="3" t="s">
        <v>64</v>
      </c>
      <c r="D53" s="1" t="s">
        <v>13</v>
      </c>
      <c r="E53" s="6"/>
      <c r="F53" s="6"/>
      <c r="G53" s="6"/>
      <c r="H53" s="6"/>
      <c r="I53" s="6"/>
      <c r="J53" s="6"/>
      <c r="K53" s="6"/>
      <c r="L53" s="6">
        <v>6</v>
      </c>
      <c r="M53" s="6"/>
      <c r="N53" s="6">
        <v>6</v>
      </c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>
        <v>10</v>
      </c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14</v>
      </c>
      <c r="BR53" s="17">
        <v>2</v>
      </c>
      <c r="BS53" s="17" t="s">
        <v>262</v>
      </c>
      <c r="BT53" s="1" t="str">
        <f>IF(AQ53&gt;AQ$128, AQ53-AQ$128,"")</f>
        <v/>
      </c>
      <c r="BU53" s="1" t="str">
        <f>IF(AR53&gt;AR$128, AR53-AR$128,"")</f>
        <v/>
      </c>
      <c r="BV53" s="1" t="str">
        <f>IF(AS53&gt;AS$128, AS53-AS$128,"")</f>
        <v/>
      </c>
      <c r="BW53" s="1" t="str">
        <f>IF(AT53&gt;AT$128, AT53-AT$128,"")</f>
        <v/>
      </c>
      <c r="BX53" s="1" t="str">
        <f>IF(AU53&gt;AU$128, AU53-AU$128,"")</f>
        <v/>
      </c>
      <c r="BY53" s="1" t="str">
        <f>IF(AV53&gt;AV$128, AV53-AV$128,"")</f>
        <v/>
      </c>
      <c r="BZ53" s="1" t="str">
        <f>IF(AW53&gt;AW$128, AW53-AW$128,"")</f>
        <v/>
      </c>
      <c r="CA53" s="1" t="str">
        <f>IF(AX53&gt;AX$128, AX53-AX$128,"")</f>
        <v/>
      </c>
      <c r="CB53" s="1" t="str">
        <f>IF(AY53&gt;AY$128, AY53-AY$128,"")</f>
        <v/>
      </c>
      <c r="CC53" s="1" t="str">
        <f>IF(AZ53&gt;AZ$128, AZ53-AZ$128,"")</f>
        <v/>
      </c>
      <c r="CD53" s="1" t="str">
        <f>IF(BA53&gt;BA$128, BA53-BA$128,"")</f>
        <v/>
      </c>
      <c r="CE53" s="1" t="str">
        <f>IF(BB53&gt;BB$128, BB53-BB$128,"")</f>
        <v/>
      </c>
      <c r="CF53" s="1">
        <f>COUNTIF(BT53:CE53, "&gt;0")</f>
        <v>0</v>
      </c>
      <c r="CG53" s="1" t="str">
        <f>IF($CF53=1,BT53,"")</f>
        <v/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 t="str">
        <f>IF($CF53=1,BX53,"")</f>
        <v/>
      </c>
      <c r="CL53" s="1" t="str">
        <f>IF($CF53=1,BY53,"")</f>
        <v/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3">
        <f>SUM(AE53:BO53)</f>
        <v>20</v>
      </c>
    </row>
    <row r="54" spans="1:97" ht="27" x14ac:dyDescent="0.15">
      <c r="A54" s="1"/>
      <c r="B54" s="1" t="s">
        <v>110</v>
      </c>
      <c r="C54" s="1" t="s">
        <v>107</v>
      </c>
      <c r="D54" s="1" t="s">
        <v>104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>
        <v>5</v>
      </c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5</v>
      </c>
      <c r="AP54" s="1">
        <v>10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20</v>
      </c>
      <c r="BQ54" s="1">
        <v>15</v>
      </c>
      <c r="BR54" s="17">
        <v>2</v>
      </c>
      <c r="BS54" s="17" t="s">
        <v>259</v>
      </c>
      <c r="BT54" s="1" t="str">
        <f>IF(AQ54&gt;AQ$128, AQ54-AQ$128,"")</f>
        <v/>
      </c>
      <c r="BU54" s="1" t="str">
        <f>IF(AR54&gt;AR$128, AR54-AR$128,"")</f>
        <v/>
      </c>
      <c r="BV54" s="1" t="str">
        <f>IF(AS54&gt;AS$128, AS54-AS$128,"")</f>
        <v/>
      </c>
      <c r="BW54" s="1" t="str">
        <f>IF(AT54&gt;AT$128, AT54-AT$128,"")</f>
        <v/>
      </c>
      <c r="BX54" s="1" t="str">
        <f>IF(AU54&gt;AU$128, AU54-AU$128,"")</f>
        <v/>
      </c>
      <c r="BY54" s="1" t="str">
        <f>IF(AV54&gt;AV$128, AV54-AV$128,"")</f>
        <v/>
      </c>
      <c r="BZ54" s="1" t="str">
        <f>IF(AW54&gt;AW$128, AW54-AW$128,"")</f>
        <v/>
      </c>
      <c r="CA54" s="1" t="str">
        <f>IF(AX54&gt;AX$128, AX54-AX$128,"")</f>
        <v/>
      </c>
      <c r="CB54" s="1" t="str">
        <f>IF(AY54&gt;AY$128, AY54-AY$128,"")</f>
        <v/>
      </c>
      <c r="CC54" s="1" t="str">
        <f>IF(AZ54&gt;AZ$128, AZ54-AZ$128,"")</f>
        <v/>
      </c>
      <c r="CD54" s="1" t="str">
        <f>IF(BA54&gt;BA$128, BA54-BA$128,"")</f>
        <v/>
      </c>
      <c r="CE54" s="1" t="str">
        <f>IF(BB54&gt;BB$128, BB54-BB$128,"")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>
        <v>95</v>
      </c>
      <c r="B55" s="3" t="s">
        <v>84</v>
      </c>
      <c r="C55" s="3" t="s">
        <v>69</v>
      </c>
      <c r="D55" s="1" t="s">
        <v>1</v>
      </c>
      <c r="E55" s="6"/>
      <c r="F55" s="6"/>
      <c r="G55" s="6"/>
      <c r="H55" s="6"/>
      <c r="I55" s="6"/>
      <c r="J55" s="6"/>
      <c r="K55" s="6"/>
      <c r="L55" s="6">
        <v>15</v>
      </c>
      <c r="M55" s="6"/>
      <c r="N55" s="6"/>
      <c r="O55" s="6">
        <v>15</v>
      </c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>
        <v>15</v>
      </c>
      <c r="BB55" s="2">
        <v>15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60</v>
      </c>
      <c r="BQ55" s="1">
        <v>15</v>
      </c>
      <c r="BR55" s="17">
        <v>2</v>
      </c>
      <c r="BS55" s="17" t="s">
        <v>265</v>
      </c>
      <c r="BT55" s="1" t="str">
        <f>IF(AQ55&gt;AQ$128, AQ55-AQ$128,"")</f>
        <v/>
      </c>
      <c r="BU55" s="1" t="str">
        <f>IF(AR55&gt;AR$128, AR55-AR$128,"")</f>
        <v/>
      </c>
      <c r="BV55" s="1" t="str">
        <f>IF(AS55&gt;AS$128, AS55-AS$128,"")</f>
        <v/>
      </c>
      <c r="BW55" s="1" t="str">
        <f>IF(AT55&gt;AT$128, AT55-AT$128,"")</f>
        <v/>
      </c>
      <c r="BX55" s="1" t="str">
        <f>IF(AU55&gt;AU$128, AU55-AU$128,"")</f>
        <v/>
      </c>
      <c r="BY55" s="1" t="str">
        <f>IF(AV55&gt;AV$128, AV55-AV$128,"")</f>
        <v/>
      </c>
      <c r="BZ55" s="1" t="str">
        <f>IF(AW55&gt;AW$128, AW55-AW$128,"")</f>
        <v/>
      </c>
      <c r="CA55" s="1" t="str">
        <f>IF(AX55&gt;AX$128, AX55-AX$128,"")</f>
        <v/>
      </c>
      <c r="CB55" s="1" t="str">
        <f>IF(AY55&gt;AY$128, AY55-AY$128,"")</f>
        <v/>
      </c>
      <c r="CC55" s="1" t="str">
        <f>IF(AZ55&gt;AZ$128, AZ55-AZ$128,"")</f>
        <v/>
      </c>
      <c r="CD55" s="1" t="str">
        <f>IF(BA55&gt;BA$128, BA55-BA$128,"")</f>
        <v/>
      </c>
      <c r="CE55" s="1" t="str">
        <f>IF(BB55&gt;BB$128, BB55-BB$128,"")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30</v>
      </c>
    </row>
    <row r="56" spans="1:97" ht="27" x14ac:dyDescent="0.15">
      <c r="A56" s="1">
        <v>2</v>
      </c>
      <c r="B56" s="1" t="s">
        <v>8</v>
      </c>
      <c r="C56" s="1" t="s">
        <v>2</v>
      </c>
      <c r="D56" s="1" t="s">
        <v>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15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>
        <v>15</v>
      </c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30</v>
      </c>
      <c r="BQ56" s="1">
        <v>15</v>
      </c>
      <c r="BR56" s="17">
        <v>2</v>
      </c>
      <c r="BS56" s="17" t="s">
        <v>266</v>
      </c>
      <c r="BT56" s="1" t="str">
        <f>IF(AQ56&gt;AQ$128, AQ56-AQ$128,"")</f>
        <v/>
      </c>
      <c r="BU56" s="1" t="str">
        <f>IF(AR56&gt;AR$128, AR56-AR$128,"")</f>
        <v/>
      </c>
      <c r="BV56" s="1" t="str">
        <f>IF(AS56&gt;AS$128, AS56-AS$128,"")</f>
        <v/>
      </c>
      <c r="BW56" s="1" t="str">
        <f>IF(AT56&gt;AT$128, AT56-AT$128,"")</f>
        <v/>
      </c>
      <c r="BX56" s="1" t="str">
        <f>IF(AU56&gt;AU$128, AU56-AU$128,"")</f>
        <v/>
      </c>
      <c r="BY56" s="1" t="str">
        <f>IF(AV56&gt;AV$128, AV56-AV$128,"")</f>
        <v/>
      </c>
      <c r="BZ56" s="1" t="str">
        <f>IF(AW56&gt;AW$128, AW56-AW$128,"")</f>
        <v/>
      </c>
      <c r="CA56" s="1" t="str">
        <f>IF(AX56&gt;AX$128, AX56-AX$128,"")</f>
        <v/>
      </c>
      <c r="CB56" s="1" t="str">
        <f>IF(AY56&gt;AY$128, AY56-AY$128,"")</f>
        <v/>
      </c>
      <c r="CC56" s="1" t="str">
        <f>IF(AZ56&gt;AZ$128, AZ56-AZ$128,"")</f>
        <v/>
      </c>
      <c r="CD56" s="1" t="str">
        <f>IF(BA56&gt;BA$128, BA56-BA$128,"")</f>
        <v/>
      </c>
      <c r="CE56" s="1" t="str">
        <f>IF(BB56&gt;BB$128, BB56-BB$128,"")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30</v>
      </c>
    </row>
    <row r="57" spans="1:97" ht="27" x14ac:dyDescent="0.15">
      <c r="A57" s="1">
        <v>3</v>
      </c>
      <c r="B57" s="1" t="s">
        <v>11</v>
      </c>
      <c r="C57" s="1" t="s">
        <v>2</v>
      </c>
      <c r="D57" s="1" t="s">
        <v>12</v>
      </c>
      <c r="E57" s="6">
        <v>15</v>
      </c>
      <c r="F57" s="6"/>
      <c r="G57" s="6">
        <v>15</v>
      </c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>
        <v>15</v>
      </c>
      <c r="AS57" s="4"/>
      <c r="AT57" s="4"/>
      <c r="AU57" s="4"/>
      <c r="AV57" s="4"/>
      <c r="AW57" s="2"/>
      <c r="AX57" s="2"/>
      <c r="AY57" s="2"/>
      <c r="AZ57" s="2"/>
      <c r="BA57" s="2"/>
      <c r="BB57" s="2">
        <v>15</v>
      </c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60</v>
      </c>
      <c r="BQ57" s="1">
        <v>16</v>
      </c>
      <c r="BR57" s="17">
        <v>2</v>
      </c>
      <c r="BS57" s="17" t="s">
        <v>263</v>
      </c>
      <c r="BT57" s="1" t="str">
        <f>IF(AQ57&gt;AQ$128, AQ57-AQ$128,"")</f>
        <v/>
      </c>
      <c r="BU57" s="1" t="str">
        <f>IF(AR57&gt;AR$128, AR57-AR$128,"")</f>
        <v/>
      </c>
      <c r="BV57" s="1" t="str">
        <f>IF(AS57&gt;AS$128, AS57-AS$128,"")</f>
        <v/>
      </c>
      <c r="BW57" s="1" t="str">
        <f>IF(AT57&gt;AT$128, AT57-AT$128,"")</f>
        <v/>
      </c>
      <c r="BX57" s="1" t="str">
        <f>IF(AU57&gt;AU$128, AU57-AU$128,"")</f>
        <v/>
      </c>
      <c r="BY57" s="1" t="str">
        <f>IF(AV57&gt;AV$128, AV57-AV$128,"")</f>
        <v/>
      </c>
      <c r="BZ57" s="1" t="str">
        <f>IF(AW57&gt;AW$128, AW57-AW$128,"")</f>
        <v/>
      </c>
      <c r="CA57" s="1" t="str">
        <f>IF(AX57&gt;AX$128, AX57-AX$128,"")</f>
        <v/>
      </c>
      <c r="CB57" s="1" t="str">
        <f>IF(AY57&gt;AY$128, AY57-AY$128,"")</f>
        <v/>
      </c>
      <c r="CC57" s="1" t="str">
        <f>IF(AZ57&gt;AZ$128, AZ57-AZ$128,"")</f>
        <v/>
      </c>
      <c r="CD57" s="1" t="str">
        <f>IF(BA57&gt;BA$128, BA57-BA$128,"")</f>
        <v/>
      </c>
      <c r="CE57" s="1" t="str">
        <f>IF(BB57&gt;BB$128, BB57-BB$128,"")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30</v>
      </c>
    </row>
    <row r="58" spans="1:97" ht="27" x14ac:dyDescent="0.15">
      <c r="A58" s="1"/>
      <c r="B58" s="1" t="s">
        <v>170</v>
      </c>
      <c r="C58" s="1" t="s">
        <v>115</v>
      </c>
      <c r="D58" s="1" t="s">
        <v>104</v>
      </c>
      <c r="E58" s="6">
        <v>15</v>
      </c>
      <c r="F58" s="6"/>
      <c r="G58" s="6">
        <v>15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15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15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16</v>
      </c>
      <c r="BR58" s="17">
        <v>2</v>
      </c>
      <c r="BS58" s="17" t="s">
        <v>264</v>
      </c>
      <c r="BT58" s="1" t="str">
        <f>IF(AQ58&gt;AQ$128, AQ58-AQ$128,"")</f>
        <v/>
      </c>
      <c r="BU58" s="1" t="str">
        <f>IF(AR58&gt;AR$128, AR58-AR$128,"")</f>
        <v/>
      </c>
      <c r="BV58" s="1" t="str">
        <f>IF(AS58&gt;AS$128, AS58-AS$128,"")</f>
        <v/>
      </c>
      <c r="BW58" s="1" t="str">
        <f>IF(AT58&gt;AT$128, AT58-AT$128,"")</f>
        <v/>
      </c>
      <c r="BX58" s="1" t="str">
        <f>IF(AU58&gt;AU$128, AU58-AU$128,"")</f>
        <v/>
      </c>
      <c r="BY58" s="1" t="str">
        <f>IF(AV58&gt;AV$128, AV58-AV$128,"")</f>
        <v/>
      </c>
      <c r="BZ58" s="1" t="str">
        <f>IF(AW58&gt;AW$128, AW58-AW$128,"")</f>
        <v/>
      </c>
      <c r="CA58" s="1" t="str">
        <f>IF(AX58&gt;AX$128, AX58-AX$128,"")</f>
        <v/>
      </c>
      <c r="CB58" s="1" t="str">
        <f>IF(AY58&gt;AY$128, AY58-AY$128,"")</f>
        <v/>
      </c>
      <c r="CC58" s="1" t="str">
        <f>IF(AZ58&gt;AZ$128, AZ58-AZ$128,"")</f>
        <v/>
      </c>
      <c r="CD58" s="1" t="str">
        <f>IF(BA58&gt;BA$128, BA58-BA$128,"")</f>
        <v/>
      </c>
      <c r="CE58" s="1" t="str">
        <f>IF(BB58&gt;BB$128, BB58-BB$128,"")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172</v>
      </c>
      <c r="C59" s="1" t="s">
        <v>115</v>
      </c>
      <c r="D59" s="1" t="s">
        <v>104</v>
      </c>
      <c r="E59" s="6">
        <v>15</v>
      </c>
      <c r="F59" s="6"/>
      <c r="G59" s="6">
        <v>15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>
        <v>15</v>
      </c>
      <c r="AS59" s="4"/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60</v>
      </c>
      <c r="BQ59" s="1">
        <v>16</v>
      </c>
      <c r="BR59" s="17">
        <v>2</v>
      </c>
      <c r="BS59" s="17" t="s">
        <v>263</v>
      </c>
      <c r="BT59" s="1" t="str">
        <f>IF(AQ59&gt;AQ$128, AQ59-AQ$128,"")</f>
        <v/>
      </c>
      <c r="BU59" s="1" t="str">
        <f>IF(AR59&gt;AR$128, AR59-AR$128,"")</f>
        <v/>
      </c>
      <c r="BV59" s="1" t="str">
        <f>IF(AS59&gt;AS$128, AS59-AS$128,"")</f>
        <v/>
      </c>
      <c r="BW59" s="1" t="str">
        <f>IF(AT59&gt;AT$128, AT59-AT$128,"")</f>
        <v/>
      </c>
      <c r="BX59" s="1" t="str">
        <f>IF(AU59&gt;AU$128, AU59-AU$128,"")</f>
        <v/>
      </c>
      <c r="BY59" s="1" t="str">
        <f>IF(AV59&gt;AV$128, AV59-AV$128,"")</f>
        <v/>
      </c>
      <c r="BZ59" s="1" t="str">
        <f>IF(AW59&gt;AW$128, AW59-AW$128,"")</f>
        <v/>
      </c>
      <c r="CA59" s="1" t="str">
        <f>IF(AX59&gt;AX$128, AX59-AX$128,"")</f>
        <v/>
      </c>
      <c r="CB59" s="1" t="str">
        <f>IF(AY59&gt;AY$128, AY59-AY$128,"")</f>
        <v/>
      </c>
      <c r="CC59" s="1" t="str">
        <f>IF(AZ59&gt;AZ$128, AZ59-AZ$128,"")</f>
        <v/>
      </c>
      <c r="CD59" s="1" t="str">
        <f>IF(BA59&gt;BA$128, BA59-BA$128,"")</f>
        <v/>
      </c>
      <c r="CE59" s="1" t="str">
        <f>IF(BB59&gt;BB$128, BB59-BB$128,"")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177</v>
      </c>
      <c r="C60" s="1" t="s">
        <v>143</v>
      </c>
      <c r="D60" s="1" t="s">
        <v>122</v>
      </c>
      <c r="E60" s="6"/>
      <c r="F60" s="6"/>
      <c r="G60" s="6"/>
      <c r="H60" s="6"/>
      <c r="I60" s="6"/>
      <c r="J60" s="6">
        <v>10</v>
      </c>
      <c r="K60" s="6"/>
      <c r="L60" s="6">
        <v>10</v>
      </c>
      <c r="M60" s="6">
        <v>10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>
        <v>15</v>
      </c>
      <c r="AZ60" s="2">
        <v>15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60</v>
      </c>
      <c r="BQ60" s="1">
        <v>18</v>
      </c>
      <c r="BR60" s="17">
        <v>2</v>
      </c>
      <c r="BS60" s="17" t="s">
        <v>269</v>
      </c>
      <c r="BT60" s="1" t="str">
        <f>IF(AQ60&gt;AQ$128, AQ60-AQ$128,"")</f>
        <v/>
      </c>
      <c r="BU60" s="1" t="str">
        <f>IF(AR60&gt;AR$128, AR60-AR$128,"")</f>
        <v/>
      </c>
      <c r="BV60" s="1" t="str">
        <f>IF(AS60&gt;AS$128, AS60-AS$128,"")</f>
        <v/>
      </c>
      <c r="BW60" s="1" t="str">
        <f>IF(AT60&gt;AT$128, AT60-AT$128,"")</f>
        <v/>
      </c>
      <c r="BX60" s="1" t="str">
        <f>IF(AU60&gt;AU$128, AU60-AU$128,"")</f>
        <v/>
      </c>
      <c r="BY60" s="1" t="str">
        <f>IF(AV60&gt;AV$128, AV60-AV$128,"")</f>
        <v/>
      </c>
      <c r="BZ60" s="1" t="str">
        <f>IF(AW60&gt;AW$128, AW60-AW$128,"")</f>
        <v/>
      </c>
      <c r="CA60" s="1" t="str">
        <f>IF(AX60&gt;AX$128, AX60-AX$128,"")</f>
        <v/>
      </c>
      <c r="CB60" s="1" t="str">
        <f>IF(AY60&gt;AY$128, AY60-AY$128,"")</f>
        <v/>
      </c>
      <c r="CC60" s="1" t="str">
        <f>IF(AZ60&gt;AZ$128, AZ60-AZ$128,"")</f>
        <v/>
      </c>
      <c r="CD60" s="1" t="str">
        <f>IF(BA60&gt;BA$128, BA60-BA$128,"")</f>
        <v/>
      </c>
      <c r="CE60" s="1" t="str">
        <f>IF(BB60&gt;BB$128, BB60-BB$128,"")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>
        <v>78</v>
      </c>
      <c r="B61" s="3" t="s">
        <v>66</v>
      </c>
      <c r="C61" s="3" t="s">
        <v>64</v>
      </c>
      <c r="D61" s="1" t="s">
        <v>1</v>
      </c>
      <c r="E61" s="6"/>
      <c r="F61" s="6"/>
      <c r="G61" s="6">
        <v>15</v>
      </c>
      <c r="H61" s="6">
        <v>15</v>
      </c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>
        <v>15</v>
      </c>
      <c r="BB61" s="2">
        <v>15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60</v>
      </c>
      <c r="BQ61" s="1">
        <v>21</v>
      </c>
      <c r="BR61" s="17">
        <v>2</v>
      </c>
      <c r="BS61" s="17" t="s">
        <v>267</v>
      </c>
      <c r="BT61" s="1" t="str">
        <f>IF(AQ61&gt;AQ$128, AQ61-AQ$128,"")</f>
        <v/>
      </c>
      <c r="BU61" s="1" t="str">
        <f>IF(AR61&gt;AR$128, AR61-AR$128,"")</f>
        <v/>
      </c>
      <c r="BV61" s="1" t="str">
        <f>IF(AS61&gt;AS$128, AS61-AS$128,"")</f>
        <v/>
      </c>
      <c r="BW61" s="1" t="str">
        <f>IF(AT61&gt;AT$128, AT61-AT$128,"")</f>
        <v/>
      </c>
      <c r="BX61" s="1" t="str">
        <f>IF(AU61&gt;AU$128, AU61-AU$128,"")</f>
        <v/>
      </c>
      <c r="BY61" s="1" t="str">
        <f>IF(AV61&gt;AV$128, AV61-AV$128,"")</f>
        <v/>
      </c>
      <c r="BZ61" s="1" t="str">
        <f>IF(AW61&gt;AW$128, AW61-AW$128,"")</f>
        <v/>
      </c>
      <c r="CA61" s="1" t="str">
        <f>IF(AX61&gt;AX$128, AX61-AX$128,"")</f>
        <v/>
      </c>
      <c r="CB61" s="1" t="str">
        <f>IF(AY61&gt;AY$128, AY61-AY$128,"")</f>
        <v/>
      </c>
      <c r="CC61" s="1" t="str">
        <f>IF(AZ61&gt;AZ$128, AZ61-AZ$128,"")</f>
        <v/>
      </c>
      <c r="CD61" s="1" t="str">
        <f>IF(BA61&gt;BA$128, BA61-BA$128,"")</f>
        <v/>
      </c>
      <c r="CE61" s="1" t="str">
        <f>IF(BB61&gt;BB$128, BB61-BB$128,"")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30</v>
      </c>
    </row>
    <row r="62" spans="1:97" ht="27" x14ac:dyDescent="0.15">
      <c r="A62" s="1"/>
      <c r="B62" s="1" t="s">
        <v>182</v>
      </c>
      <c r="C62" s="1" t="s">
        <v>118</v>
      </c>
      <c r="D62" s="1" t="s">
        <v>104</v>
      </c>
      <c r="E62" s="6"/>
      <c r="F62" s="6"/>
      <c r="G62" s="6">
        <v>15</v>
      </c>
      <c r="H62" s="6">
        <v>15</v>
      </c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15</v>
      </c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21</v>
      </c>
      <c r="BR62" s="17">
        <v>2</v>
      </c>
      <c r="BS62" s="17" t="s">
        <v>267</v>
      </c>
      <c r="BT62" s="1" t="str">
        <f>IF(AQ62&gt;AQ$128, AQ62-AQ$128,"")</f>
        <v/>
      </c>
      <c r="BU62" s="1" t="str">
        <f>IF(AR62&gt;AR$128, AR62-AR$128,"")</f>
        <v/>
      </c>
      <c r="BV62" s="1" t="str">
        <f>IF(AS62&gt;AS$128, AS62-AS$128,"")</f>
        <v/>
      </c>
      <c r="BW62" s="1" t="str">
        <f>IF(AT62&gt;AT$128, AT62-AT$128,"")</f>
        <v/>
      </c>
      <c r="BX62" s="1" t="str">
        <f>IF(AU62&gt;AU$128, AU62-AU$128,"")</f>
        <v/>
      </c>
      <c r="BY62" s="1" t="str">
        <f>IF(AV62&gt;AV$128, AV62-AV$128,"")</f>
        <v/>
      </c>
      <c r="BZ62" s="1" t="str">
        <f>IF(AW62&gt;AW$128, AW62-AW$128,"")</f>
        <v/>
      </c>
      <c r="CA62" s="1" t="str">
        <f>IF(AX62&gt;AX$128, AX62-AX$128,"")</f>
        <v/>
      </c>
      <c r="CB62" s="1" t="str">
        <f>IF(AY62&gt;AY$128, AY62-AY$128,"")</f>
        <v/>
      </c>
      <c r="CC62" s="1" t="str">
        <f>IF(AZ62&gt;AZ$128, AZ62-AZ$128,"")</f>
        <v/>
      </c>
      <c r="CD62" s="1" t="str">
        <f>IF(BA62&gt;BA$128, BA62-BA$128,"")</f>
        <v/>
      </c>
      <c r="CE62" s="1" t="str">
        <f>IF(BB62&gt;BB$128, BB62-BB$128,"")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>
        <v>14</v>
      </c>
      <c r="B63" s="1" t="s">
        <v>30</v>
      </c>
      <c r="C63" s="1" t="s">
        <v>31</v>
      </c>
      <c r="D63" s="1" t="s">
        <v>32</v>
      </c>
      <c r="E63" s="6"/>
      <c r="F63" s="6"/>
      <c r="G63" s="6">
        <v>15</v>
      </c>
      <c r="H63" s="6">
        <v>15</v>
      </c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15</v>
      </c>
      <c r="AT63" s="4"/>
      <c r="AU63" s="4"/>
      <c r="AV63" s="4"/>
      <c r="AW63" s="2"/>
      <c r="AX63" s="2"/>
      <c r="AY63" s="2"/>
      <c r="AZ63" s="2"/>
      <c r="BA63" s="2"/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24</v>
      </c>
      <c r="BR63" s="17">
        <v>2</v>
      </c>
      <c r="BS63" s="17" t="s">
        <v>268</v>
      </c>
      <c r="BT63" s="1" t="str">
        <f>IF(AQ63&gt;AQ$128, AQ63-AQ$128,"")</f>
        <v/>
      </c>
      <c r="BU63" s="1" t="str">
        <f>IF(AR63&gt;AR$128, AR63-AR$128,"")</f>
        <v/>
      </c>
      <c r="BV63" s="1" t="str">
        <f>IF(AS63&gt;AS$128, AS63-AS$128,"")</f>
        <v/>
      </c>
      <c r="BW63" s="1" t="str">
        <f>IF(AT63&gt;AT$128, AT63-AT$128,"")</f>
        <v/>
      </c>
      <c r="BX63" s="1" t="str">
        <f>IF(AU63&gt;AU$128, AU63-AU$128,"")</f>
        <v/>
      </c>
      <c r="BY63" s="1" t="str">
        <f>IF(AV63&gt;AV$128, AV63-AV$128,"")</f>
        <v/>
      </c>
      <c r="BZ63" s="1" t="str">
        <f>IF(AW63&gt;AW$128, AW63-AW$128,"")</f>
        <v/>
      </c>
      <c r="CA63" s="1" t="str">
        <f>IF(AX63&gt;AX$128, AX63-AX$128,"")</f>
        <v/>
      </c>
      <c r="CB63" s="1" t="str">
        <f>IF(AY63&gt;AY$128, AY63-AY$128,"")</f>
        <v/>
      </c>
      <c r="CC63" s="1" t="str">
        <f>IF(AZ63&gt;AZ$128, AZ63-AZ$128,"")</f>
        <v/>
      </c>
      <c r="CD63" s="1" t="str">
        <f>IF(BA63&gt;BA$128, BA63-BA$128,"")</f>
        <v/>
      </c>
      <c r="CE63" s="1" t="str">
        <f>IF(BB63&gt;BB$128, BB63-BB$128,"")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30</v>
      </c>
    </row>
    <row r="64" spans="1:97" ht="27" x14ac:dyDescent="0.15">
      <c r="A64" s="1"/>
      <c r="B64" s="1" t="s">
        <v>106</v>
      </c>
      <c r="C64" s="1" t="s">
        <v>107</v>
      </c>
      <c r="D64" s="1" t="s">
        <v>104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15</v>
      </c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24</v>
      </c>
      <c r="BR64" s="17">
        <v>2</v>
      </c>
      <c r="BS64" s="17" t="s">
        <v>268</v>
      </c>
      <c r="BT64" s="1" t="str">
        <f>IF(AQ64&gt;AQ$128, AQ64-AQ$128,"")</f>
        <v/>
      </c>
      <c r="BU64" s="1" t="str">
        <f>IF(AR64&gt;AR$128, AR64-AR$128,"")</f>
        <v/>
      </c>
      <c r="BV64" s="1" t="str">
        <f>IF(AS64&gt;AS$128, AS64-AS$128,"")</f>
        <v/>
      </c>
      <c r="BW64" s="1" t="str">
        <f>IF(AT64&gt;AT$128, AT64-AT$128,"")</f>
        <v/>
      </c>
      <c r="BX64" s="1" t="str">
        <f>IF(AU64&gt;AU$128, AU64-AU$128,"")</f>
        <v/>
      </c>
      <c r="BY64" s="1" t="str">
        <f>IF(AV64&gt;AV$128, AV64-AV$128,"")</f>
        <v/>
      </c>
      <c r="BZ64" s="1" t="str">
        <f>IF(AW64&gt;AW$128, AW64-AW$128,"")</f>
        <v/>
      </c>
      <c r="CA64" s="1" t="str">
        <f>IF(AX64&gt;AX$128, AX64-AX$128,"")</f>
        <v/>
      </c>
      <c r="CB64" s="1" t="str">
        <f>IF(AY64&gt;AY$128, AY64-AY$128,"")</f>
        <v/>
      </c>
      <c r="CC64" s="1" t="str">
        <f>IF(AZ64&gt;AZ$128, AZ64-AZ$128,"")</f>
        <v/>
      </c>
      <c r="CD64" s="1" t="str">
        <f>IF(BA64&gt;BA$128, BA64-BA$128,"")</f>
        <v/>
      </c>
      <c r="CE64" s="1" t="str">
        <f>IF(BB64&gt;BB$128, BB64-BB$128,"")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165</v>
      </c>
      <c r="C65" s="1" t="s">
        <v>119</v>
      </c>
      <c r="D65" s="1" t="s">
        <v>104</v>
      </c>
      <c r="E65" s="6"/>
      <c r="F65" s="6"/>
      <c r="G65" s="6"/>
      <c r="H65" s="6"/>
      <c r="I65" s="6"/>
      <c r="J65" s="6"/>
      <c r="K65" s="6"/>
      <c r="L65" s="6">
        <v>20</v>
      </c>
      <c r="M65" s="6"/>
      <c r="N65" s="6"/>
      <c r="O65" s="6">
        <v>20</v>
      </c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>
        <v>20</v>
      </c>
      <c r="BB65" s="2">
        <v>20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80</v>
      </c>
      <c r="BQ65" s="1">
        <v>25</v>
      </c>
      <c r="BR65" s="17">
        <v>2</v>
      </c>
      <c r="BS65" s="17" t="s">
        <v>270</v>
      </c>
      <c r="BT65" s="1" t="str">
        <f>IF(AQ65&gt;AQ$128, AQ65-AQ$128,"")</f>
        <v/>
      </c>
      <c r="BU65" s="1" t="str">
        <f>IF(AR65&gt;AR$128, AR65-AR$128,"")</f>
        <v/>
      </c>
      <c r="BV65" s="1" t="str">
        <f>IF(AS65&gt;AS$128, AS65-AS$128,"")</f>
        <v/>
      </c>
      <c r="BW65" s="1" t="str">
        <f>IF(AT65&gt;AT$128, AT65-AT$128,"")</f>
        <v/>
      </c>
      <c r="BX65" s="1" t="str">
        <f>IF(AU65&gt;AU$128, AU65-AU$128,"")</f>
        <v/>
      </c>
      <c r="BY65" s="1" t="str">
        <f>IF(AV65&gt;AV$128, AV65-AV$128,"")</f>
        <v/>
      </c>
      <c r="BZ65" s="1" t="str">
        <f>IF(AW65&gt;AW$128, AW65-AW$128,"")</f>
        <v/>
      </c>
      <c r="CA65" s="1" t="str">
        <f>IF(AX65&gt;AX$128, AX65-AX$128,"")</f>
        <v/>
      </c>
      <c r="CB65" s="1" t="str">
        <f>IF(AY65&gt;AY$128, AY65-AY$128,"")</f>
        <v/>
      </c>
      <c r="CC65" s="1" t="str">
        <f>IF(AZ65&gt;AZ$128, AZ65-AZ$128,"")</f>
        <v/>
      </c>
      <c r="CD65" s="1" t="str">
        <f>IF(BA65&gt;BA$128, BA65-BA$128,"")</f>
        <v/>
      </c>
      <c r="CE65" s="1" t="str">
        <f>IF(BB65&gt;BB$128, BB65-BB$128,"")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8">
        <v>93</v>
      </c>
      <c r="B66" s="24" t="s">
        <v>187</v>
      </c>
      <c r="C66" s="24" t="s">
        <v>80</v>
      </c>
      <c r="D66" s="18" t="s">
        <v>1</v>
      </c>
      <c r="E66" s="19"/>
      <c r="F66" s="19">
        <v>20</v>
      </c>
      <c r="G66" s="19"/>
      <c r="H66" s="19"/>
      <c r="I66" s="19"/>
      <c r="J66" s="19"/>
      <c r="K66" s="19">
        <v>20</v>
      </c>
      <c r="L66" s="19"/>
      <c r="M66" s="19"/>
      <c r="N66" s="19">
        <v>20</v>
      </c>
      <c r="O66" s="1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20"/>
      <c r="AR66" s="20"/>
      <c r="AS66" s="20"/>
      <c r="AT66" s="20"/>
      <c r="AU66" s="20"/>
      <c r="AV66" s="20"/>
      <c r="AW66" s="21"/>
      <c r="AX66" s="21"/>
      <c r="AY66" s="21"/>
      <c r="AZ66" s="21"/>
      <c r="BA66" s="21"/>
      <c r="BB66" s="21"/>
      <c r="BC66" s="26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">
        <f>SUM(E66:BO66)</f>
        <v>60</v>
      </c>
      <c r="BQ66" s="18">
        <v>28</v>
      </c>
      <c r="BR66" s="22">
        <v>2</v>
      </c>
      <c r="BS66" s="22" t="s">
        <v>222</v>
      </c>
      <c r="BT66" s="1" t="str">
        <f>IF(AQ66&gt;AQ$128, AQ66-AQ$128,"")</f>
        <v/>
      </c>
      <c r="BU66" s="1" t="str">
        <f>IF(AR66&gt;AR$128, AR66-AR$128,"")</f>
        <v/>
      </c>
      <c r="BV66" s="1" t="str">
        <f>IF(AS66&gt;AS$128, AS66-AS$128,"")</f>
        <v/>
      </c>
      <c r="BW66" s="1" t="str">
        <f>IF(AT66&gt;AT$128, AT66-AT$128,"")</f>
        <v/>
      </c>
      <c r="BX66" s="1" t="str">
        <f>IF(AU66&gt;AU$128, AU66-AU$128,"")</f>
        <v/>
      </c>
      <c r="BY66" s="1" t="str">
        <f>IF(AV66&gt;AV$128, AV66-AV$128,"")</f>
        <v/>
      </c>
      <c r="BZ66" s="1" t="str">
        <f>IF(AW66&gt;AW$128, AW66-AW$128,"")</f>
        <v/>
      </c>
      <c r="CA66" s="1" t="str">
        <f>IF(AX66&gt;AX$128, AX66-AX$128,"")</f>
        <v/>
      </c>
      <c r="CB66" s="1" t="str">
        <f>IF(AY66&gt;AY$128, AY66-AY$128,"")</f>
        <v/>
      </c>
      <c r="CC66" s="1" t="str">
        <f>IF(AZ66&gt;AZ$128, AZ66-AZ$128,"")</f>
        <v/>
      </c>
      <c r="CD66" s="1" t="str">
        <f>IF(BA66&gt;BA$128, BA66-BA$128,"")</f>
        <v/>
      </c>
      <c r="CE66" s="1" t="str">
        <f>IF(BB66&gt;BB$128, BB66-BB$128,"")</f>
        <v/>
      </c>
      <c r="CF66" s="18">
        <f>COUNTIF(BT66:CE66, "&gt;0")</f>
        <v>0</v>
      </c>
      <c r="CG66" s="18" t="str">
        <f>IF($CF66=1,BT66,"")</f>
        <v/>
      </c>
      <c r="CH66" s="18" t="str">
        <f>IF($CF66=1,BU66,"")</f>
        <v/>
      </c>
      <c r="CI66" s="18" t="str">
        <f>IF($CF66=1,BV66,"")</f>
        <v/>
      </c>
      <c r="CJ66" s="18" t="str">
        <f>IF($CF66=1,BW66,"")</f>
        <v/>
      </c>
      <c r="CK66" s="18" t="str">
        <f>IF($CF66=1,BX66,"")</f>
        <v/>
      </c>
      <c r="CL66" s="18" t="str">
        <f>IF($CF66=1,BY66,"")</f>
        <v/>
      </c>
      <c r="CM66" s="18" t="str">
        <f>IF($CF66=1,BZ66,"")</f>
        <v/>
      </c>
      <c r="CN66" s="18" t="str">
        <f>IF($CF66=1,CA66,"")</f>
        <v/>
      </c>
      <c r="CO66" s="18" t="str">
        <f>IF($CF66=1,CB66,"")</f>
        <v/>
      </c>
      <c r="CP66" s="18" t="str">
        <f>IF($CF66=1,CC66,"")</f>
        <v/>
      </c>
      <c r="CQ66" s="18" t="str">
        <f>IF($CF66=1,CD66,"")</f>
        <v/>
      </c>
      <c r="CR66" s="18" t="str">
        <f>IF($CF66=1,CE66,"")</f>
        <v/>
      </c>
      <c r="CS66" s="30">
        <f>SUM(AE66:BO66)</f>
        <v>0</v>
      </c>
    </row>
    <row r="67" spans="1:97" ht="27" x14ac:dyDescent="0.15">
      <c r="A67" s="1">
        <v>77</v>
      </c>
      <c r="B67" s="3" t="s">
        <v>164</v>
      </c>
      <c r="C67" s="3" t="s">
        <v>64</v>
      </c>
      <c r="D67" s="1" t="s">
        <v>13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20</v>
      </c>
      <c r="AU67" s="4"/>
      <c r="AV67" s="4"/>
      <c r="AW67" s="2">
        <v>20</v>
      </c>
      <c r="AX67" s="2">
        <v>20</v>
      </c>
      <c r="AY67" s="2"/>
      <c r="AZ67" s="2"/>
      <c r="BA67" s="2"/>
      <c r="BB67" s="2">
        <v>10</v>
      </c>
      <c r="BC67" s="14"/>
      <c r="BD67" s="1"/>
      <c r="BE67" s="1"/>
      <c r="BF67" s="1"/>
      <c r="BG67" s="1"/>
      <c r="BH67" s="1">
        <v>20</v>
      </c>
      <c r="BI67" s="1"/>
      <c r="BJ67" s="1"/>
      <c r="BK67" s="1"/>
      <c r="BL67" s="1"/>
      <c r="BM67" s="1"/>
      <c r="BN67" s="1"/>
      <c r="BO67" s="1"/>
      <c r="BP67" s="1">
        <f>SUM(E67:BO67)</f>
        <v>90</v>
      </c>
      <c r="BQ67" s="1">
        <v>38</v>
      </c>
      <c r="BR67" s="17">
        <v>2</v>
      </c>
      <c r="BS67" s="17" t="s">
        <v>271</v>
      </c>
      <c r="BT67" s="1" t="str">
        <f>IF(AQ67&gt;AQ$128, AQ67-AQ$128,"")</f>
        <v/>
      </c>
      <c r="BU67" s="1" t="str">
        <f>IF(AR67&gt;AR$128, AR67-AR$128,"")</f>
        <v/>
      </c>
      <c r="BV67" s="1" t="str">
        <f>IF(AS67&gt;AS$128, AS67-AS$128,"")</f>
        <v/>
      </c>
      <c r="BW67" s="1" t="str">
        <f>IF(AT67&gt;AT$128, AT67-AT$128,"")</f>
        <v/>
      </c>
      <c r="BX67" s="1" t="str">
        <f>IF(AU67&gt;AU$128, AU67-AU$128,"")</f>
        <v/>
      </c>
      <c r="BY67" s="1" t="str">
        <f>IF(AV67&gt;AV$128, AV67-AV$128,"")</f>
        <v/>
      </c>
      <c r="BZ67" s="1" t="str">
        <f>IF(AW67&gt;AW$128, AW67-AW$128,"")</f>
        <v/>
      </c>
      <c r="CA67" s="1" t="str">
        <f>IF(AX67&gt;AX$128, AX67-AX$128,"")</f>
        <v/>
      </c>
      <c r="CB67" s="1" t="str">
        <f>IF(AY67&gt;AY$128, AY67-AY$128,"")</f>
        <v/>
      </c>
      <c r="CC67" s="1" t="str">
        <f>IF(AZ67&gt;AZ$128, AZ67-AZ$128,"")</f>
        <v/>
      </c>
      <c r="CD67" s="1" t="str">
        <f>IF(BA67&gt;BA$128, BA67-BA$128,"")</f>
        <v/>
      </c>
      <c r="CE67" s="1" t="str">
        <f>IF(BB67&gt;BB$128, BB67-BB$128,"")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90</v>
      </c>
    </row>
    <row r="68" spans="1:97" ht="40.5" x14ac:dyDescent="0.15">
      <c r="A68" s="1"/>
      <c r="B68" s="1" t="s">
        <v>154</v>
      </c>
      <c r="C68" s="1" t="s">
        <v>150</v>
      </c>
      <c r="D68" s="1" t="s">
        <v>122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>
        <v>2</v>
      </c>
      <c r="V68" s="28"/>
      <c r="W68" s="28"/>
      <c r="X68" s="28"/>
      <c r="Y68" s="28"/>
      <c r="Z68" s="28"/>
      <c r="AA68" s="28">
        <v>2</v>
      </c>
      <c r="AB68" s="28"/>
      <c r="AC68" s="28">
        <v>5</v>
      </c>
      <c r="AD68" s="28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11</v>
      </c>
      <c r="BQ68" s="1">
        <v>6</v>
      </c>
      <c r="BR68" s="17">
        <v>3</v>
      </c>
      <c r="BS68" s="17" t="s">
        <v>272</v>
      </c>
      <c r="BT68" s="1" t="str">
        <f>IF(AQ68&gt;AQ$128, AQ68-AQ$128,"")</f>
        <v/>
      </c>
      <c r="BU68" s="1" t="str">
        <f>IF(AR68&gt;AR$128, AR68-AR$128,"")</f>
        <v/>
      </c>
      <c r="BV68" s="1" t="str">
        <f>IF(AS68&gt;AS$128, AS68-AS$128,"")</f>
        <v/>
      </c>
      <c r="BW68" s="1" t="str">
        <f>IF(AT68&gt;AT$128, AT68-AT$128,"")</f>
        <v/>
      </c>
      <c r="BX68" s="1" t="str">
        <f>IF(AU68&gt;AU$128, AU68-AU$128,"")</f>
        <v/>
      </c>
      <c r="BY68" s="1" t="str">
        <f>IF(AV68&gt;AV$128, AV68-AV$128,"")</f>
        <v/>
      </c>
      <c r="BZ68" s="1" t="str">
        <f>IF(AW68&gt;AW$128, AW68-AW$128,"")</f>
        <v/>
      </c>
      <c r="CA68" s="1" t="str">
        <f>IF(AX68&gt;AX$128, AX68-AX$128,"")</f>
        <v/>
      </c>
      <c r="CB68" s="1" t="str">
        <f>IF(AY68&gt;AY$128, AY68-AY$128,"")</f>
        <v/>
      </c>
      <c r="CC68" s="1" t="str">
        <f>IF(AZ68&gt;AZ$128, AZ68-AZ$128,"")</f>
        <v/>
      </c>
      <c r="CD68" s="1" t="str">
        <f>IF(BA68&gt;BA$128, BA68-BA$128,"")</f>
        <v/>
      </c>
      <c r="CE68" s="1" t="str">
        <f>IF(BB68&gt;BB$128, BB68-BB$128,"")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40.5" x14ac:dyDescent="0.15">
      <c r="A69" s="1"/>
      <c r="B69" s="1" t="s">
        <v>147</v>
      </c>
      <c r="C69" s="1" t="s">
        <v>148</v>
      </c>
      <c r="D69" s="1" t="s">
        <v>123</v>
      </c>
      <c r="E69" s="6"/>
      <c r="F69" s="6"/>
      <c r="G69" s="6"/>
      <c r="H69" s="6"/>
      <c r="I69" s="6"/>
      <c r="J69" s="6"/>
      <c r="K69" s="6"/>
      <c r="L69" s="6">
        <v>7</v>
      </c>
      <c r="M69" s="6"/>
      <c r="N69" s="6"/>
      <c r="O69" s="6"/>
      <c r="P69" s="28"/>
      <c r="Q69" s="28">
        <v>7</v>
      </c>
      <c r="R69" s="28"/>
      <c r="S69" s="28"/>
      <c r="T69" s="28">
        <v>7</v>
      </c>
      <c r="U69" s="28"/>
      <c r="V69" s="28"/>
      <c r="W69" s="28"/>
      <c r="X69" s="28">
        <v>7</v>
      </c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28</v>
      </c>
      <c r="BQ69" s="1">
        <v>9</v>
      </c>
      <c r="BR69" s="17">
        <v>3</v>
      </c>
      <c r="BS69" s="17" t="s">
        <v>216</v>
      </c>
      <c r="BT69" s="1" t="str">
        <f>IF(AQ69&gt;AQ$128, AQ69-AQ$128,"")</f>
        <v/>
      </c>
      <c r="BU69" s="1" t="str">
        <f>IF(AR69&gt;AR$128, AR69-AR$128,"")</f>
        <v/>
      </c>
      <c r="BV69" s="1" t="str">
        <f>IF(AS69&gt;AS$128, AS69-AS$128,"")</f>
        <v/>
      </c>
      <c r="BW69" s="1" t="str">
        <f>IF(AT69&gt;AT$128, AT69-AT$128,"")</f>
        <v/>
      </c>
      <c r="BX69" s="1" t="str">
        <f>IF(AU69&gt;AU$128, AU69-AU$128,"")</f>
        <v/>
      </c>
      <c r="BY69" s="1" t="str">
        <f>IF(AV69&gt;AV$128, AV69-AV$128,"")</f>
        <v/>
      </c>
      <c r="BZ69" s="1" t="str">
        <f>IF(AW69&gt;AW$128, AW69-AW$128,"")</f>
        <v/>
      </c>
      <c r="CA69" s="1" t="str">
        <f>IF(AX69&gt;AX$128, AX69-AX$128,"")</f>
        <v/>
      </c>
      <c r="CB69" s="1" t="str">
        <f>IF(AY69&gt;AY$128, AY69-AY$128,"")</f>
        <v/>
      </c>
      <c r="CC69" s="1" t="str">
        <f>IF(AZ69&gt;AZ$128, AZ69-AZ$128,"")</f>
        <v/>
      </c>
      <c r="CD69" s="1" t="str">
        <f>IF(BA69&gt;BA$128, BA69-BA$128,"")</f>
        <v/>
      </c>
      <c r="CE69" s="1" t="str">
        <f>IF(BB69&gt;BB$128, BB69-BB$128,"")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40.5" x14ac:dyDescent="0.15">
      <c r="A70" s="1"/>
      <c r="B70" s="1" t="s">
        <v>141</v>
      </c>
      <c r="C70" s="1" t="s">
        <v>139</v>
      </c>
      <c r="D70" s="1" t="s">
        <v>122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>
        <v>2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9</v>
      </c>
      <c r="BR70" s="17">
        <v>3</v>
      </c>
      <c r="BS70" s="17" t="s">
        <v>217</v>
      </c>
      <c r="BT70" s="1" t="str">
        <f>IF(AQ70&gt;AQ$128, AQ70-AQ$128,"")</f>
        <v/>
      </c>
      <c r="BU70" s="1" t="str">
        <f>IF(AR70&gt;AR$128, AR70-AR$128,"")</f>
        <v/>
      </c>
      <c r="BV70" s="1" t="str">
        <f>IF(AS70&gt;AS$128, AS70-AS$128,"")</f>
        <v/>
      </c>
      <c r="BW70" s="1" t="str">
        <f>IF(AT70&gt;AT$128, AT70-AT$128,"")</f>
        <v/>
      </c>
      <c r="BX70" s="1" t="str">
        <f>IF(AU70&gt;AU$128, AU70-AU$128,"")</f>
        <v/>
      </c>
      <c r="BY70" s="1" t="str">
        <f>IF(AV70&gt;AV$128, AV70-AV$128,"")</f>
        <v/>
      </c>
      <c r="BZ70" s="1" t="str">
        <f>IF(AW70&gt;AW$128, AW70-AW$128,"")</f>
        <v/>
      </c>
      <c r="CA70" s="1" t="str">
        <f>IF(AX70&gt;AX$128, AX70-AX$128,"")</f>
        <v/>
      </c>
      <c r="CB70" s="1" t="str">
        <f>IF(AY70&gt;AY$128, AY70-AY$128,"")</f>
        <v/>
      </c>
      <c r="CC70" s="1" t="str">
        <f>IF(AZ70&gt;AZ$128, AZ70-AZ$128,"")</f>
        <v/>
      </c>
      <c r="CD70" s="1" t="str">
        <f>IF(BA70&gt;BA$128, BA70-BA$128,"")</f>
        <v/>
      </c>
      <c r="CE70" s="1" t="str">
        <f>IF(BB70&gt;BB$128, BB70-BB$128,"")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40.5" x14ac:dyDescent="0.15">
      <c r="A71" s="1"/>
      <c r="B71" s="1" t="s">
        <v>151</v>
      </c>
      <c r="C71" s="1" t="s">
        <v>150</v>
      </c>
      <c r="D71" s="1" t="s">
        <v>122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/>
      <c r="Y71" s="28"/>
      <c r="Z71" s="28">
        <v>5</v>
      </c>
      <c r="AA71" s="28">
        <v>2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9</v>
      </c>
      <c r="BR71" s="17">
        <v>3</v>
      </c>
      <c r="BS71" s="17" t="s">
        <v>273</v>
      </c>
      <c r="BT71" s="1" t="str">
        <f>IF(AQ71&gt;AQ$128, AQ71-AQ$128,"")</f>
        <v/>
      </c>
      <c r="BU71" s="1" t="str">
        <f>IF(AR71&gt;AR$128, AR71-AR$128,"")</f>
        <v/>
      </c>
      <c r="BV71" s="1" t="str">
        <f>IF(AS71&gt;AS$128, AS71-AS$128,"")</f>
        <v/>
      </c>
      <c r="BW71" s="1" t="str">
        <f>IF(AT71&gt;AT$128, AT71-AT$128,"")</f>
        <v/>
      </c>
      <c r="BX71" s="1" t="str">
        <f>IF(AU71&gt;AU$128, AU71-AU$128,"")</f>
        <v/>
      </c>
      <c r="BY71" s="1" t="str">
        <f>IF(AV71&gt;AV$128, AV71-AV$128,"")</f>
        <v/>
      </c>
      <c r="BZ71" s="1" t="str">
        <f>IF(AW71&gt;AW$128, AW71-AW$128,"")</f>
        <v/>
      </c>
      <c r="CA71" s="1" t="str">
        <f>IF(AX71&gt;AX$128, AX71-AX$128,"")</f>
        <v/>
      </c>
      <c r="CB71" s="1" t="str">
        <f>IF(AY71&gt;AY$128, AY71-AY$128,"")</f>
        <v/>
      </c>
      <c r="CC71" s="1" t="str">
        <f>IF(AZ71&gt;AZ$128, AZ71-AZ$128,"")</f>
        <v/>
      </c>
      <c r="CD71" s="1" t="str">
        <f>IF(BA71&gt;BA$128, BA71-BA$128,"")</f>
        <v/>
      </c>
      <c r="CE71" s="1" t="str">
        <f>IF(BB71&gt;BB$128, BB71-BB$128,"")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40.5" x14ac:dyDescent="0.15">
      <c r="A72" s="1"/>
      <c r="B72" s="1" t="s">
        <v>157</v>
      </c>
      <c r="C72" s="1" t="s">
        <v>118</v>
      </c>
      <c r="D72" s="1" t="s">
        <v>159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9</v>
      </c>
      <c r="BR72" s="17">
        <v>3</v>
      </c>
      <c r="BS72" s="17" t="s">
        <v>217</v>
      </c>
      <c r="BT72" s="1" t="str">
        <f>IF(AQ72&gt;AQ$128, AQ72-AQ$128,"")</f>
        <v/>
      </c>
      <c r="BU72" s="1" t="str">
        <f>IF(AR72&gt;AR$128, AR72-AR$128,"")</f>
        <v/>
      </c>
      <c r="BV72" s="1" t="str">
        <f>IF(AS72&gt;AS$128, AS72-AS$128,"")</f>
        <v/>
      </c>
      <c r="BW72" s="1" t="str">
        <f>IF(AT72&gt;AT$128, AT72-AT$128,"")</f>
        <v/>
      </c>
      <c r="BX72" s="1" t="str">
        <f>IF(AU72&gt;AU$128, AU72-AU$128,"")</f>
        <v/>
      </c>
      <c r="BY72" s="1" t="str">
        <f>IF(AV72&gt;AV$128, AV72-AV$128,"")</f>
        <v/>
      </c>
      <c r="BZ72" s="1" t="str">
        <f>IF(AW72&gt;AW$128, AW72-AW$128,"")</f>
        <v/>
      </c>
      <c r="CA72" s="1" t="str">
        <f>IF(AX72&gt;AX$128, AX72-AX$128,"")</f>
        <v/>
      </c>
      <c r="CB72" s="1" t="str">
        <f>IF(AY72&gt;AY$128, AY72-AY$128,"")</f>
        <v/>
      </c>
      <c r="CC72" s="1" t="str">
        <f>IF(AZ72&gt;AZ$128, AZ72-AZ$128,"")</f>
        <v/>
      </c>
      <c r="CD72" s="1" t="str">
        <f>IF(BA72&gt;BA$128, BA72-BA$128,"")</f>
        <v/>
      </c>
      <c r="CE72" s="1" t="str">
        <f>IF(BB72&gt;BB$128, BB72-BB$128,"")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154</v>
      </c>
      <c r="C73" s="1" t="s">
        <v>150</v>
      </c>
      <c r="D73" s="1" t="s">
        <v>121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>
        <v>5</v>
      </c>
      <c r="X73" s="28"/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20</v>
      </c>
      <c r="BQ73" s="1">
        <v>11</v>
      </c>
      <c r="BR73" s="17">
        <v>3</v>
      </c>
      <c r="BS73" s="17" t="s">
        <v>223</v>
      </c>
      <c r="BT73" s="1" t="str">
        <f>IF(AQ73&gt;AQ$128, AQ73-AQ$128,"")</f>
        <v/>
      </c>
      <c r="BU73" s="1" t="str">
        <f>IF(AR73&gt;AR$128, AR73-AR$128,"")</f>
        <v/>
      </c>
      <c r="BV73" s="1" t="str">
        <f>IF(AS73&gt;AS$128, AS73-AS$128,"")</f>
        <v/>
      </c>
      <c r="BW73" s="1" t="str">
        <f>IF(AT73&gt;AT$128, AT73-AT$128,"")</f>
        <v/>
      </c>
      <c r="BX73" s="1" t="str">
        <f>IF(AU73&gt;AU$128, AU73-AU$128,"")</f>
        <v/>
      </c>
      <c r="BY73" s="1" t="str">
        <f>IF(AV73&gt;AV$128, AV73-AV$128,"")</f>
        <v/>
      </c>
      <c r="BZ73" s="1" t="str">
        <f>IF(AW73&gt;AW$128, AW73-AW$128,"")</f>
        <v/>
      </c>
      <c r="CA73" s="1" t="str">
        <f>IF(AX73&gt;AX$128, AX73-AX$128,"")</f>
        <v/>
      </c>
      <c r="CB73" s="1" t="str">
        <f>IF(AY73&gt;AY$128, AY73-AY$128,"")</f>
        <v/>
      </c>
      <c r="CC73" s="1" t="str">
        <f>IF(AZ73&gt;AZ$128, AZ73-AZ$128,"")</f>
        <v/>
      </c>
      <c r="CD73" s="1" t="str">
        <f>IF(BA73&gt;BA$128, BA73-BA$128,"")</f>
        <v/>
      </c>
      <c r="CE73" s="1" t="str">
        <f>IF(BB73&gt;BB$128, BB73-BB$128,"")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155</v>
      </c>
      <c r="C74" s="1" t="s">
        <v>150</v>
      </c>
      <c r="D74" s="1" t="s">
        <v>123</v>
      </c>
      <c r="E74" s="6"/>
      <c r="F74" s="6"/>
      <c r="G74" s="6">
        <v>5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>
        <v>5</v>
      </c>
      <c r="W74" s="28"/>
      <c r="X74" s="28"/>
      <c r="Y74" s="28">
        <v>5</v>
      </c>
      <c r="Z74" s="28"/>
      <c r="AA74" s="28"/>
      <c r="AB74" s="28"/>
      <c r="AC74" s="28">
        <v>5</v>
      </c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20</v>
      </c>
      <c r="BQ74" s="1">
        <v>11</v>
      </c>
      <c r="BR74" s="17">
        <v>3</v>
      </c>
      <c r="BS74" s="17" t="s">
        <v>274</v>
      </c>
      <c r="BT74" s="1" t="str">
        <f>IF(AQ74&gt;AQ$128, AQ74-AQ$128,"")</f>
        <v/>
      </c>
      <c r="BU74" s="1" t="str">
        <f>IF(AR74&gt;AR$128, AR74-AR$128,"")</f>
        <v/>
      </c>
      <c r="BV74" s="1" t="str">
        <f>IF(AS74&gt;AS$128, AS74-AS$128,"")</f>
        <v/>
      </c>
      <c r="BW74" s="1" t="str">
        <f>IF(AT74&gt;AT$128, AT74-AT$128,"")</f>
        <v/>
      </c>
      <c r="BX74" s="1" t="str">
        <f>IF(AU74&gt;AU$128, AU74-AU$128,"")</f>
        <v/>
      </c>
      <c r="BY74" s="1" t="str">
        <f>IF(AV74&gt;AV$128, AV74-AV$128,"")</f>
        <v/>
      </c>
      <c r="BZ74" s="1" t="str">
        <f>IF(AW74&gt;AW$128, AW74-AW$128,"")</f>
        <v/>
      </c>
      <c r="CA74" s="1" t="str">
        <f>IF(AX74&gt;AX$128, AX74-AX$128,"")</f>
        <v/>
      </c>
      <c r="CB74" s="1" t="str">
        <f>IF(AY74&gt;AY$128, AY74-AY$128,"")</f>
        <v/>
      </c>
      <c r="CC74" s="1" t="str">
        <f>IF(AZ74&gt;AZ$128, AZ74-AZ$128,"")</f>
        <v/>
      </c>
      <c r="CD74" s="1" t="str">
        <f>IF(BA74&gt;BA$128, BA74-BA$128,"")</f>
        <v/>
      </c>
      <c r="CE74" s="1" t="str">
        <f>IF(BB74&gt;BB$128, BB74-BB$128,"")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145</v>
      </c>
      <c r="C75" s="1" t="s">
        <v>143</v>
      </c>
      <c r="D75" s="1" t="s">
        <v>123</v>
      </c>
      <c r="E75" s="6"/>
      <c r="F75" s="6"/>
      <c r="G75" s="6"/>
      <c r="H75" s="6"/>
      <c r="I75" s="6">
        <v>7</v>
      </c>
      <c r="J75" s="6"/>
      <c r="K75" s="6"/>
      <c r="L75" s="6"/>
      <c r="M75" s="6"/>
      <c r="N75" s="6"/>
      <c r="O75" s="6"/>
      <c r="P75" s="28"/>
      <c r="Q75" s="28">
        <v>7</v>
      </c>
      <c r="R75" s="28">
        <v>7</v>
      </c>
      <c r="S75" s="28"/>
      <c r="T75" s="28">
        <v>7</v>
      </c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28</v>
      </c>
      <c r="BQ75" s="1">
        <v>13</v>
      </c>
      <c r="BR75" s="17">
        <v>3</v>
      </c>
      <c r="BS75" s="17" t="s">
        <v>276</v>
      </c>
      <c r="BT75" s="1" t="str">
        <f>IF(AQ75&gt;AQ$128, AQ75-AQ$128,"")</f>
        <v/>
      </c>
      <c r="BU75" s="1" t="str">
        <f>IF(AR75&gt;AR$128, AR75-AR$128,"")</f>
        <v/>
      </c>
      <c r="BV75" s="1" t="str">
        <f>IF(AS75&gt;AS$128, AS75-AS$128,"")</f>
        <v/>
      </c>
      <c r="BW75" s="1" t="str">
        <f>IF(AT75&gt;AT$128, AT75-AT$128,"")</f>
        <v/>
      </c>
      <c r="BX75" s="1" t="str">
        <f>IF(AU75&gt;AU$128, AU75-AU$128,"")</f>
        <v/>
      </c>
      <c r="BY75" s="1" t="str">
        <f>IF(AV75&gt;AV$128, AV75-AV$128,"")</f>
        <v/>
      </c>
      <c r="BZ75" s="1" t="str">
        <f>IF(AW75&gt;AW$128, AW75-AW$128,"")</f>
        <v/>
      </c>
      <c r="CA75" s="1" t="str">
        <f>IF(AX75&gt;AX$128, AX75-AX$128,"")</f>
        <v/>
      </c>
      <c r="CB75" s="1" t="str">
        <f>IF(AY75&gt;AY$128, AY75-AY$128,"")</f>
        <v/>
      </c>
      <c r="CC75" s="1" t="str">
        <f>IF(AZ75&gt;AZ$128, AZ75-AZ$128,"")</f>
        <v/>
      </c>
      <c r="CD75" s="1" t="str">
        <f>IF(BA75&gt;BA$128, BA75-BA$128,"")</f>
        <v/>
      </c>
      <c r="CE75" s="1" t="str">
        <f>IF(BB75&gt;BB$128, BB75-BB$128,"")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>
        <v>28</v>
      </c>
      <c r="B76" s="1" t="s">
        <v>74</v>
      </c>
      <c r="C76" s="1" t="s">
        <v>31</v>
      </c>
      <c r="D76" s="1" t="s">
        <v>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>
        <v>5</v>
      </c>
      <c r="AI76" s="1">
        <v>5</v>
      </c>
      <c r="AJ76" s="1">
        <v>5</v>
      </c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15</v>
      </c>
      <c r="BQ76" s="1">
        <v>15</v>
      </c>
      <c r="BR76" s="17">
        <v>3</v>
      </c>
      <c r="BS76" s="17" t="s">
        <v>278</v>
      </c>
      <c r="BT76" s="1" t="str">
        <f>IF(AQ76&gt;AQ$128, AQ76-AQ$128,"")</f>
        <v/>
      </c>
      <c r="BU76" s="1" t="str">
        <f>IF(AR76&gt;AR$128, AR76-AR$128,"")</f>
        <v/>
      </c>
      <c r="BV76" s="1" t="str">
        <f>IF(AS76&gt;AS$128, AS76-AS$128,"")</f>
        <v/>
      </c>
      <c r="BW76" s="1" t="str">
        <f>IF(AT76&gt;AT$128, AT76-AT$128,"")</f>
        <v/>
      </c>
      <c r="BX76" s="1" t="str">
        <f>IF(AU76&gt;AU$128, AU76-AU$128,"")</f>
        <v/>
      </c>
      <c r="BY76" s="1" t="str">
        <f>IF(AV76&gt;AV$128, AV76-AV$128,"")</f>
        <v/>
      </c>
      <c r="BZ76" s="1" t="str">
        <f>IF(AW76&gt;AW$128, AW76-AW$128,"")</f>
        <v/>
      </c>
      <c r="CA76" s="1" t="str">
        <f>IF(AX76&gt;AX$128, AX76-AX$128,"")</f>
        <v/>
      </c>
      <c r="CB76" s="1" t="str">
        <f>IF(AY76&gt;AY$128, AY76-AY$128,"")</f>
        <v/>
      </c>
      <c r="CC76" s="1" t="str">
        <f>IF(AZ76&gt;AZ$128, AZ76-AZ$128,"")</f>
        <v/>
      </c>
      <c r="CD76" s="1" t="str">
        <f>IF(BA76&gt;BA$128, BA76-BA$128,"")</f>
        <v/>
      </c>
      <c r="CE76" s="1" t="str">
        <f>IF(BB76&gt;BB$128, BB76-BB$128,"")</f>
        <v/>
      </c>
      <c r="CF76" s="1">
        <f>COUNTIF(BT76:CE76, "&gt;0")</f>
        <v>0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 t="str">
        <f>IF($CF76=1,CD76,"")</f>
        <v/>
      </c>
      <c r="CR76" s="1" t="str">
        <f>IF($CF76=1,CE76,"")</f>
        <v/>
      </c>
      <c r="CS76" s="3">
        <f>SUM(AE76:BO76)</f>
        <v>15</v>
      </c>
    </row>
    <row r="77" spans="1:97" ht="40.5" x14ac:dyDescent="0.15">
      <c r="A77" s="1">
        <v>89</v>
      </c>
      <c r="B77" s="3" t="s">
        <v>79</v>
      </c>
      <c r="C77" s="3" t="s">
        <v>80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>
        <v>5</v>
      </c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15</v>
      </c>
      <c r="BQ77" s="1">
        <v>15</v>
      </c>
      <c r="BR77" s="17">
        <v>3</v>
      </c>
      <c r="BS77" s="17" t="s">
        <v>279</v>
      </c>
      <c r="BT77" s="1" t="str">
        <f>IF(AQ77&gt;AQ$128, AQ77-AQ$128,"")</f>
        <v/>
      </c>
      <c r="BU77" s="1" t="str">
        <f>IF(AR77&gt;AR$128, AR77-AR$128,"")</f>
        <v/>
      </c>
      <c r="BV77" s="1" t="str">
        <f>IF(AS77&gt;AS$128, AS77-AS$128,"")</f>
        <v/>
      </c>
      <c r="BW77" s="1" t="str">
        <f>IF(AT77&gt;AT$128, AT77-AT$128,"")</f>
        <v/>
      </c>
      <c r="BX77" s="1" t="str">
        <f>IF(AU77&gt;AU$128, AU77-AU$128,"")</f>
        <v/>
      </c>
      <c r="BY77" s="1" t="str">
        <f>IF(AV77&gt;AV$128, AV77-AV$128,"")</f>
        <v/>
      </c>
      <c r="BZ77" s="1" t="str">
        <f>IF(AW77&gt;AW$128, AW77-AW$128,"")</f>
        <v/>
      </c>
      <c r="CA77" s="1" t="str">
        <f>IF(AX77&gt;AX$128, AX77-AX$128,"")</f>
        <v/>
      </c>
      <c r="CB77" s="1" t="str">
        <f>IF(AY77&gt;AY$128, AY77-AY$128,"")</f>
        <v/>
      </c>
      <c r="CC77" s="1" t="str">
        <f>IF(AZ77&gt;AZ$128, AZ77-AZ$128,"")</f>
        <v/>
      </c>
      <c r="CD77" s="1" t="str">
        <f>IF(BA77&gt;BA$128, BA77-BA$128,"")</f>
        <v/>
      </c>
      <c r="CE77" s="1" t="str">
        <f>IF(BB77&gt;BB$128, BB77-BB$128,"")</f>
        <v/>
      </c>
      <c r="CF77" s="1">
        <f>COUNTIF(BT77:CE77, "&gt;0")</f>
        <v>0</v>
      </c>
      <c r="CG77" s="1" t="str">
        <f>IF($CF77=1,BT77,"")</f>
        <v/>
      </c>
      <c r="CH77" s="1" t="str">
        <f>IF($CF77=1,BU77,"")</f>
        <v/>
      </c>
      <c r="CI77" s="1" t="str">
        <f>IF($CF77=1,BV77,"")</f>
        <v/>
      </c>
      <c r="CJ77" s="1" t="str">
        <f>IF($CF77=1,BW77,"")</f>
        <v/>
      </c>
      <c r="CK77" s="1" t="str">
        <f>IF($CF77=1,BX77,"")</f>
        <v/>
      </c>
      <c r="CL77" s="1" t="str">
        <f>IF($CF77=1,BY77,"")</f>
        <v/>
      </c>
      <c r="CM77" s="1" t="str">
        <f>IF($CF77=1,BZ77,"")</f>
        <v/>
      </c>
      <c r="CN77" s="1" t="str">
        <f>IF($CF77=1,CA77,"")</f>
        <v/>
      </c>
      <c r="CO77" s="1" t="str">
        <f>IF($CF77=1,CB77,"")</f>
        <v/>
      </c>
      <c r="CP77" s="1" t="str">
        <f>IF($CF77=1,CC77,"")</f>
        <v/>
      </c>
      <c r="CQ77" s="1" t="str">
        <f>IF($CF77=1,CD77,"")</f>
        <v/>
      </c>
      <c r="CR77" s="1" t="str">
        <f>IF($CF77=1,CE77,"")</f>
        <v/>
      </c>
      <c r="CS77" s="3">
        <f>SUM(AE77:BO77)</f>
        <v>15</v>
      </c>
    </row>
    <row r="78" spans="1:97" ht="40.5" x14ac:dyDescent="0.15">
      <c r="A78" s="1"/>
      <c r="B78" s="1" t="s">
        <v>210</v>
      </c>
      <c r="C78" s="1" t="s">
        <v>118</v>
      </c>
      <c r="D78" s="1" t="s">
        <v>105</v>
      </c>
      <c r="E78" s="6"/>
      <c r="F78" s="6">
        <v>6</v>
      </c>
      <c r="G78" s="6"/>
      <c r="H78" s="6"/>
      <c r="I78" s="6"/>
      <c r="J78" s="6"/>
      <c r="K78" s="6"/>
      <c r="L78" s="6"/>
      <c r="M78" s="6"/>
      <c r="N78" s="6"/>
      <c r="O78" s="6">
        <v>6</v>
      </c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>
        <v>10</v>
      </c>
      <c r="AU78" s="4"/>
      <c r="AV78" s="4"/>
      <c r="AW78" s="2"/>
      <c r="AX78" s="2"/>
      <c r="AY78" s="2">
        <v>10</v>
      </c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32</v>
      </c>
      <c r="BQ78" s="1">
        <v>15</v>
      </c>
      <c r="BR78" s="17">
        <v>3</v>
      </c>
      <c r="BS78" s="17" t="s">
        <v>280</v>
      </c>
      <c r="BT78" s="1" t="str">
        <f>IF(AQ78&gt;AQ$128, AQ78-AQ$128,"")</f>
        <v/>
      </c>
      <c r="BU78" s="1" t="str">
        <f>IF(AR78&gt;AR$128, AR78-AR$128,"")</f>
        <v/>
      </c>
      <c r="BV78" s="1" t="str">
        <f>IF(AS78&gt;AS$128, AS78-AS$128,"")</f>
        <v/>
      </c>
      <c r="BW78" s="1" t="str">
        <f>IF(AT78&gt;AT$128, AT78-AT$128,"")</f>
        <v/>
      </c>
      <c r="BX78" s="1" t="str">
        <f>IF(AU78&gt;AU$128, AU78-AU$128,"")</f>
        <v/>
      </c>
      <c r="BY78" s="1" t="str">
        <f>IF(AV78&gt;AV$128, AV78-AV$128,"")</f>
        <v/>
      </c>
      <c r="BZ78" s="1" t="str">
        <f>IF(AW78&gt;AW$128, AW78-AW$128,"")</f>
        <v/>
      </c>
      <c r="CA78" s="1" t="str">
        <f>IF(AX78&gt;AX$128, AX78-AX$128,"")</f>
        <v/>
      </c>
      <c r="CB78" s="1" t="str">
        <f>IF(AY78&gt;AY$128, AY78-AY$128,"")</f>
        <v/>
      </c>
      <c r="CC78" s="1" t="str">
        <f>IF(AZ78&gt;AZ$128, AZ78-AZ$128,"")</f>
        <v/>
      </c>
      <c r="CD78" s="1" t="str">
        <f>IF(BA78&gt;BA$128, BA78-BA$128,"")</f>
        <v/>
      </c>
      <c r="CE78" s="1" t="str">
        <f>IF(BB78&gt;BB$128, BB78-BB$128,"")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151</v>
      </c>
      <c r="C79" s="1" t="s">
        <v>150</v>
      </c>
      <c r="D79" s="1" t="s">
        <v>123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>
        <v>10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16</v>
      </c>
      <c r="BR79" s="17">
        <v>3</v>
      </c>
      <c r="BS79" s="17" t="s">
        <v>224</v>
      </c>
      <c r="BT79" s="1" t="str">
        <f>IF(AQ79&gt;AQ$128, AQ79-AQ$128,"")</f>
        <v/>
      </c>
      <c r="BU79" s="1" t="str">
        <f>IF(AR79&gt;AR$128, AR79-AR$128,"")</f>
        <v/>
      </c>
      <c r="BV79" s="1" t="str">
        <f>IF(AS79&gt;AS$128, AS79-AS$128,"")</f>
        <v/>
      </c>
      <c r="BW79" s="1" t="str">
        <f>IF(AT79&gt;AT$128, AT79-AT$128,"")</f>
        <v/>
      </c>
      <c r="BX79" s="1" t="str">
        <f>IF(AU79&gt;AU$128, AU79-AU$128,"")</f>
        <v/>
      </c>
      <c r="BY79" s="1" t="str">
        <f>IF(AV79&gt;AV$128, AV79-AV$128,"")</f>
        <v/>
      </c>
      <c r="BZ79" s="1" t="str">
        <f>IF(AW79&gt;AW$128, AW79-AW$128,"")</f>
        <v/>
      </c>
      <c r="CA79" s="1" t="str">
        <f>IF(AX79&gt;AX$128, AX79-AX$128,"")</f>
        <v/>
      </c>
      <c r="CB79" s="1" t="str">
        <f>IF(AY79&gt;AY$128, AY79-AY$128,"")</f>
        <v/>
      </c>
      <c r="CC79" s="1" t="str">
        <f>IF(AZ79&gt;AZ$128, AZ79-AZ$128,"")</f>
        <v/>
      </c>
      <c r="CD79" s="1" t="str">
        <f>IF(BA79&gt;BA$128, BA79-BA$128,"")</f>
        <v/>
      </c>
      <c r="CE79" s="1" t="str">
        <f>IF(BB79&gt;BB$128, BB79-BB$128,"")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157</v>
      </c>
      <c r="C80" s="1" t="s">
        <v>118</v>
      </c>
      <c r="D80" s="1" t="s">
        <v>160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16</v>
      </c>
      <c r="BR80" s="17">
        <v>3</v>
      </c>
      <c r="BS80" s="17" t="s">
        <v>224</v>
      </c>
      <c r="BT80" s="1" t="str">
        <f>IF(AQ80&gt;AQ$128, AQ80-AQ$128,"")</f>
        <v/>
      </c>
      <c r="BU80" s="1" t="str">
        <f>IF(AR80&gt;AR$128, AR80-AR$128,"")</f>
        <v/>
      </c>
      <c r="BV80" s="1" t="str">
        <f>IF(AS80&gt;AS$128, AS80-AS$128,"")</f>
        <v/>
      </c>
      <c r="BW80" s="1" t="str">
        <f>IF(AT80&gt;AT$128, AT80-AT$128,"")</f>
        <v/>
      </c>
      <c r="BX80" s="1" t="str">
        <f>IF(AU80&gt;AU$128, AU80-AU$128,"")</f>
        <v/>
      </c>
      <c r="BY80" s="1" t="str">
        <f>IF(AV80&gt;AV$128, AV80-AV$128,"")</f>
        <v/>
      </c>
      <c r="BZ80" s="1" t="str">
        <f>IF(AW80&gt;AW$128, AW80-AW$128,"")</f>
        <v/>
      </c>
      <c r="CA80" s="1" t="str">
        <f>IF(AX80&gt;AX$128, AX80-AX$128,"")</f>
        <v/>
      </c>
      <c r="CB80" s="1" t="str">
        <f>IF(AY80&gt;AY$128, AY80-AY$128,"")</f>
        <v/>
      </c>
      <c r="CC80" s="1" t="str">
        <f>IF(AZ80&gt;AZ$128, AZ80-AZ$128,"")</f>
        <v/>
      </c>
      <c r="CD80" s="1" t="str">
        <f>IF(BA80&gt;BA$128, BA80-BA$128,"")</f>
        <v/>
      </c>
      <c r="CE80" s="1" t="str">
        <f>IF(BB80&gt;BB$128, BB80-BB$128,"")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184</v>
      </c>
      <c r="C81" s="1" t="s">
        <v>118</v>
      </c>
      <c r="D81" s="1" t="s">
        <v>105</v>
      </c>
      <c r="E81" s="6"/>
      <c r="F81" s="6"/>
      <c r="G81" s="6"/>
      <c r="H81" s="6">
        <v>10</v>
      </c>
      <c r="I81" s="6"/>
      <c r="J81" s="6">
        <v>10</v>
      </c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>
        <v>10</v>
      </c>
      <c r="AU81" s="4"/>
      <c r="AV81" s="4"/>
      <c r="AW81" s="2"/>
      <c r="AX81" s="2"/>
      <c r="AY81" s="2">
        <v>10</v>
      </c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17</v>
      </c>
      <c r="BR81" s="17">
        <v>3</v>
      </c>
      <c r="BS81" s="17" t="s">
        <v>275</v>
      </c>
      <c r="BT81" s="1" t="str">
        <f>IF(AQ81&gt;AQ$128, AQ81-AQ$128,"")</f>
        <v/>
      </c>
      <c r="BU81" s="1" t="str">
        <f>IF(AR81&gt;AR$128, AR81-AR$128,"")</f>
        <v/>
      </c>
      <c r="BV81" s="1" t="str">
        <f>IF(AS81&gt;AS$128, AS81-AS$128,"")</f>
        <v/>
      </c>
      <c r="BW81" s="1" t="str">
        <f>IF(AT81&gt;AT$128, AT81-AT$128,"")</f>
        <v/>
      </c>
      <c r="BX81" s="1" t="str">
        <f>IF(AU81&gt;AU$128, AU81-AU$128,"")</f>
        <v/>
      </c>
      <c r="BY81" s="1" t="str">
        <f>IF(AV81&gt;AV$128, AV81-AV$128,"")</f>
        <v/>
      </c>
      <c r="BZ81" s="1" t="str">
        <f>IF(AW81&gt;AW$128, AW81-AW$128,"")</f>
        <v/>
      </c>
      <c r="CA81" s="1" t="str">
        <f>IF(AX81&gt;AX$128, AX81-AX$128,"")</f>
        <v/>
      </c>
      <c r="CB81" s="1" t="str">
        <f>IF(AY81&gt;AY$128, AY81-AY$128,"")</f>
        <v/>
      </c>
      <c r="CC81" s="1" t="str">
        <f>IF(AZ81&gt;AZ$128, AZ81-AZ$128,"")</f>
        <v/>
      </c>
      <c r="CD81" s="1" t="str">
        <f>IF(BA81&gt;BA$128, BA81-BA$128,"")</f>
        <v/>
      </c>
      <c r="CE81" s="1" t="str">
        <f>IF(BB81&gt;BB$128, BB81-BB$128,"")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163</v>
      </c>
      <c r="C82" s="1" t="s">
        <v>120</v>
      </c>
      <c r="D82" s="1" t="s">
        <v>123</v>
      </c>
      <c r="E82" s="6"/>
      <c r="F82" s="6"/>
      <c r="G82" s="6"/>
      <c r="H82" s="6"/>
      <c r="I82" s="6">
        <v>10</v>
      </c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>
        <v>10</v>
      </c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20</v>
      </c>
      <c r="BR82" s="17">
        <v>3</v>
      </c>
      <c r="BS82" s="17" t="s">
        <v>285</v>
      </c>
      <c r="BT82" s="1" t="str">
        <f>IF(AQ82&gt;AQ$128, AQ82-AQ$128,"")</f>
        <v/>
      </c>
      <c r="BU82" s="1" t="str">
        <f>IF(AR82&gt;AR$128, AR82-AR$128,"")</f>
        <v/>
      </c>
      <c r="BV82" s="1" t="str">
        <f>IF(AS82&gt;AS$128, AS82-AS$128,"")</f>
        <v/>
      </c>
      <c r="BW82" s="1" t="str">
        <f>IF(AT82&gt;AT$128, AT82-AT$128,"")</f>
        <v/>
      </c>
      <c r="BX82" s="1" t="str">
        <f>IF(AU82&gt;AU$128, AU82-AU$128,"")</f>
        <v/>
      </c>
      <c r="BY82" s="1" t="str">
        <f>IF(AV82&gt;AV$128, AV82-AV$128,"")</f>
        <v/>
      </c>
      <c r="BZ82" s="1" t="str">
        <f>IF(AW82&gt;AW$128, AW82-AW$128,"")</f>
        <v/>
      </c>
      <c r="CA82" s="1" t="str">
        <f>IF(AX82&gt;AX$128, AX82-AX$128,"")</f>
        <v/>
      </c>
      <c r="CB82" s="1" t="str">
        <f>IF(AY82&gt;AY$128, AY82-AY$128,"")</f>
        <v/>
      </c>
      <c r="CC82" s="1" t="str">
        <f>IF(AZ82&gt;AZ$128, AZ82-AZ$128,"")</f>
        <v/>
      </c>
      <c r="CD82" s="1" t="str">
        <f>IF(BA82&gt;BA$128, BA82-BA$128,"")</f>
        <v/>
      </c>
      <c r="CE82" s="1" t="str">
        <f>IF(BB82&gt;BB$128, BB82-BB$128,"")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183</v>
      </c>
      <c r="C83" s="1" t="s">
        <v>103</v>
      </c>
      <c r="D83" s="1" t="s">
        <v>105</v>
      </c>
      <c r="E83" s="6"/>
      <c r="F83" s="6"/>
      <c r="G83" s="6"/>
      <c r="H83" s="6">
        <v>6</v>
      </c>
      <c r="I83" s="6"/>
      <c r="J83" s="6"/>
      <c r="K83" s="6">
        <v>6</v>
      </c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>
        <v>10</v>
      </c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32</v>
      </c>
      <c r="BQ83" s="1">
        <v>21</v>
      </c>
      <c r="BR83" s="17">
        <v>3</v>
      </c>
      <c r="BS83" s="17" t="s">
        <v>255</v>
      </c>
      <c r="BT83" s="1" t="str">
        <f>IF(AQ83&gt;AQ$128, AQ83-AQ$128,"")</f>
        <v/>
      </c>
      <c r="BU83" s="1" t="str">
        <f>IF(AR83&gt;AR$128, AR83-AR$128,"")</f>
        <v/>
      </c>
      <c r="BV83" s="1" t="str">
        <f>IF(AS83&gt;AS$128, AS83-AS$128,"")</f>
        <v/>
      </c>
      <c r="BW83" s="1" t="str">
        <f>IF(AT83&gt;AT$128, AT83-AT$128,"")</f>
        <v/>
      </c>
      <c r="BX83" s="1" t="str">
        <f>IF(AU83&gt;AU$128, AU83-AU$128,"")</f>
        <v/>
      </c>
      <c r="BY83" s="1" t="str">
        <f>IF(AV83&gt;AV$128, AV83-AV$128,"")</f>
        <v/>
      </c>
      <c r="BZ83" s="1" t="str">
        <f>IF(AW83&gt;AW$128, AW83-AW$128,"")</f>
        <v/>
      </c>
      <c r="CA83" s="1" t="str">
        <f>IF(AX83&gt;AX$128, AX83-AX$128,"")</f>
        <v/>
      </c>
      <c r="CB83" s="1" t="str">
        <f>IF(AY83&gt;AY$128, AY83-AY$128,"")</f>
        <v/>
      </c>
      <c r="CC83" s="1" t="str">
        <f>IF(AZ83&gt;AZ$128, AZ83-AZ$128,"")</f>
        <v/>
      </c>
      <c r="CD83" s="1" t="str">
        <f>IF(BA83&gt;BA$128, BA83-BA$128,"")</f>
        <v/>
      </c>
      <c r="CE83" s="1" t="str">
        <f>IF(BB83&gt;BB$128, BB83-BB$128,"")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110</v>
      </c>
      <c r="C84" s="1" t="s">
        <v>107</v>
      </c>
      <c r="D84" s="1" t="s">
        <v>105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>
        <v>10</v>
      </c>
      <c r="AP84" s="1">
        <v>10</v>
      </c>
      <c r="AQ84" s="4"/>
      <c r="AR84" s="4"/>
      <c r="AS84" s="4">
        <v>5</v>
      </c>
      <c r="AT84" s="4"/>
      <c r="AU84" s="4"/>
      <c r="AV84" s="4"/>
      <c r="AW84" s="2"/>
      <c r="AX84" s="2">
        <v>5</v>
      </c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30</v>
      </c>
      <c r="BQ84" s="1">
        <v>22</v>
      </c>
      <c r="BR84" s="17">
        <v>3</v>
      </c>
      <c r="BS84" s="17" t="s">
        <v>286</v>
      </c>
      <c r="BT84" s="1" t="str">
        <f>IF(AQ84&gt;AQ$128, AQ84-AQ$128,"")</f>
        <v/>
      </c>
      <c r="BU84" s="1" t="str">
        <f>IF(AR84&gt;AR$128, AR84-AR$128,"")</f>
        <v/>
      </c>
      <c r="BV84" s="1" t="str">
        <f>IF(AS84&gt;AS$128, AS84-AS$128,"")</f>
        <v/>
      </c>
      <c r="BW84" s="1" t="str">
        <f>IF(AT84&gt;AT$128, AT84-AT$128,"")</f>
        <v/>
      </c>
      <c r="BX84" s="1" t="str">
        <f>IF(AU84&gt;AU$128, AU84-AU$128,"")</f>
        <v/>
      </c>
      <c r="BY84" s="1" t="str">
        <f>IF(AV84&gt;AV$128, AV84-AV$128,"")</f>
        <v/>
      </c>
      <c r="BZ84" s="1" t="str">
        <f>IF(AW84&gt;AW$128, AW84-AW$128,"")</f>
        <v/>
      </c>
      <c r="CA84" s="1" t="str">
        <f>IF(AX84&gt;AX$128, AX84-AX$128,"")</f>
        <v/>
      </c>
      <c r="CB84" s="1" t="str">
        <f>IF(AY84&gt;AY$128, AY84-AY$128,"")</f>
        <v/>
      </c>
      <c r="CC84" s="1" t="str">
        <f>IF(AZ84&gt;AZ$128, AZ84-AZ$128,"")</f>
        <v/>
      </c>
      <c r="CD84" s="1" t="str">
        <f>IF(BA84&gt;BA$128, BA84-BA$128,"")</f>
        <v/>
      </c>
      <c r="CE84" s="1" t="str">
        <f>IF(BB84&gt;BB$128, BB84-BB$128,"")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146</v>
      </c>
      <c r="C85" s="1" t="s">
        <v>148</v>
      </c>
      <c r="D85" s="1" t="s">
        <v>123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27</v>
      </c>
      <c r="BR85" s="17">
        <v>3</v>
      </c>
      <c r="BS85" s="17" t="s">
        <v>225</v>
      </c>
      <c r="BT85" s="1" t="str">
        <f>IF(AQ85&gt;AQ$128, AQ85-AQ$128,"")</f>
        <v/>
      </c>
      <c r="BU85" s="1" t="str">
        <f>IF(AR85&gt;AR$128, AR85-AR$128,"")</f>
        <v/>
      </c>
      <c r="BV85" s="1" t="str">
        <f>IF(AS85&gt;AS$128, AS85-AS$128,"")</f>
        <v/>
      </c>
      <c r="BW85" s="1" t="str">
        <f>IF(AT85&gt;AT$128, AT85-AT$128,"")</f>
        <v/>
      </c>
      <c r="BX85" s="1" t="str">
        <f>IF(AU85&gt;AU$128, AU85-AU$128,"")</f>
        <v/>
      </c>
      <c r="BY85" s="1" t="str">
        <f>IF(AV85&gt;AV$128, AV85-AV$128,"")</f>
        <v/>
      </c>
      <c r="BZ85" s="1" t="str">
        <f>IF(AW85&gt;AW$128, AW85-AW$128,"")</f>
        <v/>
      </c>
      <c r="CA85" s="1" t="str">
        <f>IF(AX85&gt;AX$128, AX85-AX$128,"")</f>
        <v/>
      </c>
      <c r="CB85" s="1" t="str">
        <f>IF(AY85&gt;AY$128, AY85-AY$128,"")</f>
        <v/>
      </c>
      <c r="CC85" s="1" t="str">
        <f>IF(AZ85&gt;AZ$128, AZ85-AZ$128,"")</f>
        <v/>
      </c>
      <c r="CD85" s="1" t="str">
        <f>IF(BA85&gt;BA$128, BA85-BA$128,"")</f>
        <v/>
      </c>
      <c r="CE85" s="1" t="str">
        <f>IF(BB85&gt;BB$128, BB85-BB$128,"")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156</v>
      </c>
      <c r="C86" s="1" t="s">
        <v>150</v>
      </c>
      <c r="D86" s="1" t="s">
        <v>123</v>
      </c>
      <c r="E86" s="6"/>
      <c r="F86" s="6"/>
      <c r="G86" s="6"/>
      <c r="H86" s="6"/>
      <c r="I86" s="6"/>
      <c r="J86" s="6">
        <v>10</v>
      </c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>
        <v>10</v>
      </c>
      <c r="V86" s="28"/>
      <c r="W86" s="28"/>
      <c r="X86" s="28"/>
      <c r="Y86" s="28"/>
      <c r="Z86" s="28"/>
      <c r="AA86" s="28">
        <v>10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27</v>
      </c>
      <c r="BR86" s="17">
        <v>3</v>
      </c>
      <c r="BS86" s="17" t="s">
        <v>225</v>
      </c>
      <c r="BT86" s="1" t="str">
        <f>IF(AQ86&gt;AQ$128, AQ86-AQ$128,"")</f>
        <v/>
      </c>
      <c r="BU86" s="1" t="str">
        <f>IF(AR86&gt;AR$128, AR86-AR$128,"")</f>
        <v/>
      </c>
      <c r="BV86" s="1" t="str">
        <f>IF(AS86&gt;AS$128, AS86-AS$128,"")</f>
        <v/>
      </c>
      <c r="BW86" s="1" t="str">
        <f>IF(AT86&gt;AT$128, AT86-AT$128,"")</f>
        <v/>
      </c>
      <c r="BX86" s="1" t="str">
        <f>IF(AU86&gt;AU$128, AU86-AU$128,"")</f>
        <v/>
      </c>
      <c r="BY86" s="1" t="str">
        <f>IF(AV86&gt;AV$128, AV86-AV$128,"")</f>
        <v/>
      </c>
      <c r="BZ86" s="1" t="str">
        <f>IF(AW86&gt;AW$128, AW86-AW$128,"")</f>
        <v/>
      </c>
      <c r="CA86" s="1" t="str">
        <f>IF(AX86&gt;AX$128, AX86-AX$128,"")</f>
        <v/>
      </c>
      <c r="CB86" s="1" t="str">
        <f>IF(AY86&gt;AY$128, AY86-AY$128,"")</f>
        <v/>
      </c>
      <c r="CC86" s="1" t="str">
        <f>IF(AZ86&gt;AZ$128, AZ86-AZ$128,"")</f>
        <v/>
      </c>
      <c r="CD86" s="1" t="str">
        <f>IF(BA86&gt;BA$128, BA86-BA$128,"")</f>
        <v/>
      </c>
      <c r="CE86" s="1" t="str">
        <f>IF(BB86&gt;BB$128, BB86-BB$128,"")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178</v>
      </c>
      <c r="C87" s="1" t="s">
        <v>143</v>
      </c>
      <c r="D87" s="1" t="s">
        <v>122</v>
      </c>
      <c r="E87" s="6">
        <v>15</v>
      </c>
      <c r="F87" s="6"/>
      <c r="G87" s="6"/>
      <c r="H87" s="6"/>
      <c r="I87" s="6"/>
      <c r="J87" s="6"/>
      <c r="K87" s="6"/>
      <c r="L87" s="6"/>
      <c r="M87" s="6">
        <v>15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>
        <v>15</v>
      </c>
      <c r="AX87" s="2"/>
      <c r="AY87" s="2"/>
      <c r="AZ87" s="2"/>
      <c r="BA87" s="2">
        <v>15</v>
      </c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60</v>
      </c>
      <c r="BQ87" s="1">
        <v>31</v>
      </c>
      <c r="BR87" s="17">
        <v>3</v>
      </c>
      <c r="BS87" s="17" t="s">
        <v>287</v>
      </c>
      <c r="BT87" s="1" t="str">
        <f>IF(AQ87&gt;AQ$128, AQ87-AQ$128,"")</f>
        <v/>
      </c>
      <c r="BU87" s="1" t="str">
        <f>IF(AR87&gt;AR$128, AR87-AR$128,"")</f>
        <v/>
      </c>
      <c r="BV87" s="1" t="str">
        <f>IF(AS87&gt;AS$128, AS87-AS$128,"")</f>
        <v/>
      </c>
      <c r="BW87" s="1" t="str">
        <f>IF(AT87&gt;AT$128, AT87-AT$128,"")</f>
        <v/>
      </c>
      <c r="BX87" s="1" t="str">
        <f>IF(AU87&gt;AU$128, AU87-AU$128,"")</f>
        <v/>
      </c>
      <c r="BY87" s="1" t="str">
        <f>IF(AV87&gt;AV$128, AV87-AV$128,"")</f>
        <v/>
      </c>
      <c r="BZ87" s="1" t="str">
        <f>IF(AW87&gt;AW$128, AW87-AW$128,"")</f>
        <v/>
      </c>
      <c r="CA87" s="1" t="str">
        <f>IF(AX87&gt;AX$128, AX87-AX$128,"")</f>
        <v/>
      </c>
      <c r="CB87" s="1" t="str">
        <f>IF(AY87&gt;AY$128, AY87-AY$128,"")</f>
        <v/>
      </c>
      <c r="CC87" s="1" t="str">
        <f>IF(AZ87&gt;AZ$128, AZ87-AZ$128,"")</f>
        <v/>
      </c>
      <c r="CD87" s="1" t="str">
        <f>IF(BA87&gt;BA$128, BA87-BA$128,"")</f>
        <v/>
      </c>
      <c r="CE87" s="1" t="str">
        <f>IF(BB87&gt;BB$128, BB87-BB$128,"")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181</v>
      </c>
      <c r="C88" s="1" t="s">
        <v>118</v>
      </c>
      <c r="D88" s="1" t="s">
        <v>104</v>
      </c>
      <c r="E88" s="6"/>
      <c r="F88" s="6"/>
      <c r="G88" s="6">
        <v>20</v>
      </c>
      <c r="H88" s="6">
        <v>20</v>
      </c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>
        <v>20</v>
      </c>
      <c r="BB88" s="2">
        <v>20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80</v>
      </c>
      <c r="BQ88" s="1">
        <v>35</v>
      </c>
      <c r="BR88" s="17">
        <v>3</v>
      </c>
      <c r="BS88" s="17" t="s">
        <v>288</v>
      </c>
      <c r="BT88" s="1" t="str">
        <f>IF(AQ88&gt;AQ$128, AQ88-AQ$128,"")</f>
        <v/>
      </c>
      <c r="BU88" s="1" t="str">
        <f>IF(AR88&gt;AR$128, AR88-AR$128,"")</f>
        <v/>
      </c>
      <c r="BV88" s="1" t="str">
        <f>IF(AS88&gt;AS$128, AS88-AS$128,"")</f>
        <v/>
      </c>
      <c r="BW88" s="1" t="str">
        <f>IF(AT88&gt;AT$128, AT88-AT$128,"")</f>
        <v/>
      </c>
      <c r="BX88" s="1" t="str">
        <f>IF(AU88&gt;AU$128, AU88-AU$128,"")</f>
        <v/>
      </c>
      <c r="BY88" s="1" t="str">
        <f>IF(AV88&gt;AV$128, AV88-AV$128,"")</f>
        <v/>
      </c>
      <c r="BZ88" s="1" t="str">
        <f>IF(AW88&gt;AW$128, AW88-AW$128,"")</f>
        <v/>
      </c>
      <c r="CA88" s="1" t="str">
        <f>IF(AX88&gt;AX$128, AX88-AX$128,"")</f>
        <v/>
      </c>
      <c r="CB88" s="1" t="str">
        <f>IF(AY88&gt;AY$128, AY88-AY$128,"")</f>
        <v/>
      </c>
      <c r="CC88" s="1" t="str">
        <f>IF(AZ88&gt;AZ$128, AZ88-AZ$128,"")</f>
        <v/>
      </c>
      <c r="CD88" s="1" t="str">
        <f>IF(BA88&gt;BA$128, BA88-BA$128,"")</f>
        <v/>
      </c>
      <c r="CE88" s="1" t="str">
        <f>IF(BB88&gt;BB$128, BB88-BB$128,"")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>
        <v>65</v>
      </c>
      <c r="B89" s="3" t="s">
        <v>61</v>
      </c>
      <c r="C89" s="1" t="s">
        <v>56</v>
      </c>
      <c r="D89" s="1" t="s">
        <v>13</v>
      </c>
      <c r="E89" s="6"/>
      <c r="F89" s="6"/>
      <c r="G89" s="6">
        <v>10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>
        <v>25</v>
      </c>
      <c r="AO89" s="1"/>
      <c r="AP89" s="1"/>
      <c r="AQ89" s="4"/>
      <c r="AR89" s="4"/>
      <c r="AS89" s="4"/>
      <c r="AT89" s="4"/>
      <c r="AU89" s="4"/>
      <c r="AV89" s="4">
        <v>10</v>
      </c>
      <c r="AW89" s="2"/>
      <c r="AX89" s="2"/>
      <c r="AY89" s="2"/>
      <c r="AZ89" s="2">
        <v>10</v>
      </c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55</v>
      </c>
      <c r="BQ89" s="1">
        <v>37</v>
      </c>
      <c r="BR89" s="17">
        <v>3</v>
      </c>
      <c r="BS89" s="17" t="s">
        <v>289</v>
      </c>
      <c r="BT89" s="1" t="str">
        <f>IF(AQ89&gt;AQ$128, AQ89-AQ$128,"")</f>
        <v/>
      </c>
      <c r="BU89" s="1" t="str">
        <f>IF(AR89&gt;AR$128, AR89-AR$128,"")</f>
        <v/>
      </c>
      <c r="BV89" s="1" t="str">
        <f>IF(AS89&gt;AS$128, AS89-AS$128,"")</f>
        <v/>
      </c>
      <c r="BW89" s="1" t="str">
        <f>IF(AT89&gt;AT$128, AT89-AT$128,"")</f>
        <v/>
      </c>
      <c r="BX89" s="1" t="str">
        <f>IF(AU89&gt;AU$128, AU89-AU$128,"")</f>
        <v/>
      </c>
      <c r="BY89" s="1" t="str">
        <f>IF(AV89&gt;AV$128, AV89-AV$128,"")</f>
        <v/>
      </c>
      <c r="BZ89" s="1" t="str">
        <f>IF(AW89&gt;AW$128, AW89-AW$128,"")</f>
        <v/>
      </c>
      <c r="CA89" s="1" t="str">
        <f>IF(AX89&gt;AX$128, AX89-AX$128,"")</f>
        <v/>
      </c>
      <c r="CB89" s="1" t="str">
        <f>IF(AY89&gt;AY$128, AY89-AY$128,"")</f>
        <v/>
      </c>
      <c r="CC89" s="1" t="str">
        <f>IF(AZ89&gt;AZ$128, AZ89-AZ$128,"")</f>
        <v/>
      </c>
      <c r="CD89" s="1" t="str">
        <f>IF(BA89&gt;BA$128, BA89-BA$128,"")</f>
        <v/>
      </c>
      <c r="CE89" s="1" t="str">
        <f>IF(BB89&gt;BB$128, BB89-BB$128,"")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3">
        <f>SUM(AE89:BO89)</f>
        <v>45</v>
      </c>
    </row>
    <row r="90" spans="1:97" ht="40.5" x14ac:dyDescent="0.15">
      <c r="A90" s="1"/>
      <c r="B90" s="1" t="s">
        <v>106</v>
      </c>
      <c r="C90" s="1" t="s">
        <v>107</v>
      </c>
      <c r="D90" s="1" t="s">
        <v>108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>
        <v>40</v>
      </c>
      <c r="AW90" s="2">
        <v>40</v>
      </c>
      <c r="AX90" s="2"/>
      <c r="AY90" s="2"/>
      <c r="AZ90" s="2"/>
      <c r="BA90" s="2"/>
      <c r="BB90" s="2">
        <v>40</v>
      </c>
      <c r="BC90" s="14">
        <v>10</v>
      </c>
      <c r="BD90" s="1">
        <v>50</v>
      </c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180</v>
      </c>
      <c r="BQ90" s="1">
        <v>77</v>
      </c>
      <c r="BR90" s="17">
        <v>3</v>
      </c>
      <c r="BS90" s="17" t="s">
        <v>290</v>
      </c>
      <c r="BT90" s="1" t="str">
        <f>IF(AQ90&gt;AQ$128, AQ90-AQ$128,"")</f>
        <v/>
      </c>
      <c r="BU90" s="1" t="str">
        <f>IF(AR90&gt;AR$128, AR90-AR$128,"")</f>
        <v/>
      </c>
      <c r="BV90" s="1" t="str">
        <f>IF(AS90&gt;AS$128, AS90-AS$128,"")</f>
        <v/>
      </c>
      <c r="BW90" s="1" t="str">
        <f>IF(AT90&gt;AT$128, AT90-AT$128,"")</f>
        <v/>
      </c>
      <c r="BX90" s="1" t="str">
        <f>IF(AU90&gt;AU$128, AU90-AU$128,"")</f>
        <v/>
      </c>
      <c r="BY90" s="1" t="str">
        <f>IF(AV90&gt;AV$128, AV90-AV$128,"")</f>
        <v/>
      </c>
      <c r="BZ90" s="1" t="str">
        <f>IF(AW90&gt;AW$128, AW90-AW$128,"")</f>
        <v/>
      </c>
      <c r="CA90" s="1" t="str">
        <f>IF(AX90&gt;AX$128, AX90-AX$128,"")</f>
        <v/>
      </c>
      <c r="CB90" s="1" t="str">
        <f>IF(AY90&gt;AY$128, AY90-AY$128,"")</f>
        <v/>
      </c>
      <c r="CC90" s="1" t="str">
        <f>IF(AZ90&gt;AZ$128, AZ90-AZ$128,"")</f>
        <v/>
      </c>
      <c r="CD90" s="1" t="str">
        <f>IF(BA90&gt;BA$128, BA90-BA$128,"")</f>
        <v/>
      </c>
      <c r="CE90" s="1" t="str">
        <f>IF(BB90&gt;BB$128, BB90-BB$128,"")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54" x14ac:dyDescent="0.15">
      <c r="A91" s="1"/>
      <c r="B91" s="1" t="s">
        <v>141</v>
      </c>
      <c r="C91" s="1" t="s">
        <v>139</v>
      </c>
      <c r="D91" s="1" t="s">
        <v>123</v>
      </c>
      <c r="E91" s="6"/>
      <c r="F91" s="6"/>
      <c r="G91" s="6"/>
      <c r="H91" s="6">
        <v>7</v>
      </c>
      <c r="I91" s="6"/>
      <c r="J91" s="6"/>
      <c r="K91" s="6"/>
      <c r="L91" s="6"/>
      <c r="M91" s="6"/>
      <c r="N91" s="6"/>
      <c r="O91" s="6"/>
      <c r="P91" s="28"/>
      <c r="Q91" s="28">
        <v>7</v>
      </c>
      <c r="R91" s="28"/>
      <c r="S91" s="28"/>
      <c r="T91" s="28">
        <v>7</v>
      </c>
      <c r="U91" s="28"/>
      <c r="V91" s="28"/>
      <c r="W91" s="28"/>
      <c r="X91" s="28"/>
      <c r="Y91" s="28"/>
      <c r="Z91" s="28"/>
      <c r="AA91" s="28">
        <v>7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28</v>
      </c>
      <c r="BQ91" s="1">
        <v>18</v>
      </c>
      <c r="BR91" s="17">
        <v>4</v>
      </c>
      <c r="BS91" s="17" t="s">
        <v>277</v>
      </c>
      <c r="BT91" s="1" t="str">
        <f>IF(AQ91&gt;AQ$128, AQ91-AQ$128,"")</f>
        <v/>
      </c>
      <c r="BU91" s="1" t="str">
        <f>IF(AR91&gt;AR$128, AR91-AR$128,"")</f>
        <v/>
      </c>
      <c r="BV91" s="1" t="str">
        <f>IF(AS91&gt;AS$128, AS91-AS$128,"")</f>
        <v/>
      </c>
      <c r="BW91" s="1" t="str">
        <f>IF(AT91&gt;AT$128, AT91-AT$128,"")</f>
        <v/>
      </c>
      <c r="BX91" s="1" t="str">
        <f>IF(AU91&gt;AU$128, AU91-AU$128,"")</f>
        <v/>
      </c>
      <c r="BY91" s="1" t="str">
        <f>IF(AV91&gt;AV$128, AV91-AV$128,"")</f>
        <v/>
      </c>
      <c r="BZ91" s="1" t="str">
        <f>IF(AW91&gt;AW$128, AW91-AW$128,"")</f>
        <v/>
      </c>
      <c r="CA91" s="1" t="str">
        <f>IF(AX91&gt;AX$128, AX91-AX$128,"")</f>
        <v/>
      </c>
      <c r="CB91" s="1" t="str">
        <f>IF(AY91&gt;AY$128, AY91-AY$128,"")</f>
        <v/>
      </c>
      <c r="CC91" s="1" t="str">
        <f>IF(AZ91&gt;AZ$128, AZ91-AZ$128,"")</f>
        <v/>
      </c>
      <c r="CD91" s="1" t="str">
        <f>IF(BA91&gt;BA$128, BA91-BA$128,"")</f>
        <v/>
      </c>
      <c r="CE91" s="1" t="str">
        <f>IF(BB91&gt;BB$128, BB91-BB$128,"")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54" x14ac:dyDescent="0.15">
      <c r="A92" s="1"/>
      <c r="B92" s="1" t="s">
        <v>152</v>
      </c>
      <c r="C92" s="1" t="s">
        <v>150</v>
      </c>
      <c r="D92" s="1" t="s">
        <v>122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>
        <v>5</v>
      </c>
      <c r="R92" s="28"/>
      <c r="S92" s="28"/>
      <c r="T92" s="28"/>
      <c r="U92" s="28"/>
      <c r="V92" s="28">
        <v>10</v>
      </c>
      <c r="W92" s="28"/>
      <c r="X92" s="28"/>
      <c r="Y92" s="28"/>
      <c r="Z92" s="28">
        <v>5</v>
      </c>
      <c r="AA92" s="28"/>
      <c r="AB92" s="28">
        <v>10</v>
      </c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18</v>
      </c>
      <c r="BR92" s="17">
        <v>4</v>
      </c>
      <c r="BS92" s="17" t="s">
        <v>291</v>
      </c>
      <c r="BT92" s="1" t="str">
        <f>IF(AQ92&gt;AQ$128, AQ92-AQ$128,"")</f>
        <v/>
      </c>
      <c r="BU92" s="1" t="str">
        <f>IF(AR92&gt;AR$128, AR92-AR$128,"")</f>
        <v/>
      </c>
      <c r="BV92" s="1" t="str">
        <f>IF(AS92&gt;AS$128, AS92-AS$128,"")</f>
        <v/>
      </c>
      <c r="BW92" s="1" t="str">
        <f>IF(AT92&gt;AT$128, AT92-AT$128,"")</f>
        <v/>
      </c>
      <c r="BX92" s="1" t="str">
        <f>IF(AU92&gt;AU$128, AU92-AU$128,"")</f>
        <v/>
      </c>
      <c r="BY92" s="1" t="str">
        <f>IF(AV92&gt;AV$128, AV92-AV$128,"")</f>
        <v/>
      </c>
      <c r="BZ92" s="1" t="str">
        <f>IF(AW92&gt;AW$128, AW92-AW$128,"")</f>
        <v/>
      </c>
      <c r="CA92" s="1" t="str">
        <f>IF(AX92&gt;AX$128, AX92-AX$128,"")</f>
        <v/>
      </c>
      <c r="CB92" s="1" t="str">
        <f>IF(AY92&gt;AY$128, AY92-AY$128,"")</f>
        <v/>
      </c>
      <c r="CC92" s="1" t="str">
        <f>IF(AZ92&gt;AZ$128, AZ92-AZ$128,"")</f>
        <v/>
      </c>
      <c r="CD92" s="1" t="str">
        <f>IF(BA92&gt;BA$128, BA92-BA$128,"")</f>
        <v/>
      </c>
      <c r="CE92" s="1" t="str">
        <f>IF(BB92&gt;BB$128, BB92-BB$128,"")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54" x14ac:dyDescent="0.15">
      <c r="A93" s="1"/>
      <c r="B93" s="1" t="s">
        <v>132</v>
      </c>
      <c r="C93" s="1" t="s">
        <v>120</v>
      </c>
      <c r="D93" s="1" t="s">
        <v>123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>
        <v>10</v>
      </c>
      <c r="P93" s="28"/>
      <c r="Q93" s="28"/>
      <c r="R93" s="28">
        <v>10</v>
      </c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10</v>
      </c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20</v>
      </c>
      <c r="BR93" s="17">
        <v>4</v>
      </c>
      <c r="BS93" s="17" t="s">
        <v>226</v>
      </c>
      <c r="BT93" s="1" t="str">
        <f>IF(AQ93&gt;AQ$128, AQ93-AQ$128,"")</f>
        <v/>
      </c>
      <c r="BU93" s="1" t="str">
        <f>IF(AR93&gt;AR$128, AR93-AR$128,"")</f>
        <v/>
      </c>
      <c r="BV93" s="1" t="str">
        <f>IF(AS93&gt;AS$128, AS93-AS$128,"")</f>
        <v/>
      </c>
      <c r="BW93" s="1" t="str">
        <f>IF(AT93&gt;AT$128, AT93-AT$128,"")</f>
        <v/>
      </c>
      <c r="BX93" s="1" t="str">
        <f>IF(AU93&gt;AU$128, AU93-AU$128,"")</f>
        <v/>
      </c>
      <c r="BY93" s="1" t="str">
        <f>IF(AV93&gt;AV$128, AV93-AV$128,"")</f>
        <v/>
      </c>
      <c r="BZ93" s="1" t="str">
        <f>IF(AW93&gt;AW$128, AW93-AW$128,"")</f>
        <v/>
      </c>
      <c r="CA93" s="1" t="str">
        <f>IF(AX93&gt;AX$128, AX93-AX$128,"")</f>
        <v/>
      </c>
      <c r="CB93" s="1" t="str">
        <f>IF(AY93&gt;AY$128, AY93-AY$128,"")</f>
        <v/>
      </c>
      <c r="CC93" s="1" t="str">
        <f>IF(AZ93&gt;AZ$128, AZ93-AZ$128,"")</f>
        <v/>
      </c>
      <c r="CD93" s="1" t="str">
        <f>IF(BA93&gt;BA$128, BA93-BA$128,"")</f>
        <v/>
      </c>
      <c r="CE93" s="1" t="str">
        <f>IF(BB93&gt;BB$128, BB93-BB$128,"")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54" x14ac:dyDescent="0.15">
      <c r="A94" s="1"/>
      <c r="B94" s="1" t="s">
        <v>132</v>
      </c>
      <c r="C94" s="1" t="s">
        <v>120</v>
      </c>
      <c r="D94" s="1" t="s">
        <v>121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>
        <v>10</v>
      </c>
      <c r="Q94" s="28"/>
      <c r="R94" s="28"/>
      <c r="S94" s="28">
        <v>10</v>
      </c>
      <c r="T94" s="28"/>
      <c r="U94" s="28"/>
      <c r="V94" s="28"/>
      <c r="W94" s="28">
        <v>5</v>
      </c>
      <c r="X94" s="28"/>
      <c r="Y94" s="28"/>
      <c r="Z94" s="28"/>
      <c r="AA94" s="28"/>
      <c r="AB94" s="28">
        <v>10</v>
      </c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35</v>
      </c>
      <c r="BQ94" s="1">
        <v>22</v>
      </c>
      <c r="BR94" s="17">
        <v>4</v>
      </c>
      <c r="BS94" s="17" t="s">
        <v>293</v>
      </c>
      <c r="BT94" s="1" t="str">
        <f>IF(AQ94&gt;AQ$128, AQ94-AQ$128,"")</f>
        <v/>
      </c>
      <c r="BU94" s="1" t="str">
        <f>IF(AR94&gt;AR$128, AR94-AR$128,"")</f>
        <v/>
      </c>
      <c r="BV94" s="1" t="str">
        <f>IF(AS94&gt;AS$128, AS94-AS$128,"")</f>
        <v/>
      </c>
      <c r="BW94" s="1" t="str">
        <f>IF(AT94&gt;AT$128, AT94-AT$128,"")</f>
        <v/>
      </c>
      <c r="BX94" s="1" t="str">
        <f>IF(AU94&gt;AU$128, AU94-AU$128,"")</f>
        <v/>
      </c>
      <c r="BY94" s="1" t="str">
        <f>IF(AV94&gt;AV$128, AV94-AV$128,"")</f>
        <v/>
      </c>
      <c r="BZ94" s="1" t="str">
        <f>IF(AW94&gt;AW$128, AW94-AW$128,"")</f>
        <v/>
      </c>
      <c r="CA94" s="1" t="str">
        <f>IF(AX94&gt;AX$128, AX94-AX$128,"")</f>
        <v/>
      </c>
      <c r="CB94" s="1" t="str">
        <f>IF(AY94&gt;AY$128, AY94-AY$128,"")</f>
        <v/>
      </c>
      <c r="CC94" s="1" t="str">
        <f>IF(AZ94&gt;AZ$128, AZ94-AZ$128,"")</f>
        <v/>
      </c>
      <c r="CD94" s="1" t="str">
        <f>IF(BA94&gt;BA$128, BA94-BA$128,"")</f>
        <v/>
      </c>
      <c r="CE94" s="1" t="str">
        <f>IF(BB94&gt;BB$128, BB94-BB$128,"")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137</v>
      </c>
      <c r="C95" s="1" t="s">
        <v>120</v>
      </c>
      <c r="D95" s="1" t="s">
        <v>121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>
        <v>10</v>
      </c>
      <c r="Q95" s="28"/>
      <c r="R95" s="28"/>
      <c r="S95" s="28">
        <v>10</v>
      </c>
      <c r="T95" s="28"/>
      <c r="U95" s="28"/>
      <c r="V95" s="28"/>
      <c r="W95" s="28">
        <v>5</v>
      </c>
      <c r="X95" s="28"/>
      <c r="Y95" s="28"/>
      <c r="Z95" s="28"/>
      <c r="AA95" s="28"/>
      <c r="AB95" s="28">
        <v>10</v>
      </c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35</v>
      </c>
      <c r="BQ95" s="1">
        <v>22</v>
      </c>
      <c r="BR95" s="17">
        <v>4</v>
      </c>
      <c r="BS95" s="17" t="s">
        <v>293</v>
      </c>
      <c r="BT95" s="1" t="str">
        <f>IF(AQ95&gt;AQ$128, AQ95-AQ$128,"")</f>
        <v/>
      </c>
      <c r="BU95" s="1" t="str">
        <f>IF(AR95&gt;AR$128, AR95-AR$128,"")</f>
        <v/>
      </c>
      <c r="BV95" s="1" t="str">
        <f>IF(AS95&gt;AS$128, AS95-AS$128,"")</f>
        <v/>
      </c>
      <c r="BW95" s="1" t="str">
        <f>IF(AT95&gt;AT$128, AT95-AT$128,"")</f>
        <v/>
      </c>
      <c r="BX95" s="1" t="str">
        <f>IF(AU95&gt;AU$128, AU95-AU$128,"")</f>
        <v/>
      </c>
      <c r="BY95" s="1" t="str">
        <f>IF(AV95&gt;AV$128, AV95-AV$128,"")</f>
        <v/>
      </c>
      <c r="BZ95" s="1" t="str">
        <f>IF(AW95&gt;AW$128, AW95-AW$128,"")</f>
        <v/>
      </c>
      <c r="CA95" s="1" t="str">
        <f>IF(AX95&gt;AX$128, AX95-AX$128,"")</f>
        <v/>
      </c>
      <c r="CB95" s="1" t="str">
        <f>IF(AY95&gt;AY$128, AY95-AY$128,"")</f>
        <v/>
      </c>
      <c r="CC95" s="1" t="str">
        <f>IF(AZ95&gt;AZ$128, AZ95-AZ$128,"")</f>
        <v/>
      </c>
      <c r="CD95" s="1" t="str">
        <f>IF(BA95&gt;BA$128, BA95-BA$128,"")</f>
        <v/>
      </c>
      <c r="CE95" s="1" t="str">
        <f>IF(BB95&gt;BB$128, BB95-BB$128,"")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141</v>
      </c>
      <c r="C96" s="1" t="s">
        <v>139</v>
      </c>
      <c r="D96" s="1" t="s">
        <v>121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/>
      <c r="W96" s="28">
        <v>5</v>
      </c>
      <c r="X96" s="28"/>
      <c r="Y96" s="28"/>
      <c r="Z96" s="28"/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35</v>
      </c>
      <c r="BQ96" s="1">
        <v>22</v>
      </c>
      <c r="BR96" s="17">
        <v>4</v>
      </c>
      <c r="BS96" s="17" t="s">
        <v>293</v>
      </c>
      <c r="BT96" s="1" t="str">
        <f>IF(AQ96&gt;AQ$128, AQ96-AQ$128,"")</f>
        <v/>
      </c>
      <c r="BU96" s="1" t="str">
        <f>IF(AR96&gt;AR$128, AR96-AR$128,"")</f>
        <v/>
      </c>
      <c r="BV96" s="1" t="str">
        <f>IF(AS96&gt;AS$128, AS96-AS$128,"")</f>
        <v/>
      </c>
      <c r="BW96" s="1" t="str">
        <f>IF(AT96&gt;AT$128, AT96-AT$128,"")</f>
        <v/>
      </c>
      <c r="BX96" s="1" t="str">
        <f>IF(AU96&gt;AU$128, AU96-AU$128,"")</f>
        <v/>
      </c>
      <c r="BY96" s="1" t="str">
        <f>IF(AV96&gt;AV$128, AV96-AV$128,"")</f>
        <v/>
      </c>
      <c r="BZ96" s="1" t="str">
        <f>IF(AW96&gt;AW$128, AW96-AW$128,"")</f>
        <v/>
      </c>
      <c r="CA96" s="1" t="str">
        <f>IF(AX96&gt;AX$128, AX96-AX$128,"")</f>
        <v/>
      </c>
      <c r="CB96" s="1" t="str">
        <f>IF(AY96&gt;AY$128, AY96-AY$128,"")</f>
        <v/>
      </c>
      <c r="CC96" s="1" t="str">
        <f>IF(AZ96&gt;AZ$128, AZ96-AZ$128,"")</f>
        <v/>
      </c>
      <c r="CD96" s="1" t="str">
        <f>IF(BA96&gt;BA$128, BA96-BA$128,"")</f>
        <v/>
      </c>
      <c r="CE96" s="1" t="str">
        <f>IF(BB96&gt;BB$128, BB96-BB$128,"")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145</v>
      </c>
      <c r="C97" s="1" t="s">
        <v>143</v>
      </c>
      <c r="D97" s="1" t="s">
        <v>121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293</v>
      </c>
      <c r="BT97" s="1" t="str">
        <f>IF(AQ97&gt;AQ$128, AQ97-AQ$128,"")</f>
        <v/>
      </c>
      <c r="BU97" s="1" t="str">
        <f>IF(AR97&gt;AR$128, AR97-AR$128,"")</f>
        <v/>
      </c>
      <c r="BV97" s="1" t="str">
        <f>IF(AS97&gt;AS$128, AS97-AS$128,"")</f>
        <v/>
      </c>
      <c r="BW97" s="1" t="str">
        <f>IF(AT97&gt;AT$128, AT97-AT$128,"")</f>
        <v/>
      </c>
      <c r="BX97" s="1" t="str">
        <f>IF(AU97&gt;AU$128, AU97-AU$128,"")</f>
        <v/>
      </c>
      <c r="BY97" s="1" t="str">
        <f>IF(AV97&gt;AV$128, AV97-AV$128,"")</f>
        <v/>
      </c>
      <c r="BZ97" s="1" t="str">
        <f>IF(AW97&gt;AW$128, AW97-AW$128,"")</f>
        <v/>
      </c>
      <c r="CA97" s="1" t="str">
        <f>IF(AX97&gt;AX$128, AX97-AX$128,"")</f>
        <v/>
      </c>
      <c r="CB97" s="1" t="str">
        <f>IF(AY97&gt;AY$128, AY97-AY$128,"")</f>
        <v/>
      </c>
      <c r="CC97" s="1" t="str">
        <f>IF(AZ97&gt;AZ$128, AZ97-AZ$128,"")</f>
        <v/>
      </c>
      <c r="CD97" s="1" t="str">
        <f>IF(BA97&gt;BA$128, BA97-BA$128,"")</f>
        <v/>
      </c>
      <c r="CE97" s="1" t="str">
        <f>IF(BB97&gt;BB$128, BB97-BB$128,"")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151</v>
      </c>
      <c r="C98" s="1" t="s">
        <v>150</v>
      </c>
      <c r="D98" s="1" t="s">
        <v>121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191</v>
      </c>
      <c r="BT98" s="1" t="str">
        <f>IF(AQ98&gt;AQ$128, AQ98-AQ$128,"")</f>
        <v/>
      </c>
      <c r="BU98" s="1" t="str">
        <f>IF(AR98&gt;AR$128, AR98-AR$128,"")</f>
        <v/>
      </c>
      <c r="BV98" s="1" t="str">
        <f>IF(AS98&gt;AS$128, AS98-AS$128,"")</f>
        <v/>
      </c>
      <c r="BW98" s="1" t="str">
        <f>IF(AT98&gt;AT$128, AT98-AT$128,"")</f>
        <v/>
      </c>
      <c r="BX98" s="1" t="str">
        <f>IF(AU98&gt;AU$128, AU98-AU$128,"")</f>
        <v/>
      </c>
      <c r="BY98" s="1" t="str">
        <f>IF(AV98&gt;AV$128, AV98-AV$128,"")</f>
        <v/>
      </c>
      <c r="BZ98" s="1" t="str">
        <f>IF(AW98&gt;AW$128, AW98-AW$128,"")</f>
        <v/>
      </c>
      <c r="CA98" s="1" t="str">
        <f>IF(AX98&gt;AX$128, AX98-AX$128,"")</f>
        <v/>
      </c>
      <c r="CB98" s="1" t="str">
        <f>IF(AY98&gt;AY$128, AY98-AY$128,"")</f>
        <v/>
      </c>
      <c r="CC98" s="1" t="str">
        <f>IF(AZ98&gt;AZ$128, AZ98-AZ$128,"")</f>
        <v/>
      </c>
      <c r="CD98" s="1" t="str">
        <f>IF(BA98&gt;BA$128, BA98-BA$128,"")</f>
        <v/>
      </c>
      <c r="CE98" s="1" t="str">
        <f>IF(BB98&gt;BB$128, BB98-BB$128,"")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157</v>
      </c>
      <c r="C99" s="1" t="s">
        <v>118</v>
      </c>
      <c r="D99" s="1" t="s">
        <v>158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191</v>
      </c>
      <c r="BT99" s="1" t="str">
        <f>IF(AQ99&gt;AQ$128, AQ99-AQ$128,"")</f>
        <v/>
      </c>
      <c r="BU99" s="1" t="str">
        <f>IF(AR99&gt;AR$128, AR99-AR$128,"")</f>
        <v/>
      </c>
      <c r="BV99" s="1" t="str">
        <f>IF(AS99&gt;AS$128, AS99-AS$128,"")</f>
        <v/>
      </c>
      <c r="BW99" s="1" t="str">
        <f>IF(AT99&gt;AT$128, AT99-AT$128,"")</f>
        <v/>
      </c>
      <c r="BX99" s="1" t="str">
        <f>IF(AU99&gt;AU$128, AU99-AU$128,"")</f>
        <v/>
      </c>
      <c r="BY99" s="1" t="str">
        <f>IF(AV99&gt;AV$128, AV99-AV$128,"")</f>
        <v/>
      </c>
      <c r="BZ99" s="1" t="str">
        <f>IF(AW99&gt;AW$128, AW99-AW$128,"")</f>
        <v/>
      </c>
      <c r="CA99" s="1" t="str">
        <f>IF(AX99&gt;AX$128, AX99-AX$128,"")</f>
        <v/>
      </c>
      <c r="CB99" s="1" t="str">
        <f>IF(AY99&gt;AY$128, AY99-AY$128,"")</f>
        <v/>
      </c>
      <c r="CC99" s="1" t="str">
        <f>IF(AZ99&gt;AZ$128, AZ99-AZ$128,"")</f>
        <v/>
      </c>
      <c r="CD99" s="1" t="str">
        <f>IF(BA99&gt;BA$128, BA99-BA$128,"")</f>
        <v/>
      </c>
      <c r="CE99" s="1" t="str">
        <f>IF(BB99&gt;BB$128, BB99-BB$128,"")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137</v>
      </c>
      <c r="C100" s="1" t="s">
        <v>120</v>
      </c>
      <c r="D100" s="1" t="s">
        <v>123</v>
      </c>
      <c r="E100" s="6"/>
      <c r="F100" s="6"/>
      <c r="G100" s="6"/>
      <c r="H100" s="6">
        <v>10</v>
      </c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23</v>
      </c>
      <c r="BR100" s="17">
        <v>4</v>
      </c>
      <c r="BS100" s="17" t="s">
        <v>292</v>
      </c>
      <c r="BT100" s="1" t="str">
        <f>IF(AQ100&gt;AQ$128, AQ100-AQ$128,"")</f>
        <v/>
      </c>
      <c r="BU100" s="1" t="str">
        <f>IF(AR100&gt;AR$128, AR100-AR$128,"")</f>
        <v/>
      </c>
      <c r="BV100" s="1" t="str">
        <f>IF(AS100&gt;AS$128, AS100-AS$128,"")</f>
        <v/>
      </c>
      <c r="BW100" s="1" t="str">
        <f>IF(AT100&gt;AT$128, AT100-AT$128,"")</f>
        <v/>
      </c>
      <c r="BX100" s="1" t="str">
        <f>IF(AU100&gt;AU$128, AU100-AU$128,"")</f>
        <v/>
      </c>
      <c r="BY100" s="1" t="str">
        <f>IF(AV100&gt;AV$128, AV100-AV$128,"")</f>
        <v/>
      </c>
      <c r="BZ100" s="1" t="str">
        <f>IF(AW100&gt;AW$128, AW100-AW$128,"")</f>
        <v/>
      </c>
      <c r="CA100" s="1" t="str">
        <f>IF(AX100&gt;AX$128, AX100-AX$128,"")</f>
        <v/>
      </c>
      <c r="CB100" s="1" t="str">
        <f>IF(AY100&gt;AY$128, AY100-AY$128,"")</f>
        <v/>
      </c>
      <c r="CC100" s="1" t="str">
        <f>IF(AZ100&gt;AZ$128, AZ100-AZ$128,"")</f>
        <v/>
      </c>
      <c r="CD100" s="1" t="str">
        <f>IF(BA100&gt;BA$128, BA100-BA$128,"")</f>
        <v/>
      </c>
      <c r="CE100" s="1" t="str">
        <f>IF(BB100&gt;BB$128, BB100-BB$128,"")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162</v>
      </c>
      <c r="C101" s="1" t="s">
        <v>120</v>
      </c>
      <c r="D101" s="1" t="s">
        <v>122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>
        <v>10</v>
      </c>
      <c r="W101" s="28"/>
      <c r="X101" s="28"/>
      <c r="Y101" s="28">
        <v>10</v>
      </c>
      <c r="Z101" s="28"/>
      <c r="AA101" s="28"/>
      <c r="AB101" s="28">
        <v>10</v>
      </c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23</v>
      </c>
      <c r="BR101" s="17">
        <v>4</v>
      </c>
      <c r="BS101" s="17" t="s">
        <v>294</v>
      </c>
      <c r="BT101" s="1" t="str">
        <f>IF(AQ101&gt;AQ$128, AQ101-AQ$128,"")</f>
        <v/>
      </c>
      <c r="BU101" s="1" t="str">
        <f>IF(AR101&gt;AR$128, AR101-AR$128,"")</f>
        <v/>
      </c>
      <c r="BV101" s="1" t="str">
        <f>IF(AS101&gt;AS$128, AS101-AS$128,"")</f>
        <v/>
      </c>
      <c r="BW101" s="1" t="str">
        <f>IF(AT101&gt;AT$128, AT101-AT$128,"")</f>
        <v/>
      </c>
      <c r="BX101" s="1" t="str">
        <f>IF(AU101&gt;AU$128, AU101-AU$128,"")</f>
        <v/>
      </c>
      <c r="BY101" s="1" t="str">
        <f>IF(AV101&gt;AV$128, AV101-AV$128,"")</f>
        <v/>
      </c>
      <c r="BZ101" s="1" t="str">
        <f>IF(AW101&gt;AW$128, AW101-AW$128,"")</f>
        <v/>
      </c>
      <c r="CA101" s="1" t="str">
        <f>IF(AX101&gt;AX$128, AX101-AX$128,"")</f>
        <v/>
      </c>
      <c r="CB101" s="1" t="str">
        <f>IF(AY101&gt;AY$128, AY101-AY$128,"")</f>
        <v/>
      </c>
      <c r="CC101" s="1" t="str">
        <f>IF(AZ101&gt;AZ$128, AZ101-AZ$128,"")</f>
        <v/>
      </c>
      <c r="CD101" s="1" t="str">
        <f>IF(BA101&gt;BA$128, BA101-BA$128,"")</f>
        <v/>
      </c>
      <c r="CE101" s="1" t="str">
        <f>IF(BB101&gt;BB$128, BB101-BB$128,"")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146</v>
      </c>
      <c r="C102" s="1" t="s">
        <v>148</v>
      </c>
      <c r="D102" s="1" t="s">
        <v>122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>
        <v>10</v>
      </c>
      <c r="W102" s="28"/>
      <c r="X102" s="28"/>
      <c r="Y102" s="28">
        <v>10</v>
      </c>
      <c r="Z102" s="28"/>
      <c r="AA102" s="28"/>
      <c r="AB102" s="28">
        <v>10</v>
      </c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23</v>
      </c>
      <c r="BR102" s="17">
        <v>4</v>
      </c>
      <c r="BS102" s="17" t="s">
        <v>294</v>
      </c>
      <c r="BT102" s="1" t="str">
        <f>IF(AQ102&gt;AQ$128, AQ102-AQ$128,"")</f>
        <v/>
      </c>
      <c r="BU102" s="1" t="str">
        <f>IF(AR102&gt;AR$128, AR102-AR$128,"")</f>
        <v/>
      </c>
      <c r="BV102" s="1" t="str">
        <f>IF(AS102&gt;AS$128, AS102-AS$128,"")</f>
        <v/>
      </c>
      <c r="BW102" s="1" t="str">
        <f>IF(AT102&gt;AT$128, AT102-AT$128,"")</f>
        <v/>
      </c>
      <c r="BX102" s="1" t="str">
        <f>IF(AU102&gt;AU$128, AU102-AU$128,"")</f>
        <v/>
      </c>
      <c r="BY102" s="1" t="str">
        <f>IF(AV102&gt;AV$128, AV102-AV$128,"")</f>
        <v/>
      </c>
      <c r="BZ102" s="1" t="str">
        <f>IF(AW102&gt;AW$128, AW102-AW$128,"")</f>
        <v/>
      </c>
      <c r="CA102" s="1" t="str">
        <f>IF(AX102&gt;AX$128, AX102-AX$128,"")</f>
        <v/>
      </c>
      <c r="CB102" s="1" t="str">
        <f>IF(AY102&gt;AY$128, AY102-AY$128,"")</f>
        <v/>
      </c>
      <c r="CC102" s="1" t="str">
        <f>IF(AZ102&gt;AZ$128, AZ102-AZ$128,"")</f>
        <v/>
      </c>
      <c r="CD102" s="1" t="str">
        <f>IF(BA102&gt;BA$128, BA102-BA$128,"")</f>
        <v/>
      </c>
      <c r="CE102" s="1" t="str">
        <f>IF(BB102&gt;BB$128, BB102-BB$128,"")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155</v>
      </c>
      <c r="C103" s="1" t="s">
        <v>150</v>
      </c>
      <c r="D103" s="1" t="s">
        <v>122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218</v>
      </c>
      <c r="BT103" s="1" t="str">
        <f>IF(AQ103&gt;AQ$128, AQ103-AQ$128,"")</f>
        <v/>
      </c>
      <c r="BU103" s="1" t="str">
        <f>IF(AR103&gt;AR$128, AR103-AR$128,"")</f>
        <v/>
      </c>
      <c r="BV103" s="1" t="str">
        <f>IF(AS103&gt;AS$128, AS103-AS$128,"")</f>
        <v/>
      </c>
      <c r="BW103" s="1" t="str">
        <f>IF(AT103&gt;AT$128, AT103-AT$128,"")</f>
        <v/>
      </c>
      <c r="BX103" s="1" t="str">
        <f>IF(AU103&gt;AU$128, AU103-AU$128,"")</f>
        <v/>
      </c>
      <c r="BY103" s="1" t="str">
        <f>IF(AV103&gt;AV$128, AV103-AV$128,"")</f>
        <v/>
      </c>
      <c r="BZ103" s="1" t="str">
        <f>IF(AW103&gt;AW$128, AW103-AW$128,"")</f>
        <v/>
      </c>
      <c r="CA103" s="1" t="str">
        <f>IF(AX103&gt;AX$128, AX103-AX$128,"")</f>
        <v/>
      </c>
      <c r="CB103" s="1" t="str">
        <f>IF(AY103&gt;AY$128, AY103-AY$128,"")</f>
        <v/>
      </c>
      <c r="CC103" s="1" t="str">
        <f>IF(AZ103&gt;AZ$128, AZ103-AZ$128,"")</f>
        <v/>
      </c>
      <c r="CD103" s="1" t="str">
        <f>IF(BA103&gt;BA$128, BA103-BA$128,"")</f>
        <v/>
      </c>
      <c r="CE103" s="1" t="str">
        <f>IF(BB103&gt;BB$128, BB103-BB$128,"")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156</v>
      </c>
      <c r="C104" s="1" t="s">
        <v>150</v>
      </c>
      <c r="D104" s="1" t="s">
        <v>122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294</v>
      </c>
      <c r="BT104" s="1" t="str">
        <f>IF(AQ104&gt;AQ$128, AQ104-AQ$128,"")</f>
        <v/>
      </c>
      <c r="BU104" s="1" t="str">
        <f>IF(AR104&gt;AR$128, AR104-AR$128,"")</f>
        <v/>
      </c>
      <c r="BV104" s="1" t="str">
        <f>IF(AS104&gt;AS$128, AS104-AS$128,"")</f>
        <v/>
      </c>
      <c r="BW104" s="1" t="str">
        <f>IF(AT104&gt;AT$128, AT104-AT$128,"")</f>
        <v/>
      </c>
      <c r="BX104" s="1" t="str">
        <f>IF(AU104&gt;AU$128, AU104-AU$128,"")</f>
        <v/>
      </c>
      <c r="BY104" s="1" t="str">
        <f>IF(AV104&gt;AV$128, AV104-AV$128,"")</f>
        <v/>
      </c>
      <c r="BZ104" s="1" t="str">
        <f>IF(AW104&gt;AW$128, AW104-AW$128,"")</f>
        <v/>
      </c>
      <c r="CA104" s="1" t="str">
        <f>IF(AX104&gt;AX$128, AX104-AX$128,"")</f>
        <v/>
      </c>
      <c r="CB104" s="1" t="str">
        <f>IF(AY104&gt;AY$128, AY104-AY$128,"")</f>
        <v/>
      </c>
      <c r="CC104" s="1" t="str">
        <f>IF(AZ104&gt;AZ$128, AZ104-AZ$128,"")</f>
        <v/>
      </c>
      <c r="CD104" s="1" t="str">
        <f>IF(BA104&gt;BA$128, BA104-BA$128,"")</f>
        <v/>
      </c>
      <c r="CE104" s="1" t="str">
        <f>IF(BB104&gt;BB$128, BB104-BB$128,"")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147</v>
      </c>
      <c r="C105" s="1" t="s">
        <v>148</v>
      </c>
      <c r="D105" s="1" t="s">
        <v>121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/>
      <c r="X105" s="28"/>
      <c r="Y105" s="28"/>
      <c r="Z105" s="28">
        <v>5</v>
      </c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295</v>
      </c>
      <c r="BT105" s="1" t="str">
        <f>IF(AQ105&gt;AQ$128, AQ105-AQ$128,"")</f>
        <v/>
      </c>
      <c r="BU105" s="1" t="str">
        <f>IF(AR105&gt;AR$128, AR105-AR$128,"")</f>
        <v/>
      </c>
      <c r="BV105" s="1" t="str">
        <f>IF(AS105&gt;AS$128, AS105-AS$128,"")</f>
        <v/>
      </c>
      <c r="BW105" s="1" t="str">
        <f>IF(AT105&gt;AT$128, AT105-AT$128,"")</f>
        <v/>
      </c>
      <c r="BX105" s="1" t="str">
        <f>IF(AU105&gt;AU$128, AU105-AU$128,"")</f>
        <v/>
      </c>
      <c r="BY105" s="1" t="str">
        <f>IF(AV105&gt;AV$128, AV105-AV$128,"")</f>
        <v/>
      </c>
      <c r="BZ105" s="1" t="str">
        <f>IF(AW105&gt;AW$128, AW105-AW$128,"")</f>
        <v/>
      </c>
      <c r="CA105" s="1" t="str">
        <f>IF(AX105&gt;AX$128, AX105-AX$128,"")</f>
        <v/>
      </c>
      <c r="CB105" s="1" t="str">
        <f>IF(AY105&gt;AY$128, AY105-AY$128,"")</f>
        <v/>
      </c>
      <c r="CC105" s="1" t="str">
        <f>IF(AZ105&gt;AZ$128, AZ105-AZ$128,"")</f>
        <v/>
      </c>
      <c r="CD105" s="1" t="str">
        <f>IF(BA105&gt;BA$128, BA105-BA$128,"")</f>
        <v/>
      </c>
      <c r="CE105" s="1" t="str">
        <f>IF(BB105&gt;BB$128, BB105-BB$128,"")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138</v>
      </c>
      <c r="C106" s="1" t="s">
        <v>139</v>
      </c>
      <c r="D106" s="1" t="s">
        <v>122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>
        <v>5</v>
      </c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24</v>
      </c>
      <c r="BR106" s="17">
        <v>4</v>
      </c>
      <c r="BS106" s="17" t="s">
        <v>219</v>
      </c>
      <c r="BT106" s="1" t="str">
        <f>IF(AQ106&gt;AQ$128, AQ106-AQ$128,"")</f>
        <v/>
      </c>
      <c r="BU106" s="1" t="str">
        <f>IF(AR106&gt;AR$128, AR106-AR$128,"")</f>
        <v/>
      </c>
      <c r="BV106" s="1" t="str">
        <f>IF(AS106&gt;AS$128, AS106-AS$128,"")</f>
        <v/>
      </c>
      <c r="BW106" s="1" t="str">
        <f>IF(AT106&gt;AT$128, AT106-AT$128,"")</f>
        <v/>
      </c>
      <c r="BX106" s="1" t="str">
        <f>IF(AU106&gt;AU$128, AU106-AU$128,"")</f>
        <v/>
      </c>
      <c r="BY106" s="1" t="str">
        <f>IF(AV106&gt;AV$128, AV106-AV$128,"")</f>
        <v/>
      </c>
      <c r="BZ106" s="1" t="str">
        <f>IF(AW106&gt;AW$128, AW106-AW$128,"")</f>
        <v/>
      </c>
      <c r="CA106" s="1" t="str">
        <f>IF(AX106&gt;AX$128, AX106-AX$128,"")</f>
        <v/>
      </c>
      <c r="CB106" s="1" t="str">
        <f>IF(AY106&gt;AY$128, AY106-AY$128,"")</f>
        <v/>
      </c>
      <c r="CC106" s="1" t="str">
        <f>IF(AZ106&gt;AZ$128, AZ106-AZ$128,"")</f>
        <v/>
      </c>
      <c r="CD106" s="1" t="str">
        <f>IF(BA106&gt;BA$128, BA106-BA$128,"")</f>
        <v/>
      </c>
      <c r="CE106" s="1" t="str">
        <f>IF(BB106&gt;BB$128, BB106-BB$128,"")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144</v>
      </c>
      <c r="C107" s="1" t="s">
        <v>143</v>
      </c>
      <c r="D107" s="1" t="s">
        <v>122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24</v>
      </c>
      <c r="BR107" s="17">
        <v>4</v>
      </c>
      <c r="BS107" s="17" t="s">
        <v>297</v>
      </c>
      <c r="BT107" s="1" t="str">
        <f>IF(AQ107&gt;AQ$128, AQ107-AQ$128,"")</f>
        <v/>
      </c>
      <c r="BU107" s="1" t="str">
        <f>IF(AR107&gt;AR$128, AR107-AR$128,"")</f>
        <v/>
      </c>
      <c r="BV107" s="1" t="str">
        <f>IF(AS107&gt;AS$128, AS107-AS$128,"")</f>
        <v/>
      </c>
      <c r="BW107" s="1" t="str">
        <f>IF(AT107&gt;AT$128, AT107-AT$128,"")</f>
        <v/>
      </c>
      <c r="BX107" s="1" t="str">
        <f>IF(AU107&gt;AU$128, AU107-AU$128,"")</f>
        <v/>
      </c>
      <c r="BY107" s="1" t="str">
        <f>IF(AV107&gt;AV$128, AV107-AV$128,"")</f>
        <v/>
      </c>
      <c r="BZ107" s="1" t="str">
        <f>IF(AW107&gt;AW$128, AW107-AW$128,"")</f>
        <v/>
      </c>
      <c r="CA107" s="1" t="str">
        <f>IF(AX107&gt;AX$128, AX107-AX$128,"")</f>
        <v/>
      </c>
      <c r="CB107" s="1" t="str">
        <f>IF(AY107&gt;AY$128, AY107-AY$128,"")</f>
        <v/>
      </c>
      <c r="CC107" s="1" t="str">
        <f>IF(AZ107&gt;AZ$128, AZ107-AZ$128,"")</f>
        <v/>
      </c>
      <c r="CD107" s="1" t="str">
        <f>IF(BA107&gt;BA$128, BA107-BA$128,"")</f>
        <v/>
      </c>
      <c r="CE107" s="1" t="str">
        <f>IF(BB107&gt;BB$128, BB107-BB$128,"")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138</v>
      </c>
      <c r="C108" s="1" t="s">
        <v>139</v>
      </c>
      <c r="D108" s="1" t="s">
        <v>123</v>
      </c>
      <c r="E108" s="6">
        <v>10</v>
      </c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>
        <v>10</v>
      </c>
      <c r="S108" s="28"/>
      <c r="T108" s="28"/>
      <c r="U108" s="28">
        <v>10</v>
      </c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>
        <v>10</v>
      </c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25</v>
      </c>
      <c r="BR108" s="17">
        <v>4</v>
      </c>
      <c r="BS108" s="17" t="s">
        <v>282</v>
      </c>
      <c r="BT108" s="1" t="str">
        <f>IF(AQ108&gt;AQ$128, AQ108-AQ$128,"")</f>
        <v/>
      </c>
      <c r="BU108" s="1" t="str">
        <f>IF(AR108&gt;AR$128, AR108-AR$128,"")</f>
        <v/>
      </c>
      <c r="BV108" s="1" t="str">
        <f>IF(AS108&gt;AS$128, AS108-AS$128,"")</f>
        <v/>
      </c>
      <c r="BW108" s="1" t="str">
        <f>IF(AT108&gt;AT$128, AT108-AT$128,"")</f>
        <v/>
      </c>
      <c r="BX108" s="1" t="str">
        <f>IF(AU108&gt;AU$128, AU108-AU$128,"")</f>
        <v/>
      </c>
      <c r="BY108" s="1" t="str">
        <f>IF(AV108&gt;AV$128, AV108-AV$128,"")</f>
        <v/>
      </c>
      <c r="BZ108" s="1" t="str">
        <f>IF(AW108&gt;AW$128, AW108-AW$128,"")</f>
        <v/>
      </c>
      <c r="CA108" s="1" t="str">
        <f>IF(AX108&gt;AX$128, AX108-AX$128,"")</f>
        <v/>
      </c>
      <c r="CB108" s="1" t="str">
        <f>IF(AY108&gt;AY$128, AY108-AY$128,"")</f>
        <v/>
      </c>
      <c r="CC108" s="1" t="str">
        <f>IF(AZ108&gt;AZ$128, AZ108-AZ$128,"")</f>
        <v/>
      </c>
      <c r="CD108" s="1" t="str">
        <f>IF(BA108&gt;BA$128, BA108-BA$128,"")</f>
        <v/>
      </c>
      <c r="CE108" s="1" t="str">
        <f>IF(BB108&gt;BB$128, BB108-BB$128,"")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144</v>
      </c>
      <c r="C109" s="1" t="s">
        <v>143</v>
      </c>
      <c r="D109" s="1" t="s">
        <v>123</v>
      </c>
      <c r="E109" s="6">
        <v>10</v>
      </c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>
        <v>10</v>
      </c>
      <c r="S109" s="28"/>
      <c r="T109" s="28"/>
      <c r="U109" s="28">
        <v>10</v>
      </c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>
        <v>10</v>
      </c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25</v>
      </c>
      <c r="BR109" s="17">
        <v>4</v>
      </c>
      <c r="BS109" s="17" t="s">
        <v>283</v>
      </c>
      <c r="BT109" s="1" t="str">
        <f>IF(AQ109&gt;AQ$128, AQ109-AQ$128,"")</f>
        <v/>
      </c>
      <c r="BU109" s="1" t="str">
        <f>IF(AR109&gt;AR$128, AR109-AR$128,"")</f>
        <v/>
      </c>
      <c r="BV109" s="1" t="str">
        <f>IF(AS109&gt;AS$128, AS109-AS$128,"")</f>
        <v/>
      </c>
      <c r="BW109" s="1" t="str">
        <f>IF(AT109&gt;AT$128, AT109-AT$128,"")</f>
        <v/>
      </c>
      <c r="BX109" s="1" t="str">
        <f>IF(AU109&gt;AU$128, AU109-AU$128,"")</f>
        <v/>
      </c>
      <c r="BY109" s="1" t="str">
        <f>IF(AV109&gt;AV$128, AV109-AV$128,"")</f>
        <v/>
      </c>
      <c r="BZ109" s="1" t="str">
        <f>IF(AW109&gt;AW$128, AW109-AW$128,"")</f>
        <v/>
      </c>
      <c r="CA109" s="1" t="str">
        <f>IF(AX109&gt;AX$128, AX109-AX$128,"")</f>
        <v/>
      </c>
      <c r="CB109" s="1" t="str">
        <f>IF(AY109&gt;AY$128, AY109-AY$128,"")</f>
        <v/>
      </c>
      <c r="CC109" s="1" t="str">
        <f>IF(AZ109&gt;AZ$128, AZ109-AZ$128,"")</f>
        <v/>
      </c>
      <c r="CD109" s="1" t="str">
        <f>IF(BA109&gt;BA$128, BA109-BA$128,"")</f>
        <v/>
      </c>
      <c r="CE109" s="1" t="str">
        <f>IF(BB109&gt;BB$128, BB109-BB$128,"")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154</v>
      </c>
      <c r="C110" s="1" t="s">
        <v>150</v>
      </c>
      <c r="D110" s="1" t="s">
        <v>123</v>
      </c>
      <c r="E110" s="6">
        <v>10</v>
      </c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>
        <v>10</v>
      </c>
      <c r="S110" s="28"/>
      <c r="T110" s="28"/>
      <c r="U110" s="28">
        <v>10</v>
      </c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>
        <v>10</v>
      </c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25</v>
      </c>
      <c r="BR110" s="17">
        <v>4</v>
      </c>
      <c r="BS110" s="17" t="s">
        <v>284</v>
      </c>
      <c r="BT110" s="1" t="str">
        <f>IF(AQ110&gt;AQ$128, AQ110-AQ$128,"")</f>
        <v/>
      </c>
      <c r="BU110" s="1" t="str">
        <f>IF(AR110&gt;AR$128, AR110-AR$128,"")</f>
        <v/>
      </c>
      <c r="BV110" s="1" t="str">
        <f>IF(AS110&gt;AS$128, AS110-AS$128,"")</f>
        <v/>
      </c>
      <c r="BW110" s="1" t="str">
        <f>IF(AT110&gt;AT$128, AT110-AT$128,"")</f>
        <v/>
      </c>
      <c r="BX110" s="1" t="str">
        <f>IF(AU110&gt;AU$128, AU110-AU$128,"")</f>
        <v/>
      </c>
      <c r="BY110" s="1" t="str">
        <f>IF(AV110&gt;AV$128, AV110-AV$128,"")</f>
        <v/>
      </c>
      <c r="BZ110" s="1" t="str">
        <f>IF(AW110&gt;AW$128, AW110-AW$128,"")</f>
        <v/>
      </c>
      <c r="CA110" s="1" t="str">
        <f>IF(AX110&gt;AX$128, AX110-AX$128,"")</f>
        <v/>
      </c>
      <c r="CB110" s="1" t="str">
        <f>IF(AY110&gt;AY$128, AY110-AY$128,"")</f>
        <v/>
      </c>
      <c r="CC110" s="1" t="str">
        <f>IF(AZ110&gt;AZ$128, AZ110-AZ$128,"")</f>
        <v/>
      </c>
      <c r="CD110" s="1" t="str">
        <f>IF(BA110&gt;BA$128, BA110-BA$128,"")</f>
        <v/>
      </c>
      <c r="CE110" s="1" t="str">
        <f>IF(BB110&gt;BB$128, BB110-BB$128,"")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152</v>
      </c>
      <c r="C111" s="1" t="s">
        <v>150</v>
      </c>
      <c r="D111" s="1" t="s">
        <v>123</v>
      </c>
      <c r="E111" s="6"/>
      <c r="F111" s="6"/>
      <c r="G111" s="6"/>
      <c r="H111" s="6">
        <v>10</v>
      </c>
      <c r="I111" s="6"/>
      <c r="J111" s="6"/>
      <c r="K111" s="6"/>
      <c r="L111" s="6"/>
      <c r="M111" s="6"/>
      <c r="N111" s="6"/>
      <c r="O111" s="6"/>
      <c r="P111" s="28"/>
      <c r="Q111" s="28"/>
      <c r="R111" s="28">
        <v>10</v>
      </c>
      <c r="S111" s="28"/>
      <c r="T111" s="28"/>
      <c r="U111" s="28">
        <v>10</v>
      </c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>
        <v>10</v>
      </c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30</v>
      </c>
      <c r="BR111" s="17">
        <v>4</v>
      </c>
      <c r="BS111" s="17" t="s">
        <v>281</v>
      </c>
      <c r="BT111" s="1" t="str">
        <f>IF(AQ111&gt;AQ$128, AQ111-AQ$128,"")</f>
        <v/>
      </c>
      <c r="BU111" s="1" t="str">
        <f>IF(AR111&gt;AR$128, AR111-AR$128,"")</f>
        <v/>
      </c>
      <c r="BV111" s="1" t="str">
        <f>IF(AS111&gt;AS$128, AS111-AS$128,"")</f>
        <v/>
      </c>
      <c r="BW111" s="1" t="str">
        <f>IF(AT111&gt;AT$128, AT111-AT$128,"")</f>
        <v/>
      </c>
      <c r="BX111" s="1" t="str">
        <f>IF(AU111&gt;AU$128, AU111-AU$128,"")</f>
        <v/>
      </c>
      <c r="BY111" s="1" t="str">
        <f>IF(AV111&gt;AV$128, AV111-AV$128,"")</f>
        <v/>
      </c>
      <c r="BZ111" s="1" t="str">
        <f>IF(AW111&gt;AW$128, AW111-AW$128,"")</f>
        <v/>
      </c>
      <c r="CA111" s="1" t="str">
        <f>IF(AX111&gt;AX$128, AX111-AX$128,"")</f>
        <v/>
      </c>
      <c r="CB111" s="1" t="str">
        <f>IF(AY111&gt;AY$128, AY111-AY$128,"")</f>
        <v/>
      </c>
      <c r="CC111" s="1" t="str">
        <f>IF(AZ111&gt;AZ$128, AZ111-AZ$128,"")</f>
        <v/>
      </c>
      <c r="CD111" s="1" t="str">
        <f>IF(BA111&gt;BA$128, BA111-BA$128,"")</f>
        <v/>
      </c>
      <c r="CE111" s="1" t="str">
        <f>IF(BB111&gt;BB$128, BB111-BB$128,"")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>
        <v>1</v>
      </c>
      <c r="B112" s="1" t="s">
        <v>0</v>
      </c>
      <c r="C112" s="1" t="s">
        <v>2</v>
      </c>
      <c r="D112" s="1" t="s">
        <v>1</v>
      </c>
      <c r="E112" s="6">
        <v>10</v>
      </c>
      <c r="F112" s="6">
        <v>10</v>
      </c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>
        <v>10</v>
      </c>
      <c r="AS112" s="4"/>
      <c r="AT112" s="4"/>
      <c r="AU112" s="4"/>
      <c r="AV112" s="4"/>
      <c r="AW112" s="2">
        <v>15</v>
      </c>
      <c r="AX112" s="2">
        <v>15</v>
      </c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60</v>
      </c>
      <c r="BQ112" s="1">
        <v>30</v>
      </c>
      <c r="BR112" s="17">
        <v>4</v>
      </c>
      <c r="BS112" s="17" t="s">
        <v>296</v>
      </c>
      <c r="BT112" s="1" t="str">
        <f>IF(AQ112&gt;AQ$128, AQ112-AQ$128,"")</f>
        <v/>
      </c>
      <c r="BU112" s="1" t="str">
        <f>IF(AR112&gt;AR$128, AR112-AR$128,"")</f>
        <v/>
      </c>
      <c r="BV112" s="1" t="str">
        <f>IF(AS112&gt;AS$128, AS112-AS$128,"")</f>
        <v/>
      </c>
      <c r="BW112" s="1" t="str">
        <f>IF(AT112&gt;AT$128, AT112-AT$128,"")</f>
        <v/>
      </c>
      <c r="BX112" s="1" t="str">
        <f>IF(AU112&gt;AU$128, AU112-AU$128,"")</f>
        <v/>
      </c>
      <c r="BY112" s="1" t="str">
        <f>IF(AV112&gt;AV$128, AV112-AV$128,"")</f>
        <v/>
      </c>
      <c r="BZ112" s="1" t="str">
        <f>IF(AW112&gt;AW$128, AW112-AW$128,"")</f>
        <v/>
      </c>
      <c r="CA112" s="1" t="str">
        <f>IF(AX112&gt;AX$128, AX112-AX$128,"")</f>
        <v/>
      </c>
      <c r="CB112" s="1" t="str">
        <f>IF(AY112&gt;AY$128, AY112-AY$128,"")</f>
        <v/>
      </c>
      <c r="CC112" s="1" t="str">
        <f>IF(AZ112&gt;AZ$128, AZ112-AZ$128,"")</f>
        <v/>
      </c>
      <c r="CD112" s="1" t="str">
        <f>IF(BA112&gt;BA$128, BA112-BA$128,"")</f>
        <v/>
      </c>
      <c r="CE112" s="1" t="str">
        <f>IF(BB112&gt;BB$128, BB112-BB$128,"")</f>
        <v/>
      </c>
      <c r="CF112" s="1">
        <f>COUNTIF(BT112:CE112, "&gt;0")</f>
        <v>0</v>
      </c>
      <c r="CG112" s="1" t="str">
        <f>IF($CF112=1,BT112,"")</f>
        <v/>
      </c>
      <c r="CH112" s="1" t="str">
        <f>IF($CF112=1,BU112,"")</f>
        <v/>
      </c>
      <c r="CI112" s="1" t="str">
        <f>IF($CF112=1,BV112,"")</f>
        <v/>
      </c>
      <c r="CJ112" s="1" t="str">
        <f>IF($CF112=1,BW112,"")</f>
        <v/>
      </c>
      <c r="CK112" s="1" t="str">
        <f>IF($CF112=1,BX112,"")</f>
        <v/>
      </c>
      <c r="CL112" s="1" t="str">
        <f>IF($CF112=1,BY112,"")</f>
        <v/>
      </c>
      <c r="CM112" s="1" t="str">
        <f>IF($CF112=1,BZ112,"")</f>
        <v/>
      </c>
      <c r="CN112" s="1" t="str">
        <f>IF($CF112=1,CA112,"")</f>
        <v/>
      </c>
      <c r="CO112" s="1" t="str">
        <f>IF($CF112=1,CB112,"")</f>
        <v/>
      </c>
      <c r="CP112" s="1" t="str">
        <f>IF($CF112=1,CC112,"")</f>
        <v/>
      </c>
      <c r="CQ112" s="1" t="str">
        <f>IF($CF112=1,CD112,"")</f>
        <v/>
      </c>
      <c r="CR112" s="1" t="str">
        <f>IF($CF112=1,CE112,"")</f>
        <v/>
      </c>
      <c r="CS112" s="3">
        <f>SUM(AE112:BO112)</f>
        <v>40</v>
      </c>
    </row>
    <row r="113" spans="1:97" ht="54" x14ac:dyDescent="0.15">
      <c r="A113" s="1"/>
      <c r="B113" s="1" t="s">
        <v>138</v>
      </c>
      <c r="C113" s="1" t="s">
        <v>139</v>
      </c>
      <c r="D113" s="1" t="s">
        <v>121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192</v>
      </c>
      <c r="BT113" s="1" t="str">
        <f>IF(AQ113&gt;AQ$128, AQ113-AQ$128,"")</f>
        <v/>
      </c>
      <c r="BU113" s="1" t="str">
        <f>IF(AR113&gt;AR$128, AR113-AR$128,"")</f>
        <v/>
      </c>
      <c r="BV113" s="1" t="str">
        <f>IF(AS113&gt;AS$128, AS113-AS$128,"")</f>
        <v/>
      </c>
      <c r="BW113" s="1" t="str">
        <f>IF(AT113&gt;AT$128, AT113-AT$128,"")</f>
        <v/>
      </c>
      <c r="BX113" s="1" t="str">
        <f>IF(AU113&gt;AU$128, AU113-AU$128,"")</f>
        <v/>
      </c>
      <c r="BY113" s="1" t="str">
        <f>IF(AV113&gt;AV$128, AV113-AV$128,"")</f>
        <v/>
      </c>
      <c r="BZ113" s="1" t="str">
        <f>IF(AW113&gt;AW$128, AW113-AW$128,"")</f>
        <v/>
      </c>
      <c r="CA113" s="1" t="str">
        <f>IF(AX113&gt;AX$128, AX113-AX$128,"")</f>
        <v/>
      </c>
      <c r="CB113" s="1" t="str">
        <f>IF(AY113&gt;AY$128, AY113-AY$128,"")</f>
        <v/>
      </c>
      <c r="CC113" s="1" t="str">
        <f>IF(AZ113&gt;AZ$128, AZ113-AZ$128,"")</f>
        <v/>
      </c>
      <c r="CD113" s="1" t="str">
        <f>IF(BA113&gt;BA$128, BA113-BA$128,"")</f>
        <v/>
      </c>
      <c r="CE113" s="1" t="str">
        <f>IF(BB113&gt;BB$128, BB113-BB$128,"")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144</v>
      </c>
      <c r="C114" s="1" t="s">
        <v>143</v>
      </c>
      <c r="D114" s="1" t="s">
        <v>121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298</v>
      </c>
      <c r="BT114" s="1" t="str">
        <f>IF(AQ114&gt;AQ$128, AQ114-AQ$128,"")</f>
        <v/>
      </c>
      <c r="BU114" s="1" t="str">
        <f>IF(AR114&gt;AR$128, AR114-AR$128,"")</f>
        <v/>
      </c>
      <c r="BV114" s="1" t="str">
        <f>IF(AS114&gt;AS$128, AS114-AS$128,"")</f>
        <v/>
      </c>
      <c r="BW114" s="1" t="str">
        <f>IF(AT114&gt;AT$128, AT114-AT$128,"")</f>
        <v/>
      </c>
      <c r="BX114" s="1" t="str">
        <f>IF(AU114&gt;AU$128, AU114-AU$128,"")</f>
        <v/>
      </c>
      <c r="BY114" s="1" t="str">
        <f>IF(AV114&gt;AV$128, AV114-AV$128,"")</f>
        <v/>
      </c>
      <c r="BZ114" s="1" t="str">
        <f>IF(AW114&gt;AW$128, AW114-AW$128,"")</f>
        <v/>
      </c>
      <c r="CA114" s="1" t="str">
        <f>IF(AX114&gt;AX$128, AX114-AX$128,"")</f>
        <v/>
      </c>
      <c r="CB114" s="1" t="str">
        <f>IF(AY114&gt;AY$128, AY114-AY$128,"")</f>
        <v/>
      </c>
      <c r="CC114" s="1" t="str">
        <f>IF(AZ114&gt;AZ$128, AZ114-AZ$128,"")</f>
        <v/>
      </c>
      <c r="CD114" s="1" t="str">
        <f>IF(BA114&gt;BA$128, BA114-BA$128,"")</f>
        <v/>
      </c>
      <c r="CE114" s="1" t="str">
        <f>IF(BB114&gt;BB$128, BB114-BB$128,"")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146</v>
      </c>
      <c r="C115" s="1" t="s">
        <v>148</v>
      </c>
      <c r="D115" s="1" t="s">
        <v>121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192</v>
      </c>
      <c r="BT115" s="1" t="str">
        <f>IF(AQ115&gt;AQ$128, AQ115-AQ$128,"")</f>
        <v/>
      </c>
      <c r="BU115" s="1" t="str">
        <f>IF(AR115&gt;AR$128, AR115-AR$128,"")</f>
        <v/>
      </c>
      <c r="BV115" s="1" t="str">
        <f>IF(AS115&gt;AS$128, AS115-AS$128,"")</f>
        <v/>
      </c>
      <c r="BW115" s="1" t="str">
        <f>IF(AT115&gt;AT$128, AT115-AT$128,"")</f>
        <v/>
      </c>
      <c r="BX115" s="1" t="str">
        <f>IF(AU115&gt;AU$128, AU115-AU$128,"")</f>
        <v/>
      </c>
      <c r="BY115" s="1" t="str">
        <f>IF(AV115&gt;AV$128, AV115-AV$128,"")</f>
        <v/>
      </c>
      <c r="BZ115" s="1" t="str">
        <f>IF(AW115&gt;AW$128, AW115-AW$128,"")</f>
        <v/>
      </c>
      <c r="CA115" s="1" t="str">
        <f>IF(AX115&gt;AX$128, AX115-AX$128,"")</f>
        <v/>
      </c>
      <c r="CB115" s="1" t="str">
        <f>IF(AY115&gt;AY$128, AY115-AY$128,"")</f>
        <v/>
      </c>
      <c r="CC115" s="1" t="str">
        <f>IF(AZ115&gt;AZ$128, AZ115-AZ$128,"")</f>
        <v/>
      </c>
      <c r="CD115" s="1" t="str">
        <f>IF(BA115&gt;BA$128, BA115-BA$128,"")</f>
        <v/>
      </c>
      <c r="CE115" s="1" t="str">
        <f>IF(BB115&gt;BB$128, BB115-BB$128,"")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152</v>
      </c>
      <c r="C116" s="1" t="s">
        <v>150</v>
      </c>
      <c r="D116" s="1" t="s">
        <v>121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298</v>
      </c>
      <c r="BT116" s="1" t="str">
        <f>IF(AQ116&gt;AQ$128, AQ116-AQ$128,"")</f>
        <v/>
      </c>
      <c r="BU116" s="1" t="str">
        <f>IF(AR116&gt;AR$128, AR116-AR$128,"")</f>
        <v/>
      </c>
      <c r="BV116" s="1" t="str">
        <f>IF(AS116&gt;AS$128, AS116-AS$128,"")</f>
        <v/>
      </c>
      <c r="BW116" s="1" t="str">
        <f>IF(AT116&gt;AT$128, AT116-AT$128,"")</f>
        <v/>
      </c>
      <c r="BX116" s="1" t="str">
        <f>IF(AU116&gt;AU$128, AU116-AU$128,"")</f>
        <v/>
      </c>
      <c r="BY116" s="1" t="str">
        <f>IF(AV116&gt;AV$128, AV116-AV$128,"")</f>
        <v/>
      </c>
      <c r="BZ116" s="1" t="str">
        <f>IF(AW116&gt;AW$128, AW116-AW$128,"")</f>
        <v/>
      </c>
      <c r="CA116" s="1" t="str">
        <f>IF(AX116&gt;AX$128, AX116-AX$128,"")</f>
        <v/>
      </c>
      <c r="CB116" s="1" t="str">
        <f>IF(AY116&gt;AY$128, AY116-AY$128,"")</f>
        <v/>
      </c>
      <c r="CC116" s="1" t="str">
        <f>IF(AZ116&gt;AZ$128, AZ116-AZ$128,"")</f>
        <v/>
      </c>
      <c r="CD116" s="1" t="str">
        <f>IF(BA116&gt;BA$128, BA116-BA$128,"")</f>
        <v/>
      </c>
      <c r="CE116" s="1" t="str">
        <f>IF(BB116&gt;BB$128, BB116-BB$128,"")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155</v>
      </c>
      <c r="C117" s="1" t="s">
        <v>150</v>
      </c>
      <c r="D117" s="1" t="s">
        <v>121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298</v>
      </c>
      <c r="BT117" s="1" t="str">
        <f>IF(AQ117&gt;AQ$128, AQ117-AQ$128,"")</f>
        <v/>
      </c>
      <c r="BU117" s="1" t="str">
        <f>IF(AR117&gt;AR$128, AR117-AR$128,"")</f>
        <v/>
      </c>
      <c r="BV117" s="1" t="str">
        <f>IF(AS117&gt;AS$128, AS117-AS$128,"")</f>
        <v/>
      </c>
      <c r="BW117" s="1" t="str">
        <f>IF(AT117&gt;AT$128, AT117-AT$128,"")</f>
        <v/>
      </c>
      <c r="BX117" s="1" t="str">
        <f>IF(AU117&gt;AU$128, AU117-AU$128,"")</f>
        <v/>
      </c>
      <c r="BY117" s="1" t="str">
        <f>IF(AV117&gt;AV$128, AV117-AV$128,"")</f>
        <v/>
      </c>
      <c r="BZ117" s="1" t="str">
        <f>IF(AW117&gt;AW$128, AW117-AW$128,"")</f>
        <v/>
      </c>
      <c r="CA117" s="1" t="str">
        <f>IF(AX117&gt;AX$128, AX117-AX$128,"")</f>
        <v/>
      </c>
      <c r="CB117" s="1" t="str">
        <f>IF(AY117&gt;AY$128, AY117-AY$128,"")</f>
        <v/>
      </c>
      <c r="CC117" s="1" t="str">
        <f>IF(AZ117&gt;AZ$128, AZ117-AZ$128,"")</f>
        <v/>
      </c>
      <c r="CD117" s="1" t="str">
        <f>IF(BA117&gt;BA$128, BA117-BA$128,"")</f>
        <v/>
      </c>
      <c r="CE117" s="1" t="str">
        <f>IF(BB117&gt;BB$128, BB117-BB$128,"")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156</v>
      </c>
      <c r="C118" s="1" t="s">
        <v>150</v>
      </c>
      <c r="D118" s="1" t="s">
        <v>121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192</v>
      </c>
      <c r="BT118" s="1" t="str">
        <f>IF(AQ118&gt;AQ$128, AQ118-AQ$128,"")</f>
        <v/>
      </c>
      <c r="BU118" s="1" t="str">
        <f>IF(AR118&gt;AR$128, AR118-AR$128,"")</f>
        <v/>
      </c>
      <c r="BV118" s="1" t="str">
        <f>IF(AS118&gt;AS$128, AS118-AS$128,"")</f>
        <v/>
      </c>
      <c r="BW118" s="1" t="str">
        <f>IF(AT118&gt;AT$128, AT118-AT$128,"")</f>
        <v/>
      </c>
      <c r="BX118" s="1" t="str">
        <f>IF(AU118&gt;AU$128, AU118-AU$128,"")</f>
        <v/>
      </c>
      <c r="BY118" s="1" t="str">
        <f>IF(AV118&gt;AV$128, AV118-AV$128,"")</f>
        <v/>
      </c>
      <c r="BZ118" s="1" t="str">
        <f>IF(AW118&gt;AW$128, AW118-AW$128,"")</f>
        <v/>
      </c>
      <c r="CA118" s="1" t="str">
        <f>IF(AX118&gt;AX$128, AX118-AX$128,"")</f>
        <v/>
      </c>
      <c r="CB118" s="1" t="str">
        <f>IF(AY118&gt;AY$128, AY118-AY$128,"")</f>
        <v/>
      </c>
      <c r="CC118" s="1" t="str">
        <f>IF(AZ118&gt;AZ$128, AZ118-AZ$128,"")</f>
        <v/>
      </c>
      <c r="CD118" s="1" t="str">
        <f>IF(BA118&gt;BA$128, BA118-BA$128,"")</f>
        <v/>
      </c>
      <c r="CE118" s="1" t="str">
        <f>IF(BB118&gt;BB$128, BB118-BB$128,"")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161</v>
      </c>
      <c r="C119" s="1" t="s">
        <v>103</v>
      </c>
      <c r="D119" s="1" t="s">
        <v>105</v>
      </c>
      <c r="E119" s="6">
        <v>10</v>
      </c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15</v>
      </c>
      <c r="AU119" s="4"/>
      <c r="AV119" s="4"/>
      <c r="AW119" s="2"/>
      <c r="AX119" s="2"/>
      <c r="AY119" s="2"/>
      <c r="AZ119" s="2">
        <v>15</v>
      </c>
      <c r="BA119" s="2">
        <v>15</v>
      </c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65</v>
      </c>
      <c r="BQ119" s="1">
        <v>35</v>
      </c>
      <c r="BR119" s="17">
        <v>4</v>
      </c>
      <c r="BS119" s="17" t="s">
        <v>299</v>
      </c>
      <c r="BT119" s="1" t="str">
        <f>IF(AQ119&gt;AQ$128, AQ119-AQ$128,"")</f>
        <v/>
      </c>
      <c r="BU119" s="1" t="str">
        <f>IF(AR119&gt;AR$128, AR119-AR$128,"")</f>
        <v/>
      </c>
      <c r="BV119" s="1" t="str">
        <f>IF(AS119&gt;AS$128, AS119-AS$128,"")</f>
        <v/>
      </c>
      <c r="BW119" s="1" t="str">
        <f>IF(AT119&gt;AT$128, AT119-AT$128,"")</f>
        <v/>
      </c>
      <c r="BX119" s="1" t="str">
        <f>IF(AU119&gt;AU$128, AU119-AU$128,"")</f>
        <v/>
      </c>
      <c r="BY119" s="1" t="str">
        <f>IF(AV119&gt;AV$128, AV119-AV$128,"")</f>
        <v/>
      </c>
      <c r="BZ119" s="1" t="str">
        <f>IF(AW119&gt;AW$128, AW119-AW$128,"")</f>
        <v/>
      </c>
      <c r="CA119" s="1" t="str">
        <f>IF(AX119&gt;AX$128, AX119-AX$128,"")</f>
        <v/>
      </c>
      <c r="CB119" s="1" t="str">
        <f>IF(AY119&gt;AY$128, AY119-AY$128,"")</f>
        <v/>
      </c>
      <c r="CC119" s="1" t="str">
        <f>IF(AZ119&gt;AZ$128, AZ119-AZ$128,"")</f>
        <v/>
      </c>
      <c r="CD119" s="1" t="str">
        <f>IF(BA119&gt;BA$128, BA119-BA$128,"")</f>
        <v/>
      </c>
      <c r="CE119" s="1" t="str">
        <f>IF(BB119&gt;BB$128, BB119-BB$128,"")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>
        <v>54</v>
      </c>
      <c r="B120" s="1" t="s">
        <v>55</v>
      </c>
      <c r="C120" s="1" t="s">
        <v>56</v>
      </c>
      <c r="D120" s="1" t="s">
        <v>1</v>
      </c>
      <c r="E120" s="6"/>
      <c r="F120" s="6">
        <v>15</v>
      </c>
      <c r="G120" s="6"/>
      <c r="H120" s="6">
        <v>15</v>
      </c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15</v>
      </c>
      <c r="AW120" s="2"/>
      <c r="AX120" s="2"/>
      <c r="AY120" s="2"/>
      <c r="AZ120" s="2"/>
      <c r="BA120" s="2">
        <v>15</v>
      </c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60</v>
      </c>
      <c r="BQ120" s="1">
        <v>46</v>
      </c>
      <c r="BR120" s="17">
        <v>4</v>
      </c>
      <c r="BS120" s="17" t="s">
        <v>300</v>
      </c>
      <c r="BT120" s="1" t="str">
        <f>IF(AQ120&gt;AQ$128, AQ120-AQ$128,"")</f>
        <v/>
      </c>
      <c r="BU120" s="1" t="str">
        <f>IF(AR120&gt;AR$128, AR120-AR$128,"")</f>
        <v/>
      </c>
      <c r="BV120" s="1" t="str">
        <f>IF(AS120&gt;AS$128, AS120-AS$128,"")</f>
        <v/>
      </c>
      <c r="BW120" s="1" t="str">
        <f>IF(AT120&gt;AT$128, AT120-AT$128,"")</f>
        <v/>
      </c>
      <c r="BX120" s="1" t="str">
        <f>IF(AU120&gt;AU$128, AU120-AU$128,"")</f>
        <v/>
      </c>
      <c r="BY120" s="1" t="str">
        <f>IF(AV120&gt;AV$128, AV120-AV$128,"")</f>
        <v/>
      </c>
      <c r="BZ120" s="1" t="str">
        <f>IF(AW120&gt;AW$128, AW120-AW$128,"")</f>
        <v/>
      </c>
      <c r="CA120" s="1" t="str">
        <f>IF(AX120&gt;AX$128, AX120-AX$128,"")</f>
        <v/>
      </c>
      <c r="CB120" s="1" t="str">
        <f>IF(AY120&gt;AY$128, AY120-AY$128,"")</f>
        <v/>
      </c>
      <c r="CC120" s="1" t="str">
        <f>IF(AZ120&gt;AZ$128, AZ120-AZ$128,"")</f>
        <v/>
      </c>
      <c r="CD120" s="1" t="str">
        <f>IF(BA120&gt;BA$128, BA120-BA$128,"")</f>
        <v/>
      </c>
      <c r="CE120" s="1" t="str">
        <f>IF(BB120&gt;BB$128, BB120-BB$128,"")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3">
        <f>SUM(AE120:BO120)</f>
        <v>30</v>
      </c>
    </row>
    <row r="121" spans="1:97" ht="54" x14ac:dyDescent="0.15">
      <c r="A121" s="1">
        <v>23</v>
      </c>
      <c r="B121" s="1" t="s">
        <v>100</v>
      </c>
      <c r="C121" s="1" t="s">
        <v>31</v>
      </c>
      <c r="D121" s="1" t="s">
        <v>39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145</v>
      </c>
      <c r="BR121" s="17">
        <v>4</v>
      </c>
      <c r="BS121" s="17" t="s">
        <v>220</v>
      </c>
      <c r="BT121" s="1" t="str">
        <f>IF(AQ121&gt;AQ$128, AQ121-AQ$128,"")</f>
        <v/>
      </c>
      <c r="BU121" s="1" t="str">
        <f>IF(AR121&gt;AR$128, AR121-AR$128,"")</f>
        <v/>
      </c>
      <c r="BV121" s="1" t="str">
        <f>IF(AS121&gt;AS$128, AS121-AS$128,"")</f>
        <v/>
      </c>
      <c r="BW121" s="1" t="str">
        <f>IF(AT121&gt;AT$128, AT121-AT$128,"")</f>
        <v/>
      </c>
      <c r="BX121" s="1" t="str">
        <f>IF(AU121&gt;AU$128, AU121-AU$128,"")</f>
        <v/>
      </c>
      <c r="BY121" s="1" t="str">
        <f>IF(AV121&gt;AV$128, AV121-AV$128,"")</f>
        <v/>
      </c>
      <c r="BZ121" s="1" t="str">
        <f>IF(AW121&gt;AW$128, AW121-AW$128,"")</f>
        <v/>
      </c>
      <c r="CA121" s="1" t="str">
        <f>IF(AX121&gt;AX$128, AX121-AX$128,"")</f>
        <v/>
      </c>
      <c r="CB121" s="1" t="str">
        <f>IF(AY121&gt;AY$128, AY121-AY$128,"")</f>
        <v/>
      </c>
      <c r="CC121" s="1" t="str">
        <f>IF(AZ121&gt;AZ$128, AZ121-AZ$128,"")</f>
        <v/>
      </c>
      <c r="CD121" s="1" t="str">
        <f>IF(BA121&gt;BA$128, BA121-BA$128,"")</f>
        <v/>
      </c>
      <c r="CE121" s="1" t="str">
        <f>IF(BB121&gt;BB$128, BB121-BB$128,"")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3">
        <f>SUM(AE121:BO121)</f>
        <v>200</v>
      </c>
    </row>
    <row r="122" spans="1:97" ht="54" x14ac:dyDescent="0.15">
      <c r="A122" s="1"/>
      <c r="B122" s="1" t="s">
        <v>175</v>
      </c>
      <c r="C122" s="1" t="s">
        <v>115</v>
      </c>
      <c r="D122" s="1" t="s">
        <v>116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145</v>
      </c>
      <c r="BR122" s="17">
        <v>4</v>
      </c>
      <c r="BS122" s="17" t="s">
        <v>301</v>
      </c>
      <c r="BT122" s="1" t="str">
        <f>IF(AQ122&gt;AQ$128, AQ122-AQ$128,"")</f>
        <v/>
      </c>
      <c r="BU122" s="1" t="str">
        <f>IF(AR122&gt;AR$128, AR122-AR$128,"")</f>
        <v/>
      </c>
      <c r="BV122" s="1" t="str">
        <f>IF(AS122&gt;AS$128, AS122-AS$128,"")</f>
        <v/>
      </c>
      <c r="BW122" s="1" t="str">
        <f>IF(AT122&gt;AT$128, AT122-AT$128,"")</f>
        <v/>
      </c>
      <c r="BX122" s="1" t="str">
        <f>IF(AU122&gt;AU$128, AU122-AU$128,"")</f>
        <v/>
      </c>
      <c r="BY122" s="1" t="str">
        <f>IF(AV122&gt;AV$128, AV122-AV$128,"")</f>
        <v/>
      </c>
      <c r="BZ122" s="1" t="str">
        <f>IF(AW122&gt;AW$128, AW122-AW$128,"")</f>
        <v/>
      </c>
      <c r="CA122" s="1" t="str">
        <f>IF(AX122&gt;AX$128, AX122-AX$128,"")</f>
        <v/>
      </c>
      <c r="CB122" s="1" t="str">
        <f>IF(AY122&gt;AY$128, AY122-AY$128,"")</f>
        <v/>
      </c>
      <c r="CC122" s="1" t="str">
        <f>IF(AZ122&gt;AZ$128, AZ122-AZ$128,"")</f>
        <v/>
      </c>
      <c r="CD122" s="1" t="str">
        <f>IF(BA122&gt;BA$128, BA122-BA$128,"")</f>
        <v/>
      </c>
      <c r="CE122" s="1" t="str">
        <f>IF(BB122&gt;BB$128, BB122-BB$128,"")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/>
      <c r="B123" s="1" t="s">
        <v>173</v>
      </c>
      <c r="C123" s="1" t="s">
        <v>149</v>
      </c>
      <c r="D123" s="1" t="s">
        <v>39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>
        <v>50</v>
      </c>
      <c r="BK123" s="1">
        <v>50</v>
      </c>
      <c r="BL123" s="1"/>
      <c r="BM123" s="1"/>
      <c r="BN123" s="1">
        <v>50</v>
      </c>
      <c r="BO123" s="1">
        <v>50</v>
      </c>
      <c r="BP123" s="1">
        <f>SUM(E123:BO123)</f>
        <v>200</v>
      </c>
      <c r="BQ123" s="1">
        <v>145</v>
      </c>
      <c r="BR123" s="17">
        <v>4</v>
      </c>
      <c r="BS123" s="17" t="s">
        <v>220</v>
      </c>
      <c r="BT123" s="1" t="str">
        <f>IF(AQ123&gt;AQ$128, AQ123-AQ$128,"")</f>
        <v/>
      </c>
      <c r="BU123" s="1" t="str">
        <f>IF(AR123&gt;AR$128, AR123-AR$128,"")</f>
        <v/>
      </c>
      <c r="BV123" s="1" t="str">
        <f>IF(AS123&gt;AS$128, AS123-AS$128,"")</f>
        <v/>
      </c>
      <c r="BW123" s="1" t="str">
        <f>IF(AT123&gt;AT$128, AT123-AT$128,"")</f>
        <v/>
      </c>
      <c r="BX123" s="1" t="str">
        <f>IF(AU123&gt;AU$128, AU123-AU$128,"")</f>
        <v/>
      </c>
      <c r="BY123" s="1" t="str">
        <f>IF(AV123&gt;AV$128, AV123-AV$128,"")</f>
        <v/>
      </c>
      <c r="BZ123" s="1" t="str">
        <f>IF(AW123&gt;AW$128, AW123-AW$128,"")</f>
        <v/>
      </c>
      <c r="CA123" s="1" t="str">
        <f>IF(AX123&gt;AX$128, AX123-AX$128,"")</f>
        <v/>
      </c>
      <c r="CB123" s="1" t="str">
        <f>IF(AY123&gt;AY$128, AY123-AY$128,"")</f>
        <v/>
      </c>
      <c r="CC123" s="1" t="str">
        <f>IF(AZ123&gt;AZ$128, AZ123-AZ$128,"")</f>
        <v/>
      </c>
      <c r="CD123" s="1" t="str">
        <f>IF(BA123&gt;BA$128, BA123-BA$128,"")</f>
        <v/>
      </c>
      <c r="CE123" s="1" t="str">
        <f>IF(BB123&gt;BB$128, BB123-BB$128,"")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54" x14ac:dyDescent="0.15">
      <c r="A124" s="1">
        <v>102</v>
      </c>
      <c r="B124" s="3" t="s">
        <v>228</v>
      </c>
      <c r="C124" s="3" t="s">
        <v>69</v>
      </c>
      <c r="D124" s="1" t="s">
        <v>39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145</v>
      </c>
      <c r="BR124" s="17">
        <v>4</v>
      </c>
      <c r="BS124" s="17" t="s">
        <v>301</v>
      </c>
      <c r="BT124" s="1" t="str">
        <f>IF(AQ124&gt;AQ$128, AQ124-AQ$128,"")</f>
        <v/>
      </c>
      <c r="BU124" s="1" t="str">
        <f>IF(AR124&gt;AR$128, AR124-AR$128,"")</f>
        <v/>
      </c>
      <c r="BV124" s="1" t="str">
        <f>IF(AS124&gt;AS$128, AS124-AS$128,"")</f>
        <v/>
      </c>
      <c r="BW124" s="1" t="str">
        <f>IF(AT124&gt;AT$128, AT124-AT$128,"")</f>
        <v/>
      </c>
      <c r="BX124" s="1" t="str">
        <f>IF(AU124&gt;AU$128, AU124-AU$128,"")</f>
        <v/>
      </c>
      <c r="BY124" s="1" t="str">
        <f>IF(AV124&gt;AV$128, AV124-AV$128,"")</f>
        <v/>
      </c>
      <c r="BZ124" s="1" t="str">
        <f>IF(AW124&gt;AW$128, AW124-AW$128,"")</f>
        <v/>
      </c>
      <c r="CA124" s="1" t="str">
        <f>IF(AX124&gt;AX$128, AX124-AX$128,"")</f>
        <v/>
      </c>
      <c r="CB124" s="1" t="str">
        <f>IF(AY124&gt;AY$128, AY124-AY$128,"")</f>
        <v/>
      </c>
      <c r="CC124" s="1" t="str">
        <f>IF(AZ124&gt;AZ$128, AZ124-AZ$128,"")</f>
        <v/>
      </c>
      <c r="CD124" s="1" t="str">
        <f>IF(BA124&gt;BA$128, BA124-BA$128,"")</f>
        <v/>
      </c>
      <c r="CE124" s="1" t="str">
        <f>IF(BB124&gt;BB$128, BB124-BB$128,"")</f>
        <v/>
      </c>
      <c r="CF124" s="1">
        <f>COUNTIF(BT124:CE124, "&gt;0")</f>
        <v>0</v>
      </c>
      <c r="CG124" s="1" t="str">
        <f>IF($CF124=1,BT124,"")</f>
        <v/>
      </c>
      <c r="CH124" s="1" t="str">
        <f>IF($CF124=1,BU124,"")</f>
        <v/>
      </c>
      <c r="CI124" s="1" t="str">
        <f>IF($CF124=1,BV124,"")</f>
        <v/>
      </c>
      <c r="CJ124" s="1" t="str">
        <f>IF($CF124=1,BW124,"")</f>
        <v/>
      </c>
      <c r="CK124" s="1" t="str">
        <f>IF($CF124=1,BX124,"")</f>
        <v/>
      </c>
      <c r="CL124" s="1" t="str">
        <f>IF($CF124=1,BY124,"")</f>
        <v/>
      </c>
      <c r="CM124" s="1" t="str">
        <f>IF($CF124=1,BZ124,"")</f>
        <v/>
      </c>
      <c r="CN124" s="1" t="str">
        <f>IF($CF124=1,CA124,"")</f>
        <v/>
      </c>
      <c r="CO124" s="1" t="str">
        <f>IF($CF124=1,CB124,"")</f>
        <v/>
      </c>
      <c r="CP124" s="1" t="str">
        <f>IF($CF124=1,CC124,"")</f>
        <v/>
      </c>
      <c r="CQ124" s="1" t="str">
        <f>IF($CF124=1,CD124,"")</f>
        <v/>
      </c>
      <c r="CR124" s="1" t="str">
        <f>IF($CF124=1,CE124,"")</f>
        <v/>
      </c>
      <c r="CS124" s="3">
        <f>SUM(AE124:BO124)</f>
        <v>200</v>
      </c>
    </row>
    <row r="125" spans="1:97" ht="54" x14ac:dyDescent="0.15">
      <c r="A125" s="1">
        <v>85</v>
      </c>
      <c r="B125" s="3" t="s">
        <v>189</v>
      </c>
      <c r="C125" s="3" t="s">
        <v>64</v>
      </c>
      <c r="D125" s="1" t="s">
        <v>39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>
        <v>50</v>
      </c>
      <c r="BM125" s="1">
        <v>50</v>
      </c>
      <c r="BN125" s="1">
        <v>50</v>
      </c>
      <c r="BO125" s="1">
        <v>50</v>
      </c>
      <c r="BP125" s="1">
        <f>SUM(E125:BO125)</f>
        <v>200</v>
      </c>
      <c r="BQ125" s="1">
        <v>146</v>
      </c>
      <c r="BR125" s="17">
        <v>4</v>
      </c>
      <c r="BS125" s="17" t="s">
        <v>302</v>
      </c>
      <c r="BT125" s="1" t="str">
        <f>IF(AQ125&gt;AQ$128, AQ125-AQ$128,"")</f>
        <v/>
      </c>
      <c r="BU125" s="1" t="str">
        <f>IF(AR125&gt;AR$128, AR125-AR$128,"")</f>
        <v/>
      </c>
      <c r="BV125" s="1" t="str">
        <f>IF(AS125&gt;AS$128, AS125-AS$128,"")</f>
        <v/>
      </c>
      <c r="BW125" s="1" t="str">
        <f>IF(AT125&gt;AT$128, AT125-AT$128,"")</f>
        <v/>
      </c>
      <c r="BX125" s="1" t="str">
        <f>IF(AU125&gt;AU$128, AU125-AU$128,"")</f>
        <v/>
      </c>
      <c r="BY125" s="1" t="str">
        <f>IF(AV125&gt;AV$128, AV125-AV$128,"")</f>
        <v/>
      </c>
      <c r="BZ125" s="1" t="str">
        <f>IF(AW125&gt;AW$128, AW125-AW$128,"")</f>
        <v/>
      </c>
      <c r="CA125" s="1" t="str">
        <f>IF(AX125&gt;AX$128, AX125-AX$128,"")</f>
        <v/>
      </c>
      <c r="CB125" s="1" t="str">
        <f>IF(AY125&gt;AY$128, AY125-AY$128,"")</f>
        <v/>
      </c>
      <c r="CC125" s="1" t="str">
        <f>IF(AZ125&gt;AZ$128, AZ125-AZ$128,"")</f>
        <v/>
      </c>
      <c r="CD125" s="1" t="str">
        <f>IF(BA125&gt;BA$128, BA125-BA$128,"")</f>
        <v/>
      </c>
      <c r="CE125" s="1" t="str">
        <f>IF(BB125&gt;BB$128, BB125-BB$128,"")</f>
        <v/>
      </c>
      <c r="CF125" s="1">
        <f>COUNTIF(BT125:CE125, "&gt;0")</f>
        <v>0</v>
      </c>
      <c r="CG125" s="1" t="str">
        <f>IF($CF125=1,BT125,"")</f>
        <v/>
      </c>
      <c r="CH125" s="1" t="str">
        <f>IF($CF125=1,BU125,"")</f>
        <v/>
      </c>
      <c r="CI125" s="1" t="str">
        <f>IF($CF125=1,BV125,"")</f>
        <v/>
      </c>
      <c r="CJ125" s="1" t="str">
        <f>IF($CF125=1,BW125,"")</f>
        <v/>
      </c>
      <c r="CK125" s="1" t="str">
        <f>IF($CF125=1,BX125,"")</f>
        <v/>
      </c>
      <c r="CL125" s="1" t="str">
        <f>IF($CF125=1,BY125,"")</f>
        <v/>
      </c>
      <c r="CM125" s="1" t="str">
        <f>IF($CF125=1,BZ125,"")</f>
        <v/>
      </c>
      <c r="CN125" s="1" t="str">
        <f>IF($CF125=1,CA125,"")</f>
        <v/>
      </c>
      <c r="CO125" s="1" t="str">
        <f>IF($CF125=1,CB125,"")</f>
        <v/>
      </c>
      <c r="CP125" s="1" t="str">
        <f>IF($CF125=1,CC125,"")</f>
        <v/>
      </c>
      <c r="CQ125" s="1" t="str">
        <f>IF($CF125=1,CD125,"")</f>
        <v/>
      </c>
      <c r="CR125" s="1" t="str">
        <f>IF($CF125=1,CE125,"")</f>
        <v/>
      </c>
      <c r="CS125" s="3">
        <f>SUM(AE125:BO125)</f>
        <v>200</v>
      </c>
    </row>
    <row r="126" spans="1:97" ht="54" x14ac:dyDescent="0.15">
      <c r="A126" s="1"/>
      <c r="B126" s="1" t="s">
        <v>185</v>
      </c>
      <c r="C126" s="1" t="s">
        <v>118</v>
      </c>
      <c r="D126" s="1" t="s">
        <v>116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>
        <v>50</v>
      </c>
      <c r="BM126" s="1">
        <v>50</v>
      </c>
      <c r="BN126" s="1">
        <v>50</v>
      </c>
      <c r="BO126" s="1">
        <v>50</v>
      </c>
      <c r="BP126" s="1">
        <f>SUM(E126:BO126)</f>
        <v>200</v>
      </c>
      <c r="BQ126" s="1">
        <v>146</v>
      </c>
      <c r="BR126" s="17">
        <v>4</v>
      </c>
      <c r="BS126" s="17" t="s">
        <v>227</v>
      </c>
      <c r="BT126" s="1" t="str">
        <f>IF(AQ126&gt;AQ$128, AQ126-AQ$128,"")</f>
        <v/>
      </c>
      <c r="BU126" s="1" t="str">
        <f>IF(AR126&gt;AR$128, AR126-AR$128,"")</f>
        <v/>
      </c>
      <c r="BV126" s="1" t="str">
        <f>IF(AS126&gt;AS$128, AS126-AS$128,"")</f>
        <v/>
      </c>
      <c r="BW126" s="1" t="str">
        <f>IF(AT126&gt;AT$128, AT126-AT$128,"")</f>
        <v/>
      </c>
      <c r="BX126" s="1" t="str">
        <f>IF(AU126&gt;AU$128, AU126-AU$128,"")</f>
        <v/>
      </c>
      <c r="BY126" s="1" t="str">
        <f>IF(AV126&gt;AV$128, AV126-AV$128,"")</f>
        <v/>
      </c>
      <c r="BZ126" s="1" t="str">
        <f>IF(AW126&gt;AW$128, AW126-AW$128,"")</f>
        <v/>
      </c>
      <c r="CA126" s="1" t="str">
        <f>IF(AX126&gt;AX$128, AX126-AX$128,"")</f>
        <v/>
      </c>
      <c r="CB126" s="1" t="str">
        <f>IF(AY126&gt;AY$128, AY126-AY$128,"")</f>
        <v/>
      </c>
      <c r="CC126" s="1" t="str">
        <f>IF(AZ126&gt;AZ$128, AZ126-AZ$128,"")</f>
        <v/>
      </c>
      <c r="CD126" s="1" t="str">
        <f>IF(BA126&gt;BA$128, BA126-BA$128,"")</f>
        <v/>
      </c>
      <c r="CE126" s="1" t="str">
        <f>IF(BB126&gt;BB$128, BB126-BB$128,"")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3"/>
    </row>
    <row r="127" spans="1:97" ht="54" x14ac:dyDescent="0.15">
      <c r="A127" s="1"/>
      <c r="B127" s="1" t="s">
        <v>212</v>
      </c>
      <c r="C127" s="1" t="s">
        <v>118</v>
      </c>
      <c r="D127" s="1" t="s">
        <v>116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>
        <v>50</v>
      </c>
      <c r="BM127" s="1">
        <v>50</v>
      </c>
      <c r="BN127" s="1">
        <v>50</v>
      </c>
      <c r="BO127" s="1">
        <v>50</v>
      </c>
      <c r="BP127" s="1">
        <f>SUM(E127:BO127)</f>
        <v>200</v>
      </c>
      <c r="BQ127" s="1">
        <v>146</v>
      </c>
      <c r="BR127" s="17">
        <v>4</v>
      </c>
      <c r="BS127" s="17" t="s">
        <v>302</v>
      </c>
      <c r="BT127" s="1" t="str">
        <f>IF(AQ127&gt;AQ$128, AQ127-AQ$128,"")</f>
        <v/>
      </c>
      <c r="BU127" s="1" t="str">
        <f>IF(AR127&gt;AR$128, AR127-AR$128,"")</f>
        <v/>
      </c>
      <c r="BV127" s="1" t="str">
        <f>IF(AS127&gt;AS$128, AS127-AS$128,"")</f>
        <v/>
      </c>
      <c r="BW127" s="1" t="str">
        <f>IF(AT127&gt;AT$128, AT127-AT$128,"")</f>
        <v/>
      </c>
      <c r="BX127" s="1" t="str">
        <f>IF(AU127&gt;AU$128, AU127-AU$128,"")</f>
        <v/>
      </c>
      <c r="BY127" s="1" t="str">
        <f>IF(AV127&gt;AV$128, AV127-AV$128,"")</f>
        <v/>
      </c>
      <c r="BZ127" s="1" t="str">
        <f>IF(AW127&gt;AW$128, AW127-AW$128,"")</f>
        <v/>
      </c>
      <c r="CA127" s="1" t="str">
        <f>IF(AX127&gt;AX$128, AX127-AX$128,"")</f>
        <v/>
      </c>
      <c r="CB127" s="1" t="str">
        <f>IF(AY127&gt;AY$128, AY127-AY$128,"")</f>
        <v/>
      </c>
      <c r="CC127" s="1" t="str">
        <f>IF(AZ127&gt;AZ$128, AZ127-AZ$128,"")</f>
        <v/>
      </c>
      <c r="CD127" s="1" t="str">
        <f>IF(BA127&gt;BA$128, BA127-BA$128,"")</f>
        <v/>
      </c>
      <c r="CE127" s="1" t="str">
        <f>IF(BB127&gt;BB$128, BB127-BB$128,"")</f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3"/>
    </row>
    <row r="128" spans="1:97" x14ac:dyDescent="0.15">
      <c r="A128" s="1"/>
      <c r="B128" s="1" t="s">
        <v>71</v>
      </c>
      <c r="C128" s="1"/>
      <c r="D128" s="1"/>
      <c r="E128" s="6">
        <f>SUM(E3:E127)</f>
        <v>148</v>
      </c>
      <c r="F128" s="6">
        <f>SUM(F3:F127)</f>
        <v>68</v>
      </c>
      <c r="G128" s="6">
        <f>SUM(G3:G127)</f>
        <v>201</v>
      </c>
      <c r="H128" s="6">
        <f>SUM(H3:H127)</f>
        <v>161</v>
      </c>
      <c r="I128" s="6">
        <f>SUM(I3:I127)</f>
        <v>23</v>
      </c>
      <c r="J128" s="6">
        <f>SUM(J3:J127)</f>
        <v>40</v>
      </c>
      <c r="K128" s="6">
        <f>SUM(K3:K127)</f>
        <v>26</v>
      </c>
      <c r="L128" s="6">
        <f>SUM(L3:L127)</f>
        <v>102</v>
      </c>
      <c r="M128" s="6">
        <f>SUM(M3:M127)</f>
        <v>37</v>
      </c>
      <c r="N128" s="6">
        <f>SUM(N3:N127)</f>
        <v>26</v>
      </c>
      <c r="O128" s="6">
        <f>SUM(O3:O127)</f>
        <v>88</v>
      </c>
      <c r="P128" s="28">
        <f>SUM(P3:P127)</f>
        <v>130</v>
      </c>
      <c r="Q128" s="28">
        <f>SUM(Q3:Q127)</f>
        <v>76</v>
      </c>
      <c r="R128" s="28">
        <f>SUM(R3:R127)</f>
        <v>83</v>
      </c>
      <c r="S128" s="28">
        <f>SUM(S3:S127)</f>
        <v>130</v>
      </c>
      <c r="T128" s="28">
        <f>SUM(T3:T127)</f>
        <v>61</v>
      </c>
      <c r="U128" s="28">
        <f>SUM(U3:U127)</f>
        <v>62</v>
      </c>
      <c r="V128" s="28">
        <f>SUM(V3:V127)</f>
        <v>135</v>
      </c>
      <c r="W128" s="28">
        <f>SUM(W3:W127)</f>
        <v>35</v>
      </c>
      <c r="X128" s="28">
        <f>SUM(X3:X127)</f>
        <v>59</v>
      </c>
      <c r="Y128" s="28">
        <f>SUM(Y3:Y127)</f>
        <v>125</v>
      </c>
      <c r="Z128" s="28">
        <f>SUM(Z3:Z127)</f>
        <v>50</v>
      </c>
      <c r="AA128" s="28">
        <f>SUM(AA3:AA127)</f>
        <v>35</v>
      </c>
      <c r="AB128" s="28">
        <f>SUM(AB3:AB127)</f>
        <v>140</v>
      </c>
      <c r="AC128" s="28">
        <f>SUM(AC3:AC127)</f>
        <v>30</v>
      </c>
      <c r="AD128" s="28">
        <f>SUM(AD3:AD127)</f>
        <v>22</v>
      </c>
      <c r="AE128" s="1">
        <f>SUM(AE3:AE127)</f>
        <v>265</v>
      </c>
      <c r="AF128" s="1">
        <f>SUM(AF3:AF127)</f>
        <v>10</v>
      </c>
      <c r="AG128" s="1">
        <f>SUM(AG3:AG127)</f>
        <v>15</v>
      </c>
      <c r="AH128" s="1">
        <f>SUM(AH3:AH127)</f>
        <v>30</v>
      </c>
      <c r="AI128" s="1">
        <f>SUM(AI3:AI127)</f>
        <v>30</v>
      </c>
      <c r="AJ128" s="1">
        <f>SUM(AJ3:AJ127)</f>
        <v>5</v>
      </c>
      <c r="AK128" s="1">
        <f>SUM(AK3:AK127)</f>
        <v>0</v>
      </c>
      <c r="AL128" s="1">
        <f>SUM(AL3:AL127)</f>
        <v>0</v>
      </c>
      <c r="AM128" s="1">
        <f>SUM(AM3:AM127)</f>
        <v>20</v>
      </c>
      <c r="AN128" s="1">
        <f>SUM(AN3:AN127)</f>
        <v>50</v>
      </c>
      <c r="AO128" s="1">
        <f>SUM(AO3:AO127)</f>
        <v>25</v>
      </c>
      <c r="AP128" s="1">
        <f>SUM(AP3:AP127)</f>
        <v>26</v>
      </c>
      <c r="AQ128" s="4">
        <f>SUM(AQ3:AQ127)</f>
        <v>80</v>
      </c>
      <c r="AR128" s="4">
        <f>SUM(AR3:AR127)</f>
        <v>115</v>
      </c>
      <c r="AS128" s="4">
        <f>SUM(AS3:AS127)</f>
        <v>75</v>
      </c>
      <c r="AT128" s="4">
        <f>SUM(AT3:AT127)</f>
        <v>85</v>
      </c>
      <c r="AU128" s="4">
        <f>SUM(AU3:AU127)</f>
        <v>40</v>
      </c>
      <c r="AV128" s="4">
        <f>SUM(AV3:AV127)</f>
        <v>105</v>
      </c>
      <c r="AW128" s="2">
        <f>SUM(AW3:AW127)</f>
        <v>100</v>
      </c>
      <c r="AX128" s="2">
        <f>SUM(AX3:AX127)</f>
        <v>70</v>
      </c>
      <c r="AY128" s="2">
        <f>SUM(AY3:AY127)</f>
        <v>35</v>
      </c>
      <c r="AZ128" s="2">
        <f>SUM(AZ3:AZ127)</f>
        <v>75</v>
      </c>
      <c r="BA128" s="2">
        <f>SUM(BA3:BA127)</f>
        <v>185</v>
      </c>
      <c r="BB128" s="2">
        <f>SUM(BB3:BB127)</f>
        <v>345</v>
      </c>
      <c r="BC128" s="1">
        <f>SUM(BC3:BC127)</f>
        <v>10</v>
      </c>
      <c r="BD128" s="1">
        <f>SUM(BD3:BD127)</f>
        <v>150</v>
      </c>
      <c r="BE128" s="1">
        <f>SUM(BE3:BE127)</f>
        <v>100</v>
      </c>
      <c r="BF128" s="1">
        <f>SUM(BF3:BF127)</f>
        <v>100</v>
      </c>
      <c r="BG128" s="1">
        <f>SUM(BG3:BG127)</f>
        <v>100</v>
      </c>
      <c r="BH128" s="1">
        <f>SUM(BH3:BH127)</f>
        <v>90</v>
      </c>
      <c r="BI128" s="1">
        <f>SUM(BI3:BI127)</f>
        <v>70</v>
      </c>
      <c r="BJ128" s="1">
        <f>SUM(BJ3:BJ127)</f>
        <v>200</v>
      </c>
      <c r="BK128" s="1">
        <f>SUM(BK3:BK127)</f>
        <v>200</v>
      </c>
      <c r="BL128" s="1">
        <f>SUM(BL3:BL127)</f>
        <v>150</v>
      </c>
      <c r="BM128" s="1">
        <f>SUM(BM3:BM127)</f>
        <v>150</v>
      </c>
      <c r="BN128" s="1">
        <f>SUM(BN3:BN127)</f>
        <v>350</v>
      </c>
      <c r="BO128" s="1">
        <f>SUM(BO3:BO127)</f>
        <v>350</v>
      </c>
      <c r="BP128" s="1"/>
      <c r="BQ128" s="1"/>
      <c r="BR128" s="17"/>
      <c r="BS128" s="17"/>
      <c r="BT128" s="1">
        <f>MIN(BT3:BT127)</f>
        <v>0</v>
      </c>
      <c r="BU128" s="1">
        <f>MIN(BU3:BU127)</f>
        <v>0</v>
      </c>
      <c r="BV128" s="1">
        <f>MIN(BV3:BV127)</f>
        <v>0</v>
      </c>
      <c r="BW128" s="1">
        <f>MIN(BW3:BW127)</f>
        <v>0</v>
      </c>
      <c r="BX128" s="1">
        <f>MIN(BX3:BX127)</f>
        <v>0</v>
      </c>
      <c r="BY128" s="1">
        <f>MIN(BY3:BY127)</f>
        <v>0</v>
      </c>
      <c r="BZ128" s="1">
        <f>MIN(BZ3:BZ127)</f>
        <v>0</v>
      </c>
      <c r="CA128" s="1">
        <f>MIN(CA3:CA127)</f>
        <v>0</v>
      </c>
      <c r="CB128" s="1">
        <f>MIN(CB3:CB127)</f>
        <v>0</v>
      </c>
      <c r="CC128" s="1">
        <f>MIN(CC3:CC127)</f>
        <v>0</v>
      </c>
      <c r="CD128" s="1">
        <f>MIN(CD3:CD127)</f>
        <v>0</v>
      </c>
      <c r="CE128" s="1">
        <f>MIN(CE3:CE127)</f>
        <v>0</v>
      </c>
      <c r="CF128" s="1"/>
      <c r="CG128" s="1">
        <f>MIN(CG3:CG127)</f>
        <v>0</v>
      </c>
      <c r="CH128" s="1">
        <f>MIN(CH3:CH127)</f>
        <v>0</v>
      </c>
      <c r="CI128" s="1">
        <f>MIN(CI3:CI127)</f>
        <v>0</v>
      </c>
      <c r="CJ128" s="1">
        <f>MIN(CJ3:CJ127)</f>
        <v>0</v>
      </c>
      <c r="CK128" s="1">
        <f>MIN(CK3:CK127)</f>
        <v>0</v>
      </c>
      <c r="CL128" s="1">
        <f>MIN(CL3:CL127)</f>
        <v>0</v>
      </c>
      <c r="CM128" s="1">
        <f>MIN(CM3:CM127)</f>
        <v>0</v>
      </c>
      <c r="CN128" s="1">
        <f>MIN(CN3:CN127)</f>
        <v>0</v>
      </c>
      <c r="CO128" s="1">
        <f>MIN(CO3:CO127)</f>
        <v>0</v>
      </c>
      <c r="CP128" s="1">
        <f>MIN(CP3:CP127)</f>
        <v>0</v>
      </c>
      <c r="CQ128" s="1">
        <f>MIN(CQ3:CQ127)</f>
        <v>0</v>
      </c>
      <c r="CR128" s="1">
        <f>MIN(CR3:CR127)</f>
        <v>0</v>
      </c>
      <c r="CS128" s="3">
        <f>COUNTIF(CS3:CS127,"=0")</f>
        <v>1</v>
      </c>
    </row>
    <row r="129" spans="1:97" x14ac:dyDescent="0.15">
      <c r="A129" s="1"/>
      <c r="B129" s="3" t="s">
        <v>92</v>
      </c>
      <c r="C129" s="1"/>
      <c r="D129" s="1"/>
      <c r="E129" s="1">
        <v>8</v>
      </c>
      <c r="F129" s="1">
        <v>1</v>
      </c>
      <c r="G129" s="1">
        <v>16</v>
      </c>
      <c r="H129" s="1">
        <v>3</v>
      </c>
      <c r="I129" s="1">
        <v>10</v>
      </c>
      <c r="J129" s="1">
        <v>14</v>
      </c>
      <c r="K129" s="1">
        <v>11</v>
      </c>
      <c r="L129" s="1">
        <v>55</v>
      </c>
      <c r="M129" s="1">
        <v>20</v>
      </c>
      <c r="N129" s="1">
        <v>22</v>
      </c>
      <c r="O129" s="1">
        <v>9</v>
      </c>
      <c r="P129" s="14">
        <v>2</v>
      </c>
      <c r="Q129" s="14">
        <v>1</v>
      </c>
      <c r="R129" s="14">
        <v>2</v>
      </c>
      <c r="S129" s="14">
        <v>1</v>
      </c>
      <c r="T129" s="14">
        <v>5</v>
      </c>
      <c r="U129" s="14">
        <v>0</v>
      </c>
      <c r="V129" s="14">
        <v>2</v>
      </c>
      <c r="W129" s="14">
        <v>2</v>
      </c>
      <c r="X129" s="14">
        <v>6</v>
      </c>
      <c r="Y129" s="14">
        <v>0</v>
      </c>
      <c r="Z129" s="14">
        <v>1</v>
      </c>
      <c r="AA129" s="14">
        <v>1</v>
      </c>
      <c r="AB129" s="14">
        <v>8</v>
      </c>
      <c r="AC129" s="14">
        <v>2</v>
      </c>
      <c r="AD129" s="14">
        <v>4</v>
      </c>
      <c r="AE129" s="1">
        <v>11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33</v>
      </c>
      <c r="AL129" s="1">
        <v>43</v>
      </c>
      <c r="AM129" s="1">
        <v>13</v>
      </c>
      <c r="AN129" s="1">
        <v>0</v>
      </c>
      <c r="AO129" s="1">
        <v>0</v>
      </c>
      <c r="AP129" s="1">
        <v>0</v>
      </c>
      <c r="AQ129" s="14">
        <v>2</v>
      </c>
      <c r="AR129" s="14">
        <v>6</v>
      </c>
      <c r="AS129" s="14">
        <v>3</v>
      </c>
      <c r="AT129" s="14">
        <v>2</v>
      </c>
      <c r="AU129" s="14">
        <v>5</v>
      </c>
      <c r="AV129" s="14">
        <v>4</v>
      </c>
      <c r="AW129" s="14">
        <v>0</v>
      </c>
      <c r="AX129" s="14">
        <v>29</v>
      </c>
      <c r="AY129" s="14">
        <v>8</v>
      </c>
      <c r="AZ129" s="14">
        <v>4</v>
      </c>
      <c r="BA129" s="14">
        <v>6</v>
      </c>
      <c r="BB129" s="14">
        <v>125</v>
      </c>
      <c r="BC129" s="14">
        <v>9</v>
      </c>
      <c r="BD129" s="1">
        <v>114</v>
      </c>
      <c r="BE129" s="1">
        <v>196</v>
      </c>
      <c r="BF129" s="1">
        <v>193</v>
      </c>
      <c r="BG129" s="1">
        <v>202</v>
      </c>
      <c r="BH129" s="1">
        <v>93</v>
      </c>
      <c r="BI129" s="1">
        <v>106</v>
      </c>
      <c r="BJ129" s="1">
        <v>25</v>
      </c>
      <c r="BK129" s="1">
        <v>25</v>
      </c>
      <c r="BL129" s="1">
        <v>49</v>
      </c>
      <c r="BM129" s="1"/>
      <c r="BN129" s="1">
        <v>5</v>
      </c>
      <c r="BO129" s="1"/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x14ac:dyDescent="0.15">
      <c r="A130" s="1"/>
      <c r="B130" s="3" t="s">
        <v>99</v>
      </c>
      <c r="C130" s="1"/>
      <c r="D130" s="1"/>
      <c r="E130" s="1">
        <f>E129-E128</f>
        <v>-140</v>
      </c>
      <c r="F130" s="1">
        <f>F129-F128</f>
        <v>-67</v>
      </c>
      <c r="G130" s="1">
        <f>G129-G128</f>
        <v>-185</v>
      </c>
      <c r="H130" s="1">
        <f>H129-H128</f>
        <v>-158</v>
      </c>
      <c r="I130" s="1">
        <f>I129-I128</f>
        <v>-13</v>
      </c>
      <c r="J130" s="1">
        <f>J129-J128</f>
        <v>-26</v>
      </c>
      <c r="K130" s="1">
        <f>K129-K128</f>
        <v>-15</v>
      </c>
      <c r="L130" s="1">
        <f>L129-L128</f>
        <v>-47</v>
      </c>
      <c r="M130" s="1">
        <f>M129-M128</f>
        <v>-17</v>
      </c>
      <c r="N130" s="1">
        <f>N129-N128</f>
        <v>-4</v>
      </c>
      <c r="O130" s="1">
        <f>O129-O128</f>
        <v>-79</v>
      </c>
      <c r="P130" s="1">
        <f>P129-P128</f>
        <v>-128</v>
      </c>
      <c r="Q130" s="1">
        <f>Q129-Q128</f>
        <v>-75</v>
      </c>
      <c r="R130" s="1">
        <f>R129-R128</f>
        <v>-81</v>
      </c>
      <c r="S130" s="1">
        <f>S129-S128</f>
        <v>-129</v>
      </c>
      <c r="T130" s="1">
        <f>T129-T128</f>
        <v>-56</v>
      </c>
      <c r="U130" s="1">
        <f>U129-U128</f>
        <v>-62</v>
      </c>
      <c r="V130" s="1">
        <f>V129-V128</f>
        <v>-133</v>
      </c>
      <c r="W130" s="1">
        <f>W129-W128</f>
        <v>-33</v>
      </c>
      <c r="X130" s="1">
        <f>X129-X128</f>
        <v>-53</v>
      </c>
      <c r="Y130" s="1">
        <f>Y129-Y128</f>
        <v>-125</v>
      </c>
      <c r="Z130" s="1">
        <f>Z129-Z128</f>
        <v>-49</v>
      </c>
      <c r="AA130" s="1">
        <f>AA129-AA128</f>
        <v>-34</v>
      </c>
      <c r="AB130" s="1">
        <f>AB129-AB128</f>
        <v>-132</v>
      </c>
      <c r="AC130" s="1">
        <f>AC129-AC128</f>
        <v>-28</v>
      </c>
      <c r="AD130" s="1">
        <f>AD129-AD128</f>
        <v>-18</v>
      </c>
      <c r="AE130" s="1">
        <f>AE129-AE128</f>
        <v>-254</v>
      </c>
      <c r="AF130" s="1">
        <f>AF129-AF128</f>
        <v>-10</v>
      </c>
      <c r="AG130" s="1">
        <f>AG129-AG128</f>
        <v>-15</v>
      </c>
      <c r="AH130" s="1">
        <f>AH129-AH128</f>
        <v>-30</v>
      </c>
      <c r="AI130" s="1">
        <f>AI129-AI128</f>
        <v>-30</v>
      </c>
      <c r="AJ130" s="1">
        <f>AJ129-AJ128</f>
        <v>-5</v>
      </c>
      <c r="AK130" s="1">
        <f>AK129-AK128</f>
        <v>33</v>
      </c>
      <c r="AL130" s="1">
        <f>AL129-AL128</f>
        <v>43</v>
      </c>
      <c r="AM130" s="1">
        <f>AM129-AM128</f>
        <v>-7</v>
      </c>
      <c r="AN130" s="1">
        <f>AN129-AN128</f>
        <v>-50</v>
      </c>
      <c r="AO130" s="1">
        <f>AO129-AO128</f>
        <v>-25</v>
      </c>
      <c r="AP130" s="1">
        <f>AP129-AP128</f>
        <v>-26</v>
      </c>
      <c r="AQ130" s="1">
        <f>AQ129-AQ128</f>
        <v>-78</v>
      </c>
      <c r="AR130" s="1">
        <f>AR129-AR128</f>
        <v>-109</v>
      </c>
      <c r="AS130" s="1">
        <f>AS129-AS128</f>
        <v>-72</v>
      </c>
      <c r="AT130" s="1">
        <f>AT129-AT128</f>
        <v>-83</v>
      </c>
      <c r="AU130" s="1">
        <f>AU129-AU128</f>
        <v>-35</v>
      </c>
      <c r="AV130" s="1">
        <f>AV129-AV128</f>
        <v>-101</v>
      </c>
      <c r="AW130" s="1">
        <f>AW129-AW128</f>
        <v>-100</v>
      </c>
      <c r="AX130" s="1">
        <f>AX129-AX128</f>
        <v>-41</v>
      </c>
      <c r="AY130" s="1">
        <f>AY129-AY128</f>
        <v>-27</v>
      </c>
      <c r="AZ130" s="1">
        <f>AZ129-AZ128</f>
        <v>-71</v>
      </c>
      <c r="BA130" s="1">
        <f>BA129-BA128</f>
        <v>-179</v>
      </c>
      <c r="BB130" s="1">
        <f>BB129-BB128</f>
        <v>-220</v>
      </c>
      <c r="BC130" s="1">
        <f>BC129-BC128</f>
        <v>-1</v>
      </c>
      <c r="BD130" s="1">
        <f>BD129-BD128</f>
        <v>-36</v>
      </c>
      <c r="BE130" s="1">
        <f>BE129-BE128</f>
        <v>96</v>
      </c>
      <c r="BF130" s="1">
        <f>BF129-BF128</f>
        <v>93</v>
      </c>
      <c r="BG130" s="1">
        <f>BG129-BG128</f>
        <v>102</v>
      </c>
      <c r="BH130" s="1">
        <f>BH129-BH128</f>
        <v>3</v>
      </c>
      <c r="BI130" s="1">
        <f>BI129-BI128</f>
        <v>36</v>
      </c>
      <c r="BJ130" s="1">
        <f>BJ129-BJ128</f>
        <v>-175</v>
      </c>
      <c r="BK130" s="1">
        <f>BK129-BK128</f>
        <v>-175</v>
      </c>
      <c r="BL130" s="1">
        <f>BL129-BL128</f>
        <v>-101</v>
      </c>
      <c r="BM130" s="1">
        <f>BM129-BM128</f>
        <v>-150</v>
      </c>
      <c r="BN130" s="1">
        <f>BN129-BN128</f>
        <v>-345</v>
      </c>
      <c r="BO130" s="1">
        <f>BO129-BO128</f>
        <v>-350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  <row r="131" spans="1:97" x14ac:dyDescent="0.15">
      <c r="A131" s="1"/>
      <c r="B131" s="3" t="s">
        <v>193</v>
      </c>
      <c r="C131" s="1"/>
      <c r="D131" s="1"/>
      <c r="E131" s="1">
        <f>MAX(E3:E127)</f>
        <v>15</v>
      </c>
      <c r="F131" s="1">
        <f>MAX(F3:F127)</f>
        <v>20</v>
      </c>
      <c r="G131" s="1">
        <f>MAX(G3:G127)</f>
        <v>20</v>
      </c>
      <c r="H131" s="1">
        <f>MAX(H3:H127)</f>
        <v>20</v>
      </c>
      <c r="I131" s="1">
        <f>MAX(I3:I127)</f>
        <v>10</v>
      </c>
      <c r="J131" s="1">
        <f>MAX(J3:J127)</f>
        <v>10</v>
      </c>
      <c r="K131" s="1">
        <f>MAX(K3:K127)</f>
        <v>20</v>
      </c>
      <c r="L131" s="1">
        <f>MAX(L3:L127)</f>
        <v>20</v>
      </c>
      <c r="M131" s="1">
        <f>MAX(M3:M127)</f>
        <v>15</v>
      </c>
      <c r="N131" s="1">
        <f>MAX(N3:N127)</f>
        <v>20</v>
      </c>
      <c r="O131" s="1">
        <f>MAX(O3:O127)</f>
        <v>20</v>
      </c>
      <c r="P131" s="1">
        <f>MAX(P3:P127)</f>
        <v>10</v>
      </c>
      <c r="Q131" s="1">
        <f>MAX(Q3:Q127)</f>
        <v>7</v>
      </c>
      <c r="R131" s="1">
        <f>MAX(R3:R127)</f>
        <v>10</v>
      </c>
      <c r="S131" s="1">
        <f>MAX(S3:S127)</f>
        <v>10</v>
      </c>
      <c r="T131" s="1">
        <f>MAX(T3:T127)</f>
        <v>7</v>
      </c>
      <c r="U131" s="1">
        <f>MAX(U3:U127)</f>
        <v>10</v>
      </c>
      <c r="V131" s="1">
        <f>MAX(V3:V127)</f>
        <v>10</v>
      </c>
      <c r="W131" s="1">
        <f>MAX(W3:W127)</f>
        <v>5</v>
      </c>
      <c r="X131" s="1">
        <f>MAX(X3:X127)</f>
        <v>10</v>
      </c>
      <c r="Y131" s="1">
        <f>MAX(Y3:Y127)</f>
        <v>10</v>
      </c>
      <c r="Z131" s="1">
        <f>MAX(Z3:Z127)</f>
        <v>5</v>
      </c>
      <c r="AA131" s="1">
        <f>MAX(AA3:AA127)</f>
        <v>10</v>
      </c>
      <c r="AB131" s="1">
        <f>MAX(AB3:AB127)</f>
        <v>10</v>
      </c>
      <c r="AC131" s="1">
        <f>MAX(AC3:AC127)</f>
        <v>5</v>
      </c>
      <c r="AD131" s="1">
        <f>MAX(AD3:AD127)</f>
        <v>10</v>
      </c>
      <c r="AE131" s="1">
        <f>MAX(AE3:AE127)</f>
        <v>200</v>
      </c>
      <c r="AF131" s="1">
        <f>MAX(AF3:AF127)</f>
        <v>5</v>
      </c>
      <c r="AG131" s="1">
        <f>MAX(AG3:AG127)</f>
        <v>5</v>
      </c>
      <c r="AH131" s="1">
        <f>MAX(AH3:AH127)</f>
        <v>5</v>
      </c>
      <c r="AI131" s="1">
        <f>MAX(AI3:AI127)</f>
        <v>5</v>
      </c>
      <c r="AJ131" s="1">
        <f>MAX(AJ3:AJ127)</f>
        <v>5</v>
      </c>
      <c r="AK131" s="1">
        <f>MAX(AK3:AK127)</f>
        <v>0</v>
      </c>
      <c r="AL131" s="1">
        <f>MAX(AL3:AL127)</f>
        <v>0</v>
      </c>
      <c r="AM131" s="1">
        <f>MAX(AM3:AM127)</f>
        <v>15</v>
      </c>
      <c r="AN131" s="1">
        <f>MAX(AN3:AN127)</f>
        <v>25</v>
      </c>
      <c r="AO131" s="1">
        <f>MAX(AO3:AO127)</f>
        <v>10</v>
      </c>
      <c r="AP131" s="1">
        <f>MAX(AP3:AP127)</f>
        <v>10</v>
      </c>
      <c r="AQ131" s="1">
        <f>MAX(AQ3:AQ127)</f>
        <v>15</v>
      </c>
      <c r="AR131" s="1">
        <f>MAX(AR3:AR127)</f>
        <v>15</v>
      </c>
      <c r="AS131" s="1">
        <f>MAX(AS3:AS127)</f>
        <v>15</v>
      </c>
      <c r="AT131" s="1">
        <f>MAX(AT3:AT127)</f>
        <v>20</v>
      </c>
      <c r="AU131" s="1">
        <f>MAX(AU3:AU127)</f>
        <v>10</v>
      </c>
      <c r="AV131" s="1">
        <f>MAX(AV3:AV127)</f>
        <v>40</v>
      </c>
      <c r="AW131" s="1">
        <f>MAX(AW3:AW127)</f>
        <v>40</v>
      </c>
      <c r="AX131" s="1">
        <f>MAX(AX3:AX127)</f>
        <v>20</v>
      </c>
      <c r="AY131" s="1">
        <f>MAX(AY3:AY127)</f>
        <v>15</v>
      </c>
      <c r="AZ131" s="1">
        <f>MAX(AZ3:AZ127)</f>
        <v>15</v>
      </c>
      <c r="BA131" s="1">
        <f>MAX(BA3:BA127)</f>
        <v>20</v>
      </c>
      <c r="BB131" s="1">
        <f>MAX(BB3:BB127)</f>
        <v>40</v>
      </c>
      <c r="BC131" s="1">
        <f>MAX(BC3:BC127)</f>
        <v>10</v>
      </c>
      <c r="BD131" s="1">
        <f>MAX(BD3:BD127)</f>
        <v>50</v>
      </c>
      <c r="BE131" s="1">
        <f>MAX(BE3:BE127)</f>
        <v>20</v>
      </c>
      <c r="BF131" s="1">
        <f>MAX(BF3:BF127)</f>
        <v>20</v>
      </c>
      <c r="BG131" s="1">
        <f>MAX(BG3:BG127)</f>
        <v>20</v>
      </c>
      <c r="BH131" s="1">
        <f>MAX(BH3:BH127)</f>
        <v>20</v>
      </c>
      <c r="BI131" s="1">
        <f>MAX(BI3:BI127)</f>
        <v>20</v>
      </c>
      <c r="BJ131" s="1">
        <f>MAX(BJ3:BJ127)</f>
        <v>50</v>
      </c>
      <c r="BK131" s="1">
        <f>MAX(BK3:BK127)</f>
        <v>50</v>
      </c>
      <c r="BL131" s="1">
        <f>MAX(BL3:BL127)</f>
        <v>50</v>
      </c>
      <c r="BM131" s="1">
        <f>MAX(BM3:BM127)</f>
        <v>50</v>
      </c>
      <c r="BN131" s="1">
        <f>MAX(BN3:BN127)</f>
        <v>50</v>
      </c>
      <c r="BO131" s="1">
        <f>MAX(BO3:BO127)</f>
        <v>50</v>
      </c>
      <c r="BP131" s="1"/>
      <c r="BQ131" s="1"/>
      <c r="BR131" s="17"/>
      <c r="BS131" s="17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</row>
    <row r="132" spans="1:97" x14ac:dyDescent="0.15">
      <c r="A132" s="1"/>
      <c r="B132" s="3" t="s">
        <v>194</v>
      </c>
      <c r="C132" s="1"/>
      <c r="D132" s="1"/>
      <c r="E132" s="1">
        <f>MIN(E3:E127)</f>
        <v>6</v>
      </c>
      <c r="F132" s="1">
        <f>MIN(F3:F127)</f>
        <v>5</v>
      </c>
      <c r="G132" s="1">
        <f>MIN(G3:G127)</f>
        <v>5</v>
      </c>
      <c r="H132" s="1">
        <f>MIN(H3:H127)</f>
        <v>5</v>
      </c>
      <c r="I132" s="1">
        <f>MIN(I3:I127)</f>
        <v>6</v>
      </c>
      <c r="J132" s="1">
        <f>MIN(J3:J127)</f>
        <v>10</v>
      </c>
      <c r="K132" s="1">
        <f>MIN(K3:K127)</f>
        <v>6</v>
      </c>
      <c r="L132" s="1">
        <f>MIN(L3:L127)</f>
        <v>6</v>
      </c>
      <c r="M132" s="1">
        <f>MIN(M3:M127)</f>
        <v>6</v>
      </c>
      <c r="N132" s="1">
        <f>MIN(N3:N127)</f>
        <v>6</v>
      </c>
      <c r="O132" s="1">
        <f>MIN(O3:O127)</f>
        <v>5</v>
      </c>
      <c r="P132" s="1">
        <f>MIN(P3:P127)</f>
        <v>10</v>
      </c>
      <c r="Q132" s="1">
        <f>MIN(Q3:Q127)</f>
        <v>5</v>
      </c>
      <c r="R132" s="1">
        <f>MIN(R3:R127)</f>
        <v>2</v>
      </c>
      <c r="S132" s="1">
        <f>MIN(S3:S127)</f>
        <v>10</v>
      </c>
      <c r="T132" s="1">
        <f>MIN(T3:T127)</f>
        <v>5</v>
      </c>
      <c r="U132" s="1">
        <f>MIN(U3:U127)</f>
        <v>2</v>
      </c>
      <c r="V132" s="1">
        <f>MIN(V3:V127)</f>
        <v>5</v>
      </c>
      <c r="W132" s="1">
        <f>MIN(W3:W127)</f>
        <v>5</v>
      </c>
      <c r="X132" s="1">
        <f>MIN(X3:X127)</f>
        <v>2</v>
      </c>
      <c r="Y132" s="1">
        <f>MIN(Y3:Y127)</f>
        <v>5</v>
      </c>
      <c r="Z132" s="1">
        <f>MIN(Z3:Z127)</f>
        <v>5</v>
      </c>
      <c r="AA132" s="1">
        <f>MIN(AA3:AA127)</f>
        <v>2</v>
      </c>
      <c r="AB132" s="1">
        <f>MIN(AB3:AB127)</f>
        <v>10</v>
      </c>
      <c r="AC132" s="1">
        <f>MIN(AC3:AC127)</f>
        <v>5</v>
      </c>
      <c r="AD132" s="1">
        <f>MIN(AD3:AD127)</f>
        <v>2</v>
      </c>
      <c r="AE132" s="1">
        <f>MIN(AE3:AE127)</f>
        <v>15</v>
      </c>
      <c r="AF132" s="1">
        <f>MIN(AF3:AF127)</f>
        <v>5</v>
      </c>
      <c r="AG132" s="1">
        <f>MIN(AG3:AG127)</f>
        <v>5</v>
      </c>
      <c r="AH132" s="1">
        <f>MIN(AH3:AH127)</f>
        <v>5</v>
      </c>
      <c r="AI132" s="1">
        <f>MIN(AI3:AI127)</f>
        <v>5</v>
      </c>
      <c r="AJ132" s="1">
        <f>MIN(AJ3:AJ127)</f>
        <v>5</v>
      </c>
      <c r="AK132" s="1">
        <f>MIN(AK3:AK127)</f>
        <v>0</v>
      </c>
      <c r="AL132" s="1">
        <f>MIN(AL3:AL127)</f>
        <v>0</v>
      </c>
      <c r="AM132" s="1">
        <f>MIN(AM3:AM127)</f>
        <v>5</v>
      </c>
      <c r="AN132" s="1">
        <f>MIN(AN3:AN127)</f>
        <v>5</v>
      </c>
      <c r="AO132" s="1">
        <f>MIN(AO3:AO127)</f>
        <v>2</v>
      </c>
      <c r="AP132" s="1">
        <f>MIN(AP3:AP127)</f>
        <v>1</v>
      </c>
      <c r="AQ132" s="1">
        <f>MIN(AQ3:AQ127)</f>
        <v>10</v>
      </c>
      <c r="AR132" s="1">
        <f>MIN(AR3:AR127)</f>
        <v>10</v>
      </c>
      <c r="AS132" s="1">
        <f>MIN(AS3:AS127)</f>
        <v>5</v>
      </c>
      <c r="AT132" s="1">
        <f>MIN(AT3:AT127)</f>
        <v>10</v>
      </c>
      <c r="AU132" s="1">
        <f>MIN(AU3:AU127)</f>
        <v>10</v>
      </c>
      <c r="AV132" s="1">
        <f>MIN(AV3:AV127)</f>
        <v>10</v>
      </c>
      <c r="AW132" s="1">
        <f>MIN(AW3:AW127)</f>
        <v>10</v>
      </c>
      <c r="AX132" s="1">
        <f>MIN(AX3:AX127)</f>
        <v>5</v>
      </c>
      <c r="AY132" s="1">
        <f>MIN(AY3:AY127)</f>
        <v>10</v>
      </c>
      <c r="AZ132" s="1">
        <f>MIN(AZ3:AZ127)</f>
        <v>10</v>
      </c>
      <c r="BA132" s="1">
        <f>MIN(BA3:BA127)</f>
        <v>5</v>
      </c>
      <c r="BB132" s="1">
        <f>MIN(BB3:BB127)</f>
        <v>5</v>
      </c>
      <c r="BC132" s="1">
        <f>MIN(BC3:BC127)</f>
        <v>10</v>
      </c>
      <c r="BD132" s="1">
        <f>MIN(BD3:BD127)</f>
        <v>20</v>
      </c>
      <c r="BE132" s="1">
        <f>MIN(BE3:BE127)</f>
        <v>20</v>
      </c>
      <c r="BF132" s="1">
        <f>MIN(BF3:BF127)</f>
        <v>20</v>
      </c>
      <c r="BG132" s="1">
        <f>MIN(BG3:BG127)</f>
        <v>20</v>
      </c>
      <c r="BH132" s="1">
        <f>MIN(BH3:BH127)</f>
        <v>15</v>
      </c>
      <c r="BI132" s="1">
        <f>MIN(BI3:BI127)</f>
        <v>15</v>
      </c>
      <c r="BJ132" s="1">
        <f>MIN(BJ3:BJ127)</f>
        <v>50</v>
      </c>
      <c r="BK132" s="1">
        <f>MIN(BK3:BK127)</f>
        <v>50</v>
      </c>
      <c r="BL132" s="1">
        <f>MIN(BL3:BL127)</f>
        <v>50</v>
      </c>
      <c r="BM132" s="1">
        <f>MIN(BM3:BM127)</f>
        <v>50</v>
      </c>
      <c r="BN132" s="1">
        <f>MIN(BN3:BN127)</f>
        <v>50</v>
      </c>
      <c r="BO132" s="1">
        <f>MIN(BO3:BO127)</f>
        <v>50</v>
      </c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  <row r="133" spans="1:97" x14ac:dyDescent="0.15">
      <c r="A133" s="1"/>
      <c r="B133" s="3" t="s">
        <v>195</v>
      </c>
      <c r="C133" s="1"/>
      <c r="D133" s="1"/>
      <c r="E133" s="1">
        <f>E129-E131</f>
        <v>-7</v>
      </c>
      <c r="F133" s="1">
        <f>F129-F131</f>
        <v>-19</v>
      </c>
      <c r="G133" s="1">
        <f>G129-G131</f>
        <v>-4</v>
      </c>
      <c r="H133" s="1">
        <f>H129-H131</f>
        <v>-17</v>
      </c>
      <c r="I133" s="1">
        <f>I129-I131</f>
        <v>0</v>
      </c>
      <c r="J133" s="1">
        <f>J129-J131</f>
        <v>4</v>
      </c>
      <c r="K133" s="1">
        <f>K129-K131</f>
        <v>-9</v>
      </c>
      <c r="L133" s="1">
        <f>L129-L131</f>
        <v>35</v>
      </c>
      <c r="M133" s="1">
        <f>M129-M131</f>
        <v>5</v>
      </c>
      <c r="N133" s="1">
        <f>N129-N131</f>
        <v>2</v>
      </c>
      <c r="O133" s="1">
        <f>O129-O131</f>
        <v>-11</v>
      </c>
      <c r="P133" s="1">
        <f>P129-P131</f>
        <v>-8</v>
      </c>
      <c r="Q133" s="1">
        <f>Q129-Q131</f>
        <v>-6</v>
      </c>
      <c r="R133" s="1">
        <f>R129-R131</f>
        <v>-8</v>
      </c>
      <c r="S133" s="1">
        <f>S129-S131</f>
        <v>-9</v>
      </c>
      <c r="T133" s="1">
        <f>T129-T131</f>
        <v>-2</v>
      </c>
      <c r="U133" s="1">
        <f>U129-U131</f>
        <v>-10</v>
      </c>
      <c r="V133" s="1">
        <f>V129-V131</f>
        <v>-8</v>
      </c>
      <c r="W133" s="1">
        <f>W129-W131</f>
        <v>-3</v>
      </c>
      <c r="X133" s="1">
        <f>X129-X131</f>
        <v>-4</v>
      </c>
      <c r="Y133" s="1">
        <f>Y129-Y131</f>
        <v>-10</v>
      </c>
      <c r="Z133" s="1">
        <f>Z129-Z131</f>
        <v>-4</v>
      </c>
      <c r="AA133" s="1">
        <f>AA129-AA131</f>
        <v>-9</v>
      </c>
      <c r="AB133" s="1">
        <f>AB129-AB131</f>
        <v>-2</v>
      </c>
      <c r="AC133" s="1">
        <f>AC129-AC131</f>
        <v>-3</v>
      </c>
      <c r="AD133" s="1">
        <f>AD129-AD131</f>
        <v>-6</v>
      </c>
      <c r="AE133" s="1">
        <f>AE129-AE131</f>
        <v>-189</v>
      </c>
      <c r="AF133" s="1">
        <f>AF129-AF131</f>
        <v>-5</v>
      </c>
      <c r="AG133" s="1">
        <f>AG129-AG131</f>
        <v>-5</v>
      </c>
      <c r="AH133" s="1">
        <f>AH129-AH131</f>
        <v>-5</v>
      </c>
      <c r="AI133" s="1">
        <f>AI129-AI131</f>
        <v>-5</v>
      </c>
      <c r="AJ133" s="1">
        <f>AJ129-AJ131</f>
        <v>-5</v>
      </c>
      <c r="AK133" s="1">
        <f>AK129-AK131</f>
        <v>33</v>
      </c>
      <c r="AL133" s="1">
        <f>AL129-AL131</f>
        <v>43</v>
      </c>
      <c r="AM133" s="1">
        <f>AM129-AM131</f>
        <v>-2</v>
      </c>
      <c r="AN133" s="1">
        <f>AN129-AN131</f>
        <v>-25</v>
      </c>
      <c r="AO133" s="1">
        <f>AO129-AO131</f>
        <v>-10</v>
      </c>
      <c r="AP133" s="1">
        <f>AP129-AP131</f>
        <v>-10</v>
      </c>
      <c r="AQ133" s="1">
        <f>AQ129-AQ131</f>
        <v>-13</v>
      </c>
      <c r="AR133" s="1">
        <f>AR129-AR131</f>
        <v>-9</v>
      </c>
      <c r="AS133" s="1">
        <f>AS129-AS131</f>
        <v>-12</v>
      </c>
      <c r="AT133" s="1">
        <f>AT129-AT131</f>
        <v>-18</v>
      </c>
      <c r="AU133" s="1">
        <f>AU129-AU131</f>
        <v>-5</v>
      </c>
      <c r="AV133" s="1">
        <f>AV129-AV131</f>
        <v>-36</v>
      </c>
      <c r="AW133" s="1">
        <f>AW129-AW131</f>
        <v>-40</v>
      </c>
      <c r="AX133" s="1">
        <f>AX129-AX131</f>
        <v>9</v>
      </c>
      <c r="AY133" s="1">
        <f>AY129-AY131</f>
        <v>-7</v>
      </c>
      <c r="AZ133" s="1">
        <f>AZ129-AZ131</f>
        <v>-11</v>
      </c>
      <c r="BA133" s="1">
        <f>BA129-BA131</f>
        <v>-14</v>
      </c>
      <c r="BB133" s="1">
        <f>BB129-BB131</f>
        <v>85</v>
      </c>
      <c r="BC133" s="1">
        <f>BC129-BC131</f>
        <v>-1</v>
      </c>
      <c r="BD133" s="1">
        <f>BD129-BD131</f>
        <v>64</v>
      </c>
      <c r="BE133" s="1">
        <f>BE129-BE131</f>
        <v>176</v>
      </c>
      <c r="BF133" s="1">
        <f>BF129-BF131</f>
        <v>173</v>
      </c>
      <c r="BG133" s="1">
        <f>BG129-BG131</f>
        <v>182</v>
      </c>
      <c r="BH133" s="1">
        <f>BH129-BH131</f>
        <v>73</v>
      </c>
      <c r="BI133" s="1">
        <f>BI129-BI131</f>
        <v>86</v>
      </c>
      <c r="BJ133" s="1">
        <f>BJ129-BJ131</f>
        <v>-25</v>
      </c>
      <c r="BK133" s="1">
        <f>BK129-BK131</f>
        <v>-25</v>
      </c>
      <c r="BL133" s="1">
        <f>BL129-BL131</f>
        <v>-1</v>
      </c>
      <c r="BM133" s="1">
        <f>BM129-BM131</f>
        <v>-50</v>
      </c>
      <c r="BN133" s="1">
        <f>BN129-BN131</f>
        <v>-45</v>
      </c>
      <c r="BO133" s="1">
        <f>BO129-BO131</f>
        <v>-50</v>
      </c>
      <c r="BP133" s="1"/>
      <c r="BQ133" s="1"/>
      <c r="BR133" s="17"/>
      <c r="BS133" s="17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</row>
    <row r="134" spans="1:97" s="13" customFormat="1" x14ac:dyDescent="0.15">
      <c r="A134" s="1"/>
      <c r="B134" s="3" t="s">
        <v>196</v>
      </c>
      <c r="C134" s="1"/>
      <c r="D134" s="1"/>
      <c r="E134" s="1">
        <f>E129-E132</f>
        <v>2</v>
      </c>
      <c r="F134" s="1">
        <f>F129-F132</f>
        <v>-4</v>
      </c>
      <c r="G134" s="1">
        <f>G129-G132</f>
        <v>11</v>
      </c>
      <c r="H134" s="1">
        <f>H129-H132</f>
        <v>-2</v>
      </c>
      <c r="I134" s="1">
        <f>I129-I132</f>
        <v>4</v>
      </c>
      <c r="J134" s="1">
        <f>J129-J132</f>
        <v>4</v>
      </c>
      <c r="K134" s="1">
        <f>K129-K132</f>
        <v>5</v>
      </c>
      <c r="L134" s="1">
        <f>L129-L132</f>
        <v>49</v>
      </c>
      <c r="M134" s="1">
        <f>M129-M132</f>
        <v>14</v>
      </c>
      <c r="N134" s="1">
        <f>N129-N132</f>
        <v>16</v>
      </c>
      <c r="O134" s="1">
        <f>O129-O132</f>
        <v>4</v>
      </c>
      <c r="P134" s="1">
        <f>P129-P132</f>
        <v>-8</v>
      </c>
      <c r="Q134" s="1">
        <f>Q129-Q132</f>
        <v>-4</v>
      </c>
      <c r="R134" s="1">
        <f>R129-R132</f>
        <v>0</v>
      </c>
      <c r="S134" s="1">
        <f>S129-S132</f>
        <v>-9</v>
      </c>
      <c r="T134" s="1">
        <f>T129-T132</f>
        <v>0</v>
      </c>
      <c r="U134" s="1">
        <f>U129-U132</f>
        <v>-2</v>
      </c>
      <c r="V134" s="1">
        <f>V129-V132</f>
        <v>-3</v>
      </c>
      <c r="W134" s="1">
        <f>W129-W132</f>
        <v>-3</v>
      </c>
      <c r="X134" s="1">
        <f>X129-X132</f>
        <v>4</v>
      </c>
      <c r="Y134" s="1">
        <f>Y129-Y132</f>
        <v>-5</v>
      </c>
      <c r="Z134" s="1">
        <f>Z129-Z132</f>
        <v>-4</v>
      </c>
      <c r="AA134" s="1">
        <f>AA129-AA132</f>
        <v>-1</v>
      </c>
      <c r="AB134" s="1">
        <f>AB129-AB132</f>
        <v>-2</v>
      </c>
      <c r="AC134" s="1">
        <f>AC129-AC132</f>
        <v>-3</v>
      </c>
      <c r="AD134" s="1">
        <f>AD129-AD132</f>
        <v>2</v>
      </c>
      <c r="AE134" s="1">
        <f>AE129-AE132</f>
        <v>-4</v>
      </c>
      <c r="AF134" s="1">
        <f>AF129-AF132</f>
        <v>-5</v>
      </c>
      <c r="AG134" s="1">
        <f>AG129-AG132</f>
        <v>-5</v>
      </c>
      <c r="AH134" s="1">
        <f>AH129-AH132</f>
        <v>-5</v>
      </c>
      <c r="AI134" s="1">
        <f>AI129-AI132</f>
        <v>-5</v>
      </c>
      <c r="AJ134" s="1">
        <f>AJ129-AJ132</f>
        <v>-5</v>
      </c>
      <c r="AK134" s="1">
        <f>AK129-AK132</f>
        <v>33</v>
      </c>
      <c r="AL134" s="1">
        <f>AL129-AL132</f>
        <v>43</v>
      </c>
      <c r="AM134" s="1">
        <f>AM129-AM132</f>
        <v>8</v>
      </c>
      <c r="AN134" s="1">
        <f>AN129-AN132</f>
        <v>-5</v>
      </c>
      <c r="AO134" s="1">
        <f>AO129-AO132</f>
        <v>-2</v>
      </c>
      <c r="AP134" s="1">
        <f>AP129-AP132</f>
        <v>-1</v>
      </c>
      <c r="AQ134" s="1">
        <f>AQ129-AQ132</f>
        <v>-8</v>
      </c>
      <c r="AR134" s="1">
        <f>AR129-AR132</f>
        <v>-4</v>
      </c>
      <c r="AS134" s="1">
        <f>AS129-AS132</f>
        <v>-2</v>
      </c>
      <c r="AT134" s="1">
        <f>AT129-AT132</f>
        <v>-8</v>
      </c>
      <c r="AU134" s="1">
        <f>AU129-AU132</f>
        <v>-5</v>
      </c>
      <c r="AV134" s="1">
        <f>AV129-AV132</f>
        <v>-6</v>
      </c>
      <c r="AW134" s="1">
        <f>AW129-AW132</f>
        <v>-10</v>
      </c>
      <c r="AX134" s="1">
        <f>AX129-AX132</f>
        <v>24</v>
      </c>
      <c r="AY134" s="1">
        <f>AY129-AY132</f>
        <v>-2</v>
      </c>
      <c r="AZ134" s="1">
        <f>AZ129-AZ132</f>
        <v>-6</v>
      </c>
      <c r="BA134" s="1">
        <f>BA129-BA132</f>
        <v>1</v>
      </c>
      <c r="BB134" s="1">
        <f>BB129-BB132</f>
        <v>120</v>
      </c>
      <c r="BC134" s="1">
        <f>BC129-BC132</f>
        <v>-1</v>
      </c>
      <c r="BD134" s="1">
        <f>BD129-BD132</f>
        <v>94</v>
      </c>
      <c r="BE134" s="1">
        <f>BE129-BE132</f>
        <v>176</v>
      </c>
      <c r="BF134" s="1">
        <f>BF129-BF132</f>
        <v>173</v>
      </c>
      <c r="BG134" s="1">
        <f>BG129-BG132</f>
        <v>182</v>
      </c>
      <c r="BH134" s="1">
        <f>BH129-BH132</f>
        <v>78</v>
      </c>
      <c r="BI134" s="1">
        <f>BI129-BI132</f>
        <v>91</v>
      </c>
      <c r="BJ134" s="1">
        <f>BJ129-BJ132</f>
        <v>-25</v>
      </c>
      <c r="BK134" s="1">
        <f>BK129-BK132</f>
        <v>-25</v>
      </c>
      <c r="BL134" s="1">
        <f>BL129-BL132</f>
        <v>-1</v>
      </c>
      <c r="BM134" s="1">
        <f>BM129-BM132</f>
        <v>-50</v>
      </c>
      <c r="BN134" s="1">
        <f>BN129-BN132</f>
        <v>-45</v>
      </c>
      <c r="BO134" s="1">
        <f>BO129-BO132</f>
        <v>-50</v>
      </c>
      <c r="BP134" s="1"/>
      <c r="BQ134" s="1"/>
      <c r="BR134" s="17"/>
      <c r="BS134" s="17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</row>
  </sheetData>
  <autoFilter ref="A1:BP127"/>
  <sortState ref="A2:CS134">
    <sortCondition ref="BR2:BR134"/>
    <sortCondition ref="BQ2:BQ134"/>
  </sortState>
  <phoneticPr fontId="1" type="noConversion"/>
  <conditionalFormatting sqref="E18">
    <cfRule type="cellIs" dxfId="3" priority="13" operator="greaterThan">
      <formula>$E$128</formula>
    </cfRule>
  </conditionalFormatting>
  <conditionalFormatting sqref="E131">
    <cfRule type="expression" dxfId="2" priority="9">
      <formula>"&lt;=$E$135"</formula>
    </cfRule>
  </conditionalFormatting>
  <conditionalFormatting sqref="E133:BO134">
    <cfRule type="cellIs" dxfId="1" priority="5" operator="greaterThan">
      <formula>-1</formula>
    </cfRule>
  </conditionalFormatting>
  <conditionalFormatting sqref="E130:BO130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134</xdr:row>
                    <xdr:rowOff>28575</xdr:rowOff>
                  </from>
                  <to>
                    <xdr:col>1</xdr:col>
                    <xdr:colOff>428625</xdr:colOff>
                    <xdr:row>135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197</v>
      </c>
      <c r="D27" t="s">
        <v>198</v>
      </c>
      <c r="E27" t="s">
        <v>199</v>
      </c>
      <c r="F27" t="s">
        <v>200</v>
      </c>
      <c r="G27" t="s">
        <v>201</v>
      </c>
      <c r="H27" t="s">
        <v>202</v>
      </c>
      <c r="I27" t="s">
        <v>203</v>
      </c>
      <c r="J27" t="s">
        <v>204</v>
      </c>
      <c r="K27" t="s">
        <v>205</v>
      </c>
      <c r="L27" t="s">
        <v>206</v>
      </c>
      <c r="M27" t="s">
        <v>207</v>
      </c>
      <c r="N27" t="s">
        <v>208</v>
      </c>
    </row>
    <row r="31" spans="3:18" x14ac:dyDescent="0.15">
      <c r="C31">
        <v>-3</v>
      </c>
      <c r="D31" t="s">
        <v>197</v>
      </c>
    </row>
    <row r="32" spans="3:18" x14ac:dyDescent="0.15">
      <c r="C32">
        <v>-8</v>
      </c>
      <c r="D32" t="s">
        <v>198</v>
      </c>
    </row>
    <row r="33" spans="3:4" x14ac:dyDescent="0.15">
      <c r="C33">
        <v>-3</v>
      </c>
      <c r="D33" t="s">
        <v>199</v>
      </c>
    </row>
    <row r="34" spans="3:4" x14ac:dyDescent="0.15">
      <c r="C34">
        <v>1</v>
      </c>
      <c r="D34" t="s">
        <v>200</v>
      </c>
    </row>
    <row r="35" spans="3:4" x14ac:dyDescent="0.15">
      <c r="C35">
        <v>3</v>
      </c>
      <c r="D35" t="s">
        <v>201</v>
      </c>
    </row>
    <row r="36" spans="3:4" x14ac:dyDescent="0.15">
      <c r="C36">
        <v>0</v>
      </c>
      <c r="D36" t="s">
        <v>202</v>
      </c>
    </row>
    <row r="37" spans="3:4" x14ac:dyDescent="0.15">
      <c r="C37">
        <v>-3</v>
      </c>
      <c r="D37" t="s">
        <v>203</v>
      </c>
    </row>
    <row r="38" spans="3:4" x14ac:dyDescent="0.15">
      <c r="C38">
        <v>30</v>
      </c>
      <c r="D38" t="s">
        <v>204</v>
      </c>
    </row>
    <row r="39" spans="3:4" x14ac:dyDescent="0.15">
      <c r="C39">
        <v>5</v>
      </c>
      <c r="D39" t="s">
        <v>205</v>
      </c>
    </row>
    <row r="40" spans="3:4" x14ac:dyDescent="0.15">
      <c r="C40">
        <v>-10</v>
      </c>
      <c r="D40" t="s">
        <v>206</v>
      </c>
    </row>
    <row r="41" spans="3:4" x14ac:dyDescent="0.15">
      <c r="C41">
        <v>3</v>
      </c>
      <c r="D41" t="s">
        <v>207</v>
      </c>
    </row>
    <row r="42" spans="3:4" x14ac:dyDescent="0.15">
      <c r="C42">
        <v>138</v>
      </c>
      <c r="D42" t="s">
        <v>208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2020-03-07T09:55:07Z</dcterms:modified>
</cp:coreProperties>
</file>