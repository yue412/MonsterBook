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Sheet1!$A$1:$BV$113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U102" i="1" l="1"/>
  <c r="BV102" i="1"/>
  <c r="BU95" i="1"/>
  <c r="BV95" i="1"/>
  <c r="BQ95" i="1"/>
  <c r="BQ102" i="1"/>
  <c r="BU94" i="1" l="1"/>
  <c r="BV94" i="1"/>
  <c r="BU10" i="1"/>
  <c r="BV10" i="1"/>
  <c r="BU83" i="1"/>
  <c r="BV83" i="1"/>
  <c r="BU91" i="1"/>
  <c r="BV91" i="1"/>
  <c r="BU97" i="1"/>
  <c r="BV97" i="1"/>
  <c r="BQ94" i="1"/>
  <c r="BQ10" i="1"/>
  <c r="BQ83" i="1"/>
  <c r="BQ91" i="1"/>
  <c r="BQ97" i="1"/>
  <c r="BU11" i="1" l="1"/>
  <c r="BV11" i="1"/>
  <c r="BU12" i="1"/>
  <c r="BV12" i="1"/>
  <c r="BU49" i="1"/>
  <c r="BV49" i="1"/>
  <c r="BU50" i="1"/>
  <c r="BV50" i="1"/>
  <c r="BU56" i="1"/>
  <c r="BV56" i="1"/>
  <c r="BU57" i="1"/>
  <c r="BV57" i="1"/>
  <c r="BU62" i="1"/>
  <c r="BV62" i="1"/>
  <c r="BU63" i="1"/>
  <c r="BV63" i="1"/>
  <c r="BU23" i="1"/>
  <c r="BV23" i="1"/>
  <c r="BU13" i="1"/>
  <c r="BV13" i="1"/>
  <c r="BU58" i="1"/>
  <c r="BV58" i="1"/>
  <c r="BU17" i="1"/>
  <c r="BV17" i="1"/>
  <c r="BU51" i="1"/>
  <c r="BV51" i="1"/>
  <c r="BU64" i="1"/>
  <c r="BV64" i="1"/>
  <c r="BU52" i="1"/>
  <c r="BV52" i="1"/>
  <c r="BU59" i="1"/>
  <c r="BV59" i="1"/>
  <c r="BU39" i="1"/>
  <c r="BV39" i="1"/>
  <c r="BU40" i="1"/>
  <c r="BV40" i="1"/>
  <c r="BU2" i="1"/>
  <c r="BV2" i="1"/>
  <c r="BU3" i="1"/>
  <c r="BV3" i="1"/>
  <c r="BU4" i="1"/>
  <c r="BV4" i="1"/>
  <c r="BU5" i="1"/>
  <c r="BV5" i="1"/>
  <c r="BU6" i="1"/>
  <c r="BV6" i="1"/>
  <c r="BU92" i="1"/>
  <c r="BV92" i="1"/>
  <c r="BU7" i="1"/>
  <c r="BV7" i="1"/>
  <c r="BU8" i="1"/>
  <c r="BV8" i="1"/>
  <c r="BU93" i="1"/>
  <c r="BV93" i="1"/>
  <c r="BU24" i="1"/>
  <c r="BV24" i="1"/>
  <c r="BU25" i="1"/>
  <c r="BV25" i="1"/>
  <c r="BU26" i="1"/>
  <c r="BV26" i="1"/>
  <c r="BU27" i="1"/>
  <c r="BV27" i="1"/>
  <c r="BU28" i="1"/>
  <c r="BV28" i="1"/>
  <c r="BU104" i="1"/>
  <c r="BV104" i="1"/>
  <c r="BU60" i="1"/>
  <c r="BV60" i="1"/>
  <c r="BU61" i="1"/>
  <c r="BV61" i="1"/>
  <c r="BU105" i="1"/>
  <c r="BV105" i="1"/>
  <c r="BU80" i="1"/>
  <c r="BV80" i="1"/>
  <c r="BU81" i="1"/>
  <c r="BV81" i="1"/>
  <c r="BU82" i="1"/>
  <c r="BV82" i="1"/>
  <c r="BU90" i="1"/>
  <c r="BV90" i="1"/>
  <c r="BU48" i="1"/>
  <c r="BV48" i="1"/>
  <c r="BU9" i="1"/>
  <c r="BV9" i="1"/>
  <c r="BU53" i="1"/>
  <c r="BV53" i="1"/>
  <c r="BU89" i="1"/>
  <c r="BV89" i="1"/>
  <c r="BU68" i="1"/>
  <c r="BV68" i="1"/>
  <c r="BU69" i="1"/>
  <c r="BV69" i="1"/>
  <c r="BU70" i="1"/>
  <c r="BV70" i="1"/>
  <c r="BU71" i="1"/>
  <c r="BV71" i="1"/>
  <c r="BU72" i="1"/>
  <c r="BV72" i="1"/>
  <c r="BU73" i="1"/>
  <c r="BV73" i="1"/>
  <c r="BU33" i="1"/>
  <c r="BV33" i="1"/>
  <c r="BU74" i="1"/>
  <c r="BV74" i="1"/>
  <c r="BU29" i="1"/>
  <c r="BV29" i="1"/>
  <c r="BU30" i="1"/>
  <c r="BV30" i="1"/>
  <c r="BU31" i="1"/>
  <c r="BV31" i="1"/>
  <c r="BU32" i="1"/>
  <c r="BV32" i="1"/>
  <c r="BU84" i="1"/>
  <c r="BV84" i="1"/>
  <c r="BU98" i="1"/>
  <c r="BV98" i="1"/>
  <c r="BU99" i="1"/>
  <c r="BV99" i="1"/>
  <c r="BU100" i="1"/>
  <c r="BV100" i="1"/>
  <c r="BU101" i="1"/>
  <c r="BV101" i="1"/>
  <c r="BU103" i="1"/>
  <c r="BV103" i="1"/>
  <c r="BU41" i="1"/>
  <c r="BV41" i="1"/>
  <c r="BU54" i="1"/>
  <c r="BV54" i="1"/>
  <c r="BU55" i="1"/>
  <c r="BV55" i="1"/>
  <c r="BU14" i="1"/>
  <c r="BV14" i="1"/>
  <c r="BU15" i="1"/>
  <c r="BV15" i="1"/>
  <c r="BU16" i="1"/>
  <c r="BV16" i="1"/>
  <c r="BU18" i="1"/>
  <c r="BV18" i="1"/>
  <c r="BU19" i="1"/>
  <c r="BV19" i="1"/>
  <c r="BU20" i="1"/>
  <c r="BV20" i="1"/>
  <c r="BU21" i="1"/>
  <c r="BV21" i="1"/>
  <c r="BU22" i="1"/>
  <c r="BV22" i="1"/>
  <c r="BU75" i="1"/>
  <c r="BV75" i="1"/>
  <c r="BU65" i="1"/>
  <c r="BV65" i="1"/>
  <c r="BU66" i="1"/>
  <c r="BV66" i="1"/>
  <c r="BU34" i="1"/>
  <c r="BV34" i="1"/>
  <c r="BU35" i="1"/>
  <c r="BV35" i="1"/>
  <c r="BU36" i="1"/>
  <c r="BV36" i="1"/>
  <c r="BU37" i="1"/>
  <c r="BV37" i="1"/>
  <c r="BU38" i="1"/>
  <c r="BV38" i="1"/>
  <c r="BU88" i="1"/>
  <c r="BV88" i="1"/>
  <c r="BU87" i="1"/>
  <c r="BV87" i="1"/>
  <c r="BU78" i="1"/>
  <c r="BV78" i="1"/>
  <c r="BQ78" i="1"/>
  <c r="BQ89" i="1"/>
  <c r="BQ38" i="1"/>
  <c r="BQ53" i="1" l="1"/>
  <c r="BQ75" i="1"/>
  <c r="BQ39" i="1" l="1"/>
  <c r="BQ40" i="1"/>
  <c r="BD110" i="1"/>
  <c r="BD112" i="1" s="1"/>
  <c r="BD109" i="1"/>
  <c r="BD111" i="1" s="1"/>
  <c r="BD106" i="1"/>
  <c r="BD108" i="1" s="1"/>
  <c r="BE106" i="1" l="1"/>
  <c r="BE108" i="1" s="1"/>
  <c r="BF106" i="1"/>
  <c r="BF108" i="1" s="1"/>
  <c r="BG106" i="1"/>
  <c r="BG108" i="1" s="1"/>
  <c r="BH106" i="1"/>
  <c r="BH108" i="1" s="1"/>
  <c r="BI106" i="1"/>
  <c r="BI108" i="1" s="1"/>
  <c r="BJ106" i="1"/>
  <c r="BJ108" i="1" s="1"/>
  <c r="BE109" i="1"/>
  <c r="BE111" i="1" s="1"/>
  <c r="BF109" i="1"/>
  <c r="BF111" i="1" s="1"/>
  <c r="BG109" i="1"/>
  <c r="BG111" i="1" s="1"/>
  <c r="BH109" i="1"/>
  <c r="BH111" i="1" s="1"/>
  <c r="BI109" i="1"/>
  <c r="BI111" i="1" s="1"/>
  <c r="BJ109" i="1"/>
  <c r="BJ111" i="1" s="1"/>
  <c r="BE110" i="1"/>
  <c r="BE112" i="1" s="1"/>
  <c r="BF110" i="1"/>
  <c r="BF112" i="1" s="1"/>
  <c r="BG110" i="1"/>
  <c r="BG112" i="1" s="1"/>
  <c r="BH110" i="1"/>
  <c r="BH112" i="1" s="1"/>
  <c r="BI110" i="1"/>
  <c r="BI112" i="1" s="1"/>
  <c r="BJ110" i="1"/>
  <c r="BJ112" i="1" s="1"/>
  <c r="BU67" i="1" l="1"/>
  <c r="BV67" i="1"/>
  <c r="BU42" i="1"/>
  <c r="BV42" i="1"/>
  <c r="BU43" i="1"/>
  <c r="BV43" i="1"/>
  <c r="BU44" i="1"/>
  <c r="BV44" i="1"/>
  <c r="BU86" i="1"/>
  <c r="BV86" i="1"/>
  <c r="BU85" i="1"/>
  <c r="BV85" i="1"/>
  <c r="BU76" i="1"/>
  <c r="BV76" i="1"/>
  <c r="BU77" i="1"/>
  <c r="BV77" i="1"/>
  <c r="BU79" i="1"/>
  <c r="BV79" i="1"/>
  <c r="BU96" i="1"/>
  <c r="BV96" i="1"/>
  <c r="BU45" i="1"/>
  <c r="BV45" i="1"/>
  <c r="BU46" i="1"/>
  <c r="BV46" i="1"/>
  <c r="BU47" i="1"/>
  <c r="BV47" i="1"/>
  <c r="BQ16" i="1"/>
  <c r="BQ93" i="1"/>
  <c r="BQ48" i="1"/>
  <c r="BQ73" i="1"/>
  <c r="BQ13" i="1" l="1"/>
  <c r="BQ58" i="1"/>
  <c r="BQ17" i="1"/>
  <c r="BQ51" i="1"/>
  <c r="BQ101" i="1"/>
  <c r="BQ72" i="1"/>
  <c r="BQ64" i="1"/>
  <c r="BQ90" i="1"/>
  <c r="BQ36" i="1"/>
  <c r="BQ7" i="1"/>
  <c r="BQ52" i="1"/>
  <c r="BQ84" i="1"/>
  <c r="BQ8" i="1"/>
  <c r="BQ28" i="1"/>
  <c r="BQ79" i="1"/>
  <c r="BQ22" i="1"/>
  <c r="BQ105" i="1"/>
  <c r="BQ15" i="1"/>
  <c r="BQ59" i="1"/>
  <c r="BQ37" i="1"/>
  <c r="CE3" i="8" l="1"/>
  <c r="CD3" i="8"/>
  <c r="CC3" i="8"/>
  <c r="CB3" i="8"/>
  <c r="CA3" i="8"/>
  <c r="BZ3" i="8"/>
  <c r="BY3" i="8"/>
  <c r="BX3" i="8"/>
  <c r="BW3" i="8"/>
  <c r="BV3" i="8"/>
  <c r="BU3" i="8"/>
  <c r="BT3" i="8"/>
  <c r="BP3" i="8"/>
  <c r="BQ77" i="1" l="1"/>
  <c r="BQ92" i="1"/>
  <c r="BQ103" i="1"/>
  <c r="BQ21" i="1"/>
  <c r="BQ69" i="1"/>
  <c r="BQ70" i="1"/>
  <c r="BQ71" i="1"/>
  <c r="BQ68" i="1"/>
  <c r="BQ35" i="1"/>
  <c r="BQ80" i="1"/>
  <c r="BQ81" i="1"/>
  <c r="BQ82" i="1"/>
  <c r="BQ98" i="1"/>
  <c r="BQ99" i="1"/>
  <c r="BQ100" i="1"/>
  <c r="BQ63" i="1"/>
  <c r="BQ61" i="1"/>
  <c r="BQ50" i="1"/>
  <c r="BQ27" i="1"/>
  <c r="BQ57" i="1"/>
  <c r="BQ5" i="1"/>
  <c r="BQ104" i="1"/>
  <c r="BQ6" i="1"/>
  <c r="BQ9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10" i="1"/>
  <c r="G110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Y110" i="1"/>
  <c r="Z110" i="1"/>
  <c r="AA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/>
  <c r="AN110" i="1"/>
  <c r="AO110" i="1"/>
  <c r="AP110" i="1"/>
  <c r="AQ110" i="1"/>
  <c r="AR110" i="1"/>
  <c r="AS110" i="1"/>
  <c r="AT110" i="1"/>
  <c r="AU110" i="1"/>
  <c r="AV110" i="1"/>
  <c r="AW110" i="1"/>
  <c r="AX110" i="1"/>
  <c r="AY110" i="1"/>
  <c r="AZ110" i="1"/>
  <c r="BA110" i="1"/>
  <c r="BB110" i="1"/>
  <c r="BC110" i="1"/>
  <c r="BK110" i="1"/>
  <c r="BL110" i="1"/>
  <c r="BM110" i="1"/>
  <c r="BN110" i="1"/>
  <c r="BO110" i="1"/>
  <c r="BP110" i="1"/>
  <c r="E110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Y109" i="1"/>
  <c r="Z109" i="1"/>
  <c r="AA109" i="1"/>
  <c r="AB109" i="1"/>
  <c r="AC109" i="1"/>
  <c r="AD109" i="1"/>
  <c r="AE109" i="1"/>
  <c r="AF109" i="1"/>
  <c r="AG109" i="1"/>
  <c r="AH109" i="1"/>
  <c r="AI109" i="1"/>
  <c r="AJ109" i="1"/>
  <c r="AK109" i="1"/>
  <c r="AL109" i="1"/>
  <c r="AM109" i="1"/>
  <c r="AN109" i="1"/>
  <c r="AO109" i="1"/>
  <c r="AP109" i="1"/>
  <c r="AQ109" i="1"/>
  <c r="AR109" i="1"/>
  <c r="AS109" i="1"/>
  <c r="AT109" i="1"/>
  <c r="AU109" i="1"/>
  <c r="AV109" i="1"/>
  <c r="AW109" i="1"/>
  <c r="AX109" i="1"/>
  <c r="AY109" i="1"/>
  <c r="AZ109" i="1"/>
  <c r="BA109" i="1"/>
  <c r="BB109" i="1"/>
  <c r="BC109" i="1"/>
  <c r="BK109" i="1"/>
  <c r="BL109" i="1"/>
  <c r="BM109" i="1"/>
  <c r="BN109" i="1"/>
  <c r="BO109" i="1"/>
  <c r="BP109" i="1"/>
  <c r="E109" i="1"/>
  <c r="BK106" i="1"/>
  <c r="BL106" i="1"/>
  <c r="BM106" i="1"/>
  <c r="BN106" i="1"/>
  <c r="BO106" i="1"/>
  <c r="BP106" i="1"/>
  <c r="BC106" i="1"/>
  <c r="AX106" i="1"/>
  <c r="AY106" i="1"/>
  <c r="AZ106" i="1"/>
  <c r="BA106" i="1"/>
  <c r="BB106" i="1"/>
  <c r="AW106" i="1"/>
  <c r="AR106" i="1"/>
  <c r="AS106" i="1"/>
  <c r="AT106" i="1"/>
  <c r="AU106" i="1"/>
  <c r="AV106" i="1"/>
  <c r="AQ106" i="1"/>
  <c r="AF106" i="1"/>
  <c r="AG106" i="1"/>
  <c r="AH106" i="1"/>
  <c r="AI106" i="1"/>
  <c r="AJ106" i="1"/>
  <c r="AK106" i="1"/>
  <c r="AL106" i="1"/>
  <c r="AM106" i="1"/>
  <c r="AN106" i="1"/>
  <c r="AO106" i="1"/>
  <c r="AP106" i="1"/>
  <c r="AE106" i="1"/>
  <c r="Q106" i="1"/>
  <c r="R106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P106" i="1"/>
  <c r="F106" i="1"/>
  <c r="G106" i="1"/>
  <c r="H106" i="1"/>
  <c r="I106" i="1"/>
  <c r="J106" i="1"/>
  <c r="K106" i="1"/>
  <c r="L106" i="1"/>
  <c r="M106" i="1"/>
  <c r="N106" i="1"/>
  <c r="O106" i="1"/>
  <c r="E106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Q14" i="1"/>
  <c r="CJ2" i="8" l="1"/>
  <c r="CK2" i="8"/>
  <c r="CR4" i="8"/>
  <c r="CN2" i="8"/>
  <c r="CM2" i="8"/>
  <c r="CG2" i="8"/>
  <c r="CH2" i="8"/>
  <c r="CL2" i="8"/>
  <c r="CQ2" i="8"/>
  <c r="CI2" i="8"/>
  <c r="CO2" i="8"/>
  <c r="CP2" i="8"/>
  <c r="BC111" i="1"/>
  <c r="BK111" i="1"/>
  <c r="BL111" i="1"/>
  <c r="BM111" i="1"/>
  <c r="BN111" i="1"/>
  <c r="BO111" i="1"/>
  <c r="BP111" i="1"/>
  <c r="BC112" i="1"/>
  <c r="BK112" i="1"/>
  <c r="BL112" i="1"/>
  <c r="BM112" i="1"/>
  <c r="BN112" i="1"/>
  <c r="BO112" i="1"/>
  <c r="BP112" i="1"/>
  <c r="BA111" i="1"/>
  <c r="BB111" i="1"/>
  <c r="BA112" i="1"/>
  <c r="BB112" i="1"/>
  <c r="AQ111" i="1"/>
  <c r="AR111" i="1"/>
  <c r="AS111" i="1"/>
  <c r="AT111" i="1"/>
  <c r="AU111" i="1"/>
  <c r="AV111" i="1"/>
  <c r="AW111" i="1"/>
  <c r="AX111" i="1"/>
  <c r="AY111" i="1"/>
  <c r="AZ111" i="1"/>
  <c r="AQ112" i="1"/>
  <c r="AR112" i="1"/>
  <c r="AS112" i="1"/>
  <c r="AT112" i="1"/>
  <c r="AU112" i="1"/>
  <c r="AV112" i="1"/>
  <c r="AW112" i="1"/>
  <c r="AX112" i="1"/>
  <c r="AY112" i="1"/>
  <c r="AZ112" i="1"/>
  <c r="AI111" i="1"/>
  <c r="AJ111" i="1"/>
  <c r="AK111" i="1"/>
  <c r="AL111" i="1"/>
  <c r="AM111" i="1"/>
  <c r="AN111" i="1"/>
  <c r="AO111" i="1"/>
  <c r="AP111" i="1"/>
  <c r="AI112" i="1"/>
  <c r="AJ112" i="1"/>
  <c r="AK112" i="1"/>
  <c r="AL112" i="1"/>
  <c r="AM112" i="1"/>
  <c r="AN112" i="1"/>
  <c r="AO112" i="1"/>
  <c r="AP112" i="1"/>
  <c r="AC111" i="1"/>
  <c r="AD111" i="1"/>
  <c r="AE111" i="1"/>
  <c r="AF111" i="1"/>
  <c r="AG111" i="1"/>
  <c r="AH111" i="1"/>
  <c r="AC112" i="1"/>
  <c r="AD112" i="1"/>
  <c r="AE112" i="1"/>
  <c r="AF112" i="1"/>
  <c r="AG112" i="1"/>
  <c r="AH112" i="1"/>
  <c r="W111" i="1"/>
  <c r="X111" i="1"/>
  <c r="Y111" i="1"/>
  <c r="Z111" i="1"/>
  <c r="AA111" i="1"/>
  <c r="AB111" i="1"/>
  <c r="W112" i="1"/>
  <c r="X112" i="1"/>
  <c r="Y112" i="1"/>
  <c r="Z112" i="1"/>
  <c r="AA112" i="1"/>
  <c r="AB112" i="1"/>
  <c r="P111" i="1"/>
  <c r="Q111" i="1"/>
  <c r="R111" i="1"/>
  <c r="S111" i="1"/>
  <c r="T111" i="1"/>
  <c r="U111" i="1"/>
  <c r="V111" i="1"/>
  <c r="P112" i="1"/>
  <c r="Q112" i="1"/>
  <c r="R112" i="1"/>
  <c r="S112" i="1"/>
  <c r="T112" i="1"/>
  <c r="U112" i="1"/>
  <c r="V112" i="1"/>
  <c r="G111" i="1"/>
  <c r="H111" i="1"/>
  <c r="I111" i="1"/>
  <c r="J111" i="1"/>
  <c r="K111" i="1"/>
  <c r="L111" i="1"/>
  <c r="M111" i="1"/>
  <c r="N111" i="1"/>
  <c r="O111" i="1"/>
  <c r="G112" i="1"/>
  <c r="H112" i="1"/>
  <c r="I112" i="1"/>
  <c r="J112" i="1"/>
  <c r="K112" i="1"/>
  <c r="L112" i="1"/>
  <c r="M112" i="1"/>
  <c r="N112" i="1"/>
  <c r="O112" i="1"/>
  <c r="F111" i="1"/>
  <c r="F112" i="1"/>
  <c r="E112" i="1"/>
  <c r="E111" i="1"/>
  <c r="CH4" i="8" l="1"/>
  <c r="CI4" i="8"/>
  <c r="CK4" i="8"/>
  <c r="CJ4" i="8"/>
  <c r="CL4" i="8"/>
  <c r="CM4" i="8"/>
  <c r="CQ4" i="8"/>
  <c r="CN4" i="8"/>
  <c r="CG4" i="8"/>
  <c r="CO4" i="8"/>
  <c r="CP4" i="8"/>
  <c r="BQ29" i="1"/>
  <c r="BQ30" i="1"/>
  <c r="BQ31" i="1"/>
  <c r="BQ32" i="1"/>
  <c r="BQ41" i="1"/>
  <c r="BQ54" i="1"/>
  <c r="BQ55" i="1"/>
  <c r="BQ24" i="1"/>
  <c r="BQ25" i="1"/>
  <c r="BQ26" i="1"/>
  <c r="BQ60" i="1"/>
  <c r="BQ65" i="1"/>
  <c r="BQ66" i="1"/>
  <c r="BQ74" i="1"/>
  <c r="BQ49" i="1"/>
  <c r="BQ33" i="1"/>
  <c r="BQ86" i="1"/>
  <c r="BQ85" i="1"/>
  <c r="BQ18" i="1"/>
  <c r="BQ19" i="1"/>
  <c r="BQ20" i="1"/>
  <c r="BQ96" i="1"/>
  <c r="BQ88" i="1"/>
  <c r="BQ23" i="1"/>
  <c r="BQ2" i="1"/>
  <c r="BQ3" i="1"/>
  <c r="BQ4" i="1"/>
  <c r="BQ56" i="1"/>
  <c r="BQ62" i="1"/>
  <c r="BQ76" i="1"/>
  <c r="BQ34" i="1"/>
  <c r="BQ67" i="1"/>
  <c r="BQ11" i="1"/>
  <c r="BQ12" i="1"/>
  <c r="BQ87" i="1"/>
  <c r="BQ42" i="1"/>
  <c r="BQ43" i="1"/>
  <c r="BQ44" i="1"/>
  <c r="BQ45" i="1"/>
  <c r="BQ46" i="1"/>
  <c r="BQ47" i="1"/>
  <c r="BN108" i="1" l="1"/>
  <c r="AM108" i="1"/>
  <c r="L108" i="1"/>
  <c r="BL108" i="1"/>
  <c r="AJ108" i="1"/>
  <c r="AH108" i="1"/>
  <c r="AL108" i="1"/>
  <c r="BM108" i="1"/>
  <c r="J108" i="1"/>
  <c r="H108" i="1"/>
  <c r="G108" i="1"/>
  <c r="AE108" i="1"/>
  <c r="F108" i="1"/>
  <c r="BK108" i="1"/>
  <c r="AI108" i="1"/>
  <c r="I108" i="1"/>
  <c r="AG108" i="1"/>
  <c r="AF108" i="1"/>
  <c r="O108" i="1"/>
  <c r="BP108" i="1"/>
  <c r="N108" i="1"/>
  <c r="K108" i="1"/>
  <c r="AK108" i="1"/>
  <c r="E108" i="1"/>
  <c r="BO108" i="1"/>
  <c r="AN108" i="1"/>
  <c r="M108" i="1"/>
  <c r="AP108" i="1"/>
  <c r="BC108" i="1"/>
  <c r="AO108" i="1"/>
  <c r="V108" i="1"/>
  <c r="Y108" i="1"/>
  <c r="W108" i="1"/>
  <c r="S108" i="1"/>
  <c r="X108" i="1"/>
  <c r="R108" i="1"/>
  <c r="Z108" i="1"/>
  <c r="U108" i="1"/>
  <c r="T108" i="1"/>
  <c r="AC108" i="1"/>
  <c r="Q108" i="1"/>
  <c r="AB108" i="1"/>
  <c r="P108" i="1"/>
  <c r="AA108" i="1"/>
  <c r="AD108" i="1"/>
  <c r="AR108" i="1" l="1"/>
  <c r="AU108" i="1"/>
  <c r="BB108" i="1"/>
  <c r="AS108" i="1"/>
  <c r="AW108" i="1"/>
  <c r="AT108" i="1"/>
  <c r="AY108" i="1"/>
  <c r="AZ108" i="1"/>
  <c r="AV108" i="1"/>
  <c r="AQ108" i="1"/>
  <c r="AX108" i="1"/>
  <c r="BA108" i="1"/>
</calcChain>
</file>

<file path=xl/sharedStrings.xml><?xml version="1.0" encoding="utf-8"?>
<sst xmlns="http://schemas.openxmlformats.org/spreadsheetml/2006/main" count="716" uniqueCount="291">
  <si>
    <t>成年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</si>
  <si>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</si>
  <si>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</si>
  <si>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</si>
  <si>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</si>
  <si>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</si>
  <si>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</si>
  <si>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</si>
  <si>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</si>
  <si>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</si>
  <si>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</si>
  <si>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</si>
  <si>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</si>
  <si>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</si>
  <si>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</si>
  <si>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</si>
  <si>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</si>
  <si>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</si>
  <si>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</si>
  <si>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</si>
  <si>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</si>
  <si>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</si>
  <si>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</si>
  <si>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</si>
  <si>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</si>
  <si>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</si>
  <si>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</si>
  <si>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</si>
  <si>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</si>
  <si>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</si>
  <si>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</si>
  <si>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</si>
  <si>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</si>
  <si>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</si>
  <si>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</si>
  <si>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</si>
  <si>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</si>
  <si>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</si>
  <si>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</si>
  <si>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</si>
  <si>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</si>
  <si>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</si>
  <si>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</si>
  <si>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</si>
  <si>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</si>
  <si>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</si>
  <si>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</si>
  <si>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</si>
  <si>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</si>
  <si>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</si>
  <si>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</si>
  <si>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</si>
  <si>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</si>
  <si>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</si>
  <si>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</si>
  <si>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</si>
  <si>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</si>
  <si>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</si>
  <si>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</si>
  <si>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</si>
  <si>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</si>
  <si>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</si>
  <si>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</si>
  <si>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</si>
  <si>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</si>
  <si>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</si>
  <si>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</si>
  <si>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</si>
  <si>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</si>
  <si>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</si>
  <si>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</si>
  <si>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</si>
  <si>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</si>
  <si>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</si>
  <si>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</si>
  <si>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</si>
  <si>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</si>
  <si>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</si>
  <si>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</si>
  <si>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</si>
  <si>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</si>
  <si>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</si>
  <si>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</si>
  <si>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</si>
  <si>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</si>
  <si>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</si>
  <si>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</si>
  <si>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</si>
  <si>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</si>
  <si>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</si>
  <si>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</si>
  <si>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</si>
  <si>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</si>
  <si>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</si>
  <si>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</si>
  <si>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</si>
  <si>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</si>
  <si>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</si>
  <si>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</si>
  <si>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</si>
  <si>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</si>
  <si>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</si>
  <si>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</si>
  <si>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</si>
  <si>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</si>
  <si>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</si>
  <si>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</si>
  <si>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</si>
  <si>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</si>
  <si>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</si>
  <si>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</si>
  <si>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</si>
  <si>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</si>
  <si>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</si>
  <si>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</si>
  <si>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庄家令牌大</t>
    <phoneticPr fontId="1" type="noConversion"/>
  </si>
  <si>
    <t>壮年</t>
    <phoneticPr fontId="1" type="noConversion"/>
  </si>
  <si>
    <t>樱灵</t>
    <phoneticPr fontId="1" type="noConversion"/>
  </si>
  <si>
    <t>八哥</t>
    <phoneticPr fontId="1" type="noConversion"/>
  </si>
  <si>
    <t>赛亚罗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</si>
  <si>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</si>
  <si>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</si>
  <si>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</si>
  <si>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</si>
  <si>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</si>
  <si>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</si>
  <si>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</si>
  <si>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</si>
  <si>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</si>
  <si>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</si>
  <si>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</si>
  <si>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</si>
  <si>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</si>
  <si>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</si>
  <si>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</si>
  <si>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</si>
  <si>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神算诸葛亮</t>
    <phoneticPr fontId="1" type="noConversion"/>
  </si>
  <si>
    <t>赤兔吕布</t>
    <phoneticPr fontId="1" type="noConversion"/>
  </si>
  <si>
    <t>力量符文叉大(9),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</si>
  <si>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</si>
  <si>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</si>
  <si>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</si>
  <si>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</si>
  <si>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</si>
  <si>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</si>
  <si>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</si>
  <si>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</si>
  <si>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</si>
  <si>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</si>
  <si>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</si>
  <si>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</si>
  <si>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</si>
  <si>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</si>
  <si>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</si>
  <si>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</si>
  <si>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</si>
  <si>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</si>
  <si>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四万</t>
    <phoneticPr fontId="1" type="noConversion"/>
  </si>
  <si>
    <t>地</t>
    <phoneticPr fontId="1" type="noConversion"/>
  </si>
  <si>
    <t>火</t>
    <phoneticPr fontId="1" type="noConversion"/>
  </si>
  <si>
    <t>六万</t>
  </si>
  <si>
    <t>欠条大(6),_x000D_
骰子大(2),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</si>
  <si>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</si>
  <si>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</si>
  <si>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</si>
  <si>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</si>
  <si>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</si>
  <si>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</si>
  <si>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</si>
  <si>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</si>
  <si>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发财</t>
    <phoneticPr fontId="1" type="noConversion"/>
  </si>
  <si>
    <t>西洋棋.白王</t>
    <phoneticPr fontId="1" type="noConversion"/>
  </si>
  <si>
    <t>光马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</si>
  <si>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</si>
  <si>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</si>
  <si>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</si>
  <si>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</si>
  <si>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</si>
  <si>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</si>
  <si>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</si>
  <si>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一条</t>
    <phoneticPr fontId="1" type="noConversion"/>
  </si>
  <si>
    <t>心云猎手</t>
    <phoneticPr fontId="1" type="noConversion"/>
  </si>
  <si>
    <t>如来佛祖</t>
    <phoneticPr fontId="1" type="noConversion"/>
  </si>
  <si>
    <t>星络典</t>
    <phoneticPr fontId="1" type="noConversion"/>
  </si>
  <si>
    <t>火</t>
    <phoneticPr fontId="1" type="noConversion"/>
  </si>
  <si>
    <t>地</t>
    <phoneticPr fontId="1" type="noConversion"/>
  </si>
  <si>
    <t>司秋</t>
    <phoneticPr fontId="1" type="noConversion"/>
  </si>
  <si>
    <t>楔</t>
    <phoneticPr fontId="1" type="noConversion"/>
  </si>
  <si>
    <t>东风</t>
    <phoneticPr fontId="1" type="noConversion"/>
  </si>
  <si>
    <t>青年</t>
    <phoneticPr fontId="1" type="noConversion"/>
  </si>
  <si>
    <t>壮年</t>
    <phoneticPr fontId="1" type="noConversion"/>
  </si>
  <si>
    <t>火</t>
    <phoneticPr fontId="1" type="noConversion"/>
  </si>
  <si>
    <t>女侍</t>
    <phoneticPr fontId="1" type="noConversion"/>
  </si>
  <si>
    <t>女侍</t>
    <phoneticPr fontId="1" type="noConversion"/>
  </si>
  <si>
    <t>九天玄老</t>
    <phoneticPr fontId="1" type="noConversion"/>
  </si>
  <si>
    <t>幻</t>
    <phoneticPr fontId="1" type="noConversion"/>
  </si>
  <si>
    <t>大司马</t>
    <phoneticPr fontId="1" type="noConversion"/>
  </si>
  <si>
    <t>火</t>
    <phoneticPr fontId="1" type="noConversion"/>
  </si>
  <si>
    <t>壮年</t>
    <phoneticPr fontId="1" type="noConversion"/>
  </si>
  <si>
    <t>七绝散人</t>
    <phoneticPr fontId="1" type="noConversion"/>
  </si>
  <si>
    <t>无名劫匪</t>
    <phoneticPr fontId="1" type="noConversion"/>
  </si>
  <si>
    <t>星燃</t>
    <phoneticPr fontId="1" type="noConversion"/>
  </si>
  <si>
    <t>战马.波妮</t>
    <phoneticPr fontId="1" type="noConversion"/>
  </si>
  <si>
    <t>小山贼</t>
    <phoneticPr fontId="1" type="noConversion"/>
  </si>
  <si>
    <t>小山贼</t>
    <phoneticPr fontId="1" type="noConversion"/>
  </si>
  <si>
    <t>雨梨标</t>
    <phoneticPr fontId="1" type="noConversion"/>
  </si>
  <si>
    <t>枯蛛</t>
    <phoneticPr fontId="1" type="noConversion"/>
  </si>
  <si>
    <t>刺灵</t>
    <phoneticPr fontId="1" type="noConversion"/>
  </si>
  <si>
    <t>刺灵</t>
    <phoneticPr fontId="1" type="noConversion"/>
  </si>
  <si>
    <t>福球</t>
    <phoneticPr fontId="1" type="noConversion"/>
  </si>
  <si>
    <t>福球</t>
    <phoneticPr fontId="1" type="noConversion"/>
  </si>
  <si>
    <t>四遁傀兵</t>
    <phoneticPr fontId="1" type="noConversion"/>
  </si>
  <si>
    <t>三灵珠仔</t>
    <phoneticPr fontId="1" type="noConversion"/>
  </si>
  <si>
    <t>彩运</t>
    <phoneticPr fontId="1" type="noConversion"/>
  </si>
  <si>
    <t>离辰</t>
    <phoneticPr fontId="1" type="noConversion"/>
  </si>
  <si>
    <t>马仔</t>
    <phoneticPr fontId="1" type="noConversion"/>
  </si>
  <si>
    <t>马仔</t>
    <phoneticPr fontId="1" type="noConversion"/>
  </si>
  <si>
    <t>魔象</t>
    <phoneticPr fontId="1" type="noConversion"/>
  </si>
  <si>
    <t>瞎进</t>
    <phoneticPr fontId="1" type="noConversion"/>
  </si>
  <si>
    <t>自走炮</t>
    <phoneticPr fontId="1" type="noConversion"/>
  </si>
  <si>
    <t>漆风</t>
    <phoneticPr fontId="1" type="noConversion"/>
  </si>
  <si>
    <t>漆风</t>
    <phoneticPr fontId="1" type="noConversion"/>
  </si>
  <si>
    <t>天雷</t>
    <phoneticPr fontId="1" type="noConversion"/>
  </si>
  <si>
    <t>天雷</t>
    <phoneticPr fontId="1" type="noConversion"/>
  </si>
  <si>
    <t>骰子大(10),</t>
    <phoneticPr fontId="1" type="noConversion"/>
  </si>
  <si>
    <t>巨蟹小当家</t>
    <phoneticPr fontId="1" type="noConversion"/>
  </si>
  <si>
    <t>双戟洪少侠</t>
    <phoneticPr fontId="1" type="noConversion"/>
  </si>
  <si>
    <t>六味地糖丸</t>
    <phoneticPr fontId="1" type="noConversion"/>
  </si>
  <si>
    <t>心剑合一李小白</t>
    <phoneticPr fontId="1" type="noConversion"/>
  </si>
  <si>
    <t>白白</t>
    <phoneticPr fontId="1" type="noConversion"/>
  </si>
  <si>
    <t>欠条中(7),</t>
    <phoneticPr fontId="1" type="noConversion"/>
  </si>
  <si>
    <t>欠条中(5),_x000D_
庄家令牌中(4),</t>
    <phoneticPr fontId="1" type="noConversion"/>
  </si>
  <si>
    <t>神农鼎(10),_x000D_
钱袋大(4),</t>
    <phoneticPr fontId="1" type="noConversion"/>
  </si>
  <si>
    <t>神农鼎(10),_x000D_
骰子大(10),</t>
    <phoneticPr fontId="1" type="noConversion"/>
  </si>
  <si>
    <t>骰子中(2),</t>
    <phoneticPr fontId="1" type="noConversion"/>
  </si>
  <si>
    <t>桂花酒(5),</t>
    <phoneticPr fontId="1" type="noConversion"/>
  </si>
  <si>
    <t>桂花(5),</t>
    <phoneticPr fontId="1" type="noConversion"/>
  </si>
  <si>
    <t>超进阶素材光(47),</t>
    <phoneticPr fontId="1" type="noConversion"/>
  </si>
  <si>
    <t>筹码小(3),_x000D_
庄家令牌中(4),</t>
    <phoneticPr fontId="1" type="noConversion"/>
  </si>
  <si>
    <t>欠条中(5),_x000D_
骰子大(2),</t>
    <phoneticPr fontId="1" type="noConversion"/>
  </si>
  <si>
    <t>欠条中(5),_x000D_
筹码小(3),</t>
    <phoneticPr fontId="1" type="noConversion"/>
  </si>
  <si>
    <t>筹码大(9),_x000D_
庄家令牌大(10),</t>
    <phoneticPr fontId="1" type="noConversion"/>
  </si>
  <si>
    <t>女娲石(10),_x000D_
骰子大(10),_x000D_
庄家令牌大(10),</t>
    <phoneticPr fontId="1" type="noConversion"/>
  </si>
  <si>
    <t>骰子大(2),_x000D_
筹码大(1),_x000D_
庄家令牌中(4),_x000D_
庄家令牌大(2),</t>
    <phoneticPr fontId="1" type="noConversion"/>
  </si>
  <si>
    <t>骰子中(2),</t>
    <phoneticPr fontId="1" type="noConversion"/>
  </si>
  <si>
    <t>骰子大(2),</t>
    <phoneticPr fontId="1" type="noConversion"/>
  </si>
  <si>
    <t>骰子大(2),</t>
    <phoneticPr fontId="1" type="noConversion"/>
  </si>
  <si>
    <t>筹码小(3),</t>
    <phoneticPr fontId="1" type="noConversion"/>
  </si>
  <si>
    <t>筹码小(3),</t>
    <phoneticPr fontId="1" type="noConversion"/>
  </si>
  <si>
    <t>糯米(3),</t>
    <phoneticPr fontId="1" type="noConversion"/>
  </si>
  <si>
    <t>钱袋大(4),</t>
    <phoneticPr fontId="1" type="noConversion"/>
  </si>
  <si>
    <t>钱袋大(4),</t>
    <phoneticPr fontId="1" type="noConversion"/>
  </si>
  <si>
    <t>庄家令牌中(4),</t>
    <phoneticPr fontId="1" type="noConversion"/>
  </si>
  <si>
    <t>钱袋大(4),</t>
    <phoneticPr fontId="1" type="noConversion"/>
  </si>
  <si>
    <t>欠条中(5),</t>
    <phoneticPr fontId="1" type="noConversion"/>
  </si>
  <si>
    <t>欠条中(5),</t>
    <phoneticPr fontId="1" type="noConversion"/>
  </si>
  <si>
    <t>桂花酒(5),</t>
    <phoneticPr fontId="1" type="noConversion"/>
  </si>
  <si>
    <t>桂花(5),</t>
    <phoneticPr fontId="1" type="noConversion"/>
  </si>
  <si>
    <t>骰子大(10),</t>
    <phoneticPr fontId="1" type="noConversion"/>
  </si>
  <si>
    <t>星络典(8),</t>
    <phoneticPr fontId="1" type="noConversion"/>
  </si>
  <si>
    <t>彗星(8),</t>
    <phoneticPr fontId="1" type="noConversion"/>
  </si>
  <si>
    <t>超进阶素材光(47),</t>
    <phoneticPr fontId="1" type="noConversion"/>
  </si>
  <si>
    <t>骰子大(2),_x000D_
庄家令牌大(2),</t>
    <phoneticPr fontId="1" type="noConversion"/>
  </si>
  <si>
    <t>欠条中(5),_x000D_
筹码大(1),</t>
    <phoneticPr fontId="1" type="noConversion"/>
  </si>
  <si>
    <t>庄家令牌中(4),_x000D_
庄家令牌大(2),</t>
    <phoneticPr fontId="1" type="noConversion"/>
  </si>
  <si>
    <t>金甲虫(22),</t>
    <phoneticPr fontId="1" type="noConversion"/>
  </si>
  <si>
    <t>金甲虫(172),</t>
    <phoneticPr fontId="1" type="noConversion"/>
  </si>
  <si>
    <t>欠条中(5),_x000D_
骰子大(2),</t>
    <phoneticPr fontId="1" type="noConversion"/>
  </si>
  <si>
    <t>欠条中(5),_x000D_
筹码小(3),</t>
    <phoneticPr fontId="1" type="noConversion"/>
  </si>
  <si>
    <t>桂花(5),_x000D_
桂花酒(5),</t>
    <phoneticPr fontId="1" type="noConversion"/>
  </si>
  <si>
    <t>钱袋大(4),_x000D_
筹码大(9),</t>
    <phoneticPr fontId="1" type="noConversion"/>
  </si>
  <si>
    <t>欠条中(7),_x000D_
骰子大(7),</t>
    <phoneticPr fontId="1" type="noConversion"/>
  </si>
  <si>
    <t>钱袋大(4),_x000D_
庄家令牌大(10),</t>
    <phoneticPr fontId="1" type="noConversion"/>
  </si>
  <si>
    <t>神农鼎(10),_x000D_
骰子大(10),</t>
    <phoneticPr fontId="1" type="noConversion"/>
  </si>
  <si>
    <t>筹码大(9),_x000D_
庄家令牌大(10),</t>
    <phoneticPr fontId="1" type="noConversion"/>
  </si>
  <si>
    <t>骰子大(10),_x000D_
庄家令牌大(10),</t>
    <phoneticPr fontId="1" type="noConversion"/>
  </si>
  <si>
    <t>螃蟹(2),_x000D_
桂花(5),_x000D_
桂花酒(5),</t>
    <phoneticPr fontId="1" type="noConversion"/>
  </si>
  <si>
    <t>桂花(5),_x000D_
桂花酒(5),_x000D_
灯笼(5),</t>
    <phoneticPr fontId="1" type="noConversion"/>
  </si>
  <si>
    <t>女娲石(10),_x000D_
彗星(18),_x000D_
魅力符文叉大(4),</t>
    <phoneticPr fontId="1" type="noConversion"/>
  </si>
  <si>
    <t>力量符文叉大(6),_x000D_
技巧符文叉大(26),_x000D_
逆鳞(7),</t>
    <phoneticPr fontId="1" type="noConversion"/>
  </si>
  <si>
    <t>骰子中(17),_x000D_
庄家令牌中(19),</t>
    <phoneticPr fontId="1" type="noConversion"/>
  </si>
  <si>
    <t>骰子中(2),_x000D_
筹码大(1),_x000D_
庄家令牌大(2),</t>
    <phoneticPr fontId="1" type="noConversion"/>
  </si>
  <si>
    <t>筹码大(1),_x000D_
庄家令牌中(4),_x000D_
庄家令牌大(2),</t>
    <phoneticPr fontId="1" type="noConversion"/>
  </si>
  <si>
    <t>欠条中(5),_x000D_
骰子中(2),_x000D_
庄家令牌中(4),</t>
    <phoneticPr fontId="1" type="noConversion"/>
  </si>
  <si>
    <t>欠条中(5),_x000D_
骰子中(2),_x000D_
庄家令牌中(4),</t>
    <phoneticPr fontId="1" type="noConversion"/>
  </si>
  <si>
    <t>力量符文叉大(6),_x000D_
幸运符文叉大(25),_x000D_
逆鳞(7),</t>
    <phoneticPr fontId="1" type="noConversion"/>
  </si>
  <si>
    <t>女娲石(20),_x000D_
神农鼎(20),_x000D_
幸运符文叉大(5),_x000D_
技巧符文叉大(6),</t>
    <phoneticPr fontId="1" type="noConversion"/>
  </si>
  <si>
    <t>钱袋大(4),_x000D_
筹码大(9),_x000D_
庄家令牌大(10),</t>
    <phoneticPr fontId="1" type="noConversion"/>
  </si>
  <si>
    <t>女娲石(10),_x000D_
骰子大(10),_x000D_
庄家令牌大(10),</t>
    <phoneticPr fontId="1" type="noConversion"/>
  </si>
  <si>
    <t>骰子大(10),_x000D_
筹码大(9),_x000D_
庄家令牌大(10),</t>
    <phoneticPr fontId="1" type="noConversion"/>
  </si>
  <si>
    <t>骰子大(2),_x000D_
筹码大(1),_x000D_
庄家令牌中(4),_x000D_
庄家令牌大(2),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</si>
</sst>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4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6" fillId="0" borderId="1" xfId="0" applyFont="1" applyFill="1" applyBorder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7" fillId="0" borderId="1" xfId="0" applyFont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0" borderId="1" xfId="0" applyFont="1" applyFill="1" applyBorder="1">
      <alignment vertical="center"/>
    </xf>
    <xf numFmtId="0" fontId="9" fillId="4" borderId="1" xfId="0" applyFont="1" applyFill="1" applyBorder="1">
      <alignment vertical="center"/>
    </xf>
    <xf numFmtId="0" fontId="9" fillId="6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9" fillId="5" borderId="1" xfId="0" applyFont="1" applyFill="1" applyBorder="1">
      <alignment vertical="center"/>
    </xf>
    <xf numFmtId="0" fontId="9" fillId="0" borderId="1" xfId="0" applyFont="1" applyBorder="1" applyAlignment="1">
      <alignment vertical="center" wrapText="1"/>
    </xf>
    <xf numFmtId="0" fontId="9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</cellXfs>
  <cellStyles count="1">
    <cellStyle name="常规" xfId="0" builtinId="0"/>
  </cellStyles>
  <dxfs count="11"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112</xdr:row>
          <xdr:rowOff>28575</xdr:rowOff>
        </xdr:from>
        <xdr:to>
          <xdr:col>1</xdr:col>
          <xdr:colOff>428625</xdr:colOff>
          <xdr:row>113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BV113"/>
  <sheetViews>
    <sheetView tabSelected="1" workbookViewId="0">
      <pane xSplit="2" ySplit="1" topLeftCell="BK2" activePane="bottomRight" state="frozen"/>
      <selection pane="topRight" activeCell="C1" sqref="C1"/>
      <selection pane="bottomLeft" activeCell="A3" sqref="A3"/>
      <selection pane="bottomRight" activeCell="BB107" sqref="BB107"/>
    </sheetView>
  </sheetViews>
  <sheetFormatPr defaultRowHeight="13.5"/>
  <cols>
    <col min="1" max="1" width="9.75" bestFit="1" customWidth="1"/>
    <col min="2" max="2" width="15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3" width="12.62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8" t="s">
        <v>60</v>
      </c>
      <c r="B1" s="8" t="s">
        <v>61</v>
      </c>
      <c r="C1" s="8" t="s">
        <v>63</v>
      </c>
      <c r="D1" s="8" t="s">
        <v>62</v>
      </c>
      <c r="E1" s="9" t="s">
        <v>1</v>
      </c>
      <c r="F1" s="9" t="s">
        <v>2</v>
      </c>
      <c r="G1" s="9" t="s">
        <v>10</v>
      </c>
      <c r="H1" s="9" t="s">
        <v>19</v>
      </c>
      <c r="I1" s="9" t="s">
        <v>20</v>
      </c>
      <c r="J1" s="9" t="s">
        <v>59</v>
      </c>
      <c r="K1" s="9" t="s">
        <v>21</v>
      </c>
      <c r="L1" s="9" t="s">
        <v>36</v>
      </c>
      <c r="M1" s="9" t="s">
        <v>38</v>
      </c>
      <c r="N1" s="9" t="s">
        <v>42</v>
      </c>
      <c r="O1" s="9" t="s">
        <v>37</v>
      </c>
      <c r="P1" s="27" t="s">
        <v>91</v>
      </c>
      <c r="Q1" s="27" t="s">
        <v>103</v>
      </c>
      <c r="R1" s="27" t="s">
        <v>97</v>
      </c>
      <c r="S1" s="27" t="s">
        <v>92</v>
      </c>
      <c r="T1" s="27" t="s">
        <v>101</v>
      </c>
      <c r="U1" s="27" t="s">
        <v>106</v>
      </c>
      <c r="V1" s="27" t="s">
        <v>93</v>
      </c>
      <c r="W1" s="27" t="s">
        <v>100</v>
      </c>
      <c r="X1" s="27" t="s">
        <v>98</v>
      </c>
      <c r="Y1" s="27" t="s">
        <v>94</v>
      </c>
      <c r="Z1" s="27" t="s">
        <v>102</v>
      </c>
      <c r="AA1" s="27" t="s">
        <v>107</v>
      </c>
      <c r="AB1" s="27" t="s">
        <v>96</v>
      </c>
      <c r="AC1" s="27" t="s">
        <v>95</v>
      </c>
      <c r="AD1" s="27" t="s">
        <v>115</v>
      </c>
      <c r="AE1" s="8" t="s">
        <v>7</v>
      </c>
      <c r="AF1" s="8" t="s">
        <v>24</v>
      </c>
      <c r="AG1" s="8" t="s">
        <v>25</v>
      </c>
      <c r="AH1" s="8" t="s">
        <v>50</v>
      </c>
      <c r="AI1" s="8" t="s">
        <v>51</v>
      </c>
      <c r="AJ1" s="8" t="s">
        <v>53</v>
      </c>
      <c r="AK1" s="8" t="s">
        <v>54</v>
      </c>
      <c r="AL1" s="8" t="s">
        <v>56</v>
      </c>
      <c r="AM1" s="8" t="s">
        <v>43</v>
      </c>
      <c r="AN1" s="8" t="s">
        <v>44</v>
      </c>
      <c r="AO1" s="8" t="s">
        <v>80</v>
      </c>
      <c r="AP1" s="8" t="s">
        <v>81</v>
      </c>
      <c r="AQ1" s="10" t="s">
        <v>34</v>
      </c>
      <c r="AR1" s="10" t="s">
        <v>3</v>
      </c>
      <c r="AS1" s="10" t="s">
        <v>23</v>
      </c>
      <c r="AT1" s="10" t="s">
        <v>46</v>
      </c>
      <c r="AU1" s="10" t="s">
        <v>48</v>
      </c>
      <c r="AV1" s="10" t="s">
        <v>41</v>
      </c>
      <c r="AW1" s="11" t="s">
        <v>4</v>
      </c>
      <c r="AX1" s="11" t="s">
        <v>5</v>
      </c>
      <c r="AY1" s="11" t="s">
        <v>35</v>
      </c>
      <c r="AZ1" s="11" t="s">
        <v>6</v>
      </c>
      <c r="BA1" s="11" t="s">
        <v>40</v>
      </c>
      <c r="BB1" s="11" t="s">
        <v>9</v>
      </c>
      <c r="BC1" s="25" t="s">
        <v>78</v>
      </c>
      <c r="BD1" s="8" t="s">
        <v>183</v>
      </c>
      <c r="BE1" s="8" t="s">
        <v>14</v>
      </c>
      <c r="BF1" s="8" t="s">
        <v>13</v>
      </c>
      <c r="BG1" s="8" t="s">
        <v>11</v>
      </c>
      <c r="BH1" s="8" t="s">
        <v>12</v>
      </c>
      <c r="BI1" s="8" t="s">
        <v>15</v>
      </c>
      <c r="BJ1" s="8" t="s">
        <v>16</v>
      </c>
      <c r="BK1" s="8" t="s">
        <v>27</v>
      </c>
      <c r="BL1" s="8" t="s">
        <v>28</v>
      </c>
      <c r="BM1" s="8" t="s">
        <v>29</v>
      </c>
      <c r="BN1" s="8" t="s">
        <v>30</v>
      </c>
      <c r="BO1" s="8" t="s">
        <v>31</v>
      </c>
      <c r="BP1" s="8" t="s">
        <v>32</v>
      </c>
      <c r="BQ1" s="12" t="s">
        <v>67</v>
      </c>
      <c r="BR1" s="8" t="s">
        <v>68</v>
      </c>
      <c r="BS1" s="16" t="s">
        <v>69</v>
      </c>
      <c r="BT1" s="16"/>
      <c r="BU1" s="13" t="s">
        <v>164</v>
      </c>
    </row>
    <row r="2" spans="1:74" hidden="1">
      <c r="A2" s="1"/>
      <c r="B2" s="1" t="s">
        <v>99</v>
      </c>
      <c r="C2" s="1" t="s">
        <v>87</v>
      </c>
      <c r="D2" s="1" t="s">
        <v>88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>
        <v>10</v>
      </c>
      <c r="Q2" s="28"/>
      <c r="R2" s="28"/>
      <c r="S2" s="28">
        <v>10</v>
      </c>
      <c r="T2" s="28"/>
      <c r="U2" s="28"/>
      <c r="V2" s="28"/>
      <c r="W2" s="28">
        <v>5</v>
      </c>
      <c r="X2" s="28"/>
      <c r="Y2" s="28"/>
      <c r="Z2" s="28"/>
      <c r="AA2" s="28"/>
      <c r="AB2" s="28">
        <v>10</v>
      </c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>
        <f t="shared" ref="BQ2:BQ13" si="0">SUM(E2:BP2)</f>
        <v>35</v>
      </c>
      <c r="BR2" s="1">
        <v>2</v>
      </c>
      <c r="BS2" s="17">
        <v>1</v>
      </c>
      <c r="BT2" s="17" t="s">
        <v>234</v>
      </c>
      <c r="BU2">
        <f t="shared" ref="BU2:BU13" si="1">SUM(P2:AD2)</f>
        <v>35</v>
      </c>
      <c r="BV2" s="23">
        <f t="shared" ref="BV2:BV13" si="2">AF2+AH2+AI2+AJ2+AO2+AP2</f>
        <v>0</v>
      </c>
    </row>
    <row r="3" spans="1:74" hidden="1">
      <c r="A3" s="1"/>
      <c r="B3" s="1" t="s">
        <v>104</v>
      </c>
      <c r="C3" s="1" t="s">
        <v>87</v>
      </c>
      <c r="D3" s="1" t="s">
        <v>88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>
        <v>10</v>
      </c>
      <c r="Q3" s="28"/>
      <c r="R3" s="28"/>
      <c r="S3" s="28">
        <v>10</v>
      </c>
      <c r="T3" s="28"/>
      <c r="U3" s="28"/>
      <c r="V3" s="28"/>
      <c r="W3" s="28">
        <v>5</v>
      </c>
      <c r="X3" s="28"/>
      <c r="Y3" s="28"/>
      <c r="Z3" s="28"/>
      <c r="AA3" s="28"/>
      <c r="AB3" s="28">
        <v>10</v>
      </c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>
        <f t="shared" si="0"/>
        <v>35</v>
      </c>
      <c r="BR3" s="1">
        <v>2</v>
      </c>
      <c r="BS3" s="17">
        <v>1</v>
      </c>
      <c r="BT3" s="17" t="s">
        <v>244</v>
      </c>
      <c r="BU3">
        <f t="shared" si="1"/>
        <v>35</v>
      </c>
      <c r="BV3" s="23">
        <f t="shared" si="2"/>
        <v>0</v>
      </c>
    </row>
    <row r="4" spans="1:74" hidden="1">
      <c r="A4" s="1"/>
      <c r="B4" s="1" t="s">
        <v>110</v>
      </c>
      <c r="C4" s="1" t="s">
        <v>108</v>
      </c>
      <c r="D4" s="1" t="s">
        <v>88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>
        <v>10</v>
      </c>
      <c r="Q4" s="28"/>
      <c r="R4" s="28"/>
      <c r="S4" s="28">
        <v>10</v>
      </c>
      <c r="T4" s="28"/>
      <c r="U4" s="28"/>
      <c r="V4" s="28"/>
      <c r="W4" s="28">
        <v>5</v>
      </c>
      <c r="X4" s="28"/>
      <c r="Y4" s="28"/>
      <c r="Z4" s="28"/>
      <c r="AA4" s="28"/>
      <c r="AB4" s="28">
        <v>10</v>
      </c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>
        <f t="shared" si="0"/>
        <v>35</v>
      </c>
      <c r="BR4" s="1">
        <v>2</v>
      </c>
      <c r="BS4" s="17">
        <v>1</v>
      </c>
      <c r="BT4" s="17" t="s">
        <v>244</v>
      </c>
      <c r="BU4">
        <f t="shared" si="1"/>
        <v>35</v>
      </c>
      <c r="BV4" s="23">
        <f t="shared" si="2"/>
        <v>0</v>
      </c>
    </row>
    <row r="5" spans="1:74" s="46" customFormat="1" hidden="1">
      <c r="A5" s="1"/>
      <c r="B5" s="3" t="s">
        <v>157</v>
      </c>
      <c r="C5" s="3" t="s">
        <v>22</v>
      </c>
      <c r="D5" s="1" t="s">
        <v>155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>
        <v>10</v>
      </c>
      <c r="Q5" s="28"/>
      <c r="R5" s="28"/>
      <c r="S5" s="28">
        <v>10</v>
      </c>
      <c r="T5" s="28"/>
      <c r="U5" s="28"/>
      <c r="V5" s="28"/>
      <c r="W5" s="28">
        <v>5</v>
      </c>
      <c r="X5" s="28"/>
      <c r="Y5" s="28"/>
      <c r="Z5" s="28"/>
      <c r="AA5" s="28"/>
      <c r="AB5" s="28">
        <v>10</v>
      </c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>
        <f t="shared" si="0"/>
        <v>35</v>
      </c>
      <c r="BR5" s="1">
        <v>2</v>
      </c>
      <c r="BS5" s="17">
        <v>1</v>
      </c>
      <c r="BT5" s="17" t="s">
        <v>244</v>
      </c>
      <c r="BU5">
        <f t="shared" si="1"/>
        <v>35</v>
      </c>
      <c r="BV5" s="23">
        <f t="shared" si="2"/>
        <v>0</v>
      </c>
    </row>
    <row r="6" spans="1:74" hidden="1">
      <c r="A6" s="1"/>
      <c r="B6" s="3" t="s">
        <v>160</v>
      </c>
      <c r="C6" s="3" t="s">
        <v>86</v>
      </c>
      <c r="D6" s="1" t="s">
        <v>155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>
        <v>10</v>
      </c>
      <c r="Q6" s="28"/>
      <c r="R6" s="28"/>
      <c r="S6" s="28">
        <v>10</v>
      </c>
      <c r="T6" s="28"/>
      <c r="U6" s="28"/>
      <c r="V6" s="28"/>
      <c r="W6" s="28">
        <v>5</v>
      </c>
      <c r="X6" s="28"/>
      <c r="Y6" s="28"/>
      <c r="Z6" s="28"/>
      <c r="AA6" s="28"/>
      <c r="AB6" s="28">
        <v>10</v>
      </c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>
        <f t="shared" si="0"/>
        <v>35</v>
      </c>
      <c r="BR6" s="1">
        <v>2</v>
      </c>
      <c r="BS6" s="17">
        <v>1</v>
      </c>
      <c r="BT6" s="17" t="s">
        <v>244</v>
      </c>
      <c r="BU6">
        <f t="shared" si="1"/>
        <v>35</v>
      </c>
      <c r="BV6" s="23">
        <f t="shared" si="2"/>
        <v>0</v>
      </c>
    </row>
    <row r="7" spans="1:74" hidden="1">
      <c r="A7" s="1"/>
      <c r="B7" s="1" t="s">
        <v>171</v>
      </c>
      <c r="C7" s="1" t="s">
        <v>45</v>
      </c>
      <c r="D7" s="1" t="s">
        <v>167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>
        <v>10</v>
      </c>
      <c r="Q7" s="28"/>
      <c r="R7" s="28"/>
      <c r="S7" s="28">
        <v>10</v>
      </c>
      <c r="T7" s="28"/>
      <c r="U7" s="28"/>
      <c r="V7" s="28"/>
      <c r="W7" s="28">
        <v>5</v>
      </c>
      <c r="X7" s="28"/>
      <c r="Y7" s="28"/>
      <c r="Z7" s="28"/>
      <c r="AA7" s="28"/>
      <c r="AB7" s="28">
        <v>10</v>
      </c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>
        <f t="shared" si="0"/>
        <v>35</v>
      </c>
      <c r="BR7" s="1">
        <v>2</v>
      </c>
      <c r="BS7" s="17">
        <v>1</v>
      </c>
      <c r="BT7" s="17" t="s">
        <v>234</v>
      </c>
      <c r="BU7">
        <f t="shared" si="1"/>
        <v>35</v>
      </c>
      <c r="BV7" s="23">
        <f t="shared" si="2"/>
        <v>0</v>
      </c>
    </row>
    <row r="8" spans="1:74" hidden="1">
      <c r="A8" s="1"/>
      <c r="B8" s="1" t="s">
        <v>172</v>
      </c>
      <c r="C8" s="1" t="s">
        <v>45</v>
      </c>
      <c r="D8" s="1" t="s">
        <v>167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>
        <v>10</v>
      </c>
      <c r="Q8" s="28"/>
      <c r="R8" s="28"/>
      <c r="S8" s="28">
        <v>10</v>
      </c>
      <c r="T8" s="28"/>
      <c r="U8" s="28"/>
      <c r="V8" s="28"/>
      <c r="W8" s="28">
        <v>5</v>
      </c>
      <c r="X8" s="28"/>
      <c r="Y8" s="28"/>
      <c r="Z8" s="28"/>
      <c r="AA8" s="28"/>
      <c r="AB8" s="28">
        <v>10</v>
      </c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>
        <f t="shared" si="0"/>
        <v>35</v>
      </c>
      <c r="BR8" s="1">
        <v>2</v>
      </c>
      <c r="BS8" s="17">
        <v>1</v>
      </c>
      <c r="BT8" s="17" t="s">
        <v>244</v>
      </c>
      <c r="BU8">
        <f t="shared" si="1"/>
        <v>35</v>
      </c>
      <c r="BV8" s="23">
        <f t="shared" si="2"/>
        <v>0</v>
      </c>
    </row>
    <row r="9" spans="1:74" hidden="1">
      <c r="A9" s="1"/>
      <c r="B9" s="3" t="s">
        <v>154</v>
      </c>
      <c r="C9" s="3" t="s">
        <v>45</v>
      </c>
      <c r="D9" s="1" t="s">
        <v>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/>
      <c r="Q9" s="28"/>
      <c r="R9" s="28">
        <v>2</v>
      </c>
      <c r="S9" s="28"/>
      <c r="T9" s="28"/>
      <c r="U9" s="28">
        <v>2</v>
      </c>
      <c r="V9" s="28"/>
      <c r="W9" s="28"/>
      <c r="X9" s="28">
        <v>2</v>
      </c>
      <c r="Y9" s="28"/>
      <c r="Z9" s="28">
        <v>5</v>
      </c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>
        <f t="shared" si="0"/>
        <v>11</v>
      </c>
      <c r="BR9" s="1">
        <v>2</v>
      </c>
      <c r="BS9" s="17">
        <v>1</v>
      </c>
      <c r="BT9" s="17" t="s">
        <v>245</v>
      </c>
      <c r="BU9">
        <f t="shared" si="1"/>
        <v>11</v>
      </c>
      <c r="BV9" s="23">
        <f t="shared" si="2"/>
        <v>0</v>
      </c>
    </row>
    <row r="10" spans="1:74" hidden="1">
      <c r="A10" s="1"/>
      <c r="B10" s="1" t="s">
        <v>188</v>
      </c>
      <c r="C10" s="1" t="s">
        <v>87</v>
      </c>
      <c r="D10" s="1" t="s">
        <v>74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/>
      <c r="Q10" s="28"/>
      <c r="R10" s="28">
        <v>2</v>
      </c>
      <c r="S10" s="28"/>
      <c r="T10" s="28"/>
      <c r="U10" s="28">
        <v>2</v>
      </c>
      <c r="V10" s="28"/>
      <c r="W10" s="28"/>
      <c r="X10" s="28">
        <v>2</v>
      </c>
      <c r="Y10" s="28"/>
      <c r="Z10" s="28">
        <v>5</v>
      </c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>
        <f t="shared" si="0"/>
        <v>11</v>
      </c>
      <c r="BR10" s="1">
        <v>2</v>
      </c>
      <c r="BS10" s="17">
        <v>1</v>
      </c>
      <c r="BT10" s="17" t="s">
        <v>246</v>
      </c>
      <c r="BU10">
        <f t="shared" si="1"/>
        <v>11</v>
      </c>
      <c r="BV10" s="23">
        <f t="shared" si="2"/>
        <v>0</v>
      </c>
    </row>
    <row r="11" spans="1:74" hidden="1">
      <c r="A11" s="1"/>
      <c r="B11" s="1" t="s">
        <v>109</v>
      </c>
      <c r="C11" s="1" t="s">
        <v>108</v>
      </c>
      <c r="D11" s="1" t="s">
        <v>88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>
        <v>10</v>
      </c>
      <c r="Q11" s="28"/>
      <c r="R11" s="28"/>
      <c r="S11" s="28">
        <v>10</v>
      </c>
      <c r="T11" s="28"/>
      <c r="U11" s="28"/>
      <c r="V11" s="28">
        <v>10</v>
      </c>
      <c r="W11" s="28"/>
      <c r="X11" s="28"/>
      <c r="Y11" s="28">
        <v>10</v>
      </c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>
        <f t="shared" si="0"/>
        <v>40</v>
      </c>
      <c r="BR11" s="1">
        <v>3</v>
      </c>
      <c r="BS11" s="17">
        <v>1</v>
      </c>
      <c r="BT11" s="17" t="s">
        <v>247</v>
      </c>
      <c r="BU11">
        <f t="shared" si="1"/>
        <v>40</v>
      </c>
      <c r="BV11" s="23">
        <f t="shared" si="2"/>
        <v>0</v>
      </c>
    </row>
    <row r="12" spans="1:74" hidden="1">
      <c r="A12" s="1"/>
      <c r="B12" s="1" t="s">
        <v>111</v>
      </c>
      <c r="C12" s="1" t="s">
        <v>112</v>
      </c>
      <c r="D12" s="1" t="s">
        <v>88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>
        <v>10</v>
      </c>
      <c r="Q12" s="28"/>
      <c r="R12" s="28"/>
      <c r="S12" s="28">
        <v>10</v>
      </c>
      <c r="T12" s="28"/>
      <c r="U12" s="28"/>
      <c r="V12" s="28">
        <v>10</v>
      </c>
      <c r="W12" s="28"/>
      <c r="X12" s="28"/>
      <c r="Y12" s="28">
        <v>10</v>
      </c>
      <c r="Z12" s="28"/>
      <c r="AA12" s="28"/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>
        <f t="shared" si="0"/>
        <v>40</v>
      </c>
      <c r="BR12" s="1">
        <v>3</v>
      </c>
      <c r="BS12" s="17">
        <v>1</v>
      </c>
      <c r="BT12" s="17" t="s">
        <v>247</v>
      </c>
      <c r="BU12">
        <f t="shared" si="1"/>
        <v>40</v>
      </c>
      <c r="BV12" s="23">
        <f t="shared" si="2"/>
        <v>0</v>
      </c>
    </row>
    <row r="13" spans="1:74" hidden="1">
      <c r="A13" s="1"/>
      <c r="B13" s="1" t="s">
        <v>180</v>
      </c>
      <c r="C13" s="1" t="s">
        <v>166</v>
      </c>
      <c r="D13" s="1" t="s">
        <v>167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>
        <v>10</v>
      </c>
      <c r="Q13" s="28"/>
      <c r="R13" s="28"/>
      <c r="S13" s="28">
        <v>10</v>
      </c>
      <c r="T13" s="28"/>
      <c r="U13" s="28"/>
      <c r="V13" s="28">
        <v>10</v>
      </c>
      <c r="W13" s="28"/>
      <c r="X13" s="28"/>
      <c r="Y13" s="28">
        <v>10</v>
      </c>
      <c r="Z13" s="28"/>
      <c r="AA13" s="28"/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>
        <f t="shared" si="0"/>
        <v>40</v>
      </c>
      <c r="BR13" s="1">
        <v>3</v>
      </c>
      <c r="BS13" s="17">
        <v>1</v>
      </c>
      <c r="BT13" s="17" t="s">
        <v>248</v>
      </c>
      <c r="BU13">
        <f t="shared" si="1"/>
        <v>40</v>
      </c>
      <c r="BV13" s="23">
        <f t="shared" si="2"/>
        <v>0</v>
      </c>
    </row>
    <row r="14" spans="1:74">
      <c r="A14" s="1"/>
      <c r="B14" s="1" t="s">
        <v>229</v>
      </c>
      <c r="C14" s="1" t="s">
        <v>22</v>
      </c>
      <c r="D14" s="1" t="s">
        <v>18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>
        <v>5</v>
      </c>
      <c r="AP14" s="1">
        <v>1</v>
      </c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>
        <f t="shared" ref="BQ14:BQ43" si="3">SUM(E14:BP14)</f>
        <v>6</v>
      </c>
      <c r="BR14" s="1">
        <v>3</v>
      </c>
      <c r="BS14" s="17">
        <v>1</v>
      </c>
      <c r="BT14" s="17" t="s">
        <v>249</v>
      </c>
      <c r="BU14">
        <f t="shared" ref="BU14:BU43" si="4">SUM(P14:AD14)</f>
        <v>0</v>
      </c>
      <c r="BV14" s="23">
        <f t="shared" ref="BV14:BV43" si="5">AF14+AH14+AI14+AJ14+AO14+AP14</f>
        <v>6</v>
      </c>
    </row>
    <row r="15" spans="1:74" hidden="1">
      <c r="A15" s="1"/>
      <c r="B15" s="1" t="s">
        <v>201</v>
      </c>
      <c r="C15" s="1" t="s">
        <v>47</v>
      </c>
      <c r="D15" s="1" t="s">
        <v>169</v>
      </c>
      <c r="E15" s="6"/>
      <c r="F15" s="6"/>
      <c r="G15" s="6"/>
      <c r="H15" s="6"/>
      <c r="I15" s="6"/>
      <c r="J15" s="6"/>
      <c r="K15" s="6"/>
      <c r="L15" s="6">
        <v>10</v>
      </c>
      <c r="M15" s="6"/>
      <c r="N15" s="6"/>
      <c r="O15" s="6"/>
      <c r="P15" s="28"/>
      <c r="Q15" s="28"/>
      <c r="R15" s="28">
        <v>10</v>
      </c>
      <c r="S15" s="28"/>
      <c r="T15" s="28"/>
      <c r="U15" s="28">
        <v>10</v>
      </c>
      <c r="V15" s="28"/>
      <c r="W15" s="28"/>
      <c r="X15" s="28"/>
      <c r="Y15" s="28"/>
      <c r="Z15" s="28"/>
      <c r="AA15" s="28"/>
      <c r="AB15" s="28"/>
      <c r="AC15" s="28"/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>
        <v>10</v>
      </c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>
        <f t="shared" si="3"/>
        <v>40</v>
      </c>
      <c r="BR15" s="1">
        <v>4</v>
      </c>
      <c r="BS15" s="17">
        <v>1</v>
      </c>
      <c r="BT15" s="17" t="s">
        <v>250</v>
      </c>
      <c r="BU15">
        <f t="shared" si="4"/>
        <v>20</v>
      </c>
      <c r="BV15" s="23">
        <f t="shared" si="5"/>
        <v>0</v>
      </c>
    </row>
    <row r="16" spans="1:74" hidden="1">
      <c r="A16" s="1"/>
      <c r="B16" s="1" t="s">
        <v>199</v>
      </c>
      <c r="C16" s="1" t="s">
        <v>47</v>
      </c>
      <c r="D16" s="1" t="s">
        <v>175</v>
      </c>
      <c r="E16" s="6"/>
      <c r="F16" s="6"/>
      <c r="G16" s="6"/>
      <c r="H16" s="6"/>
      <c r="I16" s="6"/>
      <c r="J16" s="6"/>
      <c r="K16" s="6"/>
      <c r="L16" s="6">
        <v>10</v>
      </c>
      <c r="M16" s="6"/>
      <c r="N16" s="6"/>
      <c r="O16" s="6"/>
      <c r="P16" s="28"/>
      <c r="Q16" s="28"/>
      <c r="R16" s="28">
        <v>10</v>
      </c>
      <c r="S16" s="28"/>
      <c r="T16" s="28"/>
      <c r="U16" s="28">
        <v>10</v>
      </c>
      <c r="V16" s="28"/>
      <c r="W16" s="28"/>
      <c r="X16" s="28"/>
      <c r="Y16" s="28"/>
      <c r="Z16" s="28"/>
      <c r="AA16" s="28"/>
      <c r="AB16" s="28"/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>
        <v>10</v>
      </c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>
        <f t="shared" si="3"/>
        <v>40</v>
      </c>
      <c r="BR16" s="1">
        <v>4</v>
      </c>
      <c r="BS16" s="17">
        <v>1</v>
      </c>
      <c r="BT16" s="17" t="s">
        <v>251</v>
      </c>
      <c r="BU16">
        <f t="shared" si="4"/>
        <v>20</v>
      </c>
      <c r="BV16" s="23">
        <f t="shared" si="5"/>
        <v>0</v>
      </c>
    </row>
    <row r="17" spans="1:74" hidden="1">
      <c r="A17" s="1"/>
      <c r="B17" s="1" t="s">
        <v>165</v>
      </c>
      <c r="C17" s="1" t="s">
        <v>166</v>
      </c>
      <c r="D17" s="1" t="s">
        <v>169</v>
      </c>
      <c r="E17" s="6">
        <v>5</v>
      </c>
      <c r="F17" s="6"/>
      <c r="G17" s="6"/>
      <c r="H17" s="6"/>
      <c r="I17" s="6"/>
      <c r="J17" s="6"/>
      <c r="K17" s="6"/>
      <c r="L17" s="6"/>
      <c r="M17" s="6"/>
      <c r="N17" s="6"/>
      <c r="O17" s="6"/>
      <c r="P17" s="28"/>
      <c r="Q17" s="28"/>
      <c r="R17" s="28"/>
      <c r="S17" s="28"/>
      <c r="T17" s="28"/>
      <c r="U17" s="28"/>
      <c r="V17" s="28">
        <v>5</v>
      </c>
      <c r="W17" s="28"/>
      <c r="X17" s="28"/>
      <c r="Y17" s="28">
        <v>5</v>
      </c>
      <c r="Z17" s="28"/>
      <c r="AA17" s="28"/>
      <c r="AB17" s="28"/>
      <c r="AC17" s="28">
        <v>5</v>
      </c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>
        <f t="shared" si="3"/>
        <v>20</v>
      </c>
      <c r="BR17" s="1">
        <v>4</v>
      </c>
      <c r="BS17" s="17">
        <v>1</v>
      </c>
      <c r="BT17" s="17" t="s">
        <v>252</v>
      </c>
      <c r="BU17">
        <f t="shared" si="4"/>
        <v>15</v>
      </c>
      <c r="BV17" s="23">
        <f t="shared" si="5"/>
        <v>0</v>
      </c>
    </row>
    <row r="18" spans="1:74" hidden="1">
      <c r="A18" s="1"/>
      <c r="B18" s="1" t="s">
        <v>213</v>
      </c>
      <c r="C18" s="1" t="s">
        <v>105</v>
      </c>
      <c r="D18" s="1" t="s">
        <v>90</v>
      </c>
      <c r="E18" s="6">
        <v>10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/>
      <c r="R18" s="28">
        <v>10</v>
      </c>
      <c r="S18" s="28"/>
      <c r="T18" s="28"/>
      <c r="U18" s="28">
        <v>10</v>
      </c>
      <c r="V18" s="28"/>
      <c r="W18" s="28"/>
      <c r="X18" s="28"/>
      <c r="Y18" s="28"/>
      <c r="Z18" s="28"/>
      <c r="AA18" s="28"/>
      <c r="AB18" s="28"/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>
        <v>10</v>
      </c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>
        <f t="shared" si="3"/>
        <v>40</v>
      </c>
      <c r="BR18" s="1">
        <v>4</v>
      </c>
      <c r="BS18" s="17">
        <v>1</v>
      </c>
      <c r="BT18" s="17" t="s">
        <v>253</v>
      </c>
      <c r="BU18">
        <f t="shared" si="4"/>
        <v>20</v>
      </c>
      <c r="BV18" s="23">
        <f t="shared" si="5"/>
        <v>0</v>
      </c>
    </row>
    <row r="19" spans="1:74" hidden="1">
      <c r="A19" s="1"/>
      <c r="B19" s="1" t="s">
        <v>109</v>
      </c>
      <c r="C19" s="1" t="s">
        <v>108</v>
      </c>
      <c r="D19" s="1" t="s">
        <v>90</v>
      </c>
      <c r="E19" s="6">
        <v>10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/>
      <c r="R19" s="28">
        <v>10</v>
      </c>
      <c r="S19" s="28"/>
      <c r="T19" s="28"/>
      <c r="U19" s="28">
        <v>10</v>
      </c>
      <c r="V19" s="28"/>
      <c r="W19" s="28"/>
      <c r="X19" s="28"/>
      <c r="Y19" s="28"/>
      <c r="Z19" s="28"/>
      <c r="AA19" s="28"/>
      <c r="AB19" s="28"/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>
        <v>10</v>
      </c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>
        <f t="shared" si="3"/>
        <v>40</v>
      </c>
      <c r="BR19" s="1">
        <v>4</v>
      </c>
      <c r="BS19" s="17">
        <v>1</v>
      </c>
      <c r="BT19" s="17" t="s">
        <v>251</v>
      </c>
      <c r="BU19">
        <f t="shared" si="4"/>
        <v>20</v>
      </c>
      <c r="BV19" s="23">
        <f t="shared" si="5"/>
        <v>0</v>
      </c>
    </row>
    <row r="20" spans="1:74" hidden="1">
      <c r="A20" s="47"/>
      <c r="B20" s="47" t="s">
        <v>194</v>
      </c>
      <c r="C20" s="47" t="s">
        <v>114</v>
      </c>
      <c r="D20" s="47" t="s">
        <v>90</v>
      </c>
      <c r="E20" s="48">
        <v>10</v>
      </c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9"/>
      <c r="Q20" s="49"/>
      <c r="R20" s="49">
        <v>10</v>
      </c>
      <c r="S20" s="49"/>
      <c r="T20" s="49"/>
      <c r="U20" s="49">
        <v>10</v>
      </c>
      <c r="V20" s="49"/>
      <c r="W20" s="49"/>
      <c r="X20" s="49"/>
      <c r="Y20" s="49"/>
      <c r="Z20" s="49"/>
      <c r="AA20" s="49"/>
      <c r="AB20" s="49"/>
      <c r="AC20" s="49"/>
      <c r="AD20" s="49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50"/>
      <c r="AR20" s="50"/>
      <c r="AS20" s="50"/>
      <c r="AT20" s="50"/>
      <c r="AU20" s="50">
        <v>10</v>
      </c>
      <c r="AV20" s="50"/>
      <c r="AW20" s="51"/>
      <c r="AX20" s="51"/>
      <c r="AY20" s="51"/>
      <c r="AZ20" s="51"/>
      <c r="BA20" s="51"/>
      <c r="BB20" s="51"/>
      <c r="BC20" s="52"/>
      <c r="BD20" s="47"/>
      <c r="BE20" s="47"/>
      <c r="BF20" s="47"/>
      <c r="BG20" s="47"/>
      <c r="BH20" s="47"/>
      <c r="BI20" s="47"/>
      <c r="BJ20" s="47"/>
      <c r="BK20" s="47"/>
      <c r="BL20" s="47"/>
      <c r="BM20" s="47"/>
      <c r="BN20" s="47"/>
      <c r="BO20" s="47"/>
      <c r="BP20" s="47"/>
      <c r="BQ20" s="47">
        <f t="shared" si="3"/>
        <v>40</v>
      </c>
      <c r="BR20" s="47">
        <v>4</v>
      </c>
      <c r="BS20" s="53">
        <v>1</v>
      </c>
      <c r="BT20" s="53" t="s">
        <v>253</v>
      </c>
      <c r="BU20">
        <f t="shared" si="4"/>
        <v>20</v>
      </c>
      <c r="BV20" s="23">
        <f t="shared" si="5"/>
        <v>0</v>
      </c>
    </row>
    <row r="21" spans="1:74" hidden="1">
      <c r="A21" s="1"/>
      <c r="B21" s="3" t="s">
        <v>163</v>
      </c>
      <c r="C21" s="3" t="s">
        <v>45</v>
      </c>
      <c r="D21" s="1" t="s">
        <v>156</v>
      </c>
      <c r="E21" s="6">
        <v>10</v>
      </c>
      <c r="F21" s="6"/>
      <c r="G21" s="6"/>
      <c r="H21" s="6"/>
      <c r="I21" s="6"/>
      <c r="J21" s="6"/>
      <c r="K21" s="6"/>
      <c r="L21" s="6"/>
      <c r="M21" s="6"/>
      <c r="N21" s="6"/>
      <c r="O21" s="6"/>
      <c r="P21" s="28"/>
      <c r="Q21" s="28"/>
      <c r="R21" s="28">
        <v>10</v>
      </c>
      <c r="S21" s="28"/>
      <c r="T21" s="28"/>
      <c r="U21" s="28">
        <v>10</v>
      </c>
      <c r="V21" s="28"/>
      <c r="W21" s="28"/>
      <c r="X21" s="28"/>
      <c r="Y21" s="28"/>
      <c r="Z21" s="28"/>
      <c r="AA21" s="28"/>
      <c r="AB21" s="28"/>
      <c r="AC21" s="28"/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>
        <v>10</v>
      </c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>
        <f t="shared" si="3"/>
        <v>40</v>
      </c>
      <c r="BR21" s="1">
        <v>4</v>
      </c>
      <c r="BS21" s="17">
        <v>1</v>
      </c>
      <c r="BT21" s="17" t="s">
        <v>253</v>
      </c>
      <c r="BU21">
        <f t="shared" si="4"/>
        <v>20</v>
      </c>
      <c r="BV21" s="23">
        <f t="shared" si="5"/>
        <v>0</v>
      </c>
    </row>
    <row r="22" spans="1:74" hidden="1">
      <c r="A22" s="1"/>
      <c r="B22" s="1" t="s">
        <v>200</v>
      </c>
      <c r="C22" s="1" t="s">
        <v>47</v>
      </c>
      <c r="D22" s="1" t="s">
        <v>169</v>
      </c>
      <c r="E22" s="6">
        <v>10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28"/>
      <c r="Q22" s="28"/>
      <c r="R22" s="28">
        <v>10</v>
      </c>
      <c r="S22" s="28"/>
      <c r="T22" s="28"/>
      <c r="U22" s="28">
        <v>10</v>
      </c>
      <c r="V22" s="28"/>
      <c r="W22" s="28"/>
      <c r="X22" s="28"/>
      <c r="Y22" s="28"/>
      <c r="Z22" s="28"/>
      <c r="AA22" s="28"/>
      <c r="AB22" s="28"/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>
        <v>10</v>
      </c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>
        <f t="shared" si="3"/>
        <v>40</v>
      </c>
      <c r="BR22" s="1">
        <v>4</v>
      </c>
      <c r="BS22" s="17">
        <v>1</v>
      </c>
      <c r="BT22" s="17" t="s">
        <v>251</v>
      </c>
      <c r="BU22">
        <f t="shared" si="4"/>
        <v>20</v>
      </c>
      <c r="BV22" s="23">
        <f t="shared" si="5"/>
        <v>0</v>
      </c>
    </row>
    <row r="23" spans="1:74" hidden="1">
      <c r="A23" s="1"/>
      <c r="B23" s="1" t="s">
        <v>217</v>
      </c>
      <c r="C23" s="1" t="s">
        <v>114</v>
      </c>
      <c r="D23" s="1" t="s">
        <v>89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8"/>
      <c r="Q23" s="28">
        <v>5</v>
      </c>
      <c r="R23" s="28"/>
      <c r="S23" s="28"/>
      <c r="T23" s="28"/>
      <c r="U23" s="28"/>
      <c r="V23" s="28">
        <v>10</v>
      </c>
      <c r="W23" s="28"/>
      <c r="X23" s="28"/>
      <c r="Y23" s="28"/>
      <c r="Z23" s="28">
        <v>5</v>
      </c>
      <c r="AA23" s="28"/>
      <c r="AB23" s="28">
        <v>10</v>
      </c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>
        <f t="shared" si="3"/>
        <v>30</v>
      </c>
      <c r="BR23" s="1">
        <v>5</v>
      </c>
      <c r="BS23" s="17">
        <v>1</v>
      </c>
      <c r="BT23" s="17" t="s">
        <v>254</v>
      </c>
      <c r="BU23">
        <f t="shared" si="4"/>
        <v>30</v>
      </c>
      <c r="BV23" s="23">
        <f t="shared" si="5"/>
        <v>0</v>
      </c>
    </row>
    <row r="24" spans="1:74" s="54" customFormat="1" hidden="1">
      <c r="A24" s="1"/>
      <c r="B24" s="1" t="s">
        <v>99</v>
      </c>
      <c r="C24" s="1" t="s">
        <v>87</v>
      </c>
      <c r="D24" s="1" t="s">
        <v>89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8"/>
      <c r="Q24" s="28">
        <v>5</v>
      </c>
      <c r="R24" s="28">
        <v>2</v>
      </c>
      <c r="S24" s="28"/>
      <c r="T24" s="28">
        <v>5</v>
      </c>
      <c r="U24" s="28"/>
      <c r="V24" s="28"/>
      <c r="W24" s="28"/>
      <c r="X24" s="28"/>
      <c r="Y24" s="28"/>
      <c r="Z24" s="28">
        <v>5</v>
      </c>
      <c r="AA24" s="28"/>
      <c r="AB24" s="28"/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>
        <f t="shared" si="3"/>
        <v>17</v>
      </c>
      <c r="BR24" s="1">
        <v>5</v>
      </c>
      <c r="BS24" s="17">
        <v>1</v>
      </c>
      <c r="BT24" s="17" t="s">
        <v>254</v>
      </c>
      <c r="BU24">
        <f t="shared" si="4"/>
        <v>17</v>
      </c>
      <c r="BV24" s="23">
        <f t="shared" si="5"/>
        <v>0</v>
      </c>
    </row>
    <row r="25" spans="1:74" hidden="1">
      <c r="A25" s="1"/>
      <c r="B25" s="1" t="s">
        <v>104</v>
      </c>
      <c r="C25" s="1" t="s">
        <v>87</v>
      </c>
      <c r="D25" s="1" t="s">
        <v>89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>
        <v>5</v>
      </c>
      <c r="R25" s="28">
        <v>2</v>
      </c>
      <c r="S25" s="28"/>
      <c r="T25" s="28">
        <v>5</v>
      </c>
      <c r="U25" s="28"/>
      <c r="V25" s="28"/>
      <c r="W25" s="28"/>
      <c r="X25" s="28"/>
      <c r="Y25" s="28"/>
      <c r="Z25" s="28">
        <v>5</v>
      </c>
      <c r="AA25" s="28"/>
      <c r="AB25" s="28"/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>
        <f t="shared" si="3"/>
        <v>17</v>
      </c>
      <c r="BR25" s="1">
        <v>5</v>
      </c>
      <c r="BS25" s="17">
        <v>1</v>
      </c>
      <c r="BT25" s="17" t="s">
        <v>254</v>
      </c>
      <c r="BU25">
        <f t="shared" si="4"/>
        <v>17</v>
      </c>
      <c r="BV25" s="23">
        <f t="shared" si="5"/>
        <v>0</v>
      </c>
    </row>
    <row r="26" spans="1:74" hidden="1">
      <c r="A26" s="1"/>
      <c r="B26" s="1" t="s">
        <v>110</v>
      </c>
      <c r="C26" s="1" t="s">
        <v>108</v>
      </c>
      <c r="D26" s="1" t="s">
        <v>89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/>
      <c r="Q26" s="28">
        <v>5</v>
      </c>
      <c r="R26" s="28">
        <v>2</v>
      </c>
      <c r="S26" s="28"/>
      <c r="T26" s="28">
        <v>5</v>
      </c>
      <c r="U26" s="28"/>
      <c r="V26" s="28"/>
      <c r="W26" s="28"/>
      <c r="X26" s="28"/>
      <c r="Y26" s="28"/>
      <c r="Z26" s="28">
        <v>5</v>
      </c>
      <c r="AA26" s="28"/>
      <c r="AB26" s="28"/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>
        <f t="shared" si="3"/>
        <v>17</v>
      </c>
      <c r="BR26" s="1">
        <v>5</v>
      </c>
      <c r="BS26" s="17">
        <v>1</v>
      </c>
      <c r="BT26" s="17" t="s">
        <v>254</v>
      </c>
      <c r="BU26">
        <f t="shared" si="4"/>
        <v>17</v>
      </c>
      <c r="BV26" s="23">
        <f t="shared" si="5"/>
        <v>0</v>
      </c>
    </row>
    <row r="27" spans="1:74" hidden="1">
      <c r="A27" s="1"/>
      <c r="B27" s="3" t="s">
        <v>160</v>
      </c>
      <c r="C27" s="3" t="s">
        <v>86</v>
      </c>
      <c r="D27" s="1" t="s">
        <v>0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/>
      <c r="Q27" s="28">
        <v>5</v>
      </c>
      <c r="R27" s="28">
        <v>2</v>
      </c>
      <c r="S27" s="28"/>
      <c r="T27" s="28">
        <v>5</v>
      </c>
      <c r="U27" s="28"/>
      <c r="V27" s="28"/>
      <c r="W27" s="28"/>
      <c r="X27" s="28"/>
      <c r="Y27" s="28"/>
      <c r="Z27" s="28">
        <v>5</v>
      </c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f t="shared" si="3"/>
        <v>17</v>
      </c>
      <c r="BR27" s="1">
        <v>5</v>
      </c>
      <c r="BS27" s="17">
        <v>1</v>
      </c>
      <c r="BT27" s="17" t="s">
        <v>255</v>
      </c>
      <c r="BU27">
        <f t="shared" si="4"/>
        <v>17</v>
      </c>
      <c r="BV27" s="23">
        <f t="shared" si="5"/>
        <v>0</v>
      </c>
    </row>
    <row r="28" spans="1:74" hidden="1">
      <c r="A28" s="1"/>
      <c r="B28" s="1" t="s">
        <v>172</v>
      </c>
      <c r="C28" s="1" t="s">
        <v>45</v>
      </c>
      <c r="D28" s="1" t="s">
        <v>168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>
        <v>5</v>
      </c>
      <c r="R28" s="28">
        <v>2</v>
      </c>
      <c r="S28" s="28"/>
      <c r="T28" s="28">
        <v>5</v>
      </c>
      <c r="U28" s="28"/>
      <c r="V28" s="28"/>
      <c r="W28" s="28"/>
      <c r="X28" s="28"/>
      <c r="Y28" s="28"/>
      <c r="Z28" s="28">
        <v>5</v>
      </c>
      <c r="AA28" s="28"/>
      <c r="AB28" s="28"/>
      <c r="AC28" s="28"/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f t="shared" si="3"/>
        <v>17</v>
      </c>
      <c r="BR28" s="1">
        <v>5</v>
      </c>
      <c r="BS28" s="17">
        <v>1</v>
      </c>
      <c r="BT28" s="17" t="s">
        <v>254</v>
      </c>
      <c r="BU28">
        <f t="shared" si="4"/>
        <v>17</v>
      </c>
      <c r="BV28" s="23">
        <f t="shared" si="5"/>
        <v>0</v>
      </c>
    </row>
    <row r="29" spans="1:74">
      <c r="A29" s="18">
        <v>32</v>
      </c>
      <c r="B29" s="18" t="s">
        <v>55</v>
      </c>
      <c r="C29" s="18" t="s">
        <v>22</v>
      </c>
      <c r="D29" s="18" t="s">
        <v>17</v>
      </c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18"/>
      <c r="AF29" s="18"/>
      <c r="AG29" s="18"/>
      <c r="AH29" s="18"/>
      <c r="AI29" s="18">
        <v>5</v>
      </c>
      <c r="AJ29" s="18"/>
      <c r="AK29" s="18"/>
      <c r="AL29" s="18"/>
      <c r="AM29" s="18"/>
      <c r="AN29" s="18"/>
      <c r="AO29" s="18"/>
      <c r="AP29" s="18"/>
      <c r="AQ29" s="20"/>
      <c r="AR29" s="20"/>
      <c r="AS29" s="20"/>
      <c r="AT29" s="20"/>
      <c r="AU29" s="20"/>
      <c r="AV29" s="20"/>
      <c r="AW29" s="21"/>
      <c r="AX29" s="21"/>
      <c r="AY29" s="21"/>
      <c r="AZ29" s="21"/>
      <c r="BA29" s="21"/>
      <c r="BB29" s="21"/>
      <c r="BC29" s="26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>
        <f t="shared" si="3"/>
        <v>5</v>
      </c>
      <c r="BR29" s="18">
        <v>5</v>
      </c>
      <c r="BS29" s="22">
        <v>1</v>
      </c>
      <c r="BT29" s="22" t="s">
        <v>256</v>
      </c>
      <c r="BU29">
        <f t="shared" si="4"/>
        <v>0</v>
      </c>
      <c r="BV29" s="23">
        <f t="shared" si="5"/>
        <v>5</v>
      </c>
    </row>
    <row r="30" spans="1:74">
      <c r="A30" s="18">
        <v>33</v>
      </c>
      <c r="B30" s="18" t="s">
        <v>55</v>
      </c>
      <c r="C30" s="18" t="s">
        <v>22</v>
      </c>
      <c r="D30" s="18" t="s">
        <v>0</v>
      </c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18"/>
      <c r="AF30" s="18"/>
      <c r="AG30" s="18"/>
      <c r="AH30" s="18">
        <v>5</v>
      </c>
      <c r="AI30" s="18"/>
      <c r="AJ30" s="18"/>
      <c r="AK30" s="18"/>
      <c r="AL30" s="18"/>
      <c r="AM30" s="18"/>
      <c r="AN30" s="18"/>
      <c r="AO30" s="18"/>
      <c r="AP30" s="18"/>
      <c r="AQ30" s="20"/>
      <c r="AR30" s="20"/>
      <c r="AS30" s="20"/>
      <c r="AT30" s="20"/>
      <c r="AU30" s="20"/>
      <c r="AV30" s="20"/>
      <c r="AW30" s="21"/>
      <c r="AX30" s="21"/>
      <c r="AY30" s="21"/>
      <c r="AZ30" s="21"/>
      <c r="BA30" s="21"/>
      <c r="BB30" s="21"/>
      <c r="BC30" s="26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>
        <f t="shared" si="3"/>
        <v>5</v>
      </c>
      <c r="BR30" s="18">
        <v>5</v>
      </c>
      <c r="BS30" s="22">
        <v>1</v>
      </c>
      <c r="BT30" s="22" t="s">
        <v>257</v>
      </c>
      <c r="BU30">
        <f t="shared" si="4"/>
        <v>0</v>
      </c>
      <c r="BV30" s="23">
        <f t="shared" si="5"/>
        <v>5</v>
      </c>
    </row>
    <row r="31" spans="1:74">
      <c r="A31" s="18"/>
      <c r="B31" s="18" t="s">
        <v>84</v>
      </c>
      <c r="C31" s="18" t="s">
        <v>82</v>
      </c>
      <c r="D31" s="18" t="s">
        <v>79</v>
      </c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18"/>
      <c r="AF31" s="18"/>
      <c r="AG31" s="18"/>
      <c r="AH31" s="18">
        <v>5</v>
      </c>
      <c r="AI31" s="18"/>
      <c r="AJ31" s="18"/>
      <c r="AK31" s="18"/>
      <c r="AL31" s="18"/>
      <c r="AM31" s="18"/>
      <c r="AN31" s="18"/>
      <c r="AO31" s="18"/>
      <c r="AP31" s="18"/>
      <c r="AQ31" s="20"/>
      <c r="AR31" s="20"/>
      <c r="AS31" s="20"/>
      <c r="AT31" s="20"/>
      <c r="AU31" s="20"/>
      <c r="AV31" s="20"/>
      <c r="AW31" s="21"/>
      <c r="AX31" s="21"/>
      <c r="AY31" s="21"/>
      <c r="AZ31" s="21"/>
      <c r="BA31" s="21"/>
      <c r="BB31" s="21"/>
      <c r="BC31" s="26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>
        <f t="shared" si="3"/>
        <v>5</v>
      </c>
      <c r="BR31" s="18">
        <v>5</v>
      </c>
      <c r="BS31" s="22">
        <v>1</v>
      </c>
      <c r="BT31" s="22" t="s">
        <v>236</v>
      </c>
      <c r="BU31">
        <f t="shared" si="4"/>
        <v>0</v>
      </c>
      <c r="BV31" s="23">
        <f t="shared" si="5"/>
        <v>5</v>
      </c>
    </row>
    <row r="32" spans="1:74">
      <c r="A32" s="18"/>
      <c r="B32" s="18" t="s">
        <v>84</v>
      </c>
      <c r="C32" s="18" t="s">
        <v>82</v>
      </c>
      <c r="D32" s="18" t="s">
        <v>75</v>
      </c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18"/>
      <c r="AF32" s="18"/>
      <c r="AG32" s="18"/>
      <c r="AH32" s="18"/>
      <c r="AI32" s="18">
        <v>5</v>
      </c>
      <c r="AJ32" s="18"/>
      <c r="AK32" s="18"/>
      <c r="AL32" s="18"/>
      <c r="AM32" s="18"/>
      <c r="AN32" s="18"/>
      <c r="AO32" s="18"/>
      <c r="AP32" s="18"/>
      <c r="AQ32" s="20"/>
      <c r="AR32" s="20"/>
      <c r="AS32" s="20"/>
      <c r="AT32" s="20"/>
      <c r="AU32" s="20"/>
      <c r="AV32" s="20"/>
      <c r="AW32" s="21"/>
      <c r="AX32" s="21"/>
      <c r="AY32" s="21"/>
      <c r="AZ32" s="21"/>
      <c r="BA32" s="21"/>
      <c r="BB32" s="21"/>
      <c r="BC32" s="26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>
        <f t="shared" si="3"/>
        <v>5</v>
      </c>
      <c r="BR32" s="18">
        <v>5</v>
      </c>
      <c r="BS32" s="22">
        <v>1</v>
      </c>
      <c r="BT32" s="22" t="s">
        <v>235</v>
      </c>
      <c r="BU32">
        <f t="shared" si="4"/>
        <v>0</v>
      </c>
      <c r="BV32" s="23">
        <f t="shared" si="5"/>
        <v>5</v>
      </c>
    </row>
    <row r="33" spans="1:74" hidden="1">
      <c r="A33" s="1"/>
      <c r="B33" s="1" t="s">
        <v>110</v>
      </c>
      <c r="C33" s="1" t="s">
        <v>108</v>
      </c>
      <c r="D33" s="1" t="s">
        <v>90</v>
      </c>
      <c r="E33" s="6"/>
      <c r="F33" s="6"/>
      <c r="G33" s="6"/>
      <c r="H33" s="6"/>
      <c r="I33" s="6">
        <v>7</v>
      </c>
      <c r="J33" s="6"/>
      <c r="K33" s="6"/>
      <c r="L33" s="6"/>
      <c r="M33" s="6"/>
      <c r="N33" s="6"/>
      <c r="O33" s="6"/>
      <c r="P33" s="28"/>
      <c r="Q33" s="28">
        <v>7</v>
      </c>
      <c r="R33" s="28">
        <v>7</v>
      </c>
      <c r="S33" s="28"/>
      <c r="T33" s="28">
        <v>7</v>
      </c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>
        <f t="shared" si="3"/>
        <v>28</v>
      </c>
      <c r="BR33" s="1">
        <v>7</v>
      </c>
      <c r="BS33" s="17">
        <v>1</v>
      </c>
      <c r="BT33" s="17" t="s">
        <v>230</v>
      </c>
      <c r="BU33">
        <f t="shared" si="4"/>
        <v>21</v>
      </c>
      <c r="BV33" s="23">
        <f t="shared" si="5"/>
        <v>0</v>
      </c>
    </row>
    <row r="34" spans="1:74" hidden="1">
      <c r="A34" s="1"/>
      <c r="B34" s="1" t="s">
        <v>99</v>
      </c>
      <c r="C34" s="1" t="s">
        <v>87</v>
      </c>
      <c r="D34" s="1" t="s">
        <v>90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>
        <v>10</v>
      </c>
      <c r="P34" s="28"/>
      <c r="Q34" s="28"/>
      <c r="R34" s="28">
        <v>10</v>
      </c>
      <c r="S34" s="28"/>
      <c r="T34" s="28"/>
      <c r="U34" s="28"/>
      <c r="V34" s="28"/>
      <c r="W34" s="28"/>
      <c r="X34" s="28">
        <v>10</v>
      </c>
      <c r="Y34" s="28"/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>
        <v>10</v>
      </c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>
        <f t="shared" si="3"/>
        <v>40</v>
      </c>
      <c r="BR34" s="1">
        <v>10</v>
      </c>
      <c r="BS34" s="17">
        <v>1</v>
      </c>
      <c r="BT34" s="17" t="s">
        <v>224</v>
      </c>
      <c r="BU34">
        <f t="shared" si="4"/>
        <v>20</v>
      </c>
      <c r="BV34" s="23">
        <f t="shared" si="5"/>
        <v>0</v>
      </c>
    </row>
    <row r="35" spans="1:74" hidden="1">
      <c r="A35" s="1"/>
      <c r="B35" s="3" t="s">
        <v>219</v>
      </c>
      <c r="C35" s="3" t="s">
        <v>86</v>
      </c>
      <c r="D35" s="1" t="s">
        <v>156</v>
      </c>
      <c r="E35" s="6"/>
      <c r="F35" s="6"/>
      <c r="G35" s="6"/>
      <c r="H35" s="6"/>
      <c r="I35" s="6">
        <v>10</v>
      </c>
      <c r="J35" s="6"/>
      <c r="K35" s="6"/>
      <c r="L35" s="6"/>
      <c r="M35" s="6"/>
      <c r="N35" s="6"/>
      <c r="O35" s="6"/>
      <c r="P35" s="28"/>
      <c r="Q35" s="28"/>
      <c r="R35" s="28">
        <v>10</v>
      </c>
      <c r="S35" s="28"/>
      <c r="T35" s="28"/>
      <c r="U35" s="28"/>
      <c r="V35" s="28"/>
      <c r="W35" s="28"/>
      <c r="X35" s="28">
        <v>10</v>
      </c>
      <c r="Y35" s="28"/>
      <c r="Z35" s="28"/>
      <c r="AA35" s="28"/>
      <c r="AB35" s="28"/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>
        <v>10</v>
      </c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>
        <f t="shared" si="3"/>
        <v>40</v>
      </c>
      <c r="BR35" s="1">
        <v>10</v>
      </c>
      <c r="BS35" s="17">
        <v>1</v>
      </c>
      <c r="BT35" s="17" t="s">
        <v>224</v>
      </c>
      <c r="BU35">
        <f t="shared" si="4"/>
        <v>20</v>
      </c>
      <c r="BV35" s="23">
        <f t="shared" si="5"/>
        <v>0</v>
      </c>
    </row>
    <row r="36" spans="1:74" hidden="1">
      <c r="A36" s="1"/>
      <c r="B36" s="1" t="s">
        <v>170</v>
      </c>
      <c r="C36" s="1" t="s">
        <v>45</v>
      </c>
      <c r="D36" s="1" t="s">
        <v>169</v>
      </c>
      <c r="E36" s="6"/>
      <c r="F36" s="6"/>
      <c r="G36" s="6"/>
      <c r="H36" s="6"/>
      <c r="I36" s="6">
        <v>10</v>
      </c>
      <c r="J36" s="6"/>
      <c r="K36" s="6"/>
      <c r="L36" s="6"/>
      <c r="M36" s="6"/>
      <c r="N36" s="6"/>
      <c r="O36" s="6"/>
      <c r="P36" s="28"/>
      <c r="Q36" s="28"/>
      <c r="R36" s="28">
        <v>10</v>
      </c>
      <c r="S36" s="28"/>
      <c r="T36" s="28"/>
      <c r="U36" s="28"/>
      <c r="V36" s="28"/>
      <c r="W36" s="28"/>
      <c r="X36" s="28">
        <v>10</v>
      </c>
      <c r="Y36" s="28"/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>
        <v>10</v>
      </c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>
        <f t="shared" si="3"/>
        <v>40</v>
      </c>
      <c r="BR36" s="1">
        <v>10</v>
      </c>
      <c r="BS36" s="17">
        <v>1</v>
      </c>
      <c r="BT36" s="17" t="s">
        <v>258</v>
      </c>
      <c r="BU36">
        <f t="shared" si="4"/>
        <v>20</v>
      </c>
      <c r="BV36" s="23">
        <f t="shared" si="5"/>
        <v>0</v>
      </c>
    </row>
    <row r="37" spans="1:74" hidden="1">
      <c r="A37" s="1"/>
      <c r="B37" s="1" t="s">
        <v>221</v>
      </c>
      <c r="C37" s="1" t="s">
        <v>47</v>
      </c>
      <c r="D37" s="1" t="s">
        <v>169</v>
      </c>
      <c r="E37" s="6"/>
      <c r="F37" s="6"/>
      <c r="G37" s="6"/>
      <c r="H37" s="6"/>
      <c r="I37" s="6">
        <v>10</v>
      </c>
      <c r="J37" s="6"/>
      <c r="K37" s="6"/>
      <c r="L37" s="6"/>
      <c r="M37" s="6"/>
      <c r="N37" s="6"/>
      <c r="O37" s="6"/>
      <c r="P37" s="28"/>
      <c r="Q37" s="28"/>
      <c r="R37" s="28">
        <v>10</v>
      </c>
      <c r="S37" s="28"/>
      <c r="T37" s="28"/>
      <c r="U37" s="28"/>
      <c r="V37" s="28"/>
      <c r="W37" s="28"/>
      <c r="X37" s="28">
        <v>10</v>
      </c>
      <c r="Y37" s="28"/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>
        <v>10</v>
      </c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>
        <f t="shared" si="3"/>
        <v>40</v>
      </c>
      <c r="BR37" s="1">
        <v>10</v>
      </c>
      <c r="BS37" s="17">
        <v>1</v>
      </c>
      <c r="BT37" s="17" t="s">
        <v>258</v>
      </c>
      <c r="BU37">
        <f t="shared" si="4"/>
        <v>20</v>
      </c>
      <c r="BV37" s="23">
        <f t="shared" si="5"/>
        <v>0</v>
      </c>
    </row>
    <row r="38" spans="1:74" hidden="1">
      <c r="A38" s="1"/>
      <c r="B38" s="3" t="s">
        <v>204</v>
      </c>
      <c r="C38" s="3" t="s">
        <v>39</v>
      </c>
      <c r="D38" s="1" t="s">
        <v>90</v>
      </c>
      <c r="E38" s="6"/>
      <c r="F38" s="6"/>
      <c r="G38" s="6"/>
      <c r="H38" s="6"/>
      <c r="I38" s="6"/>
      <c r="J38" s="6"/>
      <c r="K38" s="6">
        <v>15</v>
      </c>
      <c r="L38" s="6"/>
      <c r="M38" s="6"/>
      <c r="N38" s="6"/>
      <c r="O38" s="6"/>
      <c r="P38" s="28"/>
      <c r="Q38" s="28"/>
      <c r="R38" s="28">
        <v>10</v>
      </c>
      <c r="S38" s="28"/>
      <c r="T38" s="28"/>
      <c r="U38" s="28"/>
      <c r="V38" s="28"/>
      <c r="W38" s="28"/>
      <c r="X38" s="28">
        <v>10</v>
      </c>
      <c r="Y38" s="28"/>
      <c r="Z38" s="28"/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>
        <v>15</v>
      </c>
      <c r="AX38" s="2">
        <v>15</v>
      </c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>
        <f t="shared" si="3"/>
        <v>65</v>
      </c>
      <c r="BR38" s="1">
        <v>10</v>
      </c>
      <c r="BS38" s="17">
        <v>1</v>
      </c>
      <c r="BT38" s="17" t="s">
        <v>224</v>
      </c>
      <c r="BU38">
        <f t="shared" si="4"/>
        <v>20</v>
      </c>
      <c r="BV38" s="23">
        <f t="shared" si="5"/>
        <v>0</v>
      </c>
    </row>
    <row r="39" spans="1:74">
      <c r="A39" s="55"/>
      <c r="B39" s="56" t="s">
        <v>214</v>
      </c>
      <c r="C39" s="55" t="s">
        <v>33</v>
      </c>
      <c r="D39" s="1" t="s">
        <v>169</v>
      </c>
      <c r="E39" s="57"/>
      <c r="F39" s="57"/>
      <c r="G39" s="57"/>
      <c r="H39" s="57"/>
      <c r="I39" s="57"/>
      <c r="J39" s="57"/>
      <c r="K39" s="57"/>
      <c r="L39" s="57"/>
      <c r="M39" s="57"/>
      <c r="N39" s="57">
        <v>10</v>
      </c>
      <c r="O39" s="57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5"/>
      <c r="AF39" s="55"/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9">
        <v>10</v>
      </c>
      <c r="AR39" s="59"/>
      <c r="AS39" s="59"/>
      <c r="AT39" s="59"/>
      <c r="AU39" s="59"/>
      <c r="AV39" s="59"/>
      <c r="AW39" s="60"/>
      <c r="AX39" s="60"/>
      <c r="AY39" s="60"/>
      <c r="AZ39" s="60"/>
      <c r="BA39" s="60"/>
      <c r="BB39" s="60"/>
      <c r="BC39" s="61"/>
      <c r="BD39" s="55">
        <v>10</v>
      </c>
      <c r="BE39" s="55"/>
      <c r="BF39" s="55"/>
      <c r="BG39" s="55"/>
      <c r="BH39" s="55"/>
      <c r="BI39" s="55"/>
      <c r="BJ39" s="55"/>
      <c r="BK39" s="55"/>
      <c r="BL39" s="55"/>
      <c r="BM39" s="55"/>
      <c r="BN39" s="55"/>
      <c r="BO39" s="55"/>
      <c r="BP39" s="55"/>
      <c r="BQ39" s="47">
        <f t="shared" si="3"/>
        <v>30</v>
      </c>
      <c r="BR39" s="55">
        <v>8</v>
      </c>
      <c r="BS39" s="62">
        <v>1</v>
      </c>
      <c r="BT39" s="62" t="s">
        <v>259</v>
      </c>
      <c r="BU39">
        <f t="shared" si="4"/>
        <v>0</v>
      </c>
      <c r="BV39" s="23">
        <f t="shared" si="5"/>
        <v>0</v>
      </c>
    </row>
    <row r="40" spans="1:74">
      <c r="A40" s="55"/>
      <c r="B40" s="56" t="s">
        <v>187</v>
      </c>
      <c r="C40" s="55" t="s">
        <v>39</v>
      </c>
      <c r="D40" s="1" t="s">
        <v>169</v>
      </c>
      <c r="E40" s="57"/>
      <c r="F40" s="57"/>
      <c r="G40" s="57"/>
      <c r="H40" s="57"/>
      <c r="I40" s="57"/>
      <c r="J40" s="57"/>
      <c r="K40" s="57">
        <v>10</v>
      </c>
      <c r="L40" s="57"/>
      <c r="M40" s="57"/>
      <c r="N40" s="57"/>
      <c r="O40" s="57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9"/>
      <c r="AR40" s="59"/>
      <c r="AS40" s="59"/>
      <c r="AT40" s="59"/>
      <c r="AU40" s="59"/>
      <c r="AV40" s="59">
        <v>10</v>
      </c>
      <c r="AW40" s="60"/>
      <c r="AX40" s="60"/>
      <c r="AY40" s="60"/>
      <c r="AZ40" s="60"/>
      <c r="BA40" s="60"/>
      <c r="BB40" s="60"/>
      <c r="BC40" s="61"/>
      <c r="BD40" s="55">
        <v>10</v>
      </c>
      <c r="BE40" s="55"/>
      <c r="BF40" s="55"/>
      <c r="BG40" s="55"/>
      <c r="BH40" s="55"/>
      <c r="BI40" s="55"/>
      <c r="BJ40" s="55"/>
      <c r="BK40" s="55"/>
      <c r="BL40" s="55"/>
      <c r="BM40" s="55"/>
      <c r="BN40" s="55"/>
      <c r="BO40" s="55"/>
      <c r="BP40" s="55"/>
      <c r="BQ40" s="47">
        <f t="shared" si="3"/>
        <v>30</v>
      </c>
      <c r="BR40" s="55">
        <v>8</v>
      </c>
      <c r="BS40" s="62">
        <v>1</v>
      </c>
      <c r="BT40" s="62" t="s">
        <v>259</v>
      </c>
      <c r="BU40">
        <f t="shared" si="4"/>
        <v>0</v>
      </c>
      <c r="BV40" s="23">
        <f t="shared" si="5"/>
        <v>0</v>
      </c>
    </row>
    <row r="41" spans="1:74">
      <c r="A41" s="18">
        <v>64</v>
      </c>
      <c r="B41" s="24" t="s">
        <v>192</v>
      </c>
      <c r="C41" s="18" t="s">
        <v>39</v>
      </c>
      <c r="D41" s="18" t="s">
        <v>0</v>
      </c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18"/>
      <c r="AF41" s="18"/>
      <c r="AG41" s="18"/>
      <c r="AH41" s="18"/>
      <c r="AI41" s="18"/>
      <c r="AJ41" s="18"/>
      <c r="AK41" s="18"/>
      <c r="AL41" s="18"/>
      <c r="AM41" s="18"/>
      <c r="AN41" s="18">
        <v>15</v>
      </c>
      <c r="AO41" s="18"/>
      <c r="AP41" s="18"/>
      <c r="AQ41" s="20"/>
      <c r="AR41" s="20"/>
      <c r="AS41" s="20"/>
      <c r="AT41" s="20"/>
      <c r="AU41" s="20"/>
      <c r="AV41" s="20"/>
      <c r="AW41" s="21"/>
      <c r="AX41" s="21"/>
      <c r="AY41" s="21"/>
      <c r="AZ41" s="21"/>
      <c r="BA41" s="21"/>
      <c r="BB41" s="21"/>
      <c r="BC41" s="26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>
        <f t="shared" si="3"/>
        <v>15</v>
      </c>
      <c r="BR41" s="18">
        <v>8</v>
      </c>
      <c r="BS41" s="22">
        <v>1</v>
      </c>
      <c r="BT41" s="22" t="s">
        <v>260</v>
      </c>
      <c r="BU41">
        <f t="shared" si="4"/>
        <v>0</v>
      </c>
      <c r="BV41" s="23">
        <f t="shared" si="5"/>
        <v>0</v>
      </c>
    </row>
    <row r="42" spans="1:74">
      <c r="A42" s="1"/>
      <c r="B42" s="1" t="s">
        <v>226</v>
      </c>
      <c r="C42" s="1" t="s">
        <v>82</v>
      </c>
      <c r="D42" s="1" t="s">
        <v>83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>
        <v>50</v>
      </c>
      <c r="BL42" s="1">
        <v>50</v>
      </c>
      <c r="BM42" s="1"/>
      <c r="BN42" s="1"/>
      <c r="BO42" s="1">
        <v>50</v>
      </c>
      <c r="BP42" s="1">
        <v>50</v>
      </c>
      <c r="BQ42" s="1">
        <f t="shared" si="3"/>
        <v>200</v>
      </c>
      <c r="BR42" s="1">
        <v>47</v>
      </c>
      <c r="BS42" s="17">
        <v>1</v>
      </c>
      <c r="BT42" s="17" t="s">
        <v>261</v>
      </c>
      <c r="BU42">
        <f t="shared" si="4"/>
        <v>0</v>
      </c>
      <c r="BV42" s="23">
        <f t="shared" si="5"/>
        <v>0</v>
      </c>
    </row>
    <row r="43" spans="1:74">
      <c r="A43" s="1"/>
      <c r="B43" s="1" t="s">
        <v>227</v>
      </c>
      <c r="C43" s="1" t="s">
        <v>113</v>
      </c>
      <c r="D43" s="1" t="s">
        <v>26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>
        <v>50</v>
      </c>
      <c r="BL43" s="1">
        <v>50</v>
      </c>
      <c r="BM43" s="1"/>
      <c r="BN43" s="1"/>
      <c r="BO43" s="1">
        <v>50</v>
      </c>
      <c r="BP43" s="1">
        <v>50</v>
      </c>
      <c r="BQ43" s="1">
        <f t="shared" si="3"/>
        <v>200</v>
      </c>
      <c r="BR43" s="1">
        <v>47</v>
      </c>
      <c r="BS43" s="17">
        <v>1</v>
      </c>
      <c r="BT43" s="17" t="s">
        <v>237</v>
      </c>
      <c r="BU43">
        <f t="shared" si="4"/>
        <v>0</v>
      </c>
      <c r="BV43" s="23">
        <f t="shared" si="5"/>
        <v>0</v>
      </c>
    </row>
    <row r="44" spans="1:74">
      <c r="A44" s="1">
        <v>102</v>
      </c>
      <c r="B44" s="3" t="s">
        <v>137</v>
      </c>
      <c r="C44" s="3" t="s">
        <v>47</v>
      </c>
      <c r="D44" s="1" t="s">
        <v>26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>
        <v>50</v>
      </c>
      <c r="BL44" s="1">
        <v>50</v>
      </c>
      <c r="BM44" s="1"/>
      <c r="BN44" s="1"/>
      <c r="BO44" s="1">
        <v>50</v>
      </c>
      <c r="BP44" s="1">
        <v>50</v>
      </c>
      <c r="BQ44" s="1">
        <f t="shared" ref="BQ44:BQ75" si="6">SUM(E44:BP44)</f>
        <v>200</v>
      </c>
      <c r="BR44" s="1">
        <v>47</v>
      </c>
      <c r="BS44" s="17">
        <v>1</v>
      </c>
      <c r="BT44" s="17" t="s">
        <v>237</v>
      </c>
      <c r="BU44">
        <f t="shared" ref="BU44:BU75" si="7">SUM(P44:AD44)</f>
        <v>0</v>
      </c>
      <c r="BV44" s="23">
        <f t="shared" ref="BV44:BV75" si="8">AF44+AH44+AI44+AJ44+AO44+AP44</f>
        <v>0</v>
      </c>
    </row>
    <row r="45" spans="1:74">
      <c r="A45" s="1">
        <v>85</v>
      </c>
      <c r="B45" s="3" t="s">
        <v>182</v>
      </c>
      <c r="C45" s="3" t="s">
        <v>45</v>
      </c>
      <c r="D45" s="1" t="s">
        <v>26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>
        <v>50</v>
      </c>
      <c r="BN45" s="1">
        <v>50</v>
      </c>
      <c r="BO45" s="1">
        <v>50</v>
      </c>
      <c r="BP45" s="1">
        <v>50</v>
      </c>
      <c r="BQ45" s="1">
        <f t="shared" si="6"/>
        <v>200</v>
      </c>
      <c r="BR45" s="1">
        <v>47</v>
      </c>
      <c r="BS45" s="17">
        <v>1</v>
      </c>
      <c r="BT45" s="17" t="s">
        <v>261</v>
      </c>
      <c r="BU45">
        <f t="shared" si="7"/>
        <v>0</v>
      </c>
      <c r="BV45" s="23">
        <f t="shared" si="8"/>
        <v>0</v>
      </c>
    </row>
    <row r="46" spans="1:74">
      <c r="A46" s="1"/>
      <c r="B46" s="1" t="s">
        <v>228</v>
      </c>
      <c r="C46" s="1" t="s">
        <v>85</v>
      </c>
      <c r="D46" s="1" t="s">
        <v>83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>
        <v>50</v>
      </c>
      <c r="BN46" s="1">
        <v>50</v>
      </c>
      <c r="BO46" s="1">
        <v>50</v>
      </c>
      <c r="BP46" s="1">
        <v>50</v>
      </c>
      <c r="BQ46" s="1">
        <f t="shared" si="6"/>
        <v>200</v>
      </c>
      <c r="BR46" s="1">
        <v>47</v>
      </c>
      <c r="BS46" s="17">
        <v>1</v>
      </c>
      <c r="BT46" s="17" t="s">
        <v>261</v>
      </c>
      <c r="BU46">
        <f t="shared" si="7"/>
        <v>0</v>
      </c>
      <c r="BV46" s="23">
        <f t="shared" si="8"/>
        <v>0</v>
      </c>
    </row>
    <row r="47" spans="1:74">
      <c r="A47" s="1"/>
      <c r="B47" s="1" t="s">
        <v>136</v>
      </c>
      <c r="C47" s="1" t="s">
        <v>85</v>
      </c>
      <c r="D47" s="1" t="s">
        <v>83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>
        <v>50</v>
      </c>
      <c r="BN47" s="1">
        <v>50</v>
      </c>
      <c r="BO47" s="1">
        <v>50</v>
      </c>
      <c r="BP47" s="1">
        <v>50</v>
      </c>
      <c r="BQ47" s="1">
        <f t="shared" si="6"/>
        <v>200</v>
      </c>
      <c r="BR47" s="1">
        <v>47</v>
      </c>
      <c r="BS47" s="17">
        <v>1</v>
      </c>
      <c r="BT47" s="17" t="s">
        <v>261</v>
      </c>
      <c r="BU47">
        <f t="shared" si="7"/>
        <v>0</v>
      </c>
      <c r="BV47" s="23">
        <f t="shared" si="8"/>
        <v>0</v>
      </c>
    </row>
    <row r="48" spans="1:74" ht="27" hidden="1">
      <c r="A48" s="1"/>
      <c r="B48" s="1" t="s">
        <v>176</v>
      </c>
      <c r="C48" s="1" t="s">
        <v>33</v>
      </c>
      <c r="D48" s="1" t="s">
        <v>174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/>
      <c r="Q48" s="28"/>
      <c r="R48" s="28">
        <v>2</v>
      </c>
      <c r="S48" s="28"/>
      <c r="T48" s="28">
        <v>5</v>
      </c>
      <c r="U48" s="28"/>
      <c r="V48" s="28"/>
      <c r="W48" s="28"/>
      <c r="X48" s="28">
        <v>2</v>
      </c>
      <c r="Y48" s="28"/>
      <c r="Z48" s="28"/>
      <c r="AA48" s="28"/>
      <c r="AB48" s="28"/>
      <c r="AC48" s="28"/>
      <c r="AD48" s="28">
        <v>2</v>
      </c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>
        <f t="shared" si="6"/>
        <v>11</v>
      </c>
      <c r="BR48" s="1">
        <v>4</v>
      </c>
      <c r="BS48" s="17">
        <v>2</v>
      </c>
      <c r="BT48" s="17" t="s">
        <v>262</v>
      </c>
      <c r="BU48">
        <f t="shared" si="7"/>
        <v>11</v>
      </c>
      <c r="BV48" s="23">
        <f t="shared" si="8"/>
        <v>0</v>
      </c>
    </row>
    <row r="49" spans="1:74" ht="27" hidden="1">
      <c r="A49" s="1"/>
      <c r="B49" s="1" t="s">
        <v>215</v>
      </c>
      <c r="C49" s="1" t="s">
        <v>114</v>
      </c>
      <c r="D49" s="1" t="s">
        <v>89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/>
      <c r="Q49" s="28">
        <v>5</v>
      </c>
      <c r="R49" s="28"/>
      <c r="S49" s="28"/>
      <c r="T49" s="28">
        <v>5</v>
      </c>
      <c r="U49" s="28"/>
      <c r="V49" s="28"/>
      <c r="W49" s="28"/>
      <c r="X49" s="28"/>
      <c r="Y49" s="28"/>
      <c r="Z49" s="28">
        <v>5</v>
      </c>
      <c r="AA49" s="28">
        <v>2</v>
      </c>
      <c r="AB49" s="28"/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>
        <f t="shared" si="6"/>
        <v>17</v>
      </c>
      <c r="BR49" s="1">
        <v>6</v>
      </c>
      <c r="BS49" s="17">
        <v>2</v>
      </c>
      <c r="BT49" s="17" t="s">
        <v>263</v>
      </c>
      <c r="BU49">
        <f t="shared" si="7"/>
        <v>17</v>
      </c>
      <c r="BV49" s="23">
        <f t="shared" si="8"/>
        <v>0</v>
      </c>
    </row>
    <row r="50" spans="1:74" ht="27" hidden="1">
      <c r="A50" s="1"/>
      <c r="B50" s="3" t="s">
        <v>209</v>
      </c>
      <c r="C50" s="3" t="s">
        <v>159</v>
      </c>
      <c r="D50" s="1" t="s">
        <v>0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/>
      <c r="Q50" s="28">
        <v>5</v>
      </c>
      <c r="R50" s="28"/>
      <c r="S50" s="28"/>
      <c r="T50" s="28">
        <v>5</v>
      </c>
      <c r="U50" s="28"/>
      <c r="V50" s="28"/>
      <c r="W50" s="28"/>
      <c r="X50" s="28"/>
      <c r="Y50" s="28"/>
      <c r="Z50" s="28">
        <v>5</v>
      </c>
      <c r="AA50" s="28">
        <v>2</v>
      </c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>
        <f t="shared" si="6"/>
        <v>17</v>
      </c>
      <c r="BR50" s="1">
        <v>6</v>
      </c>
      <c r="BS50" s="17">
        <v>2</v>
      </c>
      <c r="BT50" s="17" t="s">
        <v>263</v>
      </c>
      <c r="BU50">
        <f t="shared" si="7"/>
        <v>17</v>
      </c>
      <c r="BV50" s="23">
        <f t="shared" si="8"/>
        <v>0</v>
      </c>
    </row>
    <row r="51" spans="1:74" ht="27" hidden="1">
      <c r="A51" s="1"/>
      <c r="B51" s="1" t="s">
        <v>207</v>
      </c>
      <c r="C51" s="1" t="s">
        <v>105</v>
      </c>
      <c r="D51" s="1" t="s">
        <v>168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/>
      <c r="Q51" s="28">
        <v>5</v>
      </c>
      <c r="R51" s="28"/>
      <c r="S51" s="28"/>
      <c r="T51" s="28">
        <v>5</v>
      </c>
      <c r="U51" s="28"/>
      <c r="V51" s="28"/>
      <c r="W51" s="28"/>
      <c r="X51" s="28"/>
      <c r="Y51" s="28"/>
      <c r="Z51" s="28">
        <v>5</v>
      </c>
      <c r="AA51" s="28">
        <v>2</v>
      </c>
      <c r="AB51" s="28"/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>
        <f t="shared" si="6"/>
        <v>17</v>
      </c>
      <c r="BR51" s="1">
        <v>6</v>
      </c>
      <c r="BS51" s="17">
        <v>2</v>
      </c>
      <c r="BT51" s="17" t="s">
        <v>263</v>
      </c>
      <c r="BU51">
        <f t="shared" si="7"/>
        <v>17</v>
      </c>
      <c r="BV51" s="23">
        <f t="shared" si="8"/>
        <v>0</v>
      </c>
    </row>
    <row r="52" spans="1:74" ht="27" hidden="1">
      <c r="A52" s="1"/>
      <c r="B52" s="1" t="s">
        <v>171</v>
      </c>
      <c r="C52" s="1" t="s">
        <v>45</v>
      </c>
      <c r="D52" s="1" t="s">
        <v>168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/>
      <c r="Q52" s="28">
        <v>5</v>
      </c>
      <c r="R52" s="28"/>
      <c r="S52" s="28"/>
      <c r="T52" s="28">
        <v>5</v>
      </c>
      <c r="U52" s="28"/>
      <c r="V52" s="28"/>
      <c r="W52" s="28"/>
      <c r="X52" s="28"/>
      <c r="Y52" s="28"/>
      <c r="Z52" s="28">
        <v>5</v>
      </c>
      <c r="AA52" s="28">
        <v>2</v>
      </c>
      <c r="AB52" s="28"/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>
        <f t="shared" si="6"/>
        <v>17</v>
      </c>
      <c r="BR52" s="1">
        <v>6</v>
      </c>
      <c r="BS52" s="17">
        <v>2</v>
      </c>
      <c r="BT52" s="17" t="s">
        <v>263</v>
      </c>
      <c r="BU52">
        <f t="shared" si="7"/>
        <v>17</v>
      </c>
      <c r="BV52" s="23">
        <f t="shared" si="8"/>
        <v>0</v>
      </c>
    </row>
    <row r="53" spans="1:74" ht="27" hidden="1">
      <c r="A53" s="1"/>
      <c r="B53" s="3" t="s">
        <v>206</v>
      </c>
      <c r="C53" s="3" t="s">
        <v>184</v>
      </c>
      <c r="D53" s="1" t="s">
        <v>0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/>
      <c r="Q53" s="28"/>
      <c r="R53" s="28">
        <v>2</v>
      </c>
      <c r="S53" s="28"/>
      <c r="T53" s="28"/>
      <c r="U53" s="28">
        <v>2</v>
      </c>
      <c r="V53" s="28"/>
      <c r="W53" s="28"/>
      <c r="X53" s="28"/>
      <c r="Y53" s="28"/>
      <c r="Z53" s="28"/>
      <c r="AA53" s="28"/>
      <c r="AB53" s="28"/>
      <c r="AC53" s="28">
        <v>5</v>
      </c>
      <c r="AD53" s="28">
        <v>2</v>
      </c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>
        <f t="shared" si="6"/>
        <v>11</v>
      </c>
      <c r="BR53" s="1">
        <v>6</v>
      </c>
      <c r="BS53" s="17">
        <v>2</v>
      </c>
      <c r="BT53" s="17" t="s">
        <v>264</v>
      </c>
      <c r="BU53">
        <f t="shared" si="7"/>
        <v>11</v>
      </c>
      <c r="BV53" s="23">
        <f t="shared" si="8"/>
        <v>0</v>
      </c>
    </row>
    <row r="54" spans="1:74">
      <c r="A54" s="1">
        <v>98</v>
      </c>
      <c r="B54" s="3" t="s">
        <v>118</v>
      </c>
      <c r="C54" s="3" t="s">
        <v>47</v>
      </c>
      <c r="D54" s="1" t="s">
        <v>0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1">
        <v>50</v>
      </c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>
        <f t="shared" si="6"/>
        <v>50</v>
      </c>
      <c r="BR54" s="1">
        <v>22</v>
      </c>
      <c r="BS54" s="17">
        <v>1</v>
      </c>
      <c r="BT54" s="17" t="s">
        <v>265</v>
      </c>
      <c r="BU54">
        <f t="shared" si="7"/>
        <v>0</v>
      </c>
      <c r="BV54" s="23">
        <f t="shared" si="8"/>
        <v>0</v>
      </c>
    </row>
    <row r="55" spans="1:74">
      <c r="A55" s="1">
        <v>99</v>
      </c>
      <c r="B55" s="3" t="s">
        <v>118</v>
      </c>
      <c r="C55" s="3" t="s">
        <v>47</v>
      </c>
      <c r="D55" s="1" t="s">
        <v>8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1">
        <v>200</v>
      </c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>
        <f t="shared" si="6"/>
        <v>200</v>
      </c>
      <c r="BR55" s="1">
        <v>172</v>
      </c>
      <c r="BS55" s="17">
        <v>1</v>
      </c>
      <c r="BT55" s="17" t="s">
        <v>266</v>
      </c>
      <c r="BU55">
        <f t="shared" si="7"/>
        <v>0</v>
      </c>
      <c r="BV55" s="23">
        <f t="shared" si="8"/>
        <v>0</v>
      </c>
    </row>
    <row r="56" spans="1:74" ht="27" hidden="1">
      <c r="A56" s="1"/>
      <c r="B56" s="1" t="s">
        <v>111</v>
      </c>
      <c r="C56" s="1" t="s">
        <v>112</v>
      </c>
      <c r="D56" s="1" t="s">
        <v>89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/>
      <c r="R56" s="28"/>
      <c r="S56" s="28"/>
      <c r="T56" s="28"/>
      <c r="U56" s="28"/>
      <c r="V56" s="28">
        <v>10</v>
      </c>
      <c r="W56" s="28"/>
      <c r="X56" s="28"/>
      <c r="Y56" s="28">
        <v>10</v>
      </c>
      <c r="Z56" s="28"/>
      <c r="AA56" s="28"/>
      <c r="AB56" s="28">
        <v>10</v>
      </c>
      <c r="AC56" s="28">
        <v>5</v>
      </c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>
        <f t="shared" si="6"/>
        <v>35</v>
      </c>
      <c r="BR56" s="1">
        <v>7</v>
      </c>
      <c r="BS56" s="17">
        <v>2</v>
      </c>
      <c r="BT56" s="17" t="s">
        <v>238</v>
      </c>
      <c r="BU56">
        <f t="shared" si="7"/>
        <v>35</v>
      </c>
      <c r="BV56" s="23">
        <f t="shared" si="8"/>
        <v>0</v>
      </c>
    </row>
    <row r="57" spans="1:74" ht="27" hidden="1">
      <c r="A57" s="1"/>
      <c r="B57" s="3" t="s">
        <v>222</v>
      </c>
      <c r="C57" s="3" t="s">
        <v>45</v>
      </c>
      <c r="D57" s="1" t="s">
        <v>0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/>
      <c r="R57" s="28"/>
      <c r="S57" s="28"/>
      <c r="T57" s="28"/>
      <c r="U57" s="28"/>
      <c r="V57" s="28">
        <v>10</v>
      </c>
      <c r="W57" s="28"/>
      <c r="X57" s="28"/>
      <c r="Y57" s="28">
        <v>10</v>
      </c>
      <c r="Z57" s="28"/>
      <c r="AA57" s="28"/>
      <c r="AB57" s="28">
        <v>10</v>
      </c>
      <c r="AC57" s="28">
        <v>5</v>
      </c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>
        <f t="shared" si="6"/>
        <v>35</v>
      </c>
      <c r="BR57" s="1">
        <v>7</v>
      </c>
      <c r="BS57" s="17">
        <v>2</v>
      </c>
      <c r="BT57" s="17" t="s">
        <v>238</v>
      </c>
      <c r="BU57">
        <f t="shared" si="7"/>
        <v>35</v>
      </c>
      <c r="BV57" s="23">
        <f t="shared" si="8"/>
        <v>0</v>
      </c>
    </row>
    <row r="58" spans="1:74" ht="27" hidden="1">
      <c r="A58" s="1"/>
      <c r="B58" s="1" t="s">
        <v>165</v>
      </c>
      <c r="C58" s="1" t="s">
        <v>166</v>
      </c>
      <c r="D58" s="1" t="s">
        <v>168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/>
      <c r="R58" s="28"/>
      <c r="S58" s="28"/>
      <c r="T58" s="28"/>
      <c r="U58" s="28"/>
      <c r="V58" s="28">
        <v>10</v>
      </c>
      <c r="W58" s="28"/>
      <c r="X58" s="28"/>
      <c r="Y58" s="28">
        <v>10</v>
      </c>
      <c r="Z58" s="28"/>
      <c r="AA58" s="28"/>
      <c r="AB58" s="28">
        <v>10</v>
      </c>
      <c r="AC58" s="28">
        <v>5</v>
      </c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>
        <f t="shared" si="6"/>
        <v>35</v>
      </c>
      <c r="BR58" s="1">
        <v>7</v>
      </c>
      <c r="BS58" s="17">
        <v>2</v>
      </c>
      <c r="BT58" s="17" t="s">
        <v>238</v>
      </c>
      <c r="BU58">
        <f t="shared" si="7"/>
        <v>35</v>
      </c>
      <c r="BV58" s="23">
        <f t="shared" si="8"/>
        <v>0</v>
      </c>
    </row>
    <row r="59" spans="1:74" ht="27" hidden="1">
      <c r="A59" s="1"/>
      <c r="B59" s="1" t="s">
        <v>220</v>
      </c>
      <c r="C59" s="1" t="s">
        <v>47</v>
      </c>
      <c r="D59" s="1" t="s">
        <v>168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/>
      <c r="R59" s="28"/>
      <c r="S59" s="28"/>
      <c r="T59" s="28"/>
      <c r="U59" s="28"/>
      <c r="V59" s="28">
        <v>10</v>
      </c>
      <c r="W59" s="28"/>
      <c r="X59" s="28"/>
      <c r="Y59" s="28">
        <v>10</v>
      </c>
      <c r="Z59" s="28"/>
      <c r="AA59" s="28"/>
      <c r="AB59" s="28">
        <v>10</v>
      </c>
      <c r="AC59" s="28">
        <v>5</v>
      </c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>
        <f t="shared" si="6"/>
        <v>35</v>
      </c>
      <c r="BR59" s="1">
        <v>7</v>
      </c>
      <c r="BS59" s="17">
        <v>2</v>
      </c>
      <c r="BT59" s="17" t="s">
        <v>238</v>
      </c>
      <c r="BU59">
        <f t="shared" si="7"/>
        <v>35</v>
      </c>
      <c r="BV59" s="23">
        <f t="shared" si="8"/>
        <v>0</v>
      </c>
    </row>
    <row r="60" spans="1:74" ht="27" hidden="1">
      <c r="A60" s="1"/>
      <c r="B60" s="1" t="s">
        <v>178</v>
      </c>
      <c r="C60" s="1" t="s">
        <v>112</v>
      </c>
      <c r="D60" s="1" t="s">
        <v>89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/>
      <c r="Q60" s="28">
        <v>5</v>
      </c>
      <c r="R60" s="28"/>
      <c r="S60" s="28"/>
      <c r="T60" s="28">
        <v>5</v>
      </c>
      <c r="U60" s="28"/>
      <c r="V60" s="28"/>
      <c r="W60" s="28"/>
      <c r="X60" s="28">
        <v>2</v>
      </c>
      <c r="Y60" s="28"/>
      <c r="Z60" s="28">
        <v>5</v>
      </c>
      <c r="AA60" s="28"/>
      <c r="AB60" s="28"/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>
        <f t="shared" si="6"/>
        <v>17</v>
      </c>
      <c r="BR60" s="1">
        <v>7</v>
      </c>
      <c r="BS60" s="17">
        <v>2</v>
      </c>
      <c r="BT60" s="17" t="s">
        <v>267</v>
      </c>
      <c r="BU60">
        <f t="shared" si="7"/>
        <v>17</v>
      </c>
      <c r="BV60" s="23">
        <f t="shared" si="8"/>
        <v>0</v>
      </c>
    </row>
    <row r="61" spans="1:74" ht="27" hidden="1">
      <c r="A61" s="1"/>
      <c r="B61" s="3" t="s">
        <v>157</v>
      </c>
      <c r="C61" s="3" t="s">
        <v>22</v>
      </c>
      <c r="D61" s="1" t="s">
        <v>0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>
        <v>5</v>
      </c>
      <c r="R61" s="28"/>
      <c r="S61" s="28"/>
      <c r="T61" s="28">
        <v>5</v>
      </c>
      <c r="U61" s="28"/>
      <c r="V61" s="28"/>
      <c r="W61" s="28"/>
      <c r="X61" s="28">
        <v>2</v>
      </c>
      <c r="Y61" s="28"/>
      <c r="Z61" s="28">
        <v>5</v>
      </c>
      <c r="AA61" s="28"/>
      <c r="AB61" s="28"/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f t="shared" si="6"/>
        <v>17</v>
      </c>
      <c r="BR61" s="1">
        <v>7</v>
      </c>
      <c r="BS61" s="17">
        <v>2</v>
      </c>
      <c r="BT61" s="17" t="s">
        <v>239</v>
      </c>
      <c r="BU61">
        <f t="shared" si="7"/>
        <v>17</v>
      </c>
      <c r="BV61" s="23">
        <f t="shared" si="8"/>
        <v>0</v>
      </c>
    </row>
    <row r="62" spans="1:74" ht="27" hidden="1">
      <c r="A62" s="1"/>
      <c r="B62" s="1" t="s">
        <v>109</v>
      </c>
      <c r="C62" s="1" t="s">
        <v>108</v>
      </c>
      <c r="D62" s="1" t="s">
        <v>89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>
        <v>5</v>
      </c>
      <c r="R62" s="28"/>
      <c r="S62" s="28"/>
      <c r="T62" s="28"/>
      <c r="U62" s="28"/>
      <c r="V62" s="28">
        <v>10</v>
      </c>
      <c r="W62" s="28"/>
      <c r="X62" s="28"/>
      <c r="Y62" s="28">
        <v>10</v>
      </c>
      <c r="Z62" s="28"/>
      <c r="AA62" s="28"/>
      <c r="AB62" s="28">
        <v>10</v>
      </c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>
        <f t="shared" si="6"/>
        <v>35</v>
      </c>
      <c r="BR62" s="1">
        <v>8</v>
      </c>
      <c r="BS62" s="17">
        <v>2</v>
      </c>
      <c r="BT62" s="17" t="s">
        <v>240</v>
      </c>
      <c r="BU62">
        <f t="shared" si="7"/>
        <v>35</v>
      </c>
      <c r="BV62" s="23">
        <f t="shared" si="8"/>
        <v>0</v>
      </c>
    </row>
    <row r="63" spans="1:74" ht="27" hidden="1">
      <c r="A63" s="1"/>
      <c r="B63" s="3" t="s">
        <v>162</v>
      </c>
      <c r="C63" s="3" t="s">
        <v>45</v>
      </c>
      <c r="D63" s="1" t="s">
        <v>0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>
        <v>5</v>
      </c>
      <c r="R63" s="28"/>
      <c r="S63" s="28"/>
      <c r="T63" s="28"/>
      <c r="U63" s="28"/>
      <c r="V63" s="28">
        <v>10</v>
      </c>
      <c r="W63" s="28"/>
      <c r="X63" s="28"/>
      <c r="Y63" s="28">
        <v>10</v>
      </c>
      <c r="Z63" s="28"/>
      <c r="AA63" s="28"/>
      <c r="AB63" s="28">
        <v>10</v>
      </c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>
        <f t="shared" si="6"/>
        <v>35</v>
      </c>
      <c r="BR63" s="1">
        <v>8</v>
      </c>
      <c r="BS63" s="17">
        <v>2</v>
      </c>
      <c r="BT63" s="17" t="s">
        <v>268</v>
      </c>
      <c r="BU63">
        <f t="shared" si="7"/>
        <v>35</v>
      </c>
      <c r="BV63" s="23">
        <f t="shared" si="8"/>
        <v>0</v>
      </c>
    </row>
    <row r="64" spans="1:74" ht="27" hidden="1">
      <c r="A64" s="1"/>
      <c r="B64" s="1" t="s">
        <v>170</v>
      </c>
      <c r="C64" s="1" t="s">
        <v>45</v>
      </c>
      <c r="D64" s="1" t="s">
        <v>167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>
        <v>5</v>
      </c>
      <c r="R64" s="28"/>
      <c r="S64" s="28"/>
      <c r="T64" s="28">
        <v>5</v>
      </c>
      <c r="U64" s="28"/>
      <c r="V64" s="28"/>
      <c r="W64" s="28"/>
      <c r="X64" s="28"/>
      <c r="Y64" s="28"/>
      <c r="Z64" s="28">
        <v>5</v>
      </c>
      <c r="AA64" s="28"/>
      <c r="AB64" s="28"/>
      <c r="AC64" s="28">
        <v>5</v>
      </c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>
        <f t="shared" si="6"/>
        <v>20</v>
      </c>
      <c r="BR64" s="1">
        <v>9</v>
      </c>
      <c r="BS64" s="17">
        <v>2</v>
      </c>
      <c r="BT64" s="17" t="s">
        <v>231</v>
      </c>
      <c r="BU64">
        <f t="shared" si="7"/>
        <v>20</v>
      </c>
      <c r="BV64" s="23">
        <f t="shared" si="8"/>
        <v>0</v>
      </c>
    </row>
    <row r="65" spans="1:74" ht="27">
      <c r="A65" s="1">
        <v>27</v>
      </c>
      <c r="B65" s="1" t="s">
        <v>52</v>
      </c>
      <c r="C65" s="1" t="s">
        <v>22</v>
      </c>
      <c r="D65" s="1" t="s">
        <v>17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1"/>
      <c r="AF65" s="1"/>
      <c r="AG65" s="1"/>
      <c r="AH65" s="1">
        <v>5</v>
      </c>
      <c r="AI65" s="1">
        <v>5</v>
      </c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>
        <f t="shared" si="6"/>
        <v>10</v>
      </c>
      <c r="BR65" s="1">
        <v>10</v>
      </c>
      <c r="BS65" s="17">
        <v>2</v>
      </c>
      <c r="BT65" s="17" t="s">
        <v>269</v>
      </c>
      <c r="BU65">
        <f t="shared" si="7"/>
        <v>0</v>
      </c>
      <c r="BV65" s="23">
        <f t="shared" si="8"/>
        <v>10</v>
      </c>
    </row>
    <row r="66" spans="1:74" s="63" customFormat="1" ht="27">
      <c r="A66" s="1">
        <v>88</v>
      </c>
      <c r="B66" s="3" t="s">
        <v>57</v>
      </c>
      <c r="C66" s="3" t="s">
        <v>58</v>
      </c>
      <c r="D66" s="1" t="s">
        <v>17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1"/>
      <c r="AF66" s="1"/>
      <c r="AG66" s="1"/>
      <c r="AH66" s="1">
        <v>5</v>
      </c>
      <c r="AI66" s="1">
        <v>5</v>
      </c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>
        <f t="shared" si="6"/>
        <v>10</v>
      </c>
      <c r="BR66" s="1">
        <v>10</v>
      </c>
      <c r="BS66" s="17">
        <v>2</v>
      </c>
      <c r="BT66" s="17" t="s">
        <v>269</v>
      </c>
      <c r="BU66">
        <f t="shared" si="7"/>
        <v>0</v>
      </c>
      <c r="BV66" s="23">
        <f t="shared" si="8"/>
        <v>10</v>
      </c>
    </row>
    <row r="67" spans="1:74" s="63" customFormat="1" ht="27" hidden="1">
      <c r="A67" s="1"/>
      <c r="B67" s="1" t="s">
        <v>217</v>
      </c>
      <c r="C67" s="1" t="s">
        <v>114</v>
      </c>
      <c r="D67" s="1" t="s">
        <v>90</v>
      </c>
      <c r="E67" s="6"/>
      <c r="F67" s="6"/>
      <c r="G67" s="6"/>
      <c r="H67" s="6">
        <v>10</v>
      </c>
      <c r="I67" s="6"/>
      <c r="J67" s="6"/>
      <c r="K67" s="6"/>
      <c r="L67" s="6"/>
      <c r="M67" s="6"/>
      <c r="N67" s="6"/>
      <c r="O67" s="6"/>
      <c r="P67" s="28"/>
      <c r="Q67" s="28"/>
      <c r="R67" s="28">
        <v>10</v>
      </c>
      <c r="S67" s="28"/>
      <c r="T67" s="28"/>
      <c r="U67" s="28">
        <v>10</v>
      </c>
      <c r="V67" s="28"/>
      <c r="W67" s="28"/>
      <c r="X67" s="28"/>
      <c r="Y67" s="28"/>
      <c r="Z67" s="28"/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>
        <v>10</v>
      </c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>
        <f t="shared" si="6"/>
        <v>40</v>
      </c>
      <c r="BR67" s="1">
        <v>14</v>
      </c>
      <c r="BS67" s="17">
        <v>2</v>
      </c>
      <c r="BT67" s="17" t="s">
        <v>232</v>
      </c>
      <c r="BU67">
        <f t="shared" si="7"/>
        <v>20</v>
      </c>
      <c r="BV67" s="23">
        <f t="shared" si="8"/>
        <v>0</v>
      </c>
    </row>
    <row r="68" spans="1:74" s="63" customFormat="1" ht="27" hidden="1">
      <c r="A68" s="1"/>
      <c r="B68" s="3" t="s">
        <v>202</v>
      </c>
      <c r="C68" s="3" t="s">
        <v>159</v>
      </c>
      <c r="D68" s="1" t="s">
        <v>156</v>
      </c>
      <c r="E68" s="6"/>
      <c r="F68" s="6"/>
      <c r="G68" s="6"/>
      <c r="H68" s="6"/>
      <c r="I68" s="6"/>
      <c r="J68" s="6"/>
      <c r="K68" s="6">
        <v>10</v>
      </c>
      <c r="L68" s="6"/>
      <c r="M68" s="6"/>
      <c r="N68" s="6"/>
      <c r="O68" s="6"/>
      <c r="P68" s="28"/>
      <c r="Q68" s="28"/>
      <c r="R68" s="28"/>
      <c r="S68" s="28"/>
      <c r="T68" s="28"/>
      <c r="U68" s="28">
        <v>10</v>
      </c>
      <c r="V68" s="28"/>
      <c r="W68" s="28"/>
      <c r="X68" s="28"/>
      <c r="Y68" s="28"/>
      <c r="Z68" s="28"/>
      <c r="AA68" s="28">
        <v>10</v>
      </c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>
        <v>10</v>
      </c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>
        <f t="shared" si="6"/>
        <v>40</v>
      </c>
      <c r="BR68" s="1">
        <v>13</v>
      </c>
      <c r="BS68" s="17">
        <v>2</v>
      </c>
      <c r="BT68" s="17" t="s">
        <v>270</v>
      </c>
      <c r="BU68">
        <f t="shared" si="7"/>
        <v>20</v>
      </c>
      <c r="BV68" s="23">
        <f t="shared" si="8"/>
        <v>0</v>
      </c>
    </row>
    <row r="69" spans="1:74" s="63" customFormat="1" ht="27" hidden="1">
      <c r="A69" s="1"/>
      <c r="B69" s="1" t="s">
        <v>111</v>
      </c>
      <c r="C69" s="1" t="s">
        <v>112</v>
      </c>
      <c r="D69" s="1" t="s">
        <v>90</v>
      </c>
      <c r="E69" s="6"/>
      <c r="F69" s="6"/>
      <c r="G69" s="6"/>
      <c r="H69" s="6"/>
      <c r="I69" s="6"/>
      <c r="J69" s="6">
        <v>10</v>
      </c>
      <c r="K69" s="6"/>
      <c r="L69" s="6"/>
      <c r="M69" s="6"/>
      <c r="N69" s="6"/>
      <c r="O69" s="6"/>
      <c r="P69" s="28"/>
      <c r="Q69" s="28"/>
      <c r="R69" s="28"/>
      <c r="S69" s="28"/>
      <c r="T69" s="28"/>
      <c r="U69" s="28">
        <v>10</v>
      </c>
      <c r="V69" s="28"/>
      <c r="W69" s="28"/>
      <c r="X69" s="28"/>
      <c r="Y69" s="28"/>
      <c r="Z69" s="28"/>
      <c r="AA69" s="28">
        <v>10</v>
      </c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>
        <v>10</v>
      </c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>
        <f t="shared" si="6"/>
        <v>40</v>
      </c>
      <c r="BR69" s="1">
        <v>13</v>
      </c>
      <c r="BS69" s="17">
        <v>2</v>
      </c>
      <c r="BT69" s="17" t="s">
        <v>270</v>
      </c>
      <c r="BU69">
        <f t="shared" si="7"/>
        <v>20</v>
      </c>
      <c r="BV69" s="23">
        <f t="shared" si="8"/>
        <v>0</v>
      </c>
    </row>
    <row r="70" spans="1:74" s="63" customFormat="1" ht="27" hidden="1">
      <c r="A70" s="1"/>
      <c r="B70" s="1" t="s">
        <v>218</v>
      </c>
      <c r="C70" s="1" t="s">
        <v>114</v>
      </c>
      <c r="D70" s="1" t="s">
        <v>90</v>
      </c>
      <c r="E70" s="6"/>
      <c r="F70" s="6"/>
      <c r="G70" s="6"/>
      <c r="H70" s="6"/>
      <c r="I70" s="6"/>
      <c r="J70" s="6">
        <v>10</v>
      </c>
      <c r="K70" s="6"/>
      <c r="L70" s="6"/>
      <c r="M70" s="6"/>
      <c r="N70" s="6"/>
      <c r="O70" s="6"/>
      <c r="P70" s="28"/>
      <c r="Q70" s="28"/>
      <c r="R70" s="28"/>
      <c r="S70" s="28"/>
      <c r="T70" s="28"/>
      <c r="U70" s="28">
        <v>10</v>
      </c>
      <c r="V70" s="28"/>
      <c r="W70" s="28"/>
      <c r="X70" s="28"/>
      <c r="Y70" s="28"/>
      <c r="Z70" s="28"/>
      <c r="AA70" s="28">
        <v>10</v>
      </c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>
        <v>10</v>
      </c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>
        <f t="shared" si="6"/>
        <v>40</v>
      </c>
      <c r="BR70" s="1">
        <v>13</v>
      </c>
      <c r="BS70" s="17">
        <v>2</v>
      </c>
      <c r="BT70" s="17" t="s">
        <v>270</v>
      </c>
      <c r="BU70">
        <f t="shared" si="7"/>
        <v>20</v>
      </c>
      <c r="BV70" s="23">
        <f t="shared" si="8"/>
        <v>0</v>
      </c>
    </row>
    <row r="71" spans="1:74" s="63" customFormat="1" ht="27" hidden="1">
      <c r="A71" s="1"/>
      <c r="B71" s="3" t="s">
        <v>223</v>
      </c>
      <c r="C71" s="3" t="s">
        <v>45</v>
      </c>
      <c r="D71" s="1" t="s">
        <v>156</v>
      </c>
      <c r="E71" s="6"/>
      <c r="F71" s="6"/>
      <c r="G71" s="6"/>
      <c r="H71" s="6"/>
      <c r="I71" s="6"/>
      <c r="J71" s="6">
        <v>10</v>
      </c>
      <c r="K71" s="6"/>
      <c r="L71" s="6"/>
      <c r="M71" s="6"/>
      <c r="N71" s="6"/>
      <c r="O71" s="6"/>
      <c r="P71" s="28"/>
      <c r="Q71" s="28"/>
      <c r="R71" s="28"/>
      <c r="S71" s="28"/>
      <c r="T71" s="28"/>
      <c r="U71" s="28">
        <v>10</v>
      </c>
      <c r="V71" s="28"/>
      <c r="W71" s="28"/>
      <c r="X71" s="28"/>
      <c r="Y71" s="28"/>
      <c r="Z71" s="28"/>
      <c r="AA71" s="28">
        <v>10</v>
      </c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>
        <v>10</v>
      </c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>
        <f t="shared" si="6"/>
        <v>40</v>
      </c>
      <c r="BR71" s="1">
        <v>13</v>
      </c>
      <c r="BS71" s="17">
        <v>2</v>
      </c>
      <c r="BT71" s="17" t="s">
        <v>270</v>
      </c>
      <c r="BU71">
        <f t="shared" si="7"/>
        <v>20</v>
      </c>
      <c r="BV71" s="23">
        <f t="shared" si="8"/>
        <v>0</v>
      </c>
    </row>
    <row r="72" spans="1:74" s="63" customFormat="1" ht="27" hidden="1">
      <c r="A72" s="1"/>
      <c r="B72" s="1" t="s">
        <v>212</v>
      </c>
      <c r="C72" s="1" t="s">
        <v>105</v>
      </c>
      <c r="D72" s="1" t="s">
        <v>169</v>
      </c>
      <c r="E72" s="6"/>
      <c r="F72" s="6"/>
      <c r="G72" s="6"/>
      <c r="H72" s="6"/>
      <c r="I72" s="6"/>
      <c r="J72" s="6">
        <v>10</v>
      </c>
      <c r="K72" s="6"/>
      <c r="L72" s="6"/>
      <c r="M72" s="6"/>
      <c r="N72" s="6"/>
      <c r="O72" s="6"/>
      <c r="P72" s="28"/>
      <c r="Q72" s="28"/>
      <c r="R72" s="28"/>
      <c r="S72" s="28"/>
      <c r="T72" s="28"/>
      <c r="U72" s="28">
        <v>10</v>
      </c>
      <c r="V72" s="28"/>
      <c r="W72" s="28"/>
      <c r="X72" s="28"/>
      <c r="Y72" s="28"/>
      <c r="Z72" s="28"/>
      <c r="AA72" s="28">
        <v>10</v>
      </c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>
        <v>10</v>
      </c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>
        <f t="shared" si="6"/>
        <v>40</v>
      </c>
      <c r="BR72" s="1">
        <v>13</v>
      </c>
      <c r="BS72" s="17">
        <v>2</v>
      </c>
      <c r="BT72" s="17" t="s">
        <v>270</v>
      </c>
      <c r="BU72">
        <f t="shared" si="7"/>
        <v>20</v>
      </c>
      <c r="BV72" s="23">
        <f t="shared" si="8"/>
        <v>0</v>
      </c>
    </row>
    <row r="73" spans="1:74" s="63" customFormat="1" ht="27" hidden="1">
      <c r="A73" s="1"/>
      <c r="B73" s="1" t="s">
        <v>176</v>
      </c>
      <c r="C73" s="1" t="s">
        <v>33</v>
      </c>
      <c r="D73" s="1" t="s">
        <v>175</v>
      </c>
      <c r="E73" s="6"/>
      <c r="F73" s="6"/>
      <c r="G73" s="6"/>
      <c r="H73" s="6"/>
      <c r="I73" s="6"/>
      <c r="J73" s="6">
        <v>10</v>
      </c>
      <c r="K73" s="6"/>
      <c r="L73" s="6"/>
      <c r="M73" s="6"/>
      <c r="N73" s="6"/>
      <c r="O73" s="6"/>
      <c r="P73" s="28"/>
      <c r="Q73" s="28"/>
      <c r="R73" s="28"/>
      <c r="S73" s="28"/>
      <c r="T73" s="28"/>
      <c r="U73" s="28">
        <v>10</v>
      </c>
      <c r="V73" s="28"/>
      <c r="W73" s="28"/>
      <c r="X73" s="28"/>
      <c r="Y73" s="28"/>
      <c r="Z73" s="28"/>
      <c r="AA73" s="28">
        <v>10</v>
      </c>
      <c r="AB73" s="28"/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>
        <v>10</v>
      </c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>
        <f t="shared" si="6"/>
        <v>40</v>
      </c>
      <c r="BR73" s="1">
        <v>13</v>
      </c>
      <c r="BS73" s="17">
        <v>2</v>
      </c>
      <c r="BT73" s="17" t="s">
        <v>270</v>
      </c>
      <c r="BU73">
        <f t="shared" si="7"/>
        <v>20</v>
      </c>
      <c r="BV73" s="23">
        <f t="shared" si="8"/>
        <v>0</v>
      </c>
    </row>
    <row r="74" spans="1:74" s="63" customFormat="1" ht="27" hidden="1">
      <c r="A74" s="1"/>
      <c r="B74" s="1" t="s">
        <v>178</v>
      </c>
      <c r="C74" s="1" t="s">
        <v>112</v>
      </c>
      <c r="D74" s="1" t="s">
        <v>90</v>
      </c>
      <c r="E74" s="6"/>
      <c r="F74" s="6"/>
      <c r="G74" s="6"/>
      <c r="H74" s="6"/>
      <c r="I74" s="6"/>
      <c r="J74" s="6"/>
      <c r="K74" s="6"/>
      <c r="L74" s="6">
        <v>7</v>
      </c>
      <c r="M74" s="6"/>
      <c r="N74" s="6"/>
      <c r="O74" s="6"/>
      <c r="P74" s="28"/>
      <c r="Q74" s="28">
        <v>7</v>
      </c>
      <c r="R74" s="28"/>
      <c r="S74" s="28"/>
      <c r="T74" s="28">
        <v>7</v>
      </c>
      <c r="U74" s="28"/>
      <c r="V74" s="28"/>
      <c r="W74" s="28"/>
      <c r="X74" s="28">
        <v>7</v>
      </c>
      <c r="Y74" s="28"/>
      <c r="Z74" s="28"/>
      <c r="AA74" s="28"/>
      <c r="AB74" s="28"/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>
        <f t="shared" si="6"/>
        <v>28</v>
      </c>
      <c r="BR74" s="1">
        <v>14</v>
      </c>
      <c r="BS74" s="17">
        <v>2</v>
      </c>
      <c r="BT74" s="17" t="s">
        <v>271</v>
      </c>
      <c r="BU74">
        <f t="shared" si="7"/>
        <v>21</v>
      </c>
      <c r="BV74" s="23">
        <f t="shared" si="8"/>
        <v>0</v>
      </c>
    </row>
    <row r="75" spans="1:74" s="63" customFormat="1" ht="27" hidden="1">
      <c r="A75" s="1"/>
      <c r="B75" s="3" t="s">
        <v>206</v>
      </c>
      <c r="C75" s="3" t="s">
        <v>184</v>
      </c>
      <c r="D75" s="1" t="s">
        <v>90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>
        <v>10</v>
      </c>
      <c r="P75" s="28"/>
      <c r="Q75" s="28"/>
      <c r="R75" s="28">
        <v>10</v>
      </c>
      <c r="S75" s="28"/>
      <c r="T75" s="28"/>
      <c r="U75" s="28">
        <v>10</v>
      </c>
      <c r="V75" s="28"/>
      <c r="W75" s="28"/>
      <c r="X75" s="28"/>
      <c r="Y75" s="28"/>
      <c r="Z75" s="28"/>
      <c r="AA75" s="28"/>
      <c r="AB75" s="28"/>
      <c r="AC75" s="28"/>
      <c r="AD75" s="28">
        <v>10</v>
      </c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>
        <f t="shared" si="6"/>
        <v>40</v>
      </c>
      <c r="BR75" s="1">
        <v>14</v>
      </c>
      <c r="BS75" s="17">
        <v>2</v>
      </c>
      <c r="BT75" s="17" t="s">
        <v>272</v>
      </c>
      <c r="BU75">
        <f t="shared" si="7"/>
        <v>30</v>
      </c>
      <c r="BV75" s="23">
        <f t="shared" si="8"/>
        <v>0</v>
      </c>
    </row>
    <row r="76" spans="1:74" s="63" customFormat="1" ht="27" hidden="1">
      <c r="A76" s="1"/>
      <c r="B76" s="1" t="s">
        <v>104</v>
      </c>
      <c r="C76" s="1" t="s">
        <v>87</v>
      </c>
      <c r="D76" s="1" t="s">
        <v>90</v>
      </c>
      <c r="E76" s="6"/>
      <c r="F76" s="6"/>
      <c r="G76" s="6"/>
      <c r="H76" s="6">
        <v>10</v>
      </c>
      <c r="I76" s="6"/>
      <c r="J76" s="6"/>
      <c r="K76" s="6"/>
      <c r="L76" s="6"/>
      <c r="M76" s="6"/>
      <c r="N76" s="6"/>
      <c r="O76" s="6"/>
      <c r="P76" s="28"/>
      <c r="Q76" s="28"/>
      <c r="R76" s="28">
        <v>10</v>
      </c>
      <c r="S76" s="28"/>
      <c r="T76" s="28"/>
      <c r="U76" s="28"/>
      <c r="V76" s="28"/>
      <c r="W76" s="28"/>
      <c r="X76" s="28">
        <v>10</v>
      </c>
      <c r="Y76" s="28"/>
      <c r="Z76" s="28"/>
      <c r="AA76" s="28"/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>
        <v>10</v>
      </c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>
        <f t="shared" ref="BQ76:BQ105" si="9">SUM(E76:BP76)</f>
        <v>40</v>
      </c>
      <c r="BR76" s="1">
        <v>20</v>
      </c>
      <c r="BS76" s="17">
        <v>2</v>
      </c>
      <c r="BT76" s="17" t="s">
        <v>273</v>
      </c>
      <c r="BU76">
        <f t="shared" ref="BU76:BU105" si="10">SUM(P76:AD76)</f>
        <v>20</v>
      </c>
      <c r="BV76" s="23">
        <f t="shared" ref="BV76:BV105" si="11">AF76+AH76+AI76+AJ76+AO76+AP76</f>
        <v>0</v>
      </c>
    </row>
    <row r="77" spans="1:74" s="63" customFormat="1" ht="27" hidden="1">
      <c r="A77" s="1"/>
      <c r="B77" s="3" t="s">
        <v>160</v>
      </c>
      <c r="C77" s="3" t="s">
        <v>86</v>
      </c>
      <c r="D77" s="1" t="s">
        <v>156</v>
      </c>
      <c r="E77" s="6"/>
      <c r="F77" s="6"/>
      <c r="G77" s="6"/>
      <c r="H77" s="6">
        <v>10</v>
      </c>
      <c r="I77" s="6"/>
      <c r="J77" s="6"/>
      <c r="K77" s="6"/>
      <c r="L77" s="6"/>
      <c r="M77" s="6"/>
      <c r="N77" s="6"/>
      <c r="O77" s="6"/>
      <c r="P77" s="28"/>
      <c r="Q77" s="28"/>
      <c r="R77" s="28">
        <v>10</v>
      </c>
      <c r="S77" s="28"/>
      <c r="T77" s="28"/>
      <c r="U77" s="28"/>
      <c r="V77" s="28"/>
      <c r="W77" s="28"/>
      <c r="X77" s="28">
        <v>10</v>
      </c>
      <c r="Y77" s="28"/>
      <c r="Z77" s="28"/>
      <c r="AA77" s="28"/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>
        <v>10</v>
      </c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>
        <f t="shared" si="9"/>
        <v>40</v>
      </c>
      <c r="BR77" s="1">
        <v>20</v>
      </c>
      <c r="BS77" s="17">
        <v>2</v>
      </c>
      <c r="BT77" s="17" t="s">
        <v>273</v>
      </c>
      <c r="BU77">
        <f t="shared" si="10"/>
        <v>20</v>
      </c>
      <c r="BV77" s="23">
        <f t="shared" si="11"/>
        <v>0</v>
      </c>
    </row>
    <row r="78" spans="1:74" s="63" customFormat="1" ht="27" hidden="1">
      <c r="A78" s="1"/>
      <c r="B78" s="3" t="s">
        <v>186</v>
      </c>
      <c r="C78" s="3" t="s">
        <v>185</v>
      </c>
      <c r="D78" s="1" t="s">
        <v>8</v>
      </c>
      <c r="E78" s="6"/>
      <c r="F78" s="6"/>
      <c r="G78" s="6"/>
      <c r="H78" s="6">
        <v>10</v>
      </c>
      <c r="I78" s="6"/>
      <c r="J78" s="6"/>
      <c r="K78" s="6"/>
      <c r="L78" s="6"/>
      <c r="M78" s="6"/>
      <c r="N78" s="6"/>
      <c r="O78" s="6"/>
      <c r="P78" s="28"/>
      <c r="Q78" s="28"/>
      <c r="R78" s="28">
        <v>10</v>
      </c>
      <c r="S78" s="28"/>
      <c r="T78" s="28"/>
      <c r="U78" s="28"/>
      <c r="V78" s="28"/>
      <c r="W78" s="28"/>
      <c r="X78" s="28">
        <v>10</v>
      </c>
      <c r="Y78" s="28"/>
      <c r="Z78" s="28"/>
      <c r="AA78" s="28"/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>
        <v>10</v>
      </c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>
        <f t="shared" si="9"/>
        <v>40</v>
      </c>
      <c r="BR78" s="1">
        <v>20</v>
      </c>
      <c r="BS78" s="17">
        <v>2</v>
      </c>
      <c r="BT78" s="17" t="s">
        <v>233</v>
      </c>
      <c r="BU78">
        <f t="shared" si="10"/>
        <v>20</v>
      </c>
      <c r="BV78" s="23">
        <f t="shared" si="11"/>
        <v>0</v>
      </c>
    </row>
    <row r="79" spans="1:74" s="63" customFormat="1" ht="27" hidden="1">
      <c r="A79" s="1"/>
      <c r="B79" s="1" t="s">
        <v>172</v>
      </c>
      <c r="C79" s="1" t="s">
        <v>45</v>
      </c>
      <c r="D79" s="1" t="s">
        <v>169</v>
      </c>
      <c r="E79" s="6"/>
      <c r="F79" s="6"/>
      <c r="G79" s="6"/>
      <c r="H79" s="6">
        <v>10</v>
      </c>
      <c r="I79" s="6"/>
      <c r="J79" s="6"/>
      <c r="K79" s="6"/>
      <c r="L79" s="6"/>
      <c r="M79" s="6"/>
      <c r="N79" s="6"/>
      <c r="O79" s="6"/>
      <c r="P79" s="28"/>
      <c r="Q79" s="28"/>
      <c r="R79" s="28">
        <v>10</v>
      </c>
      <c r="S79" s="28"/>
      <c r="T79" s="28"/>
      <c r="U79" s="28"/>
      <c r="V79" s="28"/>
      <c r="W79" s="28"/>
      <c r="X79" s="28">
        <v>10</v>
      </c>
      <c r="Y79" s="28"/>
      <c r="Z79" s="28"/>
      <c r="AA79" s="28"/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>
        <v>10</v>
      </c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>
        <f t="shared" si="9"/>
        <v>40</v>
      </c>
      <c r="BR79" s="1">
        <v>20</v>
      </c>
      <c r="BS79" s="17">
        <v>2</v>
      </c>
      <c r="BT79" s="17" t="s">
        <v>273</v>
      </c>
      <c r="BU79">
        <f t="shared" si="10"/>
        <v>20</v>
      </c>
      <c r="BV79" s="23">
        <f t="shared" si="11"/>
        <v>0</v>
      </c>
    </row>
    <row r="80" spans="1:74" s="63" customFormat="1" ht="27" hidden="1">
      <c r="A80" s="1"/>
      <c r="B80" s="3" t="s">
        <v>154</v>
      </c>
      <c r="C80" s="3" t="s">
        <v>45</v>
      </c>
      <c r="D80" s="1" t="s">
        <v>156</v>
      </c>
      <c r="E80" s="6"/>
      <c r="F80" s="6"/>
      <c r="G80" s="6"/>
      <c r="H80" s="6"/>
      <c r="I80" s="6"/>
      <c r="J80" s="6"/>
      <c r="K80" s="6"/>
      <c r="L80" s="6"/>
      <c r="M80" s="6">
        <v>10</v>
      </c>
      <c r="N80" s="6"/>
      <c r="O80" s="6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>
        <v>10</v>
      </c>
      <c r="AB80" s="28"/>
      <c r="AC80" s="28"/>
      <c r="AD80" s="28">
        <v>10</v>
      </c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>
        <v>10</v>
      </c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>
        <f t="shared" si="9"/>
        <v>40</v>
      </c>
      <c r="BR80" s="1">
        <v>19</v>
      </c>
      <c r="BS80" s="17">
        <v>2</v>
      </c>
      <c r="BT80" s="17" t="s">
        <v>274</v>
      </c>
      <c r="BU80">
        <f t="shared" si="10"/>
        <v>20</v>
      </c>
      <c r="BV80" s="23">
        <f t="shared" si="11"/>
        <v>0</v>
      </c>
    </row>
    <row r="81" spans="1:74" s="63" customFormat="1" ht="27" hidden="1">
      <c r="A81" s="1"/>
      <c r="B81" s="3" t="s">
        <v>157</v>
      </c>
      <c r="C81" s="3" t="s">
        <v>22</v>
      </c>
      <c r="D81" s="1" t="s">
        <v>156</v>
      </c>
      <c r="E81" s="6"/>
      <c r="F81" s="6"/>
      <c r="G81" s="6"/>
      <c r="H81" s="6"/>
      <c r="I81" s="6"/>
      <c r="J81" s="6"/>
      <c r="K81" s="6"/>
      <c r="L81" s="6"/>
      <c r="M81" s="6">
        <v>10</v>
      </c>
      <c r="N81" s="6"/>
      <c r="O81" s="6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>
        <v>10</v>
      </c>
      <c r="AB81" s="28"/>
      <c r="AC81" s="28"/>
      <c r="AD81" s="28">
        <v>10</v>
      </c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>
        <v>10</v>
      </c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>
        <f t="shared" si="9"/>
        <v>40</v>
      </c>
      <c r="BR81" s="1">
        <v>19</v>
      </c>
      <c r="BS81" s="17">
        <v>2</v>
      </c>
      <c r="BT81" s="17" t="s">
        <v>274</v>
      </c>
      <c r="BU81">
        <f t="shared" si="10"/>
        <v>20</v>
      </c>
      <c r="BV81" s="23">
        <f t="shared" si="11"/>
        <v>0</v>
      </c>
    </row>
    <row r="82" spans="1:74" s="63" customFormat="1" ht="27" hidden="1">
      <c r="A82" s="1"/>
      <c r="B82" s="3" t="s">
        <v>211</v>
      </c>
      <c r="C82" s="3" t="s">
        <v>159</v>
      </c>
      <c r="D82" s="1" t="s">
        <v>156</v>
      </c>
      <c r="E82" s="6"/>
      <c r="F82" s="6"/>
      <c r="G82" s="6"/>
      <c r="H82" s="6"/>
      <c r="I82" s="6"/>
      <c r="J82" s="6"/>
      <c r="K82" s="6"/>
      <c r="L82" s="6"/>
      <c r="M82" s="6">
        <v>10</v>
      </c>
      <c r="N82" s="6"/>
      <c r="O82" s="6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>
        <v>10</v>
      </c>
      <c r="AB82" s="28"/>
      <c r="AC82" s="28"/>
      <c r="AD82" s="28">
        <v>10</v>
      </c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>
        <v>10</v>
      </c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>
        <f t="shared" si="9"/>
        <v>40</v>
      </c>
      <c r="BR82" s="1">
        <v>19</v>
      </c>
      <c r="BS82" s="17">
        <v>2</v>
      </c>
      <c r="BT82" s="17" t="s">
        <v>274</v>
      </c>
      <c r="BU82">
        <f t="shared" si="10"/>
        <v>20</v>
      </c>
      <c r="BV82" s="23">
        <f t="shared" si="11"/>
        <v>0</v>
      </c>
    </row>
    <row r="83" spans="1:74" s="63" customFormat="1" ht="27" hidden="1">
      <c r="A83" s="1"/>
      <c r="B83" s="1" t="s">
        <v>188</v>
      </c>
      <c r="C83" s="1" t="s">
        <v>87</v>
      </c>
      <c r="D83" s="1" t="s">
        <v>190</v>
      </c>
      <c r="E83" s="6"/>
      <c r="F83" s="6"/>
      <c r="G83" s="6"/>
      <c r="H83" s="6"/>
      <c r="I83" s="6"/>
      <c r="J83" s="6"/>
      <c r="K83" s="6"/>
      <c r="L83" s="6"/>
      <c r="M83" s="6">
        <v>10</v>
      </c>
      <c r="N83" s="6"/>
      <c r="O83" s="6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>
        <v>10</v>
      </c>
      <c r="AB83" s="28"/>
      <c r="AC83" s="28"/>
      <c r="AD83" s="28">
        <v>10</v>
      </c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>
        <v>10</v>
      </c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>
        <f t="shared" si="9"/>
        <v>40</v>
      </c>
      <c r="BR83" s="1">
        <v>19</v>
      </c>
      <c r="BS83" s="17">
        <v>2</v>
      </c>
      <c r="BT83" s="17" t="s">
        <v>241</v>
      </c>
      <c r="BU83">
        <f t="shared" si="10"/>
        <v>20</v>
      </c>
      <c r="BV83" s="23">
        <f t="shared" si="11"/>
        <v>0</v>
      </c>
    </row>
    <row r="84" spans="1:74" s="63" customFormat="1" ht="27" hidden="1">
      <c r="A84" s="1"/>
      <c r="B84" s="1" t="s">
        <v>171</v>
      </c>
      <c r="C84" s="1" t="s">
        <v>45</v>
      </c>
      <c r="D84" s="1" t="s">
        <v>169</v>
      </c>
      <c r="E84" s="6"/>
      <c r="F84" s="6"/>
      <c r="G84" s="6"/>
      <c r="H84" s="6"/>
      <c r="I84" s="6"/>
      <c r="J84" s="6"/>
      <c r="K84" s="6"/>
      <c r="L84" s="6">
        <v>10</v>
      </c>
      <c r="M84" s="6"/>
      <c r="N84" s="6"/>
      <c r="O84" s="6"/>
      <c r="P84" s="28"/>
      <c r="Q84" s="28"/>
      <c r="R84" s="28"/>
      <c r="S84" s="28"/>
      <c r="T84" s="28"/>
      <c r="U84" s="28"/>
      <c r="V84" s="28"/>
      <c r="W84" s="28"/>
      <c r="X84" s="28">
        <v>10</v>
      </c>
      <c r="Y84" s="28"/>
      <c r="Z84" s="28"/>
      <c r="AA84" s="28"/>
      <c r="AB84" s="28"/>
      <c r="AC84" s="28"/>
      <c r="AD84" s="28">
        <v>10</v>
      </c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>
        <v>10</v>
      </c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>
        <f t="shared" si="9"/>
        <v>40</v>
      </c>
      <c r="BR84" s="1">
        <v>20</v>
      </c>
      <c r="BS84" s="17">
        <v>2</v>
      </c>
      <c r="BT84" s="17" t="s">
        <v>275</v>
      </c>
      <c r="BU84">
        <f t="shared" si="10"/>
        <v>20</v>
      </c>
      <c r="BV84" s="23">
        <f t="shared" si="11"/>
        <v>0</v>
      </c>
    </row>
    <row r="85" spans="1:74" s="63" customFormat="1" ht="40.5">
      <c r="A85" s="1">
        <v>89</v>
      </c>
      <c r="B85" s="3" t="s">
        <v>57</v>
      </c>
      <c r="C85" s="3" t="s">
        <v>58</v>
      </c>
      <c r="D85" s="1" t="s">
        <v>0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1"/>
      <c r="AF85" s="1">
        <v>5</v>
      </c>
      <c r="AG85" s="1"/>
      <c r="AH85" s="1">
        <v>5</v>
      </c>
      <c r="AI85" s="1">
        <v>5</v>
      </c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>
        <f t="shared" si="9"/>
        <v>15</v>
      </c>
      <c r="BR85" s="1">
        <v>12</v>
      </c>
      <c r="BS85" s="17">
        <v>3</v>
      </c>
      <c r="BT85" s="17" t="s">
        <v>276</v>
      </c>
      <c r="BU85">
        <f t="shared" si="10"/>
        <v>0</v>
      </c>
      <c r="BV85" s="23">
        <f t="shared" si="11"/>
        <v>15</v>
      </c>
    </row>
    <row r="86" spans="1:74" s="63" customFormat="1" ht="40.5">
      <c r="A86" s="1">
        <v>28</v>
      </c>
      <c r="B86" s="1" t="s">
        <v>52</v>
      </c>
      <c r="C86" s="1" t="s">
        <v>22</v>
      </c>
      <c r="D86" s="1" t="s">
        <v>0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1"/>
      <c r="AF86" s="1"/>
      <c r="AG86" s="1"/>
      <c r="AH86" s="1">
        <v>5</v>
      </c>
      <c r="AI86" s="1">
        <v>5</v>
      </c>
      <c r="AJ86" s="1">
        <v>5</v>
      </c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>
        <f t="shared" si="9"/>
        <v>15</v>
      </c>
      <c r="BR86" s="1">
        <v>15</v>
      </c>
      <c r="BS86" s="17">
        <v>3</v>
      </c>
      <c r="BT86" s="17" t="s">
        <v>277</v>
      </c>
      <c r="BU86">
        <f t="shared" si="10"/>
        <v>0</v>
      </c>
      <c r="BV86" s="23">
        <f t="shared" si="11"/>
        <v>15</v>
      </c>
    </row>
    <row r="87" spans="1:74" s="63" customFormat="1" ht="40.5">
      <c r="A87" s="18">
        <v>65</v>
      </c>
      <c r="B87" s="24" t="s">
        <v>193</v>
      </c>
      <c r="C87" s="18" t="s">
        <v>39</v>
      </c>
      <c r="D87" s="18" t="s">
        <v>8</v>
      </c>
      <c r="E87" s="19"/>
      <c r="F87" s="19"/>
      <c r="G87" s="19">
        <v>10</v>
      </c>
      <c r="H87" s="19"/>
      <c r="I87" s="19"/>
      <c r="J87" s="19"/>
      <c r="K87" s="19"/>
      <c r="L87" s="19"/>
      <c r="M87" s="19"/>
      <c r="N87" s="19"/>
      <c r="O87" s="1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18"/>
      <c r="AF87" s="18"/>
      <c r="AG87" s="18"/>
      <c r="AH87" s="18"/>
      <c r="AI87" s="18"/>
      <c r="AJ87" s="18"/>
      <c r="AK87" s="18"/>
      <c r="AL87" s="18"/>
      <c r="AM87" s="18"/>
      <c r="AN87" s="18">
        <v>25</v>
      </c>
      <c r="AO87" s="18"/>
      <c r="AP87" s="18"/>
      <c r="AQ87" s="20"/>
      <c r="AR87" s="20"/>
      <c r="AS87" s="20"/>
      <c r="AT87" s="20"/>
      <c r="AU87" s="20"/>
      <c r="AV87" s="20">
        <v>10</v>
      </c>
      <c r="AW87" s="21"/>
      <c r="AX87" s="21"/>
      <c r="AY87" s="21"/>
      <c r="AZ87" s="21">
        <v>10</v>
      </c>
      <c r="BA87" s="21"/>
      <c r="BB87" s="21"/>
      <c r="BC87" s="26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/>
      <c r="BQ87" s="18">
        <f t="shared" si="9"/>
        <v>55</v>
      </c>
      <c r="BR87" s="18">
        <v>32</v>
      </c>
      <c r="BS87" s="22">
        <v>3</v>
      </c>
      <c r="BT87" s="22" t="s">
        <v>278</v>
      </c>
      <c r="BU87">
        <f t="shared" si="10"/>
        <v>0</v>
      </c>
      <c r="BV87" s="23">
        <f t="shared" si="11"/>
        <v>0</v>
      </c>
    </row>
    <row r="88" spans="1:74" s="63" customFormat="1" ht="40.5">
      <c r="A88" s="1"/>
      <c r="B88" s="1" t="s">
        <v>181</v>
      </c>
      <c r="C88" s="1" t="s">
        <v>76</v>
      </c>
      <c r="D88" s="1" t="s">
        <v>77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>
        <v>40</v>
      </c>
      <c r="AW88" s="2">
        <v>40</v>
      </c>
      <c r="AX88" s="2"/>
      <c r="AY88" s="2"/>
      <c r="AZ88" s="2"/>
      <c r="BA88" s="2"/>
      <c r="BB88" s="2">
        <v>40</v>
      </c>
      <c r="BC88" s="14">
        <v>10</v>
      </c>
      <c r="BD88" s="1"/>
      <c r="BE88" s="1">
        <v>50</v>
      </c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>
        <f t="shared" si="9"/>
        <v>180</v>
      </c>
      <c r="BR88" s="1">
        <v>39</v>
      </c>
      <c r="BS88" s="17">
        <v>3</v>
      </c>
      <c r="BT88" s="17" t="s">
        <v>279</v>
      </c>
      <c r="BU88">
        <f t="shared" si="10"/>
        <v>0</v>
      </c>
      <c r="BV88" s="23">
        <f t="shared" si="11"/>
        <v>0</v>
      </c>
    </row>
    <row r="89" spans="1:74" s="63" customFormat="1" ht="27" hidden="1">
      <c r="A89" s="1"/>
      <c r="B89" s="3" t="s">
        <v>203</v>
      </c>
      <c r="C89" s="3" t="s">
        <v>39</v>
      </c>
      <c r="D89" s="1" t="s">
        <v>0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28"/>
      <c r="Q89" s="28"/>
      <c r="R89" s="28"/>
      <c r="S89" s="28"/>
      <c r="T89" s="28"/>
      <c r="U89" s="28"/>
      <c r="V89" s="28"/>
      <c r="W89" s="28">
        <v>20</v>
      </c>
      <c r="X89" s="28"/>
      <c r="Y89" s="28"/>
      <c r="Z89" s="28">
        <v>20</v>
      </c>
      <c r="AA89" s="28"/>
      <c r="AB89" s="28"/>
      <c r="AC89" s="28">
        <v>20</v>
      </c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>
        <f t="shared" si="9"/>
        <v>60</v>
      </c>
      <c r="BR89" s="1">
        <v>36</v>
      </c>
      <c r="BS89" s="17">
        <v>2</v>
      </c>
      <c r="BT89" s="17" t="s">
        <v>280</v>
      </c>
      <c r="BU89">
        <f t="shared" si="10"/>
        <v>60</v>
      </c>
      <c r="BV89" s="23">
        <f t="shared" si="11"/>
        <v>0</v>
      </c>
    </row>
    <row r="90" spans="1:74" s="63" customFormat="1" ht="40.5" hidden="1">
      <c r="A90" s="1"/>
      <c r="B90" s="1" t="s">
        <v>170</v>
      </c>
      <c r="C90" s="1" t="s">
        <v>45</v>
      </c>
      <c r="D90" s="1" t="s">
        <v>168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28"/>
      <c r="Q90" s="28"/>
      <c r="R90" s="28"/>
      <c r="S90" s="28"/>
      <c r="T90" s="28"/>
      <c r="U90" s="28">
        <v>2</v>
      </c>
      <c r="V90" s="28"/>
      <c r="W90" s="28">
        <v>5</v>
      </c>
      <c r="X90" s="28"/>
      <c r="Y90" s="28"/>
      <c r="Z90" s="28"/>
      <c r="AA90" s="28">
        <v>2</v>
      </c>
      <c r="AB90" s="28"/>
      <c r="AC90" s="28"/>
      <c r="AD90" s="28">
        <v>2</v>
      </c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>
        <f t="shared" si="9"/>
        <v>11</v>
      </c>
      <c r="BR90" s="1">
        <v>5</v>
      </c>
      <c r="BS90" s="17">
        <v>3</v>
      </c>
      <c r="BT90" s="17" t="s">
        <v>281</v>
      </c>
      <c r="BU90">
        <f t="shared" si="10"/>
        <v>11</v>
      </c>
      <c r="BV90" s="23">
        <f t="shared" si="11"/>
        <v>0</v>
      </c>
    </row>
    <row r="91" spans="1:74" s="63" customFormat="1" ht="40.5" hidden="1">
      <c r="A91" s="1"/>
      <c r="B91" s="1" t="s">
        <v>205</v>
      </c>
      <c r="C91" s="1" t="s">
        <v>191</v>
      </c>
      <c r="D91" s="1" t="s">
        <v>74</v>
      </c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28"/>
      <c r="Q91" s="28"/>
      <c r="R91" s="28"/>
      <c r="S91" s="28"/>
      <c r="T91" s="28"/>
      <c r="U91" s="28">
        <v>2</v>
      </c>
      <c r="V91" s="28"/>
      <c r="W91" s="28"/>
      <c r="X91" s="28"/>
      <c r="Y91" s="28"/>
      <c r="Z91" s="28"/>
      <c r="AA91" s="28">
        <v>2</v>
      </c>
      <c r="AB91" s="28"/>
      <c r="AC91" s="28">
        <v>5</v>
      </c>
      <c r="AD91" s="28">
        <v>2</v>
      </c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>
        <f t="shared" si="9"/>
        <v>11</v>
      </c>
      <c r="BR91" s="1">
        <v>7</v>
      </c>
      <c r="BS91" s="17">
        <v>3</v>
      </c>
      <c r="BT91" s="17" t="s">
        <v>282</v>
      </c>
      <c r="BU91">
        <f t="shared" si="10"/>
        <v>11</v>
      </c>
      <c r="BV91" s="23">
        <f t="shared" si="11"/>
        <v>0</v>
      </c>
    </row>
    <row r="92" spans="1:74" s="63" customFormat="1" ht="40.5" hidden="1">
      <c r="A92" s="1"/>
      <c r="B92" s="3" t="s">
        <v>154</v>
      </c>
      <c r="C92" s="3" t="s">
        <v>45</v>
      </c>
      <c r="D92" s="1" t="s">
        <v>155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28"/>
      <c r="Q92" s="28">
        <v>5</v>
      </c>
      <c r="R92" s="28"/>
      <c r="S92" s="28"/>
      <c r="T92" s="28">
        <v>5</v>
      </c>
      <c r="U92" s="28"/>
      <c r="V92" s="28"/>
      <c r="W92" s="28">
        <v>5</v>
      </c>
      <c r="X92" s="28"/>
      <c r="Y92" s="28"/>
      <c r="Z92" s="28"/>
      <c r="AA92" s="28"/>
      <c r="AB92" s="28"/>
      <c r="AC92" s="28">
        <v>5</v>
      </c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>
        <f t="shared" si="9"/>
        <v>20</v>
      </c>
      <c r="BR92" s="1">
        <v>11</v>
      </c>
      <c r="BS92" s="17">
        <v>3</v>
      </c>
      <c r="BT92" s="17" t="s">
        <v>283</v>
      </c>
      <c r="BU92">
        <f t="shared" si="10"/>
        <v>20</v>
      </c>
      <c r="BV92" s="23">
        <f t="shared" si="11"/>
        <v>0</v>
      </c>
    </row>
    <row r="93" spans="1:74" s="63" customFormat="1" ht="40.5" hidden="1">
      <c r="A93" s="1"/>
      <c r="B93" s="1" t="s">
        <v>176</v>
      </c>
      <c r="C93" s="1" t="s">
        <v>33</v>
      </c>
      <c r="D93" s="1" t="s">
        <v>173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28"/>
      <c r="Q93" s="28">
        <v>5</v>
      </c>
      <c r="R93" s="28"/>
      <c r="S93" s="28"/>
      <c r="T93" s="28"/>
      <c r="U93" s="28"/>
      <c r="V93" s="28"/>
      <c r="W93" s="28">
        <v>5</v>
      </c>
      <c r="X93" s="28"/>
      <c r="Y93" s="28"/>
      <c r="Z93" s="28">
        <v>5</v>
      </c>
      <c r="AA93" s="28"/>
      <c r="AB93" s="28"/>
      <c r="AC93" s="28">
        <v>5</v>
      </c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>
        <f t="shared" si="9"/>
        <v>20</v>
      </c>
      <c r="BR93" s="1">
        <v>11</v>
      </c>
      <c r="BS93" s="17">
        <v>3</v>
      </c>
      <c r="BT93" s="17" t="s">
        <v>284</v>
      </c>
      <c r="BU93">
        <f t="shared" si="10"/>
        <v>20</v>
      </c>
      <c r="BV93" s="23">
        <f t="shared" si="11"/>
        <v>0</v>
      </c>
    </row>
    <row r="94" spans="1:74" s="63" customFormat="1" ht="40.5" hidden="1">
      <c r="A94" s="1"/>
      <c r="B94" s="1" t="s">
        <v>188</v>
      </c>
      <c r="C94" s="1" t="s">
        <v>87</v>
      </c>
      <c r="D94" s="1" t="s">
        <v>189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28"/>
      <c r="Q94" s="28">
        <v>5</v>
      </c>
      <c r="R94" s="28"/>
      <c r="S94" s="28"/>
      <c r="T94" s="28">
        <v>5</v>
      </c>
      <c r="U94" s="28"/>
      <c r="V94" s="28"/>
      <c r="W94" s="28">
        <v>5</v>
      </c>
      <c r="X94" s="28"/>
      <c r="Y94" s="28"/>
      <c r="Z94" s="28"/>
      <c r="AA94" s="28"/>
      <c r="AB94" s="28"/>
      <c r="AC94" s="28">
        <v>5</v>
      </c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>
        <f t="shared" si="9"/>
        <v>20</v>
      </c>
      <c r="BR94" s="1">
        <v>11</v>
      </c>
      <c r="BS94" s="17">
        <v>3</v>
      </c>
      <c r="BT94" s="17" t="s">
        <v>283</v>
      </c>
      <c r="BU94">
        <f t="shared" si="10"/>
        <v>20</v>
      </c>
      <c r="BV94" s="23">
        <f t="shared" si="11"/>
        <v>0</v>
      </c>
    </row>
    <row r="95" spans="1:74" s="63" customFormat="1" ht="40.5">
      <c r="A95" s="1"/>
      <c r="B95" s="1" t="s">
        <v>225</v>
      </c>
      <c r="C95" s="1" t="s">
        <v>22</v>
      </c>
      <c r="D95" s="1" t="s">
        <v>195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>
        <v>40</v>
      </c>
      <c r="AR95" s="4"/>
      <c r="AS95" s="4"/>
      <c r="AT95" s="4"/>
      <c r="AU95" s="4"/>
      <c r="AV95" s="4"/>
      <c r="AW95" s="2">
        <v>40</v>
      </c>
      <c r="AX95" s="2"/>
      <c r="AY95" s="2"/>
      <c r="AZ95" s="2"/>
      <c r="BA95" s="2">
        <v>40</v>
      </c>
      <c r="BB95" s="2"/>
      <c r="BC95" s="14">
        <v>10</v>
      </c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>
        <f t="shared" si="9"/>
        <v>130</v>
      </c>
      <c r="BR95" s="1">
        <v>38</v>
      </c>
      <c r="BS95" s="17">
        <v>3</v>
      </c>
      <c r="BT95" s="17" t="s">
        <v>285</v>
      </c>
      <c r="BU95">
        <f t="shared" si="10"/>
        <v>0</v>
      </c>
      <c r="BV95" s="23">
        <f t="shared" si="11"/>
        <v>0</v>
      </c>
    </row>
    <row r="96" spans="1:74" s="63" customFormat="1" ht="54">
      <c r="A96" s="1"/>
      <c r="B96" s="1" t="s">
        <v>119</v>
      </c>
      <c r="C96" s="1" t="s">
        <v>85</v>
      </c>
      <c r="D96" s="1" t="s">
        <v>74</v>
      </c>
      <c r="E96" s="6"/>
      <c r="F96" s="6"/>
      <c r="G96" s="6">
        <v>20</v>
      </c>
      <c r="H96" s="6">
        <v>20</v>
      </c>
      <c r="I96" s="6"/>
      <c r="J96" s="6"/>
      <c r="K96" s="6"/>
      <c r="L96" s="6"/>
      <c r="M96" s="6"/>
      <c r="N96" s="6"/>
      <c r="O96" s="6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>
        <v>20</v>
      </c>
      <c r="BB96" s="2">
        <v>20</v>
      </c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>
        <f t="shared" si="9"/>
        <v>80</v>
      </c>
      <c r="BR96" s="1">
        <v>51</v>
      </c>
      <c r="BS96" s="17">
        <v>4</v>
      </c>
      <c r="BT96" s="17" t="s">
        <v>286</v>
      </c>
      <c r="BU96">
        <f t="shared" si="10"/>
        <v>0</v>
      </c>
      <c r="BV96" s="23">
        <f t="shared" si="11"/>
        <v>0</v>
      </c>
    </row>
    <row r="97" spans="1:74" s="63" customFormat="1" ht="40.5" hidden="1">
      <c r="A97" s="1"/>
      <c r="B97" s="1" t="s">
        <v>205</v>
      </c>
      <c r="C97" s="1" t="s">
        <v>191</v>
      </c>
      <c r="D97" s="1" t="s">
        <v>190</v>
      </c>
      <c r="E97" s="6"/>
      <c r="F97" s="6"/>
      <c r="G97" s="6"/>
      <c r="H97" s="6"/>
      <c r="I97" s="6"/>
      <c r="J97" s="6"/>
      <c r="K97" s="6"/>
      <c r="L97" s="6"/>
      <c r="M97" s="6">
        <v>10</v>
      </c>
      <c r="N97" s="6"/>
      <c r="O97" s="6"/>
      <c r="P97" s="28"/>
      <c r="Q97" s="28"/>
      <c r="R97" s="28"/>
      <c r="S97" s="28"/>
      <c r="T97" s="28"/>
      <c r="U97" s="28">
        <v>10</v>
      </c>
      <c r="V97" s="28"/>
      <c r="W97" s="28"/>
      <c r="X97" s="28"/>
      <c r="Y97" s="28"/>
      <c r="Z97" s="28"/>
      <c r="AA97" s="28">
        <v>10</v>
      </c>
      <c r="AB97" s="28"/>
      <c r="AC97" s="28"/>
      <c r="AD97" s="28">
        <v>10</v>
      </c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>
        <f t="shared" si="9"/>
        <v>40</v>
      </c>
      <c r="BR97" s="1">
        <v>23</v>
      </c>
      <c r="BS97" s="17">
        <v>3</v>
      </c>
      <c r="BT97" s="17" t="s">
        <v>287</v>
      </c>
      <c r="BU97">
        <f t="shared" si="10"/>
        <v>30</v>
      </c>
      <c r="BV97" s="23">
        <f t="shared" si="11"/>
        <v>0</v>
      </c>
    </row>
    <row r="98" spans="1:74" s="63" customFormat="1" ht="40.5" hidden="1">
      <c r="A98" s="1"/>
      <c r="B98" s="1" t="s">
        <v>216</v>
      </c>
      <c r="C98" s="1" t="s">
        <v>114</v>
      </c>
      <c r="D98" s="1" t="s">
        <v>90</v>
      </c>
      <c r="E98" s="6"/>
      <c r="F98" s="6"/>
      <c r="G98" s="6">
        <v>10</v>
      </c>
      <c r="H98" s="6"/>
      <c r="I98" s="6"/>
      <c r="J98" s="6"/>
      <c r="K98" s="6"/>
      <c r="L98" s="6"/>
      <c r="M98" s="6"/>
      <c r="N98" s="6"/>
      <c r="O98" s="6"/>
      <c r="P98" s="28"/>
      <c r="Q98" s="28"/>
      <c r="R98" s="28"/>
      <c r="S98" s="28"/>
      <c r="T98" s="28"/>
      <c r="U98" s="28"/>
      <c r="V98" s="28"/>
      <c r="W98" s="28"/>
      <c r="X98" s="28">
        <v>10</v>
      </c>
      <c r="Y98" s="28"/>
      <c r="Z98" s="28"/>
      <c r="AA98" s="28"/>
      <c r="AB98" s="28"/>
      <c r="AC98" s="28"/>
      <c r="AD98" s="28">
        <v>10</v>
      </c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>
        <v>10</v>
      </c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>
        <f t="shared" si="9"/>
        <v>40</v>
      </c>
      <c r="BR98" s="1">
        <v>30</v>
      </c>
      <c r="BS98" s="17">
        <v>3</v>
      </c>
      <c r="BT98" s="17" t="s">
        <v>242</v>
      </c>
      <c r="BU98">
        <f t="shared" si="10"/>
        <v>20</v>
      </c>
      <c r="BV98" s="23">
        <f t="shared" si="11"/>
        <v>0</v>
      </c>
    </row>
    <row r="99" spans="1:74" s="63" customFormat="1" ht="40.5" hidden="1">
      <c r="A99" s="1"/>
      <c r="B99" s="1" t="s">
        <v>177</v>
      </c>
      <c r="C99" s="1" t="s">
        <v>85</v>
      </c>
      <c r="D99" s="1" t="s">
        <v>116</v>
      </c>
      <c r="E99" s="6"/>
      <c r="F99" s="6"/>
      <c r="G99" s="6">
        <v>10</v>
      </c>
      <c r="H99" s="6"/>
      <c r="I99" s="6"/>
      <c r="J99" s="6"/>
      <c r="K99" s="6"/>
      <c r="L99" s="6"/>
      <c r="M99" s="6"/>
      <c r="N99" s="6"/>
      <c r="O99" s="6"/>
      <c r="P99" s="28"/>
      <c r="Q99" s="28"/>
      <c r="R99" s="28"/>
      <c r="S99" s="28"/>
      <c r="T99" s="28"/>
      <c r="U99" s="28"/>
      <c r="V99" s="28"/>
      <c r="W99" s="28"/>
      <c r="X99" s="28">
        <v>10</v>
      </c>
      <c r="Y99" s="28"/>
      <c r="Z99" s="28"/>
      <c r="AA99" s="28"/>
      <c r="AB99" s="28"/>
      <c r="AC99" s="28"/>
      <c r="AD99" s="28">
        <v>10</v>
      </c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>
        <v>10</v>
      </c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>
        <f t="shared" si="9"/>
        <v>40</v>
      </c>
      <c r="BR99" s="1">
        <v>30</v>
      </c>
      <c r="BS99" s="17">
        <v>3</v>
      </c>
      <c r="BT99" s="17" t="s">
        <v>288</v>
      </c>
      <c r="BU99">
        <f t="shared" si="10"/>
        <v>20</v>
      </c>
      <c r="BV99" s="23">
        <f t="shared" si="11"/>
        <v>0</v>
      </c>
    </row>
    <row r="100" spans="1:74" s="63" customFormat="1" ht="40.5" hidden="1">
      <c r="A100" s="1"/>
      <c r="B100" s="3" t="s">
        <v>210</v>
      </c>
      <c r="C100" s="3" t="s">
        <v>159</v>
      </c>
      <c r="D100" s="1" t="s">
        <v>156</v>
      </c>
      <c r="E100" s="6"/>
      <c r="F100" s="6"/>
      <c r="G100" s="6">
        <v>10</v>
      </c>
      <c r="H100" s="6"/>
      <c r="I100" s="6"/>
      <c r="J100" s="6"/>
      <c r="K100" s="6"/>
      <c r="L100" s="6"/>
      <c r="M100" s="6"/>
      <c r="N100" s="6"/>
      <c r="O100" s="6"/>
      <c r="P100" s="28"/>
      <c r="Q100" s="28"/>
      <c r="R100" s="28"/>
      <c r="S100" s="28"/>
      <c r="T100" s="28"/>
      <c r="U100" s="28"/>
      <c r="V100" s="28"/>
      <c r="W100" s="28"/>
      <c r="X100" s="28">
        <v>10</v>
      </c>
      <c r="Y100" s="28"/>
      <c r="Z100" s="28"/>
      <c r="AA100" s="28"/>
      <c r="AB100" s="28"/>
      <c r="AC100" s="28"/>
      <c r="AD100" s="28">
        <v>10</v>
      </c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>
        <v>10</v>
      </c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>
        <f t="shared" si="9"/>
        <v>40</v>
      </c>
      <c r="BR100" s="1">
        <v>30</v>
      </c>
      <c r="BS100" s="17">
        <v>3</v>
      </c>
      <c r="BT100" s="17" t="s">
        <v>288</v>
      </c>
      <c r="BU100">
        <f t="shared" si="10"/>
        <v>20</v>
      </c>
      <c r="BV100" s="23">
        <f t="shared" si="11"/>
        <v>0</v>
      </c>
    </row>
    <row r="101" spans="1:74" s="63" customFormat="1" ht="40.5" hidden="1">
      <c r="A101" s="1"/>
      <c r="B101" s="1" t="s">
        <v>208</v>
      </c>
      <c r="C101" s="1" t="s">
        <v>105</v>
      </c>
      <c r="D101" s="1" t="s">
        <v>169</v>
      </c>
      <c r="E101" s="6"/>
      <c r="F101" s="6"/>
      <c r="G101" s="6">
        <v>10</v>
      </c>
      <c r="H101" s="6"/>
      <c r="I101" s="6"/>
      <c r="J101" s="6"/>
      <c r="K101" s="6"/>
      <c r="L101" s="6"/>
      <c r="M101" s="6"/>
      <c r="N101" s="6"/>
      <c r="O101" s="6"/>
      <c r="P101" s="28"/>
      <c r="Q101" s="28"/>
      <c r="R101" s="28"/>
      <c r="S101" s="28"/>
      <c r="T101" s="28"/>
      <c r="U101" s="28"/>
      <c r="V101" s="28"/>
      <c r="W101" s="28"/>
      <c r="X101" s="28">
        <v>10</v>
      </c>
      <c r="Y101" s="28"/>
      <c r="Z101" s="28"/>
      <c r="AA101" s="28"/>
      <c r="AB101" s="28"/>
      <c r="AC101" s="28"/>
      <c r="AD101" s="28">
        <v>10</v>
      </c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>
        <v>10</v>
      </c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>
        <f t="shared" si="9"/>
        <v>40</v>
      </c>
      <c r="BR101" s="1">
        <v>30</v>
      </c>
      <c r="BS101" s="17">
        <v>3</v>
      </c>
      <c r="BT101" s="17" t="s">
        <v>288</v>
      </c>
      <c r="BU101">
        <f t="shared" si="10"/>
        <v>20</v>
      </c>
      <c r="BV101" s="23">
        <f t="shared" si="11"/>
        <v>0</v>
      </c>
    </row>
    <row r="102" spans="1:74" s="63" customFormat="1" ht="40.5" hidden="1">
      <c r="A102" s="1"/>
      <c r="B102" s="1" t="s">
        <v>196</v>
      </c>
      <c r="C102" s="1" t="s">
        <v>197</v>
      </c>
      <c r="D102" s="1" t="s">
        <v>198</v>
      </c>
      <c r="E102" s="6"/>
      <c r="F102" s="6"/>
      <c r="G102" s="6">
        <v>10</v>
      </c>
      <c r="H102" s="6"/>
      <c r="I102" s="6"/>
      <c r="J102" s="6"/>
      <c r="K102" s="6"/>
      <c r="L102" s="6"/>
      <c r="M102" s="6"/>
      <c r="N102" s="6"/>
      <c r="O102" s="6"/>
      <c r="P102" s="28"/>
      <c r="Q102" s="28"/>
      <c r="R102" s="28"/>
      <c r="S102" s="28"/>
      <c r="T102" s="28"/>
      <c r="U102" s="28"/>
      <c r="V102" s="28"/>
      <c r="W102" s="28"/>
      <c r="X102" s="28">
        <v>10</v>
      </c>
      <c r="Y102" s="28"/>
      <c r="Z102" s="28"/>
      <c r="AA102" s="28"/>
      <c r="AB102" s="28"/>
      <c r="AC102" s="28"/>
      <c r="AD102" s="28">
        <v>10</v>
      </c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>
        <v>10</v>
      </c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>
        <f t="shared" si="9"/>
        <v>40</v>
      </c>
      <c r="BR102" s="1">
        <v>30</v>
      </c>
      <c r="BS102" s="17">
        <v>3</v>
      </c>
      <c r="BT102" s="17" t="s">
        <v>288</v>
      </c>
      <c r="BU102">
        <f t="shared" si="10"/>
        <v>20</v>
      </c>
      <c r="BV102" s="23">
        <f t="shared" si="11"/>
        <v>0</v>
      </c>
    </row>
    <row r="103" spans="1:74" s="63" customFormat="1" ht="40.5" hidden="1">
      <c r="A103" s="1"/>
      <c r="B103" s="3" t="s">
        <v>179</v>
      </c>
      <c r="C103" s="3" t="s">
        <v>158</v>
      </c>
      <c r="D103" s="1" t="s">
        <v>156</v>
      </c>
      <c r="E103" s="6"/>
      <c r="F103" s="6"/>
      <c r="G103" s="6"/>
      <c r="H103" s="6"/>
      <c r="I103" s="6"/>
      <c r="J103" s="6"/>
      <c r="K103" s="6"/>
      <c r="L103" s="6"/>
      <c r="M103" s="6"/>
      <c r="N103" s="6">
        <v>10</v>
      </c>
      <c r="O103" s="6"/>
      <c r="P103" s="28"/>
      <c r="Q103" s="28"/>
      <c r="R103" s="28"/>
      <c r="S103" s="28"/>
      <c r="T103" s="28"/>
      <c r="U103" s="28"/>
      <c r="V103" s="28"/>
      <c r="W103" s="28"/>
      <c r="X103" s="28">
        <v>10</v>
      </c>
      <c r="Y103" s="28"/>
      <c r="Z103" s="28"/>
      <c r="AA103" s="28">
        <v>10</v>
      </c>
      <c r="AB103" s="28"/>
      <c r="AC103" s="28"/>
      <c r="AD103" s="28">
        <v>10</v>
      </c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>
        <f t="shared" si="9"/>
        <v>40</v>
      </c>
      <c r="BR103" s="1">
        <v>29</v>
      </c>
      <c r="BS103" s="17">
        <v>3</v>
      </c>
      <c r="BT103" s="17" t="s">
        <v>289</v>
      </c>
      <c r="BU103">
        <f t="shared" si="10"/>
        <v>30</v>
      </c>
      <c r="BV103" s="23">
        <f t="shared" si="11"/>
        <v>0</v>
      </c>
    </row>
    <row r="104" spans="1:74" s="63" customFormat="1" ht="54" hidden="1">
      <c r="A104" s="1"/>
      <c r="B104" s="3" t="s">
        <v>179</v>
      </c>
      <c r="C104" s="3" t="s">
        <v>158</v>
      </c>
      <c r="D104" s="1" t="s">
        <v>0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28"/>
      <c r="Q104" s="28"/>
      <c r="R104" s="28"/>
      <c r="S104" s="28"/>
      <c r="T104" s="28"/>
      <c r="U104" s="28"/>
      <c r="V104" s="28"/>
      <c r="W104" s="28"/>
      <c r="X104" s="28">
        <v>2</v>
      </c>
      <c r="Y104" s="28"/>
      <c r="Z104" s="28"/>
      <c r="AA104" s="28">
        <v>2</v>
      </c>
      <c r="AB104" s="28"/>
      <c r="AC104" s="28">
        <v>5</v>
      </c>
      <c r="AD104" s="28">
        <v>2</v>
      </c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>
        <f t="shared" si="9"/>
        <v>11</v>
      </c>
      <c r="BR104" s="1">
        <v>9</v>
      </c>
      <c r="BS104" s="17">
        <v>4</v>
      </c>
      <c r="BT104" s="17" t="s">
        <v>243</v>
      </c>
      <c r="BU104">
        <f t="shared" si="10"/>
        <v>11</v>
      </c>
      <c r="BV104" s="23">
        <f t="shared" si="11"/>
        <v>0</v>
      </c>
    </row>
    <row r="105" spans="1:74" ht="54" hidden="1">
      <c r="A105" s="1"/>
      <c r="B105" s="1" t="s">
        <v>201</v>
      </c>
      <c r="C105" s="1" t="s">
        <v>47</v>
      </c>
      <c r="D105" s="1" t="s">
        <v>168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28"/>
      <c r="Q105" s="28"/>
      <c r="R105" s="28"/>
      <c r="S105" s="28"/>
      <c r="T105" s="28"/>
      <c r="U105" s="28"/>
      <c r="V105" s="28"/>
      <c r="W105" s="28"/>
      <c r="X105" s="28">
        <v>2</v>
      </c>
      <c r="Y105" s="28"/>
      <c r="Z105" s="28"/>
      <c r="AA105" s="28">
        <v>2</v>
      </c>
      <c r="AB105" s="28"/>
      <c r="AC105" s="28">
        <v>5</v>
      </c>
      <c r="AD105" s="28">
        <v>2</v>
      </c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>
        <f t="shared" si="9"/>
        <v>11</v>
      </c>
      <c r="BR105" s="1">
        <v>9</v>
      </c>
      <c r="BS105" s="17">
        <v>4</v>
      </c>
      <c r="BT105" s="17" t="s">
        <v>290</v>
      </c>
      <c r="BU105">
        <f t="shared" si="10"/>
        <v>11</v>
      </c>
      <c r="BV105" s="23">
        <f t="shared" si="11"/>
        <v>0</v>
      </c>
    </row>
    <row r="106" spans="1:74">
      <c r="A106" s="1"/>
      <c r="B106" s="1" t="s">
        <v>49</v>
      </c>
      <c r="C106" s="1"/>
      <c r="D106" s="1"/>
      <c r="E106" s="6">
        <f>SUM(E2:E105)</f>
        <v>55</v>
      </c>
      <c r="F106" s="6">
        <f>SUM(F2:F105)</f>
        <v>0</v>
      </c>
      <c r="G106" s="6">
        <f>SUM(G2:G105)</f>
        <v>80</v>
      </c>
      <c r="H106" s="6">
        <f>SUM(H2:H105)</f>
        <v>70</v>
      </c>
      <c r="I106" s="6">
        <f>SUM(I2:I105)</f>
        <v>37</v>
      </c>
      <c r="J106" s="6">
        <f>SUM(J2:J105)</f>
        <v>50</v>
      </c>
      <c r="K106" s="6">
        <f>SUM(K2:K105)</f>
        <v>35</v>
      </c>
      <c r="L106" s="6">
        <f>SUM(L2:L105)</f>
        <v>37</v>
      </c>
      <c r="M106" s="6">
        <f>SUM(M2:M105)</f>
        <v>50</v>
      </c>
      <c r="N106" s="6">
        <f>SUM(N2:N105)</f>
        <v>20</v>
      </c>
      <c r="O106" s="6">
        <f>SUM(O2:O105)</f>
        <v>20</v>
      </c>
      <c r="P106" s="28">
        <f>SUM(P2:P105)</f>
        <v>100</v>
      </c>
      <c r="Q106" s="28">
        <f>SUM(Q2:Q105)</f>
        <v>104</v>
      </c>
      <c r="R106" s="28">
        <f>SUM(R2:R105)</f>
        <v>205</v>
      </c>
      <c r="S106" s="28">
        <f>SUM(S2:S105)</f>
        <v>100</v>
      </c>
      <c r="T106" s="28">
        <f>SUM(T2:T105)</f>
        <v>89</v>
      </c>
      <c r="U106" s="28">
        <f>SUM(U2:U105)</f>
        <v>170</v>
      </c>
      <c r="V106" s="28">
        <f>SUM(V2:V105)</f>
        <v>105</v>
      </c>
      <c r="W106" s="28">
        <f>SUM(W2:W105)</f>
        <v>75</v>
      </c>
      <c r="X106" s="28">
        <f>SUM(X2:X105)</f>
        <v>181</v>
      </c>
      <c r="Y106" s="28">
        <f>SUM(Y2:Y105)</f>
        <v>95</v>
      </c>
      <c r="Z106" s="28">
        <f>SUM(Z2:Z105)</f>
        <v>100</v>
      </c>
      <c r="AA106" s="28">
        <f>SUM(AA2:AA105)</f>
        <v>136</v>
      </c>
      <c r="AB106" s="28">
        <f>SUM(AB2:AB105)</f>
        <v>140</v>
      </c>
      <c r="AC106" s="28">
        <f>SUM(AC2:AC105)</f>
        <v>85</v>
      </c>
      <c r="AD106" s="28">
        <f>SUM(AD2:AD105)</f>
        <v>142</v>
      </c>
      <c r="AE106" s="1">
        <f>SUM(AE2:AE105)</f>
        <v>250</v>
      </c>
      <c r="AF106" s="1">
        <f>SUM(AF2:AF105)</f>
        <v>5</v>
      </c>
      <c r="AG106" s="1">
        <f>SUM(AG2:AG105)</f>
        <v>0</v>
      </c>
      <c r="AH106" s="1">
        <f>SUM(AH2:AH105)</f>
        <v>30</v>
      </c>
      <c r="AI106" s="1">
        <f>SUM(AI2:AI105)</f>
        <v>30</v>
      </c>
      <c r="AJ106" s="1">
        <f>SUM(AJ2:AJ105)</f>
        <v>5</v>
      </c>
      <c r="AK106" s="1">
        <f>SUM(AK2:AK105)</f>
        <v>0</v>
      </c>
      <c r="AL106" s="1">
        <f>SUM(AL2:AL105)</f>
        <v>0</v>
      </c>
      <c r="AM106" s="1">
        <f>SUM(AM2:AM105)</f>
        <v>0</v>
      </c>
      <c r="AN106" s="1">
        <f>SUM(AN2:AN105)</f>
        <v>40</v>
      </c>
      <c r="AO106" s="1">
        <f>SUM(AO2:AO105)</f>
        <v>5</v>
      </c>
      <c r="AP106" s="1">
        <f>SUM(AP2:AP105)</f>
        <v>1</v>
      </c>
      <c r="AQ106" s="4">
        <f>SUM(AQ2:AQ105)</f>
        <v>100</v>
      </c>
      <c r="AR106" s="4">
        <f>SUM(AR2:AR105)</f>
        <v>40</v>
      </c>
      <c r="AS106" s="4">
        <f>SUM(AS2:AS105)</f>
        <v>50</v>
      </c>
      <c r="AT106" s="4">
        <f>SUM(AT2:AT105)</f>
        <v>40</v>
      </c>
      <c r="AU106" s="4">
        <f>SUM(AU2:AU105)</f>
        <v>60</v>
      </c>
      <c r="AV106" s="4">
        <f>SUM(AV2:AV105)</f>
        <v>140</v>
      </c>
      <c r="AW106" s="2">
        <f>SUM(AW2:AW105)</f>
        <v>95</v>
      </c>
      <c r="AX106" s="2">
        <f>SUM(AX2:AX105)</f>
        <v>15</v>
      </c>
      <c r="AY106" s="2">
        <f>SUM(AY2:AY105)</f>
        <v>0</v>
      </c>
      <c r="AZ106" s="2">
        <f>SUM(AZ2:AZ105)</f>
        <v>10</v>
      </c>
      <c r="BA106" s="2">
        <f>SUM(BA2:BA105)</f>
        <v>60</v>
      </c>
      <c r="BB106" s="2">
        <f>SUM(BB2:BB105)</f>
        <v>60</v>
      </c>
      <c r="BC106" s="1">
        <f>SUM(BC2:BC105)</f>
        <v>20</v>
      </c>
      <c r="BD106" s="1">
        <f>SUM(BD2:BD105)</f>
        <v>20</v>
      </c>
      <c r="BE106" s="1">
        <f>SUM(BE2:BE105)</f>
        <v>50</v>
      </c>
      <c r="BF106" s="1">
        <f>SUM(BF2:BF105)</f>
        <v>0</v>
      </c>
      <c r="BG106" s="1">
        <f>SUM(BG2:BG105)</f>
        <v>0</v>
      </c>
      <c r="BH106" s="1">
        <f>SUM(BH2:BH105)</f>
        <v>0</v>
      </c>
      <c r="BI106" s="1">
        <f>SUM(BI2:BI105)</f>
        <v>0</v>
      </c>
      <c r="BJ106" s="1">
        <f>SUM(BJ2:BJ105)</f>
        <v>0</v>
      </c>
      <c r="BK106" s="1">
        <f>SUM(BK2:BK105)</f>
        <v>150</v>
      </c>
      <c r="BL106" s="1">
        <f>SUM(BL2:BL105)</f>
        <v>150</v>
      </c>
      <c r="BM106" s="1">
        <f>SUM(BM2:BM105)</f>
        <v>150</v>
      </c>
      <c r="BN106" s="1">
        <f>SUM(BN2:BN105)</f>
        <v>150</v>
      </c>
      <c r="BO106" s="1">
        <f>SUM(BO2:BO105)</f>
        <v>300</v>
      </c>
      <c r="BP106" s="1">
        <f>SUM(BP2:BP105)</f>
        <v>300</v>
      </c>
      <c r="BQ106" s="1"/>
      <c r="BR106" s="1"/>
      <c r="BS106" s="17"/>
      <c r="BT106" s="17"/>
    </row>
    <row r="107" spans="1:74">
      <c r="A107" s="1"/>
      <c r="B107" s="3" t="s">
        <v>66</v>
      </c>
      <c r="C107" s="1"/>
      <c r="D107" s="1"/>
      <c r="E107" s="1">
        <v>14</v>
      </c>
      <c r="F107" s="1">
        <v>67</v>
      </c>
      <c r="G107" s="1">
        <v>0</v>
      </c>
      <c r="H107" s="1">
        <v>0</v>
      </c>
      <c r="I107" s="1">
        <v>130</v>
      </c>
      <c r="J107" s="1">
        <v>130</v>
      </c>
      <c r="K107" s="1">
        <v>102</v>
      </c>
      <c r="L107" s="1">
        <v>86</v>
      </c>
      <c r="M107" s="1">
        <v>93</v>
      </c>
      <c r="N107" s="1">
        <v>153</v>
      </c>
      <c r="O107" s="1">
        <v>77</v>
      </c>
      <c r="P107" s="14">
        <v>43</v>
      </c>
      <c r="Q107" s="14">
        <v>0</v>
      </c>
      <c r="R107" s="14">
        <v>12</v>
      </c>
      <c r="S107" s="14">
        <v>103</v>
      </c>
      <c r="T107" s="14">
        <v>26</v>
      </c>
      <c r="U107" s="14">
        <v>6</v>
      </c>
      <c r="V107" s="14">
        <v>25</v>
      </c>
      <c r="W107" s="14">
        <v>3</v>
      </c>
      <c r="X107" s="14">
        <v>0</v>
      </c>
      <c r="Y107" s="14">
        <v>7</v>
      </c>
      <c r="Z107" s="14">
        <v>32</v>
      </c>
      <c r="AA107" s="14">
        <v>1</v>
      </c>
      <c r="AB107" s="14">
        <v>58</v>
      </c>
      <c r="AC107" s="14">
        <v>1</v>
      </c>
      <c r="AD107" s="14">
        <v>0</v>
      </c>
      <c r="AE107" s="1">
        <v>28</v>
      </c>
      <c r="AF107" s="1">
        <v>3</v>
      </c>
      <c r="AG107" s="1">
        <v>3</v>
      </c>
      <c r="AH107" s="1">
        <v>0</v>
      </c>
      <c r="AI107" s="1">
        <v>0</v>
      </c>
      <c r="AJ107" s="1">
        <v>0</v>
      </c>
      <c r="AK107" s="1">
        <v>23</v>
      </c>
      <c r="AL107" s="1">
        <v>33</v>
      </c>
      <c r="AM107" s="1">
        <v>0</v>
      </c>
      <c r="AN107" s="1">
        <v>7</v>
      </c>
      <c r="AO107" s="1">
        <v>2</v>
      </c>
      <c r="AP107" s="1">
        <v>6</v>
      </c>
      <c r="AQ107" s="14">
        <v>66</v>
      </c>
      <c r="AR107" s="14">
        <v>25</v>
      </c>
      <c r="AS107" s="14">
        <v>56</v>
      </c>
      <c r="AT107" s="14">
        <v>40</v>
      </c>
      <c r="AU107" s="14">
        <v>31</v>
      </c>
      <c r="AV107" s="14">
        <v>146</v>
      </c>
      <c r="AW107" s="14">
        <v>34</v>
      </c>
      <c r="AX107" s="14">
        <v>58</v>
      </c>
      <c r="AY107" s="14">
        <v>0</v>
      </c>
      <c r="AZ107" s="14">
        <v>6</v>
      </c>
      <c r="BA107" s="14">
        <v>15</v>
      </c>
      <c r="BB107" s="14">
        <v>14</v>
      </c>
      <c r="BC107" s="14">
        <v>3</v>
      </c>
      <c r="BD107" s="1">
        <v>2</v>
      </c>
      <c r="BE107" s="1">
        <v>255</v>
      </c>
      <c r="BF107" s="1">
        <v>396</v>
      </c>
      <c r="BG107" s="1">
        <v>312</v>
      </c>
      <c r="BH107" s="1">
        <v>330</v>
      </c>
      <c r="BI107" s="1">
        <v>162</v>
      </c>
      <c r="BJ107" s="1">
        <v>195</v>
      </c>
      <c r="BK107" s="1">
        <v>131</v>
      </c>
      <c r="BL107" s="1">
        <v>127</v>
      </c>
      <c r="BM107" s="1">
        <v>241</v>
      </c>
      <c r="BN107" s="1">
        <v>101</v>
      </c>
      <c r="BO107" s="1">
        <v>3</v>
      </c>
      <c r="BP107" s="1">
        <v>73</v>
      </c>
      <c r="BQ107" s="1"/>
      <c r="BR107" s="1"/>
      <c r="BS107" s="17"/>
      <c r="BT107" s="17"/>
    </row>
    <row r="108" spans="1:74">
      <c r="A108" s="1"/>
      <c r="B108" s="3" t="s">
        <v>73</v>
      </c>
      <c r="C108" s="1"/>
      <c r="D108" s="1"/>
      <c r="E108" s="1">
        <f t="shared" ref="E108:AJ108" si="12">E107-E106</f>
        <v>-41</v>
      </c>
      <c r="F108" s="1">
        <f t="shared" si="12"/>
        <v>67</v>
      </c>
      <c r="G108" s="1">
        <f t="shared" si="12"/>
        <v>-80</v>
      </c>
      <c r="H108" s="1">
        <f t="shared" si="12"/>
        <v>-70</v>
      </c>
      <c r="I108" s="1">
        <f t="shared" si="12"/>
        <v>93</v>
      </c>
      <c r="J108" s="1">
        <f t="shared" si="12"/>
        <v>80</v>
      </c>
      <c r="K108" s="1">
        <f t="shared" si="12"/>
        <v>67</v>
      </c>
      <c r="L108" s="1">
        <f t="shared" si="12"/>
        <v>49</v>
      </c>
      <c r="M108" s="1">
        <f t="shared" si="12"/>
        <v>43</v>
      </c>
      <c r="N108" s="1">
        <f t="shared" si="12"/>
        <v>133</v>
      </c>
      <c r="O108" s="1">
        <f t="shared" si="12"/>
        <v>57</v>
      </c>
      <c r="P108" s="1">
        <f t="shared" si="12"/>
        <v>-57</v>
      </c>
      <c r="Q108" s="1">
        <f t="shared" si="12"/>
        <v>-104</v>
      </c>
      <c r="R108" s="1">
        <f t="shared" si="12"/>
        <v>-193</v>
      </c>
      <c r="S108" s="1">
        <f t="shared" si="12"/>
        <v>3</v>
      </c>
      <c r="T108" s="1">
        <f t="shared" si="12"/>
        <v>-63</v>
      </c>
      <c r="U108" s="1">
        <f t="shared" si="12"/>
        <v>-164</v>
      </c>
      <c r="V108" s="1">
        <f t="shared" si="12"/>
        <v>-80</v>
      </c>
      <c r="W108" s="1">
        <f t="shared" si="12"/>
        <v>-72</v>
      </c>
      <c r="X108" s="1">
        <f t="shared" si="12"/>
        <v>-181</v>
      </c>
      <c r="Y108" s="1">
        <f t="shared" si="12"/>
        <v>-88</v>
      </c>
      <c r="Z108" s="1">
        <f t="shared" si="12"/>
        <v>-68</v>
      </c>
      <c r="AA108" s="1">
        <f t="shared" si="12"/>
        <v>-135</v>
      </c>
      <c r="AB108" s="1">
        <f t="shared" si="12"/>
        <v>-82</v>
      </c>
      <c r="AC108" s="1">
        <f t="shared" si="12"/>
        <v>-84</v>
      </c>
      <c r="AD108" s="1">
        <f t="shared" si="12"/>
        <v>-142</v>
      </c>
      <c r="AE108" s="1">
        <f t="shared" si="12"/>
        <v>-222</v>
      </c>
      <c r="AF108" s="1">
        <f t="shared" si="12"/>
        <v>-2</v>
      </c>
      <c r="AG108" s="1">
        <f t="shared" si="12"/>
        <v>3</v>
      </c>
      <c r="AH108" s="1">
        <f t="shared" si="12"/>
        <v>-30</v>
      </c>
      <c r="AI108" s="1">
        <f t="shared" si="12"/>
        <v>-30</v>
      </c>
      <c r="AJ108" s="1">
        <f t="shared" si="12"/>
        <v>-5</v>
      </c>
      <c r="AK108" s="1">
        <f t="shared" ref="AK108:BP108" si="13">AK107-AK106</f>
        <v>23</v>
      </c>
      <c r="AL108" s="1">
        <f t="shared" si="13"/>
        <v>33</v>
      </c>
      <c r="AM108" s="1">
        <f t="shared" si="13"/>
        <v>0</v>
      </c>
      <c r="AN108" s="1">
        <f t="shared" si="13"/>
        <v>-33</v>
      </c>
      <c r="AO108" s="1">
        <f t="shared" si="13"/>
        <v>-3</v>
      </c>
      <c r="AP108" s="1">
        <f t="shared" si="13"/>
        <v>5</v>
      </c>
      <c r="AQ108" s="1">
        <f t="shared" si="13"/>
        <v>-34</v>
      </c>
      <c r="AR108" s="1">
        <f t="shared" si="13"/>
        <v>-15</v>
      </c>
      <c r="AS108" s="1">
        <f t="shared" si="13"/>
        <v>6</v>
      </c>
      <c r="AT108" s="1">
        <f t="shared" si="13"/>
        <v>0</v>
      </c>
      <c r="AU108" s="1">
        <f t="shared" si="13"/>
        <v>-29</v>
      </c>
      <c r="AV108" s="1">
        <f t="shared" si="13"/>
        <v>6</v>
      </c>
      <c r="AW108" s="1">
        <f t="shared" si="13"/>
        <v>-61</v>
      </c>
      <c r="AX108" s="1">
        <f t="shared" si="13"/>
        <v>43</v>
      </c>
      <c r="AY108" s="1">
        <f t="shared" si="13"/>
        <v>0</v>
      </c>
      <c r="AZ108" s="1">
        <f t="shared" si="13"/>
        <v>-4</v>
      </c>
      <c r="BA108" s="1">
        <f t="shared" si="13"/>
        <v>-45</v>
      </c>
      <c r="BB108" s="1">
        <f t="shared" si="13"/>
        <v>-46</v>
      </c>
      <c r="BC108" s="1">
        <f t="shared" si="13"/>
        <v>-17</v>
      </c>
      <c r="BD108" s="1">
        <f t="shared" si="13"/>
        <v>-18</v>
      </c>
      <c r="BE108" s="1">
        <f t="shared" si="13"/>
        <v>205</v>
      </c>
      <c r="BF108" s="1">
        <f t="shared" si="13"/>
        <v>396</v>
      </c>
      <c r="BG108" s="1">
        <f t="shared" si="13"/>
        <v>312</v>
      </c>
      <c r="BH108" s="1">
        <f t="shared" si="13"/>
        <v>330</v>
      </c>
      <c r="BI108" s="1">
        <f t="shared" si="13"/>
        <v>162</v>
      </c>
      <c r="BJ108" s="1">
        <f t="shared" si="13"/>
        <v>195</v>
      </c>
      <c r="BK108" s="1">
        <f t="shared" si="13"/>
        <v>-19</v>
      </c>
      <c r="BL108" s="1">
        <f t="shared" si="13"/>
        <v>-23</v>
      </c>
      <c r="BM108" s="1">
        <f t="shared" si="13"/>
        <v>91</v>
      </c>
      <c r="BN108" s="1">
        <f t="shared" si="13"/>
        <v>-49</v>
      </c>
      <c r="BO108" s="1">
        <f t="shared" si="13"/>
        <v>-297</v>
      </c>
      <c r="BP108" s="1">
        <f t="shared" si="13"/>
        <v>-227</v>
      </c>
      <c r="BQ108" s="1"/>
      <c r="BR108" s="1"/>
      <c r="BS108" s="17"/>
      <c r="BT108" s="17"/>
    </row>
    <row r="109" spans="1:74">
      <c r="A109" s="1"/>
      <c r="B109" s="3" t="s">
        <v>120</v>
      </c>
      <c r="C109" s="1"/>
      <c r="D109" s="1"/>
      <c r="E109" s="1">
        <f>MAX(E2:E105)</f>
        <v>10</v>
      </c>
      <c r="F109" s="1">
        <f>MAX(F2:F105)</f>
        <v>0</v>
      </c>
      <c r="G109" s="1">
        <f>MAX(G2:G105)</f>
        <v>20</v>
      </c>
      <c r="H109" s="1">
        <f>MAX(H2:H105)</f>
        <v>20</v>
      </c>
      <c r="I109" s="1">
        <f>MAX(I2:I105)</f>
        <v>10</v>
      </c>
      <c r="J109" s="1">
        <f>MAX(J2:J105)</f>
        <v>10</v>
      </c>
      <c r="K109" s="1">
        <f>MAX(K2:K105)</f>
        <v>15</v>
      </c>
      <c r="L109" s="1">
        <f>MAX(L2:L105)</f>
        <v>10</v>
      </c>
      <c r="M109" s="1">
        <f>MAX(M2:M105)</f>
        <v>10</v>
      </c>
      <c r="N109" s="1">
        <f>MAX(N2:N105)</f>
        <v>10</v>
      </c>
      <c r="O109" s="1">
        <f>MAX(O2:O105)</f>
        <v>10</v>
      </c>
      <c r="P109" s="1">
        <f>MAX(P2:P105)</f>
        <v>10</v>
      </c>
      <c r="Q109" s="1">
        <f>MAX(Q2:Q105)</f>
        <v>7</v>
      </c>
      <c r="R109" s="1">
        <f>MAX(R2:R105)</f>
        <v>10</v>
      </c>
      <c r="S109" s="1">
        <f>MAX(S2:S105)</f>
        <v>10</v>
      </c>
      <c r="T109" s="1">
        <f>MAX(T2:T105)</f>
        <v>7</v>
      </c>
      <c r="U109" s="1">
        <f>MAX(U2:U105)</f>
        <v>10</v>
      </c>
      <c r="V109" s="1">
        <f>MAX(V2:V105)</f>
        <v>10</v>
      </c>
      <c r="W109" s="1">
        <f>MAX(W2:W105)</f>
        <v>20</v>
      </c>
      <c r="X109" s="1">
        <f>MAX(X2:X105)</f>
        <v>10</v>
      </c>
      <c r="Y109" s="1">
        <f>MAX(Y2:Y105)</f>
        <v>10</v>
      </c>
      <c r="Z109" s="1">
        <f>MAX(Z2:Z105)</f>
        <v>20</v>
      </c>
      <c r="AA109" s="1">
        <f>MAX(AA2:AA105)</f>
        <v>10</v>
      </c>
      <c r="AB109" s="1">
        <f>MAX(AB2:AB105)</f>
        <v>10</v>
      </c>
      <c r="AC109" s="1">
        <f>MAX(AC2:AC105)</f>
        <v>20</v>
      </c>
      <c r="AD109" s="1">
        <f>MAX(AD2:AD105)</f>
        <v>10</v>
      </c>
      <c r="AE109" s="1">
        <f>MAX(AE2:AE105)</f>
        <v>200</v>
      </c>
      <c r="AF109" s="1">
        <f>MAX(AF2:AF105)</f>
        <v>5</v>
      </c>
      <c r="AG109" s="1">
        <f>MAX(AG2:AG105)</f>
        <v>0</v>
      </c>
      <c r="AH109" s="1">
        <f>MAX(AH2:AH105)</f>
        <v>5</v>
      </c>
      <c r="AI109" s="1">
        <f>MAX(AI2:AI105)</f>
        <v>5</v>
      </c>
      <c r="AJ109" s="1">
        <f>MAX(AJ2:AJ105)</f>
        <v>5</v>
      </c>
      <c r="AK109" s="1">
        <f>MAX(AK2:AK105)</f>
        <v>0</v>
      </c>
      <c r="AL109" s="1">
        <f>MAX(AL2:AL105)</f>
        <v>0</v>
      </c>
      <c r="AM109" s="1">
        <f>MAX(AM2:AM105)</f>
        <v>0</v>
      </c>
      <c r="AN109" s="1">
        <f>MAX(AN2:AN105)</f>
        <v>25</v>
      </c>
      <c r="AO109" s="1">
        <f>MAX(AO2:AO105)</f>
        <v>5</v>
      </c>
      <c r="AP109" s="1">
        <f>MAX(AP2:AP105)</f>
        <v>1</v>
      </c>
      <c r="AQ109" s="1">
        <f>MAX(AQ2:AQ105)</f>
        <v>40</v>
      </c>
      <c r="AR109" s="1">
        <f>MAX(AR2:AR105)</f>
        <v>10</v>
      </c>
      <c r="AS109" s="1">
        <f>MAX(AS2:AS105)</f>
        <v>10</v>
      </c>
      <c r="AT109" s="1">
        <f>MAX(AT2:AT105)</f>
        <v>10</v>
      </c>
      <c r="AU109" s="1">
        <f>MAX(AU2:AU105)</f>
        <v>10</v>
      </c>
      <c r="AV109" s="1">
        <f>MAX(AV2:AV105)</f>
        <v>40</v>
      </c>
      <c r="AW109" s="1">
        <f>MAX(AW2:AW105)</f>
        <v>40</v>
      </c>
      <c r="AX109" s="1">
        <f>MAX(AX2:AX105)</f>
        <v>15</v>
      </c>
      <c r="AY109" s="1">
        <f>MAX(AY2:AY105)</f>
        <v>0</v>
      </c>
      <c r="AZ109" s="1">
        <f>MAX(AZ2:AZ105)</f>
        <v>10</v>
      </c>
      <c r="BA109" s="1">
        <f>MAX(BA2:BA105)</f>
        <v>40</v>
      </c>
      <c r="BB109" s="1">
        <f>MAX(BB2:BB105)</f>
        <v>40</v>
      </c>
      <c r="BC109" s="1">
        <f>MAX(BC2:BC105)</f>
        <v>10</v>
      </c>
      <c r="BD109" s="1">
        <f>MAX(BD2:BD105)</f>
        <v>10</v>
      </c>
      <c r="BE109" s="1">
        <f>MAX(BE2:BE105)</f>
        <v>50</v>
      </c>
      <c r="BF109" s="1">
        <f>MAX(BF2:BF105)</f>
        <v>0</v>
      </c>
      <c r="BG109" s="1">
        <f>MAX(BG2:BG105)</f>
        <v>0</v>
      </c>
      <c r="BH109" s="1">
        <f>MAX(BH2:BH105)</f>
        <v>0</v>
      </c>
      <c r="BI109" s="1">
        <f>MAX(BI2:BI105)</f>
        <v>0</v>
      </c>
      <c r="BJ109" s="1">
        <f>MAX(BJ2:BJ105)</f>
        <v>0</v>
      </c>
      <c r="BK109" s="1">
        <f>MAX(BK2:BK105)</f>
        <v>50</v>
      </c>
      <c r="BL109" s="1">
        <f>MAX(BL2:BL105)</f>
        <v>50</v>
      </c>
      <c r="BM109" s="1">
        <f>MAX(BM2:BM105)</f>
        <v>50</v>
      </c>
      <c r="BN109" s="1">
        <f>MAX(BN2:BN105)</f>
        <v>50</v>
      </c>
      <c r="BO109" s="1">
        <f>MAX(BO2:BO105)</f>
        <v>50</v>
      </c>
      <c r="BP109" s="1">
        <f>MAX(BP2:BP105)</f>
        <v>50</v>
      </c>
      <c r="BQ109" s="1"/>
      <c r="BR109" s="1"/>
      <c r="BS109" s="17"/>
      <c r="BT109" s="17"/>
    </row>
    <row r="110" spans="1:74">
      <c r="A110" s="1"/>
      <c r="B110" s="3" t="s">
        <v>121</v>
      </c>
      <c r="C110" s="1"/>
      <c r="D110" s="1"/>
      <c r="E110" s="1">
        <f>MIN(E2:E105)</f>
        <v>5</v>
      </c>
      <c r="F110" s="1">
        <f>MIN(F2:F105)</f>
        <v>0</v>
      </c>
      <c r="G110" s="1">
        <f>MIN(G2:G105)</f>
        <v>10</v>
      </c>
      <c r="H110" s="1">
        <f>MIN(H2:H105)</f>
        <v>10</v>
      </c>
      <c r="I110" s="1">
        <f>MIN(I2:I105)</f>
        <v>7</v>
      </c>
      <c r="J110" s="1">
        <f>MIN(J2:J105)</f>
        <v>10</v>
      </c>
      <c r="K110" s="1">
        <f>MIN(K2:K105)</f>
        <v>10</v>
      </c>
      <c r="L110" s="1">
        <f>MIN(L2:L105)</f>
        <v>7</v>
      </c>
      <c r="M110" s="1">
        <f>MIN(M2:M105)</f>
        <v>10</v>
      </c>
      <c r="N110" s="1">
        <f>MIN(N2:N105)</f>
        <v>10</v>
      </c>
      <c r="O110" s="1">
        <f>MIN(O2:O105)</f>
        <v>10</v>
      </c>
      <c r="P110" s="1">
        <f>MIN(P2:P105)</f>
        <v>10</v>
      </c>
      <c r="Q110" s="1">
        <f>MIN(Q2:Q105)</f>
        <v>5</v>
      </c>
      <c r="R110" s="1">
        <f>MIN(R2:R105)</f>
        <v>2</v>
      </c>
      <c r="S110" s="1">
        <f>MIN(S2:S105)</f>
        <v>10</v>
      </c>
      <c r="T110" s="1">
        <f>MIN(T2:T105)</f>
        <v>5</v>
      </c>
      <c r="U110" s="1">
        <f>MIN(U2:U105)</f>
        <v>2</v>
      </c>
      <c r="V110" s="1">
        <f>MIN(V2:V105)</f>
        <v>5</v>
      </c>
      <c r="W110" s="1">
        <f>MIN(W2:W105)</f>
        <v>5</v>
      </c>
      <c r="X110" s="1">
        <f>MIN(X2:X105)</f>
        <v>2</v>
      </c>
      <c r="Y110" s="1">
        <f>MIN(Y2:Y105)</f>
        <v>5</v>
      </c>
      <c r="Z110" s="1">
        <f>MIN(Z2:Z105)</f>
        <v>5</v>
      </c>
      <c r="AA110" s="1">
        <f>MIN(AA2:AA105)</f>
        <v>2</v>
      </c>
      <c r="AB110" s="1">
        <f>MIN(AB2:AB105)</f>
        <v>10</v>
      </c>
      <c r="AC110" s="1">
        <f>MIN(AC2:AC105)</f>
        <v>5</v>
      </c>
      <c r="AD110" s="1">
        <f>MIN(AD2:AD105)</f>
        <v>2</v>
      </c>
      <c r="AE110" s="1">
        <f>MIN(AE2:AE105)</f>
        <v>50</v>
      </c>
      <c r="AF110" s="1">
        <f>MIN(AF2:AF105)</f>
        <v>5</v>
      </c>
      <c r="AG110" s="1">
        <f>MIN(AG2:AG105)</f>
        <v>0</v>
      </c>
      <c r="AH110" s="1">
        <f>MIN(AH2:AH105)</f>
        <v>5</v>
      </c>
      <c r="AI110" s="1">
        <f>MIN(AI2:AI105)</f>
        <v>5</v>
      </c>
      <c r="AJ110" s="1">
        <f>MIN(AJ2:AJ105)</f>
        <v>5</v>
      </c>
      <c r="AK110" s="1">
        <f>MIN(AK2:AK105)</f>
        <v>0</v>
      </c>
      <c r="AL110" s="1">
        <f>MIN(AL2:AL105)</f>
        <v>0</v>
      </c>
      <c r="AM110" s="1">
        <f>MIN(AM2:AM105)</f>
        <v>0</v>
      </c>
      <c r="AN110" s="1">
        <f>MIN(AN2:AN105)</f>
        <v>15</v>
      </c>
      <c r="AO110" s="1">
        <f>MIN(AO2:AO105)</f>
        <v>5</v>
      </c>
      <c r="AP110" s="1">
        <f>MIN(AP2:AP105)</f>
        <v>1</v>
      </c>
      <c r="AQ110" s="1">
        <f>MIN(AQ2:AQ105)</f>
        <v>10</v>
      </c>
      <c r="AR110" s="1">
        <f>MIN(AR2:AR105)</f>
        <v>10</v>
      </c>
      <c r="AS110" s="1">
        <f>MIN(AS2:AS105)</f>
        <v>10</v>
      </c>
      <c r="AT110" s="1">
        <f>MIN(AT2:AT105)</f>
        <v>10</v>
      </c>
      <c r="AU110" s="1">
        <f>MIN(AU2:AU105)</f>
        <v>10</v>
      </c>
      <c r="AV110" s="1">
        <f>MIN(AV2:AV105)</f>
        <v>10</v>
      </c>
      <c r="AW110" s="1">
        <f>MIN(AW2:AW105)</f>
        <v>15</v>
      </c>
      <c r="AX110" s="1">
        <f>MIN(AX2:AX105)</f>
        <v>15</v>
      </c>
      <c r="AY110" s="1">
        <f>MIN(AY2:AY105)</f>
        <v>0</v>
      </c>
      <c r="AZ110" s="1">
        <f>MIN(AZ2:AZ105)</f>
        <v>10</v>
      </c>
      <c r="BA110" s="1">
        <f>MIN(BA2:BA105)</f>
        <v>20</v>
      </c>
      <c r="BB110" s="1">
        <f>MIN(BB2:BB105)</f>
        <v>20</v>
      </c>
      <c r="BC110" s="1">
        <f>MIN(BC2:BC105)</f>
        <v>10</v>
      </c>
      <c r="BD110" s="1">
        <f>MIN(BD2:BD105)</f>
        <v>10</v>
      </c>
      <c r="BE110" s="1">
        <f>MIN(BE2:BE105)</f>
        <v>50</v>
      </c>
      <c r="BF110" s="1">
        <f>MIN(BF2:BF105)</f>
        <v>0</v>
      </c>
      <c r="BG110" s="1">
        <f>MIN(BG2:BG105)</f>
        <v>0</v>
      </c>
      <c r="BH110" s="1">
        <f>MIN(BH2:BH105)</f>
        <v>0</v>
      </c>
      <c r="BI110" s="1">
        <f>MIN(BI2:BI105)</f>
        <v>0</v>
      </c>
      <c r="BJ110" s="1">
        <f>MIN(BJ2:BJ105)</f>
        <v>0</v>
      </c>
      <c r="BK110" s="1">
        <f>MIN(BK2:BK105)</f>
        <v>50</v>
      </c>
      <c r="BL110" s="1">
        <f>MIN(BL2:BL105)</f>
        <v>50</v>
      </c>
      <c r="BM110" s="1">
        <f>MIN(BM2:BM105)</f>
        <v>50</v>
      </c>
      <c r="BN110" s="1">
        <f>MIN(BN2:BN105)</f>
        <v>50</v>
      </c>
      <c r="BO110" s="1">
        <f>MIN(BO2:BO105)</f>
        <v>50</v>
      </c>
      <c r="BP110" s="1">
        <f>MIN(BP2:BP105)</f>
        <v>50</v>
      </c>
      <c r="BQ110" s="1"/>
      <c r="BR110" s="1"/>
      <c r="BS110" s="17"/>
      <c r="BT110" s="17"/>
    </row>
    <row r="111" spans="1:74">
      <c r="A111" s="1"/>
      <c r="B111" s="3" t="s">
        <v>122</v>
      </c>
      <c r="C111" s="1"/>
      <c r="D111" s="1"/>
      <c r="E111" s="1">
        <f t="shared" ref="E111:AJ111" si="14">E107-E109</f>
        <v>4</v>
      </c>
      <c r="F111" s="1">
        <f t="shared" si="14"/>
        <v>67</v>
      </c>
      <c r="G111" s="1">
        <f t="shared" si="14"/>
        <v>-20</v>
      </c>
      <c r="H111" s="1">
        <f t="shared" si="14"/>
        <v>-20</v>
      </c>
      <c r="I111" s="1">
        <f t="shared" si="14"/>
        <v>120</v>
      </c>
      <c r="J111" s="1">
        <f t="shared" si="14"/>
        <v>120</v>
      </c>
      <c r="K111" s="1">
        <f t="shared" si="14"/>
        <v>87</v>
      </c>
      <c r="L111" s="1">
        <f t="shared" si="14"/>
        <v>76</v>
      </c>
      <c r="M111" s="1">
        <f t="shared" si="14"/>
        <v>83</v>
      </c>
      <c r="N111" s="1">
        <f t="shared" si="14"/>
        <v>143</v>
      </c>
      <c r="O111" s="1">
        <f t="shared" si="14"/>
        <v>67</v>
      </c>
      <c r="P111" s="1">
        <f t="shared" si="14"/>
        <v>33</v>
      </c>
      <c r="Q111" s="1">
        <f t="shared" si="14"/>
        <v>-7</v>
      </c>
      <c r="R111" s="1">
        <f t="shared" si="14"/>
        <v>2</v>
      </c>
      <c r="S111" s="1">
        <f t="shared" si="14"/>
        <v>93</v>
      </c>
      <c r="T111" s="1">
        <f t="shared" si="14"/>
        <v>19</v>
      </c>
      <c r="U111" s="1">
        <f t="shared" si="14"/>
        <v>-4</v>
      </c>
      <c r="V111" s="1">
        <f t="shared" si="14"/>
        <v>15</v>
      </c>
      <c r="W111" s="1">
        <f t="shared" si="14"/>
        <v>-17</v>
      </c>
      <c r="X111" s="1">
        <f t="shared" si="14"/>
        <v>-10</v>
      </c>
      <c r="Y111" s="1">
        <f t="shared" si="14"/>
        <v>-3</v>
      </c>
      <c r="Z111" s="1">
        <f t="shared" si="14"/>
        <v>12</v>
      </c>
      <c r="AA111" s="1">
        <f t="shared" si="14"/>
        <v>-9</v>
      </c>
      <c r="AB111" s="1">
        <f t="shared" si="14"/>
        <v>48</v>
      </c>
      <c r="AC111" s="1">
        <f t="shared" si="14"/>
        <v>-19</v>
      </c>
      <c r="AD111" s="1">
        <f t="shared" si="14"/>
        <v>-10</v>
      </c>
      <c r="AE111" s="1">
        <f t="shared" si="14"/>
        <v>-172</v>
      </c>
      <c r="AF111" s="1">
        <f t="shared" si="14"/>
        <v>-2</v>
      </c>
      <c r="AG111" s="1">
        <f t="shared" si="14"/>
        <v>3</v>
      </c>
      <c r="AH111" s="1">
        <f t="shared" si="14"/>
        <v>-5</v>
      </c>
      <c r="AI111" s="1">
        <f t="shared" si="14"/>
        <v>-5</v>
      </c>
      <c r="AJ111" s="1">
        <f t="shared" si="14"/>
        <v>-5</v>
      </c>
      <c r="AK111" s="1">
        <f t="shared" ref="AK111:BP111" si="15">AK107-AK109</f>
        <v>23</v>
      </c>
      <c r="AL111" s="1">
        <f t="shared" si="15"/>
        <v>33</v>
      </c>
      <c r="AM111" s="1">
        <f t="shared" si="15"/>
        <v>0</v>
      </c>
      <c r="AN111" s="1">
        <f t="shared" si="15"/>
        <v>-18</v>
      </c>
      <c r="AO111" s="1">
        <f t="shared" si="15"/>
        <v>-3</v>
      </c>
      <c r="AP111" s="1">
        <f t="shared" si="15"/>
        <v>5</v>
      </c>
      <c r="AQ111" s="1">
        <f t="shared" si="15"/>
        <v>26</v>
      </c>
      <c r="AR111" s="1">
        <f t="shared" si="15"/>
        <v>15</v>
      </c>
      <c r="AS111" s="1">
        <f t="shared" si="15"/>
        <v>46</v>
      </c>
      <c r="AT111" s="1">
        <f t="shared" si="15"/>
        <v>30</v>
      </c>
      <c r="AU111" s="1">
        <f t="shared" si="15"/>
        <v>21</v>
      </c>
      <c r="AV111" s="1">
        <f t="shared" si="15"/>
        <v>106</v>
      </c>
      <c r="AW111" s="1">
        <f t="shared" si="15"/>
        <v>-6</v>
      </c>
      <c r="AX111" s="1">
        <f t="shared" si="15"/>
        <v>43</v>
      </c>
      <c r="AY111" s="1">
        <f t="shared" si="15"/>
        <v>0</v>
      </c>
      <c r="AZ111" s="1">
        <f t="shared" si="15"/>
        <v>-4</v>
      </c>
      <c r="BA111" s="1">
        <f t="shared" si="15"/>
        <v>-25</v>
      </c>
      <c r="BB111" s="1">
        <f t="shared" si="15"/>
        <v>-26</v>
      </c>
      <c r="BC111" s="1">
        <f t="shared" si="15"/>
        <v>-7</v>
      </c>
      <c r="BD111" s="1">
        <f t="shared" si="15"/>
        <v>-8</v>
      </c>
      <c r="BE111" s="1">
        <f t="shared" si="15"/>
        <v>205</v>
      </c>
      <c r="BF111" s="1">
        <f t="shared" si="15"/>
        <v>396</v>
      </c>
      <c r="BG111" s="1">
        <f t="shared" si="15"/>
        <v>312</v>
      </c>
      <c r="BH111" s="1">
        <f t="shared" si="15"/>
        <v>330</v>
      </c>
      <c r="BI111" s="1">
        <f t="shared" si="15"/>
        <v>162</v>
      </c>
      <c r="BJ111" s="1">
        <f t="shared" si="15"/>
        <v>195</v>
      </c>
      <c r="BK111" s="1">
        <f t="shared" si="15"/>
        <v>81</v>
      </c>
      <c r="BL111" s="1">
        <f t="shared" si="15"/>
        <v>77</v>
      </c>
      <c r="BM111" s="1">
        <f t="shared" si="15"/>
        <v>191</v>
      </c>
      <c r="BN111" s="1">
        <f t="shared" si="15"/>
        <v>51</v>
      </c>
      <c r="BO111" s="1">
        <f t="shared" si="15"/>
        <v>-47</v>
      </c>
      <c r="BP111" s="1">
        <f t="shared" si="15"/>
        <v>23</v>
      </c>
      <c r="BQ111" s="1"/>
      <c r="BR111" s="1"/>
      <c r="BS111" s="17"/>
      <c r="BT111" s="17"/>
    </row>
    <row r="112" spans="1:74" s="13" customFormat="1">
      <c r="A112" s="1"/>
      <c r="B112" s="3" t="s">
        <v>123</v>
      </c>
      <c r="C112" s="1"/>
      <c r="D112" s="1"/>
      <c r="E112" s="1">
        <f t="shared" ref="E112:AJ112" si="16">E107-E110</f>
        <v>9</v>
      </c>
      <c r="F112" s="1">
        <f t="shared" si="16"/>
        <v>67</v>
      </c>
      <c r="G112" s="1">
        <f t="shared" si="16"/>
        <v>-10</v>
      </c>
      <c r="H112" s="1">
        <f t="shared" si="16"/>
        <v>-10</v>
      </c>
      <c r="I112" s="1">
        <f t="shared" si="16"/>
        <v>123</v>
      </c>
      <c r="J112" s="1">
        <f t="shared" si="16"/>
        <v>120</v>
      </c>
      <c r="K112" s="1">
        <f t="shared" si="16"/>
        <v>92</v>
      </c>
      <c r="L112" s="1">
        <f t="shared" si="16"/>
        <v>79</v>
      </c>
      <c r="M112" s="1">
        <f t="shared" si="16"/>
        <v>83</v>
      </c>
      <c r="N112" s="1">
        <f t="shared" si="16"/>
        <v>143</v>
      </c>
      <c r="O112" s="1">
        <f t="shared" si="16"/>
        <v>67</v>
      </c>
      <c r="P112" s="1">
        <f t="shared" si="16"/>
        <v>33</v>
      </c>
      <c r="Q112" s="1">
        <f t="shared" si="16"/>
        <v>-5</v>
      </c>
      <c r="R112" s="1">
        <f t="shared" si="16"/>
        <v>10</v>
      </c>
      <c r="S112" s="1">
        <f t="shared" si="16"/>
        <v>93</v>
      </c>
      <c r="T112" s="1">
        <f t="shared" si="16"/>
        <v>21</v>
      </c>
      <c r="U112" s="1">
        <f t="shared" si="16"/>
        <v>4</v>
      </c>
      <c r="V112" s="1">
        <f t="shared" si="16"/>
        <v>20</v>
      </c>
      <c r="W112" s="1">
        <f t="shared" si="16"/>
        <v>-2</v>
      </c>
      <c r="X112" s="1">
        <f t="shared" si="16"/>
        <v>-2</v>
      </c>
      <c r="Y112" s="1">
        <f t="shared" si="16"/>
        <v>2</v>
      </c>
      <c r="Z112" s="1">
        <f t="shared" si="16"/>
        <v>27</v>
      </c>
      <c r="AA112" s="1">
        <f t="shared" si="16"/>
        <v>-1</v>
      </c>
      <c r="AB112" s="1">
        <f t="shared" si="16"/>
        <v>48</v>
      </c>
      <c r="AC112" s="1">
        <f t="shared" si="16"/>
        <v>-4</v>
      </c>
      <c r="AD112" s="1">
        <f t="shared" si="16"/>
        <v>-2</v>
      </c>
      <c r="AE112" s="1">
        <f t="shared" si="16"/>
        <v>-22</v>
      </c>
      <c r="AF112" s="1">
        <f t="shared" si="16"/>
        <v>-2</v>
      </c>
      <c r="AG112" s="1">
        <f t="shared" si="16"/>
        <v>3</v>
      </c>
      <c r="AH112" s="1">
        <f t="shared" si="16"/>
        <v>-5</v>
      </c>
      <c r="AI112" s="1">
        <f t="shared" si="16"/>
        <v>-5</v>
      </c>
      <c r="AJ112" s="1">
        <f t="shared" si="16"/>
        <v>-5</v>
      </c>
      <c r="AK112" s="1">
        <f t="shared" ref="AK112:BP112" si="17">AK107-AK110</f>
        <v>23</v>
      </c>
      <c r="AL112" s="1">
        <f t="shared" si="17"/>
        <v>33</v>
      </c>
      <c r="AM112" s="1">
        <f t="shared" si="17"/>
        <v>0</v>
      </c>
      <c r="AN112" s="1">
        <f t="shared" si="17"/>
        <v>-8</v>
      </c>
      <c r="AO112" s="1">
        <f t="shared" si="17"/>
        <v>-3</v>
      </c>
      <c r="AP112" s="1">
        <f t="shared" si="17"/>
        <v>5</v>
      </c>
      <c r="AQ112" s="1">
        <f t="shared" si="17"/>
        <v>56</v>
      </c>
      <c r="AR112" s="1">
        <f t="shared" si="17"/>
        <v>15</v>
      </c>
      <c r="AS112" s="1">
        <f t="shared" si="17"/>
        <v>46</v>
      </c>
      <c r="AT112" s="1">
        <f t="shared" si="17"/>
        <v>30</v>
      </c>
      <c r="AU112" s="1">
        <f t="shared" si="17"/>
        <v>21</v>
      </c>
      <c r="AV112" s="1">
        <f t="shared" si="17"/>
        <v>136</v>
      </c>
      <c r="AW112" s="1">
        <f t="shared" si="17"/>
        <v>19</v>
      </c>
      <c r="AX112" s="1">
        <f t="shared" si="17"/>
        <v>43</v>
      </c>
      <c r="AY112" s="1">
        <f t="shared" si="17"/>
        <v>0</v>
      </c>
      <c r="AZ112" s="1">
        <f t="shared" si="17"/>
        <v>-4</v>
      </c>
      <c r="BA112" s="1">
        <f t="shared" si="17"/>
        <v>-5</v>
      </c>
      <c r="BB112" s="1">
        <f t="shared" si="17"/>
        <v>-6</v>
      </c>
      <c r="BC112" s="1">
        <f t="shared" si="17"/>
        <v>-7</v>
      </c>
      <c r="BD112" s="1">
        <f t="shared" si="17"/>
        <v>-8</v>
      </c>
      <c r="BE112" s="1">
        <f t="shared" si="17"/>
        <v>205</v>
      </c>
      <c r="BF112" s="1">
        <f t="shared" si="17"/>
        <v>396</v>
      </c>
      <c r="BG112" s="1">
        <f t="shared" si="17"/>
        <v>312</v>
      </c>
      <c r="BH112" s="1">
        <f t="shared" si="17"/>
        <v>330</v>
      </c>
      <c r="BI112" s="1">
        <f t="shared" si="17"/>
        <v>162</v>
      </c>
      <c r="BJ112" s="1">
        <f t="shared" si="17"/>
        <v>195</v>
      </c>
      <c r="BK112" s="1">
        <f t="shared" si="17"/>
        <v>81</v>
      </c>
      <c r="BL112" s="1">
        <f t="shared" si="17"/>
        <v>77</v>
      </c>
      <c r="BM112" s="1">
        <f t="shared" si="17"/>
        <v>191</v>
      </c>
      <c r="BN112" s="1">
        <f t="shared" si="17"/>
        <v>51</v>
      </c>
      <c r="BO112" s="1">
        <f t="shared" si="17"/>
        <v>-47</v>
      </c>
      <c r="BP112" s="1">
        <f t="shared" si="17"/>
        <v>23</v>
      </c>
      <c r="BQ112" s="1"/>
      <c r="BR112" s="1"/>
      <c r="BS112" s="17"/>
      <c r="BT112" s="17"/>
    </row>
    <row r="113" spans="43:54">
      <c r="AQ113" s="7" t="s">
        <v>140</v>
      </c>
      <c r="AR113" s="7" t="s">
        <v>143</v>
      </c>
      <c r="AS113" s="7" t="s">
        <v>144</v>
      </c>
      <c r="AT113" s="7" t="s">
        <v>141</v>
      </c>
      <c r="AU113" s="7" t="s">
        <v>142</v>
      </c>
      <c r="AV113" s="7" t="s">
        <v>139</v>
      </c>
      <c r="AW113" s="7" t="s">
        <v>145</v>
      </c>
      <c r="AX113" s="7" t="s">
        <v>146</v>
      </c>
      <c r="AY113" s="7" t="s">
        <v>147</v>
      </c>
      <c r="AZ113" s="7" t="s">
        <v>148</v>
      </c>
      <c r="BA113" s="7" t="s">
        <v>149</v>
      </c>
      <c r="BB113" s="7" t="s">
        <v>150</v>
      </c>
    </row>
  </sheetData>
  <autoFilter ref="A1:BV113">
    <filterColumn colId="72">
      <filters>
        <filter val="0"/>
      </filters>
    </filterColumn>
    <sortState ref="A14:BV117">
      <sortCondition ref="BS2:BS117"/>
      <sortCondition ref="BR2:BR117"/>
    </sortState>
  </autoFilter>
  <sortState ref="A2:CT148">
    <sortCondition ref="BS2:BS148"/>
    <sortCondition ref="BR2:BR148"/>
  </sortState>
  <phoneticPr fontId="1" type="noConversion"/>
  <conditionalFormatting sqref="E109:BC109 BE109:BP109">
    <cfRule type="expression" dxfId="10" priority="13">
      <formula>"&lt;=$E$135"</formula>
    </cfRule>
  </conditionalFormatting>
  <conditionalFormatting sqref="E111:BC112 BE111:BP112">
    <cfRule type="cellIs" dxfId="9" priority="4" operator="lessThan">
      <formula>0</formula>
    </cfRule>
  </conditionalFormatting>
  <conditionalFormatting sqref="E108:BC108 BE108:BP108">
    <cfRule type="cellIs" dxfId="8" priority="5" operator="lessThan">
      <formula>0</formula>
    </cfRule>
  </conditionalFormatting>
  <conditionalFormatting sqref="BD109">
    <cfRule type="expression" dxfId="7" priority="3">
      <formula>"&lt;=$E$135"</formula>
    </cfRule>
  </conditionalFormatting>
  <conditionalFormatting sqref="BD111:BD112">
    <cfRule type="cellIs" dxfId="6" priority="1" operator="lessThan">
      <formula>0</formula>
    </cfRule>
  </conditionalFormatting>
  <conditionalFormatting sqref="BD108">
    <cfRule type="cellIs" dxfId="5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112</xdr:row>
                    <xdr:rowOff>28575</xdr:rowOff>
                  </from>
                  <to>
                    <xdr:col>1</xdr:col>
                    <xdr:colOff>428625</xdr:colOff>
                    <xdr:row>113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60</v>
      </c>
      <c r="B1" s="8" t="s">
        <v>61</v>
      </c>
      <c r="C1" s="8" t="s">
        <v>63</v>
      </c>
      <c r="D1" s="8" t="s">
        <v>62</v>
      </c>
      <c r="E1" s="9" t="s">
        <v>1</v>
      </c>
      <c r="F1" s="9" t="s">
        <v>2</v>
      </c>
      <c r="G1" s="9" t="s">
        <v>10</v>
      </c>
      <c r="H1" s="9" t="s">
        <v>19</v>
      </c>
      <c r="I1" s="9" t="s">
        <v>20</v>
      </c>
      <c r="J1" s="9" t="s">
        <v>59</v>
      </c>
      <c r="K1" s="9" t="s">
        <v>21</v>
      </c>
      <c r="L1" s="9" t="s">
        <v>36</v>
      </c>
      <c r="M1" s="9" t="s">
        <v>38</v>
      </c>
      <c r="N1" s="9" t="s">
        <v>42</v>
      </c>
      <c r="O1" s="9" t="s">
        <v>37</v>
      </c>
      <c r="P1" s="27" t="s">
        <v>91</v>
      </c>
      <c r="Q1" s="27" t="s">
        <v>103</v>
      </c>
      <c r="R1" s="27" t="s">
        <v>97</v>
      </c>
      <c r="S1" s="27" t="s">
        <v>92</v>
      </c>
      <c r="T1" s="27" t="s">
        <v>101</v>
      </c>
      <c r="U1" s="27" t="s">
        <v>106</v>
      </c>
      <c r="V1" s="27" t="s">
        <v>93</v>
      </c>
      <c r="W1" s="27" t="s">
        <v>100</v>
      </c>
      <c r="X1" s="27" t="s">
        <v>98</v>
      </c>
      <c r="Y1" s="27" t="s">
        <v>94</v>
      </c>
      <c r="Z1" s="27" t="s">
        <v>102</v>
      </c>
      <c r="AA1" s="27" t="s">
        <v>107</v>
      </c>
      <c r="AB1" s="27" t="s">
        <v>96</v>
      </c>
      <c r="AC1" s="27" t="s">
        <v>95</v>
      </c>
      <c r="AD1" s="27" t="s">
        <v>115</v>
      </c>
      <c r="AE1" s="8" t="s">
        <v>7</v>
      </c>
      <c r="AF1" s="8" t="s">
        <v>24</v>
      </c>
      <c r="AG1" s="8" t="s">
        <v>25</v>
      </c>
      <c r="AH1" s="8" t="s">
        <v>50</v>
      </c>
      <c r="AI1" s="8" t="s">
        <v>51</v>
      </c>
      <c r="AJ1" s="8" t="s">
        <v>53</v>
      </c>
      <c r="AK1" s="8" t="s">
        <v>54</v>
      </c>
      <c r="AL1" s="8" t="s">
        <v>56</v>
      </c>
      <c r="AM1" s="8" t="s">
        <v>43</v>
      </c>
      <c r="AN1" s="8" t="s">
        <v>44</v>
      </c>
      <c r="AO1" s="8" t="s">
        <v>80</v>
      </c>
      <c r="AP1" s="8" t="s">
        <v>81</v>
      </c>
      <c r="AQ1" s="10" t="s">
        <v>34</v>
      </c>
      <c r="AR1" s="10" t="s">
        <v>3</v>
      </c>
      <c r="AS1" s="10" t="s">
        <v>23</v>
      </c>
      <c r="AT1" s="10" t="s">
        <v>46</v>
      </c>
      <c r="AU1" s="10" t="s">
        <v>48</v>
      </c>
      <c r="AV1" s="10" t="s">
        <v>41</v>
      </c>
      <c r="AW1" s="11" t="s">
        <v>4</v>
      </c>
      <c r="AX1" s="11" t="s">
        <v>5</v>
      </c>
      <c r="AY1" s="11" t="s">
        <v>35</v>
      </c>
      <c r="AZ1" s="11" t="s">
        <v>6</v>
      </c>
      <c r="BA1" s="11" t="s">
        <v>40</v>
      </c>
      <c r="BB1" s="11" t="s">
        <v>9</v>
      </c>
      <c r="BC1" s="25" t="s">
        <v>78</v>
      </c>
      <c r="BD1" s="8" t="s">
        <v>14</v>
      </c>
      <c r="BE1" s="8" t="s">
        <v>13</v>
      </c>
      <c r="BF1" s="8" t="s">
        <v>11</v>
      </c>
      <c r="BG1" s="8" t="s">
        <v>12</v>
      </c>
      <c r="BH1" s="8" t="s">
        <v>15</v>
      </c>
      <c r="BI1" s="8" t="s">
        <v>16</v>
      </c>
      <c r="BJ1" s="8" t="s">
        <v>27</v>
      </c>
      <c r="BK1" s="8" t="s">
        <v>28</v>
      </c>
      <c r="BL1" s="8" t="s">
        <v>29</v>
      </c>
      <c r="BM1" s="8" t="s">
        <v>30</v>
      </c>
      <c r="BN1" s="8" t="s">
        <v>31</v>
      </c>
      <c r="BO1" s="8" t="s">
        <v>32</v>
      </c>
      <c r="BP1" s="12" t="s">
        <v>49</v>
      </c>
      <c r="BQ1" s="8" t="s">
        <v>68</v>
      </c>
      <c r="BR1" s="16" t="s">
        <v>69</v>
      </c>
      <c r="BS1" s="16"/>
      <c r="BT1" s="10" t="s">
        <v>34</v>
      </c>
      <c r="BU1" s="10" t="s">
        <v>3</v>
      </c>
      <c r="BV1" s="10" t="s">
        <v>23</v>
      </c>
      <c r="BW1" s="10" t="s">
        <v>46</v>
      </c>
      <c r="BX1" s="10" t="s">
        <v>48</v>
      </c>
      <c r="BY1" s="10" t="s">
        <v>41</v>
      </c>
      <c r="BZ1" s="11" t="s">
        <v>4</v>
      </c>
      <c r="CA1" s="11" t="s">
        <v>5</v>
      </c>
      <c r="CB1" s="11" t="s">
        <v>35</v>
      </c>
      <c r="CC1" s="11" t="s">
        <v>6</v>
      </c>
      <c r="CD1" s="11" t="s">
        <v>40</v>
      </c>
      <c r="CE1" s="11" t="s">
        <v>9</v>
      </c>
      <c r="CF1" s="8"/>
      <c r="CG1" s="10" t="s">
        <v>34</v>
      </c>
      <c r="CH1" s="10" t="s">
        <v>3</v>
      </c>
      <c r="CI1" s="10" t="s">
        <v>23</v>
      </c>
      <c r="CJ1" s="10" t="s">
        <v>46</v>
      </c>
      <c r="CK1" s="10" t="s">
        <v>48</v>
      </c>
      <c r="CL1" s="10" t="s">
        <v>41</v>
      </c>
      <c r="CM1" s="11" t="s">
        <v>4</v>
      </c>
      <c r="CN1" s="11" t="s">
        <v>5</v>
      </c>
      <c r="CO1" s="11" t="s">
        <v>35</v>
      </c>
      <c r="CP1" s="11" t="s">
        <v>6</v>
      </c>
      <c r="CQ1" s="11" t="s">
        <v>40</v>
      </c>
      <c r="CR1" s="11" t="s">
        <v>9</v>
      </c>
      <c r="CS1" s="8"/>
    </row>
    <row r="2" spans="1:97">
      <c r="A2" s="30">
        <v>77</v>
      </c>
      <c r="B2" s="37" t="s">
        <v>117</v>
      </c>
      <c r="C2" s="37" t="s">
        <v>45</v>
      </c>
      <c r="D2" s="30" t="s">
        <v>8</v>
      </c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3"/>
      <c r="AR2" s="33"/>
      <c r="AS2" s="33"/>
      <c r="AT2" s="33">
        <v>20</v>
      </c>
      <c r="AU2" s="33"/>
      <c r="AV2" s="33"/>
      <c r="AW2" s="34">
        <v>20</v>
      </c>
      <c r="AX2" s="34">
        <v>20</v>
      </c>
      <c r="AY2" s="34"/>
      <c r="AZ2" s="34"/>
      <c r="BA2" s="34"/>
      <c r="BB2" s="34">
        <v>10</v>
      </c>
      <c r="BC2" s="35"/>
      <c r="BD2" s="30"/>
      <c r="BE2" s="30"/>
      <c r="BF2" s="30"/>
      <c r="BG2" s="30"/>
      <c r="BH2" s="30">
        <v>20</v>
      </c>
      <c r="BI2" s="30"/>
      <c r="BJ2" s="30"/>
      <c r="BK2" s="30"/>
      <c r="BL2" s="30"/>
      <c r="BM2" s="30"/>
      <c r="BN2" s="30"/>
      <c r="BO2" s="30"/>
      <c r="BP2" s="30">
        <f>SUM(E2:BO2)</f>
        <v>90</v>
      </c>
      <c r="BQ2" s="30">
        <v>9</v>
      </c>
      <c r="BR2" s="36">
        <v>1</v>
      </c>
      <c r="BS2" s="36" t="s">
        <v>138</v>
      </c>
      <c r="BT2" s="30" t="str">
        <f t="shared" ref="BT2:CE2" si="0">IF(AQ2&gt;AQ$4, AQ2-AQ$4,"")</f>
        <v/>
      </c>
      <c r="BU2" s="30" t="str">
        <f t="shared" si="0"/>
        <v/>
      </c>
      <c r="BV2" s="30" t="str">
        <f t="shared" si="0"/>
        <v/>
      </c>
      <c r="BW2" s="30" t="str">
        <f t="shared" si="0"/>
        <v/>
      </c>
      <c r="BX2" s="30" t="str">
        <f t="shared" si="0"/>
        <v/>
      </c>
      <c r="BY2" s="30" t="str">
        <f t="shared" si="0"/>
        <v/>
      </c>
      <c r="BZ2" s="30" t="str">
        <f t="shared" si="0"/>
        <v/>
      </c>
      <c r="CA2" s="30" t="str">
        <f t="shared" si="0"/>
        <v/>
      </c>
      <c r="CB2" s="30" t="str">
        <f t="shared" si="0"/>
        <v/>
      </c>
      <c r="CC2" s="30" t="str">
        <f t="shared" si="0"/>
        <v/>
      </c>
      <c r="CD2" s="30" t="str">
        <f t="shared" si="0"/>
        <v/>
      </c>
      <c r="CE2" s="30" t="str">
        <f t="shared" si="0"/>
        <v/>
      </c>
      <c r="CF2" s="30">
        <f>COUNTIF(BT2:CE2, "&gt;0")</f>
        <v>0</v>
      </c>
      <c r="CG2" s="30" t="str">
        <f t="shared" ref="CG2:CR2" si="1">IF($CF2=1,BT2,"")</f>
        <v/>
      </c>
      <c r="CH2" s="30" t="str">
        <f t="shared" si="1"/>
        <v/>
      </c>
      <c r="CI2" s="30" t="str">
        <f t="shared" si="1"/>
        <v/>
      </c>
      <c r="CJ2" s="30" t="str">
        <f t="shared" si="1"/>
        <v/>
      </c>
      <c r="CK2" s="30" t="str">
        <f t="shared" si="1"/>
        <v/>
      </c>
      <c r="CL2" s="30" t="str">
        <f t="shared" si="1"/>
        <v/>
      </c>
      <c r="CM2" s="30" t="str">
        <f t="shared" si="1"/>
        <v/>
      </c>
      <c r="CN2" s="30" t="str">
        <f t="shared" si="1"/>
        <v/>
      </c>
      <c r="CO2" s="30" t="str">
        <f t="shared" si="1"/>
        <v/>
      </c>
      <c r="CP2" s="30" t="str">
        <f t="shared" si="1"/>
        <v/>
      </c>
      <c r="CQ2" s="30" t="str">
        <f t="shared" si="1"/>
        <v/>
      </c>
      <c r="CR2" s="30" t="str">
        <f t="shared" si="1"/>
        <v/>
      </c>
      <c r="CS2" s="37">
        <f>SUM(AE2:BO2)</f>
        <v>90</v>
      </c>
    </row>
    <row r="3" spans="1:97" s="46" customFormat="1" ht="27">
      <c r="A3" s="38"/>
      <c r="B3" s="38" t="s">
        <v>153</v>
      </c>
      <c r="C3" s="38" t="s">
        <v>76</v>
      </c>
      <c r="D3" s="38" t="s">
        <v>90</v>
      </c>
      <c r="E3" s="39"/>
      <c r="F3" s="39"/>
      <c r="G3" s="39"/>
      <c r="H3" s="39"/>
      <c r="I3" s="39">
        <v>10</v>
      </c>
      <c r="J3" s="39"/>
      <c r="K3" s="39"/>
      <c r="L3" s="39"/>
      <c r="M3" s="39"/>
      <c r="N3" s="39"/>
      <c r="O3" s="39"/>
      <c r="P3" s="40"/>
      <c r="Q3" s="40"/>
      <c r="R3" s="40">
        <v>10</v>
      </c>
      <c r="S3" s="40"/>
      <c r="T3" s="40"/>
      <c r="U3" s="40"/>
      <c r="V3" s="40"/>
      <c r="W3" s="40"/>
      <c r="X3" s="40">
        <v>10</v>
      </c>
      <c r="Y3" s="40"/>
      <c r="Z3" s="40"/>
      <c r="AA3" s="40"/>
      <c r="AB3" s="40"/>
      <c r="AC3" s="40"/>
      <c r="AD3" s="40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41"/>
      <c r="AR3" s="41"/>
      <c r="AS3" s="41"/>
      <c r="AT3" s="41">
        <v>10</v>
      </c>
      <c r="AU3" s="41"/>
      <c r="AV3" s="41"/>
      <c r="AW3" s="42"/>
      <c r="AX3" s="42"/>
      <c r="AY3" s="42"/>
      <c r="AZ3" s="42"/>
      <c r="BA3" s="42"/>
      <c r="BB3" s="42"/>
      <c r="BC3" s="43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8"/>
      <c r="BO3" s="38"/>
      <c r="BP3" s="38">
        <f>SUM(E3:BO3)</f>
        <v>40</v>
      </c>
      <c r="BQ3" s="38">
        <v>8</v>
      </c>
      <c r="BR3" s="44">
        <v>2</v>
      </c>
      <c r="BS3" s="44" t="s">
        <v>161</v>
      </c>
      <c r="BT3" s="38" t="str">
        <f t="shared" ref="BT3:CE3" si="2">IF(AQ3&gt;AQ$141, AQ3-AQ$141,"")</f>
        <v/>
      </c>
      <c r="BU3" s="38" t="str">
        <f t="shared" si="2"/>
        <v/>
      </c>
      <c r="BV3" s="38" t="str">
        <f t="shared" si="2"/>
        <v/>
      </c>
      <c r="BW3" s="38">
        <f t="shared" si="2"/>
        <v>10</v>
      </c>
      <c r="BX3" s="38" t="str">
        <f t="shared" si="2"/>
        <v/>
      </c>
      <c r="BY3" s="38" t="str">
        <f t="shared" si="2"/>
        <v/>
      </c>
      <c r="BZ3" s="38" t="str">
        <f t="shared" si="2"/>
        <v/>
      </c>
      <c r="CA3" s="38" t="str">
        <f t="shared" si="2"/>
        <v/>
      </c>
      <c r="CB3" s="38" t="str">
        <f t="shared" si="2"/>
        <v/>
      </c>
      <c r="CC3" s="38" t="str">
        <f t="shared" si="2"/>
        <v/>
      </c>
      <c r="CD3" s="38" t="str">
        <f t="shared" si="2"/>
        <v/>
      </c>
      <c r="CE3" s="38" t="str">
        <f t="shared" si="2"/>
        <v/>
      </c>
      <c r="CF3" s="38"/>
      <c r="CG3" s="38"/>
      <c r="CH3" s="38"/>
      <c r="CI3" s="38"/>
      <c r="CJ3" s="38"/>
      <c r="CK3" s="38"/>
      <c r="CL3" s="38"/>
      <c r="CM3" s="38"/>
      <c r="CN3" s="38"/>
      <c r="CO3" s="38"/>
      <c r="CP3" s="38"/>
      <c r="CQ3" s="38"/>
      <c r="CR3" s="38"/>
      <c r="CS3" s="45"/>
    </row>
    <row r="4" spans="1:97">
      <c r="A4" s="1"/>
      <c r="B4" s="1" t="s">
        <v>49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66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73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120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121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122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123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151</v>
      </c>
      <c r="AQ11" s="7" t="s">
        <v>140</v>
      </c>
      <c r="AR11" s="7" t="s">
        <v>143</v>
      </c>
      <c r="AS11" s="7" t="s">
        <v>144</v>
      </c>
      <c r="AT11" s="7" t="s">
        <v>141</v>
      </c>
      <c r="AU11" s="7" t="s">
        <v>142</v>
      </c>
      <c r="AV11" s="7" t="s">
        <v>139</v>
      </c>
      <c r="AW11" s="7" t="s">
        <v>145</v>
      </c>
      <c r="AX11" s="7" t="s">
        <v>146</v>
      </c>
      <c r="AY11" s="7" t="s">
        <v>147</v>
      </c>
      <c r="AZ11" s="7" t="s">
        <v>148</v>
      </c>
      <c r="BA11" s="7" t="s">
        <v>149</v>
      </c>
      <c r="BB11" s="7" t="s">
        <v>150</v>
      </c>
    </row>
    <row r="12" spans="1:97">
      <c r="R12" s="7" t="s">
        <v>152</v>
      </c>
    </row>
  </sheetData>
  <autoFilter ref="A1:BP3"/>
  <phoneticPr fontId="1" type="noConversion"/>
  <conditionalFormatting sqref="E7:BO7">
    <cfRule type="expression" dxfId="4" priority="3">
      <formula>"&lt;=$E$135"</formula>
    </cfRule>
  </conditionalFormatting>
  <conditionalFormatting sqref="E9:BO10">
    <cfRule type="cellIs" dxfId="3" priority="1" operator="lessThan">
      <formula>0</formula>
    </cfRule>
  </conditionalFormatting>
  <conditionalFormatting sqref="E6:BO6">
    <cfRule type="cellIs" dxfId="2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64</v>
      </c>
      <c r="B1" s="5" t="s">
        <v>61</v>
      </c>
      <c r="C1" s="5" t="s">
        <v>65</v>
      </c>
    </row>
    <row r="2" spans="1:3">
      <c r="A2" s="1">
        <v>10</v>
      </c>
      <c r="B2" s="2" t="s">
        <v>9</v>
      </c>
      <c r="C2" s="1">
        <v>190</v>
      </c>
    </row>
    <row r="3" spans="1:3">
      <c r="A3" s="1">
        <v>12</v>
      </c>
      <c r="B3" s="2" t="s">
        <v>40</v>
      </c>
      <c r="C3" s="1">
        <v>120</v>
      </c>
    </row>
    <row r="4" spans="1:3">
      <c r="A4" s="1">
        <v>4</v>
      </c>
      <c r="B4" s="4" t="s">
        <v>41</v>
      </c>
      <c r="C4" s="1">
        <v>85</v>
      </c>
    </row>
    <row r="5" spans="1:3">
      <c r="A5" s="1">
        <v>3</v>
      </c>
      <c r="B5" s="4" t="s">
        <v>34</v>
      </c>
      <c r="C5" s="1">
        <v>65</v>
      </c>
    </row>
    <row r="6" spans="1:3">
      <c r="A6" s="1">
        <v>8</v>
      </c>
      <c r="B6" s="2" t="s">
        <v>5</v>
      </c>
      <c r="C6" s="1">
        <v>65</v>
      </c>
    </row>
    <row r="7" spans="1:3">
      <c r="A7" s="1">
        <v>9</v>
      </c>
      <c r="B7" s="2" t="s">
        <v>6</v>
      </c>
      <c r="C7" s="1">
        <v>65</v>
      </c>
    </row>
    <row r="8" spans="1:3">
      <c r="A8" s="1">
        <v>1</v>
      </c>
      <c r="B8" s="4" t="s">
        <v>3</v>
      </c>
      <c r="C8" s="1">
        <v>60</v>
      </c>
    </row>
    <row r="9" spans="1:3">
      <c r="A9" s="1">
        <v>7</v>
      </c>
      <c r="B9" s="2" t="s">
        <v>4</v>
      </c>
      <c r="C9" s="1">
        <v>53</v>
      </c>
    </row>
    <row r="10" spans="1:3">
      <c r="A10" s="1">
        <v>2</v>
      </c>
      <c r="B10" s="4" t="s">
        <v>23</v>
      </c>
      <c r="C10" s="1">
        <v>45</v>
      </c>
    </row>
    <row r="11" spans="1:3">
      <c r="A11" s="1">
        <v>5</v>
      </c>
      <c r="B11" s="4" t="s">
        <v>46</v>
      </c>
      <c r="C11" s="1">
        <v>45</v>
      </c>
    </row>
    <row r="12" spans="1:3">
      <c r="A12" s="1">
        <v>11</v>
      </c>
      <c r="B12" s="2" t="s">
        <v>35</v>
      </c>
      <c r="C12" s="1">
        <v>10</v>
      </c>
    </row>
    <row r="13" spans="1:3">
      <c r="A13" s="1">
        <v>6</v>
      </c>
      <c r="B13" s="4" t="s">
        <v>48</v>
      </c>
      <c r="C13" s="1">
        <v>8</v>
      </c>
    </row>
    <row r="19" spans="3:18">
      <c r="G19" s="10" t="s">
        <v>34</v>
      </c>
      <c r="H19" s="10" t="s">
        <v>3</v>
      </c>
      <c r="I19" s="10" t="s">
        <v>23</v>
      </c>
      <c r="J19" s="10" t="s">
        <v>46</v>
      </c>
      <c r="K19" s="10" t="s">
        <v>48</v>
      </c>
      <c r="L19" s="10" t="s">
        <v>41</v>
      </c>
      <c r="M19" s="11" t="s">
        <v>4</v>
      </c>
      <c r="N19" s="11" t="s">
        <v>5</v>
      </c>
      <c r="O19" s="11" t="s">
        <v>35</v>
      </c>
      <c r="P19" s="11" t="s">
        <v>6</v>
      </c>
      <c r="Q19" s="11" t="s">
        <v>40</v>
      </c>
      <c r="R19" s="11" t="s">
        <v>9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124</v>
      </c>
      <c r="D27" t="s">
        <v>125</v>
      </c>
      <c r="E27" t="s">
        <v>126</v>
      </c>
      <c r="F27" t="s">
        <v>127</v>
      </c>
      <c r="G27" t="s">
        <v>128</v>
      </c>
      <c r="H27" t="s">
        <v>129</v>
      </c>
      <c r="I27" t="s">
        <v>130</v>
      </c>
      <c r="J27" t="s">
        <v>131</v>
      </c>
      <c r="K27" t="s">
        <v>132</v>
      </c>
      <c r="L27" t="s">
        <v>133</v>
      </c>
      <c r="M27" t="s">
        <v>134</v>
      </c>
      <c r="N27" t="s">
        <v>135</v>
      </c>
    </row>
    <row r="31" spans="3:18">
      <c r="C31">
        <v>-3</v>
      </c>
      <c r="D31" t="s">
        <v>124</v>
      </c>
    </row>
    <row r="32" spans="3:18">
      <c r="C32">
        <v>-8</v>
      </c>
      <c r="D32" t="s">
        <v>125</v>
      </c>
    </row>
    <row r="33" spans="3:4">
      <c r="C33">
        <v>-3</v>
      </c>
      <c r="D33" t="s">
        <v>126</v>
      </c>
    </row>
    <row r="34" spans="3:4">
      <c r="C34">
        <v>1</v>
      </c>
      <c r="D34" t="s">
        <v>127</v>
      </c>
    </row>
    <row r="35" spans="3:4">
      <c r="C35">
        <v>3</v>
      </c>
      <c r="D35" t="s">
        <v>128</v>
      </c>
    </row>
    <row r="36" spans="3:4">
      <c r="C36">
        <v>0</v>
      </c>
      <c r="D36" t="s">
        <v>129</v>
      </c>
    </row>
    <row r="37" spans="3:4">
      <c r="C37">
        <v>-3</v>
      </c>
      <c r="D37" t="s">
        <v>130</v>
      </c>
    </row>
    <row r="38" spans="3:4">
      <c r="C38">
        <v>30</v>
      </c>
      <c r="D38" t="s">
        <v>131</v>
      </c>
    </row>
    <row r="39" spans="3:4">
      <c r="C39">
        <v>5</v>
      </c>
      <c r="D39" t="s">
        <v>132</v>
      </c>
    </row>
    <row r="40" spans="3:4">
      <c r="C40">
        <v>-10</v>
      </c>
      <c r="D40" t="s">
        <v>133</v>
      </c>
    </row>
    <row r="41" spans="3:4">
      <c r="C41">
        <v>3</v>
      </c>
      <c r="D41" t="s">
        <v>134</v>
      </c>
    </row>
    <row r="42" spans="3:4">
      <c r="C42">
        <v>138</v>
      </c>
      <c r="D42" t="s">
        <v>135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70</v>
      </c>
      <c r="B1" s="8" t="s">
        <v>71</v>
      </c>
      <c r="C1" s="8" t="s">
        <v>72</v>
      </c>
    </row>
    <row r="2" spans="1:3">
      <c r="A2" s="1">
        <v>5</v>
      </c>
      <c r="B2" s="10" t="s">
        <v>48</v>
      </c>
      <c r="C2" s="1">
        <v>0</v>
      </c>
    </row>
    <row r="3" spans="1:3">
      <c r="A3" s="1">
        <v>9</v>
      </c>
      <c r="B3" s="11" t="s">
        <v>35</v>
      </c>
      <c r="C3" s="1">
        <v>0</v>
      </c>
    </row>
    <row r="4" spans="1:3">
      <c r="A4" s="1">
        <v>10</v>
      </c>
      <c r="B4" s="11" t="s">
        <v>6</v>
      </c>
      <c r="C4" s="1">
        <v>0</v>
      </c>
    </row>
    <row r="5" spans="1:3">
      <c r="A5" s="1">
        <v>4</v>
      </c>
      <c r="B5" s="10" t="s">
        <v>46</v>
      </c>
      <c r="C5" s="1">
        <v>2</v>
      </c>
    </row>
    <row r="6" spans="1:3">
      <c r="A6" s="1">
        <v>8</v>
      </c>
      <c r="B6" s="11" t="s">
        <v>5</v>
      </c>
      <c r="C6" s="1">
        <v>3</v>
      </c>
    </row>
    <row r="7" spans="1:3">
      <c r="A7" s="1">
        <v>12</v>
      </c>
      <c r="B7" s="11" t="s">
        <v>9</v>
      </c>
      <c r="C7" s="1">
        <v>3</v>
      </c>
    </row>
    <row r="8" spans="1:3">
      <c r="A8" s="1">
        <v>1</v>
      </c>
      <c r="B8" s="10" t="s">
        <v>34</v>
      </c>
      <c r="C8" s="1">
        <v>4</v>
      </c>
    </row>
    <row r="9" spans="1:3">
      <c r="A9" s="1">
        <v>2</v>
      </c>
      <c r="B9" s="10" t="s">
        <v>3</v>
      </c>
      <c r="C9" s="1">
        <v>4</v>
      </c>
    </row>
    <row r="10" spans="1:3">
      <c r="A10" s="1">
        <v>7</v>
      </c>
      <c r="B10" s="11" t="s">
        <v>4</v>
      </c>
      <c r="C10" s="1">
        <v>4</v>
      </c>
    </row>
    <row r="11" spans="1:3">
      <c r="A11" s="1">
        <v>3</v>
      </c>
      <c r="B11" s="10" t="s">
        <v>23</v>
      </c>
      <c r="C11" s="1">
        <v>5</v>
      </c>
    </row>
    <row r="12" spans="1:3">
      <c r="A12" s="1">
        <v>11</v>
      </c>
      <c r="B12" s="11" t="s">
        <v>40</v>
      </c>
      <c r="C12" s="1">
        <v>5</v>
      </c>
    </row>
    <row r="13" spans="1:3">
      <c r="A13" s="1">
        <v>6</v>
      </c>
      <c r="B13" s="10" t="s">
        <v>41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40:N47"/>
  <sheetViews>
    <sheetView topLeftCell="A34" workbookViewId="0">
      <selection activeCell="B40" sqref="B40:N47"/>
    </sheetView>
  </sheetViews>
  <sheetFormatPr defaultRowHeight="13.5"/>
  <cols>
    <col min="2" max="2" width="9" bestFit="1" customWidth="1"/>
  </cols>
  <sheetData>
    <row r="40" spans="2:14" ht="27">
      <c r="B40" s="16" t="s">
        <v>61</v>
      </c>
      <c r="C40" s="64" t="s">
        <v>34</v>
      </c>
      <c r="D40" s="64" t="s">
        <v>3</v>
      </c>
      <c r="E40" s="64" t="s">
        <v>23</v>
      </c>
      <c r="F40" s="64" t="s">
        <v>46</v>
      </c>
      <c r="G40" s="64" t="s">
        <v>48</v>
      </c>
      <c r="H40" s="64" t="s">
        <v>41</v>
      </c>
      <c r="I40" s="65" t="s">
        <v>4</v>
      </c>
      <c r="J40" s="65" t="s">
        <v>5</v>
      </c>
      <c r="K40" s="65" t="s">
        <v>35</v>
      </c>
      <c r="L40" s="65" t="s">
        <v>6</v>
      </c>
      <c r="M40" s="65" t="s">
        <v>40</v>
      </c>
      <c r="N40" s="65" t="s">
        <v>9</v>
      </c>
    </row>
    <row r="41" spans="2:14">
      <c r="B41" s="1" t="s">
        <v>49</v>
      </c>
      <c r="C41" s="4">
        <v>100</v>
      </c>
      <c r="D41" s="4">
        <v>40</v>
      </c>
      <c r="E41" s="4">
        <v>55</v>
      </c>
      <c r="F41" s="4">
        <v>50</v>
      </c>
      <c r="G41" s="4">
        <v>60</v>
      </c>
      <c r="H41" s="4">
        <v>140</v>
      </c>
      <c r="I41" s="2">
        <v>145</v>
      </c>
      <c r="J41" s="2">
        <v>20</v>
      </c>
      <c r="K41" s="2">
        <v>10</v>
      </c>
      <c r="L41" s="2">
        <v>60</v>
      </c>
      <c r="M41" s="2">
        <v>60</v>
      </c>
      <c r="N41" s="2">
        <v>60</v>
      </c>
    </row>
    <row r="42" spans="2:14">
      <c r="B42" s="3" t="s">
        <v>66</v>
      </c>
      <c r="C42" s="14">
        <v>59</v>
      </c>
      <c r="D42" s="14">
        <v>18</v>
      </c>
      <c r="E42" s="14">
        <v>56</v>
      </c>
      <c r="F42" s="14">
        <v>48</v>
      </c>
      <c r="G42" s="14">
        <v>25</v>
      </c>
      <c r="H42" s="14">
        <v>142</v>
      </c>
      <c r="I42" s="14">
        <v>78</v>
      </c>
      <c r="J42" s="14">
        <v>58</v>
      </c>
      <c r="K42" s="14">
        <v>9</v>
      </c>
      <c r="L42" s="14">
        <v>48</v>
      </c>
      <c r="M42" s="14">
        <v>10</v>
      </c>
      <c r="N42" s="14">
        <v>8</v>
      </c>
    </row>
    <row r="43" spans="2:14">
      <c r="B43" s="3" t="s">
        <v>73</v>
      </c>
      <c r="C43" s="1">
        <v>-41</v>
      </c>
      <c r="D43" s="1">
        <v>-22</v>
      </c>
      <c r="E43" s="1">
        <v>1</v>
      </c>
      <c r="F43" s="1">
        <v>-2</v>
      </c>
      <c r="G43" s="1">
        <v>-35</v>
      </c>
      <c r="H43" s="1">
        <v>2</v>
      </c>
      <c r="I43" s="1">
        <v>-67</v>
      </c>
      <c r="J43" s="1">
        <v>38</v>
      </c>
      <c r="K43" s="1">
        <v>-1</v>
      </c>
      <c r="L43" s="1">
        <v>-12</v>
      </c>
      <c r="M43" s="1">
        <v>-50</v>
      </c>
      <c r="N43" s="1">
        <v>-52</v>
      </c>
    </row>
    <row r="44" spans="2:14">
      <c r="B44" s="3" t="s">
        <v>120</v>
      </c>
      <c r="C44" s="1">
        <v>40</v>
      </c>
      <c r="D44" s="1">
        <v>10</v>
      </c>
      <c r="E44" s="1">
        <v>10</v>
      </c>
      <c r="F44" s="1">
        <v>10</v>
      </c>
      <c r="G44" s="1">
        <v>10</v>
      </c>
      <c r="H44" s="1">
        <v>40</v>
      </c>
      <c r="I44" s="1">
        <v>50</v>
      </c>
      <c r="J44" s="1">
        <v>15</v>
      </c>
      <c r="K44" s="1">
        <v>10</v>
      </c>
      <c r="L44" s="1">
        <v>50</v>
      </c>
      <c r="M44" s="1">
        <v>40</v>
      </c>
      <c r="N44" s="1">
        <v>40</v>
      </c>
    </row>
    <row r="45" spans="2:14">
      <c r="B45" s="3" t="s">
        <v>121</v>
      </c>
      <c r="C45" s="1">
        <v>10</v>
      </c>
      <c r="D45" s="1">
        <v>10</v>
      </c>
      <c r="E45" s="1">
        <v>5</v>
      </c>
      <c r="F45" s="1">
        <v>10</v>
      </c>
      <c r="G45" s="1">
        <v>10</v>
      </c>
      <c r="H45" s="1">
        <v>10</v>
      </c>
      <c r="I45" s="1">
        <v>15</v>
      </c>
      <c r="J45" s="1">
        <v>5</v>
      </c>
      <c r="K45" s="1">
        <v>10</v>
      </c>
      <c r="L45" s="1">
        <v>10</v>
      </c>
      <c r="M45" s="1">
        <v>20</v>
      </c>
      <c r="N45" s="1">
        <v>20</v>
      </c>
    </row>
    <row r="46" spans="2:14">
      <c r="B46" s="3" t="s">
        <v>122</v>
      </c>
      <c r="C46" s="1">
        <v>19</v>
      </c>
      <c r="D46" s="1">
        <v>8</v>
      </c>
      <c r="E46" s="1">
        <v>46</v>
      </c>
      <c r="F46" s="1">
        <v>38</v>
      </c>
      <c r="G46" s="1">
        <v>15</v>
      </c>
      <c r="H46" s="1">
        <v>102</v>
      </c>
      <c r="I46" s="1">
        <v>28</v>
      </c>
      <c r="J46" s="1">
        <v>43</v>
      </c>
      <c r="K46" s="1">
        <v>-1</v>
      </c>
      <c r="L46" s="1">
        <v>-2</v>
      </c>
      <c r="M46" s="1">
        <v>-30</v>
      </c>
      <c r="N46" s="1">
        <v>-32</v>
      </c>
    </row>
    <row r="47" spans="2:14">
      <c r="B47" s="3" t="s">
        <v>123</v>
      </c>
      <c r="C47" s="1">
        <v>49</v>
      </c>
      <c r="D47" s="1">
        <v>8</v>
      </c>
      <c r="E47" s="1">
        <v>51</v>
      </c>
      <c r="F47" s="1">
        <v>38</v>
      </c>
      <c r="G47" s="1">
        <v>15</v>
      </c>
      <c r="H47" s="1">
        <v>132</v>
      </c>
      <c r="I47" s="1">
        <v>63</v>
      </c>
      <c r="J47" s="1">
        <v>53</v>
      </c>
      <c r="K47" s="1">
        <v>-1</v>
      </c>
      <c r="L47" s="1">
        <v>38</v>
      </c>
      <c r="M47" s="1">
        <v>-10</v>
      </c>
      <c r="N47" s="1">
        <v>-12</v>
      </c>
    </row>
  </sheetData>
  <phoneticPr fontId="1" type="noConversion"/>
  <conditionalFormatting sqref="C44:N44">
    <cfRule type="expression" dxfId="1" priority="3">
      <formula>"&lt;=$E$135"</formula>
    </cfRule>
  </conditionalFormatting>
  <conditionalFormatting sqref="C46:N47 C43:N43"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2020-06-30T04:22:59Z</dcterms:modified>
</cp:coreProperties>
</file>