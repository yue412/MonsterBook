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Sheet1!$A$1:$BP$132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6" i="1" l="1"/>
  <c r="BC138" i="1" s="1"/>
  <c r="BD136" i="1"/>
  <c r="BD138" i="1" s="1"/>
  <c r="BE136" i="1"/>
  <c r="BE138" i="1" s="1"/>
  <c r="BF136" i="1"/>
  <c r="BF138" i="1" s="1"/>
  <c r="BG136" i="1"/>
  <c r="BG138" i="1" s="1"/>
  <c r="BH136" i="1"/>
  <c r="BH138" i="1" s="1"/>
  <c r="BI136" i="1"/>
  <c r="BI138" i="1" s="1"/>
  <c r="BJ136" i="1"/>
  <c r="BJ138" i="1" s="1"/>
  <c r="BK136" i="1"/>
  <c r="BK138" i="1" s="1"/>
  <c r="BL136" i="1"/>
  <c r="BL138" i="1" s="1"/>
  <c r="BM136" i="1"/>
  <c r="BM138" i="1" s="1"/>
  <c r="BN136" i="1"/>
  <c r="BN138" i="1" s="1"/>
  <c r="BO136" i="1"/>
  <c r="BO138" i="1" s="1"/>
  <c r="BC137" i="1"/>
  <c r="BC139" i="1" s="1"/>
  <c r="BD137" i="1"/>
  <c r="BD139" i="1" s="1"/>
  <c r="BE137" i="1"/>
  <c r="BE139" i="1" s="1"/>
  <c r="BF137" i="1"/>
  <c r="BF139" i="1" s="1"/>
  <c r="BG137" i="1"/>
  <c r="BG139" i="1" s="1"/>
  <c r="BH137" i="1"/>
  <c r="BH139" i="1" s="1"/>
  <c r="BI137" i="1"/>
  <c r="BI139" i="1" s="1"/>
  <c r="BJ137" i="1"/>
  <c r="BJ139" i="1" s="1"/>
  <c r="BK137" i="1"/>
  <c r="BK139" i="1" s="1"/>
  <c r="BL137" i="1"/>
  <c r="BL139" i="1" s="1"/>
  <c r="BM137" i="1"/>
  <c r="BM139" i="1" s="1"/>
  <c r="BN137" i="1"/>
  <c r="BN139" i="1" s="1"/>
  <c r="BO137" i="1"/>
  <c r="BO139" i="1" s="1"/>
  <c r="BA136" i="1"/>
  <c r="BA138" i="1" s="1"/>
  <c r="BB136" i="1"/>
  <c r="BB138" i="1" s="1"/>
  <c r="BA137" i="1"/>
  <c r="BA139" i="1" s="1"/>
  <c r="BB137" i="1"/>
  <c r="BB139" i="1" s="1"/>
  <c r="AQ136" i="1"/>
  <c r="AQ138" i="1" s="1"/>
  <c r="AR136" i="1"/>
  <c r="AR138" i="1" s="1"/>
  <c r="AS136" i="1"/>
  <c r="AS138" i="1" s="1"/>
  <c r="AT136" i="1"/>
  <c r="AT138" i="1" s="1"/>
  <c r="AU136" i="1"/>
  <c r="AU138" i="1" s="1"/>
  <c r="AV136" i="1"/>
  <c r="AV138" i="1" s="1"/>
  <c r="AW136" i="1"/>
  <c r="AW138" i="1" s="1"/>
  <c r="AX136" i="1"/>
  <c r="AX138" i="1" s="1"/>
  <c r="AY136" i="1"/>
  <c r="AY138" i="1" s="1"/>
  <c r="AZ136" i="1"/>
  <c r="AZ138" i="1" s="1"/>
  <c r="AQ137" i="1"/>
  <c r="AQ139" i="1" s="1"/>
  <c r="AR137" i="1"/>
  <c r="AR139" i="1" s="1"/>
  <c r="AS137" i="1"/>
  <c r="AS139" i="1" s="1"/>
  <c r="AT137" i="1"/>
  <c r="AT139" i="1" s="1"/>
  <c r="AU137" i="1"/>
  <c r="AU139" i="1" s="1"/>
  <c r="AV137" i="1"/>
  <c r="AV139" i="1" s="1"/>
  <c r="AW137" i="1"/>
  <c r="AW139" i="1" s="1"/>
  <c r="AX137" i="1"/>
  <c r="AX139" i="1" s="1"/>
  <c r="AY137" i="1"/>
  <c r="AY139" i="1" s="1"/>
  <c r="AZ137" i="1"/>
  <c r="AZ139" i="1" s="1"/>
  <c r="AI136" i="1"/>
  <c r="AI138" i="1" s="1"/>
  <c r="AJ136" i="1"/>
  <c r="AJ138" i="1" s="1"/>
  <c r="AK136" i="1"/>
  <c r="AK138" i="1" s="1"/>
  <c r="AL136" i="1"/>
  <c r="AL138" i="1" s="1"/>
  <c r="AM136" i="1"/>
  <c r="AM138" i="1" s="1"/>
  <c r="AN136" i="1"/>
  <c r="AN138" i="1" s="1"/>
  <c r="AO136" i="1"/>
  <c r="AO138" i="1" s="1"/>
  <c r="AP136" i="1"/>
  <c r="AP138" i="1" s="1"/>
  <c r="AI137" i="1"/>
  <c r="AI139" i="1" s="1"/>
  <c r="AJ137" i="1"/>
  <c r="AJ139" i="1" s="1"/>
  <c r="AK137" i="1"/>
  <c r="AK139" i="1" s="1"/>
  <c r="AL137" i="1"/>
  <c r="AL139" i="1" s="1"/>
  <c r="AM137" i="1"/>
  <c r="AM139" i="1" s="1"/>
  <c r="AN137" i="1"/>
  <c r="AN139" i="1" s="1"/>
  <c r="AO137" i="1"/>
  <c r="AO139" i="1" s="1"/>
  <c r="AP137" i="1"/>
  <c r="AP139" i="1" s="1"/>
  <c r="AC136" i="1"/>
  <c r="AC138" i="1" s="1"/>
  <c r="AD136" i="1"/>
  <c r="AD138" i="1" s="1"/>
  <c r="AE136" i="1"/>
  <c r="AE138" i="1" s="1"/>
  <c r="AF136" i="1"/>
  <c r="AF138" i="1" s="1"/>
  <c r="AG136" i="1"/>
  <c r="AG138" i="1" s="1"/>
  <c r="AH136" i="1"/>
  <c r="AH138" i="1" s="1"/>
  <c r="AC137" i="1"/>
  <c r="AC139" i="1" s="1"/>
  <c r="AD137" i="1"/>
  <c r="AD139" i="1" s="1"/>
  <c r="AE137" i="1"/>
  <c r="AE139" i="1" s="1"/>
  <c r="AF137" i="1"/>
  <c r="AF139" i="1" s="1"/>
  <c r="AG137" i="1"/>
  <c r="AG139" i="1" s="1"/>
  <c r="AH137" i="1"/>
  <c r="AH139" i="1" s="1"/>
  <c r="W136" i="1"/>
  <c r="W138" i="1" s="1"/>
  <c r="X136" i="1"/>
  <c r="X138" i="1" s="1"/>
  <c r="Y136" i="1"/>
  <c r="Y138" i="1" s="1"/>
  <c r="Z136" i="1"/>
  <c r="Z138" i="1" s="1"/>
  <c r="AA136" i="1"/>
  <c r="AA138" i="1" s="1"/>
  <c r="AB136" i="1"/>
  <c r="AB138" i="1" s="1"/>
  <c r="W137" i="1"/>
  <c r="W139" i="1" s="1"/>
  <c r="X137" i="1"/>
  <c r="X139" i="1" s="1"/>
  <c r="Y137" i="1"/>
  <c r="Y139" i="1" s="1"/>
  <c r="Z137" i="1"/>
  <c r="Z139" i="1" s="1"/>
  <c r="AA137" i="1"/>
  <c r="AA139" i="1" s="1"/>
  <c r="AB137" i="1"/>
  <c r="AB139" i="1" s="1"/>
  <c r="P136" i="1"/>
  <c r="P138" i="1" s="1"/>
  <c r="Q136" i="1"/>
  <c r="Q138" i="1" s="1"/>
  <c r="R136" i="1"/>
  <c r="R138" i="1" s="1"/>
  <c r="S136" i="1"/>
  <c r="S138" i="1" s="1"/>
  <c r="T136" i="1"/>
  <c r="T138" i="1" s="1"/>
  <c r="U136" i="1"/>
  <c r="U138" i="1" s="1"/>
  <c r="V136" i="1"/>
  <c r="V138" i="1" s="1"/>
  <c r="P137" i="1"/>
  <c r="P139" i="1" s="1"/>
  <c r="Q137" i="1"/>
  <c r="Q139" i="1" s="1"/>
  <c r="R137" i="1"/>
  <c r="R139" i="1" s="1"/>
  <c r="S137" i="1"/>
  <c r="S139" i="1" s="1"/>
  <c r="T137" i="1"/>
  <c r="T139" i="1" s="1"/>
  <c r="U137" i="1"/>
  <c r="U139" i="1" s="1"/>
  <c r="V137" i="1"/>
  <c r="V139" i="1" s="1"/>
  <c r="G136" i="1"/>
  <c r="G138" i="1" s="1"/>
  <c r="H136" i="1"/>
  <c r="H138" i="1" s="1"/>
  <c r="I136" i="1"/>
  <c r="I138" i="1" s="1"/>
  <c r="J136" i="1"/>
  <c r="J138" i="1" s="1"/>
  <c r="K136" i="1"/>
  <c r="K138" i="1" s="1"/>
  <c r="L136" i="1"/>
  <c r="L138" i="1" s="1"/>
  <c r="M136" i="1"/>
  <c r="M138" i="1" s="1"/>
  <c r="N136" i="1"/>
  <c r="N138" i="1" s="1"/>
  <c r="O136" i="1"/>
  <c r="O138" i="1" s="1"/>
  <c r="G137" i="1"/>
  <c r="G139" i="1" s="1"/>
  <c r="H137" i="1"/>
  <c r="H139" i="1" s="1"/>
  <c r="I137" i="1"/>
  <c r="I139" i="1" s="1"/>
  <c r="J137" i="1"/>
  <c r="J139" i="1" s="1"/>
  <c r="K137" i="1"/>
  <c r="K139" i="1" s="1"/>
  <c r="L137" i="1"/>
  <c r="L139" i="1" s="1"/>
  <c r="M137" i="1"/>
  <c r="M139" i="1" s="1"/>
  <c r="N137" i="1"/>
  <c r="N139" i="1" s="1"/>
  <c r="O137" i="1"/>
  <c r="O139" i="1" s="1"/>
  <c r="F136" i="1"/>
  <c r="F138" i="1" s="1"/>
  <c r="F137" i="1"/>
  <c r="F139" i="1" s="1"/>
  <c r="E137" i="1"/>
  <c r="E139" i="1" s="1"/>
  <c r="E136" i="1"/>
  <c r="E138" i="1" s="1"/>
  <c r="BP3" i="1" l="1"/>
  <c r="BP4" i="1"/>
  <c r="BP5" i="1"/>
  <c r="BP6" i="1"/>
  <c r="BP7" i="1"/>
  <c r="BP8" i="1"/>
  <c r="BP9" i="1"/>
  <c r="BP37" i="1"/>
  <c r="BP10" i="1"/>
  <c r="BP22" i="1"/>
  <c r="BP24" i="1"/>
  <c r="BP25" i="1"/>
  <c r="BP12" i="1"/>
  <c r="BP13" i="1"/>
  <c r="BP14" i="1"/>
  <c r="BP15" i="1"/>
  <c r="BP16" i="1"/>
  <c r="BP17" i="1"/>
  <c r="BP18" i="1"/>
  <c r="BP19" i="1"/>
  <c r="BP20" i="1"/>
  <c r="BP45" i="1"/>
  <c r="BP27" i="1"/>
  <c r="BP28" i="1"/>
  <c r="BP26" i="1"/>
  <c r="BP36" i="1"/>
  <c r="BP52" i="1"/>
  <c r="BP11" i="1"/>
  <c r="BP29" i="1"/>
  <c r="BP30" i="1"/>
  <c r="BP31" i="1"/>
  <c r="BP33" i="1"/>
  <c r="BP34" i="1"/>
  <c r="BP43" i="1"/>
  <c r="BP35" i="1"/>
  <c r="BP21" i="1"/>
  <c r="BP73" i="1"/>
  <c r="BP72" i="1"/>
  <c r="BP38" i="1"/>
  <c r="BP39" i="1"/>
  <c r="BP40" i="1"/>
  <c r="BP41" i="1"/>
  <c r="BP42" i="1"/>
  <c r="BP90" i="1"/>
  <c r="BP23" i="1"/>
  <c r="BP51" i="1"/>
  <c r="BP44" i="1"/>
  <c r="BP47" i="1"/>
  <c r="BP48" i="1"/>
  <c r="BP46" i="1"/>
  <c r="BP49" i="1"/>
  <c r="BP53" i="1"/>
  <c r="BP54" i="1"/>
  <c r="BP60" i="1"/>
  <c r="BP55" i="1"/>
  <c r="BP59" i="1"/>
  <c r="BP61" i="1"/>
  <c r="BP63" i="1"/>
  <c r="BP64" i="1"/>
  <c r="BP65" i="1"/>
  <c r="BP66" i="1"/>
  <c r="BP67" i="1"/>
  <c r="BP68" i="1"/>
  <c r="BP69" i="1"/>
  <c r="BP74" i="1"/>
  <c r="BP70" i="1"/>
  <c r="BP75" i="1"/>
  <c r="BP76" i="1"/>
  <c r="BP77" i="1"/>
  <c r="BP71" i="1"/>
  <c r="BP79" i="1"/>
  <c r="BP50" i="1"/>
  <c r="BP83" i="1"/>
  <c r="BP78" i="1"/>
  <c r="BP84" i="1"/>
  <c r="BP85" i="1"/>
  <c r="BP62" i="1"/>
  <c r="BP86" i="1"/>
  <c r="BP56" i="1"/>
  <c r="BP57" i="1"/>
  <c r="BP58" i="1"/>
  <c r="BP82" i="1"/>
  <c r="BP87" i="1"/>
  <c r="BP88" i="1"/>
  <c r="BP89" i="1"/>
  <c r="BP123" i="1"/>
  <c r="BP92" i="1"/>
  <c r="BP93" i="1"/>
  <c r="BP94" i="1"/>
  <c r="BP95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80" i="1"/>
  <c r="BP81" i="1"/>
  <c r="BP113" i="1"/>
  <c r="BP114" i="1"/>
  <c r="BP115" i="1"/>
  <c r="BP116" i="1"/>
  <c r="BP91" i="1"/>
  <c r="BP117" i="1"/>
  <c r="BP118" i="1"/>
  <c r="BP119" i="1"/>
  <c r="BP120" i="1"/>
  <c r="BP121" i="1"/>
  <c r="BP122" i="1"/>
  <c r="BP125" i="1"/>
  <c r="BP96" i="1"/>
  <c r="BP124" i="1"/>
  <c r="BP126" i="1"/>
  <c r="BP127" i="1"/>
  <c r="BP128" i="1"/>
  <c r="BP129" i="1"/>
  <c r="BP130" i="1"/>
  <c r="BP131" i="1"/>
  <c r="BP132" i="1"/>
  <c r="CS129" i="1" l="1"/>
  <c r="CS3" i="1" l="1"/>
  <c r="CS4" i="1"/>
  <c r="CS5" i="1"/>
  <c r="CS71" i="1"/>
  <c r="CS44" i="1"/>
  <c r="CS9" i="1"/>
  <c r="CS12" i="1"/>
  <c r="CS13" i="1"/>
  <c r="CS14" i="1"/>
  <c r="CS15" i="1"/>
  <c r="CS16" i="1"/>
  <c r="CS17" i="1"/>
  <c r="CS18" i="1"/>
  <c r="CS43" i="1"/>
  <c r="CS37" i="1"/>
  <c r="CS46" i="1"/>
  <c r="CS24" i="1"/>
  <c r="CS25" i="1"/>
  <c r="CS51" i="1"/>
  <c r="CS90" i="1"/>
  <c r="CS27" i="1"/>
  <c r="CS59" i="1"/>
  <c r="CS11" i="1"/>
  <c r="CS31" i="1"/>
  <c r="CS33" i="1"/>
  <c r="CS34" i="1"/>
  <c r="CS70" i="1"/>
  <c r="CS79" i="1"/>
  <c r="CS23" i="1"/>
  <c r="CS29" i="1"/>
  <c r="CS45" i="1"/>
  <c r="CS47" i="1"/>
  <c r="CS48" i="1"/>
  <c r="CS50" i="1"/>
  <c r="CS76" i="1"/>
  <c r="CS77" i="1"/>
  <c r="CS78" i="1"/>
  <c r="CS60" i="1"/>
  <c r="CS61" i="1"/>
  <c r="CS96" i="1"/>
  <c r="CS62" i="1"/>
  <c r="CS22" i="1"/>
  <c r="CS87" i="1"/>
  <c r="CS125" i="1"/>
  <c r="CS94" i="1"/>
  <c r="CS92" i="1"/>
  <c r="CS130" i="1"/>
  <c r="CS126" i="1"/>
  <c r="CS2" i="1"/>
  <c r="CS133" i="1" l="1"/>
  <c r="BP2" i="1" l="1"/>
  <c r="BM133" i="1" l="1"/>
  <c r="BM135" i="1" s="1"/>
  <c r="AM133" i="1"/>
  <c r="AM135" i="1" s="1"/>
  <c r="L133" i="1"/>
  <c r="L135" i="1" s="1"/>
  <c r="AY133" i="1"/>
  <c r="BK133" i="1"/>
  <c r="BK135" i="1" s="1"/>
  <c r="AJ133" i="1"/>
  <c r="AJ135" i="1" s="1"/>
  <c r="AW133" i="1"/>
  <c r="BH133" i="1"/>
  <c r="BH135" i="1" s="1"/>
  <c r="AU133" i="1"/>
  <c r="AH133" i="1"/>
  <c r="AH135" i="1" s="1"/>
  <c r="AL133" i="1"/>
  <c r="AL135" i="1" s="1"/>
  <c r="BD133" i="1"/>
  <c r="BD135" i="1" s="1"/>
  <c r="BA133" i="1"/>
  <c r="BL133" i="1"/>
  <c r="BL135" i="1" s="1"/>
  <c r="AZ133" i="1"/>
  <c r="J133" i="1"/>
  <c r="J135" i="1" s="1"/>
  <c r="H133" i="1"/>
  <c r="H135" i="1" s="1"/>
  <c r="G133" i="1"/>
  <c r="G135" i="1" s="1"/>
  <c r="BG133" i="1"/>
  <c r="BG135" i="1" s="1"/>
  <c r="AQ133" i="1"/>
  <c r="AE133" i="1"/>
  <c r="AE135" i="1" s="1"/>
  <c r="F133" i="1"/>
  <c r="F135" i="1" s="1"/>
  <c r="BB133" i="1"/>
  <c r="BJ133" i="1"/>
  <c r="BJ135" i="1" s="1"/>
  <c r="AX133" i="1"/>
  <c r="AI133" i="1"/>
  <c r="AI135" i="1" s="1"/>
  <c r="I133" i="1"/>
  <c r="I135" i="1" s="1"/>
  <c r="AG133" i="1"/>
  <c r="AG135" i="1" s="1"/>
  <c r="BE133" i="1"/>
  <c r="BE135" i="1" s="1"/>
  <c r="AF133" i="1"/>
  <c r="AF135" i="1" s="1"/>
  <c r="BF133" i="1"/>
  <c r="BF135" i="1" s="1"/>
  <c r="AS133" i="1"/>
  <c r="O133" i="1"/>
  <c r="O135" i="1" s="1"/>
  <c r="BO133" i="1"/>
  <c r="BO135" i="1" s="1"/>
  <c r="AR133" i="1"/>
  <c r="N133" i="1"/>
  <c r="N135" i="1" s="1"/>
  <c r="K133" i="1"/>
  <c r="K135" i="1" s="1"/>
  <c r="AK133" i="1"/>
  <c r="AK135" i="1" s="1"/>
  <c r="BI133" i="1"/>
  <c r="BI135" i="1" s="1"/>
  <c r="AT133" i="1"/>
  <c r="AV133" i="1"/>
  <c r="E133" i="1"/>
  <c r="E135" i="1" s="1"/>
  <c r="BN133" i="1"/>
  <c r="BN135" i="1" s="1"/>
  <c r="AN133" i="1"/>
  <c r="AN135" i="1" s="1"/>
  <c r="M133" i="1"/>
  <c r="M135" i="1" s="1"/>
  <c r="AP133" i="1"/>
  <c r="AP135" i="1" s="1"/>
  <c r="BC133" i="1"/>
  <c r="BC135" i="1" s="1"/>
  <c r="AO133" i="1"/>
  <c r="AO135" i="1" s="1"/>
  <c r="V133" i="1"/>
  <c r="V135" i="1" s="1"/>
  <c r="Y133" i="1"/>
  <c r="Y135" i="1" s="1"/>
  <c r="W133" i="1"/>
  <c r="W135" i="1" s="1"/>
  <c r="S133" i="1"/>
  <c r="S135" i="1" s="1"/>
  <c r="X133" i="1"/>
  <c r="X135" i="1" s="1"/>
  <c r="R133" i="1"/>
  <c r="R135" i="1" s="1"/>
  <c r="Z133" i="1"/>
  <c r="Z135" i="1" s="1"/>
  <c r="U133" i="1"/>
  <c r="U135" i="1" s="1"/>
  <c r="T133" i="1"/>
  <c r="T135" i="1" s="1"/>
  <c r="AC133" i="1"/>
  <c r="AC135" i="1" s="1"/>
  <c r="Q133" i="1"/>
  <c r="Q135" i="1" s="1"/>
  <c r="AB133" i="1"/>
  <c r="AB135" i="1" s="1"/>
  <c r="P133" i="1"/>
  <c r="P135" i="1" s="1"/>
  <c r="AA133" i="1"/>
  <c r="AA135" i="1" s="1"/>
  <c r="AD133" i="1"/>
  <c r="AD135" i="1" s="1"/>
  <c r="AR135" i="1" l="1"/>
  <c r="BU37" i="1"/>
  <c r="BU19" i="1"/>
  <c r="BU33" i="1"/>
  <c r="BU90" i="1"/>
  <c r="BU59" i="1"/>
  <c r="BU76" i="1"/>
  <c r="BU5" i="1"/>
  <c r="BU14" i="1"/>
  <c r="BU52" i="1"/>
  <c r="BU38" i="1"/>
  <c r="BU49" i="1"/>
  <c r="BU68" i="1"/>
  <c r="BU57" i="1"/>
  <c r="BU123" i="1"/>
  <c r="BU92" i="1"/>
  <c r="BU93" i="1"/>
  <c r="BU94" i="1"/>
  <c r="BU95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80" i="1"/>
  <c r="BU81" i="1"/>
  <c r="BU113" i="1"/>
  <c r="BU114" i="1"/>
  <c r="BU115" i="1"/>
  <c r="BU116" i="1"/>
  <c r="BU91" i="1"/>
  <c r="BU117" i="1"/>
  <c r="BU118" i="1"/>
  <c r="BU119" i="1"/>
  <c r="BU120" i="1"/>
  <c r="BU22" i="1"/>
  <c r="BU45" i="1"/>
  <c r="BU43" i="1"/>
  <c r="BU51" i="1"/>
  <c r="BU63" i="1"/>
  <c r="BU71" i="1"/>
  <c r="BU9" i="1"/>
  <c r="BU18" i="1"/>
  <c r="BU31" i="1"/>
  <c r="BU42" i="1"/>
  <c r="BU55" i="1"/>
  <c r="BU75" i="1"/>
  <c r="BU86" i="1"/>
  <c r="BU88" i="1"/>
  <c r="BU4" i="1"/>
  <c r="BU13" i="1"/>
  <c r="BU36" i="1"/>
  <c r="BU72" i="1"/>
  <c r="BU46" i="1"/>
  <c r="BU67" i="1"/>
  <c r="BU10" i="1"/>
  <c r="BU20" i="1"/>
  <c r="BU34" i="1"/>
  <c r="BU23" i="1"/>
  <c r="BU61" i="1"/>
  <c r="BU77" i="1"/>
  <c r="BU78" i="1"/>
  <c r="BU62" i="1"/>
  <c r="BU87" i="1"/>
  <c r="BU6" i="1"/>
  <c r="BU15" i="1"/>
  <c r="BU11" i="1"/>
  <c r="BU39" i="1"/>
  <c r="BU53" i="1"/>
  <c r="BU69" i="1"/>
  <c r="BU7" i="1"/>
  <c r="BU12" i="1"/>
  <c r="BU41" i="1"/>
  <c r="BU79" i="1"/>
  <c r="BU3" i="1"/>
  <c r="BU17" i="1"/>
  <c r="BU44" i="1"/>
  <c r="BU65" i="1"/>
  <c r="BU96" i="1"/>
  <c r="BU126" i="1"/>
  <c r="BU128" i="1"/>
  <c r="BU132" i="1"/>
  <c r="BU8" i="1"/>
  <c r="BU35" i="1"/>
  <c r="BU89" i="1"/>
  <c r="BU122" i="1"/>
  <c r="BU124" i="1"/>
  <c r="BU127" i="1"/>
  <c r="BU131" i="1"/>
  <c r="BU27" i="1"/>
  <c r="BU50" i="1"/>
  <c r="BU56" i="1"/>
  <c r="BU82" i="1"/>
  <c r="BU130" i="1"/>
  <c r="BU24" i="1"/>
  <c r="BU85" i="1"/>
  <c r="BU125" i="1"/>
  <c r="BU129" i="1"/>
  <c r="BU47" i="1"/>
  <c r="BU121" i="1"/>
  <c r="BU21" i="1"/>
  <c r="BU74" i="1"/>
  <c r="BU83" i="1"/>
  <c r="BU28" i="1"/>
  <c r="BU54" i="1"/>
  <c r="BU66" i="1"/>
  <c r="BU25" i="1"/>
  <c r="BU40" i="1"/>
  <c r="BU48" i="1"/>
  <c r="BU29" i="1"/>
  <c r="BU73" i="1"/>
  <c r="BU70" i="1"/>
  <c r="BU16" i="1"/>
  <c r="BU26" i="1"/>
  <c r="BU60" i="1"/>
  <c r="BU84" i="1"/>
  <c r="BU58" i="1"/>
  <c r="BU30" i="1"/>
  <c r="BU64" i="1"/>
  <c r="BU2" i="1"/>
  <c r="AU135" i="1"/>
  <c r="BX3" i="1"/>
  <c r="BX4" i="1"/>
  <c r="BX5" i="1"/>
  <c r="BX6" i="1"/>
  <c r="BX7" i="1"/>
  <c r="BX8" i="1"/>
  <c r="BX9" i="1"/>
  <c r="BX37" i="1"/>
  <c r="BX10" i="1"/>
  <c r="BX22" i="1"/>
  <c r="BX24" i="1"/>
  <c r="BX25" i="1"/>
  <c r="BX12" i="1"/>
  <c r="BX13" i="1"/>
  <c r="BX14" i="1"/>
  <c r="BX15" i="1"/>
  <c r="BX16" i="1"/>
  <c r="BX17" i="1"/>
  <c r="BX18" i="1"/>
  <c r="BX19" i="1"/>
  <c r="BX20" i="1"/>
  <c r="BX45" i="1"/>
  <c r="BX27" i="1"/>
  <c r="BX28" i="1"/>
  <c r="BX26" i="1"/>
  <c r="BX36" i="1"/>
  <c r="BX52" i="1"/>
  <c r="BX11" i="1"/>
  <c r="BX29" i="1"/>
  <c r="BX30" i="1"/>
  <c r="BX31" i="1"/>
  <c r="BX33" i="1"/>
  <c r="BX34" i="1"/>
  <c r="BX43" i="1"/>
  <c r="BX35" i="1"/>
  <c r="BX21" i="1"/>
  <c r="BX73" i="1"/>
  <c r="BX72" i="1"/>
  <c r="BX38" i="1"/>
  <c r="BX39" i="1"/>
  <c r="BX40" i="1"/>
  <c r="BX41" i="1"/>
  <c r="BX42" i="1"/>
  <c r="BX90" i="1"/>
  <c r="BX23" i="1"/>
  <c r="BX51" i="1"/>
  <c r="BX44" i="1"/>
  <c r="BX47" i="1"/>
  <c r="BX48" i="1"/>
  <c r="BX46" i="1"/>
  <c r="BX49" i="1"/>
  <c r="BX53" i="1"/>
  <c r="BX54" i="1"/>
  <c r="BX60" i="1"/>
  <c r="BX55" i="1"/>
  <c r="BX59" i="1"/>
  <c r="BX61" i="1"/>
  <c r="BX63" i="1"/>
  <c r="BX64" i="1"/>
  <c r="BX65" i="1"/>
  <c r="BX66" i="1"/>
  <c r="BX67" i="1"/>
  <c r="BX68" i="1"/>
  <c r="BX69" i="1"/>
  <c r="BX74" i="1"/>
  <c r="BX70" i="1"/>
  <c r="BX75" i="1"/>
  <c r="BX76" i="1"/>
  <c r="BX77" i="1"/>
  <c r="BX71" i="1"/>
  <c r="BX79" i="1"/>
  <c r="BX50" i="1"/>
  <c r="BX83" i="1"/>
  <c r="BX85" i="1"/>
  <c r="BX58" i="1"/>
  <c r="BX84" i="1"/>
  <c r="BX56" i="1"/>
  <c r="BX89" i="1"/>
  <c r="BX86" i="1"/>
  <c r="BX88" i="1"/>
  <c r="BX97" i="1"/>
  <c r="BX109" i="1"/>
  <c r="BX111" i="1"/>
  <c r="BX94" i="1"/>
  <c r="BX107" i="1"/>
  <c r="BX80" i="1"/>
  <c r="BX114" i="1"/>
  <c r="BX119" i="1"/>
  <c r="BX100" i="1"/>
  <c r="BX91" i="1"/>
  <c r="BX98" i="1"/>
  <c r="BX110" i="1"/>
  <c r="BX92" i="1"/>
  <c r="BX105" i="1"/>
  <c r="BX82" i="1"/>
  <c r="BX103" i="1"/>
  <c r="BX95" i="1"/>
  <c r="BX108" i="1"/>
  <c r="BX112" i="1"/>
  <c r="BX113" i="1"/>
  <c r="BX62" i="1"/>
  <c r="BX101" i="1"/>
  <c r="BX122" i="1"/>
  <c r="BX125" i="1"/>
  <c r="BX96" i="1"/>
  <c r="BX124" i="1"/>
  <c r="BX126" i="1"/>
  <c r="BX127" i="1"/>
  <c r="BX128" i="1"/>
  <c r="BX129" i="1"/>
  <c r="BX130" i="1"/>
  <c r="BX131" i="1"/>
  <c r="BX132" i="1"/>
  <c r="BX117" i="1"/>
  <c r="BX57" i="1"/>
  <c r="BX87" i="1"/>
  <c r="BX93" i="1"/>
  <c r="BX106" i="1"/>
  <c r="BX121" i="1"/>
  <c r="BX104" i="1"/>
  <c r="BX81" i="1"/>
  <c r="BX120" i="1"/>
  <c r="BX78" i="1"/>
  <c r="BX99" i="1"/>
  <c r="BX123" i="1"/>
  <c r="BX115" i="1"/>
  <c r="BX102" i="1"/>
  <c r="BX116" i="1"/>
  <c r="BX118" i="1"/>
  <c r="BX2" i="1"/>
  <c r="BB135" i="1"/>
  <c r="CE10" i="1"/>
  <c r="CE20" i="1"/>
  <c r="CE34" i="1"/>
  <c r="CE23" i="1"/>
  <c r="CE61" i="1"/>
  <c r="CE77" i="1"/>
  <c r="CE6" i="1"/>
  <c r="CE15" i="1"/>
  <c r="CE11" i="1"/>
  <c r="CE39" i="1"/>
  <c r="CE53" i="1"/>
  <c r="CE69" i="1"/>
  <c r="CE78" i="1"/>
  <c r="CE86" i="1"/>
  <c r="CE88" i="1"/>
  <c r="CE24" i="1"/>
  <c r="CE27" i="1"/>
  <c r="CE35" i="1"/>
  <c r="CE44" i="1"/>
  <c r="CE64" i="1"/>
  <c r="CE79" i="1"/>
  <c r="CE37" i="1"/>
  <c r="CE19" i="1"/>
  <c r="CE33" i="1"/>
  <c r="CE90" i="1"/>
  <c r="CE59" i="1"/>
  <c r="CE76" i="1"/>
  <c r="CE83" i="1"/>
  <c r="CE85" i="1"/>
  <c r="CE82" i="1"/>
  <c r="CE5" i="1"/>
  <c r="CE14" i="1"/>
  <c r="CE52" i="1"/>
  <c r="CE38" i="1"/>
  <c r="CE49" i="1"/>
  <c r="CE68" i="1"/>
  <c r="CE22" i="1"/>
  <c r="CE45" i="1"/>
  <c r="CE43" i="1"/>
  <c r="CE51" i="1"/>
  <c r="CE63" i="1"/>
  <c r="CE71" i="1"/>
  <c r="CE58" i="1"/>
  <c r="CE7" i="1"/>
  <c r="CE16" i="1"/>
  <c r="CE29" i="1"/>
  <c r="CE40" i="1"/>
  <c r="CE54" i="1"/>
  <c r="CE74" i="1"/>
  <c r="CE73" i="1"/>
  <c r="CE70" i="1"/>
  <c r="CE87" i="1"/>
  <c r="CE93" i="1"/>
  <c r="CE112" i="1"/>
  <c r="CE113" i="1"/>
  <c r="CE26" i="1"/>
  <c r="CE12" i="1"/>
  <c r="CE41" i="1"/>
  <c r="CE46" i="1"/>
  <c r="CE123" i="1"/>
  <c r="CE104" i="1"/>
  <c r="CE109" i="1"/>
  <c r="CE121" i="1"/>
  <c r="CE122" i="1"/>
  <c r="CE125" i="1"/>
  <c r="CE124" i="1"/>
  <c r="CE126" i="1"/>
  <c r="CE128" i="1"/>
  <c r="CE129" i="1"/>
  <c r="CE131" i="1"/>
  <c r="CE132" i="1"/>
  <c r="CE50" i="1"/>
  <c r="CE94" i="1"/>
  <c r="CE107" i="1"/>
  <c r="CE111" i="1"/>
  <c r="CE120" i="1"/>
  <c r="CE3" i="1"/>
  <c r="CE30" i="1"/>
  <c r="CE72" i="1"/>
  <c r="CE75" i="1"/>
  <c r="CE84" i="1"/>
  <c r="CE97" i="1"/>
  <c r="CE96" i="1"/>
  <c r="CE127" i="1"/>
  <c r="CE130" i="1"/>
  <c r="CE13" i="1"/>
  <c r="CE17" i="1"/>
  <c r="CE36" i="1"/>
  <c r="CE55" i="1"/>
  <c r="CE102" i="1"/>
  <c r="CE81" i="1"/>
  <c r="CE115" i="1"/>
  <c r="CE117" i="1"/>
  <c r="CE8" i="1"/>
  <c r="CE42" i="1"/>
  <c r="CE4" i="1"/>
  <c r="CE31" i="1"/>
  <c r="CE65" i="1"/>
  <c r="CE100" i="1"/>
  <c r="CE18" i="1"/>
  <c r="CE47" i="1"/>
  <c r="CE9" i="1"/>
  <c r="CE21" i="1"/>
  <c r="CE56" i="1"/>
  <c r="CE98" i="1"/>
  <c r="CE80" i="1"/>
  <c r="CE114" i="1"/>
  <c r="CE91" i="1"/>
  <c r="CE119" i="1"/>
  <c r="CE57" i="1"/>
  <c r="CE101" i="1"/>
  <c r="CE116" i="1"/>
  <c r="CE28" i="1"/>
  <c r="CE89" i="1"/>
  <c r="CE103" i="1"/>
  <c r="CE106" i="1"/>
  <c r="CE25" i="1"/>
  <c r="CE66" i="1"/>
  <c r="CE95" i="1"/>
  <c r="CE108" i="1"/>
  <c r="CE110" i="1"/>
  <c r="CE48" i="1"/>
  <c r="CE62" i="1"/>
  <c r="CE118" i="1"/>
  <c r="CE67" i="1"/>
  <c r="CE105" i="1"/>
  <c r="CE99" i="1"/>
  <c r="CE92" i="1"/>
  <c r="CE60" i="1"/>
  <c r="CE2" i="1"/>
  <c r="AS135" i="1"/>
  <c r="BV3" i="1"/>
  <c r="BV12" i="1"/>
  <c r="BV26" i="1"/>
  <c r="BV73" i="1"/>
  <c r="BV48" i="1"/>
  <c r="BV66" i="1"/>
  <c r="BV83" i="1"/>
  <c r="BV85" i="1"/>
  <c r="BV58" i="1"/>
  <c r="BV37" i="1"/>
  <c r="BV19" i="1"/>
  <c r="BV33" i="1"/>
  <c r="BV90" i="1"/>
  <c r="BV59" i="1"/>
  <c r="BV76" i="1"/>
  <c r="BV5" i="1"/>
  <c r="BV14" i="1"/>
  <c r="BV52" i="1"/>
  <c r="BV38" i="1"/>
  <c r="BV49" i="1"/>
  <c r="BV68" i="1"/>
  <c r="BV57" i="1"/>
  <c r="BV123" i="1"/>
  <c r="BV92" i="1"/>
  <c r="BV93" i="1"/>
  <c r="BV94" i="1"/>
  <c r="BV95" i="1"/>
  <c r="BV97" i="1"/>
  <c r="BV98" i="1"/>
  <c r="BV99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25" i="1"/>
  <c r="BV28" i="1"/>
  <c r="BV21" i="1"/>
  <c r="BV47" i="1"/>
  <c r="BV65" i="1"/>
  <c r="BV50" i="1"/>
  <c r="BV9" i="1"/>
  <c r="BV18" i="1"/>
  <c r="BV31" i="1"/>
  <c r="BV42" i="1"/>
  <c r="BV55" i="1"/>
  <c r="BV75" i="1"/>
  <c r="BV86" i="1"/>
  <c r="BV88" i="1"/>
  <c r="BV4" i="1"/>
  <c r="BV13" i="1"/>
  <c r="BV36" i="1"/>
  <c r="BV72" i="1"/>
  <c r="BV46" i="1"/>
  <c r="BV67" i="1"/>
  <c r="BV10" i="1"/>
  <c r="BV20" i="1"/>
  <c r="BV34" i="1"/>
  <c r="BV23" i="1"/>
  <c r="BV61" i="1"/>
  <c r="BV77" i="1"/>
  <c r="BV78" i="1"/>
  <c r="BV62" i="1"/>
  <c r="BV87" i="1"/>
  <c r="BV16" i="1"/>
  <c r="BV51" i="1"/>
  <c r="BV60" i="1"/>
  <c r="BV45" i="1"/>
  <c r="BV30" i="1"/>
  <c r="BV64" i="1"/>
  <c r="BV84" i="1"/>
  <c r="BV56" i="1"/>
  <c r="BV82" i="1"/>
  <c r="BV113" i="1"/>
  <c r="BV118" i="1"/>
  <c r="BV22" i="1"/>
  <c r="BV17" i="1"/>
  <c r="BV44" i="1"/>
  <c r="BV116" i="1"/>
  <c r="BV8" i="1"/>
  <c r="BV35" i="1"/>
  <c r="BV69" i="1"/>
  <c r="BV27" i="1"/>
  <c r="BV53" i="1"/>
  <c r="BV24" i="1"/>
  <c r="BV39" i="1"/>
  <c r="BV89" i="1"/>
  <c r="BV122" i="1"/>
  <c r="BV125" i="1"/>
  <c r="BV96" i="1"/>
  <c r="BV124" i="1"/>
  <c r="BV126" i="1"/>
  <c r="BV127" i="1"/>
  <c r="BV128" i="1"/>
  <c r="BV129" i="1"/>
  <c r="BV130" i="1"/>
  <c r="BV131" i="1"/>
  <c r="BV132" i="1"/>
  <c r="BV11" i="1"/>
  <c r="BV15" i="1"/>
  <c r="BV74" i="1"/>
  <c r="BV63" i="1"/>
  <c r="BV6" i="1"/>
  <c r="BV54" i="1"/>
  <c r="BV81" i="1"/>
  <c r="BV115" i="1"/>
  <c r="BV117" i="1"/>
  <c r="BV120" i="1"/>
  <c r="BV40" i="1"/>
  <c r="BV71" i="1"/>
  <c r="BV29" i="1"/>
  <c r="BV70" i="1"/>
  <c r="BV7" i="1"/>
  <c r="BV41" i="1"/>
  <c r="BV79" i="1"/>
  <c r="BV91" i="1"/>
  <c r="BV43" i="1"/>
  <c r="BV119" i="1"/>
  <c r="BV80" i="1"/>
  <c r="BV121" i="1"/>
  <c r="BV114" i="1"/>
  <c r="BV2" i="1"/>
  <c r="AW135" i="1"/>
  <c r="BZ24" i="1"/>
  <c r="BZ27" i="1"/>
  <c r="BZ35" i="1"/>
  <c r="BZ44" i="1"/>
  <c r="BZ64" i="1"/>
  <c r="BZ79" i="1"/>
  <c r="BZ8" i="1"/>
  <c r="BZ17" i="1"/>
  <c r="BZ30" i="1"/>
  <c r="BZ41" i="1"/>
  <c r="BZ60" i="1"/>
  <c r="BZ70" i="1"/>
  <c r="BZ82" i="1"/>
  <c r="BZ3" i="1"/>
  <c r="BZ12" i="1"/>
  <c r="BZ26" i="1"/>
  <c r="BZ73" i="1"/>
  <c r="BZ48" i="1"/>
  <c r="BZ66" i="1"/>
  <c r="BZ22" i="1"/>
  <c r="BZ45" i="1"/>
  <c r="BZ43" i="1"/>
  <c r="BZ51" i="1"/>
  <c r="BZ63" i="1"/>
  <c r="BZ71" i="1"/>
  <c r="BZ57" i="1"/>
  <c r="BZ7" i="1"/>
  <c r="BZ16" i="1"/>
  <c r="BZ29" i="1"/>
  <c r="BZ40" i="1"/>
  <c r="BZ54" i="1"/>
  <c r="BZ74" i="1"/>
  <c r="BZ123" i="1"/>
  <c r="BZ92" i="1"/>
  <c r="BZ93" i="1"/>
  <c r="BZ94" i="1"/>
  <c r="BZ95" i="1"/>
  <c r="BZ97" i="1"/>
  <c r="BZ98" i="1"/>
  <c r="BZ99" i="1"/>
  <c r="BZ100" i="1"/>
  <c r="BZ101" i="1"/>
  <c r="BZ102" i="1"/>
  <c r="BZ103" i="1"/>
  <c r="BZ104" i="1"/>
  <c r="BZ105" i="1"/>
  <c r="BZ106" i="1"/>
  <c r="BZ107" i="1"/>
  <c r="BZ108" i="1"/>
  <c r="BZ109" i="1"/>
  <c r="BZ110" i="1"/>
  <c r="BZ111" i="1"/>
  <c r="BZ112" i="1"/>
  <c r="BZ80" i="1"/>
  <c r="BZ81" i="1"/>
  <c r="BZ113" i="1"/>
  <c r="BZ114" i="1"/>
  <c r="BZ115" i="1"/>
  <c r="BZ116" i="1"/>
  <c r="BZ91" i="1"/>
  <c r="BZ117" i="1"/>
  <c r="BZ118" i="1"/>
  <c r="BZ119" i="1"/>
  <c r="BZ25" i="1"/>
  <c r="BZ28" i="1"/>
  <c r="BZ21" i="1"/>
  <c r="BZ47" i="1"/>
  <c r="BZ65" i="1"/>
  <c r="BZ50" i="1"/>
  <c r="BZ84" i="1"/>
  <c r="BZ56" i="1"/>
  <c r="BZ89" i="1"/>
  <c r="BZ9" i="1"/>
  <c r="BZ18" i="1"/>
  <c r="BZ31" i="1"/>
  <c r="BZ42" i="1"/>
  <c r="BZ55" i="1"/>
  <c r="BZ75" i="1"/>
  <c r="BZ20" i="1"/>
  <c r="BZ46" i="1"/>
  <c r="BZ78" i="1"/>
  <c r="BZ36" i="1"/>
  <c r="BZ58" i="1"/>
  <c r="BZ88" i="1"/>
  <c r="BZ13" i="1"/>
  <c r="BZ68" i="1"/>
  <c r="BZ76" i="1"/>
  <c r="BZ4" i="1"/>
  <c r="BZ49" i="1"/>
  <c r="BZ38" i="1"/>
  <c r="BZ52" i="1"/>
  <c r="BZ59" i="1"/>
  <c r="BZ69" i="1"/>
  <c r="BZ85" i="1"/>
  <c r="BZ14" i="1"/>
  <c r="BZ90" i="1"/>
  <c r="BZ53" i="1"/>
  <c r="BZ5" i="1"/>
  <c r="BZ33" i="1"/>
  <c r="BZ39" i="1"/>
  <c r="BZ77" i="1"/>
  <c r="BZ83" i="1"/>
  <c r="BZ19" i="1"/>
  <c r="BZ11" i="1"/>
  <c r="BZ61" i="1"/>
  <c r="BZ67" i="1"/>
  <c r="BZ87" i="1"/>
  <c r="BZ120" i="1"/>
  <c r="BZ37" i="1"/>
  <c r="BZ15" i="1"/>
  <c r="BZ23" i="1"/>
  <c r="BZ62" i="1"/>
  <c r="BZ121" i="1"/>
  <c r="BZ122" i="1"/>
  <c r="BZ125" i="1"/>
  <c r="BZ96" i="1"/>
  <c r="BZ124" i="1"/>
  <c r="BZ126" i="1"/>
  <c r="BZ127" i="1"/>
  <c r="BZ128" i="1"/>
  <c r="BZ129" i="1"/>
  <c r="BZ130" i="1"/>
  <c r="BZ131" i="1"/>
  <c r="BZ132" i="1"/>
  <c r="BZ6" i="1"/>
  <c r="BZ34" i="1"/>
  <c r="BZ10" i="1"/>
  <c r="BZ86" i="1"/>
  <c r="BZ72" i="1"/>
  <c r="BZ2" i="1"/>
  <c r="AT135" i="1"/>
  <c r="BW3" i="1"/>
  <c r="BW4" i="1"/>
  <c r="BW5" i="1"/>
  <c r="BW6" i="1"/>
  <c r="BW7" i="1"/>
  <c r="BW8" i="1"/>
  <c r="BW9" i="1"/>
  <c r="BW37" i="1"/>
  <c r="BW10" i="1"/>
  <c r="BW22" i="1"/>
  <c r="BW24" i="1"/>
  <c r="BW25" i="1"/>
  <c r="BW12" i="1"/>
  <c r="BW13" i="1"/>
  <c r="BW14" i="1"/>
  <c r="BW15" i="1"/>
  <c r="BW16" i="1"/>
  <c r="BW17" i="1"/>
  <c r="BW18" i="1"/>
  <c r="BW19" i="1"/>
  <c r="BW20" i="1"/>
  <c r="BW45" i="1"/>
  <c r="BW27" i="1"/>
  <c r="BW28" i="1"/>
  <c r="BW26" i="1"/>
  <c r="BW36" i="1"/>
  <c r="BW52" i="1"/>
  <c r="BW11" i="1"/>
  <c r="BW29" i="1"/>
  <c r="BW30" i="1"/>
  <c r="BW31" i="1"/>
  <c r="BW33" i="1"/>
  <c r="BW34" i="1"/>
  <c r="BW43" i="1"/>
  <c r="BW35" i="1"/>
  <c r="BW21" i="1"/>
  <c r="BW73" i="1"/>
  <c r="BW72" i="1"/>
  <c r="BW38" i="1"/>
  <c r="BW39" i="1"/>
  <c r="BW40" i="1"/>
  <c r="BW41" i="1"/>
  <c r="BW42" i="1"/>
  <c r="BW90" i="1"/>
  <c r="BW23" i="1"/>
  <c r="BW51" i="1"/>
  <c r="BW44" i="1"/>
  <c r="BW47" i="1"/>
  <c r="BW48" i="1"/>
  <c r="BW46" i="1"/>
  <c r="BW49" i="1"/>
  <c r="BW53" i="1"/>
  <c r="BW54" i="1"/>
  <c r="BW60" i="1"/>
  <c r="BW55" i="1"/>
  <c r="BW59" i="1"/>
  <c r="BW61" i="1"/>
  <c r="BW63" i="1"/>
  <c r="BW64" i="1"/>
  <c r="BW65" i="1"/>
  <c r="BW66" i="1"/>
  <c r="BW67" i="1"/>
  <c r="BW68" i="1"/>
  <c r="BW69" i="1"/>
  <c r="BW74" i="1"/>
  <c r="BW70" i="1"/>
  <c r="BW75" i="1"/>
  <c r="BW76" i="1"/>
  <c r="BW77" i="1"/>
  <c r="BW71" i="1"/>
  <c r="BW79" i="1"/>
  <c r="BW50" i="1"/>
  <c r="BW83" i="1"/>
  <c r="BW78" i="1"/>
  <c r="BW84" i="1"/>
  <c r="BW85" i="1"/>
  <c r="BW62" i="1"/>
  <c r="BW86" i="1"/>
  <c r="BW56" i="1"/>
  <c r="BW57" i="1"/>
  <c r="BW58" i="1"/>
  <c r="BW82" i="1"/>
  <c r="BW87" i="1"/>
  <c r="BW88" i="1"/>
  <c r="BW89" i="1"/>
  <c r="BW102" i="1"/>
  <c r="BW100" i="1"/>
  <c r="BW80" i="1"/>
  <c r="BW114" i="1"/>
  <c r="BW91" i="1"/>
  <c r="BW119" i="1"/>
  <c r="BW105" i="1"/>
  <c r="BW92" i="1"/>
  <c r="BW103" i="1"/>
  <c r="BW98" i="1"/>
  <c r="BW110" i="1"/>
  <c r="BW95" i="1"/>
  <c r="BW108" i="1"/>
  <c r="BW112" i="1"/>
  <c r="BW113" i="1"/>
  <c r="BW116" i="1"/>
  <c r="BW118" i="1"/>
  <c r="BW101" i="1"/>
  <c r="BW93" i="1"/>
  <c r="BW106" i="1"/>
  <c r="BW121" i="1"/>
  <c r="BW99" i="1"/>
  <c r="BW97" i="1"/>
  <c r="BW109" i="1"/>
  <c r="BW123" i="1"/>
  <c r="BW104" i="1"/>
  <c r="BW81" i="1"/>
  <c r="BW115" i="1"/>
  <c r="BW117" i="1"/>
  <c r="BW120" i="1"/>
  <c r="BW111" i="1"/>
  <c r="BW132" i="1"/>
  <c r="BW122" i="1"/>
  <c r="BW125" i="1"/>
  <c r="BW129" i="1"/>
  <c r="BW126" i="1"/>
  <c r="BW96" i="1"/>
  <c r="BW130" i="1"/>
  <c r="BW107" i="1"/>
  <c r="BW124" i="1"/>
  <c r="BW131" i="1"/>
  <c r="BW127" i="1"/>
  <c r="BW128" i="1"/>
  <c r="BW94" i="1"/>
  <c r="BW2" i="1"/>
  <c r="AY135" i="1"/>
  <c r="CB3" i="1"/>
  <c r="CB4" i="1"/>
  <c r="CB5" i="1"/>
  <c r="CB6" i="1"/>
  <c r="CB7" i="1"/>
  <c r="CB8" i="1"/>
  <c r="CB9" i="1"/>
  <c r="CB37" i="1"/>
  <c r="CB10" i="1"/>
  <c r="CB22" i="1"/>
  <c r="CB24" i="1"/>
  <c r="CB25" i="1"/>
  <c r="CB12" i="1"/>
  <c r="CB13" i="1"/>
  <c r="CB14" i="1"/>
  <c r="CB15" i="1"/>
  <c r="CB16" i="1"/>
  <c r="CB17" i="1"/>
  <c r="CB18" i="1"/>
  <c r="CB19" i="1"/>
  <c r="CB20" i="1"/>
  <c r="CB45" i="1"/>
  <c r="CB27" i="1"/>
  <c r="CB28" i="1"/>
  <c r="CB26" i="1"/>
  <c r="CB36" i="1"/>
  <c r="CB52" i="1"/>
  <c r="CB11" i="1"/>
  <c r="CB29" i="1"/>
  <c r="CB30" i="1"/>
  <c r="CB31" i="1"/>
  <c r="CB33" i="1"/>
  <c r="CB34" i="1"/>
  <c r="CB43" i="1"/>
  <c r="CB35" i="1"/>
  <c r="CB21" i="1"/>
  <c r="CB73" i="1"/>
  <c r="CB72" i="1"/>
  <c r="CB38" i="1"/>
  <c r="CB39" i="1"/>
  <c r="CB40" i="1"/>
  <c r="CB41" i="1"/>
  <c r="CB42" i="1"/>
  <c r="CB90" i="1"/>
  <c r="CB23" i="1"/>
  <c r="CB51" i="1"/>
  <c r="CB44" i="1"/>
  <c r="CB47" i="1"/>
  <c r="CB48" i="1"/>
  <c r="CB46" i="1"/>
  <c r="CB49" i="1"/>
  <c r="CB53" i="1"/>
  <c r="CB54" i="1"/>
  <c r="CB60" i="1"/>
  <c r="CB55" i="1"/>
  <c r="CB59" i="1"/>
  <c r="CB61" i="1"/>
  <c r="CB63" i="1"/>
  <c r="CB64" i="1"/>
  <c r="CB65" i="1"/>
  <c r="CB66" i="1"/>
  <c r="CB67" i="1"/>
  <c r="CB68" i="1"/>
  <c r="CB69" i="1"/>
  <c r="CB74" i="1"/>
  <c r="CB70" i="1"/>
  <c r="CB75" i="1"/>
  <c r="CB76" i="1"/>
  <c r="CB77" i="1"/>
  <c r="CB71" i="1"/>
  <c r="CB79" i="1"/>
  <c r="CB50" i="1"/>
  <c r="CB83" i="1"/>
  <c r="CB78" i="1"/>
  <c r="CB84" i="1"/>
  <c r="CB85" i="1"/>
  <c r="CB62" i="1"/>
  <c r="CB86" i="1"/>
  <c r="CB56" i="1"/>
  <c r="CB57" i="1"/>
  <c r="CB58" i="1"/>
  <c r="CB82" i="1"/>
  <c r="CB87" i="1"/>
  <c r="CB88" i="1"/>
  <c r="CB89" i="1"/>
  <c r="CB123" i="1"/>
  <c r="CB92" i="1"/>
  <c r="CB93" i="1"/>
  <c r="CB94" i="1"/>
  <c r="CB95" i="1"/>
  <c r="CB97" i="1"/>
  <c r="CB98" i="1"/>
  <c r="CB99" i="1"/>
  <c r="CB100" i="1"/>
  <c r="CB101" i="1"/>
  <c r="CB102" i="1"/>
  <c r="CB103" i="1"/>
  <c r="CB104" i="1"/>
  <c r="CB105" i="1"/>
  <c r="CB106" i="1"/>
  <c r="CB107" i="1"/>
  <c r="CB108" i="1"/>
  <c r="CB109" i="1"/>
  <c r="CB121" i="1"/>
  <c r="CB126" i="1"/>
  <c r="CB130" i="1"/>
  <c r="CB111" i="1"/>
  <c r="CB120" i="1"/>
  <c r="CB80" i="1"/>
  <c r="CB119" i="1"/>
  <c r="CB114" i="1"/>
  <c r="CB91" i="1"/>
  <c r="CB122" i="1"/>
  <c r="CB96" i="1"/>
  <c r="CB127" i="1"/>
  <c r="CB131" i="1"/>
  <c r="CB112" i="1"/>
  <c r="CB113" i="1"/>
  <c r="CB116" i="1"/>
  <c r="CB118" i="1"/>
  <c r="CB125" i="1"/>
  <c r="CB128" i="1"/>
  <c r="CB132" i="1"/>
  <c r="CB124" i="1"/>
  <c r="CB129" i="1"/>
  <c r="CB115" i="1"/>
  <c r="CB117" i="1"/>
  <c r="CB110" i="1"/>
  <c r="CB81" i="1"/>
  <c r="CB2" i="1"/>
  <c r="AZ135" i="1"/>
  <c r="CC3" i="1"/>
  <c r="CC4" i="1"/>
  <c r="CC5" i="1"/>
  <c r="CC6" i="1"/>
  <c r="CC7" i="1"/>
  <c r="CC8" i="1"/>
  <c r="CC9" i="1"/>
  <c r="CC37" i="1"/>
  <c r="CC10" i="1"/>
  <c r="CC22" i="1"/>
  <c r="CC24" i="1"/>
  <c r="CC25" i="1"/>
  <c r="CC12" i="1"/>
  <c r="CC13" i="1"/>
  <c r="CC14" i="1"/>
  <c r="CC15" i="1"/>
  <c r="CC16" i="1"/>
  <c r="CC17" i="1"/>
  <c r="CC18" i="1"/>
  <c r="CC19" i="1"/>
  <c r="CC20" i="1"/>
  <c r="CC45" i="1"/>
  <c r="CC27" i="1"/>
  <c r="CC28" i="1"/>
  <c r="CC26" i="1"/>
  <c r="CC36" i="1"/>
  <c r="CC52" i="1"/>
  <c r="CC11" i="1"/>
  <c r="CC29" i="1"/>
  <c r="CC30" i="1"/>
  <c r="CC31" i="1"/>
  <c r="CC33" i="1"/>
  <c r="CC34" i="1"/>
  <c r="CC43" i="1"/>
  <c r="CC35" i="1"/>
  <c r="CC21" i="1"/>
  <c r="CC73" i="1"/>
  <c r="CC72" i="1"/>
  <c r="CC38" i="1"/>
  <c r="CC39" i="1"/>
  <c r="CC40" i="1"/>
  <c r="CC41" i="1"/>
  <c r="CC42" i="1"/>
  <c r="CC90" i="1"/>
  <c r="CC23" i="1"/>
  <c r="CC51" i="1"/>
  <c r="CC44" i="1"/>
  <c r="CC47" i="1"/>
  <c r="CC48" i="1"/>
  <c r="CC46" i="1"/>
  <c r="CC49" i="1"/>
  <c r="CC53" i="1"/>
  <c r="CC54" i="1"/>
  <c r="CC60" i="1"/>
  <c r="CC55" i="1"/>
  <c r="CC59" i="1"/>
  <c r="CC61" i="1"/>
  <c r="CC63" i="1"/>
  <c r="CC64" i="1"/>
  <c r="CC65" i="1"/>
  <c r="CC66" i="1"/>
  <c r="CC67" i="1"/>
  <c r="CC68" i="1"/>
  <c r="CC69" i="1"/>
  <c r="CC74" i="1"/>
  <c r="CC70" i="1"/>
  <c r="CC75" i="1"/>
  <c r="CC76" i="1"/>
  <c r="CC77" i="1"/>
  <c r="CC71" i="1"/>
  <c r="CC79" i="1"/>
  <c r="CC50" i="1"/>
  <c r="CC83" i="1"/>
  <c r="CC78" i="1"/>
  <c r="CC84" i="1"/>
  <c r="CC85" i="1"/>
  <c r="CC62" i="1"/>
  <c r="CC87" i="1"/>
  <c r="CC58" i="1"/>
  <c r="CC57" i="1"/>
  <c r="CC123" i="1"/>
  <c r="CC102" i="1"/>
  <c r="CC81" i="1"/>
  <c r="CC115" i="1"/>
  <c r="CC117" i="1"/>
  <c r="CC86" i="1"/>
  <c r="CC94" i="1"/>
  <c r="CC107" i="1"/>
  <c r="CC111" i="1"/>
  <c r="CC120" i="1"/>
  <c r="CC88" i="1"/>
  <c r="CC100" i="1"/>
  <c r="CC92" i="1"/>
  <c r="CC105" i="1"/>
  <c r="CC56" i="1"/>
  <c r="CC98" i="1"/>
  <c r="CC80" i="1"/>
  <c r="CC114" i="1"/>
  <c r="CC91" i="1"/>
  <c r="CC119" i="1"/>
  <c r="CC82" i="1"/>
  <c r="CC89" i="1"/>
  <c r="CC95" i="1"/>
  <c r="CC108" i="1"/>
  <c r="CC110" i="1"/>
  <c r="CC101" i="1"/>
  <c r="CC93" i="1"/>
  <c r="CC106" i="1"/>
  <c r="CC112" i="1"/>
  <c r="CC113" i="1"/>
  <c r="CC116" i="1"/>
  <c r="CC118" i="1"/>
  <c r="CC99" i="1"/>
  <c r="CC104" i="1"/>
  <c r="CC122" i="1"/>
  <c r="CC128" i="1"/>
  <c r="CC103" i="1"/>
  <c r="CC125" i="1"/>
  <c r="CC129" i="1"/>
  <c r="CC96" i="1"/>
  <c r="CC109" i="1"/>
  <c r="CC124" i="1"/>
  <c r="CC130" i="1"/>
  <c r="CC131" i="1"/>
  <c r="CC126" i="1"/>
  <c r="CC132" i="1"/>
  <c r="CC97" i="1"/>
  <c r="CC121" i="1"/>
  <c r="CC127" i="1"/>
  <c r="CC2" i="1"/>
  <c r="AV135" i="1"/>
  <c r="BY8" i="1"/>
  <c r="BY17" i="1"/>
  <c r="BY30" i="1"/>
  <c r="BY41" i="1"/>
  <c r="BY60" i="1"/>
  <c r="BY70" i="1"/>
  <c r="BY82" i="1"/>
  <c r="BY3" i="1"/>
  <c r="BY12" i="1"/>
  <c r="BY26" i="1"/>
  <c r="BY73" i="1"/>
  <c r="BY48" i="1"/>
  <c r="BY66" i="1"/>
  <c r="BY37" i="1"/>
  <c r="BY19" i="1"/>
  <c r="BY33" i="1"/>
  <c r="BY90" i="1"/>
  <c r="BY59" i="1"/>
  <c r="BY76" i="1"/>
  <c r="BY83" i="1"/>
  <c r="BY85" i="1"/>
  <c r="BY58" i="1"/>
  <c r="BY7" i="1"/>
  <c r="BY16" i="1"/>
  <c r="BY29" i="1"/>
  <c r="BY40" i="1"/>
  <c r="BY54" i="1"/>
  <c r="BY74" i="1"/>
  <c r="BY123" i="1"/>
  <c r="BY92" i="1"/>
  <c r="BY93" i="1"/>
  <c r="BY94" i="1"/>
  <c r="BY95" i="1"/>
  <c r="BY97" i="1"/>
  <c r="BY98" i="1"/>
  <c r="BY99" i="1"/>
  <c r="BY100" i="1"/>
  <c r="BY101" i="1"/>
  <c r="BY102" i="1"/>
  <c r="BY103" i="1"/>
  <c r="BY104" i="1"/>
  <c r="BY105" i="1"/>
  <c r="BY106" i="1"/>
  <c r="BY107" i="1"/>
  <c r="BY108" i="1"/>
  <c r="BY109" i="1"/>
  <c r="BY110" i="1"/>
  <c r="BY111" i="1"/>
  <c r="BY112" i="1"/>
  <c r="BY80" i="1"/>
  <c r="BY81" i="1"/>
  <c r="BY113" i="1"/>
  <c r="BY114" i="1"/>
  <c r="BY115" i="1"/>
  <c r="BY116" i="1"/>
  <c r="BY91" i="1"/>
  <c r="BY117" i="1"/>
  <c r="BY118" i="1"/>
  <c r="BY119" i="1"/>
  <c r="BY120" i="1"/>
  <c r="BY121" i="1"/>
  <c r="BY25" i="1"/>
  <c r="BY28" i="1"/>
  <c r="BY21" i="1"/>
  <c r="BY47" i="1"/>
  <c r="BY65" i="1"/>
  <c r="BY50" i="1"/>
  <c r="BY84" i="1"/>
  <c r="BY56" i="1"/>
  <c r="BY89" i="1"/>
  <c r="BY9" i="1"/>
  <c r="BY18" i="1"/>
  <c r="BY31" i="1"/>
  <c r="BY42" i="1"/>
  <c r="BY55" i="1"/>
  <c r="BY75" i="1"/>
  <c r="BY4" i="1"/>
  <c r="BY13" i="1"/>
  <c r="BY36" i="1"/>
  <c r="BY72" i="1"/>
  <c r="BY46" i="1"/>
  <c r="BY67" i="1"/>
  <c r="BY86" i="1"/>
  <c r="BY88" i="1"/>
  <c r="BY10" i="1"/>
  <c r="BY63" i="1"/>
  <c r="BY43" i="1"/>
  <c r="BY68" i="1"/>
  <c r="BY79" i="1"/>
  <c r="BY45" i="1"/>
  <c r="BY49" i="1"/>
  <c r="BY64" i="1"/>
  <c r="BY22" i="1"/>
  <c r="BY38" i="1"/>
  <c r="BY44" i="1"/>
  <c r="BY52" i="1"/>
  <c r="BY35" i="1"/>
  <c r="BY69" i="1"/>
  <c r="BY14" i="1"/>
  <c r="BY27" i="1"/>
  <c r="BY53" i="1"/>
  <c r="BY5" i="1"/>
  <c r="BY24" i="1"/>
  <c r="BY39" i="1"/>
  <c r="BY77" i="1"/>
  <c r="BY11" i="1"/>
  <c r="BY61" i="1"/>
  <c r="BY71" i="1"/>
  <c r="BY15" i="1"/>
  <c r="BY23" i="1"/>
  <c r="BY62" i="1"/>
  <c r="BY122" i="1"/>
  <c r="BY125" i="1"/>
  <c r="BY96" i="1"/>
  <c r="BY124" i="1"/>
  <c r="BY126" i="1"/>
  <c r="BY127" i="1"/>
  <c r="BY128" i="1"/>
  <c r="BY129" i="1"/>
  <c r="BY130" i="1"/>
  <c r="BY131" i="1"/>
  <c r="BY132" i="1"/>
  <c r="BY78" i="1"/>
  <c r="BY6" i="1"/>
  <c r="BY34" i="1"/>
  <c r="BY57" i="1"/>
  <c r="BY87" i="1"/>
  <c r="BY20" i="1"/>
  <c r="BY51" i="1"/>
  <c r="BY2" i="1"/>
  <c r="AQ135" i="1"/>
  <c r="BT5" i="1"/>
  <c r="BT14" i="1"/>
  <c r="BT52" i="1"/>
  <c r="BT38" i="1"/>
  <c r="BT49" i="1"/>
  <c r="BT68" i="1"/>
  <c r="BT57" i="1"/>
  <c r="BT123" i="1"/>
  <c r="BT92" i="1"/>
  <c r="BT93" i="1"/>
  <c r="BT94" i="1"/>
  <c r="BT95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80" i="1"/>
  <c r="BT81" i="1"/>
  <c r="BT113" i="1"/>
  <c r="BT114" i="1"/>
  <c r="BT115" i="1"/>
  <c r="BT116" i="1"/>
  <c r="BT91" i="1"/>
  <c r="BT117" i="1"/>
  <c r="BT118" i="1"/>
  <c r="BT119" i="1"/>
  <c r="BT120" i="1"/>
  <c r="BT121" i="1"/>
  <c r="BT22" i="1"/>
  <c r="BT45" i="1"/>
  <c r="BT43" i="1"/>
  <c r="BT51" i="1"/>
  <c r="BT63" i="1"/>
  <c r="BT71" i="1"/>
  <c r="BT7" i="1"/>
  <c r="BT16" i="1"/>
  <c r="BT29" i="1"/>
  <c r="BT40" i="1"/>
  <c r="BT54" i="1"/>
  <c r="BT74" i="1"/>
  <c r="BT84" i="1"/>
  <c r="BT56" i="1"/>
  <c r="BT89" i="1"/>
  <c r="BT4" i="1"/>
  <c r="BT13" i="1"/>
  <c r="BT36" i="1"/>
  <c r="BT72" i="1"/>
  <c r="BT46" i="1"/>
  <c r="BT67" i="1"/>
  <c r="BT10" i="1"/>
  <c r="BT20" i="1"/>
  <c r="BT34" i="1"/>
  <c r="BT23" i="1"/>
  <c r="BT61" i="1"/>
  <c r="BT77" i="1"/>
  <c r="BT78" i="1"/>
  <c r="BT62" i="1"/>
  <c r="BT87" i="1"/>
  <c r="BT6" i="1"/>
  <c r="BT15" i="1"/>
  <c r="BT11" i="1"/>
  <c r="BT39" i="1"/>
  <c r="BT53" i="1"/>
  <c r="BT69" i="1"/>
  <c r="BT24" i="1"/>
  <c r="BT27" i="1"/>
  <c r="BT35" i="1"/>
  <c r="BT44" i="1"/>
  <c r="BT64" i="1"/>
  <c r="BT79" i="1"/>
  <c r="BT82" i="1"/>
  <c r="BT3" i="1"/>
  <c r="BT30" i="1"/>
  <c r="BT86" i="1"/>
  <c r="BT58" i="1"/>
  <c r="BT8" i="1"/>
  <c r="BT55" i="1"/>
  <c r="BT18" i="1"/>
  <c r="BT42" i="1"/>
  <c r="BT50" i="1"/>
  <c r="BT31" i="1"/>
  <c r="BT65" i="1"/>
  <c r="BT76" i="1"/>
  <c r="BT85" i="1"/>
  <c r="BT122" i="1"/>
  <c r="BT125" i="1"/>
  <c r="BT96" i="1"/>
  <c r="BT124" i="1"/>
  <c r="BT126" i="1"/>
  <c r="BT127" i="1"/>
  <c r="BT128" i="1"/>
  <c r="BT129" i="1"/>
  <c r="BT130" i="1"/>
  <c r="BT131" i="1"/>
  <c r="BT132" i="1"/>
  <c r="BT47" i="1"/>
  <c r="BT59" i="1"/>
  <c r="BT9" i="1"/>
  <c r="BT21" i="1"/>
  <c r="BT90" i="1"/>
  <c r="BT83" i="1"/>
  <c r="BT28" i="1"/>
  <c r="BT33" i="1"/>
  <c r="BT66" i="1"/>
  <c r="BT25" i="1"/>
  <c r="BT19" i="1"/>
  <c r="BT48" i="1"/>
  <c r="BT12" i="1"/>
  <c r="BT37" i="1"/>
  <c r="BT73" i="1"/>
  <c r="BT70" i="1"/>
  <c r="BT41" i="1"/>
  <c r="BT26" i="1"/>
  <c r="BT60" i="1"/>
  <c r="BT75" i="1"/>
  <c r="BT17" i="1"/>
  <c r="CF17" i="1" s="1"/>
  <c r="BT88" i="1"/>
  <c r="BT2" i="1"/>
  <c r="AX135" i="1"/>
  <c r="CA6" i="1"/>
  <c r="CA15" i="1"/>
  <c r="CA11" i="1"/>
  <c r="CA39" i="1"/>
  <c r="CA53" i="1"/>
  <c r="CA69" i="1"/>
  <c r="CA78" i="1"/>
  <c r="CA62" i="1"/>
  <c r="CA87" i="1"/>
  <c r="CA24" i="1"/>
  <c r="CA27" i="1"/>
  <c r="CA35" i="1"/>
  <c r="CA44" i="1"/>
  <c r="CA64" i="1"/>
  <c r="CA79" i="1"/>
  <c r="CA8" i="1"/>
  <c r="CA17" i="1"/>
  <c r="CA30" i="1"/>
  <c r="CA41" i="1"/>
  <c r="CA60" i="1"/>
  <c r="CA70" i="1"/>
  <c r="CA82" i="1"/>
  <c r="CA5" i="1"/>
  <c r="CA14" i="1"/>
  <c r="CA52" i="1"/>
  <c r="CA38" i="1"/>
  <c r="CA49" i="1"/>
  <c r="CA68" i="1"/>
  <c r="CA22" i="1"/>
  <c r="CA45" i="1"/>
  <c r="CA43" i="1"/>
  <c r="CA51" i="1"/>
  <c r="CA63" i="1"/>
  <c r="CA71" i="1"/>
  <c r="CA57" i="1"/>
  <c r="CA7" i="1"/>
  <c r="CA16" i="1"/>
  <c r="CA29" i="1"/>
  <c r="CA40" i="1"/>
  <c r="CA54" i="1"/>
  <c r="CA74" i="1"/>
  <c r="CA123" i="1"/>
  <c r="CA92" i="1"/>
  <c r="CA93" i="1"/>
  <c r="CA94" i="1"/>
  <c r="CA95" i="1"/>
  <c r="CA97" i="1"/>
  <c r="CA98" i="1"/>
  <c r="CA99" i="1"/>
  <c r="CA100" i="1"/>
  <c r="CA101" i="1"/>
  <c r="CA102" i="1"/>
  <c r="CA103" i="1"/>
  <c r="CA104" i="1"/>
  <c r="CA105" i="1"/>
  <c r="CA106" i="1"/>
  <c r="CA107" i="1"/>
  <c r="CA108" i="1"/>
  <c r="CA109" i="1"/>
  <c r="CA25" i="1"/>
  <c r="CA28" i="1"/>
  <c r="CA21" i="1"/>
  <c r="CA47" i="1"/>
  <c r="CA65" i="1"/>
  <c r="CA50" i="1"/>
  <c r="CA84" i="1"/>
  <c r="CA56" i="1"/>
  <c r="CA89" i="1"/>
  <c r="CA26" i="1"/>
  <c r="CA34" i="1"/>
  <c r="CA67" i="1"/>
  <c r="CA81" i="1"/>
  <c r="CA117" i="1"/>
  <c r="CA20" i="1"/>
  <c r="CA3" i="1"/>
  <c r="CA10" i="1"/>
  <c r="CA72" i="1"/>
  <c r="CA75" i="1"/>
  <c r="CA86" i="1"/>
  <c r="CA36" i="1"/>
  <c r="CA55" i="1"/>
  <c r="CA58" i="1"/>
  <c r="CA88" i="1"/>
  <c r="CA13" i="1"/>
  <c r="CA42" i="1"/>
  <c r="CA80" i="1"/>
  <c r="CA114" i="1"/>
  <c r="CA91" i="1"/>
  <c r="CA119" i="1"/>
  <c r="CA31" i="1"/>
  <c r="CA4" i="1"/>
  <c r="CA18" i="1"/>
  <c r="CA76" i="1"/>
  <c r="CA110" i="1"/>
  <c r="CA9" i="1"/>
  <c r="CA59" i="1"/>
  <c r="CA85" i="1"/>
  <c r="CA90" i="1"/>
  <c r="CA112" i="1"/>
  <c r="CA113" i="1"/>
  <c r="CA116" i="1"/>
  <c r="CA118" i="1"/>
  <c r="CA23" i="1"/>
  <c r="CA121" i="1"/>
  <c r="CA96" i="1"/>
  <c r="CA126" i="1"/>
  <c r="CA129" i="1"/>
  <c r="CA132" i="1"/>
  <c r="CA33" i="1"/>
  <c r="CA66" i="1"/>
  <c r="CA77" i="1"/>
  <c r="CA83" i="1"/>
  <c r="CA37" i="1"/>
  <c r="CA125" i="1"/>
  <c r="CA127" i="1"/>
  <c r="CA130" i="1"/>
  <c r="CA115" i="1"/>
  <c r="CA19" i="1"/>
  <c r="CA48" i="1"/>
  <c r="CA61" i="1"/>
  <c r="CA73" i="1"/>
  <c r="CA122" i="1"/>
  <c r="CA124" i="1"/>
  <c r="CA128" i="1"/>
  <c r="CA131" i="1"/>
  <c r="CA12" i="1"/>
  <c r="CA111" i="1"/>
  <c r="CA120" i="1"/>
  <c r="CA46" i="1"/>
  <c r="CA2" i="1"/>
  <c r="BA135" i="1"/>
  <c r="CD3" i="1"/>
  <c r="CD4" i="1"/>
  <c r="CD5" i="1"/>
  <c r="CD6" i="1"/>
  <c r="CD7" i="1"/>
  <c r="CD8" i="1"/>
  <c r="CD9" i="1"/>
  <c r="CD37" i="1"/>
  <c r="CD10" i="1"/>
  <c r="CD22" i="1"/>
  <c r="CD24" i="1"/>
  <c r="CD25" i="1"/>
  <c r="CD12" i="1"/>
  <c r="CD13" i="1"/>
  <c r="CD14" i="1"/>
  <c r="CD15" i="1"/>
  <c r="CD16" i="1"/>
  <c r="CD17" i="1"/>
  <c r="CD18" i="1"/>
  <c r="CD19" i="1"/>
  <c r="CD20" i="1"/>
  <c r="CD45" i="1"/>
  <c r="CD27" i="1"/>
  <c r="CD28" i="1"/>
  <c r="CD26" i="1"/>
  <c r="CD36" i="1"/>
  <c r="CD52" i="1"/>
  <c r="CD11" i="1"/>
  <c r="CD29" i="1"/>
  <c r="CD30" i="1"/>
  <c r="CD31" i="1"/>
  <c r="CD33" i="1"/>
  <c r="CD34" i="1"/>
  <c r="CD43" i="1"/>
  <c r="CD35" i="1"/>
  <c r="CD21" i="1"/>
  <c r="CD73" i="1"/>
  <c r="CD72" i="1"/>
  <c r="CD38" i="1"/>
  <c r="CD39" i="1"/>
  <c r="CD40" i="1"/>
  <c r="CD41" i="1"/>
  <c r="CD42" i="1"/>
  <c r="CD90" i="1"/>
  <c r="CD23" i="1"/>
  <c r="CD51" i="1"/>
  <c r="CD44" i="1"/>
  <c r="CD47" i="1"/>
  <c r="CD48" i="1"/>
  <c r="CD46" i="1"/>
  <c r="CD49" i="1"/>
  <c r="CD53" i="1"/>
  <c r="CD54" i="1"/>
  <c r="CD60" i="1"/>
  <c r="CD55" i="1"/>
  <c r="CD59" i="1"/>
  <c r="CD61" i="1"/>
  <c r="CD63" i="1"/>
  <c r="CD64" i="1"/>
  <c r="CD65" i="1"/>
  <c r="CD66" i="1"/>
  <c r="CD67" i="1"/>
  <c r="CD68" i="1"/>
  <c r="CD69" i="1"/>
  <c r="CD74" i="1"/>
  <c r="CD70" i="1"/>
  <c r="CD75" i="1"/>
  <c r="CD76" i="1"/>
  <c r="CD77" i="1"/>
  <c r="CD71" i="1"/>
  <c r="CD79" i="1"/>
  <c r="CD50" i="1"/>
  <c r="CD83" i="1"/>
  <c r="CD78" i="1"/>
  <c r="CD84" i="1"/>
  <c r="CD85" i="1"/>
  <c r="CD86" i="1"/>
  <c r="CD88" i="1"/>
  <c r="CD62" i="1"/>
  <c r="CD87" i="1"/>
  <c r="CD58" i="1"/>
  <c r="CD57" i="1"/>
  <c r="CD97" i="1"/>
  <c r="CD109" i="1"/>
  <c r="CD121" i="1"/>
  <c r="CD122" i="1"/>
  <c r="CD125" i="1"/>
  <c r="CD96" i="1"/>
  <c r="CD124" i="1"/>
  <c r="CD126" i="1"/>
  <c r="CD127" i="1"/>
  <c r="CD128" i="1"/>
  <c r="CD129" i="1"/>
  <c r="CD130" i="1"/>
  <c r="CD131" i="1"/>
  <c r="CD132" i="1"/>
  <c r="CD115" i="1"/>
  <c r="CD117" i="1"/>
  <c r="CD100" i="1"/>
  <c r="CD98" i="1"/>
  <c r="CD102" i="1"/>
  <c r="CD81" i="1"/>
  <c r="CD94" i="1"/>
  <c r="CD107" i="1"/>
  <c r="CD111" i="1"/>
  <c r="CD120" i="1"/>
  <c r="CD92" i="1"/>
  <c r="CD105" i="1"/>
  <c r="CD56" i="1"/>
  <c r="CD80" i="1"/>
  <c r="CD82" i="1"/>
  <c r="CD89" i="1"/>
  <c r="CD103" i="1"/>
  <c r="CD93" i="1"/>
  <c r="CD106" i="1"/>
  <c r="CD112" i="1"/>
  <c r="CD113" i="1"/>
  <c r="CD99" i="1"/>
  <c r="CD95" i="1"/>
  <c r="CD108" i="1"/>
  <c r="CD110" i="1"/>
  <c r="CD116" i="1"/>
  <c r="CD101" i="1"/>
  <c r="CD118" i="1"/>
  <c r="CD104" i="1"/>
  <c r="CD91" i="1"/>
  <c r="CD123" i="1"/>
  <c r="CD119" i="1"/>
  <c r="CD114" i="1"/>
  <c r="CD2" i="1"/>
  <c r="CH17" i="1" l="1"/>
  <c r="CN17" i="1"/>
  <c r="CK17" i="1"/>
  <c r="CO17" i="1"/>
  <c r="CJ17" i="1"/>
  <c r="CR17" i="1"/>
  <c r="CI17" i="1"/>
  <c r="CM17" i="1"/>
  <c r="CP17" i="1"/>
  <c r="CG17" i="1"/>
  <c r="CQ17" i="1"/>
  <c r="CL17" i="1"/>
  <c r="CF129" i="1"/>
  <c r="CF50" i="1"/>
  <c r="CF44" i="1"/>
  <c r="CF78" i="1"/>
  <c r="CF4" i="1"/>
  <c r="CF51" i="1"/>
  <c r="CF33" i="1"/>
  <c r="CF77" i="1"/>
  <c r="CF43" i="1"/>
  <c r="BZ133" i="1"/>
  <c r="BV133" i="1"/>
  <c r="CF60" i="1"/>
  <c r="CF18" i="1"/>
  <c r="CF27" i="1"/>
  <c r="CF61" i="1"/>
  <c r="CF45" i="1"/>
  <c r="CF126" i="1"/>
  <c r="CF24" i="1"/>
  <c r="CF23" i="1"/>
  <c r="CF22" i="1"/>
  <c r="BW133" i="1"/>
  <c r="CF90" i="1"/>
  <c r="CF34" i="1"/>
  <c r="CB133" i="1"/>
  <c r="CF70" i="1"/>
  <c r="CF96" i="1"/>
  <c r="CC133" i="1"/>
  <c r="CA133" i="1"/>
  <c r="CF9" i="1"/>
  <c r="CF125" i="1"/>
  <c r="CF14" i="1"/>
  <c r="CF37" i="1"/>
  <c r="CF59" i="1"/>
  <c r="CF11" i="1"/>
  <c r="CF29" i="1"/>
  <c r="CF5" i="1"/>
  <c r="CF12" i="1"/>
  <c r="CF47" i="1"/>
  <c r="CF3" i="1"/>
  <c r="BT133" i="1"/>
  <c r="CF15" i="1"/>
  <c r="CF46" i="1"/>
  <c r="CF16" i="1"/>
  <c r="CE133" i="1"/>
  <c r="CD133" i="1"/>
  <c r="CF48" i="1"/>
  <c r="CF76" i="1"/>
  <c r="CF94" i="1"/>
  <c r="CF2" i="1"/>
  <c r="CF79" i="1"/>
  <c r="CF87" i="1"/>
  <c r="CF71" i="1"/>
  <c r="BU133" i="1"/>
  <c r="CF25" i="1"/>
  <c r="CF130" i="1"/>
  <c r="CF31" i="1"/>
  <c r="CF62" i="1"/>
  <c r="CF13" i="1"/>
  <c r="CF92" i="1"/>
  <c r="BY133" i="1"/>
  <c r="BX133" i="1"/>
  <c r="CG94" i="1" l="1"/>
  <c r="CQ94" i="1"/>
  <c r="CH94" i="1"/>
  <c r="CR94" i="1"/>
  <c r="CI94" i="1"/>
  <c r="CM94" i="1"/>
  <c r="CL94" i="1"/>
  <c r="CP94" i="1"/>
  <c r="CO94" i="1"/>
  <c r="CK94" i="1"/>
  <c r="CN94" i="1"/>
  <c r="CJ94" i="1"/>
  <c r="CN5" i="1"/>
  <c r="CM5" i="1"/>
  <c r="CR5" i="1"/>
  <c r="CI5" i="1"/>
  <c r="CK5" i="1"/>
  <c r="CJ5" i="1"/>
  <c r="CL5" i="1"/>
  <c r="CP5" i="1"/>
  <c r="CQ5" i="1"/>
  <c r="CG5" i="1"/>
  <c r="CH5" i="1"/>
  <c r="CO5" i="1"/>
  <c r="CK60" i="1"/>
  <c r="CQ60" i="1"/>
  <c r="CM60" i="1"/>
  <c r="CL60" i="1"/>
  <c r="CG60" i="1"/>
  <c r="CP60" i="1"/>
  <c r="CJ60" i="1"/>
  <c r="CI60" i="1"/>
  <c r="CN60" i="1"/>
  <c r="CO60" i="1"/>
  <c r="CR60" i="1"/>
  <c r="CH60" i="1"/>
  <c r="CO92" i="1"/>
  <c r="CJ92" i="1"/>
  <c r="CI92" i="1"/>
  <c r="CH92" i="1"/>
  <c r="CR92" i="1"/>
  <c r="CQ92" i="1"/>
  <c r="CM92" i="1"/>
  <c r="CP92" i="1"/>
  <c r="CG92" i="1"/>
  <c r="CK92" i="1"/>
  <c r="CN92" i="1"/>
  <c r="CL92" i="1"/>
  <c r="CR76" i="1"/>
  <c r="CG76" i="1"/>
  <c r="CI76" i="1"/>
  <c r="CN76" i="1"/>
  <c r="CL76" i="1"/>
  <c r="CJ76" i="1"/>
  <c r="CM76" i="1"/>
  <c r="CH76" i="1"/>
  <c r="CO76" i="1"/>
  <c r="CQ76" i="1"/>
  <c r="CK76" i="1"/>
  <c r="CP76" i="1"/>
  <c r="CJ29" i="1"/>
  <c r="CK29" i="1"/>
  <c r="CL29" i="1"/>
  <c r="CN29" i="1"/>
  <c r="CH29" i="1"/>
  <c r="CP29" i="1"/>
  <c r="CM29" i="1"/>
  <c r="CI29" i="1"/>
  <c r="CR29" i="1"/>
  <c r="CG29" i="1"/>
  <c r="CQ29" i="1"/>
  <c r="CO29" i="1"/>
  <c r="CO34" i="1"/>
  <c r="CR34" i="1"/>
  <c r="CN34" i="1"/>
  <c r="CQ34" i="1"/>
  <c r="CK34" i="1"/>
  <c r="CP34" i="1"/>
  <c r="CH34" i="1"/>
  <c r="CJ34" i="1"/>
  <c r="CM34" i="1"/>
  <c r="CL34" i="1"/>
  <c r="CG34" i="1"/>
  <c r="CI34" i="1"/>
  <c r="CR13" i="1"/>
  <c r="CK13" i="1"/>
  <c r="CM13" i="1"/>
  <c r="CL13" i="1"/>
  <c r="CN13" i="1"/>
  <c r="CG13" i="1"/>
  <c r="CP13" i="1"/>
  <c r="CI13" i="1"/>
  <c r="CH13" i="1"/>
  <c r="CJ13" i="1"/>
  <c r="CO13" i="1"/>
  <c r="CQ13" i="1"/>
  <c r="CN48" i="1"/>
  <c r="CH48" i="1"/>
  <c r="CR48" i="1"/>
  <c r="CJ48" i="1"/>
  <c r="CL48" i="1"/>
  <c r="CM48" i="1"/>
  <c r="CP48" i="1"/>
  <c r="CG48" i="1"/>
  <c r="CO48" i="1"/>
  <c r="CK48" i="1"/>
  <c r="CI48" i="1"/>
  <c r="CQ48" i="1"/>
  <c r="CM11" i="1"/>
  <c r="CI11" i="1"/>
  <c r="CK11" i="1"/>
  <c r="CJ11" i="1"/>
  <c r="CL11" i="1"/>
  <c r="CP11" i="1"/>
  <c r="CQ11" i="1"/>
  <c r="CO11" i="1"/>
  <c r="CH11" i="1"/>
  <c r="CG11" i="1"/>
  <c r="CR11" i="1"/>
  <c r="CN11" i="1"/>
  <c r="CJ90" i="1"/>
  <c r="CN90" i="1"/>
  <c r="CK90" i="1"/>
  <c r="CH90" i="1"/>
  <c r="CP90" i="1"/>
  <c r="CR90" i="1"/>
  <c r="CG90" i="1"/>
  <c r="CL90" i="1"/>
  <c r="CM90" i="1"/>
  <c r="CO90" i="1"/>
  <c r="CQ90" i="1"/>
  <c r="CI90" i="1"/>
  <c r="CR62" i="1"/>
  <c r="CL62" i="1"/>
  <c r="CG62" i="1"/>
  <c r="CH62" i="1"/>
  <c r="CK62" i="1"/>
  <c r="CI62" i="1"/>
  <c r="CJ62" i="1"/>
  <c r="CN62" i="1"/>
  <c r="CQ62" i="1"/>
  <c r="CO62" i="1"/>
  <c r="CM62" i="1"/>
  <c r="CP62" i="1"/>
  <c r="CH59" i="1"/>
  <c r="CN59" i="1"/>
  <c r="CG59" i="1"/>
  <c r="CR59" i="1"/>
  <c r="CL59" i="1"/>
  <c r="CJ59" i="1"/>
  <c r="CQ59" i="1"/>
  <c r="CM59" i="1"/>
  <c r="CP59" i="1"/>
  <c r="CK59" i="1"/>
  <c r="CI59" i="1"/>
  <c r="CO59" i="1"/>
  <c r="CH43" i="1"/>
  <c r="CO43" i="1"/>
  <c r="CQ43" i="1"/>
  <c r="CG43" i="1"/>
  <c r="CR43" i="1"/>
  <c r="CI43" i="1"/>
  <c r="CP43" i="1"/>
  <c r="CN43" i="1"/>
  <c r="CJ43" i="1"/>
  <c r="CM43" i="1"/>
  <c r="CL43" i="1"/>
  <c r="CK43" i="1"/>
  <c r="CL31" i="1"/>
  <c r="CG31" i="1"/>
  <c r="CI31" i="1"/>
  <c r="CK31" i="1"/>
  <c r="CN31" i="1"/>
  <c r="CO31" i="1"/>
  <c r="CJ31" i="1"/>
  <c r="CM31" i="1"/>
  <c r="CQ31" i="1"/>
  <c r="CR31" i="1"/>
  <c r="CH31" i="1"/>
  <c r="CP31" i="1"/>
  <c r="CM37" i="1"/>
  <c r="CN37" i="1"/>
  <c r="CL37" i="1"/>
  <c r="CI37" i="1"/>
  <c r="CO37" i="1"/>
  <c r="CQ37" i="1"/>
  <c r="CJ37" i="1"/>
  <c r="CH37" i="1"/>
  <c r="CP37" i="1"/>
  <c r="CG37" i="1"/>
  <c r="CR37" i="1"/>
  <c r="CK37" i="1"/>
  <c r="CK22" i="1"/>
  <c r="CI22" i="1"/>
  <c r="CR22" i="1"/>
  <c r="CP22" i="1"/>
  <c r="CM22" i="1"/>
  <c r="CQ22" i="1"/>
  <c r="CH22" i="1"/>
  <c r="CJ22" i="1"/>
  <c r="CO22" i="1"/>
  <c r="CG22" i="1"/>
  <c r="CN22" i="1"/>
  <c r="CL22" i="1"/>
  <c r="CJ77" i="1"/>
  <c r="CQ77" i="1"/>
  <c r="CP77" i="1"/>
  <c r="CM77" i="1"/>
  <c r="CK77" i="1"/>
  <c r="CO77" i="1"/>
  <c r="CI77" i="1"/>
  <c r="CR77" i="1"/>
  <c r="CH77" i="1"/>
  <c r="CL77" i="1"/>
  <c r="CN77" i="1"/>
  <c r="CG77" i="1"/>
  <c r="CR130" i="1"/>
  <c r="CL130" i="1"/>
  <c r="CJ130" i="1"/>
  <c r="CI130" i="1"/>
  <c r="CG130" i="1"/>
  <c r="CN130" i="1"/>
  <c r="CH130" i="1"/>
  <c r="CM130" i="1"/>
  <c r="CP130" i="1"/>
  <c r="CK130" i="1"/>
  <c r="CQ130" i="1"/>
  <c r="CO130" i="1"/>
  <c r="CP16" i="1"/>
  <c r="CR16" i="1"/>
  <c r="CM16" i="1"/>
  <c r="CK16" i="1"/>
  <c r="CL16" i="1"/>
  <c r="CQ16" i="1"/>
  <c r="CO16" i="1"/>
  <c r="CN16" i="1"/>
  <c r="CH16" i="1"/>
  <c r="CG16" i="1"/>
  <c r="CI16" i="1"/>
  <c r="CJ16" i="1"/>
  <c r="CR14" i="1"/>
  <c r="CO14" i="1"/>
  <c r="CJ14" i="1"/>
  <c r="CH14" i="1"/>
  <c r="CK14" i="1"/>
  <c r="CG14" i="1"/>
  <c r="CM14" i="1"/>
  <c r="CI14" i="1"/>
  <c r="CQ14" i="1"/>
  <c r="CN14" i="1"/>
  <c r="CP14" i="1"/>
  <c r="CL14" i="1"/>
  <c r="CH23" i="1"/>
  <c r="CG23" i="1"/>
  <c r="CI23" i="1"/>
  <c r="CN23" i="1"/>
  <c r="CQ23" i="1"/>
  <c r="CO23" i="1"/>
  <c r="CK23" i="1"/>
  <c r="CP23" i="1"/>
  <c r="CJ23" i="1"/>
  <c r="CR23" i="1"/>
  <c r="CL23" i="1"/>
  <c r="CM23" i="1"/>
  <c r="CI33" i="1"/>
  <c r="CN33" i="1"/>
  <c r="CM33" i="1"/>
  <c r="CJ33" i="1"/>
  <c r="CO33" i="1"/>
  <c r="CQ33" i="1"/>
  <c r="CR33" i="1"/>
  <c r="CK33" i="1"/>
  <c r="CH33" i="1"/>
  <c r="CL33" i="1"/>
  <c r="CP33" i="1"/>
  <c r="CG33" i="1"/>
  <c r="CK25" i="1"/>
  <c r="CJ25" i="1"/>
  <c r="CI25" i="1"/>
  <c r="CR25" i="1"/>
  <c r="CN25" i="1"/>
  <c r="CL25" i="1"/>
  <c r="CH25" i="1"/>
  <c r="CO25" i="1"/>
  <c r="CQ25" i="1"/>
  <c r="CG25" i="1"/>
  <c r="CM25" i="1"/>
  <c r="CP25" i="1"/>
  <c r="CQ46" i="1"/>
  <c r="CH46" i="1"/>
  <c r="CP46" i="1"/>
  <c r="CK46" i="1"/>
  <c r="CJ46" i="1"/>
  <c r="CG46" i="1"/>
  <c r="CI46" i="1"/>
  <c r="CN46" i="1"/>
  <c r="CO46" i="1"/>
  <c r="CR46" i="1"/>
  <c r="CM46" i="1"/>
  <c r="CL46" i="1"/>
  <c r="CK125" i="1"/>
  <c r="CJ125" i="1"/>
  <c r="CO125" i="1"/>
  <c r="CM125" i="1"/>
  <c r="CR125" i="1"/>
  <c r="CI125" i="1"/>
  <c r="CP125" i="1"/>
  <c r="CN125" i="1"/>
  <c r="CL125" i="1"/>
  <c r="CG125" i="1"/>
  <c r="CH125" i="1"/>
  <c r="CQ125" i="1"/>
  <c r="CH24" i="1"/>
  <c r="CI24" i="1"/>
  <c r="CO24" i="1"/>
  <c r="CR24" i="1"/>
  <c r="CL24" i="1"/>
  <c r="CN24" i="1"/>
  <c r="CG24" i="1"/>
  <c r="CK24" i="1"/>
  <c r="CP24" i="1"/>
  <c r="CJ24" i="1"/>
  <c r="CM24" i="1"/>
  <c r="CQ24" i="1"/>
  <c r="CR51" i="1"/>
  <c r="CP51" i="1"/>
  <c r="CN51" i="1"/>
  <c r="CJ51" i="1"/>
  <c r="CL51" i="1"/>
  <c r="CH51" i="1"/>
  <c r="CO51" i="1"/>
  <c r="CI51" i="1"/>
  <c r="CG51" i="1"/>
  <c r="CM51" i="1"/>
  <c r="CK51" i="1"/>
  <c r="CQ51" i="1"/>
  <c r="CN15" i="1"/>
  <c r="CK15" i="1"/>
  <c r="CR15" i="1"/>
  <c r="CH15" i="1"/>
  <c r="CG15" i="1"/>
  <c r="CL15" i="1"/>
  <c r="CJ15" i="1"/>
  <c r="CO15" i="1"/>
  <c r="CQ15" i="1"/>
  <c r="CP15" i="1"/>
  <c r="CI15" i="1"/>
  <c r="CM15" i="1"/>
  <c r="CO9" i="1"/>
  <c r="CR9" i="1"/>
  <c r="CI9" i="1"/>
  <c r="CJ9" i="1"/>
  <c r="CG9" i="1"/>
  <c r="CQ9" i="1"/>
  <c r="CM9" i="1"/>
  <c r="CH9" i="1"/>
  <c r="CP9" i="1"/>
  <c r="CN9" i="1"/>
  <c r="CK9" i="1"/>
  <c r="CL9" i="1"/>
  <c r="CG126" i="1"/>
  <c r="CI126" i="1"/>
  <c r="CM126" i="1"/>
  <c r="CK126" i="1"/>
  <c r="CR126" i="1"/>
  <c r="CL126" i="1"/>
  <c r="CQ126" i="1"/>
  <c r="CO126" i="1"/>
  <c r="CP126" i="1"/>
  <c r="CN126" i="1"/>
  <c r="CH126" i="1"/>
  <c r="CJ126" i="1"/>
  <c r="CN4" i="1"/>
  <c r="CL4" i="1"/>
  <c r="CQ4" i="1"/>
  <c r="CM4" i="1"/>
  <c r="CG4" i="1"/>
  <c r="CH4" i="1"/>
  <c r="CP4" i="1"/>
  <c r="CO4" i="1"/>
  <c r="CK4" i="1"/>
  <c r="CR4" i="1"/>
  <c r="CI4" i="1"/>
  <c r="CJ4" i="1"/>
  <c r="CQ71" i="1"/>
  <c r="CR71" i="1"/>
  <c r="CG71" i="1"/>
  <c r="CJ71" i="1"/>
  <c r="CK71" i="1"/>
  <c r="CP71" i="1"/>
  <c r="CI71" i="1"/>
  <c r="CH71" i="1"/>
  <c r="CL71" i="1"/>
  <c r="CN71" i="1"/>
  <c r="CO71" i="1"/>
  <c r="CM71" i="1"/>
  <c r="CI45" i="1"/>
  <c r="CH45" i="1"/>
  <c r="CR45" i="1"/>
  <c r="CK45" i="1"/>
  <c r="CJ45" i="1"/>
  <c r="CP45" i="1"/>
  <c r="CN45" i="1"/>
  <c r="CM45" i="1"/>
  <c r="CL45" i="1"/>
  <c r="CG45" i="1"/>
  <c r="CO45" i="1"/>
  <c r="CQ45" i="1"/>
  <c r="CN78" i="1"/>
  <c r="CL78" i="1"/>
  <c r="CP78" i="1"/>
  <c r="CH78" i="1"/>
  <c r="CM78" i="1"/>
  <c r="CQ78" i="1"/>
  <c r="CO78" i="1"/>
  <c r="CK78" i="1"/>
  <c r="CJ78" i="1"/>
  <c r="CI78" i="1"/>
  <c r="CR78" i="1"/>
  <c r="CG78" i="1"/>
  <c r="CK87" i="1"/>
  <c r="CP87" i="1"/>
  <c r="CL87" i="1"/>
  <c r="CI87" i="1"/>
  <c r="CR87" i="1"/>
  <c r="CQ87" i="1"/>
  <c r="CO87" i="1"/>
  <c r="CH87" i="1"/>
  <c r="CJ87" i="1"/>
  <c r="CM87" i="1"/>
  <c r="CG87" i="1"/>
  <c r="CN87" i="1"/>
  <c r="CN3" i="1"/>
  <c r="CR3" i="1"/>
  <c r="CI3" i="1"/>
  <c r="CO3" i="1"/>
  <c r="CK3" i="1"/>
  <c r="CJ3" i="1"/>
  <c r="CM3" i="1"/>
  <c r="CP3" i="1"/>
  <c r="CG3" i="1"/>
  <c r="CL3" i="1"/>
  <c r="CH3" i="1"/>
  <c r="CQ3" i="1"/>
  <c r="CG61" i="1"/>
  <c r="CM61" i="1"/>
  <c r="CJ61" i="1"/>
  <c r="CO61" i="1"/>
  <c r="CH61" i="1"/>
  <c r="CK61" i="1"/>
  <c r="CR61" i="1"/>
  <c r="CI61" i="1"/>
  <c r="CL61" i="1"/>
  <c r="CQ61" i="1"/>
  <c r="CP61" i="1"/>
  <c r="CN61" i="1"/>
  <c r="CR44" i="1"/>
  <c r="CM44" i="1"/>
  <c r="CL44" i="1"/>
  <c r="CQ44" i="1"/>
  <c r="CN44" i="1"/>
  <c r="CP44" i="1"/>
  <c r="CI44" i="1"/>
  <c r="CH44" i="1"/>
  <c r="CO44" i="1"/>
  <c r="CG44" i="1"/>
  <c r="CJ44" i="1"/>
  <c r="CK44" i="1"/>
  <c r="CN79" i="1"/>
  <c r="CM79" i="1"/>
  <c r="CI79" i="1"/>
  <c r="CG79" i="1"/>
  <c r="CL79" i="1"/>
  <c r="CP79" i="1"/>
  <c r="CO79" i="1"/>
  <c r="CQ79" i="1"/>
  <c r="CJ79" i="1"/>
  <c r="CK79" i="1"/>
  <c r="CH79" i="1"/>
  <c r="CR79" i="1"/>
  <c r="CL47" i="1"/>
  <c r="CO47" i="1"/>
  <c r="CM47" i="1"/>
  <c r="CP47" i="1"/>
  <c r="CQ47" i="1"/>
  <c r="CK47" i="1"/>
  <c r="CG47" i="1"/>
  <c r="CJ47" i="1"/>
  <c r="CH47" i="1"/>
  <c r="CR47" i="1"/>
  <c r="CN47" i="1"/>
  <c r="CI47" i="1"/>
  <c r="CN96" i="1"/>
  <c r="CP96" i="1"/>
  <c r="CR96" i="1"/>
  <c r="CI96" i="1"/>
  <c r="CO96" i="1"/>
  <c r="CL96" i="1"/>
  <c r="CJ96" i="1"/>
  <c r="CG96" i="1"/>
  <c r="CK96" i="1"/>
  <c r="CM96" i="1"/>
  <c r="CQ96" i="1"/>
  <c r="CH96" i="1"/>
  <c r="CH27" i="1"/>
  <c r="CK27" i="1"/>
  <c r="CQ27" i="1"/>
  <c r="CG27" i="1"/>
  <c r="CL27" i="1"/>
  <c r="CN27" i="1"/>
  <c r="CJ27" i="1"/>
  <c r="CI27" i="1"/>
  <c r="CO27" i="1"/>
  <c r="CM27" i="1"/>
  <c r="CR27" i="1"/>
  <c r="CP27" i="1"/>
  <c r="CR50" i="1"/>
  <c r="CI50" i="1"/>
  <c r="CN50" i="1"/>
  <c r="CP50" i="1"/>
  <c r="CM50" i="1"/>
  <c r="CK50" i="1"/>
  <c r="CO50" i="1"/>
  <c r="CQ50" i="1"/>
  <c r="CH50" i="1"/>
  <c r="CG50" i="1"/>
  <c r="CL50" i="1"/>
  <c r="CJ50" i="1"/>
  <c r="CH2" i="1"/>
  <c r="CO2" i="1"/>
  <c r="CR2" i="1"/>
  <c r="CL2" i="1"/>
  <c r="CK2" i="1"/>
  <c r="CI2" i="1"/>
  <c r="CQ2" i="1"/>
  <c r="CP2" i="1"/>
  <c r="CM2" i="1"/>
  <c r="CJ2" i="1"/>
  <c r="CN2" i="1"/>
  <c r="CG2" i="1"/>
  <c r="CN12" i="1"/>
  <c r="CH12" i="1"/>
  <c r="CJ12" i="1"/>
  <c r="CK12" i="1"/>
  <c r="CP12" i="1"/>
  <c r="CI12" i="1"/>
  <c r="CG12" i="1"/>
  <c r="CO12" i="1"/>
  <c r="CL12" i="1"/>
  <c r="CR12" i="1"/>
  <c r="CQ12" i="1"/>
  <c r="CM12" i="1"/>
  <c r="CG70" i="1"/>
  <c r="CM70" i="1"/>
  <c r="CO70" i="1"/>
  <c r="CQ70" i="1"/>
  <c r="CJ70" i="1"/>
  <c r="CL70" i="1"/>
  <c r="CI70" i="1"/>
  <c r="CK70" i="1"/>
  <c r="CH70" i="1"/>
  <c r="CP70" i="1"/>
  <c r="CN70" i="1"/>
  <c r="CR70" i="1"/>
  <c r="CM18" i="1"/>
  <c r="CL18" i="1"/>
  <c r="CH18" i="1"/>
  <c r="CI18" i="1"/>
  <c r="CR18" i="1"/>
  <c r="CQ18" i="1"/>
  <c r="CO18" i="1"/>
  <c r="CK18" i="1"/>
  <c r="CN18" i="1"/>
  <c r="CJ18" i="1"/>
  <c r="CP18" i="1"/>
  <c r="CG18" i="1"/>
  <c r="CM129" i="1"/>
  <c r="CN129" i="1"/>
  <c r="CP129" i="1"/>
  <c r="CL129" i="1"/>
  <c r="CG129" i="1"/>
  <c r="CR129" i="1"/>
  <c r="CK129" i="1"/>
  <c r="CJ129" i="1"/>
  <c r="CQ129" i="1"/>
  <c r="CH129" i="1"/>
  <c r="CO129" i="1"/>
  <c r="CI129" i="1"/>
  <c r="CQ133" i="1" l="1"/>
  <c r="CH133" i="1"/>
  <c r="CL133" i="1"/>
  <c r="CG133" i="1"/>
  <c r="CP133" i="1"/>
  <c r="CM133" i="1"/>
  <c r="CJ133" i="1"/>
  <c r="CK133" i="1"/>
  <c r="CO133" i="1"/>
  <c r="CI133" i="1"/>
  <c r="CR133" i="1"/>
  <c r="CN133" i="1"/>
</calcChain>
</file>

<file path=xl/sharedStrings.xml><?xml version="1.0" encoding="utf-8"?>
<sst xmlns="http://schemas.openxmlformats.org/spreadsheetml/2006/main" count="695" uniqueCount="314">
  <si>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</si>
  <si>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</si>
  <si>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</si>
  <si>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</si>
  <si>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</si>
  <si>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</si>
  <si>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</si>
  <si>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</si>
  <si>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</si>
  <si>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</si>
  <si>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</si>
  <si>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</si>
  <si>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</si>
  <si>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</si>
  <si>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</si>
  <si>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</si>
  <si>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</si>
  <si>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</si>
  <si>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</si>
  <si>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</si>
  <si>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</si>
  <si>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</si>
  <si>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</si>
  <si>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</si>
  <si>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</si>
  <si>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</si>
  <si>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</si>
  <si>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</si>
  <si>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</si>
  <si>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</si>
  <si>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</si>
  <si>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</si>
  <si>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</si>
  <si>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</si>
  <si>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</si>
  <si>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</si>
  <si>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</si>
  <si>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</si>
  <si>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</si>
  <si>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</si>
  <si>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</si>
  <si>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</si>
  <si>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</si>
  <si>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</si>
  <si>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</si>
  <si>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</si>
  <si>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</si>
  <si>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</si>
  <si>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</si>
  <si>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</si>
  <si>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</si>
  <si>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</si>
  <si>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</si>
  <si>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</si>
  <si>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</si>
  <si>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</si>
  <si>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</si>
  <si>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</si>
  <si>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</si>
  <si>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</si>
  <si>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</si>
  <si>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</si>
  <si>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</si>
  <si>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</si>
  <si>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</si>
  <si>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</si>
  <si>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</si>
  <si>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</si>
  <si>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</si>
  <si>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</si>
  <si>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</si>
  <si>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</si>
  <si>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</si>
  <si>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</si>
  <si>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</si>
  <si>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</si>
  <si>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</si>
  <si>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</si>
  <si>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</si>
  <si>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</si>
  <si>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</si>
  <si>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</si>
  <si>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</si>
  <si>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</si>
  <si>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</si>
  <si>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</si>
  <si>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</si>
  <si>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</si>
  <si>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</si>
  <si>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</si>
  <si>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</si>
  <si>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</si>
  <si>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</si>
  <si>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</si>
  <si>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</si>
  <si>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</si>
  <si>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</si>
  <si>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</si>
  <si>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</si>
  <si>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</si>
  <si>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</si>
  <si>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</si>
  <si>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</si>
  <si>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</si>
  <si>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</si>
  <si>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</si>
  <si>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</si>
  <si>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</si>
  <si>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</si>
  <si>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</si>
  <si>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</si>
  <si>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</si>
  <si>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</si>
  <si>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</si>
  <si>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</si>
  <si>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</si>
  <si>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</si>
  <si>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</si>
  <si>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</si>
  <si>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</si>
  <si>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</si>
  <si>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</si>
  <si>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</si>
  <si>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</si>
  <si>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</si>
  <si>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</si>
  <si>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</si>
  <si>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</si>
  <si>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</si>
  <si>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</si>
  <si>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</si>
  <si>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</si>
  <si>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</si>
  <si>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</si>
  <si>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</si>
  <si>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</si>
  <si>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</si>
  <si>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</si>
  <si>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</si>
  <si>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</si>
  <si>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</si>
  <si>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</si>
  <si>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</si>
  <si>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</si>
  <si>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</si>
  <si>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</si>
  <si>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</si>
  <si>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</si>
  <si>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</si>
  <si>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</si>
  <si>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</si>
  <si>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</si>
  <si>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</si>
  <si>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</si>
  <si>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</si>
  <si>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</si>
  <si>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</si>
  <si>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</si>
  <si>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</si>
  <si>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</si>
  <si>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</si>
  <si>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</si>
  <si>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</si>
  <si>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</si>
  <si>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</si>
  <si>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</si>
  <si>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</si>
  <si>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</si>
  <si>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</si>
  <si>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</si>
  <si>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</si>
  <si>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</si>
  <si>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</si>
  <si>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</si>
  <si>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</si>
  <si>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</si>
  <si>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</si>
  <si>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</si>
  <si>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</si>
  <si>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</si>
  <si>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</si>
  <si>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</si>
  <si>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</si>
  <si>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</si>
  <si>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</si>
  <si>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</si>
  <si>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</si>
  <si>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</si>
  <si>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</si>
  <si>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</si>
  <si>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</si>
  <si>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</si>
  <si>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</si>
  <si>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诸葛孔明</t>
    <phoneticPr fontId="1" type="noConversion"/>
  </si>
  <si>
    <t>诸葛孔明</t>
    <phoneticPr fontId="1" type="noConversion"/>
  </si>
  <si>
    <t>铁拐李</t>
    <phoneticPr fontId="1" type="noConversion"/>
  </si>
  <si>
    <t>莲藕大佛</t>
    <phoneticPr fontId="1" type="noConversion"/>
  </si>
  <si>
    <t>嘲风</t>
    <phoneticPr fontId="1" type="noConversion"/>
  </si>
  <si>
    <t>糯米(2),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</si>
  <si>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</si>
  <si>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</si>
  <si>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</si>
  <si>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</si>
  <si>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东皇钟(6),_x000D_
盘古斧(1),</t>
    <phoneticPr fontId="1" type="noConversion"/>
  </si>
  <si>
    <t>彗星(15),</t>
    <phoneticPr fontId="1" type="noConversion"/>
  </si>
  <si>
    <t>欠条中(4),_x000D_
筹码中(4),</t>
    <phoneticPr fontId="1" type="noConversion"/>
  </si>
  <si>
    <t>炼妖壶(19),_x000D_
轩辕剑(14),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</si>
  <si>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</si>
  <si>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</si>
  <si>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</si>
  <si>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欠条大(8),_x000D_
钱袋大(10),</t>
    <phoneticPr fontId="1" type="noConversion"/>
  </si>
  <si>
    <t>女娲石(3),_x000D_
骰子小(3),_x000D_
筹码小(5),_x000D_
庄家令牌中(3),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</si>
  <si>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</si>
  <si>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</si>
  <si>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</si>
  <si>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</si>
  <si>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</si>
  <si>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</si>
  <si>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</si>
  <si>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</si>
  <si>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</si>
  <si>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</si>
  <si>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</si>
  <si>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</si>
  <si>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</si>
  <si>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</si>
  <si>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</si>
  <si>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</si>
  <si>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</si>
  <si>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</si>
  <si>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</si>
  <si>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</si>
  <si>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成年</t>
    <phoneticPr fontId="1" type="noConversion"/>
  </si>
  <si>
    <t>敖顺</t>
    <phoneticPr fontId="1" type="noConversion"/>
  </si>
  <si>
    <t>螃蟹(5),</t>
    <phoneticPr fontId="1" type="noConversion"/>
  </si>
  <si>
    <t>愚山乾坤石(7),</t>
    <phoneticPr fontId="1" type="noConversion"/>
  </si>
  <si>
    <t>金甲虫(191),</t>
    <phoneticPr fontId="1" type="noConversion"/>
  </si>
  <si>
    <t>糯米(5),_x000D_
粽叶(1),</t>
    <phoneticPr fontId="1" type="noConversion"/>
  </si>
  <si>
    <t>炼妖壶(5),</t>
    <phoneticPr fontId="1" type="noConversion"/>
  </si>
  <si>
    <t>神农鼎(9),_x000D_
六方天运骰(1),</t>
    <phoneticPr fontId="1" type="noConversion"/>
  </si>
  <si>
    <t>太一之轮(20),_x000D_
幸运符文叉大(20),</t>
    <phoneticPr fontId="1" type="noConversion"/>
  </si>
  <si>
    <t>欠条大(8),_x000D_
骰子大(4),_x000D_
六方天运骰(1),</t>
    <phoneticPr fontId="1" type="noConversion"/>
  </si>
  <si>
    <t>神农鼎(5),_x000D_
秘窟冰晶卵(2),_x000D_
力量符文叉大(5),</t>
    <phoneticPr fontId="1" type="noConversion"/>
  </si>
  <si>
    <t>糯米(10),_x000D_
粽叶(10),_x000D_
龙灵不朽藤(2),</t>
    <phoneticPr fontId="1" type="noConversion"/>
  </si>
  <si>
    <t>钱袋大(10),_x000D_
筹码大(9),_x000D_
秘窟冰晶卵(2),</t>
    <phoneticPr fontId="1" type="noConversion"/>
  </si>
  <si>
    <t>女娲石(13),_x000D_
神农鼎(14),_x000D_
龙灵不朽藤(12),</t>
    <phoneticPr fontId="1" type="noConversion"/>
  </si>
  <si>
    <t>金钗(4),</t>
    <phoneticPr fontId="1" type="noConversion"/>
  </si>
  <si>
    <t>仙丹(5),</t>
    <phoneticPr fontId="1" type="noConversion"/>
  </si>
  <si>
    <t>桂花酒(5),</t>
    <phoneticPr fontId="1" type="noConversion"/>
  </si>
  <si>
    <t>愚山乾坤石(7),</t>
    <phoneticPr fontId="1" type="noConversion"/>
  </si>
  <si>
    <t>龙灵不朽藤(7),</t>
    <phoneticPr fontId="1" type="noConversion"/>
  </si>
  <si>
    <t>幸运符文叉大(10),</t>
    <phoneticPr fontId="1" type="noConversion"/>
  </si>
  <si>
    <t>太一之轮(20),</t>
    <phoneticPr fontId="1" type="noConversion"/>
  </si>
  <si>
    <t>炼妖壶(5),_x000D_
秘窟冰晶卵(2),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</si>
  <si>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</si>
  <si>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</si>
  <si>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炼妖壶(4),_x000D_
仙丹(5),</t>
    <phoneticPr fontId="1" type="noConversion"/>
  </si>
  <si>
    <t>桂花(5),_x000D_
桂花酒(5),</t>
    <phoneticPr fontId="1" type="noConversion"/>
  </si>
  <si>
    <t>崆峒印(1),_x000D_
幸运符文叉大(10),</t>
    <phoneticPr fontId="1" type="noConversion"/>
  </si>
  <si>
    <t>神农鼎(5),_x000D_
愚山乾坤石(7),</t>
    <phoneticPr fontId="1" type="noConversion"/>
  </si>
  <si>
    <t>女娲石(8),_x000D_
愚山乾坤石(7),</t>
    <phoneticPr fontId="1" type="noConversion"/>
  </si>
  <si>
    <t>太一之轮(6),_x000D_
幸运符文叉大(10),</t>
    <phoneticPr fontId="1" type="noConversion"/>
  </si>
  <si>
    <t>欠条大(8),_x000D_
钱袋大(10),</t>
    <phoneticPr fontId="1" type="noConversion"/>
  </si>
  <si>
    <t>六方天运骰(11),_x000D_
力量符文叉大(15),</t>
    <phoneticPr fontId="1" type="noConversion"/>
  </si>
  <si>
    <t>太一之轮(15),_x000D_
幸运符文叉大(15),</t>
    <phoneticPr fontId="1" type="noConversion"/>
  </si>
  <si>
    <t>女娲石(3),_x000D_
神农鼎(4),_x000D_
幸运符文叉大(5),</t>
    <phoneticPr fontId="1" type="noConversion"/>
  </si>
  <si>
    <t>女娲石(8),_x000D_
骰子大(4),_x000D_
庄家令牌大(6),</t>
    <phoneticPr fontId="1" type="noConversion"/>
  </si>
  <si>
    <t>太一之轮(5),_x000D_
糯米(5),_x000D_
粽叶(10),</t>
    <phoneticPr fontId="1" type="noConversion"/>
  </si>
  <si>
    <t>女娲石(8),_x000D_
彗星(25),_x000D_
魅力符文叉大(9),</t>
    <phoneticPr fontId="1" type="noConversion"/>
  </si>
  <si>
    <t>女娲石(18),_x000D_
神农鼎(19),_x000D_
幸运符文叉大(20),</t>
    <phoneticPr fontId="1" type="noConversion"/>
  </si>
  <si>
    <t>神农鼎(6),_x000D_
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</si>
  <si>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</si>
  <si>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</si>
  <si>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</si>
  <si>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</si>
  <si>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太一之轮(10),_x000D_
欠条大(8),_x000D_
骰子大(4),_x000D_
龙灵不朽藤(7),</t>
    <phoneticPr fontId="1" type="noConversion"/>
  </si>
  <si>
    <t>欠条小(8),_x000D_
钱袋小(9),_x000D_
骰子小(8),_x000D_
筹码小(10),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</si>
  <si>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</si>
  <si>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</si>
  <si>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</si>
  <si>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</si>
  <si>
    <t>神农鼎(5),</t>
    <phoneticPr fontId="1" type="noConversion"/>
  </si>
  <si>
    <t>秘窟冰晶卵(7),</t>
    <phoneticPr fontId="1" type="noConversion"/>
  </si>
  <si>
    <t>神农鼎(5),_x000D_
力量符文叉大(3),</t>
    <phoneticPr fontId="1" type="noConversion"/>
  </si>
  <si>
    <t>六方天运骰(1),_x000D_
魅力符文叉大(9),</t>
    <phoneticPr fontId="1" type="noConversion"/>
  </si>
  <si>
    <t>桂花(5),_x000D_
桂花酒(5),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</si>
  <si>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</si>
  <si>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</si>
  <si>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太一之轮(6),_x000D_
六方天运骰(1),_x000D_
幸运符文叉大(10),</t>
    <phoneticPr fontId="1" type="noConversion"/>
  </si>
  <si>
    <t>女娲石(8),_x000D_
骰子大(4),_x000D_
庄家令牌大(6),</t>
    <phoneticPr fontId="1" type="noConversion"/>
  </si>
  <si>
    <t>崆峒印(5),_x000D_
智慧符文叉大(1),_x000D_
魅力符文叉大(14),</t>
    <phoneticPr fontId="1" type="noConversion"/>
  </si>
  <si>
    <t>东皇钟(1),_x000D_
女娲石(13),_x000D_
愚山乾坤石(12),</t>
    <phoneticPr fontId="1" type="noConversion"/>
  </si>
  <si>
    <t>神农鼎(9),_x000D_
欠条大(8),_x000D_
钱袋大(10),</t>
    <phoneticPr fontId="1" type="noConversion"/>
  </si>
  <si>
    <t>女娲石(13),_x000D_
神农鼎(14),_x000D_
龙灵不朽藤(12),</t>
    <phoneticPr fontId="1" type="noConversion"/>
  </si>
  <si>
    <t>欠条中(4),_x000D_
骰子小(8),_x000D_
筹码中(4),_x000D_
庄家令牌小(2),</t>
    <phoneticPr fontId="1" type="noConversion"/>
  </si>
  <si>
    <t>金甲虫(41),</t>
    <phoneticPr fontId="1" type="noConversion"/>
  </si>
  <si>
    <t>太一之轮(6),_x000D_
秘窟冰晶卵(2),</t>
    <phoneticPr fontId="1" type="noConversion"/>
  </si>
  <si>
    <t>炼妖壶(5),_x000D_
龙灵不朽藤(7),</t>
    <phoneticPr fontId="1" type="noConversion"/>
  </si>
  <si>
    <t>金甲虫(6),_x000D_
魅力符文叉大(14),</t>
    <phoneticPr fontId="1" type="noConversion"/>
  </si>
  <si>
    <t>崆峒印(1),_x000D_
秘窟冰晶卵(2),_x000D_
魅力符文叉大(9),</t>
    <phoneticPr fontId="1" type="noConversion"/>
  </si>
  <si>
    <t>炼妖壶(5),_x000D_
太一之轮(6),_x000D_
六方天运骰(1),</t>
    <phoneticPr fontId="1" type="noConversion"/>
  </si>
  <si>
    <t>欠条中(6),_x000D_
欠条大(5),_x000D_
钱袋中(2),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</si>
  <si>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</si>
  <si>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</si>
  <si>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女娲石(4),_x000D_
神农鼎(5),_x000D_
龙灵不朽藤(7),</t>
    <phoneticPr fontId="1" type="noConversion"/>
  </si>
  <si>
    <t>钱袋大(10),_x000D_
筹码大(9),_x000D_
秘窟冰晶卵(2),</t>
    <phoneticPr fontId="1" type="noConversion"/>
  </si>
  <si>
    <t>炼妖壶(9),_x000D_
愚山乾坤石(7),_x000D_
力量符文叉大(10),</t>
    <phoneticPr fontId="1" type="noConversion"/>
  </si>
  <si>
    <t>女娲石(13),_x000D_
神农鼎(14),_x000D_
幸运符文叉大(15),</t>
    <phoneticPr fontId="1" type="noConversion"/>
  </si>
  <si>
    <t>赤焰十字星(29),_x000D_
力量符文叉大(35),_x000D_
逆鳞(3),</t>
    <phoneticPr fontId="1" type="noConversion"/>
  </si>
  <si>
    <t>神农鼎(9),_x000D_
欠条大(8),_x000D_
骰子大(4),_x000D_
愚山乾坤石(7),</t>
    <phoneticPr fontId="1" type="noConversion"/>
  </si>
  <si>
    <t>东皇钟(1),_x000D_
崆峒印(10),_x000D_
力量符文叉大(10),_x000D_
幸运符文叉大(15),</t>
    <phoneticPr fontId="1" type="noConversion"/>
  </si>
  <si>
    <t>女娲石(8),_x000D_
六方天运骰(6),_x000D_
魅力符文叉大(14),_x000D_
幸运符文叉大(15),</t>
    <phoneticPr fontId="1" type="noConversion"/>
  </si>
  <si>
    <t>炼妖壶(14),_x000D_
神农鼎(14),_x000D_
赤焰十字星(4),_x000D_
幸运符文叉大(15),</t>
    <phoneticPr fontId="1" type="noConversion"/>
  </si>
  <si>
    <t>呜呜少女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</si>
</sst>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139</xdr:row>
          <xdr:rowOff>28575</xdr:rowOff>
        </xdr:from>
        <xdr:to>
          <xdr:col>1</xdr:col>
          <xdr:colOff>428625</xdr:colOff>
          <xdr:row>140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9"/>
  <sheetViews>
    <sheetView tabSelected="1" workbookViewId="0">
      <pane xSplit="2" ySplit="1" topLeftCell="C11" activePane="bottomRight" state="frozen"/>
      <selection pane="topRight" activeCell="C1" sqref="C1"/>
      <selection pane="bottomLeft" activeCell="A3" sqref="A3"/>
      <selection pane="bottomRight" activeCell="B34" sqref="B3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85</v>
      </c>
      <c r="B1" s="8" t="s">
        <v>86</v>
      </c>
      <c r="C1" s="8" t="s">
        <v>88</v>
      </c>
      <c r="D1" s="8" t="s">
        <v>87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27" t="s">
        <v>127</v>
      </c>
      <c r="Q1" s="27" t="s">
        <v>139</v>
      </c>
      <c r="R1" s="27" t="s">
        <v>133</v>
      </c>
      <c r="S1" s="27" t="s">
        <v>128</v>
      </c>
      <c r="T1" s="27" t="s">
        <v>137</v>
      </c>
      <c r="U1" s="27" t="s">
        <v>143</v>
      </c>
      <c r="V1" s="27" t="s">
        <v>129</v>
      </c>
      <c r="W1" s="27" t="s">
        <v>136</v>
      </c>
      <c r="X1" s="27" t="s">
        <v>134</v>
      </c>
      <c r="Y1" s="27" t="s">
        <v>130</v>
      </c>
      <c r="Z1" s="27" t="s">
        <v>138</v>
      </c>
      <c r="AA1" s="27" t="s">
        <v>145</v>
      </c>
      <c r="AB1" s="27" t="s">
        <v>132</v>
      </c>
      <c r="AC1" s="27" t="s">
        <v>131</v>
      </c>
      <c r="AD1" s="27" t="s">
        <v>156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115</v>
      </c>
      <c r="AP1" s="8" t="s">
        <v>116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5" t="s">
        <v>112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93</v>
      </c>
      <c r="BQ1" s="8" t="s">
        <v>94</v>
      </c>
      <c r="BR1" s="16" t="s">
        <v>95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31" si="0">SUM(E2:BO2)</f>
        <v>80</v>
      </c>
      <c r="BQ2" s="1">
        <v>0</v>
      </c>
      <c r="BR2" s="17">
        <v>0</v>
      </c>
      <c r="BS2" s="17"/>
      <c r="BT2" s="1" t="str">
        <f>IF(AQ2&gt;AQ$133, AQ2-AQ$133,"")</f>
        <v/>
      </c>
      <c r="BU2" s="1" t="str">
        <f>IF(AR2&gt;AR$133, AR2-AR$133,"")</f>
        <v/>
      </c>
      <c r="BV2" s="1" t="str">
        <f>IF(AS2&gt;AS$133, AS2-AS$133,"")</f>
        <v/>
      </c>
      <c r="BW2" s="1" t="str">
        <f>IF(AT2&gt;AT$133, AT2-AT$133,"")</f>
        <v/>
      </c>
      <c r="BX2" s="1" t="str">
        <f>IF(AU2&gt;AU$133, AU2-AU$133,"")</f>
        <v/>
      </c>
      <c r="BY2" s="1" t="str">
        <f>IF(AV2&gt;AV$133, AV2-AV$133,"")</f>
        <v/>
      </c>
      <c r="BZ2" s="1" t="str">
        <f>IF(AW2&gt;AW$133, AW2-AW$133,"")</f>
        <v/>
      </c>
      <c r="CA2" s="1" t="str">
        <f>IF(AX2&gt;AX$133, AX2-AX$133,"")</f>
        <v/>
      </c>
      <c r="CB2" s="1" t="str">
        <f>IF(AY2&gt;AY$133, AY2-AY$133,"")</f>
        <v/>
      </c>
      <c r="CC2" s="1" t="str">
        <f>IF(AZ2&gt;AZ$133, AZ2-AZ$133,"")</f>
        <v/>
      </c>
      <c r="CD2" s="1" t="str">
        <f>IF(BA2&gt;BA$133, BA2-BA$133,"")</f>
        <v/>
      </c>
      <c r="CE2" s="1" t="str">
        <f>IF(BB2&gt;BB$133, BB2-BB$133,"")</f>
        <v/>
      </c>
      <c r="CF2" s="1">
        <f>12-COUNTA(BT2:CE2)</f>
        <v>0</v>
      </c>
      <c r="CG2" s="1" t="str">
        <f t="shared" ref="CG2:CR5" si="1">IF($CF2=1,BT2,"")</f>
        <v/>
      </c>
      <c r="CH2" s="1" t="str">
        <f t="shared" si="1"/>
        <v/>
      </c>
      <c r="CI2" s="1" t="str">
        <f t="shared" si="1"/>
        <v/>
      </c>
      <c r="CJ2" s="1" t="str">
        <f t="shared" si="1"/>
        <v/>
      </c>
      <c r="CK2" s="1" t="str">
        <f t="shared" si="1"/>
        <v/>
      </c>
      <c r="CL2" s="1" t="str">
        <f t="shared" si="1"/>
        <v/>
      </c>
      <c r="CM2" s="1" t="str">
        <f t="shared" si="1"/>
        <v/>
      </c>
      <c r="CN2" s="1" t="str">
        <f t="shared" si="1"/>
        <v/>
      </c>
      <c r="CO2" s="1" t="str">
        <f t="shared" si="1"/>
        <v/>
      </c>
      <c r="CP2" s="1" t="str">
        <f t="shared" si="1"/>
        <v/>
      </c>
      <c r="CQ2" s="1" t="str">
        <f t="shared" si="1"/>
        <v/>
      </c>
      <c r="CR2" s="1" t="str">
        <f t="shared" si="1"/>
        <v/>
      </c>
      <c r="CS2" s="3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IF(AQ3&gt;AQ$133, AQ3-AQ$133,"")</f>
        <v/>
      </c>
      <c r="BU3" s="1" t="str">
        <f>IF(AR3&gt;AR$133, AR3-AR$133,"")</f>
        <v/>
      </c>
      <c r="BV3" s="1" t="str">
        <f>IF(AS3&gt;AS$133, AS3-AS$133,"")</f>
        <v/>
      </c>
      <c r="BW3" s="1" t="str">
        <f>IF(AT3&gt;AT$133, AT3-AT$133,"")</f>
        <v/>
      </c>
      <c r="BX3" s="1" t="str">
        <f>IF(AU3&gt;AU$133, AU3-AU$133,"")</f>
        <v/>
      </c>
      <c r="BY3" s="1" t="str">
        <f>IF(AV3&gt;AV$133, AV3-AV$133,"")</f>
        <v/>
      </c>
      <c r="BZ3" s="1" t="str">
        <f>IF(AW3&gt;AW$133, AW3-AW$133,"")</f>
        <v/>
      </c>
      <c r="CA3" s="1" t="str">
        <f>IF(AX3&gt;AX$133, AX3-AX$133,"")</f>
        <v/>
      </c>
      <c r="CB3" s="1" t="str">
        <f>IF(AY3&gt;AY$133, AY3-AY$133,"")</f>
        <v/>
      </c>
      <c r="CC3" s="1" t="str">
        <f>IF(AZ3&gt;AZ$133, AZ3-AZ$133,"")</f>
        <v/>
      </c>
      <c r="CD3" s="1" t="str">
        <f>IF(BA3&gt;BA$133, BA3-BA$133,"")</f>
        <v/>
      </c>
      <c r="CE3" s="1" t="str">
        <f>IF(BB3&gt;BB$133, BB3-BB$133,"")</f>
        <v/>
      </c>
      <c r="CF3" s="1">
        <f>12-COUNTA(BT3:CE3)</f>
        <v>0</v>
      </c>
      <c r="CG3" s="1" t="str">
        <f t="shared" si="1"/>
        <v/>
      </c>
      <c r="CH3" s="1" t="str">
        <f t="shared" si="1"/>
        <v/>
      </c>
      <c r="CI3" s="1" t="str">
        <f t="shared" si="1"/>
        <v/>
      </c>
      <c r="CJ3" s="1" t="str">
        <f t="shared" si="1"/>
        <v/>
      </c>
      <c r="CK3" s="1" t="str">
        <f t="shared" si="1"/>
        <v/>
      </c>
      <c r="CL3" s="1" t="str">
        <f t="shared" si="1"/>
        <v/>
      </c>
      <c r="CM3" s="1" t="str">
        <f t="shared" si="1"/>
        <v/>
      </c>
      <c r="CN3" s="1" t="str">
        <f t="shared" si="1"/>
        <v/>
      </c>
      <c r="CO3" s="1" t="str">
        <f t="shared" si="1"/>
        <v/>
      </c>
      <c r="CP3" s="1" t="str">
        <f t="shared" si="1"/>
        <v/>
      </c>
      <c r="CQ3" s="1" t="str">
        <f t="shared" si="1"/>
        <v/>
      </c>
      <c r="CR3" s="1" t="str">
        <f t="shared" si="1"/>
        <v/>
      </c>
      <c r="CS3" s="3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IF(AQ4&gt;AQ$133, AQ4-AQ$133,"")</f>
        <v/>
      </c>
      <c r="BU4" s="1" t="str">
        <f>IF(AR4&gt;AR$133, AR4-AR$133,"")</f>
        <v/>
      </c>
      <c r="BV4" s="1" t="str">
        <f>IF(AS4&gt;AS$133, AS4-AS$133,"")</f>
        <v/>
      </c>
      <c r="BW4" s="1" t="str">
        <f>IF(AT4&gt;AT$133, AT4-AT$133,"")</f>
        <v/>
      </c>
      <c r="BX4" s="1" t="str">
        <f>IF(AU4&gt;AU$133, AU4-AU$133,"")</f>
        <v/>
      </c>
      <c r="BY4" s="1" t="str">
        <f>IF(AV4&gt;AV$133, AV4-AV$133,"")</f>
        <v/>
      </c>
      <c r="BZ4" s="1" t="str">
        <f>IF(AW4&gt;AW$133, AW4-AW$133,"")</f>
        <v/>
      </c>
      <c r="CA4" s="1" t="str">
        <f>IF(AX4&gt;AX$133, AX4-AX$133,"")</f>
        <v/>
      </c>
      <c r="CB4" s="1" t="str">
        <f>IF(AY4&gt;AY$133, AY4-AY$133,"")</f>
        <v/>
      </c>
      <c r="CC4" s="1" t="str">
        <f>IF(AZ4&gt;AZ$133, AZ4-AZ$133,"")</f>
        <v/>
      </c>
      <c r="CD4" s="1" t="str">
        <f>IF(BA4&gt;BA$133, BA4-BA$133,"")</f>
        <v/>
      </c>
      <c r="CE4" s="1" t="str">
        <f>IF(BB4&gt;BB$133, BB4-BB$133,"")</f>
        <v/>
      </c>
      <c r="CF4" s="1">
        <f>12-COUNTA(BT4:CE4)</f>
        <v>0</v>
      </c>
      <c r="CG4" s="1" t="str">
        <f t="shared" si="1"/>
        <v/>
      </c>
      <c r="CH4" s="1" t="str">
        <f t="shared" si="1"/>
        <v/>
      </c>
      <c r="CI4" s="1" t="str">
        <f t="shared" si="1"/>
        <v/>
      </c>
      <c r="CJ4" s="1" t="str">
        <f t="shared" si="1"/>
        <v/>
      </c>
      <c r="CK4" s="1" t="str">
        <f t="shared" si="1"/>
        <v/>
      </c>
      <c r="CL4" s="1" t="str">
        <f t="shared" si="1"/>
        <v/>
      </c>
      <c r="CM4" s="1" t="str">
        <f t="shared" si="1"/>
        <v/>
      </c>
      <c r="CN4" s="1" t="str">
        <f t="shared" si="1"/>
        <v/>
      </c>
      <c r="CO4" s="1" t="str">
        <f t="shared" si="1"/>
        <v/>
      </c>
      <c r="CP4" s="1" t="str">
        <f t="shared" si="1"/>
        <v/>
      </c>
      <c r="CQ4" s="1" t="str">
        <f t="shared" si="1"/>
        <v/>
      </c>
      <c r="CR4" s="1" t="str">
        <f t="shared" si="1"/>
        <v/>
      </c>
      <c r="CS4" s="3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IF(AQ5&gt;AQ$133, AQ5-AQ$133,"")</f>
        <v/>
      </c>
      <c r="BU5" s="1" t="str">
        <f>IF(AR5&gt;AR$133, AR5-AR$133,"")</f>
        <v/>
      </c>
      <c r="BV5" s="1" t="str">
        <f>IF(AS5&gt;AS$133, AS5-AS$133,"")</f>
        <v/>
      </c>
      <c r="BW5" s="1" t="str">
        <f>IF(AT5&gt;AT$133, AT5-AT$133,"")</f>
        <v/>
      </c>
      <c r="BX5" s="1" t="str">
        <f>IF(AU5&gt;AU$133, AU5-AU$133,"")</f>
        <v/>
      </c>
      <c r="BY5" s="1" t="str">
        <f>IF(AV5&gt;AV$133, AV5-AV$133,"")</f>
        <v/>
      </c>
      <c r="BZ5" s="1" t="str">
        <f>IF(AW5&gt;AW$133, AW5-AW$133,"")</f>
        <v/>
      </c>
      <c r="CA5" s="1" t="str">
        <f>IF(AX5&gt;AX$133, AX5-AX$133,"")</f>
        <v/>
      </c>
      <c r="CB5" s="1" t="str">
        <f>IF(AY5&gt;AY$133, AY5-AY$133,"")</f>
        <v/>
      </c>
      <c r="CC5" s="1" t="str">
        <f>IF(AZ5&gt;AZ$133, AZ5-AZ$133,"")</f>
        <v/>
      </c>
      <c r="CD5" s="1" t="str">
        <f>IF(BA5&gt;BA$133, BA5-BA$133,"")</f>
        <v/>
      </c>
      <c r="CE5" s="1" t="str">
        <f>IF(BB5&gt;BB$133, BB5-BB$133,"")</f>
        <v/>
      </c>
      <c r="CF5" s="1">
        <f>12-COUNTA(BT5:CE5)</f>
        <v>0</v>
      </c>
      <c r="CG5" s="1" t="str">
        <f t="shared" si="1"/>
        <v/>
      </c>
      <c r="CH5" s="1" t="str">
        <f t="shared" si="1"/>
        <v/>
      </c>
      <c r="CI5" s="1" t="str">
        <f t="shared" si="1"/>
        <v/>
      </c>
      <c r="CJ5" s="1" t="str">
        <f t="shared" si="1"/>
        <v/>
      </c>
      <c r="CK5" s="1" t="str">
        <f t="shared" si="1"/>
        <v/>
      </c>
      <c r="CL5" s="1" t="str">
        <f t="shared" si="1"/>
        <v/>
      </c>
      <c r="CM5" s="1" t="str">
        <f t="shared" si="1"/>
        <v/>
      </c>
      <c r="CN5" s="1" t="str">
        <f t="shared" si="1"/>
        <v/>
      </c>
      <c r="CO5" s="1" t="str">
        <f t="shared" si="1"/>
        <v/>
      </c>
      <c r="CP5" s="1" t="str">
        <f t="shared" si="1"/>
        <v/>
      </c>
      <c r="CQ5" s="1" t="str">
        <f t="shared" si="1"/>
        <v/>
      </c>
      <c r="CR5" s="1" t="str">
        <f t="shared" si="1"/>
        <v/>
      </c>
      <c r="CS5" s="3">
        <f>SUM(AE5:BO5)</f>
        <v>80</v>
      </c>
    </row>
    <row r="6" spans="1:97" s="23" customFormat="1" x14ac:dyDescent="0.15">
      <c r="A6" s="1"/>
      <c r="B6" s="1" t="s">
        <v>109</v>
      </c>
      <c r="C6" s="1" t="s">
        <v>110</v>
      </c>
      <c r="D6" s="1" t="s">
        <v>108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 t="shared" si="0"/>
        <v>80</v>
      </c>
      <c r="BQ6" s="1">
        <v>0</v>
      </c>
      <c r="BR6" s="17">
        <v>0</v>
      </c>
      <c r="BS6" s="17"/>
      <c r="BT6" s="1" t="str">
        <f>IF(AQ6&gt;AQ$133, AQ6-AQ$133,"")</f>
        <v/>
      </c>
      <c r="BU6" s="1" t="str">
        <f>IF(AR6&gt;AR$133, AR6-AR$133,"")</f>
        <v/>
      </c>
      <c r="BV6" s="1" t="str">
        <f>IF(AS6&gt;AS$133, AS6-AS$133,"")</f>
        <v/>
      </c>
      <c r="BW6" s="1" t="str">
        <f>IF(AT6&gt;AT$133, AT6-AT$133,"")</f>
        <v/>
      </c>
      <c r="BX6" s="1" t="str">
        <f>IF(AU6&gt;AU$133, AU6-AU$133,"")</f>
        <v/>
      </c>
      <c r="BY6" s="1" t="str">
        <f>IF(AV6&gt;AV$133, AV6-AV$133,"")</f>
        <v/>
      </c>
      <c r="BZ6" s="1" t="str">
        <f>IF(AW6&gt;AW$133, AW6-AW$133,"")</f>
        <v/>
      </c>
      <c r="CA6" s="1" t="str">
        <f>IF(AX6&gt;AX$133, AX6-AX$133,"")</f>
        <v/>
      </c>
      <c r="CB6" s="1" t="str">
        <f>IF(AY6&gt;AY$133, AY6-AY$133,"")</f>
        <v/>
      </c>
      <c r="CC6" s="1" t="str">
        <f>IF(AZ6&gt;AZ$133, AZ6-AZ$133,"")</f>
        <v/>
      </c>
      <c r="CD6" s="1" t="str">
        <f>IF(BA6&gt;BA$133, BA6-BA$133,"")</f>
        <v/>
      </c>
      <c r="CE6" s="1" t="str">
        <f>IF(BB6&gt;BB$133, BB6-BB$133,"")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176</v>
      </c>
      <c r="C7" s="1" t="s">
        <v>118</v>
      </c>
      <c r="D7" s="1" t="s">
        <v>108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 t="shared" si="0"/>
        <v>80</v>
      </c>
      <c r="BQ7" s="1">
        <v>0</v>
      </c>
      <c r="BR7" s="17">
        <v>0</v>
      </c>
      <c r="BS7" s="17"/>
      <c r="BT7" s="1" t="str">
        <f>IF(AQ7&gt;AQ$133, AQ7-AQ$133,"")</f>
        <v/>
      </c>
      <c r="BU7" s="1" t="str">
        <f>IF(AR7&gt;AR$133, AR7-AR$133,"")</f>
        <v/>
      </c>
      <c r="BV7" s="1" t="str">
        <f>IF(AS7&gt;AS$133, AS7-AS$133,"")</f>
        <v/>
      </c>
      <c r="BW7" s="1" t="str">
        <f>IF(AT7&gt;AT$133, AT7-AT$133,"")</f>
        <v/>
      </c>
      <c r="BX7" s="1" t="str">
        <f>IF(AU7&gt;AU$133, AU7-AU$133,"")</f>
        <v/>
      </c>
      <c r="BY7" s="1" t="str">
        <f>IF(AV7&gt;AV$133, AV7-AV$133,"")</f>
        <v/>
      </c>
      <c r="BZ7" s="1" t="str">
        <f>IF(AW7&gt;AW$133, AW7-AW$133,"")</f>
        <v/>
      </c>
      <c r="CA7" s="1" t="str">
        <f>IF(AX7&gt;AX$133, AX7-AX$133,"")</f>
        <v/>
      </c>
      <c r="CB7" s="1" t="str">
        <f>IF(AY7&gt;AY$133, AY7-AY$133,"")</f>
        <v/>
      </c>
      <c r="CC7" s="1" t="str">
        <f>IF(AZ7&gt;AZ$133, AZ7-AZ$133,"")</f>
        <v/>
      </c>
      <c r="CD7" s="1" t="str">
        <f>IF(BA7&gt;BA$133, BA7-BA$133,"")</f>
        <v/>
      </c>
      <c r="CE7" s="1" t="str">
        <f>IF(BB7&gt;BB$133, BB7-BB$133,"")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184</v>
      </c>
      <c r="C8" s="1" t="s">
        <v>106</v>
      </c>
      <c r="D8" s="1" t="s">
        <v>108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 t="shared" si="0"/>
        <v>80</v>
      </c>
      <c r="BQ8" s="1">
        <v>0</v>
      </c>
      <c r="BR8" s="17">
        <v>0</v>
      </c>
      <c r="BS8" s="17"/>
      <c r="BT8" s="1" t="str">
        <f>IF(AQ8&gt;AQ$133, AQ8-AQ$133,"")</f>
        <v/>
      </c>
      <c r="BU8" s="1" t="str">
        <f>IF(AR8&gt;AR$133, AR8-AR$133,"")</f>
        <v/>
      </c>
      <c r="BV8" s="1" t="str">
        <f>IF(AS8&gt;AS$133, AS8-AS$133,"")</f>
        <v/>
      </c>
      <c r="BW8" s="1" t="str">
        <f>IF(AT8&gt;AT$133, AT8-AT$133,"")</f>
        <v/>
      </c>
      <c r="BX8" s="1" t="str">
        <f>IF(AU8&gt;AU$133, AU8-AU$133,"")</f>
        <v/>
      </c>
      <c r="BY8" s="1" t="str">
        <f>IF(AV8&gt;AV$133, AV8-AV$133,"")</f>
        <v/>
      </c>
      <c r="BZ8" s="1" t="str">
        <f>IF(AW8&gt;AW$133, AW8-AW$133,"")</f>
        <v/>
      </c>
      <c r="CA8" s="1" t="str">
        <f>IF(AX8&gt;AX$133, AX8-AX$133,"")</f>
        <v/>
      </c>
      <c r="CB8" s="1" t="str">
        <f>IF(AY8&gt;AY$133, AY8-AY$133,"")</f>
        <v/>
      </c>
      <c r="CC8" s="1" t="str">
        <f>IF(AZ8&gt;AZ$133, AZ8-AZ$133,"")</f>
        <v/>
      </c>
      <c r="CD8" s="1" t="str">
        <f>IF(BA8&gt;BA$133, BA8-BA$133,"")</f>
        <v/>
      </c>
      <c r="CE8" s="1" t="str">
        <f>IF(BB8&gt;BB$133, BB8-BB$133,"")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5</v>
      </c>
      <c r="BQ9" s="1">
        <v>0</v>
      </c>
      <c r="BR9" s="17">
        <v>0</v>
      </c>
      <c r="BS9" s="17"/>
      <c r="BT9" s="1" t="str">
        <f>IF(AQ9&gt;AQ$133, AQ9-AQ$133,"")</f>
        <v/>
      </c>
      <c r="BU9" s="1" t="str">
        <f>IF(AR9&gt;AR$133, AR9-AR$133,"")</f>
        <v/>
      </c>
      <c r="BV9" s="1" t="str">
        <f>IF(AS9&gt;AS$133, AS9-AS$133,"")</f>
        <v/>
      </c>
      <c r="BW9" s="1" t="str">
        <f>IF(AT9&gt;AT$133, AT9-AT$133,"")</f>
        <v/>
      </c>
      <c r="BX9" s="1" t="str">
        <f>IF(AU9&gt;AU$133, AU9-AU$133,"")</f>
        <v/>
      </c>
      <c r="BY9" s="1" t="str">
        <f>IF(AV9&gt;AV$133, AV9-AV$133,"")</f>
        <v/>
      </c>
      <c r="BZ9" s="1" t="str">
        <f>IF(AW9&gt;AW$133, AW9-AW$133,"")</f>
        <v/>
      </c>
      <c r="CA9" s="1" t="str">
        <f>IF(AX9&gt;AX$133, AX9-AX$133,"")</f>
        <v/>
      </c>
      <c r="CB9" s="1" t="str">
        <f>IF(AY9&gt;AY$133, AY9-AY$133,"")</f>
        <v/>
      </c>
      <c r="CC9" s="1" t="str">
        <f>IF(AZ9&gt;AZ$133, AZ9-AZ$133,"")</f>
        <v/>
      </c>
      <c r="CD9" s="1" t="str">
        <f>IF(BA9&gt;BA$133, BA9-BA$133,"")</f>
        <v/>
      </c>
      <c r="CE9" s="1" t="str">
        <f>IF(BB9&gt;BB$133, BB9-BB$133,"")</f>
        <v/>
      </c>
      <c r="CF9" s="1">
        <f>COUNTIF(BT9:CE9, "&gt;0")</f>
        <v>0</v>
      </c>
      <c r="CG9" s="1" t="str">
        <f t="shared" ref="CG9:CR9" si="2">IF($CF9=1,BT9,"")</f>
        <v/>
      </c>
      <c r="CH9" s="1" t="str">
        <f t="shared" si="2"/>
        <v/>
      </c>
      <c r="CI9" s="1" t="str">
        <f t="shared" si="2"/>
        <v/>
      </c>
      <c r="CJ9" s="1" t="str">
        <f t="shared" si="2"/>
        <v/>
      </c>
      <c r="CK9" s="1" t="str">
        <f t="shared" si="2"/>
        <v/>
      </c>
      <c r="CL9" s="1" t="str">
        <f t="shared" si="2"/>
        <v/>
      </c>
      <c r="CM9" s="1" t="str">
        <f t="shared" si="2"/>
        <v/>
      </c>
      <c r="CN9" s="1" t="str">
        <f t="shared" si="2"/>
        <v/>
      </c>
      <c r="CO9" s="1" t="str">
        <f t="shared" si="2"/>
        <v/>
      </c>
      <c r="CP9" s="1" t="str">
        <f t="shared" si="2"/>
        <v/>
      </c>
      <c r="CQ9" s="1" t="str">
        <f t="shared" si="2"/>
        <v/>
      </c>
      <c r="CR9" s="1" t="str">
        <f t="shared" si="2"/>
        <v/>
      </c>
      <c r="CS9" s="3">
        <f>SUM(AE9:BO9)</f>
        <v>5</v>
      </c>
    </row>
    <row r="10" spans="1:97" x14ac:dyDescent="0.15">
      <c r="A10" s="1"/>
      <c r="B10" s="1" t="s">
        <v>117</v>
      </c>
      <c r="C10" s="1" t="s">
        <v>110</v>
      </c>
      <c r="D10" s="1" t="s">
        <v>114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>
        <v>2</v>
      </c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2</v>
      </c>
      <c r="BQ10" s="1">
        <v>2</v>
      </c>
      <c r="BR10" s="17">
        <v>1</v>
      </c>
      <c r="BS10" s="17" t="s">
        <v>198</v>
      </c>
      <c r="BT10" s="1" t="str">
        <f>IF(AQ10&gt;AQ$133, AQ10-AQ$133,"")</f>
        <v/>
      </c>
      <c r="BU10" s="1" t="str">
        <f>IF(AR10&gt;AR$133, AR10-AR$133,"")</f>
        <v/>
      </c>
      <c r="BV10" s="1" t="str">
        <f>IF(AS10&gt;AS$133, AS10-AS$133,"")</f>
        <v/>
      </c>
      <c r="BW10" s="1" t="str">
        <f>IF(AT10&gt;AT$133, AT10-AT$133,"")</f>
        <v/>
      </c>
      <c r="BX10" s="1" t="str">
        <f>IF(AU10&gt;AU$133, AU10-AU$133,"")</f>
        <v/>
      </c>
      <c r="BY10" s="1" t="str">
        <f>IF(AV10&gt;AV$133, AV10-AV$133,"")</f>
        <v/>
      </c>
      <c r="BZ10" s="1" t="str">
        <f>IF(AW10&gt;AW$133, AW10-AW$133,"")</f>
        <v/>
      </c>
      <c r="CA10" s="1" t="str">
        <f>IF(AX10&gt;AX$133, AX10-AX$133,"")</f>
        <v/>
      </c>
      <c r="CB10" s="1" t="str">
        <f>IF(AY10&gt;AY$133, AY10-AY$133,"")</f>
        <v/>
      </c>
      <c r="CC10" s="1" t="str">
        <f>IF(AZ10&gt;AZ$133, AZ10-AZ$133,"")</f>
        <v/>
      </c>
      <c r="CD10" s="1" t="str">
        <f>IF(BA10&gt;BA$133, BA10-BA$133,"")</f>
        <v/>
      </c>
      <c r="CE10" s="1" t="str">
        <f>IF(BB10&gt;BB$133, BB10-BB$133,"")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>
        <v>62</v>
      </c>
      <c r="B11" s="1" t="s">
        <v>104</v>
      </c>
      <c r="C11" s="1" t="s">
        <v>56</v>
      </c>
      <c r="D11" s="1" t="s">
        <v>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>
        <v>15</v>
      </c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0"/>
        <v>15</v>
      </c>
      <c r="BQ11" s="1">
        <v>4</v>
      </c>
      <c r="BR11" s="17">
        <v>1</v>
      </c>
      <c r="BS11" s="17" t="s">
        <v>246</v>
      </c>
      <c r="BT11" s="1" t="str">
        <f>IF(AQ11&gt;AQ$133, AQ11-AQ$133,"")</f>
        <v/>
      </c>
      <c r="BU11" s="1" t="str">
        <f>IF(AR11&gt;AR$133, AR11-AR$133,"")</f>
        <v/>
      </c>
      <c r="BV11" s="1" t="str">
        <f>IF(AS11&gt;AS$133, AS11-AS$133,"")</f>
        <v/>
      </c>
      <c r="BW11" s="1" t="str">
        <f>IF(AT11&gt;AT$133, AT11-AT$133,"")</f>
        <v/>
      </c>
      <c r="BX11" s="1" t="str">
        <f>IF(AU11&gt;AU$133, AU11-AU$133,"")</f>
        <v/>
      </c>
      <c r="BY11" s="1" t="str">
        <f>IF(AV11&gt;AV$133, AV11-AV$133,"")</f>
        <v/>
      </c>
      <c r="BZ11" s="1" t="str">
        <f>IF(AW11&gt;AW$133, AW11-AW$133,"")</f>
        <v/>
      </c>
      <c r="CA11" s="1" t="str">
        <f>IF(AX11&gt;AX$133, AX11-AX$133,"")</f>
        <v/>
      </c>
      <c r="CB11" s="1" t="str">
        <f>IF(AY11&gt;AY$133, AY11-AY$133,"")</f>
        <v/>
      </c>
      <c r="CC11" s="1" t="str">
        <f>IF(AZ11&gt;AZ$133, AZ11-AZ$133,"")</f>
        <v/>
      </c>
      <c r="CD11" s="1" t="str">
        <f>IF(BA11&gt;BA$133, BA11-BA$133,"")</f>
        <v/>
      </c>
      <c r="CE11" s="1" t="str">
        <f>IF(BB11&gt;BB$133, BB11-BB$133,"")</f>
        <v/>
      </c>
      <c r="CF11" s="1">
        <f t="shared" ref="CF11:CF18" si="3">COUNTIF(BT11:CE11, "&gt;0")</f>
        <v>0</v>
      </c>
      <c r="CG11" s="1" t="str">
        <f t="shared" ref="CG11:CR18" si="4">IF($CF11=1,BT11,"")</f>
        <v/>
      </c>
      <c r="CH11" s="1" t="str">
        <f t="shared" si="4"/>
        <v/>
      </c>
      <c r="CI11" s="1" t="str">
        <f t="shared" si="4"/>
        <v/>
      </c>
      <c r="CJ11" s="1" t="str">
        <f t="shared" si="4"/>
        <v/>
      </c>
      <c r="CK11" s="1" t="str">
        <f t="shared" si="4"/>
        <v/>
      </c>
      <c r="CL11" s="1" t="str">
        <f t="shared" si="4"/>
        <v/>
      </c>
      <c r="CM11" s="1" t="str">
        <f t="shared" si="4"/>
        <v/>
      </c>
      <c r="CN11" s="1" t="str">
        <f t="shared" si="4"/>
        <v/>
      </c>
      <c r="CO11" s="1" t="str">
        <f t="shared" si="4"/>
        <v/>
      </c>
      <c r="CP11" s="1" t="str">
        <f t="shared" si="4"/>
        <v/>
      </c>
      <c r="CQ11" s="1" t="str">
        <f t="shared" si="4"/>
        <v/>
      </c>
      <c r="CR11" s="1" t="str">
        <f t="shared" si="4"/>
        <v/>
      </c>
      <c r="CS11" s="3">
        <f t="shared" ref="CS11:CS18" si="5">SUM(AE11:BO11)</f>
        <v>15</v>
      </c>
    </row>
    <row r="12" spans="1:97" x14ac:dyDescent="0.15">
      <c r="A12" s="1">
        <v>17</v>
      </c>
      <c r="B12" s="1" t="s">
        <v>34</v>
      </c>
      <c r="C12" s="1" t="s">
        <v>31</v>
      </c>
      <c r="D12" s="1" t="s">
        <v>24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>
        <v>5</v>
      </c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5</v>
      </c>
      <c r="BQ12" s="1">
        <v>5</v>
      </c>
      <c r="BR12" s="17">
        <v>1</v>
      </c>
      <c r="BS12" s="17" t="s">
        <v>234</v>
      </c>
      <c r="BT12" s="1" t="str">
        <f>IF(AQ12&gt;AQ$133, AQ12-AQ$133,"")</f>
        <v/>
      </c>
      <c r="BU12" s="1" t="str">
        <f>IF(AR12&gt;AR$133, AR12-AR$133,"")</f>
        <v/>
      </c>
      <c r="BV12" s="1" t="str">
        <f>IF(AS12&gt;AS$133, AS12-AS$133,"")</f>
        <v/>
      </c>
      <c r="BW12" s="1" t="str">
        <f>IF(AT12&gt;AT$133, AT12-AT$133,"")</f>
        <v/>
      </c>
      <c r="BX12" s="1" t="str">
        <f>IF(AU12&gt;AU$133, AU12-AU$133,"")</f>
        <v/>
      </c>
      <c r="BY12" s="1" t="str">
        <f>IF(AV12&gt;AV$133, AV12-AV$133,"")</f>
        <v/>
      </c>
      <c r="BZ12" s="1" t="str">
        <f>IF(AW12&gt;AW$133, AW12-AW$133,"")</f>
        <v/>
      </c>
      <c r="CA12" s="1" t="str">
        <f>IF(AX12&gt;AX$133, AX12-AX$133,"")</f>
        <v/>
      </c>
      <c r="CB12" s="1" t="str">
        <f>IF(AY12&gt;AY$133, AY12-AY$133,"")</f>
        <v/>
      </c>
      <c r="CC12" s="1" t="str">
        <f>IF(AZ12&gt;AZ$133, AZ12-AZ$133,"")</f>
        <v/>
      </c>
      <c r="CD12" s="1" t="str">
        <f>IF(BA12&gt;BA$133, BA12-BA$133,"")</f>
        <v/>
      </c>
      <c r="CE12" s="1" t="str">
        <f>IF(BB12&gt;BB$133, BB12-BB$133,"")</f>
        <v/>
      </c>
      <c r="CF12" s="1">
        <f t="shared" si="3"/>
        <v>0</v>
      </c>
      <c r="CG12" s="1" t="str">
        <f t="shared" si="4"/>
        <v/>
      </c>
      <c r="CH12" s="1" t="str">
        <f t="shared" si="4"/>
        <v/>
      </c>
      <c r="CI12" s="1" t="str">
        <f t="shared" si="4"/>
        <v/>
      </c>
      <c r="CJ12" s="1" t="str">
        <f t="shared" si="4"/>
        <v/>
      </c>
      <c r="CK12" s="1" t="str">
        <f t="shared" si="4"/>
        <v/>
      </c>
      <c r="CL12" s="1" t="str">
        <f t="shared" si="4"/>
        <v/>
      </c>
      <c r="CM12" s="1" t="str">
        <f t="shared" si="4"/>
        <v/>
      </c>
      <c r="CN12" s="1" t="str">
        <f t="shared" si="4"/>
        <v/>
      </c>
      <c r="CO12" s="1" t="str">
        <f t="shared" si="4"/>
        <v/>
      </c>
      <c r="CP12" s="1" t="str">
        <f t="shared" si="4"/>
        <v/>
      </c>
      <c r="CQ12" s="1" t="str">
        <f t="shared" si="4"/>
        <v/>
      </c>
      <c r="CR12" s="1" t="str">
        <f t="shared" si="4"/>
        <v/>
      </c>
      <c r="CS12" s="3">
        <f t="shared" si="5"/>
        <v>5</v>
      </c>
    </row>
    <row r="13" spans="1:97" x14ac:dyDescent="0.15">
      <c r="A13" s="1">
        <v>18</v>
      </c>
      <c r="B13" s="1" t="s">
        <v>34</v>
      </c>
      <c r="C13" s="1" t="s">
        <v>31</v>
      </c>
      <c r="D13" s="1" t="s">
        <v>25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>
        <v>5</v>
      </c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5</v>
      </c>
      <c r="BQ13" s="1">
        <v>5</v>
      </c>
      <c r="BR13" s="17">
        <v>1</v>
      </c>
      <c r="BS13" s="17" t="s">
        <v>247</v>
      </c>
      <c r="BT13" s="1" t="str">
        <f>IF(AQ13&gt;AQ$133, AQ13-AQ$133,"")</f>
        <v/>
      </c>
      <c r="BU13" s="1" t="str">
        <f>IF(AR13&gt;AR$133, AR13-AR$133,"")</f>
        <v/>
      </c>
      <c r="BV13" s="1" t="str">
        <f>IF(AS13&gt;AS$133, AS13-AS$133,"")</f>
        <v/>
      </c>
      <c r="BW13" s="1" t="str">
        <f>IF(AT13&gt;AT$133, AT13-AT$133,"")</f>
        <v/>
      </c>
      <c r="BX13" s="1" t="str">
        <f>IF(AU13&gt;AU$133, AU13-AU$133,"")</f>
        <v/>
      </c>
      <c r="BY13" s="1" t="str">
        <f>IF(AV13&gt;AV$133, AV13-AV$133,"")</f>
        <v/>
      </c>
      <c r="BZ13" s="1" t="str">
        <f>IF(AW13&gt;AW$133, AW13-AW$133,"")</f>
        <v/>
      </c>
      <c r="CA13" s="1" t="str">
        <f>IF(AX13&gt;AX$133, AX13-AX$133,"")</f>
        <v/>
      </c>
      <c r="CB13" s="1" t="str">
        <f>IF(AY13&gt;AY$133, AY13-AY$133,"")</f>
        <v/>
      </c>
      <c r="CC13" s="1" t="str">
        <f>IF(AZ13&gt;AZ$133, AZ13-AZ$133,"")</f>
        <v/>
      </c>
      <c r="CD13" s="1" t="str">
        <f>IF(BA13&gt;BA$133, BA13-BA$133,"")</f>
        <v/>
      </c>
      <c r="CE13" s="1" t="str">
        <f>IF(BB13&gt;BB$133, BB13-BB$133,"")</f>
        <v/>
      </c>
      <c r="CF13" s="1">
        <f t="shared" si="3"/>
        <v>0</v>
      </c>
      <c r="CG13" s="1" t="str">
        <f t="shared" si="4"/>
        <v/>
      </c>
      <c r="CH13" s="1" t="str">
        <f t="shared" si="4"/>
        <v/>
      </c>
      <c r="CI13" s="1" t="str">
        <f t="shared" si="4"/>
        <v/>
      </c>
      <c r="CJ13" s="1" t="str">
        <f t="shared" si="4"/>
        <v/>
      </c>
      <c r="CK13" s="1" t="str">
        <f t="shared" si="4"/>
        <v/>
      </c>
      <c r="CL13" s="1" t="str">
        <f t="shared" si="4"/>
        <v/>
      </c>
      <c r="CM13" s="1" t="str">
        <f t="shared" si="4"/>
        <v/>
      </c>
      <c r="CN13" s="1" t="str">
        <f t="shared" si="4"/>
        <v/>
      </c>
      <c r="CO13" s="1" t="str">
        <f t="shared" si="4"/>
        <v/>
      </c>
      <c r="CP13" s="1" t="str">
        <f t="shared" si="4"/>
        <v/>
      </c>
      <c r="CQ13" s="1" t="str">
        <f t="shared" si="4"/>
        <v/>
      </c>
      <c r="CR13" s="1" t="str">
        <f t="shared" si="4"/>
        <v/>
      </c>
      <c r="CS13" s="3">
        <f t="shared" si="5"/>
        <v>5</v>
      </c>
    </row>
    <row r="14" spans="1:97" x14ac:dyDescent="0.15">
      <c r="A14" s="1">
        <v>19</v>
      </c>
      <c r="B14" s="1" t="s">
        <v>37</v>
      </c>
      <c r="C14" s="1" t="s">
        <v>31</v>
      </c>
      <c r="D14" s="1" t="s">
        <v>24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>
        <v>5</v>
      </c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5</v>
      </c>
      <c r="BQ14" s="1">
        <v>5</v>
      </c>
      <c r="BR14" s="17">
        <v>1</v>
      </c>
      <c r="BS14" s="17" t="s">
        <v>199</v>
      </c>
      <c r="BT14" s="1" t="str">
        <f>IF(AQ14&gt;AQ$133, AQ14-AQ$133,"")</f>
        <v/>
      </c>
      <c r="BU14" s="1" t="str">
        <f>IF(AR14&gt;AR$133, AR14-AR$133,"")</f>
        <v/>
      </c>
      <c r="BV14" s="1" t="str">
        <f>IF(AS14&gt;AS$133, AS14-AS$133,"")</f>
        <v/>
      </c>
      <c r="BW14" s="1" t="str">
        <f>IF(AT14&gt;AT$133, AT14-AT$133,"")</f>
        <v/>
      </c>
      <c r="BX14" s="1" t="str">
        <f>IF(AU14&gt;AU$133, AU14-AU$133,"")</f>
        <v/>
      </c>
      <c r="BY14" s="1" t="str">
        <f>IF(AV14&gt;AV$133, AV14-AV$133,"")</f>
        <v/>
      </c>
      <c r="BZ14" s="1" t="str">
        <f>IF(AW14&gt;AW$133, AW14-AW$133,"")</f>
        <v/>
      </c>
      <c r="CA14" s="1" t="str">
        <f>IF(AX14&gt;AX$133, AX14-AX$133,"")</f>
        <v/>
      </c>
      <c r="CB14" s="1" t="str">
        <f>IF(AY14&gt;AY$133, AY14-AY$133,"")</f>
        <v/>
      </c>
      <c r="CC14" s="1" t="str">
        <f>IF(AZ14&gt;AZ$133, AZ14-AZ$133,"")</f>
        <v/>
      </c>
      <c r="CD14" s="1" t="str">
        <f>IF(BA14&gt;BA$133, BA14-BA$133,"")</f>
        <v/>
      </c>
      <c r="CE14" s="1" t="str">
        <f>IF(BB14&gt;BB$133, BB14-BB$133,"")</f>
        <v/>
      </c>
      <c r="CF14" s="1">
        <f t="shared" si="3"/>
        <v>0</v>
      </c>
      <c r="CG14" s="1" t="str">
        <f t="shared" si="4"/>
        <v/>
      </c>
      <c r="CH14" s="1" t="str">
        <f t="shared" si="4"/>
        <v/>
      </c>
      <c r="CI14" s="1" t="str">
        <f t="shared" si="4"/>
        <v/>
      </c>
      <c r="CJ14" s="1" t="str">
        <f t="shared" si="4"/>
        <v/>
      </c>
      <c r="CK14" s="1" t="str">
        <f t="shared" si="4"/>
        <v/>
      </c>
      <c r="CL14" s="1" t="str">
        <f t="shared" si="4"/>
        <v/>
      </c>
      <c r="CM14" s="1" t="str">
        <f t="shared" si="4"/>
        <v/>
      </c>
      <c r="CN14" s="1" t="str">
        <f t="shared" si="4"/>
        <v/>
      </c>
      <c r="CO14" s="1" t="str">
        <f t="shared" si="4"/>
        <v/>
      </c>
      <c r="CP14" s="1" t="str">
        <f t="shared" si="4"/>
        <v/>
      </c>
      <c r="CQ14" s="1" t="str">
        <f t="shared" si="4"/>
        <v/>
      </c>
      <c r="CR14" s="1" t="str">
        <f t="shared" si="4"/>
        <v/>
      </c>
      <c r="CS14" s="3">
        <f t="shared" si="5"/>
        <v>5</v>
      </c>
    </row>
    <row r="15" spans="1:97" x14ac:dyDescent="0.15">
      <c r="A15" s="1">
        <v>32</v>
      </c>
      <c r="B15" s="1" t="s">
        <v>77</v>
      </c>
      <c r="C15" s="1" t="s">
        <v>31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>
        <v>5</v>
      </c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5</v>
      </c>
      <c r="BQ15" s="1">
        <v>5</v>
      </c>
      <c r="BR15" s="17">
        <v>1</v>
      </c>
      <c r="BS15" s="17" t="s">
        <v>248</v>
      </c>
      <c r="BT15" s="1" t="str">
        <f>IF(AQ15&gt;AQ$133, AQ15-AQ$133,"")</f>
        <v/>
      </c>
      <c r="BU15" s="1" t="str">
        <f>IF(AR15&gt;AR$133, AR15-AR$133,"")</f>
        <v/>
      </c>
      <c r="BV15" s="1" t="str">
        <f>IF(AS15&gt;AS$133, AS15-AS$133,"")</f>
        <v/>
      </c>
      <c r="BW15" s="1" t="str">
        <f>IF(AT15&gt;AT$133, AT15-AT$133,"")</f>
        <v/>
      </c>
      <c r="BX15" s="1" t="str">
        <f>IF(AU15&gt;AU$133, AU15-AU$133,"")</f>
        <v/>
      </c>
      <c r="BY15" s="1" t="str">
        <f>IF(AV15&gt;AV$133, AV15-AV$133,"")</f>
        <v/>
      </c>
      <c r="BZ15" s="1" t="str">
        <f>IF(AW15&gt;AW$133, AW15-AW$133,"")</f>
        <v/>
      </c>
      <c r="CA15" s="1" t="str">
        <f>IF(AX15&gt;AX$133, AX15-AX$133,"")</f>
        <v/>
      </c>
      <c r="CB15" s="1" t="str">
        <f>IF(AY15&gt;AY$133, AY15-AY$133,"")</f>
        <v/>
      </c>
      <c r="CC15" s="1" t="str">
        <f>IF(AZ15&gt;AZ$133, AZ15-AZ$133,"")</f>
        <v/>
      </c>
      <c r="CD15" s="1" t="str">
        <f>IF(BA15&gt;BA$133, BA15-BA$133,"")</f>
        <v/>
      </c>
      <c r="CE15" s="1" t="str">
        <f>IF(BB15&gt;BB$133, BB15-BB$133,"")</f>
        <v/>
      </c>
      <c r="CF15" s="1">
        <f t="shared" si="3"/>
        <v>0</v>
      </c>
      <c r="CG15" s="1" t="str">
        <f t="shared" si="4"/>
        <v/>
      </c>
      <c r="CH15" s="1" t="str">
        <f t="shared" si="4"/>
        <v/>
      </c>
      <c r="CI15" s="1" t="str">
        <f t="shared" si="4"/>
        <v/>
      </c>
      <c r="CJ15" s="1" t="str">
        <f t="shared" si="4"/>
        <v/>
      </c>
      <c r="CK15" s="1" t="str">
        <f t="shared" si="4"/>
        <v/>
      </c>
      <c r="CL15" s="1" t="str">
        <f t="shared" si="4"/>
        <v/>
      </c>
      <c r="CM15" s="1" t="str">
        <f t="shared" si="4"/>
        <v/>
      </c>
      <c r="CN15" s="1" t="str">
        <f t="shared" si="4"/>
        <v/>
      </c>
      <c r="CO15" s="1" t="str">
        <f t="shared" si="4"/>
        <v/>
      </c>
      <c r="CP15" s="1" t="str">
        <f t="shared" si="4"/>
        <v/>
      </c>
      <c r="CQ15" s="1" t="str">
        <f t="shared" si="4"/>
        <v/>
      </c>
      <c r="CR15" s="1" t="str">
        <f t="shared" si="4"/>
        <v/>
      </c>
      <c r="CS15" s="3">
        <f t="shared" si="5"/>
        <v>5</v>
      </c>
    </row>
    <row r="16" spans="1:97" x14ac:dyDescent="0.15">
      <c r="A16" s="1">
        <v>33</v>
      </c>
      <c r="B16" s="1" t="s">
        <v>77</v>
      </c>
      <c r="C16" s="1" t="s">
        <v>31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>
        <v>5</v>
      </c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5</v>
      </c>
      <c r="BQ16" s="1">
        <v>5</v>
      </c>
      <c r="BR16" s="17">
        <v>1</v>
      </c>
      <c r="BS16" s="17" t="s">
        <v>201</v>
      </c>
      <c r="BT16" s="1" t="str">
        <f>IF(AQ16&gt;AQ$133, AQ16-AQ$133,"")</f>
        <v/>
      </c>
      <c r="BU16" s="1" t="str">
        <f>IF(AR16&gt;AR$133, AR16-AR$133,"")</f>
        <v/>
      </c>
      <c r="BV16" s="1" t="str">
        <f>IF(AS16&gt;AS$133, AS16-AS$133,"")</f>
        <v/>
      </c>
      <c r="BW16" s="1" t="str">
        <f>IF(AT16&gt;AT$133, AT16-AT$133,"")</f>
        <v/>
      </c>
      <c r="BX16" s="1" t="str">
        <f>IF(AU16&gt;AU$133, AU16-AU$133,"")</f>
        <v/>
      </c>
      <c r="BY16" s="1" t="str">
        <f>IF(AV16&gt;AV$133, AV16-AV$133,"")</f>
        <v/>
      </c>
      <c r="BZ16" s="1" t="str">
        <f>IF(AW16&gt;AW$133, AW16-AW$133,"")</f>
        <v/>
      </c>
      <c r="CA16" s="1" t="str">
        <f>IF(AX16&gt;AX$133, AX16-AX$133,"")</f>
        <v/>
      </c>
      <c r="CB16" s="1" t="str">
        <f>IF(AY16&gt;AY$133, AY16-AY$133,"")</f>
        <v/>
      </c>
      <c r="CC16" s="1" t="str">
        <f>IF(AZ16&gt;AZ$133, AZ16-AZ$133,"")</f>
        <v/>
      </c>
      <c r="CD16" s="1" t="str">
        <f>IF(BA16&gt;BA$133, BA16-BA$133,"")</f>
        <v/>
      </c>
      <c r="CE16" s="1" t="str">
        <f>IF(BB16&gt;BB$133, BB16-BB$133,"")</f>
        <v/>
      </c>
      <c r="CF16" s="1">
        <f t="shared" si="3"/>
        <v>0</v>
      </c>
      <c r="CG16" s="1" t="str">
        <f t="shared" si="4"/>
        <v/>
      </c>
      <c r="CH16" s="1" t="str">
        <f t="shared" si="4"/>
        <v/>
      </c>
      <c r="CI16" s="1" t="str">
        <f t="shared" si="4"/>
        <v/>
      </c>
      <c r="CJ16" s="1" t="str">
        <f t="shared" si="4"/>
        <v/>
      </c>
      <c r="CK16" s="1" t="str">
        <f t="shared" si="4"/>
        <v/>
      </c>
      <c r="CL16" s="1" t="str">
        <f t="shared" si="4"/>
        <v/>
      </c>
      <c r="CM16" s="1" t="str">
        <f t="shared" si="4"/>
        <v/>
      </c>
      <c r="CN16" s="1" t="str">
        <f t="shared" si="4"/>
        <v/>
      </c>
      <c r="CO16" s="1" t="str">
        <f t="shared" si="4"/>
        <v/>
      </c>
      <c r="CP16" s="1" t="str">
        <f t="shared" si="4"/>
        <v/>
      </c>
      <c r="CQ16" s="1" t="str">
        <f t="shared" si="4"/>
        <v/>
      </c>
      <c r="CR16" s="1" t="str">
        <f t="shared" si="4"/>
        <v/>
      </c>
      <c r="CS16" s="3">
        <f t="shared" si="5"/>
        <v>5</v>
      </c>
    </row>
    <row r="17" spans="1:97" x14ac:dyDescent="0.15">
      <c r="A17" s="1">
        <v>63</v>
      </c>
      <c r="B17" s="3" t="s">
        <v>61</v>
      </c>
      <c r="C17" s="1" t="s">
        <v>56</v>
      </c>
      <c r="D17" s="1" t="s">
        <v>24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>
        <v>5</v>
      </c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5</v>
      </c>
      <c r="BQ17" s="1">
        <v>5</v>
      </c>
      <c r="BR17" s="17">
        <v>1</v>
      </c>
      <c r="BS17" s="17" t="s">
        <v>202</v>
      </c>
      <c r="BT17" s="1" t="str">
        <f>IF(AQ17&gt;AQ$133, AQ17-AQ$133,"")</f>
        <v/>
      </c>
      <c r="BU17" s="1" t="str">
        <f>IF(AR17&gt;AR$133, AR17-AR$133,"")</f>
        <v/>
      </c>
      <c r="BV17" s="1" t="str">
        <f>IF(AS17&gt;AS$133, AS17-AS$133,"")</f>
        <v/>
      </c>
      <c r="BW17" s="1" t="str">
        <f>IF(AT17&gt;AT$133, AT17-AT$133,"")</f>
        <v/>
      </c>
      <c r="BX17" s="1" t="str">
        <f>IF(AU17&gt;AU$133, AU17-AU$133,"")</f>
        <v/>
      </c>
      <c r="BY17" s="1" t="str">
        <f>IF(AV17&gt;AV$133, AV17-AV$133,"")</f>
        <v/>
      </c>
      <c r="BZ17" s="1" t="str">
        <f>IF(AW17&gt;AW$133, AW17-AW$133,"")</f>
        <v/>
      </c>
      <c r="CA17" s="1" t="str">
        <f>IF(AX17&gt;AX$133, AX17-AX$133,"")</f>
        <v/>
      </c>
      <c r="CB17" s="1" t="str">
        <f>IF(AY17&gt;AY$133, AY17-AY$133,"")</f>
        <v/>
      </c>
      <c r="CC17" s="1" t="str">
        <f>IF(AZ17&gt;AZ$133, AZ17-AZ$133,"")</f>
        <v/>
      </c>
      <c r="CD17" s="1" t="str">
        <f>IF(BA17&gt;BA$133, BA17-BA$133,"")</f>
        <v/>
      </c>
      <c r="CE17" s="1" t="str">
        <f>IF(BB17&gt;BB$133, BB17-BB$133,"")</f>
        <v/>
      </c>
      <c r="CF17" s="1">
        <f t="shared" si="3"/>
        <v>0</v>
      </c>
      <c r="CG17" s="1" t="str">
        <f t="shared" si="4"/>
        <v/>
      </c>
      <c r="CH17" s="1" t="str">
        <f t="shared" si="4"/>
        <v/>
      </c>
      <c r="CI17" s="1" t="str">
        <f t="shared" si="4"/>
        <v/>
      </c>
      <c r="CJ17" s="1" t="str">
        <f t="shared" si="4"/>
        <v/>
      </c>
      <c r="CK17" s="1" t="str">
        <f t="shared" si="4"/>
        <v/>
      </c>
      <c r="CL17" s="1" t="str">
        <f t="shared" si="4"/>
        <v/>
      </c>
      <c r="CM17" s="1" t="str">
        <f t="shared" si="4"/>
        <v/>
      </c>
      <c r="CN17" s="1" t="str">
        <f t="shared" si="4"/>
        <v/>
      </c>
      <c r="CO17" s="1" t="str">
        <f t="shared" si="4"/>
        <v/>
      </c>
      <c r="CP17" s="1" t="str">
        <f t="shared" si="4"/>
        <v/>
      </c>
      <c r="CQ17" s="1" t="str">
        <f t="shared" si="4"/>
        <v/>
      </c>
      <c r="CR17" s="1" t="str">
        <f t="shared" si="4"/>
        <v/>
      </c>
      <c r="CS17" s="3">
        <f t="shared" si="5"/>
        <v>5</v>
      </c>
    </row>
    <row r="18" spans="1:97" x14ac:dyDescent="0.15">
      <c r="A18" s="1">
        <v>90</v>
      </c>
      <c r="B18" s="3" t="s">
        <v>81</v>
      </c>
      <c r="C18" s="3" t="s">
        <v>80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>
        <v>5</v>
      </c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5</v>
      </c>
      <c r="BQ18" s="1">
        <v>5</v>
      </c>
      <c r="BR18" s="17">
        <v>1</v>
      </c>
      <c r="BS18" s="17" t="s">
        <v>202</v>
      </c>
      <c r="BT18" s="1" t="str">
        <f>IF(AQ18&gt;AQ$133, AQ18-AQ$133,"")</f>
        <v/>
      </c>
      <c r="BU18" s="1" t="str">
        <f>IF(AR18&gt;AR$133, AR18-AR$133,"")</f>
        <v/>
      </c>
      <c r="BV18" s="1" t="str">
        <f>IF(AS18&gt;AS$133, AS18-AS$133,"")</f>
        <v/>
      </c>
      <c r="BW18" s="1" t="str">
        <f>IF(AT18&gt;AT$133, AT18-AT$133,"")</f>
        <v/>
      </c>
      <c r="BX18" s="1" t="str">
        <f>IF(AU18&gt;AU$133, AU18-AU$133,"")</f>
        <v/>
      </c>
      <c r="BY18" s="1" t="str">
        <f>IF(AV18&gt;AV$133, AV18-AV$133,"")</f>
        <v/>
      </c>
      <c r="BZ18" s="1" t="str">
        <f>IF(AW18&gt;AW$133, AW18-AW$133,"")</f>
        <v/>
      </c>
      <c r="CA18" s="1" t="str">
        <f>IF(AX18&gt;AX$133, AX18-AX$133,"")</f>
        <v/>
      </c>
      <c r="CB18" s="1" t="str">
        <f>IF(AY18&gt;AY$133, AY18-AY$133,"")</f>
        <v/>
      </c>
      <c r="CC18" s="1" t="str">
        <f>IF(AZ18&gt;AZ$133, AZ18-AZ$133,"")</f>
        <v/>
      </c>
      <c r="CD18" s="1" t="str">
        <f>IF(BA18&gt;BA$133, BA18-BA$133,"")</f>
        <v/>
      </c>
      <c r="CE18" s="1" t="str">
        <f>IF(BB18&gt;BB$133, BB18-BB$133,"")</f>
        <v/>
      </c>
      <c r="CF18" s="1">
        <f t="shared" si="3"/>
        <v>0</v>
      </c>
      <c r="CG18" s="1" t="str">
        <f t="shared" si="4"/>
        <v/>
      </c>
      <c r="CH18" s="1" t="str">
        <f t="shared" si="4"/>
        <v/>
      </c>
      <c r="CI18" s="1" t="str">
        <f t="shared" si="4"/>
        <v/>
      </c>
      <c r="CJ18" s="1" t="str">
        <f t="shared" si="4"/>
        <v/>
      </c>
      <c r="CK18" s="1" t="str">
        <f t="shared" si="4"/>
        <v/>
      </c>
      <c r="CL18" s="1" t="str">
        <f t="shared" si="4"/>
        <v/>
      </c>
      <c r="CM18" s="1" t="str">
        <f t="shared" si="4"/>
        <v/>
      </c>
      <c r="CN18" s="1" t="str">
        <f t="shared" si="4"/>
        <v/>
      </c>
      <c r="CO18" s="1" t="str">
        <f t="shared" si="4"/>
        <v/>
      </c>
      <c r="CP18" s="1" t="str">
        <f t="shared" si="4"/>
        <v/>
      </c>
      <c r="CQ18" s="1" t="str">
        <f t="shared" si="4"/>
        <v/>
      </c>
      <c r="CR18" s="1" t="str">
        <f t="shared" si="4"/>
        <v/>
      </c>
      <c r="CS18" s="3">
        <f t="shared" si="5"/>
        <v>5</v>
      </c>
    </row>
    <row r="19" spans="1:97" x14ac:dyDescent="0.15">
      <c r="A19" s="1"/>
      <c r="B19" s="1" t="s">
        <v>120</v>
      </c>
      <c r="C19" s="1" t="s">
        <v>118</v>
      </c>
      <c r="D19" s="1" t="s">
        <v>114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>
        <v>5</v>
      </c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5</v>
      </c>
      <c r="BQ19" s="1">
        <v>5</v>
      </c>
      <c r="BR19" s="17">
        <v>1</v>
      </c>
      <c r="BS19" s="17" t="s">
        <v>201</v>
      </c>
      <c r="BT19" s="1" t="str">
        <f>IF(AQ19&gt;AQ$133, AQ19-AQ$133,"")</f>
        <v/>
      </c>
      <c r="BU19" s="1" t="str">
        <f>IF(AR19&gt;AR$133, AR19-AR$133,"")</f>
        <v/>
      </c>
      <c r="BV19" s="1" t="str">
        <f>IF(AS19&gt;AS$133, AS19-AS$133,"")</f>
        <v/>
      </c>
      <c r="BW19" s="1" t="str">
        <f>IF(AT19&gt;AT$133, AT19-AT$133,"")</f>
        <v/>
      </c>
      <c r="BX19" s="1" t="str">
        <f>IF(AU19&gt;AU$133, AU19-AU$133,"")</f>
        <v/>
      </c>
      <c r="BY19" s="1" t="str">
        <f>IF(AV19&gt;AV$133, AV19-AV$133,"")</f>
        <v/>
      </c>
      <c r="BZ19" s="1" t="str">
        <f>IF(AW19&gt;AW$133, AW19-AW$133,"")</f>
        <v/>
      </c>
      <c r="CA19" s="1" t="str">
        <f>IF(AX19&gt;AX$133, AX19-AX$133,"")</f>
        <v/>
      </c>
      <c r="CB19" s="1" t="str">
        <f>IF(AY19&gt;AY$133, AY19-AY$133,"")</f>
        <v/>
      </c>
      <c r="CC19" s="1" t="str">
        <f>IF(AZ19&gt;AZ$133, AZ19-AZ$133,"")</f>
        <v/>
      </c>
      <c r="CD19" s="1" t="str">
        <f>IF(BA19&gt;BA$133, BA19-BA$133,"")</f>
        <v/>
      </c>
      <c r="CE19" s="1" t="str">
        <f>IF(BB19&gt;BB$133, BB19-BB$133,"")</f>
        <v/>
      </c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3"/>
    </row>
    <row r="20" spans="1:97" x14ac:dyDescent="0.15">
      <c r="A20" s="1"/>
      <c r="B20" s="1" t="s">
        <v>120</v>
      </c>
      <c r="C20" s="1" t="s">
        <v>118</v>
      </c>
      <c r="D20" s="1" t="s">
        <v>108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>
        <v>5</v>
      </c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0"/>
        <v>5</v>
      </c>
      <c r="BQ20" s="1">
        <v>5</v>
      </c>
      <c r="BR20" s="17">
        <v>1</v>
      </c>
      <c r="BS20" s="17" t="s">
        <v>200</v>
      </c>
      <c r="BT20" s="1" t="str">
        <f>IF(AQ20&gt;AQ$133, AQ20-AQ$133,"")</f>
        <v/>
      </c>
      <c r="BU20" s="1" t="str">
        <f>IF(AR20&gt;AR$133, AR20-AR$133,"")</f>
        <v/>
      </c>
      <c r="BV20" s="1" t="str">
        <f>IF(AS20&gt;AS$133, AS20-AS$133,"")</f>
        <v/>
      </c>
      <c r="BW20" s="1" t="str">
        <f>IF(AT20&gt;AT$133, AT20-AT$133,"")</f>
        <v/>
      </c>
      <c r="BX20" s="1" t="str">
        <f>IF(AU20&gt;AU$133, AU20-AU$133,"")</f>
        <v/>
      </c>
      <c r="BY20" s="1" t="str">
        <f>IF(AV20&gt;AV$133, AV20-AV$133,"")</f>
        <v/>
      </c>
      <c r="BZ20" s="1" t="str">
        <f>IF(AW20&gt;AW$133, AW20-AW$133,"")</f>
        <v/>
      </c>
      <c r="CA20" s="1" t="str">
        <f>IF(AX20&gt;AX$133, AX20-AX$133,"")</f>
        <v/>
      </c>
      <c r="CB20" s="1" t="str">
        <f>IF(AY20&gt;AY$133, AY20-AY$133,"")</f>
        <v/>
      </c>
      <c r="CC20" s="1" t="str">
        <f>IF(AZ20&gt;AZ$133, AZ20-AZ$133,"")</f>
        <v/>
      </c>
      <c r="CD20" s="1" t="str">
        <f>IF(BA20&gt;BA$133, BA20-BA$133,"")</f>
        <v/>
      </c>
      <c r="CE20" s="1" t="str">
        <f>IF(BB20&gt;BB$133, BB20-BB$133,"")</f>
        <v/>
      </c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3"/>
    </row>
    <row r="21" spans="1:97" x14ac:dyDescent="0.15">
      <c r="A21" s="1"/>
      <c r="B21" s="1" t="s">
        <v>193</v>
      </c>
      <c r="C21" s="1" t="s">
        <v>121</v>
      </c>
      <c r="D21" s="1" t="s">
        <v>108</v>
      </c>
      <c r="E21" s="6"/>
      <c r="F21" s="6"/>
      <c r="G21" s="6"/>
      <c r="H21" s="6">
        <v>6</v>
      </c>
      <c r="I21" s="6"/>
      <c r="J21" s="6">
        <v>6</v>
      </c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>
        <v>8</v>
      </c>
      <c r="AU21" s="4"/>
      <c r="AV21" s="4"/>
      <c r="AW21" s="2"/>
      <c r="AX21" s="2"/>
      <c r="AY21" s="2">
        <v>8</v>
      </c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 t="shared" si="0"/>
        <v>28</v>
      </c>
      <c r="BQ21" s="1">
        <v>5</v>
      </c>
      <c r="BR21" s="17">
        <v>1</v>
      </c>
      <c r="BS21" s="17" t="s">
        <v>281</v>
      </c>
      <c r="BT21" s="1" t="str">
        <f>IF(AQ21&gt;AQ$133, AQ21-AQ$133,"")</f>
        <v/>
      </c>
      <c r="BU21" s="1" t="str">
        <f>IF(AR21&gt;AR$133, AR21-AR$133,"")</f>
        <v/>
      </c>
      <c r="BV21" s="1" t="str">
        <f>IF(AS21&gt;AS$133, AS21-AS$133,"")</f>
        <v/>
      </c>
      <c r="BW21" s="1" t="str">
        <f>IF(AT21&gt;AT$133, AT21-AT$133,"")</f>
        <v/>
      </c>
      <c r="BX21" s="1" t="str">
        <f>IF(AU21&gt;AU$133, AU21-AU$133,"")</f>
        <v/>
      </c>
      <c r="BY21" s="1" t="str">
        <f>IF(AV21&gt;AV$133, AV21-AV$133,"")</f>
        <v/>
      </c>
      <c r="BZ21" s="1" t="str">
        <f>IF(AW21&gt;AW$133, AW21-AW$133,"")</f>
        <v/>
      </c>
      <c r="CA21" s="1" t="str">
        <f>IF(AX21&gt;AX$133, AX21-AX$133,"")</f>
        <v/>
      </c>
      <c r="CB21" s="1" t="str">
        <f>IF(AY21&gt;AY$133, AY21-AY$133,"")</f>
        <v/>
      </c>
      <c r="CC21" s="1" t="str">
        <f>IF(AZ21&gt;AZ$133, AZ21-AZ$133,"")</f>
        <v/>
      </c>
      <c r="CD21" s="1" t="str">
        <f>IF(BA21&gt;BA$133, BA21-BA$133,"")</f>
        <v/>
      </c>
      <c r="CE21" s="1" t="str">
        <f>IF(BB21&gt;BB$133, BB21-BB$133,"")</f>
        <v/>
      </c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3"/>
    </row>
    <row r="22" spans="1:97" s="23" customFormat="1" x14ac:dyDescent="0.15">
      <c r="A22" s="1">
        <v>68</v>
      </c>
      <c r="B22" s="3" t="s">
        <v>103</v>
      </c>
      <c r="C22" s="1" t="s">
        <v>56</v>
      </c>
      <c r="D22" s="1" t="s">
        <v>13</v>
      </c>
      <c r="E22" s="6"/>
      <c r="F22" s="6">
        <v>6</v>
      </c>
      <c r="G22" s="6"/>
      <c r="H22" s="6"/>
      <c r="I22" s="6"/>
      <c r="J22" s="6"/>
      <c r="K22" s="6"/>
      <c r="L22" s="6"/>
      <c r="M22" s="6"/>
      <c r="N22" s="6">
        <v>6</v>
      </c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>
        <v>10</v>
      </c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si="0"/>
        <v>32</v>
      </c>
      <c r="BQ22" s="1">
        <v>5</v>
      </c>
      <c r="BR22" s="17">
        <v>1</v>
      </c>
      <c r="BS22" s="17" t="s">
        <v>238</v>
      </c>
      <c r="BT22" s="1" t="str">
        <f>IF(AQ22&gt;AQ$133, AQ22-AQ$133,"")</f>
        <v/>
      </c>
      <c r="BU22" s="1" t="str">
        <f>IF(AR22&gt;AR$133, AR22-AR$133,"")</f>
        <v/>
      </c>
      <c r="BV22" s="1" t="str">
        <f>IF(AS22&gt;AS$133, AS22-AS$133,"")</f>
        <v/>
      </c>
      <c r="BW22" s="1" t="str">
        <f>IF(AT22&gt;AT$133, AT22-AT$133,"")</f>
        <v/>
      </c>
      <c r="BX22" s="1" t="str">
        <f>IF(AU22&gt;AU$133, AU22-AU$133,"")</f>
        <v/>
      </c>
      <c r="BY22" s="1" t="str">
        <f>IF(AV22&gt;AV$133, AV22-AV$133,"")</f>
        <v/>
      </c>
      <c r="BZ22" s="1" t="str">
        <f>IF(AW22&gt;AW$133, AW22-AW$133,"")</f>
        <v/>
      </c>
      <c r="CA22" s="1" t="str">
        <f>IF(AX22&gt;AX$133, AX22-AX$133,"")</f>
        <v/>
      </c>
      <c r="CB22" s="1" t="str">
        <f>IF(AY22&gt;AY$133, AY22-AY$133,"")</f>
        <v/>
      </c>
      <c r="CC22" s="1" t="str">
        <f>IF(AZ22&gt;AZ$133, AZ22-AZ$133,"")</f>
        <v/>
      </c>
      <c r="CD22" s="1" t="str">
        <f>IF(BA22&gt;BA$133, BA22-BA$133,"")</f>
        <v/>
      </c>
      <c r="CE22" s="1" t="str">
        <f>IF(BB22&gt;BB$133, BB22-BB$133,"")</f>
        <v/>
      </c>
      <c r="CF22" s="1">
        <f>COUNTIF(BT22:CE22, "&gt;0")</f>
        <v>0</v>
      </c>
      <c r="CG22" s="1" t="str">
        <f t="shared" ref="CG22:CR25" si="6">IF($CF22=1,BT22,"")</f>
        <v/>
      </c>
      <c r="CH22" s="1" t="str">
        <f t="shared" si="6"/>
        <v/>
      </c>
      <c r="CI22" s="1" t="str">
        <f t="shared" si="6"/>
        <v/>
      </c>
      <c r="CJ22" s="1" t="str">
        <f t="shared" si="6"/>
        <v/>
      </c>
      <c r="CK22" s="1" t="str">
        <f t="shared" si="6"/>
        <v/>
      </c>
      <c r="CL22" s="1" t="str">
        <f t="shared" si="6"/>
        <v/>
      </c>
      <c r="CM22" s="1" t="str">
        <f t="shared" si="6"/>
        <v/>
      </c>
      <c r="CN22" s="1" t="str">
        <f t="shared" si="6"/>
        <v/>
      </c>
      <c r="CO22" s="1" t="str">
        <f t="shared" si="6"/>
        <v/>
      </c>
      <c r="CP22" s="1" t="str">
        <f t="shared" si="6"/>
        <v/>
      </c>
      <c r="CQ22" s="1" t="str">
        <f t="shared" si="6"/>
        <v/>
      </c>
      <c r="CR22" s="1" t="str">
        <f t="shared" si="6"/>
        <v/>
      </c>
      <c r="CS22" s="3">
        <f>SUM(AE22:BO22)</f>
        <v>20</v>
      </c>
    </row>
    <row r="23" spans="1:97" x14ac:dyDescent="0.15">
      <c r="A23" s="1">
        <v>69</v>
      </c>
      <c r="B23" s="3" t="s">
        <v>63</v>
      </c>
      <c r="C23" s="1" t="s">
        <v>56</v>
      </c>
      <c r="D23" s="1" t="s">
        <v>13</v>
      </c>
      <c r="E23" s="6"/>
      <c r="F23" s="6"/>
      <c r="G23" s="6"/>
      <c r="H23" s="6">
        <v>6</v>
      </c>
      <c r="I23" s="6">
        <v>6</v>
      </c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>
        <v>10</v>
      </c>
      <c r="AW23" s="2"/>
      <c r="AX23" s="2">
        <v>10</v>
      </c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0"/>
        <v>32</v>
      </c>
      <c r="BQ23" s="1">
        <v>5</v>
      </c>
      <c r="BR23" s="17">
        <v>1</v>
      </c>
      <c r="BS23" s="17" t="s">
        <v>281</v>
      </c>
      <c r="BT23" s="1" t="str">
        <f>IF(AQ23&gt;AQ$133, AQ23-AQ$133,"")</f>
        <v/>
      </c>
      <c r="BU23" s="1" t="str">
        <f>IF(AR23&gt;AR$133, AR23-AR$133,"")</f>
        <v/>
      </c>
      <c r="BV23" s="1" t="str">
        <f>IF(AS23&gt;AS$133, AS23-AS$133,"")</f>
        <v/>
      </c>
      <c r="BW23" s="1" t="str">
        <f>IF(AT23&gt;AT$133, AT23-AT$133,"")</f>
        <v/>
      </c>
      <c r="BX23" s="1" t="str">
        <f>IF(AU23&gt;AU$133, AU23-AU$133,"")</f>
        <v/>
      </c>
      <c r="BY23" s="1" t="str">
        <f>IF(AV23&gt;AV$133, AV23-AV$133,"")</f>
        <v/>
      </c>
      <c r="BZ23" s="1" t="str">
        <f>IF(AW23&gt;AW$133, AW23-AW$133,"")</f>
        <v/>
      </c>
      <c r="CA23" s="1" t="str">
        <f>IF(AX23&gt;AX$133, AX23-AX$133,"")</f>
        <v/>
      </c>
      <c r="CB23" s="1" t="str">
        <f>IF(AY23&gt;AY$133, AY23-AY$133,"")</f>
        <v/>
      </c>
      <c r="CC23" s="1" t="str">
        <f>IF(AZ23&gt;AZ$133, AZ23-AZ$133,"")</f>
        <v/>
      </c>
      <c r="CD23" s="1" t="str">
        <f>IF(BA23&gt;BA$133, BA23-BA$133,"")</f>
        <v/>
      </c>
      <c r="CE23" s="1" t="str">
        <f>IF(BB23&gt;BB$133, BB23-BB$133,"")</f>
        <v/>
      </c>
      <c r="CF23" s="1">
        <f>COUNTIF(BT23:CE23, "&gt;0")</f>
        <v>0</v>
      </c>
      <c r="CG23" s="1" t="str">
        <f t="shared" si="6"/>
        <v/>
      </c>
      <c r="CH23" s="1" t="str">
        <f t="shared" si="6"/>
        <v/>
      </c>
      <c r="CI23" s="1" t="str">
        <f t="shared" si="6"/>
        <v/>
      </c>
      <c r="CJ23" s="1" t="str">
        <f t="shared" si="6"/>
        <v/>
      </c>
      <c r="CK23" s="1" t="str">
        <f t="shared" si="6"/>
        <v/>
      </c>
      <c r="CL23" s="1" t="str">
        <f t="shared" si="6"/>
        <v/>
      </c>
      <c r="CM23" s="1" t="str">
        <f t="shared" si="6"/>
        <v/>
      </c>
      <c r="CN23" s="1" t="str">
        <f t="shared" si="6"/>
        <v/>
      </c>
      <c r="CO23" s="1" t="str">
        <f t="shared" si="6"/>
        <v/>
      </c>
      <c r="CP23" s="1" t="str">
        <f t="shared" si="6"/>
        <v/>
      </c>
      <c r="CQ23" s="1" t="str">
        <f t="shared" si="6"/>
        <v/>
      </c>
      <c r="CR23" s="1" t="str">
        <f t="shared" si="6"/>
        <v/>
      </c>
      <c r="CS23" s="3">
        <f>SUM(AE23:BO23)</f>
        <v>20</v>
      </c>
    </row>
    <row r="24" spans="1:97" x14ac:dyDescent="0.15">
      <c r="A24" s="1">
        <v>5</v>
      </c>
      <c r="B24" s="1" t="s">
        <v>22</v>
      </c>
      <c r="C24" s="1" t="s">
        <v>2</v>
      </c>
      <c r="D24" s="1" t="s">
        <v>12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>
        <v>10</v>
      </c>
      <c r="AS24" s="4"/>
      <c r="AT24" s="4"/>
      <c r="AU24" s="4"/>
      <c r="AV24" s="4"/>
      <c r="AW24" s="2"/>
      <c r="AX24" s="2"/>
      <c r="AY24" s="2"/>
      <c r="AZ24" s="2"/>
      <c r="BA24" s="2"/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 t="shared" si="0"/>
        <v>20</v>
      </c>
      <c r="BQ24" s="1">
        <v>7</v>
      </c>
      <c r="BR24" s="17">
        <v>1</v>
      </c>
      <c r="BS24" s="17" t="s">
        <v>249</v>
      </c>
      <c r="BT24" s="1" t="str">
        <f>IF(AQ24&gt;AQ$133, AQ24-AQ$133,"")</f>
        <v/>
      </c>
      <c r="BU24" s="1" t="str">
        <f>IF(AR24&gt;AR$133, AR24-AR$133,"")</f>
        <v/>
      </c>
      <c r="BV24" s="1" t="str">
        <f>IF(AS24&gt;AS$133, AS24-AS$133,"")</f>
        <v/>
      </c>
      <c r="BW24" s="1" t="str">
        <f>IF(AT24&gt;AT$133, AT24-AT$133,"")</f>
        <v/>
      </c>
      <c r="BX24" s="1" t="str">
        <f>IF(AU24&gt;AU$133, AU24-AU$133,"")</f>
        <v/>
      </c>
      <c r="BY24" s="1" t="str">
        <f>IF(AV24&gt;AV$133, AV24-AV$133,"")</f>
        <v/>
      </c>
      <c r="BZ24" s="1" t="str">
        <f>IF(AW24&gt;AW$133, AW24-AW$133,"")</f>
        <v/>
      </c>
      <c r="CA24" s="1" t="str">
        <f>IF(AX24&gt;AX$133, AX24-AX$133,"")</f>
        <v/>
      </c>
      <c r="CB24" s="1" t="str">
        <f>IF(AY24&gt;AY$133, AY24-AY$133,"")</f>
        <v/>
      </c>
      <c r="CC24" s="1" t="str">
        <f>IF(AZ24&gt;AZ$133, AZ24-AZ$133,"")</f>
        <v/>
      </c>
      <c r="CD24" s="1" t="str">
        <f>IF(BA24&gt;BA$133, BA24-BA$133,"")</f>
        <v/>
      </c>
      <c r="CE24" s="1" t="str">
        <f>IF(BB24&gt;BB$133, BB24-BB$133,"")</f>
        <v/>
      </c>
      <c r="CF24" s="1">
        <f>COUNTIF(BT24:CE24, "&gt;0")</f>
        <v>0</v>
      </c>
      <c r="CG24" s="1" t="str">
        <f t="shared" si="6"/>
        <v/>
      </c>
      <c r="CH24" s="1" t="str">
        <f t="shared" si="6"/>
        <v/>
      </c>
      <c r="CI24" s="1" t="str">
        <f t="shared" si="6"/>
        <v/>
      </c>
      <c r="CJ24" s="1" t="str">
        <f t="shared" si="6"/>
        <v/>
      </c>
      <c r="CK24" s="1" t="str">
        <f t="shared" si="6"/>
        <v/>
      </c>
      <c r="CL24" s="1" t="str">
        <f t="shared" si="6"/>
        <v/>
      </c>
      <c r="CM24" s="1" t="str">
        <f t="shared" si="6"/>
        <v/>
      </c>
      <c r="CN24" s="1" t="str">
        <f t="shared" si="6"/>
        <v/>
      </c>
      <c r="CO24" s="1" t="str">
        <f t="shared" si="6"/>
        <v/>
      </c>
      <c r="CP24" s="1" t="str">
        <f t="shared" si="6"/>
        <v/>
      </c>
      <c r="CQ24" s="1" t="str">
        <f t="shared" si="6"/>
        <v/>
      </c>
      <c r="CR24" s="1" t="str">
        <f t="shared" si="6"/>
        <v/>
      </c>
      <c r="CS24" s="3">
        <f>SUM(AE24:BO24)</f>
        <v>20</v>
      </c>
    </row>
    <row r="25" spans="1:97" x14ac:dyDescent="0.15">
      <c r="A25" s="1">
        <v>6</v>
      </c>
      <c r="B25" s="1" t="s">
        <v>52</v>
      </c>
      <c r="C25" s="1" t="s">
        <v>2</v>
      </c>
      <c r="D25" s="1" t="s">
        <v>23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 t="shared" si="0"/>
        <v>20</v>
      </c>
      <c r="BQ25" s="1">
        <v>7</v>
      </c>
      <c r="BR25" s="17">
        <v>1</v>
      </c>
      <c r="BS25" s="17" t="s">
        <v>235</v>
      </c>
      <c r="BT25" s="1" t="str">
        <f>IF(AQ25&gt;AQ$133, AQ25-AQ$133,"")</f>
        <v/>
      </c>
      <c r="BU25" s="1" t="str">
        <f>IF(AR25&gt;AR$133, AR25-AR$133,"")</f>
        <v/>
      </c>
      <c r="BV25" s="1" t="str">
        <f>IF(AS25&gt;AS$133, AS25-AS$133,"")</f>
        <v/>
      </c>
      <c r="BW25" s="1" t="str">
        <f>IF(AT25&gt;AT$133, AT25-AT$133,"")</f>
        <v/>
      </c>
      <c r="BX25" s="1" t="str">
        <f>IF(AU25&gt;AU$133, AU25-AU$133,"")</f>
        <v/>
      </c>
      <c r="BY25" s="1" t="str">
        <f>IF(AV25&gt;AV$133, AV25-AV$133,"")</f>
        <v/>
      </c>
      <c r="BZ25" s="1" t="str">
        <f>IF(AW25&gt;AW$133, AW25-AW$133,"")</f>
        <v/>
      </c>
      <c r="CA25" s="1" t="str">
        <f>IF(AX25&gt;AX$133, AX25-AX$133,"")</f>
        <v/>
      </c>
      <c r="CB25" s="1" t="str">
        <f>IF(AY25&gt;AY$133, AY25-AY$133,"")</f>
        <v/>
      </c>
      <c r="CC25" s="1" t="str">
        <f>IF(AZ25&gt;AZ$133, AZ25-AZ$133,"")</f>
        <v/>
      </c>
      <c r="CD25" s="1" t="str">
        <f>IF(BA25&gt;BA$133, BA25-BA$133,"")</f>
        <v/>
      </c>
      <c r="CE25" s="1" t="str">
        <f>IF(BB25&gt;BB$133, BB25-BB$133,"")</f>
        <v/>
      </c>
      <c r="CF25" s="1">
        <f>COUNTIF(BT25:CE25, "&gt;0")</f>
        <v>0</v>
      </c>
      <c r="CG25" s="1" t="str">
        <f t="shared" si="6"/>
        <v/>
      </c>
      <c r="CH25" s="1" t="str">
        <f t="shared" si="6"/>
        <v/>
      </c>
      <c r="CI25" s="1" t="str">
        <f t="shared" si="6"/>
        <v/>
      </c>
      <c r="CJ25" s="1" t="str">
        <f t="shared" si="6"/>
        <v/>
      </c>
      <c r="CK25" s="1" t="str">
        <f t="shared" si="6"/>
        <v/>
      </c>
      <c r="CL25" s="1" t="str">
        <f t="shared" si="6"/>
        <v/>
      </c>
      <c r="CM25" s="1" t="str">
        <f t="shared" si="6"/>
        <v/>
      </c>
      <c r="CN25" s="1" t="str">
        <f t="shared" si="6"/>
        <v/>
      </c>
      <c r="CO25" s="1" t="str">
        <f t="shared" si="6"/>
        <v/>
      </c>
      <c r="CP25" s="1" t="str">
        <f t="shared" si="6"/>
        <v/>
      </c>
      <c r="CQ25" s="1" t="str">
        <f t="shared" si="6"/>
        <v/>
      </c>
      <c r="CR25" s="1" t="str">
        <f t="shared" si="6"/>
        <v/>
      </c>
      <c r="CS25" s="3">
        <f>SUM(AE25:BO25)</f>
        <v>20</v>
      </c>
    </row>
    <row r="26" spans="1:97" x14ac:dyDescent="0.15">
      <c r="A26" s="1"/>
      <c r="B26" s="1" t="s">
        <v>171</v>
      </c>
      <c r="C26" s="1" t="s">
        <v>110</v>
      </c>
      <c r="D26" s="1" t="s">
        <v>107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>
        <v>10</v>
      </c>
      <c r="AT26" s="4"/>
      <c r="AU26" s="4"/>
      <c r="AV26" s="4"/>
      <c r="AW26" s="2"/>
      <c r="AX26" s="2"/>
      <c r="AY26" s="2"/>
      <c r="AZ26" s="2"/>
      <c r="BA26" s="2"/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 t="shared" si="0"/>
        <v>20</v>
      </c>
      <c r="BQ26" s="1">
        <v>7</v>
      </c>
      <c r="BR26" s="17">
        <v>1</v>
      </c>
      <c r="BS26" s="17" t="s">
        <v>250</v>
      </c>
      <c r="BT26" s="1" t="str">
        <f>IF(AQ26&gt;AQ$133, AQ26-AQ$133,"")</f>
        <v/>
      </c>
      <c r="BU26" s="1" t="str">
        <f>IF(AR26&gt;AR$133, AR26-AR$133,"")</f>
        <v/>
      </c>
      <c r="BV26" s="1" t="str">
        <f>IF(AS26&gt;AS$133, AS26-AS$133,"")</f>
        <v/>
      </c>
      <c r="BW26" s="1" t="str">
        <f>IF(AT26&gt;AT$133, AT26-AT$133,"")</f>
        <v/>
      </c>
      <c r="BX26" s="1" t="str">
        <f>IF(AU26&gt;AU$133, AU26-AU$133,"")</f>
        <v/>
      </c>
      <c r="BY26" s="1" t="str">
        <f>IF(AV26&gt;AV$133, AV26-AV$133,"")</f>
        <v/>
      </c>
      <c r="BZ26" s="1" t="str">
        <f>IF(AW26&gt;AW$133, AW26-AW$133,"")</f>
        <v/>
      </c>
      <c r="CA26" s="1" t="str">
        <f>IF(AX26&gt;AX$133, AX26-AX$133,"")</f>
        <v/>
      </c>
      <c r="CB26" s="1" t="str">
        <f>IF(AY26&gt;AY$133, AY26-AY$133,"")</f>
        <v/>
      </c>
      <c r="CC26" s="1" t="str">
        <f>IF(AZ26&gt;AZ$133, AZ26-AZ$133,"")</f>
        <v/>
      </c>
      <c r="CD26" s="1" t="str">
        <f>IF(BA26&gt;BA$133, BA26-BA$133,"")</f>
        <v/>
      </c>
      <c r="CE26" s="1" t="str">
        <f>IF(BB26&gt;BB$133, BB26-BB$133,"")</f>
        <v/>
      </c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3"/>
    </row>
    <row r="27" spans="1:97" x14ac:dyDescent="0.15">
      <c r="A27" s="1">
        <v>34</v>
      </c>
      <c r="B27" s="1" t="s">
        <v>46</v>
      </c>
      <c r="C27" s="1" t="s">
        <v>47</v>
      </c>
      <c r="D27" s="1" t="s">
        <v>25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>
        <v>15</v>
      </c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>
        <v>15</v>
      </c>
      <c r="BC27" s="14"/>
      <c r="BD27" s="1"/>
      <c r="BE27" s="1"/>
      <c r="BF27" s="1"/>
      <c r="BG27" s="1"/>
      <c r="BH27" s="1">
        <v>15</v>
      </c>
      <c r="BI27" s="1">
        <v>15</v>
      </c>
      <c r="BJ27" s="1"/>
      <c r="BK27" s="1"/>
      <c r="BL27" s="1"/>
      <c r="BM27" s="1"/>
      <c r="BN27" s="1"/>
      <c r="BO27" s="1"/>
      <c r="BP27" s="1">
        <f t="shared" si="0"/>
        <v>60</v>
      </c>
      <c r="BQ27" s="1">
        <v>7</v>
      </c>
      <c r="BR27" s="17">
        <v>1</v>
      </c>
      <c r="BS27" s="17" t="s">
        <v>282</v>
      </c>
      <c r="BT27" s="1" t="str">
        <f>IF(AQ27&gt;AQ$133, AQ27-AQ$133,"")</f>
        <v/>
      </c>
      <c r="BU27" s="1" t="str">
        <f>IF(AR27&gt;AR$133, AR27-AR$133,"")</f>
        <v/>
      </c>
      <c r="BV27" s="1" t="str">
        <f>IF(AS27&gt;AS$133, AS27-AS$133,"")</f>
        <v/>
      </c>
      <c r="BW27" s="1" t="str">
        <f>IF(AT27&gt;AT$133, AT27-AT$133,"")</f>
        <v/>
      </c>
      <c r="BX27" s="1" t="str">
        <f>IF(AU27&gt;AU$133, AU27-AU$133,"")</f>
        <v/>
      </c>
      <c r="BY27" s="1" t="str">
        <f>IF(AV27&gt;AV$133, AV27-AV$133,"")</f>
        <v/>
      </c>
      <c r="BZ27" s="1" t="str">
        <f>IF(AW27&gt;AW$133, AW27-AW$133,"")</f>
        <v/>
      </c>
      <c r="CA27" s="1" t="str">
        <f>IF(AX27&gt;AX$133, AX27-AX$133,"")</f>
        <v/>
      </c>
      <c r="CB27" s="1" t="str">
        <f>IF(AY27&gt;AY$133, AY27-AY$133,"")</f>
        <v/>
      </c>
      <c r="CC27" s="1" t="str">
        <f>IF(AZ27&gt;AZ$133, AZ27-AZ$133,"")</f>
        <v/>
      </c>
      <c r="CD27" s="1" t="str">
        <f>IF(BA27&gt;BA$133, BA27-BA$133,"")</f>
        <v/>
      </c>
      <c r="CE27" s="1" t="str">
        <f>IF(BB27&gt;BB$133, BB27-BB$133,"")</f>
        <v/>
      </c>
      <c r="CF27" s="1">
        <f>COUNTIF(BT27:CE27, "&gt;0")</f>
        <v>0</v>
      </c>
      <c r="CG27" s="1" t="str">
        <f t="shared" ref="CG27:CR27" si="7">IF($CF27=1,BT27,"")</f>
        <v/>
      </c>
      <c r="CH27" s="1" t="str">
        <f t="shared" si="7"/>
        <v/>
      </c>
      <c r="CI27" s="1" t="str">
        <f t="shared" si="7"/>
        <v/>
      </c>
      <c r="CJ27" s="1" t="str">
        <f t="shared" si="7"/>
        <v/>
      </c>
      <c r="CK27" s="1" t="str">
        <f t="shared" si="7"/>
        <v/>
      </c>
      <c r="CL27" s="1" t="str">
        <f t="shared" si="7"/>
        <v/>
      </c>
      <c r="CM27" s="1" t="str">
        <f t="shared" si="7"/>
        <v/>
      </c>
      <c r="CN27" s="1" t="str">
        <f t="shared" si="7"/>
        <v/>
      </c>
      <c r="CO27" s="1" t="str">
        <f t="shared" si="7"/>
        <v/>
      </c>
      <c r="CP27" s="1" t="str">
        <f t="shared" si="7"/>
        <v/>
      </c>
      <c r="CQ27" s="1" t="str">
        <f t="shared" si="7"/>
        <v/>
      </c>
      <c r="CR27" s="1" t="str">
        <f t="shared" si="7"/>
        <v/>
      </c>
      <c r="CS27" s="3">
        <f>SUM(AE27:BO27)</f>
        <v>60</v>
      </c>
    </row>
    <row r="28" spans="1:97" x14ac:dyDescent="0.15">
      <c r="A28" s="1"/>
      <c r="B28" s="1" t="s">
        <v>185</v>
      </c>
      <c r="C28" s="1" t="s">
        <v>106</v>
      </c>
      <c r="D28" s="1" t="s">
        <v>107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>
        <v>15</v>
      </c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>
        <v>15</v>
      </c>
      <c r="BC28" s="14"/>
      <c r="BD28" s="1"/>
      <c r="BE28" s="1"/>
      <c r="BF28" s="1"/>
      <c r="BG28" s="1"/>
      <c r="BH28" s="1">
        <v>15</v>
      </c>
      <c r="BI28" s="1">
        <v>15</v>
      </c>
      <c r="BJ28" s="1"/>
      <c r="BK28" s="1"/>
      <c r="BL28" s="1"/>
      <c r="BM28" s="1"/>
      <c r="BN28" s="1"/>
      <c r="BO28" s="1"/>
      <c r="BP28" s="1">
        <f t="shared" si="0"/>
        <v>60</v>
      </c>
      <c r="BQ28" s="1">
        <v>7</v>
      </c>
      <c r="BR28" s="17">
        <v>1</v>
      </c>
      <c r="BS28" s="17" t="s">
        <v>282</v>
      </c>
      <c r="BT28" s="1" t="str">
        <f>IF(AQ28&gt;AQ$133, AQ28-AQ$133,"")</f>
        <v/>
      </c>
      <c r="BU28" s="1" t="str">
        <f>IF(AR28&gt;AR$133, AR28-AR$133,"")</f>
        <v/>
      </c>
      <c r="BV28" s="1" t="str">
        <f>IF(AS28&gt;AS$133, AS28-AS$133,"")</f>
        <v/>
      </c>
      <c r="BW28" s="1" t="str">
        <f>IF(AT28&gt;AT$133, AT28-AT$133,"")</f>
        <v/>
      </c>
      <c r="BX28" s="1" t="str">
        <f>IF(AU28&gt;AU$133, AU28-AU$133,"")</f>
        <v/>
      </c>
      <c r="BY28" s="1" t="str">
        <f>IF(AV28&gt;AV$133, AV28-AV$133,"")</f>
        <v/>
      </c>
      <c r="BZ28" s="1" t="str">
        <f>IF(AW28&gt;AW$133, AW28-AW$133,"")</f>
        <v/>
      </c>
      <c r="CA28" s="1" t="str">
        <f>IF(AX28&gt;AX$133, AX28-AX$133,"")</f>
        <v/>
      </c>
      <c r="CB28" s="1" t="str">
        <f>IF(AY28&gt;AY$133, AY28-AY$133,"")</f>
        <v/>
      </c>
      <c r="CC28" s="1" t="str">
        <f>IF(AZ28&gt;AZ$133, AZ28-AZ$133,"")</f>
        <v/>
      </c>
      <c r="CD28" s="1" t="str">
        <f>IF(BA28&gt;BA$133, BA28-BA$133,"")</f>
        <v/>
      </c>
      <c r="CE28" s="1" t="str">
        <f>IF(BB28&gt;BB$133, BB28-BB$133,"")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>
        <v>94</v>
      </c>
      <c r="B29" s="3" t="s">
        <v>83</v>
      </c>
      <c r="C29" s="3" t="s">
        <v>69</v>
      </c>
      <c r="D29" s="1" t="s">
        <v>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>
        <v>10</v>
      </c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 t="shared" si="0"/>
        <v>20</v>
      </c>
      <c r="BQ29" s="1">
        <v>10</v>
      </c>
      <c r="BR29" s="17">
        <v>1</v>
      </c>
      <c r="BS29" s="17" t="s">
        <v>251</v>
      </c>
      <c r="BT29" s="1" t="str">
        <f>IF(AQ29&gt;AQ$133, AQ29-AQ$133,"")</f>
        <v/>
      </c>
      <c r="BU29" s="1" t="str">
        <f>IF(AR29&gt;AR$133, AR29-AR$133,"")</f>
        <v/>
      </c>
      <c r="BV29" s="1" t="str">
        <f>IF(AS29&gt;AS$133, AS29-AS$133,"")</f>
        <v/>
      </c>
      <c r="BW29" s="1" t="str">
        <f>IF(AT29&gt;AT$133, AT29-AT$133,"")</f>
        <v/>
      </c>
      <c r="BX29" s="1" t="str">
        <f>IF(AU29&gt;AU$133, AU29-AU$133,"")</f>
        <v/>
      </c>
      <c r="BY29" s="1" t="str">
        <f>IF(AV29&gt;AV$133, AV29-AV$133,"")</f>
        <v/>
      </c>
      <c r="BZ29" s="1" t="str">
        <f>IF(AW29&gt;AW$133, AW29-AW$133,"")</f>
        <v/>
      </c>
      <c r="CA29" s="1" t="str">
        <f>IF(AX29&gt;AX$133, AX29-AX$133,"")</f>
        <v/>
      </c>
      <c r="CB29" s="1" t="str">
        <f>IF(AY29&gt;AY$133, AY29-AY$133,"")</f>
        <v/>
      </c>
      <c r="CC29" s="1" t="str">
        <f>IF(AZ29&gt;AZ$133, AZ29-AZ$133,"")</f>
        <v/>
      </c>
      <c r="CD29" s="1" t="str">
        <f>IF(BA29&gt;BA$133, BA29-BA$133,"")</f>
        <v/>
      </c>
      <c r="CE29" s="1" t="str">
        <f>IF(BB29&gt;BB$133, BB29-BB$133,"")</f>
        <v/>
      </c>
      <c r="CF29" s="1">
        <f>COUNTIF(BT29:CE29, "&gt;0")</f>
        <v>0</v>
      </c>
      <c r="CG29" s="1" t="str">
        <f t="shared" ref="CG29:CR29" si="8">IF($CF29=1,BT29,"")</f>
        <v/>
      </c>
      <c r="CH29" s="1" t="str">
        <f t="shared" si="8"/>
        <v/>
      </c>
      <c r="CI29" s="1" t="str">
        <f t="shared" si="8"/>
        <v/>
      </c>
      <c r="CJ29" s="1" t="str">
        <f t="shared" si="8"/>
        <v/>
      </c>
      <c r="CK29" s="1" t="str">
        <f t="shared" si="8"/>
        <v/>
      </c>
      <c r="CL29" s="1" t="str">
        <f t="shared" si="8"/>
        <v/>
      </c>
      <c r="CM29" s="1" t="str">
        <f t="shared" si="8"/>
        <v/>
      </c>
      <c r="CN29" s="1" t="str">
        <f t="shared" si="8"/>
        <v/>
      </c>
      <c r="CO29" s="1" t="str">
        <f t="shared" si="8"/>
        <v/>
      </c>
      <c r="CP29" s="1" t="str">
        <f t="shared" si="8"/>
        <v/>
      </c>
      <c r="CQ29" s="1" t="str">
        <f t="shared" si="8"/>
        <v/>
      </c>
      <c r="CR29" s="1" t="str">
        <f t="shared" si="8"/>
        <v/>
      </c>
      <c r="CS29" s="3">
        <f>SUM(AE29:BO29)</f>
        <v>20</v>
      </c>
    </row>
    <row r="30" spans="1:97" x14ac:dyDescent="0.15">
      <c r="A30" s="1"/>
      <c r="B30" s="1" t="s">
        <v>191</v>
      </c>
      <c r="C30" s="1" t="s">
        <v>121</v>
      </c>
      <c r="D30" s="1" t="s">
        <v>107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>
        <v>10</v>
      </c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 t="shared" si="0"/>
        <v>20</v>
      </c>
      <c r="BQ30" s="1">
        <v>10</v>
      </c>
      <c r="BR30" s="17">
        <v>1</v>
      </c>
      <c r="BS30" s="17" t="s">
        <v>251</v>
      </c>
      <c r="BT30" s="1" t="str">
        <f>IF(AQ30&gt;AQ$133, AQ30-AQ$133,"")</f>
        <v/>
      </c>
      <c r="BU30" s="1" t="str">
        <f>IF(AR30&gt;AR$133, AR30-AR$133,"")</f>
        <v/>
      </c>
      <c r="BV30" s="1" t="str">
        <f>IF(AS30&gt;AS$133, AS30-AS$133,"")</f>
        <v/>
      </c>
      <c r="BW30" s="1" t="str">
        <f>IF(AT30&gt;AT$133, AT30-AT$133,"")</f>
        <v/>
      </c>
      <c r="BX30" s="1" t="str">
        <f>IF(AU30&gt;AU$133, AU30-AU$133,"")</f>
        <v/>
      </c>
      <c r="BY30" s="1" t="str">
        <f>IF(AV30&gt;AV$133, AV30-AV$133,"")</f>
        <v/>
      </c>
      <c r="BZ30" s="1" t="str">
        <f>IF(AW30&gt;AW$133, AW30-AW$133,"")</f>
        <v/>
      </c>
      <c r="CA30" s="1" t="str">
        <f>IF(AX30&gt;AX$133, AX30-AX$133,"")</f>
        <v/>
      </c>
      <c r="CB30" s="1" t="str">
        <f>IF(AY30&gt;AY$133, AY30-AY$133,"")</f>
        <v/>
      </c>
      <c r="CC30" s="1" t="str">
        <f>IF(AZ30&gt;AZ$133, AZ30-AZ$133,"")</f>
        <v/>
      </c>
      <c r="CD30" s="1" t="str">
        <f>IF(BA30&gt;BA$133, BA30-BA$133,"")</f>
        <v/>
      </c>
      <c r="CE30" s="1" t="str">
        <f>IF(BB30&gt;BB$133, BB30-BB$133,"")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64</v>
      </c>
      <c r="B31" s="3" t="s">
        <v>61</v>
      </c>
      <c r="C31" s="1" t="s">
        <v>56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>
        <v>15</v>
      </c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 t="shared" si="0"/>
        <v>15</v>
      </c>
      <c r="BQ31" s="1">
        <v>15</v>
      </c>
      <c r="BR31" s="17">
        <v>1</v>
      </c>
      <c r="BS31" s="17" t="s">
        <v>204</v>
      </c>
      <c r="BT31" s="1" t="str">
        <f>IF(AQ31&gt;AQ$133, AQ31-AQ$133,"")</f>
        <v/>
      </c>
      <c r="BU31" s="1" t="str">
        <f>IF(AR31&gt;AR$133, AR31-AR$133,"")</f>
        <v/>
      </c>
      <c r="BV31" s="1" t="str">
        <f>IF(AS31&gt;AS$133, AS31-AS$133,"")</f>
        <v/>
      </c>
      <c r="BW31" s="1" t="str">
        <f>IF(AT31&gt;AT$133, AT31-AT$133,"")</f>
        <v/>
      </c>
      <c r="BX31" s="1" t="str">
        <f>IF(AU31&gt;AU$133, AU31-AU$133,"")</f>
        <v/>
      </c>
      <c r="BY31" s="1" t="str">
        <f>IF(AV31&gt;AV$133, AV31-AV$133,"")</f>
        <v/>
      </c>
      <c r="BZ31" s="1" t="str">
        <f>IF(AW31&gt;AW$133, AW31-AW$133,"")</f>
        <v/>
      </c>
      <c r="CA31" s="1" t="str">
        <f>IF(AX31&gt;AX$133, AX31-AX$133,"")</f>
        <v/>
      </c>
      <c r="CB31" s="1" t="str">
        <f>IF(AY31&gt;AY$133, AY31-AY$133,"")</f>
        <v/>
      </c>
      <c r="CC31" s="1" t="str">
        <f>IF(AZ31&gt;AZ$133, AZ31-AZ$133,"")</f>
        <v/>
      </c>
      <c r="CD31" s="1" t="str">
        <f>IF(BA31&gt;BA$133, BA31-BA$133,"")</f>
        <v/>
      </c>
      <c r="CE31" s="1" t="str">
        <f>IF(BB31&gt;BB$133, BB31-BB$133,"")</f>
        <v/>
      </c>
      <c r="CF31" s="1">
        <f>COUNTIF(BT31:CE31, "&gt;0")</f>
        <v>0</v>
      </c>
      <c r="CG31" s="1" t="str">
        <f t="shared" ref="CG31:CR31" si="9">IF($CF31=1,BT31,"")</f>
        <v/>
      </c>
      <c r="CH31" s="1" t="str">
        <f t="shared" si="9"/>
        <v/>
      </c>
      <c r="CI31" s="1" t="str">
        <f t="shared" si="9"/>
        <v/>
      </c>
      <c r="CJ31" s="1" t="str">
        <f t="shared" si="9"/>
        <v/>
      </c>
      <c r="CK31" s="1" t="str">
        <f t="shared" si="9"/>
        <v/>
      </c>
      <c r="CL31" s="1" t="str">
        <f t="shared" si="9"/>
        <v/>
      </c>
      <c r="CM31" s="1" t="str">
        <f t="shared" si="9"/>
        <v/>
      </c>
      <c r="CN31" s="1" t="str">
        <f t="shared" si="9"/>
        <v/>
      </c>
      <c r="CO31" s="1" t="str">
        <f t="shared" si="9"/>
        <v/>
      </c>
      <c r="CP31" s="1" t="str">
        <f t="shared" si="9"/>
        <v/>
      </c>
      <c r="CQ31" s="1" t="str">
        <f t="shared" si="9"/>
        <v/>
      </c>
      <c r="CR31" s="1" t="str">
        <f t="shared" si="9"/>
        <v/>
      </c>
      <c r="CS31" s="3">
        <f>SUM(AE31:BO31)</f>
        <v>15</v>
      </c>
    </row>
    <row r="32" spans="1:97" x14ac:dyDescent="0.15">
      <c r="A32" s="1"/>
      <c r="B32" s="1" t="s">
        <v>313</v>
      </c>
      <c r="C32" s="1" t="s">
        <v>56</v>
      </c>
      <c r="D32" s="1" t="s">
        <v>232</v>
      </c>
      <c r="E32" s="6"/>
      <c r="F32" s="6"/>
      <c r="G32" s="6"/>
      <c r="H32" s="6"/>
      <c r="I32" s="6"/>
      <c r="J32" s="6"/>
      <c r="K32" s="6"/>
      <c r="L32" s="6">
        <v>20</v>
      </c>
      <c r="M32" s="6"/>
      <c r="N32" s="6"/>
      <c r="O32" s="6">
        <v>20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20</v>
      </c>
      <c r="BR32" s="17">
        <v>1</v>
      </c>
      <c r="BS32" s="17" t="s">
        <v>252</v>
      </c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98</v>
      </c>
      <c r="B33" s="3" t="s">
        <v>172</v>
      </c>
      <c r="C33" s="3" t="s">
        <v>69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>
        <v>50</v>
      </c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 t="shared" ref="BP33:BP52" si="10">SUM(E33:BO33)</f>
        <v>50</v>
      </c>
      <c r="BQ33" s="1">
        <v>41</v>
      </c>
      <c r="BR33" s="17">
        <v>1</v>
      </c>
      <c r="BS33" s="17" t="s">
        <v>295</v>
      </c>
      <c r="BT33" s="1" t="str">
        <f>IF(AQ33&gt;AQ$133, AQ33-AQ$133,"")</f>
        <v/>
      </c>
      <c r="BU33" s="1" t="str">
        <f>IF(AR33&gt;AR$133, AR33-AR$133,"")</f>
        <v/>
      </c>
      <c r="BV33" s="1" t="str">
        <f>IF(AS33&gt;AS$133, AS33-AS$133,"")</f>
        <v/>
      </c>
      <c r="BW33" s="1" t="str">
        <f>IF(AT33&gt;AT$133, AT33-AT$133,"")</f>
        <v/>
      </c>
      <c r="BX33" s="1" t="str">
        <f>IF(AU33&gt;AU$133, AU33-AU$133,"")</f>
        <v/>
      </c>
      <c r="BY33" s="1" t="str">
        <f>IF(AV33&gt;AV$133, AV33-AV$133,"")</f>
        <v/>
      </c>
      <c r="BZ33" s="1" t="str">
        <f>IF(AW33&gt;AW$133, AW33-AW$133,"")</f>
        <v/>
      </c>
      <c r="CA33" s="1" t="str">
        <f>IF(AX33&gt;AX$133, AX33-AX$133,"")</f>
        <v/>
      </c>
      <c r="CB33" s="1" t="str">
        <f>IF(AY33&gt;AY$133, AY33-AY$133,"")</f>
        <v/>
      </c>
      <c r="CC33" s="1" t="str">
        <f>IF(AZ33&gt;AZ$133, AZ33-AZ$133,"")</f>
        <v/>
      </c>
      <c r="CD33" s="1" t="str">
        <f>IF(BA33&gt;BA$133, BA33-BA$133,"")</f>
        <v/>
      </c>
      <c r="CE33" s="1" t="str">
        <f>IF(BB33&gt;BB$133, BB33-BB$133,"")</f>
        <v/>
      </c>
      <c r="CF33" s="1">
        <f>COUNTIF(BT33:CE33, "&gt;0")</f>
        <v>0</v>
      </c>
      <c r="CG33" s="1" t="str">
        <f t="shared" ref="CG33:CR34" si="11">IF($CF33=1,BT33,"")</f>
        <v/>
      </c>
      <c r="CH33" s="1" t="str">
        <f t="shared" si="11"/>
        <v/>
      </c>
      <c r="CI33" s="1" t="str">
        <f t="shared" si="11"/>
        <v/>
      </c>
      <c r="CJ33" s="1" t="str">
        <f t="shared" si="11"/>
        <v/>
      </c>
      <c r="CK33" s="1" t="str">
        <f t="shared" si="11"/>
        <v/>
      </c>
      <c r="CL33" s="1" t="str">
        <f t="shared" si="11"/>
        <v/>
      </c>
      <c r="CM33" s="1" t="str">
        <f t="shared" si="11"/>
        <v/>
      </c>
      <c r="CN33" s="1" t="str">
        <f t="shared" si="11"/>
        <v/>
      </c>
      <c r="CO33" s="1" t="str">
        <f t="shared" si="11"/>
        <v/>
      </c>
      <c r="CP33" s="1" t="str">
        <f t="shared" si="11"/>
        <v/>
      </c>
      <c r="CQ33" s="1" t="str">
        <f t="shared" si="11"/>
        <v/>
      </c>
      <c r="CR33" s="1" t="str">
        <f t="shared" si="11"/>
        <v/>
      </c>
      <c r="CS33" s="3">
        <f>SUM(AE33:BO33)</f>
        <v>50</v>
      </c>
    </row>
    <row r="34" spans="1:97" x14ac:dyDescent="0.15">
      <c r="A34" s="1">
        <v>99</v>
      </c>
      <c r="B34" s="3" t="s">
        <v>172</v>
      </c>
      <c r="C34" s="3" t="s">
        <v>69</v>
      </c>
      <c r="D34" s="1" t="s">
        <v>13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>
        <v>200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 t="shared" si="10"/>
        <v>200</v>
      </c>
      <c r="BQ34" s="1">
        <v>191</v>
      </c>
      <c r="BR34" s="17">
        <v>1</v>
      </c>
      <c r="BS34" s="17" t="s">
        <v>236</v>
      </c>
      <c r="BT34" s="1" t="str">
        <f>IF(AQ34&gt;AQ$133, AQ34-AQ$133,"")</f>
        <v/>
      </c>
      <c r="BU34" s="1" t="str">
        <f>IF(AR34&gt;AR$133, AR34-AR$133,"")</f>
        <v/>
      </c>
      <c r="BV34" s="1" t="str">
        <f>IF(AS34&gt;AS$133, AS34-AS$133,"")</f>
        <v/>
      </c>
      <c r="BW34" s="1" t="str">
        <f>IF(AT34&gt;AT$133, AT34-AT$133,"")</f>
        <v/>
      </c>
      <c r="BX34" s="1" t="str">
        <f>IF(AU34&gt;AU$133, AU34-AU$133,"")</f>
        <v/>
      </c>
      <c r="BY34" s="1" t="str">
        <f>IF(AV34&gt;AV$133, AV34-AV$133,"")</f>
        <v/>
      </c>
      <c r="BZ34" s="1" t="str">
        <f>IF(AW34&gt;AW$133, AW34-AW$133,"")</f>
        <v/>
      </c>
      <c r="CA34" s="1" t="str">
        <f>IF(AX34&gt;AX$133, AX34-AX$133,"")</f>
        <v/>
      </c>
      <c r="CB34" s="1" t="str">
        <f>IF(AY34&gt;AY$133, AY34-AY$133,"")</f>
        <v/>
      </c>
      <c r="CC34" s="1" t="str">
        <f>IF(AZ34&gt;AZ$133, AZ34-AZ$133,"")</f>
        <v/>
      </c>
      <c r="CD34" s="1" t="str">
        <f>IF(BA34&gt;BA$133, BA34-BA$133,"")</f>
        <v/>
      </c>
      <c r="CE34" s="1" t="str">
        <f>IF(BB34&gt;BB$133, BB34-BB$133,"")</f>
        <v/>
      </c>
      <c r="CF34" s="1">
        <f>COUNTIF(BT34:CE34, "&gt;0")</f>
        <v>0</v>
      </c>
      <c r="CG34" s="1" t="str">
        <f t="shared" si="11"/>
        <v/>
      </c>
      <c r="CH34" s="1" t="str">
        <f t="shared" si="11"/>
        <v/>
      </c>
      <c r="CI34" s="1" t="str">
        <f t="shared" si="11"/>
        <v/>
      </c>
      <c r="CJ34" s="1" t="str">
        <f t="shared" si="11"/>
        <v/>
      </c>
      <c r="CK34" s="1" t="str">
        <f t="shared" si="11"/>
        <v/>
      </c>
      <c r="CL34" s="1" t="str">
        <f t="shared" si="11"/>
        <v/>
      </c>
      <c r="CM34" s="1" t="str">
        <f t="shared" si="11"/>
        <v/>
      </c>
      <c r="CN34" s="1" t="str">
        <f t="shared" si="11"/>
        <v/>
      </c>
      <c r="CO34" s="1" t="str">
        <f t="shared" si="11"/>
        <v/>
      </c>
      <c r="CP34" s="1" t="str">
        <f t="shared" si="11"/>
        <v/>
      </c>
      <c r="CQ34" s="1" t="str">
        <f t="shared" si="11"/>
        <v/>
      </c>
      <c r="CR34" s="1" t="str">
        <f t="shared" si="11"/>
        <v/>
      </c>
      <c r="CS34" s="3">
        <f>SUM(AE34:BO34)</f>
        <v>200</v>
      </c>
    </row>
    <row r="35" spans="1:97" ht="27" x14ac:dyDescent="0.15">
      <c r="A35" s="1"/>
      <c r="B35" s="1" t="s">
        <v>117</v>
      </c>
      <c r="C35" s="1" t="s">
        <v>110</v>
      </c>
      <c r="D35" s="1" t="s">
        <v>107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>
        <v>5</v>
      </c>
      <c r="AP35" s="1">
        <v>1</v>
      </c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 t="shared" si="10"/>
        <v>6</v>
      </c>
      <c r="BQ35" s="1">
        <v>6</v>
      </c>
      <c r="BR35" s="17">
        <v>2</v>
      </c>
      <c r="BS35" s="17" t="s">
        <v>237</v>
      </c>
      <c r="BT35" s="1" t="str">
        <f>IF(AQ35&gt;AQ$133, AQ35-AQ$133,"")</f>
        <v/>
      </c>
      <c r="BU35" s="1" t="str">
        <f>IF(AR35&gt;AR$133, AR35-AR$133,"")</f>
        <v/>
      </c>
      <c r="BV35" s="1" t="str">
        <f>IF(AS35&gt;AS$133, AS35-AS$133,"")</f>
        <v/>
      </c>
      <c r="BW35" s="1" t="str">
        <f>IF(AT35&gt;AT$133, AT35-AT$133,"")</f>
        <v/>
      </c>
      <c r="BX35" s="1" t="str">
        <f>IF(AU35&gt;AU$133, AU35-AU$133,"")</f>
        <v/>
      </c>
      <c r="BY35" s="1" t="str">
        <f>IF(AV35&gt;AV$133, AV35-AV$133,"")</f>
        <v/>
      </c>
      <c r="BZ35" s="1" t="str">
        <f>IF(AW35&gt;AW$133, AW35-AW$133,"")</f>
        <v/>
      </c>
      <c r="CA35" s="1" t="str">
        <f>IF(AX35&gt;AX$133, AX35-AX$133,"")</f>
        <v/>
      </c>
      <c r="CB35" s="1" t="str">
        <f>IF(AY35&gt;AY$133, AY35-AY$133,"")</f>
        <v/>
      </c>
      <c r="CC35" s="1" t="str">
        <f>IF(AZ35&gt;AZ$133, AZ35-AZ$133,"")</f>
        <v/>
      </c>
      <c r="CD35" s="1" t="str">
        <f>IF(BA35&gt;BA$133, BA35-BA$133,"")</f>
        <v/>
      </c>
      <c r="CE35" s="1" t="str">
        <f>IF(BB35&gt;BB$133, BB35-BB$133,"")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ht="27" x14ac:dyDescent="0.15">
      <c r="A36" s="1"/>
      <c r="B36" s="1" t="s">
        <v>166</v>
      </c>
      <c r="C36" s="1" t="s">
        <v>31</v>
      </c>
      <c r="D36" s="1" t="s">
        <v>160</v>
      </c>
      <c r="E36" s="6">
        <v>20</v>
      </c>
      <c r="F36" s="6"/>
      <c r="G36" s="6"/>
      <c r="H36" s="6"/>
      <c r="I36" s="6">
        <v>20</v>
      </c>
      <c r="J36" s="6">
        <v>20</v>
      </c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 t="shared" si="10"/>
        <v>60</v>
      </c>
      <c r="BQ36" s="1">
        <v>7</v>
      </c>
      <c r="BR36" s="17">
        <v>2</v>
      </c>
      <c r="BS36" s="17" t="s">
        <v>203</v>
      </c>
      <c r="BT36" s="1" t="str">
        <f>IF(AQ36&gt;AQ$133, AQ36-AQ$133,"")</f>
        <v/>
      </c>
      <c r="BU36" s="1" t="str">
        <f>IF(AR36&gt;AR$133, AR36-AR$133,"")</f>
        <v/>
      </c>
      <c r="BV36" s="1" t="str">
        <f>IF(AS36&gt;AS$133, AS36-AS$133,"")</f>
        <v/>
      </c>
      <c r="BW36" s="1" t="str">
        <f>IF(AT36&gt;AT$133, AT36-AT$133,"")</f>
        <v/>
      </c>
      <c r="BX36" s="1" t="str">
        <f>IF(AU36&gt;AU$133, AU36-AU$133,"")</f>
        <v/>
      </c>
      <c r="BY36" s="1" t="str">
        <f>IF(AV36&gt;AV$133, AV36-AV$133,"")</f>
        <v/>
      </c>
      <c r="BZ36" s="1" t="str">
        <f>IF(AW36&gt;AW$133, AW36-AW$133,"")</f>
        <v/>
      </c>
      <c r="CA36" s="1" t="str">
        <f>IF(AX36&gt;AX$133, AX36-AX$133,"")</f>
        <v/>
      </c>
      <c r="CB36" s="1" t="str">
        <f>IF(AY36&gt;AY$133, AY36-AY$133,"")</f>
        <v/>
      </c>
      <c r="CC36" s="1" t="str">
        <f>IF(AZ36&gt;AZ$133, AZ36-AZ$133,"")</f>
        <v/>
      </c>
      <c r="CD36" s="1" t="str">
        <f>IF(BA36&gt;BA$133, BA36-BA$133,"")</f>
        <v/>
      </c>
      <c r="CE36" s="1" t="str">
        <f>IF(BB36&gt;BB$133, BB36-BB$133,"")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ht="27" x14ac:dyDescent="0.15">
      <c r="A37" s="1">
        <v>39</v>
      </c>
      <c r="B37" s="1" t="s">
        <v>50</v>
      </c>
      <c r="C37" s="1" t="s">
        <v>47</v>
      </c>
      <c r="D37" s="1" t="s">
        <v>26</v>
      </c>
      <c r="E37" s="6"/>
      <c r="F37" s="6">
        <v>6</v>
      </c>
      <c r="G37" s="6"/>
      <c r="H37" s="6"/>
      <c r="I37" s="6"/>
      <c r="J37" s="6"/>
      <c r="K37" s="6"/>
      <c r="L37" s="6">
        <v>6</v>
      </c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>
        <v>10</v>
      </c>
      <c r="AR37" s="4"/>
      <c r="AS37" s="4"/>
      <c r="AT37" s="4"/>
      <c r="AU37" s="4"/>
      <c r="AV37" s="4"/>
      <c r="AW37" s="2"/>
      <c r="AX37" s="2">
        <v>10</v>
      </c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 t="shared" si="10"/>
        <v>32</v>
      </c>
      <c r="BQ37" s="1">
        <v>7</v>
      </c>
      <c r="BR37" s="17">
        <v>2</v>
      </c>
      <c r="BS37" s="17" t="s">
        <v>253</v>
      </c>
      <c r="BT37" s="1" t="str">
        <f>IF(AQ37&gt;AQ$133, AQ37-AQ$133,"")</f>
        <v/>
      </c>
      <c r="BU37" s="1" t="str">
        <f>IF(AR37&gt;AR$133, AR37-AR$133,"")</f>
        <v/>
      </c>
      <c r="BV37" s="1" t="str">
        <f>IF(AS37&gt;AS$133, AS37-AS$133,"")</f>
        <v/>
      </c>
      <c r="BW37" s="1" t="str">
        <f>IF(AT37&gt;AT$133, AT37-AT$133,"")</f>
        <v/>
      </c>
      <c r="BX37" s="1" t="str">
        <f>IF(AU37&gt;AU$133, AU37-AU$133,"")</f>
        <v/>
      </c>
      <c r="BY37" s="1" t="str">
        <f>IF(AV37&gt;AV$133, AV37-AV$133,"")</f>
        <v/>
      </c>
      <c r="BZ37" s="1" t="str">
        <f>IF(AW37&gt;AW$133, AW37-AW$133,"")</f>
        <v/>
      </c>
      <c r="CA37" s="1" t="str">
        <f>IF(AX37&gt;AX$133, AX37-AX$133,"")</f>
        <v/>
      </c>
      <c r="CB37" s="1" t="str">
        <f>IF(AY37&gt;AY$133, AY37-AY$133,"")</f>
        <v/>
      </c>
      <c r="CC37" s="1" t="str">
        <f>IF(AZ37&gt;AZ$133, AZ37-AZ$133,"")</f>
        <v/>
      </c>
      <c r="CD37" s="1" t="str">
        <f>IF(BA37&gt;BA$133, BA37-BA$133,"")</f>
        <v/>
      </c>
      <c r="CE37" s="1" t="str">
        <f>IF(BB37&gt;BB$133, BB37-BB$133,"")</f>
        <v/>
      </c>
      <c r="CF37" s="1">
        <f>COUNTIF(BT37:CE37, "&gt;0")</f>
        <v>0</v>
      </c>
      <c r="CG37" s="1" t="str">
        <f t="shared" ref="CG37:CR37" si="12">IF($CF37=1,BT37,"")</f>
        <v/>
      </c>
      <c r="CH37" s="1" t="str">
        <f t="shared" si="12"/>
        <v/>
      </c>
      <c r="CI37" s="1" t="str">
        <f t="shared" si="12"/>
        <v/>
      </c>
      <c r="CJ37" s="1" t="str">
        <f t="shared" si="12"/>
        <v/>
      </c>
      <c r="CK37" s="1" t="str">
        <f t="shared" si="12"/>
        <v/>
      </c>
      <c r="CL37" s="1" t="str">
        <f t="shared" si="12"/>
        <v/>
      </c>
      <c r="CM37" s="1" t="str">
        <f t="shared" si="12"/>
        <v/>
      </c>
      <c r="CN37" s="1" t="str">
        <f t="shared" si="12"/>
        <v/>
      </c>
      <c r="CO37" s="1" t="str">
        <f t="shared" si="12"/>
        <v/>
      </c>
      <c r="CP37" s="1" t="str">
        <f t="shared" si="12"/>
        <v/>
      </c>
      <c r="CQ37" s="1" t="str">
        <f t="shared" si="12"/>
        <v/>
      </c>
      <c r="CR37" s="1" t="str">
        <f t="shared" si="12"/>
        <v/>
      </c>
      <c r="CS37" s="3">
        <f>SUM(AE37:BO37)</f>
        <v>20</v>
      </c>
    </row>
    <row r="38" spans="1:97" ht="27" x14ac:dyDescent="0.15">
      <c r="A38" s="1"/>
      <c r="B38" s="1" t="s">
        <v>113</v>
      </c>
      <c r="C38" s="1" t="s">
        <v>110</v>
      </c>
      <c r="D38" s="1" t="s">
        <v>114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>
        <v>3</v>
      </c>
      <c r="AP38" s="1">
        <v>5</v>
      </c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 t="shared" si="10"/>
        <v>8</v>
      </c>
      <c r="BQ38" s="1">
        <v>8</v>
      </c>
      <c r="BR38" s="17">
        <v>2</v>
      </c>
      <c r="BS38" s="17" t="s">
        <v>254</v>
      </c>
      <c r="BT38" s="1" t="str">
        <f>IF(AQ38&gt;AQ$133, AQ38-AQ$133,"")</f>
        <v/>
      </c>
      <c r="BU38" s="1" t="str">
        <f>IF(AR38&gt;AR$133, AR38-AR$133,"")</f>
        <v/>
      </c>
      <c r="BV38" s="1" t="str">
        <f>IF(AS38&gt;AS$133, AS38-AS$133,"")</f>
        <v/>
      </c>
      <c r="BW38" s="1" t="str">
        <f>IF(AT38&gt;AT$133, AT38-AT$133,"")</f>
        <v/>
      </c>
      <c r="BX38" s="1" t="str">
        <f>IF(AU38&gt;AU$133, AU38-AU$133,"")</f>
        <v/>
      </c>
      <c r="BY38" s="1" t="str">
        <f>IF(AV38&gt;AV$133, AV38-AV$133,"")</f>
        <v/>
      </c>
      <c r="BZ38" s="1" t="str">
        <f>IF(AW38&gt;AW$133, AW38-AW$133,"")</f>
        <v/>
      </c>
      <c r="CA38" s="1" t="str">
        <f>IF(AX38&gt;AX$133, AX38-AX$133,"")</f>
        <v/>
      </c>
      <c r="CB38" s="1" t="str">
        <f>IF(AY38&gt;AY$133, AY38-AY$133,"")</f>
        <v/>
      </c>
      <c r="CC38" s="1" t="str">
        <f>IF(AZ38&gt;AZ$133, AZ38-AZ$133,"")</f>
        <v/>
      </c>
      <c r="CD38" s="1" t="str">
        <f>IF(BA38&gt;BA$133, BA38-BA$133,"")</f>
        <v/>
      </c>
      <c r="CE38" s="1" t="str">
        <f>IF(BB38&gt;BB$133, BB38-BB$133,"")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ht="27" x14ac:dyDescent="0.15">
      <c r="A39" s="1"/>
      <c r="B39" s="1" t="s">
        <v>135</v>
      </c>
      <c r="C39" s="1" t="s">
        <v>123</v>
      </c>
      <c r="D39" s="1" t="s">
        <v>125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>
        <v>2</v>
      </c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 t="shared" si="10"/>
        <v>17</v>
      </c>
      <c r="BQ39" s="1">
        <v>8</v>
      </c>
      <c r="BR39" s="17">
        <v>2</v>
      </c>
      <c r="BS39" s="17" t="s">
        <v>255</v>
      </c>
      <c r="BT39" s="1" t="str">
        <f>IF(AQ39&gt;AQ$133, AQ39-AQ$133,"")</f>
        <v/>
      </c>
      <c r="BU39" s="1" t="str">
        <f>IF(AR39&gt;AR$133, AR39-AR$133,"")</f>
        <v/>
      </c>
      <c r="BV39" s="1" t="str">
        <f>IF(AS39&gt;AS$133, AS39-AS$133,"")</f>
        <v/>
      </c>
      <c r="BW39" s="1" t="str">
        <f>IF(AT39&gt;AT$133, AT39-AT$133,"")</f>
        <v/>
      </c>
      <c r="BX39" s="1" t="str">
        <f>IF(AU39&gt;AU$133, AU39-AU$133,"")</f>
        <v/>
      </c>
      <c r="BY39" s="1" t="str">
        <f>IF(AV39&gt;AV$133, AV39-AV$133,"")</f>
        <v/>
      </c>
      <c r="BZ39" s="1" t="str">
        <f>IF(AW39&gt;AW$133, AW39-AW$133,"")</f>
        <v/>
      </c>
      <c r="CA39" s="1" t="str">
        <f>IF(AX39&gt;AX$133, AX39-AX$133,"")</f>
        <v/>
      </c>
      <c r="CB39" s="1" t="str">
        <f>IF(AY39&gt;AY$133, AY39-AY$133,"")</f>
        <v/>
      </c>
      <c r="CC39" s="1" t="str">
        <f>IF(AZ39&gt;AZ$133, AZ39-AZ$133,"")</f>
        <v/>
      </c>
      <c r="CD39" s="1" t="str">
        <f>IF(BA39&gt;BA$133, BA39-BA$133,"")</f>
        <v/>
      </c>
      <c r="CE39" s="1" t="str">
        <f>IF(BB39&gt;BB$133, BB39-BB$133,"")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ht="27" x14ac:dyDescent="0.15">
      <c r="A40" s="1"/>
      <c r="B40" s="1" t="s">
        <v>140</v>
      </c>
      <c r="C40" s="1" t="s">
        <v>123</v>
      </c>
      <c r="D40" s="1" t="s">
        <v>125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>
        <v>2</v>
      </c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 t="shared" si="10"/>
        <v>17</v>
      </c>
      <c r="BQ40" s="1">
        <v>8</v>
      </c>
      <c r="BR40" s="17">
        <v>2</v>
      </c>
      <c r="BS40" s="17" t="s">
        <v>205</v>
      </c>
      <c r="BT40" s="1" t="str">
        <f>IF(AQ40&gt;AQ$133, AQ40-AQ$133,"")</f>
        <v/>
      </c>
      <c r="BU40" s="1" t="str">
        <f>IF(AR40&gt;AR$133, AR40-AR$133,"")</f>
        <v/>
      </c>
      <c r="BV40" s="1" t="str">
        <f>IF(AS40&gt;AS$133, AS40-AS$133,"")</f>
        <v/>
      </c>
      <c r="BW40" s="1" t="str">
        <f>IF(AT40&gt;AT$133, AT40-AT$133,"")</f>
        <v/>
      </c>
      <c r="BX40" s="1" t="str">
        <f>IF(AU40&gt;AU$133, AU40-AU$133,"")</f>
        <v/>
      </c>
      <c r="BY40" s="1" t="str">
        <f>IF(AV40&gt;AV$133, AV40-AV$133,"")</f>
        <v/>
      </c>
      <c r="BZ40" s="1" t="str">
        <f>IF(AW40&gt;AW$133, AW40-AW$133,"")</f>
        <v/>
      </c>
      <c r="CA40" s="1" t="str">
        <f>IF(AX40&gt;AX$133, AX40-AX$133,"")</f>
        <v/>
      </c>
      <c r="CB40" s="1" t="str">
        <f>IF(AY40&gt;AY$133, AY40-AY$133,"")</f>
        <v/>
      </c>
      <c r="CC40" s="1" t="str">
        <f>IF(AZ40&gt;AZ$133, AZ40-AZ$133,"")</f>
        <v/>
      </c>
      <c r="CD40" s="1" t="str">
        <f>IF(BA40&gt;BA$133, BA40-BA$133,"")</f>
        <v/>
      </c>
      <c r="CE40" s="1" t="str">
        <f>IF(BB40&gt;BB$133, BB40-BB$133,"")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ht="27" x14ac:dyDescent="0.15">
      <c r="A41" s="1"/>
      <c r="B41" s="1" t="s">
        <v>148</v>
      </c>
      <c r="C41" s="1" t="s">
        <v>146</v>
      </c>
      <c r="D41" s="1" t="s">
        <v>125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 t="shared" si="10"/>
        <v>17</v>
      </c>
      <c r="BQ41" s="1">
        <v>8</v>
      </c>
      <c r="BR41" s="17">
        <v>2</v>
      </c>
      <c r="BS41" s="17" t="s">
        <v>255</v>
      </c>
      <c r="BT41" s="1" t="str">
        <f>IF(AQ41&gt;AQ$133, AQ41-AQ$133,"")</f>
        <v/>
      </c>
      <c r="BU41" s="1" t="str">
        <f>IF(AR41&gt;AR$133, AR41-AR$133,"")</f>
        <v/>
      </c>
      <c r="BV41" s="1" t="str">
        <f>IF(AS41&gt;AS$133, AS41-AS$133,"")</f>
        <v/>
      </c>
      <c r="BW41" s="1" t="str">
        <f>IF(AT41&gt;AT$133, AT41-AT$133,"")</f>
        <v/>
      </c>
      <c r="BX41" s="1" t="str">
        <f>IF(AU41&gt;AU$133, AU41-AU$133,"")</f>
        <v/>
      </c>
      <c r="BY41" s="1" t="str">
        <f>IF(AV41&gt;AV$133, AV41-AV$133,"")</f>
        <v/>
      </c>
      <c r="BZ41" s="1" t="str">
        <f>IF(AW41&gt;AW$133, AW41-AW$133,"")</f>
        <v/>
      </c>
      <c r="CA41" s="1" t="str">
        <f>IF(AX41&gt;AX$133, AX41-AX$133,"")</f>
        <v/>
      </c>
      <c r="CB41" s="1" t="str">
        <f>IF(AY41&gt;AY$133, AY41-AY$133,"")</f>
        <v/>
      </c>
      <c r="CC41" s="1" t="str">
        <f>IF(AZ41&gt;AZ$133, AZ41-AZ$133,"")</f>
        <v/>
      </c>
      <c r="CD41" s="1" t="str">
        <f>IF(BA41&gt;BA$133, BA41-BA$133,"")</f>
        <v/>
      </c>
      <c r="CE41" s="1" t="str">
        <f>IF(BB41&gt;BB$133, BB41-BB$133,"")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ht="27" x14ac:dyDescent="0.15">
      <c r="A42" s="1"/>
      <c r="B42" s="1" t="s">
        <v>150</v>
      </c>
      <c r="C42" s="1" t="s">
        <v>151</v>
      </c>
      <c r="D42" s="1" t="s">
        <v>125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/>
      <c r="S42" s="28"/>
      <c r="T42" s="28">
        <v>5</v>
      </c>
      <c r="U42" s="28"/>
      <c r="V42" s="28"/>
      <c r="W42" s="28"/>
      <c r="X42" s="28">
        <v>2</v>
      </c>
      <c r="Y42" s="28"/>
      <c r="Z42" s="28">
        <v>5</v>
      </c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 t="shared" si="10"/>
        <v>17</v>
      </c>
      <c r="BQ42" s="1">
        <v>8</v>
      </c>
      <c r="BR42" s="17">
        <v>2</v>
      </c>
      <c r="BS42" s="17" t="s">
        <v>205</v>
      </c>
      <c r="BT42" s="1" t="str">
        <f>IF(AQ42&gt;AQ$133, AQ42-AQ$133,"")</f>
        <v/>
      </c>
      <c r="BU42" s="1" t="str">
        <f>IF(AR42&gt;AR$133, AR42-AR$133,"")</f>
        <v/>
      </c>
      <c r="BV42" s="1" t="str">
        <f>IF(AS42&gt;AS$133, AS42-AS$133,"")</f>
        <v/>
      </c>
      <c r="BW42" s="1" t="str">
        <f>IF(AT42&gt;AT$133, AT42-AT$133,"")</f>
        <v/>
      </c>
      <c r="BX42" s="1" t="str">
        <f>IF(AU42&gt;AU$133, AU42-AU$133,"")</f>
        <v/>
      </c>
      <c r="BY42" s="1" t="str">
        <f>IF(AV42&gt;AV$133, AV42-AV$133,"")</f>
        <v/>
      </c>
      <c r="BZ42" s="1" t="str">
        <f>IF(AW42&gt;AW$133, AW42-AW$133,"")</f>
        <v/>
      </c>
      <c r="CA42" s="1" t="str">
        <f>IF(AX42&gt;AX$133, AX42-AX$133,"")</f>
        <v/>
      </c>
      <c r="CB42" s="1" t="str">
        <f>IF(AY42&gt;AY$133, AY42-AY$133,"")</f>
        <v/>
      </c>
      <c r="CC42" s="1" t="str">
        <f>IF(AZ42&gt;AZ$133, AZ42-AZ$133,"")</f>
        <v/>
      </c>
      <c r="CD42" s="1" t="str">
        <f>IF(BA42&gt;BA$133, BA42-BA$133,"")</f>
        <v/>
      </c>
      <c r="CE42" s="1" t="str">
        <f>IF(BB42&gt;BB$133, BB42-BB$133,"")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ht="27" x14ac:dyDescent="0.15">
      <c r="A43" s="1">
        <v>41</v>
      </c>
      <c r="B43" s="1" t="s">
        <v>197</v>
      </c>
      <c r="C43" s="1" t="s">
        <v>47</v>
      </c>
      <c r="D43" s="1" t="s">
        <v>13</v>
      </c>
      <c r="E43" s="6"/>
      <c r="F43" s="6"/>
      <c r="G43" s="6"/>
      <c r="H43" s="6"/>
      <c r="I43" s="6"/>
      <c r="J43" s="6"/>
      <c r="K43" s="6"/>
      <c r="L43" s="6">
        <v>6</v>
      </c>
      <c r="M43" s="6"/>
      <c r="N43" s="6"/>
      <c r="O43" s="6">
        <v>6</v>
      </c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>
        <v>10</v>
      </c>
      <c r="AR43" s="4"/>
      <c r="AS43" s="4"/>
      <c r="AT43" s="4"/>
      <c r="AU43" s="4"/>
      <c r="AV43" s="4"/>
      <c r="AW43" s="2"/>
      <c r="AX43" s="2">
        <v>10</v>
      </c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 t="shared" si="10"/>
        <v>32</v>
      </c>
      <c r="BQ43" s="1">
        <v>8</v>
      </c>
      <c r="BR43" s="17">
        <v>2</v>
      </c>
      <c r="BS43" s="17" t="s">
        <v>296</v>
      </c>
      <c r="BT43" s="1" t="str">
        <f>IF(AQ43&gt;AQ$133, AQ43-AQ$133,"")</f>
        <v/>
      </c>
      <c r="BU43" s="1" t="str">
        <f>IF(AR43&gt;AR$133, AR43-AR$133,"")</f>
        <v/>
      </c>
      <c r="BV43" s="1" t="str">
        <f>IF(AS43&gt;AS$133, AS43-AS$133,"")</f>
        <v/>
      </c>
      <c r="BW43" s="1" t="str">
        <f>IF(AT43&gt;AT$133, AT43-AT$133,"")</f>
        <v/>
      </c>
      <c r="BX43" s="1" t="str">
        <f>IF(AU43&gt;AU$133, AU43-AU$133,"")</f>
        <v/>
      </c>
      <c r="BY43" s="1" t="str">
        <f>IF(AV43&gt;AV$133, AV43-AV$133,"")</f>
        <v/>
      </c>
      <c r="BZ43" s="1" t="str">
        <f>IF(AW43&gt;AW$133, AW43-AW$133,"")</f>
        <v/>
      </c>
      <c r="CA43" s="1" t="str">
        <f>IF(AX43&gt;AX$133, AX43-AX$133,"")</f>
        <v/>
      </c>
      <c r="CB43" s="1" t="str">
        <f>IF(AY43&gt;AY$133, AY43-AY$133,"")</f>
        <v/>
      </c>
      <c r="CC43" s="1" t="str">
        <f>IF(AZ43&gt;AZ$133, AZ43-AZ$133,"")</f>
        <v/>
      </c>
      <c r="CD43" s="1" t="str">
        <f>IF(BA43&gt;BA$133, BA43-BA$133,"")</f>
        <v/>
      </c>
      <c r="CE43" s="1" t="str">
        <f>IF(BB43&gt;BB$133, BB43-BB$133,"")</f>
        <v/>
      </c>
      <c r="CF43" s="1">
        <f t="shared" ref="CF43:CF48" si="13">COUNTIF(BT43:CE43, "&gt;0")</f>
        <v>0</v>
      </c>
      <c r="CG43" s="1" t="str">
        <f t="shared" ref="CG43:CR48" si="14">IF($CF43=1,BT43,"")</f>
        <v/>
      </c>
      <c r="CH43" s="1" t="str">
        <f t="shared" si="14"/>
        <v/>
      </c>
      <c r="CI43" s="1" t="str">
        <f t="shared" si="14"/>
        <v/>
      </c>
      <c r="CJ43" s="1" t="str">
        <f t="shared" si="14"/>
        <v/>
      </c>
      <c r="CK43" s="1" t="str">
        <f t="shared" si="14"/>
        <v/>
      </c>
      <c r="CL43" s="1" t="str">
        <f t="shared" si="14"/>
        <v/>
      </c>
      <c r="CM43" s="1" t="str">
        <f t="shared" si="14"/>
        <v/>
      </c>
      <c r="CN43" s="1" t="str">
        <f t="shared" si="14"/>
        <v/>
      </c>
      <c r="CO43" s="1" t="str">
        <f t="shared" si="14"/>
        <v/>
      </c>
      <c r="CP43" s="1" t="str">
        <f t="shared" si="14"/>
        <v/>
      </c>
      <c r="CQ43" s="1" t="str">
        <f t="shared" si="14"/>
        <v/>
      </c>
      <c r="CR43" s="1" t="str">
        <f t="shared" si="14"/>
        <v/>
      </c>
      <c r="CS43" s="3">
        <f t="shared" ref="CS43:CS48" si="15">SUM(AE43:BO43)</f>
        <v>20</v>
      </c>
    </row>
    <row r="44" spans="1:97" ht="27" x14ac:dyDescent="0.15">
      <c r="A44" s="1">
        <v>101</v>
      </c>
      <c r="B44" s="3" t="s">
        <v>101</v>
      </c>
      <c r="C44" s="3" t="s">
        <v>69</v>
      </c>
      <c r="D44" s="1" t="s">
        <v>13</v>
      </c>
      <c r="E44" s="6"/>
      <c r="F44" s="6"/>
      <c r="G44" s="6"/>
      <c r="H44" s="6">
        <v>6</v>
      </c>
      <c r="I44" s="6">
        <v>6</v>
      </c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>
        <v>8</v>
      </c>
      <c r="AV44" s="4"/>
      <c r="AW44" s="2">
        <v>8</v>
      </c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 t="shared" si="10"/>
        <v>28</v>
      </c>
      <c r="BQ44" s="1">
        <v>8</v>
      </c>
      <c r="BR44" s="17">
        <v>2</v>
      </c>
      <c r="BS44" s="17" t="s">
        <v>283</v>
      </c>
      <c r="BT44" s="1" t="str">
        <f>IF(AQ44&gt;AQ$133, AQ44-AQ$133,"")</f>
        <v/>
      </c>
      <c r="BU44" s="1" t="str">
        <f>IF(AR44&gt;AR$133, AR44-AR$133,"")</f>
        <v/>
      </c>
      <c r="BV44" s="1" t="str">
        <f>IF(AS44&gt;AS$133, AS44-AS$133,"")</f>
        <v/>
      </c>
      <c r="BW44" s="1" t="str">
        <f>IF(AT44&gt;AT$133, AT44-AT$133,"")</f>
        <v/>
      </c>
      <c r="BX44" s="1" t="str">
        <f>IF(AU44&gt;AU$133, AU44-AU$133,"")</f>
        <v/>
      </c>
      <c r="BY44" s="1" t="str">
        <f>IF(AV44&gt;AV$133, AV44-AV$133,"")</f>
        <v/>
      </c>
      <c r="BZ44" s="1" t="str">
        <f>IF(AW44&gt;AW$133, AW44-AW$133,"")</f>
        <v/>
      </c>
      <c r="CA44" s="1" t="str">
        <f>IF(AX44&gt;AX$133, AX44-AX$133,"")</f>
        <v/>
      </c>
      <c r="CB44" s="1" t="str">
        <f>IF(AY44&gt;AY$133, AY44-AY$133,"")</f>
        <v/>
      </c>
      <c r="CC44" s="1" t="str">
        <f>IF(AZ44&gt;AZ$133, AZ44-AZ$133,"")</f>
        <v/>
      </c>
      <c r="CD44" s="1" t="str">
        <f>IF(BA44&gt;BA$133, BA44-BA$133,"")</f>
        <v/>
      </c>
      <c r="CE44" s="1" t="str">
        <f>IF(BB44&gt;BB$133, BB44-BB$133,"")</f>
        <v/>
      </c>
      <c r="CF44" s="1">
        <f t="shared" si="13"/>
        <v>0</v>
      </c>
      <c r="CG44" s="1" t="str">
        <f t="shared" si="14"/>
        <v/>
      </c>
      <c r="CH44" s="1" t="str">
        <f t="shared" si="14"/>
        <v/>
      </c>
      <c r="CI44" s="1" t="str">
        <f t="shared" si="14"/>
        <v/>
      </c>
      <c r="CJ44" s="1" t="str">
        <f t="shared" si="14"/>
        <v/>
      </c>
      <c r="CK44" s="1" t="str">
        <f t="shared" si="14"/>
        <v/>
      </c>
      <c r="CL44" s="1" t="str">
        <f t="shared" si="14"/>
        <v/>
      </c>
      <c r="CM44" s="1" t="str">
        <f t="shared" si="14"/>
        <v/>
      </c>
      <c r="CN44" s="1" t="str">
        <f t="shared" si="14"/>
        <v/>
      </c>
      <c r="CO44" s="1" t="str">
        <f t="shared" si="14"/>
        <v/>
      </c>
      <c r="CP44" s="1" t="str">
        <f t="shared" si="14"/>
        <v/>
      </c>
      <c r="CQ44" s="1" t="str">
        <f t="shared" si="14"/>
        <v/>
      </c>
      <c r="CR44" s="1" t="str">
        <f t="shared" si="14"/>
        <v/>
      </c>
      <c r="CS44" s="3">
        <f t="shared" si="15"/>
        <v>16</v>
      </c>
    </row>
    <row r="45" spans="1:97" ht="27" x14ac:dyDescent="0.15">
      <c r="A45" s="1">
        <v>20</v>
      </c>
      <c r="B45" s="1" t="s">
        <v>37</v>
      </c>
      <c r="C45" s="1" t="s">
        <v>31</v>
      </c>
      <c r="D45" s="1" t="s">
        <v>25</v>
      </c>
      <c r="E45" s="6"/>
      <c r="F45" s="6">
        <v>5</v>
      </c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>
        <v>5</v>
      </c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 t="shared" si="10"/>
        <v>10</v>
      </c>
      <c r="BQ45" s="1">
        <v>9</v>
      </c>
      <c r="BR45" s="17">
        <v>2</v>
      </c>
      <c r="BS45" s="17" t="s">
        <v>256</v>
      </c>
      <c r="BT45" s="1" t="str">
        <f>IF(AQ45&gt;AQ$133, AQ45-AQ$133,"")</f>
        <v/>
      </c>
      <c r="BU45" s="1" t="str">
        <f>IF(AR45&gt;AR$133, AR45-AR$133,"")</f>
        <v/>
      </c>
      <c r="BV45" s="1" t="str">
        <f>IF(AS45&gt;AS$133, AS45-AS$133,"")</f>
        <v/>
      </c>
      <c r="BW45" s="1" t="str">
        <f>IF(AT45&gt;AT$133, AT45-AT$133,"")</f>
        <v/>
      </c>
      <c r="BX45" s="1" t="str">
        <f>IF(AU45&gt;AU$133, AU45-AU$133,"")</f>
        <v/>
      </c>
      <c r="BY45" s="1" t="str">
        <f>IF(AV45&gt;AV$133, AV45-AV$133,"")</f>
        <v/>
      </c>
      <c r="BZ45" s="1" t="str">
        <f>IF(AW45&gt;AW$133, AW45-AW$133,"")</f>
        <v/>
      </c>
      <c r="CA45" s="1" t="str">
        <f>IF(AX45&gt;AX$133, AX45-AX$133,"")</f>
        <v/>
      </c>
      <c r="CB45" s="1" t="str">
        <f>IF(AY45&gt;AY$133, AY45-AY$133,"")</f>
        <v/>
      </c>
      <c r="CC45" s="1" t="str">
        <f>IF(AZ45&gt;AZ$133, AZ45-AZ$133,"")</f>
        <v/>
      </c>
      <c r="CD45" s="1" t="str">
        <f>IF(BA45&gt;BA$133, BA45-BA$133,"")</f>
        <v/>
      </c>
      <c r="CE45" s="1" t="str">
        <f>IF(BB45&gt;BB$133, BB45-BB$133,"")</f>
        <v/>
      </c>
      <c r="CF45" s="1">
        <f t="shared" si="13"/>
        <v>0</v>
      </c>
      <c r="CG45" s="1" t="str">
        <f t="shared" si="14"/>
        <v/>
      </c>
      <c r="CH45" s="1" t="str">
        <f t="shared" si="14"/>
        <v/>
      </c>
      <c r="CI45" s="1" t="str">
        <f t="shared" si="14"/>
        <v/>
      </c>
      <c r="CJ45" s="1" t="str">
        <f t="shared" si="14"/>
        <v/>
      </c>
      <c r="CK45" s="1" t="str">
        <f t="shared" si="14"/>
        <v/>
      </c>
      <c r="CL45" s="1" t="str">
        <f t="shared" si="14"/>
        <v/>
      </c>
      <c r="CM45" s="1" t="str">
        <f t="shared" si="14"/>
        <v/>
      </c>
      <c r="CN45" s="1" t="str">
        <f t="shared" si="14"/>
        <v/>
      </c>
      <c r="CO45" s="1" t="str">
        <f t="shared" si="14"/>
        <v/>
      </c>
      <c r="CP45" s="1" t="str">
        <f t="shared" si="14"/>
        <v/>
      </c>
      <c r="CQ45" s="1" t="str">
        <f t="shared" si="14"/>
        <v/>
      </c>
      <c r="CR45" s="1" t="str">
        <f t="shared" si="14"/>
        <v/>
      </c>
      <c r="CS45" s="3">
        <f t="shared" si="15"/>
        <v>5</v>
      </c>
    </row>
    <row r="46" spans="1:97" ht="27" x14ac:dyDescent="0.15">
      <c r="A46" s="1">
        <v>82</v>
      </c>
      <c r="B46" s="3" t="s">
        <v>68</v>
      </c>
      <c r="C46" s="3" t="s">
        <v>64</v>
      </c>
      <c r="D46" s="1" t="s">
        <v>13</v>
      </c>
      <c r="E46" s="6"/>
      <c r="F46" s="6"/>
      <c r="G46" s="6"/>
      <c r="H46" s="6"/>
      <c r="I46" s="6"/>
      <c r="J46" s="6"/>
      <c r="K46" s="6"/>
      <c r="L46" s="6">
        <v>6</v>
      </c>
      <c r="M46" s="6"/>
      <c r="N46" s="6">
        <v>6</v>
      </c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>
        <v>10</v>
      </c>
      <c r="AU46" s="4"/>
      <c r="AV46" s="4"/>
      <c r="AW46" s="2"/>
      <c r="AX46" s="2"/>
      <c r="AY46" s="2"/>
      <c r="AZ46" s="2">
        <v>10</v>
      </c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 t="shared" si="10"/>
        <v>32</v>
      </c>
      <c r="BQ46" s="1">
        <v>10</v>
      </c>
      <c r="BR46" s="17">
        <v>2</v>
      </c>
      <c r="BS46" s="17" t="s">
        <v>284</v>
      </c>
      <c r="BT46" s="1" t="str">
        <f>IF(AQ46&gt;AQ$133, AQ46-AQ$133,"")</f>
        <v/>
      </c>
      <c r="BU46" s="1" t="str">
        <f>IF(AR46&gt;AR$133, AR46-AR$133,"")</f>
        <v/>
      </c>
      <c r="BV46" s="1" t="str">
        <f>IF(AS46&gt;AS$133, AS46-AS$133,"")</f>
        <v/>
      </c>
      <c r="BW46" s="1" t="str">
        <f>IF(AT46&gt;AT$133, AT46-AT$133,"")</f>
        <v/>
      </c>
      <c r="BX46" s="1" t="str">
        <f>IF(AU46&gt;AU$133, AU46-AU$133,"")</f>
        <v/>
      </c>
      <c r="BY46" s="1" t="str">
        <f>IF(AV46&gt;AV$133, AV46-AV$133,"")</f>
        <v/>
      </c>
      <c r="BZ46" s="1" t="str">
        <f>IF(AW46&gt;AW$133, AW46-AW$133,"")</f>
        <v/>
      </c>
      <c r="CA46" s="1" t="str">
        <f>IF(AX46&gt;AX$133, AX46-AX$133,"")</f>
        <v/>
      </c>
      <c r="CB46" s="1" t="str">
        <f>IF(AY46&gt;AY$133, AY46-AY$133,"")</f>
        <v/>
      </c>
      <c r="CC46" s="1" t="str">
        <f>IF(AZ46&gt;AZ$133, AZ46-AZ$133,"")</f>
        <v/>
      </c>
      <c r="CD46" s="1" t="str">
        <f>IF(BA46&gt;BA$133, BA46-BA$133,"")</f>
        <v/>
      </c>
      <c r="CE46" s="1" t="str">
        <f>IF(BB46&gt;BB$133, BB46-BB$133,"")</f>
        <v/>
      </c>
      <c r="CF46" s="1">
        <f t="shared" si="13"/>
        <v>0</v>
      </c>
      <c r="CG46" s="1" t="str">
        <f t="shared" si="14"/>
        <v/>
      </c>
      <c r="CH46" s="1" t="str">
        <f t="shared" si="14"/>
        <v/>
      </c>
      <c r="CI46" s="1" t="str">
        <f t="shared" si="14"/>
        <v/>
      </c>
      <c r="CJ46" s="1" t="str">
        <f t="shared" si="14"/>
        <v/>
      </c>
      <c r="CK46" s="1" t="str">
        <f t="shared" si="14"/>
        <v/>
      </c>
      <c r="CL46" s="1" t="str">
        <f t="shared" si="14"/>
        <v/>
      </c>
      <c r="CM46" s="1" t="str">
        <f t="shared" si="14"/>
        <v/>
      </c>
      <c r="CN46" s="1" t="str">
        <f t="shared" si="14"/>
        <v/>
      </c>
      <c r="CO46" s="1" t="str">
        <f t="shared" si="14"/>
        <v/>
      </c>
      <c r="CP46" s="1" t="str">
        <f t="shared" si="14"/>
        <v/>
      </c>
      <c r="CQ46" s="1" t="str">
        <f t="shared" si="14"/>
        <v/>
      </c>
      <c r="CR46" s="1" t="str">
        <f t="shared" si="14"/>
        <v/>
      </c>
      <c r="CS46" s="3">
        <f t="shared" si="15"/>
        <v>20</v>
      </c>
    </row>
    <row r="47" spans="1:97" ht="27" x14ac:dyDescent="0.15">
      <c r="A47" s="1">
        <v>27</v>
      </c>
      <c r="B47" s="1" t="s">
        <v>74</v>
      </c>
      <c r="C47" s="1" t="s">
        <v>31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>
        <v>5</v>
      </c>
      <c r="AI47" s="1">
        <v>5</v>
      </c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 t="shared" si="10"/>
        <v>10</v>
      </c>
      <c r="BQ47" s="1">
        <v>10</v>
      </c>
      <c r="BR47" s="17">
        <v>2</v>
      </c>
      <c r="BS47" s="17" t="s">
        <v>257</v>
      </c>
      <c r="BT47" s="1" t="str">
        <f>IF(AQ47&gt;AQ$133, AQ47-AQ$133,"")</f>
        <v/>
      </c>
      <c r="BU47" s="1" t="str">
        <f>IF(AR47&gt;AR$133, AR47-AR$133,"")</f>
        <v/>
      </c>
      <c r="BV47" s="1" t="str">
        <f>IF(AS47&gt;AS$133, AS47-AS$133,"")</f>
        <v/>
      </c>
      <c r="BW47" s="1" t="str">
        <f>IF(AT47&gt;AT$133, AT47-AT$133,"")</f>
        <v/>
      </c>
      <c r="BX47" s="1" t="str">
        <f>IF(AU47&gt;AU$133, AU47-AU$133,"")</f>
        <v/>
      </c>
      <c r="BY47" s="1" t="str">
        <f>IF(AV47&gt;AV$133, AV47-AV$133,"")</f>
        <v/>
      </c>
      <c r="BZ47" s="1" t="str">
        <f>IF(AW47&gt;AW$133, AW47-AW$133,"")</f>
        <v/>
      </c>
      <c r="CA47" s="1" t="str">
        <f>IF(AX47&gt;AX$133, AX47-AX$133,"")</f>
        <v/>
      </c>
      <c r="CB47" s="1" t="str">
        <f>IF(AY47&gt;AY$133, AY47-AY$133,"")</f>
        <v/>
      </c>
      <c r="CC47" s="1" t="str">
        <f>IF(AZ47&gt;AZ$133, AZ47-AZ$133,"")</f>
        <v/>
      </c>
      <c r="CD47" s="1" t="str">
        <f>IF(BA47&gt;BA$133, BA47-BA$133,"")</f>
        <v/>
      </c>
      <c r="CE47" s="1" t="str">
        <f>IF(BB47&gt;BB$133, BB47-BB$133,"")</f>
        <v/>
      </c>
      <c r="CF47" s="1">
        <f t="shared" si="13"/>
        <v>0</v>
      </c>
      <c r="CG47" s="1" t="str">
        <f t="shared" si="14"/>
        <v/>
      </c>
      <c r="CH47" s="1" t="str">
        <f t="shared" si="14"/>
        <v/>
      </c>
      <c r="CI47" s="1" t="str">
        <f t="shared" si="14"/>
        <v/>
      </c>
      <c r="CJ47" s="1" t="str">
        <f t="shared" si="14"/>
        <v/>
      </c>
      <c r="CK47" s="1" t="str">
        <f t="shared" si="14"/>
        <v/>
      </c>
      <c r="CL47" s="1" t="str">
        <f t="shared" si="14"/>
        <v/>
      </c>
      <c r="CM47" s="1" t="str">
        <f t="shared" si="14"/>
        <v/>
      </c>
      <c r="CN47" s="1" t="str">
        <f t="shared" si="14"/>
        <v/>
      </c>
      <c r="CO47" s="1" t="str">
        <f t="shared" si="14"/>
        <v/>
      </c>
      <c r="CP47" s="1" t="str">
        <f t="shared" si="14"/>
        <v/>
      </c>
      <c r="CQ47" s="1" t="str">
        <f t="shared" si="14"/>
        <v/>
      </c>
      <c r="CR47" s="1" t="str">
        <f t="shared" si="14"/>
        <v/>
      </c>
      <c r="CS47" s="3">
        <f t="shared" si="15"/>
        <v>10</v>
      </c>
    </row>
    <row r="48" spans="1:97" ht="27" x14ac:dyDescent="0.15">
      <c r="A48" s="1">
        <v>88</v>
      </c>
      <c r="B48" s="3" t="s">
        <v>79</v>
      </c>
      <c r="C48" s="3" t="s">
        <v>80</v>
      </c>
      <c r="D48" s="1" t="s">
        <v>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>
        <v>5</v>
      </c>
      <c r="AI48" s="1">
        <v>5</v>
      </c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 t="shared" si="10"/>
        <v>10</v>
      </c>
      <c r="BQ48" s="1">
        <v>10</v>
      </c>
      <c r="BR48" s="17">
        <v>2</v>
      </c>
      <c r="BS48" s="17" t="s">
        <v>285</v>
      </c>
      <c r="BT48" s="1" t="str">
        <f>IF(AQ48&gt;AQ$133, AQ48-AQ$133,"")</f>
        <v/>
      </c>
      <c r="BU48" s="1" t="str">
        <f>IF(AR48&gt;AR$133, AR48-AR$133,"")</f>
        <v/>
      </c>
      <c r="BV48" s="1" t="str">
        <f>IF(AS48&gt;AS$133, AS48-AS$133,"")</f>
        <v/>
      </c>
      <c r="BW48" s="1" t="str">
        <f>IF(AT48&gt;AT$133, AT48-AT$133,"")</f>
        <v/>
      </c>
      <c r="BX48" s="1" t="str">
        <f>IF(AU48&gt;AU$133, AU48-AU$133,"")</f>
        <v/>
      </c>
      <c r="BY48" s="1" t="str">
        <f>IF(AV48&gt;AV$133, AV48-AV$133,"")</f>
        <v/>
      </c>
      <c r="BZ48" s="1" t="str">
        <f>IF(AW48&gt;AW$133, AW48-AW$133,"")</f>
        <v/>
      </c>
      <c r="CA48" s="1" t="str">
        <f>IF(AX48&gt;AX$133, AX48-AX$133,"")</f>
        <v/>
      </c>
      <c r="CB48" s="1" t="str">
        <f>IF(AY48&gt;AY$133, AY48-AY$133,"")</f>
        <v/>
      </c>
      <c r="CC48" s="1" t="str">
        <f>IF(AZ48&gt;AZ$133, AZ48-AZ$133,"")</f>
        <v/>
      </c>
      <c r="CD48" s="1" t="str">
        <f>IF(BA48&gt;BA$133, BA48-BA$133,"")</f>
        <v/>
      </c>
      <c r="CE48" s="1" t="str">
        <f>IF(BB48&gt;BB$133, BB48-BB$133,"")</f>
        <v/>
      </c>
      <c r="CF48" s="1">
        <f t="shared" si="13"/>
        <v>0</v>
      </c>
      <c r="CG48" s="1" t="str">
        <f t="shared" si="14"/>
        <v/>
      </c>
      <c r="CH48" s="1" t="str">
        <f t="shared" si="14"/>
        <v/>
      </c>
      <c r="CI48" s="1" t="str">
        <f t="shared" si="14"/>
        <v/>
      </c>
      <c r="CJ48" s="1" t="str">
        <f t="shared" si="14"/>
        <v/>
      </c>
      <c r="CK48" s="1" t="str">
        <f t="shared" si="14"/>
        <v/>
      </c>
      <c r="CL48" s="1" t="str">
        <f t="shared" si="14"/>
        <v/>
      </c>
      <c r="CM48" s="1" t="str">
        <f t="shared" si="14"/>
        <v/>
      </c>
      <c r="CN48" s="1" t="str">
        <f t="shared" si="14"/>
        <v/>
      </c>
      <c r="CO48" s="1" t="str">
        <f t="shared" si="14"/>
        <v/>
      </c>
      <c r="CP48" s="1" t="str">
        <f t="shared" si="14"/>
        <v/>
      </c>
      <c r="CQ48" s="1" t="str">
        <f t="shared" si="14"/>
        <v/>
      </c>
      <c r="CR48" s="1" t="str">
        <f t="shared" si="14"/>
        <v/>
      </c>
      <c r="CS48" s="3">
        <f t="shared" si="15"/>
        <v>10</v>
      </c>
    </row>
    <row r="49" spans="1:97" ht="27" x14ac:dyDescent="0.15">
      <c r="A49" s="1"/>
      <c r="B49" s="1" t="s">
        <v>189</v>
      </c>
      <c r="C49" s="1" t="s">
        <v>121</v>
      </c>
      <c r="D49" s="1" t="s">
        <v>108</v>
      </c>
      <c r="E49" s="6"/>
      <c r="F49" s="6"/>
      <c r="G49" s="6"/>
      <c r="H49" s="6">
        <v>10</v>
      </c>
      <c r="I49" s="6"/>
      <c r="J49" s="6">
        <v>10</v>
      </c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>
        <v>10</v>
      </c>
      <c r="AU49" s="4"/>
      <c r="AV49" s="4"/>
      <c r="AW49" s="2"/>
      <c r="AX49" s="2"/>
      <c r="AY49" s="2">
        <v>10</v>
      </c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 t="shared" si="10"/>
        <v>40</v>
      </c>
      <c r="BQ49" s="1">
        <v>10</v>
      </c>
      <c r="BR49" s="17">
        <v>2</v>
      </c>
      <c r="BS49" s="17" t="s">
        <v>239</v>
      </c>
      <c r="BT49" s="1" t="str">
        <f>IF(AQ49&gt;AQ$133, AQ49-AQ$133,"")</f>
        <v/>
      </c>
      <c r="BU49" s="1" t="str">
        <f>IF(AR49&gt;AR$133, AR49-AR$133,"")</f>
        <v/>
      </c>
      <c r="BV49" s="1" t="str">
        <f>IF(AS49&gt;AS$133, AS49-AS$133,"")</f>
        <v/>
      </c>
      <c r="BW49" s="1" t="str">
        <f>IF(AT49&gt;AT$133, AT49-AT$133,"")</f>
        <v/>
      </c>
      <c r="BX49" s="1" t="str">
        <f>IF(AU49&gt;AU$133, AU49-AU$133,"")</f>
        <v/>
      </c>
      <c r="BY49" s="1" t="str">
        <f>IF(AV49&gt;AV$133, AV49-AV$133,"")</f>
        <v/>
      </c>
      <c r="BZ49" s="1" t="str">
        <f>IF(AW49&gt;AW$133, AW49-AW$133,"")</f>
        <v/>
      </c>
      <c r="CA49" s="1" t="str">
        <f>IF(AX49&gt;AX$133, AX49-AX$133,"")</f>
        <v/>
      </c>
      <c r="CB49" s="1" t="str">
        <f>IF(AY49&gt;AY$133, AY49-AY$133,"")</f>
        <v/>
      </c>
      <c r="CC49" s="1" t="str">
        <f>IF(AZ49&gt;AZ$133, AZ49-AZ$133,"")</f>
        <v/>
      </c>
      <c r="CD49" s="1" t="str">
        <f>IF(BA49&gt;BA$133, BA49-BA$133,"")</f>
        <v/>
      </c>
      <c r="CE49" s="1" t="str">
        <f>IF(BB49&gt;BB$133, BB49-BB$133,"")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>
        <v>72</v>
      </c>
      <c r="B50" s="3" t="s">
        <v>91</v>
      </c>
      <c r="C50" s="1" t="s">
        <v>56</v>
      </c>
      <c r="D50" s="1" t="s">
        <v>13</v>
      </c>
      <c r="E50" s="6"/>
      <c r="F50" s="6"/>
      <c r="G50" s="6"/>
      <c r="H50" s="6"/>
      <c r="I50" s="6"/>
      <c r="J50" s="6"/>
      <c r="K50" s="6"/>
      <c r="L50" s="6">
        <v>6</v>
      </c>
      <c r="M50" s="6">
        <v>6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>
        <v>10</v>
      </c>
      <c r="AW50" s="2"/>
      <c r="AX50" s="2"/>
      <c r="AY50" s="2"/>
      <c r="AZ50" s="2"/>
      <c r="BA50" s="2">
        <v>10</v>
      </c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 t="shared" si="10"/>
        <v>32</v>
      </c>
      <c r="BQ50" s="1">
        <v>11</v>
      </c>
      <c r="BR50" s="17">
        <v>2</v>
      </c>
      <c r="BS50" s="17" t="s">
        <v>258</v>
      </c>
      <c r="BT50" s="1" t="str">
        <f>IF(AQ50&gt;AQ$133, AQ50-AQ$133,"")</f>
        <v/>
      </c>
      <c r="BU50" s="1" t="str">
        <f>IF(AR50&gt;AR$133, AR50-AR$133,"")</f>
        <v/>
      </c>
      <c r="BV50" s="1" t="str">
        <f>IF(AS50&gt;AS$133, AS50-AS$133,"")</f>
        <v/>
      </c>
      <c r="BW50" s="1" t="str">
        <f>IF(AT50&gt;AT$133, AT50-AT$133,"")</f>
        <v/>
      </c>
      <c r="BX50" s="1" t="str">
        <f>IF(AU50&gt;AU$133, AU50-AU$133,"")</f>
        <v/>
      </c>
      <c r="BY50" s="1" t="str">
        <f>IF(AV50&gt;AV$133, AV50-AV$133,"")</f>
        <v/>
      </c>
      <c r="BZ50" s="1" t="str">
        <f>IF(AW50&gt;AW$133, AW50-AW$133,"")</f>
        <v/>
      </c>
      <c r="CA50" s="1" t="str">
        <f>IF(AX50&gt;AX$133, AX50-AX$133,"")</f>
        <v/>
      </c>
      <c r="CB50" s="1" t="str">
        <f>IF(AY50&gt;AY$133, AY50-AY$133,"")</f>
        <v/>
      </c>
      <c r="CC50" s="1" t="str">
        <f>IF(AZ50&gt;AZ$133, AZ50-AZ$133,"")</f>
        <v/>
      </c>
      <c r="CD50" s="1" t="str">
        <f>IF(BA50&gt;BA$133, BA50-BA$133,"")</f>
        <v/>
      </c>
      <c r="CE50" s="1" t="str">
        <f>IF(BB50&gt;BB$133, BB50-BB$133,"")</f>
        <v/>
      </c>
      <c r="CF50" s="1">
        <f>COUNTIF(BT50:CE50, "&gt;0")</f>
        <v>0</v>
      </c>
      <c r="CG50" s="1" t="str">
        <f t="shared" ref="CG50:CR51" si="16">IF($CF50=1,BT50,"")</f>
        <v/>
      </c>
      <c r="CH50" s="1" t="str">
        <f t="shared" si="16"/>
        <v/>
      </c>
      <c r="CI50" s="1" t="str">
        <f t="shared" si="16"/>
        <v/>
      </c>
      <c r="CJ50" s="1" t="str">
        <f t="shared" si="16"/>
        <v/>
      </c>
      <c r="CK50" s="1" t="str">
        <f t="shared" si="16"/>
        <v/>
      </c>
      <c r="CL50" s="1" t="str">
        <f t="shared" si="16"/>
        <v/>
      </c>
      <c r="CM50" s="1" t="str">
        <f t="shared" si="16"/>
        <v/>
      </c>
      <c r="CN50" s="1" t="str">
        <f t="shared" si="16"/>
        <v/>
      </c>
      <c r="CO50" s="1" t="str">
        <f t="shared" si="16"/>
        <v/>
      </c>
      <c r="CP50" s="1" t="str">
        <f t="shared" si="16"/>
        <v/>
      </c>
      <c r="CQ50" s="1" t="str">
        <f t="shared" si="16"/>
        <v/>
      </c>
      <c r="CR50" s="1" t="str">
        <f t="shared" si="16"/>
        <v/>
      </c>
      <c r="CS50" s="3">
        <f>SUM(AE50:BO50)</f>
        <v>20</v>
      </c>
    </row>
    <row r="51" spans="1:97" ht="27" x14ac:dyDescent="0.15">
      <c r="A51" s="1">
        <v>8</v>
      </c>
      <c r="B51" s="1" t="s">
        <v>174</v>
      </c>
      <c r="C51" s="1" t="s">
        <v>2</v>
      </c>
      <c r="D51" s="1" t="s">
        <v>26</v>
      </c>
      <c r="E51" s="6">
        <v>6</v>
      </c>
      <c r="F51" s="6"/>
      <c r="G51" s="6"/>
      <c r="H51" s="6">
        <v>6</v>
      </c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>
        <v>10</v>
      </c>
      <c r="AS51" s="4"/>
      <c r="AT51" s="4"/>
      <c r="AU51" s="4"/>
      <c r="AV51" s="4"/>
      <c r="AW51" s="2"/>
      <c r="AX51" s="2"/>
      <c r="AY51" s="2"/>
      <c r="AZ51" s="2"/>
      <c r="BA51" s="2"/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 t="shared" si="10"/>
        <v>32</v>
      </c>
      <c r="BQ51" s="1">
        <v>12</v>
      </c>
      <c r="BR51" s="17">
        <v>2</v>
      </c>
      <c r="BS51" s="17" t="s">
        <v>259</v>
      </c>
      <c r="BT51" s="1" t="str">
        <f>IF(AQ51&gt;AQ$133, AQ51-AQ$133,"")</f>
        <v/>
      </c>
      <c r="BU51" s="1" t="str">
        <f>IF(AR51&gt;AR$133, AR51-AR$133,"")</f>
        <v/>
      </c>
      <c r="BV51" s="1" t="str">
        <f>IF(AS51&gt;AS$133, AS51-AS$133,"")</f>
        <v/>
      </c>
      <c r="BW51" s="1" t="str">
        <f>IF(AT51&gt;AT$133, AT51-AT$133,"")</f>
        <v/>
      </c>
      <c r="BX51" s="1" t="str">
        <f>IF(AU51&gt;AU$133, AU51-AU$133,"")</f>
        <v/>
      </c>
      <c r="BY51" s="1" t="str">
        <f>IF(AV51&gt;AV$133, AV51-AV$133,"")</f>
        <v/>
      </c>
      <c r="BZ51" s="1" t="str">
        <f>IF(AW51&gt;AW$133, AW51-AW$133,"")</f>
        <v/>
      </c>
      <c r="CA51" s="1" t="str">
        <f>IF(AX51&gt;AX$133, AX51-AX$133,"")</f>
        <v/>
      </c>
      <c r="CB51" s="1" t="str">
        <f>IF(AY51&gt;AY$133, AY51-AY$133,"")</f>
        <v/>
      </c>
      <c r="CC51" s="1" t="str">
        <f>IF(AZ51&gt;AZ$133, AZ51-AZ$133,"")</f>
        <v/>
      </c>
      <c r="CD51" s="1" t="str">
        <f>IF(BA51&gt;BA$133, BA51-BA$133,"")</f>
        <v/>
      </c>
      <c r="CE51" s="1" t="str">
        <f>IF(BB51&gt;BB$133, BB51-BB$133,"")</f>
        <v/>
      </c>
      <c r="CF51" s="1">
        <f>COUNTIF(BT51:CE51, "&gt;0")</f>
        <v>0</v>
      </c>
      <c r="CG51" s="1" t="str">
        <f t="shared" si="16"/>
        <v/>
      </c>
      <c r="CH51" s="1" t="str">
        <f t="shared" si="16"/>
        <v/>
      </c>
      <c r="CI51" s="1" t="str">
        <f t="shared" si="16"/>
        <v/>
      </c>
      <c r="CJ51" s="1" t="str">
        <f t="shared" si="16"/>
        <v/>
      </c>
      <c r="CK51" s="1" t="str">
        <f t="shared" si="16"/>
        <v/>
      </c>
      <c r="CL51" s="1" t="str">
        <f t="shared" si="16"/>
        <v/>
      </c>
      <c r="CM51" s="1" t="str">
        <f t="shared" si="16"/>
        <v/>
      </c>
      <c r="CN51" s="1" t="str">
        <f t="shared" si="16"/>
        <v/>
      </c>
      <c r="CO51" s="1" t="str">
        <f t="shared" si="16"/>
        <v/>
      </c>
      <c r="CP51" s="1" t="str">
        <f t="shared" si="16"/>
        <v/>
      </c>
      <c r="CQ51" s="1" t="str">
        <f t="shared" si="16"/>
        <v/>
      </c>
      <c r="CR51" s="1" t="str">
        <f t="shared" si="16"/>
        <v/>
      </c>
      <c r="CS51" s="3">
        <f>SUM(AE51:BO51)</f>
        <v>20</v>
      </c>
    </row>
    <row r="52" spans="1:97" ht="27" x14ac:dyDescent="0.15">
      <c r="A52" s="1"/>
      <c r="B52" s="1" t="s">
        <v>195</v>
      </c>
      <c r="C52" s="1" t="s">
        <v>110</v>
      </c>
      <c r="D52" s="1" t="s">
        <v>108</v>
      </c>
      <c r="E52" s="6">
        <v>6</v>
      </c>
      <c r="F52" s="6">
        <v>6</v>
      </c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>
        <v>10</v>
      </c>
      <c r="AT52" s="4"/>
      <c r="AU52" s="4"/>
      <c r="AV52" s="4"/>
      <c r="AW52" s="2"/>
      <c r="AX52" s="2">
        <v>10</v>
      </c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 t="shared" si="10"/>
        <v>32</v>
      </c>
      <c r="BQ52" s="1">
        <v>12</v>
      </c>
      <c r="BR52" s="17">
        <v>2</v>
      </c>
      <c r="BS52" s="17" t="s">
        <v>297</v>
      </c>
      <c r="BT52" s="1" t="str">
        <f>IF(AQ52&gt;AQ$133, AQ52-AQ$133,"")</f>
        <v/>
      </c>
      <c r="BU52" s="1" t="str">
        <f>IF(AR52&gt;AR$133, AR52-AR$133,"")</f>
        <v/>
      </c>
      <c r="BV52" s="1" t="str">
        <f>IF(AS52&gt;AS$133, AS52-AS$133,"")</f>
        <v/>
      </c>
      <c r="BW52" s="1" t="str">
        <f>IF(AT52&gt;AT$133, AT52-AT$133,"")</f>
        <v/>
      </c>
      <c r="BX52" s="1" t="str">
        <f>IF(AU52&gt;AU$133, AU52-AU$133,"")</f>
        <v/>
      </c>
      <c r="BY52" s="1" t="str">
        <f>IF(AV52&gt;AV$133, AV52-AV$133,"")</f>
        <v/>
      </c>
      <c r="BZ52" s="1" t="str">
        <f>IF(AW52&gt;AW$133, AW52-AW$133,"")</f>
        <v/>
      </c>
      <c r="CA52" s="1" t="str">
        <f>IF(AX52&gt;AX$133, AX52-AX$133,"")</f>
        <v/>
      </c>
      <c r="CB52" s="1" t="str">
        <f>IF(AY52&gt;AY$133, AY52-AY$133,"")</f>
        <v/>
      </c>
      <c r="CC52" s="1" t="str">
        <f>IF(AZ52&gt;AZ$133, AZ52-AZ$133,"")</f>
        <v/>
      </c>
      <c r="CD52" s="1" t="str">
        <f>IF(BA52&gt;BA$133, BA52-BA$133,"")</f>
        <v/>
      </c>
      <c r="CE52" s="1" t="str">
        <f>IF(BB52&gt;BB$133, BB52-BB$133,"")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181</v>
      </c>
      <c r="C53" s="1" t="s">
        <v>118</v>
      </c>
      <c r="D53" s="1" t="s">
        <v>108</v>
      </c>
      <c r="E53" s="6">
        <v>10</v>
      </c>
      <c r="F53" s="6"/>
      <c r="G53" s="6">
        <v>10</v>
      </c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>
        <v>10</v>
      </c>
      <c r="AS53" s="4"/>
      <c r="AT53" s="4"/>
      <c r="AU53" s="4"/>
      <c r="AV53" s="4"/>
      <c r="AW53" s="2"/>
      <c r="AX53" s="2"/>
      <c r="AY53" s="2"/>
      <c r="AZ53" s="2"/>
      <c r="BA53" s="2"/>
      <c r="BB53" s="2">
        <v>10</v>
      </c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 t="shared" ref="BP53:BP84" si="17">SUM(E53:BO53)</f>
        <v>40</v>
      </c>
      <c r="BQ53" s="1">
        <v>15</v>
      </c>
      <c r="BR53" s="17">
        <v>2</v>
      </c>
      <c r="BS53" s="17" t="s">
        <v>260</v>
      </c>
      <c r="BT53" s="1" t="str">
        <f t="shared" ref="BT53:BT84" si="18">IF(AQ53&gt;AQ$133, AQ53-AQ$133,"")</f>
        <v/>
      </c>
      <c r="BU53" s="1" t="str">
        <f t="shared" ref="BU53:BU84" si="19">IF(AR53&gt;AR$133, AR53-AR$133,"")</f>
        <v/>
      </c>
      <c r="BV53" s="1" t="str">
        <f t="shared" ref="BV53:BV84" si="20">IF(AS53&gt;AS$133, AS53-AS$133,"")</f>
        <v/>
      </c>
      <c r="BW53" s="1" t="str">
        <f t="shared" ref="BW53:BW84" si="21">IF(AT53&gt;AT$133, AT53-AT$133,"")</f>
        <v/>
      </c>
      <c r="BX53" s="1" t="str">
        <f t="shared" ref="BX53:BX84" si="22">IF(AU53&gt;AU$133, AU53-AU$133,"")</f>
        <v/>
      </c>
      <c r="BY53" s="1" t="str">
        <f t="shared" ref="BY53:BY84" si="23">IF(AV53&gt;AV$133, AV53-AV$133,"")</f>
        <v/>
      </c>
      <c r="BZ53" s="1" t="str">
        <f t="shared" ref="BZ53:BZ84" si="24">IF(AW53&gt;AW$133, AW53-AW$133,"")</f>
        <v/>
      </c>
      <c r="CA53" s="1" t="str">
        <f t="shared" ref="CA53:CA84" si="25">IF(AX53&gt;AX$133, AX53-AX$133,"")</f>
        <v/>
      </c>
      <c r="CB53" s="1" t="str">
        <f t="shared" ref="CB53:CB84" si="26">IF(AY53&gt;AY$133, AY53-AY$133,"")</f>
        <v/>
      </c>
      <c r="CC53" s="1" t="str">
        <f t="shared" ref="CC53:CC84" si="27">IF(AZ53&gt;AZ$133, AZ53-AZ$133,"")</f>
        <v/>
      </c>
      <c r="CD53" s="1" t="str">
        <f t="shared" ref="CD53:CD84" si="28">IF(BA53&gt;BA$133, BA53-BA$133,"")</f>
        <v/>
      </c>
      <c r="CE53" s="1" t="str">
        <f t="shared" ref="CE53:CE84" si="29">IF(BB53&gt;BB$133, BB53-BB$133,"")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179</v>
      </c>
      <c r="C54" s="1" t="s">
        <v>152</v>
      </c>
      <c r="D54" s="1" t="s">
        <v>126</v>
      </c>
      <c r="E54" s="6">
        <v>10</v>
      </c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10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 t="shared" si="17"/>
        <v>40</v>
      </c>
      <c r="BQ54" s="1">
        <v>15</v>
      </c>
      <c r="BR54" s="17">
        <v>2</v>
      </c>
      <c r="BS54" s="17" t="s">
        <v>260</v>
      </c>
      <c r="BT54" s="1" t="str">
        <f t="shared" si="18"/>
        <v/>
      </c>
      <c r="BU54" s="1" t="str">
        <f t="shared" si="19"/>
        <v/>
      </c>
      <c r="BV54" s="1" t="str">
        <f t="shared" si="20"/>
        <v/>
      </c>
      <c r="BW54" s="1" t="str">
        <f t="shared" si="21"/>
        <v/>
      </c>
      <c r="BX54" s="1" t="str">
        <f t="shared" si="22"/>
        <v/>
      </c>
      <c r="BY54" s="1" t="str">
        <f t="shared" si="23"/>
        <v/>
      </c>
      <c r="BZ54" s="1" t="str">
        <f t="shared" si="24"/>
        <v/>
      </c>
      <c r="CA54" s="1" t="str">
        <f t="shared" si="25"/>
        <v/>
      </c>
      <c r="CB54" s="1" t="str">
        <f t="shared" si="26"/>
        <v/>
      </c>
      <c r="CC54" s="1" t="str">
        <f t="shared" si="27"/>
        <v/>
      </c>
      <c r="CD54" s="1" t="str">
        <f t="shared" si="28"/>
        <v/>
      </c>
      <c r="CE54" s="1" t="str">
        <f t="shared" si="29"/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173</v>
      </c>
      <c r="C55" s="1" t="s">
        <v>153</v>
      </c>
      <c r="D55" s="1" t="s">
        <v>126</v>
      </c>
      <c r="E55" s="6"/>
      <c r="F55" s="6"/>
      <c r="G55" s="6"/>
      <c r="H55" s="6"/>
      <c r="I55" s="6"/>
      <c r="J55" s="6"/>
      <c r="K55" s="6"/>
      <c r="L55" s="6">
        <v>6</v>
      </c>
      <c r="M55" s="6"/>
      <c r="N55" s="6"/>
      <c r="O55" s="6">
        <v>6</v>
      </c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>
        <v>10</v>
      </c>
      <c r="BB55" s="2">
        <v>10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 t="shared" si="17"/>
        <v>32</v>
      </c>
      <c r="BQ55" s="1">
        <v>16</v>
      </c>
      <c r="BR55" s="17">
        <v>2</v>
      </c>
      <c r="BS55" s="17" t="s">
        <v>261</v>
      </c>
      <c r="BT55" s="1" t="str">
        <f t="shared" si="18"/>
        <v/>
      </c>
      <c r="BU55" s="1" t="str">
        <f t="shared" si="19"/>
        <v/>
      </c>
      <c r="BV55" s="1" t="str">
        <f t="shared" si="20"/>
        <v/>
      </c>
      <c r="BW55" s="1" t="str">
        <f t="shared" si="21"/>
        <v/>
      </c>
      <c r="BX55" s="1" t="str">
        <f t="shared" si="22"/>
        <v/>
      </c>
      <c r="BY55" s="1" t="str">
        <f t="shared" si="23"/>
        <v/>
      </c>
      <c r="BZ55" s="1" t="str">
        <f t="shared" si="24"/>
        <v/>
      </c>
      <c r="CA55" s="1" t="str">
        <f t="shared" si="25"/>
        <v/>
      </c>
      <c r="CB55" s="1" t="str">
        <f t="shared" si="26"/>
        <v/>
      </c>
      <c r="CC55" s="1" t="str">
        <f t="shared" si="27"/>
        <v/>
      </c>
      <c r="CD55" s="1" t="str">
        <f t="shared" si="28"/>
        <v/>
      </c>
      <c r="CE55" s="1" t="str">
        <f t="shared" si="29"/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141</v>
      </c>
      <c r="C56" s="1" t="s">
        <v>142</v>
      </c>
      <c r="D56" s="1" t="s">
        <v>126</v>
      </c>
      <c r="E56" s="6">
        <v>10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>
        <v>10</v>
      </c>
      <c r="S56" s="28"/>
      <c r="T56" s="28"/>
      <c r="U56" s="28">
        <v>10</v>
      </c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>
        <v>10</v>
      </c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 t="shared" si="17"/>
        <v>40</v>
      </c>
      <c r="BQ56" s="1">
        <v>18</v>
      </c>
      <c r="BR56" s="17">
        <v>2</v>
      </c>
      <c r="BS56" s="17" t="s">
        <v>210</v>
      </c>
      <c r="BT56" s="1" t="str">
        <f t="shared" si="18"/>
        <v/>
      </c>
      <c r="BU56" s="1" t="str">
        <f t="shared" si="19"/>
        <v/>
      </c>
      <c r="BV56" s="1" t="str">
        <f t="shared" si="20"/>
        <v/>
      </c>
      <c r="BW56" s="1" t="str">
        <f t="shared" si="21"/>
        <v/>
      </c>
      <c r="BX56" s="1" t="str">
        <f t="shared" si="22"/>
        <v/>
      </c>
      <c r="BY56" s="1" t="str">
        <f t="shared" si="23"/>
        <v/>
      </c>
      <c r="BZ56" s="1" t="str">
        <f t="shared" si="24"/>
        <v/>
      </c>
      <c r="CA56" s="1" t="str">
        <f t="shared" si="25"/>
        <v/>
      </c>
      <c r="CB56" s="1" t="str">
        <f t="shared" si="26"/>
        <v/>
      </c>
      <c r="CC56" s="1" t="str">
        <f t="shared" si="27"/>
        <v/>
      </c>
      <c r="CD56" s="1" t="str">
        <f t="shared" si="28"/>
        <v/>
      </c>
      <c r="CE56" s="1" t="str">
        <f t="shared" si="29"/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147</v>
      </c>
      <c r="C57" s="1" t="s">
        <v>146</v>
      </c>
      <c r="D57" s="1" t="s">
        <v>126</v>
      </c>
      <c r="E57" s="6">
        <v>10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10</v>
      </c>
      <c r="S57" s="28"/>
      <c r="T57" s="28"/>
      <c r="U57" s="28">
        <v>10</v>
      </c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>
        <v>10</v>
      </c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 t="shared" si="17"/>
        <v>40</v>
      </c>
      <c r="BQ57" s="1">
        <v>18</v>
      </c>
      <c r="BR57" s="17">
        <v>2</v>
      </c>
      <c r="BS57" s="17" t="s">
        <v>262</v>
      </c>
      <c r="BT57" s="1" t="str">
        <f t="shared" si="18"/>
        <v/>
      </c>
      <c r="BU57" s="1" t="str">
        <f t="shared" si="19"/>
        <v/>
      </c>
      <c r="BV57" s="1" t="str">
        <f t="shared" si="20"/>
        <v/>
      </c>
      <c r="BW57" s="1" t="str">
        <f t="shared" si="21"/>
        <v/>
      </c>
      <c r="BX57" s="1" t="str">
        <f t="shared" si="22"/>
        <v/>
      </c>
      <c r="BY57" s="1" t="str">
        <f t="shared" si="23"/>
        <v/>
      </c>
      <c r="BZ57" s="1" t="str">
        <f t="shared" si="24"/>
        <v/>
      </c>
      <c r="CA57" s="1" t="str">
        <f t="shared" si="25"/>
        <v/>
      </c>
      <c r="CB57" s="1" t="str">
        <f t="shared" si="26"/>
        <v/>
      </c>
      <c r="CC57" s="1" t="str">
        <f t="shared" si="27"/>
        <v/>
      </c>
      <c r="CD57" s="1" t="str">
        <f t="shared" si="28"/>
        <v/>
      </c>
      <c r="CE57" s="1" t="str">
        <f t="shared" si="29"/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157</v>
      </c>
      <c r="C58" s="1" t="s">
        <v>153</v>
      </c>
      <c r="D58" s="1" t="s">
        <v>126</v>
      </c>
      <c r="E58" s="6">
        <v>10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10</v>
      </c>
      <c r="S58" s="28"/>
      <c r="T58" s="28"/>
      <c r="U58" s="28">
        <v>10</v>
      </c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10</v>
      </c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 t="shared" si="17"/>
        <v>40</v>
      </c>
      <c r="BQ58" s="1">
        <v>18</v>
      </c>
      <c r="BR58" s="17">
        <v>2</v>
      </c>
      <c r="BS58" s="17" t="s">
        <v>210</v>
      </c>
      <c r="BT58" s="1" t="str">
        <f t="shared" si="18"/>
        <v/>
      </c>
      <c r="BU58" s="1" t="str">
        <f t="shared" si="19"/>
        <v/>
      </c>
      <c r="BV58" s="1" t="str">
        <f t="shared" si="20"/>
        <v/>
      </c>
      <c r="BW58" s="1" t="str">
        <f t="shared" si="21"/>
        <v/>
      </c>
      <c r="BX58" s="1" t="str">
        <f t="shared" si="22"/>
        <v/>
      </c>
      <c r="BY58" s="1" t="str">
        <f t="shared" si="23"/>
        <v/>
      </c>
      <c r="BZ58" s="1" t="str">
        <f t="shared" si="24"/>
        <v/>
      </c>
      <c r="CA58" s="1" t="str">
        <f t="shared" si="25"/>
        <v/>
      </c>
      <c r="CB58" s="1" t="str">
        <f t="shared" si="26"/>
        <v/>
      </c>
      <c r="CC58" s="1" t="str">
        <f t="shared" si="27"/>
        <v/>
      </c>
      <c r="CD58" s="1" t="str">
        <f t="shared" si="28"/>
        <v/>
      </c>
      <c r="CE58" s="1" t="str">
        <f t="shared" si="29"/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>
        <v>2</v>
      </c>
      <c r="B59" s="1" t="s">
        <v>8</v>
      </c>
      <c r="C59" s="1" t="s">
        <v>2</v>
      </c>
      <c r="D59" s="1" t="s">
        <v>1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>
        <v>15</v>
      </c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>
        <v>15</v>
      </c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 t="shared" si="17"/>
        <v>30</v>
      </c>
      <c r="BQ59" s="1">
        <v>20</v>
      </c>
      <c r="BR59" s="17">
        <v>2</v>
      </c>
      <c r="BS59" s="17" t="s">
        <v>298</v>
      </c>
      <c r="BT59" s="1" t="str">
        <f t="shared" si="18"/>
        <v/>
      </c>
      <c r="BU59" s="1" t="str">
        <f t="shared" si="19"/>
        <v/>
      </c>
      <c r="BV59" s="1" t="str">
        <f t="shared" si="20"/>
        <v/>
      </c>
      <c r="BW59" s="1" t="str">
        <f t="shared" si="21"/>
        <v/>
      </c>
      <c r="BX59" s="1" t="str">
        <f t="shared" si="22"/>
        <v/>
      </c>
      <c r="BY59" s="1" t="str">
        <f t="shared" si="23"/>
        <v/>
      </c>
      <c r="BZ59" s="1" t="str">
        <f t="shared" si="24"/>
        <v/>
      </c>
      <c r="CA59" s="1" t="str">
        <f t="shared" si="25"/>
        <v/>
      </c>
      <c r="CB59" s="1" t="str">
        <f t="shared" si="26"/>
        <v/>
      </c>
      <c r="CC59" s="1" t="str">
        <f t="shared" si="27"/>
        <v/>
      </c>
      <c r="CD59" s="1" t="str">
        <f t="shared" si="28"/>
        <v/>
      </c>
      <c r="CE59" s="1" t="str">
        <f t="shared" si="29"/>
        <v/>
      </c>
      <c r="CF59" s="1">
        <f>COUNTIF(BT59:CE59, "&gt;0")</f>
        <v>0</v>
      </c>
      <c r="CG59" s="1" t="str">
        <f t="shared" ref="CG59:CR62" si="30">IF($CF59=1,BT59,"")</f>
        <v/>
      </c>
      <c r="CH59" s="1" t="str">
        <f t="shared" si="30"/>
        <v/>
      </c>
      <c r="CI59" s="1" t="str">
        <f t="shared" si="30"/>
        <v/>
      </c>
      <c r="CJ59" s="1" t="str">
        <f t="shared" si="30"/>
        <v/>
      </c>
      <c r="CK59" s="1" t="str">
        <f t="shared" si="30"/>
        <v/>
      </c>
      <c r="CL59" s="1" t="str">
        <f t="shared" si="30"/>
        <v/>
      </c>
      <c r="CM59" s="1" t="str">
        <f t="shared" si="30"/>
        <v/>
      </c>
      <c r="CN59" s="1" t="str">
        <f t="shared" si="30"/>
        <v/>
      </c>
      <c r="CO59" s="1" t="str">
        <f t="shared" si="30"/>
        <v/>
      </c>
      <c r="CP59" s="1" t="str">
        <f t="shared" si="30"/>
        <v/>
      </c>
      <c r="CQ59" s="1" t="str">
        <f t="shared" si="30"/>
        <v/>
      </c>
      <c r="CR59" s="1" t="str">
        <f t="shared" si="30"/>
        <v/>
      </c>
      <c r="CS59" s="3">
        <f>SUM(AE59:BO59)</f>
        <v>30</v>
      </c>
    </row>
    <row r="60" spans="1:97" ht="27" x14ac:dyDescent="0.15">
      <c r="A60" s="1">
        <v>77</v>
      </c>
      <c r="B60" s="3" t="s">
        <v>169</v>
      </c>
      <c r="C60" s="3" t="s">
        <v>64</v>
      </c>
      <c r="D60" s="1" t="s">
        <v>13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>
        <v>20</v>
      </c>
      <c r="AU60" s="4"/>
      <c r="AV60" s="4"/>
      <c r="AW60" s="2">
        <v>20</v>
      </c>
      <c r="AX60" s="2">
        <v>20</v>
      </c>
      <c r="AY60" s="2"/>
      <c r="AZ60" s="2"/>
      <c r="BA60" s="2"/>
      <c r="BB60" s="2">
        <v>10</v>
      </c>
      <c r="BC60" s="14"/>
      <c r="BD60" s="1"/>
      <c r="BE60" s="1"/>
      <c r="BF60" s="1"/>
      <c r="BG60" s="1"/>
      <c r="BH60" s="1">
        <v>20</v>
      </c>
      <c r="BI60" s="1"/>
      <c r="BJ60" s="1"/>
      <c r="BK60" s="1"/>
      <c r="BL60" s="1"/>
      <c r="BM60" s="1"/>
      <c r="BN60" s="1"/>
      <c r="BO60" s="1"/>
      <c r="BP60" s="1">
        <f t="shared" si="17"/>
        <v>90</v>
      </c>
      <c r="BQ60" s="1">
        <v>26</v>
      </c>
      <c r="BR60" s="17">
        <v>2</v>
      </c>
      <c r="BS60" s="17" t="s">
        <v>263</v>
      </c>
      <c r="BT60" s="1" t="str">
        <f t="shared" si="18"/>
        <v/>
      </c>
      <c r="BU60" s="1" t="str">
        <f t="shared" si="19"/>
        <v/>
      </c>
      <c r="BV60" s="1" t="str">
        <f t="shared" si="20"/>
        <v/>
      </c>
      <c r="BW60" s="1" t="str">
        <f t="shared" si="21"/>
        <v/>
      </c>
      <c r="BX60" s="1" t="str">
        <f t="shared" si="22"/>
        <v/>
      </c>
      <c r="BY60" s="1" t="str">
        <f t="shared" si="23"/>
        <v/>
      </c>
      <c r="BZ60" s="1" t="str">
        <f t="shared" si="24"/>
        <v/>
      </c>
      <c r="CA60" s="1" t="str">
        <f t="shared" si="25"/>
        <v/>
      </c>
      <c r="CB60" s="1" t="str">
        <f t="shared" si="26"/>
        <v/>
      </c>
      <c r="CC60" s="1" t="str">
        <f t="shared" si="27"/>
        <v/>
      </c>
      <c r="CD60" s="1" t="str">
        <f t="shared" si="28"/>
        <v/>
      </c>
      <c r="CE60" s="1" t="str">
        <f t="shared" si="29"/>
        <v/>
      </c>
      <c r="CF60" s="1">
        <f>COUNTIF(BT60:CE60, "&gt;0")</f>
        <v>0</v>
      </c>
      <c r="CG60" s="1" t="str">
        <f t="shared" si="30"/>
        <v/>
      </c>
      <c r="CH60" s="1" t="str">
        <f t="shared" si="30"/>
        <v/>
      </c>
      <c r="CI60" s="1" t="str">
        <f t="shared" si="30"/>
        <v/>
      </c>
      <c r="CJ60" s="1" t="str">
        <f t="shared" si="30"/>
        <v/>
      </c>
      <c r="CK60" s="1" t="str">
        <f t="shared" si="30"/>
        <v/>
      </c>
      <c r="CL60" s="1" t="str">
        <f t="shared" si="30"/>
        <v/>
      </c>
      <c r="CM60" s="1" t="str">
        <f t="shared" si="30"/>
        <v/>
      </c>
      <c r="CN60" s="1" t="str">
        <f t="shared" si="30"/>
        <v/>
      </c>
      <c r="CO60" s="1" t="str">
        <f t="shared" si="30"/>
        <v/>
      </c>
      <c r="CP60" s="1" t="str">
        <f t="shared" si="30"/>
        <v/>
      </c>
      <c r="CQ60" s="1" t="str">
        <f t="shared" si="30"/>
        <v/>
      </c>
      <c r="CR60" s="1" t="str">
        <f t="shared" si="30"/>
        <v/>
      </c>
      <c r="CS60" s="3">
        <f>SUM(AE60:BO60)</f>
        <v>90</v>
      </c>
    </row>
    <row r="61" spans="1:97" ht="27" x14ac:dyDescent="0.15">
      <c r="A61" s="1">
        <v>95</v>
      </c>
      <c r="B61" s="3" t="s">
        <v>84</v>
      </c>
      <c r="C61" s="3" t="s">
        <v>69</v>
      </c>
      <c r="D61" s="1" t="s">
        <v>1</v>
      </c>
      <c r="E61" s="6"/>
      <c r="F61" s="6"/>
      <c r="G61" s="6"/>
      <c r="H61" s="6"/>
      <c r="I61" s="6"/>
      <c r="J61" s="6"/>
      <c r="K61" s="6"/>
      <c r="L61" s="6">
        <v>15</v>
      </c>
      <c r="M61" s="6"/>
      <c r="N61" s="6"/>
      <c r="O61" s="6">
        <v>15</v>
      </c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>
        <v>15</v>
      </c>
      <c r="BB61" s="2">
        <v>15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 t="shared" si="17"/>
        <v>60</v>
      </c>
      <c r="BQ61" s="1">
        <v>30</v>
      </c>
      <c r="BR61" s="17">
        <v>2</v>
      </c>
      <c r="BS61" s="17" t="s">
        <v>264</v>
      </c>
      <c r="BT61" s="1" t="str">
        <f t="shared" si="18"/>
        <v/>
      </c>
      <c r="BU61" s="1" t="str">
        <f t="shared" si="19"/>
        <v/>
      </c>
      <c r="BV61" s="1" t="str">
        <f t="shared" si="20"/>
        <v/>
      </c>
      <c r="BW61" s="1" t="str">
        <f t="shared" si="21"/>
        <v/>
      </c>
      <c r="BX61" s="1" t="str">
        <f t="shared" si="22"/>
        <v/>
      </c>
      <c r="BY61" s="1" t="str">
        <f t="shared" si="23"/>
        <v/>
      </c>
      <c r="BZ61" s="1" t="str">
        <f t="shared" si="24"/>
        <v/>
      </c>
      <c r="CA61" s="1" t="str">
        <f t="shared" si="25"/>
        <v/>
      </c>
      <c r="CB61" s="1" t="str">
        <f t="shared" si="26"/>
        <v/>
      </c>
      <c r="CC61" s="1" t="str">
        <f t="shared" si="27"/>
        <v/>
      </c>
      <c r="CD61" s="1" t="str">
        <f t="shared" si="28"/>
        <v/>
      </c>
      <c r="CE61" s="1" t="str">
        <f t="shared" si="29"/>
        <v/>
      </c>
      <c r="CF61" s="1">
        <f>COUNTIF(BT61:CE61, "&gt;0")</f>
        <v>0</v>
      </c>
      <c r="CG61" s="1" t="str">
        <f t="shared" si="30"/>
        <v/>
      </c>
      <c r="CH61" s="1" t="str">
        <f t="shared" si="30"/>
        <v/>
      </c>
      <c r="CI61" s="1" t="str">
        <f t="shared" si="30"/>
        <v/>
      </c>
      <c r="CJ61" s="1" t="str">
        <f t="shared" si="30"/>
        <v/>
      </c>
      <c r="CK61" s="1" t="str">
        <f t="shared" si="30"/>
        <v/>
      </c>
      <c r="CL61" s="1" t="str">
        <f t="shared" si="30"/>
        <v/>
      </c>
      <c r="CM61" s="1" t="str">
        <f t="shared" si="30"/>
        <v/>
      </c>
      <c r="CN61" s="1" t="str">
        <f t="shared" si="30"/>
        <v/>
      </c>
      <c r="CO61" s="1" t="str">
        <f t="shared" si="30"/>
        <v/>
      </c>
      <c r="CP61" s="1" t="str">
        <f t="shared" si="30"/>
        <v/>
      </c>
      <c r="CQ61" s="1" t="str">
        <f t="shared" si="30"/>
        <v/>
      </c>
      <c r="CR61" s="1" t="str">
        <f t="shared" si="30"/>
        <v/>
      </c>
      <c r="CS61" s="3">
        <f>SUM(AE61:BO61)</f>
        <v>30</v>
      </c>
    </row>
    <row r="62" spans="1:97" ht="27" x14ac:dyDescent="0.15">
      <c r="A62" s="18">
        <v>93</v>
      </c>
      <c r="B62" s="24" t="s">
        <v>192</v>
      </c>
      <c r="C62" s="24" t="s">
        <v>80</v>
      </c>
      <c r="D62" s="18" t="s">
        <v>1</v>
      </c>
      <c r="E62" s="19"/>
      <c r="F62" s="19">
        <v>20</v>
      </c>
      <c r="G62" s="19"/>
      <c r="H62" s="19"/>
      <c r="I62" s="19"/>
      <c r="J62" s="19"/>
      <c r="K62" s="19">
        <v>20</v>
      </c>
      <c r="L62" s="19"/>
      <c r="M62" s="19"/>
      <c r="N62" s="19">
        <v>20</v>
      </c>
      <c r="O62" s="1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20"/>
      <c r="AR62" s="20"/>
      <c r="AS62" s="20"/>
      <c r="AT62" s="20"/>
      <c r="AU62" s="20"/>
      <c r="AV62" s="20"/>
      <c r="AW62" s="21"/>
      <c r="AX62" s="21"/>
      <c r="AY62" s="21"/>
      <c r="AZ62" s="21"/>
      <c r="BA62" s="21"/>
      <c r="BB62" s="21"/>
      <c r="BC62" s="26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">
        <f t="shared" si="17"/>
        <v>60</v>
      </c>
      <c r="BQ62" s="18">
        <v>33</v>
      </c>
      <c r="BR62" s="22">
        <v>2</v>
      </c>
      <c r="BS62" s="22" t="s">
        <v>206</v>
      </c>
      <c r="BT62" s="1" t="str">
        <f t="shared" si="18"/>
        <v/>
      </c>
      <c r="BU62" s="1" t="str">
        <f t="shared" si="19"/>
        <v/>
      </c>
      <c r="BV62" s="1" t="str">
        <f t="shared" si="20"/>
        <v/>
      </c>
      <c r="BW62" s="1" t="str">
        <f t="shared" si="21"/>
        <v/>
      </c>
      <c r="BX62" s="1" t="str">
        <f t="shared" si="22"/>
        <v/>
      </c>
      <c r="BY62" s="1" t="str">
        <f t="shared" si="23"/>
        <v/>
      </c>
      <c r="BZ62" s="1" t="str">
        <f t="shared" si="24"/>
        <v/>
      </c>
      <c r="CA62" s="1" t="str">
        <f t="shared" si="25"/>
        <v/>
      </c>
      <c r="CB62" s="1" t="str">
        <f t="shared" si="26"/>
        <v/>
      </c>
      <c r="CC62" s="1" t="str">
        <f t="shared" si="27"/>
        <v/>
      </c>
      <c r="CD62" s="1" t="str">
        <f t="shared" si="28"/>
        <v/>
      </c>
      <c r="CE62" s="1" t="str">
        <f t="shared" si="29"/>
        <v/>
      </c>
      <c r="CF62" s="18">
        <f>COUNTIF(BT62:CE62, "&gt;0")</f>
        <v>0</v>
      </c>
      <c r="CG62" s="18" t="str">
        <f t="shared" si="30"/>
        <v/>
      </c>
      <c r="CH62" s="18" t="str">
        <f t="shared" si="30"/>
        <v/>
      </c>
      <c r="CI62" s="18" t="str">
        <f t="shared" si="30"/>
        <v/>
      </c>
      <c r="CJ62" s="18" t="str">
        <f t="shared" si="30"/>
        <v/>
      </c>
      <c r="CK62" s="18" t="str">
        <f t="shared" si="30"/>
        <v/>
      </c>
      <c r="CL62" s="18" t="str">
        <f t="shared" si="30"/>
        <v/>
      </c>
      <c r="CM62" s="18" t="str">
        <f t="shared" si="30"/>
        <v/>
      </c>
      <c r="CN62" s="18" t="str">
        <f t="shared" si="30"/>
        <v/>
      </c>
      <c r="CO62" s="18" t="str">
        <f t="shared" si="30"/>
        <v/>
      </c>
      <c r="CP62" s="18" t="str">
        <f t="shared" si="30"/>
        <v/>
      </c>
      <c r="CQ62" s="18" t="str">
        <f t="shared" si="30"/>
        <v/>
      </c>
      <c r="CR62" s="18" t="str">
        <f t="shared" si="30"/>
        <v/>
      </c>
      <c r="CS62" s="30">
        <f>SUM(AE62:BO62)</f>
        <v>0</v>
      </c>
    </row>
    <row r="63" spans="1:97" ht="27" x14ac:dyDescent="0.15">
      <c r="A63" s="1"/>
      <c r="B63" s="1" t="s">
        <v>170</v>
      </c>
      <c r="C63" s="1" t="s">
        <v>122</v>
      </c>
      <c r="D63" s="1" t="s">
        <v>107</v>
      </c>
      <c r="E63" s="6"/>
      <c r="F63" s="6"/>
      <c r="G63" s="6"/>
      <c r="H63" s="6"/>
      <c r="I63" s="6"/>
      <c r="J63" s="6"/>
      <c r="K63" s="6"/>
      <c r="L63" s="6">
        <v>20</v>
      </c>
      <c r="M63" s="6"/>
      <c r="N63" s="6"/>
      <c r="O63" s="6">
        <v>20</v>
      </c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>
        <v>20</v>
      </c>
      <c r="BB63" s="2">
        <v>20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17"/>
        <v>80</v>
      </c>
      <c r="BQ63" s="1">
        <v>40</v>
      </c>
      <c r="BR63" s="17">
        <v>2</v>
      </c>
      <c r="BS63" s="17" t="s">
        <v>240</v>
      </c>
      <c r="BT63" s="1" t="str">
        <f t="shared" si="18"/>
        <v/>
      </c>
      <c r="BU63" s="1" t="str">
        <f t="shared" si="19"/>
        <v/>
      </c>
      <c r="BV63" s="1" t="str">
        <f t="shared" si="20"/>
        <v/>
      </c>
      <c r="BW63" s="1" t="str">
        <f t="shared" si="21"/>
        <v/>
      </c>
      <c r="BX63" s="1" t="str">
        <f t="shared" si="22"/>
        <v/>
      </c>
      <c r="BY63" s="1" t="str">
        <f t="shared" si="23"/>
        <v/>
      </c>
      <c r="BZ63" s="1" t="str">
        <f t="shared" si="24"/>
        <v/>
      </c>
      <c r="CA63" s="1" t="str">
        <f t="shared" si="25"/>
        <v/>
      </c>
      <c r="CB63" s="1" t="str">
        <f t="shared" si="26"/>
        <v/>
      </c>
      <c r="CC63" s="1" t="str">
        <f t="shared" si="27"/>
        <v/>
      </c>
      <c r="CD63" s="1" t="str">
        <f t="shared" si="28"/>
        <v/>
      </c>
      <c r="CE63" s="1" t="str">
        <f t="shared" si="29"/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40.5" x14ac:dyDescent="0.15">
      <c r="A64" s="1"/>
      <c r="B64" s="1" t="s">
        <v>157</v>
      </c>
      <c r="C64" s="1" t="s">
        <v>153</v>
      </c>
      <c r="D64" s="1" t="s">
        <v>125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>
        <v>2</v>
      </c>
      <c r="V64" s="28"/>
      <c r="W64" s="28"/>
      <c r="X64" s="28"/>
      <c r="Y64" s="28"/>
      <c r="Z64" s="28"/>
      <c r="AA64" s="28">
        <v>2</v>
      </c>
      <c r="AB64" s="28"/>
      <c r="AC64" s="28">
        <v>5</v>
      </c>
      <c r="AD64" s="28">
        <v>2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17"/>
        <v>11</v>
      </c>
      <c r="BQ64" s="1">
        <v>6</v>
      </c>
      <c r="BR64" s="17">
        <v>3</v>
      </c>
      <c r="BS64" s="17" t="s">
        <v>207</v>
      </c>
      <c r="BT64" s="1" t="str">
        <f t="shared" si="18"/>
        <v/>
      </c>
      <c r="BU64" s="1" t="str">
        <f t="shared" si="19"/>
        <v/>
      </c>
      <c r="BV64" s="1" t="str">
        <f t="shared" si="20"/>
        <v/>
      </c>
      <c r="BW64" s="1" t="str">
        <f t="shared" si="21"/>
        <v/>
      </c>
      <c r="BX64" s="1" t="str">
        <f t="shared" si="22"/>
        <v/>
      </c>
      <c r="BY64" s="1" t="str">
        <f t="shared" si="23"/>
        <v/>
      </c>
      <c r="BZ64" s="1" t="str">
        <f t="shared" si="24"/>
        <v/>
      </c>
      <c r="CA64" s="1" t="str">
        <f t="shared" si="25"/>
        <v/>
      </c>
      <c r="CB64" s="1" t="str">
        <f t="shared" si="26"/>
        <v/>
      </c>
      <c r="CC64" s="1" t="str">
        <f t="shared" si="27"/>
        <v/>
      </c>
      <c r="CD64" s="1" t="str">
        <f t="shared" si="28"/>
        <v/>
      </c>
      <c r="CE64" s="1" t="str">
        <f t="shared" si="29"/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40.5" x14ac:dyDescent="0.15">
      <c r="A65" s="1"/>
      <c r="B65" s="1" t="s">
        <v>150</v>
      </c>
      <c r="C65" s="1" t="s">
        <v>151</v>
      </c>
      <c r="D65" s="1" t="s">
        <v>126</v>
      </c>
      <c r="E65" s="6"/>
      <c r="F65" s="6"/>
      <c r="G65" s="6"/>
      <c r="H65" s="6"/>
      <c r="I65" s="6"/>
      <c r="J65" s="6"/>
      <c r="K65" s="6"/>
      <c r="L65" s="6">
        <v>7</v>
      </c>
      <c r="M65" s="6"/>
      <c r="N65" s="6"/>
      <c r="O65" s="6"/>
      <c r="P65" s="28"/>
      <c r="Q65" s="28">
        <v>7</v>
      </c>
      <c r="R65" s="28"/>
      <c r="S65" s="28"/>
      <c r="T65" s="28">
        <v>7</v>
      </c>
      <c r="U65" s="28"/>
      <c r="V65" s="28"/>
      <c r="W65" s="28"/>
      <c r="X65" s="28">
        <v>7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17"/>
        <v>28</v>
      </c>
      <c r="BQ65" s="1">
        <v>9</v>
      </c>
      <c r="BR65" s="17">
        <v>3</v>
      </c>
      <c r="BS65" s="17" t="s">
        <v>286</v>
      </c>
      <c r="BT65" s="1" t="str">
        <f t="shared" si="18"/>
        <v/>
      </c>
      <c r="BU65" s="1" t="str">
        <f t="shared" si="19"/>
        <v/>
      </c>
      <c r="BV65" s="1" t="str">
        <f t="shared" si="20"/>
        <v/>
      </c>
      <c r="BW65" s="1" t="str">
        <f t="shared" si="21"/>
        <v/>
      </c>
      <c r="BX65" s="1" t="str">
        <f t="shared" si="22"/>
        <v/>
      </c>
      <c r="BY65" s="1" t="str">
        <f t="shared" si="23"/>
        <v/>
      </c>
      <c r="BZ65" s="1" t="str">
        <f t="shared" si="24"/>
        <v/>
      </c>
      <c r="CA65" s="1" t="str">
        <f t="shared" si="25"/>
        <v/>
      </c>
      <c r="CB65" s="1" t="str">
        <f t="shared" si="26"/>
        <v/>
      </c>
      <c r="CC65" s="1" t="str">
        <f t="shared" si="27"/>
        <v/>
      </c>
      <c r="CD65" s="1" t="str">
        <f t="shared" si="28"/>
        <v/>
      </c>
      <c r="CE65" s="1" t="str">
        <f t="shared" si="29"/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40.5" x14ac:dyDescent="0.15">
      <c r="A66" s="1"/>
      <c r="B66" s="1" t="s">
        <v>144</v>
      </c>
      <c r="C66" s="1" t="s">
        <v>142</v>
      </c>
      <c r="D66" s="1" t="s">
        <v>125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>
        <v>2</v>
      </c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17"/>
        <v>17</v>
      </c>
      <c r="BQ66" s="1">
        <v>9</v>
      </c>
      <c r="BR66" s="17">
        <v>3</v>
      </c>
      <c r="BS66" s="17" t="s">
        <v>287</v>
      </c>
      <c r="BT66" s="1" t="str">
        <f t="shared" si="18"/>
        <v/>
      </c>
      <c r="BU66" s="1" t="str">
        <f t="shared" si="19"/>
        <v/>
      </c>
      <c r="BV66" s="1" t="str">
        <f t="shared" si="20"/>
        <v/>
      </c>
      <c r="BW66" s="1" t="str">
        <f t="shared" si="21"/>
        <v/>
      </c>
      <c r="BX66" s="1" t="str">
        <f t="shared" si="22"/>
        <v/>
      </c>
      <c r="BY66" s="1" t="str">
        <f t="shared" si="23"/>
        <v/>
      </c>
      <c r="BZ66" s="1" t="str">
        <f t="shared" si="24"/>
        <v/>
      </c>
      <c r="CA66" s="1" t="str">
        <f t="shared" si="25"/>
        <v/>
      </c>
      <c r="CB66" s="1" t="str">
        <f t="shared" si="26"/>
        <v/>
      </c>
      <c r="CC66" s="1" t="str">
        <f t="shared" si="27"/>
        <v/>
      </c>
      <c r="CD66" s="1" t="str">
        <f t="shared" si="28"/>
        <v/>
      </c>
      <c r="CE66" s="1" t="str">
        <f t="shared" si="29"/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40.5" x14ac:dyDescent="0.15">
      <c r="A67" s="1"/>
      <c r="B67" s="1" t="s">
        <v>154</v>
      </c>
      <c r="C67" s="1" t="s">
        <v>153</v>
      </c>
      <c r="D67" s="1" t="s">
        <v>125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>
        <v>2</v>
      </c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17"/>
        <v>17</v>
      </c>
      <c r="BQ67" s="1">
        <v>9</v>
      </c>
      <c r="BR67" s="17">
        <v>3</v>
      </c>
      <c r="BS67" s="17" t="s">
        <v>208</v>
      </c>
      <c r="BT67" s="1" t="str">
        <f t="shared" si="18"/>
        <v/>
      </c>
      <c r="BU67" s="1" t="str">
        <f t="shared" si="19"/>
        <v/>
      </c>
      <c r="BV67" s="1" t="str">
        <f t="shared" si="20"/>
        <v/>
      </c>
      <c r="BW67" s="1" t="str">
        <f t="shared" si="21"/>
        <v/>
      </c>
      <c r="BX67" s="1" t="str">
        <f t="shared" si="22"/>
        <v/>
      </c>
      <c r="BY67" s="1" t="str">
        <f t="shared" si="23"/>
        <v/>
      </c>
      <c r="BZ67" s="1" t="str">
        <f t="shared" si="24"/>
        <v/>
      </c>
      <c r="CA67" s="1" t="str">
        <f t="shared" si="25"/>
        <v/>
      </c>
      <c r="CB67" s="1" t="str">
        <f t="shared" si="26"/>
        <v/>
      </c>
      <c r="CC67" s="1" t="str">
        <f t="shared" si="27"/>
        <v/>
      </c>
      <c r="CD67" s="1" t="str">
        <f t="shared" si="28"/>
        <v/>
      </c>
      <c r="CE67" s="1" t="str">
        <f t="shared" si="29"/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40.5" x14ac:dyDescent="0.15">
      <c r="A68" s="1"/>
      <c r="B68" s="1" t="s">
        <v>161</v>
      </c>
      <c r="C68" s="1" t="s">
        <v>121</v>
      </c>
      <c r="D68" s="1" t="s">
        <v>163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>
        <v>2</v>
      </c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17"/>
        <v>17</v>
      </c>
      <c r="BQ68" s="1">
        <v>9</v>
      </c>
      <c r="BR68" s="17">
        <v>3</v>
      </c>
      <c r="BS68" s="17" t="s">
        <v>287</v>
      </c>
      <c r="BT68" s="1" t="str">
        <f t="shared" si="18"/>
        <v/>
      </c>
      <c r="BU68" s="1" t="str">
        <f t="shared" si="19"/>
        <v/>
      </c>
      <c r="BV68" s="1" t="str">
        <f t="shared" si="20"/>
        <v/>
      </c>
      <c r="BW68" s="1" t="str">
        <f t="shared" si="21"/>
        <v/>
      </c>
      <c r="BX68" s="1" t="str">
        <f t="shared" si="22"/>
        <v/>
      </c>
      <c r="BY68" s="1" t="str">
        <f t="shared" si="23"/>
        <v/>
      </c>
      <c r="BZ68" s="1" t="str">
        <f t="shared" si="24"/>
        <v/>
      </c>
      <c r="CA68" s="1" t="str">
        <f t="shared" si="25"/>
        <v/>
      </c>
      <c r="CB68" s="1" t="str">
        <f t="shared" si="26"/>
        <v/>
      </c>
      <c r="CC68" s="1" t="str">
        <f t="shared" si="27"/>
        <v/>
      </c>
      <c r="CD68" s="1" t="str">
        <f t="shared" si="28"/>
        <v/>
      </c>
      <c r="CE68" s="1" t="str">
        <f t="shared" si="29"/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40.5" x14ac:dyDescent="0.15">
      <c r="A69" s="1"/>
      <c r="B69" s="1" t="s">
        <v>157</v>
      </c>
      <c r="C69" s="1" t="s">
        <v>153</v>
      </c>
      <c r="D69" s="1" t="s">
        <v>124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>
        <v>5</v>
      </c>
      <c r="X69" s="28"/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17"/>
        <v>20</v>
      </c>
      <c r="BQ69" s="1">
        <v>11</v>
      </c>
      <c r="BR69" s="17">
        <v>3</v>
      </c>
      <c r="BS69" s="17" t="s">
        <v>209</v>
      </c>
      <c r="BT69" s="1" t="str">
        <f t="shared" si="18"/>
        <v/>
      </c>
      <c r="BU69" s="1" t="str">
        <f t="shared" si="19"/>
        <v/>
      </c>
      <c r="BV69" s="1" t="str">
        <f t="shared" si="20"/>
        <v/>
      </c>
      <c r="BW69" s="1" t="str">
        <f t="shared" si="21"/>
        <v/>
      </c>
      <c r="BX69" s="1" t="str">
        <f t="shared" si="22"/>
        <v/>
      </c>
      <c r="BY69" s="1" t="str">
        <f t="shared" si="23"/>
        <v/>
      </c>
      <c r="BZ69" s="1" t="str">
        <f t="shared" si="24"/>
        <v/>
      </c>
      <c r="CA69" s="1" t="str">
        <f t="shared" si="25"/>
        <v/>
      </c>
      <c r="CB69" s="1" t="str">
        <f t="shared" si="26"/>
        <v/>
      </c>
      <c r="CC69" s="1" t="str">
        <f t="shared" si="27"/>
        <v/>
      </c>
      <c r="CD69" s="1" t="str">
        <f t="shared" si="28"/>
        <v/>
      </c>
      <c r="CE69" s="1" t="str">
        <f t="shared" si="29"/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40.5" x14ac:dyDescent="0.15">
      <c r="A70" s="1">
        <v>84</v>
      </c>
      <c r="B70" s="3" t="s">
        <v>196</v>
      </c>
      <c r="C70" s="3" t="s">
        <v>64</v>
      </c>
      <c r="D70" s="1" t="s">
        <v>13</v>
      </c>
      <c r="E70" s="6"/>
      <c r="F70" s="6"/>
      <c r="G70" s="6">
        <v>5</v>
      </c>
      <c r="H70" s="6">
        <v>5</v>
      </c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>
        <v>5</v>
      </c>
      <c r="BB70" s="2">
        <v>5</v>
      </c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17"/>
        <v>20</v>
      </c>
      <c r="BQ70" s="1">
        <v>12</v>
      </c>
      <c r="BR70" s="17">
        <v>3</v>
      </c>
      <c r="BS70" s="17" t="s">
        <v>265</v>
      </c>
      <c r="BT70" s="1" t="str">
        <f t="shared" si="18"/>
        <v/>
      </c>
      <c r="BU70" s="1" t="str">
        <f t="shared" si="19"/>
        <v/>
      </c>
      <c r="BV70" s="1" t="str">
        <f t="shared" si="20"/>
        <v/>
      </c>
      <c r="BW70" s="1" t="str">
        <f t="shared" si="21"/>
        <v/>
      </c>
      <c r="BX70" s="1" t="str">
        <f t="shared" si="22"/>
        <v/>
      </c>
      <c r="BY70" s="1" t="str">
        <f t="shared" si="23"/>
        <v/>
      </c>
      <c r="BZ70" s="1" t="str">
        <f t="shared" si="24"/>
        <v/>
      </c>
      <c r="CA70" s="1" t="str">
        <f t="shared" si="25"/>
        <v/>
      </c>
      <c r="CB70" s="1" t="str">
        <f t="shared" si="26"/>
        <v/>
      </c>
      <c r="CC70" s="1" t="str">
        <f t="shared" si="27"/>
        <v/>
      </c>
      <c r="CD70" s="1" t="str">
        <f t="shared" si="28"/>
        <v/>
      </c>
      <c r="CE70" s="1" t="str">
        <f t="shared" si="29"/>
        <v/>
      </c>
      <c r="CF70" s="1">
        <f>COUNTIF(BT70:CE70, "&gt;0")</f>
        <v>0</v>
      </c>
      <c r="CG70" s="1" t="str">
        <f t="shared" ref="CG70:CR71" si="31">IF($CF70=1,BT70,"")</f>
        <v/>
      </c>
      <c r="CH70" s="1" t="str">
        <f t="shared" si="31"/>
        <v/>
      </c>
      <c r="CI70" s="1" t="str">
        <f t="shared" si="31"/>
        <v/>
      </c>
      <c r="CJ70" s="1" t="str">
        <f t="shared" si="31"/>
        <v/>
      </c>
      <c r="CK70" s="1" t="str">
        <f t="shared" si="31"/>
        <v/>
      </c>
      <c r="CL70" s="1" t="str">
        <f t="shared" si="31"/>
        <v/>
      </c>
      <c r="CM70" s="1" t="str">
        <f t="shared" si="31"/>
        <v/>
      </c>
      <c r="CN70" s="1" t="str">
        <f t="shared" si="31"/>
        <v/>
      </c>
      <c r="CO70" s="1" t="str">
        <f t="shared" si="31"/>
        <v/>
      </c>
      <c r="CP70" s="1" t="str">
        <f t="shared" si="31"/>
        <v/>
      </c>
      <c r="CQ70" s="1" t="str">
        <f t="shared" si="31"/>
        <v/>
      </c>
      <c r="CR70" s="1" t="str">
        <f t="shared" si="31"/>
        <v/>
      </c>
      <c r="CS70" s="3">
        <f>SUM(AE70:BO70)</f>
        <v>10</v>
      </c>
    </row>
    <row r="71" spans="1:97" ht="40.5" x14ac:dyDescent="0.15">
      <c r="A71" s="1">
        <v>45</v>
      </c>
      <c r="B71" s="1" t="s">
        <v>105</v>
      </c>
      <c r="C71" s="1" t="s">
        <v>47</v>
      </c>
      <c r="D71" s="1" t="s">
        <v>13</v>
      </c>
      <c r="E71" s="6">
        <v>6</v>
      </c>
      <c r="F71" s="6"/>
      <c r="G71" s="6"/>
      <c r="H71" s="6"/>
      <c r="I71" s="6"/>
      <c r="J71" s="6"/>
      <c r="K71" s="6"/>
      <c r="L71" s="6"/>
      <c r="M71" s="6">
        <v>6</v>
      </c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>
        <v>10</v>
      </c>
      <c r="AR71" s="4"/>
      <c r="AS71" s="4"/>
      <c r="AT71" s="4"/>
      <c r="AU71" s="4"/>
      <c r="AV71" s="4"/>
      <c r="AW71" s="2"/>
      <c r="AX71" s="2"/>
      <c r="AY71" s="2"/>
      <c r="AZ71" s="2">
        <v>10</v>
      </c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17"/>
        <v>32</v>
      </c>
      <c r="BQ71" s="1">
        <v>12</v>
      </c>
      <c r="BR71" s="17">
        <v>3</v>
      </c>
      <c r="BS71" s="17" t="s">
        <v>299</v>
      </c>
      <c r="BT71" s="1" t="str">
        <f t="shared" si="18"/>
        <v/>
      </c>
      <c r="BU71" s="1" t="str">
        <f t="shared" si="19"/>
        <v/>
      </c>
      <c r="BV71" s="1" t="str">
        <f t="shared" si="20"/>
        <v/>
      </c>
      <c r="BW71" s="1" t="str">
        <f t="shared" si="21"/>
        <v/>
      </c>
      <c r="BX71" s="1" t="str">
        <f t="shared" si="22"/>
        <v/>
      </c>
      <c r="BY71" s="1" t="str">
        <f t="shared" si="23"/>
        <v/>
      </c>
      <c r="BZ71" s="1" t="str">
        <f t="shared" si="24"/>
        <v/>
      </c>
      <c r="CA71" s="1" t="str">
        <f t="shared" si="25"/>
        <v/>
      </c>
      <c r="CB71" s="1" t="str">
        <f t="shared" si="26"/>
        <v/>
      </c>
      <c r="CC71" s="1" t="str">
        <f t="shared" si="27"/>
        <v/>
      </c>
      <c r="CD71" s="1" t="str">
        <f t="shared" si="28"/>
        <v/>
      </c>
      <c r="CE71" s="1" t="str">
        <f t="shared" si="29"/>
        <v/>
      </c>
      <c r="CF71" s="1">
        <f>COUNTIF(BT71:CE71, "&gt;0")</f>
        <v>0</v>
      </c>
      <c r="CG71" s="1" t="str">
        <f t="shared" si="31"/>
        <v/>
      </c>
      <c r="CH71" s="1" t="str">
        <f t="shared" si="31"/>
        <v/>
      </c>
      <c r="CI71" s="1" t="str">
        <f t="shared" si="31"/>
        <v/>
      </c>
      <c r="CJ71" s="1" t="str">
        <f t="shared" si="31"/>
        <v/>
      </c>
      <c r="CK71" s="1" t="str">
        <f t="shared" si="31"/>
        <v/>
      </c>
      <c r="CL71" s="1" t="str">
        <f t="shared" si="31"/>
        <v/>
      </c>
      <c r="CM71" s="1" t="str">
        <f t="shared" si="31"/>
        <v/>
      </c>
      <c r="CN71" s="1" t="str">
        <f t="shared" si="31"/>
        <v/>
      </c>
      <c r="CO71" s="1" t="str">
        <f t="shared" si="31"/>
        <v/>
      </c>
      <c r="CP71" s="1" t="str">
        <f t="shared" si="31"/>
        <v/>
      </c>
      <c r="CQ71" s="1" t="str">
        <f t="shared" si="31"/>
        <v/>
      </c>
      <c r="CR71" s="1" t="str">
        <f t="shared" si="31"/>
        <v/>
      </c>
      <c r="CS71" s="3">
        <f>SUM(AE71:BO71)</f>
        <v>20</v>
      </c>
    </row>
    <row r="72" spans="1:97" ht="40.5" x14ac:dyDescent="0.15">
      <c r="A72" s="1"/>
      <c r="B72" s="1" t="s">
        <v>233</v>
      </c>
      <c r="C72" s="1" t="s">
        <v>121</v>
      </c>
      <c r="D72" s="1" t="s">
        <v>108</v>
      </c>
      <c r="E72" s="6"/>
      <c r="F72" s="6">
        <v>6</v>
      </c>
      <c r="G72" s="6"/>
      <c r="H72" s="6"/>
      <c r="I72" s="6"/>
      <c r="J72" s="6"/>
      <c r="K72" s="6"/>
      <c r="L72" s="6"/>
      <c r="M72" s="6"/>
      <c r="N72" s="6"/>
      <c r="O72" s="6">
        <v>6</v>
      </c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10</v>
      </c>
      <c r="AU72" s="4"/>
      <c r="AV72" s="4"/>
      <c r="AW72" s="2"/>
      <c r="AX72" s="2"/>
      <c r="AY72" s="2">
        <v>10</v>
      </c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 t="shared" si="17"/>
        <v>32</v>
      </c>
      <c r="BQ72" s="1">
        <v>12</v>
      </c>
      <c r="BR72" s="17">
        <v>3</v>
      </c>
      <c r="BS72" s="17" t="s">
        <v>300</v>
      </c>
      <c r="BT72" s="1" t="str">
        <f t="shared" si="18"/>
        <v/>
      </c>
      <c r="BU72" s="1" t="str">
        <f t="shared" si="19"/>
        <v/>
      </c>
      <c r="BV72" s="1" t="str">
        <f t="shared" si="20"/>
        <v/>
      </c>
      <c r="BW72" s="1" t="str">
        <f t="shared" si="21"/>
        <v/>
      </c>
      <c r="BX72" s="1" t="str">
        <f t="shared" si="22"/>
        <v/>
      </c>
      <c r="BY72" s="1" t="str">
        <f t="shared" si="23"/>
        <v/>
      </c>
      <c r="BZ72" s="1" t="str">
        <f t="shared" si="24"/>
        <v/>
      </c>
      <c r="CA72" s="1" t="str">
        <f t="shared" si="25"/>
        <v/>
      </c>
      <c r="CB72" s="1" t="str">
        <f t="shared" si="26"/>
        <v/>
      </c>
      <c r="CC72" s="1" t="str">
        <f t="shared" si="27"/>
        <v/>
      </c>
      <c r="CD72" s="1" t="str">
        <f t="shared" si="28"/>
        <v/>
      </c>
      <c r="CE72" s="1" t="str">
        <f t="shared" si="29"/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/>
      <c r="B73" s="1" t="s">
        <v>188</v>
      </c>
      <c r="C73" s="1" t="s">
        <v>106</v>
      </c>
      <c r="D73" s="1" t="s">
        <v>108</v>
      </c>
      <c r="E73" s="6"/>
      <c r="F73" s="6"/>
      <c r="G73" s="6"/>
      <c r="H73" s="6">
        <v>6</v>
      </c>
      <c r="I73" s="6"/>
      <c r="J73" s="6"/>
      <c r="K73" s="6">
        <v>6</v>
      </c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>
        <v>10</v>
      </c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 t="shared" si="17"/>
        <v>32</v>
      </c>
      <c r="BQ73" s="1">
        <v>12</v>
      </c>
      <c r="BR73" s="17">
        <v>3</v>
      </c>
      <c r="BS73" s="17" t="s">
        <v>242</v>
      </c>
      <c r="BT73" s="1" t="str">
        <f t="shared" si="18"/>
        <v/>
      </c>
      <c r="BU73" s="1" t="str">
        <f t="shared" si="19"/>
        <v/>
      </c>
      <c r="BV73" s="1" t="str">
        <f t="shared" si="20"/>
        <v/>
      </c>
      <c r="BW73" s="1" t="str">
        <f t="shared" si="21"/>
        <v/>
      </c>
      <c r="BX73" s="1" t="str">
        <f t="shared" si="22"/>
        <v/>
      </c>
      <c r="BY73" s="1" t="str">
        <f t="shared" si="23"/>
        <v/>
      </c>
      <c r="BZ73" s="1" t="str">
        <f t="shared" si="24"/>
        <v/>
      </c>
      <c r="CA73" s="1" t="str">
        <f t="shared" si="25"/>
        <v/>
      </c>
      <c r="CB73" s="1" t="str">
        <f t="shared" si="26"/>
        <v/>
      </c>
      <c r="CC73" s="1" t="str">
        <f t="shared" si="27"/>
        <v/>
      </c>
      <c r="CD73" s="1" t="str">
        <f t="shared" si="28"/>
        <v/>
      </c>
      <c r="CE73" s="1" t="str">
        <f t="shared" si="29"/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148</v>
      </c>
      <c r="C74" s="1" t="s">
        <v>146</v>
      </c>
      <c r="D74" s="1" t="s">
        <v>126</v>
      </c>
      <c r="E74" s="6"/>
      <c r="F74" s="6"/>
      <c r="G74" s="6"/>
      <c r="H74" s="6"/>
      <c r="I74" s="6">
        <v>7</v>
      </c>
      <c r="J74" s="6"/>
      <c r="K74" s="6"/>
      <c r="L74" s="6"/>
      <c r="M74" s="6"/>
      <c r="N74" s="6"/>
      <c r="O74" s="6"/>
      <c r="P74" s="28"/>
      <c r="Q74" s="28">
        <v>7</v>
      </c>
      <c r="R74" s="28">
        <v>7</v>
      </c>
      <c r="S74" s="28"/>
      <c r="T74" s="28">
        <v>7</v>
      </c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 t="shared" si="17"/>
        <v>28</v>
      </c>
      <c r="BQ74" s="1">
        <v>13</v>
      </c>
      <c r="BR74" s="17">
        <v>3</v>
      </c>
      <c r="BS74" s="17" t="s">
        <v>301</v>
      </c>
      <c r="BT74" s="1" t="str">
        <f t="shared" si="18"/>
        <v/>
      </c>
      <c r="BU74" s="1" t="str">
        <f t="shared" si="19"/>
        <v/>
      </c>
      <c r="BV74" s="1" t="str">
        <f t="shared" si="20"/>
        <v/>
      </c>
      <c r="BW74" s="1" t="str">
        <f t="shared" si="21"/>
        <v/>
      </c>
      <c r="BX74" s="1" t="str">
        <f t="shared" si="22"/>
        <v/>
      </c>
      <c r="BY74" s="1" t="str">
        <f t="shared" si="23"/>
        <v/>
      </c>
      <c r="BZ74" s="1" t="str">
        <f t="shared" si="24"/>
        <v/>
      </c>
      <c r="CA74" s="1" t="str">
        <f t="shared" si="25"/>
        <v/>
      </c>
      <c r="CB74" s="1" t="str">
        <f t="shared" si="26"/>
        <v/>
      </c>
      <c r="CC74" s="1" t="str">
        <f t="shared" si="27"/>
        <v/>
      </c>
      <c r="CD74" s="1" t="str">
        <f t="shared" si="28"/>
        <v/>
      </c>
      <c r="CE74" s="1" t="str">
        <f t="shared" si="29"/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168</v>
      </c>
      <c r="C75" s="1" t="s">
        <v>123</v>
      </c>
      <c r="D75" s="1" t="s">
        <v>126</v>
      </c>
      <c r="E75" s="6"/>
      <c r="F75" s="6"/>
      <c r="G75" s="6"/>
      <c r="H75" s="6"/>
      <c r="I75" s="6">
        <v>10</v>
      </c>
      <c r="J75" s="6"/>
      <c r="K75" s="6"/>
      <c r="L75" s="6"/>
      <c r="M75" s="6"/>
      <c r="N75" s="6"/>
      <c r="O75" s="6"/>
      <c r="P75" s="28"/>
      <c r="Q75" s="28"/>
      <c r="R75" s="28">
        <v>10</v>
      </c>
      <c r="S75" s="28"/>
      <c r="T75" s="28"/>
      <c r="U75" s="28"/>
      <c r="V75" s="28"/>
      <c r="W75" s="28"/>
      <c r="X75" s="28">
        <v>10</v>
      </c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10</v>
      </c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 t="shared" si="17"/>
        <v>40</v>
      </c>
      <c r="BQ75" s="1">
        <v>13</v>
      </c>
      <c r="BR75" s="17">
        <v>3</v>
      </c>
      <c r="BS75" s="17" t="s">
        <v>241</v>
      </c>
      <c r="BT75" s="1" t="str">
        <f t="shared" si="18"/>
        <v/>
      </c>
      <c r="BU75" s="1" t="str">
        <f t="shared" si="19"/>
        <v/>
      </c>
      <c r="BV75" s="1" t="str">
        <f t="shared" si="20"/>
        <v/>
      </c>
      <c r="BW75" s="1" t="str">
        <f t="shared" si="21"/>
        <v/>
      </c>
      <c r="BX75" s="1" t="str">
        <f t="shared" si="22"/>
        <v/>
      </c>
      <c r="BY75" s="1" t="str">
        <f t="shared" si="23"/>
        <v/>
      </c>
      <c r="BZ75" s="1" t="str">
        <f t="shared" si="24"/>
        <v/>
      </c>
      <c r="CA75" s="1" t="str">
        <f t="shared" si="25"/>
        <v/>
      </c>
      <c r="CB75" s="1" t="str">
        <f t="shared" si="26"/>
        <v/>
      </c>
      <c r="CC75" s="1" t="str">
        <f t="shared" si="27"/>
        <v/>
      </c>
      <c r="CD75" s="1" t="str">
        <f t="shared" si="28"/>
        <v/>
      </c>
      <c r="CE75" s="1" t="str">
        <f t="shared" si="29"/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>
        <v>28</v>
      </c>
      <c r="B76" s="1" t="s">
        <v>74</v>
      </c>
      <c r="C76" s="1" t="s">
        <v>31</v>
      </c>
      <c r="D76" s="1" t="s">
        <v>1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>
        <v>5</v>
      </c>
      <c r="AI76" s="1">
        <v>5</v>
      </c>
      <c r="AJ76" s="1">
        <v>5</v>
      </c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 t="shared" si="17"/>
        <v>15</v>
      </c>
      <c r="BQ76" s="1">
        <v>15</v>
      </c>
      <c r="BR76" s="17">
        <v>3</v>
      </c>
      <c r="BS76" s="17" t="s">
        <v>302</v>
      </c>
      <c r="BT76" s="1" t="str">
        <f t="shared" si="18"/>
        <v/>
      </c>
      <c r="BU76" s="1" t="str">
        <f t="shared" si="19"/>
        <v/>
      </c>
      <c r="BV76" s="1" t="str">
        <f t="shared" si="20"/>
        <v/>
      </c>
      <c r="BW76" s="1" t="str">
        <f t="shared" si="21"/>
        <v/>
      </c>
      <c r="BX76" s="1" t="str">
        <f t="shared" si="22"/>
        <v/>
      </c>
      <c r="BY76" s="1" t="str">
        <f t="shared" si="23"/>
        <v/>
      </c>
      <c r="BZ76" s="1" t="str">
        <f t="shared" si="24"/>
        <v/>
      </c>
      <c r="CA76" s="1" t="str">
        <f t="shared" si="25"/>
        <v/>
      </c>
      <c r="CB76" s="1" t="str">
        <f t="shared" si="26"/>
        <v/>
      </c>
      <c r="CC76" s="1" t="str">
        <f t="shared" si="27"/>
        <v/>
      </c>
      <c r="CD76" s="1" t="str">
        <f t="shared" si="28"/>
        <v/>
      </c>
      <c r="CE76" s="1" t="str">
        <f t="shared" si="29"/>
        <v/>
      </c>
      <c r="CF76" s="1">
        <f>COUNTIF(BT76:CE76, "&gt;0")</f>
        <v>0</v>
      </c>
      <c r="CG76" s="1" t="str">
        <f t="shared" ref="CG76:CR79" si="32">IF($CF76=1,BT76,"")</f>
        <v/>
      </c>
      <c r="CH76" s="1" t="str">
        <f t="shared" si="32"/>
        <v/>
      </c>
      <c r="CI76" s="1" t="str">
        <f t="shared" si="32"/>
        <v/>
      </c>
      <c r="CJ76" s="1" t="str">
        <f t="shared" si="32"/>
        <v/>
      </c>
      <c r="CK76" s="1" t="str">
        <f t="shared" si="32"/>
        <v/>
      </c>
      <c r="CL76" s="1" t="str">
        <f t="shared" si="32"/>
        <v/>
      </c>
      <c r="CM76" s="1" t="str">
        <f t="shared" si="32"/>
        <v/>
      </c>
      <c r="CN76" s="1" t="str">
        <f t="shared" si="32"/>
        <v/>
      </c>
      <c r="CO76" s="1" t="str">
        <f t="shared" si="32"/>
        <v/>
      </c>
      <c r="CP76" s="1" t="str">
        <f t="shared" si="32"/>
        <v/>
      </c>
      <c r="CQ76" s="1" t="str">
        <f t="shared" si="32"/>
        <v/>
      </c>
      <c r="CR76" s="1" t="str">
        <f t="shared" si="32"/>
        <v/>
      </c>
      <c r="CS76" s="3">
        <f>SUM(AE76:BO76)</f>
        <v>15</v>
      </c>
    </row>
    <row r="77" spans="1:97" ht="40.5" x14ac:dyDescent="0.15">
      <c r="A77" s="1">
        <v>89</v>
      </c>
      <c r="B77" s="3" t="s">
        <v>79</v>
      </c>
      <c r="C77" s="3" t="s">
        <v>80</v>
      </c>
      <c r="D77" s="1" t="s">
        <v>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>
        <v>5</v>
      </c>
      <c r="AG77" s="1"/>
      <c r="AH77" s="1">
        <v>5</v>
      </c>
      <c r="AI77" s="1">
        <v>5</v>
      </c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 t="shared" si="17"/>
        <v>15</v>
      </c>
      <c r="BQ77" s="1">
        <v>15</v>
      </c>
      <c r="BR77" s="17">
        <v>3</v>
      </c>
      <c r="BS77" s="17" t="s">
        <v>303</v>
      </c>
      <c r="BT77" s="1" t="str">
        <f t="shared" si="18"/>
        <v/>
      </c>
      <c r="BU77" s="1" t="str">
        <f t="shared" si="19"/>
        <v/>
      </c>
      <c r="BV77" s="1" t="str">
        <f t="shared" si="20"/>
        <v/>
      </c>
      <c r="BW77" s="1" t="str">
        <f t="shared" si="21"/>
        <v/>
      </c>
      <c r="BX77" s="1" t="str">
        <f t="shared" si="22"/>
        <v/>
      </c>
      <c r="BY77" s="1" t="str">
        <f t="shared" si="23"/>
        <v/>
      </c>
      <c r="BZ77" s="1" t="str">
        <f t="shared" si="24"/>
        <v/>
      </c>
      <c r="CA77" s="1" t="str">
        <f t="shared" si="25"/>
        <v/>
      </c>
      <c r="CB77" s="1" t="str">
        <f t="shared" si="26"/>
        <v/>
      </c>
      <c r="CC77" s="1" t="str">
        <f t="shared" si="27"/>
        <v/>
      </c>
      <c r="CD77" s="1" t="str">
        <f t="shared" si="28"/>
        <v/>
      </c>
      <c r="CE77" s="1" t="str">
        <f t="shared" si="29"/>
        <v/>
      </c>
      <c r="CF77" s="1">
        <f>COUNTIF(BT77:CE77, "&gt;0")</f>
        <v>0</v>
      </c>
      <c r="CG77" s="1" t="str">
        <f t="shared" si="32"/>
        <v/>
      </c>
      <c r="CH77" s="1" t="str">
        <f t="shared" si="32"/>
        <v/>
      </c>
      <c r="CI77" s="1" t="str">
        <f t="shared" si="32"/>
        <v/>
      </c>
      <c r="CJ77" s="1" t="str">
        <f t="shared" si="32"/>
        <v/>
      </c>
      <c r="CK77" s="1" t="str">
        <f t="shared" si="32"/>
        <v/>
      </c>
      <c r="CL77" s="1" t="str">
        <f t="shared" si="32"/>
        <v/>
      </c>
      <c r="CM77" s="1" t="str">
        <f t="shared" si="32"/>
        <v/>
      </c>
      <c r="CN77" s="1" t="str">
        <f t="shared" si="32"/>
        <v/>
      </c>
      <c r="CO77" s="1" t="str">
        <f t="shared" si="32"/>
        <v/>
      </c>
      <c r="CP77" s="1" t="str">
        <f t="shared" si="32"/>
        <v/>
      </c>
      <c r="CQ77" s="1" t="str">
        <f t="shared" si="32"/>
        <v/>
      </c>
      <c r="CR77" s="1" t="str">
        <f t="shared" si="32"/>
        <v/>
      </c>
      <c r="CS77" s="3">
        <f>SUM(AE77:BO77)</f>
        <v>15</v>
      </c>
    </row>
    <row r="78" spans="1:97" ht="40.5" x14ac:dyDescent="0.15">
      <c r="A78" s="1">
        <v>21</v>
      </c>
      <c r="B78" s="1" t="s">
        <v>38</v>
      </c>
      <c r="C78" s="1" t="s">
        <v>31</v>
      </c>
      <c r="D78" s="1" t="s">
        <v>26</v>
      </c>
      <c r="E78" s="6"/>
      <c r="F78" s="6"/>
      <c r="G78" s="6">
        <v>6</v>
      </c>
      <c r="H78" s="6">
        <v>6</v>
      </c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>
        <v>10</v>
      </c>
      <c r="AT78" s="4"/>
      <c r="AU78" s="4"/>
      <c r="AV78" s="4"/>
      <c r="AW78" s="2"/>
      <c r="AX78" s="2"/>
      <c r="AY78" s="2"/>
      <c r="AZ78" s="2"/>
      <c r="BA78" s="2"/>
      <c r="BB78" s="2">
        <v>10</v>
      </c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 t="shared" si="17"/>
        <v>32</v>
      </c>
      <c r="BQ78" s="1">
        <v>16</v>
      </c>
      <c r="BR78" s="17">
        <v>3</v>
      </c>
      <c r="BS78" s="17" t="s">
        <v>304</v>
      </c>
      <c r="BT78" s="1" t="str">
        <f t="shared" si="18"/>
        <v/>
      </c>
      <c r="BU78" s="1" t="str">
        <f t="shared" si="19"/>
        <v/>
      </c>
      <c r="BV78" s="1" t="str">
        <f t="shared" si="20"/>
        <v/>
      </c>
      <c r="BW78" s="1" t="str">
        <f t="shared" si="21"/>
        <v/>
      </c>
      <c r="BX78" s="1" t="str">
        <f t="shared" si="22"/>
        <v/>
      </c>
      <c r="BY78" s="1" t="str">
        <f t="shared" si="23"/>
        <v/>
      </c>
      <c r="BZ78" s="1" t="str">
        <f t="shared" si="24"/>
        <v/>
      </c>
      <c r="CA78" s="1" t="str">
        <f t="shared" si="25"/>
        <v/>
      </c>
      <c r="CB78" s="1" t="str">
        <f t="shared" si="26"/>
        <v/>
      </c>
      <c r="CC78" s="1" t="str">
        <f t="shared" si="27"/>
        <v/>
      </c>
      <c r="CD78" s="1" t="str">
        <f t="shared" si="28"/>
        <v/>
      </c>
      <c r="CE78" s="1" t="str">
        <f t="shared" si="29"/>
        <v/>
      </c>
      <c r="CF78" s="1">
        <f>COUNTIF(BT78:CE78, "&gt;0")</f>
        <v>0</v>
      </c>
      <c r="CG78" s="1" t="str">
        <f t="shared" si="32"/>
        <v/>
      </c>
      <c r="CH78" s="1" t="str">
        <f t="shared" si="32"/>
        <v/>
      </c>
      <c r="CI78" s="1" t="str">
        <f t="shared" si="32"/>
        <v/>
      </c>
      <c r="CJ78" s="1" t="str">
        <f t="shared" si="32"/>
        <v/>
      </c>
      <c r="CK78" s="1" t="str">
        <f t="shared" si="32"/>
        <v/>
      </c>
      <c r="CL78" s="1" t="str">
        <f t="shared" si="32"/>
        <v/>
      </c>
      <c r="CM78" s="1" t="str">
        <f t="shared" si="32"/>
        <v/>
      </c>
      <c r="CN78" s="1" t="str">
        <f t="shared" si="32"/>
        <v/>
      </c>
      <c r="CO78" s="1" t="str">
        <f t="shared" si="32"/>
        <v/>
      </c>
      <c r="CP78" s="1" t="str">
        <f t="shared" si="32"/>
        <v/>
      </c>
      <c r="CQ78" s="1" t="str">
        <f t="shared" si="32"/>
        <v/>
      </c>
      <c r="CR78" s="1" t="str">
        <f t="shared" si="32"/>
        <v/>
      </c>
      <c r="CS78" s="3">
        <f>SUM(AE78:BO78)</f>
        <v>20</v>
      </c>
    </row>
    <row r="79" spans="1:97" ht="40.5" x14ac:dyDescent="0.15">
      <c r="A79" s="1">
        <v>81</v>
      </c>
      <c r="B79" s="3" t="s">
        <v>67</v>
      </c>
      <c r="C79" s="3" t="s">
        <v>64</v>
      </c>
      <c r="D79" s="1" t="s">
        <v>13</v>
      </c>
      <c r="E79" s="6"/>
      <c r="F79" s="6"/>
      <c r="G79" s="6"/>
      <c r="H79" s="6"/>
      <c r="I79" s="6"/>
      <c r="J79" s="6"/>
      <c r="K79" s="6"/>
      <c r="L79" s="6">
        <v>6</v>
      </c>
      <c r="M79" s="6"/>
      <c r="N79" s="6"/>
      <c r="O79" s="6">
        <v>6</v>
      </c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>
        <v>10</v>
      </c>
      <c r="AU79" s="4"/>
      <c r="AV79" s="4"/>
      <c r="AW79" s="2"/>
      <c r="AX79" s="2"/>
      <c r="AY79" s="2"/>
      <c r="AZ79" s="2"/>
      <c r="BA79" s="2">
        <v>10</v>
      </c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 t="shared" si="17"/>
        <v>32</v>
      </c>
      <c r="BQ79" s="1">
        <v>17</v>
      </c>
      <c r="BR79" s="17">
        <v>3</v>
      </c>
      <c r="BS79" s="17" t="s">
        <v>288</v>
      </c>
      <c r="BT79" s="1" t="str">
        <f t="shared" si="18"/>
        <v/>
      </c>
      <c r="BU79" s="1" t="str">
        <f t="shared" si="19"/>
        <v/>
      </c>
      <c r="BV79" s="1" t="str">
        <f t="shared" si="20"/>
        <v/>
      </c>
      <c r="BW79" s="1" t="str">
        <f t="shared" si="21"/>
        <v/>
      </c>
      <c r="BX79" s="1" t="str">
        <f t="shared" si="22"/>
        <v/>
      </c>
      <c r="BY79" s="1" t="str">
        <f t="shared" si="23"/>
        <v/>
      </c>
      <c r="BZ79" s="1" t="str">
        <f t="shared" si="24"/>
        <v/>
      </c>
      <c r="CA79" s="1" t="str">
        <f t="shared" si="25"/>
        <v/>
      </c>
      <c r="CB79" s="1" t="str">
        <f t="shared" si="26"/>
        <v/>
      </c>
      <c r="CC79" s="1" t="str">
        <f t="shared" si="27"/>
        <v/>
      </c>
      <c r="CD79" s="1" t="str">
        <f t="shared" si="28"/>
        <v/>
      </c>
      <c r="CE79" s="1" t="str">
        <f t="shared" si="29"/>
        <v/>
      </c>
      <c r="CF79" s="1">
        <f>COUNTIF(BT79:CE79, "&gt;0")</f>
        <v>0</v>
      </c>
      <c r="CG79" s="1" t="str">
        <f t="shared" si="32"/>
        <v/>
      </c>
      <c r="CH79" s="1" t="str">
        <f t="shared" si="32"/>
        <v/>
      </c>
      <c r="CI79" s="1" t="str">
        <f t="shared" si="32"/>
        <v/>
      </c>
      <c r="CJ79" s="1" t="str">
        <f t="shared" si="32"/>
        <v/>
      </c>
      <c r="CK79" s="1" t="str">
        <f t="shared" si="32"/>
        <v/>
      </c>
      <c r="CL79" s="1" t="str">
        <f t="shared" si="32"/>
        <v/>
      </c>
      <c r="CM79" s="1" t="str">
        <f t="shared" si="32"/>
        <v/>
      </c>
      <c r="CN79" s="1" t="str">
        <f t="shared" si="32"/>
        <v/>
      </c>
      <c r="CO79" s="1" t="str">
        <f t="shared" si="32"/>
        <v/>
      </c>
      <c r="CP79" s="1" t="str">
        <f t="shared" si="32"/>
        <v/>
      </c>
      <c r="CQ79" s="1" t="str">
        <f t="shared" si="32"/>
        <v/>
      </c>
      <c r="CR79" s="1" t="str">
        <f t="shared" si="32"/>
        <v/>
      </c>
      <c r="CS79" s="3">
        <f>SUM(AE79:BO79)</f>
        <v>20</v>
      </c>
    </row>
    <row r="80" spans="1:97" ht="40.5" x14ac:dyDescent="0.15">
      <c r="A80" s="1"/>
      <c r="B80" s="1" t="s">
        <v>154</v>
      </c>
      <c r="C80" s="1" t="s">
        <v>153</v>
      </c>
      <c r="D80" s="1" t="s">
        <v>126</v>
      </c>
      <c r="E80" s="6"/>
      <c r="F80" s="6"/>
      <c r="G80" s="6">
        <v>10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10</v>
      </c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 t="shared" si="17"/>
        <v>40</v>
      </c>
      <c r="BQ80" s="1">
        <v>18</v>
      </c>
      <c r="BR80" s="17">
        <v>3</v>
      </c>
      <c r="BS80" s="17" t="s">
        <v>289</v>
      </c>
      <c r="BT80" s="1" t="str">
        <f t="shared" si="18"/>
        <v/>
      </c>
      <c r="BU80" s="1" t="str">
        <f t="shared" si="19"/>
        <v/>
      </c>
      <c r="BV80" s="1" t="str">
        <f t="shared" si="20"/>
        <v/>
      </c>
      <c r="BW80" s="1" t="str">
        <f t="shared" si="21"/>
        <v/>
      </c>
      <c r="BX80" s="1" t="str">
        <f t="shared" si="22"/>
        <v/>
      </c>
      <c r="BY80" s="1" t="str">
        <f t="shared" si="23"/>
        <v/>
      </c>
      <c r="BZ80" s="1" t="str">
        <f t="shared" si="24"/>
        <v/>
      </c>
      <c r="CA80" s="1" t="str">
        <f t="shared" si="25"/>
        <v/>
      </c>
      <c r="CB80" s="1" t="str">
        <f t="shared" si="26"/>
        <v/>
      </c>
      <c r="CC80" s="1" t="str">
        <f t="shared" si="27"/>
        <v/>
      </c>
      <c r="CD80" s="1" t="str">
        <f t="shared" si="28"/>
        <v/>
      </c>
      <c r="CE80" s="1" t="str">
        <f t="shared" si="29"/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161</v>
      </c>
      <c r="C81" s="1" t="s">
        <v>121</v>
      </c>
      <c r="D81" s="1" t="s">
        <v>164</v>
      </c>
      <c r="E81" s="6"/>
      <c r="F81" s="6"/>
      <c r="G81" s="6">
        <v>10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>
        <v>10</v>
      </c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 t="shared" si="17"/>
        <v>40</v>
      </c>
      <c r="BQ81" s="1">
        <v>18</v>
      </c>
      <c r="BR81" s="17">
        <v>3</v>
      </c>
      <c r="BS81" s="17" t="s">
        <v>266</v>
      </c>
      <c r="BT81" s="1" t="str">
        <f t="shared" si="18"/>
        <v/>
      </c>
      <c r="BU81" s="1" t="str">
        <f t="shared" si="19"/>
        <v/>
      </c>
      <c r="BV81" s="1" t="str">
        <f t="shared" si="20"/>
        <v/>
      </c>
      <c r="BW81" s="1" t="str">
        <f t="shared" si="21"/>
        <v/>
      </c>
      <c r="BX81" s="1" t="str">
        <f t="shared" si="22"/>
        <v/>
      </c>
      <c r="BY81" s="1" t="str">
        <f t="shared" si="23"/>
        <v/>
      </c>
      <c r="BZ81" s="1" t="str">
        <f t="shared" si="24"/>
        <v/>
      </c>
      <c r="CA81" s="1" t="str">
        <f t="shared" si="25"/>
        <v/>
      </c>
      <c r="CB81" s="1" t="str">
        <f t="shared" si="26"/>
        <v/>
      </c>
      <c r="CC81" s="1" t="str">
        <f t="shared" si="27"/>
        <v/>
      </c>
      <c r="CD81" s="1" t="str">
        <f t="shared" si="28"/>
        <v/>
      </c>
      <c r="CE81" s="1" t="str">
        <f t="shared" si="29"/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182</v>
      </c>
      <c r="C82" s="1" t="s">
        <v>146</v>
      </c>
      <c r="D82" s="1" t="s">
        <v>125</v>
      </c>
      <c r="E82" s="6"/>
      <c r="F82" s="6"/>
      <c r="G82" s="6"/>
      <c r="H82" s="6"/>
      <c r="I82" s="6"/>
      <c r="J82" s="6">
        <v>10</v>
      </c>
      <c r="K82" s="6"/>
      <c r="L82" s="6">
        <v>10</v>
      </c>
      <c r="M82" s="6">
        <v>10</v>
      </c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>
        <v>15</v>
      </c>
      <c r="AZ82" s="2">
        <v>15</v>
      </c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 t="shared" si="17"/>
        <v>60</v>
      </c>
      <c r="BQ82" s="1">
        <v>20</v>
      </c>
      <c r="BR82" s="17">
        <v>3</v>
      </c>
      <c r="BS82" s="17" t="s">
        <v>290</v>
      </c>
      <c r="BT82" s="1" t="str">
        <f t="shared" si="18"/>
        <v/>
      </c>
      <c r="BU82" s="1" t="str">
        <f t="shared" si="19"/>
        <v/>
      </c>
      <c r="BV82" s="1" t="str">
        <f t="shared" si="20"/>
        <v/>
      </c>
      <c r="BW82" s="1" t="str">
        <f t="shared" si="21"/>
        <v/>
      </c>
      <c r="BX82" s="1" t="str">
        <f t="shared" si="22"/>
        <v/>
      </c>
      <c r="BY82" s="1" t="str">
        <f t="shared" si="23"/>
        <v/>
      </c>
      <c r="BZ82" s="1" t="str">
        <f t="shared" si="24"/>
        <v/>
      </c>
      <c r="CA82" s="1" t="str">
        <f t="shared" si="25"/>
        <v/>
      </c>
      <c r="CB82" s="1" t="str">
        <f t="shared" si="26"/>
        <v/>
      </c>
      <c r="CC82" s="1" t="str">
        <f t="shared" si="27"/>
        <v/>
      </c>
      <c r="CD82" s="1" t="str">
        <f t="shared" si="28"/>
        <v/>
      </c>
      <c r="CE82" s="1" t="str">
        <f t="shared" si="29"/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113</v>
      </c>
      <c r="C83" s="1" t="s">
        <v>110</v>
      </c>
      <c r="D83" s="1" t="s">
        <v>107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>
        <v>5</v>
      </c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>
        <v>5</v>
      </c>
      <c r="AP83" s="1">
        <v>10</v>
      </c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 t="shared" si="17"/>
        <v>20</v>
      </c>
      <c r="BQ83" s="1">
        <v>20</v>
      </c>
      <c r="BR83" s="17">
        <v>3</v>
      </c>
      <c r="BS83" s="17" t="s">
        <v>267</v>
      </c>
      <c r="BT83" s="1" t="str">
        <f t="shared" si="18"/>
        <v/>
      </c>
      <c r="BU83" s="1" t="str">
        <f t="shared" si="19"/>
        <v/>
      </c>
      <c r="BV83" s="1" t="str">
        <f t="shared" si="20"/>
        <v/>
      </c>
      <c r="BW83" s="1" t="str">
        <f t="shared" si="21"/>
        <v/>
      </c>
      <c r="BX83" s="1" t="str">
        <f t="shared" si="22"/>
        <v/>
      </c>
      <c r="BY83" s="1" t="str">
        <f t="shared" si="23"/>
        <v/>
      </c>
      <c r="BZ83" s="1" t="str">
        <f t="shared" si="24"/>
        <v/>
      </c>
      <c r="CA83" s="1" t="str">
        <f t="shared" si="25"/>
        <v/>
      </c>
      <c r="CB83" s="1" t="str">
        <f t="shared" si="26"/>
        <v/>
      </c>
      <c r="CC83" s="1" t="str">
        <f t="shared" si="27"/>
        <v/>
      </c>
      <c r="CD83" s="1" t="str">
        <f t="shared" si="28"/>
        <v/>
      </c>
      <c r="CE83" s="1" t="str">
        <f t="shared" si="29"/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149</v>
      </c>
      <c r="C84" s="1" t="s">
        <v>151</v>
      </c>
      <c r="D84" s="1" t="s">
        <v>126</v>
      </c>
      <c r="E84" s="6"/>
      <c r="F84" s="6"/>
      <c r="G84" s="6"/>
      <c r="H84" s="6"/>
      <c r="I84" s="6"/>
      <c r="J84" s="6">
        <v>10</v>
      </c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>
        <v>10</v>
      </c>
      <c r="V84" s="28"/>
      <c r="W84" s="28"/>
      <c r="X84" s="28"/>
      <c r="Y84" s="28"/>
      <c r="Z84" s="28"/>
      <c r="AA84" s="28">
        <v>10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17"/>
        <v>40</v>
      </c>
      <c r="BQ84" s="1">
        <v>21</v>
      </c>
      <c r="BR84" s="17">
        <v>3</v>
      </c>
      <c r="BS84" s="17" t="s">
        <v>244</v>
      </c>
      <c r="BT84" s="1" t="str">
        <f t="shared" si="18"/>
        <v/>
      </c>
      <c r="BU84" s="1" t="str">
        <f t="shared" si="19"/>
        <v/>
      </c>
      <c r="BV84" s="1" t="str">
        <f t="shared" si="20"/>
        <v/>
      </c>
      <c r="BW84" s="1" t="str">
        <f t="shared" si="21"/>
        <v/>
      </c>
      <c r="BX84" s="1" t="str">
        <f t="shared" si="22"/>
        <v/>
      </c>
      <c r="BY84" s="1" t="str">
        <f t="shared" si="23"/>
        <v/>
      </c>
      <c r="BZ84" s="1" t="str">
        <f t="shared" si="24"/>
        <v/>
      </c>
      <c r="CA84" s="1" t="str">
        <f t="shared" si="25"/>
        <v/>
      </c>
      <c r="CB84" s="1" t="str">
        <f t="shared" si="26"/>
        <v/>
      </c>
      <c r="CC84" s="1" t="str">
        <f t="shared" si="27"/>
        <v/>
      </c>
      <c r="CD84" s="1" t="str">
        <f t="shared" si="28"/>
        <v/>
      </c>
      <c r="CE84" s="1" t="str">
        <f t="shared" si="29"/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159</v>
      </c>
      <c r="C85" s="1" t="s">
        <v>153</v>
      </c>
      <c r="D85" s="1" t="s">
        <v>126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>
        <v>10</v>
      </c>
      <c r="V85" s="28"/>
      <c r="W85" s="28"/>
      <c r="X85" s="28"/>
      <c r="Y85" s="28"/>
      <c r="Z85" s="28"/>
      <c r="AA85" s="28">
        <v>10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ref="BP85:BP116" si="33">SUM(E85:BO85)</f>
        <v>40</v>
      </c>
      <c r="BQ85" s="1">
        <v>21</v>
      </c>
      <c r="BR85" s="17">
        <v>3</v>
      </c>
      <c r="BS85" s="17" t="s">
        <v>305</v>
      </c>
      <c r="BT85" s="1" t="str">
        <f t="shared" ref="BT85:BT116" si="34">IF(AQ85&gt;AQ$133, AQ85-AQ$133,"")</f>
        <v/>
      </c>
      <c r="BU85" s="1" t="str">
        <f t="shared" ref="BU85:BU116" si="35">IF(AR85&gt;AR$133, AR85-AR$133,"")</f>
        <v/>
      </c>
      <c r="BV85" s="1" t="str">
        <f t="shared" ref="BV85:BV116" si="36">IF(AS85&gt;AS$133, AS85-AS$133,"")</f>
        <v/>
      </c>
      <c r="BW85" s="1" t="str">
        <f t="shared" ref="BW85:BW116" si="37">IF(AT85&gt;AT$133, AT85-AT$133,"")</f>
        <v/>
      </c>
      <c r="BX85" s="1" t="str">
        <f t="shared" ref="BX85:BX116" si="38">IF(AU85&gt;AU$133, AU85-AU$133,"")</f>
        <v/>
      </c>
      <c r="BY85" s="1" t="str">
        <f t="shared" ref="BY85:BY116" si="39">IF(AV85&gt;AV$133, AV85-AV$133,"")</f>
        <v/>
      </c>
      <c r="BZ85" s="1" t="str">
        <f t="shared" ref="BZ85:BZ116" si="40">IF(AW85&gt;AW$133, AW85-AW$133,"")</f>
        <v/>
      </c>
      <c r="CA85" s="1" t="str">
        <f t="shared" ref="CA85:CA116" si="41">IF(AX85&gt;AX$133, AX85-AX$133,"")</f>
        <v/>
      </c>
      <c r="CB85" s="1" t="str">
        <f t="shared" ref="CB85:CB116" si="42">IF(AY85&gt;AY$133, AY85-AY$133,"")</f>
        <v/>
      </c>
      <c r="CC85" s="1" t="str">
        <f t="shared" ref="CC85:CC116" si="43">IF(AZ85&gt;AZ$133, AZ85-AZ$133,"")</f>
        <v/>
      </c>
      <c r="CD85" s="1" t="str">
        <f t="shared" ref="CD85:CD116" si="44">IF(BA85&gt;BA$133, BA85-BA$133,"")</f>
        <v/>
      </c>
      <c r="CE85" s="1" t="str">
        <f t="shared" ref="CE85:CE116" si="45">IF(BB85&gt;BB$133, BB85-BB$133,"")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113</v>
      </c>
      <c r="C86" s="1" t="s">
        <v>110</v>
      </c>
      <c r="D86" s="1" t="s">
        <v>108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>
        <v>10</v>
      </c>
      <c r="AP86" s="1">
        <v>10</v>
      </c>
      <c r="AQ86" s="4"/>
      <c r="AR86" s="4"/>
      <c r="AS86" s="4">
        <v>5</v>
      </c>
      <c r="AT86" s="4"/>
      <c r="AU86" s="4"/>
      <c r="AV86" s="4"/>
      <c r="AW86" s="2"/>
      <c r="AX86" s="2">
        <v>5</v>
      </c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si="33"/>
        <v>30</v>
      </c>
      <c r="BQ86" s="1">
        <v>22</v>
      </c>
      <c r="BR86" s="17">
        <v>3</v>
      </c>
      <c r="BS86" s="17" t="s">
        <v>243</v>
      </c>
      <c r="BT86" s="1" t="str">
        <f t="shared" si="34"/>
        <v/>
      </c>
      <c r="BU86" s="1" t="str">
        <f t="shared" si="35"/>
        <v/>
      </c>
      <c r="BV86" s="1" t="str">
        <f t="shared" si="36"/>
        <v/>
      </c>
      <c r="BW86" s="1" t="str">
        <f t="shared" si="37"/>
        <v/>
      </c>
      <c r="BX86" s="1" t="str">
        <f t="shared" si="38"/>
        <v/>
      </c>
      <c r="BY86" s="1" t="str">
        <f t="shared" si="39"/>
        <v/>
      </c>
      <c r="BZ86" s="1" t="str">
        <f t="shared" si="40"/>
        <v/>
      </c>
      <c r="CA86" s="1" t="str">
        <f t="shared" si="41"/>
        <v/>
      </c>
      <c r="CB86" s="1" t="str">
        <f t="shared" si="42"/>
        <v/>
      </c>
      <c r="CC86" s="1" t="str">
        <f t="shared" si="43"/>
        <v/>
      </c>
      <c r="CD86" s="1" t="str">
        <f t="shared" si="44"/>
        <v/>
      </c>
      <c r="CE86" s="1" t="str">
        <f t="shared" si="45"/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>
        <v>3</v>
      </c>
      <c r="B87" s="1" t="s">
        <v>11</v>
      </c>
      <c r="C87" s="1" t="s">
        <v>2</v>
      </c>
      <c r="D87" s="1" t="s">
        <v>12</v>
      </c>
      <c r="E87" s="6">
        <v>15</v>
      </c>
      <c r="F87" s="6"/>
      <c r="G87" s="6">
        <v>15</v>
      </c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15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15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 t="shared" si="33"/>
        <v>60</v>
      </c>
      <c r="BQ87" s="1">
        <v>26</v>
      </c>
      <c r="BR87" s="17">
        <v>3</v>
      </c>
      <c r="BS87" s="17" t="s">
        <v>291</v>
      </c>
      <c r="BT87" s="1" t="str">
        <f t="shared" si="34"/>
        <v/>
      </c>
      <c r="BU87" s="1" t="str">
        <f t="shared" si="35"/>
        <v/>
      </c>
      <c r="BV87" s="1" t="str">
        <f t="shared" si="36"/>
        <v/>
      </c>
      <c r="BW87" s="1" t="str">
        <f t="shared" si="37"/>
        <v/>
      </c>
      <c r="BX87" s="1" t="str">
        <f t="shared" si="38"/>
        <v/>
      </c>
      <c r="BY87" s="1" t="str">
        <f t="shared" si="39"/>
        <v/>
      </c>
      <c r="BZ87" s="1" t="str">
        <f t="shared" si="40"/>
        <v/>
      </c>
      <c r="CA87" s="1" t="str">
        <f t="shared" si="41"/>
        <v/>
      </c>
      <c r="CB87" s="1" t="str">
        <f t="shared" si="42"/>
        <v/>
      </c>
      <c r="CC87" s="1" t="str">
        <f t="shared" si="43"/>
        <v/>
      </c>
      <c r="CD87" s="1" t="str">
        <f t="shared" si="44"/>
        <v/>
      </c>
      <c r="CE87" s="1" t="str">
        <f t="shared" si="45"/>
        <v/>
      </c>
      <c r="CF87" s="1">
        <f>COUNTIF(BT87:CE87, "&gt;0")</f>
        <v>0</v>
      </c>
      <c r="CG87" s="1" t="str">
        <f t="shared" ref="CG87:CR87" si="46">IF($CF87=1,BT87,"")</f>
        <v/>
      </c>
      <c r="CH87" s="1" t="str">
        <f t="shared" si="46"/>
        <v/>
      </c>
      <c r="CI87" s="1" t="str">
        <f t="shared" si="46"/>
        <v/>
      </c>
      <c r="CJ87" s="1" t="str">
        <f t="shared" si="46"/>
        <v/>
      </c>
      <c r="CK87" s="1" t="str">
        <f t="shared" si="46"/>
        <v/>
      </c>
      <c r="CL87" s="1" t="str">
        <f t="shared" si="46"/>
        <v/>
      </c>
      <c r="CM87" s="1" t="str">
        <f t="shared" si="46"/>
        <v/>
      </c>
      <c r="CN87" s="1" t="str">
        <f t="shared" si="46"/>
        <v/>
      </c>
      <c r="CO87" s="1" t="str">
        <f t="shared" si="46"/>
        <v/>
      </c>
      <c r="CP87" s="1" t="str">
        <f t="shared" si="46"/>
        <v/>
      </c>
      <c r="CQ87" s="1" t="str">
        <f t="shared" si="46"/>
        <v/>
      </c>
      <c r="CR87" s="1" t="str">
        <f t="shared" si="46"/>
        <v/>
      </c>
      <c r="CS87" s="3">
        <f>SUM(AE87:BO87)</f>
        <v>30</v>
      </c>
    </row>
    <row r="88" spans="1:97" ht="40.5" x14ac:dyDescent="0.15">
      <c r="A88" s="1"/>
      <c r="B88" s="1" t="s">
        <v>175</v>
      </c>
      <c r="C88" s="1" t="s">
        <v>118</v>
      </c>
      <c r="D88" s="1" t="s">
        <v>107</v>
      </c>
      <c r="E88" s="6">
        <v>15</v>
      </c>
      <c r="F88" s="6"/>
      <c r="G88" s="6">
        <v>15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15</v>
      </c>
      <c r="AS88" s="4"/>
      <c r="AT88" s="4"/>
      <c r="AU88" s="4"/>
      <c r="AV88" s="4"/>
      <c r="AW88" s="2"/>
      <c r="AX88" s="2"/>
      <c r="AY88" s="2"/>
      <c r="AZ88" s="2"/>
      <c r="BA88" s="2"/>
      <c r="BB88" s="2">
        <v>15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 t="shared" si="33"/>
        <v>60</v>
      </c>
      <c r="BQ88" s="1">
        <v>26</v>
      </c>
      <c r="BR88" s="17">
        <v>3</v>
      </c>
      <c r="BS88" s="17" t="s">
        <v>291</v>
      </c>
      <c r="BT88" s="1" t="str">
        <f t="shared" si="34"/>
        <v/>
      </c>
      <c r="BU88" s="1" t="str">
        <f t="shared" si="35"/>
        <v/>
      </c>
      <c r="BV88" s="1" t="str">
        <f t="shared" si="36"/>
        <v/>
      </c>
      <c r="BW88" s="1" t="str">
        <f t="shared" si="37"/>
        <v/>
      </c>
      <c r="BX88" s="1" t="str">
        <f t="shared" si="38"/>
        <v/>
      </c>
      <c r="BY88" s="1" t="str">
        <f t="shared" si="39"/>
        <v/>
      </c>
      <c r="BZ88" s="1" t="str">
        <f t="shared" si="40"/>
        <v/>
      </c>
      <c r="CA88" s="1" t="str">
        <f t="shared" si="41"/>
        <v/>
      </c>
      <c r="CB88" s="1" t="str">
        <f t="shared" si="42"/>
        <v/>
      </c>
      <c r="CC88" s="1" t="str">
        <f t="shared" si="43"/>
        <v/>
      </c>
      <c r="CD88" s="1" t="str">
        <f t="shared" si="44"/>
        <v/>
      </c>
      <c r="CE88" s="1" t="str">
        <f t="shared" si="45"/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177</v>
      </c>
      <c r="C89" s="1" t="s">
        <v>118</v>
      </c>
      <c r="D89" s="1" t="s">
        <v>107</v>
      </c>
      <c r="E89" s="6">
        <v>15</v>
      </c>
      <c r="F89" s="6"/>
      <c r="G89" s="6">
        <v>15</v>
      </c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15</v>
      </c>
      <c r="AS89" s="4"/>
      <c r="AT89" s="4"/>
      <c r="AU89" s="4"/>
      <c r="AV89" s="4"/>
      <c r="AW89" s="2"/>
      <c r="AX89" s="2"/>
      <c r="AY89" s="2"/>
      <c r="AZ89" s="2"/>
      <c r="BA89" s="2"/>
      <c r="BB89" s="2">
        <v>15</v>
      </c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 t="shared" si="33"/>
        <v>60</v>
      </c>
      <c r="BQ89" s="1">
        <v>26</v>
      </c>
      <c r="BR89" s="17">
        <v>3</v>
      </c>
      <c r="BS89" s="17" t="s">
        <v>291</v>
      </c>
      <c r="BT89" s="1" t="str">
        <f t="shared" si="34"/>
        <v/>
      </c>
      <c r="BU89" s="1" t="str">
        <f t="shared" si="35"/>
        <v/>
      </c>
      <c r="BV89" s="1" t="str">
        <f t="shared" si="36"/>
        <v/>
      </c>
      <c r="BW89" s="1" t="str">
        <f t="shared" si="37"/>
        <v/>
      </c>
      <c r="BX89" s="1" t="str">
        <f t="shared" si="38"/>
        <v/>
      </c>
      <c r="BY89" s="1" t="str">
        <f t="shared" si="39"/>
        <v/>
      </c>
      <c r="BZ89" s="1" t="str">
        <f t="shared" si="40"/>
        <v/>
      </c>
      <c r="CA89" s="1" t="str">
        <f t="shared" si="41"/>
        <v/>
      </c>
      <c r="CB89" s="1" t="str">
        <f t="shared" si="42"/>
        <v/>
      </c>
      <c r="CC89" s="1" t="str">
        <f t="shared" si="43"/>
        <v/>
      </c>
      <c r="CD89" s="1" t="str">
        <f t="shared" si="44"/>
        <v/>
      </c>
      <c r="CE89" s="1" t="str">
        <f t="shared" si="45"/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>
        <v>1</v>
      </c>
      <c r="B90" s="1" t="s">
        <v>0</v>
      </c>
      <c r="C90" s="1" t="s">
        <v>2</v>
      </c>
      <c r="D90" s="1" t="s">
        <v>1</v>
      </c>
      <c r="E90" s="6">
        <v>10</v>
      </c>
      <c r="F90" s="6">
        <v>10</v>
      </c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>
        <v>15</v>
      </c>
      <c r="AX90" s="2">
        <v>15</v>
      </c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 t="shared" si="33"/>
        <v>60</v>
      </c>
      <c r="BQ90" s="1">
        <v>26</v>
      </c>
      <c r="BR90" s="17">
        <v>3</v>
      </c>
      <c r="BS90" s="17" t="s">
        <v>306</v>
      </c>
      <c r="BT90" s="1" t="str">
        <f t="shared" si="34"/>
        <v/>
      </c>
      <c r="BU90" s="1" t="str">
        <f t="shared" si="35"/>
        <v/>
      </c>
      <c r="BV90" s="1" t="str">
        <f t="shared" si="36"/>
        <v/>
      </c>
      <c r="BW90" s="1" t="str">
        <f t="shared" si="37"/>
        <v/>
      </c>
      <c r="BX90" s="1" t="str">
        <f t="shared" si="38"/>
        <v/>
      </c>
      <c r="BY90" s="1" t="str">
        <f t="shared" si="39"/>
        <v/>
      </c>
      <c r="BZ90" s="1" t="str">
        <f t="shared" si="40"/>
        <v/>
      </c>
      <c r="CA90" s="1" t="str">
        <f t="shared" si="41"/>
        <v/>
      </c>
      <c r="CB90" s="1" t="str">
        <f t="shared" si="42"/>
        <v/>
      </c>
      <c r="CC90" s="1" t="str">
        <f t="shared" si="43"/>
        <v/>
      </c>
      <c r="CD90" s="1" t="str">
        <f t="shared" si="44"/>
        <v/>
      </c>
      <c r="CE90" s="1" t="str">
        <f t="shared" si="45"/>
        <v/>
      </c>
      <c r="CF90" s="1">
        <f>COUNTIF(BT90:CE90, "&gt;0")</f>
        <v>0</v>
      </c>
      <c r="CG90" s="1" t="str">
        <f t="shared" ref="CG90:CR90" si="47">IF($CF90=1,BT90,"")</f>
        <v/>
      </c>
      <c r="CH90" s="1" t="str">
        <f t="shared" si="47"/>
        <v/>
      </c>
      <c r="CI90" s="1" t="str">
        <f t="shared" si="47"/>
        <v/>
      </c>
      <c r="CJ90" s="1" t="str">
        <f t="shared" si="47"/>
        <v/>
      </c>
      <c r="CK90" s="1" t="str">
        <f t="shared" si="47"/>
        <v/>
      </c>
      <c r="CL90" s="1" t="str">
        <f t="shared" si="47"/>
        <v/>
      </c>
      <c r="CM90" s="1" t="str">
        <f t="shared" si="47"/>
        <v/>
      </c>
      <c r="CN90" s="1" t="str">
        <f t="shared" si="47"/>
        <v/>
      </c>
      <c r="CO90" s="1" t="str">
        <f t="shared" si="47"/>
        <v/>
      </c>
      <c r="CP90" s="1" t="str">
        <f t="shared" si="47"/>
        <v/>
      </c>
      <c r="CQ90" s="1" t="str">
        <f t="shared" si="47"/>
        <v/>
      </c>
      <c r="CR90" s="1" t="str">
        <f t="shared" si="47"/>
        <v/>
      </c>
      <c r="CS90" s="3">
        <f>SUM(AE90:BO90)</f>
        <v>40</v>
      </c>
    </row>
    <row r="91" spans="1:97" ht="40.5" x14ac:dyDescent="0.15">
      <c r="A91" s="1"/>
      <c r="B91" s="1" t="s">
        <v>155</v>
      </c>
      <c r="C91" s="1" t="s">
        <v>153</v>
      </c>
      <c r="D91" s="1" t="s">
        <v>126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>
        <v>10</v>
      </c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>
        <v>10</v>
      </c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 t="shared" si="33"/>
        <v>40</v>
      </c>
      <c r="BQ91" s="1">
        <v>27</v>
      </c>
      <c r="BR91" s="17">
        <v>3</v>
      </c>
      <c r="BS91" s="17" t="s">
        <v>292</v>
      </c>
      <c r="BT91" s="1" t="str">
        <f t="shared" si="34"/>
        <v/>
      </c>
      <c r="BU91" s="1" t="str">
        <f t="shared" si="35"/>
        <v/>
      </c>
      <c r="BV91" s="1" t="str">
        <f t="shared" si="36"/>
        <v/>
      </c>
      <c r="BW91" s="1" t="str">
        <f t="shared" si="37"/>
        <v/>
      </c>
      <c r="BX91" s="1" t="str">
        <f t="shared" si="38"/>
        <v/>
      </c>
      <c r="BY91" s="1" t="str">
        <f t="shared" si="39"/>
        <v/>
      </c>
      <c r="BZ91" s="1" t="str">
        <f t="shared" si="40"/>
        <v/>
      </c>
      <c r="CA91" s="1" t="str">
        <f t="shared" si="41"/>
        <v/>
      </c>
      <c r="CB91" s="1" t="str">
        <f t="shared" si="42"/>
        <v/>
      </c>
      <c r="CC91" s="1" t="str">
        <f t="shared" si="43"/>
        <v/>
      </c>
      <c r="CD91" s="1" t="str">
        <f t="shared" si="44"/>
        <v/>
      </c>
      <c r="CE91" s="1" t="str">
        <f t="shared" si="45"/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>
        <v>14</v>
      </c>
      <c r="B92" s="1" t="s">
        <v>30</v>
      </c>
      <c r="C92" s="1" t="s">
        <v>31</v>
      </c>
      <c r="D92" s="1" t="s">
        <v>32</v>
      </c>
      <c r="E92" s="6"/>
      <c r="F92" s="6"/>
      <c r="G92" s="6">
        <v>15</v>
      </c>
      <c r="H92" s="6">
        <v>15</v>
      </c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>
        <v>15</v>
      </c>
      <c r="AT92" s="4"/>
      <c r="AU92" s="4"/>
      <c r="AV92" s="4"/>
      <c r="AW92" s="2"/>
      <c r="AX92" s="2"/>
      <c r="AY92" s="2"/>
      <c r="AZ92" s="2"/>
      <c r="BA92" s="2"/>
      <c r="BB92" s="2">
        <v>15</v>
      </c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 t="shared" si="33"/>
        <v>60</v>
      </c>
      <c r="BQ92" s="1">
        <v>39</v>
      </c>
      <c r="BR92" s="17">
        <v>3</v>
      </c>
      <c r="BS92" s="17" t="s">
        <v>293</v>
      </c>
      <c r="BT92" s="1" t="str">
        <f t="shared" si="34"/>
        <v/>
      </c>
      <c r="BU92" s="1" t="str">
        <f t="shared" si="35"/>
        <v/>
      </c>
      <c r="BV92" s="1" t="str">
        <f t="shared" si="36"/>
        <v/>
      </c>
      <c r="BW92" s="1" t="str">
        <f t="shared" si="37"/>
        <v/>
      </c>
      <c r="BX92" s="1" t="str">
        <f t="shared" si="38"/>
        <v/>
      </c>
      <c r="BY92" s="1" t="str">
        <f t="shared" si="39"/>
        <v/>
      </c>
      <c r="BZ92" s="1" t="str">
        <f t="shared" si="40"/>
        <v/>
      </c>
      <c r="CA92" s="1" t="str">
        <f t="shared" si="41"/>
        <v/>
      </c>
      <c r="CB92" s="1" t="str">
        <f t="shared" si="42"/>
        <v/>
      </c>
      <c r="CC92" s="1" t="str">
        <f t="shared" si="43"/>
        <v/>
      </c>
      <c r="CD92" s="1" t="str">
        <f t="shared" si="44"/>
        <v/>
      </c>
      <c r="CE92" s="1" t="str">
        <f t="shared" si="45"/>
        <v/>
      </c>
      <c r="CF92" s="1">
        <f>COUNTIF(BT92:CE92, "&gt;0")</f>
        <v>0</v>
      </c>
      <c r="CG92" s="1" t="str">
        <f t="shared" ref="CG92:CR92" si="48">IF($CF92=1,BT92,"")</f>
        <v/>
      </c>
      <c r="CH92" s="1" t="str">
        <f t="shared" si="48"/>
        <v/>
      </c>
      <c r="CI92" s="1" t="str">
        <f t="shared" si="48"/>
        <v/>
      </c>
      <c r="CJ92" s="1" t="str">
        <f t="shared" si="48"/>
        <v/>
      </c>
      <c r="CK92" s="1" t="str">
        <f t="shared" si="48"/>
        <v/>
      </c>
      <c r="CL92" s="1" t="str">
        <f t="shared" si="48"/>
        <v/>
      </c>
      <c r="CM92" s="1" t="str">
        <f t="shared" si="48"/>
        <v/>
      </c>
      <c r="CN92" s="1" t="str">
        <f t="shared" si="48"/>
        <v/>
      </c>
      <c r="CO92" s="1" t="str">
        <f t="shared" si="48"/>
        <v/>
      </c>
      <c r="CP92" s="1" t="str">
        <f t="shared" si="48"/>
        <v/>
      </c>
      <c r="CQ92" s="1" t="str">
        <f t="shared" si="48"/>
        <v/>
      </c>
      <c r="CR92" s="1" t="str">
        <f t="shared" si="48"/>
        <v/>
      </c>
      <c r="CS92" s="3">
        <f>SUM(AE92:BO92)</f>
        <v>30</v>
      </c>
    </row>
    <row r="93" spans="1:97" ht="40.5" x14ac:dyDescent="0.15">
      <c r="A93" s="1"/>
      <c r="B93" s="1" t="s">
        <v>109</v>
      </c>
      <c r="C93" s="1" t="s">
        <v>110</v>
      </c>
      <c r="D93" s="1" t="s">
        <v>107</v>
      </c>
      <c r="E93" s="6"/>
      <c r="F93" s="6"/>
      <c r="G93" s="6">
        <v>15</v>
      </c>
      <c r="H93" s="6">
        <v>15</v>
      </c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>
        <v>15</v>
      </c>
      <c r="AT93" s="4"/>
      <c r="AU93" s="4"/>
      <c r="AV93" s="4"/>
      <c r="AW93" s="2"/>
      <c r="AX93" s="2"/>
      <c r="AY93" s="2"/>
      <c r="AZ93" s="2"/>
      <c r="BA93" s="2"/>
      <c r="BB93" s="2">
        <v>15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 t="shared" si="33"/>
        <v>60</v>
      </c>
      <c r="BQ93" s="1">
        <v>39</v>
      </c>
      <c r="BR93" s="17">
        <v>3</v>
      </c>
      <c r="BS93" s="17" t="s">
        <v>245</v>
      </c>
      <c r="BT93" s="1" t="str">
        <f t="shared" si="34"/>
        <v/>
      </c>
      <c r="BU93" s="1" t="str">
        <f t="shared" si="35"/>
        <v/>
      </c>
      <c r="BV93" s="1" t="str">
        <f t="shared" si="36"/>
        <v/>
      </c>
      <c r="BW93" s="1" t="str">
        <f t="shared" si="37"/>
        <v/>
      </c>
      <c r="BX93" s="1" t="str">
        <f t="shared" si="38"/>
        <v/>
      </c>
      <c r="BY93" s="1" t="str">
        <f t="shared" si="39"/>
        <v/>
      </c>
      <c r="BZ93" s="1" t="str">
        <f t="shared" si="40"/>
        <v/>
      </c>
      <c r="CA93" s="1" t="str">
        <f t="shared" si="41"/>
        <v/>
      </c>
      <c r="CB93" s="1" t="str">
        <f t="shared" si="42"/>
        <v/>
      </c>
      <c r="CC93" s="1" t="str">
        <f t="shared" si="43"/>
        <v/>
      </c>
      <c r="CD93" s="1" t="str">
        <f t="shared" si="44"/>
        <v/>
      </c>
      <c r="CE93" s="1" t="str">
        <f t="shared" si="45"/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">
        <v>78</v>
      </c>
      <c r="B94" s="3" t="s">
        <v>66</v>
      </c>
      <c r="C94" s="3" t="s">
        <v>64</v>
      </c>
      <c r="D94" s="1" t="s">
        <v>1</v>
      </c>
      <c r="E94" s="6"/>
      <c r="F94" s="6"/>
      <c r="G94" s="6">
        <v>15</v>
      </c>
      <c r="H94" s="6">
        <v>15</v>
      </c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>
        <v>15</v>
      </c>
      <c r="BB94" s="2">
        <v>15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 t="shared" si="33"/>
        <v>60</v>
      </c>
      <c r="BQ94" s="1">
        <v>42</v>
      </c>
      <c r="BR94" s="17">
        <v>3</v>
      </c>
      <c r="BS94" s="17" t="s">
        <v>307</v>
      </c>
      <c r="BT94" s="1" t="str">
        <f t="shared" si="34"/>
        <v/>
      </c>
      <c r="BU94" s="1" t="str">
        <f t="shared" si="35"/>
        <v/>
      </c>
      <c r="BV94" s="1" t="str">
        <f t="shared" si="36"/>
        <v/>
      </c>
      <c r="BW94" s="1" t="str">
        <f t="shared" si="37"/>
        <v/>
      </c>
      <c r="BX94" s="1" t="str">
        <f t="shared" si="38"/>
        <v/>
      </c>
      <c r="BY94" s="1" t="str">
        <f t="shared" si="39"/>
        <v/>
      </c>
      <c r="BZ94" s="1" t="str">
        <f t="shared" si="40"/>
        <v/>
      </c>
      <c r="CA94" s="1" t="str">
        <f t="shared" si="41"/>
        <v/>
      </c>
      <c r="CB94" s="1" t="str">
        <f t="shared" si="42"/>
        <v/>
      </c>
      <c r="CC94" s="1" t="str">
        <f t="shared" si="43"/>
        <v/>
      </c>
      <c r="CD94" s="1" t="str">
        <f t="shared" si="44"/>
        <v/>
      </c>
      <c r="CE94" s="1" t="str">
        <f t="shared" si="45"/>
        <v/>
      </c>
      <c r="CF94" s="1">
        <f>COUNTIF(BT94:CE94, "&gt;0")</f>
        <v>0</v>
      </c>
      <c r="CG94" s="1" t="str">
        <f t="shared" ref="CG94:CR94" si="49">IF($CF94=1,BT94,"")</f>
        <v/>
      </c>
      <c r="CH94" s="1" t="str">
        <f t="shared" si="49"/>
        <v/>
      </c>
      <c r="CI94" s="1" t="str">
        <f t="shared" si="49"/>
        <v/>
      </c>
      <c r="CJ94" s="1" t="str">
        <f t="shared" si="49"/>
        <v/>
      </c>
      <c r="CK94" s="1" t="str">
        <f t="shared" si="49"/>
        <v/>
      </c>
      <c r="CL94" s="1" t="str">
        <f t="shared" si="49"/>
        <v/>
      </c>
      <c r="CM94" s="1" t="str">
        <f t="shared" si="49"/>
        <v/>
      </c>
      <c r="CN94" s="1" t="str">
        <f t="shared" si="49"/>
        <v/>
      </c>
      <c r="CO94" s="1" t="str">
        <f t="shared" si="49"/>
        <v/>
      </c>
      <c r="CP94" s="1" t="str">
        <f t="shared" si="49"/>
        <v/>
      </c>
      <c r="CQ94" s="1" t="str">
        <f t="shared" si="49"/>
        <v/>
      </c>
      <c r="CR94" s="1" t="str">
        <f t="shared" si="49"/>
        <v/>
      </c>
      <c r="CS94" s="3">
        <f>SUM(AE94:BO94)</f>
        <v>30</v>
      </c>
    </row>
    <row r="95" spans="1:97" ht="40.5" x14ac:dyDescent="0.15">
      <c r="A95" s="1"/>
      <c r="B95" s="1" t="s">
        <v>187</v>
      </c>
      <c r="C95" s="1" t="s">
        <v>121</v>
      </c>
      <c r="D95" s="1" t="s">
        <v>107</v>
      </c>
      <c r="E95" s="6"/>
      <c r="F95" s="6"/>
      <c r="G95" s="6">
        <v>15</v>
      </c>
      <c r="H95" s="6">
        <v>15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>
        <v>15</v>
      </c>
      <c r="BB95" s="2">
        <v>15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 t="shared" si="33"/>
        <v>60</v>
      </c>
      <c r="BQ95" s="1">
        <v>42</v>
      </c>
      <c r="BR95" s="17">
        <v>3</v>
      </c>
      <c r="BS95" s="17" t="s">
        <v>307</v>
      </c>
      <c r="BT95" s="1" t="str">
        <f t="shared" si="34"/>
        <v/>
      </c>
      <c r="BU95" s="1" t="str">
        <f t="shared" si="35"/>
        <v/>
      </c>
      <c r="BV95" s="1" t="str">
        <f t="shared" si="36"/>
        <v/>
      </c>
      <c r="BW95" s="1" t="str">
        <f t="shared" si="37"/>
        <v/>
      </c>
      <c r="BX95" s="1" t="str">
        <f t="shared" si="38"/>
        <v/>
      </c>
      <c r="BY95" s="1" t="str">
        <f t="shared" si="39"/>
        <v/>
      </c>
      <c r="BZ95" s="1" t="str">
        <f t="shared" si="40"/>
        <v/>
      </c>
      <c r="CA95" s="1" t="str">
        <f t="shared" si="41"/>
        <v/>
      </c>
      <c r="CB95" s="1" t="str">
        <f t="shared" si="42"/>
        <v/>
      </c>
      <c r="CC95" s="1" t="str">
        <f t="shared" si="43"/>
        <v/>
      </c>
      <c r="CD95" s="1" t="str">
        <f t="shared" si="44"/>
        <v/>
      </c>
      <c r="CE95" s="1" t="str">
        <f t="shared" si="45"/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40.5" x14ac:dyDescent="0.15">
      <c r="A96" s="1">
        <v>65</v>
      </c>
      <c r="B96" s="3" t="s">
        <v>61</v>
      </c>
      <c r="C96" s="1" t="s">
        <v>56</v>
      </c>
      <c r="D96" s="1" t="s">
        <v>13</v>
      </c>
      <c r="E96" s="6"/>
      <c r="F96" s="6"/>
      <c r="G96" s="6">
        <v>10</v>
      </c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>
        <v>25</v>
      </c>
      <c r="AO96" s="1"/>
      <c r="AP96" s="1"/>
      <c r="AQ96" s="4"/>
      <c r="AR96" s="4"/>
      <c r="AS96" s="4"/>
      <c r="AT96" s="4"/>
      <c r="AU96" s="4"/>
      <c r="AV96" s="4">
        <v>10</v>
      </c>
      <c r="AW96" s="2"/>
      <c r="AX96" s="2"/>
      <c r="AY96" s="2"/>
      <c r="AZ96" s="2">
        <v>10</v>
      </c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 t="shared" si="33"/>
        <v>55</v>
      </c>
      <c r="BQ96" s="1">
        <v>42</v>
      </c>
      <c r="BR96" s="17">
        <v>3</v>
      </c>
      <c r="BS96" s="17" t="s">
        <v>268</v>
      </c>
      <c r="BT96" s="1" t="str">
        <f t="shared" si="34"/>
        <v/>
      </c>
      <c r="BU96" s="1" t="str">
        <f t="shared" si="35"/>
        <v/>
      </c>
      <c r="BV96" s="1" t="str">
        <f t="shared" si="36"/>
        <v/>
      </c>
      <c r="BW96" s="1" t="str">
        <f t="shared" si="37"/>
        <v/>
      </c>
      <c r="BX96" s="1" t="str">
        <f t="shared" si="38"/>
        <v/>
      </c>
      <c r="BY96" s="1" t="str">
        <f t="shared" si="39"/>
        <v/>
      </c>
      <c r="BZ96" s="1" t="str">
        <f t="shared" si="40"/>
        <v/>
      </c>
      <c r="CA96" s="1" t="str">
        <f t="shared" si="41"/>
        <v/>
      </c>
      <c r="CB96" s="1" t="str">
        <f t="shared" si="42"/>
        <v/>
      </c>
      <c r="CC96" s="1" t="str">
        <f t="shared" si="43"/>
        <v/>
      </c>
      <c r="CD96" s="1" t="str">
        <f t="shared" si="44"/>
        <v/>
      </c>
      <c r="CE96" s="1" t="str">
        <f t="shared" si="45"/>
        <v/>
      </c>
      <c r="CF96" s="1">
        <f>COUNTIF(BT96:CE96, "&gt;0")</f>
        <v>0</v>
      </c>
      <c r="CG96" s="1" t="str">
        <f t="shared" ref="CG96:CR96" si="50">IF($CF96=1,BT96,"")</f>
        <v/>
      </c>
      <c r="CH96" s="1" t="str">
        <f t="shared" si="50"/>
        <v/>
      </c>
      <c r="CI96" s="1" t="str">
        <f t="shared" si="50"/>
        <v/>
      </c>
      <c r="CJ96" s="1" t="str">
        <f t="shared" si="50"/>
        <v/>
      </c>
      <c r="CK96" s="1" t="str">
        <f t="shared" si="50"/>
        <v/>
      </c>
      <c r="CL96" s="1" t="str">
        <f t="shared" si="50"/>
        <v/>
      </c>
      <c r="CM96" s="1" t="str">
        <f t="shared" si="50"/>
        <v/>
      </c>
      <c r="CN96" s="1" t="str">
        <f t="shared" si="50"/>
        <v/>
      </c>
      <c r="CO96" s="1" t="str">
        <f t="shared" si="50"/>
        <v/>
      </c>
      <c r="CP96" s="1" t="str">
        <f t="shared" si="50"/>
        <v/>
      </c>
      <c r="CQ96" s="1" t="str">
        <f t="shared" si="50"/>
        <v/>
      </c>
      <c r="CR96" s="1" t="str">
        <f t="shared" si="50"/>
        <v/>
      </c>
      <c r="CS96" s="3">
        <f>SUM(AE96:BO96)</f>
        <v>45</v>
      </c>
    </row>
    <row r="97" spans="1:97" ht="40.5" x14ac:dyDescent="0.15">
      <c r="A97" s="1"/>
      <c r="B97" s="1" t="s">
        <v>186</v>
      </c>
      <c r="C97" s="1" t="s">
        <v>121</v>
      </c>
      <c r="D97" s="1" t="s">
        <v>107</v>
      </c>
      <c r="E97" s="6"/>
      <c r="F97" s="6"/>
      <c r="G97" s="6">
        <v>20</v>
      </c>
      <c r="H97" s="6">
        <v>20</v>
      </c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>
        <v>20</v>
      </c>
      <c r="BB97" s="2">
        <v>20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 t="shared" si="33"/>
        <v>80</v>
      </c>
      <c r="BQ97" s="1">
        <v>57</v>
      </c>
      <c r="BR97" s="17">
        <v>3</v>
      </c>
      <c r="BS97" s="17" t="s">
        <v>269</v>
      </c>
      <c r="BT97" s="1" t="str">
        <f t="shared" si="34"/>
        <v/>
      </c>
      <c r="BU97" s="1" t="str">
        <f t="shared" si="35"/>
        <v/>
      </c>
      <c r="BV97" s="1" t="str">
        <f t="shared" si="36"/>
        <v/>
      </c>
      <c r="BW97" s="1" t="str">
        <f t="shared" si="37"/>
        <v/>
      </c>
      <c r="BX97" s="1" t="str">
        <f t="shared" si="38"/>
        <v/>
      </c>
      <c r="BY97" s="1" t="str">
        <f t="shared" si="39"/>
        <v/>
      </c>
      <c r="BZ97" s="1" t="str">
        <f t="shared" si="40"/>
        <v/>
      </c>
      <c r="CA97" s="1" t="str">
        <f t="shared" si="41"/>
        <v/>
      </c>
      <c r="CB97" s="1" t="str">
        <f t="shared" si="42"/>
        <v/>
      </c>
      <c r="CC97" s="1" t="str">
        <f t="shared" si="43"/>
        <v/>
      </c>
      <c r="CD97" s="1" t="str">
        <f t="shared" si="44"/>
        <v/>
      </c>
      <c r="CE97" s="1" t="str">
        <f t="shared" si="45"/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40.5" x14ac:dyDescent="0.15">
      <c r="A98" s="1"/>
      <c r="B98" s="1" t="s">
        <v>109</v>
      </c>
      <c r="C98" s="1" t="s">
        <v>110</v>
      </c>
      <c r="D98" s="1" t="s">
        <v>111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>
        <v>40</v>
      </c>
      <c r="AW98" s="2">
        <v>40</v>
      </c>
      <c r="AX98" s="2"/>
      <c r="AY98" s="2"/>
      <c r="AZ98" s="2"/>
      <c r="BA98" s="2"/>
      <c r="BB98" s="2">
        <v>40</v>
      </c>
      <c r="BC98" s="14">
        <v>10</v>
      </c>
      <c r="BD98" s="1">
        <v>50</v>
      </c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 t="shared" si="33"/>
        <v>180</v>
      </c>
      <c r="BQ98" s="1">
        <v>67</v>
      </c>
      <c r="BR98" s="17">
        <v>3</v>
      </c>
      <c r="BS98" s="17" t="s">
        <v>308</v>
      </c>
      <c r="BT98" s="1" t="str">
        <f t="shared" si="34"/>
        <v/>
      </c>
      <c r="BU98" s="1" t="str">
        <f t="shared" si="35"/>
        <v/>
      </c>
      <c r="BV98" s="1" t="str">
        <f t="shared" si="36"/>
        <v/>
      </c>
      <c r="BW98" s="1" t="str">
        <f t="shared" si="37"/>
        <v/>
      </c>
      <c r="BX98" s="1" t="str">
        <f t="shared" si="38"/>
        <v/>
      </c>
      <c r="BY98" s="1" t="str">
        <f t="shared" si="39"/>
        <v/>
      </c>
      <c r="BZ98" s="1" t="str">
        <f t="shared" si="40"/>
        <v/>
      </c>
      <c r="CA98" s="1" t="str">
        <f t="shared" si="41"/>
        <v/>
      </c>
      <c r="CB98" s="1" t="str">
        <f t="shared" si="42"/>
        <v/>
      </c>
      <c r="CC98" s="1" t="str">
        <f t="shared" si="43"/>
        <v/>
      </c>
      <c r="CD98" s="1" t="str">
        <f t="shared" si="44"/>
        <v/>
      </c>
      <c r="CE98" s="1" t="str">
        <f t="shared" si="45"/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158</v>
      </c>
      <c r="C99" s="1" t="s">
        <v>153</v>
      </c>
      <c r="D99" s="1" t="s">
        <v>126</v>
      </c>
      <c r="E99" s="6"/>
      <c r="F99" s="6"/>
      <c r="G99" s="6">
        <v>5</v>
      </c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>
        <v>5</v>
      </c>
      <c r="W99" s="28"/>
      <c r="X99" s="28"/>
      <c r="Y99" s="28">
        <v>5</v>
      </c>
      <c r="Z99" s="28"/>
      <c r="AA99" s="28"/>
      <c r="AB99" s="28"/>
      <c r="AC99" s="28">
        <v>5</v>
      </c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 t="shared" si="33"/>
        <v>20</v>
      </c>
      <c r="BQ99" s="1">
        <v>14</v>
      </c>
      <c r="BR99" s="17">
        <v>4</v>
      </c>
      <c r="BS99" s="17" t="s">
        <v>211</v>
      </c>
      <c r="BT99" s="1" t="str">
        <f t="shared" si="34"/>
        <v/>
      </c>
      <c r="BU99" s="1" t="str">
        <f t="shared" si="35"/>
        <v/>
      </c>
      <c r="BV99" s="1" t="str">
        <f t="shared" si="36"/>
        <v/>
      </c>
      <c r="BW99" s="1" t="str">
        <f t="shared" si="37"/>
        <v/>
      </c>
      <c r="BX99" s="1" t="str">
        <f t="shared" si="38"/>
        <v/>
      </c>
      <c r="BY99" s="1" t="str">
        <f t="shared" si="39"/>
        <v/>
      </c>
      <c r="BZ99" s="1" t="str">
        <f t="shared" si="40"/>
        <v/>
      </c>
      <c r="CA99" s="1" t="str">
        <f t="shared" si="41"/>
        <v/>
      </c>
      <c r="CB99" s="1" t="str">
        <f t="shared" si="42"/>
        <v/>
      </c>
      <c r="CC99" s="1" t="str">
        <f t="shared" si="43"/>
        <v/>
      </c>
      <c r="CD99" s="1" t="str">
        <f t="shared" si="44"/>
        <v/>
      </c>
      <c r="CE99" s="1" t="str">
        <f t="shared" si="45"/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155</v>
      </c>
      <c r="C100" s="1" t="s">
        <v>153</v>
      </c>
      <c r="D100" s="1" t="s">
        <v>125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/>
      <c r="U100" s="28"/>
      <c r="V100" s="28">
        <v>10</v>
      </c>
      <c r="W100" s="28"/>
      <c r="X100" s="28"/>
      <c r="Y100" s="28"/>
      <c r="Z100" s="28">
        <v>5</v>
      </c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si="33"/>
        <v>30</v>
      </c>
      <c r="BQ100" s="1">
        <v>18</v>
      </c>
      <c r="BR100" s="17">
        <v>4</v>
      </c>
      <c r="BS100" s="17" t="s">
        <v>294</v>
      </c>
      <c r="BT100" s="1" t="str">
        <f t="shared" si="34"/>
        <v/>
      </c>
      <c r="BU100" s="1" t="str">
        <f t="shared" si="35"/>
        <v/>
      </c>
      <c r="BV100" s="1" t="str">
        <f t="shared" si="36"/>
        <v/>
      </c>
      <c r="BW100" s="1" t="str">
        <f t="shared" si="37"/>
        <v/>
      </c>
      <c r="BX100" s="1" t="str">
        <f t="shared" si="38"/>
        <v/>
      </c>
      <c r="BY100" s="1" t="str">
        <f t="shared" si="39"/>
        <v/>
      </c>
      <c r="BZ100" s="1" t="str">
        <f t="shared" si="40"/>
        <v/>
      </c>
      <c r="CA100" s="1" t="str">
        <f t="shared" si="41"/>
        <v/>
      </c>
      <c r="CB100" s="1" t="str">
        <f t="shared" si="42"/>
        <v/>
      </c>
      <c r="CC100" s="1" t="str">
        <f t="shared" si="43"/>
        <v/>
      </c>
      <c r="CD100" s="1" t="str">
        <f t="shared" si="44"/>
        <v/>
      </c>
      <c r="CE100" s="1" t="str">
        <f t="shared" si="45"/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144</v>
      </c>
      <c r="C101" s="1" t="s">
        <v>142</v>
      </c>
      <c r="D101" s="1" t="s">
        <v>126</v>
      </c>
      <c r="E101" s="6"/>
      <c r="F101" s="6"/>
      <c r="G101" s="6"/>
      <c r="H101" s="6">
        <v>7</v>
      </c>
      <c r="I101" s="6"/>
      <c r="J101" s="6"/>
      <c r="K101" s="6"/>
      <c r="L101" s="6"/>
      <c r="M101" s="6"/>
      <c r="N101" s="6"/>
      <c r="O101" s="6"/>
      <c r="P101" s="28"/>
      <c r="Q101" s="28">
        <v>7</v>
      </c>
      <c r="R101" s="28"/>
      <c r="S101" s="28"/>
      <c r="T101" s="28">
        <v>7</v>
      </c>
      <c r="U101" s="28"/>
      <c r="V101" s="28"/>
      <c r="W101" s="28"/>
      <c r="X101" s="28"/>
      <c r="Y101" s="28"/>
      <c r="Z101" s="28"/>
      <c r="AA101" s="28">
        <v>7</v>
      </c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33"/>
        <v>28</v>
      </c>
      <c r="BQ101" s="1">
        <v>20</v>
      </c>
      <c r="BR101" s="17">
        <v>4</v>
      </c>
      <c r="BS101" s="17" t="s">
        <v>270</v>
      </c>
      <c r="BT101" s="1" t="str">
        <f t="shared" si="34"/>
        <v/>
      </c>
      <c r="BU101" s="1" t="str">
        <f t="shared" si="35"/>
        <v/>
      </c>
      <c r="BV101" s="1" t="str">
        <f t="shared" si="36"/>
        <v/>
      </c>
      <c r="BW101" s="1" t="str">
        <f t="shared" si="37"/>
        <v/>
      </c>
      <c r="BX101" s="1" t="str">
        <f t="shared" si="38"/>
        <v/>
      </c>
      <c r="BY101" s="1" t="str">
        <f t="shared" si="39"/>
        <v/>
      </c>
      <c r="BZ101" s="1" t="str">
        <f t="shared" si="40"/>
        <v/>
      </c>
      <c r="CA101" s="1" t="str">
        <f t="shared" si="41"/>
        <v/>
      </c>
      <c r="CB101" s="1" t="str">
        <f t="shared" si="42"/>
        <v/>
      </c>
      <c r="CC101" s="1" t="str">
        <f t="shared" si="43"/>
        <v/>
      </c>
      <c r="CD101" s="1" t="str">
        <f t="shared" si="44"/>
        <v/>
      </c>
      <c r="CE101" s="1" t="str">
        <f t="shared" si="45"/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135</v>
      </c>
      <c r="C102" s="1" t="s">
        <v>123</v>
      </c>
      <c r="D102" s="1" t="s">
        <v>124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 t="shared" si="33"/>
        <v>35</v>
      </c>
      <c r="BQ102" s="1">
        <v>22</v>
      </c>
      <c r="BR102" s="17">
        <v>4</v>
      </c>
      <c r="BS102" s="17" t="s">
        <v>212</v>
      </c>
      <c r="BT102" s="1" t="str">
        <f t="shared" si="34"/>
        <v/>
      </c>
      <c r="BU102" s="1" t="str">
        <f t="shared" si="35"/>
        <v/>
      </c>
      <c r="BV102" s="1" t="str">
        <f t="shared" si="36"/>
        <v/>
      </c>
      <c r="BW102" s="1" t="str">
        <f t="shared" si="37"/>
        <v/>
      </c>
      <c r="BX102" s="1" t="str">
        <f t="shared" si="38"/>
        <v/>
      </c>
      <c r="BY102" s="1" t="str">
        <f t="shared" si="39"/>
        <v/>
      </c>
      <c r="BZ102" s="1" t="str">
        <f t="shared" si="40"/>
        <v/>
      </c>
      <c r="CA102" s="1" t="str">
        <f t="shared" si="41"/>
        <v/>
      </c>
      <c r="CB102" s="1" t="str">
        <f t="shared" si="42"/>
        <v/>
      </c>
      <c r="CC102" s="1" t="str">
        <f t="shared" si="43"/>
        <v/>
      </c>
      <c r="CD102" s="1" t="str">
        <f t="shared" si="44"/>
        <v/>
      </c>
      <c r="CE102" s="1" t="str">
        <f t="shared" si="45"/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140</v>
      </c>
      <c r="C103" s="1" t="s">
        <v>123</v>
      </c>
      <c r="D103" s="1" t="s">
        <v>124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 t="shared" si="33"/>
        <v>35</v>
      </c>
      <c r="BQ103" s="1">
        <v>22</v>
      </c>
      <c r="BR103" s="17">
        <v>4</v>
      </c>
      <c r="BS103" s="17" t="s">
        <v>271</v>
      </c>
      <c r="BT103" s="1" t="str">
        <f t="shared" si="34"/>
        <v/>
      </c>
      <c r="BU103" s="1" t="str">
        <f t="shared" si="35"/>
        <v/>
      </c>
      <c r="BV103" s="1" t="str">
        <f t="shared" si="36"/>
        <v/>
      </c>
      <c r="BW103" s="1" t="str">
        <f t="shared" si="37"/>
        <v/>
      </c>
      <c r="BX103" s="1" t="str">
        <f t="shared" si="38"/>
        <v/>
      </c>
      <c r="BY103" s="1" t="str">
        <f t="shared" si="39"/>
        <v/>
      </c>
      <c r="BZ103" s="1" t="str">
        <f t="shared" si="40"/>
        <v/>
      </c>
      <c r="CA103" s="1" t="str">
        <f t="shared" si="41"/>
        <v/>
      </c>
      <c r="CB103" s="1" t="str">
        <f t="shared" si="42"/>
        <v/>
      </c>
      <c r="CC103" s="1" t="str">
        <f t="shared" si="43"/>
        <v/>
      </c>
      <c r="CD103" s="1" t="str">
        <f t="shared" si="44"/>
        <v/>
      </c>
      <c r="CE103" s="1" t="str">
        <f t="shared" si="45"/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144</v>
      </c>
      <c r="C104" s="1" t="s">
        <v>142</v>
      </c>
      <c r="D104" s="1" t="s">
        <v>124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 t="shared" si="33"/>
        <v>35</v>
      </c>
      <c r="BQ104" s="1">
        <v>22</v>
      </c>
      <c r="BR104" s="17">
        <v>4</v>
      </c>
      <c r="BS104" s="17" t="s">
        <v>212</v>
      </c>
      <c r="BT104" s="1" t="str">
        <f t="shared" si="34"/>
        <v/>
      </c>
      <c r="BU104" s="1" t="str">
        <f t="shared" si="35"/>
        <v/>
      </c>
      <c r="BV104" s="1" t="str">
        <f t="shared" si="36"/>
        <v/>
      </c>
      <c r="BW104" s="1" t="str">
        <f t="shared" si="37"/>
        <v/>
      </c>
      <c r="BX104" s="1" t="str">
        <f t="shared" si="38"/>
        <v/>
      </c>
      <c r="BY104" s="1" t="str">
        <f t="shared" si="39"/>
        <v/>
      </c>
      <c r="BZ104" s="1" t="str">
        <f t="shared" si="40"/>
        <v/>
      </c>
      <c r="CA104" s="1" t="str">
        <f t="shared" si="41"/>
        <v/>
      </c>
      <c r="CB104" s="1" t="str">
        <f t="shared" si="42"/>
        <v/>
      </c>
      <c r="CC104" s="1" t="str">
        <f t="shared" si="43"/>
        <v/>
      </c>
      <c r="CD104" s="1" t="str">
        <f t="shared" si="44"/>
        <v/>
      </c>
      <c r="CE104" s="1" t="str">
        <f t="shared" si="45"/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148</v>
      </c>
      <c r="C105" s="1" t="s">
        <v>146</v>
      </c>
      <c r="D105" s="1" t="s">
        <v>124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 t="shared" si="33"/>
        <v>35</v>
      </c>
      <c r="BQ105" s="1">
        <v>22</v>
      </c>
      <c r="BR105" s="17">
        <v>4</v>
      </c>
      <c r="BS105" s="17" t="s">
        <v>271</v>
      </c>
      <c r="BT105" s="1" t="str">
        <f t="shared" si="34"/>
        <v/>
      </c>
      <c r="BU105" s="1" t="str">
        <f t="shared" si="35"/>
        <v/>
      </c>
      <c r="BV105" s="1" t="str">
        <f t="shared" si="36"/>
        <v/>
      </c>
      <c r="BW105" s="1" t="str">
        <f t="shared" si="37"/>
        <v/>
      </c>
      <c r="BX105" s="1" t="str">
        <f t="shared" si="38"/>
        <v/>
      </c>
      <c r="BY105" s="1" t="str">
        <f t="shared" si="39"/>
        <v/>
      </c>
      <c r="BZ105" s="1" t="str">
        <f t="shared" si="40"/>
        <v/>
      </c>
      <c r="CA105" s="1" t="str">
        <f t="shared" si="41"/>
        <v/>
      </c>
      <c r="CB105" s="1" t="str">
        <f t="shared" si="42"/>
        <v/>
      </c>
      <c r="CC105" s="1" t="str">
        <f t="shared" si="43"/>
        <v/>
      </c>
      <c r="CD105" s="1" t="str">
        <f t="shared" si="44"/>
        <v/>
      </c>
      <c r="CE105" s="1" t="str">
        <f t="shared" si="45"/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154</v>
      </c>
      <c r="C106" s="1" t="s">
        <v>153</v>
      </c>
      <c r="D106" s="1" t="s">
        <v>124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>
        <v>10</v>
      </c>
      <c r="Q106" s="28"/>
      <c r="R106" s="28"/>
      <c r="S106" s="28">
        <v>10</v>
      </c>
      <c r="T106" s="28"/>
      <c r="U106" s="28"/>
      <c r="V106" s="28"/>
      <c r="W106" s="28">
        <v>5</v>
      </c>
      <c r="X106" s="28"/>
      <c r="Y106" s="28"/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 t="shared" si="33"/>
        <v>35</v>
      </c>
      <c r="BQ106" s="1">
        <v>22</v>
      </c>
      <c r="BR106" s="17">
        <v>4</v>
      </c>
      <c r="BS106" s="17" t="s">
        <v>212</v>
      </c>
      <c r="BT106" s="1" t="str">
        <f t="shared" si="34"/>
        <v/>
      </c>
      <c r="BU106" s="1" t="str">
        <f t="shared" si="35"/>
        <v/>
      </c>
      <c r="BV106" s="1" t="str">
        <f t="shared" si="36"/>
        <v/>
      </c>
      <c r="BW106" s="1" t="str">
        <f t="shared" si="37"/>
        <v/>
      </c>
      <c r="BX106" s="1" t="str">
        <f t="shared" si="38"/>
        <v/>
      </c>
      <c r="BY106" s="1" t="str">
        <f t="shared" si="39"/>
        <v/>
      </c>
      <c r="BZ106" s="1" t="str">
        <f t="shared" si="40"/>
        <v/>
      </c>
      <c r="CA106" s="1" t="str">
        <f t="shared" si="41"/>
        <v/>
      </c>
      <c r="CB106" s="1" t="str">
        <f t="shared" si="42"/>
        <v/>
      </c>
      <c r="CC106" s="1" t="str">
        <f t="shared" si="43"/>
        <v/>
      </c>
      <c r="CD106" s="1" t="str">
        <f t="shared" si="44"/>
        <v/>
      </c>
      <c r="CE106" s="1" t="str">
        <f t="shared" si="45"/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161</v>
      </c>
      <c r="C107" s="1" t="s">
        <v>121</v>
      </c>
      <c r="D107" s="1" t="s">
        <v>162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>
        <v>5</v>
      </c>
      <c r="X107" s="28"/>
      <c r="Y107" s="28"/>
      <c r="Z107" s="28"/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 t="shared" si="33"/>
        <v>35</v>
      </c>
      <c r="BQ107" s="1">
        <v>22</v>
      </c>
      <c r="BR107" s="17">
        <v>4</v>
      </c>
      <c r="BS107" s="17" t="s">
        <v>212</v>
      </c>
      <c r="BT107" s="1" t="str">
        <f t="shared" si="34"/>
        <v/>
      </c>
      <c r="BU107" s="1" t="str">
        <f t="shared" si="35"/>
        <v/>
      </c>
      <c r="BV107" s="1" t="str">
        <f t="shared" si="36"/>
        <v/>
      </c>
      <c r="BW107" s="1" t="str">
        <f t="shared" si="37"/>
        <v/>
      </c>
      <c r="BX107" s="1" t="str">
        <f t="shared" si="38"/>
        <v/>
      </c>
      <c r="BY107" s="1" t="str">
        <f t="shared" si="39"/>
        <v/>
      </c>
      <c r="BZ107" s="1" t="str">
        <f t="shared" si="40"/>
        <v/>
      </c>
      <c r="CA107" s="1" t="str">
        <f t="shared" si="41"/>
        <v/>
      </c>
      <c r="CB107" s="1" t="str">
        <f t="shared" si="42"/>
        <v/>
      </c>
      <c r="CC107" s="1" t="str">
        <f t="shared" si="43"/>
        <v/>
      </c>
      <c r="CD107" s="1" t="str">
        <f t="shared" si="44"/>
        <v/>
      </c>
      <c r="CE107" s="1" t="str">
        <f t="shared" si="45"/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167</v>
      </c>
      <c r="C108" s="1" t="s">
        <v>123</v>
      </c>
      <c r="D108" s="1" t="s">
        <v>125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 t="shared" si="33"/>
        <v>35</v>
      </c>
      <c r="BQ108" s="1">
        <v>23</v>
      </c>
      <c r="BR108" s="17">
        <v>4</v>
      </c>
      <c r="BS108" s="17" t="s">
        <v>272</v>
      </c>
      <c r="BT108" s="1" t="str">
        <f t="shared" si="34"/>
        <v/>
      </c>
      <c r="BU108" s="1" t="str">
        <f t="shared" si="35"/>
        <v/>
      </c>
      <c r="BV108" s="1" t="str">
        <f t="shared" si="36"/>
        <v/>
      </c>
      <c r="BW108" s="1" t="str">
        <f t="shared" si="37"/>
        <v/>
      </c>
      <c r="BX108" s="1" t="str">
        <f t="shared" si="38"/>
        <v/>
      </c>
      <c r="BY108" s="1" t="str">
        <f t="shared" si="39"/>
        <v/>
      </c>
      <c r="BZ108" s="1" t="str">
        <f t="shared" si="40"/>
        <v/>
      </c>
      <c r="CA108" s="1" t="str">
        <f t="shared" si="41"/>
        <v/>
      </c>
      <c r="CB108" s="1" t="str">
        <f t="shared" si="42"/>
        <v/>
      </c>
      <c r="CC108" s="1" t="str">
        <f t="shared" si="43"/>
        <v/>
      </c>
      <c r="CD108" s="1" t="str">
        <f t="shared" si="44"/>
        <v/>
      </c>
      <c r="CE108" s="1" t="str">
        <f t="shared" si="45"/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149</v>
      </c>
      <c r="C109" s="1" t="s">
        <v>151</v>
      </c>
      <c r="D109" s="1" t="s">
        <v>125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 t="shared" si="33"/>
        <v>35</v>
      </c>
      <c r="BQ109" s="1">
        <v>23</v>
      </c>
      <c r="BR109" s="17">
        <v>4</v>
      </c>
      <c r="BS109" s="17" t="s">
        <v>272</v>
      </c>
      <c r="BT109" s="1" t="str">
        <f t="shared" si="34"/>
        <v/>
      </c>
      <c r="BU109" s="1" t="str">
        <f t="shared" si="35"/>
        <v/>
      </c>
      <c r="BV109" s="1" t="str">
        <f t="shared" si="36"/>
        <v/>
      </c>
      <c r="BW109" s="1" t="str">
        <f t="shared" si="37"/>
        <v/>
      </c>
      <c r="BX109" s="1" t="str">
        <f t="shared" si="38"/>
        <v/>
      </c>
      <c r="BY109" s="1" t="str">
        <f t="shared" si="39"/>
        <v/>
      </c>
      <c r="BZ109" s="1" t="str">
        <f t="shared" si="40"/>
        <v/>
      </c>
      <c r="CA109" s="1" t="str">
        <f t="shared" si="41"/>
        <v/>
      </c>
      <c r="CB109" s="1" t="str">
        <f t="shared" si="42"/>
        <v/>
      </c>
      <c r="CC109" s="1" t="str">
        <f t="shared" si="43"/>
        <v/>
      </c>
      <c r="CD109" s="1" t="str">
        <f t="shared" si="44"/>
        <v/>
      </c>
      <c r="CE109" s="1" t="str">
        <f t="shared" si="45"/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158</v>
      </c>
      <c r="C110" s="1" t="s">
        <v>153</v>
      </c>
      <c r="D110" s="1" t="s">
        <v>125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 t="shared" si="33"/>
        <v>35</v>
      </c>
      <c r="BQ110" s="1">
        <v>23</v>
      </c>
      <c r="BR110" s="17">
        <v>4</v>
      </c>
      <c r="BS110" s="17" t="s">
        <v>213</v>
      </c>
      <c r="BT110" s="1" t="str">
        <f t="shared" si="34"/>
        <v/>
      </c>
      <c r="BU110" s="1" t="str">
        <f t="shared" si="35"/>
        <v/>
      </c>
      <c r="BV110" s="1" t="str">
        <f t="shared" si="36"/>
        <v/>
      </c>
      <c r="BW110" s="1" t="str">
        <f t="shared" si="37"/>
        <v/>
      </c>
      <c r="BX110" s="1" t="str">
        <f t="shared" si="38"/>
        <v/>
      </c>
      <c r="BY110" s="1" t="str">
        <f t="shared" si="39"/>
        <v/>
      </c>
      <c r="BZ110" s="1" t="str">
        <f t="shared" si="40"/>
        <v/>
      </c>
      <c r="CA110" s="1" t="str">
        <f t="shared" si="41"/>
        <v/>
      </c>
      <c r="CB110" s="1" t="str">
        <f t="shared" si="42"/>
        <v/>
      </c>
      <c r="CC110" s="1" t="str">
        <f t="shared" si="43"/>
        <v/>
      </c>
      <c r="CD110" s="1" t="str">
        <f t="shared" si="44"/>
        <v/>
      </c>
      <c r="CE110" s="1" t="str">
        <f t="shared" si="45"/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159</v>
      </c>
      <c r="C111" s="1" t="s">
        <v>153</v>
      </c>
      <c r="D111" s="1" t="s">
        <v>125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>
        <v>5</v>
      </c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 t="shared" si="33"/>
        <v>35</v>
      </c>
      <c r="BQ111" s="1">
        <v>23</v>
      </c>
      <c r="BR111" s="17">
        <v>4</v>
      </c>
      <c r="BS111" s="17" t="s">
        <v>213</v>
      </c>
      <c r="BT111" s="1" t="str">
        <f t="shared" si="34"/>
        <v/>
      </c>
      <c r="BU111" s="1" t="str">
        <f t="shared" si="35"/>
        <v/>
      </c>
      <c r="BV111" s="1" t="str">
        <f t="shared" si="36"/>
        <v/>
      </c>
      <c r="BW111" s="1" t="str">
        <f t="shared" si="37"/>
        <v/>
      </c>
      <c r="BX111" s="1" t="str">
        <f t="shared" si="38"/>
        <v/>
      </c>
      <c r="BY111" s="1" t="str">
        <f t="shared" si="39"/>
        <v/>
      </c>
      <c r="BZ111" s="1" t="str">
        <f t="shared" si="40"/>
        <v/>
      </c>
      <c r="CA111" s="1" t="str">
        <f t="shared" si="41"/>
        <v/>
      </c>
      <c r="CB111" s="1" t="str">
        <f t="shared" si="42"/>
        <v/>
      </c>
      <c r="CC111" s="1" t="str">
        <f t="shared" si="43"/>
        <v/>
      </c>
      <c r="CD111" s="1" t="str">
        <f t="shared" si="44"/>
        <v/>
      </c>
      <c r="CE111" s="1" t="str">
        <f t="shared" si="45"/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150</v>
      </c>
      <c r="C112" s="1" t="s">
        <v>151</v>
      </c>
      <c r="D112" s="1" t="s">
        <v>124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/>
      <c r="W112" s="28"/>
      <c r="X112" s="28"/>
      <c r="Y112" s="28"/>
      <c r="Z112" s="28">
        <v>5</v>
      </c>
      <c r="AA112" s="28"/>
      <c r="AB112" s="28">
        <v>10</v>
      </c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 t="shared" si="33"/>
        <v>35</v>
      </c>
      <c r="BQ112" s="1">
        <v>23</v>
      </c>
      <c r="BR112" s="17">
        <v>4</v>
      </c>
      <c r="BS112" s="17" t="s">
        <v>273</v>
      </c>
      <c r="BT112" s="1" t="str">
        <f t="shared" si="34"/>
        <v/>
      </c>
      <c r="BU112" s="1" t="str">
        <f t="shared" si="35"/>
        <v/>
      </c>
      <c r="BV112" s="1" t="str">
        <f t="shared" si="36"/>
        <v/>
      </c>
      <c r="BW112" s="1" t="str">
        <f t="shared" si="37"/>
        <v/>
      </c>
      <c r="BX112" s="1" t="str">
        <f t="shared" si="38"/>
        <v/>
      </c>
      <c r="BY112" s="1" t="str">
        <f t="shared" si="39"/>
        <v/>
      </c>
      <c r="BZ112" s="1" t="str">
        <f t="shared" si="40"/>
        <v/>
      </c>
      <c r="CA112" s="1" t="str">
        <f t="shared" si="41"/>
        <v/>
      </c>
      <c r="CB112" s="1" t="str">
        <f t="shared" si="42"/>
        <v/>
      </c>
      <c r="CC112" s="1" t="str">
        <f t="shared" si="43"/>
        <v/>
      </c>
      <c r="CD112" s="1" t="str">
        <f t="shared" si="44"/>
        <v/>
      </c>
      <c r="CE112" s="1" t="str">
        <f t="shared" si="45"/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141</v>
      </c>
      <c r="C113" s="1" t="s">
        <v>142</v>
      </c>
      <c r="D113" s="1" t="s">
        <v>125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>
        <v>5</v>
      </c>
      <c r="R113" s="28"/>
      <c r="S113" s="28"/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>
        <v>10</v>
      </c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 t="shared" si="33"/>
        <v>35</v>
      </c>
      <c r="BQ113" s="1">
        <v>24</v>
      </c>
      <c r="BR113" s="17">
        <v>4</v>
      </c>
      <c r="BS113" s="17" t="s">
        <v>274</v>
      </c>
      <c r="BT113" s="1" t="str">
        <f t="shared" si="34"/>
        <v/>
      </c>
      <c r="BU113" s="1" t="str">
        <f t="shared" si="35"/>
        <v/>
      </c>
      <c r="BV113" s="1" t="str">
        <f t="shared" si="36"/>
        <v/>
      </c>
      <c r="BW113" s="1" t="str">
        <f t="shared" si="37"/>
        <v/>
      </c>
      <c r="BX113" s="1" t="str">
        <f t="shared" si="38"/>
        <v/>
      </c>
      <c r="BY113" s="1" t="str">
        <f t="shared" si="39"/>
        <v/>
      </c>
      <c r="BZ113" s="1" t="str">
        <f t="shared" si="40"/>
        <v/>
      </c>
      <c r="CA113" s="1" t="str">
        <f t="shared" si="41"/>
        <v/>
      </c>
      <c r="CB113" s="1" t="str">
        <f t="shared" si="42"/>
        <v/>
      </c>
      <c r="CC113" s="1" t="str">
        <f t="shared" si="43"/>
        <v/>
      </c>
      <c r="CD113" s="1" t="str">
        <f t="shared" si="44"/>
        <v/>
      </c>
      <c r="CE113" s="1" t="str">
        <f t="shared" si="45"/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147</v>
      </c>
      <c r="C114" s="1" t="s">
        <v>146</v>
      </c>
      <c r="D114" s="1" t="s">
        <v>125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>
        <v>5</v>
      </c>
      <c r="R114" s="28"/>
      <c r="S114" s="28"/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>
        <v>10</v>
      </c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 t="shared" si="33"/>
        <v>35</v>
      </c>
      <c r="BQ114" s="1">
        <v>24</v>
      </c>
      <c r="BR114" s="17">
        <v>4</v>
      </c>
      <c r="BS114" s="17" t="s">
        <v>214</v>
      </c>
      <c r="BT114" s="1" t="str">
        <f t="shared" si="34"/>
        <v/>
      </c>
      <c r="BU114" s="1" t="str">
        <f t="shared" si="35"/>
        <v/>
      </c>
      <c r="BV114" s="1" t="str">
        <f t="shared" si="36"/>
        <v/>
      </c>
      <c r="BW114" s="1" t="str">
        <f t="shared" si="37"/>
        <v/>
      </c>
      <c r="BX114" s="1" t="str">
        <f t="shared" si="38"/>
        <v/>
      </c>
      <c r="BY114" s="1" t="str">
        <f t="shared" si="39"/>
        <v/>
      </c>
      <c r="BZ114" s="1" t="str">
        <f t="shared" si="40"/>
        <v/>
      </c>
      <c r="CA114" s="1" t="str">
        <f t="shared" si="41"/>
        <v/>
      </c>
      <c r="CB114" s="1" t="str">
        <f t="shared" si="42"/>
        <v/>
      </c>
      <c r="CC114" s="1" t="str">
        <f t="shared" si="43"/>
        <v/>
      </c>
      <c r="CD114" s="1" t="str">
        <f t="shared" si="44"/>
        <v/>
      </c>
      <c r="CE114" s="1" t="str">
        <f t="shared" si="45"/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140</v>
      </c>
      <c r="C115" s="1" t="s">
        <v>123</v>
      </c>
      <c r="D115" s="1" t="s">
        <v>126</v>
      </c>
      <c r="E115" s="6"/>
      <c r="F115" s="6"/>
      <c r="G115" s="6"/>
      <c r="H115" s="6">
        <v>10</v>
      </c>
      <c r="I115" s="6"/>
      <c r="J115" s="6"/>
      <c r="K115" s="6"/>
      <c r="L115" s="6"/>
      <c r="M115" s="6"/>
      <c r="N115" s="6"/>
      <c r="O115" s="6"/>
      <c r="P115" s="28"/>
      <c r="Q115" s="28"/>
      <c r="R115" s="28">
        <v>10</v>
      </c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>
        <v>10</v>
      </c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 t="shared" si="33"/>
        <v>40</v>
      </c>
      <c r="BQ115" s="1">
        <v>28</v>
      </c>
      <c r="BR115" s="17">
        <v>4</v>
      </c>
      <c r="BS115" s="17" t="s">
        <v>309</v>
      </c>
      <c r="BT115" s="1" t="str">
        <f t="shared" si="34"/>
        <v/>
      </c>
      <c r="BU115" s="1" t="str">
        <f t="shared" si="35"/>
        <v/>
      </c>
      <c r="BV115" s="1" t="str">
        <f t="shared" si="36"/>
        <v/>
      </c>
      <c r="BW115" s="1" t="str">
        <f t="shared" si="37"/>
        <v/>
      </c>
      <c r="BX115" s="1" t="str">
        <f t="shared" si="38"/>
        <v/>
      </c>
      <c r="BY115" s="1" t="str">
        <f t="shared" si="39"/>
        <v/>
      </c>
      <c r="BZ115" s="1" t="str">
        <f t="shared" si="40"/>
        <v/>
      </c>
      <c r="CA115" s="1" t="str">
        <f t="shared" si="41"/>
        <v/>
      </c>
      <c r="CB115" s="1" t="str">
        <f t="shared" si="42"/>
        <v/>
      </c>
      <c r="CC115" s="1" t="str">
        <f t="shared" si="43"/>
        <v/>
      </c>
      <c r="CD115" s="1" t="str">
        <f t="shared" si="44"/>
        <v/>
      </c>
      <c r="CE115" s="1" t="str">
        <f t="shared" si="45"/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135</v>
      </c>
      <c r="C116" s="1" t="s">
        <v>123</v>
      </c>
      <c r="D116" s="1" t="s">
        <v>126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>
        <v>10</v>
      </c>
      <c r="P116" s="28"/>
      <c r="Q116" s="28"/>
      <c r="R116" s="28">
        <v>10</v>
      </c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>
        <v>10</v>
      </c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 t="shared" si="33"/>
        <v>40</v>
      </c>
      <c r="BQ116" s="1">
        <v>29</v>
      </c>
      <c r="BR116" s="17">
        <v>4</v>
      </c>
      <c r="BS116" s="17" t="s">
        <v>275</v>
      </c>
      <c r="BT116" s="1" t="str">
        <f t="shared" si="34"/>
        <v/>
      </c>
      <c r="BU116" s="1" t="str">
        <f t="shared" si="35"/>
        <v/>
      </c>
      <c r="BV116" s="1" t="str">
        <f t="shared" si="36"/>
        <v/>
      </c>
      <c r="BW116" s="1" t="str">
        <f t="shared" si="37"/>
        <v/>
      </c>
      <c r="BX116" s="1" t="str">
        <f t="shared" si="38"/>
        <v/>
      </c>
      <c r="BY116" s="1" t="str">
        <f t="shared" si="39"/>
        <v/>
      </c>
      <c r="BZ116" s="1" t="str">
        <f t="shared" si="40"/>
        <v/>
      </c>
      <c r="CA116" s="1" t="str">
        <f t="shared" si="41"/>
        <v/>
      </c>
      <c r="CB116" s="1" t="str">
        <f t="shared" si="42"/>
        <v/>
      </c>
      <c r="CC116" s="1" t="str">
        <f t="shared" si="43"/>
        <v/>
      </c>
      <c r="CD116" s="1" t="str">
        <f t="shared" si="44"/>
        <v/>
      </c>
      <c r="CE116" s="1" t="str">
        <f t="shared" si="45"/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141</v>
      </c>
      <c r="C117" s="1" t="s">
        <v>142</v>
      </c>
      <c r="D117" s="1" t="s">
        <v>124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 t="shared" ref="BP117:BP148" si="51">SUM(E117:BO117)</f>
        <v>40</v>
      </c>
      <c r="BQ117" s="1">
        <v>35</v>
      </c>
      <c r="BR117" s="17">
        <v>4</v>
      </c>
      <c r="BS117" s="17" t="s">
        <v>215</v>
      </c>
      <c r="BT117" s="1" t="str">
        <f t="shared" ref="BT117:BT132" si="52">IF(AQ117&gt;AQ$133, AQ117-AQ$133,"")</f>
        <v/>
      </c>
      <c r="BU117" s="1" t="str">
        <f t="shared" ref="BU117:BU132" si="53">IF(AR117&gt;AR$133, AR117-AR$133,"")</f>
        <v/>
      </c>
      <c r="BV117" s="1" t="str">
        <f t="shared" ref="BV117:BV132" si="54">IF(AS117&gt;AS$133, AS117-AS$133,"")</f>
        <v/>
      </c>
      <c r="BW117" s="1" t="str">
        <f t="shared" ref="BW117:BW132" si="55">IF(AT117&gt;AT$133, AT117-AT$133,"")</f>
        <v/>
      </c>
      <c r="BX117" s="1" t="str">
        <f t="shared" ref="BX117:BX132" si="56">IF(AU117&gt;AU$133, AU117-AU$133,"")</f>
        <v/>
      </c>
      <c r="BY117" s="1" t="str">
        <f t="shared" ref="BY117:BY132" si="57">IF(AV117&gt;AV$133, AV117-AV$133,"")</f>
        <v/>
      </c>
      <c r="BZ117" s="1" t="str">
        <f t="shared" ref="BZ117:BZ132" si="58">IF(AW117&gt;AW$133, AW117-AW$133,"")</f>
        <v/>
      </c>
      <c r="CA117" s="1" t="str">
        <f t="shared" ref="CA117:CA132" si="59">IF(AX117&gt;AX$133, AX117-AX$133,"")</f>
        <v/>
      </c>
      <c r="CB117" s="1" t="str">
        <f t="shared" ref="CB117:CB132" si="60">IF(AY117&gt;AY$133, AY117-AY$133,"")</f>
        <v/>
      </c>
      <c r="CC117" s="1" t="str">
        <f t="shared" ref="CC117:CC132" si="61">IF(AZ117&gt;AZ$133, AZ117-AZ$133,"")</f>
        <v/>
      </c>
      <c r="CD117" s="1" t="str">
        <f t="shared" ref="CD117:CD132" si="62">IF(BA117&gt;BA$133, BA117-BA$133,"")</f>
        <v/>
      </c>
      <c r="CE117" s="1" t="str">
        <f t="shared" ref="CE117:CE132" si="63">IF(BB117&gt;BB$133, BB117-BB$133,"")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147</v>
      </c>
      <c r="C118" s="1" t="s">
        <v>146</v>
      </c>
      <c r="D118" s="1" t="s">
        <v>124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 t="shared" si="51"/>
        <v>40</v>
      </c>
      <c r="BQ118" s="1">
        <v>35</v>
      </c>
      <c r="BR118" s="17">
        <v>4</v>
      </c>
      <c r="BS118" s="17" t="s">
        <v>276</v>
      </c>
      <c r="BT118" s="1" t="str">
        <f t="shared" si="52"/>
        <v/>
      </c>
      <c r="BU118" s="1" t="str">
        <f t="shared" si="53"/>
        <v/>
      </c>
      <c r="BV118" s="1" t="str">
        <f t="shared" si="54"/>
        <v/>
      </c>
      <c r="BW118" s="1" t="str">
        <f t="shared" si="55"/>
        <v/>
      </c>
      <c r="BX118" s="1" t="str">
        <f t="shared" si="56"/>
        <v/>
      </c>
      <c r="BY118" s="1" t="str">
        <f t="shared" si="57"/>
        <v/>
      </c>
      <c r="BZ118" s="1" t="str">
        <f t="shared" si="58"/>
        <v/>
      </c>
      <c r="CA118" s="1" t="str">
        <f t="shared" si="59"/>
        <v/>
      </c>
      <c r="CB118" s="1" t="str">
        <f t="shared" si="60"/>
        <v/>
      </c>
      <c r="CC118" s="1" t="str">
        <f t="shared" si="61"/>
        <v/>
      </c>
      <c r="CD118" s="1" t="str">
        <f t="shared" si="62"/>
        <v/>
      </c>
      <c r="CE118" s="1" t="str">
        <f t="shared" si="63"/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149</v>
      </c>
      <c r="C119" s="1" t="s">
        <v>151</v>
      </c>
      <c r="D119" s="1" t="s">
        <v>124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 t="shared" si="51"/>
        <v>40</v>
      </c>
      <c r="BQ119" s="1">
        <v>35</v>
      </c>
      <c r="BR119" s="17">
        <v>4</v>
      </c>
      <c r="BS119" s="17" t="s">
        <v>276</v>
      </c>
      <c r="BT119" s="1" t="str">
        <f t="shared" si="52"/>
        <v/>
      </c>
      <c r="BU119" s="1" t="str">
        <f t="shared" si="53"/>
        <v/>
      </c>
      <c r="BV119" s="1" t="str">
        <f t="shared" si="54"/>
        <v/>
      </c>
      <c r="BW119" s="1" t="str">
        <f t="shared" si="55"/>
        <v/>
      </c>
      <c r="BX119" s="1" t="str">
        <f t="shared" si="56"/>
        <v/>
      </c>
      <c r="BY119" s="1" t="str">
        <f t="shared" si="57"/>
        <v/>
      </c>
      <c r="BZ119" s="1" t="str">
        <f t="shared" si="58"/>
        <v/>
      </c>
      <c r="CA119" s="1" t="str">
        <f t="shared" si="59"/>
        <v/>
      </c>
      <c r="CB119" s="1" t="str">
        <f t="shared" si="60"/>
        <v/>
      </c>
      <c r="CC119" s="1" t="str">
        <f t="shared" si="61"/>
        <v/>
      </c>
      <c r="CD119" s="1" t="str">
        <f t="shared" si="62"/>
        <v/>
      </c>
      <c r="CE119" s="1" t="str">
        <f t="shared" si="63"/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/>
      <c r="B120" s="1" t="s">
        <v>155</v>
      </c>
      <c r="C120" s="1" t="s">
        <v>153</v>
      </c>
      <c r="D120" s="1" t="s">
        <v>124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>
        <v>10</v>
      </c>
      <c r="Q120" s="28"/>
      <c r="R120" s="28"/>
      <c r="S120" s="28">
        <v>10</v>
      </c>
      <c r="T120" s="28"/>
      <c r="U120" s="28"/>
      <c r="V120" s="28">
        <v>10</v>
      </c>
      <c r="W120" s="28"/>
      <c r="X120" s="28"/>
      <c r="Y120" s="28">
        <v>10</v>
      </c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 t="shared" si="51"/>
        <v>40</v>
      </c>
      <c r="BQ120" s="1">
        <v>35</v>
      </c>
      <c r="BR120" s="17">
        <v>4</v>
      </c>
      <c r="BS120" s="17" t="s">
        <v>276</v>
      </c>
      <c r="BT120" s="1" t="str">
        <f t="shared" si="52"/>
        <v/>
      </c>
      <c r="BU120" s="1" t="str">
        <f t="shared" si="53"/>
        <v/>
      </c>
      <c r="BV120" s="1" t="str">
        <f t="shared" si="54"/>
        <v/>
      </c>
      <c r="BW120" s="1" t="str">
        <f t="shared" si="55"/>
        <v/>
      </c>
      <c r="BX120" s="1" t="str">
        <f t="shared" si="56"/>
        <v/>
      </c>
      <c r="BY120" s="1" t="str">
        <f t="shared" si="57"/>
        <v/>
      </c>
      <c r="BZ120" s="1" t="str">
        <f t="shared" si="58"/>
        <v/>
      </c>
      <c r="CA120" s="1" t="str">
        <f t="shared" si="59"/>
        <v/>
      </c>
      <c r="CB120" s="1" t="str">
        <f t="shared" si="60"/>
        <v/>
      </c>
      <c r="CC120" s="1" t="str">
        <f t="shared" si="61"/>
        <v/>
      </c>
      <c r="CD120" s="1" t="str">
        <f t="shared" si="62"/>
        <v/>
      </c>
      <c r="CE120" s="1" t="str">
        <f t="shared" si="63"/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/>
      <c r="B121" s="1" t="s">
        <v>158</v>
      </c>
      <c r="C121" s="1" t="s">
        <v>153</v>
      </c>
      <c r="D121" s="1" t="s">
        <v>124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>
        <v>10</v>
      </c>
      <c r="Q121" s="28"/>
      <c r="R121" s="28"/>
      <c r="S121" s="28">
        <v>10</v>
      </c>
      <c r="T121" s="28"/>
      <c r="U121" s="28"/>
      <c r="V121" s="28">
        <v>10</v>
      </c>
      <c r="W121" s="28"/>
      <c r="X121" s="28"/>
      <c r="Y121" s="28">
        <v>10</v>
      </c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 t="shared" si="51"/>
        <v>40</v>
      </c>
      <c r="BQ121" s="1">
        <v>35</v>
      </c>
      <c r="BR121" s="17">
        <v>4</v>
      </c>
      <c r="BS121" s="17" t="s">
        <v>276</v>
      </c>
      <c r="BT121" s="1" t="str">
        <f t="shared" si="52"/>
        <v/>
      </c>
      <c r="BU121" s="1" t="str">
        <f t="shared" si="53"/>
        <v/>
      </c>
      <c r="BV121" s="1" t="str">
        <f t="shared" si="54"/>
        <v/>
      </c>
      <c r="BW121" s="1" t="str">
        <f t="shared" si="55"/>
        <v/>
      </c>
      <c r="BX121" s="1" t="str">
        <f t="shared" si="56"/>
        <v/>
      </c>
      <c r="BY121" s="1" t="str">
        <f t="shared" si="57"/>
        <v/>
      </c>
      <c r="BZ121" s="1" t="str">
        <f t="shared" si="58"/>
        <v/>
      </c>
      <c r="CA121" s="1" t="str">
        <f t="shared" si="59"/>
        <v/>
      </c>
      <c r="CB121" s="1" t="str">
        <f t="shared" si="60"/>
        <v/>
      </c>
      <c r="CC121" s="1" t="str">
        <f t="shared" si="61"/>
        <v/>
      </c>
      <c r="CD121" s="1" t="str">
        <f t="shared" si="62"/>
        <v/>
      </c>
      <c r="CE121" s="1" t="str">
        <f t="shared" si="63"/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/>
      <c r="B122" s="1" t="s">
        <v>159</v>
      </c>
      <c r="C122" s="1" t="s">
        <v>153</v>
      </c>
      <c r="D122" s="1" t="s">
        <v>124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>
        <v>10</v>
      </c>
      <c r="Q122" s="28"/>
      <c r="R122" s="28"/>
      <c r="S122" s="28">
        <v>10</v>
      </c>
      <c r="T122" s="28"/>
      <c r="U122" s="28"/>
      <c r="V122" s="28">
        <v>10</v>
      </c>
      <c r="W122" s="28"/>
      <c r="X122" s="28"/>
      <c r="Y122" s="28">
        <v>10</v>
      </c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 t="shared" si="51"/>
        <v>40</v>
      </c>
      <c r="BQ122" s="1">
        <v>35</v>
      </c>
      <c r="BR122" s="17">
        <v>4</v>
      </c>
      <c r="BS122" s="17" t="s">
        <v>215</v>
      </c>
      <c r="BT122" s="1" t="str">
        <f t="shared" si="52"/>
        <v/>
      </c>
      <c r="BU122" s="1" t="str">
        <f t="shared" si="53"/>
        <v/>
      </c>
      <c r="BV122" s="1" t="str">
        <f t="shared" si="54"/>
        <v/>
      </c>
      <c r="BW122" s="1" t="str">
        <f t="shared" si="55"/>
        <v/>
      </c>
      <c r="BX122" s="1" t="str">
        <f t="shared" si="56"/>
        <v/>
      </c>
      <c r="BY122" s="1" t="str">
        <f t="shared" si="57"/>
        <v/>
      </c>
      <c r="BZ122" s="1" t="str">
        <f t="shared" si="58"/>
        <v/>
      </c>
      <c r="CA122" s="1" t="str">
        <f t="shared" si="59"/>
        <v/>
      </c>
      <c r="CB122" s="1" t="str">
        <f t="shared" si="60"/>
        <v/>
      </c>
      <c r="CC122" s="1" t="str">
        <f t="shared" si="61"/>
        <v/>
      </c>
      <c r="CD122" s="1" t="str">
        <f t="shared" si="62"/>
        <v/>
      </c>
      <c r="CE122" s="1" t="str">
        <f t="shared" si="63"/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/>
      <c r="B123" s="1" t="s">
        <v>183</v>
      </c>
      <c r="C123" s="1" t="s">
        <v>146</v>
      </c>
      <c r="D123" s="1" t="s">
        <v>125</v>
      </c>
      <c r="E123" s="6">
        <v>15</v>
      </c>
      <c r="F123" s="6"/>
      <c r="G123" s="6"/>
      <c r="H123" s="6"/>
      <c r="I123" s="6"/>
      <c r="J123" s="6"/>
      <c r="K123" s="6"/>
      <c r="L123" s="6"/>
      <c r="M123" s="6">
        <v>15</v>
      </c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>
        <v>15</v>
      </c>
      <c r="AX123" s="2"/>
      <c r="AY123" s="2"/>
      <c r="AZ123" s="2"/>
      <c r="BA123" s="2">
        <v>15</v>
      </c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 t="shared" si="51"/>
        <v>60</v>
      </c>
      <c r="BQ123" s="1">
        <v>36</v>
      </c>
      <c r="BR123" s="17">
        <v>4</v>
      </c>
      <c r="BS123" s="17" t="s">
        <v>310</v>
      </c>
      <c r="BT123" s="1" t="str">
        <f t="shared" si="52"/>
        <v/>
      </c>
      <c r="BU123" s="1" t="str">
        <f t="shared" si="53"/>
        <v/>
      </c>
      <c r="BV123" s="1" t="str">
        <f t="shared" si="54"/>
        <v/>
      </c>
      <c r="BW123" s="1" t="str">
        <f t="shared" si="55"/>
        <v/>
      </c>
      <c r="BX123" s="1" t="str">
        <f t="shared" si="56"/>
        <v/>
      </c>
      <c r="BY123" s="1" t="str">
        <f t="shared" si="57"/>
        <v/>
      </c>
      <c r="BZ123" s="1" t="str">
        <f t="shared" si="58"/>
        <v/>
      </c>
      <c r="CA123" s="1" t="str">
        <f t="shared" si="59"/>
        <v/>
      </c>
      <c r="CB123" s="1" t="str">
        <f t="shared" si="60"/>
        <v/>
      </c>
      <c r="CC123" s="1" t="str">
        <f t="shared" si="61"/>
        <v/>
      </c>
      <c r="CD123" s="1" t="str">
        <f t="shared" si="62"/>
        <v/>
      </c>
      <c r="CE123" s="1" t="str">
        <f t="shared" si="63"/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3"/>
    </row>
    <row r="124" spans="1:97" ht="54" x14ac:dyDescent="0.15">
      <c r="A124" s="1"/>
      <c r="B124" s="1" t="s">
        <v>165</v>
      </c>
      <c r="C124" s="1" t="s">
        <v>106</v>
      </c>
      <c r="D124" s="1" t="s">
        <v>108</v>
      </c>
      <c r="E124" s="6">
        <v>10</v>
      </c>
      <c r="F124" s="6"/>
      <c r="G124" s="6">
        <v>10</v>
      </c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>
        <v>15</v>
      </c>
      <c r="AU124" s="4"/>
      <c r="AV124" s="4"/>
      <c r="AW124" s="2"/>
      <c r="AX124" s="2"/>
      <c r="AY124" s="2"/>
      <c r="AZ124" s="2">
        <v>15</v>
      </c>
      <c r="BA124" s="2">
        <v>15</v>
      </c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 t="shared" si="51"/>
        <v>65</v>
      </c>
      <c r="BQ124" s="1">
        <v>43</v>
      </c>
      <c r="BR124" s="17">
        <v>4</v>
      </c>
      <c r="BS124" s="17" t="s">
        <v>311</v>
      </c>
      <c r="BT124" s="1" t="str">
        <f t="shared" si="52"/>
        <v/>
      </c>
      <c r="BU124" s="1" t="str">
        <f t="shared" si="53"/>
        <v/>
      </c>
      <c r="BV124" s="1" t="str">
        <f t="shared" si="54"/>
        <v/>
      </c>
      <c r="BW124" s="1" t="str">
        <f t="shared" si="55"/>
        <v/>
      </c>
      <c r="BX124" s="1" t="str">
        <f t="shared" si="56"/>
        <v/>
      </c>
      <c r="BY124" s="1" t="str">
        <f t="shared" si="57"/>
        <v/>
      </c>
      <c r="BZ124" s="1" t="str">
        <f t="shared" si="58"/>
        <v/>
      </c>
      <c r="CA124" s="1" t="str">
        <f t="shared" si="59"/>
        <v/>
      </c>
      <c r="CB124" s="1" t="str">
        <f t="shared" si="60"/>
        <v/>
      </c>
      <c r="CC124" s="1" t="str">
        <f t="shared" si="61"/>
        <v/>
      </c>
      <c r="CD124" s="1" t="str">
        <f t="shared" si="62"/>
        <v/>
      </c>
      <c r="CE124" s="1" t="str">
        <f t="shared" si="63"/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3"/>
    </row>
    <row r="125" spans="1:97" ht="54" x14ac:dyDescent="0.15">
      <c r="A125" s="1">
        <v>54</v>
      </c>
      <c r="B125" s="1" t="s">
        <v>55</v>
      </c>
      <c r="C125" s="1" t="s">
        <v>56</v>
      </c>
      <c r="D125" s="1" t="s">
        <v>1</v>
      </c>
      <c r="E125" s="6"/>
      <c r="F125" s="6">
        <v>15</v>
      </c>
      <c r="G125" s="6"/>
      <c r="H125" s="6">
        <v>15</v>
      </c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15</v>
      </c>
      <c r="AW125" s="2"/>
      <c r="AX125" s="2"/>
      <c r="AY125" s="2"/>
      <c r="AZ125" s="2"/>
      <c r="BA125" s="2">
        <v>15</v>
      </c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 t="shared" si="51"/>
        <v>60</v>
      </c>
      <c r="BQ125" s="1">
        <v>47</v>
      </c>
      <c r="BR125" s="17">
        <v>4</v>
      </c>
      <c r="BS125" s="17" t="s">
        <v>312</v>
      </c>
      <c r="BT125" s="1" t="str">
        <f t="shared" si="52"/>
        <v/>
      </c>
      <c r="BU125" s="1" t="str">
        <f t="shared" si="53"/>
        <v/>
      </c>
      <c r="BV125" s="1" t="str">
        <f t="shared" si="54"/>
        <v/>
      </c>
      <c r="BW125" s="1" t="str">
        <f t="shared" si="55"/>
        <v/>
      </c>
      <c r="BX125" s="1" t="str">
        <f t="shared" si="56"/>
        <v/>
      </c>
      <c r="BY125" s="1" t="str">
        <f t="shared" si="57"/>
        <v/>
      </c>
      <c r="BZ125" s="1" t="str">
        <f t="shared" si="58"/>
        <v/>
      </c>
      <c r="CA125" s="1" t="str">
        <f t="shared" si="59"/>
        <v/>
      </c>
      <c r="CB125" s="1" t="str">
        <f t="shared" si="60"/>
        <v/>
      </c>
      <c r="CC125" s="1" t="str">
        <f t="shared" si="61"/>
        <v/>
      </c>
      <c r="CD125" s="1" t="str">
        <f t="shared" si="62"/>
        <v/>
      </c>
      <c r="CE125" s="1" t="str">
        <f t="shared" si="63"/>
        <v/>
      </c>
      <c r="CF125" s="1">
        <f>COUNTIF(BT125:CE125, "&gt;0")</f>
        <v>0</v>
      </c>
      <c r="CG125" s="1" t="str">
        <f t="shared" ref="CG125:CR126" si="64">IF($CF125=1,BT125,"")</f>
        <v/>
      </c>
      <c r="CH125" s="1" t="str">
        <f t="shared" si="64"/>
        <v/>
      </c>
      <c r="CI125" s="1" t="str">
        <f t="shared" si="64"/>
        <v/>
      </c>
      <c r="CJ125" s="1" t="str">
        <f t="shared" si="64"/>
        <v/>
      </c>
      <c r="CK125" s="1" t="str">
        <f t="shared" si="64"/>
        <v/>
      </c>
      <c r="CL125" s="1" t="str">
        <f t="shared" si="64"/>
        <v/>
      </c>
      <c r="CM125" s="1" t="str">
        <f t="shared" si="64"/>
        <v/>
      </c>
      <c r="CN125" s="1" t="str">
        <f t="shared" si="64"/>
        <v/>
      </c>
      <c r="CO125" s="1" t="str">
        <f t="shared" si="64"/>
        <v/>
      </c>
      <c r="CP125" s="1" t="str">
        <f t="shared" si="64"/>
        <v/>
      </c>
      <c r="CQ125" s="1" t="str">
        <f t="shared" si="64"/>
        <v/>
      </c>
      <c r="CR125" s="1" t="str">
        <f t="shared" si="64"/>
        <v/>
      </c>
      <c r="CS125" s="3">
        <f>SUM(AE125:BO125)</f>
        <v>30</v>
      </c>
    </row>
    <row r="126" spans="1:97" ht="54" x14ac:dyDescent="0.15">
      <c r="A126" s="1">
        <v>23</v>
      </c>
      <c r="B126" s="1" t="s">
        <v>102</v>
      </c>
      <c r="C126" s="1" t="s">
        <v>31</v>
      </c>
      <c r="D126" s="1" t="s">
        <v>39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>
        <v>50</v>
      </c>
      <c r="BK126" s="1">
        <v>50</v>
      </c>
      <c r="BL126" s="1"/>
      <c r="BM126" s="1"/>
      <c r="BN126" s="1">
        <v>50</v>
      </c>
      <c r="BO126" s="1">
        <v>50</v>
      </c>
      <c r="BP126" s="1">
        <f t="shared" si="51"/>
        <v>200</v>
      </c>
      <c r="BQ126" s="1">
        <v>145</v>
      </c>
      <c r="BR126" s="17">
        <v>4</v>
      </c>
      <c r="BS126" s="17" t="s">
        <v>278</v>
      </c>
      <c r="BT126" s="1" t="str">
        <f t="shared" si="52"/>
        <v/>
      </c>
      <c r="BU126" s="1" t="str">
        <f t="shared" si="53"/>
        <v/>
      </c>
      <c r="BV126" s="1" t="str">
        <f t="shared" si="54"/>
        <v/>
      </c>
      <c r="BW126" s="1" t="str">
        <f t="shared" si="55"/>
        <v/>
      </c>
      <c r="BX126" s="1" t="str">
        <f t="shared" si="56"/>
        <v/>
      </c>
      <c r="BY126" s="1" t="str">
        <f t="shared" si="57"/>
        <v/>
      </c>
      <c r="BZ126" s="1" t="str">
        <f t="shared" si="58"/>
        <v/>
      </c>
      <c r="CA126" s="1" t="str">
        <f t="shared" si="59"/>
        <v/>
      </c>
      <c r="CB126" s="1" t="str">
        <f t="shared" si="60"/>
        <v/>
      </c>
      <c r="CC126" s="1" t="str">
        <f t="shared" si="61"/>
        <v/>
      </c>
      <c r="CD126" s="1" t="str">
        <f t="shared" si="62"/>
        <v/>
      </c>
      <c r="CE126" s="1" t="str">
        <f t="shared" si="63"/>
        <v/>
      </c>
      <c r="CF126" s="1">
        <f>COUNTIF(BT126:CE126, "&gt;0")</f>
        <v>0</v>
      </c>
      <c r="CG126" s="1" t="str">
        <f t="shared" si="64"/>
        <v/>
      </c>
      <c r="CH126" s="1" t="str">
        <f t="shared" si="64"/>
        <v/>
      </c>
      <c r="CI126" s="1" t="str">
        <f t="shared" si="64"/>
        <v/>
      </c>
      <c r="CJ126" s="1" t="str">
        <f t="shared" si="64"/>
        <v/>
      </c>
      <c r="CK126" s="1" t="str">
        <f t="shared" si="64"/>
        <v/>
      </c>
      <c r="CL126" s="1" t="str">
        <f t="shared" si="64"/>
        <v/>
      </c>
      <c r="CM126" s="1" t="str">
        <f t="shared" si="64"/>
        <v/>
      </c>
      <c r="CN126" s="1" t="str">
        <f t="shared" si="64"/>
        <v/>
      </c>
      <c r="CO126" s="1" t="str">
        <f t="shared" si="64"/>
        <v/>
      </c>
      <c r="CP126" s="1" t="str">
        <f t="shared" si="64"/>
        <v/>
      </c>
      <c r="CQ126" s="1" t="str">
        <f t="shared" si="64"/>
        <v/>
      </c>
      <c r="CR126" s="1" t="str">
        <f t="shared" si="64"/>
        <v/>
      </c>
      <c r="CS126" s="3">
        <f>SUM(AE126:BO126)</f>
        <v>200</v>
      </c>
    </row>
    <row r="127" spans="1:97" ht="54" x14ac:dyDescent="0.15">
      <c r="A127" s="1"/>
      <c r="B127" s="1" t="s">
        <v>180</v>
      </c>
      <c r="C127" s="1" t="s">
        <v>118</v>
      </c>
      <c r="D127" s="1" t="s">
        <v>119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>
        <v>50</v>
      </c>
      <c r="BK127" s="1">
        <v>50</v>
      </c>
      <c r="BL127" s="1"/>
      <c r="BM127" s="1"/>
      <c r="BN127" s="1">
        <v>50</v>
      </c>
      <c r="BO127" s="1">
        <v>50</v>
      </c>
      <c r="BP127" s="1">
        <f t="shared" si="51"/>
        <v>200</v>
      </c>
      <c r="BQ127" s="1">
        <v>145</v>
      </c>
      <c r="BR127" s="17">
        <v>4</v>
      </c>
      <c r="BS127" s="17" t="s">
        <v>278</v>
      </c>
      <c r="BT127" s="1" t="str">
        <f t="shared" si="52"/>
        <v/>
      </c>
      <c r="BU127" s="1" t="str">
        <f t="shared" si="53"/>
        <v/>
      </c>
      <c r="BV127" s="1" t="str">
        <f t="shared" si="54"/>
        <v/>
      </c>
      <c r="BW127" s="1" t="str">
        <f t="shared" si="55"/>
        <v/>
      </c>
      <c r="BX127" s="1" t="str">
        <f t="shared" si="56"/>
        <v/>
      </c>
      <c r="BY127" s="1" t="str">
        <f t="shared" si="57"/>
        <v/>
      </c>
      <c r="BZ127" s="1" t="str">
        <f t="shared" si="58"/>
        <v/>
      </c>
      <c r="CA127" s="1" t="str">
        <f t="shared" si="59"/>
        <v/>
      </c>
      <c r="CB127" s="1" t="str">
        <f t="shared" si="60"/>
        <v/>
      </c>
      <c r="CC127" s="1" t="str">
        <f t="shared" si="61"/>
        <v/>
      </c>
      <c r="CD127" s="1" t="str">
        <f t="shared" si="62"/>
        <v/>
      </c>
      <c r="CE127" s="1" t="str">
        <f t="shared" si="63"/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3"/>
    </row>
    <row r="128" spans="1:97" ht="54" x14ac:dyDescent="0.15">
      <c r="A128" s="1"/>
      <c r="B128" s="1" t="s">
        <v>178</v>
      </c>
      <c r="C128" s="1" t="s">
        <v>152</v>
      </c>
      <c r="D128" s="1" t="s">
        <v>39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>
        <v>50</v>
      </c>
      <c r="BK128" s="1">
        <v>50</v>
      </c>
      <c r="BL128" s="1"/>
      <c r="BM128" s="1"/>
      <c r="BN128" s="1">
        <v>50</v>
      </c>
      <c r="BO128" s="1">
        <v>50</v>
      </c>
      <c r="BP128" s="1">
        <f t="shared" si="51"/>
        <v>200</v>
      </c>
      <c r="BQ128" s="1">
        <v>145</v>
      </c>
      <c r="BR128" s="17">
        <v>4</v>
      </c>
      <c r="BS128" s="17" t="s">
        <v>277</v>
      </c>
      <c r="BT128" s="1" t="str">
        <f t="shared" si="52"/>
        <v/>
      </c>
      <c r="BU128" s="1" t="str">
        <f t="shared" si="53"/>
        <v/>
      </c>
      <c r="BV128" s="1" t="str">
        <f t="shared" si="54"/>
        <v/>
      </c>
      <c r="BW128" s="1" t="str">
        <f t="shared" si="55"/>
        <v/>
      </c>
      <c r="BX128" s="1" t="str">
        <f t="shared" si="56"/>
        <v/>
      </c>
      <c r="BY128" s="1" t="str">
        <f t="shared" si="57"/>
        <v/>
      </c>
      <c r="BZ128" s="1" t="str">
        <f t="shared" si="58"/>
        <v/>
      </c>
      <c r="CA128" s="1" t="str">
        <f t="shared" si="59"/>
        <v/>
      </c>
      <c r="CB128" s="1" t="str">
        <f t="shared" si="60"/>
        <v/>
      </c>
      <c r="CC128" s="1" t="str">
        <f t="shared" si="61"/>
        <v/>
      </c>
      <c r="CD128" s="1" t="str">
        <f t="shared" si="62"/>
        <v/>
      </c>
      <c r="CE128" s="1" t="str">
        <f t="shared" si="63"/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3"/>
    </row>
    <row r="129" spans="1:97" ht="54" x14ac:dyDescent="0.15">
      <c r="A129" s="1">
        <v>102</v>
      </c>
      <c r="B129" s="3" t="s">
        <v>100</v>
      </c>
      <c r="C129" s="3" t="s">
        <v>69</v>
      </c>
      <c r="D129" s="1" t="s">
        <v>39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 t="shared" si="51"/>
        <v>200</v>
      </c>
      <c r="BQ129" s="1">
        <v>145</v>
      </c>
      <c r="BR129" s="17">
        <v>4</v>
      </c>
      <c r="BS129" s="17" t="s">
        <v>277</v>
      </c>
      <c r="BT129" s="1" t="str">
        <f t="shared" si="52"/>
        <v/>
      </c>
      <c r="BU129" s="1" t="str">
        <f t="shared" si="53"/>
        <v/>
      </c>
      <c r="BV129" s="1" t="str">
        <f t="shared" si="54"/>
        <v/>
      </c>
      <c r="BW129" s="1" t="str">
        <f t="shared" si="55"/>
        <v/>
      </c>
      <c r="BX129" s="1" t="str">
        <f t="shared" si="56"/>
        <v/>
      </c>
      <c r="BY129" s="1" t="str">
        <f t="shared" si="57"/>
        <v/>
      </c>
      <c r="BZ129" s="1" t="str">
        <f t="shared" si="58"/>
        <v/>
      </c>
      <c r="CA129" s="1" t="str">
        <f t="shared" si="59"/>
        <v/>
      </c>
      <c r="CB129" s="1" t="str">
        <f t="shared" si="60"/>
        <v/>
      </c>
      <c r="CC129" s="1" t="str">
        <f t="shared" si="61"/>
        <v/>
      </c>
      <c r="CD129" s="1" t="str">
        <f t="shared" si="62"/>
        <v/>
      </c>
      <c r="CE129" s="1" t="str">
        <f t="shared" si="63"/>
        <v/>
      </c>
      <c r="CF129" s="1">
        <f>COUNTIF(BT129:CE129, "&gt;0")</f>
        <v>0</v>
      </c>
      <c r="CG129" s="1" t="str">
        <f t="shared" ref="CG129:CR130" si="65">IF($CF129=1,BT129,"")</f>
        <v/>
      </c>
      <c r="CH129" s="1" t="str">
        <f t="shared" si="65"/>
        <v/>
      </c>
      <c r="CI129" s="1" t="str">
        <f t="shared" si="65"/>
        <v/>
      </c>
      <c r="CJ129" s="1" t="str">
        <f t="shared" si="65"/>
        <v/>
      </c>
      <c r="CK129" s="1" t="str">
        <f t="shared" si="65"/>
        <v/>
      </c>
      <c r="CL129" s="1" t="str">
        <f t="shared" si="65"/>
        <v/>
      </c>
      <c r="CM129" s="1" t="str">
        <f t="shared" si="65"/>
        <v/>
      </c>
      <c r="CN129" s="1" t="str">
        <f t="shared" si="65"/>
        <v/>
      </c>
      <c r="CO129" s="1" t="str">
        <f t="shared" si="65"/>
        <v/>
      </c>
      <c r="CP129" s="1" t="str">
        <f t="shared" si="65"/>
        <v/>
      </c>
      <c r="CQ129" s="1" t="str">
        <f t="shared" si="65"/>
        <v/>
      </c>
      <c r="CR129" s="1" t="str">
        <f t="shared" si="65"/>
        <v/>
      </c>
      <c r="CS129" s="3">
        <f>SUM(AE129:BO129)</f>
        <v>200</v>
      </c>
    </row>
    <row r="130" spans="1:97" ht="54" x14ac:dyDescent="0.15">
      <c r="A130" s="1">
        <v>85</v>
      </c>
      <c r="B130" s="3" t="s">
        <v>196</v>
      </c>
      <c r="C130" s="3" t="s">
        <v>64</v>
      </c>
      <c r="D130" s="1" t="s">
        <v>39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>
        <v>50</v>
      </c>
      <c r="BM130" s="1">
        <v>50</v>
      </c>
      <c r="BN130" s="1">
        <v>50</v>
      </c>
      <c r="BO130" s="1">
        <v>50</v>
      </c>
      <c r="BP130" s="1">
        <f t="shared" si="51"/>
        <v>200</v>
      </c>
      <c r="BQ130" s="1">
        <v>146</v>
      </c>
      <c r="BR130" s="17">
        <v>4</v>
      </c>
      <c r="BS130" s="17" t="s">
        <v>280</v>
      </c>
      <c r="BT130" s="1" t="str">
        <f t="shared" si="52"/>
        <v/>
      </c>
      <c r="BU130" s="1" t="str">
        <f t="shared" si="53"/>
        <v/>
      </c>
      <c r="BV130" s="1" t="str">
        <f t="shared" si="54"/>
        <v/>
      </c>
      <c r="BW130" s="1" t="str">
        <f t="shared" si="55"/>
        <v/>
      </c>
      <c r="BX130" s="1" t="str">
        <f t="shared" si="56"/>
        <v/>
      </c>
      <c r="BY130" s="1" t="str">
        <f t="shared" si="57"/>
        <v/>
      </c>
      <c r="BZ130" s="1" t="str">
        <f t="shared" si="58"/>
        <v/>
      </c>
      <c r="CA130" s="1" t="str">
        <f t="shared" si="59"/>
        <v/>
      </c>
      <c r="CB130" s="1" t="str">
        <f t="shared" si="60"/>
        <v/>
      </c>
      <c r="CC130" s="1" t="str">
        <f t="shared" si="61"/>
        <v/>
      </c>
      <c r="CD130" s="1" t="str">
        <f t="shared" si="62"/>
        <v/>
      </c>
      <c r="CE130" s="1" t="str">
        <f t="shared" si="63"/>
        <v/>
      </c>
      <c r="CF130" s="1">
        <f>COUNTIF(BT130:CE130, "&gt;0")</f>
        <v>0</v>
      </c>
      <c r="CG130" s="1" t="str">
        <f t="shared" si="65"/>
        <v/>
      </c>
      <c r="CH130" s="1" t="str">
        <f t="shared" si="65"/>
        <v/>
      </c>
      <c r="CI130" s="1" t="str">
        <f t="shared" si="65"/>
        <v/>
      </c>
      <c r="CJ130" s="1" t="str">
        <f t="shared" si="65"/>
        <v/>
      </c>
      <c r="CK130" s="1" t="str">
        <f t="shared" si="65"/>
        <v/>
      </c>
      <c r="CL130" s="1" t="str">
        <f t="shared" si="65"/>
        <v/>
      </c>
      <c r="CM130" s="1" t="str">
        <f t="shared" si="65"/>
        <v/>
      </c>
      <c r="CN130" s="1" t="str">
        <f t="shared" si="65"/>
        <v/>
      </c>
      <c r="CO130" s="1" t="str">
        <f t="shared" si="65"/>
        <v/>
      </c>
      <c r="CP130" s="1" t="str">
        <f t="shared" si="65"/>
        <v/>
      </c>
      <c r="CQ130" s="1" t="str">
        <f t="shared" si="65"/>
        <v/>
      </c>
      <c r="CR130" s="1" t="str">
        <f t="shared" si="65"/>
        <v/>
      </c>
      <c r="CS130" s="3">
        <f>SUM(AE130:BO130)</f>
        <v>200</v>
      </c>
    </row>
    <row r="131" spans="1:97" ht="54" x14ac:dyDescent="0.15">
      <c r="A131" s="1"/>
      <c r="B131" s="1" t="s">
        <v>190</v>
      </c>
      <c r="C131" s="1" t="s">
        <v>121</v>
      </c>
      <c r="D131" s="1" t="s">
        <v>119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>
        <v>50</v>
      </c>
      <c r="BM131" s="1">
        <v>50</v>
      </c>
      <c r="BN131" s="1">
        <v>50</v>
      </c>
      <c r="BO131" s="1">
        <v>50</v>
      </c>
      <c r="BP131" s="1">
        <f t="shared" si="51"/>
        <v>200</v>
      </c>
      <c r="BQ131" s="1">
        <v>146</v>
      </c>
      <c r="BR131" s="17">
        <v>4</v>
      </c>
      <c r="BS131" s="17" t="s">
        <v>279</v>
      </c>
      <c r="BT131" s="1" t="str">
        <f t="shared" si="52"/>
        <v/>
      </c>
      <c r="BU131" s="1" t="str">
        <f t="shared" si="53"/>
        <v/>
      </c>
      <c r="BV131" s="1" t="str">
        <f t="shared" si="54"/>
        <v/>
      </c>
      <c r="BW131" s="1" t="str">
        <f t="shared" si="55"/>
        <v/>
      </c>
      <c r="BX131" s="1" t="str">
        <f t="shared" si="56"/>
        <v/>
      </c>
      <c r="BY131" s="1" t="str">
        <f t="shared" si="57"/>
        <v/>
      </c>
      <c r="BZ131" s="1" t="str">
        <f t="shared" si="58"/>
        <v/>
      </c>
      <c r="CA131" s="1" t="str">
        <f t="shared" si="59"/>
        <v/>
      </c>
      <c r="CB131" s="1" t="str">
        <f t="shared" si="60"/>
        <v/>
      </c>
      <c r="CC131" s="1" t="str">
        <f t="shared" si="61"/>
        <v/>
      </c>
      <c r="CD131" s="1" t="str">
        <f t="shared" si="62"/>
        <v/>
      </c>
      <c r="CE131" s="1" t="str">
        <f t="shared" si="63"/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3"/>
    </row>
    <row r="132" spans="1:97" ht="54" x14ac:dyDescent="0.15">
      <c r="A132" s="1"/>
      <c r="B132" s="1" t="s">
        <v>194</v>
      </c>
      <c r="C132" s="1" t="s">
        <v>121</v>
      </c>
      <c r="D132" s="1" t="s">
        <v>119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>
        <v>50</v>
      </c>
      <c r="BM132" s="1">
        <v>50</v>
      </c>
      <c r="BN132" s="1">
        <v>50</v>
      </c>
      <c r="BO132" s="1">
        <v>50</v>
      </c>
      <c r="BP132" s="1">
        <f t="shared" si="51"/>
        <v>200</v>
      </c>
      <c r="BQ132" s="1">
        <v>146</v>
      </c>
      <c r="BR132" s="17">
        <v>4</v>
      </c>
      <c r="BS132" s="17" t="s">
        <v>280</v>
      </c>
      <c r="BT132" s="1" t="str">
        <f t="shared" si="52"/>
        <v/>
      </c>
      <c r="BU132" s="1" t="str">
        <f t="shared" si="53"/>
        <v/>
      </c>
      <c r="BV132" s="1" t="str">
        <f t="shared" si="54"/>
        <v/>
      </c>
      <c r="BW132" s="1" t="str">
        <f t="shared" si="55"/>
        <v/>
      </c>
      <c r="BX132" s="1" t="str">
        <f t="shared" si="56"/>
        <v/>
      </c>
      <c r="BY132" s="1" t="str">
        <f t="shared" si="57"/>
        <v/>
      </c>
      <c r="BZ132" s="1" t="str">
        <f t="shared" si="58"/>
        <v/>
      </c>
      <c r="CA132" s="1" t="str">
        <f t="shared" si="59"/>
        <v/>
      </c>
      <c r="CB132" s="1" t="str">
        <f t="shared" si="60"/>
        <v/>
      </c>
      <c r="CC132" s="1" t="str">
        <f t="shared" si="61"/>
        <v/>
      </c>
      <c r="CD132" s="1" t="str">
        <f t="shared" si="62"/>
        <v/>
      </c>
      <c r="CE132" s="1" t="str">
        <f t="shared" si="63"/>
        <v/>
      </c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3"/>
    </row>
    <row r="133" spans="1:97" x14ac:dyDescent="0.15">
      <c r="A133" s="1"/>
      <c r="B133" s="1" t="s">
        <v>71</v>
      </c>
      <c r="C133" s="1"/>
      <c r="D133" s="1"/>
      <c r="E133" s="6">
        <f>SUM(E3:E132)</f>
        <v>168</v>
      </c>
      <c r="F133" s="6">
        <f>SUM(F3:F132)</f>
        <v>74</v>
      </c>
      <c r="G133" s="6">
        <f>SUM(G3:G132)</f>
        <v>201</v>
      </c>
      <c r="H133" s="6">
        <f>SUM(H3:H132)</f>
        <v>173</v>
      </c>
      <c r="I133" s="6">
        <f>SUM(I3:I132)</f>
        <v>49</v>
      </c>
      <c r="J133" s="6">
        <f>SUM(J3:J132)</f>
        <v>66</v>
      </c>
      <c r="K133" s="6">
        <f>SUM(K3:K132)</f>
        <v>26</v>
      </c>
      <c r="L133" s="6">
        <f>SUM(L3:L132)</f>
        <v>108</v>
      </c>
      <c r="M133" s="6">
        <f>SUM(M3:M132)</f>
        <v>37</v>
      </c>
      <c r="N133" s="6">
        <f>SUM(N3:N132)</f>
        <v>32</v>
      </c>
      <c r="O133" s="6">
        <f>SUM(O3:O132)</f>
        <v>94</v>
      </c>
      <c r="P133" s="28">
        <f>SUM(P3:P132)</f>
        <v>130</v>
      </c>
      <c r="Q133" s="28">
        <f>SUM(Q3:Q132)</f>
        <v>76</v>
      </c>
      <c r="R133" s="28">
        <f>SUM(R3:R132)</f>
        <v>83</v>
      </c>
      <c r="S133" s="28">
        <f>SUM(S3:S132)</f>
        <v>130</v>
      </c>
      <c r="T133" s="28">
        <f>SUM(T3:T132)</f>
        <v>61</v>
      </c>
      <c r="U133" s="28">
        <f>SUM(U3:U132)</f>
        <v>62</v>
      </c>
      <c r="V133" s="28">
        <f>SUM(V3:V132)</f>
        <v>135</v>
      </c>
      <c r="W133" s="28">
        <f>SUM(W3:W132)</f>
        <v>35</v>
      </c>
      <c r="X133" s="28">
        <f>SUM(X3:X132)</f>
        <v>59</v>
      </c>
      <c r="Y133" s="28">
        <f>SUM(Y3:Y132)</f>
        <v>125</v>
      </c>
      <c r="Z133" s="28">
        <f>SUM(Z3:Z132)</f>
        <v>50</v>
      </c>
      <c r="AA133" s="28">
        <f>SUM(AA3:AA132)</f>
        <v>35</v>
      </c>
      <c r="AB133" s="28">
        <f>SUM(AB3:AB132)</f>
        <v>140</v>
      </c>
      <c r="AC133" s="28">
        <f>SUM(AC3:AC132)</f>
        <v>30</v>
      </c>
      <c r="AD133" s="28">
        <f>SUM(AD3:AD132)</f>
        <v>22</v>
      </c>
      <c r="AE133" s="1">
        <f>SUM(AE3:AE132)</f>
        <v>265</v>
      </c>
      <c r="AF133" s="1">
        <f>SUM(AF3:AF132)</f>
        <v>10</v>
      </c>
      <c r="AG133" s="1">
        <f>SUM(AG3:AG132)</f>
        <v>15</v>
      </c>
      <c r="AH133" s="1">
        <f>SUM(AH3:AH132)</f>
        <v>30</v>
      </c>
      <c r="AI133" s="1">
        <f>SUM(AI3:AI132)</f>
        <v>30</v>
      </c>
      <c r="AJ133" s="1">
        <f>SUM(AJ3:AJ132)</f>
        <v>5</v>
      </c>
      <c r="AK133" s="1">
        <f>SUM(AK3:AK132)</f>
        <v>0</v>
      </c>
      <c r="AL133" s="1">
        <f>SUM(AL3:AL132)</f>
        <v>0</v>
      </c>
      <c r="AM133" s="1">
        <f>SUM(AM3:AM132)</f>
        <v>20</v>
      </c>
      <c r="AN133" s="1">
        <f>SUM(AN3:AN132)</f>
        <v>50</v>
      </c>
      <c r="AO133" s="1">
        <f>SUM(AO3:AO132)</f>
        <v>25</v>
      </c>
      <c r="AP133" s="1">
        <f>SUM(AP3:AP132)</f>
        <v>26</v>
      </c>
      <c r="AQ133" s="4">
        <f>SUM(AQ3:AQ132)</f>
        <v>90</v>
      </c>
      <c r="AR133" s="4">
        <f>SUM(AR3:AR132)</f>
        <v>115</v>
      </c>
      <c r="AS133" s="4">
        <f>SUM(AS3:AS132)</f>
        <v>75</v>
      </c>
      <c r="AT133" s="4">
        <f>SUM(AT3:AT132)</f>
        <v>93</v>
      </c>
      <c r="AU133" s="4">
        <f>SUM(AU3:AU132)</f>
        <v>48</v>
      </c>
      <c r="AV133" s="4">
        <f>SUM(AV3:AV132)</f>
        <v>115</v>
      </c>
      <c r="AW133" s="2">
        <f>SUM(AW3:AW132)</f>
        <v>108</v>
      </c>
      <c r="AX133" s="2">
        <f>SUM(AX3:AX132)</f>
        <v>80</v>
      </c>
      <c r="AY133" s="2">
        <f>SUM(AY3:AY132)</f>
        <v>43</v>
      </c>
      <c r="AZ133" s="2">
        <f>SUM(AZ3:AZ132)</f>
        <v>75</v>
      </c>
      <c r="BA133" s="2">
        <f>SUM(BA3:BA132)</f>
        <v>185</v>
      </c>
      <c r="BB133" s="2">
        <f>SUM(BB3:BB132)</f>
        <v>355</v>
      </c>
      <c r="BC133" s="1">
        <f>SUM(BC3:BC132)</f>
        <v>10</v>
      </c>
      <c r="BD133" s="1">
        <f>SUM(BD3:BD132)</f>
        <v>150</v>
      </c>
      <c r="BE133" s="1">
        <f>SUM(BE3:BE132)</f>
        <v>100</v>
      </c>
      <c r="BF133" s="1">
        <f>SUM(BF3:BF132)</f>
        <v>100</v>
      </c>
      <c r="BG133" s="1">
        <f>SUM(BG3:BG132)</f>
        <v>100</v>
      </c>
      <c r="BH133" s="1">
        <f>SUM(BH3:BH132)</f>
        <v>90</v>
      </c>
      <c r="BI133" s="1">
        <f>SUM(BI3:BI132)</f>
        <v>70</v>
      </c>
      <c r="BJ133" s="1">
        <f>SUM(BJ3:BJ132)</f>
        <v>200</v>
      </c>
      <c r="BK133" s="1">
        <f>SUM(BK3:BK132)</f>
        <v>200</v>
      </c>
      <c r="BL133" s="1">
        <f>SUM(BL3:BL132)</f>
        <v>150</v>
      </c>
      <c r="BM133" s="1">
        <f>SUM(BM3:BM132)</f>
        <v>150</v>
      </c>
      <c r="BN133" s="1">
        <f>SUM(BN3:BN132)</f>
        <v>350</v>
      </c>
      <c r="BO133" s="1">
        <f>SUM(BO3:BO132)</f>
        <v>350</v>
      </c>
      <c r="BP133" s="1"/>
      <c r="BQ133" s="1"/>
      <c r="BR133" s="17"/>
      <c r="BS133" s="17"/>
      <c r="BT133" s="1">
        <f>MIN(BT3:BT132)</f>
        <v>0</v>
      </c>
      <c r="BU133" s="1">
        <f>MIN(BU3:BU132)</f>
        <v>0</v>
      </c>
      <c r="BV133" s="1">
        <f>MIN(BV3:BV132)</f>
        <v>0</v>
      </c>
      <c r="BW133" s="1">
        <f>MIN(BW3:BW132)</f>
        <v>0</v>
      </c>
      <c r="BX133" s="1">
        <f>MIN(BX3:BX132)</f>
        <v>0</v>
      </c>
      <c r="BY133" s="1">
        <f>MIN(BY3:BY132)</f>
        <v>0</v>
      </c>
      <c r="BZ133" s="1">
        <f>MIN(BZ3:BZ132)</f>
        <v>0</v>
      </c>
      <c r="CA133" s="1">
        <f>MIN(CA3:CA132)</f>
        <v>0</v>
      </c>
      <c r="CB133" s="1">
        <f>MIN(CB3:CB132)</f>
        <v>0</v>
      </c>
      <c r="CC133" s="1">
        <f>MIN(CC3:CC132)</f>
        <v>0</v>
      </c>
      <c r="CD133" s="1">
        <f>MIN(CD3:CD132)</f>
        <v>0</v>
      </c>
      <c r="CE133" s="1">
        <f>MIN(CE3:CE132)</f>
        <v>0</v>
      </c>
      <c r="CF133" s="1"/>
      <c r="CG133" s="1">
        <f>MIN(CG3:CG132)</f>
        <v>0</v>
      </c>
      <c r="CH133" s="1">
        <f>MIN(CH3:CH132)</f>
        <v>0</v>
      </c>
      <c r="CI133" s="1">
        <f>MIN(CI3:CI132)</f>
        <v>0</v>
      </c>
      <c r="CJ133" s="1">
        <f>MIN(CJ3:CJ132)</f>
        <v>0</v>
      </c>
      <c r="CK133" s="1">
        <f>MIN(CK3:CK132)</f>
        <v>0</v>
      </c>
      <c r="CL133" s="1">
        <f>MIN(CL3:CL132)</f>
        <v>0</v>
      </c>
      <c r="CM133" s="1">
        <f>MIN(CM3:CM132)</f>
        <v>0</v>
      </c>
      <c r="CN133" s="1">
        <f>MIN(CN3:CN132)</f>
        <v>0</v>
      </c>
      <c r="CO133" s="1">
        <f>MIN(CO3:CO132)</f>
        <v>0</v>
      </c>
      <c r="CP133" s="1">
        <f>MIN(CP3:CP132)</f>
        <v>0</v>
      </c>
      <c r="CQ133" s="1">
        <f>MIN(CQ3:CQ132)</f>
        <v>0</v>
      </c>
      <c r="CR133" s="1">
        <f>MIN(CR3:CR132)</f>
        <v>0</v>
      </c>
      <c r="CS133" s="3">
        <f>COUNTIF(CS3:CS132,"=0")</f>
        <v>1</v>
      </c>
    </row>
    <row r="134" spans="1:97" x14ac:dyDescent="0.15">
      <c r="A134" s="1"/>
      <c r="B134" s="3" t="s">
        <v>92</v>
      </c>
      <c r="C134" s="1"/>
      <c r="D134" s="1"/>
      <c r="E134" s="1">
        <v>14</v>
      </c>
      <c r="F134" s="1">
        <v>1</v>
      </c>
      <c r="G134" s="1">
        <v>2</v>
      </c>
      <c r="H134" s="1">
        <v>1</v>
      </c>
      <c r="I134" s="1">
        <v>19</v>
      </c>
      <c r="J134" s="1">
        <v>23</v>
      </c>
      <c r="K134" s="1">
        <v>6</v>
      </c>
      <c r="L134" s="1">
        <v>47</v>
      </c>
      <c r="M134" s="1">
        <v>5</v>
      </c>
      <c r="N134" s="1">
        <v>22</v>
      </c>
      <c r="O134" s="1">
        <v>0</v>
      </c>
      <c r="P134" s="14">
        <v>2</v>
      </c>
      <c r="Q134" s="14">
        <v>1</v>
      </c>
      <c r="R134" s="14">
        <v>2</v>
      </c>
      <c r="S134" s="14">
        <v>1</v>
      </c>
      <c r="T134" s="14">
        <v>5</v>
      </c>
      <c r="U134" s="14">
        <v>0</v>
      </c>
      <c r="V134" s="14">
        <v>2</v>
      </c>
      <c r="W134" s="14">
        <v>2</v>
      </c>
      <c r="X134" s="14">
        <v>6</v>
      </c>
      <c r="Y134" s="14">
        <v>0</v>
      </c>
      <c r="Z134" s="14">
        <v>1</v>
      </c>
      <c r="AA134" s="14">
        <v>1</v>
      </c>
      <c r="AB134" s="14">
        <v>8</v>
      </c>
      <c r="AC134" s="14">
        <v>2</v>
      </c>
      <c r="AD134" s="14">
        <v>4</v>
      </c>
      <c r="AE134" s="1">
        <v>9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33</v>
      </c>
      <c r="AL134" s="1">
        <v>43</v>
      </c>
      <c r="AM134" s="1">
        <v>11</v>
      </c>
      <c r="AN134" s="1">
        <v>0</v>
      </c>
      <c r="AO134" s="1">
        <v>0</v>
      </c>
      <c r="AP134" s="1">
        <v>0</v>
      </c>
      <c r="AQ134" s="14">
        <v>8</v>
      </c>
      <c r="AR134" s="14">
        <v>3</v>
      </c>
      <c r="AS134" s="14">
        <v>3</v>
      </c>
      <c r="AT134" s="14">
        <v>9</v>
      </c>
      <c r="AU134" s="14">
        <v>11</v>
      </c>
      <c r="AV134" s="14">
        <v>11</v>
      </c>
      <c r="AW134" s="14">
        <v>5</v>
      </c>
      <c r="AX134" s="14">
        <v>35</v>
      </c>
      <c r="AY134" s="14">
        <v>14</v>
      </c>
      <c r="AZ134" s="14">
        <v>1</v>
      </c>
      <c r="BA134" s="14">
        <v>0</v>
      </c>
      <c r="BB134" s="14">
        <v>133</v>
      </c>
      <c r="BC134" s="14">
        <v>7</v>
      </c>
      <c r="BD134" s="1">
        <v>114</v>
      </c>
      <c r="BE134" s="1">
        <v>196</v>
      </c>
      <c r="BF134" s="1">
        <v>193</v>
      </c>
      <c r="BG134" s="1">
        <v>202</v>
      </c>
      <c r="BH134" s="1">
        <v>93</v>
      </c>
      <c r="BI134" s="1">
        <v>106</v>
      </c>
      <c r="BJ134" s="1">
        <v>25</v>
      </c>
      <c r="BK134" s="1">
        <v>25</v>
      </c>
      <c r="BL134" s="1">
        <v>49</v>
      </c>
      <c r="BM134" s="1"/>
      <c r="BN134" s="1">
        <v>5</v>
      </c>
      <c r="BO134" s="1"/>
      <c r="BP134" s="1"/>
      <c r="BQ134" s="1"/>
      <c r="BR134" s="17"/>
      <c r="BS134" s="17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</row>
    <row r="135" spans="1:97" x14ac:dyDescent="0.15">
      <c r="A135" s="1"/>
      <c r="B135" s="3" t="s">
        <v>99</v>
      </c>
      <c r="C135" s="1"/>
      <c r="D135" s="1"/>
      <c r="E135" s="1">
        <f t="shared" ref="E135:AJ135" si="66">E134-E133</f>
        <v>-154</v>
      </c>
      <c r="F135" s="1">
        <f t="shared" si="66"/>
        <v>-73</v>
      </c>
      <c r="G135" s="1">
        <f t="shared" si="66"/>
        <v>-199</v>
      </c>
      <c r="H135" s="1">
        <f t="shared" si="66"/>
        <v>-172</v>
      </c>
      <c r="I135" s="1">
        <f t="shared" si="66"/>
        <v>-30</v>
      </c>
      <c r="J135" s="1">
        <f t="shared" si="66"/>
        <v>-43</v>
      </c>
      <c r="K135" s="1">
        <f t="shared" si="66"/>
        <v>-20</v>
      </c>
      <c r="L135" s="1">
        <f t="shared" si="66"/>
        <v>-61</v>
      </c>
      <c r="M135" s="1">
        <f t="shared" si="66"/>
        <v>-32</v>
      </c>
      <c r="N135" s="1">
        <f t="shared" si="66"/>
        <v>-10</v>
      </c>
      <c r="O135" s="1">
        <f t="shared" si="66"/>
        <v>-94</v>
      </c>
      <c r="P135" s="1">
        <f t="shared" si="66"/>
        <v>-128</v>
      </c>
      <c r="Q135" s="1">
        <f t="shared" si="66"/>
        <v>-75</v>
      </c>
      <c r="R135" s="1">
        <f t="shared" si="66"/>
        <v>-81</v>
      </c>
      <c r="S135" s="1">
        <f t="shared" si="66"/>
        <v>-129</v>
      </c>
      <c r="T135" s="1">
        <f t="shared" si="66"/>
        <v>-56</v>
      </c>
      <c r="U135" s="1">
        <f t="shared" si="66"/>
        <v>-62</v>
      </c>
      <c r="V135" s="1">
        <f t="shared" si="66"/>
        <v>-133</v>
      </c>
      <c r="W135" s="1">
        <f t="shared" si="66"/>
        <v>-33</v>
      </c>
      <c r="X135" s="1">
        <f t="shared" si="66"/>
        <v>-53</v>
      </c>
      <c r="Y135" s="1">
        <f t="shared" si="66"/>
        <v>-125</v>
      </c>
      <c r="Z135" s="1">
        <f t="shared" si="66"/>
        <v>-49</v>
      </c>
      <c r="AA135" s="1">
        <f t="shared" si="66"/>
        <v>-34</v>
      </c>
      <c r="AB135" s="1">
        <f t="shared" si="66"/>
        <v>-132</v>
      </c>
      <c r="AC135" s="1">
        <f t="shared" si="66"/>
        <v>-28</v>
      </c>
      <c r="AD135" s="1">
        <f t="shared" si="66"/>
        <v>-18</v>
      </c>
      <c r="AE135" s="1">
        <f t="shared" si="66"/>
        <v>-256</v>
      </c>
      <c r="AF135" s="1">
        <f t="shared" si="66"/>
        <v>-10</v>
      </c>
      <c r="AG135" s="1">
        <f t="shared" si="66"/>
        <v>-15</v>
      </c>
      <c r="AH135" s="1">
        <f t="shared" si="66"/>
        <v>-30</v>
      </c>
      <c r="AI135" s="1">
        <f t="shared" si="66"/>
        <v>-30</v>
      </c>
      <c r="AJ135" s="1">
        <f t="shared" si="66"/>
        <v>-5</v>
      </c>
      <c r="AK135" s="1">
        <f t="shared" ref="AK135:BP135" si="67">AK134-AK133</f>
        <v>33</v>
      </c>
      <c r="AL135" s="1">
        <f t="shared" si="67"/>
        <v>43</v>
      </c>
      <c r="AM135" s="1">
        <f t="shared" si="67"/>
        <v>-9</v>
      </c>
      <c r="AN135" s="1">
        <f t="shared" si="67"/>
        <v>-50</v>
      </c>
      <c r="AO135" s="1">
        <f t="shared" si="67"/>
        <v>-25</v>
      </c>
      <c r="AP135" s="1">
        <f t="shared" si="67"/>
        <v>-26</v>
      </c>
      <c r="AQ135" s="1">
        <f t="shared" si="67"/>
        <v>-82</v>
      </c>
      <c r="AR135" s="1">
        <f t="shared" si="67"/>
        <v>-112</v>
      </c>
      <c r="AS135" s="1">
        <f t="shared" si="67"/>
        <v>-72</v>
      </c>
      <c r="AT135" s="1">
        <f t="shared" si="67"/>
        <v>-84</v>
      </c>
      <c r="AU135" s="1">
        <f t="shared" si="67"/>
        <v>-37</v>
      </c>
      <c r="AV135" s="1">
        <f t="shared" si="67"/>
        <v>-104</v>
      </c>
      <c r="AW135" s="1">
        <f t="shared" si="67"/>
        <v>-103</v>
      </c>
      <c r="AX135" s="1">
        <f t="shared" si="67"/>
        <v>-45</v>
      </c>
      <c r="AY135" s="1">
        <f t="shared" si="67"/>
        <v>-29</v>
      </c>
      <c r="AZ135" s="1">
        <f t="shared" si="67"/>
        <v>-74</v>
      </c>
      <c r="BA135" s="1">
        <f t="shared" si="67"/>
        <v>-185</v>
      </c>
      <c r="BB135" s="1">
        <f t="shared" si="67"/>
        <v>-222</v>
      </c>
      <c r="BC135" s="1">
        <f t="shared" si="67"/>
        <v>-3</v>
      </c>
      <c r="BD135" s="1">
        <f t="shared" si="67"/>
        <v>-36</v>
      </c>
      <c r="BE135" s="1">
        <f t="shared" si="67"/>
        <v>96</v>
      </c>
      <c r="BF135" s="1">
        <f t="shared" si="67"/>
        <v>93</v>
      </c>
      <c r="BG135" s="1">
        <f t="shared" si="67"/>
        <v>102</v>
      </c>
      <c r="BH135" s="1">
        <f t="shared" si="67"/>
        <v>3</v>
      </c>
      <c r="BI135" s="1">
        <f t="shared" si="67"/>
        <v>36</v>
      </c>
      <c r="BJ135" s="1">
        <f t="shared" si="67"/>
        <v>-175</v>
      </c>
      <c r="BK135" s="1">
        <f t="shared" si="67"/>
        <v>-175</v>
      </c>
      <c r="BL135" s="1">
        <f t="shared" si="67"/>
        <v>-101</v>
      </c>
      <c r="BM135" s="1">
        <f t="shared" si="67"/>
        <v>-150</v>
      </c>
      <c r="BN135" s="1">
        <f t="shared" si="67"/>
        <v>-345</v>
      </c>
      <c r="BO135" s="1">
        <f t="shared" si="67"/>
        <v>-350</v>
      </c>
      <c r="BP135" s="1"/>
      <c r="BQ135" s="1"/>
      <c r="BR135" s="17"/>
      <c r="BS135" s="17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</row>
    <row r="136" spans="1:97" x14ac:dyDescent="0.15">
      <c r="A136" s="1"/>
      <c r="B136" s="3" t="s">
        <v>216</v>
      </c>
      <c r="C136" s="1"/>
      <c r="D136" s="1"/>
      <c r="E136" s="1">
        <f>MAX(E3:E132)</f>
        <v>20</v>
      </c>
      <c r="F136" s="1">
        <f>MAX(F3:F132)</f>
        <v>20</v>
      </c>
      <c r="G136" s="1">
        <f>MAX(G3:G132)</f>
        <v>20</v>
      </c>
      <c r="H136" s="1">
        <f>MAX(H3:H132)</f>
        <v>20</v>
      </c>
      <c r="I136" s="1">
        <f>MAX(I3:I132)</f>
        <v>20</v>
      </c>
      <c r="J136" s="1">
        <f>MAX(J3:J132)</f>
        <v>20</v>
      </c>
      <c r="K136" s="1">
        <f>MAX(K3:K132)</f>
        <v>20</v>
      </c>
      <c r="L136" s="1">
        <f>MAX(L3:L132)</f>
        <v>20</v>
      </c>
      <c r="M136" s="1">
        <f>MAX(M3:M132)</f>
        <v>15</v>
      </c>
      <c r="N136" s="1">
        <f>MAX(N3:N132)</f>
        <v>20</v>
      </c>
      <c r="O136" s="1">
        <f>MAX(O3:O132)</f>
        <v>20</v>
      </c>
      <c r="P136" s="1">
        <f>MAX(P3:P132)</f>
        <v>10</v>
      </c>
      <c r="Q136" s="1">
        <f>MAX(Q3:Q132)</f>
        <v>7</v>
      </c>
      <c r="R136" s="1">
        <f>MAX(R3:R132)</f>
        <v>10</v>
      </c>
      <c r="S136" s="1">
        <f>MAX(S3:S132)</f>
        <v>10</v>
      </c>
      <c r="T136" s="1">
        <f>MAX(T3:T132)</f>
        <v>7</v>
      </c>
      <c r="U136" s="1">
        <f>MAX(U3:U132)</f>
        <v>10</v>
      </c>
      <c r="V136" s="1">
        <f>MAX(V3:V132)</f>
        <v>10</v>
      </c>
      <c r="W136" s="1">
        <f>MAX(W3:W132)</f>
        <v>5</v>
      </c>
      <c r="X136" s="1">
        <f>MAX(X3:X132)</f>
        <v>10</v>
      </c>
      <c r="Y136" s="1">
        <f>MAX(Y3:Y132)</f>
        <v>10</v>
      </c>
      <c r="Z136" s="1">
        <f>MAX(Z3:Z132)</f>
        <v>5</v>
      </c>
      <c r="AA136" s="1">
        <f>MAX(AA3:AA132)</f>
        <v>10</v>
      </c>
      <c r="AB136" s="1">
        <f>MAX(AB3:AB132)</f>
        <v>10</v>
      </c>
      <c r="AC136" s="1">
        <f>MAX(AC3:AC132)</f>
        <v>5</v>
      </c>
      <c r="AD136" s="1">
        <f>MAX(AD3:AD132)</f>
        <v>10</v>
      </c>
      <c r="AE136" s="1">
        <f>MAX(AE3:AE132)</f>
        <v>200</v>
      </c>
      <c r="AF136" s="1">
        <f>MAX(AF3:AF132)</f>
        <v>5</v>
      </c>
      <c r="AG136" s="1">
        <f>MAX(AG3:AG132)</f>
        <v>5</v>
      </c>
      <c r="AH136" s="1">
        <f>MAX(AH3:AH132)</f>
        <v>5</v>
      </c>
      <c r="AI136" s="1">
        <f>MAX(AI3:AI132)</f>
        <v>5</v>
      </c>
      <c r="AJ136" s="1">
        <f>MAX(AJ3:AJ132)</f>
        <v>5</v>
      </c>
      <c r="AK136" s="1">
        <f>MAX(AK3:AK132)</f>
        <v>0</v>
      </c>
      <c r="AL136" s="1">
        <f>MAX(AL3:AL132)</f>
        <v>0</v>
      </c>
      <c r="AM136" s="1">
        <f>MAX(AM3:AM132)</f>
        <v>15</v>
      </c>
      <c r="AN136" s="1">
        <f>MAX(AN3:AN132)</f>
        <v>25</v>
      </c>
      <c r="AO136" s="1">
        <f>MAX(AO3:AO132)</f>
        <v>10</v>
      </c>
      <c r="AP136" s="1">
        <f>MAX(AP3:AP132)</f>
        <v>10</v>
      </c>
      <c r="AQ136" s="1">
        <f>MAX(AQ3:AQ132)</f>
        <v>15</v>
      </c>
      <c r="AR136" s="1">
        <f>MAX(AR3:AR132)</f>
        <v>15</v>
      </c>
      <c r="AS136" s="1">
        <f>MAX(AS3:AS132)</f>
        <v>15</v>
      </c>
      <c r="AT136" s="1">
        <f>MAX(AT3:AT132)</f>
        <v>20</v>
      </c>
      <c r="AU136" s="1">
        <f>MAX(AU3:AU132)</f>
        <v>10</v>
      </c>
      <c r="AV136" s="1">
        <f>MAX(AV3:AV132)</f>
        <v>40</v>
      </c>
      <c r="AW136" s="1">
        <f>MAX(AW3:AW132)</f>
        <v>40</v>
      </c>
      <c r="AX136" s="1">
        <f>MAX(AX3:AX132)</f>
        <v>20</v>
      </c>
      <c r="AY136" s="1">
        <f>MAX(AY3:AY132)</f>
        <v>15</v>
      </c>
      <c r="AZ136" s="1">
        <f>MAX(AZ3:AZ132)</f>
        <v>15</v>
      </c>
      <c r="BA136" s="1">
        <f>MAX(BA3:BA132)</f>
        <v>20</v>
      </c>
      <c r="BB136" s="1">
        <f>MAX(BB3:BB132)</f>
        <v>40</v>
      </c>
      <c r="BC136" s="1">
        <f>MAX(BC3:BC132)</f>
        <v>10</v>
      </c>
      <c r="BD136" s="1">
        <f>MAX(BD3:BD132)</f>
        <v>50</v>
      </c>
      <c r="BE136" s="1">
        <f>MAX(BE3:BE132)</f>
        <v>20</v>
      </c>
      <c r="BF136" s="1">
        <f>MAX(BF3:BF132)</f>
        <v>20</v>
      </c>
      <c r="BG136" s="1">
        <f>MAX(BG3:BG132)</f>
        <v>20</v>
      </c>
      <c r="BH136" s="1">
        <f>MAX(BH3:BH132)</f>
        <v>20</v>
      </c>
      <c r="BI136" s="1">
        <f>MAX(BI3:BI132)</f>
        <v>20</v>
      </c>
      <c r="BJ136" s="1">
        <f>MAX(BJ3:BJ132)</f>
        <v>50</v>
      </c>
      <c r="BK136" s="1">
        <f>MAX(BK3:BK132)</f>
        <v>50</v>
      </c>
      <c r="BL136" s="1">
        <f>MAX(BL3:BL132)</f>
        <v>50</v>
      </c>
      <c r="BM136" s="1">
        <f>MAX(BM3:BM132)</f>
        <v>50</v>
      </c>
      <c r="BN136" s="1">
        <f>MAX(BN3:BN132)</f>
        <v>50</v>
      </c>
      <c r="BO136" s="1">
        <f>MAX(BO3:BO132)</f>
        <v>50</v>
      </c>
      <c r="BP136" s="1"/>
      <c r="BQ136" s="1"/>
      <c r="BR136" s="17"/>
      <c r="BS136" s="17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</row>
    <row r="137" spans="1:97" x14ac:dyDescent="0.15">
      <c r="A137" s="1"/>
      <c r="B137" s="3" t="s">
        <v>217</v>
      </c>
      <c r="C137" s="1"/>
      <c r="D137" s="1"/>
      <c r="E137" s="1">
        <f>MIN(E3:E132)</f>
        <v>6</v>
      </c>
      <c r="F137" s="1">
        <f>MIN(F3:F132)</f>
        <v>5</v>
      </c>
      <c r="G137" s="1">
        <f>MIN(G3:G132)</f>
        <v>5</v>
      </c>
      <c r="H137" s="1">
        <f>MIN(H3:H132)</f>
        <v>5</v>
      </c>
      <c r="I137" s="1">
        <f>MIN(I3:I132)</f>
        <v>6</v>
      </c>
      <c r="J137" s="1">
        <f>MIN(J3:J132)</f>
        <v>6</v>
      </c>
      <c r="K137" s="1">
        <f>MIN(K3:K132)</f>
        <v>6</v>
      </c>
      <c r="L137" s="1">
        <f>MIN(L3:L132)</f>
        <v>6</v>
      </c>
      <c r="M137" s="1">
        <f>MIN(M3:M132)</f>
        <v>6</v>
      </c>
      <c r="N137" s="1">
        <f>MIN(N3:N132)</f>
        <v>6</v>
      </c>
      <c r="O137" s="1">
        <f>MIN(O3:O132)</f>
        <v>5</v>
      </c>
      <c r="P137" s="1">
        <f>MIN(P3:P132)</f>
        <v>10</v>
      </c>
      <c r="Q137" s="1">
        <f>MIN(Q3:Q132)</f>
        <v>5</v>
      </c>
      <c r="R137" s="1">
        <f>MIN(R3:R132)</f>
        <v>2</v>
      </c>
      <c r="S137" s="1">
        <f>MIN(S3:S132)</f>
        <v>10</v>
      </c>
      <c r="T137" s="1">
        <f>MIN(T3:T132)</f>
        <v>5</v>
      </c>
      <c r="U137" s="1">
        <f>MIN(U3:U132)</f>
        <v>2</v>
      </c>
      <c r="V137" s="1">
        <f>MIN(V3:V132)</f>
        <v>5</v>
      </c>
      <c r="W137" s="1">
        <f>MIN(W3:W132)</f>
        <v>5</v>
      </c>
      <c r="X137" s="1">
        <f>MIN(X3:X132)</f>
        <v>2</v>
      </c>
      <c r="Y137" s="1">
        <f>MIN(Y3:Y132)</f>
        <v>5</v>
      </c>
      <c r="Z137" s="1">
        <f>MIN(Z3:Z132)</f>
        <v>5</v>
      </c>
      <c r="AA137" s="1">
        <f>MIN(AA3:AA132)</f>
        <v>2</v>
      </c>
      <c r="AB137" s="1">
        <f>MIN(AB3:AB132)</f>
        <v>10</v>
      </c>
      <c r="AC137" s="1">
        <f>MIN(AC3:AC132)</f>
        <v>5</v>
      </c>
      <c r="AD137" s="1">
        <f>MIN(AD3:AD132)</f>
        <v>2</v>
      </c>
      <c r="AE137" s="1">
        <f>MIN(AE3:AE132)</f>
        <v>15</v>
      </c>
      <c r="AF137" s="1">
        <f>MIN(AF3:AF132)</f>
        <v>5</v>
      </c>
      <c r="AG137" s="1">
        <f>MIN(AG3:AG132)</f>
        <v>5</v>
      </c>
      <c r="AH137" s="1">
        <f>MIN(AH3:AH132)</f>
        <v>5</v>
      </c>
      <c r="AI137" s="1">
        <f>MIN(AI3:AI132)</f>
        <v>5</v>
      </c>
      <c r="AJ137" s="1">
        <f>MIN(AJ3:AJ132)</f>
        <v>5</v>
      </c>
      <c r="AK137" s="1">
        <f>MIN(AK3:AK132)</f>
        <v>0</v>
      </c>
      <c r="AL137" s="1">
        <f>MIN(AL3:AL132)</f>
        <v>0</v>
      </c>
      <c r="AM137" s="1">
        <f>MIN(AM3:AM132)</f>
        <v>5</v>
      </c>
      <c r="AN137" s="1">
        <f>MIN(AN3:AN132)</f>
        <v>5</v>
      </c>
      <c r="AO137" s="1">
        <f>MIN(AO3:AO132)</f>
        <v>2</v>
      </c>
      <c r="AP137" s="1">
        <f>MIN(AP3:AP132)</f>
        <v>1</v>
      </c>
      <c r="AQ137" s="1">
        <f>MIN(AQ3:AQ132)</f>
        <v>10</v>
      </c>
      <c r="AR137" s="1">
        <f>MIN(AR3:AR132)</f>
        <v>10</v>
      </c>
      <c r="AS137" s="1">
        <f>MIN(AS3:AS132)</f>
        <v>5</v>
      </c>
      <c r="AT137" s="1">
        <f>MIN(AT3:AT132)</f>
        <v>8</v>
      </c>
      <c r="AU137" s="1">
        <f>MIN(AU3:AU132)</f>
        <v>8</v>
      </c>
      <c r="AV137" s="1">
        <f>MIN(AV3:AV132)</f>
        <v>10</v>
      </c>
      <c r="AW137" s="1">
        <f>MIN(AW3:AW132)</f>
        <v>8</v>
      </c>
      <c r="AX137" s="1">
        <f>MIN(AX3:AX132)</f>
        <v>5</v>
      </c>
      <c r="AY137" s="1">
        <f>MIN(AY3:AY132)</f>
        <v>8</v>
      </c>
      <c r="AZ137" s="1">
        <f>MIN(AZ3:AZ132)</f>
        <v>10</v>
      </c>
      <c r="BA137" s="1">
        <f>MIN(BA3:BA132)</f>
        <v>5</v>
      </c>
      <c r="BB137" s="1">
        <f>MIN(BB3:BB132)</f>
        <v>5</v>
      </c>
      <c r="BC137" s="1">
        <f>MIN(BC3:BC132)</f>
        <v>10</v>
      </c>
      <c r="BD137" s="1">
        <f>MIN(BD3:BD132)</f>
        <v>20</v>
      </c>
      <c r="BE137" s="1">
        <f>MIN(BE3:BE132)</f>
        <v>20</v>
      </c>
      <c r="BF137" s="1">
        <f>MIN(BF3:BF132)</f>
        <v>20</v>
      </c>
      <c r="BG137" s="1">
        <f>MIN(BG3:BG132)</f>
        <v>20</v>
      </c>
      <c r="BH137" s="1">
        <f>MIN(BH3:BH132)</f>
        <v>15</v>
      </c>
      <c r="BI137" s="1">
        <f>MIN(BI3:BI132)</f>
        <v>15</v>
      </c>
      <c r="BJ137" s="1">
        <f>MIN(BJ3:BJ132)</f>
        <v>50</v>
      </c>
      <c r="BK137" s="1">
        <f>MIN(BK3:BK132)</f>
        <v>50</v>
      </c>
      <c r="BL137" s="1">
        <f>MIN(BL3:BL132)</f>
        <v>50</v>
      </c>
      <c r="BM137" s="1">
        <f>MIN(BM3:BM132)</f>
        <v>50</v>
      </c>
      <c r="BN137" s="1">
        <f>MIN(BN3:BN132)</f>
        <v>50</v>
      </c>
      <c r="BO137" s="1">
        <f>MIN(BO3:BO132)</f>
        <v>50</v>
      </c>
      <c r="BP137" s="1"/>
      <c r="BQ137" s="1"/>
      <c r="BR137" s="17"/>
      <c r="BS137" s="17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</row>
    <row r="138" spans="1:97" x14ac:dyDescent="0.15">
      <c r="A138" s="1"/>
      <c r="B138" s="3" t="s">
        <v>218</v>
      </c>
      <c r="C138" s="1"/>
      <c r="D138" s="1"/>
      <c r="E138" s="1">
        <f t="shared" ref="E138:AJ138" si="68">E134-E136</f>
        <v>-6</v>
      </c>
      <c r="F138" s="1">
        <f t="shared" si="68"/>
        <v>-19</v>
      </c>
      <c r="G138" s="1">
        <f t="shared" si="68"/>
        <v>-18</v>
      </c>
      <c r="H138" s="1">
        <f t="shared" si="68"/>
        <v>-19</v>
      </c>
      <c r="I138" s="1">
        <f t="shared" si="68"/>
        <v>-1</v>
      </c>
      <c r="J138" s="1">
        <f t="shared" si="68"/>
        <v>3</v>
      </c>
      <c r="K138" s="1">
        <f t="shared" si="68"/>
        <v>-14</v>
      </c>
      <c r="L138" s="1">
        <f t="shared" si="68"/>
        <v>27</v>
      </c>
      <c r="M138" s="1">
        <f t="shared" si="68"/>
        <v>-10</v>
      </c>
      <c r="N138" s="1">
        <f t="shared" si="68"/>
        <v>2</v>
      </c>
      <c r="O138" s="1">
        <f t="shared" si="68"/>
        <v>-20</v>
      </c>
      <c r="P138" s="1">
        <f t="shared" si="68"/>
        <v>-8</v>
      </c>
      <c r="Q138" s="1">
        <f t="shared" si="68"/>
        <v>-6</v>
      </c>
      <c r="R138" s="1">
        <f t="shared" si="68"/>
        <v>-8</v>
      </c>
      <c r="S138" s="1">
        <f t="shared" si="68"/>
        <v>-9</v>
      </c>
      <c r="T138" s="1">
        <f t="shared" si="68"/>
        <v>-2</v>
      </c>
      <c r="U138" s="1">
        <f t="shared" si="68"/>
        <v>-10</v>
      </c>
      <c r="V138" s="1">
        <f t="shared" si="68"/>
        <v>-8</v>
      </c>
      <c r="W138" s="1">
        <f t="shared" si="68"/>
        <v>-3</v>
      </c>
      <c r="X138" s="1">
        <f t="shared" si="68"/>
        <v>-4</v>
      </c>
      <c r="Y138" s="1">
        <f t="shared" si="68"/>
        <v>-10</v>
      </c>
      <c r="Z138" s="1">
        <f t="shared" si="68"/>
        <v>-4</v>
      </c>
      <c r="AA138" s="1">
        <f t="shared" si="68"/>
        <v>-9</v>
      </c>
      <c r="AB138" s="1">
        <f t="shared" si="68"/>
        <v>-2</v>
      </c>
      <c r="AC138" s="1">
        <f t="shared" si="68"/>
        <v>-3</v>
      </c>
      <c r="AD138" s="1">
        <f t="shared" si="68"/>
        <v>-6</v>
      </c>
      <c r="AE138" s="1">
        <f t="shared" si="68"/>
        <v>-191</v>
      </c>
      <c r="AF138" s="1">
        <f t="shared" si="68"/>
        <v>-5</v>
      </c>
      <c r="AG138" s="1">
        <f t="shared" si="68"/>
        <v>-5</v>
      </c>
      <c r="AH138" s="1">
        <f t="shared" si="68"/>
        <v>-5</v>
      </c>
      <c r="AI138" s="1">
        <f t="shared" si="68"/>
        <v>-5</v>
      </c>
      <c r="AJ138" s="1">
        <f t="shared" si="68"/>
        <v>-5</v>
      </c>
      <c r="AK138" s="1">
        <f t="shared" ref="AK138:BO138" si="69">AK134-AK136</f>
        <v>33</v>
      </c>
      <c r="AL138" s="1">
        <f t="shared" si="69"/>
        <v>43</v>
      </c>
      <c r="AM138" s="1">
        <f t="shared" si="69"/>
        <v>-4</v>
      </c>
      <c r="AN138" s="1">
        <f t="shared" si="69"/>
        <v>-25</v>
      </c>
      <c r="AO138" s="1">
        <f t="shared" si="69"/>
        <v>-10</v>
      </c>
      <c r="AP138" s="1">
        <f t="shared" si="69"/>
        <v>-10</v>
      </c>
      <c r="AQ138" s="1">
        <f t="shared" si="69"/>
        <v>-7</v>
      </c>
      <c r="AR138" s="1">
        <f t="shared" si="69"/>
        <v>-12</v>
      </c>
      <c r="AS138" s="1">
        <f t="shared" si="69"/>
        <v>-12</v>
      </c>
      <c r="AT138" s="1">
        <f t="shared" si="69"/>
        <v>-11</v>
      </c>
      <c r="AU138" s="1">
        <f t="shared" si="69"/>
        <v>1</v>
      </c>
      <c r="AV138" s="1">
        <f t="shared" si="69"/>
        <v>-29</v>
      </c>
      <c r="AW138" s="1">
        <f t="shared" si="69"/>
        <v>-35</v>
      </c>
      <c r="AX138" s="1">
        <f t="shared" si="69"/>
        <v>15</v>
      </c>
      <c r="AY138" s="1">
        <f t="shared" si="69"/>
        <v>-1</v>
      </c>
      <c r="AZ138" s="1">
        <f t="shared" si="69"/>
        <v>-14</v>
      </c>
      <c r="BA138" s="1">
        <f t="shared" si="69"/>
        <v>-20</v>
      </c>
      <c r="BB138" s="1">
        <f t="shared" si="69"/>
        <v>93</v>
      </c>
      <c r="BC138" s="1">
        <f t="shared" si="69"/>
        <v>-3</v>
      </c>
      <c r="BD138" s="1">
        <f t="shared" si="69"/>
        <v>64</v>
      </c>
      <c r="BE138" s="1">
        <f t="shared" si="69"/>
        <v>176</v>
      </c>
      <c r="BF138" s="1">
        <f t="shared" si="69"/>
        <v>173</v>
      </c>
      <c r="BG138" s="1">
        <f t="shared" si="69"/>
        <v>182</v>
      </c>
      <c r="BH138" s="1">
        <f t="shared" si="69"/>
        <v>73</v>
      </c>
      <c r="BI138" s="1">
        <f t="shared" si="69"/>
        <v>86</v>
      </c>
      <c r="BJ138" s="1">
        <f t="shared" si="69"/>
        <v>-25</v>
      </c>
      <c r="BK138" s="1">
        <f t="shared" si="69"/>
        <v>-25</v>
      </c>
      <c r="BL138" s="1">
        <f t="shared" si="69"/>
        <v>-1</v>
      </c>
      <c r="BM138" s="1">
        <f t="shared" si="69"/>
        <v>-50</v>
      </c>
      <c r="BN138" s="1">
        <f t="shared" si="69"/>
        <v>-45</v>
      </c>
      <c r="BO138" s="1">
        <f t="shared" si="69"/>
        <v>-50</v>
      </c>
      <c r="BP138" s="1"/>
      <c r="BQ138" s="1"/>
      <c r="BR138" s="17"/>
      <c r="BS138" s="17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</row>
    <row r="139" spans="1:97" s="13" customFormat="1" x14ac:dyDescent="0.15">
      <c r="A139" s="1"/>
      <c r="B139" s="3" t="s">
        <v>219</v>
      </c>
      <c r="C139" s="1"/>
      <c r="D139" s="1"/>
      <c r="E139" s="1">
        <f t="shared" ref="E139:AJ139" si="70">E134-E137</f>
        <v>8</v>
      </c>
      <c r="F139" s="1">
        <f t="shared" si="70"/>
        <v>-4</v>
      </c>
      <c r="G139" s="1">
        <f t="shared" si="70"/>
        <v>-3</v>
      </c>
      <c r="H139" s="1">
        <f t="shared" si="70"/>
        <v>-4</v>
      </c>
      <c r="I139" s="1">
        <f t="shared" si="70"/>
        <v>13</v>
      </c>
      <c r="J139" s="1">
        <f t="shared" si="70"/>
        <v>17</v>
      </c>
      <c r="K139" s="1">
        <f t="shared" si="70"/>
        <v>0</v>
      </c>
      <c r="L139" s="1">
        <f t="shared" si="70"/>
        <v>41</v>
      </c>
      <c r="M139" s="1">
        <f t="shared" si="70"/>
        <v>-1</v>
      </c>
      <c r="N139" s="1">
        <f t="shared" si="70"/>
        <v>16</v>
      </c>
      <c r="O139" s="1">
        <f t="shared" si="70"/>
        <v>-5</v>
      </c>
      <c r="P139" s="1">
        <f t="shared" si="70"/>
        <v>-8</v>
      </c>
      <c r="Q139" s="1">
        <f t="shared" si="70"/>
        <v>-4</v>
      </c>
      <c r="R139" s="1">
        <f t="shared" si="70"/>
        <v>0</v>
      </c>
      <c r="S139" s="1">
        <f t="shared" si="70"/>
        <v>-9</v>
      </c>
      <c r="T139" s="1">
        <f t="shared" si="70"/>
        <v>0</v>
      </c>
      <c r="U139" s="1">
        <f t="shared" si="70"/>
        <v>-2</v>
      </c>
      <c r="V139" s="1">
        <f t="shared" si="70"/>
        <v>-3</v>
      </c>
      <c r="W139" s="1">
        <f t="shared" si="70"/>
        <v>-3</v>
      </c>
      <c r="X139" s="1">
        <f t="shared" si="70"/>
        <v>4</v>
      </c>
      <c r="Y139" s="1">
        <f t="shared" si="70"/>
        <v>-5</v>
      </c>
      <c r="Z139" s="1">
        <f t="shared" si="70"/>
        <v>-4</v>
      </c>
      <c r="AA139" s="1">
        <f t="shared" si="70"/>
        <v>-1</v>
      </c>
      <c r="AB139" s="1">
        <f t="shared" si="70"/>
        <v>-2</v>
      </c>
      <c r="AC139" s="1">
        <f t="shared" si="70"/>
        <v>-3</v>
      </c>
      <c r="AD139" s="1">
        <f t="shared" si="70"/>
        <v>2</v>
      </c>
      <c r="AE139" s="1">
        <f t="shared" si="70"/>
        <v>-6</v>
      </c>
      <c r="AF139" s="1">
        <f t="shared" si="70"/>
        <v>-5</v>
      </c>
      <c r="AG139" s="1">
        <f t="shared" si="70"/>
        <v>-5</v>
      </c>
      <c r="AH139" s="1">
        <f t="shared" si="70"/>
        <v>-5</v>
      </c>
      <c r="AI139" s="1">
        <f t="shared" si="70"/>
        <v>-5</v>
      </c>
      <c r="AJ139" s="1">
        <f t="shared" si="70"/>
        <v>-5</v>
      </c>
      <c r="AK139" s="1">
        <f t="shared" ref="AK139:BO139" si="71">AK134-AK137</f>
        <v>33</v>
      </c>
      <c r="AL139" s="1">
        <f t="shared" si="71"/>
        <v>43</v>
      </c>
      <c r="AM139" s="1">
        <f t="shared" si="71"/>
        <v>6</v>
      </c>
      <c r="AN139" s="1">
        <f t="shared" si="71"/>
        <v>-5</v>
      </c>
      <c r="AO139" s="1">
        <f t="shared" si="71"/>
        <v>-2</v>
      </c>
      <c r="AP139" s="1">
        <f t="shared" si="71"/>
        <v>-1</v>
      </c>
      <c r="AQ139" s="1">
        <f t="shared" si="71"/>
        <v>-2</v>
      </c>
      <c r="AR139" s="1">
        <f t="shared" si="71"/>
        <v>-7</v>
      </c>
      <c r="AS139" s="1">
        <f t="shared" si="71"/>
        <v>-2</v>
      </c>
      <c r="AT139" s="1">
        <f t="shared" si="71"/>
        <v>1</v>
      </c>
      <c r="AU139" s="1">
        <f t="shared" si="71"/>
        <v>3</v>
      </c>
      <c r="AV139" s="1">
        <f t="shared" si="71"/>
        <v>1</v>
      </c>
      <c r="AW139" s="1">
        <f t="shared" si="71"/>
        <v>-3</v>
      </c>
      <c r="AX139" s="1">
        <f t="shared" si="71"/>
        <v>30</v>
      </c>
      <c r="AY139" s="1">
        <f t="shared" si="71"/>
        <v>6</v>
      </c>
      <c r="AZ139" s="1">
        <f t="shared" si="71"/>
        <v>-9</v>
      </c>
      <c r="BA139" s="1">
        <f t="shared" si="71"/>
        <v>-5</v>
      </c>
      <c r="BB139" s="1">
        <f t="shared" si="71"/>
        <v>128</v>
      </c>
      <c r="BC139" s="1">
        <f t="shared" si="71"/>
        <v>-3</v>
      </c>
      <c r="BD139" s="1">
        <f t="shared" si="71"/>
        <v>94</v>
      </c>
      <c r="BE139" s="1">
        <f t="shared" si="71"/>
        <v>176</v>
      </c>
      <c r="BF139" s="1">
        <f t="shared" si="71"/>
        <v>173</v>
      </c>
      <c r="BG139" s="1">
        <f t="shared" si="71"/>
        <v>182</v>
      </c>
      <c r="BH139" s="1">
        <f t="shared" si="71"/>
        <v>78</v>
      </c>
      <c r="BI139" s="1">
        <f t="shared" si="71"/>
        <v>91</v>
      </c>
      <c r="BJ139" s="1">
        <f t="shared" si="71"/>
        <v>-25</v>
      </c>
      <c r="BK139" s="1">
        <f t="shared" si="71"/>
        <v>-25</v>
      </c>
      <c r="BL139" s="1">
        <f t="shared" si="71"/>
        <v>-1</v>
      </c>
      <c r="BM139" s="1">
        <f t="shared" si="71"/>
        <v>-50</v>
      </c>
      <c r="BN139" s="1">
        <f t="shared" si="71"/>
        <v>-45</v>
      </c>
      <c r="BO139" s="1">
        <f t="shared" si="71"/>
        <v>-50</v>
      </c>
      <c r="BP139" s="1"/>
      <c r="BQ139" s="1"/>
      <c r="BR139" s="17"/>
      <c r="BS139" s="17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</row>
  </sheetData>
  <autoFilter ref="A1:BP132"/>
  <sortState ref="A2:CS140">
    <sortCondition ref="BR2:BR140"/>
    <sortCondition ref="BQ2:BQ140"/>
  </sortState>
  <phoneticPr fontId="1" type="noConversion"/>
  <conditionalFormatting sqref="E23">
    <cfRule type="cellIs" dxfId="4" priority="8" operator="greaterThan">
      <formula>$E$133</formula>
    </cfRule>
  </conditionalFormatting>
  <conditionalFormatting sqref="E134:BO1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" priority="12" operator="lessThan">
      <formula>0</formula>
    </cfRule>
  </conditionalFormatting>
  <conditionalFormatting sqref="E136:E138 F137:BO138">
    <cfRule type="expression" dxfId="2" priority="4">
      <formula>"&lt;=$E$135"</formula>
    </cfRule>
  </conditionalFormatting>
  <conditionalFormatting sqref="E137:BO138">
    <cfRule type="cellIs" dxfId="1" priority="1" operator="greaterThan">
      <formula>-1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139</xdr:row>
                    <xdr:rowOff>28575</xdr:rowOff>
                  </from>
                  <to>
                    <xdr:col>1</xdr:col>
                    <xdr:colOff>428625</xdr:colOff>
                    <xdr:row>140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89</v>
      </c>
      <c r="B1" s="5" t="s">
        <v>86</v>
      </c>
      <c r="C1" s="5" t="s">
        <v>90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3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220</v>
      </c>
      <c r="D27" t="s">
        <v>221</v>
      </c>
      <c r="E27" t="s">
        <v>222</v>
      </c>
      <c r="F27" t="s">
        <v>223</v>
      </c>
      <c r="G27" t="s">
        <v>224</v>
      </c>
      <c r="H27" t="s">
        <v>225</v>
      </c>
      <c r="I27" t="s">
        <v>226</v>
      </c>
      <c r="J27" t="s">
        <v>227</v>
      </c>
      <c r="K27" t="s">
        <v>228</v>
      </c>
      <c r="L27" t="s">
        <v>229</v>
      </c>
      <c r="M27" t="s">
        <v>230</v>
      </c>
      <c r="N27" t="s">
        <v>231</v>
      </c>
    </row>
    <row r="31" spans="3:18" x14ac:dyDescent="0.15">
      <c r="C31">
        <v>-3</v>
      </c>
      <c r="D31" t="s">
        <v>220</v>
      </c>
    </row>
    <row r="32" spans="3:18" x14ac:dyDescent="0.15">
      <c r="C32">
        <v>-8</v>
      </c>
      <c r="D32" t="s">
        <v>221</v>
      </c>
    </row>
    <row r="33" spans="3:4" x14ac:dyDescent="0.15">
      <c r="C33">
        <v>-3</v>
      </c>
      <c r="D33" t="s">
        <v>222</v>
      </c>
    </row>
    <row r="34" spans="3:4" x14ac:dyDescent="0.15">
      <c r="C34">
        <v>1</v>
      </c>
      <c r="D34" t="s">
        <v>223</v>
      </c>
    </row>
    <row r="35" spans="3:4" x14ac:dyDescent="0.15">
      <c r="C35">
        <v>3</v>
      </c>
      <c r="D35" t="s">
        <v>224</v>
      </c>
    </row>
    <row r="36" spans="3:4" x14ac:dyDescent="0.15">
      <c r="C36">
        <v>0</v>
      </c>
      <c r="D36" t="s">
        <v>225</v>
      </c>
    </row>
    <row r="37" spans="3:4" x14ac:dyDescent="0.15">
      <c r="C37">
        <v>-3</v>
      </c>
      <c r="D37" t="s">
        <v>226</v>
      </c>
    </row>
    <row r="38" spans="3:4" x14ac:dyDescent="0.15">
      <c r="C38">
        <v>30</v>
      </c>
      <c r="D38" t="s">
        <v>227</v>
      </c>
    </row>
    <row r="39" spans="3:4" x14ac:dyDescent="0.15">
      <c r="C39">
        <v>5</v>
      </c>
      <c r="D39" t="s">
        <v>228</v>
      </c>
    </row>
    <row r="40" spans="3:4" x14ac:dyDescent="0.15">
      <c r="C40">
        <v>-10</v>
      </c>
      <c r="D40" t="s">
        <v>229</v>
      </c>
    </row>
    <row r="41" spans="3:4" x14ac:dyDescent="0.15">
      <c r="C41">
        <v>3</v>
      </c>
      <c r="D41" t="s">
        <v>230</v>
      </c>
    </row>
    <row r="42" spans="3:4" x14ac:dyDescent="0.15">
      <c r="C42">
        <v>138</v>
      </c>
      <c r="D42" t="s">
        <v>231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96</v>
      </c>
      <c r="B1" s="8" t="s">
        <v>97</v>
      </c>
      <c r="C1" s="8" t="s">
        <v>98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2020-03-02T07:08:24Z</dcterms:modified>
</cp:coreProperties>
</file>