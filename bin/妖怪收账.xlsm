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0" yWindow="0" windowWidth="25200" windowHeight="11985"/>
  </bookViews>
  <sheets>
    <sheet name="Sheet1" sheetId="1" r:id="rId1"/>
    <sheet name="Sheet2" sheetId="2" r:id="rId2"/>
    <sheet name="Sheet3" sheetId="3" r:id="rId3"/>
    <sheet name="Sheet4" sheetId="4" r:id="rId4"/>
  </sheets>
  <functionGroups builtInGroupCount="18"/>
  <definedNames>
    <definedName name="_xlnm._FilterDatabase" localSheetId="0" hidden="1">Sheet1!$A$1:$BJ$94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96" i="1" l="1"/>
  <c r="G96" i="1"/>
  <c r="H96" i="1"/>
  <c r="I96" i="1"/>
  <c r="J96" i="1"/>
  <c r="K96" i="1"/>
  <c r="L96" i="1"/>
  <c r="M96" i="1"/>
  <c r="N96" i="1"/>
  <c r="O96" i="1"/>
  <c r="P96" i="1"/>
  <c r="Q96" i="1"/>
  <c r="R96" i="1"/>
  <c r="S96" i="1"/>
  <c r="T96" i="1"/>
  <c r="U96" i="1"/>
  <c r="V96" i="1"/>
  <c r="W96" i="1"/>
  <c r="X96" i="1"/>
  <c r="Y96" i="1"/>
  <c r="Z96" i="1"/>
  <c r="AA96" i="1"/>
  <c r="AB96" i="1"/>
  <c r="AC96" i="1"/>
  <c r="AD96" i="1"/>
  <c r="AE96" i="1"/>
  <c r="AF96" i="1"/>
  <c r="AG96" i="1"/>
  <c r="AH96" i="1"/>
  <c r="AI96" i="1"/>
  <c r="AJ96" i="1"/>
  <c r="AK96" i="1"/>
  <c r="AL96" i="1"/>
  <c r="AM96" i="1"/>
  <c r="AN96" i="1"/>
  <c r="AO96" i="1"/>
  <c r="AP96" i="1"/>
  <c r="AQ96" i="1"/>
  <c r="AR96" i="1"/>
  <c r="AS96" i="1"/>
  <c r="AT96" i="1"/>
  <c r="AU96" i="1"/>
  <c r="AV96" i="1"/>
  <c r="AW96" i="1"/>
  <c r="AX96" i="1"/>
  <c r="AY96" i="1"/>
  <c r="AZ96" i="1"/>
  <c r="BA96" i="1"/>
  <c r="BB96" i="1"/>
  <c r="BC96" i="1"/>
  <c r="BD96" i="1"/>
  <c r="BE96" i="1"/>
  <c r="BF96" i="1"/>
  <c r="BG96" i="1"/>
  <c r="BH96" i="1"/>
  <c r="BI96" i="1"/>
  <c r="E96" i="1"/>
  <c r="BN3" i="1" l="1"/>
  <c r="BO3" i="1"/>
  <c r="BP3" i="1"/>
  <c r="BQ3" i="1"/>
  <c r="BR3" i="1"/>
  <c r="BS3" i="1"/>
  <c r="BT3" i="1"/>
  <c r="BU3" i="1"/>
  <c r="BV3" i="1"/>
  <c r="BW3" i="1"/>
  <c r="BX3" i="1"/>
  <c r="BY3" i="1"/>
  <c r="BN4" i="1"/>
  <c r="BO4" i="1"/>
  <c r="BP4" i="1"/>
  <c r="BQ4" i="1"/>
  <c r="BR4" i="1"/>
  <c r="BS4" i="1"/>
  <c r="BT4" i="1"/>
  <c r="BU4" i="1"/>
  <c r="BV4" i="1"/>
  <c r="BW4" i="1"/>
  <c r="BX4" i="1"/>
  <c r="BY4" i="1"/>
  <c r="BN5" i="1"/>
  <c r="BO5" i="1"/>
  <c r="BP5" i="1"/>
  <c r="BQ5" i="1"/>
  <c r="BR5" i="1"/>
  <c r="BS5" i="1"/>
  <c r="BT5" i="1"/>
  <c r="BU5" i="1"/>
  <c r="BV5" i="1"/>
  <c r="BW5" i="1"/>
  <c r="BX5" i="1"/>
  <c r="BY5" i="1"/>
  <c r="BN6" i="1"/>
  <c r="BO6" i="1"/>
  <c r="BP6" i="1"/>
  <c r="BQ6" i="1"/>
  <c r="BR6" i="1"/>
  <c r="BS6" i="1"/>
  <c r="BT6" i="1"/>
  <c r="BU6" i="1"/>
  <c r="BV6" i="1"/>
  <c r="BW6" i="1"/>
  <c r="BX6" i="1"/>
  <c r="BY6" i="1"/>
  <c r="BN7" i="1"/>
  <c r="BO7" i="1"/>
  <c r="BP7" i="1"/>
  <c r="BQ7" i="1"/>
  <c r="BR7" i="1"/>
  <c r="BS7" i="1"/>
  <c r="BT7" i="1"/>
  <c r="BU7" i="1"/>
  <c r="BV7" i="1"/>
  <c r="BW7" i="1"/>
  <c r="BX7" i="1"/>
  <c r="BY7" i="1"/>
  <c r="BN8" i="1"/>
  <c r="BO8" i="1"/>
  <c r="BP8" i="1"/>
  <c r="BQ8" i="1"/>
  <c r="BR8" i="1"/>
  <c r="BS8" i="1"/>
  <c r="BT8" i="1"/>
  <c r="BU8" i="1"/>
  <c r="BV8" i="1"/>
  <c r="BW8" i="1"/>
  <c r="BX8" i="1"/>
  <c r="BY8" i="1"/>
  <c r="BN9" i="1"/>
  <c r="BO9" i="1"/>
  <c r="BP9" i="1"/>
  <c r="BQ9" i="1"/>
  <c r="BR9" i="1"/>
  <c r="BS9" i="1"/>
  <c r="BT9" i="1"/>
  <c r="BU9" i="1"/>
  <c r="BV9" i="1"/>
  <c r="BW9" i="1"/>
  <c r="BX9" i="1"/>
  <c r="BY9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N26" i="1"/>
  <c r="BO26" i="1"/>
  <c r="BP26" i="1"/>
  <c r="BQ26" i="1"/>
  <c r="BR26" i="1"/>
  <c r="BS26" i="1"/>
  <c r="BT26" i="1"/>
  <c r="BU26" i="1"/>
  <c r="BV26" i="1"/>
  <c r="BW26" i="1"/>
  <c r="BX26" i="1"/>
  <c r="BY26" i="1"/>
  <c r="BN12" i="1"/>
  <c r="BO12" i="1"/>
  <c r="BP12" i="1"/>
  <c r="BQ12" i="1"/>
  <c r="BR12" i="1"/>
  <c r="BS12" i="1"/>
  <c r="BT12" i="1"/>
  <c r="BU12" i="1"/>
  <c r="BV12" i="1"/>
  <c r="BW12" i="1"/>
  <c r="BX12" i="1"/>
  <c r="BY12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N17" i="1"/>
  <c r="BO17" i="1"/>
  <c r="BP17" i="1"/>
  <c r="BQ17" i="1"/>
  <c r="BR17" i="1"/>
  <c r="BS17" i="1"/>
  <c r="BT17" i="1"/>
  <c r="BU17" i="1"/>
  <c r="BV17" i="1"/>
  <c r="BW17" i="1"/>
  <c r="BX17" i="1"/>
  <c r="BY17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N40" i="1"/>
  <c r="BO40" i="1"/>
  <c r="BP40" i="1"/>
  <c r="BQ40" i="1"/>
  <c r="BR40" i="1"/>
  <c r="BS40" i="1"/>
  <c r="BT40" i="1"/>
  <c r="BU40" i="1"/>
  <c r="BV40" i="1"/>
  <c r="BW40" i="1"/>
  <c r="BX40" i="1"/>
  <c r="BY40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N20" i="1"/>
  <c r="BO20" i="1"/>
  <c r="BP20" i="1"/>
  <c r="BQ20" i="1"/>
  <c r="BR20" i="1"/>
  <c r="BS20" i="1"/>
  <c r="BT20" i="1"/>
  <c r="BU20" i="1"/>
  <c r="BV20" i="1"/>
  <c r="BW20" i="1"/>
  <c r="BX20" i="1"/>
  <c r="BY20" i="1"/>
  <c r="BN21" i="1"/>
  <c r="BO21" i="1"/>
  <c r="BP21" i="1"/>
  <c r="BQ21" i="1"/>
  <c r="BR21" i="1"/>
  <c r="BS21" i="1"/>
  <c r="BT21" i="1"/>
  <c r="BU21" i="1"/>
  <c r="BV21" i="1"/>
  <c r="BW21" i="1"/>
  <c r="BX21" i="1"/>
  <c r="BY21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N23" i="1"/>
  <c r="BO23" i="1"/>
  <c r="BP23" i="1"/>
  <c r="BQ23" i="1"/>
  <c r="BR23" i="1"/>
  <c r="BS23" i="1"/>
  <c r="BT23" i="1"/>
  <c r="BU23" i="1"/>
  <c r="BV23" i="1"/>
  <c r="BW23" i="1"/>
  <c r="BX23" i="1"/>
  <c r="BY23" i="1"/>
  <c r="BN41" i="1"/>
  <c r="BO41" i="1"/>
  <c r="BP41" i="1"/>
  <c r="BQ41" i="1"/>
  <c r="BR41" i="1"/>
  <c r="BS41" i="1"/>
  <c r="BT41" i="1"/>
  <c r="BU41" i="1"/>
  <c r="BV41" i="1"/>
  <c r="BW41" i="1"/>
  <c r="BX41" i="1"/>
  <c r="BY41" i="1"/>
  <c r="BN42" i="1"/>
  <c r="BO42" i="1"/>
  <c r="BP42" i="1"/>
  <c r="BQ42" i="1"/>
  <c r="BR42" i="1"/>
  <c r="BS42" i="1"/>
  <c r="BT42" i="1"/>
  <c r="BU42" i="1"/>
  <c r="BV42" i="1"/>
  <c r="BW42" i="1"/>
  <c r="BX42" i="1"/>
  <c r="BY42" i="1"/>
  <c r="BN43" i="1"/>
  <c r="BO43" i="1"/>
  <c r="BP43" i="1"/>
  <c r="BQ43" i="1"/>
  <c r="BR43" i="1"/>
  <c r="BS43" i="1"/>
  <c r="BT43" i="1"/>
  <c r="BU43" i="1"/>
  <c r="BV43" i="1"/>
  <c r="BW43" i="1"/>
  <c r="BX43" i="1"/>
  <c r="BY43" i="1"/>
  <c r="BN24" i="1"/>
  <c r="BO24" i="1"/>
  <c r="BP24" i="1"/>
  <c r="BQ24" i="1"/>
  <c r="BR24" i="1"/>
  <c r="BS24" i="1"/>
  <c r="BT24" i="1"/>
  <c r="BU24" i="1"/>
  <c r="BV24" i="1"/>
  <c r="BW24" i="1"/>
  <c r="BX24" i="1"/>
  <c r="BY24" i="1"/>
  <c r="BN56" i="1"/>
  <c r="BO56" i="1"/>
  <c r="BP56" i="1"/>
  <c r="BQ56" i="1"/>
  <c r="BR56" i="1"/>
  <c r="BS56" i="1"/>
  <c r="BT56" i="1"/>
  <c r="BU56" i="1"/>
  <c r="BV56" i="1"/>
  <c r="BW56" i="1"/>
  <c r="BX56" i="1"/>
  <c r="BY56" i="1"/>
  <c r="BN25" i="1"/>
  <c r="BO25" i="1"/>
  <c r="BP25" i="1"/>
  <c r="BQ25" i="1"/>
  <c r="BR25" i="1"/>
  <c r="BS25" i="1"/>
  <c r="BT25" i="1"/>
  <c r="BU25" i="1"/>
  <c r="BV25" i="1"/>
  <c r="BW25" i="1"/>
  <c r="BX25" i="1"/>
  <c r="BY25" i="1"/>
  <c r="BN57" i="1"/>
  <c r="BO57" i="1"/>
  <c r="BP57" i="1"/>
  <c r="BQ57" i="1"/>
  <c r="BR57" i="1"/>
  <c r="BS57" i="1"/>
  <c r="BT57" i="1"/>
  <c r="BU57" i="1"/>
  <c r="BV57" i="1"/>
  <c r="BW57" i="1"/>
  <c r="BX57" i="1"/>
  <c r="BY57" i="1"/>
  <c r="BN27" i="1"/>
  <c r="BO27" i="1"/>
  <c r="BP27" i="1"/>
  <c r="BQ27" i="1"/>
  <c r="BR27" i="1"/>
  <c r="BS27" i="1"/>
  <c r="BT27" i="1"/>
  <c r="BU27" i="1"/>
  <c r="BV27" i="1"/>
  <c r="BW27" i="1"/>
  <c r="BX27" i="1"/>
  <c r="BY27" i="1"/>
  <c r="BN28" i="1"/>
  <c r="BO28" i="1"/>
  <c r="BP28" i="1"/>
  <c r="BQ28" i="1"/>
  <c r="BR28" i="1"/>
  <c r="BS28" i="1"/>
  <c r="BT28" i="1"/>
  <c r="BU28" i="1"/>
  <c r="BV28" i="1"/>
  <c r="BW28" i="1"/>
  <c r="BX28" i="1"/>
  <c r="BY28" i="1"/>
  <c r="BN29" i="1"/>
  <c r="BO29" i="1"/>
  <c r="BP29" i="1"/>
  <c r="BQ29" i="1"/>
  <c r="BR29" i="1"/>
  <c r="BS29" i="1"/>
  <c r="BT29" i="1"/>
  <c r="BU29" i="1"/>
  <c r="BV29" i="1"/>
  <c r="BW29" i="1"/>
  <c r="BX29" i="1"/>
  <c r="BY29" i="1"/>
  <c r="BN30" i="1"/>
  <c r="BO30" i="1"/>
  <c r="BP30" i="1"/>
  <c r="BQ30" i="1"/>
  <c r="BR30" i="1"/>
  <c r="BS30" i="1"/>
  <c r="BT30" i="1"/>
  <c r="BU30" i="1"/>
  <c r="BV30" i="1"/>
  <c r="BW30" i="1"/>
  <c r="BX30" i="1"/>
  <c r="BY30" i="1"/>
  <c r="BN31" i="1"/>
  <c r="BO31" i="1"/>
  <c r="BP31" i="1"/>
  <c r="BQ31" i="1"/>
  <c r="BR31" i="1"/>
  <c r="BS31" i="1"/>
  <c r="BT31" i="1"/>
  <c r="BU31" i="1"/>
  <c r="BV31" i="1"/>
  <c r="BW31" i="1"/>
  <c r="BX31" i="1"/>
  <c r="BY31" i="1"/>
  <c r="BN32" i="1"/>
  <c r="BO32" i="1"/>
  <c r="BP32" i="1"/>
  <c r="BQ32" i="1"/>
  <c r="BR32" i="1"/>
  <c r="BS32" i="1"/>
  <c r="BT32" i="1"/>
  <c r="BU32" i="1"/>
  <c r="BV32" i="1"/>
  <c r="BW32" i="1"/>
  <c r="BX32" i="1"/>
  <c r="BY32" i="1"/>
  <c r="BN33" i="1"/>
  <c r="BO33" i="1"/>
  <c r="BP33" i="1"/>
  <c r="BQ33" i="1"/>
  <c r="BR33" i="1"/>
  <c r="BS33" i="1"/>
  <c r="BT33" i="1"/>
  <c r="BU33" i="1"/>
  <c r="BV33" i="1"/>
  <c r="BW33" i="1"/>
  <c r="BX33" i="1"/>
  <c r="BY33" i="1"/>
  <c r="BN34" i="1"/>
  <c r="BO34" i="1"/>
  <c r="BP34" i="1"/>
  <c r="BQ34" i="1"/>
  <c r="BR34" i="1"/>
  <c r="BS34" i="1"/>
  <c r="BT34" i="1"/>
  <c r="BU34" i="1"/>
  <c r="BV34" i="1"/>
  <c r="BW34" i="1"/>
  <c r="BX34" i="1"/>
  <c r="BY34" i="1"/>
  <c r="BN35" i="1"/>
  <c r="BO35" i="1"/>
  <c r="BP35" i="1"/>
  <c r="BQ35" i="1"/>
  <c r="BR35" i="1"/>
  <c r="BS35" i="1"/>
  <c r="BT35" i="1"/>
  <c r="BU35" i="1"/>
  <c r="BV35" i="1"/>
  <c r="BW35" i="1"/>
  <c r="BX35" i="1"/>
  <c r="BY35" i="1"/>
  <c r="BN36" i="1"/>
  <c r="BO36" i="1"/>
  <c r="BP36" i="1"/>
  <c r="BQ36" i="1"/>
  <c r="BR36" i="1"/>
  <c r="BS36" i="1"/>
  <c r="BT36" i="1"/>
  <c r="BU36" i="1"/>
  <c r="BV36" i="1"/>
  <c r="BW36" i="1"/>
  <c r="BX36" i="1"/>
  <c r="BY36" i="1"/>
  <c r="BN37" i="1"/>
  <c r="BO37" i="1"/>
  <c r="BP37" i="1"/>
  <c r="BQ37" i="1"/>
  <c r="BR37" i="1"/>
  <c r="BS37" i="1"/>
  <c r="BT37" i="1"/>
  <c r="BU37" i="1"/>
  <c r="BV37" i="1"/>
  <c r="BW37" i="1"/>
  <c r="BX37" i="1"/>
  <c r="BY37" i="1"/>
  <c r="BN38" i="1"/>
  <c r="BO38" i="1"/>
  <c r="BP38" i="1"/>
  <c r="BQ38" i="1"/>
  <c r="BR38" i="1"/>
  <c r="BS38" i="1"/>
  <c r="BT38" i="1"/>
  <c r="BU38" i="1"/>
  <c r="BV38" i="1"/>
  <c r="BW38" i="1"/>
  <c r="BX38" i="1"/>
  <c r="BY38" i="1"/>
  <c r="BN39" i="1"/>
  <c r="BO39" i="1"/>
  <c r="BP39" i="1"/>
  <c r="BQ39" i="1"/>
  <c r="BR39" i="1"/>
  <c r="BS39" i="1"/>
  <c r="BT39" i="1"/>
  <c r="BU39" i="1"/>
  <c r="BV39" i="1"/>
  <c r="BW39" i="1"/>
  <c r="BX39" i="1"/>
  <c r="BY39" i="1"/>
  <c r="BN44" i="1"/>
  <c r="BO44" i="1"/>
  <c r="BP44" i="1"/>
  <c r="BQ44" i="1"/>
  <c r="BR44" i="1"/>
  <c r="BS44" i="1"/>
  <c r="BT44" i="1"/>
  <c r="BU44" i="1"/>
  <c r="BV44" i="1"/>
  <c r="BW44" i="1"/>
  <c r="BX44" i="1"/>
  <c r="BY44" i="1"/>
  <c r="BN45" i="1"/>
  <c r="BO45" i="1"/>
  <c r="BP45" i="1"/>
  <c r="BQ45" i="1"/>
  <c r="BR45" i="1"/>
  <c r="BS45" i="1"/>
  <c r="BT45" i="1"/>
  <c r="BU45" i="1"/>
  <c r="BV45" i="1"/>
  <c r="BW45" i="1"/>
  <c r="BX45" i="1"/>
  <c r="BY45" i="1"/>
  <c r="BN46" i="1"/>
  <c r="BO46" i="1"/>
  <c r="BP46" i="1"/>
  <c r="BQ46" i="1"/>
  <c r="BR46" i="1"/>
  <c r="BS46" i="1"/>
  <c r="BT46" i="1"/>
  <c r="BU46" i="1"/>
  <c r="BV46" i="1"/>
  <c r="BW46" i="1"/>
  <c r="BX46" i="1"/>
  <c r="BY46" i="1"/>
  <c r="BN51" i="1"/>
  <c r="BO51" i="1"/>
  <c r="BP51" i="1"/>
  <c r="BQ51" i="1"/>
  <c r="BR51" i="1"/>
  <c r="BS51" i="1"/>
  <c r="BT51" i="1"/>
  <c r="BU51" i="1"/>
  <c r="BV51" i="1"/>
  <c r="BW51" i="1"/>
  <c r="BX51" i="1"/>
  <c r="BY51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N48" i="1"/>
  <c r="BO48" i="1"/>
  <c r="BP48" i="1"/>
  <c r="BQ48" i="1"/>
  <c r="BR48" i="1"/>
  <c r="BS48" i="1"/>
  <c r="BT48" i="1"/>
  <c r="BU48" i="1"/>
  <c r="BV48" i="1"/>
  <c r="BW48" i="1"/>
  <c r="BX48" i="1"/>
  <c r="BY48" i="1"/>
  <c r="BN49" i="1"/>
  <c r="BO49" i="1"/>
  <c r="BP49" i="1"/>
  <c r="BQ49" i="1"/>
  <c r="BR49" i="1"/>
  <c r="BS49" i="1"/>
  <c r="BT49" i="1"/>
  <c r="BU49" i="1"/>
  <c r="BV49" i="1"/>
  <c r="BW49" i="1"/>
  <c r="BX49" i="1"/>
  <c r="BY49" i="1"/>
  <c r="BN50" i="1"/>
  <c r="BO50" i="1"/>
  <c r="BP50" i="1"/>
  <c r="BQ50" i="1"/>
  <c r="BR50" i="1"/>
  <c r="BS50" i="1"/>
  <c r="BT50" i="1"/>
  <c r="BU50" i="1"/>
  <c r="BV50" i="1"/>
  <c r="BW50" i="1"/>
  <c r="BX50" i="1"/>
  <c r="BY50" i="1"/>
  <c r="BN52" i="1"/>
  <c r="BO52" i="1"/>
  <c r="BP52" i="1"/>
  <c r="BQ52" i="1"/>
  <c r="BR52" i="1"/>
  <c r="BS52" i="1"/>
  <c r="BT52" i="1"/>
  <c r="BU52" i="1"/>
  <c r="BV52" i="1"/>
  <c r="BW52" i="1"/>
  <c r="BX52" i="1"/>
  <c r="BY52" i="1"/>
  <c r="BN53" i="1"/>
  <c r="BO53" i="1"/>
  <c r="BP53" i="1"/>
  <c r="BQ53" i="1"/>
  <c r="BR53" i="1"/>
  <c r="BS53" i="1"/>
  <c r="BT53" i="1"/>
  <c r="BU53" i="1"/>
  <c r="BV53" i="1"/>
  <c r="BW53" i="1"/>
  <c r="BX53" i="1"/>
  <c r="BY53" i="1"/>
  <c r="BN60" i="1"/>
  <c r="BO60" i="1"/>
  <c r="BP60" i="1"/>
  <c r="BQ60" i="1"/>
  <c r="BR60" i="1"/>
  <c r="BS60" i="1"/>
  <c r="BT60" i="1"/>
  <c r="BU60" i="1"/>
  <c r="BV60" i="1"/>
  <c r="BW60" i="1"/>
  <c r="BX60" i="1"/>
  <c r="BY60" i="1"/>
  <c r="BN54" i="1"/>
  <c r="BO54" i="1"/>
  <c r="BP54" i="1"/>
  <c r="BQ54" i="1"/>
  <c r="BR54" i="1"/>
  <c r="BS54" i="1"/>
  <c r="BT54" i="1"/>
  <c r="BU54" i="1"/>
  <c r="BV54" i="1"/>
  <c r="BW54" i="1"/>
  <c r="BX54" i="1"/>
  <c r="BY54" i="1"/>
  <c r="BN55" i="1"/>
  <c r="BO55" i="1"/>
  <c r="BP55" i="1"/>
  <c r="BQ55" i="1"/>
  <c r="BR55" i="1"/>
  <c r="BS55" i="1"/>
  <c r="BT55" i="1"/>
  <c r="BU55" i="1"/>
  <c r="BV55" i="1"/>
  <c r="BW55" i="1"/>
  <c r="BX55" i="1"/>
  <c r="BY55" i="1"/>
  <c r="BN62" i="1"/>
  <c r="BO62" i="1"/>
  <c r="BP62" i="1"/>
  <c r="BQ62" i="1"/>
  <c r="BR62" i="1"/>
  <c r="BS62" i="1"/>
  <c r="BT62" i="1"/>
  <c r="BU62" i="1"/>
  <c r="BV62" i="1"/>
  <c r="BW62" i="1"/>
  <c r="BX62" i="1"/>
  <c r="BY62" i="1"/>
  <c r="BN58" i="1"/>
  <c r="BO58" i="1"/>
  <c r="BP58" i="1"/>
  <c r="BQ58" i="1"/>
  <c r="BR58" i="1"/>
  <c r="BS58" i="1"/>
  <c r="BT58" i="1"/>
  <c r="BU58" i="1"/>
  <c r="BV58" i="1"/>
  <c r="BW58" i="1"/>
  <c r="BX58" i="1"/>
  <c r="BY58" i="1"/>
  <c r="BN59" i="1"/>
  <c r="BO59" i="1"/>
  <c r="BP59" i="1"/>
  <c r="BQ59" i="1"/>
  <c r="BR59" i="1"/>
  <c r="BS59" i="1"/>
  <c r="BT59" i="1"/>
  <c r="BU59" i="1"/>
  <c r="BV59" i="1"/>
  <c r="BW59" i="1"/>
  <c r="BX59" i="1"/>
  <c r="BY59" i="1"/>
  <c r="BN67" i="1"/>
  <c r="BO67" i="1"/>
  <c r="BP67" i="1"/>
  <c r="BQ67" i="1"/>
  <c r="BR67" i="1"/>
  <c r="BS67" i="1"/>
  <c r="BT67" i="1"/>
  <c r="BU67" i="1"/>
  <c r="BV67" i="1"/>
  <c r="BW67" i="1"/>
  <c r="BX67" i="1"/>
  <c r="BY67" i="1"/>
  <c r="BN61" i="1"/>
  <c r="BO61" i="1"/>
  <c r="BP61" i="1"/>
  <c r="BQ61" i="1"/>
  <c r="BR61" i="1"/>
  <c r="BS61" i="1"/>
  <c r="BT61" i="1"/>
  <c r="BU61" i="1"/>
  <c r="BV61" i="1"/>
  <c r="BW61" i="1"/>
  <c r="BX61" i="1"/>
  <c r="BY61" i="1"/>
  <c r="BN63" i="1"/>
  <c r="BO63" i="1"/>
  <c r="BP63" i="1"/>
  <c r="BQ63" i="1"/>
  <c r="BR63" i="1"/>
  <c r="BS63" i="1"/>
  <c r="BT63" i="1"/>
  <c r="BU63" i="1"/>
  <c r="BV63" i="1"/>
  <c r="BW63" i="1"/>
  <c r="BX63" i="1"/>
  <c r="BY63" i="1"/>
  <c r="BN69" i="1"/>
  <c r="BO69" i="1"/>
  <c r="BP69" i="1"/>
  <c r="BQ69" i="1"/>
  <c r="BR69" i="1"/>
  <c r="BS69" i="1"/>
  <c r="BT69" i="1"/>
  <c r="BU69" i="1"/>
  <c r="BV69" i="1"/>
  <c r="BW69" i="1"/>
  <c r="BX69" i="1"/>
  <c r="BY69" i="1"/>
  <c r="BN64" i="1"/>
  <c r="BO64" i="1"/>
  <c r="BP64" i="1"/>
  <c r="BQ64" i="1"/>
  <c r="BR64" i="1"/>
  <c r="BS64" i="1"/>
  <c r="BT64" i="1"/>
  <c r="BU64" i="1"/>
  <c r="BV64" i="1"/>
  <c r="BW64" i="1"/>
  <c r="BX64" i="1"/>
  <c r="BY64" i="1"/>
  <c r="BN65" i="1"/>
  <c r="BO65" i="1"/>
  <c r="BP65" i="1"/>
  <c r="BQ65" i="1"/>
  <c r="BR65" i="1"/>
  <c r="BS65" i="1"/>
  <c r="BT65" i="1"/>
  <c r="BU65" i="1"/>
  <c r="BV65" i="1"/>
  <c r="BW65" i="1"/>
  <c r="BX65" i="1"/>
  <c r="BY65" i="1"/>
  <c r="BN66" i="1"/>
  <c r="BO66" i="1"/>
  <c r="BP66" i="1"/>
  <c r="BQ66" i="1"/>
  <c r="BR66" i="1"/>
  <c r="BS66" i="1"/>
  <c r="BT66" i="1"/>
  <c r="BU66" i="1"/>
  <c r="BV66" i="1"/>
  <c r="BW66" i="1"/>
  <c r="BX66" i="1"/>
  <c r="BY66" i="1"/>
  <c r="BN72" i="1"/>
  <c r="BO72" i="1"/>
  <c r="BP72" i="1"/>
  <c r="BQ72" i="1"/>
  <c r="BR72" i="1"/>
  <c r="BS72" i="1"/>
  <c r="BT72" i="1"/>
  <c r="BU72" i="1"/>
  <c r="BV72" i="1"/>
  <c r="BW72" i="1"/>
  <c r="BX72" i="1"/>
  <c r="BY72" i="1"/>
  <c r="BN73" i="1"/>
  <c r="BO73" i="1"/>
  <c r="BP73" i="1"/>
  <c r="BQ73" i="1"/>
  <c r="BR73" i="1"/>
  <c r="BS73" i="1"/>
  <c r="BT73" i="1"/>
  <c r="BU73" i="1"/>
  <c r="BV73" i="1"/>
  <c r="BW73" i="1"/>
  <c r="BX73" i="1"/>
  <c r="BY73" i="1"/>
  <c r="BN74" i="1"/>
  <c r="BO74" i="1"/>
  <c r="BP74" i="1"/>
  <c r="BQ74" i="1"/>
  <c r="BR74" i="1"/>
  <c r="BS74" i="1"/>
  <c r="BT74" i="1"/>
  <c r="BU74" i="1"/>
  <c r="BV74" i="1"/>
  <c r="BW74" i="1"/>
  <c r="BX74" i="1"/>
  <c r="BY74" i="1"/>
  <c r="BN70" i="1"/>
  <c r="BO70" i="1"/>
  <c r="BP70" i="1"/>
  <c r="BQ70" i="1"/>
  <c r="BR70" i="1"/>
  <c r="BS70" i="1"/>
  <c r="BT70" i="1"/>
  <c r="BU70" i="1"/>
  <c r="BV70" i="1"/>
  <c r="BW70" i="1"/>
  <c r="BX70" i="1"/>
  <c r="BY70" i="1"/>
  <c r="BN71" i="1"/>
  <c r="BO71" i="1"/>
  <c r="BP71" i="1"/>
  <c r="BQ71" i="1"/>
  <c r="BR71" i="1"/>
  <c r="BS71" i="1"/>
  <c r="BT71" i="1"/>
  <c r="BU71" i="1"/>
  <c r="BV71" i="1"/>
  <c r="BW71" i="1"/>
  <c r="BX71" i="1"/>
  <c r="BY71" i="1"/>
  <c r="BN68" i="1"/>
  <c r="BO68" i="1"/>
  <c r="BP68" i="1"/>
  <c r="BQ68" i="1"/>
  <c r="BR68" i="1"/>
  <c r="BS68" i="1"/>
  <c r="BT68" i="1"/>
  <c r="BU68" i="1"/>
  <c r="BV68" i="1"/>
  <c r="BW68" i="1"/>
  <c r="BX68" i="1"/>
  <c r="BY68" i="1"/>
  <c r="BN75" i="1"/>
  <c r="BO75" i="1"/>
  <c r="BP75" i="1"/>
  <c r="BQ75" i="1"/>
  <c r="BR75" i="1"/>
  <c r="BS75" i="1"/>
  <c r="BT75" i="1"/>
  <c r="BU75" i="1"/>
  <c r="BV75" i="1"/>
  <c r="BW75" i="1"/>
  <c r="BX75" i="1"/>
  <c r="BY75" i="1"/>
  <c r="BN76" i="1"/>
  <c r="BO76" i="1"/>
  <c r="BP76" i="1"/>
  <c r="BQ76" i="1"/>
  <c r="BR76" i="1"/>
  <c r="BS76" i="1"/>
  <c r="BT76" i="1"/>
  <c r="BU76" i="1"/>
  <c r="BV76" i="1"/>
  <c r="BW76" i="1"/>
  <c r="BX76" i="1"/>
  <c r="BY76" i="1"/>
  <c r="BN77" i="1"/>
  <c r="BO77" i="1"/>
  <c r="BP77" i="1"/>
  <c r="BQ77" i="1"/>
  <c r="BR77" i="1"/>
  <c r="BS77" i="1"/>
  <c r="BT77" i="1"/>
  <c r="BU77" i="1"/>
  <c r="BV77" i="1"/>
  <c r="BW77" i="1"/>
  <c r="BX77" i="1"/>
  <c r="BY77" i="1"/>
  <c r="BN78" i="1"/>
  <c r="BO78" i="1"/>
  <c r="BP78" i="1"/>
  <c r="BQ78" i="1"/>
  <c r="BR78" i="1"/>
  <c r="BS78" i="1"/>
  <c r="BT78" i="1"/>
  <c r="BU78" i="1"/>
  <c r="BV78" i="1"/>
  <c r="BW78" i="1"/>
  <c r="BX78" i="1"/>
  <c r="BY78" i="1"/>
  <c r="BN79" i="1"/>
  <c r="BO79" i="1"/>
  <c r="BP79" i="1"/>
  <c r="BQ79" i="1"/>
  <c r="BR79" i="1"/>
  <c r="BS79" i="1"/>
  <c r="BT79" i="1"/>
  <c r="BU79" i="1"/>
  <c r="BV79" i="1"/>
  <c r="BW79" i="1"/>
  <c r="BX79" i="1"/>
  <c r="BY79" i="1"/>
  <c r="BN80" i="1"/>
  <c r="BO80" i="1"/>
  <c r="BP80" i="1"/>
  <c r="BQ80" i="1"/>
  <c r="BR80" i="1"/>
  <c r="BS80" i="1"/>
  <c r="BT80" i="1"/>
  <c r="BU80" i="1"/>
  <c r="BV80" i="1"/>
  <c r="BW80" i="1"/>
  <c r="BX80" i="1"/>
  <c r="BY80" i="1"/>
  <c r="BN81" i="1"/>
  <c r="BO81" i="1"/>
  <c r="BP81" i="1"/>
  <c r="BQ81" i="1"/>
  <c r="BR81" i="1"/>
  <c r="BS81" i="1"/>
  <c r="BT81" i="1"/>
  <c r="BU81" i="1"/>
  <c r="BV81" i="1"/>
  <c r="BW81" i="1"/>
  <c r="BX81" i="1"/>
  <c r="BY81" i="1"/>
  <c r="BN82" i="1"/>
  <c r="BO82" i="1"/>
  <c r="BP82" i="1"/>
  <c r="BQ82" i="1"/>
  <c r="BR82" i="1"/>
  <c r="BS82" i="1"/>
  <c r="BT82" i="1"/>
  <c r="BU82" i="1"/>
  <c r="BV82" i="1"/>
  <c r="BW82" i="1"/>
  <c r="BX82" i="1"/>
  <c r="BY82" i="1"/>
  <c r="BN83" i="1"/>
  <c r="BO83" i="1"/>
  <c r="BP83" i="1"/>
  <c r="BQ83" i="1"/>
  <c r="BR83" i="1"/>
  <c r="BS83" i="1"/>
  <c r="BT83" i="1"/>
  <c r="BU83" i="1"/>
  <c r="BV83" i="1"/>
  <c r="BW83" i="1"/>
  <c r="BX83" i="1"/>
  <c r="BY83" i="1"/>
  <c r="BN86" i="1"/>
  <c r="BO86" i="1"/>
  <c r="BP86" i="1"/>
  <c r="BQ86" i="1"/>
  <c r="BR86" i="1"/>
  <c r="BS86" i="1"/>
  <c r="BT86" i="1"/>
  <c r="BU86" i="1"/>
  <c r="BV86" i="1"/>
  <c r="BW86" i="1"/>
  <c r="BX86" i="1"/>
  <c r="BY86" i="1"/>
  <c r="BN85" i="1"/>
  <c r="BO85" i="1"/>
  <c r="BP85" i="1"/>
  <c r="BQ85" i="1"/>
  <c r="BR85" i="1"/>
  <c r="BS85" i="1"/>
  <c r="BT85" i="1"/>
  <c r="BU85" i="1"/>
  <c r="BV85" i="1"/>
  <c r="BW85" i="1"/>
  <c r="BX85" i="1"/>
  <c r="BY85" i="1"/>
  <c r="BN87" i="1"/>
  <c r="BO87" i="1"/>
  <c r="BP87" i="1"/>
  <c r="BQ87" i="1"/>
  <c r="BR87" i="1"/>
  <c r="BS87" i="1"/>
  <c r="BT87" i="1"/>
  <c r="BU87" i="1"/>
  <c r="BV87" i="1"/>
  <c r="BW87" i="1"/>
  <c r="BX87" i="1"/>
  <c r="BY87" i="1"/>
  <c r="BN84" i="1"/>
  <c r="BO84" i="1"/>
  <c r="BP84" i="1"/>
  <c r="BQ84" i="1"/>
  <c r="BR84" i="1"/>
  <c r="BS84" i="1"/>
  <c r="BT84" i="1"/>
  <c r="BU84" i="1"/>
  <c r="BV84" i="1"/>
  <c r="BW84" i="1"/>
  <c r="BX84" i="1"/>
  <c r="BY84" i="1"/>
  <c r="BN88" i="1"/>
  <c r="BO88" i="1"/>
  <c r="BP88" i="1"/>
  <c r="BQ88" i="1"/>
  <c r="BR88" i="1"/>
  <c r="BS88" i="1"/>
  <c r="BT88" i="1"/>
  <c r="BU88" i="1"/>
  <c r="BV88" i="1"/>
  <c r="BW88" i="1"/>
  <c r="BX88" i="1"/>
  <c r="BY88" i="1"/>
  <c r="BN89" i="1"/>
  <c r="BO89" i="1"/>
  <c r="BP89" i="1"/>
  <c r="BQ89" i="1"/>
  <c r="BR89" i="1"/>
  <c r="BS89" i="1"/>
  <c r="BT89" i="1"/>
  <c r="BU89" i="1"/>
  <c r="BV89" i="1"/>
  <c r="BW89" i="1"/>
  <c r="BX89" i="1"/>
  <c r="BY89" i="1"/>
  <c r="BN90" i="1"/>
  <c r="BO90" i="1"/>
  <c r="BP90" i="1"/>
  <c r="BQ90" i="1"/>
  <c r="BR90" i="1"/>
  <c r="BS90" i="1"/>
  <c r="BT90" i="1"/>
  <c r="BU90" i="1"/>
  <c r="BV90" i="1"/>
  <c r="BW90" i="1"/>
  <c r="BX90" i="1"/>
  <c r="BY90" i="1"/>
  <c r="BN91" i="1"/>
  <c r="BO91" i="1"/>
  <c r="BP91" i="1"/>
  <c r="BQ91" i="1"/>
  <c r="BR91" i="1"/>
  <c r="BS91" i="1"/>
  <c r="BT91" i="1"/>
  <c r="BU91" i="1"/>
  <c r="BV91" i="1"/>
  <c r="BW91" i="1"/>
  <c r="BX91" i="1"/>
  <c r="BY91" i="1"/>
  <c r="BN92" i="1"/>
  <c r="BO92" i="1"/>
  <c r="BP92" i="1"/>
  <c r="BQ92" i="1"/>
  <c r="BR92" i="1"/>
  <c r="BS92" i="1"/>
  <c r="BT92" i="1"/>
  <c r="BU92" i="1"/>
  <c r="BV92" i="1"/>
  <c r="BW92" i="1"/>
  <c r="BX92" i="1"/>
  <c r="BY92" i="1"/>
  <c r="BN93" i="1"/>
  <c r="BO93" i="1"/>
  <c r="BP93" i="1"/>
  <c r="BQ93" i="1"/>
  <c r="BR93" i="1"/>
  <c r="BS93" i="1"/>
  <c r="BT93" i="1"/>
  <c r="BU93" i="1"/>
  <c r="BV93" i="1"/>
  <c r="BW93" i="1"/>
  <c r="BX93" i="1"/>
  <c r="BY93" i="1"/>
  <c r="BO2" i="1"/>
  <c r="BP2" i="1"/>
  <c r="BQ2" i="1"/>
  <c r="BR2" i="1"/>
  <c r="BS2" i="1"/>
  <c r="BT2" i="1"/>
  <c r="BU2" i="1"/>
  <c r="BU94" i="1" s="1"/>
  <c r="BV2" i="1"/>
  <c r="BW2" i="1"/>
  <c r="BX2" i="1"/>
  <c r="BY2" i="1"/>
  <c r="BN2" i="1"/>
  <c r="BW94" i="1" l="1"/>
  <c r="BR94" i="1"/>
  <c r="BT94" i="1"/>
  <c r="BP94" i="1"/>
  <c r="BO94" i="1"/>
  <c r="BX94" i="1"/>
  <c r="BS94" i="1"/>
  <c r="BV94" i="1"/>
  <c r="BY94" i="1"/>
  <c r="BZ83" i="1"/>
  <c r="CE83" i="1" s="1"/>
  <c r="BZ55" i="1"/>
  <c r="CG55" i="1" s="1"/>
  <c r="BZ41" i="1"/>
  <c r="CJ41" i="1" s="1"/>
  <c r="BZ52" i="1"/>
  <c r="CC52" i="1" s="1"/>
  <c r="BZ42" i="1"/>
  <c r="CD42" i="1" s="1"/>
  <c r="BZ87" i="1"/>
  <c r="CA87" i="1" s="1"/>
  <c r="BZ11" i="1"/>
  <c r="CH11" i="1" s="1"/>
  <c r="BZ10" i="1"/>
  <c r="CC10" i="1" s="1"/>
  <c r="BZ9" i="1"/>
  <c r="CH9" i="1" s="1"/>
  <c r="BZ8" i="1"/>
  <c r="CG8" i="1" s="1"/>
  <c r="BZ7" i="1"/>
  <c r="CB7" i="1" s="1"/>
  <c r="BZ6" i="1"/>
  <c r="CH6" i="1" s="1"/>
  <c r="BZ5" i="1"/>
  <c r="CH5" i="1" s="1"/>
  <c r="BZ4" i="1"/>
  <c r="CD4" i="1" s="1"/>
  <c r="BZ3" i="1"/>
  <c r="CH3" i="1" s="1"/>
  <c r="BZ92" i="1"/>
  <c r="CA92" i="1" s="1"/>
  <c r="BZ89" i="1"/>
  <c r="CE89" i="1" s="1"/>
  <c r="BZ84" i="1"/>
  <c r="CE84" i="1" s="1"/>
  <c r="BZ82" i="1"/>
  <c r="CL82" i="1" s="1"/>
  <c r="BZ79" i="1"/>
  <c r="CD79" i="1" s="1"/>
  <c r="BZ77" i="1"/>
  <c r="CB77" i="1" s="1"/>
  <c r="BZ75" i="1"/>
  <c r="CL75" i="1" s="1"/>
  <c r="BZ71" i="1"/>
  <c r="CK71" i="1" s="1"/>
  <c r="BZ74" i="1"/>
  <c r="CL74" i="1" s="1"/>
  <c r="BZ72" i="1"/>
  <c r="CB72" i="1" s="1"/>
  <c r="BZ65" i="1"/>
  <c r="CD65" i="1" s="1"/>
  <c r="BZ69" i="1"/>
  <c r="CH69" i="1" s="1"/>
  <c r="BZ61" i="1"/>
  <c r="CL61" i="1" s="1"/>
  <c r="BZ59" i="1"/>
  <c r="CB59" i="1" s="1"/>
  <c r="BZ62" i="1"/>
  <c r="CG62" i="1" s="1"/>
  <c r="BZ60" i="1"/>
  <c r="CH60" i="1" s="1"/>
  <c r="BZ50" i="1"/>
  <c r="CF50" i="1" s="1"/>
  <c r="BZ48" i="1"/>
  <c r="CB48" i="1" s="1"/>
  <c r="BZ51" i="1"/>
  <c r="CE51" i="1" s="1"/>
  <c r="BZ45" i="1"/>
  <c r="CL45" i="1" s="1"/>
  <c r="BZ39" i="1"/>
  <c r="CI39" i="1" s="1"/>
  <c r="BZ37" i="1"/>
  <c r="CI37" i="1" s="1"/>
  <c r="BZ35" i="1"/>
  <c r="CB35" i="1" s="1"/>
  <c r="BZ34" i="1"/>
  <c r="CG34" i="1" s="1"/>
  <c r="BZ33" i="1"/>
  <c r="CJ33" i="1" s="1"/>
  <c r="BZ32" i="1"/>
  <c r="CH32" i="1" s="1"/>
  <c r="BZ31" i="1"/>
  <c r="CH31" i="1" s="1"/>
  <c r="BZ29" i="1"/>
  <c r="CL29" i="1" s="1"/>
  <c r="BZ28" i="1"/>
  <c r="CL28" i="1" s="1"/>
  <c r="BZ27" i="1"/>
  <c r="CH27" i="1" s="1"/>
  <c r="BZ57" i="1"/>
  <c r="CA57" i="1" s="1"/>
  <c r="BZ25" i="1"/>
  <c r="CK25" i="1" s="1"/>
  <c r="BZ56" i="1"/>
  <c r="CL56" i="1" s="1"/>
  <c r="BZ24" i="1"/>
  <c r="CF24" i="1" s="1"/>
  <c r="BZ43" i="1"/>
  <c r="CD43" i="1" s="1"/>
  <c r="BZ23" i="1"/>
  <c r="CJ23" i="1" s="1"/>
  <c r="BZ22" i="1"/>
  <c r="CG22" i="1" s="1"/>
  <c r="BZ21" i="1"/>
  <c r="CB21" i="1" s="1"/>
  <c r="BZ20" i="1"/>
  <c r="CH20" i="1" s="1"/>
  <c r="BZ19" i="1"/>
  <c r="CA19" i="1" s="1"/>
  <c r="BZ40" i="1"/>
  <c r="CG40" i="1" s="1"/>
  <c r="BZ18" i="1"/>
  <c r="CK18" i="1" s="1"/>
  <c r="BZ17" i="1"/>
  <c r="CL17" i="1" s="1"/>
  <c r="BZ16" i="1"/>
  <c r="CH16" i="1" s="1"/>
  <c r="BZ15" i="1"/>
  <c r="CH15" i="1" s="1"/>
  <c r="BZ14" i="1"/>
  <c r="CH14" i="1" s="1"/>
  <c r="BZ13" i="1"/>
  <c r="CC13" i="1" s="1"/>
  <c r="BZ12" i="1"/>
  <c r="CJ12" i="1" s="1"/>
  <c r="BZ26" i="1"/>
  <c r="CK26" i="1" s="1"/>
  <c r="BZ93" i="1"/>
  <c r="CD93" i="1" s="1"/>
  <c r="BZ91" i="1"/>
  <c r="CL91" i="1" s="1"/>
  <c r="BZ88" i="1"/>
  <c r="CD88" i="1" s="1"/>
  <c r="BZ86" i="1"/>
  <c r="CI86" i="1" s="1"/>
  <c r="BZ81" i="1"/>
  <c r="CH81" i="1" s="1"/>
  <c r="BZ80" i="1"/>
  <c r="CE80" i="1" s="1"/>
  <c r="BZ78" i="1"/>
  <c r="CL78" i="1" s="1"/>
  <c r="BZ76" i="1"/>
  <c r="CJ76" i="1" s="1"/>
  <c r="BZ68" i="1"/>
  <c r="CL68" i="1" s="1"/>
  <c r="BZ70" i="1"/>
  <c r="CB70" i="1" s="1"/>
  <c r="BZ73" i="1"/>
  <c r="CE73" i="1" s="1"/>
  <c r="BZ66" i="1"/>
  <c r="CH66" i="1" s="1"/>
  <c r="BZ64" i="1"/>
  <c r="CL64" i="1" s="1"/>
  <c r="BZ63" i="1"/>
  <c r="CF63" i="1" s="1"/>
  <c r="BZ67" i="1"/>
  <c r="CH67" i="1" s="1"/>
  <c r="BZ58" i="1"/>
  <c r="CC58" i="1" s="1"/>
  <c r="BZ54" i="1"/>
  <c r="CB54" i="1" s="1"/>
  <c r="BZ53" i="1"/>
  <c r="CI53" i="1" s="1"/>
  <c r="BZ49" i="1"/>
  <c r="CG49" i="1" s="1"/>
  <c r="BZ47" i="1"/>
  <c r="CL47" i="1" s="1"/>
  <c r="BZ46" i="1"/>
  <c r="CJ46" i="1" s="1"/>
  <c r="BZ44" i="1"/>
  <c r="CK44" i="1" s="1"/>
  <c r="BZ38" i="1"/>
  <c r="CC38" i="1" s="1"/>
  <c r="BZ36" i="1"/>
  <c r="CG36" i="1" s="1"/>
  <c r="BZ30" i="1"/>
  <c r="CB30" i="1" s="1"/>
  <c r="BZ2" i="1"/>
  <c r="CB2" i="1" s="1"/>
  <c r="BZ90" i="1"/>
  <c r="CE90" i="1" s="1"/>
  <c r="BZ85" i="1"/>
  <c r="CA85" i="1" s="1"/>
  <c r="CD74" i="1"/>
  <c r="CJ5" i="1"/>
  <c r="CD6" i="1"/>
  <c r="CI68" i="1"/>
  <c r="CI83" i="1"/>
  <c r="CA83" i="1"/>
  <c r="CJ83" i="1"/>
  <c r="CB83" i="1"/>
  <c r="CC83" i="1"/>
  <c r="BQ94" i="1"/>
  <c r="CI7" i="1"/>
  <c r="CA7" i="1"/>
  <c r="CE35" i="1"/>
  <c r="CJ35" i="1"/>
  <c r="CJ24" i="1"/>
  <c r="CL63" i="1"/>
  <c r="CI41" i="1"/>
  <c r="CL41" i="1"/>
  <c r="CB41" i="1"/>
  <c r="CJ37" i="1"/>
  <c r="CE65" i="1"/>
  <c r="CG65" i="1"/>
  <c r="CJ65" i="1"/>
  <c r="CF43" i="1"/>
  <c r="CK43" i="1"/>
  <c r="CB43" i="1"/>
  <c r="CC43" i="1"/>
  <c r="CE55" i="1"/>
  <c r="CL55" i="1"/>
  <c r="CA55" i="1"/>
  <c r="CB55" i="1"/>
  <c r="CJ55" i="1"/>
  <c r="CE4" i="1"/>
  <c r="CH4" i="1"/>
  <c r="CJ4" i="1"/>
  <c r="CL46" i="1"/>
  <c r="CC46" i="1"/>
  <c r="CK46" i="1"/>
  <c r="CH13" i="1"/>
  <c r="CK13" i="1"/>
  <c r="CK83" i="1"/>
  <c r="CH71" i="1"/>
  <c r="CC55" i="1"/>
  <c r="CH35" i="1"/>
  <c r="CG43" i="1"/>
  <c r="BN94" i="1"/>
  <c r="BJ74" i="1"/>
  <c r="BJ76" i="1"/>
  <c r="BJ18" i="1"/>
  <c r="BJ38" i="1"/>
  <c r="BJ75" i="1"/>
  <c r="BJ86" i="1"/>
  <c r="BJ3" i="1"/>
  <c r="BJ40" i="1"/>
  <c r="BJ27" i="1"/>
  <c r="BJ28" i="1"/>
  <c r="BJ29" i="1"/>
  <c r="BJ58" i="1"/>
  <c r="BJ67" i="1"/>
  <c r="BJ56" i="1"/>
  <c r="BJ92" i="1"/>
  <c r="BJ54" i="1"/>
  <c r="BJ19" i="1"/>
  <c r="BJ4" i="1"/>
  <c r="BJ63" i="1"/>
  <c r="BJ78" i="1"/>
  <c r="BJ30" i="1"/>
  <c r="BJ31" i="1"/>
  <c r="BJ32" i="1"/>
  <c r="BJ33" i="1"/>
  <c r="BJ70" i="1"/>
  <c r="BJ5" i="1"/>
  <c r="BJ12" i="1"/>
  <c r="BJ7" i="1"/>
  <c r="BJ8" i="1"/>
  <c r="BJ55" i="1"/>
  <c r="BJ13" i="1"/>
  <c r="BJ59" i="1"/>
  <c r="BJ14" i="1"/>
  <c r="BJ20" i="1"/>
  <c r="BJ25" i="1"/>
  <c r="BJ21" i="1"/>
  <c r="BJ22" i="1"/>
  <c r="BJ23" i="1"/>
  <c r="BJ9" i="1"/>
  <c r="BJ10" i="1"/>
  <c r="BJ84" i="1"/>
  <c r="BJ6" i="1"/>
  <c r="BJ45" i="1"/>
  <c r="BJ46" i="1"/>
  <c r="BJ80" i="1"/>
  <c r="BJ11" i="1"/>
  <c r="BJ60" i="1"/>
  <c r="BJ34" i="1"/>
  <c r="BJ49" i="1"/>
  <c r="BJ35" i="1"/>
  <c r="BJ50" i="1"/>
  <c r="BJ81" i="1"/>
  <c r="BJ15" i="1"/>
  <c r="BJ62" i="1"/>
  <c r="BJ83" i="1"/>
  <c r="BJ77" i="1"/>
  <c r="BJ68" i="1"/>
  <c r="BJ26" i="1"/>
  <c r="BJ44" i="1"/>
  <c r="BJ51" i="1"/>
  <c r="BJ90" i="1"/>
  <c r="BJ85" i="1"/>
  <c r="BJ41" i="1"/>
  <c r="BJ69" i="1"/>
  <c r="BJ71" i="1"/>
  <c r="BJ16" i="1"/>
  <c r="BJ57" i="1"/>
  <c r="BJ91" i="1"/>
  <c r="BJ64" i="1"/>
  <c r="BJ65" i="1"/>
  <c r="BJ66" i="1"/>
  <c r="BJ79" i="1"/>
  <c r="BJ36" i="1"/>
  <c r="BJ37" i="1"/>
  <c r="BJ39" i="1"/>
  <c r="BJ82" i="1"/>
  <c r="BJ42" i="1"/>
  <c r="BJ87" i="1"/>
  <c r="BJ43" i="1"/>
  <c r="BJ47" i="1"/>
  <c r="BJ52" i="1"/>
  <c r="BJ53" i="1"/>
  <c r="J94" i="1"/>
  <c r="K94" i="1"/>
  <c r="L94" i="1"/>
  <c r="M94" i="1"/>
  <c r="N94" i="1"/>
  <c r="O94" i="1"/>
  <c r="P94" i="1"/>
  <c r="Q94" i="1"/>
  <c r="R94" i="1"/>
  <c r="S94" i="1"/>
  <c r="T94" i="1"/>
  <c r="U94" i="1"/>
  <c r="V94" i="1"/>
  <c r="W94" i="1"/>
  <c r="X94" i="1"/>
  <c r="Y94" i="1"/>
  <c r="Z94" i="1"/>
  <c r="AA94" i="1"/>
  <c r="AB94" i="1"/>
  <c r="AC94" i="1"/>
  <c r="AD94" i="1"/>
  <c r="AE94" i="1"/>
  <c r="AF94" i="1"/>
  <c r="AG94" i="1"/>
  <c r="AH94" i="1"/>
  <c r="AI94" i="1"/>
  <c r="AJ94" i="1"/>
  <c r="AK94" i="1"/>
  <c r="AM94" i="1"/>
  <c r="AN94" i="1"/>
  <c r="AL94" i="1"/>
  <c r="AQ94" i="1"/>
  <c r="AO94" i="1"/>
  <c r="AP94" i="1"/>
  <c r="BJ48" i="1"/>
  <c r="BJ89" i="1"/>
  <c r="BJ2" i="1"/>
  <c r="BJ72" i="1"/>
  <c r="BJ73" i="1"/>
  <c r="BJ24" i="1"/>
  <c r="BJ17" i="1"/>
  <c r="BJ61" i="1"/>
  <c r="BJ93" i="1"/>
  <c r="BJ88" i="1"/>
  <c r="AZ94" i="1"/>
  <c r="BA94" i="1"/>
  <c r="AY94" i="1"/>
  <c r="AX94" i="1"/>
  <c r="BB94" i="1"/>
  <c r="BC94" i="1"/>
  <c r="BD94" i="1"/>
  <c r="BE94" i="1"/>
  <c r="BF94" i="1"/>
  <c r="BG94" i="1"/>
  <c r="BH94" i="1"/>
  <c r="BI94" i="1"/>
  <c r="F94" i="1"/>
  <c r="G94" i="1"/>
  <c r="H94" i="1"/>
  <c r="I94" i="1"/>
  <c r="AR94" i="1"/>
  <c r="AS94" i="1"/>
  <c r="AU94" i="1"/>
  <c r="AW94" i="1"/>
  <c r="AT94" i="1"/>
  <c r="AV94" i="1"/>
  <c r="E94" i="1"/>
  <c r="CK42" i="1" l="1"/>
  <c r="CK19" i="1"/>
  <c r="CD5" i="1"/>
  <c r="CG19" i="1"/>
  <c r="CC19" i="1"/>
  <c r="CF5" i="1"/>
  <c r="CF19" i="1"/>
  <c r="CG83" i="1"/>
  <c r="CD14" i="1"/>
  <c r="CG63" i="1"/>
  <c r="CE29" i="1"/>
  <c r="CH82" i="1"/>
  <c r="CD34" i="1"/>
  <c r="CH42" i="1"/>
  <c r="CI82" i="1"/>
  <c r="CG42" i="1"/>
  <c r="CC42" i="1"/>
  <c r="CD46" i="1"/>
  <c r="CL42" i="1"/>
  <c r="CF59" i="1"/>
  <c r="CH2" i="1"/>
  <c r="CE42" i="1"/>
  <c r="CF89" i="1"/>
  <c r="CK16" i="1"/>
  <c r="CC69" i="1"/>
  <c r="CK89" i="1"/>
  <c r="CD89" i="1"/>
  <c r="CB42" i="1"/>
  <c r="CJ42" i="1"/>
  <c r="CF60" i="1"/>
  <c r="CB25" i="1"/>
  <c r="CA71" i="1"/>
  <c r="CK11" i="1"/>
  <c r="CA42" i="1"/>
  <c r="CI71" i="1"/>
  <c r="CL7" i="1"/>
  <c r="CG11" i="1"/>
  <c r="CI42" i="1"/>
  <c r="CA60" i="1"/>
  <c r="CL23" i="1"/>
  <c r="CF7" i="1"/>
  <c r="CL3" i="1"/>
  <c r="CD60" i="1"/>
  <c r="CF11" i="1"/>
  <c r="CF42" i="1"/>
  <c r="CL60" i="1"/>
  <c r="CI23" i="1"/>
  <c r="CC82" i="1"/>
  <c r="CI60" i="1"/>
  <c r="CE23" i="1"/>
  <c r="CI89" i="1"/>
  <c r="CK82" i="1"/>
  <c r="CG29" i="1"/>
  <c r="CK34" i="1"/>
  <c r="CJ25" i="1"/>
  <c r="CD71" i="1"/>
  <c r="CE93" i="1"/>
  <c r="CK93" i="1"/>
  <c r="CL87" i="1"/>
  <c r="CD31" i="1"/>
  <c r="CH22" i="1"/>
  <c r="CJ93" i="1"/>
  <c r="CK87" i="1"/>
  <c r="CI30" i="1"/>
  <c r="CG93" i="1"/>
  <c r="CJ87" i="1"/>
  <c r="CG39" i="1"/>
  <c r="CD15" i="1"/>
  <c r="CH87" i="1"/>
  <c r="CL15" i="1"/>
  <c r="CG87" i="1"/>
  <c r="CD87" i="1"/>
  <c r="CD52" i="1"/>
  <c r="CI87" i="1"/>
  <c r="CC62" i="1"/>
  <c r="CJ49" i="1"/>
  <c r="CL93" i="1"/>
  <c r="CB87" i="1"/>
  <c r="CE64" i="1"/>
  <c r="CC93" i="1"/>
  <c r="CA49" i="1"/>
  <c r="CE87" i="1"/>
  <c r="CJ64" i="1"/>
  <c r="CB93" i="1"/>
  <c r="CC87" i="1"/>
  <c r="CL43" i="1"/>
  <c r="CH26" i="1"/>
  <c r="CD64" i="1"/>
  <c r="CL50" i="1"/>
  <c r="CF79" i="1"/>
  <c r="CK28" i="1"/>
  <c r="CK79" i="1"/>
  <c r="CE50" i="1"/>
  <c r="CE88" i="1"/>
  <c r="CG10" i="1"/>
  <c r="CC40" i="1"/>
  <c r="CH28" i="1"/>
  <c r="CF46" i="1"/>
  <c r="CJ10" i="1"/>
  <c r="CB40" i="1"/>
  <c r="CH30" i="1"/>
  <c r="CH68" i="1"/>
  <c r="CJ28" i="1"/>
  <c r="CF88" i="1"/>
  <c r="CD10" i="1"/>
  <c r="CK40" i="1"/>
  <c r="CB28" i="1"/>
  <c r="CI88" i="1"/>
  <c r="CA10" i="1"/>
  <c r="CJ40" i="1"/>
  <c r="CI28" i="1"/>
  <c r="CH79" i="1"/>
  <c r="CC88" i="1"/>
  <c r="CL10" i="1"/>
  <c r="CD40" i="1"/>
  <c r="CE28" i="1"/>
  <c r="CG79" i="1"/>
  <c r="CB88" i="1"/>
  <c r="CI10" i="1"/>
  <c r="CA40" i="1"/>
  <c r="CI79" i="1"/>
  <c r="CC79" i="1"/>
  <c r="CL88" i="1"/>
  <c r="CH10" i="1"/>
  <c r="CI40" i="1"/>
  <c r="CH40" i="1"/>
  <c r="CC28" i="1"/>
  <c r="CK50" i="1"/>
  <c r="CB79" i="1"/>
  <c r="CK88" i="1"/>
  <c r="CF10" i="1"/>
  <c r="CJ50" i="1"/>
  <c r="CA79" i="1"/>
  <c r="CH88" i="1"/>
  <c r="CB10" i="1"/>
  <c r="CL80" i="1"/>
  <c r="CI24" i="1"/>
  <c r="CL2" i="1"/>
  <c r="CG67" i="1"/>
  <c r="CE15" i="1"/>
  <c r="CD50" i="1"/>
  <c r="CG50" i="1"/>
  <c r="CL79" i="1"/>
  <c r="CC90" i="1"/>
  <c r="CD28" i="1"/>
  <c r="CL13" i="1"/>
  <c r="CI46" i="1"/>
  <c r="CF4" i="1"/>
  <c r="CI43" i="1"/>
  <c r="CC65" i="1"/>
  <c r="CE91" i="1"/>
  <c r="CI25" i="1"/>
  <c r="CL71" i="1"/>
  <c r="CA35" i="1"/>
  <c r="CJ39" i="1"/>
  <c r="CF82" i="1"/>
  <c r="CD11" i="1"/>
  <c r="CF13" i="1"/>
  <c r="CE46" i="1"/>
  <c r="CB4" i="1"/>
  <c r="CC37" i="1"/>
  <c r="CL58" i="1"/>
  <c r="CD83" i="1"/>
  <c r="CF39" i="1"/>
  <c r="CG3" i="1"/>
  <c r="CI18" i="1"/>
  <c r="CD55" i="1"/>
  <c r="CG2" i="1"/>
  <c r="CB60" i="1"/>
  <c r="CG23" i="1"/>
  <c r="CE86" i="1"/>
  <c r="CD2" i="1"/>
  <c r="CG72" i="1"/>
  <c r="CJ73" i="1"/>
  <c r="CK78" i="1"/>
  <c r="CC3" i="1"/>
  <c r="CH19" i="1"/>
  <c r="CH34" i="1"/>
  <c r="CH55" i="1"/>
  <c r="CJ60" i="1"/>
  <c r="CG41" i="1"/>
  <c r="CA23" i="1"/>
  <c r="CD7" i="1"/>
  <c r="CC2" i="1"/>
  <c r="CG91" i="1"/>
  <c r="CJ68" i="1"/>
  <c r="CF78" i="1"/>
  <c r="CA3" i="1"/>
  <c r="CG58" i="1"/>
  <c r="CA46" i="1"/>
  <c r="CI4" i="1"/>
  <c r="CA43" i="1"/>
  <c r="CH65" i="1"/>
  <c r="CG7" i="1"/>
  <c r="CH25" i="1"/>
  <c r="CE69" i="1"/>
  <c r="CG71" i="1"/>
  <c r="CK35" i="1"/>
  <c r="CL83" i="1"/>
  <c r="CB82" i="1"/>
  <c r="CJ11" i="1"/>
  <c r="CJ74" i="1"/>
  <c r="CG13" i="1"/>
  <c r="CF18" i="1"/>
  <c r="CC34" i="1"/>
  <c r="CC85" i="1"/>
  <c r="CK4" i="1"/>
  <c r="CI55" i="1"/>
  <c r="CH72" i="1"/>
  <c r="CF85" i="1"/>
  <c r="CF25" i="1"/>
  <c r="CK69" i="1"/>
  <c r="CF41" i="1"/>
  <c r="CI85" i="1"/>
  <c r="CF71" i="1"/>
  <c r="CG24" i="1"/>
  <c r="CI58" i="1"/>
  <c r="CC7" i="1"/>
  <c r="CD30" i="1"/>
  <c r="CA77" i="1"/>
  <c r="CK45" i="1"/>
  <c r="CL9" i="1"/>
  <c r="CB5" i="1"/>
  <c r="CA14" i="1"/>
  <c r="CA13" i="1"/>
  <c r="CE18" i="1"/>
  <c r="CB34" i="1"/>
  <c r="CL85" i="1"/>
  <c r="CL4" i="1"/>
  <c r="CF55" i="1"/>
  <c r="CE25" i="1"/>
  <c r="CI69" i="1"/>
  <c r="CE41" i="1"/>
  <c r="CF38" i="1"/>
  <c r="CE71" i="1"/>
  <c r="CA24" i="1"/>
  <c r="CF58" i="1"/>
  <c r="CK7" i="1"/>
  <c r="CC35" i="1"/>
  <c r="CC30" i="1"/>
  <c r="CL77" i="1"/>
  <c r="CE45" i="1"/>
  <c r="CF9" i="1"/>
  <c r="CF14" i="1"/>
  <c r="CK27" i="1"/>
  <c r="CH85" i="1"/>
  <c r="CB58" i="1"/>
  <c r="CC77" i="1"/>
  <c r="CE58" i="1"/>
  <c r="CI77" i="1"/>
  <c r="CE9" i="1"/>
  <c r="CI13" i="1"/>
  <c r="CJ27" i="1"/>
  <c r="CA34" i="1"/>
  <c r="CG85" i="1"/>
  <c r="CH43" i="1"/>
  <c r="CH37" i="1"/>
  <c r="CH49" i="1"/>
  <c r="CF87" i="1"/>
  <c r="CE24" i="1"/>
  <c r="CL76" i="1"/>
  <c r="CE30" i="1"/>
  <c r="CF77" i="1"/>
  <c r="CK64" i="1"/>
  <c r="CB9" i="1"/>
  <c r="CK15" i="1"/>
  <c r="CG27" i="1"/>
  <c r="CD85" i="1"/>
  <c r="CC49" i="1"/>
  <c r="CK23" i="1"/>
  <c r="CE76" i="1"/>
  <c r="CG64" i="1"/>
  <c r="CG15" i="1"/>
  <c r="CD27" i="1"/>
  <c r="CK86" i="1"/>
  <c r="CG48" i="1"/>
  <c r="CJ18" i="1"/>
  <c r="CC27" i="1"/>
  <c r="CJ86" i="1"/>
  <c r="CC48" i="1"/>
  <c r="CH18" i="1"/>
  <c r="CA27" i="1"/>
  <c r="CH86" i="1"/>
  <c r="CK9" i="1"/>
  <c r="CG18" i="1"/>
  <c r="CF27" i="1"/>
  <c r="CE85" i="1"/>
  <c r="CK58" i="1"/>
  <c r="CD86" i="1"/>
  <c r="CH77" i="1"/>
  <c r="CK77" i="1"/>
  <c r="CG9" i="1"/>
  <c r="CC18" i="1"/>
  <c r="CE27" i="1"/>
  <c r="CH58" i="1"/>
  <c r="CA86" i="1"/>
  <c r="CJ77" i="1"/>
  <c r="CD9" i="1"/>
  <c r="CD77" i="1"/>
  <c r="CJ9" i="1"/>
  <c r="CB18" i="1"/>
  <c r="CA58" i="1"/>
  <c r="CF86" i="1"/>
  <c r="CK30" i="1"/>
  <c r="CG77" i="1"/>
  <c r="CD68" i="1"/>
  <c r="CC9" i="1"/>
  <c r="CK5" i="1"/>
  <c r="CI3" i="1"/>
  <c r="CC84" i="1"/>
  <c r="CE13" i="1"/>
  <c r="CL34" i="1"/>
  <c r="CE43" i="1"/>
  <c r="CB65" i="1"/>
  <c r="CL19" i="1"/>
  <c r="CG37" i="1"/>
  <c r="CJ69" i="1"/>
  <c r="CC41" i="1"/>
  <c r="CB49" i="1"/>
  <c r="CH92" i="1"/>
  <c r="CD63" i="1"/>
  <c r="CG35" i="1"/>
  <c r="CH76" i="1"/>
  <c r="CF16" i="1"/>
  <c r="CK72" i="1"/>
  <c r="CB68" i="1"/>
  <c r="CE78" i="1"/>
  <c r="CC11" i="1"/>
  <c r="CC14" i="1"/>
  <c r="CH21" i="1"/>
  <c r="CI29" i="1"/>
  <c r="CB13" i="1"/>
  <c r="CI34" i="1"/>
  <c r="CA91" i="1"/>
  <c r="CI65" i="1"/>
  <c r="CI19" i="1"/>
  <c r="CD37" i="1"/>
  <c r="CA69" i="1"/>
  <c r="CA41" i="1"/>
  <c r="CK49" i="1"/>
  <c r="CH23" i="1"/>
  <c r="CK63" i="1"/>
  <c r="CD35" i="1"/>
  <c r="CB76" i="1"/>
  <c r="CE16" i="1"/>
  <c r="CJ72" i="1"/>
  <c r="CK91" i="1"/>
  <c r="CD61" i="1"/>
  <c r="CA68" i="1"/>
  <c r="CL11" i="1"/>
  <c r="CK14" i="1"/>
  <c r="CI56" i="1"/>
  <c r="CF29" i="1"/>
  <c r="CH46" i="1"/>
  <c r="CF91" i="1"/>
  <c r="CF2" i="1"/>
  <c r="CE19" i="1"/>
  <c r="CA37" i="1"/>
  <c r="CF69" i="1"/>
  <c r="CB23" i="1"/>
  <c r="CI49" i="1"/>
  <c r="CE63" i="1"/>
  <c r="CL35" i="1"/>
  <c r="CI76" i="1"/>
  <c r="CK65" i="1"/>
  <c r="CD72" i="1"/>
  <c r="CH83" i="1"/>
  <c r="CJ82" i="1"/>
  <c r="CC5" i="1"/>
  <c r="CK3" i="1"/>
  <c r="CL14" i="1"/>
  <c r="CE32" i="1"/>
  <c r="CH38" i="1"/>
  <c r="CC23" i="1"/>
  <c r="CK24" i="1"/>
  <c r="CF76" i="1"/>
  <c r="CC72" i="1"/>
  <c r="CD3" i="1"/>
  <c r="CI14" i="1"/>
  <c r="CK47" i="1"/>
  <c r="CA47" i="1"/>
  <c r="CD49" i="1"/>
  <c r="CF23" i="1"/>
  <c r="CF26" i="1"/>
  <c r="CG68" i="1"/>
  <c r="CD78" i="1"/>
  <c r="CF3" i="1"/>
  <c r="CF15" i="1"/>
  <c r="CK29" i="1"/>
  <c r="CJ13" i="1"/>
  <c r="CF34" i="1"/>
  <c r="CG4" i="1"/>
  <c r="CB52" i="1"/>
  <c r="CI91" i="1"/>
  <c r="CA65" i="1"/>
  <c r="CG25" i="1"/>
  <c r="CF37" i="1"/>
  <c r="CG69" i="1"/>
  <c r="CK41" i="1"/>
  <c r="CB38" i="1"/>
  <c r="CK59" i="1"/>
  <c r="CG76" i="1"/>
  <c r="CJ63" i="1"/>
  <c r="CE92" i="1"/>
  <c r="CH24" i="1"/>
  <c r="CI35" i="1"/>
  <c r="CD76" i="1"/>
  <c r="CK2" i="1"/>
  <c r="CA72" i="1"/>
  <c r="CJ91" i="1"/>
  <c r="CF83" i="1"/>
  <c r="CA73" i="1"/>
  <c r="CF68" i="1"/>
  <c r="CJ78" i="1"/>
  <c r="CG5" i="1"/>
  <c r="CE11" i="1"/>
  <c r="CE3" i="1"/>
  <c r="CE14" i="1"/>
  <c r="CJ21" i="1"/>
  <c r="CD29" i="1"/>
  <c r="CG47" i="1"/>
  <c r="CD13" i="1"/>
  <c r="CE34" i="1"/>
  <c r="CC4" i="1"/>
  <c r="CI52" i="1"/>
  <c r="CK55" i="1"/>
  <c r="CJ43" i="1"/>
  <c r="CL65" i="1"/>
  <c r="CI8" i="1"/>
  <c r="CJ2" i="1"/>
  <c r="CC25" i="1"/>
  <c r="CE37" i="1"/>
  <c r="CD69" i="1"/>
  <c r="CH41" i="1"/>
  <c r="CA38" i="1"/>
  <c r="CG59" i="1"/>
  <c r="CH63" i="1"/>
  <c r="CD24" i="1"/>
  <c r="CF35" i="1"/>
  <c r="CC76" i="1"/>
  <c r="CI2" i="1"/>
  <c r="CI72" i="1"/>
  <c r="CH91" i="1"/>
  <c r="CL73" i="1"/>
  <c r="CE68" i="1"/>
  <c r="CG78" i="1"/>
  <c r="CL5" i="1"/>
  <c r="CB11" i="1"/>
  <c r="CB3" i="1"/>
  <c r="CB14" i="1"/>
  <c r="CC56" i="1"/>
  <c r="CH29" i="1"/>
  <c r="CD47" i="1"/>
  <c r="CJ34" i="1"/>
  <c r="CA4" i="1"/>
  <c r="CF65" i="1"/>
  <c r="CB69" i="1"/>
  <c r="CJ19" i="1"/>
  <c r="CK60" i="1"/>
  <c r="CL69" i="1"/>
  <c r="CD41" i="1"/>
  <c r="CE38" i="1"/>
  <c r="CD23" i="1"/>
  <c r="CC63" i="1"/>
  <c r="CL24" i="1"/>
  <c r="CK76" i="1"/>
  <c r="CJ26" i="1"/>
  <c r="CD91" i="1"/>
  <c r="CH45" i="1"/>
  <c r="CC68" i="1"/>
  <c r="CD82" i="1"/>
  <c r="CH78" i="1"/>
  <c r="CE5" i="1"/>
  <c r="CJ3" i="1"/>
  <c r="CJ14" i="1"/>
  <c r="CC15" i="1"/>
  <c r="CC29" i="1"/>
  <c r="CI47" i="1"/>
  <c r="CB63" i="1"/>
  <c r="CA76" i="1"/>
  <c r="CK68" i="1"/>
  <c r="CI78" i="1"/>
  <c r="CG14" i="1"/>
  <c r="CJ15" i="1"/>
  <c r="CJ29" i="1"/>
  <c r="CF47" i="1"/>
  <c r="CE47" i="1"/>
  <c r="CJ47" i="1"/>
  <c r="CA2" i="1"/>
  <c r="CC91" i="1"/>
  <c r="CE82" i="1"/>
  <c r="CC78" i="1"/>
  <c r="CB15" i="1"/>
  <c r="CC47" i="1"/>
  <c r="CL54" i="1"/>
  <c r="CL81" i="1"/>
  <c r="CI54" i="1"/>
  <c r="CH8" i="1"/>
  <c r="CI81" i="1"/>
  <c r="CK17" i="1"/>
  <c r="CF54" i="1"/>
  <c r="CJ51" i="1"/>
  <c r="CF8" i="1"/>
  <c r="CF81" i="1"/>
  <c r="CC57" i="1"/>
  <c r="CJ17" i="1"/>
  <c r="CE8" i="1"/>
  <c r="CE81" i="1"/>
  <c r="CB57" i="1"/>
  <c r="CF30" i="1"/>
  <c r="CD45" i="1"/>
  <c r="CC64" i="1"/>
  <c r="CC17" i="1"/>
  <c r="CK75" i="1"/>
  <c r="CJ57" i="1"/>
  <c r="CG17" i="1"/>
  <c r="CG75" i="1"/>
  <c r="CB81" i="1"/>
  <c r="CH51" i="1"/>
  <c r="CD51" i="1"/>
  <c r="CL57" i="1"/>
  <c r="CD17" i="1"/>
  <c r="CD75" i="1"/>
  <c r="CC51" i="1"/>
  <c r="CG57" i="1"/>
  <c r="CF80" i="1"/>
  <c r="CG16" i="1"/>
  <c r="CI57" i="1"/>
  <c r="CG45" i="1"/>
  <c r="CH64" i="1"/>
  <c r="CH17" i="1"/>
  <c r="CB75" i="1"/>
  <c r="CJ54" i="1"/>
  <c r="CK8" i="1"/>
  <c r="CK51" i="1"/>
  <c r="CK53" i="1"/>
  <c r="CD16" i="1"/>
  <c r="CF57" i="1"/>
  <c r="CC45" i="1"/>
  <c r="CI64" i="1"/>
  <c r="CI17" i="1"/>
  <c r="CJ75" i="1"/>
  <c r="CG54" i="1"/>
  <c r="CC8" i="1"/>
  <c r="CG51" i="1"/>
  <c r="CD53" i="1"/>
  <c r="CG53" i="1"/>
  <c r="CA16" i="1"/>
  <c r="CE57" i="1"/>
  <c r="CJ45" i="1"/>
  <c r="CF64" i="1"/>
  <c r="CC67" i="1"/>
  <c r="CI90" i="1"/>
  <c r="CF17" i="1"/>
  <c r="CC75" i="1"/>
  <c r="CD54" i="1"/>
  <c r="CB51" i="1"/>
  <c r="CD8" i="1"/>
  <c r="CA51" i="1"/>
  <c r="CK81" i="1"/>
  <c r="CH57" i="1"/>
  <c r="CL16" i="1"/>
  <c r="CI45" i="1"/>
  <c r="CE17" i="1"/>
  <c r="CG32" i="1"/>
  <c r="CI75" i="1"/>
  <c r="CC54" i="1"/>
  <c r="CA8" i="1"/>
  <c r="CL51" i="1"/>
  <c r="CJ81" i="1"/>
  <c r="CI16" i="1"/>
  <c r="CJ30" i="1"/>
  <c r="CF45" i="1"/>
  <c r="CB67" i="1"/>
  <c r="CD21" i="1"/>
  <c r="CF28" i="1"/>
  <c r="CF32" i="1"/>
  <c r="CJ48" i="1"/>
  <c r="CF75" i="1"/>
  <c r="CA54" i="1"/>
  <c r="CL8" i="1"/>
  <c r="CF51" i="1"/>
  <c r="CD81" i="1"/>
  <c r="CE75" i="1"/>
  <c r="CD70" i="1"/>
  <c r="CD12" i="1"/>
  <c r="CI22" i="1"/>
  <c r="CI61" i="1"/>
  <c r="CC44" i="1"/>
  <c r="CF52" i="1"/>
  <c r="CB22" i="1"/>
  <c r="CL70" i="1"/>
  <c r="CK38" i="1"/>
  <c r="CE59" i="1"/>
  <c r="CC53" i="1"/>
  <c r="CC80" i="1"/>
  <c r="CJ89" i="1"/>
  <c r="CC12" i="1"/>
  <c r="CG26" i="1"/>
  <c r="CF22" i="1"/>
  <c r="CE39" i="1"/>
  <c r="CF61" i="1"/>
  <c r="CC73" i="1"/>
  <c r="CC6" i="1"/>
  <c r="CA21" i="1"/>
  <c r="CF56" i="1"/>
  <c r="CD32" i="1"/>
  <c r="CH44" i="1"/>
  <c r="CI74" i="1"/>
  <c r="CE52" i="1"/>
  <c r="CG38" i="1"/>
  <c r="CI70" i="1"/>
  <c r="CJ38" i="1"/>
  <c r="CA89" i="1"/>
  <c r="CA53" i="1"/>
  <c r="CB80" i="1"/>
  <c r="CH89" i="1"/>
  <c r="CG12" i="1"/>
  <c r="CD26" i="1"/>
  <c r="CE22" i="1"/>
  <c r="CE61" i="1"/>
  <c r="CD73" i="1"/>
  <c r="CL6" i="1"/>
  <c r="CL21" i="1"/>
  <c r="CE56" i="1"/>
  <c r="CB32" i="1"/>
  <c r="CB44" i="1"/>
  <c r="CF74" i="1"/>
  <c r="CK52" i="1"/>
  <c r="CF70" i="1"/>
  <c r="CD38" i="1"/>
  <c r="CF53" i="1"/>
  <c r="CK80" i="1"/>
  <c r="CG89" i="1"/>
  <c r="CA12" i="1"/>
  <c r="CC26" i="1"/>
  <c r="CK73" i="1"/>
  <c r="CF6" i="1"/>
  <c r="CI21" i="1"/>
  <c r="CC32" i="1"/>
  <c r="CE74" i="1"/>
  <c r="CH80" i="1"/>
  <c r="CE70" i="1"/>
  <c r="CC92" i="1"/>
  <c r="CE53" i="1"/>
  <c r="CJ80" i="1"/>
  <c r="CI12" i="1"/>
  <c r="CA26" i="1"/>
  <c r="CH73" i="1"/>
  <c r="CE6" i="1"/>
  <c r="CF21" i="1"/>
  <c r="CA32" i="1"/>
  <c r="CL38" i="1"/>
  <c r="CD59" i="1"/>
  <c r="CB92" i="1"/>
  <c r="CD80" i="1"/>
  <c r="CE12" i="1"/>
  <c r="CG70" i="1"/>
  <c r="CL26" i="1"/>
  <c r="CG73" i="1"/>
  <c r="CB6" i="1"/>
  <c r="CL90" i="1"/>
  <c r="CE21" i="1"/>
  <c r="CL32" i="1"/>
  <c r="CG52" i="1"/>
  <c r="CI38" i="1"/>
  <c r="CC59" i="1"/>
  <c r="CL92" i="1"/>
  <c r="CA80" i="1"/>
  <c r="CH59" i="1"/>
  <c r="CB12" i="1"/>
  <c r="CI26" i="1"/>
  <c r="CK39" i="1"/>
  <c r="CK61" i="1"/>
  <c r="CB73" i="1"/>
  <c r="CK21" i="1"/>
  <c r="CK56" i="1"/>
  <c r="CI32" i="1"/>
  <c r="CH47" i="1"/>
  <c r="CJ52" i="1"/>
  <c r="CK92" i="1"/>
  <c r="CK22" i="1"/>
  <c r="CG61" i="1"/>
  <c r="CJ56" i="1"/>
  <c r="CK74" i="1"/>
  <c r="CH52" i="1"/>
  <c r="CG80" i="1"/>
  <c r="CA59" i="1"/>
  <c r="CC89" i="1"/>
  <c r="CJ59" i="1"/>
  <c r="CI92" i="1"/>
  <c r="CE26" i="1"/>
  <c r="CC22" i="1"/>
  <c r="CD39" i="1"/>
  <c r="CB61" i="1"/>
  <c r="CI73" i="1"/>
  <c r="CK6" i="1"/>
  <c r="CG21" i="1"/>
  <c r="CG56" i="1"/>
  <c r="CJ32" i="1"/>
  <c r="CD33" i="1"/>
  <c r="CB47" i="1"/>
  <c r="CH74" i="1"/>
  <c r="CA52" i="1"/>
  <c r="CK70" i="1"/>
  <c r="CL59" i="1"/>
  <c r="CJ53" i="1"/>
  <c r="CB89" i="1"/>
  <c r="CK12" i="1"/>
  <c r="CB26" i="1"/>
  <c r="CA22" i="1"/>
  <c r="CC39" i="1"/>
  <c r="CJ61" i="1"/>
  <c r="CF73" i="1"/>
  <c r="CJ6" i="1"/>
  <c r="CC21" i="1"/>
  <c r="CD56" i="1"/>
  <c r="CK32" i="1"/>
  <c r="CK33" i="1"/>
  <c r="CG74" i="1"/>
  <c r="CL52" i="1"/>
  <c r="CJ70" i="1"/>
  <c r="CI59" i="1"/>
  <c r="CH39" i="1"/>
  <c r="CH53" i="1"/>
  <c r="CL89" i="1"/>
  <c r="CF92" i="1"/>
  <c r="CL22" i="1"/>
  <c r="CA39" i="1"/>
  <c r="CC61" i="1"/>
  <c r="CG6" i="1"/>
  <c r="CH56" i="1"/>
  <c r="CC33" i="1"/>
  <c r="CC74" i="1"/>
  <c r="CD36" i="1"/>
  <c r="CJ20" i="1"/>
  <c r="CD18" i="1"/>
  <c r="CB27" i="1"/>
  <c r="CE54" i="1"/>
  <c r="CB85" i="1"/>
  <c r="CH93" i="1"/>
  <c r="CA88" i="1"/>
  <c r="CC31" i="1"/>
  <c r="CA50" i="1"/>
  <c r="CE79" i="1"/>
  <c r="CB8" i="1"/>
  <c r="CC16" i="1"/>
  <c r="CD19" i="1"/>
  <c r="CD25" i="1"/>
  <c r="CB37" i="1"/>
  <c r="CI51" i="1"/>
  <c r="CE60" i="1"/>
  <c r="CH70" i="1"/>
  <c r="CJ88" i="1"/>
  <c r="CE10" i="1"/>
  <c r="CL49" i="1"/>
  <c r="CG81" i="1"/>
  <c r="CJ92" i="1"/>
  <c r="CB53" i="1"/>
  <c r="CA63" i="1"/>
  <c r="CI80" i="1"/>
  <c r="CG60" i="1"/>
  <c r="CL12" i="1"/>
  <c r="CL40" i="1"/>
  <c r="CJ58" i="1"/>
  <c r="CC86" i="1"/>
  <c r="CH7" i="1"/>
  <c r="CE2" i="1"/>
  <c r="CJ22" i="1"/>
  <c r="CK57" i="1"/>
  <c r="CG30" i="1"/>
  <c r="CB39" i="1"/>
  <c r="CL72" i="1"/>
  <c r="CE77" i="1"/>
  <c r="CB45" i="1"/>
  <c r="CH61" i="1"/>
  <c r="CB64" i="1"/>
  <c r="CG82" i="1"/>
  <c r="CA6" i="1"/>
  <c r="CA9" i="1"/>
  <c r="CB36" i="1"/>
  <c r="CD67" i="1"/>
  <c r="CB78" i="1"/>
  <c r="CB90" i="1"/>
  <c r="CA5" i="1"/>
  <c r="CA11" i="1"/>
  <c r="CA15" i="1"/>
  <c r="CB17" i="1"/>
  <c r="CG20" i="1"/>
  <c r="CB56" i="1"/>
  <c r="CG28" i="1"/>
  <c r="CB29" i="1"/>
  <c r="CH33" i="1"/>
  <c r="CG44" i="1"/>
  <c r="CH48" i="1"/>
  <c r="CB62" i="1"/>
  <c r="CB74" i="1"/>
  <c r="CH75" i="1"/>
  <c r="CB84" i="1"/>
  <c r="CC66" i="1"/>
  <c r="CK31" i="1"/>
  <c r="CH36" i="1"/>
  <c r="CB20" i="1"/>
  <c r="CJ62" i="1"/>
  <c r="CL84" i="1"/>
  <c r="CB50" i="1"/>
  <c r="CA18" i="1"/>
  <c r="CL27" i="1"/>
  <c r="CB66" i="1"/>
  <c r="CK85" i="1"/>
  <c r="CG86" i="1"/>
  <c r="CG31" i="1"/>
  <c r="CI50" i="1"/>
  <c r="CJ8" i="1"/>
  <c r="CB16" i="1"/>
  <c r="CB19" i="1"/>
  <c r="CA25" i="1"/>
  <c r="CL37" i="1"/>
  <c r="CC70" i="1"/>
  <c r="CG88" i="1"/>
  <c r="CF49" i="1"/>
  <c r="CC71" i="1"/>
  <c r="CC81" i="1"/>
  <c r="CG92" i="1"/>
  <c r="CL53" i="1"/>
  <c r="CI63" i="1"/>
  <c r="CH12" i="1"/>
  <c r="CF40" i="1"/>
  <c r="CD58" i="1"/>
  <c r="CL86" i="1"/>
  <c r="CE7" i="1"/>
  <c r="CH54" i="1"/>
  <c r="CJ16" i="1"/>
  <c r="CD22" i="1"/>
  <c r="CD57" i="1"/>
  <c r="CA30" i="1"/>
  <c r="CL39" i="1"/>
  <c r="CF72" i="1"/>
  <c r="CB91" i="1"/>
  <c r="CA45" i="1"/>
  <c r="CA61" i="1"/>
  <c r="CA64" i="1"/>
  <c r="CA82" i="1"/>
  <c r="CI6" i="1"/>
  <c r="CI9" i="1"/>
  <c r="CA36" i="1"/>
  <c r="CA67" i="1"/>
  <c r="CA78" i="1"/>
  <c r="CK90" i="1"/>
  <c r="CI5" i="1"/>
  <c r="CI11" i="1"/>
  <c r="CI15" i="1"/>
  <c r="CA17" i="1"/>
  <c r="CA20" i="1"/>
  <c r="CA56" i="1"/>
  <c r="CA28" i="1"/>
  <c r="CA29" i="1"/>
  <c r="CA33" i="1"/>
  <c r="CA44" i="1"/>
  <c r="CA48" i="1"/>
  <c r="CA62" i="1"/>
  <c r="CA74" i="1"/>
  <c r="CA75" i="1"/>
  <c r="CK84" i="1"/>
  <c r="CG46" i="1"/>
  <c r="CB46" i="1"/>
  <c r="CL18" i="1"/>
  <c r="CI27" i="1"/>
  <c r="CK54" i="1"/>
  <c r="CK66" i="1"/>
  <c r="CJ85" i="1"/>
  <c r="CB86" i="1"/>
  <c r="CJ7" i="1"/>
  <c r="CA31" i="1"/>
  <c r="CJ79" i="1"/>
  <c r="CK37" i="1"/>
  <c r="CL25" i="1"/>
  <c r="CC60" i="1"/>
  <c r="CA70" i="1"/>
  <c r="CK10" i="1"/>
  <c r="CE49" i="1"/>
  <c r="CA81" i="1"/>
  <c r="CD92" i="1"/>
  <c r="CF12" i="1"/>
  <c r="CE40" i="1"/>
  <c r="CL30" i="1"/>
  <c r="CE72" i="1"/>
  <c r="CL36" i="1"/>
  <c r="CL67" i="1"/>
  <c r="CJ90" i="1"/>
  <c r="CL20" i="1"/>
  <c r="CL33" i="1"/>
  <c r="CL44" i="1"/>
  <c r="CL48" i="1"/>
  <c r="CL62" i="1"/>
  <c r="CJ84" i="1"/>
  <c r="CG66" i="1"/>
  <c r="CJ66" i="1"/>
  <c r="CL31" i="1"/>
  <c r="CI36" i="1"/>
  <c r="CI67" i="1"/>
  <c r="CH90" i="1"/>
  <c r="CI20" i="1"/>
  <c r="CI33" i="1"/>
  <c r="CI44" i="1"/>
  <c r="CI48" i="1"/>
  <c r="CI62" i="1"/>
  <c r="CH84" i="1"/>
  <c r="CC24" i="1"/>
  <c r="CB24" i="1"/>
  <c r="CD66" i="1"/>
  <c r="CJ31" i="1"/>
  <c r="CI31" i="1"/>
  <c r="CF36" i="1"/>
  <c r="CF67" i="1"/>
  <c r="CG90" i="1"/>
  <c r="CF20" i="1"/>
  <c r="CF33" i="1"/>
  <c r="CF44" i="1"/>
  <c r="CF48" i="1"/>
  <c r="CF62" i="1"/>
  <c r="CG84" i="1"/>
  <c r="CA66" i="1"/>
  <c r="CF31" i="1"/>
  <c r="CE36" i="1"/>
  <c r="CE67" i="1"/>
  <c r="CD90" i="1"/>
  <c r="CE20" i="1"/>
  <c r="CE33" i="1"/>
  <c r="CE44" i="1"/>
  <c r="CE48" i="1"/>
  <c r="CE62" i="1"/>
  <c r="CD84" i="1"/>
  <c r="CB71" i="1"/>
  <c r="CJ71" i="1"/>
  <c r="CL66" i="1"/>
  <c r="CB31" i="1"/>
  <c r="CE31" i="1"/>
  <c r="CK36" i="1"/>
  <c r="CJ67" i="1"/>
  <c r="CA90" i="1"/>
  <c r="CD20" i="1"/>
  <c r="CG33" i="1"/>
  <c r="CJ44" i="1"/>
  <c r="CK48" i="1"/>
  <c r="CK62" i="1"/>
  <c r="CA84" i="1"/>
  <c r="CI66" i="1"/>
  <c r="CJ36" i="1"/>
  <c r="CC20" i="1"/>
  <c r="CD62" i="1"/>
  <c r="CI84" i="1"/>
  <c r="CF66" i="1"/>
  <c r="CC36" i="1"/>
  <c r="CK67" i="1"/>
  <c r="CF90" i="1"/>
  <c r="CK20" i="1"/>
  <c r="CB33" i="1"/>
  <c r="CD44" i="1"/>
  <c r="CD48" i="1"/>
  <c r="CH62" i="1"/>
  <c r="CF84" i="1"/>
  <c r="CC50" i="1"/>
  <c r="CH50" i="1"/>
  <c r="CE66" i="1"/>
  <c r="CA93" i="1"/>
  <c r="CF93" i="1"/>
  <c r="CI93" i="1"/>
  <c r="CL94" i="1" l="1"/>
  <c r="CH94" i="1"/>
  <c r="CD94" i="1"/>
  <c r="CB94" i="1"/>
  <c r="CG94" i="1"/>
  <c r="CF94" i="1"/>
  <c r="CK94" i="1"/>
  <c r="CA94" i="1"/>
  <c r="CE94" i="1"/>
  <c r="CJ94" i="1"/>
  <c r="CI94" i="1"/>
  <c r="CC94" i="1"/>
</calcChain>
</file>

<file path=xl/sharedStrings.xml><?xml version="1.0" encoding="utf-8"?>
<sst xmlns="http://schemas.openxmlformats.org/spreadsheetml/2006/main" count="508" uniqueCount="225">
  <si>
    <t>睡面虎</t>
    <phoneticPr fontId="1" type="noConversion"/>
  </si>
  <si>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</si>
  <si>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</si>
  <si>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</si>
  <si>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</si>
  <si>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</si>
  <si>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</si>
  <si>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</si>
  <si>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笨DJ</t>
    <phoneticPr fontId="1" type="noConversion"/>
  </si>
  <si>
    <t>魅力符文叉大</t>
    <phoneticPr fontId="1" type="noConversion"/>
  </si>
  <si>
    <t>金甲虫</t>
    <phoneticPr fontId="1" type="noConversion"/>
  </si>
  <si>
    <t>扭蛋</t>
    <phoneticPr fontId="1" type="noConversion"/>
  </si>
  <si>
    <t>成年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</si>
  <si>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</si>
  <si>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</si>
  <si>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</si>
  <si>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</si>
  <si>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</si>
  <si>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</si>
  <si>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</si>
  <si>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</si>
  <si>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</si>
  <si>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噗冬</t>
    <phoneticPr fontId="1" type="noConversion"/>
  </si>
  <si>
    <t>成年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</si>
  <si>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</si>
  <si>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</si>
  <si>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</si>
  <si>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大地符文</t>
    <phoneticPr fontId="1" type="noConversion"/>
  </si>
  <si>
    <t>神农鼎</t>
    <phoneticPr fontId="1" type="noConversion"/>
  </si>
  <si>
    <t>张飞</t>
    <phoneticPr fontId="1" type="noConversion"/>
  </si>
  <si>
    <t>盘古斧</t>
    <phoneticPr fontId="1" type="noConversion"/>
  </si>
  <si>
    <t>轩辕剑</t>
    <phoneticPr fontId="1" type="noConversion"/>
  </si>
  <si>
    <t>小白棉花</t>
    <phoneticPr fontId="1" type="noConversion"/>
  </si>
  <si>
    <t>木</t>
    <phoneticPr fontId="1" type="noConversion"/>
  </si>
  <si>
    <t>成年</t>
    <phoneticPr fontId="1" type="noConversion"/>
  </si>
  <si>
    <t>龙灵不朽藤</t>
    <phoneticPr fontId="1" type="noConversion"/>
  </si>
  <si>
    <t>小雪童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</si>
  <si>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</si>
  <si>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</si>
  <si>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</si>
  <si>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金镶玉</t>
    <phoneticPr fontId="1" type="noConversion"/>
  </si>
  <si>
    <t>赑屃</t>
    <phoneticPr fontId="1" type="noConversion"/>
  </si>
  <si>
    <t>避水金睛兽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</si>
  <si>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</si>
  <si>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</si>
  <si>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</si>
  <si>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</si>
  <si>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</si>
  <si>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</si>
  <si>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</si>
  <si>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神将关云长</t>
    <phoneticPr fontId="1" type="noConversion"/>
  </si>
  <si>
    <t>小双鱼</t>
    <phoneticPr fontId="1" type="noConversion"/>
  </si>
  <si>
    <t>水</t>
    <phoneticPr fontId="1" type="noConversion"/>
  </si>
  <si>
    <t>秘窟冰晶卵</t>
    <phoneticPr fontId="1" type="noConversion"/>
  </si>
  <si>
    <t>介公子</t>
    <phoneticPr fontId="1" type="noConversion"/>
  </si>
  <si>
    <t>智慧符文叉大</t>
    <phoneticPr fontId="1" type="noConversion"/>
  </si>
  <si>
    <t>痴花</t>
    <phoneticPr fontId="1" type="noConversion"/>
  </si>
  <si>
    <t>千年玄冰</t>
    <phoneticPr fontId="1" type="noConversion"/>
  </si>
  <si>
    <t>金来</t>
    <phoneticPr fontId="1" type="noConversion"/>
  </si>
  <si>
    <t>敖广</t>
    <phoneticPr fontId="1" type="noConversion"/>
  </si>
  <si>
    <t>昆仑镜</t>
    <phoneticPr fontId="1" type="noConversion"/>
  </si>
  <si>
    <t>夏娃瓜</t>
    <phoneticPr fontId="1" type="noConversion"/>
  </si>
  <si>
    <t>锤丸君</t>
    <phoneticPr fontId="1" type="noConversion"/>
  </si>
  <si>
    <t>风仆</t>
    <phoneticPr fontId="1" type="noConversion"/>
  </si>
  <si>
    <t>成年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</si>
  <si>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</si>
  <si>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</si>
  <si>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</si>
  <si>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</si>
  <si>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</si>
  <si>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</si>
  <si>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夏火小鬼</t>
    <phoneticPr fontId="1" type="noConversion"/>
  </si>
  <si>
    <t>结缘者</t>
    <phoneticPr fontId="1" type="noConversion"/>
  </si>
  <si>
    <t>伏羲琴</t>
    <phoneticPr fontId="1" type="noConversion"/>
  </si>
  <si>
    <t>花卷</t>
    <phoneticPr fontId="1" type="noConversion"/>
  </si>
  <si>
    <t>烈焰之心</t>
    <phoneticPr fontId="1" type="noConversion"/>
  </si>
  <si>
    <t>红豆丸</t>
    <phoneticPr fontId="1" type="noConversion"/>
  </si>
  <si>
    <t>金钗</t>
    <phoneticPr fontId="1" type="noConversion"/>
  </si>
  <si>
    <t>金钗子</t>
    <phoneticPr fontId="1" type="noConversion"/>
  </si>
  <si>
    <t>彗星</t>
    <phoneticPr fontId="1" type="noConversion"/>
  </si>
  <si>
    <t>七宿仙人</t>
    <phoneticPr fontId="1" type="noConversion"/>
  </si>
  <si>
    <t>火焰符文</t>
    <phoneticPr fontId="1" type="noConversion"/>
  </si>
  <si>
    <t>琴音使</t>
    <phoneticPr fontId="1" type="noConversion"/>
  </si>
  <si>
    <t>汉钟离</t>
    <phoneticPr fontId="1" type="noConversion"/>
  </si>
  <si>
    <t>光辉符文</t>
    <phoneticPr fontId="1" type="noConversion"/>
  </si>
  <si>
    <t>辉耀之星</t>
    <phoneticPr fontId="1" type="noConversion"/>
  </si>
  <si>
    <t>摩羯星</t>
    <phoneticPr fontId="1" type="noConversion"/>
  </si>
  <si>
    <t>光</t>
    <phoneticPr fontId="1" type="noConversion"/>
  </si>
  <si>
    <t>光元素</t>
    <phoneticPr fontId="1" type="noConversion"/>
  </si>
  <si>
    <t>六方天运骰</t>
    <phoneticPr fontId="1" type="noConversion"/>
  </si>
  <si>
    <t>芝鼠</t>
    <phoneticPr fontId="1" type="noConversion"/>
  </si>
  <si>
    <t>哈姆太鼠</t>
    <phoneticPr fontId="1" type="noConversion"/>
  </si>
  <si>
    <t>九色鹿</t>
    <phoneticPr fontId="1" type="noConversion"/>
  </si>
  <si>
    <t>妲己</t>
    <phoneticPr fontId="1" type="noConversion"/>
  </si>
  <si>
    <t>藕丁小童子</t>
    <phoneticPr fontId="1" type="noConversion"/>
  </si>
  <si>
    <t>米花伞</t>
    <phoneticPr fontId="1" type="noConversion"/>
  </si>
  <si>
    <t>暗</t>
    <phoneticPr fontId="1" type="noConversion"/>
  </si>
  <si>
    <t>妈蛋</t>
    <phoneticPr fontId="1" type="noConversion"/>
  </si>
  <si>
    <t>吕奉先</t>
    <phoneticPr fontId="1" type="noConversion"/>
  </si>
  <si>
    <t>月冕霓晴符</t>
    <phoneticPr fontId="1" type="noConversion"/>
  </si>
  <si>
    <t>合计</t>
    <phoneticPr fontId="1" type="noConversion"/>
  </si>
  <si>
    <t>木佣</t>
    <phoneticPr fontId="1" type="noConversion"/>
  </si>
  <si>
    <t>藕仙子</t>
    <phoneticPr fontId="1" type="noConversion"/>
  </si>
  <si>
    <t>自然符文</t>
    <phoneticPr fontId="1" type="noConversion"/>
  </si>
  <si>
    <t>愚蛇</t>
    <phoneticPr fontId="1" type="noConversion"/>
  </si>
  <si>
    <t>上古神杖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</si>
  <si>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</si>
  <si>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</si>
  <si>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</si>
  <si>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</si>
  <si>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</si>
  <si>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松果</t>
    <phoneticPr fontId="1" type="noConversion"/>
  </si>
  <si>
    <t>泥垢</t>
    <phoneticPr fontId="1" type="noConversion"/>
  </si>
  <si>
    <t>土仔</t>
    <phoneticPr fontId="1" type="noConversion"/>
  </si>
  <si>
    <t>远古神石</t>
    <phoneticPr fontId="1" type="noConversion"/>
  </si>
  <si>
    <t>土元素</t>
    <phoneticPr fontId="1" type="noConversion"/>
  </si>
  <si>
    <t>铁砧</t>
    <phoneticPr fontId="1" type="noConversion"/>
  </si>
  <si>
    <t>寒冰符文</t>
    <phoneticPr fontId="1" type="noConversion"/>
  </si>
  <si>
    <t>秘汤</t>
    <phoneticPr fontId="1" type="noConversion"/>
  </si>
  <si>
    <t>呵</t>
    <phoneticPr fontId="1" type="noConversion"/>
  </si>
  <si>
    <t>圣诞袜</t>
    <phoneticPr fontId="1" type="noConversion"/>
  </si>
  <si>
    <t>兔兔</t>
    <phoneticPr fontId="1" type="noConversion"/>
  </si>
  <si>
    <t>兔类</t>
    <phoneticPr fontId="1" type="noConversion"/>
  </si>
  <si>
    <t>光</t>
    <phoneticPr fontId="1" type="noConversion"/>
  </si>
  <si>
    <t>芒星</t>
    <phoneticPr fontId="1" type="noConversion"/>
  </si>
  <si>
    <t>黑桃三</t>
    <phoneticPr fontId="1" type="noConversion"/>
  </si>
  <si>
    <t>昊天塔</t>
    <phoneticPr fontId="1" type="noConversion"/>
  </si>
  <si>
    <t>紫冰</t>
    <phoneticPr fontId="1" type="noConversion"/>
  </si>
  <si>
    <t>月燕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</si>
  <si>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</si>
  <si>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</si>
  <si>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</si>
  <si>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</si>
  <si>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和风芽</t>
    <phoneticPr fontId="1" type="noConversion"/>
  </si>
  <si>
    <t>序号</t>
    <phoneticPr fontId="1" type="noConversion"/>
  </si>
  <si>
    <t>数量</t>
    <phoneticPr fontId="1" type="noConversion"/>
  </si>
  <si>
    <t>蓝采和</t>
    <phoneticPr fontId="1" type="noConversion"/>
  </si>
  <si>
    <t>曹国舅</t>
    <phoneticPr fontId="1" type="noConversion"/>
  </si>
  <si>
    <t>联发</t>
    <phoneticPr fontId="1" type="noConversion"/>
  </si>
  <si>
    <t>笔支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</si>
  <si>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</si>
  <si>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</si>
  <si>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</si>
  <si>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</si>
  <si>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</si>
  <si>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</si>
  <si>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</si>
  <si>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炼妖壶(1),</t>
    <phoneticPr fontId="1" type="noConversion"/>
  </si>
  <si>
    <t>炼妖壶(2),</t>
    <phoneticPr fontId="1" type="noConversion"/>
  </si>
  <si>
    <t>太一之轮(2),</t>
    <phoneticPr fontId="1" type="noConversion"/>
  </si>
  <si>
    <t>自然符文(3),</t>
    <phoneticPr fontId="1" type="noConversion"/>
  </si>
  <si>
    <t>技巧符文叉大(7),</t>
    <phoneticPr fontId="1" type="noConversion"/>
  </si>
  <si>
    <t>女娲石(4),</t>
    <phoneticPr fontId="1" type="noConversion"/>
  </si>
  <si>
    <t>女娲石(4),_x000D_
技巧符文叉大(2),</t>
    <phoneticPr fontId="1" type="noConversion"/>
  </si>
  <si>
    <t>仙丹(5),</t>
    <phoneticPr fontId="1" type="noConversion"/>
  </si>
  <si>
    <t>红糖(5),</t>
    <phoneticPr fontId="1" type="noConversion"/>
  </si>
  <si>
    <t>桂花(5),</t>
    <phoneticPr fontId="1" type="noConversion"/>
  </si>
  <si>
    <t>盘古斧(6),</t>
    <phoneticPr fontId="1" type="noConversion"/>
  </si>
  <si>
    <t>辉耀之星(20),</t>
    <phoneticPr fontId="1" type="noConversion"/>
  </si>
  <si>
    <t>金甲虫(200),</t>
    <phoneticPr fontId="1" type="noConversion"/>
  </si>
  <si>
    <t>盘古斧(2),_x000D_
力量符文叉大(6),</t>
    <phoneticPr fontId="1" type="noConversion"/>
  </si>
  <si>
    <t>愚山乾坤石(9),_x000D_
技巧符文叉大(7),</t>
    <phoneticPr fontId="1" type="noConversion"/>
  </si>
  <si>
    <t>桂花(5),_x000D_
桂花酒(5),_x000D_
灯笼(5),</t>
    <phoneticPr fontId="1" type="noConversion"/>
  </si>
  <si>
    <t>女娲石(9),_x000D_
伏羲琴(9),_x000D_
赤焰十字星(8),</t>
    <phoneticPr fontId="1" type="noConversion"/>
  </si>
  <si>
    <t>东皇钟(5),_x000D_
女娲石(14),_x000D_
愚山乾坤石(14),_x000D_
技巧符文叉大(12),</t>
    <phoneticPr fontId="1" type="noConversion"/>
  </si>
  <si>
    <t>超进阶素材土(50),_x000D_
超进阶素材木(50),_x000D_
超进阶素材光(50),_x000D_
超进阶素材暗(50),</t>
    <phoneticPr fontId="1" type="noConversion"/>
  </si>
  <si>
    <t>炼妖壶(1),</t>
    <phoneticPr fontId="1" type="noConversion"/>
  </si>
  <si>
    <t>金甲虫(1),</t>
    <phoneticPr fontId="1" type="noConversion"/>
  </si>
  <si>
    <t>金甲虫(1),</t>
    <phoneticPr fontId="1" type="noConversion"/>
  </si>
  <si>
    <t>盘古斧(1),</t>
    <phoneticPr fontId="1" type="noConversion"/>
  </si>
  <si>
    <t>烈焰之心(5),</t>
    <phoneticPr fontId="1" type="noConversion"/>
  </si>
  <si>
    <t>太一之轮(2),</t>
    <phoneticPr fontId="1" type="noConversion"/>
  </si>
  <si>
    <t>轩辕剑(2),</t>
    <phoneticPr fontId="1" type="noConversion"/>
  </si>
  <si>
    <t>自然符文(3),</t>
    <phoneticPr fontId="1" type="noConversion"/>
  </si>
  <si>
    <t>崆峒印(3),</t>
    <phoneticPr fontId="1" type="noConversion"/>
  </si>
  <si>
    <t>寒冰符文(3),</t>
    <phoneticPr fontId="1" type="noConversion"/>
  </si>
  <si>
    <t>寒冰符文(3),</t>
    <phoneticPr fontId="1" type="noConversion"/>
  </si>
  <si>
    <t>崆峒印(4),</t>
    <phoneticPr fontId="1" type="noConversion"/>
  </si>
  <si>
    <t>螃蟹(5),</t>
    <phoneticPr fontId="1" type="noConversion"/>
  </si>
  <si>
    <t>仙丹(5),</t>
    <phoneticPr fontId="1" type="noConversion"/>
  </si>
  <si>
    <t>红糖(5),</t>
    <phoneticPr fontId="1" type="noConversion"/>
  </si>
  <si>
    <t>桂花酒(5),</t>
    <phoneticPr fontId="1" type="noConversion"/>
  </si>
  <si>
    <t>金钗(5),</t>
    <phoneticPr fontId="1" type="noConversion"/>
  </si>
  <si>
    <t>彗星(5),</t>
    <phoneticPr fontId="1" type="noConversion"/>
  </si>
  <si>
    <t>大地符文(6),</t>
    <phoneticPr fontId="1" type="noConversion"/>
  </si>
  <si>
    <t>技巧符文叉大(7),</t>
    <phoneticPr fontId="1" type="noConversion"/>
  </si>
  <si>
    <t>光辉符文(8),</t>
    <phoneticPr fontId="1" type="noConversion"/>
  </si>
  <si>
    <t>赤焰十字星(8),</t>
    <phoneticPr fontId="1" type="noConversion"/>
  </si>
  <si>
    <t>金甲虫(10),</t>
    <phoneticPr fontId="1" type="noConversion"/>
  </si>
  <si>
    <t>金甲虫(15),</t>
    <phoneticPr fontId="1" type="noConversion"/>
  </si>
  <si>
    <t>金钗(15),</t>
    <phoneticPr fontId="1" type="noConversion"/>
  </si>
  <si>
    <t>彗星(15),</t>
    <phoneticPr fontId="1" type="noConversion"/>
  </si>
  <si>
    <t>金甲虫(50),</t>
    <phoneticPr fontId="1" type="noConversion"/>
  </si>
  <si>
    <t>轩辕剑(2),_x000D_
烈焰之心(5),</t>
    <phoneticPr fontId="1" type="noConversion"/>
  </si>
  <si>
    <t>轩辕剑(1),_x000D_
力量符文叉大(3),</t>
    <phoneticPr fontId="1" type="noConversion"/>
  </si>
  <si>
    <t>炼妖壶(2),_x000D_
速度符文叉大(3),</t>
    <phoneticPr fontId="1" type="noConversion"/>
  </si>
  <si>
    <t>伏羲琴(4),_x000D_
烈焰之心(5),</t>
    <phoneticPr fontId="1" type="noConversion"/>
  </si>
  <si>
    <t>女娲石(4),_x000D_
技巧符文叉大(2),</t>
    <phoneticPr fontId="1" type="noConversion"/>
  </si>
  <si>
    <t>炼妖壶(1),_x000D_
仙丹(5),</t>
    <phoneticPr fontId="1" type="noConversion"/>
  </si>
  <si>
    <t>太一之轮(3),_x000D_
速度符文叉大(3),</t>
    <phoneticPr fontId="1" type="noConversion"/>
  </si>
  <si>
    <t>桂花(5),_x000D_
桂花酒(5),</t>
    <phoneticPr fontId="1" type="noConversion"/>
  </si>
  <si>
    <t>红糖(5),_x000D_
圣诞袜(5),</t>
    <phoneticPr fontId="1" type="noConversion"/>
  </si>
  <si>
    <t>红糖(5),_x000D_
圣诞袜(5),</t>
    <phoneticPr fontId="1" type="noConversion"/>
  </si>
  <si>
    <t>女娲石(5),_x000D_
技巧符文叉大(7),</t>
    <phoneticPr fontId="1" type="noConversion"/>
  </si>
  <si>
    <t>崆峒印(4),_x000D_
赤焰十字星(8),</t>
    <phoneticPr fontId="1" type="noConversion"/>
  </si>
  <si>
    <t>太一之轮(3),_x000D_
六方天运骰(10),</t>
    <phoneticPr fontId="1" type="noConversion"/>
  </si>
  <si>
    <t>秘窟冰晶卵(3),_x000D_
技巧符文叉大(12),</t>
    <phoneticPr fontId="1" type="noConversion"/>
  </si>
  <si>
    <t>伏羲琴(5),_x000D_
六方天运骰(10),</t>
    <phoneticPr fontId="1" type="noConversion"/>
  </si>
  <si>
    <t>愚山乾坤石(9),_x000D_
技巧符文叉大(7),</t>
    <phoneticPr fontId="1" type="noConversion"/>
  </si>
  <si>
    <t>大地符文(11),_x000D_
远古神石(5),</t>
    <phoneticPr fontId="1" type="noConversion"/>
  </si>
  <si>
    <t>轩辕剑(1),_x000D_
愚山乾坤石(4),_x000D_
力量符文叉大(3),</t>
    <phoneticPr fontId="1" type="noConversion"/>
  </si>
  <si>
    <t>盘古斧(2),_x000D_
赤焰十字星(8),_x000D_
速度符文叉大(3),</t>
    <phoneticPr fontId="1" type="noConversion"/>
  </si>
  <si>
    <t>螃蟹(5),_x000D_
桂花(5),_x000D_
桂花酒(5),</t>
    <phoneticPr fontId="1" type="noConversion"/>
  </si>
  <si>
    <t>女娲石(9),_x000D_
彗星(25),_x000D_
赤焰十字星(8),</t>
    <phoneticPr fontId="1" type="noConversion"/>
  </si>
  <si>
    <t>炼妖壶(16),_x000D_
轩辕剑(17),_x000D_
伏羲琴(19),</t>
    <phoneticPr fontId="1" type="noConversion"/>
  </si>
  <si>
    <t>炼妖壶(2),_x000D_
伏羲琴(5),_x000D_
赤焰十字星(8),_x000D_
技巧符文叉大(7),</t>
    <phoneticPr fontId="1" type="noConversion"/>
  </si>
  <si>
    <t>炼妖壶(11),_x000D_
神农鼎(2),_x000D_
赤焰十字星(13),_x000D_
幸运符文叉大(3),</t>
    <phoneticPr fontId="1" type="noConversion"/>
  </si>
  <si>
    <t>女娲石(14),_x000D_
神农鼎(2),_x000D_
幸运符文叉大(3),_x000D_
技巧符文叉大(12),</t>
    <phoneticPr fontId="1" type="noConversion"/>
  </si>
  <si>
    <t>女娲石(14),_x000D_
神农鼎(2),_x000D_
龙灵不朽藤(4),_x000D_
技巧符文叉大(12),</t>
    <phoneticPr fontId="1" type="noConversion"/>
  </si>
  <si>
    <t>昆仑镜(5),_x000D_
太一之轮(12),_x000D_
幸运符文叉大(3),_x000D_
技巧符文叉大(12),</t>
    <phoneticPr fontId="1" type="noConversion"/>
  </si>
  <si>
    <t>炼妖壶(6),_x000D_
愚山乾坤石(9),_x000D_
力量符文叉大(13),_x000D_
速度符文叉大(8),</t>
    <phoneticPr fontId="1" type="noConversion"/>
  </si>
  <si>
    <t>六方天运骰(20),_x000D_
力量符文叉大(18),_x000D_
速度符文叉大(13),_x000D_
技巧符文叉大(7),</t>
    <phoneticPr fontId="1" type="noConversion"/>
  </si>
  <si>
    <t>超进阶素材水(45),_x000D_
超进阶素材火(50),_x000D_
超进阶素材光(50),_x000D_
超进阶素材暗(50),</t>
    <phoneticPr fontId="1" type="noConversion"/>
  </si>
  <si>
    <t>超进阶素材土(50),_x000D_
超进阶素材木(50),_x000D_
超进阶素材光(50),_x000D_
超进阶素材暗(50),</t>
    <phoneticPr fontId="1" type="noConversion"/>
  </si>
  <si>
    <t>差值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</si>
</sst>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</cellXfs>
  <cellStyles count="1">
    <cellStyle name="常规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99</xdr:row>
          <xdr:rowOff>28575</xdr:rowOff>
        </xdr:from>
        <xdr:to>
          <xdr:col>1</xdr:col>
          <xdr:colOff>428625</xdr:colOff>
          <xdr:row>100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L96"/>
  <sheetViews>
    <sheetView tabSelected="1" workbookViewId="0">
      <pane xSplit="2" ySplit="1" topLeftCell="BD2" activePane="bottomRight" state="frozen"/>
      <selection pane="topRight" activeCell="C1" sqref="C1"/>
      <selection pane="bottomLeft" activeCell="A3" sqref="A3"/>
      <selection pane="bottomRight" activeCell="A60" sqref="A60:XFD60"/>
    </sheetView>
  </sheetViews>
  <sheetFormatPr defaultRowHeight="13.5" x14ac:dyDescent="0.15"/>
  <cols>
    <col min="1" max="1" width="9.75" bestFit="1" customWidth="1"/>
    <col min="2" max="2" width="11" bestFit="1" customWidth="1"/>
    <col min="3" max="4" width="9.75" bestFit="1" customWidth="1"/>
    <col min="5" max="14" width="11.75" bestFit="1" customWidth="1"/>
    <col min="15" max="24" width="13.75" bestFit="1" customWidth="1"/>
    <col min="25" max="26" width="11.75" bestFit="1" customWidth="1"/>
    <col min="27" max="27" width="13.75" bestFit="1" customWidth="1"/>
    <col min="28" max="28" width="11.75" bestFit="1" customWidth="1"/>
    <col min="29" max="31" width="9.75" bestFit="1" customWidth="1"/>
    <col min="32" max="32" width="11.75" bestFit="1" customWidth="1"/>
    <col min="33" max="34" width="9.75" bestFit="1" customWidth="1"/>
    <col min="35" max="35" width="11.75" bestFit="1" customWidth="1"/>
    <col min="36" max="37" width="9.75" bestFit="1" customWidth="1"/>
    <col min="38" max="43" width="15.875" style="7" bestFit="1" customWidth="1"/>
    <col min="44" max="49" width="18.125" style="7" bestFit="1" customWidth="1"/>
    <col min="50" max="55" width="15.875" bestFit="1" customWidth="1"/>
    <col min="56" max="61" width="18.125" bestFit="1" customWidth="1"/>
    <col min="62" max="62" width="9.75" bestFit="1" customWidth="1"/>
    <col min="63" max="63" width="7.5" customWidth="1"/>
    <col min="64" max="64" width="7.625" style="15" customWidth="1"/>
    <col min="65" max="65" width="18.625" style="15" bestFit="1" customWidth="1"/>
    <col min="66" max="71" width="11.875" bestFit="1" customWidth="1"/>
    <col min="72" max="77" width="14.125" bestFit="1" customWidth="1"/>
  </cols>
  <sheetData>
    <row r="1" spans="1:90" s="13" customFormat="1" x14ac:dyDescent="0.15">
      <c r="A1" s="8" t="s">
        <v>129</v>
      </c>
      <c r="B1" s="8" t="s">
        <v>130</v>
      </c>
      <c r="C1" s="8" t="s">
        <v>132</v>
      </c>
      <c r="D1" s="8" t="s">
        <v>131</v>
      </c>
      <c r="E1" s="9" t="s">
        <v>3</v>
      </c>
      <c r="F1" s="9" t="s">
        <v>4</v>
      </c>
      <c r="G1" s="9" t="s">
        <v>15</v>
      </c>
      <c r="H1" s="9" t="s">
        <v>28</v>
      </c>
      <c r="I1" s="9" t="s">
        <v>30</v>
      </c>
      <c r="J1" s="9" t="s">
        <v>126</v>
      </c>
      <c r="K1" s="9" t="s">
        <v>31</v>
      </c>
      <c r="L1" s="9" t="s">
        <v>60</v>
      </c>
      <c r="M1" s="9" t="s">
        <v>66</v>
      </c>
      <c r="N1" s="9" t="s">
        <v>73</v>
      </c>
      <c r="O1" s="9" t="s">
        <v>65</v>
      </c>
      <c r="P1" s="9" t="s">
        <v>27</v>
      </c>
      <c r="Q1" s="9" t="s">
        <v>81</v>
      </c>
      <c r="R1" s="9" t="s">
        <v>117</v>
      </c>
      <c r="S1" s="9" t="s">
        <v>84</v>
      </c>
      <c r="T1" s="9" t="s">
        <v>103</v>
      </c>
      <c r="U1" s="9" t="s">
        <v>85</v>
      </c>
      <c r="V1" s="9" t="s">
        <v>114</v>
      </c>
      <c r="W1" s="9" t="s">
        <v>57</v>
      </c>
      <c r="X1" s="9" t="s">
        <v>75</v>
      </c>
      <c r="Y1" s="9" t="s">
        <v>115</v>
      </c>
      <c r="Z1" s="9" t="s">
        <v>88</v>
      </c>
      <c r="AA1" s="9" t="s">
        <v>105</v>
      </c>
      <c r="AB1" s="8" t="s">
        <v>10</v>
      </c>
      <c r="AC1" s="8" t="s">
        <v>38</v>
      </c>
      <c r="AD1" s="8" t="s">
        <v>39</v>
      </c>
      <c r="AE1" s="8" t="s">
        <v>106</v>
      </c>
      <c r="AF1" s="8" t="s">
        <v>107</v>
      </c>
      <c r="AG1" s="8" t="s">
        <v>109</v>
      </c>
      <c r="AH1" s="8" t="s">
        <v>110</v>
      </c>
      <c r="AI1" s="8" t="s">
        <v>120</v>
      </c>
      <c r="AJ1" s="8" t="s">
        <v>77</v>
      </c>
      <c r="AK1" s="8" t="s">
        <v>79</v>
      </c>
      <c r="AL1" s="10" t="s">
        <v>53</v>
      </c>
      <c r="AM1" s="10" t="s">
        <v>5</v>
      </c>
      <c r="AN1" s="10" t="s">
        <v>35</v>
      </c>
      <c r="AO1" s="10" t="s">
        <v>89</v>
      </c>
      <c r="AP1" s="10" t="s">
        <v>99</v>
      </c>
      <c r="AQ1" s="10" t="s">
        <v>70</v>
      </c>
      <c r="AR1" s="11" t="s">
        <v>6</v>
      </c>
      <c r="AS1" s="11" t="s">
        <v>7</v>
      </c>
      <c r="AT1" s="11" t="s">
        <v>55</v>
      </c>
      <c r="AU1" s="11" t="s">
        <v>9</v>
      </c>
      <c r="AV1" s="11" t="s">
        <v>69</v>
      </c>
      <c r="AW1" s="11" t="s">
        <v>14</v>
      </c>
      <c r="AX1" s="8" t="s">
        <v>19</v>
      </c>
      <c r="AY1" s="8" t="s">
        <v>18</v>
      </c>
      <c r="AZ1" s="8" t="s">
        <v>16</v>
      </c>
      <c r="BA1" s="8" t="s">
        <v>17</v>
      </c>
      <c r="BB1" s="8" t="s">
        <v>20</v>
      </c>
      <c r="BC1" s="8" t="s">
        <v>21</v>
      </c>
      <c r="BD1" s="8" t="s">
        <v>44</v>
      </c>
      <c r="BE1" s="8" t="s">
        <v>45</v>
      </c>
      <c r="BF1" s="8" t="s">
        <v>46</v>
      </c>
      <c r="BG1" s="8" t="s">
        <v>47</v>
      </c>
      <c r="BH1" s="8" t="s">
        <v>48</v>
      </c>
      <c r="BI1" s="8" t="s">
        <v>49</v>
      </c>
      <c r="BJ1" s="12" t="s">
        <v>141</v>
      </c>
      <c r="BK1" s="8" t="s">
        <v>142</v>
      </c>
      <c r="BL1" s="16" t="s">
        <v>143</v>
      </c>
      <c r="BM1" s="16"/>
      <c r="BN1" s="10" t="s">
        <v>53</v>
      </c>
      <c r="BO1" s="10" t="s">
        <v>5</v>
      </c>
      <c r="BP1" s="10" t="s">
        <v>35</v>
      </c>
      <c r="BQ1" s="10" t="s">
        <v>89</v>
      </c>
      <c r="BR1" s="10" t="s">
        <v>99</v>
      </c>
      <c r="BS1" s="10" t="s">
        <v>70</v>
      </c>
      <c r="BT1" s="11" t="s">
        <v>6</v>
      </c>
      <c r="BU1" s="11" t="s">
        <v>7</v>
      </c>
      <c r="BV1" s="11" t="s">
        <v>55</v>
      </c>
      <c r="BW1" s="11" t="s">
        <v>9</v>
      </c>
      <c r="BX1" s="11" t="s">
        <v>69</v>
      </c>
      <c r="BY1" s="11" t="s">
        <v>14</v>
      </c>
      <c r="BZ1" s="8"/>
      <c r="CA1" s="10" t="s">
        <v>53</v>
      </c>
      <c r="CB1" s="10" t="s">
        <v>5</v>
      </c>
      <c r="CC1" s="10" t="s">
        <v>35</v>
      </c>
      <c r="CD1" s="10" t="s">
        <v>89</v>
      </c>
      <c r="CE1" s="10" t="s">
        <v>99</v>
      </c>
      <c r="CF1" s="10" t="s">
        <v>70</v>
      </c>
      <c r="CG1" s="11" t="s">
        <v>6</v>
      </c>
      <c r="CH1" s="11" t="s">
        <v>7</v>
      </c>
      <c r="CI1" s="11" t="s">
        <v>55</v>
      </c>
      <c r="CJ1" s="11" t="s">
        <v>9</v>
      </c>
      <c r="CK1" s="11" t="s">
        <v>69</v>
      </c>
      <c r="CL1" s="11" t="s">
        <v>14</v>
      </c>
    </row>
    <row r="2" spans="1:90" x14ac:dyDescent="0.15">
      <c r="A2" s="1">
        <v>4</v>
      </c>
      <c r="B2" s="1" t="s">
        <v>11</v>
      </c>
      <c r="C2" s="1" t="s">
        <v>2</v>
      </c>
      <c r="D2" s="1" t="s">
        <v>13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1"/>
      <c r="AC2" s="1"/>
      <c r="AD2" s="1"/>
      <c r="AE2" s="1"/>
      <c r="AF2" s="1"/>
      <c r="AG2" s="1"/>
      <c r="AH2" s="1"/>
      <c r="AI2" s="1"/>
      <c r="AJ2" s="1"/>
      <c r="AK2" s="1"/>
      <c r="AL2" s="4"/>
      <c r="AM2" s="4"/>
      <c r="AN2" s="4"/>
      <c r="AO2" s="4"/>
      <c r="AP2" s="4"/>
      <c r="AQ2" s="4"/>
      <c r="AR2" s="2"/>
      <c r="AS2" s="2"/>
      <c r="AT2" s="2"/>
      <c r="AU2" s="2"/>
      <c r="AV2" s="2"/>
      <c r="AW2" s="2"/>
      <c r="AX2" s="1"/>
      <c r="AY2" s="1"/>
      <c r="AZ2" s="1">
        <v>20</v>
      </c>
      <c r="BA2" s="1">
        <v>20</v>
      </c>
      <c r="BB2" s="1">
        <v>20</v>
      </c>
      <c r="BC2" s="1">
        <v>20</v>
      </c>
      <c r="BD2" s="1"/>
      <c r="BE2" s="1"/>
      <c r="BF2" s="1"/>
      <c r="BG2" s="1"/>
      <c r="BH2" s="1"/>
      <c r="BI2" s="1"/>
      <c r="BJ2" s="1">
        <f>SUM(E2:BI2)</f>
        <v>80</v>
      </c>
      <c r="BK2" s="1">
        <v>0</v>
      </c>
      <c r="BL2" s="17">
        <v>0</v>
      </c>
      <c r="BM2" s="17"/>
      <c r="BN2" s="1" t="str">
        <f>IF(AL2&gt;AL$95, AL2-AL$95,"")</f>
        <v/>
      </c>
      <c r="BO2" s="1" t="str">
        <f>IF(AM2&gt;AM$95, AM2-AM$95,"")</f>
        <v/>
      </c>
      <c r="BP2" s="1" t="str">
        <f>IF(AN2&gt;AN$95, AN2-AN$95,"")</f>
        <v/>
      </c>
      <c r="BQ2" s="1" t="str">
        <f>IF(AO2&gt;AO$95, AO2-AO$95,"")</f>
        <v/>
      </c>
      <c r="BR2" s="1" t="str">
        <f>IF(AP2&gt;AP$95, AP2-AP$95,"")</f>
        <v/>
      </c>
      <c r="BS2" s="1" t="str">
        <f>IF(AQ2&gt;AQ$95, AQ2-AQ$95,"")</f>
        <v/>
      </c>
      <c r="BT2" s="1" t="str">
        <f>IF(AR2&gt;AR$95, AR2-AR$95,"")</f>
        <v/>
      </c>
      <c r="BU2" s="1" t="str">
        <f>IF(AS2&gt;AS$95, AS2-AS$95,"")</f>
        <v/>
      </c>
      <c r="BV2" s="1" t="str">
        <f>IF(AT2&gt;AT$95, AT2-AT$95,"")</f>
        <v/>
      </c>
      <c r="BW2" s="1" t="str">
        <f>IF(AU2&gt;AU$95, AU2-AU$95,"")</f>
        <v/>
      </c>
      <c r="BX2" s="1" t="str">
        <f>IF(AV2&gt;AV$95, AV2-AV$95,"")</f>
        <v/>
      </c>
      <c r="BY2" s="1" t="str">
        <f>IF(AW2&gt;AW$95, AW2-AW$95,"")</f>
        <v/>
      </c>
      <c r="BZ2" s="1">
        <f>12-COUNTA(BN2:BY2)</f>
        <v>0</v>
      </c>
      <c r="CA2" s="1" t="str">
        <f>IF($BZ2=1,BN2,"")</f>
        <v/>
      </c>
      <c r="CB2" s="1" t="str">
        <f>IF($BZ2=1,BO2,"")</f>
        <v/>
      </c>
      <c r="CC2" s="1" t="str">
        <f>IF($BZ2=1,BP2,"")</f>
        <v/>
      </c>
      <c r="CD2" s="1" t="str">
        <f>IF($BZ2=1,BQ2,"")</f>
        <v/>
      </c>
      <c r="CE2" s="1" t="str">
        <f>IF($BZ2=1,BR2,"")</f>
        <v/>
      </c>
      <c r="CF2" s="1" t="str">
        <f>IF($BZ2=1,BS2,"")</f>
        <v/>
      </c>
      <c r="CG2" s="1" t="str">
        <f>IF($BZ2=1,BT2,"")</f>
        <v/>
      </c>
      <c r="CH2" s="1" t="str">
        <f>IF($BZ2=1,BU2,"")</f>
        <v/>
      </c>
      <c r="CI2" s="1" t="str">
        <f>IF($BZ2=1,BV2,"")</f>
        <v/>
      </c>
      <c r="CJ2" s="1" t="str">
        <f>IF($BZ2=1,BW2,"")</f>
        <v/>
      </c>
      <c r="CK2" s="1" t="str">
        <f>IF($BZ2=1,BX2,"")</f>
        <v/>
      </c>
      <c r="CL2" s="1" t="str">
        <f>IF($BZ2=1,BY2,"")</f>
        <v/>
      </c>
    </row>
    <row r="3" spans="1:90" x14ac:dyDescent="0.15">
      <c r="A3" s="1">
        <v>15</v>
      </c>
      <c r="B3" s="1" t="s">
        <v>32</v>
      </c>
      <c r="C3" s="1" t="s">
        <v>33</v>
      </c>
      <c r="D3" s="1" t="s">
        <v>26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1"/>
      <c r="AC3" s="1"/>
      <c r="AD3" s="1"/>
      <c r="AE3" s="1"/>
      <c r="AF3" s="1"/>
      <c r="AG3" s="1"/>
      <c r="AH3" s="1"/>
      <c r="AI3" s="1"/>
      <c r="AJ3" s="1"/>
      <c r="AK3" s="1"/>
      <c r="AL3" s="4"/>
      <c r="AM3" s="4"/>
      <c r="AN3" s="4"/>
      <c r="AO3" s="4"/>
      <c r="AP3" s="4"/>
      <c r="AQ3" s="4"/>
      <c r="AR3" s="2"/>
      <c r="AS3" s="2"/>
      <c r="AT3" s="2"/>
      <c r="AU3" s="2"/>
      <c r="AV3" s="2"/>
      <c r="AW3" s="2"/>
      <c r="AX3" s="1">
        <v>20</v>
      </c>
      <c r="AY3" s="1">
        <v>20</v>
      </c>
      <c r="AZ3" s="1">
        <v>20</v>
      </c>
      <c r="BA3" s="1">
        <v>20</v>
      </c>
      <c r="BB3" s="1"/>
      <c r="BC3" s="1"/>
      <c r="BD3" s="1"/>
      <c r="BE3" s="1"/>
      <c r="BF3" s="1"/>
      <c r="BG3" s="1"/>
      <c r="BH3" s="1"/>
      <c r="BI3" s="1"/>
      <c r="BJ3" s="1">
        <f>SUM(E3:BI3)</f>
        <v>80</v>
      </c>
      <c r="BK3" s="1">
        <v>0</v>
      </c>
      <c r="BL3" s="17">
        <v>0</v>
      </c>
      <c r="BM3" s="17"/>
      <c r="BN3" s="1" t="str">
        <f>IF(AL3&gt;AL$95, AL3-AL$95,"")</f>
        <v/>
      </c>
      <c r="BO3" s="1" t="str">
        <f>IF(AM3&gt;AM$95, AM3-AM$95,"")</f>
        <v/>
      </c>
      <c r="BP3" s="1" t="str">
        <f>IF(AN3&gt;AN$95, AN3-AN$95,"")</f>
        <v/>
      </c>
      <c r="BQ3" s="1" t="str">
        <f>IF(AO3&gt;AO$95, AO3-AO$95,"")</f>
        <v/>
      </c>
      <c r="BR3" s="1" t="str">
        <f>IF(AP3&gt;AP$95, AP3-AP$95,"")</f>
        <v/>
      </c>
      <c r="BS3" s="1" t="str">
        <f>IF(AQ3&gt;AQ$95, AQ3-AQ$95,"")</f>
        <v/>
      </c>
      <c r="BT3" s="1" t="str">
        <f>IF(AR3&gt;AR$95, AR3-AR$95,"")</f>
        <v/>
      </c>
      <c r="BU3" s="1" t="str">
        <f>IF(AS3&gt;AS$95, AS3-AS$95,"")</f>
        <v/>
      </c>
      <c r="BV3" s="1" t="str">
        <f>IF(AT3&gt;AT$95, AT3-AT$95,"")</f>
        <v/>
      </c>
      <c r="BW3" s="1" t="str">
        <f>IF(AU3&gt;AU$95, AU3-AU$95,"")</f>
        <v/>
      </c>
      <c r="BX3" s="1" t="str">
        <f>IF(AV3&gt;AV$95, AV3-AV$95,"")</f>
        <v/>
      </c>
      <c r="BY3" s="1" t="str">
        <f>IF(AW3&gt;AW$95, AW3-AW$95,"")</f>
        <v/>
      </c>
      <c r="BZ3" s="1">
        <f>12-COUNTA(BN3:BY3)</f>
        <v>0</v>
      </c>
      <c r="CA3" s="1" t="str">
        <f>IF($BZ3=1,BN3,"")</f>
        <v/>
      </c>
      <c r="CB3" s="1" t="str">
        <f>IF($BZ3=1,BO3,"")</f>
        <v/>
      </c>
      <c r="CC3" s="1" t="str">
        <f>IF($BZ3=1,BP3,"")</f>
        <v/>
      </c>
      <c r="CD3" s="1" t="str">
        <f>IF($BZ3=1,BQ3,"")</f>
        <v/>
      </c>
      <c r="CE3" s="1" t="str">
        <f>IF($BZ3=1,BR3,"")</f>
        <v/>
      </c>
      <c r="CF3" s="1" t="str">
        <f>IF($BZ3=1,BS3,"")</f>
        <v/>
      </c>
      <c r="CG3" s="1" t="str">
        <f>IF($BZ3=1,BT3,"")</f>
        <v/>
      </c>
      <c r="CH3" s="1" t="str">
        <f>IF($BZ3=1,BU3,"")</f>
        <v/>
      </c>
      <c r="CI3" s="1" t="str">
        <f>IF($BZ3=1,BV3,"")</f>
        <v/>
      </c>
      <c r="CJ3" s="1" t="str">
        <f>IF($BZ3=1,BW3,"")</f>
        <v/>
      </c>
      <c r="CK3" s="1" t="str">
        <f>IF($BZ3=1,BX3,"")</f>
        <v/>
      </c>
      <c r="CL3" s="1" t="str">
        <f>IF($BZ3=1,BY3,"")</f>
        <v/>
      </c>
    </row>
    <row r="4" spans="1:90" x14ac:dyDescent="0.15">
      <c r="A4" s="1">
        <v>26</v>
      </c>
      <c r="B4" s="1" t="s">
        <v>104</v>
      </c>
      <c r="C4" s="1" t="s">
        <v>33</v>
      </c>
      <c r="D4" s="1" t="s">
        <v>1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>
        <v>4</v>
      </c>
      <c r="AB4" s="1"/>
      <c r="AC4" s="1"/>
      <c r="AD4" s="1"/>
      <c r="AE4" s="1"/>
      <c r="AF4" s="1"/>
      <c r="AG4" s="1"/>
      <c r="AH4" s="1"/>
      <c r="AI4" s="1"/>
      <c r="AJ4" s="1"/>
      <c r="AK4" s="1"/>
      <c r="AL4" s="4"/>
      <c r="AM4" s="4"/>
      <c r="AN4" s="4"/>
      <c r="AO4" s="4"/>
      <c r="AP4" s="4"/>
      <c r="AQ4" s="4"/>
      <c r="AR4" s="2"/>
      <c r="AS4" s="2"/>
      <c r="AT4" s="2"/>
      <c r="AU4" s="2"/>
      <c r="AV4" s="2"/>
      <c r="AW4" s="2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>
        <f>SUM(E4:BI4)</f>
        <v>4</v>
      </c>
      <c r="BK4" s="1">
        <v>0</v>
      </c>
      <c r="BL4" s="17">
        <v>0</v>
      </c>
      <c r="BM4" s="17"/>
      <c r="BN4" s="1" t="str">
        <f>IF(AL4&gt;AL$95, AL4-AL$95,"")</f>
        <v/>
      </c>
      <c r="BO4" s="1" t="str">
        <f>IF(AM4&gt;AM$95, AM4-AM$95,"")</f>
        <v/>
      </c>
      <c r="BP4" s="1" t="str">
        <f>IF(AN4&gt;AN$95, AN4-AN$95,"")</f>
        <v/>
      </c>
      <c r="BQ4" s="1" t="str">
        <f>IF(AO4&gt;AO$95, AO4-AO$95,"")</f>
        <v/>
      </c>
      <c r="BR4" s="1" t="str">
        <f>IF(AP4&gt;AP$95, AP4-AP$95,"")</f>
        <v/>
      </c>
      <c r="BS4" s="1" t="str">
        <f>IF(AQ4&gt;AQ$95, AQ4-AQ$95,"")</f>
        <v/>
      </c>
      <c r="BT4" s="1" t="str">
        <f>IF(AR4&gt;AR$95, AR4-AR$95,"")</f>
        <v/>
      </c>
      <c r="BU4" s="1" t="str">
        <f>IF(AS4&gt;AS$95, AS4-AS$95,"")</f>
        <v/>
      </c>
      <c r="BV4" s="1" t="str">
        <f>IF(AT4&gt;AT$95, AT4-AT$95,"")</f>
        <v/>
      </c>
      <c r="BW4" s="1" t="str">
        <f>IF(AU4&gt;AU$95, AU4-AU$95,"")</f>
        <v/>
      </c>
      <c r="BX4" s="1" t="str">
        <f>IF(AV4&gt;AV$95, AV4-AV$95,"")</f>
        <v/>
      </c>
      <c r="BY4" s="1" t="str">
        <f>IF(AW4&gt;AW$95, AW4-AW$95,"")</f>
        <v/>
      </c>
      <c r="BZ4" s="1">
        <f>12-COUNTA(BN4:BY4)</f>
        <v>0</v>
      </c>
      <c r="CA4" s="1" t="str">
        <f>IF($BZ4=1,BN4,"")</f>
        <v/>
      </c>
      <c r="CB4" s="1" t="str">
        <f>IF($BZ4=1,BO4,"")</f>
        <v/>
      </c>
      <c r="CC4" s="1" t="str">
        <f>IF($BZ4=1,BP4,"")</f>
        <v/>
      </c>
      <c r="CD4" s="1" t="str">
        <f>IF($BZ4=1,BQ4,"")</f>
        <v/>
      </c>
      <c r="CE4" s="1" t="str">
        <f>IF($BZ4=1,BR4,"")</f>
        <v/>
      </c>
      <c r="CF4" s="1" t="str">
        <f>IF($BZ4=1,BS4,"")</f>
        <v/>
      </c>
      <c r="CG4" s="1" t="str">
        <f>IF($BZ4=1,BT4,"")</f>
        <v/>
      </c>
      <c r="CH4" s="1" t="str">
        <f>IF($BZ4=1,BU4,"")</f>
        <v/>
      </c>
      <c r="CI4" s="1" t="str">
        <f>IF($BZ4=1,BV4,"")</f>
        <v/>
      </c>
      <c r="CJ4" s="1" t="str">
        <f>IF($BZ4=1,BW4,"")</f>
        <v/>
      </c>
      <c r="CK4" s="1" t="str">
        <f>IF($BZ4=1,BX4,"")</f>
        <v/>
      </c>
      <c r="CL4" s="1" t="str">
        <f>IF($BZ4=1,BY4,"")</f>
        <v/>
      </c>
    </row>
    <row r="5" spans="1:90" x14ac:dyDescent="0.15">
      <c r="A5" s="1">
        <v>35</v>
      </c>
      <c r="B5" s="1" t="s">
        <v>51</v>
      </c>
      <c r="C5" s="1" t="s">
        <v>52</v>
      </c>
      <c r="D5" s="1" t="s">
        <v>26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1"/>
      <c r="AC5" s="1"/>
      <c r="AD5" s="1"/>
      <c r="AE5" s="1"/>
      <c r="AF5" s="1"/>
      <c r="AG5" s="1"/>
      <c r="AH5" s="1"/>
      <c r="AI5" s="1"/>
      <c r="AJ5" s="1"/>
      <c r="AK5" s="1"/>
      <c r="AL5" s="4"/>
      <c r="AM5" s="4"/>
      <c r="AN5" s="4"/>
      <c r="AO5" s="4"/>
      <c r="AP5" s="4"/>
      <c r="AQ5" s="4"/>
      <c r="AR5" s="2"/>
      <c r="AS5" s="2"/>
      <c r="AT5" s="2"/>
      <c r="AU5" s="2"/>
      <c r="AV5" s="2"/>
      <c r="AW5" s="2"/>
      <c r="AX5" s="1">
        <v>20</v>
      </c>
      <c r="AY5" s="1">
        <v>20</v>
      </c>
      <c r="AZ5" s="1">
        <v>20</v>
      </c>
      <c r="BA5" s="1">
        <v>20</v>
      </c>
      <c r="BB5" s="1"/>
      <c r="BC5" s="1"/>
      <c r="BD5" s="1"/>
      <c r="BE5" s="1"/>
      <c r="BF5" s="1"/>
      <c r="BG5" s="1"/>
      <c r="BH5" s="1"/>
      <c r="BI5" s="1"/>
      <c r="BJ5" s="1">
        <f>SUM(E5:BI5)</f>
        <v>80</v>
      </c>
      <c r="BK5" s="1">
        <v>0</v>
      </c>
      <c r="BL5" s="17">
        <v>0</v>
      </c>
      <c r="BM5" s="17"/>
      <c r="BN5" s="1" t="str">
        <f>IF(AL5&gt;AL$95, AL5-AL$95,"")</f>
        <v/>
      </c>
      <c r="BO5" s="1" t="str">
        <f>IF(AM5&gt;AM$95, AM5-AM$95,"")</f>
        <v/>
      </c>
      <c r="BP5" s="1" t="str">
        <f>IF(AN5&gt;AN$95, AN5-AN$95,"")</f>
        <v/>
      </c>
      <c r="BQ5" s="1" t="str">
        <f>IF(AO5&gt;AO$95, AO5-AO$95,"")</f>
        <v/>
      </c>
      <c r="BR5" s="1" t="str">
        <f>IF(AP5&gt;AP$95, AP5-AP$95,"")</f>
        <v/>
      </c>
      <c r="BS5" s="1" t="str">
        <f>IF(AQ5&gt;AQ$95, AQ5-AQ$95,"")</f>
        <v/>
      </c>
      <c r="BT5" s="1" t="str">
        <f>IF(AR5&gt;AR$95, AR5-AR$95,"")</f>
        <v/>
      </c>
      <c r="BU5" s="1" t="str">
        <f>IF(AS5&gt;AS$95, AS5-AS$95,"")</f>
        <v/>
      </c>
      <c r="BV5" s="1" t="str">
        <f>IF(AT5&gt;AT$95, AT5-AT$95,"")</f>
        <v/>
      </c>
      <c r="BW5" s="1" t="str">
        <f>IF(AU5&gt;AU$95, AU5-AU$95,"")</f>
        <v/>
      </c>
      <c r="BX5" s="1" t="str">
        <f>IF(AV5&gt;AV$95, AV5-AV$95,"")</f>
        <v/>
      </c>
      <c r="BY5" s="1" t="str">
        <f>IF(AW5&gt;AW$95, AW5-AW$95,"")</f>
        <v/>
      </c>
      <c r="BZ5" s="1">
        <f>12-COUNTA(BN5:BY5)</f>
        <v>0</v>
      </c>
      <c r="CA5" s="1" t="str">
        <f>IF($BZ5=1,BN5,"")</f>
        <v/>
      </c>
      <c r="CB5" s="1" t="str">
        <f>IF($BZ5=1,BO5,"")</f>
        <v/>
      </c>
      <c r="CC5" s="1" t="str">
        <f>IF($BZ5=1,BP5,"")</f>
        <v/>
      </c>
      <c r="CD5" s="1" t="str">
        <f>IF($BZ5=1,BQ5,"")</f>
        <v/>
      </c>
      <c r="CE5" s="1" t="str">
        <f>IF($BZ5=1,BR5,"")</f>
        <v/>
      </c>
      <c r="CF5" s="1" t="str">
        <f>IF($BZ5=1,BS5,"")</f>
        <v/>
      </c>
      <c r="CG5" s="1" t="str">
        <f>IF($BZ5=1,BT5,"")</f>
        <v/>
      </c>
      <c r="CH5" s="1" t="str">
        <f>IF($BZ5=1,BU5,"")</f>
        <v/>
      </c>
      <c r="CI5" s="1" t="str">
        <f>IF($BZ5=1,BV5,"")</f>
        <v/>
      </c>
      <c r="CJ5" s="1" t="str">
        <f>IF($BZ5=1,BW5,"")</f>
        <v/>
      </c>
      <c r="CK5" s="1" t="str">
        <f>IF($BZ5=1,BX5,"")</f>
        <v/>
      </c>
      <c r="CL5" s="1" t="str">
        <f>IF($BZ5=1,BY5,"")</f>
        <v/>
      </c>
    </row>
    <row r="6" spans="1:90" x14ac:dyDescent="0.15">
      <c r="A6" s="1">
        <v>55</v>
      </c>
      <c r="B6" s="1" t="s">
        <v>67</v>
      </c>
      <c r="C6" s="1" t="s">
        <v>68</v>
      </c>
      <c r="D6" s="1" t="s">
        <v>13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1"/>
      <c r="AC6" s="1"/>
      <c r="AD6" s="1"/>
      <c r="AE6" s="1"/>
      <c r="AF6" s="1"/>
      <c r="AG6" s="1"/>
      <c r="AH6" s="1"/>
      <c r="AI6" s="1"/>
      <c r="AJ6" s="1"/>
      <c r="AK6" s="1"/>
      <c r="AL6" s="4"/>
      <c r="AM6" s="4"/>
      <c r="AN6" s="4"/>
      <c r="AO6" s="4"/>
      <c r="AP6" s="4"/>
      <c r="AQ6" s="4"/>
      <c r="AR6" s="2"/>
      <c r="AS6" s="2"/>
      <c r="AT6" s="2"/>
      <c r="AU6" s="2"/>
      <c r="AV6" s="2"/>
      <c r="AW6" s="2"/>
      <c r="AX6" s="1">
        <v>20</v>
      </c>
      <c r="AY6" s="1">
        <v>20</v>
      </c>
      <c r="AZ6" s="1"/>
      <c r="BA6" s="1"/>
      <c r="BB6" s="1">
        <v>20</v>
      </c>
      <c r="BC6" s="1">
        <v>20</v>
      </c>
      <c r="BD6" s="1"/>
      <c r="BE6" s="1"/>
      <c r="BF6" s="1"/>
      <c r="BG6" s="1"/>
      <c r="BH6" s="1"/>
      <c r="BI6" s="1"/>
      <c r="BJ6" s="1">
        <f>SUM(E6:BI6)</f>
        <v>80</v>
      </c>
      <c r="BK6" s="1">
        <v>0</v>
      </c>
      <c r="BL6" s="17">
        <v>0</v>
      </c>
      <c r="BM6" s="17"/>
      <c r="BN6" s="1" t="str">
        <f>IF(AL6&gt;AL$95, AL6-AL$95,"")</f>
        <v/>
      </c>
      <c r="BO6" s="1" t="str">
        <f>IF(AM6&gt;AM$95, AM6-AM$95,"")</f>
        <v/>
      </c>
      <c r="BP6" s="1" t="str">
        <f>IF(AN6&gt;AN$95, AN6-AN$95,"")</f>
        <v/>
      </c>
      <c r="BQ6" s="1" t="str">
        <f>IF(AO6&gt;AO$95, AO6-AO$95,"")</f>
        <v/>
      </c>
      <c r="BR6" s="1" t="str">
        <f>IF(AP6&gt;AP$95, AP6-AP$95,"")</f>
        <v/>
      </c>
      <c r="BS6" s="1" t="str">
        <f>IF(AQ6&gt;AQ$95, AQ6-AQ$95,"")</f>
        <v/>
      </c>
      <c r="BT6" s="1" t="str">
        <f>IF(AR6&gt;AR$95, AR6-AR$95,"")</f>
        <v/>
      </c>
      <c r="BU6" s="1" t="str">
        <f>IF(AS6&gt;AS$95, AS6-AS$95,"")</f>
        <v/>
      </c>
      <c r="BV6" s="1" t="str">
        <f>IF(AT6&gt;AT$95, AT6-AT$95,"")</f>
        <v/>
      </c>
      <c r="BW6" s="1" t="str">
        <f>IF(AU6&gt;AU$95, AU6-AU$95,"")</f>
        <v/>
      </c>
      <c r="BX6" s="1" t="str">
        <f>IF(AV6&gt;AV$95, AV6-AV$95,"")</f>
        <v/>
      </c>
      <c r="BY6" s="1" t="str">
        <f>IF(AW6&gt;AW$95, AW6-AW$95,"")</f>
        <v/>
      </c>
      <c r="BZ6" s="1">
        <f>12-COUNTA(BN6:BY6)</f>
        <v>0</v>
      </c>
      <c r="CA6" s="1" t="str">
        <f>IF($BZ6=1,BN6,"")</f>
        <v/>
      </c>
      <c r="CB6" s="1" t="str">
        <f>IF($BZ6=1,BO6,"")</f>
        <v/>
      </c>
      <c r="CC6" s="1" t="str">
        <f>IF($BZ6=1,BP6,"")</f>
        <v/>
      </c>
      <c r="CD6" s="1" t="str">
        <f>IF($BZ6=1,BQ6,"")</f>
        <v/>
      </c>
      <c r="CE6" s="1" t="str">
        <f>IF($BZ6=1,BR6,"")</f>
        <v/>
      </c>
      <c r="CF6" s="1" t="str">
        <f>IF($BZ6=1,BS6,"")</f>
        <v/>
      </c>
      <c r="CG6" s="1" t="str">
        <f>IF($BZ6=1,BT6,"")</f>
        <v/>
      </c>
      <c r="CH6" s="1" t="str">
        <f>IF($BZ6=1,BU6,"")</f>
        <v/>
      </c>
      <c r="CI6" s="1" t="str">
        <f>IF($BZ6=1,BV6,"")</f>
        <v/>
      </c>
      <c r="CJ6" s="1" t="str">
        <f>IF($BZ6=1,BW6,"")</f>
        <v/>
      </c>
      <c r="CK6" s="1" t="str">
        <f>IF($BZ6=1,BX6,"")</f>
        <v/>
      </c>
      <c r="CL6" s="1" t="str">
        <f>IF($BZ6=1,BY6,"")</f>
        <v/>
      </c>
    </row>
    <row r="7" spans="1:90" x14ac:dyDescent="0.15">
      <c r="A7" s="1">
        <v>37</v>
      </c>
      <c r="B7" s="1" t="s">
        <v>56</v>
      </c>
      <c r="C7" s="1" t="s">
        <v>52</v>
      </c>
      <c r="D7" s="1" t="s">
        <v>25</v>
      </c>
      <c r="E7" s="6"/>
      <c r="F7" s="6">
        <v>5</v>
      </c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>
        <v>5</v>
      </c>
      <c r="X7" s="6"/>
      <c r="Y7" s="6"/>
      <c r="Z7" s="6"/>
      <c r="AA7" s="6"/>
      <c r="AB7" s="1"/>
      <c r="AC7" s="1"/>
      <c r="AD7" s="1"/>
      <c r="AE7" s="1"/>
      <c r="AF7" s="1"/>
      <c r="AG7" s="1"/>
      <c r="AH7" s="1"/>
      <c r="AI7" s="1"/>
      <c r="AJ7" s="1"/>
      <c r="AK7" s="1"/>
      <c r="AL7" s="4"/>
      <c r="AM7" s="4"/>
      <c r="AN7" s="4"/>
      <c r="AO7" s="4"/>
      <c r="AP7" s="4"/>
      <c r="AQ7" s="4"/>
      <c r="AR7" s="2"/>
      <c r="AS7" s="2"/>
      <c r="AT7" s="2"/>
      <c r="AU7" s="2"/>
      <c r="AV7" s="2"/>
      <c r="AW7" s="2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>
        <f>SUM(E7:BI7)</f>
        <v>10</v>
      </c>
      <c r="BK7" s="1">
        <v>1</v>
      </c>
      <c r="BL7" s="17">
        <v>1</v>
      </c>
      <c r="BM7" s="17" t="s">
        <v>147</v>
      </c>
      <c r="BN7" s="1" t="str">
        <f>IF(AL7&gt;AL$95, AL7-AL$95,"")</f>
        <v/>
      </c>
      <c r="BO7" s="1" t="str">
        <f>IF(AM7&gt;AM$95, AM7-AM$95,"")</f>
        <v/>
      </c>
      <c r="BP7" s="1" t="str">
        <f>IF(AN7&gt;AN$95, AN7-AN$95,"")</f>
        <v/>
      </c>
      <c r="BQ7" s="1" t="str">
        <f>IF(AO7&gt;AO$95, AO7-AO$95,"")</f>
        <v/>
      </c>
      <c r="BR7" s="1" t="str">
        <f>IF(AP7&gt;AP$95, AP7-AP$95,"")</f>
        <v/>
      </c>
      <c r="BS7" s="1" t="str">
        <f>IF(AQ7&gt;AQ$95, AQ7-AQ$95,"")</f>
        <v/>
      </c>
      <c r="BT7" s="1" t="str">
        <f>IF(AR7&gt;AR$95, AR7-AR$95,"")</f>
        <v/>
      </c>
      <c r="BU7" s="1" t="str">
        <f>IF(AS7&gt;AS$95, AS7-AS$95,"")</f>
        <v/>
      </c>
      <c r="BV7" s="1" t="str">
        <f>IF(AT7&gt;AT$95, AT7-AT$95,"")</f>
        <v/>
      </c>
      <c r="BW7" s="1" t="str">
        <f>IF(AU7&gt;AU$95, AU7-AU$95,"")</f>
        <v/>
      </c>
      <c r="BX7" s="1" t="str">
        <f>IF(AV7&gt;AV$95, AV7-AV$95,"")</f>
        <v/>
      </c>
      <c r="BY7" s="1" t="str">
        <f>IF(AW7&gt;AW$95, AW7-AW$95,"")</f>
        <v/>
      </c>
      <c r="BZ7" s="1">
        <f>12-COUNTA(BN7:BY7)</f>
        <v>0</v>
      </c>
      <c r="CA7" s="1" t="str">
        <f>IF($BZ7=1,BN7,"")</f>
        <v/>
      </c>
      <c r="CB7" s="1" t="str">
        <f>IF($BZ7=1,BO7,"")</f>
        <v/>
      </c>
      <c r="CC7" s="1" t="str">
        <f>IF($BZ7=1,BP7,"")</f>
        <v/>
      </c>
      <c r="CD7" s="1" t="str">
        <f>IF($BZ7=1,BQ7,"")</f>
        <v/>
      </c>
      <c r="CE7" s="1" t="str">
        <f>IF($BZ7=1,BR7,"")</f>
        <v/>
      </c>
      <c r="CF7" s="1" t="str">
        <f>IF($BZ7=1,BS7,"")</f>
        <v/>
      </c>
      <c r="CG7" s="1" t="str">
        <f>IF($BZ7=1,BT7,"")</f>
        <v/>
      </c>
      <c r="CH7" s="1" t="str">
        <f>IF($BZ7=1,BU7,"")</f>
        <v/>
      </c>
      <c r="CI7" s="1" t="str">
        <f>IF($BZ7=1,BV7,"")</f>
        <v/>
      </c>
      <c r="CJ7" s="1" t="str">
        <f>IF($BZ7=1,BW7,"")</f>
        <v/>
      </c>
      <c r="CK7" s="1" t="str">
        <f>IF($BZ7=1,BX7,"")</f>
        <v/>
      </c>
      <c r="CL7" s="1" t="str">
        <f>IF($BZ7=1,BY7,"")</f>
        <v/>
      </c>
    </row>
    <row r="8" spans="1:90" x14ac:dyDescent="0.15">
      <c r="A8" s="1">
        <v>38</v>
      </c>
      <c r="B8" s="1" t="s">
        <v>58</v>
      </c>
      <c r="C8" s="1" t="s">
        <v>52</v>
      </c>
      <c r="D8" s="1" t="s">
        <v>25</v>
      </c>
      <c r="E8" s="6"/>
      <c r="F8" s="6">
        <v>5</v>
      </c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>
        <v>5</v>
      </c>
      <c r="X8" s="6"/>
      <c r="Y8" s="6"/>
      <c r="Z8" s="6"/>
      <c r="AA8" s="6"/>
      <c r="AB8" s="1"/>
      <c r="AC8" s="1"/>
      <c r="AD8" s="1"/>
      <c r="AE8" s="1"/>
      <c r="AF8" s="1"/>
      <c r="AG8" s="1"/>
      <c r="AH8" s="1"/>
      <c r="AI8" s="1"/>
      <c r="AJ8" s="1"/>
      <c r="AK8" s="1"/>
      <c r="AL8" s="4"/>
      <c r="AM8" s="4"/>
      <c r="AN8" s="4"/>
      <c r="AO8" s="4"/>
      <c r="AP8" s="4"/>
      <c r="AQ8" s="4"/>
      <c r="AR8" s="2"/>
      <c r="AS8" s="2"/>
      <c r="AT8" s="2"/>
      <c r="AU8" s="2"/>
      <c r="AV8" s="2"/>
      <c r="AW8" s="2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>
        <f>SUM(E8:BI8)</f>
        <v>10</v>
      </c>
      <c r="BK8" s="1">
        <v>1</v>
      </c>
      <c r="BL8" s="17">
        <v>1</v>
      </c>
      <c r="BM8" s="17" t="s">
        <v>166</v>
      </c>
      <c r="BN8" s="1" t="str">
        <f>IF(AL8&gt;AL$95, AL8-AL$95,"")</f>
        <v/>
      </c>
      <c r="BO8" s="1" t="str">
        <f>IF(AM8&gt;AM$95, AM8-AM$95,"")</f>
        <v/>
      </c>
      <c r="BP8" s="1" t="str">
        <f>IF(AN8&gt;AN$95, AN8-AN$95,"")</f>
        <v/>
      </c>
      <c r="BQ8" s="1" t="str">
        <f>IF(AO8&gt;AO$95, AO8-AO$95,"")</f>
        <v/>
      </c>
      <c r="BR8" s="1" t="str">
        <f>IF(AP8&gt;AP$95, AP8-AP$95,"")</f>
        <v/>
      </c>
      <c r="BS8" s="1" t="str">
        <f>IF(AQ8&gt;AQ$95, AQ8-AQ$95,"")</f>
        <v/>
      </c>
      <c r="BT8" s="1" t="str">
        <f>IF(AR8&gt;AR$95, AR8-AR$95,"")</f>
        <v/>
      </c>
      <c r="BU8" s="1" t="str">
        <f>IF(AS8&gt;AS$95, AS8-AS$95,"")</f>
        <v/>
      </c>
      <c r="BV8" s="1" t="str">
        <f>IF(AT8&gt;AT$95, AT8-AT$95,"")</f>
        <v/>
      </c>
      <c r="BW8" s="1" t="str">
        <f>IF(AU8&gt;AU$95, AU8-AU$95,"")</f>
        <v/>
      </c>
      <c r="BX8" s="1" t="str">
        <f>IF(AV8&gt;AV$95, AV8-AV$95,"")</f>
        <v/>
      </c>
      <c r="BY8" s="1" t="str">
        <f>IF(AW8&gt;AW$95, AW8-AW$95,"")</f>
        <v/>
      </c>
      <c r="BZ8" s="1">
        <f>12-COUNTA(BN8:BY8)</f>
        <v>0</v>
      </c>
      <c r="CA8" s="1" t="str">
        <f>IF($BZ8=1,BN8,"")</f>
        <v/>
      </c>
      <c r="CB8" s="1" t="str">
        <f>IF($BZ8=1,BO8,"")</f>
        <v/>
      </c>
      <c r="CC8" s="1" t="str">
        <f>IF($BZ8=1,BP8,"")</f>
        <v/>
      </c>
      <c r="CD8" s="1" t="str">
        <f>IF($BZ8=1,BQ8,"")</f>
        <v/>
      </c>
      <c r="CE8" s="1" t="str">
        <f>IF($BZ8=1,BR8,"")</f>
        <v/>
      </c>
      <c r="CF8" s="1" t="str">
        <f>IF($BZ8=1,BS8,"")</f>
        <v/>
      </c>
      <c r="CG8" s="1" t="str">
        <f>IF($BZ8=1,BT8,"")</f>
        <v/>
      </c>
      <c r="CH8" s="1" t="str">
        <f>IF($BZ8=1,BU8,"")</f>
        <v/>
      </c>
      <c r="CI8" s="1" t="str">
        <f>IF($BZ8=1,BV8,"")</f>
        <v/>
      </c>
      <c r="CJ8" s="1" t="str">
        <f>IF($BZ8=1,BW8,"")</f>
        <v/>
      </c>
      <c r="CK8" s="1" t="str">
        <f>IF($BZ8=1,BX8,"")</f>
        <v/>
      </c>
      <c r="CL8" s="1" t="str">
        <f>IF($BZ8=1,BY8,"")</f>
        <v/>
      </c>
    </row>
    <row r="9" spans="1:90" x14ac:dyDescent="0.15">
      <c r="A9" s="1">
        <v>52</v>
      </c>
      <c r="B9" s="1" t="s">
        <v>119</v>
      </c>
      <c r="C9" s="1" t="s">
        <v>52</v>
      </c>
      <c r="D9" s="1" t="s">
        <v>24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1">
        <v>1</v>
      </c>
      <c r="AC9" s="1"/>
      <c r="AD9" s="1"/>
      <c r="AE9" s="1"/>
      <c r="AF9" s="1"/>
      <c r="AG9" s="1"/>
      <c r="AH9" s="1"/>
      <c r="AI9" s="1"/>
      <c r="AJ9" s="1"/>
      <c r="AK9" s="1"/>
      <c r="AL9" s="4"/>
      <c r="AM9" s="4"/>
      <c r="AN9" s="4"/>
      <c r="AO9" s="4"/>
      <c r="AP9" s="4"/>
      <c r="AQ9" s="4"/>
      <c r="AR9" s="2"/>
      <c r="AS9" s="2"/>
      <c r="AT9" s="2"/>
      <c r="AU9" s="2"/>
      <c r="AV9" s="2"/>
      <c r="AW9" s="2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>
        <f>SUM(E9:BI9)</f>
        <v>1</v>
      </c>
      <c r="BK9" s="1">
        <v>1</v>
      </c>
      <c r="BL9" s="17">
        <v>1</v>
      </c>
      <c r="BM9" s="17" t="s">
        <v>167</v>
      </c>
      <c r="BN9" s="1" t="str">
        <f>IF(AL9&gt;AL$95, AL9-AL$95,"")</f>
        <v/>
      </c>
      <c r="BO9" s="1" t="str">
        <f>IF(AM9&gt;AM$95, AM9-AM$95,"")</f>
        <v/>
      </c>
      <c r="BP9" s="1" t="str">
        <f>IF(AN9&gt;AN$95, AN9-AN$95,"")</f>
        <v/>
      </c>
      <c r="BQ9" s="1" t="str">
        <f>IF(AO9&gt;AO$95, AO9-AO$95,"")</f>
        <v/>
      </c>
      <c r="BR9" s="1" t="str">
        <f>IF(AP9&gt;AP$95, AP9-AP$95,"")</f>
        <v/>
      </c>
      <c r="BS9" s="1" t="str">
        <f>IF(AQ9&gt;AQ$95, AQ9-AQ$95,"")</f>
        <v/>
      </c>
      <c r="BT9" s="1" t="str">
        <f>IF(AR9&gt;AR$95, AR9-AR$95,"")</f>
        <v/>
      </c>
      <c r="BU9" s="1" t="str">
        <f>IF(AS9&gt;AS$95, AS9-AS$95,"")</f>
        <v/>
      </c>
      <c r="BV9" s="1" t="str">
        <f>IF(AT9&gt;AT$95, AT9-AT$95,"")</f>
        <v/>
      </c>
      <c r="BW9" s="1" t="str">
        <f>IF(AU9&gt;AU$95, AU9-AU$95,"")</f>
        <v/>
      </c>
      <c r="BX9" s="1" t="str">
        <f>IF(AV9&gt;AV$95, AV9-AV$95,"")</f>
        <v/>
      </c>
      <c r="BY9" s="1" t="str">
        <f>IF(AW9&gt;AW$95, AW9-AW$95,"")</f>
        <v/>
      </c>
      <c r="BZ9" s="1">
        <f>12-COUNTA(BN9:BY9)</f>
        <v>0</v>
      </c>
      <c r="CA9" s="1" t="str">
        <f>IF($BZ9=1,BN9,"")</f>
        <v/>
      </c>
      <c r="CB9" s="1" t="str">
        <f>IF($BZ9=1,BO9,"")</f>
        <v/>
      </c>
      <c r="CC9" s="1" t="str">
        <f>IF($BZ9=1,BP9,"")</f>
        <v/>
      </c>
      <c r="CD9" s="1" t="str">
        <f>IF($BZ9=1,BQ9,"")</f>
        <v/>
      </c>
      <c r="CE9" s="1" t="str">
        <f>IF($BZ9=1,BR9,"")</f>
        <v/>
      </c>
      <c r="CF9" s="1" t="str">
        <f>IF($BZ9=1,BS9,"")</f>
        <v/>
      </c>
      <c r="CG9" s="1" t="str">
        <f>IF($BZ9=1,BT9,"")</f>
        <v/>
      </c>
      <c r="CH9" s="1" t="str">
        <f>IF($BZ9=1,BU9,"")</f>
        <v/>
      </c>
      <c r="CI9" s="1" t="str">
        <f>IF($BZ9=1,BV9,"")</f>
        <v/>
      </c>
      <c r="CJ9" s="1" t="str">
        <f>IF($BZ9=1,BW9,"")</f>
        <v/>
      </c>
      <c r="CK9" s="1" t="str">
        <f>IF($BZ9=1,BX9,"")</f>
        <v/>
      </c>
      <c r="CL9" s="1" t="str">
        <f>IF($BZ9=1,BY9,"")</f>
        <v/>
      </c>
    </row>
    <row r="10" spans="1:90" x14ac:dyDescent="0.15">
      <c r="A10" s="1">
        <v>53</v>
      </c>
      <c r="B10" s="1" t="s">
        <v>119</v>
      </c>
      <c r="C10" s="1" t="s">
        <v>52</v>
      </c>
      <c r="D10" s="1" t="s">
        <v>1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1">
        <v>1</v>
      </c>
      <c r="AC10" s="1"/>
      <c r="AD10" s="1"/>
      <c r="AE10" s="1"/>
      <c r="AF10" s="1"/>
      <c r="AG10" s="1"/>
      <c r="AH10" s="1"/>
      <c r="AI10" s="1"/>
      <c r="AJ10" s="1"/>
      <c r="AK10" s="1"/>
      <c r="AL10" s="4"/>
      <c r="AM10" s="4"/>
      <c r="AN10" s="4"/>
      <c r="AO10" s="4"/>
      <c r="AP10" s="4"/>
      <c r="AQ10" s="4"/>
      <c r="AR10" s="2"/>
      <c r="AS10" s="2"/>
      <c r="AT10" s="2"/>
      <c r="AU10" s="2"/>
      <c r="AV10" s="2"/>
      <c r="AW10" s="2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>
        <f>SUM(E10:BI10)</f>
        <v>1</v>
      </c>
      <c r="BK10" s="1">
        <v>1</v>
      </c>
      <c r="BL10" s="17">
        <v>1</v>
      </c>
      <c r="BM10" s="17" t="s">
        <v>168</v>
      </c>
      <c r="BN10" s="1" t="str">
        <f>IF(AL10&gt;AL$95, AL10-AL$95,"")</f>
        <v/>
      </c>
      <c r="BO10" s="1" t="str">
        <f>IF(AM10&gt;AM$95, AM10-AM$95,"")</f>
        <v/>
      </c>
      <c r="BP10" s="1" t="str">
        <f>IF(AN10&gt;AN$95, AN10-AN$95,"")</f>
        <v/>
      </c>
      <c r="BQ10" s="1" t="str">
        <f>IF(AO10&gt;AO$95, AO10-AO$95,"")</f>
        <v/>
      </c>
      <c r="BR10" s="1" t="str">
        <f>IF(AP10&gt;AP$95, AP10-AP$95,"")</f>
        <v/>
      </c>
      <c r="BS10" s="1" t="str">
        <f>IF(AQ10&gt;AQ$95, AQ10-AQ$95,"")</f>
        <v/>
      </c>
      <c r="BT10" s="1" t="str">
        <f>IF(AR10&gt;AR$95, AR10-AR$95,"")</f>
        <v/>
      </c>
      <c r="BU10" s="1" t="str">
        <f>IF(AS10&gt;AS$95, AS10-AS$95,"")</f>
        <v/>
      </c>
      <c r="BV10" s="1" t="str">
        <f>IF(AT10&gt;AT$95, AT10-AT$95,"")</f>
        <v/>
      </c>
      <c r="BW10" s="1" t="str">
        <f>IF(AU10&gt;AU$95, AU10-AU$95,"")</f>
        <v/>
      </c>
      <c r="BX10" s="1" t="str">
        <f>IF(AV10&gt;AV$95, AV10-AV$95,"")</f>
        <v/>
      </c>
      <c r="BY10" s="1" t="str">
        <f>IF(AW10&gt;AW$95, AW10-AW$95,"")</f>
        <v/>
      </c>
      <c r="BZ10" s="1">
        <f>12-COUNTA(BN10:BY10)</f>
        <v>0</v>
      </c>
      <c r="CA10" s="1" t="str">
        <f>IF($BZ10=1,BN10,"")</f>
        <v/>
      </c>
      <c r="CB10" s="1" t="str">
        <f>IF($BZ10=1,BO10,"")</f>
        <v/>
      </c>
      <c r="CC10" s="1" t="str">
        <f>IF($BZ10=1,BP10,"")</f>
        <v/>
      </c>
      <c r="CD10" s="1" t="str">
        <f>IF($BZ10=1,BQ10,"")</f>
        <v/>
      </c>
      <c r="CE10" s="1" t="str">
        <f>IF($BZ10=1,BR10,"")</f>
        <v/>
      </c>
      <c r="CF10" s="1" t="str">
        <f>IF($BZ10=1,BS10,"")</f>
        <v/>
      </c>
      <c r="CG10" s="1" t="str">
        <f>IF($BZ10=1,BT10,"")</f>
        <v/>
      </c>
      <c r="CH10" s="1" t="str">
        <f>IF($BZ10=1,BU10,"")</f>
        <v/>
      </c>
      <c r="CI10" s="1" t="str">
        <f>IF($BZ10=1,BV10,"")</f>
        <v/>
      </c>
      <c r="CJ10" s="1" t="str">
        <f>IF($BZ10=1,BW10,"")</f>
        <v/>
      </c>
      <c r="CK10" s="1" t="str">
        <f>IF($BZ10=1,BX10,"")</f>
        <v/>
      </c>
      <c r="CL10" s="1" t="str">
        <f>IF($BZ10=1,BY10,"")</f>
        <v/>
      </c>
    </row>
    <row r="11" spans="1:90" x14ac:dyDescent="0.15">
      <c r="A11" s="1">
        <v>59</v>
      </c>
      <c r="B11" s="1" t="s">
        <v>74</v>
      </c>
      <c r="C11" s="1" t="s">
        <v>68</v>
      </c>
      <c r="D11" s="1" t="s">
        <v>24</v>
      </c>
      <c r="E11" s="6"/>
      <c r="F11" s="6"/>
      <c r="G11" s="6"/>
      <c r="H11" s="6"/>
      <c r="I11" s="6">
        <v>5</v>
      </c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4"/>
      <c r="AM11" s="4"/>
      <c r="AN11" s="4"/>
      <c r="AO11" s="4"/>
      <c r="AP11" s="4"/>
      <c r="AQ11" s="4"/>
      <c r="AR11" s="2"/>
      <c r="AS11" s="2"/>
      <c r="AT11" s="2"/>
      <c r="AU11" s="2"/>
      <c r="AV11" s="2"/>
      <c r="AW11" s="2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>
        <f>SUM(E11:BI11)</f>
        <v>5</v>
      </c>
      <c r="BK11" s="1">
        <v>1</v>
      </c>
      <c r="BL11" s="17">
        <v>1</v>
      </c>
      <c r="BM11" s="17" t="s">
        <v>169</v>
      </c>
      <c r="BN11" s="1" t="str">
        <f>IF(AL11&gt;AL$95, AL11-AL$95,"")</f>
        <v/>
      </c>
      <c r="BO11" s="1" t="str">
        <f>IF(AM11&gt;AM$95, AM11-AM$95,"")</f>
        <v/>
      </c>
      <c r="BP11" s="1" t="str">
        <f>IF(AN11&gt;AN$95, AN11-AN$95,"")</f>
        <v/>
      </c>
      <c r="BQ11" s="1" t="str">
        <f>IF(AO11&gt;AO$95, AO11-AO$95,"")</f>
        <v/>
      </c>
      <c r="BR11" s="1" t="str">
        <f>IF(AP11&gt;AP$95, AP11-AP$95,"")</f>
        <v/>
      </c>
      <c r="BS11" s="1" t="str">
        <f>IF(AQ11&gt;AQ$95, AQ11-AQ$95,"")</f>
        <v/>
      </c>
      <c r="BT11" s="1" t="str">
        <f>IF(AR11&gt;AR$95, AR11-AR$95,"")</f>
        <v/>
      </c>
      <c r="BU11" s="1" t="str">
        <f>IF(AS11&gt;AS$95, AS11-AS$95,"")</f>
        <v/>
      </c>
      <c r="BV11" s="1" t="str">
        <f>IF(AT11&gt;AT$95, AT11-AT$95,"")</f>
        <v/>
      </c>
      <c r="BW11" s="1" t="str">
        <f>IF(AU11&gt;AU$95, AU11-AU$95,"")</f>
        <v/>
      </c>
      <c r="BX11" s="1" t="str">
        <f>IF(AV11&gt;AV$95, AV11-AV$95,"")</f>
        <v/>
      </c>
      <c r="BY11" s="1" t="str">
        <f>IF(AW11&gt;AW$95, AW11-AW$95,"")</f>
        <v/>
      </c>
      <c r="BZ11" s="1">
        <f>COUNTIF(BN11:BY11, "&gt;0")</f>
        <v>0</v>
      </c>
      <c r="CA11" s="1" t="str">
        <f>IF($BZ11=1,BN11,"")</f>
        <v/>
      </c>
      <c r="CB11" s="1" t="str">
        <f>IF($BZ11=1,BO11,"")</f>
        <v/>
      </c>
      <c r="CC11" s="1" t="str">
        <f>IF($BZ11=1,BP11,"")</f>
        <v/>
      </c>
      <c r="CD11" s="1" t="str">
        <f>IF($BZ11=1,BQ11,"")</f>
        <v/>
      </c>
      <c r="CE11" s="1" t="str">
        <f>IF($BZ11=1,BR11,"")</f>
        <v/>
      </c>
      <c r="CF11" s="1" t="str">
        <f>IF($BZ11=1,BS11,"")</f>
        <v/>
      </c>
      <c r="CG11" s="1" t="str">
        <f>IF($BZ11=1,BT11,"")</f>
        <v/>
      </c>
      <c r="CH11" s="1" t="str">
        <f>IF($BZ11=1,BU11,"")</f>
        <v/>
      </c>
      <c r="CI11" s="1" t="str">
        <f>IF($BZ11=1,BV11,"")</f>
        <v/>
      </c>
      <c r="CJ11" s="1" t="str">
        <f>IF($BZ11=1,BW11,"")</f>
        <v/>
      </c>
      <c r="CK11" s="1" t="str">
        <f>IF($BZ11=1,BX11,"")</f>
        <v/>
      </c>
      <c r="CL11" s="1" t="str">
        <f>IF($BZ11=1,BY11,"")</f>
        <v/>
      </c>
    </row>
    <row r="12" spans="1:90" x14ac:dyDescent="0.15">
      <c r="A12" s="1">
        <v>36</v>
      </c>
      <c r="B12" s="1" t="s">
        <v>54</v>
      </c>
      <c r="C12" s="1" t="s">
        <v>52</v>
      </c>
      <c r="D12" s="1" t="s">
        <v>26</v>
      </c>
      <c r="E12" s="6"/>
      <c r="F12" s="6">
        <v>6</v>
      </c>
      <c r="G12" s="6"/>
      <c r="H12" s="6">
        <v>6</v>
      </c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4">
        <v>10</v>
      </c>
      <c r="AM12" s="4"/>
      <c r="AN12" s="4"/>
      <c r="AO12" s="4"/>
      <c r="AP12" s="4"/>
      <c r="AQ12" s="4"/>
      <c r="AR12" s="2"/>
      <c r="AS12" s="2"/>
      <c r="AT12" s="2">
        <v>10</v>
      </c>
      <c r="AU12" s="2"/>
      <c r="AV12" s="2"/>
      <c r="AW12" s="2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>
        <f>SUM(E12:BI12)</f>
        <v>32</v>
      </c>
      <c r="BK12" s="1">
        <v>2</v>
      </c>
      <c r="BL12" s="17">
        <v>1</v>
      </c>
      <c r="BM12" s="17" t="s">
        <v>148</v>
      </c>
      <c r="BN12" s="1" t="str">
        <f>IF(AL12&gt;AL$95, AL12-AL$95,"")</f>
        <v/>
      </c>
      <c r="BO12" s="1" t="str">
        <f>IF(AM12&gt;AM$95, AM12-AM$95,"")</f>
        <v/>
      </c>
      <c r="BP12" s="1" t="str">
        <f>IF(AN12&gt;AN$95, AN12-AN$95,"")</f>
        <v/>
      </c>
      <c r="BQ12" s="1" t="str">
        <f>IF(AO12&gt;AO$95, AO12-AO$95,"")</f>
        <v/>
      </c>
      <c r="BR12" s="1" t="str">
        <f>IF(AP12&gt;AP$95, AP12-AP$95,"")</f>
        <v/>
      </c>
      <c r="BS12" s="1" t="str">
        <f>IF(AQ12&gt;AQ$95, AQ12-AQ$95,"")</f>
        <v/>
      </c>
      <c r="BT12" s="1" t="str">
        <f>IF(AR12&gt;AR$95, AR12-AR$95,"")</f>
        <v/>
      </c>
      <c r="BU12" s="1" t="str">
        <f>IF(AS12&gt;AS$95, AS12-AS$95,"")</f>
        <v/>
      </c>
      <c r="BV12" s="1" t="str">
        <f>IF(AT12&gt;AT$95, AT12-AT$95,"")</f>
        <v/>
      </c>
      <c r="BW12" s="1" t="str">
        <f>IF(AU12&gt;AU$95, AU12-AU$95,"")</f>
        <v/>
      </c>
      <c r="BX12" s="1" t="str">
        <f>IF(AV12&gt;AV$95, AV12-AV$95,"")</f>
        <v/>
      </c>
      <c r="BY12" s="1" t="str">
        <f>IF(AW12&gt;AW$95, AW12-AW$95,"")</f>
        <v/>
      </c>
      <c r="BZ12" s="1">
        <f>COUNTIF(BN12:BY12, "&gt;0")</f>
        <v>0</v>
      </c>
      <c r="CA12" s="1" t="str">
        <f>IF($BZ12=1,BN12,"")</f>
        <v/>
      </c>
      <c r="CB12" s="1" t="str">
        <f>IF($BZ12=1,BO12,"")</f>
        <v/>
      </c>
      <c r="CC12" s="1" t="str">
        <f>IF($BZ12=1,BP12,"")</f>
        <v/>
      </c>
      <c r="CD12" s="1" t="str">
        <f>IF($BZ12=1,BQ12,"")</f>
        <v/>
      </c>
      <c r="CE12" s="1" t="str">
        <f>IF($BZ12=1,BR12,"")</f>
        <v/>
      </c>
      <c r="CF12" s="1" t="str">
        <f>IF($BZ12=1,BS12,"")</f>
        <v/>
      </c>
      <c r="CG12" s="1" t="str">
        <f>IF($BZ12=1,BT12,"")</f>
        <v/>
      </c>
      <c r="CH12" s="1" t="str">
        <f>IF($BZ12=1,BU12,"")</f>
        <v/>
      </c>
      <c r="CI12" s="1" t="str">
        <f>IF($BZ12=1,BV12,"")</f>
        <v/>
      </c>
      <c r="CJ12" s="1" t="str">
        <f>IF($BZ12=1,BW12,"")</f>
        <v/>
      </c>
      <c r="CK12" s="1" t="str">
        <f>IF($BZ12=1,BX12,"")</f>
        <v/>
      </c>
      <c r="CL12" s="1" t="str">
        <f>IF($BZ12=1,BY12,"")</f>
        <v/>
      </c>
    </row>
    <row r="13" spans="1:90" x14ac:dyDescent="0.15">
      <c r="A13" s="1">
        <v>40</v>
      </c>
      <c r="B13" s="1" t="s">
        <v>63</v>
      </c>
      <c r="C13" s="1" t="s">
        <v>52</v>
      </c>
      <c r="D13" s="1" t="s">
        <v>64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>
        <v>5</v>
      </c>
      <c r="P13" s="6"/>
      <c r="Q13" s="6"/>
      <c r="R13" s="6"/>
      <c r="S13" s="6"/>
      <c r="T13" s="6"/>
      <c r="U13" s="6"/>
      <c r="V13" s="6"/>
      <c r="W13" s="6">
        <v>5</v>
      </c>
      <c r="X13" s="6"/>
      <c r="Y13" s="6"/>
      <c r="Z13" s="6"/>
      <c r="AA13" s="6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4"/>
      <c r="AM13" s="4"/>
      <c r="AN13" s="4"/>
      <c r="AO13" s="4"/>
      <c r="AP13" s="4"/>
      <c r="AQ13" s="4"/>
      <c r="AR13" s="2"/>
      <c r="AS13" s="2"/>
      <c r="AT13" s="2"/>
      <c r="AU13" s="2"/>
      <c r="AV13" s="2"/>
      <c r="AW13" s="2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>
        <f>SUM(E13:BI13)</f>
        <v>10</v>
      </c>
      <c r="BK13" s="1">
        <v>2</v>
      </c>
      <c r="BL13" s="17">
        <v>1</v>
      </c>
      <c r="BM13" s="17" t="s">
        <v>149</v>
      </c>
      <c r="BN13" s="1" t="str">
        <f>IF(AL13&gt;AL$95, AL13-AL$95,"")</f>
        <v/>
      </c>
      <c r="BO13" s="1" t="str">
        <f>IF(AM13&gt;AM$95, AM13-AM$95,"")</f>
        <v/>
      </c>
      <c r="BP13" s="1" t="str">
        <f>IF(AN13&gt;AN$95, AN13-AN$95,"")</f>
        <v/>
      </c>
      <c r="BQ13" s="1" t="str">
        <f>IF(AO13&gt;AO$95, AO13-AO$95,"")</f>
        <v/>
      </c>
      <c r="BR13" s="1" t="str">
        <f>IF(AP13&gt;AP$95, AP13-AP$95,"")</f>
        <v/>
      </c>
      <c r="BS13" s="1" t="str">
        <f>IF(AQ13&gt;AQ$95, AQ13-AQ$95,"")</f>
        <v/>
      </c>
      <c r="BT13" s="1" t="str">
        <f>IF(AR13&gt;AR$95, AR13-AR$95,"")</f>
        <v/>
      </c>
      <c r="BU13" s="1" t="str">
        <f>IF(AS13&gt;AS$95, AS13-AS$95,"")</f>
        <v/>
      </c>
      <c r="BV13" s="1" t="str">
        <f>IF(AT13&gt;AT$95, AT13-AT$95,"")</f>
        <v/>
      </c>
      <c r="BW13" s="1" t="str">
        <f>IF(AU13&gt;AU$95, AU13-AU$95,"")</f>
        <v/>
      </c>
      <c r="BX13" s="1" t="str">
        <f>IF(AV13&gt;AV$95, AV13-AV$95,"")</f>
        <v/>
      </c>
      <c r="BY13" s="1" t="str">
        <f>IF(AW13&gt;AW$95, AW13-AW$95,"")</f>
        <v/>
      </c>
      <c r="BZ13" s="1">
        <f>COUNTIF(BN13:BY13, "&gt;0")</f>
        <v>0</v>
      </c>
      <c r="CA13" s="1" t="str">
        <f>IF($BZ13=1,BN13,"")</f>
        <v/>
      </c>
      <c r="CB13" s="1" t="str">
        <f>IF($BZ13=1,BO13,"")</f>
        <v/>
      </c>
      <c r="CC13" s="1" t="str">
        <f>IF($BZ13=1,BP13,"")</f>
        <v/>
      </c>
      <c r="CD13" s="1" t="str">
        <f>IF($BZ13=1,BQ13,"")</f>
        <v/>
      </c>
      <c r="CE13" s="1" t="str">
        <f>IF($BZ13=1,BR13,"")</f>
        <v/>
      </c>
      <c r="CF13" s="1" t="str">
        <f>IF($BZ13=1,BS13,"")</f>
        <v/>
      </c>
      <c r="CG13" s="1" t="str">
        <f>IF($BZ13=1,BT13,"")</f>
        <v/>
      </c>
      <c r="CH13" s="1" t="str">
        <f>IF($BZ13=1,BU13,"")</f>
        <v/>
      </c>
      <c r="CI13" s="1" t="str">
        <f>IF($BZ13=1,BV13,"")</f>
        <v/>
      </c>
      <c r="CJ13" s="1" t="str">
        <f>IF($BZ13=1,BW13,"")</f>
        <v/>
      </c>
      <c r="CK13" s="1" t="str">
        <f>IF($BZ13=1,BX13,"")</f>
        <v/>
      </c>
      <c r="CL13" s="1" t="str">
        <f>IF($BZ13=1,BY13,"")</f>
        <v/>
      </c>
    </row>
    <row r="14" spans="1:90" x14ac:dyDescent="0.15">
      <c r="A14" s="1">
        <v>43</v>
      </c>
      <c r="B14" s="1" t="s">
        <v>136</v>
      </c>
      <c r="C14" s="1" t="s">
        <v>52</v>
      </c>
      <c r="D14" s="1" t="s">
        <v>13</v>
      </c>
      <c r="E14" s="6"/>
      <c r="F14" s="6">
        <v>6</v>
      </c>
      <c r="G14" s="6"/>
      <c r="H14" s="6">
        <v>6</v>
      </c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4">
        <v>10</v>
      </c>
      <c r="AM14" s="4"/>
      <c r="AN14" s="4"/>
      <c r="AO14" s="4"/>
      <c r="AP14" s="4"/>
      <c r="AQ14" s="4"/>
      <c r="AR14" s="2"/>
      <c r="AS14" s="2"/>
      <c r="AT14" s="2"/>
      <c r="AU14" s="2">
        <v>10</v>
      </c>
      <c r="AV14" s="2"/>
      <c r="AW14" s="2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>
        <f>SUM(E14:BI14)</f>
        <v>32</v>
      </c>
      <c r="BK14" s="1">
        <v>2</v>
      </c>
      <c r="BL14" s="17">
        <v>1</v>
      </c>
      <c r="BM14" s="17" t="s">
        <v>148</v>
      </c>
      <c r="BN14" s="1" t="str">
        <f>IF(AL14&gt;AL$95, AL14-AL$95,"")</f>
        <v/>
      </c>
      <c r="BO14" s="1" t="str">
        <f>IF(AM14&gt;AM$95, AM14-AM$95,"")</f>
        <v/>
      </c>
      <c r="BP14" s="1" t="str">
        <f>IF(AN14&gt;AN$95, AN14-AN$95,"")</f>
        <v/>
      </c>
      <c r="BQ14" s="1" t="str">
        <f>IF(AO14&gt;AO$95, AO14-AO$95,"")</f>
        <v/>
      </c>
      <c r="BR14" s="1" t="str">
        <f>IF(AP14&gt;AP$95, AP14-AP$95,"")</f>
        <v/>
      </c>
      <c r="BS14" s="1" t="str">
        <f>IF(AQ14&gt;AQ$95, AQ14-AQ$95,"")</f>
        <v/>
      </c>
      <c r="BT14" s="1" t="str">
        <f>IF(AR14&gt;AR$95, AR14-AR$95,"")</f>
        <v/>
      </c>
      <c r="BU14" s="1" t="str">
        <f>IF(AS14&gt;AS$95, AS14-AS$95,"")</f>
        <v/>
      </c>
      <c r="BV14" s="1" t="str">
        <f>IF(AT14&gt;AT$95, AT14-AT$95,"")</f>
        <v/>
      </c>
      <c r="BW14" s="1" t="str">
        <f>IF(AU14&gt;AU$95, AU14-AU$95,"")</f>
        <v/>
      </c>
      <c r="BX14" s="1" t="str">
        <f>IF(AV14&gt;AV$95, AV14-AV$95,"")</f>
        <v/>
      </c>
      <c r="BY14" s="1" t="str">
        <f>IF(AW14&gt;AW$95, AW14-AW$95,"")</f>
        <v/>
      </c>
      <c r="BZ14" s="1">
        <f>COUNTIF(BN14:BY14, "&gt;0")</f>
        <v>0</v>
      </c>
      <c r="CA14" s="1" t="str">
        <f>IF($BZ14=1,BN14,"")</f>
        <v/>
      </c>
      <c r="CB14" s="1" t="str">
        <f>IF($BZ14=1,BO14,"")</f>
        <v/>
      </c>
      <c r="CC14" s="1" t="str">
        <f>IF($BZ14=1,BP14,"")</f>
        <v/>
      </c>
      <c r="CD14" s="1" t="str">
        <f>IF($BZ14=1,BQ14,"")</f>
        <v/>
      </c>
      <c r="CE14" s="1" t="str">
        <f>IF($BZ14=1,BR14,"")</f>
        <v/>
      </c>
      <c r="CF14" s="1" t="str">
        <f>IF($BZ14=1,BS14,"")</f>
        <v/>
      </c>
      <c r="CG14" s="1" t="str">
        <f>IF($BZ14=1,BT14,"")</f>
        <v/>
      </c>
      <c r="CH14" s="1" t="str">
        <f>IF($BZ14=1,BU14,"")</f>
        <v/>
      </c>
      <c r="CI14" s="1" t="str">
        <f>IF($BZ14=1,BV14,"")</f>
        <v/>
      </c>
      <c r="CJ14" s="1" t="str">
        <f>IF($BZ14=1,BW14,"")</f>
        <v/>
      </c>
      <c r="CK14" s="1" t="str">
        <f>IF($BZ14=1,BX14,"")</f>
        <v/>
      </c>
      <c r="CL14" s="1" t="str">
        <f>IF($BZ14=1,BY14,"")</f>
        <v/>
      </c>
    </row>
    <row r="15" spans="1:90" x14ac:dyDescent="0.15">
      <c r="A15" s="1">
        <v>66</v>
      </c>
      <c r="B15" s="3" t="s">
        <v>80</v>
      </c>
      <c r="C15" s="1" t="s">
        <v>68</v>
      </c>
      <c r="D15" s="1" t="s">
        <v>1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>
        <v>5</v>
      </c>
      <c r="P15" s="6"/>
      <c r="Q15" s="6">
        <v>5</v>
      </c>
      <c r="R15" s="6"/>
      <c r="S15" s="6"/>
      <c r="T15" s="6"/>
      <c r="U15" s="6"/>
      <c r="V15" s="6"/>
      <c r="W15" s="6"/>
      <c r="X15" s="6"/>
      <c r="Y15" s="6"/>
      <c r="Z15" s="6"/>
      <c r="AA15" s="6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4"/>
      <c r="AM15" s="4"/>
      <c r="AN15" s="4"/>
      <c r="AO15" s="4"/>
      <c r="AP15" s="4"/>
      <c r="AQ15" s="4"/>
      <c r="AR15" s="2"/>
      <c r="AS15" s="2"/>
      <c r="AT15" s="2"/>
      <c r="AU15" s="2"/>
      <c r="AV15" s="2"/>
      <c r="AW15" s="2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>
        <f>SUM(E15:BI15)</f>
        <v>10</v>
      </c>
      <c r="BK15" s="1">
        <v>2</v>
      </c>
      <c r="BL15" s="17">
        <v>1</v>
      </c>
      <c r="BM15" s="17" t="s">
        <v>171</v>
      </c>
      <c r="BN15" s="1" t="str">
        <f>IF(AL15&gt;AL$95, AL15-AL$95,"")</f>
        <v/>
      </c>
      <c r="BO15" s="1" t="str">
        <f>IF(AM15&gt;AM$95, AM15-AM$95,"")</f>
        <v/>
      </c>
      <c r="BP15" s="1" t="str">
        <f>IF(AN15&gt;AN$95, AN15-AN$95,"")</f>
        <v/>
      </c>
      <c r="BQ15" s="1" t="str">
        <f>IF(AO15&gt;AO$95, AO15-AO$95,"")</f>
        <v/>
      </c>
      <c r="BR15" s="1" t="str">
        <f>IF(AP15&gt;AP$95, AP15-AP$95,"")</f>
        <v/>
      </c>
      <c r="BS15" s="1" t="str">
        <f>IF(AQ15&gt;AQ$95, AQ15-AQ$95,"")</f>
        <v/>
      </c>
      <c r="BT15" s="1" t="str">
        <f>IF(AR15&gt;AR$95, AR15-AR$95,"")</f>
        <v/>
      </c>
      <c r="BU15" s="1" t="str">
        <f>IF(AS15&gt;AS$95, AS15-AS$95,"")</f>
        <v/>
      </c>
      <c r="BV15" s="1" t="str">
        <f>IF(AT15&gt;AT$95, AT15-AT$95,"")</f>
        <v/>
      </c>
      <c r="BW15" s="1" t="str">
        <f>IF(AU15&gt;AU$95, AU15-AU$95,"")</f>
        <v/>
      </c>
      <c r="BX15" s="1" t="str">
        <f>IF(AV15&gt;AV$95, AV15-AV$95,"")</f>
        <v/>
      </c>
      <c r="BY15" s="1" t="str">
        <f>IF(AW15&gt;AW$95, AW15-AW$95,"")</f>
        <v/>
      </c>
      <c r="BZ15" s="1">
        <f>COUNTIF(BN15:BY15, "&gt;0")</f>
        <v>0</v>
      </c>
      <c r="CA15" s="1" t="str">
        <f>IF($BZ15=1,BN15,"")</f>
        <v/>
      </c>
      <c r="CB15" s="1" t="str">
        <f>IF($BZ15=1,BO15,"")</f>
        <v/>
      </c>
      <c r="CC15" s="1" t="str">
        <f>IF($BZ15=1,BP15,"")</f>
        <v/>
      </c>
      <c r="CD15" s="1" t="str">
        <f>IF($BZ15=1,BQ15,"")</f>
        <v/>
      </c>
      <c r="CE15" s="1" t="str">
        <f>IF($BZ15=1,BR15,"")</f>
        <v/>
      </c>
      <c r="CF15" s="1" t="str">
        <f>IF($BZ15=1,BS15,"")</f>
        <v/>
      </c>
      <c r="CG15" s="1" t="str">
        <f>IF($BZ15=1,BT15,"")</f>
        <v/>
      </c>
      <c r="CH15" s="1" t="str">
        <f>IF($BZ15=1,BU15,"")</f>
        <v/>
      </c>
      <c r="CI15" s="1" t="str">
        <f>IF($BZ15=1,BV15,"")</f>
        <v/>
      </c>
      <c r="CJ15" s="1" t="str">
        <f>IF($BZ15=1,BW15,"")</f>
        <v/>
      </c>
      <c r="CK15" s="1" t="str">
        <f>IF($BZ15=1,BX15,"")</f>
        <v/>
      </c>
      <c r="CL15" s="1" t="str">
        <f>IF($BZ15=1,BY15,"")</f>
        <v/>
      </c>
    </row>
    <row r="16" spans="1:90" x14ac:dyDescent="0.15">
      <c r="A16" s="1">
        <v>83</v>
      </c>
      <c r="B16" s="3" t="s">
        <v>94</v>
      </c>
      <c r="C16" s="3" t="s">
        <v>87</v>
      </c>
      <c r="D16" s="1" t="s">
        <v>1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>
        <v>5</v>
      </c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4"/>
      <c r="AM16" s="4"/>
      <c r="AN16" s="4"/>
      <c r="AO16" s="4"/>
      <c r="AP16" s="4"/>
      <c r="AQ16" s="4"/>
      <c r="AR16" s="2"/>
      <c r="AS16" s="2"/>
      <c r="AT16" s="2"/>
      <c r="AU16" s="2"/>
      <c r="AV16" s="2"/>
      <c r="AW16" s="2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>
        <f>SUM(E16:BI16)</f>
        <v>5</v>
      </c>
      <c r="BK16" s="1">
        <v>2</v>
      </c>
      <c r="BL16" s="17">
        <v>1</v>
      </c>
      <c r="BM16" s="17" t="s">
        <v>149</v>
      </c>
      <c r="BN16" s="1" t="str">
        <f>IF(AL16&gt;AL$95, AL16-AL$95,"")</f>
        <v/>
      </c>
      <c r="BO16" s="1" t="str">
        <f>IF(AM16&gt;AM$95, AM16-AM$95,"")</f>
        <v/>
      </c>
      <c r="BP16" s="1" t="str">
        <f>IF(AN16&gt;AN$95, AN16-AN$95,"")</f>
        <v/>
      </c>
      <c r="BQ16" s="1" t="str">
        <f>IF(AO16&gt;AO$95, AO16-AO$95,"")</f>
        <v/>
      </c>
      <c r="BR16" s="1" t="str">
        <f>IF(AP16&gt;AP$95, AP16-AP$95,"")</f>
        <v/>
      </c>
      <c r="BS16" s="1" t="str">
        <f>IF(AQ16&gt;AQ$95, AQ16-AQ$95,"")</f>
        <v/>
      </c>
      <c r="BT16" s="1" t="str">
        <f>IF(AR16&gt;AR$95, AR16-AR$95,"")</f>
        <v/>
      </c>
      <c r="BU16" s="1" t="str">
        <f>IF(AS16&gt;AS$95, AS16-AS$95,"")</f>
        <v/>
      </c>
      <c r="BV16" s="1" t="str">
        <f>IF(AT16&gt;AT$95, AT16-AT$95,"")</f>
        <v/>
      </c>
      <c r="BW16" s="1" t="str">
        <f>IF(AU16&gt;AU$95, AU16-AU$95,"")</f>
        <v/>
      </c>
      <c r="BX16" s="1" t="str">
        <f>IF(AV16&gt;AV$95, AV16-AV$95,"")</f>
        <v/>
      </c>
      <c r="BY16" s="1" t="str">
        <f>IF(AW16&gt;AW$95, AW16-AW$95,"")</f>
        <v/>
      </c>
      <c r="BZ16" s="1">
        <f>COUNTIF(BN16:BY16, "&gt;0")</f>
        <v>0</v>
      </c>
      <c r="CA16" s="1" t="str">
        <f>IF($BZ16=1,BN16,"")</f>
        <v/>
      </c>
      <c r="CB16" s="1" t="str">
        <f>IF($BZ16=1,BO16,"")</f>
        <v/>
      </c>
      <c r="CC16" s="1" t="str">
        <f>IF($BZ16=1,BP16,"")</f>
        <v/>
      </c>
      <c r="CD16" s="1" t="str">
        <f>IF($BZ16=1,BQ16,"")</f>
        <v/>
      </c>
      <c r="CE16" s="1" t="str">
        <f>IF($BZ16=1,BR16,"")</f>
        <v/>
      </c>
      <c r="CF16" s="1" t="str">
        <f>IF($BZ16=1,BS16,"")</f>
        <v/>
      </c>
      <c r="CG16" s="1" t="str">
        <f>IF($BZ16=1,BT16,"")</f>
        <v/>
      </c>
      <c r="CH16" s="1" t="str">
        <f>IF($BZ16=1,BU16,"")</f>
        <v/>
      </c>
      <c r="CI16" s="1" t="str">
        <f>IF($BZ16=1,BV16,"")</f>
        <v/>
      </c>
      <c r="CJ16" s="1" t="str">
        <f>IF($BZ16=1,BW16,"")</f>
        <v/>
      </c>
      <c r="CK16" s="1" t="str">
        <f>IF($BZ16=1,BX16,"")</f>
        <v/>
      </c>
      <c r="CL16" s="1" t="str">
        <f>IF($BZ16=1,BY16,"")</f>
        <v/>
      </c>
    </row>
    <row r="17" spans="1:90" x14ac:dyDescent="0.15">
      <c r="A17" s="1">
        <v>100</v>
      </c>
      <c r="B17" s="3" t="s">
        <v>98</v>
      </c>
      <c r="C17" s="3" t="s">
        <v>96</v>
      </c>
      <c r="D17" s="1" t="s">
        <v>1</v>
      </c>
      <c r="E17" s="6"/>
      <c r="F17" s="6"/>
      <c r="G17" s="6"/>
      <c r="H17" s="6"/>
      <c r="I17" s="6"/>
      <c r="J17" s="6"/>
      <c r="K17" s="6">
        <v>5</v>
      </c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4"/>
      <c r="AM17" s="4"/>
      <c r="AN17" s="4"/>
      <c r="AO17" s="4"/>
      <c r="AP17" s="4"/>
      <c r="AQ17" s="4"/>
      <c r="AR17" s="2"/>
      <c r="AS17" s="2"/>
      <c r="AT17" s="2"/>
      <c r="AU17" s="2"/>
      <c r="AV17" s="2"/>
      <c r="AW17" s="2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>
        <f>SUM(E17:BI17)</f>
        <v>5</v>
      </c>
      <c r="BK17" s="1">
        <v>2</v>
      </c>
      <c r="BL17" s="17">
        <v>1</v>
      </c>
      <c r="BM17" s="17" t="s">
        <v>172</v>
      </c>
      <c r="BN17" s="1" t="str">
        <f>IF(AL17&gt;AL$95, AL17-AL$95,"")</f>
        <v/>
      </c>
      <c r="BO17" s="1" t="str">
        <f>IF(AM17&gt;AM$95, AM17-AM$95,"")</f>
        <v/>
      </c>
      <c r="BP17" s="1" t="str">
        <f>IF(AN17&gt;AN$95, AN17-AN$95,"")</f>
        <v/>
      </c>
      <c r="BQ17" s="1" t="str">
        <f>IF(AO17&gt;AO$95, AO17-AO$95,"")</f>
        <v/>
      </c>
      <c r="BR17" s="1" t="str">
        <f>IF(AP17&gt;AP$95, AP17-AP$95,"")</f>
        <v/>
      </c>
      <c r="BS17" s="1" t="str">
        <f>IF(AQ17&gt;AQ$95, AQ17-AQ$95,"")</f>
        <v/>
      </c>
      <c r="BT17" s="1" t="str">
        <f>IF(AR17&gt;AR$95, AR17-AR$95,"")</f>
        <v/>
      </c>
      <c r="BU17" s="1" t="str">
        <f>IF(AS17&gt;AS$95, AS17-AS$95,"")</f>
        <v/>
      </c>
      <c r="BV17" s="1" t="str">
        <f>IF(AT17&gt;AT$95, AT17-AT$95,"")</f>
        <v/>
      </c>
      <c r="BW17" s="1" t="str">
        <f>IF(AU17&gt;AU$95, AU17-AU$95,"")</f>
        <v/>
      </c>
      <c r="BX17" s="1" t="str">
        <f>IF(AV17&gt;AV$95, AV17-AV$95,"")</f>
        <v/>
      </c>
      <c r="BY17" s="1" t="str">
        <f>IF(AW17&gt;AW$95, AW17-AW$95,"")</f>
        <v/>
      </c>
      <c r="BZ17" s="1">
        <f>COUNTIF(BN17:BY17, "&gt;0")</f>
        <v>0</v>
      </c>
      <c r="CA17" s="1" t="str">
        <f>IF($BZ17=1,BN17,"")</f>
        <v/>
      </c>
      <c r="CB17" s="1" t="str">
        <f>IF($BZ17=1,BO17,"")</f>
        <v/>
      </c>
      <c r="CC17" s="1" t="str">
        <f>IF($BZ17=1,BP17,"")</f>
        <v/>
      </c>
      <c r="CD17" s="1" t="str">
        <f>IF($BZ17=1,BQ17,"")</f>
        <v/>
      </c>
      <c r="CE17" s="1" t="str">
        <f>IF($BZ17=1,BR17,"")</f>
        <v/>
      </c>
      <c r="CF17" s="1" t="str">
        <f>IF($BZ17=1,BS17,"")</f>
        <v/>
      </c>
      <c r="CG17" s="1" t="str">
        <f>IF($BZ17=1,BT17,"")</f>
        <v/>
      </c>
      <c r="CH17" s="1" t="str">
        <f>IF($BZ17=1,BU17,"")</f>
        <v/>
      </c>
      <c r="CI17" s="1" t="str">
        <f>IF($BZ17=1,BV17,"")</f>
        <v/>
      </c>
      <c r="CJ17" s="1" t="str">
        <f>IF($BZ17=1,BW17,"")</f>
        <v/>
      </c>
      <c r="CK17" s="1" t="str">
        <f>IF($BZ17=1,BX17,"")</f>
        <v/>
      </c>
      <c r="CL17" s="1" t="str">
        <f>IF($BZ17=1,BY17,"")</f>
        <v/>
      </c>
    </row>
    <row r="18" spans="1:90" x14ac:dyDescent="0.15">
      <c r="A18" s="1">
        <v>10</v>
      </c>
      <c r="B18" s="1" t="s">
        <v>113</v>
      </c>
      <c r="C18" s="1" t="s">
        <v>2</v>
      </c>
      <c r="D18" s="1" t="s">
        <v>1</v>
      </c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>
        <v>5</v>
      </c>
      <c r="U18" s="6"/>
      <c r="V18" s="6"/>
      <c r="W18" s="6"/>
      <c r="X18" s="6"/>
      <c r="Y18" s="6"/>
      <c r="Z18" s="6"/>
      <c r="AA18" s="6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4"/>
      <c r="AM18" s="4"/>
      <c r="AN18" s="4"/>
      <c r="AO18" s="4"/>
      <c r="AP18" s="4"/>
      <c r="AQ18" s="4"/>
      <c r="AR18" s="2"/>
      <c r="AS18" s="2"/>
      <c r="AT18" s="2"/>
      <c r="AU18" s="2"/>
      <c r="AV18" s="2"/>
      <c r="AW18" s="2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>
        <f>SUM(E18:BI18)</f>
        <v>5</v>
      </c>
      <c r="BK18" s="1">
        <v>3</v>
      </c>
      <c r="BL18" s="17">
        <v>1</v>
      </c>
      <c r="BM18" s="17" t="s">
        <v>173</v>
      </c>
      <c r="BN18" s="1" t="str">
        <f>IF(AL18&gt;AL$95, AL18-AL$95,"")</f>
        <v/>
      </c>
      <c r="BO18" s="1" t="str">
        <f>IF(AM18&gt;AM$95, AM18-AM$95,"")</f>
        <v/>
      </c>
      <c r="BP18" s="1" t="str">
        <f>IF(AN18&gt;AN$95, AN18-AN$95,"")</f>
        <v/>
      </c>
      <c r="BQ18" s="1" t="str">
        <f>IF(AO18&gt;AO$95, AO18-AO$95,"")</f>
        <v/>
      </c>
      <c r="BR18" s="1" t="str">
        <f>IF(AP18&gt;AP$95, AP18-AP$95,"")</f>
        <v/>
      </c>
      <c r="BS18" s="1" t="str">
        <f>IF(AQ18&gt;AQ$95, AQ18-AQ$95,"")</f>
        <v/>
      </c>
      <c r="BT18" s="1" t="str">
        <f>IF(AR18&gt;AR$95, AR18-AR$95,"")</f>
        <v/>
      </c>
      <c r="BU18" s="1" t="str">
        <f>IF(AS18&gt;AS$95, AS18-AS$95,"")</f>
        <v/>
      </c>
      <c r="BV18" s="1" t="str">
        <f>IF(AT18&gt;AT$95, AT18-AT$95,"")</f>
        <v/>
      </c>
      <c r="BW18" s="1" t="str">
        <f>IF(AU18&gt;AU$95, AU18-AU$95,"")</f>
        <v/>
      </c>
      <c r="BX18" s="1" t="str">
        <f>IF(AV18&gt;AV$95, AV18-AV$95,"")</f>
        <v/>
      </c>
      <c r="BY18" s="1" t="str">
        <f>IF(AW18&gt;AW$95, AW18-AW$95,"")</f>
        <v/>
      </c>
      <c r="BZ18" s="1">
        <f>COUNTIF(BN18:BY18, "&gt;0")</f>
        <v>0</v>
      </c>
      <c r="CA18" s="1" t="str">
        <f>IF($BZ18=1,BN18,"")</f>
        <v/>
      </c>
      <c r="CB18" s="1" t="str">
        <f>IF($BZ18=1,BO18,"")</f>
        <v/>
      </c>
      <c r="CC18" s="1" t="str">
        <f>IF($BZ18=1,BP18,"")</f>
        <v/>
      </c>
      <c r="CD18" s="1" t="str">
        <f>IF($BZ18=1,BQ18,"")</f>
        <v/>
      </c>
      <c r="CE18" s="1" t="str">
        <f>IF($BZ18=1,BR18,"")</f>
        <v/>
      </c>
      <c r="CF18" s="1" t="str">
        <f>IF($BZ18=1,BS18,"")</f>
        <v/>
      </c>
      <c r="CG18" s="1" t="str">
        <f>IF($BZ18=1,BT18,"")</f>
        <v/>
      </c>
      <c r="CH18" s="1" t="str">
        <f>IF($BZ18=1,BU18,"")</f>
        <v/>
      </c>
      <c r="CI18" s="1" t="str">
        <f>IF($BZ18=1,BV18,"")</f>
        <v/>
      </c>
      <c r="CJ18" s="1" t="str">
        <f>IF($BZ18=1,BW18,"")</f>
        <v/>
      </c>
      <c r="CK18" s="1" t="str">
        <f>IF($BZ18=1,BX18,"")</f>
        <v/>
      </c>
      <c r="CL18" s="1" t="str">
        <f>IF($BZ18=1,BY18,"")</f>
        <v/>
      </c>
    </row>
    <row r="19" spans="1:90" x14ac:dyDescent="0.15">
      <c r="A19" s="1">
        <v>25</v>
      </c>
      <c r="B19" s="1" t="s">
        <v>101</v>
      </c>
      <c r="C19" s="1" t="s">
        <v>33</v>
      </c>
      <c r="D19" s="1" t="s">
        <v>1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>
        <v>5</v>
      </c>
      <c r="U19" s="6"/>
      <c r="V19" s="6"/>
      <c r="W19" s="6"/>
      <c r="X19" s="6"/>
      <c r="Y19" s="6"/>
      <c r="Z19" s="6"/>
      <c r="AA19" s="6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4"/>
      <c r="AM19" s="4"/>
      <c r="AN19" s="4"/>
      <c r="AO19" s="4"/>
      <c r="AP19" s="4"/>
      <c r="AQ19" s="4"/>
      <c r="AR19" s="2"/>
      <c r="AS19" s="2"/>
      <c r="AT19" s="2"/>
      <c r="AU19" s="2"/>
      <c r="AV19" s="2"/>
      <c r="AW19" s="2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>
        <f>SUM(E19:BI19)</f>
        <v>5</v>
      </c>
      <c r="BK19" s="1">
        <v>3</v>
      </c>
      <c r="BL19" s="17">
        <v>1</v>
      </c>
      <c r="BM19" s="17" t="s">
        <v>150</v>
      </c>
      <c r="BN19" s="1" t="str">
        <f>IF(AL19&gt;AL$95, AL19-AL$95,"")</f>
        <v/>
      </c>
      <c r="BO19" s="1" t="str">
        <f>IF(AM19&gt;AM$95, AM19-AM$95,"")</f>
        <v/>
      </c>
      <c r="BP19" s="1" t="str">
        <f>IF(AN19&gt;AN$95, AN19-AN$95,"")</f>
        <v/>
      </c>
      <c r="BQ19" s="1" t="str">
        <f>IF(AO19&gt;AO$95, AO19-AO$95,"")</f>
        <v/>
      </c>
      <c r="BR19" s="1" t="str">
        <f>IF(AP19&gt;AP$95, AP19-AP$95,"")</f>
        <v/>
      </c>
      <c r="BS19" s="1" t="str">
        <f>IF(AQ19&gt;AQ$95, AQ19-AQ$95,"")</f>
        <v/>
      </c>
      <c r="BT19" s="1" t="str">
        <f>IF(AR19&gt;AR$95, AR19-AR$95,"")</f>
        <v/>
      </c>
      <c r="BU19" s="1" t="str">
        <f>IF(AS19&gt;AS$95, AS19-AS$95,"")</f>
        <v/>
      </c>
      <c r="BV19" s="1" t="str">
        <f>IF(AT19&gt;AT$95, AT19-AT$95,"")</f>
        <v/>
      </c>
      <c r="BW19" s="1" t="str">
        <f>IF(AU19&gt;AU$95, AU19-AU$95,"")</f>
        <v/>
      </c>
      <c r="BX19" s="1" t="str">
        <f>IF(AV19&gt;AV$95, AV19-AV$95,"")</f>
        <v/>
      </c>
      <c r="BY19" s="1" t="str">
        <f>IF(AW19&gt;AW$95, AW19-AW$95,"")</f>
        <v/>
      </c>
      <c r="BZ19" s="1">
        <f>COUNTIF(BN19:BY19, "&gt;0")</f>
        <v>0</v>
      </c>
      <c r="CA19" s="1" t="str">
        <f>IF($BZ19=1,BN19,"")</f>
        <v/>
      </c>
      <c r="CB19" s="1" t="str">
        <f>IF($BZ19=1,BO19,"")</f>
        <v/>
      </c>
      <c r="CC19" s="1" t="str">
        <f>IF($BZ19=1,BP19,"")</f>
        <v/>
      </c>
      <c r="CD19" s="1" t="str">
        <f>IF($BZ19=1,BQ19,"")</f>
        <v/>
      </c>
      <c r="CE19" s="1" t="str">
        <f>IF($BZ19=1,BR19,"")</f>
        <v/>
      </c>
      <c r="CF19" s="1" t="str">
        <f>IF($BZ19=1,BS19,"")</f>
        <v/>
      </c>
      <c r="CG19" s="1" t="str">
        <f>IF($BZ19=1,BT19,"")</f>
        <v/>
      </c>
      <c r="CH19" s="1" t="str">
        <f>IF($BZ19=1,BU19,"")</f>
        <v/>
      </c>
      <c r="CI19" s="1" t="str">
        <f>IF($BZ19=1,BV19,"")</f>
        <v/>
      </c>
      <c r="CJ19" s="1" t="str">
        <f>IF($BZ19=1,BW19,"")</f>
        <v/>
      </c>
      <c r="CK19" s="1" t="str">
        <f>IF($BZ19=1,BX19,"")</f>
        <v/>
      </c>
      <c r="CL19" s="1" t="str">
        <f>IF($BZ19=1,BY19,"")</f>
        <v/>
      </c>
    </row>
    <row r="20" spans="1:90" x14ac:dyDescent="0.15">
      <c r="A20" s="1">
        <v>44</v>
      </c>
      <c r="B20" s="1" t="s">
        <v>102</v>
      </c>
      <c r="C20" s="1" t="s">
        <v>52</v>
      </c>
      <c r="D20" s="1" t="s">
        <v>1</v>
      </c>
      <c r="E20" s="6"/>
      <c r="F20" s="6"/>
      <c r="G20" s="6"/>
      <c r="H20" s="6"/>
      <c r="I20" s="6"/>
      <c r="J20" s="6"/>
      <c r="K20" s="6"/>
      <c r="L20" s="6"/>
      <c r="M20" s="6">
        <v>5</v>
      </c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4"/>
      <c r="AM20" s="4"/>
      <c r="AN20" s="4"/>
      <c r="AO20" s="4"/>
      <c r="AP20" s="4"/>
      <c r="AQ20" s="4"/>
      <c r="AR20" s="2"/>
      <c r="AS20" s="2"/>
      <c r="AT20" s="2"/>
      <c r="AU20" s="2"/>
      <c r="AV20" s="2"/>
      <c r="AW20" s="2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>
        <f>SUM(E20:BI20)</f>
        <v>5</v>
      </c>
      <c r="BK20" s="1">
        <v>3</v>
      </c>
      <c r="BL20" s="17">
        <v>1</v>
      </c>
      <c r="BM20" s="17" t="s">
        <v>174</v>
      </c>
      <c r="BN20" s="1" t="str">
        <f>IF(AL20&gt;AL$95, AL20-AL$95,"")</f>
        <v/>
      </c>
      <c r="BO20" s="1" t="str">
        <f>IF(AM20&gt;AM$95, AM20-AM$95,"")</f>
        <v/>
      </c>
      <c r="BP20" s="1" t="str">
        <f>IF(AN20&gt;AN$95, AN20-AN$95,"")</f>
        <v/>
      </c>
      <c r="BQ20" s="1" t="str">
        <f>IF(AO20&gt;AO$95, AO20-AO$95,"")</f>
        <v/>
      </c>
      <c r="BR20" s="1" t="str">
        <f>IF(AP20&gt;AP$95, AP20-AP$95,"")</f>
        <v/>
      </c>
      <c r="BS20" s="1" t="str">
        <f>IF(AQ20&gt;AQ$95, AQ20-AQ$95,"")</f>
        <v/>
      </c>
      <c r="BT20" s="1" t="str">
        <f>IF(AR20&gt;AR$95, AR20-AR$95,"")</f>
        <v/>
      </c>
      <c r="BU20" s="1" t="str">
        <f>IF(AS20&gt;AS$95, AS20-AS$95,"")</f>
        <v/>
      </c>
      <c r="BV20" s="1" t="str">
        <f>IF(AT20&gt;AT$95, AT20-AT$95,"")</f>
        <v/>
      </c>
      <c r="BW20" s="1" t="str">
        <f>IF(AU20&gt;AU$95, AU20-AU$95,"")</f>
        <v/>
      </c>
      <c r="BX20" s="1" t="str">
        <f>IF(AV20&gt;AV$95, AV20-AV$95,"")</f>
        <v/>
      </c>
      <c r="BY20" s="1" t="str">
        <f>IF(AW20&gt;AW$95, AW20-AW$95,"")</f>
        <v/>
      </c>
      <c r="BZ20" s="1">
        <f>COUNTIF(BN20:BY20, "&gt;0")</f>
        <v>0</v>
      </c>
      <c r="CA20" s="1" t="str">
        <f>IF($BZ20=1,BN20,"")</f>
        <v/>
      </c>
      <c r="CB20" s="1" t="str">
        <f>IF($BZ20=1,BO20,"")</f>
        <v/>
      </c>
      <c r="CC20" s="1" t="str">
        <f>IF($BZ20=1,BP20,"")</f>
        <v/>
      </c>
      <c r="CD20" s="1" t="str">
        <f>IF($BZ20=1,BQ20,"")</f>
        <v/>
      </c>
      <c r="CE20" s="1" t="str">
        <f>IF($BZ20=1,BR20,"")</f>
        <v/>
      </c>
      <c r="CF20" s="1" t="str">
        <f>IF($BZ20=1,BS20,"")</f>
        <v/>
      </c>
      <c r="CG20" s="1" t="str">
        <f>IF($BZ20=1,BT20,"")</f>
        <v/>
      </c>
      <c r="CH20" s="1" t="str">
        <f>IF($BZ20=1,BU20,"")</f>
        <v/>
      </c>
      <c r="CI20" s="1" t="str">
        <f>IF($BZ20=1,BV20,"")</f>
        <v/>
      </c>
      <c r="CJ20" s="1" t="str">
        <f>IF($BZ20=1,BW20,"")</f>
        <v/>
      </c>
      <c r="CK20" s="1" t="str">
        <f>IF($BZ20=1,BX20,"")</f>
        <v/>
      </c>
      <c r="CL20" s="1" t="str">
        <f>IF($BZ20=1,BY20,"")</f>
        <v/>
      </c>
    </row>
    <row r="21" spans="1:90" x14ac:dyDescent="0.15">
      <c r="A21" s="1">
        <v>46</v>
      </c>
      <c r="B21" s="1" t="s">
        <v>118</v>
      </c>
      <c r="C21" s="1" t="s">
        <v>52</v>
      </c>
      <c r="D21" s="1" t="s">
        <v>24</v>
      </c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>
        <v>5</v>
      </c>
      <c r="S21" s="6"/>
      <c r="T21" s="6"/>
      <c r="U21" s="6"/>
      <c r="V21" s="6"/>
      <c r="W21" s="6"/>
      <c r="X21" s="6"/>
      <c r="Y21" s="6"/>
      <c r="Z21" s="6"/>
      <c r="AA21" s="6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4"/>
      <c r="AM21" s="4"/>
      <c r="AN21" s="4"/>
      <c r="AO21" s="4"/>
      <c r="AP21" s="4"/>
      <c r="AQ21" s="4"/>
      <c r="AR21" s="2"/>
      <c r="AS21" s="2"/>
      <c r="AT21" s="2"/>
      <c r="AU21" s="2"/>
      <c r="AV21" s="2"/>
      <c r="AW21" s="2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>
        <f>SUM(E21:BI21)</f>
        <v>5</v>
      </c>
      <c r="BK21" s="1">
        <v>3</v>
      </c>
      <c r="BL21" s="17">
        <v>1</v>
      </c>
      <c r="BM21" s="17" t="s">
        <v>175</v>
      </c>
      <c r="BN21" s="1" t="str">
        <f>IF(AL21&gt;AL$95, AL21-AL$95,"")</f>
        <v/>
      </c>
      <c r="BO21" s="1" t="str">
        <f>IF(AM21&gt;AM$95, AM21-AM$95,"")</f>
        <v/>
      </c>
      <c r="BP21" s="1" t="str">
        <f>IF(AN21&gt;AN$95, AN21-AN$95,"")</f>
        <v/>
      </c>
      <c r="BQ21" s="1" t="str">
        <f>IF(AO21&gt;AO$95, AO21-AO$95,"")</f>
        <v/>
      </c>
      <c r="BR21" s="1" t="str">
        <f>IF(AP21&gt;AP$95, AP21-AP$95,"")</f>
        <v/>
      </c>
      <c r="BS21" s="1" t="str">
        <f>IF(AQ21&gt;AQ$95, AQ21-AQ$95,"")</f>
        <v/>
      </c>
      <c r="BT21" s="1" t="str">
        <f>IF(AR21&gt;AR$95, AR21-AR$95,"")</f>
        <v/>
      </c>
      <c r="BU21" s="1" t="str">
        <f>IF(AS21&gt;AS$95, AS21-AS$95,"")</f>
        <v/>
      </c>
      <c r="BV21" s="1" t="str">
        <f>IF(AT21&gt;AT$95, AT21-AT$95,"")</f>
        <v/>
      </c>
      <c r="BW21" s="1" t="str">
        <f>IF(AU21&gt;AU$95, AU21-AU$95,"")</f>
        <v/>
      </c>
      <c r="BX21" s="1" t="str">
        <f>IF(AV21&gt;AV$95, AV21-AV$95,"")</f>
        <v/>
      </c>
      <c r="BY21" s="1" t="str">
        <f>IF(AW21&gt;AW$95, AW21-AW$95,"")</f>
        <v/>
      </c>
      <c r="BZ21" s="1">
        <f>COUNTIF(BN21:BY21, "&gt;0")</f>
        <v>0</v>
      </c>
      <c r="CA21" s="1" t="str">
        <f>IF($BZ21=1,BN21,"")</f>
        <v/>
      </c>
      <c r="CB21" s="1" t="str">
        <f>IF($BZ21=1,BO21,"")</f>
        <v/>
      </c>
      <c r="CC21" s="1" t="str">
        <f>IF($BZ21=1,BP21,"")</f>
        <v/>
      </c>
      <c r="CD21" s="1" t="str">
        <f>IF($BZ21=1,BQ21,"")</f>
        <v/>
      </c>
      <c r="CE21" s="1" t="str">
        <f>IF($BZ21=1,BR21,"")</f>
        <v/>
      </c>
      <c r="CF21" s="1" t="str">
        <f>IF($BZ21=1,BS21,"")</f>
        <v/>
      </c>
      <c r="CG21" s="1" t="str">
        <f>IF($BZ21=1,BT21,"")</f>
        <v/>
      </c>
      <c r="CH21" s="1" t="str">
        <f>IF($BZ21=1,BU21,"")</f>
        <v/>
      </c>
      <c r="CI21" s="1" t="str">
        <f>IF($BZ21=1,BV21,"")</f>
        <v/>
      </c>
      <c r="CJ21" s="1" t="str">
        <f>IF($BZ21=1,BW21,"")</f>
        <v/>
      </c>
      <c r="CK21" s="1" t="str">
        <f>IF($BZ21=1,BX21,"")</f>
        <v/>
      </c>
      <c r="CL21" s="1" t="str">
        <f>IF($BZ21=1,BY21,"")</f>
        <v/>
      </c>
    </row>
    <row r="22" spans="1:90" x14ac:dyDescent="0.15">
      <c r="A22" s="1">
        <v>47</v>
      </c>
      <c r="B22" s="1" t="s">
        <v>118</v>
      </c>
      <c r="C22" s="1" t="s">
        <v>52</v>
      </c>
      <c r="D22" s="1" t="s">
        <v>1</v>
      </c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>
        <v>5</v>
      </c>
      <c r="S22" s="6"/>
      <c r="T22" s="6"/>
      <c r="U22" s="6"/>
      <c r="V22" s="6"/>
      <c r="W22" s="6"/>
      <c r="X22" s="6"/>
      <c r="Y22" s="6"/>
      <c r="Z22" s="6"/>
      <c r="AA22" s="6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4"/>
      <c r="AM22" s="4"/>
      <c r="AN22" s="4"/>
      <c r="AO22" s="4"/>
      <c r="AP22" s="4"/>
      <c r="AQ22" s="4"/>
      <c r="AR22" s="2"/>
      <c r="AS22" s="2"/>
      <c r="AT22" s="2"/>
      <c r="AU22" s="2"/>
      <c r="AV22" s="2"/>
      <c r="AW22" s="2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>
        <f>SUM(E22:BI22)</f>
        <v>5</v>
      </c>
      <c r="BK22" s="1">
        <v>3</v>
      </c>
      <c r="BL22" s="17">
        <v>1</v>
      </c>
      <c r="BM22" s="17" t="s">
        <v>176</v>
      </c>
      <c r="BN22" s="1" t="str">
        <f>IF(AL22&gt;AL$95, AL22-AL$95,"")</f>
        <v/>
      </c>
      <c r="BO22" s="1" t="str">
        <f>IF(AM22&gt;AM$95, AM22-AM$95,"")</f>
        <v/>
      </c>
      <c r="BP22" s="1" t="str">
        <f>IF(AN22&gt;AN$95, AN22-AN$95,"")</f>
        <v/>
      </c>
      <c r="BQ22" s="1" t="str">
        <f>IF(AO22&gt;AO$95, AO22-AO$95,"")</f>
        <v/>
      </c>
      <c r="BR22" s="1" t="str">
        <f>IF(AP22&gt;AP$95, AP22-AP$95,"")</f>
        <v/>
      </c>
      <c r="BS22" s="1" t="str">
        <f>IF(AQ22&gt;AQ$95, AQ22-AQ$95,"")</f>
        <v/>
      </c>
      <c r="BT22" s="1" t="str">
        <f>IF(AR22&gt;AR$95, AR22-AR$95,"")</f>
        <v/>
      </c>
      <c r="BU22" s="1" t="str">
        <f>IF(AS22&gt;AS$95, AS22-AS$95,"")</f>
        <v/>
      </c>
      <c r="BV22" s="1" t="str">
        <f>IF(AT22&gt;AT$95, AT22-AT$95,"")</f>
        <v/>
      </c>
      <c r="BW22" s="1" t="str">
        <f>IF(AU22&gt;AU$95, AU22-AU$95,"")</f>
        <v/>
      </c>
      <c r="BX22" s="1" t="str">
        <f>IF(AV22&gt;AV$95, AV22-AV$95,"")</f>
        <v/>
      </c>
      <c r="BY22" s="1" t="str">
        <f>IF(AW22&gt;AW$95, AW22-AW$95,"")</f>
        <v/>
      </c>
      <c r="BZ22" s="1">
        <f>COUNTIF(BN22:BY22, "&gt;0")</f>
        <v>0</v>
      </c>
      <c r="CA22" s="1" t="str">
        <f>IF($BZ22=1,BN22,"")</f>
        <v/>
      </c>
      <c r="CB22" s="1" t="str">
        <f>IF($BZ22=1,BO22,"")</f>
        <v/>
      </c>
      <c r="CC22" s="1" t="str">
        <f>IF($BZ22=1,BP22,"")</f>
        <v/>
      </c>
      <c r="CD22" s="1" t="str">
        <f>IF($BZ22=1,BQ22,"")</f>
        <v/>
      </c>
      <c r="CE22" s="1" t="str">
        <f>IF($BZ22=1,BR22,"")</f>
        <v/>
      </c>
      <c r="CF22" s="1" t="str">
        <f>IF($BZ22=1,BS22,"")</f>
        <v/>
      </c>
      <c r="CG22" s="1" t="str">
        <f>IF($BZ22=1,BT22,"")</f>
        <v/>
      </c>
      <c r="CH22" s="1" t="str">
        <f>IF($BZ22=1,BU22,"")</f>
        <v/>
      </c>
      <c r="CI22" s="1" t="str">
        <f>IF($BZ22=1,BV22,"")</f>
        <v/>
      </c>
      <c r="CJ22" s="1" t="str">
        <f>IF($BZ22=1,BW22,"")</f>
        <v/>
      </c>
      <c r="CK22" s="1" t="str">
        <f>IF($BZ22=1,BX22,"")</f>
        <v/>
      </c>
      <c r="CL22" s="1" t="str">
        <f>IF($BZ22=1,BY22,"")</f>
        <v/>
      </c>
    </row>
    <row r="23" spans="1:90" x14ac:dyDescent="0.15">
      <c r="A23" s="1">
        <v>50</v>
      </c>
      <c r="B23" s="1" t="s">
        <v>139</v>
      </c>
      <c r="C23" s="1" t="s">
        <v>52</v>
      </c>
      <c r="D23" s="1" t="s">
        <v>1</v>
      </c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>
        <v>5</v>
      </c>
      <c r="S23" s="6"/>
      <c r="T23" s="6"/>
      <c r="U23" s="6"/>
      <c r="V23" s="6"/>
      <c r="W23" s="6"/>
      <c r="X23" s="6"/>
      <c r="Y23" s="6"/>
      <c r="Z23" s="6"/>
      <c r="AA23" s="6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4"/>
      <c r="AM23" s="4"/>
      <c r="AN23" s="4"/>
      <c r="AO23" s="4"/>
      <c r="AP23" s="4"/>
      <c r="AQ23" s="4"/>
      <c r="AR23" s="2"/>
      <c r="AS23" s="2"/>
      <c r="AT23" s="2"/>
      <c r="AU23" s="2"/>
      <c r="AV23" s="2"/>
      <c r="AW23" s="2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>
        <f>SUM(E23:BI23)</f>
        <v>5</v>
      </c>
      <c r="BK23" s="1">
        <v>3</v>
      </c>
      <c r="BL23" s="17">
        <v>1</v>
      </c>
      <c r="BM23" s="17" t="s">
        <v>175</v>
      </c>
      <c r="BN23" s="1" t="str">
        <f>IF(AL23&gt;AL$95, AL23-AL$95,"")</f>
        <v/>
      </c>
      <c r="BO23" s="1" t="str">
        <f>IF(AM23&gt;AM$95, AM23-AM$95,"")</f>
        <v/>
      </c>
      <c r="BP23" s="1" t="str">
        <f>IF(AN23&gt;AN$95, AN23-AN$95,"")</f>
        <v/>
      </c>
      <c r="BQ23" s="1" t="str">
        <f>IF(AO23&gt;AO$95, AO23-AO$95,"")</f>
        <v/>
      </c>
      <c r="BR23" s="1" t="str">
        <f>IF(AP23&gt;AP$95, AP23-AP$95,"")</f>
        <v/>
      </c>
      <c r="BS23" s="1" t="str">
        <f>IF(AQ23&gt;AQ$95, AQ23-AQ$95,"")</f>
        <v/>
      </c>
      <c r="BT23" s="1" t="str">
        <f>IF(AR23&gt;AR$95, AR23-AR$95,"")</f>
        <v/>
      </c>
      <c r="BU23" s="1" t="str">
        <f>IF(AS23&gt;AS$95, AS23-AS$95,"")</f>
        <v/>
      </c>
      <c r="BV23" s="1" t="str">
        <f>IF(AT23&gt;AT$95, AT23-AT$95,"")</f>
        <v/>
      </c>
      <c r="BW23" s="1" t="str">
        <f>IF(AU23&gt;AU$95, AU23-AU$95,"")</f>
        <v/>
      </c>
      <c r="BX23" s="1" t="str">
        <f>IF(AV23&gt;AV$95, AV23-AV$95,"")</f>
        <v/>
      </c>
      <c r="BY23" s="1" t="str">
        <f>IF(AW23&gt;AW$95, AW23-AW$95,"")</f>
        <v/>
      </c>
      <c r="BZ23" s="1">
        <f>COUNTIF(BN23:BY23, "&gt;0")</f>
        <v>0</v>
      </c>
      <c r="CA23" s="1" t="str">
        <f>IF($BZ23=1,BN23,"")</f>
        <v/>
      </c>
      <c r="CB23" s="1" t="str">
        <f>IF($BZ23=1,BO23,"")</f>
        <v/>
      </c>
      <c r="CC23" s="1" t="str">
        <f>IF($BZ23=1,BP23,"")</f>
        <v/>
      </c>
      <c r="CD23" s="1" t="str">
        <f>IF($BZ23=1,BQ23,"")</f>
        <v/>
      </c>
      <c r="CE23" s="1" t="str">
        <f>IF($BZ23=1,BR23,"")</f>
        <v/>
      </c>
      <c r="CF23" s="1" t="str">
        <f>IF($BZ23=1,BS23,"")</f>
        <v/>
      </c>
      <c r="CG23" s="1" t="str">
        <f>IF($BZ23=1,BT23,"")</f>
        <v/>
      </c>
      <c r="CH23" s="1" t="str">
        <f>IF($BZ23=1,BU23,"")</f>
        <v/>
      </c>
      <c r="CI23" s="1" t="str">
        <f>IF($BZ23=1,BV23,"")</f>
        <v/>
      </c>
      <c r="CJ23" s="1" t="str">
        <f>IF($BZ23=1,BW23,"")</f>
        <v/>
      </c>
      <c r="CK23" s="1" t="str">
        <f>IF($BZ23=1,BX23,"")</f>
        <v/>
      </c>
      <c r="CL23" s="1" t="str">
        <f>IF($BZ23=1,BY23,"")</f>
        <v/>
      </c>
    </row>
    <row r="24" spans="1:90" x14ac:dyDescent="0.15">
      <c r="A24" s="1">
        <v>7</v>
      </c>
      <c r="B24" s="1" t="s">
        <v>62</v>
      </c>
      <c r="C24" s="1" t="s">
        <v>2</v>
      </c>
      <c r="D24" s="1" t="s">
        <v>25</v>
      </c>
      <c r="E24" s="6"/>
      <c r="F24" s="6"/>
      <c r="G24" s="6">
        <v>5</v>
      </c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4"/>
      <c r="AM24" s="4"/>
      <c r="AN24" s="4"/>
      <c r="AO24" s="4"/>
      <c r="AP24" s="4"/>
      <c r="AQ24" s="4"/>
      <c r="AR24" s="2"/>
      <c r="AS24" s="2"/>
      <c r="AT24" s="2"/>
      <c r="AU24" s="2"/>
      <c r="AV24" s="2"/>
      <c r="AW24" s="2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>
        <f>SUM(E24:BI24)</f>
        <v>5</v>
      </c>
      <c r="BK24" s="1">
        <v>4</v>
      </c>
      <c r="BL24" s="17">
        <v>1</v>
      </c>
      <c r="BM24" s="17" t="s">
        <v>152</v>
      </c>
      <c r="BN24" s="1" t="str">
        <f>IF(AL24&gt;AL$95, AL24-AL$95,"")</f>
        <v/>
      </c>
      <c r="BO24" s="1" t="str">
        <f>IF(AM24&gt;AM$95, AM24-AM$95,"")</f>
        <v/>
      </c>
      <c r="BP24" s="1" t="str">
        <f>IF(AN24&gt;AN$95, AN24-AN$95,"")</f>
        <v/>
      </c>
      <c r="BQ24" s="1" t="str">
        <f>IF(AO24&gt;AO$95, AO24-AO$95,"")</f>
        <v/>
      </c>
      <c r="BR24" s="1" t="str">
        <f>IF(AP24&gt;AP$95, AP24-AP$95,"")</f>
        <v/>
      </c>
      <c r="BS24" s="1" t="str">
        <f>IF(AQ24&gt;AQ$95, AQ24-AQ$95,"")</f>
        <v/>
      </c>
      <c r="BT24" s="1" t="str">
        <f>IF(AR24&gt;AR$95, AR24-AR$95,"")</f>
        <v/>
      </c>
      <c r="BU24" s="1" t="str">
        <f>IF(AS24&gt;AS$95, AS24-AS$95,"")</f>
        <v/>
      </c>
      <c r="BV24" s="1" t="str">
        <f>IF(AT24&gt;AT$95, AT24-AT$95,"")</f>
        <v/>
      </c>
      <c r="BW24" s="1" t="str">
        <f>IF(AU24&gt;AU$95, AU24-AU$95,"")</f>
        <v/>
      </c>
      <c r="BX24" s="1" t="str">
        <f>IF(AV24&gt;AV$95, AV24-AV$95,"")</f>
        <v/>
      </c>
      <c r="BY24" s="1" t="str">
        <f>IF(AW24&gt;AW$95, AW24-AW$95,"")</f>
        <v/>
      </c>
      <c r="BZ24" s="1">
        <f>COUNTIF(BN24:BY24, "&gt;0")</f>
        <v>0</v>
      </c>
      <c r="CA24" s="1" t="str">
        <f>IF($BZ24=1,BN24,"")</f>
        <v/>
      </c>
      <c r="CB24" s="1" t="str">
        <f>IF($BZ24=1,BO24,"")</f>
        <v/>
      </c>
      <c r="CC24" s="1" t="str">
        <f>IF($BZ24=1,BP24,"")</f>
        <v/>
      </c>
      <c r="CD24" s="1" t="str">
        <f>IF($BZ24=1,BQ24,"")</f>
        <v/>
      </c>
      <c r="CE24" s="1" t="str">
        <f>IF($BZ24=1,BR24,"")</f>
        <v/>
      </c>
      <c r="CF24" s="1" t="str">
        <f>IF($BZ24=1,BS24,"")</f>
        <v/>
      </c>
      <c r="CG24" s="1" t="str">
        <f>IF($BZ24=1,BT24,"")</f>
        <v/>
      </c>
      <c r="CH24" s="1" t="str">
        <f>IF($BZ24=1,BU24,"")</f>
        <v/>
      </c>
      <c r="CI24" s="1" t="str">
        <f>IF($BZ24=1,BV24,"")</f>
        <v/>
      </c>
      <c r="CJ24" s="1" t="str">
        <f>IF($BZ24=1,BW24,"")</f>
        <v/>
      </c>
      <c r="CK24" s="1" t="str">
        <f>IF($BZ24=1,BX24,"")</f>
        <v/>
      </c>
      <c r="CL24" s="1" t="str">
        <f>IF($BZ24=1,BY24,"")</f>
        <v/>
      </c>
    </row>
    <row r="25" spans="1:90" x14ac:dyDescent="0.15">
      <c r="A25" s="1">
        <v>45</v>
      </c>
      <c r="B25" s="1" t="s">
        <v>102</v>
      </c>
      <c r="C25" s="1" t="s">
        <v>52</v>
      </c>
      <c r="D25" s="1" t="s">
        <v>13</v>
      </c>
      <c r="E25" s="6">
        <v>6</v>
      </c>
      <c r="F25" s="6"/>
      <c r="G25" s="6"/>
      <c r="H25" s="6"/>
      <c r="I25" s="6"/>
      <c r="J25" s="6"/>
      <c r="K25" s="6"/>
      <c r="L25" s="6"/>
      <c r="M25" s="6">
        <v>6</v>
      </c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4">
        <v>10</v>
      </c>
      <c r="AM25" s="4"/>
      <c r="AN25" s="4"/>
      <c r="AO25" s="4"/>
      <c r="AP25" s="4"/>
      <c r="AQ25" s="4"/>
      <c r="AR25" s="2"/>
      <c r="AS25" s="2"/>
      <c r="AT25" s="2"/>
      <c r="AU25" s="2">
        <v>10</v>
      </c>
      <c r="AV25" s="2"/>
      <c r="AW25" s="2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>
        <f>SUM(E25:BI25)</f>
        <v>32</v>
      </c>
      <c r="BK25" s="1">
        <v>4</v>
      </c>
      <c r="BL25" s="17">
        <v>1</v>
      </c>
      <c r="BM25" s="17" t="s">
        <v>177</v>
      </c>
      <c r="BN25" s="1" t="str">
        <f>IF(AL25&gt;AL$95, AL25-AL$95,"")</f>
        <v/>
      </c>
      <c r="BO25" s="1" t="str">
        <f>IF(AM25&gt;AM$95, AM25-AM$95,"")</f>
        <v/>
      </c>
      <c r="BP25" s="1" t="str">
        <f>IF(AN25&gt;AN$95, AN25-AN$95,"")</f>
        <v/>
      </c>
      <c r="BQ25" s="1" t="str">
        <f>IF(AO25&gt;AO$95, AO25-AO$95,"")</f>
        <v/>
      </c>
      <c r="BR25" s="1" t="str">
        <f>IF(AP25&gt;AP$95, AP25-AP$95,"")</f>
        <v/>
      </c>
      <c r="BS25" s="1" t="str">
        <f>IF(AQ25&gt;AQ$95, AQ25-AQ$95,"")</f>
        <v/>
      </c>
      <c r="BT25" s="1" t="str">
        <f>IF(AR25&gt;AR$95, AR25-AR$95,"")</f>
        <v/>
      </c>
      <c r="BU25" s="1" t="str">
        <f>IF(AS25&gt;AS$95, AS25-AS$95,"")</f>
        <v/>
      </c>
      <c r="BV25" s="1" t="str">
        <f>IF(AT25&gt;AT$95, AT25-AT$95,"")</f>
        <v/>
      </c>
      <c r="BW25" s="1" t="str">
        <f>IF(AU25&gt;AU$95, AU25-AU$95,"")</f>
        <v/>
      </c>
      <c r="BX25" s="1" t="str">
        <f>IF(AV25&gt;AV$95, AV25-AV$95,"")</f>
        <v/>
      </c>
      <c r="BY25" s="1" t="str">
        <f>IF(AW25&gt;AW$95, AW25-AW$95,"")</f>
        <v/>
      </c>
      <c r="BZ25" s="1">
        <f>COUNTIF(BN25:BY25, "&gt;0")</f>
        <v>0</v>
      </c>
      <c r="CA25" s="1" t="str">
        <f>IF($BZ25=1,BN25,"")</f>
        <v/>
      </c>
      <c r="CB25" s="1" t="str">
        <f>IF($BZ25=1,BO25,"")</f>
        <v/>
      </c>
      <c r="CC25" s="1" t="str">
        <f>IF($BZ25=1,BP25,"")</f>
        <v/>
      </c>
      <c r="CD25" s="1" t="str">
        <f>IF($BZ25=1,BQ25,"")</f>
        <v/>
      </c>
      <c r="CE25" s="1" t="str">
        <f>IF($BZ25=1,BR25,"")</f>
        <v/>
      </c>
      <c r="CF25" s="1" t="str">
        <f>IF($BZ25=1,BS25,"")</f>
        <v/>
      </c>
      <c r="CG25" s="1" t="str">
        <f>IF($BZ25=1,BT25,"")</f>
        <v/>
      </c>
      <c r="CH25" s="1" t="str">
        <f>IF($BZ25=1,BU25,"")</f>
        <v/>
      </c>
      <c r="CI25" s="1" t="str">
        <f>IF($BZ25=1,BV25,"")</f>
        <v/>
      </c>
      <c r="CJ25" s="1" t="str">
        <f>IF($BZ25=1,BW25,"")</f>
        <v/>
      </c>
      <c r="CK25" s="1" t="str">
        <f>IF($BZ25=1,BX25,"")</f>
        <v/>
      </c>
      <c r="CL25" s="1" t="str">
        <f>IF($BZ25=1,BY25,"")</f>
        <v/>
      </c>
    </row>
    <row r="26" spans="1:90" x14ac:dyDescent="0.15">
      <c r="A26" s="1">
        <v>74</v>
      </c>
      <c r="B26" s="3" t="s">
        <v>138</v>
      </c>
      <c r="C26" s="1" t="s">
        <v>68</v>
      </c>
      <c r="D26" s="1" t="s">
        <v>1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>
        <v>5</v>
      </c>
      <c r="R26" s="6"/>
      <c r="S26" s="6"/>
      <c r="T26" s="6"/>
      <c r="U26" s="6"/>
      <c r="V26" s="6"/>
      <c r="W26" s="6"/>
      <c r="X26" s="6">
        <v>5</v>
      </c>
      <c r="Y26" s="6"/>
      <c r="Z26" s="6"/>
      <c r="AA26" s="6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4"/>
      <c r="AM26" s="4"/>
      <c r="AN26" s="4"/>
      <c r="AO26" s="4"/>
      <c r="AP26" s="4"/>
      <c r="AQ26" s="4"/>
      <c r="AR26" s="2"/>
      <c r="AS26" s="2"/>
      <c r="AT26" s="2"/>
      <c r="AU26" s="2"/>
      <c r="AV26" s="2"/>
      <c r="AW26" s="2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>
        <f>SUM(E26:BI26)</f>
        <v>10</v>
      </c>
      <c r="BK26" s="1">
        <v>5</v>
      </c>
      <c r="BL26" s="17">
        <v>1</v>
      </c>
      <c r="BM26" s="17" t="s">
        <v>170</v>
      </c>
      <c r="BN26" s="1" t="str">
        <f>IF(AL26&gt;AL$95, AL26-AL$95,"")</f>
        <v/>
      </c>
      <c r="BO26" s="1" t="str">
        <f>IF(AM26&gt;AM$95, AM26-AM$95,"")</f>
        <v/>
      </c>
      <c r="BP26" s="1" t="str">
        <f>IF(AN26&gt;AN$95, AN26-AN$95,"")</f>
        <v/>
      </c>
      <c r="BQ26" s="1" t="str">
        <f>IF(AO26&gt;AO$95, AO26-AO$95,"")</f>
        <v/>
      </c>
      <c r="BR26" s="1" t="str">
        <f>IF(AP26&gt;AP$95, AP26-AP$95,"")</f>
        <v/>
      </c>
      <c r="BS26" s="1" t="str">
        <f>IF(AQ26&gt;AQ$95, AQ26-AQ$95,"")</f>
        <v/>
      </c>
      <c r="BT26" s="1" t="str">
        <f>IF(AR26&gt;AR$95, AR26-AR$95,"")</f>
        <v/>
      </c>
      <c r="BU26" s="1" t="str">
        <f>IF(AS26&gt;AS$95, AS26-AS$95,"")</f>
        <v/>
      </c>
      <c r="BV26" s="1" t="str">
        <f>IF(AT26&gt;AT$95, AT26-AT$95,"")</f>
        <v/>
      </c>
      <c r="BW26" s="1" t="str">
        <f>IF(AU26&gt;AU$95, AU26-AU$95,"")</f>
        <v/>
      </c>
      <c r="BX26" s="1" t="str">
        <f>IF(AV26&gt;AV$95, AV26-AV$95,"")</f>
        <v/>
      </c>
      <c r="BY26" s="1" t="str">
        <f>IF(AW26&gt;AW$95, AW26-AW$95,"")</f>
        <v/>
      </c>
      <c r="BZ26" s="1">
        <f>COUNTIF(BN26:BY26, "&gt;0")</f>
        <v>0</v>
      </c>
      <c r="CA26" s="1" t="str">
        <f>IF($BZ26=1,BN26,"")</f>
        <v/>
      </c>
      <c r="CB26" s="1" t="str">
        <f>IF($BZ26=1,BO26,"")</f>
        <v/>
      </c>
      <c r="CC26" s="1" t="str">
        <f>IF($BZ26=1,BP26,"")</f>
        <v/>
      </c>
      <c r="CD26" s="1" t="str">
        <f>IF($BZ26=1,BQ26,"")</f>
        <v/>
      </c>
      <c r="CE26" s="1" t="str">
        <f>IF($BZ26=1,BR26,"")</f>
        <v/>
      </c>
      <c r="CF26" s="1" t="str">
        <f>IF($BZ26=1,BS26,"")</f>
        <v/>
      </c>
      <c r="CG26" s="1" t="str">
        <f>IF($BZ26=1,BT26,"")</f>
        <v/>
      </c>
      <c r="CH26" s="1" t="str">
        <f>IF($BZ26=1,BU26,"")</f>
        <v/>
      </c>
      <c r="CI26" s="1" t="str">
        <f>IF($BZ26=1,BV26,"")</f>
        <v/>
      </c>
      <c r="CJ26" s="1" t="str">
        <f>IF($BZ26=1,BW26,"")</f>
        <v/>
      </c>
      <c r="CK26" s="1" t="str">
        <f>IF($BZ26=1,BX26,"")</f>
        <v/>
      </c>
      <c r="CL26" s="1" t="str">
        <f>IF($BZ26=1,BY26,"")</f>
        <v/>
      </c>
    </row>
    <row r="27" spans="1:90" x14ac:dyDescent="0.15">
      <c r="A27" s="1">
        <v>17</v>
      </c>
      <c r="B27" s="1" t="s">
        <v>37</v>
      </c>
      <c r="C27" s="1" t="s">
        <v>33</v>
      </c>
      <c r="D27" s="1" t="s">
        <v>24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1"/>
      <c r="AC27" s="1">
        <v>5</v>
      </c>
      <c r="AD27" s="1"/>
      <c r="AE27" s="1"/>
      <c r="AF27" s="1"/>
      <c r="AG27" s="1"/>
      <c r="AH27" s="1"/>
      <c r="AI27" s="1"/>
      <c r="AJ27" s="1"/>
      <c r="AK27" s="1"/>
      <c r="AL27" s="4"/>
      <c r="AM27" s="4"/>
      <c r="AN27" s="4"/>
      <c r="AO27" s="4"/>
      <c r="AP27" s="4"/>
      <c r="AQ27" s="4"/>
      <c r="AR27" s="2"/>
      <c r="AS27" s="2"/>
      <c r="AT27" s="2"/>
      <c r="AU27" s="2"/>
      <c r="AV27" s="2"/>
      <c r="AW27" s="2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>
        <f>SUM(E27:BI27)</f>
        <v>5</v>
      </c>
      <c r="BK27" s="1">
        <v>5</v>
      </c>
      <c r="BL27" s="17">
        <v>1</v>
      </c>
      <c r="BM27" s="17" t="s">
        <v>178</v>
      </c>
      <c r="BN27" s="1" t="str">
        <f>IF(AL27&gt;AL$95, AL27-AL$95,"")</f>
        <v/>
      </c>
      <c r="BO27" s="1" t="str">
        <f>IF(AM27&gt;AM$95, AM27-AM$95,"")</f>
        <v/>
      </c>
      <c r="BP27" s="1" t="str">
        <f>IF(AN27&gt;AN$95, AN27-AN$95,"")</f>
        <v/>
      </c>
      <c r="BQ27" s="1" t="str">
        <f>IF(AO27&gt;AO$95, AO27-AO$95,"")</f>
        <v/>
      </c>
      <c r="BR27" s="1" t="str">
        <f>IF(AP27&gt;AP$95, AP27-AP$95,"")</f>
        <v/>
      </c>
      <c r="BS27" s="1" t="str">
        <f>IF(AQ27&gt;AQ$95, AQ27-AQ$95,"")</f>
        <v/>
      </c>
      <c r="BT27" s="1" t="str">
        <f>IF(AR27&gt;AR$95, AR27-AR$95,"")</f>
        <v/>
      </c>
      <c r="BU27" s="1" t="str">
        <f>IF(AS27&gt;AS$95, AS27-AS$95,"")</f>
        <v/>
      </c>
      <c r="BV27" s="1" t="str">
        <f>IF(AT27&gt;AT$95, AT27-AT$95,"")</f>
        <v/>
      </c>
      <c r="BW27" s="1" t="str">
        <f>IF(AU27&gt;AU$95, AU27-AU$95,"")</f>
        <v/>
      </c>
      <c r="BX27" s="1" t="str">
        <f>IF(AV27&gt;AV$95, AV27-AV$95,"")</f>
        <v/>
      </c>
      <c r="BY27" s="1" t="str">
        <f>IF(AW27&gt;AW$95, AW27-AW$95,"")</f>
        <v/>
      </c>
      <c r="BZ27" s="1">
        <f>COUNTIF(BN27:BY27, "&gt;0")</f>
        <v>0</v>
      </c>
      <c r="CA27" s="1" t="str">
        <f>IF($BZ27=1,BN27,"")</f>
        <v/>
      </c>
      <c r="CB27" s="1" t="str">
        <f>IF($BZ27=1,BO27,"")</f>
        <v/>
      </c>
      <c r="CC27" s="1" t="str">
        <f>IF($BZ27=1,BP27,"")</f>
        <v/>
      </c>
      <c r="CD27" s="1" t="str">
        <f>IF($BZ27=1,BQ27,"")</f>
        <v/>
      </c>
      <c r="CE27" s="1" t="str">
        <f>IF($BZ27=1,BR27,"")</f>
        <v/>
      </c>
      <c r="CF27" s="1" t="str">
        <f>IF($BZ27=1,BS27,"")</f>
        <v/>
      </c>
      <c r="CG27" s="1" t="str">
        <f>IF($BZ27=1,BT27,"")</f>
        <v/>
      </c>
      <c r="CH27" s="1" t="str">
        <f>IF($BZ27=1,BU27,"")</f>
        <v/>
      </c>
      <c r="CI27" s="1" t="str">
        <f>IF($BZ27=1,BV27,"")</f>
        <v/>
      </c>
      <c r="CJ27" s="1" t="str">
        <f>IF($BZ27=1,BW27,"")</f>
        <v/>
      </c>
      <c r="CK27" s="1" t="str">
        <f>IF($BZ27=1,BX27,"")</f>
        <v/>
      </c>
      <c r="CL27" s="1" t="str">
        <f>IF($BZ27=1,BY27,"")</f>
        <v/>
      </c>
    </row>
    <row r="28" spans="1:90" x14ac:dyDescent="0.15">
      <c r="A28" s="1">
        <v>18</v>
      </c>
      <c r="B28" s="1" t="s">
        <v>37</v>
      </c>
      <c r="C28" s="1" t="s">
        <v>33</v>
      </c>
      <c r="D28" s="1" t="s">
        <v>25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1"/>
      <c r="AC28" s="1"/>
      <c r="AD28" s="1">
        <v>5</v>
      </c>
      <c r="AE28" s="1"/>
      <c r="AF28" s="1"/>
      <c r="AG28" s="1"/>
      <c r="AH28" s="1"/>
      <c r="AI28" s="1"/>
      <c r="AJ28" s="1"/>
      <c r="AK28" s="1"/>
      <c r="AL28" s="4"/>
      <c r="AM28" s="4"/>
      <c r="AN28" s="4"/>
      <c r="AO28" s="4"/>
      <c r="AP28" s="4"/>
      <c r="AQ28" s="4"/>
      <c r="AR28" s="2"/>
      <c r="AS28" s="2"/>
      <c r="AT28" s="2"/>
      <c r="AU28" s="2"/>
      <c r="AV28" s="2"/>
      <c r="AW28" s="2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>
        <f>SUM(E28:BI28)</f>
        <v>5</v>
      </c>
      <c r="BK28" s="1">
        <v>5</v>
      </c>
      <c r="BL28" s="17">
        <v>1</v>
      </c>
      <c r="BM28" s="17" t="s">
        <v>154</v>
      </c>
      <c r="BN28" s="1" t="str">
        <f>IF(AL28&gt;AL$95, AL28-AL$95,"")</f>
        <v/>
      </c>
      <c r="BO28" s="1" t="str">
        <f>IF(AM28&gt;AM$95, AM28-AM$95,"")</f>
        <v/>
      </c>
      <c r="BP28" s="1" t="str">
        <f>IF(AN28&gt;AN$95, AN28-AN$95,"")</f>
        <v/>
      </c>
      <c r="BQ28" s="1" t="str">
        <f>IF(AO28&gt;AO$95, AO28-AO$95,"")</f>
        <v/>
      </c>
      <c r="BR28" s="1" t="str">
        <f>IF(AP28&gt;AP$95, AP28-AP$95,"")</f>
        <v/>
      </c>
      <c r="BS28" s="1" t="str">
        <f>IF(AQ28&gt;AQ$95, AQ28-AQ$95,"")</f>
        <v/>
      </c>
      <c r="BT28" s="1" t="str">
        <f>IF(AR28&gt;AR$95, AR28-AR$95,"")</f>
        <v/>
      </c>
      <c r="BU28" s="1" t="str">
        <f>IF(AS28&gt;AS$95, AS28-AS$95,"")</f>
        <v/>
      </c>
      <c r="BV28" s="1" t="str">
        <f>IF(AT28&gt;AT$95, AT28-AT$95,"")</f>
        <v/>
      </c>
      <c r="BW28" s="1" t="str">
        <f>IF(AU28&gt;AU$95, AU28-AU$95,"")</f>
        <v/>
      </c>
      <c r="BX28" s="1" t="str">
        <f>IF(AV28&gt;AV$95, AV28-AV$95,"")</f>
        <v/>
      </c>
      <c r="BY28" s="1" t="str">
        <f>IF(AW28&gt;AW$95, AW28-AW$95,"")</f>
        <v/>
      </c>
      <c r="BZ28" s="1">
        <f>COUNTIF(BN28:BY28, "&gt;0")</f>
        <v>0</v>
      </c>
      <c r="CA28" s="1" t="str">
        <f>IF($BZ28=1,BN28,"")</f>
        <v/>
      </c>
      <c r="CB28" s="1" t="str">
        <f>IF($BZ28=1,BO28,"")</f>
        <v/>
      </c>
      <c r="CC28" s="1" t="str">
        <f>IF($BZ28=1,BP28,"")</f>
        <v/>
      </c>
      <c r="CD28" s="1" t="str">
        <f>IF($BZ28=1,BQ28,"")</f>
        <v/>
      </c>
      <c r="CE28" s="1" t="str">
        <f>IF($BZ28=1,BR28,"")</f>
        <v/>
      </c>
      <c r="CF28" s="1" t="str">
        <f>IF($BZ28=1,BS28,"")</f>
        <v/>
      </c>
      <c r="CG28" s="1" t="str">
        <f>IF($BZ28=1,BT28,"")</f>
        <v/>
      </c>
      <c r="CH28" s="1" t="str">
        <f>IF($BZ28=1,BU28,"")</f>
        <v/>
      </c>
      <c r="CI28" s="1" t="str">
        <f>IF($BZ28=1,BV28,"")</f>
        <v/>
      </c>
      <c r="CJ28" s="1" t="str">
        <f>IF($BZ28=1,BW28,"")</f>
        <v/>
      </c>
      <c r="CK28" s="1" t="str">
        <f>IF($BZ28=1,BX28,"")</f>
        <v/>
      </c>
      <c r="CL28" s="1" t="str">
        <f>IF($BZ28=1,BY28,"")</f>
        <v/>
      </c>
    </row>
    <row r="29" spans="1:90" x14ac:dyDescent="0.15">
      <c r="A29" s="1">
        <v>19</v>
      </c>
      <c r="B29" s="1" t="s">
        <v>40</v>
      </c>
      <c r="C29" s="1" t="s">
        <v>33</v>
      </c>
      <c r="D29" s="1" t="s">
        <v>24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1"/>
      <c r="AC29" s="1"/>
      <c r="AD29" s="1">
        <v>5</v>
      </c>
      <c r="AE29" s="1"/>
      <c r="AF29" s="1"/>
      <c r="AG29" s="1"/>
      <c r="AH29" s="1"/>
      <c r="AI29" s="1"/>
      <c r="AJ29" s="1"/>
      <c r="AK29" s="1"/>
      <c r="AL29" s="4"/>
      <c r="AM29" s="4"/>
      <c r="AN29" s="4"/>
      <c r="AO29" s="4"/>
      <c r="AP29" s="4"/>
      <c r="AQ29" s="4"/>
      <c r="AR29" s="2"/>
      <c r="AS29" s="2"/>
      <c r="AT29" s="2"/>
      <c r="AU29" s="2"/>
      <c r="AV29" s="2"/>
      <c r="AW29" s="2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>
        <f>SUM(E29:BI29)</f>
        <v>5</v>
      </c>
      <c r="BK29" s="1">
        <v>5</v>
      </c>
      <c r="BL29" s="17">
        <v>1</v>
      </c>
      <c r="BM29" s="17" t="s">
        <v>179</v>
      </c>
      <c r="BN29" s="1" t="str">
        <f>IF(AL29&gt;AL$95, AL29-AL$95,"")</f>
        <v/>
      </c>
      <c r="BO29" s="1" t="str">
        <f>IF(AM29&gt;AM$95, AM29-AM$95,"")</f>
        <v/>
      </c>
      <c r="BP29" s="1" t="str">
        <f>IF(AN29&gt;AN$95, AN29-AN$95,"")</f>
        <v/>
      </c>
      <c r="BQ29" s="1" t="str">
        <f>IF(AO29&gt;AO$95, AO29-AO$95,"")</f>
        <v/>
      </c>
      <c r="BR29" s="1" t="str">
        <f>IF(AP29&gt;AP$95, AP29-AP$95,"")</f>
        <v/>
      </c>
      <c r="BS29" s="1" t="str">
        <f>IF(AQ29&gt;AQ$95, AQ29-AQ$95,"")</f>
        <v/>
      </c>
      <c r="BT29" s="1" t="str">
        <f>IF(AR29&gt;AR$95, AR29-AR$95,"")</f>
        <v/>
      </c>
      <c r="BU29" s="1" t="str">
        <f>IF(AS29&gt;AS$95, AS29-AS$95,"")</f>
        <v/>
      </c>
      <c r="BV29" s="1" t="str">
        <f>IF(AT29&gt;AT$95, AT29-AT$95,"")</f>
        <v/>
      </c>
      <c r="BW29" s="1" t="str">
        <f>IF(AU29&gt;AU$95, AU29-AU$95,"")</f>
        <v/>
      </c>
      <c r="BX29" s="1" t="str">
        <f>IF(AV29&gt;AV$95, AV29-AV$95,"")</f>
        <v/>
      </c>
      <c r="BY29" s="1" t="str">
        <f>IF(AW29&gt;AW$95, AW29-AW$95,"")</f>
        <v/>
      </c>
      <c r="BZ29" s="1">
        <f>COUNTIF(BN29:BY29, "&gt;0")</f>
        <v>0</v>
      </c>
      <c r="CA29" s="1" t="str">
        <f>IF($BZ29=1,BN29,"")</f>
        <v/>
      </c>
      <c r="CB29" s="1" t="str">
        <f>IF($BZ29=1,BO29,"")</f>
        <v/>
      </c>
      <c r="CC29" s="1" t="str">
        <f>IF($BZ29=1,BP29,"")</f>
        <v/>
      </c>
      <c r="CD29" s="1" t="str">
        <f>IF($BZ29=1,BQ29,"")</f>
        <v/>
      </c>
      <c r="CE29" s="1" t="str">
        <f>IF($BZ29=1,BR29,"")</f>
        <v/>
      </c>
      <c r="CF29" s="1" t="str">
        <f>IF($BZ29=1,BS29,"")</f>
        <v/>
      </c>
      <c r="CG29" s="1" t="str">
        <f>IF($BZ29=1,BT29,"")</f>
        <v/>
      </c>
      <c r="CH29" s="1" t="str">
        <f>IF($BZ29=1,BU29,"")</f>
        <v/>
      </c>
      <c r="CI29" s="1" t="str">
        <f>IF($BZ29=1,BV29,"")</f>
        <v/>
      </c>
      <c r="CJ29" s="1" t="str">
        <f>IF($BZ29=1,BW29,"")</f>
        <v/>
      </c>
      <c r="CK29" s="1" t="str">
        <f>IF($BZ29=1,BX29,"")</f>
        <v/>
      </c>
      <c r="CL29" s="1" t="str">
        <f>IF($BZ29=1,BY29,"")</f>
        <v/>
      </c>
    </row>
    <row r="30" spans="1:90" x14ac:dyDescent="0.15">
      <c r="A30" s="1">
        <v>29</v>
      </c>
      <c r="B30" s="1" t="s">
        <v>111</v>
      </c>
      <c r="C30" s="1" t="s">
        <v>33</v>
      </c>
      <c r="D30" s="1" t="s">
        <v>24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1"/>
      <c r="AC30" s="1"/>
      <c r="AD30" s="1"/>
      <c r="AE30" s="1"/>
      <c r="AF30" s="1"/>
      <c r="AG30" s="1"/>
      <c r="AH30" s="1">
        <v>5</v>
      </c>
      <c r="AI30" s="1"/>
      <c r="AJ30" s="1"/>
      <c r="AK30" s="1"/>
      <c r="AL30" s="4"/>
      <c r="AM30" s="4"/>
      <c r="AN30" s="4"/>
      <c r="AO30" s="4"/>
      <c r="AP30" s="4"/>
      <c r="AQ30" s="4"/>
      <c r="AR30" s="2"/>
      <c r="AS30" s="2"/>
      <c r="AT30" s="2"/>
      <c r="AU30" s="2"/>
      <c r="AV30" s="2"/>
      <c r="AW30" s="2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>
        <f>SUM(E30:BI30)</f>
        <v>5</v>
      </c>
      <c r="BK30" s="1">
        <v>5</v>
      </c>
      <c r="BL30" s="17">
        <v>1</v>
      </c>
      <c r="BM30" s="17" t="s">
        <v>155</v>
      </c>
      <c r="BN30" s="1" t="str">
        <f>IF(AL30&gt;AL$95, AL30-AL$95,"")</f>
        <v/>
      </c>
      <c r="BO30" s="1" t="str">
        <f>IF(AM30&gt;AM$95, AM30-AM$95,"")</f>
        <v/>
      </c>
      <c r="BP30" s="1" t="str">
        <f>IF(AN30&gt;AN$95, AN30-AN$95,"")</f>
        <v/>
      </c>
      <c r="BQ30" s="1" t="str">
        <f>IF(AO30&gt;AO$95, AO30-AO$95,"")</f>
        <v/>
      </c>
      <c r="BR30" s="1" t="str">
        <f>IF(AP30&gt;AP$95, AP30-AP$95,"")</f>
        <v/>
      </c>
      <c r="BS30" s="1" t="str">
        <f>IF(AQ30&gt;AQ$95, AQ30-AQ$95,"")</f>
        <v/>
      </c>
      <c r="BT30" s="1" t="str">
        <f>IF(AR30&gt;AR$95, AR30-AR$95,"")</f>
        <v/>
      </c>
      <c r="BU30" s="1" t="str">
        <f>IF(AS30&gt;AS$95, AS30-AS$95,"")</f>
        <v/>
      </c>
      <c r="BV30" s="1" t="str">
        <f>IF(AT30&gt;AT$95, AT30-AT$95,"")</f>
        <v/>
      </c>
      <c r="BW30" s="1" t="str">
        <f>IF(AU30&gt;AU$95, AU30-AU$95,"")</f>
        <v/>
      </c>
      <c r="BX30" s="1" t="str">
        <f>IF(AV30&gt;AV$95, AV30-AV$95,"")</f>
        <v/>
      </c>
      <c r="BY30" s="1" t="str">
        <f>IF(AW30&gt;AW$95, AW30-AW$95,"")</f>
        <v/>
      </c>
      <c r="BZ30" s="1">
        <f>COUNTIF(BN30:BY30, "&gt;0")</f>
        <v>0</v>
      </c>
      <c r="CA30" s="1" t="str">
        <f>IF($BZ30=1,BN30,"")</f>
        <v/>
      </c>
      <c r="CB30" s="1" t="str">
        <f>IF($BZ30=1,BO30,"")</f>
        <v/>
      </c>
      <c r="CC30" s="1" t="str">
        <f>IF($BZ30=1,BP30,"")</f>
        <v/>
      </c>
      <c r="CD30" s="1" t="str">
        <f>IF($BZ30=1,BQ30,"")</f>
        <v/>
      </c>
      <c r="CE30" s="1" t="str">
        <f>IF($BZ30=1,BR30,"")</f>
        <v/>
      </c>
      <c r="CF30" s="1" t="str">
        <f>IF($BZ30=1,BS30,"")</f>
        <v/>
      </c>
      <c r="CG30" s="1" t="str">
        <f>IF($BZ30=1,BT30,"")</f>
        <v/>
      </c>
      <c r="CH30" s="1" t="str">
        <f>IF($BZ30=1,BU30,"")</f>
        <v/>
      </c>
      <c r="CI30" s="1" t="str">
        <f>IF($BZ30=1,BV30,"")</f>
        <v/>
      </c>
      <c r="CJ30" s="1" t="str">
        <f>IF($BZ30=1,BW30,"")</f>
        <v/>
      </c>
      <c r="CK30" s="1" t="str">
        <f>IF($BZ30=1,BX30,"")</f>
        <v/>
      </c>
      <c r="CL30" s="1" t="str">
        <f>IF($BZ30=1,BY30,"")</f>
        <v/>
      </c>
    </row>
    <row r="31" spans="1:90" x14ac:dyDescent="0.15">
      <c r="A31" s="1">
        <v>30</v>
      </c>
      <c r="B31" s="1" t="s">
        <v>111</v>
      </c>
      <c r="C31" s="1" t="s">
        <v>33</v>
      </c>
      <c r="D31" s="1" t="s">
        <v>1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1"/>
      <c r="AC31" s="1"/>
      <c r="AD31" s="1"/>
      <c r="AE31" s="1"/>
      <c r="AF31" s="1"/>
      <c r="AG31" s="1"/>
      <c r="AH31" s="1">
        <v>5</v>
      </c>
      <c r="AI31" s="1"/>
      <c r="AJ31" s="1"/>
      <c r="AK31" s="1"/>
      <c r="AL31" s="4"/>
      <c r="AM31" s="4"/>
      <c r="AN31" s="4"/>
      <c r="AO31" s="4"/>
      <c r="AP31" s="4"/>
      <c r="AQ31" s="4"/>
      <c r="AR31" s="2"/>
      <c r="AS31" s="2"/>
      <c r="AT31" s="2"/>
      <c r="AU31" s="2"/>
      <c r="AV31" s="2"/>
      <c r="AW31" s="2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>
        <f>SUM(E31:BI31)</f>
        <v>5</v>
      </c>
      <c r="BK31" s="1">
        <v>5</v>
      </c>
      <c r="BL31" s="17">
        <v>1</v>
      </c>
      <c r="BM31" s="17" t="s">
        <v>180</v>
      </c>
      <c r="BN31" s="1" t="str">
        <f>IF(AL31&gt;AL$95, AL31-AL$95,"")</f>
        <v/>
      </c>
      <c r="BO31" s="1" t="str">
        <f>IF(AM31&gt;AM$95, AM31-AM$95,"")</f>
        <v/>
      </c>
      <c r="BP31" s="1" t="str">
        <f>IF(AN31&gt;AN$95, AN31-AN$95,"")</f>
        <v/>
      </c>
      <c r="BQ31" s="1" t="str">
        <f>IF(AO31&gt;AO$95, AO31-AO$95,"")</f>
        <v/>
      </c>
      <c r="BR31" s="1" t="str">
        <f>IF(AP31&gt;AP$95, AP31-AP$95,"")</f>
        <v/>
      </c>
      <c r="BS31" s="1" t="str">
        <f>IF(AQ31&gt;AQ$95, AQ31-AQ$95,"")</f>
        <v/>
      </c>
      <c r="BT31" s="1" t="str">
        <f>IF(AR31&gt;AR$95, AR31-AR$95,"")</f>
        <v/>
      </c>
      <c r="BU31" s="1" t="str">
        <f>IF(AS31&gt;AS$95, AS31-AS$95,"")</f>
        <v/>
      </c>
      <c r="BV31" s="1" t="str">
        <f>IF(AT31&gt;AT$95, AT31-AT$95,"")</f>
        <v/>
      </c>
      <c r="BW31" s="1" t="str">
        <f>IF(AU31&gt;AU$95, AU31-AU$95,"")</f>
        <v/>
      </c>
      <c r="BX31" s="1" t="str">
        <f>IF(AV31&gt;AV$95, AV31-AV$95,"")</f>
        <v/>
      </c>
      <c r="BY31" s="1" t="str">
        <f>IF(AW31&gt;AW$95, AW31-AW$95,"")</f>
        <v/>
      </c>
      <c r="BZ31" s="1">
        <f>COUNTIF(BN31:BY31, "&gt;0")</f>
        <v>0</v>
      </c>
      <c r="CA31" s="1" t="str">
        <f>IF($BZ31=1,BN31,"")</f>
        <v/>
      </c>
      <c r="CB31" s="1" t="str">
        <f>IF($BZ31=1,BO31,"")</f>
        <v/>
      </c>
      <c r="CC31" s="1" t="str">
        <f>IF($BZ31=1,BP31,"")</f>
        <v/>
      </c>
      <c r="CD31" s="1" t="str">
        <f>IF($BZ31=1,BQ31,"")</f>
        <v/>
      </c>
      <c r="CE31" s="1" t="str">
        <f>IF($BZ31=1,BR31,"")</f>
        <v/>
      </c>
      <c r="CF31" s="1" t="str">
        <f>IF($BZ31=1,BS31,"")</f>
        <v/>
      </c>
      <c r="CG31" s="1" t="str">
        <f>IF($BZ31=1,BT31,"")</f>
        <v/>
      </c>
      <c r="CH31" s="1" t="str">
        <f>IF($BZ31=1,BU31,"")</f>
        <v/>
      </c>
      <c r="CI31" s="1" t="str">
        <f>IF($BZ31=1,BV31,"")</f>
        <v/>
      </c>
      <c r="CJ31" s="1" t="str">
        <f>IF($BZ31=1,BW31,"")</f>
        <v/>
      </c>
      <c r="CK31" s="1" t="str">
        <f>IF($BZ31=1,BX31,"")</f>
        <v/>
      </c>
      <c r="CL31" s="1" t="str">
        <f>IF($BZ31=1,BY31,"")</f>
        <v/>
      </c>
    </row>
    <row r="32" spans="1:90" x14ac:dyDescent="0.15">
      <c r="A32" s="1">
        <v>32</v>
      </c>
      <c r="B32" s="1" t="s">
        <v>112</v>
      </c>
      <c r="C32" s="1" t="s">
        <v>33</v>
      </c>
      <c r="D32" s="1" t="s">
        <v>24</v>
      </c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1"/>
      <c r="AC32" s="1"/>
      <c r="AD32" s="1"/>
      <c r="AE32" s="1"/>
      <c r="AF32" s="1">
        <v>5</v>
      </c>
      <c r="AG32" s="1"/>
      <c r="AH32" s="1"/>
      <c r="AI32" s="1"/>
      <c r="AJ32" s="1"/>
      <c r="AK32" s="1"/>
      <c r="AL32" s="4"/>
      <c r="AM32" s="4"/>
      <c r="AN32" s="4"/>
      <c r="AO32" s="4"/>
      <c r="AP32" s="4"/>
      <c r="AQ32" s="4"/>
      <c r="AR32" s="2"/>
      <c r="AS32" s="2"/>
      <c r="AT32" s="2"/>
      <c r="AU32" s="2"/>
      <c r="AV32" s="2"/>
      <c r="AW32" s="2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>
        <f>SUM(E32:BI32)</f>
        <v>5</v>
      </c>
      <c r="BK32" s="1">
        <v>5</v>
      </c>
      <c r="BL32" s="17">
        <v>1</v>
      </c>
      <c r="BM32" s="17" t="s">
        <v>181</v>
      </c>
      <c r="BN32" s="1" t="str">
        <f>IF(AL32&gt;AL$95, AL32-AL$95,"")</f>
        <v/>
      </c>
      <c r="BO32" s="1" t="str">
        <f>IF(AM32&gt;AM$95, AM32-AM$95,"")</f>
        <v/>
      </c>
      <c r="BP32" s="1" t="str">
        <f>IF(AN32&gt;AN$95, AN32-AN$95,"")</f>
        <v/>
      </c>
      <c r="BQ32" s="1" t="str">
        <f>IF(AO32&gt;AO$95, AO32-AO$95,"")</f>
        <v/>
      </c>
      <c r="BR32" s="1" t="str">
        <f>IF(AP32&gt;AP$95, AP32-AP$95,"")</f>
        <v/>
      </c>
      <c r="BS32" s="1" t="str">
        <f>IF(AQ32&gt;AQ$95, AQ32-AQ$95,"")</f>
        <v/>
      </c>
      <c r="BT32" s="1" t="str">
        <f>IF(AR32&gt;AR$95, AR32-AR$95,"")</f>
        <v/>
      </c>
      <c r="BU32" s="1" t="str">
        <f>IF(AS32&gt;AS$95, AS32-AS$95,"")</f>
        <v/>
      </c>
      <c r="BV32" s="1" t="str">
        <f>IF(AT32&gt;AT$95, AT32-AT$95,"")</f>
        <v/>
      </c>
      <c r="BW32" s="1" t="str">
        <f>IF(AU32&gt;AU$95, AU32-AU$95,"")</f>
        <v/>
      </c>
      <c r="BX32" s="1" t="str">
        <f>IF(AV32&gt;AV$95, AV32-AV$95,"")</f>
        <v/>
      </c>
      <c r="BY32" s="1" t="str">
        <f>IF(AW32&gt;AW$95, AW32-AW$95,"")</f>
        <v/>
      </c>
      <c r="BZ32" s="1">
        <f>COUNTIF(BN32:BY32, "&gt;0")</f>
        <v>0</v>
      </c>
      <c r="CA32" s="1" t="str">
        <f>IF($BZ32=1,BN32,"")</f>
        <v/>
      </c>
      <c r="CB32" s="1" t="str">
        <f>IF($BZ32=1,BO32,"")</f>
        <v/>
      </c>
      <c r="CC32" s="1" t="str">
        <f>IF($BZ32=1,BP32,"")</f>
        <v/>
      </c>
      <c r="CD32" s="1" t="str">
        <f>IF($BZ32=1,BQ32,"")</f>
        <v/>
      </c>
      <c r="CE32" s="1" t="str">
        <f>IF($BZ32=1,BR32,"")</f>
        <v/>
      </c>
      <c r="CF32" s="1" t="str">
        <f>IF($BZ32=1,BS32,"")</f>
        <v/>
      </c>
      <c r="CG32" s="1" t="str">
        <f>IF($BZ32=1,BT32,"")</f>
        <v/>
      </c>
      <c r="CH32" s="1" t="str">
        <f>IF($BZ32=1,BU32,"")</f>
        <v/>
      </c>
      <c r="CI32" s="1" t="str">
        <f>IF($BZ32=1,BV32,"")</f>
        <v/>
      </c>
      <c r="CJ32" s="1" t="str">
        <f>IF($BZ32=1,BW32,"")</f>
        <v/>
      </c>
      <c r="CK32" s="1" t="str">
        <f>IF($BZ32=1,BX32,"")</f>
        <v/>
      </c>
      <c r="CL32" s="1" t="str">
        <f>IF($BZ32=1,BY32,"")</f>
        <v/>
      </c>
    </row>
    <row r="33" spans="1:90" x14ac:dyDescent="0.15">
      <c r="A33" s="1">
        <v>33</v>
      </c>
      <c r="B33" s="1" t="s">
        <v>112</v>
      </c>
      <c r="C33" s="1" t="s">
        <v>33</v>
      </c>
      <c r="D33" s="1" t="s">
        <v>1</v>
      </c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1"/>
      <c r="AC33" s="1"/>
      <c r="AD33" s="1"/>
      <c r="AE33" s="1">
        <v>5</v>
      </c>
      <c r="AF33" s="1"/>
      <c r="AG33" s="1"/>
      <c r="AH33" s="1"/>
      <c r="AI33" s="1"/>
      <c r="AJ33" s="1"/>
      <c r="AK33" s="1"/>
      <c r="AL33" s="4"/>
      <c r="AM33" s="4"/>
      <c r="AN33" s="4"/>
      <c r="AO33" s="4"/>
      <c r="AP33" s="4"/>
      <c r="AQ33" s="4"/>
      <c r="AR33" s="2"/>
      <c r="AS33" s="2"/>
      <c r="AT33" s="2"/>
      <c r="AU33" s="2"/>
      <c r="AV33" s="2"/>
      <c r="AW33" s="2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>
        <f>SUM(E33:BI33)</f>
        <v>5</v>
      </c>
      <c r="BK33" s="1">
        <v>5</v>
      </c>
      <c r="BL33" s="17">
        <v>1</v>
      </c>
      <c r="BM33" s="17" t="s">
        <v>156</v>
      </c>
      <c r="BN33" s="1" t="str">
        <f>IF(AL33&gt;AL$95, AL33-AL$95,"")</f>
        <v/>
      </c>
      <c r="BO33" s="1" t="str">
        <f>IF(AM33&gt;AM$95, AM33-AM$95,"")</f>
        <v/>
      </c>
      <c r="BP33" s="1" t="str">
        <f>IF(AN33&gt;AN$95, AN33-AN$95,"")</f>
        <v/>
      </c>
      <c r="BQ33" s="1" t="str">
        <f>IF(AO33&gt;AO$95, AO33-AO$95,"")</f>
        <v/>
      </c>
      <c r="BR33" s="1" t="str">
        <f>IF(AP33&gt;AP$95, AP33-AP$95,"")</f>
        <v/>
      </c>
      <c r="BS33" s="1" t="str">
        <f>IF(AQ33&gt;AQ$95, AQ33-AQ$95,"")</f>
        <v/>
      </c>
      <c r="BT33" s="1" t="str">
        <f>IF(AR33&gt;AR$95, AR33-AR$95,"")</f>
        <v/>
      </c>
      <c r="BU33" s="1" t="str">
        <f>IF(AS33&gt;AS$95, AS33-AS$95,"")</f>
        <v/>
      </c>
      <c r="BV33" s="1" t="str">
        <f>IF(AT33&gt;AT$95, AT33-AT$95,"")</f>
        <v/>
      </c>
      <c r="BW33" s="1" t="str">
        <f>IF(AU33&gt;AU$95, AU33-AU$95,"")</f>
        <v/>
      </c>
      <c r="BX33" s="1" t="str">
        <f>IF(AV33&gt;AV$95, AV33-AV$95,"")</f>
        <v/>
      </c>
      <c r="BY33" s="1" t="str">
        <f>IF(AW33&gt;AW$95, AW33-AW$95,"")</f>
        <v/>
      </c>
      <c r="BZ33" s="1">
        <f>COUNTIF(BN33:BY33, "&gt;0")</f>
        <v>0</v>
      </c>
      <c r="CA33" s="1" t="str">
        <f>IF($BZ33=1,BN33,"")</f>
        <v/>
      </c>
      <c r="CB33" s="1" t="str">
        <f>IF($BZ33=1,BO33,"")</f>
        <v/>
      </c>
      <c r="CC33" s="1" t="str">
        <f>IF($BZ33=1,BP33,"")</f>
        <v/>
      </c>
      <c r="CD33" s="1" t="str">
        <f>IF($BZ33=1,BQ33,"")</f>
        <v/>
      </c>
      <c r="CE33" s="1" t="str">
        <f>IF($BZ33=1,BR33,"")</f>
        <v/>
      </c>
      <c r="CF33" s="1" t="str">
        <f>IF($BZ33=1,BS33,"")</f>
        <v/>
      </c>
      <c r="CG33" s="1" t="str">
        <f>IF($BZ33=1,BT33,"")</f>
        <v/>
      </c>
      <c r="CH33" s="1" t="str">
        <f>IF($BZ33=1,BU33,"")</f>
        <v/>
      </c>
      <c r="CI33" s="1" t="str">
        <f>IF($BZ33=1,BV33,"")</f>
        <v/>
      </c>
      <c r="CJ33" s="1" t="str">
        <f>IF($BZ33=1,BW33,"")</f>
        <v/>
      </c>
      <c r="CK33" s="1" t="str">
        <f>IF($BZ33=1,BX33,"")</f>
        <v/>
      </c>
      <c r="CL33" s="1" t="str">
        <f>IF($BZ33=1,BY33,"")</f>
        <v/>
      </c>
    </row>
    <row r="34" spans="1:90" x14ac:dyDescent="0.15">
      <c r="A34" s="1">
        <v>61</v>
      </c>
      <c r="B34" s="1" t="s">
        <v>76</v>
      </c>
      <c r="C34" s="1" t="s">
        <v>68</v>
      </c>
      <c r="D34" s="1" t="s">
        <v>24</v>
      </c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1"/>
      <c r="AC34" s="1"/>
      <c r="AD34" s="1"/>
      <c r="AE34" s="1"/>
      <c r="AF34" s="1"/>
      <c r="AG34" s="1"/>
      <c r="AH34" s="1"/>
      <c r="AI34" s="1"/>
      <c r="AJ34" s="1">
        <v>5</v>
      </c>
      <c r="AK34" s="1"/>
      <c r="AL34" s="4"/>
      <c r="AM34" s="4"/>
      <c r="AN34" s="4"/>
      <c r="AO34" s="4"/>
      <c r="AP34" s="4"/>
      <c r="AQ34" s="4"/>
      <c r="AR34" s="2"/>
      <c r="AS34" s="2"/>
      <c r="AT34" s="2"/>
      <c r="AU34" s="2"/>
      <c r="AV34" s="2"/>
      <c r="AW34" s="2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>
        <f>SUM(E34:BI34)</f>
        <v>5</v>
      </c>
      <c r="BK34" s="1">
        <v>5</v>
      </c>
      <c r="BL34" s="17">
        <v>1</v>
      </c>
      <c r="BM34" s="17" t="s">
        <v>182</v>
      </c>
      <c r="BN34" s="1" t="str">
        <f>IF(AL34&gt;AL$95, AL34-AL$95,"")</f>
        <v/>
      </c>
      <c r="BO34" s="1" t="str">
        <f>IF(AM34&gt;AM$95, AM34-AM$95,"")</f>
        <v/>
      </c>
      <c r="BP34" s="1" t="str">
        <f>IF(AN34&gt;AN$95, AN34-AN$95,"")</f>
        <v/>
      </c>
      <c r="BQ34" s="1" t="str">
        <f>IF(AO34&gt;AO$95, AO34-AO$95,"")</f>
        <v/>
      </c>
      <c r="BR34" s="1" t="str">
        <f>IF(AP34&gt;AP$95, AP34-AP$95,"")</f>
        <v/>
      </c>
      <c r="BS34" s="1" t="str">
        <f>IF(AQ34&gt;AQ$95, AQ34-AQ$95,"")</f>
        <v/>
      </c>
      <c r="BT34" s="1" t="str">
        <f>IF(AR34&gt;AR$95, AR34-AR$95,"")</f>
        <v/>
      </c>
      <c r="BU34" s="1" t="str">
        <f>IF(AS34&gt;AS$95, AS34-AS$95,"")</f>
        <v/>
      </c>
      <c r="BV34" s="1" t="str">
        <f>IF(AT34&gt;AT$95, AT34-AT$95,"")</f>
        <v/>
      </c>
      <c r="BW34" s="1" t="str">
        <f>IF(AU34&gt;AU$95, AU34-AU$95,"")</f>
        <v/>
      </c>
      <c r="BX34" s="1" t="str">
        <f>IF(AV34&gt;AV$95, AV34-AV$95,"")</f>
        <v/>
      </c>
      <c r="BY34" s="1" t="str">
        <f>IF(AW34&gt;AW$95, AW34-AW$95,"")</f>
        <v/>
      </c>
      <c r="BZ34" s="1">
        <f>COUNTIF(BN34:BY34, "&gt;0")</f>
        <v>0</v>
      </c>
      <c r="CA34" s="1" t="str">
        <f>IF($BZ34=1,BN34,"")</f>
        <v/>
      </c>
      <c r="CB34" s="1" t="str">
        <f>IF($BZ34=1,BO34,"")</f>
        <v/>
      </c>
      <c r="CC34" s="1" t="str">
        <f>IF($BZ34=1,BP34,"")</f>
        <v/>
      </c>
      <c r="CD34" s="1" t="str">
        <f>IF($BZ34=1,BQ34,"")</f>
        <v/>
      </c>
      <c r="CE34" s="1" t="str">
        <f>IF($BZ34=1,BR34,"")</f>
        <v/>
      </c>
      <c r="CF34" s="1" t="str">
        <f>IF($BZ34=1,BS34,"")</f>
        <v/>
      </c>
      <c r="CG34" s="1" t="str">
        <f>IF($BZ34=1,BT34,"")</f>
        <v/>
      </c>
      <c r="CH34" s="1" t="str">
        <f>IF($BZ34=1,BU34,"")</f>
        <v/>
      </c>
      <c r="CI34" s="1" t="str">
        <f>IF($BZ34=1,BV34,"")</f>
        <v/>
      </c>
      <c r="CJ34" s="1" t="str">
        <f>IF($BZ34=1,BW34,"")</f>
        <v/>
      </c>
      <c r="CK34" s="1" t="str">
        <f>IF($BZ34=1,BX34,"")</f>
        <v/>
      </c>
      <c r="CL34" s="1" t="str">
        <f>IF($BZ34=1,BY34,"")</f>
        <v/>
      </c>
    </row>
    <row r="35" spans="1:90" x14ac:dyDescent="0.15">
      <c r="A35" s="1">
        <v>63</v>
      </c>
      <c r="B35" s="3" t="s">
        <v>78</v>
      </c>
      <c r="C35" s="1" t="s">
        <v>68</v>
      </c>
      <c r="D35" s="1" t="s">
        <v>24</v>
      </c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1"/>
      <c r="AC35" s="1"/>
      <c r="AD35" s="1"/>
      <c r="AE35" s="1"/>
      <c r="AF35" s="1"/>
      <c r="AG35" s="1"/>
      <c r="AH35" s="1"/>
      <c r="AI35" s="1"/>
      <c r="AJ35" s="1"/>
      <c r="AK35" s="1">
        <v>5</v>
      </c>
      <c r="AL35" s="4"/>
      <c r="AM35" s="4"/>
      <c r="AN35" s="4"/>
      <c r="AO35" s="4"/>
      <c r="AP35" s="4"/>
      <c r="AQ35" s="4"/>
      <c r="AR35" s="2"/>
      <c r="AS35" s="2"/>
      <c r="AT35" s="2"/>
      <c r="AU35" s="2"/>
      <c r="AV35" s="2"/>
      <c r="AW35" s="2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>
        <f>SUM(E35:BI35)</f>
        <v>5</v>
      </c>
      <c r="BK35" s="1">
        <v>5</v>
      </c>
      <c r="BL35" s="17">
        <v>1</v>
      </c>
      <c r="BM35" s="17" t="s">
        <v>183</v>
      </c>
      <c r="BN35" s="1" t="str">
        <f>IF(AL35&gt;AL$95, AL35-AL$95,"")</f>
        <v/>
      </c>
      <c r="BO35" s="1" t="str">
        <f>IF(AM35&gt;AM$95, AM35-AM$95,"")</f>
        <v/>
      </c>
      <c r="BP35" s="1" t="str">
        <f>IF(AN35&gt;AN$95, AN35-AN$95,"")</f>
        <v/>
      </c>
      <c r="BQ35" s="1" t="str">
        <f>IF(AO35&gt;AO$95, AO35-AO$95,"")</f>
        <v/>
      </c>
      <c r="BR35" s="1" t="str">
        <f>IF(AP35&gt;AP$95, AP35-AP$95,"")</f>
        <v/>
      </c>
      <c r="BS35" s="1" t="str">
        <f>IF(AQ35&gt;AQ$95, AQ35-AQ$95,"")</f>
        <v/>
      </c>
      <c r="BT35" s="1" t="str">
        <f>IF(AR35&gt;AR$95, AR35-AR$95,"")</f>
        <v/>
      </c>
      <c r="BU35" s="1" t="str">
        <f>IF(AS35&gt;AS$95, AS35-AS$95,"")</f>
        <v/>
      </c>
      <c r="BV35" s="1" t="str">
        <f>IF(AT35&gt;AT$95, AT35-AT$95,"")</f>
        <v/>
      </c>
      <c r="BW35" s="1" t="str">
        <f>IF(AU35&gt;AU$95, AU35-AU$95,"")</f>
        <v/>
      </c>
      <c r="BX35" s="1" t="str">
        <f>IF(AV35&gt;AV$95, AV35-AV$95,"")</f>
        <v/>
      </c>
      <c r="BY35" s="1" t="str">
        <f>IF(AW35&gt;AW$95, AW35-AW$95,"")</f>
        <v/>
      </c>
      <c r="BZ35" s="1">
        <f>COUNTIF(BN35:BY35, "&gt;0")</f>
        <v>0</v>
      </c>
      <c r="CA35" s="1" t="str">
        <f>IF($BZ35=1,BN35,"")</f>
        <v/>
      </c>
      <c r="CB35" s="1" t="str">
        <f>IF($BZ35=1,BO35,"")</f>
        <v/>
      </c>
      <c r="CC35" s="1" t="str">
        <f>IF($BZ35=1,BP35,"")</f>
        <v/>
      </c>
      <c r="CD35" s="1" t="str">
        <f>IF($BZ35=1,BQ35,"")</f>
        <v/>
      </c>
      <c r="CE35" s="1" t="str">
        <f>IF($BZ35=1,BR35,"")</f>
        <v/>
      </c>
      <c r="CF35" s="1" t="str">
        <f>IF($BZ35=1,BS35,"")</f>
        <v/>
      </c>
      <c r="CG35" s="1" t="str">
        <f>IF($BZ35=1,BT35,"")</f>
        <v/>
      </c>
      <c r="CH35" s="1" t="str">
        <f>IF($BZ35=1,BU35,"")</f>
        <v/>
      </c>
      <c r="CI35" s="1" t="str">
        <f>IF($BZ35=1,BV35,"")</f>
        <v/>
      </c>
      <c r="CJ35" s="1" t="str">
        <f>IF($BZ35=1,BW35,"")</f>
        <v/>
      </c>
      <c r="CK35" s="1" t="str">
        <f>IF($BZ35=1,BX35,"")</f>
        <v/>
      </c>
      <c r="CL35" s="1" t="str">
        <f>IF($BZ35=1,BY35,"")</f>
        <v/>
      </c>
    </row>
    <row r="36" spans="1:90" x14ac:dyDescent="0.15">
      <c r="A36" s="1">
        <v>90</v>
      </c>
      <c r="B36" s="3" t="s">
        <v>124</v>
      </c>
      <c r="C36" s="3" t="s">
        <v>123</v>
      </c>
      <c r="D36" s="1" t="s">
        <v>24</v>
      </c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>
        <v>4</v>
      </c>
      <c r="T36" s="6"/>
      <c r="U36" s="6"/>
      <c r="V36" s="6"/>
      <c r="W36" s="6"/>
      <c r="X36" s="6"/>
      <c r="Y36" s="6"/>
      <c r="Z36" s="6"/>
      <c r="AA36" s="6"/>
      <c r="AB36" s="1"/>
      <c r="AC36" s="1"/>
      <c r="AD36" s="1"/>
      <c r="AE36" s="1"/>
      <c r="AF36" s="1"/>
      <c r="AG36" s="1"/>
      <c r="AH36" s="1"/>
      <c r="AI36" s="1"/>
      <c r="AJ36" s="1"/>
      <c r="AK36" s="1">
        <v>5</v>
      </c>
      <c r="AL36" s="4"/>
      <c r="AM36" s="4"/>
      <c r="AN36" s="4"/>
      <c r="AO36" s="4"/>
      <c r="AP36" s="4"/>
      <c r="AQ36" s="4"/>
      <c r="AR36" s="2"/>
      <c r="AS36" s="2"/>
      <c r="AT36" s="2"/>
      <c r="AU36" s="2"/>
      <c r="AV36" s="2"/>
      <c r="AW36" s="2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>
        <f>SUM(E36:BI36)</f>
        <v>9</v>
      </c>
      <c r="BK36" s="1">
        <v>5</v>
      </c>
      <c r="BL36" s="17">
        <v>1</v>
      </c>
      <c r="BM36" s="17" t="s">
        <v>183</v>
      </c>
      <c r="BN36" s="1" t="str">
        <f>IF(AL36&gt;AL$95, AL36-AL$95,"")</f>
        <v/>
      </c>
      <c r="BO36" s="1" t="str">
        <f>IF(AM36&gt;AM$95, AM36-AM$95,"")</f>
        <v/>
      </c>
      <c r="BP36" s="1" t="str">
        <f>IF(AN36&gt;AN$95, AN36-AN$95,"")</f>
        <v/>
      </c>
      <c r="BQ36" s="1" t="str">
        <f>IF(AO36&gt;AO$95, AO36-AO$95,"")</f>
        <v/>
      </c>
      <c r="BR36" s="1" t="str">
        <f>IF(AP36&gt;AP$95, AP36-AP$95,"")</f>
        <v/>
      </c>
      <c r="BS36" s="1" t="str">
        <f>IF(AQ36&gt;AQ$95, AQ36-AQ$95,"")</f>
        <v/>
      </c>
      <c r="BT36" s="1" t="str">
        <f>IF(AR36&gt;AR$95, AR36-AR$95,"")</f>
        <v/>
      </c>
      <c r="BU36" s="1" t="str">
        <f>IF(AS36&gt;AS$95, AS36-AS$95,"")</f>
        <v/>
      </c>
      <c r="BV36" s="1" t="str">
        <f>IF(AT36&gt;AT$95, AT36-AT$95,"")</f>
        <v/>
      </c>
      <c r="BW36" s="1" t="str">
        <f>IF(AU36&gt;AU$95, AU36-AU$95,"")</f>
        <v/>
      </c>
      <c r="BX36" s="1" t="str">
        <f>IF(AV36&gt;AV$95, AV36-AV$95,"")</f>
        <v/>
      </c>
      <c r="BY36" s="1" t="str">
        <f>IF(AW36&gt;AW$95, AW36-AW$95,"")</f>
        <v/>
      </c>
      <c r="BZ36" s="1">
        <f>COUNTIF(BN36:BY36, "&gt;0")</f>
        <v>0</v>
      </c>
      <c r="CA36" s="1" t="str">
        <f>IF($BZ36=1,BN36,"")</f>
        <v/>
      </c>
      <c r="CB36" s="1" t="str">
        <f>IF($BZ36=1,BO36,"")</f>
        <v/>
      </c>
      <c r="CC36" s="1" t="str">
        <f>IF($BZ36=1,BP36,"")</f>
        <v/>
      </c>
      <c r="CD36" s="1" t="str">
        <f>IF($BZ36=1,BQ36,"")</f>
        <v/>
      </c>
      <c r="CE36" s="1" t="str">
        <f>IF($BZ36=1,BR36,"")</f>
        <v/>
      </c>
      <c r="CF36" s="1" t="str">
        <f>IF($BZ36=1,BS36,"")</f>
        <v/>
      </c>
      <c r="CG36" s="1" t="str">
        <f>IF($BZ36=1,BT36,"")</f>
        <v/>
      </c>
      <c r="CH36" s="1" t="str">
        <f>IF($BZ36=1,BU36,"")</f>
        <v/>
      </c>
      <c r="CI36" s="1" t="str">
        <f>IF($BZ36=1,BV36,"")</f>
        <v/>
      </c>
      <c r="CJ36" s="1" t="str">
        <f>IF($BZ36=1,BW36,"")</f>
        <v/>
      </c>
      <c r="CK36" s="1" t="str">
        <f>IF($BZ36=1,BX36,"")</f>
        <v/>
      </c>
      <c r="CL36" s="1" t="str">
        <f>IF($BZ36=1,BY36,"")</f>
        <v/>
      </c>
    </row>
    <row r="37" spans="1:90" x14ac:dyDescent="0.15">
      <c r="A37" s="1">
        <v>91</v>
      </c>
      <c r="B37" s="3" t="s">
        <v>124</v>
      </c>
      <c r="C37" s="3" t="s">
        <v>123</v>
      </c>
      <c r="D37" s="1" t="s">
        <v>1</v>
      </c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>
        <v>4</v>
      </c>
      <c r="T37" s="6"/>
      <c r="U37" s="6"/>
      <c r="V37" s="6"/>
      <c r="W37" s="6"/>
      <c r="X37" s="6"/>
      <c r="Y37" s="6"/>
      <c r="Z37" s="6"/>
      <c r="AA37" s="6"/>
      <c r="AB37" s="1"/>
      <c r="AC37" s="1"/>
      <c r="AD37" s="1"/>
      <c r="AE37" s="1"/>
      <c r="AF37" s="1"/>
      <c r="AG37" s="1"/>
      <c r="AH37" s="1"/>
      <c r="AI37" s="1"/>
      <c r="AJ37" s="1">
        <v>5</v>
      </c>
      <c r="AK37" s="1"/>
      <c r="AL37" s="4"/>
      <c r="AM37" s="4"/>
      <c r="AN37" s="4"/>
      <c r="AO37" s="4"/>
      <c r="AP37" s="4"/>
      <c r="AQ37" s="4"/>
      <c r="AR37" s="2"/>
      <c r="AS37" s="2"/>
      <c r="AT37" s="2"/>
      <c r="AU37" s="2"/>
      <c r="AV37" s="2"/>
      <c r="AW37" s="2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>
        <f>SUM(E37:BI37)</f>
        <v>9</v>
      </c>
      <c r="BK37" s="1">
        <v>5</v>
      </c>
      <c r="BL37" s="17">
        <v>1</v>
      </c>
      <c r="BM37" s="17" t="s">
        <v>182</v>
      </c>
      <c r="BN37" s="1" t="str">
        <f>IF(AL37&gt;AL$95, AL37-AL$95,"")</f>
        <v/>
      </c>
      <c r="BO37" s="1" t="str">
        <f>IF(AM37&gt;AM$95, AM37-AM$95,"")</f>
        <v/>
      </c>
      <c r="BP37" s="1" t="str">
        <f>IF(AN37&gt;AN$95, AN37-AN$95,"")</f>
        <v/>
      </c>
      <c r="BQ37" s="1" t="str">
        <f>IF(AO37&gt;AO$95, AO37-AO$95,"")</f>
        <v/>
      </c>
      <c r="BR37" s="1" t="str">
        <f>IF(AP37&gt;AP$95, AP37-AP$95,"")</f>
        <v/>
      </c>
      <c r="BS37" s="1" t="str">
        <f>IF(AQ37&gt;AQ$95, AQ37-AQ$95,"")</f>
        <v/>
      </c>
      <c r="BT37" s="1" t="str">
        <f>IF(AR37&gt;AR$95, AR37-AR$95,"")</f>
        <v/>
      </c>
      <c r="BU37" s="1" t="str">
        <f>IF(AS37&gt;AS$95, AS37-AS$95,"")</f>
        <v/>
      </c>
      <c r="BV37" s="1" t="str">
        <f>IF(AT37&gt;AT$95, AT37-AT$95,"")</f>
        <v/>
      </c>
      <c r="BW37" s="1" t="str">
        <f>IF(AU37&gt;AU$95, AU37-AU$95,"")</f>
        <v/>
      </c>
      <c r="BX37" s="1" t="str">
        <f>IF(AV37&gt;AV$95, AV37-AV$95,"")</f>
        <v/>
      </c>
      <c r="BY37" s="1" t="str">
        <f>IF(AW37&gt;AW$95, AW37-AW$95,"")</f>
        <v/>
      </c>
      <c r="BZ37" s="1">
        <f>COUNTIF(BN37:BY37, "&gt;0")</f>
        <v>0</v>
      </c>
      <c r="CA37" s="1" t="str">
        <f>IF($BZ37=1,BN37,"")</f>
        <v/>
      </c>
      <c r="CB37" s="1" t="str">
        <f>IF($BZ37=1,BO37,"")</f>
        <v/>
      </c>
      <c r="CC37" s="1" t="str">
        <f>IF($BZ37=1,BP37,"")</f>
        <v/>
      </c>
      <c r="CD37" s="1" t="str">
        <f>IF($BZ37=1,BQ37,"")</f>
        <v/>
      </c>
      <c r="CE37" s="1" t="str">
        <f>IF($BZ37=1,BR37,"")</f>
        <v/>
      </c>
      <c r="CF37" s="1" t="str">
        <f>IF($BZ37=1,BS37,"")</f>
        <v/>
      </c>
      <c r="CG37" s="1" t="str">
        <f>IF($BZ37=1,BT37,"")</f>
        <v/>
      </c>
      <c r="CH37" s="1" t="str">
        <f>IF($BZ37=1,BU37,"")</f>
        <v/>
      </c>
      <c r="CI37" s="1" t="str">
        <f>IF($BZ37=1,BV37,"")</f>
        <v/>
      </c>
      <c r="CJ37" s="1" t="str">
        <f>IF($BZ37=1,BW37,"")</f>
        <v/>
      </c>
      <c r="CK37" s="1" t="str">
        <f>IF($BZ37=1,BX37,"")</f>
        <v/>
      </c>
      <c r="CL37" s="1" t="str">
        <f>IF($BZ37=1,BY37,"")</f>
        <v/>
      </c>
    </row>
    <row r="38" spans="1:90" x14ac:dyDescent="0.15">
      <c r="A38" s="1">
        <v>12</v>
      </c>
      <c r="B38" s="1" t="s">
        <v>116</v>
      </c>
      <c r="C38" s="1" t="s">
        <v>2</v>
      </c>
      <c r="D38" s="1" t="s">
        <v>24</v>
      </c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>
        <v>10</v>
      </c>
      <c r="Q38" s="6"/>
      <c r="R38" s="6"/>
      <c r="S38" s="6"/>
      <c r="T38" s="6"/>
      <c r="U38" s="6"/>
      <c r="V38" s="6"/>
      <c r="W38" s="6"/>
      <c r="X38" s="6"/>
      <c r="Y38" s="6">
        <v>10</v>
      </c>
      <c r="Z38" s="6"/>
      <c r="AA38" s="6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4"/>
      <c r="AM38" s="4"/>
      <c r="AN38" s="4"/>
      <c r="AO38" s="4"/>
      <c r="AP38" s="4"/>
      <c r="AQ38" s="4"/>
      <c r="AR38" s="2"/>
      <c r="AS38" s="2"/>
      <c r="AT38" s="2"/>
      <c r="AU38" s="2"/>
      <c r="AV38" s="2"/>
      <c r="AW38" s="2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>
        <f>SUM(E38:BI38)</f>
        <v>20</v>
      </c>
      <c r="BK38" s="1">
        <v>6</v>
      </c>
      <c r="BL38" s="17">
        <v>1</v>
      </c>
      <c r="BM38" s="17" t="s">
        <v>184</v>
      </c>
      <c r="BN38" s="1" t="str">
        <f>IF(AL38&gt;AL$95, AL38-AL$95,"")</f>
        <v/>
      </c>
      <c r="BO38" s="1" t="str">
        <f>IF(AM38&gt;AM$95, AM38-AM$95,"")</f>
        <v/>
      </c>
      <c r="BP38" s="1" t="str">
        <f>IF(AN38&gt;AN$95, AN38-AN$95,"")</f>
        <v/>
      </c>
      <c r="BQ38" s="1" t="str">
        <f>IF(AO38&gt;AO$95, AO38-AO$95,"")</f>
        <v/>
      </c>
      <c r="BR38" s="1" t="str">
        <f>IF(AP38&gt;AP$95, AP38-AP$95,"")</f>
        <v/>
      </c>
      <c r="BS38" s="1" t="str">
        <f>IF(AQ38&gt;AQ$95, AQ38-AQ$95,"")</f>
        <v/>
      </c>
      <c r="BT38" s="1" t="str">
        <f>IF(AR38&gt;AR$95, AR38-AR$95,"")</f>
        <v/>
      </c>
      <c r="BU38" s="1" t="str">
        <f>IF(AS38&gt;AS$95, AS38-AS$95,"")</f>
        <v/>
      </c>
      <c r="BV38" s="1" t="str">
        <f>IF(AT38&gt;AT$95, AT38-AT$95,"")</f>
        <v/>
      </c>
      <c r="BW38" s="1" t="str">
        <f>IF(AU38&gt;AU$95, AU38-AU$95,"")</f>
        <v/>
      </c>
      <c r="BX38" s="1" t="str">
        <f>IF(AV38&gt;AV$95, AV38-AV$95,"")</f>
        <v/>
      </c>
      <c r="BY38" s="1" t="str">
        <f>IF(AW38&gt;AW$95, AW38-AW$95,"")</f>
        <v/>
      </c>
      <c r="BZ38" s="1">
        <f>COUNTIF(BN38:BY38, "&gt;0")</f>
        <v>0</v>
      </c>
      <c r="CA38" s="1" t="str">
        <f>IF($BZ38=1,BN38,"")</f>
        <v/>
      </c>
      <c r="CB38" s="1" t="str">
        <f>IF($BZ38=1,BO38,"")</f>
        <v/>
      </c>
      <c r="CC38" s="1" t="str">
        <f>IF($BZ38=1,BP38,"")</f>
        <v/>
      </c>
      <c r="CD38" s="1" t="str">
        <f>IF($BZ38=1,BQ38,"")</f>
        <v/>
      </c>
      <c r="CE38" s="1" t="str">
        <f>IF($BZ38=1,BR38,"")</f>
        <v/>
      </c>
      <c r="CF38" s="1" t="str">
        <f>IF($BZ38=1,BS38,"")</f>
        <v/>
      </c>
      <c r="CG38" s="1" t="str">
        <f>IF($BZ38=1,BT38,"")</f>
        <v/>
      </c>
      <c r="CH38" s="1" t="str">
        <f>IF($BZ38=1,BU38,"")</f>
        <v/>
      </c>
      <c r="CI38" s="1" t="str">
        <f>IF($BZ38=1,BV38,"")</f>
        <v/>
      </c>
      <c r="CJ38" s="1" t="str">
        <f>IF($BZ38=1,BW38,"")</f>
        <v/>
      </c>
      <c r="CK38" s="1" t="str">
        <f>IF($BZ38=1,BX38,"")</f>
        <v/>
      </c>
      <c r="CL38" s="1" t="str">
        <f>IF($BZ38=1,BY38,"")</f>
        <v/>
      </c>
    </row>
    <row r="39" spans="1:90" x14ac:dyDescent="0.15">
      <c r="A39" s="1">
        <v>92</v>
      </c>
      <c r="B39" s="3" t="s">
        <v>125</v>
      </c>
      <c r="C39" s="3" t="s">
        <v>123</v>
      </c>
      <c r="D39" s="1" t="s">
        <v>24</v>
      </c>
      <c r="E39" s="6">
        <v>10</v>
      </c>
      <c r="F39" s="6"/>
      <c r="G39" s="6"/>
      <c r="H39" s="6"/>
      <c r="I39" s="6">
        <v>10</v>
      </c>
      <c r="J39" s="6">
        <v>10</v>
      </c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4"/>
      <c r="AM39" s="4"/>
      <c r="AN39" s="4"/>
      <c r="AO39" s="4"/>
      <c r="AP39" s="4"/>
      <c r="AQ39" s="4"/>
      <c r="AR39" s="2"/>
      <c r="AS39" s="2"/>
      <c r="AT39" s="2"/>
      <c r="AU39" s="2"/>
      <c r="AV39" s="2"/>
      <c r="AW39" s="2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>
        <f>SUM(E39:BI39)</f>
        <v>30</v>
      </c>
      <c r="BK39" s="1">
        <v>6</v>
      </c>
      <c r="BL39" s="17">
        <v>1</v>
      </c>
      <c r="BM39" s="17" t="s">
        <v>157</v>
      </c>
      <c r="BN39" s="1" t="str">
        <f>IF(AL39&gt;AL$95, AL39-AL$95,"")</f>
        <v/>
      </c>
      <c r="BO39" s="1" t="str">
        <f>IF(AM39&gt;AM$95, AM39-AM$95,"")</f>
        <v/>
      </c>
      <c r="BP39" s="1" t="str">
        <f>IF(AN39&gt;AN$95, AN39-AN$95,"")</f>
        <v/>
      </c>
      <c r="BQ39" s="1" t="str">
        <f>IF(AO39&gt;AO$95, AO39-AO$95,"")</f>
        <v/>
      </c>
      <c r="BR39" s="1" t="str">
        <f>IF(AP39&gt;AP$95, AP39-AP$95,"")</f>
        <v/>
      </c>
      <c r="BS39" s="1" t="str">
        <f>IF(AQ39&gt;AQ$95, AQ39-AQ$95,"")</f>
        <v/>
      </c>
      <c r="BT39" s="1" t="str">
        <f>IF(AR39&gt;AR$95, AR39-AR$95,"")</f>
        <v/>
      </c>
      <c r="BU39" s="1" t="str">
        <f>IF(AS39&gt;AS$95, AS39-AS$95,"")</f>
        <v/>
      </c>
      <c r="BV39" s="1" t="str">
        <f>IF(AT39&gt;AT$95, AT39-AT$95,"")</f>
        <v/>
      </c>
      <c r="BW39" s="1" t="str">
        <f>IF(AU39&gt;AU$95, AU39-AU$95,"")</f>
        <v/>
      </c>
      <c r="BX39" s="1" t="str">
        <f>IF(AV39&gt;AV$95, AV39-AV$95,"")</f>
        <v/>
      </c>
      <c r="BY39" s="1" t="str">
        <f>IF(AW39&gt;AW$95, AW39-AW$95,"")</f>
        <v/>
      </c>
      <c r="BZ39" s="1">
        <f>COUNTIF(BN39:BY39, "&gt;0")</f>
        <v>0</v>
      </c>
      <c r="CA39" s="1" t="str">
        <f>IF($BZ39=1,BN39,"")</f>
        <v/>
      </c>
      <c r="CB39" s="1" t="str">
        <f>IF($BZ39=1,BO39,"")</f>
        <v/>
      </c>
      <c r="CC39" s="1" t="str">
        <f>IF($BZ39=1,BP39,"")</f>
        <v/>
      </c>
      <c r="CD39" s="1" t="str">
        <f>IF($BZ39=1,BQ39,"")</f>
        <v/>
      </c>
      <c r="CE39" s="1" t="str">
        <f>IF($BZ39=1,BR39,"")</f>
        <v/>
      </c>
      <c r="CF39" s="1" t="str">
        <f>IF($BZ39=1,BS39,"")</f>
        <v/>
      </c>
      <c r="CG39" s="1" t="str">
        <f>IF($BZ39=1,BT39,"")</f>
        <v/>
      </c>
      <c r="CH39" s="1" t="str">
        <f>IF($BZ39=1,BU39,"")</f>
        <v/>
      </c>
      <c r="CI39" s="1" t="str">
        <f>IF($BZ39=1,BV39,"")</f>
        <v/>
      </c>
      <c r="CJ39" s="1" t="str">
        <f>IF($BZ39=1,BW39,"")</f>
        <v/>
      </c>
      <c r="CK39" s="1" t="str">
        <f>IF($BZ39=1,BX39,"")</f>
        <v/>
      </c>
      <c r="CL39" s="1" t="str">
        <f>IF($BZ39=1,BY39,"")</f>
        <v/>
      </c>
    </row>
    <row r="40" spans="1:90" x14ac:dyDescent="0.15">
      <c r="A40" s="1">
        <v>16</v>
      </c>
      <c r="B40" s="1" t="s">
        <v>36</v>
      </c>
      <c r="C40" s="1" t="s">
        <v>33</v>
      </c>
      <c r="D40" s="1" t="s">
        <v>34</v>
      </c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4"/>
      <c r="AM40" s="4"/>
      <c r="AN40" s="4">
        <v>10</v>
      </c>
      <c r="AO40" s="4"/>
      <c r="AP40" s="4"/>
      <c r="AQ40" s="4"/>
      <c r="AR40" s="2"/>
      <c r="AS40" s="2"/>
      <c r="AT40" s="2"/>
      <c r="AU40" s="2"/>
      <c r="AV40" s="2"/>
      <c r="AW40" s="2">
        <v>10</v>
      </c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>
        <f>SUM(E40:BI40)</f>
        <v>20</v>
      </c>
      <c r="BK40" s="1">
        <v>7</v>
      </c>
      <c r="BL40" s="17">
        <v>1</v>
      </c>
      <c r="BM40" s="17" t="s">
        <v>185</v>
      </c>
      <c r="BN40" s="1" t="str">
        <f>IF(AL40&gt;AL$95, AL40-AL$95,"")</f>
        <v/>
      </c>
      <c r="BO40" s="1" t="str">
        <f>IF(AM40&gt;AM$95, AM40-AM$95,"")</f>
        <v/>
      </c>
      <c r="BP40" s="1" t="str">
        <f>IF(AN40&gt;AN$95, AN40-AN$95,"")</f>
        <v/>
      </c>
      <c r="BQ40" s="1" t="str">
        <f>IF(AO40&gt;AO$95, AO40-AO$95,"")</f>
        <v/>
      </c>
      <c r="BR40" s="1" t="str">
        <f>IF(AP40&gt;AP$95, AP40-AP$95,"")</f>
        <v/>
      </c>
      <c r="BS40" s="1" t="str">
        <f>IF(AQ40&gt;AQ$95, AQ40-AQ$95,"")</f>
        <v/>
      </c>
      <c r="BT40" s="1" t="str">
        <f>IF(AR40&gt;AR$95, AR40-AR$95,"")</f>
        <v/>
      </c>
      <c r="BU40" s="1" t="str">
        <f>IF(AS40&gt;AS$95, AS40-AS$95,"")</f>
        <v/>
      </c>
      <c r="BV40" s="1" t="str">
        <f>IF(AT40&gt;AT$95, AT40-AT$95,"")</f>
        <v/>
      </c>
      <c r="BW40" s="1" t="str">
        <f>IF(AU40&gt;AU$95, AU40-AU$95,"")</f>
        <v/>
      </c>
      <c r="BX40" s="1" t="str">
        <f>IF(AV40&gt;AV$95, AV40-AV$95,"")</f>
        <v/>
      </c>
      <c r="BY40" s="1">
        <f>IF(AW40&gt;AW$95, AW40-AW$95,"")</f>
        <v>7</v>
      </c>
      <c r="BZ40" s="1">
        <f>COUNTIF(BN40:BY40, "&gt;0")</f>
        <v>1</v>
      </c>
      <c r="CA40" s="1" t="str">
        <f>IF($BZ40=1,BN40,"")</f>
        <v/>
      </c>
      <c r="CB40" s="1" t="str">
        <f>IF($BZ40=1,BO40,"")</f>
        <v/>
      </c>
      <c r="CC40" s="1" t="str">
        <f>IF($BZ40=1,BP40,"")</f>
        <v/>
      </c>
      <c r="CD40" s="1" t="str">
        <f>IF($BZ40=1,BQ40,"")</f>
        <v/>
      </c>
      <c r="CE40" s="1" t="str">
        <f>IF($BZ40=1,BR40,"")</f>
        <v/>
      </c>
      <c r="CF40" s="1" t="str">
        <f>IF($BZ40=1,BS40,"")</f>
        <v/>
      </c>
      <c r="CG40" s="1" t="str">
        <f>IF($BZ40=1,BT40,"")</f>
        <v/>
      </c>
      <c r="CH40" s="1" t="str">
        <f>IF($BZ40=1,BU40,"")</f>
        <v/>
      </c>
      <c r="CI40" s="1" t="str">
        <f>IF($BZ40=1,BV40,"")</f>
        <v/>
      </c>
      <c r="CJ40" s="1" t="str">
        <f>IF($BZ40=1,BW40,"")</f>
        <v/>
      </c>
      <c r="CK40" s="1" t="str">
        <f>IF($BZ40=1,BX40,"")</f>
        <v/>
      </c>
      <c r="CL40" s="1">
        <f>IF($BZ40=1,BY40,"")</f>
        <v>7</v>
      </c>
    </row>
    <row r="41" spans="1:90" x14ac:dyDescent="0.15">
      <c r="A41" s="1">
        <v>80</v>
      </c>
      <c r="B41" s="3" t="s">
        <v>91</v>
      </c>
      <c r="C41" s="3" t="s">
        <v>87</v>
      </c>
      <c r="D41" s="1" t="s">
        <v>1</v>
      </c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4"/>
      <c r="AM41" s="4"/>
      <c r="AN41" s="4"/>
      <c r="AO41" s="4"/>
      <c r="AP41" s="4"/>
      <c r="AQ41" s="4"/>
      <c r="AR41" s="2"/>
      <c r="AS41" s="2"/>
      <c r="AT41" s="2"/>
      <c r="AU41" s="2"/>
      <c r="AV41" s="2">
        <v>10</v>
      </c>
      <c r="AW41" s="2">
        <v>10</v>
      </c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>
        <f>SUM(E41:BI41)</f>
        <v>20</v>
      </c>
      <c r="BK41" s="1">
        <v>7</v>
      </c>
      <c r="BL41" s="17">
        <v>1</v>
      </c>
      <c r="BM41" s="17" t="s">
        <v>151</v>
      </c>
      <c r="BN41" s="1" t="str">
        <f>IF(AL41&gt;AL$95, AL41-AL$95,"")</f>
        <v/>
      </c>
      <c r="BO41" s="1" t="str">
        <f>IF(AM41&gt;AM$95, AM41-AM$95,"")</f>
        <v/>
      </c>
      <c r="BP41" s="1" t="str">
        <f>IF(AN41&gt;AN$95, AN41-AN$95,"")</f>
        <v/>
      </c>
      <c r="BQ41" s="1" t="str">
        <f>IF(AO41&gt;AO$95, AO41-AO$95,"")</f>
        <v/>
      </c>
      <c r="BR41" s="1" t="str">
        <f>IF(AP41&gt;AP$95, AP41-AP$95,"")</f>
        <v/>
      </c>
      <c r="BS41" s="1" t="str">
        <f>IF(AQ41&gt;AQ$95, AQ41-AQ$95,"")</f>
        <v/>
      </c>
      <c r="BT41" s="1" t="str">
        <f>IF(AR41&gt;AR$95, AR41-AR$95,"")</f>
        <v/>
      </c>
      <c r="BU41" s="1" t="str">
        <f>IF(AS41&gt;AS$95, AS41-AS$95,"")</f>
        <v/>
      </c>
      <c r="BV41" s="1" t="str">
        <f>IF(AT41&gt;AT$95, AT41-AT$95,"")</f>
        <v/>
      </c>
      <c r="BW41" s="1" t="str">
        <f>IF(AU41&gt;AU$95, AU41-AU$95,"")</f>
        <v/>
      </c>
      <c r="BX41" s="1" t="str">
        <f>IF(AV41&gt;AV$95, AV41-AV$95,"")</f>
        <v/>
      </c>
      <c r="BY41" s="1">
        <f>IF(AW41&gt;AW$95, AW41-AW$95,"")</f>
        <v>7</v>
      </c>
      <c r="BZ41" s="1">
        <f>COUNTIF(BN41:BY41, "&gt;0")</f>
        <v>1</v>
      </c>
      <c r="CA41" s="1" t="str">
        <f>IF($BZ41=1,BN41,"")</f>
        <v/>
      </c>
      <c r="CB41" s="1" t="str">
        <f>IF($BZ41=1,BO41,"")</f>
        <v/>
      </c>
      <c r="CC41" s="1" t="str">
        <f>IF($BZ41=1,BP41,"")</f>
        <v/>
      </c>
      <c r="CD41" s="1" t="str">
        <f>IF($BZ41=1,BQ41,"")</f>
        <v/>
      </c>
      <c r="CE41" s="1" t="str">
        <f>IF($BZ41=1,BR41,"")</f>
        <v/>
      </c>
      <c r="CF41" s="1" t="str">
        <f>IF($BZ41=1,BS41,"")</f>
        <v/>
      </c>
      <c r="CG41" s="1" t="str">
        <f>IF($BZ41=1,BT41,"")</f>
        <v/>
      </c>
      <c r="CH41" s="1" t="str">
        <f>IF($BZ41=1,BU41,"")</f>
        <v/>
      </c>
      <c r="CI41" s="1" t="str">
        <f>IF($BZ41=1,BV41,"")</f>
        <v/>
      </c>
      <c r="CJ41" s="1" t="str">
        <f>IF($BZ41=1,BW41,"")</f>
        <v/>
      </c>
      <c r="CK41" s="1" t="str">
        <f>IF($BZ41=1,BX41,"")</f>
        <v/>
      </c>
      <c r="CL41" s="1">
        <f>IF($BZ41=1,BY41,"")</f>
        <v>7</v>
      </c>
    </row>
    <row r="42" spans="1:90" x14ac:dyDescent="0.15">
      <c r="A42" s="1">
        <v>94</v>
      </c>
      <c r="B42" s="3" t="s">
        <v>127</v>
      </c>
      <c r="C42" s="3" t="s">
        <v>96</v>
      </c>
      <c r="D42" s="1" t="s">
        <v>1</v>
      </c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4"/>
      <c r="AM42" s="4"/>
      <c r="AN42" s="4"/>
      <c r="AO42" s="4"/>
      <c r="AP42" s="4"/>
      <c r="AQ42" s="4"/>
      <c r="AR42" s="2"/>
      <c r="AS42" s="2"/>
      <c r="AT42" s="2"/>
      <c r="AU42" s="2"/>
      <c r="AV42" s="2">
        <v>10</v>
      </c>
      <c r="AW42" s="2">
        <v>10</v>
      </c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>
        <f>SUM(E42:BI42)</f>
        <v>20</v>
      </c>
      <c r="BK42" s="1">
        <v>7</v>
      </c>
      <c r="BL42" s="17">
        <v>1</v>
      </c>
      <c r="BM42" s="17" t="s">
        <v>151</v>
      </c>
      <c r="BN42" s="1" t="str">
        <f>IF(AL42&gt;AL$95, AL42-AL$95,"")</f>
        <v/>
      </c>
      <c r="BO42" s="1" t="str">
        <f>IF(AM42&gt;AM$95, AM42-AM$95,"")</f>
        <v/>
      </c>
      <c r="BP42" s="1" t="str">
        <f>IF(AN42&gt;AN$95, AN42-AN$95,"")</f>
        <v/>
      </c>
      <c r="BQ42" s="1" t="str">
        <f>IF(AO42&gt;AO$95, AO42-AO$95,"")</f>
        <v/>
      </c>
      <c r="BR42" s="1" t="str">
        <f>IF(AP42&gt;AP$95, AP42-AP$95,"")</f>
        <v/>
      </c>
      <c r="BS42" s="1" t="str">
        <f>IF(AQ42&gt;AQ$95, AQ42-AQ$95,"")</f>
        <v/>
      </c>
      <c r="BT42" s="1" t="str">
        <f>IF(AR42&gt;AR$95, AR42-AR$95,"")</f>
        <v/>
      </c>
      <c r="BU42" s="1" t="str">
        <f>IF(AS42&gt;AS$95, AS42-AS$95,"")</f>
        <v/>
      </c>
      <c r="BV42" s="1" t="str">
        <f>IF(AT42&gt;AT$95, AT42-AT$95,"")</f>
        <v/>
      </c>
      <c r="BW42" s="1" t="str">
        <f>IF(AU42&gt;AU$95, AU42-AU$95,"")</f>
        <v/>
      </c>
      <c r="BX42" s="1" t="str">
        <f>IF(AV42&gt;AV$95, AV42-AV$95,"")</f>
        <v/>
      </c>
      <c r="BY42" s="1">
        <f>IF(AW42&gt;AW$95, AW42-AW$95,"")</f>
        <v>7</v>
      </c>
      <c r="BZ42" s="1">
        <f>COUNTIF(BN42:BY42, "&gt;0")</f>
        <v>1</v>
      </c>
      <c r="CA42" s="1" t="str">
        <f>IF($BZ42=1,BN42,"")</f>
        <v/>
      </c>
      <c r="CB42" s="1" t="str">
        <f>IF($BZ42=1,BO42,"")</f>
        <v/>
      </c>
      <c r="CC42" s="1" t="str">
        <f>IF($BZ42=1,BP42,"")</f>
        <v/>
      </c>
      <c r="CD42" s="1" t="str">
        <f>IF($BZ42=1,BQ42,"")</f>
        <v/>
      </c>
      <c r="CE42" s="1" t="str">
        <f>IF($BZ42=1,BR42,"")</f>
        <v/>
      </c>
      <c r="CF42" s="1" t="str">
        <f>IF($BZ42=1,BS42,"")</f>
        <v/>
      </c>
      <c r="CG42" s="1" t="str">
        <f>IF($BZ42=1,BT42,"")</f>
        <v/>
      </c>
      <c r="CH42" s="1" t="str">
        <f>IF($BZ42=1,BU42,"")</f>
        <v/>
      </c>
      <c r="CI42" s="1" t="str">
        <f>IF($BZ42=1,BV42,"")</f>
        <v/>
      </c>
      <c r="CJ42" s="1" t="str">
        <f>IF($BZ42=1,BW42,"")</f>
        <v/>
      </c>
      <c r="CK42" s="1" t="str">
        <f>IF($BZ42=1,BX42,"")</f>
        <v/>
      </c>
      <c r="CL42" s="1">
        <f>IF($BZ42=1,BY42,"")</f>
        <v>7</v>
      </c>
    </row>
    <row r="43" spans="1:90" x14ac:dyDescent="0.15">
      <c r="A43" s="1">
        <v>96</v>
      </c>
      <c r="B43" s="3" t="s">
        <v>95</v>
      </c>
      <c r="C43" s="3" t="s">
        <v>96</v>
      </c>
      <c r="D43" s="1" t="s">
        <v>1</v>
      </c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4"/>
      <c r="AM43" s="4"/>
      <c r="AN43" s="4"/>
      <c r="AO43" s="4"/>
      <c r="AP43" s="4"/>
      <c r="AQ43" s="4"/>
      <c r="AR43" s="2"/>
      <c r="AS43" s="2"/>
      <c r="AT43" s="2"/>
      <c r="AU43" s="2"/>
      <c r="AV43" s="2">
        <v>10</v>
      </c>
      <c r="AW43" s="2">
        <v>10</v>
      </c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>
        <f>SUM(E43:BI43)</f>
        <v>20</v>
      </c>
      <c r="BK43" s="1">
        <v>7</v>
      </c>
      <c r="BL43" s="17">
        <v>1</v>
      </c>
      <c r="BM43" s="17" t="s">
        <v>185</v>
      </c>
      <c r="BN43" s="1" t="str">
        <f>IF(AL43&gt;AL$95, AL43-AL$95,"")</f>
        <v/>
      </c>
      <c r="BO43" s="1" t="str">
        <f>IF(AM43&gt;AM$95, AM43-AM$95,"")</f>
        <v/>
      </c>
      <c r="BP43" s="1" t="str">
        <f>IF(AN43&gt;AN$95, AN43-AN$95,"")</f>
        <v/>
      </c>
      <c r="BQ43" s="1" t="str">
        <f>IF(AO43&gt;AO$95, AO43-AO$95,"")</f>
        <v/>
      </c>
      <c r="BR43" s="1" t="str">
        <f>IF(AP43&gt;AP$95, AP43-AP$95,"")</f>
        <v/>
      </c>
      <c r="BS43" s="1" t="str">
        <f>IF(AQ43&gt;AQ$95, AQ43-AQ$95,"")</f>
        <v/>
      </c>
      <c r="BT43" s="1" t="str">
        <f>IF(AR43&gt;AR$95, AR43-AR$95,"")</f>
        <v/>
      </c>
      <c r="BU43" s="1" t="str">
        <f>IF(AS43&gt;AS$95, AS43-AS$95,"")</f>
        <v/>
      </c>
      <c r="BV43" s="1" t="str">
        <f>IF(AT43&gt;AT$95, AT43-AT$95,"")</f>
        <v/>
      </c>
      <c r="BW43" s="1" t="str">
        <f>IF(AU43&gt;AU$95, AU43-AU$95,"")</f>
        <v/>
      </c>
      <c r="BX43" s="1" t="str">
        <f>IF(AV43&gt;AV$95, AV43-AV$95,"")</f>
        <v/>
      </c>
      <c r="BY43" s="1">
        <f>IF(AW43&gt;AW$95, AW43-AW$95,"")</f>
        <v>7</v>
      </c>
      <c r="BZ43" s="1">
        <f>COUNTIF(BN43:BY43, "&gt;0")</f>
        <v>1</v>
      </c>
      <c r="CA43" s="1" t="str">
        <f>IF($BZ43=1,BN43,"")</f>
        <v/>
      </c>
      <c r="CB43" s="1" t="str">
        <f>IF($BZ43=1,BO43,"")</f>
        <v/>
      </c>
      <c r="CC43" s="1" t="str">
        <f>IF($BZ43=1,BP43,"")</f>
        <v/>
      </c>
      <c r="CD43" s="1" t="str">
        <f>IF($BZ43=1,BQ43,"")</f>
        <v/>
      </c>
      <c r="CE43" s="1" t="str">
        <f>IF($BZ43=1,BR43,"")</f>
        <v/>
      </c>
      <c r="CF43" s="1" t="str">
        <f>IF($BZ43=1,BS43,"")</f>
        <v/>
      </c>
      <c r="CG43" s="1" t="str">
        <f>IF($BZ43=1,BT43,"")</f>
        <v/>
      </c>
      <c r="CH43" s="1" t="str">
        <f>IF($BZ43=1,BU43,"")</f>
        <v/>
      </c>
      <c r="CI43" s="1" t="str">
        <f>IF($BZ43=1,BV43,"")</f>
        <v/>
      </c>
      <c r="CJ43" s="1" t="str">
        <f>IF($BZ43=1,BW43,"")</f>
        <v/>
      </c>
      <c r="CK43" s="1" t="str">
        <f>IF($BZ43=1,BX43,"")</f>
        <v/>
      </c>
      <c r="CL43" s="1">
        <f>IF($BZ43=1,BY43,"")</f>
        <v>7</v>
      </c>
    </row>
    <row r="44" spans="1:90" x14ac:dyDescent="0.15">
      <c r="A44" s="1">
        <v>75</v>
      </c>
      <c r="B44" s="3" t="s">
        <v>86</v>
      </c>
      <c r="C44" s="3" t="s">
        <v>87</v>
      </c>
      <c r="D44" s="1" t="s">
        <v>24</v>
      </c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>
        <v>20</v>
      </c>
      <c r="T44" s="6"/>
      <c r="U44" s="6"/>
      <c r="V44" s="6"/>
      <c r="W44" s="6"/>
      <c r="X44" s="6"/>
      <c r="Y44" s="6"/>
      <c r="Z44" s="6">
        <v>25</v>
      </c>
      <c r="AA44" s="6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4"/>
      <c r="AM44" s="4"/>
      <c r="AN44" s="4"/>
      <c r="AO44" s="4"/>
      <c r="AP44" s="4"/>
      <c r="AQ44" s="4"/>
      <c r="AR44" s="2"/>
      <c r="AS44" s="2"/>
      <c r="AT44" s="2"/>
      <c r="AU44" s="2"/>
      <c r="AV44" s="2"/>
      <c r="AW44" s="2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>
        <f>SUM(E44:BI44)</f>
        <v>45</v>
      </c>
      <c r="BK44" s="1">
        <v>8</v>
      </c>
      <c r="BL44" s="17">
        <v>1</v>
      </c>
      <c r="BM44" s="17" t="s">
        <v>186</v>
      </c>
      <c r="BN44" s="1" t="str">
        <f>IF(AL44&gt;AL$95, AL44-AL$95,"")</f>
        <v/>
      </c>
      <c r="BO44" s="1" t="str">
        <f>IF(AM44&gt;AM$95, AM44-AM$95,"")</f>
        <v/>
      </c>
      <c r="BP44" s="1" t="str">
        <f>IF(AN44&gt;AN$95, AN44-AN$95,"")</f>
        <v/>
      </c>
      <c r="BQ44" s="1" t="str">
        <f>IF(AO44&gt;AO$95, AO44-AO$95,"")</f>
        <v/>
      </c>
      <c r="BR44" s="1" t="str">
        <f>IF(AP44&gt;AP$95, AP44-AP$95,"")</f>
        <v/>
      </c>
      <c r="BS44" s="1" t="str">
        <f>IF(AQ44&gt;AQ$95, AQ44-AQ$95,"")</f>
        <v/>
      </c>
      <c r="BT44" s="1" t="str">
        <f>IF(AR44&gt;AR$95, AR44-AR$95,"")</f>
        <v/>
      </c>
      <c r="BU44" s="1" t="str">
        <f>IF(AS44&gt;AS$95, AS44-AS$95,"")</f>
        <v/>
      </c>
      <c r="BV44" s="1" t="str">
        <f>IF(AT44&gt;AT$95, AT44-AT$95,"")</f>
        <v/>
      </c>
      <c r="BW44" s="1" t="str">
        <f>IF(AU44&gt;AU$95, AU44-AU$95,"")</f>
        <v/>
      </c>
      <c r="BX44" s="1" t="str">
        <f>IF(AV44&gt;AV$95, AV44-AV$95,"")</f>
        <v/>
      </c>
      <c r="BY44" s="1" t="str">
        <f>IF(AW44&gt;AW$95, AW44-AW$95,"")</f>
        <v/>
      </c>
      <c r="BZ44" s="1">
        <f>COUNTIF(BN44:BY44, "&gt;0")</f>
        <v>0</v>
      </c>
      <c r="CA44" s="1" t="str">
        <f>IF($BZ44=1,BN44,"")</f>
        <v/>
      </c>
      <c r="CB44" s="1" t="str">
        <f>IF($BZ44=1,BO44,"")</f>
        <v/>
      </c>
      <c r="CC44" s="1" t="str">
        <f>IF($BZ44=1,BP44,"")</f>
        <v/>
      </c>
      <c r="CD44" s="1" t="str">
        <f>IF($BZ44=1,BQ44,"")</f>
        <v/>
      </c>
      <c r="CE44" s="1" t="str">
        <f>IF($BZ44=1,BR44,"")</f>
        <v/>
      </c>
      <c r="CF44" s="1" t="str">
        <f>IF($BZ44=1,BS44,"")</f>
        <v/>
      </c>
      <c r="CG44" s="1" t="str">
        <f>IF($BZ44=1,BT44,"")</f>
        <v/>
      </c>
      <c r="CH44" s="1" t="str">
        <f>IF($BZ44=1,BU44,"")</f>
        <v/>
      </c>
      <c r="CI44" s="1" t="str">
        <f>IF($BZ44=1,BV44,"")</f>
        <v/>
      </c>
      <c r="CJ44" s="1" t="str">
        <f>IF($BZ44=1,BW44,"")</f>
        <v/>
      </c>
      <c r="CK44" s="1" t="str">
        <f>IF($BZ44=1,BX44,"")</f>
        <v/>
      </c>
      <c r="CL44" s="1" t="str">
        <f>IF($BZ44=1,BY44,"")</f>
        <v/>
      </c>
    </row>
    <row r="45" spans="1:90" x14ac:dyDescent="0.15">
      <c r="A45" s="1">
        <v>56</v>
      </c>
      <c r="B45" s="1" t="s">
        <v>71</v>
      </c>
      <c r="C45" s="1" t="s">
        <v>68</v>
      </c>
      <c r="D45" s="1" t="s">
        <v>1</v>
      </c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4"/>
      <c r="AM45" s="4"/>
      <c r="AN45" s="4"/>
      <c r="AO45" s="4"/>
      <c r="AP45" s="4"/>
      <c r="AQ45" s="4">
        <v>10</v>
      </c>
      <c r="AR45" s="2"/>
      <c r="AS45" s="2"/>
      <c r="AT45" s="2"/>
      <c r="AU45" s="2"/>
      <c r="AV45" s="2">
        <v>10</v>
      </c>
      <c r="AW45" s="2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>
        <f>SUM(E45:BI45)</f>
        <v>20</v>
      </c>
      <c r="BK45" s="1">
        <v>8</v>
      </c>
      <c r="BL45" s="17">
        <v>1</v>
      </c>
      <c r="BM45" s="17" t="s">
        <v>187</v>
      </c>
      <c r="BN45" s="1" t="str">
        <f>IF(AL45&gt;AL$95, AL45-AL$95,"")</f>
        <v/>
      </c>
      <c r="BO45" s="1" t="str">
        <f>IF(AM45&gt;AM$95, AM45-AM$95,"")</f>
        <v/>
      </c>
      <c r="BP45" s="1" t="str">
        <f>IF(AN45&gt;AN$95, AN45-AN$95,"")</f>
        <v/>
      </c>
      <c r="BQ45" s="1" t="str">
        <f>IF(AO45&gt;AO$95, AO45-AO$95,"")</f>
        <v/>
      </c>
      <c r="BR45" s="1" t="str">
        <f>IF(AP45&gt;AP$95, AP45-AP$95,"")</f>
        <v/>
      </c>
      <c r="BS45" s="1">
        <f>IF(AQ45&gt;AQ$95, AQ45-AQ$95,"")</f>
        <v>8</v>
      </c>
      <c r="BT45" s="1" t="str">
        <f>IF(AR45&gt;AR$95, AR45-AR$95,"")</f>
        <v/>
      </c>
      <c r="BU45" s="1" t="str">
        <f>IF(AS45&gt;AS$95, AS45-AS$95,"")</f>
        <v/>
      </c>
      <c r="BV45" s="1" t="str">
        <f>IF(AT45&gt;AT$95, AT45-AT$95,"")</f>
        <v/>
      </c>
      <c r="BW45" s="1" t="str">
        <f>IF(AU45&gt;AU$95, AU45-AU$95,"")</f>
        <v/>
      </c>
      <c r="BX45" s="1" t="str">
        <f>IF(AV45&gt;AV$95, AV45-AV$95,"")</f>
        <v/>
      </c>
      <c r="BY45" s="1" t="str">
        <f>IF(AW45&gt;AW$95, AW45-AW$95,"")</f>
        <v/>
      </c>
      <c r="BZ45" s="1">
        <f>COUNTIF(BN45:BY45, "&gt;0")</f>
        <v>1</v>
      </c>
      <c r="CA45" s="1" t="str">
        <f>IF($BZ45=1,BN45,"")</f>
        <v/>
      </c>
      <c r="CB45" s="1" t="str">
        <f>IF($BZ45=1,BO45,"")</f>
        <v/>
      </c>
      <c r="CC45" s="1" t="str">
        <f>IF($BZ45=1,BP45,"")</f>
        <v/>
      </c>
      <c r="CD45" s="1" t="str">
        <f>IF($BZ45=1,BQ45,"")</f>
        <v/>
      </c>
      <c r="CE45" s="1" t="str">
        <f>IF($BZ45=1,BR45,"")</f>
        <v/>
      </c>
      <c r="CF45" s="1">
        <f>IF($BZ45=1,BS45,"")</f>
        <v>8</v>
      </c>
      <c r="CG45" s="1" t="str">
        <f>IF($BZ45=1,BT45,"")</f>
        <v/>
      </c>
      <c r="CH45" s="1" t="str">
        <f>IF($BZ45=1,BU45,"")</f>
        <v/>
      </c>
      <c r="CI45" s="1" t="str">
        <f>IF($BZ45=1,BV45,"")</f>
        <v/>
      </c>
      <c r="CJ45" s="1" t="str">
        <f>IF($BZ45=1,BW45,"")</f>
        <v/>
      </c>
      <c r="CK45" s="1" t="str">
        <f>IF($BZ45=1,BX45,"")</f>
        <v/>
      </c>
      <c r="CL45" s="1" t="str">
        <f>IF($BZ45=1,BY45,"")</f>
        <v/>
      </c>
    </row>
    <row r="46" spans="1:90" x14ac:dyDescent="0.15">
      <c r="A46" s="1">
        <v>57</v>
      </c>
      <c r="B46" s="1" t="s">
        <v>133</v>
      </c>
      <c r="C46" s="1" t="s">
        <v>68</v>
      </c>
      <c r="D46" s="1" t="s">
        <v>1</v>
      </c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4"/>
      <c r="AM46" s="4"/>
      <c r="AN46" s="4"/>
      <c r="AO46" s="4"/>
      <c r="AP46" s="4"/>
      <c r="AQ46" s="4">
        <v>10</v>
      </c>
      <c r="AR46" s="2"/>
      <c r="AS46" s="2"/>
      <c r="AT46" s="2"/>
      <c r="AU46" s="2"/>
      <c r="AV46" s="2">
        <v>10</v>
      </c>
      <c r="AW46" s="2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>
        <f>SUM(E46:BI46)</f>
        <v>20</v>
      </c>
      <c r="BK46" s="1">
        <v>8</v>
      </c>
      <c r="BL46" s="17">
        <v>1</v>
      </c>
      <c r="BM46" s="17" t="s">
        <v>187</v>
      </c>
      <c r="BN46" s="1" t="str">
        <f>IF(AL46&gt;AL$95, AL46-AL$95,"")</f>
        <v/>
      </c>
      <c r="BO46" s="1" t="str">
        <f>IF(AM46&gt;AM$95, AM46-AM$95,"")</f>
        <v/>
      </c>
      <c r="BP46" s="1" t="str">
        <f>IF(AN46&gt;AN$95, AN46-AN$95,"")</f>
        <v/>
      </c>
      <c r="BQ46" s="1" t="str">
        <f>IF(AO46&gt;AO$95, AO46-AO$95,"")</f>
        <v/>
      </c>
      <c r="BR46" s="1" t="str">
        <f>IF(AP46&gt;AP$95, AP46-AP$95,"")</f>
        <v/>
      </c>
      <c r="BS46" s="1">
        <f>IF(AQ46&gt;AQ$95, AQ46-AQ$95,"")</f>
        <v>8</v>
      </c>
      <c r="BT46" s="1" t="str">
        <f>IF(AR46&gt;AR$95, AR46-AR$95,"")</f>
        <v/>
      </c>
      <c r="BU46" s="1" t="str">
        <f>IF(AS46&gt;AS$95, AS46-AS$95,"")</f>
        <v/>
      </c>
      <c r="BV46" s="1" t="str">
        <f>IF(AT46&gt;AT$95, AT46-AT$95,"")</f>
        <v/>
      </c>
      <c r="BW46" s="1" t="str">
        <f>IF(AU46&gt;AU$95, AU46-AU$95,"")</f>
        <v/>
      </c>
      <c r="BX46" s="1" t="str">
        <f>IF(AV46&gt;AV$95, AV46-AV$95,"")</f>
        <v/>
      </c>
      <c r="BY46" s="1" t="str">
        <f>IF(AW46&gt;AW$95, AW46-AW$95,"")</f>
        <v/>
      </c>
      <c r="BZ46" s="1">
        <f>COUNTIF(BN46:BY46, "&gt;0")</f>
        <v>1</v>
      </c>
      <c r="CA46" s="1" t="str">
        <f>IF($BZ46=1,BN46,"")</f>
        <v/>
      </c>
      <c r="CB46" s="1" t="str">
        <f>IF($BZ46=1,BO46,"")</f>
        <v/>
      </c>
      <c r="CC46" s="1" t="str">
        <f>IF($BZ46=1,BP46,"")</f>
        <v/>
      </c>
      <c r="CD46" s="1" t="str">
        <f>IF($BZ46=1,BQ46,"")</f>
        <v/>
      </c>
      <c r="CE46" s="1" t="str">
        <f>IF($BZ46=1,BR46,"")</f>
        <v/>
      </c>
      <c r="CF46" s="1">
        <f>IF($BZ46=1,BS46,"")</f>
        <v>8</v>
      </c>
      <c r="CG46" s="1" t="str">
        <f>IF($BZ46=1,BT46,"")</f>
        <v/>
      </c>
      <c r="CH46" s="1" t="str">
        <f>IF($BZ46=1,BU46,"")</f>
        <v/>
      </c>
      <c r="CI46" s="1" t="str">
        <f>IF($BZ46=1,BV46,"")</f>
        <v/>
      </c>
      <c r="CJ46" s="1" t="str">
        <f>IF($BZ46=1,BW46,"")</f>
        <v/>
      </c>
      <c r="CK46" s="1" t="str">
        <f>IF($BZ46=1,BX46,"")</f>
        <v/>
      </c>
      <c r="CL46" s="1" t="str">
        <f>IF($BZ46=1,BY46,"")</f>
        <v/>
      </c>
    </row>
    <row r="47" spans="1:90" x14ac:dyDescent="0.15">
      <c r="A47" s="1">
        <v>97</v>
      </c>
      <c r="B47" s="3" t="s">
        <v>97</v>
      </c>
      <c r="C47" s="3" t="s">
        <v>96</v>
      </c>
      <c r="D47" s="1" t="s">
        <v>24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1">
        <v>10</v>
      </c>
      <c r="AC47" s="1"/>
      <c r="AD47" s="1"/>
      <c r="AE47" s="1"/>
      <c r="AF47" s="1"/>
      <c r="AG47" s="1"/>
      <c r="AH47" s="1"/>
      <c r="AI47" s="1"/>
      <c r="AJ47" s="1"/>
      <c r="AK47" s="1"/>
      <c r="AL47" s="4"/>
      <c r="AM47" s="4"/>
      <c r="AN47" s="4"/>
      <c r="AO47" s="4"/>
      <c r="AP47" s="4"/>
      <c r="AQ47" s="4"/>
      <c r="AR47" s="2"/>
      <c r="AS47" s="2"/>
      <c r="AT47" s="2"/>
      <c r="AU47" s="2"/>
      <c r="AV47" s="2"/>
      <c r="AW47" s="2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>
        <f>SUM(E47:BI47)</f>
        <v>10</v>
      </c>
      <c r="BK47" s="1">
        <v>10</v>
      </c>
      <c r="BL47" s="17">
        <v>1</v>
      </c>
      <c r="BM47" s="17" t="s">
        <v>188</v>
      </c>
      <c r="BN47" s="1" t="str">
        <f>IF(AL47&gt;AL$95, AL47-AL$95,"")</f>
        <v/>
      </c>
      <c r="BO47" s="1" t="str">
        <f>IF(AM47&gt;AM$95, AM47-AM$95,"")</f>
        <v/>
      </c>
      <c r="BP47" s="1" t="str">
        <f>IF(AN47&gt;AN$95, AN47-AN$95,"")</f>
        <v/>
      </c>
      <c r="BQ47" s="1" t="str">
        <f>IF(AO47&gt;AO$95, AO47-AO$95,"")</f>
        <v/>
      </c>
      <c r="BR47" s="1" t="str">
        <f>IF(AP47&gt;AP$95, AP47-AP$95,"")</f>
        <v/>
      </c>
      <c r="BS47" s="1" t="str">
        <f>IF(AQ47&gt;AQ$95, AQ47-AQ$95,"")</f>
        <v/>
      </c>
      <c r="BT47" s="1" t="str">
        <f>IF(AR47&gt;AR$95, AR47-AR$95,"")</f>
        <v/>
      </c>
      <c r="BU47" s="1" t="str">
        <f>IF(AS47&gt;AS$95, AS47-AS$95,"")</f>
        <v/>
      </c>
      <c r="BV47" s="1" t="str">
        <f>IF(AT47&gt;AT$95, AT47-AT$95,"")</f>
        <v/>
      </c>
      <c r="BW47" s="1" t="str">
        <f>IF(AU47&gt;AU$95, AU47-AU$95,"")</f>
        <v/>
      </c>
      <c r="BX47" s="1" t="str">
        <f>IF(AV47&gt;AV$95, AV47-AV$95,"")</f>
        <v/>
      </c>
      <c r="BY47" s="1" t="str">
        <f>IF(AW47&gt;AW$95, AW47-AW$95,"")</f>
        <v/>
      </c>
      <c r="BZ47" s="1">
        <f>COUNTIF(BN47:BY47, "&gt;0")</f>
        <v>0</v>
      </c>
      <c r="CA47" s="1" t="str">
        <f>IF($BZ47=1,BN47,"")</f>
        <v/>
      </c>
      <c r="CB47" s="1" t="str">
        <f>IF($BZ47=1,BO47,"")</f>
        <v/>
      </c>
      <c r="CC47" s="1" t="str">
        <f>IF($BZ47=1,BP47,"")</f>
        <v/>
      </c>
      <c r="CD47" s="1" t="str">
        <f>IF($BZ47=1,BQ47,"")</f>
        <v/>
      </c>
      <c r="CE47" s="1" t="str">
        <f>IF($BZ47=1,BR47,"")</f>
        <v/>
      </c>
      <c r="CF47" s="1" t="str">
        <f>IF($BZ47=1,BS47,"")</f>
        <v/>
      </c>
      <c r="CG47" s="1" t="str">
        <f>IF($BZ47=1,BT47,"")</f>
        <v/>
      </c>
      <c r="CH47" s="1" t="str">
        <f>IF($BZ47=1,BU47,"")</f>
        <v/>
      </c>
      <c r="CI47" s="1" t="str">
        <f>IF($BZ47=1,BV47,"")</f>
        <v/>
      </c>
      <c r="CJ47" s="1" t="str">
        <f>IF($BZ47=1,BW47,"")</f>
        <v/>
      </c>
      <c r="CK47" s="1" t="str">
        <f>IF($BZ47=1,BX47,"")</f>
        <v/>
      </c>
      <c r="CL47" s="1" t="str">
        <f>IF($BZ47=1,BY47,"")</f>
        <v/>
      </c>
    </row>
    <row r="48" spans="1:90" x14ac:dyDescent="0.15">
      <c r="A48" s="1">
        <v>2</v>
      </c>
      <c r="B48" s="1" t="s">
        <v>8</v>
      </c>
      <c r="C48" s="1" t="s">
        <v>2</v>
      </c>
      <c r="D48" s="1" t="s">
        <v>1</v>
      </c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1">
        <v>15</v>
      </c>
      <c r="AC48" s="1"/>
      <c r="AD48" s="1"/>
      <c r="AE48" s="1"/>
      <c r="AF48" s="1"/>
      <c r="AG48" s="1"/>
      <c r="AH48" s="1"/>
      <c r="AI48" s="1"/>
      <c r="AJ48" s="1"/>
      <c r="AK48" s="1"/>
      <c r="AL48" s="4"/>
      <c r="AM48" s="4"/>
      <c r="AN48" s="4"/>
      <c r="AO48" s="4"/>
      <c r="AP48" s="4"/>
      <c r="AQ48" s="4"/>
      <c r="AR48" s="2"/>
      <c r="AS48" s="2"/>
      <c r="AT48" s="2"/>
      <c r="AU48" s="2">
        <v>15</v>
      </c>
      <c r="AV48" s="2"/>
      <c r="AW48" s="2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>
        <f>SUM(E48:BI48)</f>
        <v>30</v>
      </c>
      <c r="BK48" s="1">
        <v>15</v>
      </c>
      <c r="BL48" s="17">
        <v>1</v>
      </c>
      <c r="BM48" s="17" t="s">
        <v>189</v>
      </c>
      <c r="BN48" s="1" t="str">
        <f>IF(AL48&gt;AL$95, AL48-AL$95,"")</f>
        <v/>
      </c>
      <c r="BO48" s="1" t="str">
        <f>IF(AM48&gt;AM$95, AM48-AM$95,"")</f>
        <v/>
      </c>
      <c r="BP48" s="1" t="str">
        <f>IF(AN48&gt;AN$95, AN48-AN$95,"")</f>
        <v/>
      </c>
      <c r="BQ48" s="1" t="str">
        <f>IF(AO48&gt;AO$95, AO48-AO$95,"")</f>
        <v/>
      </c>
      <c r="BR48" s="1" t="str">
        <f>IF(AP48&gt;AP$95, AP48-AP$95,"")</f>
        <v/>
      </c>
      <c r="BS48" s="1" t="str">
        <f>IF(AQ48&gt;AQ$95, AQ48-AQ$95,"")</f>
        <v/>
      </c>
      <c r="BT48" s="1" t="str">
        <f>IF(AR48&gt;AR$95, AR48-AR$95,"")</f>
        <v/>
      </c>
      <c r="BU48" s="1" t="str">
        <f>IF(AS48&gt;AS$95, AS48-AS$95,"")</f>
        <v/>
      </c>
      <c r="BV48" s="1" t="str">
        <f>IF(AT48&gt;AT$95, AT48-AT$95,"")</f>
        <v/>
      </c>
      <c r="BW48" s="1" t="str">
        <f>IF(AU48&gt;AU$95, AU48-AU$95,"")</f>
        <v/>
      </c>
      <c r="BX48" s="1" t="str">
        <f>IF(AV48&gt;AV$95, AV48-AV$95,"")</f>
        <v/>
      </c>
      <c r="BY48" s="1" t="str">
        <f>IF(AW48&gt;AW$95, AW48-AW$95,"")</f>
        <v/>
      </c>
      <c r="BZ48" s="1">
        <f>COUNTIF(BN48:BY48, "&gt;0")</f>
        <v>0</v>
      </c>
      <c r="CA48" s="1" t="str">
        <f>IF($BZ48=1,BN48,"")</f>
        <v/>
      </c>
      <c r="CB48" s="1" t="str">
        <f>IF($BZ48=1,BO48,"")</f>
        <v/>
      </c>
      <c r="CC48" s="1" t="str">
        <f>IF($BZ48=1,BP48,"")</f>
        <v/>
      </c>
      <c r="CD48" s="1" t="str">
        <f>IF($BZ48=1,BQ48,"")</f>
        <v/>
      </c>
      <c r="CE48" s="1" t="str">
        <f>IF($BZ48=1,BR48,"")</f>
        <v/>
      </c>
      <c r="CF48" s="1" t="str">
        <f>IF($BZ48=1,BS48,"")</f>
        <v/>
      </c>
      <c r="CG48" s="1" t="str">
        <f>IF($BZ48=1,BT48,"")</f>
        <v/>
      </c>
      <c r="CH48" s="1" t="str">
        <f>IF($BZ48=1,BU48,"")</f>
        <v/>
      </c>
      <c r="CI48" s="1" t="str">
        <f>IF($BZ48=1,BV48,"")</f>
        <v/>
      </c>
      <c r="CJ48" s="1" t="str">
        <f>IF($BZ48=1,BW48,"")</f>
        <v/>
      </c>
      <c r="CK48" s="1" t="str">
        <f>IF($BZ48=1,BX48,"")</f>
        <v/>
      </c>
      <c r="CL48" s="1" t="str">
        <f>IF($BZ48=1,BY48,"")</f>
        <v/>
      </c>
    </row>
    <row r="49" spans="1:90" x14ac:dyDescent="0.15">
      <c r="A49" s="1">
        <v>62</v>
      </c>
      <c r="B49" s="1" t="s">
        <v>76</v>
      </c>
      <c r="C49" s="1" t="s">
        <v>68</v>
      </c>
      <c r="D49" s="1" t="s">
        <v>1</v>
      </c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1"/>
      <c r="AC49" s="1"/>
      <c r="AD49" s="1"/>
      <c r="AE49" s="1"/>
      <c r="AF49" s="1"/>
      <c r="AG49" s="1"/>
      <c r="AH49" s="1"/>
      <c r="AI49" s="1"/>
      <c r="AJ49" s="1">
        <v>15</v>
      </c>
      <c r="AK49" s="1"/>
      <c r="AL49" s="4"/>
      <c r="AM49" s="4"/>
      <c r="AN49" s="4"/>
      <c r="AO49" s="4"/>
      <c r="AP49" s="4"/>
      <c r="AQ49" s="4"/>
      <c r="AR49" s="2"/>
      <c r="AS49" s="2"/>
      <c r="AT49" s="2"/>
      <c r="AU49" s="2"/>
      <c r="AV49" s="2"/>
      <c r="AW49" s="2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>
        <f>SUM(E49:BI49)</f>
        <v>15</v>
      </c>
      <c r="BK49" s="1">
        <v>15</v>
      </c>
      <c r="BL49" s="17">
        <v>1</v>
      </c>
      <c r="BM49" s="17" t="s">
        <v>190</v>
      </c>
      <c r="BN49" s="1" t="str">
        <f>IF(AL49&gt;AL$95, AL49-AL$95,"")</f>
        <v/>
      </c>
      <c r="BO49" s="1" t="str">
        <f>IF(AM49&gt;AM$95, AM49-AM$95,"")</f>
        <v/>
      </c>
      <c r="BP49" s="1" t="str">
        <f>IF(AN49&gt;AN$95, AN49-AN$95,"")</f>
        <v/>
      </c>
      <c r="BQ49" s="1" t="str">
        <f>IF(AO49&gt;AO$95, AO49-AO$95,"")</f>
        <v/>
      </c>
      <c r="BR49" s="1" t="str">
        <f>IF(AP49&gt;AP$95, AP49-AP$95,"")</f>
        <v/>
      </c>
      <c r="BS49" s="1" t="str">
        <f>IF(AQ49&gt;AQ$95, AQ49-AQ$95,"")</f>
        <v/>
      </c>
      <c r="BT49" s="1" t="str">
        <f>IF(AR49&gt;AR$95, AR49-AR$95,"")</f>
        <v/>
      </c>
      <c r="BU49" s="1" t="str">
        <f>IF(AS49&gt;AS$95, AS49-AS$95,"")</f>
        <v/>
      </c>
      <c r="BV49" s="1" t="str">
        <f>IF(AT49&gt;AT$95, AT49-AT$95,"")</f>
        <v/>
      </c>
      <c r="BW49" s="1" t="str">
        <f>IF(AU49&gt;AU$95, AU49-AU$95,"")</f>
        <v/>
      </c>
      <c r="BX49" s="1" t="str">
        <f>IF(AV49&gt;AV$95, AV49-AV$95,"")</f>
        <v/>
      </c>
      <c r="BY49" s="1" t="str">
        <f>IF(AW49&gt;AW$95, AW49-AW$95,"")</f>
        <v/>
      </c>
      <c r="BZ49" s="1">
        <f>COUNTIF(BN49:BY49, "&gt;0")</f>
        <v>0</v>
      </c>
      <c r="CA49" s="1" t="str">
        <f>IF($BZ49=1,BN49,"")</f>
        <v/>
      </c>
      <c r="CB49" s="1" t="str">
        <f>IF($BZ49=1,BO49,"")</f>
        <v/>
      </c>
      <c r="CC49" s="1" t="str">
        <f>IF($BZ49=1,BP49,"")</f>
        <v/>
      </c>
      <c r="CD49" s="1" t="str">
        <f>IF($BZ49=1,BQ49,"")</f>
        <v/>
      </c>
      <c r="CE49" s="1" t="str">
        <f>IF($BZ49=1,BR49,"")</f>
        <v/>
      </c>
      <c r="CF49" s="1" t="str">
        <f>IF($BZ49=1,BS49,"")</f>
        <v/>
      </c>
      <c r="CG49" s="1" t="str">
        <f>IF($BZ49=1,BT49,"")</f>
        <v/>
      </c>
      <c r="CH49" s="1" t="str">
        <f>IF($BZ49=1,BU49,"")</f>
        <v/>
      </c>
      <c r="CI49" s="1" t="str">
        <f>IF($BZ49=1,BV49,"")</f>
        <v/>
      </c>
      <c r="CJ49" s="1" t="str">
        <f>IF($BZ49=1,BW49,"")</f>
        <v/>
      </c>
      <c r="CK49" s="1" t="str">
        <f>IF($BZ49=1,BX49,"")</f>
        <v/>
      </c>
      <c r="CL49" s="1" t="str">
        <f>IF($BZ49=1,BY49,"")</f>
        <v/>
      </c>
    </row>
    <row r="50" spans="1:90" x14ac:dyDescent="0.15">
      <c r="A50" s="1">
        <v>64</v>
      </c>
      <c r="B50" s="3" t="s">
        <v>78</v>
      </c>
      <c r="C50" s="1" t="s">
        <v>68</v>
      </c>
      <c r="D50" s="1" t="s">
        <v>1</v>
      </c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1"/>
      <c r="AC50" s="1"/>
      <c r="AD50" s="1"/>
      <c r="AE50" s="1"/>
      <c r="AF50" s="1"/>
      <c r="AG50" s="1"/>
      <c r="AH50" s="1"/>
      <c r="AI50" s="1"/>
      <c r="AJ50" s="1"/>
      <c r="AK50" s="1">
        <v>15</v>
      </c>
      <c r="AL50" s="4"/>
      <c r="AM50" s="4"/>
      <c r="AN50" s="4"/>
      <c r="AO50" s="4"/>
      <c r="AP50" s="4"/>
      <c r="AQ50" s="4"/>
      <c r="AR50" s="2"/>
      <c r="AS50" s="2"/>
      <c r="AT50" s="2"/>
      <c r="AU50" s="2"/>
      <c r="AV50" s="2"/>
      <c r="AW50" s="2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>
        <f>SUM(E50:BI50)</f>
        <v>15</v>
      </c>
      <c r="BK50" s="1">
        <v>15</v>
      </c>
      <c r="BL50" s="17">
        <v>1</v>
      </c>
      <c r="BM50" s="17" t="s">
        <v>191</v>
      </c>
      <c r="BN50" s="1" t="str">
        <f>IF(AL50&gt;AL$95, AL50-AL$95,"")</f>
        <v/>
      </c>
      <c r="BO50" s="1" t="str">
        <f>IF(AM50&gt;AM$95, AM50-AM$95,"")</f>
        <v/>
      </c>
      <c r="BP50" s="1" t="str">
        <f>IF(AN50&gt;AN$95, AN50-AN$95,"")</f>
        <v/>
      </c>
      <c r="BQ50" s="1" t="str">
        <f>IF(AO50&gt;AO$95, AO50-AO$95,"")</f>
        <v/>
      </c>
      <c r="BR50" s="1" t="str">
        <f>IF(AP50&gt;AP$95, AP50-AP$95,"")</f>
        <v/>
      </c>
      <c r="BS50" s="1" t="str">
        <f>IF(AQ50&gt;AQ$95, AQ50-AQ$95,"")</f>
        <v/>
      </c>
      <c r="BT50" s="1" t="str">
        <f>IF(AR50&gt;AR$95, AR50-AR$95,"")</f>
        <v/>
      </c>
      <c r="BU50" s="1" t="str">
        <f>IF(AS50&gt;AS$95, AS50-AS$95,"")</f>
        <v/>
      </c>
      <c r="BV50" s="1" t="str">
        <f>IF(AT50&gt;AT$95, AT50-AT$95,"")</f>
        <v/>
      </c>
      <c r="BW50" s="1" t="str">
        <f>IF(AU50&gt;AU$95, AU50-AU$95,"")</f>
        <v/>
      </c>
      <c r="BX50" s="1" t="str">
        <f>IF(AV50&gt;AV$95, AV50-AV$95,"")</f>
        <v/>
      </c>
      <c r="BY50" s="1" t="str">
        <f>IF(AW50&gt;AW$95, AW50-AW$95,"")</f>
        <v/>
      </c>
      <c r="BZ50" s="1">
        <f>COUNTIF(BN50:BY50, "&gt;0")</f>
        <v>0</v>
      </c>
      <c r="CA50" s="1" t="str">
        <f>IF($BZ50=1,BN50,"")</f>
        <v/>
      </c>
      <c r="CB50" s="1" t="str">
        <f>IF($BZ50=1,BO50,"")</f>
        <v/>
      </c>
      <c r="CC50" s="1" t="str">
        <f>IF($BZ50=1,BP50,"")</f>
        <v/>
      </c>
      <c r="CD50" s="1" t="str">
        <f>IF($BZ50=1,BQ50,"")</f>
        <v/>
      </c>
      <c r="CE50" s="1" t="str">
        <f>IF($BZ50=1,BR50,"")</f>
        <v/>
      </c>
      <c r="CF50" s="1" t="str">
        <f>IF($BZ50=1,BS50,"")</f>
        <v/>
      </c>
      <c r="CG50" s="1" t="str">
        <f>IF($BZ50=1,BT50,"")</f>
        <v/>
      </c>
      <c r="CH50" s="1" t="str">
        <f>IF($BZ50=1,BU50,"")</f>
        <v/>
      </c>
      <c r="CI50" s="1" t="str">
        <f>IF($BZ50=1,BV50,"")</f>
        <v/>
      </c>
      <c r="CJ50" s="1" t="str">
        <f>IF($BZ50=1,BW50,"")</f>
        <v/>
      </c>
      <c r="CK50" s="1" t="str">
        <f>IF($BZ50=1,BX50,"")</f>
        <v/>
      </c>
      <c r="CL50" s="1" t="str">
        <f>IF($BZ50=1,BY50,"")</f>
        <v/>
      </c>
    </row>
    <row r="51" spans="1:90" x14ac:dyDescent="0.15">
      <c r="A51" s="1">
        <v>76</v>
      </c>
      <c r="B51" s="3" t="s">
        <v>86</v>
      </c>
      <c r="C51" s="3" t="s">
        <v>87</v>
      </c>
      <c r="D51" s="1" t="s">
        <v>1</v>
      </c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>
        <v>20</v>
      </c>
      <c r="V51" s="6"/>
      <c r="W51" s="6"/>
      <c r="X51" s="6"/>
      <c r="Y51" s="6"/>
      <c r="Z51" s="6"/>
      <c r="AA51" s="6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4"/>
      <c r="AM51" s="4"/>
      <c r="AN51" s="4"/>
      <c r="AO51" s="4"/>
      <c r="AP51" s="4"/>
      <c r="AQ51" s="4"/>
      <c r="AR51" s="2"/>
      <c r="AS51" s="2"/>
      <c r="AT51" s="2"/>
      <c r="AU51" s="2"/>
      <c r="AV51" s="2"/>
      <c r="AW51" s="2"/>
      <c r="AX51" s="1"/>
      <c r="AY51" s="1"/>
      <c r="AZ51" s="1"/>
      <c r="BA51" s="1"/>
      <c r="BB51" s="1">
        <v>10</v>
      </c>
      <c r="BC51" s="1"/>
      <c r="BD51" s="1"/>
      <c r="BE51" s="1"/>
      <c r="BF51" s="1"/>
      <c r="BG51" s="1"/>
      <c r="BH51" s="1"/>
      <c r="BI51" s="1"/>
      <c r="BJ51" s="1">
        <f>SUM(E51:BI51)</f>
        <v>30</v>
      </c>
      <c r="BK51" s="1">
        <v>20</v>
      </c>
      <c r="BL51" s="17">
        <v>1</v>
      </c>
      <c r="BM51" s="17" t="s">
        <v>158</v>
      </c>
      <c r="BN51" s="1" t="str">
        <f>IF(AL51&gt;AL$95, AL51-AL$95,"")</f>
        <v/>
      </c>
      <c r="BO51" s="1" t="str">
        <f>IF(AM51&gt;AM$95, AM51-AM$95,"")</f>
        <v/>
      </c>
      <c r="BP51" s="1" t="str">
        <f>IF(AN51&gt;AN$95, AN51-AN$95,"")</f>
        <v/>
      </c>
      <c r="BQ51" s="1" t="str">
        <f>IF(AO51&gt;AO$95, AO51-AO$95,"")</f>
        <v/>
      </c>
      <c r="BR51" s="1" t="str">
        <f>IF(AP51&gt;AP$95, AP51-AP$95,"")</f>
        <v/>
      </c>
      <c r="BS51" s="1" t="str">
        <f>IF(AQ51&gt;AQ$95, AQ51-AQ$95,"")</f>
        <v/>
      </c>
      <c r="BT51" s="1" t="str">
        <f>IF(AR51&gt;AR$95, AR51-AR$95,"")</f>
        <v/>
      </c>
      <c r="BU51" s="1" t="str">
        <f>IF(AS51&gt;AS$95, AS51-AS$95,"")</f>
        <v/>
      </c>
      <c r="BV51" s="1" t="str">
        <f>IF(AT51&gt;AT$95, AT51-AT$95,"")</f>
        <v/>
      </c>
      <c r="BW51" s="1" t="str">
        <f>IF(AU51&gt;AU$95, AU51-AU$95,"")</f>
        <v/>
      </c>
      <c r="BX51" s="1" t="str">
        <f>IF(AV51&gt;AV$95, AV51-AV$95,"")</f>
        <v/>
      </c>
      <c r="BY51" s="1" t="str">
        <f>IF(AW51&gt;AW$95, AW51-AW$95,"")</f>
        <v/>
      </c>
      <c r="BZ51" s="1">
        <f>COUNTIF(BN51:BY51, "&gt;0")</f>
        <v>0</v>
      </c>
      <c r="CA51" s="1" t="str">
        <f>IF($BZ51=1,BN51,"")</f>
        <v/>
      </c>
      <c r="CB51" s="1" t="str">
        <f>IF($BZ51=1,BO51,"")</f>
        <v/>
      </c>
      <c r="CC51" s="1" t="str">
        <f>IF($BZ51=1,BP51,"")</f>
        <v/>
      </c>
      <c r="CD51" s="1" t="str">
        <f>IF($BZ51=1,BQ51,"")</f>
        <v/>
      </c>
      <c r="CE51" s="1" t="str">
        <f>IF($BZ51=1,BR51,"")</f>
        <v/>
      </c>
      <c r="CF51" s="1" t="str">
        <f>IF($BZ51=1,BS51,"")</f>
        <v/>
      </c>
      <c r="CG51" s="1" t="str">
        <f>IF($BZ51=1,BT51,"")</f>
        <v/>
      </c>
      <c r="CH51" s="1" t="str">
        <f>IF($BZ51=1,BU51,"")</f>
        <v/>
      </c>
      <c r="CI51" s="1" t="str">
        <f>IF($BZ51=1,BV51,"")</f>
        <v/>
      </c>
      <c r="CJ51" s="1" t="str">
        <f>IF($BZ51=1,BW51,"")</f>
        <v/>
      </c>
      <c r="CK51" s="1" t="str">
        <f>IF($BZ51=1,BX51,"")</f>
        <v/>
      </c>
      <c r="CL51" s="1" t="str">
        <f>IF($BZ51=1,BY51,"")</f>
        <v/>
      </c>
    </row>
    <row r="52" spans="1:90" x14ac:dyDescent="0.15">
      <c r="A52" s="1">
        <v>98</v>
      </c>
      <c r="B52" s="3" t="s">
        <v>97</v>
      </c>
      <c r="C52" s="3" t="s">
        <v>96</v>
      </c>
      <c r="D52" s="1" t="s">
        <v>1</v>
      </c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1">
        <v>50</v>
      </c>
      <c r="AC52" s="1"/>
      <c r="AD52" s="1"/>
      <c r="AE52" s="1"/>
      <c r="AF52" s="1"/>
      <c r="AG52" s="1"/>
      <c r="AH52" s="1"/>
      <c r="AI52" s="1"/>
      <c r="AJ52" s="1"/>
      <c r="AK52" s="1"/>
      <c r="AL52" s="4"/>
      <c r="AM52" s="4"/>
      <c r="AN52" s="4"/>
      <c r="AO52" s="4"/>
      <c r="AP52" s="4"/>
      <c r="AQ52" s="4"/>
      <c r="AR52" s="2"/>
      <c r="AS52" s="2"/>
      <c r="AT52" s="2"/>
      <c r="AU52" s="2"/>
      <c r="AV52" s="2"/>
      <c r="AW52" s="2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>
        <f>SUM(E52:BI52)</f>
        <v>50</v>
      </c>
      <c r="BK52" s="1">
        <v>50</v>
      </c>
      <c r="BL52" s="17">
        <v>1</v>
      </c>
      <c r="BM52" s="17" t="s">
        <v>192</v>
      </c>
      <c r="BN52" s="1" t="str">
        <f>IF(AL52&gt;AL$95, AL52-AL$95,"")</f>
        <v/>
      </c>
      <c r="BO52" s="1" t="str">
        <f>IF(AM52&gt;AM$95, AM52-AM$95,"")</f>
        <v/>
      </c>
      <c r="BP52" s="1" t="str">
        <f>IF(AN52&gt;AN$95, AN52-AN$95,"")</f>
        <v/>
      </c>
      <c r="BQ52" s="1" t="str">
        <f>IF(AO52&gt;AO$95, AO52-AO$95,"")</f>
        <v/>
      </c>
      <c r="BR52" s="1" t="str">
        <f>IF(AP52&gt;AP$95, AP52-AP$95,"")</f>
        <v/>
      </c>
      <c r="BS52" s="1" t="str">
        <f>IF(AQ52&gt;AQ$95, AQ52-AQ$95,"")</f>
        <v/>
      </c>
      <c r="BT52" s="1" t="str">
        <f>IF(AR52&gt;AR$95, AR52-AR$95,"")</f>
        <v/>
      </c>
      <c r="BU52" s="1" t="str">
        <f>IF(AS52&gt;AS$95, AS52-AS$95,"")</f>
        <v/>
      </c>
      <c r="BV52" s="1" t="str">
        <f>IF(AT52&gt;AT$95, AT52-AT$95,"")</f>
        <v/>
      </c>
      <c r="BW52" s="1" t="str">
        <f>IF(AU52&gt;AU$95, AU52-AU$95,"")</f>
        <v/>
      </c>
      <c r="BX52" s="1" t="str">
        <f>IF(AV52&gt;AV$95, AV52-AV$95,"")</f>
        <v/>
      </c>
      <c r="BY52" s="1" t="str">
        <f>IF(AW52&gt;AW$95, AW52-AW$95,"")</f>
        <v/>
      </c>
      <c r="BZ52" s="1">
        <f>COUNTIF(BN52:BY52, "&gt;0")</f>
        <v>0</v>
      </c>
      <c r="CA52" s="1" t="str">
        <f>IF($BZ52=1,BN52,"")</f>
        <v/>
      </c>
      <c r="CB52" s="1" t="str">
        <f>IF($BZ52=1,BO52,"")</f>
        <v/>
      </c>
      <c r="CC52" s="1" t="str">
        <f>IF($BZ52=1,BP52,"")</f>
        <v/>
      </c>
      <c r="CD52" s="1" t="str">
        <f>IF($BZ52=1,BQ52,"")</f>
        <v/>
      </c>
      <c r="CE52" s="1" t="str">
        <f>IF($BZ52=1,BR52,"")</f>
        <v/>
      </c>
      <c r="CF52" s="1" t="str">
        <f>IF($BZ52=1,BS52,"")</f>
        <v/>
      </c>
      <c r="CG52" s="1" t="str">
        <f>IF($BZ52=1,BT52,"")</f>
        <v/>
      </c>
      <c r="CH52" s="1" t="str">
        <f>IF($BZ52=1,BU52,"")</f>
        <v/>
      </c>
      <c r="CI52" s="1" t="str">
        <f>IF($BZ52=1,BV52,"")</f>
        <v/>
      </c>
      <c r="CJ52" s="1" t="str">
        <f>IF($BZ52=1,BW52,"")</f>
        <v/>
      </c>
      <c r="CK52" s="1" t="str">
        <f>IF($BZ52=1,BX52,"")</f>
        <v/>
      </c>
      <c r="CL52" s="1" t="str">
        <f>IF($BZ52=1,BY52,"")</f>
        <v/>
      </c>
    </row>
    <row r="53" spans="1:90" x14ac:dyDescent="0.15">
      <c r="A53" s="1">
        <v>99</v>
      </c>
      <c r="B53" s="3" t="s">
        <v>97</v>
      </c>
      <c r="C53" s="3" t="s">
        <v>96</v>
      </c>
      <c r="D53" s="1" t="s">
        <v>13</v>
      </c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1">
        <v>200</v>
      </c>
      <c r="AC53" s="1"/>
      <c r="AD53" s="1"/>
      <c r="AE53" s="1"/>
      <c r="AF53" s="1"/>
      <c r="AG53" s="1"/>
      <c r="AH53" s="1"/>
      <c r="AI53" s="1"/>
      <c r="AJ53" s="1"/>
      <c r="AK53" s="1"/>
      <c r="AL53" s="4"/>
      <c r="AM53" s="4"/>
      <c r="AN53" s="4"/>
      <c r="AO53" s="4"/>
      <c r="AP53" s="4"/>
      <c r="AQ53" s="4"/>
      <c r="AR53" s="2"/>
      <c r="AS53" s="2"/>
      <c r="AT53" s="2"/>
      <c r="AU53" s="2"/>
      <c r="AV53" s="2"/>
      <c r="AW53" s="2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>
        <f>SUM(E53:BI53)</f>
        <v>200</v>
      </c>
      <c r="BK53" s="1">
        <v>200</v>
      </c>
      <c r="BL53" s="17">
        <v>1</v>
      </c>
      <c r="BM53" s="17" t="s">
        <v>159</v>
      </c>
      <c r="BN53" s="1" t="str">
        <f>IF(AL53&gt;AL$95, AL53-AL$95,"")</f>
        <v/>
      </c>
      <c r="BO53" s="1" t="str">
        <f>IF(AM53&gt;AM$95, AM53-AM$95,"")</f>
        <v/>
      </c>
      <c r="BP53" s="1" t="str">
        <f>IF(AN53&gt;AN$95, AN53-AN$95,"")</f>
        <v/>
      </c>
      <c r="BQ53" s="1" t="str">
        <f>IF(AO53&gt;AO$95, AO53-AO$95,"")</f>
        <v/>
      </c>
      <c r="BR53" s="1" t="str">
        <f>IF(AP53&gt;AP$95, AP53-AP$95,"")</f>
        <v/>
      </c>
      <c r="BS53" s="1" t="str">
        <f>IF(AQ53&gt;AQ$95, AQ53-AQ$95,"")</f>
        <v/>
      </c>
      <c r="BT53" s="1" t="str">
        <f>IF(AR53&gt;AR$95, AR53-AR$95,"")</f>
        <v/>
      </c>
      <c r="BU53" s="1" t="str">
        <f>IF(AS53&gt;AS$95, AS53-AS$95,"")</f>
        <v/>
      </c>
      <c r="BV53" s="1" t="str">
        <f>IF(AT53&gt;AT$95, AT53-AT$95,"")</f>
        <v/>
      </c>
      <c r="BW53" s="1" t="str">
        <f>IF(AU53&gt;AU$95, AU53-AU$95,"")</f>
        <v/>
      </c>
      <c r="BX53" s="1" t="str">
        <f>IF(AV53&gt;AV$95, AV53-AV$95,"")</f>
        <v/>
      </c>
      <c r="BY53" s="1" t="str">
        <f>IF(AW53&gt;AW$95, AW53-AW$95,"")</f>
        <v/>
      </c>
      <c r="BZ53" s="1">
        <f>COUNTIF(BN53:BY53, "&gt;0")</f>
        <v>0</v>
      </c>
      <c r="CA53" s="1" t="str">
        <f>IF($BZ53=1,BN53,"")</f>
        <v/>
      </c>
      <c r="CB53" s="1" t="str">
        <f>IF($BZ53=1,BO53,"")</f>
        <v/>
      </c>
      <c r="CC53" s="1" t="str">
        <f>IF($BZ53=1,BP53,"")</f>
        <v/>
      </c>
      <c r="CD53" s="1" t="str">
        <f>IF($BZ53=1,BQ53,"")</f>
        <v/>
      </c>
      <c r="CE53" s="1" t="str">
        <f>IF($BZ53=1,BR53,"")</f>
        <v/>
      </c>
      <c r="CF53" s="1" t="str">
        <f>IF($BZ53=1,BS53,"")</f>
        <v/>
      </c>
      <c r="CG53" s="1" t="str">
        <f>IF($BZ53=1,BT53,"")</f>
        <v/>
      </c>
      <c r="CH53" s="1" t="str">
        <f>IF($BZ53=1,BU53,"")</f>
        <v/>
      </c>
      <c r="CI53" s="1" t="str">
        <f>IF($BZ53=1,BV53,"")</f>
        <v/>
      </c>
      <c r="CJ53" s="1" t="str">
        <f>IF($BZ53=1,BW53,"")</f>
        <v/>
      </c>
      <c r="CK53" s="1" t="str">
        <f>IF($BZ53=1,BX53,"")</f>
        <v/>
      </c>
      <c r="CL53" s="1" t="str">
        <f>IF($BZ53=1,BY53,"")</f>
        <v/>
      </c>
    </row>
    <row r="54" spans="1:90" ht="27" x14ac:dyDescent="0.15">
      <c r="A54" s="1">
        <v>24</v>
      </c>
      <c r="B54" s="1" t="s">
        <v>50</v>
      </c>
      <c r="C54" s="1" t="s">
        <v>33</v>
      </c>
      <c r="D54" s="1" t="s">
        <v>26</v>
      </c>
      <c r="E54" s="6"/>
      <c r="F54" s="6"/>
      <c r="G54" s="6"/>
      <c r="H54" s="6"/>
      <c r="I54" s="6">
        <v>4</v>
      </c>
      <c r="J54" s="6"/>
      <c r="K54" s="6">
        <v>4</v>
      </c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4"/>
      <c r="AM54" s="4"/>
      <c r="AN54" s="4">
        <v>5</v>
      </c>
      <c r="AO54" s="4"/>
      <c r="AP54" s="4"/>
      <c r="AQ54" s="4"/>
      <c r="AR54" s="2">
        <v>5</v>
      </c>
      <c r="AS54" s="2"/>
      <c r="AT54" s="2"/>
      <c r="AU54" s="2"/>
      <c r="AV54" s="2"/>
      <c r="AW54" s="2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>
        <f>SUM(E54:BI54)</f>
        <v>18</v>
      </c>
      <c r="BK54" s="1">
        <v>4</v>
      </c>
      <c r="BL54" s="17">
        <v>2</v>
      </c>
      <c r="BM54" s="17" t="s">
        <v>194</v>
      </c>
      <c r="BN54" s="1" t="str">
        <f>IF(AL54&gt;AL$95, AL54-AL$95,"")</f>
        <v/>
      </c>
      <c r="BO54" s="1" t="str">
        <f>IF(AM54&gt;AM$95, AM54-AM$95,"")</f>
        <v/>
      </c>
      <c r="BP54" s="1" t="str">
        <f>IF(AN54&gt;AN$95, AN54-AN$95,"")</f>
        <v/>
      </c>
      <c r="BQ54" s="1" t="str">
        <f>IF(AO54&gt;AO$95, AO54-AO$95,"")</f>
        <v/>
      </c>
      <c r="BR54" s="1" t="str">
        <f>IF(AP54&gt;AP$95, AP54-AP$95,"")</f>
        <v/>
      </c>
      <c r="BS54" s="1" t="str">
        <f>IF(AQ54&gt;AQ$95, AQ54-AQ$95,"")</f>
        <v/>
      </c>
      <c r="BT54" s="1">
        <f>IF(AR54&gt;AR$95, AR54-AR$95,"")</f>
        <v>3</v>
      </c>
      <c r="BU54" s="1" t="str">
        <f>IF(AS54&gt;AS$95, AS54-AS$95,"")</f>
        <v/>
      </c>
      <c r="BV54" s="1" t="str">
        <f>IF(AT54&gt;AT$95, AT54-AT$95,"")</f>
        <v/>
      </c>
      <c r="BW54" s="1" t="str">
        <f>IF(AU54&gt;AU$95, AU54-AU$95,"")</f>
        <v/>
      </c>
      <c r="BX54" s="1" t="str">
        <f>IF(AV54&gt;AV$95, AV54-AV$95,"")</f>
        <v/>
      </c>
      <c r="BY54" s="1" t="str">
        <f>IF(AW54&gt;AW$95, AW54-AW$95,"")</f>
        <v/>
      </c>
      <c r="BZ54" s="1">
        <f>COUNTIF(BN54:BY54, "&gt;0")</f>
        <v>1</v>
      </c>
      <c r="CA54" s="1" t="str">
        <f>IF($BZ54=1,BN54,"")</f>
        <v/>
      </c>
      <c r="CB54" s="1" t="str">
        <f>IF($BZ54=1,BO54,"")</f>
        <v/>
      </c>
      <c r="CC54" s="1" t="str">
        <f>IF($BZ54=1,BP54,"")</f>
        <v/>
      </c>
      <c r="CD54" s="1" t="str">
        <f>IF($BZ54=1,BQ54,"")</f>
        <v/>
      </c>
      <c r="CE54" s="1" t="str">
        <f>IF($BZ54=1,BR54,"")</f>
        <v/>
      </c>
      <c r="CF54" s="1" t="str">
        <f>IF($BZ54=1,BS54,"")</f>
        <v/>
      </c>
      <c r="CG54" s="1">
        <f>IF($BZ54=1,BT54,"")</f>
        <v>3</v>
      </c>
      <c r="CH54" s="1" t="str">
        <f>IF($BZ54=1,BU54,"")</f>
        <v/>
      </c>
      <c r="CI54" s="1" t="str">
        <f>IF($BZ54=1,BV54,"")</f>
        <v/>
      </c>
      <c r="CJ54" s="1" t="str">
        <f>IF($BZ54=1,BW54,"")</f>
        <v/>
      </c>
      <c r="CK54" s="1" t="str">
        <f>IF($BZ54=1,BX54,"")</f>
        <v/>
      </c>
      <c r="CL54" s="1" t="str">
        <f>IF($BZ54=1,BY54,"")</f>
        <v/>
      </c>
    </row>
    <row r="55" spans="1:90" ht="27" x14ac:dyDescent="0.15">
      <c r="A55" s="1">
        <v>39</v>
      </c>
      <c r="B55" s="1" t="s">
        <v>59</v>
      </c>
      <c r="C55" s="1" t="s">
        <v>52</v>
      </c>
      <c r="D55" s="1" t="s">
        <v>26</v>
      </c>
      <c r="E55" s="6"/>
      <c r="F55" s="6">
        <v>6</v>
      </c>
      <c r="G55" s="6"/>
      <c r="H55" s="6"/>
      <c r="I55" s="6"/>
      <c r="J55" s="6"/>
      <c r="K55" s="6"/>
      <c r="L55" s="6">
        <v>6</v>
      </c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4">
        <v>10</v>
      </c>
      <c r="AM55" s="4"/>
      <c r="AN55" s="4"/>
      <c r="AO55" s="4"/>
      <c r="AP55" s="4"/>
      <c r="AQ55" s="4"/>
      <c r="AR55" s="2"/>
      <c r="AS55" s="2">
        <v>10</v>
      </c>
      <c r="AT55" s="2"/>
      <c r="AU55" s="2"/>
      <c r="AV55" s="2"/>
      <c r="AW55" s="2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>
        <f>SUM(E55:BI55)</f>
        <v>32</v>
      </c>
      <c r="BK55" s="1">
        <v>5</v>
      </c>
      <c r="BL55" s="17">
        <v>2</v>
      </c>
      <c r="BM55" s="17" t="s">
        <v>195</v>
      </c>
      <c r="BN55" s="1" t="str">
        <f>IF(AL55&gt;AL$95, AL55-AL$95,"")</f>
        <v/>
      </c>
      <c r="BO55" s="1" t="str">
        <f>IF(AM55&gt;AM$95, AM55-AM$95,"")</f>
        <v/>
      </c>
      <c r="BP55" s="1" t="str">
        <f>IF(AN55&gt;AN$95, AN55-AN$95,"")</f>
        <v/>
      </c>
      <c r="BQ55" s="1" t="str">
        <f>IF(AO55&gt;AO$95, AO55-AO$95,"")</f>
        <v/>
      </c>
      <c r="BR55" s="1" t="str">
        <f>IF(AP55&gt;AP$95, AP55-AP$95,"")</f>
        <v/>
      </c>
      <c r="BS55" s="1" t="str">
        <f>IF(AQ55&gt;AQ$95, AQ55-AQ$95,"")</f>
        <v/>
      </c>
      <c r="BT55" s="1" t="str">
        <f>IF(AR55&gt;AR$95, AR55-AR$95,"")</f>
        <v/>
      </c>
      <c r="BU55" s="1">
        <f>IF(AS55&gt;AS$95, AS55-AS$95,"")</f>
        <v>3</v>
      </c>
      <c r="BV55" s="1" t="str">
        <f>IF(AT55&gt;AT$95, AT55-AT$95,"")</f>
        <v/>
      </c>
      <c r="BW55" s="1" t="str">
        <f>IF(AU55&gt;AU$95, AU55-AU$95,"")</f>
        <v/>
      </c>
      <c r="BX55" s="1" t="str">
        <f>IF(AV55&gt;AV$95, AV55-AV$95,"")</f>
        <v/>
      </c>
      <c r="BY55" s="1" t="str">
        <f>IF(AW55&gt;AW$95, AW55-AW$95,"")</f>
        <v/>
      </c>
      <c r="BZ55" s="1">
        <f>COUNTIF(BN55:BY55, "&gt;0")</f>
        <v>1</v>
      </c>
      <c r="CA55" s="1" t="str">
        <f>IF($BZ55=1,BN55,"")</f>
        <v/>
      </c>
      <c r="CB55" s="1" t="str">
        <f>IF($BZ55=1,BO55,"")</f>
        <v/>
      </c>
      <c r="CC55" s="1" t="str">
        <f>IF($BZ55=1,BP55,"")</f>
        <v/>
      </c>
      <c r="CD55" s="1" t="str">
        <f>IF($BZ55=1,BQ55,"")</f>
        <v/>
      </c>
      <c r="CE55" s="1" t="str">
        <f>IF($BZ55=1,BR55,"")</f>
        <v/>
      </c>
      <c r="CF55" s="1" t="str">
        <f>IF($BZ55=1,BS55,"")</f>
        <v/>
      </c>
      <c r="CG55" s="1" t="str">
        <f>IF($BZ55=1,BT55,"")</f>
        <v/>
      </c>
      <c r="CH55" s="1">
        <f>IF($BZ55=1,BU55,"")</f>
        <v>3</v>
      </c>
      <c r="CI55" s="1" t="str">
        <f>IF($BZ55=1,BV55,"")</f>
        <v/>
      </c>
      <c r="CJ55" s="1" t="str">
        <f>IF($BZ55=1,BW55,"")</f>
        <v/>
      </c>
      <c r="CK55" s="1" t="str">
        <f>IF($BZ55=1,BX55,"")</f>
        <v/>
      </c>
      <c r="CL55" s="1" t="str">
        <f>IF($BZ55=1,BY55,"")</f>
        <v/>
      </c>
    </row>
    <row r="56" spans="1:90" ht="27" x14ac:dyDescent="0.15">
      <c r="A56" s="1">
        <v>22</v>
      </c>
      <c r="B56" s="1" t="s">
        <v>42</v>
      </c>
      <c r="C56" s="1" t="s">
        <v>33</v>
      </c>
      <c r="D56" s="1" t="s">
        <v>26</v>
      </c>
      <c r="E56" s="6"/>
      <c r="F56" s="6"/>
      <c r="G56" s="6">
        <v>5</v>
      </c>
      <c r="H56" s="6">
        <v>5</v>
      </c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4"/>
      <c r="AM56" s="4"/>
      <c r="AN56" s="4">
        <v>5</v>
      </c>
      <c r="AO56" s="4"/>
      <c r="AP56" s="4"/>
      <c r="AQ56" s="4"/>
      <c r="AR56" s="2"/>
      <c r="AS56" s="2"/>
      <c r="AT56" s="2"/>
      <c r="AU56" s="2"/>
      <c r="AV56" s="2"/>
      <c r="AW56" s="2">
        <v>5</v>
      </c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>
        <f>SUM(E56:BI56)</f>
        <v>20</v>
      </c>
      <c r="BK56" s="1">
        <v>6</v>
      </c>
      <c r="BL56" s="17">
        <v>2</v>
      </c>
      <c r="BM56" s="17" t="s">
        <v>153</v>
      </c>
      <c r="BN56" s="1" t="str">
        <f>IF(AL56&gt;AL$95, AL56-AL$95,"")</f>
        <v/>
      </c>
      <c r="BO56" s="1" t="str">
        <f>IF(AM56&gt;AM$95, AM56-AM$95,"")</f>
        <v/>
      </c>
      <c r="BP56" s="1" t="str">
        <f>IF(AN56&gt;AN$95, AN56-AN$95,"")</f>
        <v/>
      </c>
      <c r="BQ56" s="1" t="str">
        <f>IF(AO56&gt;AO$95, AO56-AO$95,"")</f>
        <v/>
      </c>
      <c r="BR56" s="1" t="str">
        <f>IF(AP56&gt;AP$95, AP56-AP$95,"")</f>
        <v/>
      </c>
      <c r="BS56" s="1" t="str">
        <f>IF(AQ56&gt;AQ$95, AQ56-AQ$95,"")</f>
        <v/>
      </c>
      <c r="BT56" s="1" t="str">
        <f>IF(AR56&gt;AR$95, AR56-AR$95,"")</f>
        <v/>
      </c>
      <c r="BU56" s="1" t="str">
        <f>IF(AS56&gt;AS$95, AS56-AS$95,"")</f>
        <v/>
      </c>
      <c r="BV56" s="1" t="str">
        <f>IF(AT56&gt;AT$95, AT56-AT$95,"")</f>
        <v/>
      </c>
      <c r="BW56" s="1" t="str">
        <f>IF(AU56&gt;AU$95, AU56-AU$95,"")</f>
        <v/>
      </c>
      <c r="BX56" s="1" t="str">
        <f>IF(AV56&gt;AV$95, AV56-AV$95,"")</f>
        <v/>
      </c>
      <c r="BY56" s="1">
        <f>IF(AW56&gt;AW$95, AW56-AW$95,"")</f>
        <v>2</v>
      </c>
      <c r="BZ56" s="1">
        <f>COUNTIF(BN56:BY56, "&gt;0")</f>
        <v>1</v>
      </c>
      <c r="CA56" s="1" t="str">
        <f>IF($BZ56=1,BN56,"")</f>
        <v/>
      </c>
      <c r="CB56" s="1" t="str">
        <f>IF($BZ56=1,BO56,"")</f>
        <v/>
      </c>
      <c r="CC56" s="1" t="str">
        <f>IF($BZ56=1,BP56,"")</f>
        <v/>
      </c>
      <c r="CD56" s="1" t="str">
        <f>IF($BZ56=1,BQ56,"")</f>
        <v/>
      </c>
      <c r="CE56" s="1" t="str">
        <f>IF($BZ56=1,BR56,"")</f>
        <v/>
      </c>
      <c r="CF56" s="1" t="str">
        <f>IF($BZ56=1,BS56,"")</f>
        <v/>
      </c>
      <c r="CG56" s="1" t="str">
        <f>IF($BZ56=1,BT56,"")</f>
        <v/>
      </c>
      <c r="CH56" s="1" t="str">
        <f>IF($BZ56=1,BU56,"")</f>
        <v/>
      </c>
      <c r="CI56" s="1" t="str">
        <f>IF($BZ56=1,BV56,"")</f>
        <v/>
      </c>
      <c r="CJ56" s="1" t="str">
        <f>IF($BZ56=1,BW56,"")</f>
        <v/>
      </c>
      <c r="CK56" s="1" t="str">
        <f>IF($BZ56=1,BX56,"")</f>
        <v/>
      </c>
      <c r="CL56" s="1">
        <f>IF($BZ56=1,BY56,"")</f>
        <v>2</v>
      </c>
    </row>
    <row r="57" spans="1:90" ht="27" x14ac:dyDescent="0.15">
      <c r="A57" s="1">
        <v>84</v>
      </c>
      <c r="B57" s="3" t="s">
        <v>94</v>
      </c>
      <c r="C57" s="3" t="s">
        <v>87</v>
      </c>
      <c r="D57" s="1" t="s">
        <v>13</v>
      </c>
      <c r="E57" s="6"/>
      <c r="F57" s="6"/>
      <c r="G57" s="6">
        <v>5</v>
      </c>
      <c r="H57" s="6">
        <v>5</v>
      </c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4"/>
      <c r="AM57" s="4"/>
      <c r="AN57" s="4"/>
      <c r="AO57" s="4"/>
      <c r="AP57" s="4"/>
      <c r="AQ57" s="4"/>
      <c r="AR57" s="2"/>
      <c r="AS57" s="2"/>
      <c r="AT57" s="2"/>
      <c r="AU57" s="2"/>
      <c r="AV57" s="2">
        <v>5</v>
      </c>
      <c r="AW57" s="2">
        <v>5</v>
      </c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>
        <f>SUM(E57:BI57)</f>
        <v>20</v>
      </c>
      <c r="BK57" s="1">
        <v>6</v>
      </c>
      <c r="BL57" s="17">
        <v>2</v>
      </c>
      <c r="BM57" s="17" t="s">
        <v>197</v>
      </c>
      <c r="BN57" s="1" t="str">
        <f>IF(AL57&gt;AL$95, AL57-AL$95,"")</f>
        <v/>
      </c>
      <c r="BO57" s="1" t="str">
        <f>IF(AM57&gt;AM$95, AM57-AM$95,"")</f>
        <v/>
      </c>
      <c r="BP57" s="1" t="str">
        <f>IF(AN57&gt;AN$95, AN57-AN$95,"")</f>
        <v/>
      </c>
      <c r="BQ57" s="1" t="str">
        <f>IF(AO57&gt;AO$95, AO57-AO$95,"")</f>
        <v/>
      </c>
      <c r="BR57" s="1" t="str">
        <f>IF(AP57&gt;AP$95, AP57-AP$95,"")</f>
        <v/>
      </c>
      <c r="BS57" s="1" t="str">
        <f>IF(AQ57&gt;AQ$95, AQ57-AQ$95,"")</f>
        <v/>
      </c>
      <c r="BT57" s="1" t="str">
        <f>IF(AR57&gt;AR$95, AR57-AR$95,"")</f>
        <v/>
      </c>
      <c r="BU57" s="1" t="str">
        <f>IF(AS57&gt;AS$95, AS57-AS$95,"")</f>
        <v/>
      </c>
      <c r="BV57" s="1" t="str">
        <f>IF(AT57&gt;AT$95, AT57-AT$95,"")</f>
        <v/>
      </c>
      <c r="BW57" s="1" t="str">
        <f>IF(AU57&gt;AU$95, AU57-AU$95,"")</f>
        <v/>
      </c>
      <c r="BX57" s="1" t="str">
        <f>IF(AV57&gt;AV$95, AV57-AV$95,"")</f>
        <v/>
      </c>
      <c r="BY57" s="1">
        <f>IF(AW57&gt;AW$95, AW57-AW$95,"")</f>
        <v>2</v>
      </c>
      <c r="BZ57" s="1">
        <f>COUNTIF(BN57:BY57, "&gt;0")</f>
        <v>1</v>
      </c>
      <c r="CA57" s="1" t="str">
        <f>IF($BZ57=1,BN57,"")</f>
        <v/>
      </c>
      <c r="CB57" s="1" t="str">
        <f>IF($BZ57=1,BO57,"")</f>
        <v/>
      </c>
      <c r="CC57" s="1" t="str">
        <f>IF($BZ57=1,BP57,"")</f>
        <v/>
      </c>
      <c r="CD57" s="1" t="str">
        <f>IF($BZ57=1,BQ57,"")</f>
        <v/>
      </c>
      <c r="CE57" s="1" t="str">
        <f>IF($BZ57=1,BR57,"")</f>
        <v/>
      </c>
      <c r="CF57" s="1" t="str">
        <f>IF($BZ57=1,BS57,"")</f>
        <v/>
      </c>
      <c r="CG57" s="1" t="str">
        <f>IF($BZ57=1,BT57,"")</f>
        <v/>
      </c>
      <c r="CH57" s="1" t="str">
        <f>IF($BZ57=1,BU57,"")</f>
        <v/>
      </c>
      <c r="CI57" s="1" t="str">
        <f>IF($BZ57=1,BV57,"")</f>
        <v/>
      </c>
      <c r="CJ57" s="1" t="str">
        <f>IF($BZ57=1,BW57,"")</f>
        <v/>
      </c>
      <c r="CK57" s="1" t="str">
        <f>IF($BZ57=1,BX57,"")</f>
        <v/>
      </c>
      <c r="CL57" s="1">
        <f>IF($BZ57=1,BY57,"")</f>
        <v>2</v>
      </c>
    </row>
    <row r="58" spans="1:90" ht="27" x14ac:dyDescent="0.15">
      <c r="A58" s="1">
        <v>20</v>
      </c>
      <c r="B58" s="1" t="s">
        <v>40</v>
      </c>
      <c r="C58" s="1" t="s">
        <v>33</v>
      </c>
      <c r="D58" s="1" t="s">
        <v>25</v>
      </c>
      <c r="E58" s="6"/>
      <c r="F58" s="6">
        <v>5</v>
      </c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1"/>
      <c r="AC58" s="1"/>
      <c r="AD58" s="1">
        <v>5</v>
      </c>
      <c r="AE58" s="1"/>
      <c r="AF58" s="1"/>
      <c r="AG58" s="1"/>
      <c r="AH58" s="1"/>
      <c r="AI58" s="1"/>
      <c r="AJ58" s="1"/>
      <c r="AK58" s="1"/>
      <c r="AL58" s="4"/>
      <c r="AM58" s="4"/>
      <c r="AN58" s="4"/>
      <c r="AO58" s="4"/>
      <c r="AP58" s="4"/>
      <c r="AQ58" s="4"/>
      <c r="AR58" s="2"/>
      <c r="AS58" s="2"/>
      <c r="AT58" s="2"/>
      <c r="AU58" s="2"/>
      <c r="AV58" s="2"/>
      <c r="AW58" s="2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>
        <f>SUM(E58:BI58)</f>
        <v>10</v>
      </c>
      <c r="BK58" s="1">
        <v>6</v>
      </c>
      <c r="BL58" s="17">
        <v>2</v>
      </c>
      <c r="BM58" s="17" t="s">
        <v>198</v>
      </c>
      <c r="BN58" s="1" t="str">
        <f>IF(AL58&gt;AL$95, AL58-AL$95,"")</f>
        <v/>
      </c>
      <c r="BO58" s="1" t="str">
        <f>IF(AM58&gt;AM$95, AM58-AM$95,"")</f>
        <v/>
      </c>
      <c r="BP58" s="1" t="str">
        <f>IF(AN58&gt;AN$95, AN58-AN$95,"")</f>
        <v/>
      </c>
      <c r="BQ58" s="1" t="str">
        <f>IF(AO58&gt;AO$95, AO58-AO$95,"")</f>
        <v/>
      </c>
      <c r="BR58" s="1" t="str">
        <f>IF(AP58&gt;AP$95, AP58-AP$95,"")</f>
        <v/>
      </c>
      <c r="BS58" s="1" t="str">
        <f>IF(AQ58&gt;AQ$95, AQ58-AQ$95,"")</f>
        <v/>
      </c>
      <c r="BT58" s="1" t="str">
        <f>IF(AR58&gt;AR$95, AR58-AR$95,"")</f>
        <v/>
      </c>
      <c r="BU58" s="1" t="str">
        <f>IF(AS58&gt;AS$95, AS58-AS$95,"")</f>
        <v/>
      </c>
      <c r="BV58" s="1" t="str">
        <f>IF(AT58&gt;AT$95, AT58-AT$95,"")</f>
        <v/>
      </c>
      <c r="BW58" s="1" t="str">
        <f>IF(AU58&gt;AU$95, AU58-AU$95,"")</f>
        <v/>
      </c>
      <c r="BX58" s="1" t="str">
        <f>IF(AV58&gt;AV$95, AV58-AV$95,"")</f>
        <v/>
      </c>
      <c r="BY58" s="1" t="str">
        <f>IF(AW58&gt;AW$95, AW58-AW$95,"")</f>
        <v/>
      </c>
      <c r="BZ58" s="1">
        <f>COUNTIF(BN58:BY58, "&gt;0")</f>
        <v>0</v>
      </c>
      <c r="CA58" s="1" t="str">
        <f>IF($BZ58=1,BN58,"")</f>
        <v/>
      </c>
      <c r="CB58" s="1" t="str">
        <f>IF($BZ58=1,BO58,"")</f>
        <v/>
      </c>
      <c r="CC58" s="1" t="str">
        <f>IF($BZ58=1,BP58,"")</f>
        <v/>
      </c>
      <c r="CD58" s="1" t="str">
        <f>IF($BZ58=1,BQ58,"")</f>
        <v/>
      </c>
      <c r="CE58" s="1" t="str">
        <f>IF($BZ58=1,BR58,"")</f>
        <v/>
      </c>
      <c r="CF58" s="1" t="str">
        <f>IF($BZ58=1,BS58,"")</f>
        <v/>
      </c>
      <c r="CG58" s="1" t="str">
        <f>IF($BZ58=1,BT58,"")</f>
        <v/>
      </c>
      <c r="CH58" s="1" t="str">
        <f>IF($BZ58=1,BU58,"")</f>
        <v/>
      </c>
      <c r="CI58" s="1" t="str">
        <f>IF($BZ58=1,BV58,"")</f>
        <v/>
      </c>
      <c r="CJ58" s="1" t="str">
        <f>IF($BZ58=1,BW58,"")</f>
        <v/>
      </c>
      <c r="CK58" s="1" t="str">
        <f>IF($BZ58=1,BX58,"")</f>
        <v/>
      </c>
      <c r="CL58" s="1" t="str">
        <f>IF($BZ58=1,BY58,"")</f>
        <v/>
      </c>
    </row>
    <row r="59" spans="1:90" ht="27" x14ac:dyDescent="0.15">
      <c r="A59" s="1">
        <v>41</v>
      </c>
      <c r="B59" s="1" t="s">
        <v>63</v>
      </c>
      <c r="C59" s="1" t="s">
        <v>52</v>
      </c>
      <c r="D59" s="1" t="s">
        <v>13</v>
      </c>
      <c r="E59" s="6"/>
      <c r="F59" s="6"/>
      <c r="G59" s="6"/>
      <c r="H59" s="6"/>
      <c r="I59" s="6"/>
      <c r="J59" s="6"/>
      <c r="K59" s="6"/>
      <c r="L59" s="6">
        <v>6</v>
      </c>
      <c r="M59" s="6"/>
      <c r="N59" s="6"/>
      <c r="O59" s="6">
        <v>6</v>
      </c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4">
        <v>10</v>
      </c>
      <c r="AM59" s="4"/>
      <c r="AN59" s="4"/>
      <c r="AO59" s="4"/>
      <c r="AP59" s="4"/>
      <c r="AQ59" s="4"/>
      <c r="AR59" s="2"/>
      <c r="AS59" s="2">
        <v>10</v>
      </c>
      <c r="AT59" s="2"/>
      <c r="AU59" s="2"/>
      <c r="AV59" s="2"/>
      <c r="AW59" s="2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>
        <f>SUM(E59:BI59)</f>
        <v>32</v>
      </c>
      <c r="BK59" s="1">
        <v>6</v>
      </c>
      <c r="BL59" s="17">
        <v>2</v>
      </c>
      <c r="BM59" s="17" t="s">
        <v>199</v>
      </c>
      <c r="BN59" s="1" t="str">
        <f>IF(AL59&gt;AL$95, AL59-AL$95,"")</f>
        <v/>
      </c>
      <c r="BO59" s="1" t="str">
        <f>IF(AM59&gt;AM$95, AM59-AM$95,"")</f>
        <v/>
      </c>
      <c r="BP59" s="1" t="str">
        <f>IF(AN59&gt;AN$95, AN59-AN$95,"")</f>
        <v/>
      </c>
      <c r="BQ59" s="1" t="str">
        <f>IF(AO59&gt;AO$95, AO59-AO$95,"")</f>
        <v/>
      </c>
      <c r="BR59" s="1" t="str">
        <f>IF(AP59&gt;AP$95, AP59-AP$95,"")</f>
        <v/>
      </c>
      <c r="BS59" s="1" t="str">
        <f>IF(AQ59&gt;AQ$95, AQ59-AQ$95,"")</f>
        <v/>
      </c>
      <c r="BT59" s="1" t="str">
        <f>IF(AR59&gt;AR$95, AR59-AR$95,"")</f>
        <v/>
      </c>
      <c r="BU59" s="1">
        <f>IF(AS59&gt;AS$95, AS59-AS$95,"")</f>
        <v>3</v>
      </c>
      <c r="BV59" s="1" t="str">
        <f>IF(AT59&gt;AT$95, AT59-AT$95,"")</f>
        <v/>
      </c>
      <c r="BW59" s="1" t="str">
        <f>IF(AU59&gt;AU$95, AU59-AU$95,"")</f>
        <v/>
      </c>
      <c r="BX59" s="1" t="str">
        <f>IF(AV59&gt;AV$95, AV59-AV$95,"")</f>
        <v/>
      </c>
      <c r="BY59" s="1" t="str">
        <f>IF(AW59&gt;AW$95, AW59-AW$95,"")</f>
        <v/>
      </c>
      <c r="BZ59" s="1">
        <f>COUNTIF(BN59:BY59, "&gt;0")</f>
        <v>1</v>
      </c>
      <c r="CA59" s="1" t="str">
        <f>IF($BZ59=1,BN59,"")</f>
        <v/>
      </c>
      <c r="CB59" s="1" t="str">
        <f>IF($BZ59=1,BO59,"")</f>
        <v/>
      </c>
      <c r="CC59" s="1" t="str">
        <f>IF($BZ59=1,BP59,"")</f>
        <v/>
      </c>
      <c r="CD59" s="1" t="str">
        <f>IF($BZ59=1,BQ59,"")</f>
        <v/>
      </c>
      <c r="CE59" s="1" t="str">
        <f>IF($BZ59=1,BR59,"")</f>
        <v/>
      </c>
      <c r="CF59" s="1" t="str">
        <f>IF($BZ59=1,BS59,"")</f>
        <v/>
      </c>
      <c r="CG59" s="1" t="str">
        <f>IF($BZ59=1,BT59,"")</f>
        <v/>
      </c>
      <c r="CH59" s="1">
        <f>IF($BZ59=1,BU59,"")</f>
        <v>3</v>
      </c>
      <c r="CI59" s="1" t="str">
        <f>IF($BZ59=1,BV59,"")</f>
        <v/>
      </c>
      <c r="CJ59" s="1" t="str">
        <f>IF($BZ59=1,BW59,"")</f>
        <v/>
      </c>
      <c r="CK59" s="1" t="str">
        <f>IF($BZ59=1,BX59,"")</f>
        <v/>
      </c>
      <c r="CL59" s="1" t="str">
        <f>IF($BZ59=1,BY59,"")</f>
        <v/>
      </c>
    </row>
    <row r="60" spans="1:90" ht="27" x14ac:dyDescent="0.15">
      <c r="A60" s="1">
        <v>60</v>
      </c>
      <c r="B60" s="1" t="s">
        <v>74</v>
      </c>
      <c r="C60" s="1" t="s">
        <v>68</v>
      </c>
      <c r="D60" s="1" t="s">
        <v>1</v>
      </c>
      <c r="E60" s="6"/>
      <c r="F60" s="6"/>
      <c r="G60" s="6"/>
      <c r="H60" s="6"/>
      <c r="I60" s="6"/>
      <c r="J60" s="6"/>
      <c r="K60" s="6">
        <v>5</v>
      </c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>
        <v>5</v>
      </c>
      <c r="Y60" s="6"/>
      <c r="Z60" s="6"/>
      <c r="AA60" s="6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4"/>
      <c r="AM60" s="4"/>
      <c r="AN60" s="4"/>
      <c r="AO60" s="4"/>
      <c r="AP60" s="4"/>
      <c r="AQ60" s="4"/>
      <c r="AR60" s="2"/>
      <c r="AS60" s="2"/>
      <c r="AT60" s="2"/>
      <c r="AU60" s="2"/>
      <c r="AV60" s="2"/>
      <c r="AW60" s="2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>
        <f>SUM(E60:BI60)</f>
        <v>10</v>
      </c>
      <c r="BK60" s="1">
        <v>7</v>
      </c>
      <c r="BL60" s="17">
        <v>2</v>
      </c>
      <c r="BM60" s="17" t="s">
        <v>193</v>
      </c>
      <c r="BN60" s="1" t="str">
        <f>IF(AL60&gt;AL$95, AL60-AL$95,"")</f>
        <v/>
      </c>
      <c r="BO60" s="1" t="str">
        <f>IF(AM60&gt;AM$95, AM60-AM$95,"")</f>
        <v/>
      </c>
      <c r="BP60" s="1" t="str">
        <f>IF(AN60&gt;AN$95, AN60-AN$95,"")</f>
        <v/>
      </c>
      <c r="BQ60" s="1" t="str">
        <f>IF(AO60&gt;AO$95, AO60-AO$95,"")</f>
        <v/>
      </c>
      <c r="BR60" s="1" t="str">
        <f>IF(AP60&gt;AP$95, AP60-AP$95,"")</f>
        <v/>
      </c>
      <c r="BS60" s="1" t="str">
        <f>IF(AQ60&gt;AQ$95, AQ60-AQ$95,"")</f>
        <v/>
      </c>
      <c r="BT60" s="1" t="str">
        <f>IF(AR60&gt;AR$95, AR60-AR$95,"")</f>
        <v/>
      </c>
      <c r="BU60" s="1" t="str">
        <f>IF(AS60&gt;AS$95, AS60-AS$95,"")</f>
        <v/>
      </c>
      <c r="BV60" s="1" t="str">
        <f>IF(AT60&gt;AT$95, AT60-AT$95,"")</f>
        <v/>
      </c>
      <c r="BW60" s="1" t="str">
        <f>IF(AU60&gt;AU$95, AU60-AU$95,"")</f>
        <v/>
      </c>
      <c r="BX60" s="1" t="str">
        <f>IF(AV60&gt;AV$95, AV60-AV$95,"")</f>
        <v/>
      </c>
      <c r="BY60" s="1" t="str">
        <f>IF(AW60&gt;AW$95, AW60-AW$95,"")</f>
        <v/>
      </c>
      <c r="BZ60" s="1">
        <f>COUNTIF(BN60:BY60, "&gt;0")</f>
        <v>0</v>
      </c>
      <c r="CA60" s="1" t="str">
        <f>IF($BZ60=1,BN60,"")</f>
        <v/>
      </c>
      <c r="CB60" s="1" t="str">
        <f>IF($BZ60=1,BO60,"")</f>
        <v/>
      </c>
      <c r="CC60" s="1" t="str">
        <f>IF($BZ60=1,BP60,"")</f>
        <v/>
      </c>
      <c r="CD60" s="1" t="str">
        <f>IF($BZ60=1,BQ60,"")</f>
        <v/>
      </c>
      <c r="CE60" s="1" t="str">
        <f>IF($BZ60=1,BR60,"")</f>
        <v/>
      </c>
      <c r="CF60" s="1" t="str">
        <f>IF($BZ60=1,BS60,"")</f>
        <v/>
      </c>
      <c r="CG60" s="1" t="str">
        <f>IF($BZ60=1,BT60,"")</f>
        <v/>
      </c>
      <c r="CH60" s="1" t="str">
        <f>IF($BZ60=1,BU60,"")</f>
        <v/>
      </c>
      <c r="CI60" s="1" t="str">
        <f>IF($BZ60=1,BV60,"")</f>
        <v/>
      </c>
      <c r="CJ60" s="1" t="str">
        <f>IF($BZ60=1,BW60,"")</f>
        <v/>
      </c>
      <c r="CK60" s="1" t="str">
        <f>IF($BZ60=1,BX60,"")</f>
        <v/>
      </c>
      <c r="CL60" s="1" t="str">
        <f>IF($BZ60=1,BY60,"")</f>
        <v/>
      </c>
    </row>
    <row r="61" spans="1:90" ht="27" x14ac:dyDescent="0.15">
      <c r="A61" s="1">
        <v>101</v>
      </c>
      <c r="B61" s="3" t="s">
        <v>98</v>
      </c>
      <c r="C61" s="3" t="s">
        <v>96</v>
      </c>
      <c r="D61" s="1" t="s">
        <v>13</v>
      </c>
      <c r="E61" s="6"/>
      <c r="F61" s="6"/>
      <c r="G61" s="6"/>
      <c r="H61" s="6">
        <v>6</v>
      </c>
      <c r="I61" s="6">
        <v>6</v>
      </c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4"/>
      <c r="AM61" s="4"/>
      <c r="AN61" s="4"/>
      <c r="AO61" s="4"/>
      <c r="AP61" s="4">
        <v>8</v>
      </c>
      <c r="AQ61" s="4"/>
      <c r="AR61" s="2">
        <v>8</v>
      </c>
      <c r="AS61" s="2"/>
      <c r="AT61" s="2"/>
      <c r="AU61" s="2"/>
      <c r="AV61" s="2"/>
      <c r="AW61" s="2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>
        <f>SUM(E61:BI61)</f>
        <v>28</v>
      </c>
      <c r="BK61" s="1">
        <v>8</v>
      </c>
      <c r="BL61" s="17">
        <v>2</v>
      </c>
      <c r="BM61" s="17" t="s">
        <v>160</v>
      </c>
      <c r="BN61" s="1" t="str">
        <f>IF(AL61&gt;AL$95, AL61-AL$95,"")</f>
        <v/>
      </c>
      <c r="BO61" s="1" t="str">
        <f>IF(AM61&gt;AM$95, AM61-AM$95,"")</f>
        <v/>
      </c>
      <c r="BP61" s="1" t="str">
        <f>IF(AN61&gt;AN$95, AN61-AN$95,"")</f>
        <v/>
      </c>
      <c r="BQ61" s="1" t="str">
        <f>IF(AO61&gt;AO$95, AO61-AO$95,"")</f>
        <v/>
      </c>
      <c r="BR61" s="1" t="str">
        <f>IF(AP61&gt;AP$95, AP61-AP$95,"")</f>
        <v/>
      </c>
      <c r="BS61" s="1" t="str">
        <f>IF(AQ61&gt;AQ$95, AQ61-AQ$95,"")</f>
        <v/>
      </c>
      <c r="BT61" s="1">
        <f>IF(AR61&gt;AR$95, AR61-AR$95,"")</f>
        <v>6</v>
      </c>
      <c r="BU61" s="1" t="str">
        <f>IF(AS61&gt;AS$95, AS61-AS$95,"")</f>
        <v/>
      </c>
      <c r="BV61" s="1" t="str">
        <f>IF(AT61&gt;AT$95, AT61-AT$95,"")</f>
        <v/>
      </c>
      <c r="BW61" s="1" t="str">
        <f>IF(AU61&gt;AU$95, AU61-AU$95,"")</f>
        <v/>
      </c>
      <c r="BX61" s="1" t="str">
        <f>IF(AV61&gt;AV$95, AV61-AV$95,"")</f>
        <v/>
      </c>
      <c r="BY61" s="1" t="str">
        <f>IF(AW61&gt;AW$95, AW61-AW$95,"")</f>
        <v/>
      </c>
      <c r="BZ61" s="1">
        <f>COUNTIF(BN61:BY61, "&gt;0")</f>
        <v>1</v>
      </c>
      <c r="CA61" s="1" t="str">
        <f>IF($BZ61=1,BN61,"")</f>
        <v/>
      </c>
      <c r="CB61" s="1" t="str">
        <f>IF($BZ61=1,BO61,"")</f>
        <v/>
      </c>
      <c r="CC61" s="1" t="str">
        <f>IF($BZ61=1,BP61,"")</f>
        <v/>
      </c>
      <c r="CD61" s="1" t="str">
        <f>IF($BZ61=1,BQ61,"")</f>
        <v/>
      </c>
      <c r="CE61" s="1" t="str">
        <f>IF($BZ61=1,BR61,"")</f>
        <v/>
      </c>
      <c r="CF61" s="1" t="str">
        <f>IF($BZ61=1,BS61,"")</f>
        <v/>
      </c>
      <c r="CG61" s="1">
        <f>IF($BZ61=1,BT61,"")</f>
        <v>6</v>
      </c>
      <c r="CH61" s="1" t="str">
        <f>IF($BZ61=1,BU61,"")</f>
        <v/>
      </c>
      <c r="CI61" s="1" t="str">
        <f>IF($BZ61=1,BV61,"")</f>
        <v/>
      </c>
      <c r="CJ61" s="1" t="str">
        <f>IF($BZ61=1,BW61,"")</f>
        <v/>
      </c>
      <c r="CK61" s="1" t="str">
        <f>IF($BZ61=1,BX61,"")</f>
        <v/>
      </c>
      <c r="CL61" s="1" t="str">
        <f>IF($BZ61=1,BY61,"")</f>
        <v/>
      </c>
    </row>
    <row r="62" spans="1:90" ht="27" x14ac:dyDescent="0.15">
      <c r="A62" s="1">
        <v>67</v>
      </c>
      <c r="B62" s="3" t="s">
        <v>82</v>
      </c>
      <c r="C62" s="1" t="s">
        <v>68</v>
      </c>
      <c r="D62" s="1" t="s">
        <v>1</v>
      </c>
      <c r="E62" s="6"/>
      <c r="F62" s="6"/>
      <c r="G62" s="6"/>
      <c r="H62" s="6"/>
      <c r="I62" s="6"/>
      <c r="J62" s="6"/>
      <c r="K62" s="6"/>
      <c r="L62" s="6"/>
      <c r="M62" s="6"/>
      <c r="N62" s="6">
        <v>5</v>
      </c>
      <c r="O62" s="6"/>
      <c r="P62" s="6"/>
      <c r="Q62" s="6"/>
      <c r="R62" s="6"/>
      <c r="S62" s="6"/>
      <c r="T62" s="6"/>
      <c r="U62" s="6"/>
      <c r="V62" s="6"/>
      <c r="W62" s="6"/>
      <c r="X62" s="6">
        <v>5</v>
      </c>
      <c r="Y62" s="6"/>
      <c r="Z62" s="6"/>
      <c r="AA62" s="6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4"/>
      <c r="AM62" s="4"/>
      <c r="AN62" s="4"/>
      <c r="AO62" s="4"/>
      <c r="AP62" s="4"/>
      <c r="AQ62" s="4"/>
      <c r="AR62" s="2"/>
      <c r="AS62" s="2"/>
      <c r="AT62" s="2"/>
      <c r="AU62" s="2"/>
      <c r="AV62" s="2"/>
      <c r="AW62" s="2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>
        <f>SUM(E62:BI62)</f>
        <v>10</v>
      </c>
      <c r="BK62" s="1">
        <v>9</v>
      </c>
      <c r="BL62" s="17">
        <v>2</v>
      </c>
      <c r="BM62" s="17" t="s">
        <v>196</v>
      </c>
      <c r="BN62" s="1" t="str">
        <f>IF(AL62&gt;AL$95, AL62-AL$95,"")</f>
        <v/>
      </c>
      <c r="BO62" s="1" t="str">
        <f>IF(AM62&gt;AM$95, AM62-AM$95,"")</f>
        <v/>
      </c>
      <c r="BP62" s="1" t="str">
        <f>IF(AN62&gt;AN$95, AN62-AN$95,"")</f>
        <v/>
      </c>
      <c r="BQ62" s="1" t="str">
        <f>IF(AO62&gt;AO$95, AO62-AO$95,"")</f>
        <v/>
      </c>
      <c r="BR62" s="1" t="str">
        <f>IF(AP62&gt;AP$95, AP62-AP$95,"")</f>
        <v/>
      </c>
      <c r="BS62" s="1" t="str">
        <f>IF(AQ62&gt;AQ$95, AQ62-AQ$95,"")</f>
        <v/>
      </c>
      <c r="BT62" s="1" t="str">
        <f>IF(AR62&gt;AR$95, AR62-AR$95,"")</f>
        <v/>
      </c>
      <c r="BU62" s="1" t="str">
        <f>IF(AS62&gt;AS$95, AS62-AS$95,"")</f>
        <v/>
      </c>
      <c r="BV62" s="1" t="str">
        <f>IF(AT62&gt;AT$95, AT62-AT$95,"")</f>
        <v/>
      </c>
      <c r="BW62" s="1" t="str">
        <f>IF(AU62&gt;AU$95, AU62-AU$95,"")</f>
        <v/>
      </c>
      <c r="BX62" s="1" t="str">
        <f>IF(AV62&gt;AV$95, AV62-AV$95,"")</f>
        <v/>
      </c>
      <c r="BY62" s="1" t="str">
        <f>IF(AW62&gt;AW$95, AW62-AW$95,"")</f>
        <v/>
      </c>
      <c r="BZ62" s="1">
        <f>COUNTIF(BN62:BY62, "&gt;0")</f>
        <v>0</v>
      </c>
      <c r="CA62" s="1" t="str">
        <f>IF($BZ62=1,BN62,"")</f>
        <v/>
      </c>
      <c r="CB62" s="1" t="str">
        <f>IF($BZ62=1,BO62,"")</f>
        <v/>
      </c>
      <c r="CC62" s="1" t="str">
        <f>IF($BZ62=1,BP62,"")</f>
        <v/>
      </c>
      <c r="CD62" s="1" t="str">
        <f>IF($BZ62=1,BQ62,"")</f>
        <v/>
      </c>
      <c r="CE62" s="1" t="str">
        <f>IF($BZ62=1,BR62,"")</f>
        <v/>
      </c>
      <c r="CF62" s="1" t="str">
        <f>IF($BZ62=1,BS62,"")</f>
        <v/>
      </c>
      <c r="CG62" s="1" t="str">
        <f>IF($BZ62=1,BT62,"")</f>
        <v/>
      </c>
      <c r="CH62" s="1" t="str">
        <f>IF($BZ62=1,BU62,"")</f>
        <v/>
      </c>
      <c r="CI62" s="1" t="str">
        <f>IF($BZ62=1,BV62,"")</f>
        <v/>
      </c>
      <c r="CJ62" s="1" t="str">
        <f>IF($BZ62=1,BW62,"")</f>
        <v/>
      </c>
      <c r="CK62" s="1" t="str">
        <f>IF($BZ62=1,BX62,"")</f>
        <v/>
      </c>
      <c r="CL62" s="1" t="str">
        <f>IF($BZ62=1,BY62,"")</f>
        <v/>
      </c>
    </row>
    <row r="63" spans="1:90" ht="27" x14ac:dyDescent="0.15">
      <c r="A63" s="1">
        <v>27</v>
      </c>
      <c r="B63" s="1" t="s">
        <v>108</v>
      </c>
      <c r="C63" s="1" t="s">
        <v>33</v>
      </c>
      <c r="D63" s="1" t="s">
        <v>24</v>
      </c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1"/>
      <c r="AC63" s="1"/>
      <c r="AD63" s="1"/>
      <c r="AE63" s="1">
        <v>5</v>
      </c>
      <c r="AF63" s="1">
        <v>5</v>
      </c>
      <c r="AG63" s="1"/>
      <c r="AH63" s="1"/>
      <c r="AI63" s="1"/>
      <c r="AJ63" s="1"/>
      <c r="AK63" s="1"/>
      <c r="AL63" s="4"/>
      <c r="AM63" s="4"/>
      <c r="AN63" s="4"/>
      <c r="AO63" s="4"/>
      <c r="AP63" s="4"/>
      <c r="AQ63" s="4"/>
      <c r="AR63" s="2"/>
      <c r="AS63" s="2"/>
      <c r="AT63" s="2"/>
      <c r="AU63" s="2"/>
      <c r="AV63" s="2"/>
      <c r="AW63" s="2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>
        <f>SUM(E63:BI63)</f>
        <v>10</v>
      </c>
      <c r="BK63" s="1">
        <v>10</v>
      </c>
      <c r="BL63" s="17">
        <v>2</v>
      </c>
      <c r="BM63" s="17" t="s">
        <v>200</v>
      </c>
      <c r="BN63" s="1" t="str">
        <f>IF(AL63&gt;AL$95, AL63-AL$95,"")</f>
        <v/>
      </c>
      <c r="BO63" s="1" t="str">
        <f>IF(AM63&gt;AM$95, AM63-AM$95,"")</f>
        <v/>
      </c>
      <c r="BP63" s="1" t="str">
        <f>IF(AN63&gt;AN$95, AN63-AN$95,"")</f>
        <v/>
      </c>
      <c r="BQ63" s="1" t="str">
        <f>IF(AO63&gt;AO$95, AO63-AO$95,"")</f>
        <v/>
      </c>
      <c r="BR63" s="1" t="str">
        <f>IF(AP63&gt;AP$95, AP63-AP$95,"")</f>
        <v/>
      </c>
      <c r="BS63" s="1" t="str">
        <f>IF(AQ63&gt;AQ$95, AQ63-AQ$95,"")</f>
        <v/>
      </c>
      <c r="BT63" s="1" t="str">
        <f>IF(AR63&gt;AR$95, AR63-AR$95,"")</f>
        <v/>
      </c>
      <c r="BU63" s="1" t="str">
        <f>IF(AS63&gt;AS$95, AS63-AS$95,"")</f>
        <v/>
      </c>
      <c r="BV63" s="1" t="str">
        <f>IF(AT63&gt;AT$95, AT63-AT$95,"")</f>
        <v/>
      </c>
      <c r="BW63" s="1" t="str">
        <f>IF(AU63&gt;AU$95, AU63-AU$95,"")</f>
        <v/>
      </c>
      <c r="BX63" s="1" t="str">
        <f>IF(AV63&gt;AV$95, AV63-AV$95,"")</f>
        <v/>
      </c>
      <c r="BY63" s="1" t="str">
        <f>IF(AW63&gt;AW$95, AW63-AW$95,"")</f>
        <v/>
      </c>
      <c r="BZ63" s="1">
        <f>COUNTIF(BN63:BY63, "&gt;0")</f>
        <v>0</v>
      </c>
      <c r="CA63" s="1" t="str">
        <f>IF($BZ63=1,BN63,"")</f>
        <v/>
      </c>
      <c r="CB63" s="1" t="str">
        <f>IF($BZ63=1,BO63,"")</f>
        <v/>
      </c>
      <c r="CC63" s="1" t="str">
        <f>IF($BZ63=1,BP63,"")</f>
        <v/>
      </c>
      <c r="CD63" s="1" t="str">
        <f>IF($BZ63=1,BQ63,"")</f>
        <v/>
      </c>
      <c r="CE63" s="1" t="str">
        <f>IF($BZ63=1,BR63,"")</f>
        <v/>
      </c>
      <c r="CF63" s="1" t="str">
        <f>IF($BZ63=1,BS63,"")</f>
        <v/>
      </c>
      <c r="CG63" s="1" t="str">
        <f>IF($BZ63=1,BT63,"")</f>
        <v/>
      </c>
      <c r="CH63" s="1" t="str">
        <f>IF($BZ63=1,BU63,"")</f>
        <v/>
      </c>
      <c r="CI63" s="1" t="str">
        <f>IF($BZ63=1,BV63,"")</f>
        <v/>
      </c>
      <c r="CJ63" s="1" t="str">
        <f>IF($BZ63=1,BW63,"")</f>
        <v/>
      </c>
      <c r="CK63" s="1" t="str">
        <f>IF($BZ63=1,BX63,"")</f>
        <v/>
      </c>
      <c r="CL63" s="1" t="str">
        <f>IF($BZ63=1,BY63,"")</f>
        <v/>
      </c>
    </row>
    <row r="64" spans="1:90" ht="27" x14ac:dyDescent="0.15">
      <c r="A64" s="1">
        <v>86</v>
      </c>
      <c r="B64" s="3" t="s">
        <v>121</v>
      </c>
      <c r="C64" s="3" t="s">
        <v>87</v>
      </c>
      <c r="D64" s="1" t="s">
        <v>24</v>
      </c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1"/>
      <c r="AC64" s="1"/>
      <c r="AD64" s="1"/>
      <c r="AE64" s="1"/>
      <c r="AF64" s="1"/>
      <c r="AG64" s="1"/>
      <c r="AH64" s="1">
        <v>5</v>
      </c>
      <c r="AI64" s="1">
        <v>5</v>
      </c>
      <c r="AJ64" s="1"/>
      <c r="AK64" s="1"/>
      <c r="AL64" s="4"/>
      <c r="AM64" s="4"/>
      <c r="AN64" s="4"/>
      <c r="AO64" s="4"/>
      <c r="AP64" s="4"/>
      <c r="AQ64" s="4"/>
      <c r="AR64" s="2"/>
      <c r="AS64" s="2"/>
      <c r="AT64" s="2"/>
      <c r="AU64" s="2"/>
      <c r="AV64" s="2"/>
      <c r="AW64" s="2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>
        <f>SUM(E64:BI64)</f>
        <v>10</v>
      </c>
      <c r="BK64" s="1">
        <v>10</v>
      </c>
      <c r="BL64" s="17">
        <v>2</v>
      </c>
      <c r="BM64" s="17" t="s">
        <v>201</v>
      </c>
      <c r="BN64" s="1" t="str">
        <f>IF(AL64&gt;AL$95, AL64-AL$95,"")</f>
        <v/>
      </c>
      <c r="BO64" s="1" t="str">
        <f>IF(AM64&gt;AM$95, AM64-AM$95,"")</f>
        <v/>
      </c>
      <c r="BP64" s="1" t="str">
        <f>IF(AN64&gt;AN$95, AN64-AN$95,"")</f>
        <v/>
      </c>
      <c r="BQ64" s="1" t="str">
        <f>IF(AO64&gt;AO$95, AO64-AO$95,"")</f>
        <v/>
      </c>
      <c r="BR64" s="1" t="str">
        <f>IF(AP64&gt;AP$95, AP64-AP$95,"")</f>
        <v/>
      </c>
      <c r="BS64" s="1" t="str">
        <f>IF(AQ64&gt;AQ$95, AQ64-AQ$95,"")</f>
        <v/>
      </c>
      <c r="BT64" s="1" t="str">
        <f>IF(AR64&gt;AR$95, AR64-AR$95,"")</f>
        <v/>
      </c>
      <c r="BU64" s="1" t="str">
        <f>IF(AS64&gt;AS$95, AS64-AS$95,"")</f>
        <v/>
      </c>
      <c r="BV64" s="1" t="str">
        <f>IF(AT64&gt;AT$95, AT64-AT$95,"")</f>
        <v/>
      </c>
      <c r="BW64" s="1" t="str">
        <f>IF(AU64&gt;AU$95, AU64-AU$95,"")</f>
        <v/>
      </c>
      <c r="BX64" s="1" t="str">
        <f>IF(AV64&gt;AV$95, AV64-AV$95,"")</f>
        <v/>
      </c>
      <c r="BY64" s="1" t="str">
        <f>IF(AW64&gt;AW$95, AW64-AW$95,"")</f>
        <v/>
      </c>
      <c r="BZ64" s="1">
        <f>COUNTIF(BN64:BY64, "&gt;0")</f>
        <v>0</v>
      </c>
      <c r="CA64" s="1" t="str">
        <f>IF($BZ64=1,BN64,"")</f>
        <v/>
      </c>
      <c r="CB64" s="1" t="str">
        <f>IF($BZ64=1,BO64,"")</f>
        <v/>
      </c>
      <c r="CC64" s="1" t="str">
        <f>IF($BZ64=1,BP64,"")</f>
        <v/>
      </c>
      <c r="CD64" s="1" t="str">
        <f>IF($BZ64=1,BQ64,"")</f>
        <v/>
      </c>
      <c r="CE64" s="1" t="str">
        <f>IF($BZ64=1,BR64,"")</f>
        <v/>
      </c>
      <c r="CF64" s="1" t="str">
        <f>IF($BZ64=1,BS64,"")</f>
        <v/>
      </c>
      <c r="CG64" s="1" t="str">
        <f>IF($BZ64=1,BT64,"")</f>
        <v/>
      </c>
      <c r="CH64" s="1" t="str">
        <f>IF($BZ64=1,BU64,"")</f>
        <v/>
      </c>
      <c r="CI64" s="1" t="str">
        <f>IF($BZ64=1,BV64,"")</f>
        <v/>
      </c>
      <c r="CJ64" s="1" t="str">
        <f>IF($BZ64=1,BW64,"")</f>
        <v/>
      </c>
      <c r="CK64" s="1" t="str">
        <f>IF($BZ64=1,BX64,"")</f>
        <v/>
      </c>
      <c r="CL64" s="1" t="str">
        <f>IF($BZ64=1,BY64,"")</f>
        <v/>
      </c>
    </row>
    <row r="65" spans="1:90" ht="27" x14ac:dyDescent="0.15">
      <c r="A65" s="1">
        <v>87</v>
      </c>
      <c r="B65" s="3" t="s">
        <v>121</v>
      </c>
      <c r="C65" s="3" t="s">
        <v>87</v>
      </c>
      <c r="D65" s="1" t="s">
        <v>1</v>
      </c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1"/>
      <c r="AC65" s="1"/>
      <c r="AD65" s="1"/>
      <c r="AE65" s="1"/>
      <c r="AF65" s="1"/>
      <c r="AG65" s="1"/>
      <c r="AH65" s="1">
        <v>5</v>
      </c>
      <c r="AI65" s="1">
        <v>5</v>
      </c>
      <c r="AJ65" s="1"/>
      <c r="AK65" s="1"/>
      <c r="AL65" s="4"/>
      <c r="AM65" s="4"/>
      <c r="AN65" s="4"/>
      <c r="AO65" s="4"/>
      <c r="AP65" s="4"/>
      <c r="AQ65" s="4"/>
      <c r="AR65" s="2"/>
      <c r="AS65" s="2"/>
      <c r="AT65" s="2"/>
      <c r="AU65" s="2"/>
      <c r="AV65" s="2"/>
      <c r="AW65" s="2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>
        <f>SUM(E65:BI65)</f>
        <v>10</v>
      </c>
      <c r="BK65" s="1">
        <v>10</v>
      </c>
      <c r="BL65" s="17">
        <v>2</v>
      </c>
      <c r="BM65" s="17" t="s">
        <v>202</v>
      </c>
      <c r="BN65" s="1" t="str">
        <f>IF(AL65&gt;AL$95, AL65-AL$95,"")</f>
        <v/>
      </c>
      <c r="BO65" s="1" t="str">
        <f>IF(AM65&gt;AM$95, AM65-AM$95,"")</f>
        <v/>
      </c>
      <c r="BP65" s="1" t="str">
        <f>IF(AN65&gt;AN$95, AN65-AN$95,"")</f>
        <v/>
      </c>
      <c r="BQ65" s="1" t="str">
        <f>IF(AO65&gt;AO$95, AO65-AO$95,"")</f>
        <v/>
      </c>
      <c r="BR65" s="1" t="str">
        <f>IF(AP65&gt;AP$95, AP65-AP$95,"")</f>
        <v/>
      </c>
      <c r="BS65" s="1" t="str">
        <f>IF(AQ65&gt;AQ$95, AQ65-AQ$95,"")</f>
        <v/>
      </c>
      <c r="BT65" s="1" t="str">
        <f>IF(AR65&gt;AR$95, AR65-AR$95,"")</f>
        <v/>
      </c>
      <c r="BU65" s="1" t="str">
        <f>IF(AS65&gt;AS$95, AS65-AS$95,"")</f>
        <v/>
      </c>
      <c r="BV65" s="1" t="str">
        <f>IF(AT65&gt;AT$95, AT65-AT$95,"")</f>
        <v/>
      </c>
      <c r="BW65" s="1" t="str">
        <f>IF(AU65&gt;AU$95, AU65-AU$95,"")</f>
        <v/>
      </c>
      <c r="BX65" s="1" t="str">
        <f>IF(AV65&gt;AV$95, AV65-AV$95,"")</f>
        <v/>
      </c>
      <c r="BY65" s="1" t="str">
        <f>IF(AW65&gt;AW$95, AW65-AW$95,"")</f>
        <v/>
      </c>
      <c r="BZ65" s="1">
        <f>COUNTIF(BN65:BY65, "&gt;0")</f>
        <v>0</v>
      </c>
      <c r="CA65" s="1" t="str">
        <f>IF($BZ65=1,BN65,"")</f>
        <v/>
      </c>
      <c r="CB65" s="1" t="str">
        <f>IF($BZ65=1,BO65,"")</f>
        <v/>
      </c>
      <c r="CC65" s="1" t="str">
        <f>IF($BZ65=1,BP65,"")</f>
        <v/>
      </c>
      <c r="CD65" s="1" t="str">
        <f>IF($BZ65=1,BQ65,"")</f>
        <v/>
      </c>
      <c r="CE65" s="1" t="str">
        <f>IF($BZ65=1,BR65,"")</f>
        <v/>
      </c>
      <c r="CF65" s="1" t="str">
        <f>IF($BZ65=1,BS65,"")</f>
        <v/>
      </c>
      <c r="CG65" s="1" t="str">
        <f>IF($BZ65=1,BT65,"")</f>
        <v/>
      </c>
      <c r="CH65" s="1" t="str">
        <f>IF($BZ65=1,BU65,"")</f>
        <v/>
      </c>
      <c r="CI65" s="1" t="str">
        <f>IF($BZ65=1,BV65,"")</f>
        <v/>
      </c>
      <c r="CJ65" s="1" t="str">
        <f>IF($BZ65=1,BW65,"")</f>
        <v/>
      </c>
      <c r="CK65" s="1" t="str">
        <f>IF($BZ65=1,BX65,"")</f>
        <v/>
      </c>
      <c r="CL65" s="1" t="str">
        <f>IF($BZ65=1,BY65,"")</f>
        <v/>
      </c>
    </row>
    <row r="66" spans="1:90" ht="27" x14ac:dyDescent="0.15">
      <c r="A66" s="1">
        <v>88</v>
      </c>
      <c r="B66" s="3" t="s">
        <v>122</v>
      </c>
      <c r="C66" s="3" t="s">
        <v>123</v>
      </c>
      <c r="D66" s="1" t="s">
        <v>24</v>
      </c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1"/>
      <c r="AC66" s="1"/>
      <c r="AD66" s="1"/>
      <c r="AE66" s="1">
        <v>5</v>
      </c>
      <c r="AF66" s="1">
        <v>5</v>
      </c>
      <c r="AG66" s="1"/>
      <c r="AH66" s="1"/>
      <c r="AI66" s="1"/>
      <c r="AJ66" s="1"/>
      <c r="AK66" s="1"/>
      <c r="AL66" s="4"/>
      <c r="AM66" s="4"/>
      <c r="AN66" s="4"/>
      <c r="AO66" s="4"/>
      <c r="AP66" s="4"/>
      <c r="AQ66" s="4"/>
      <c r="AR66" s="2"/>
      <c r="AS66" s="2"/>
      <c r="AT66" s="2"/>
      <c r="AU66" s="2"/>
      <c r="AV66" s="2"/>
      <c r="AW66" s="2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>
        <f>SUM(E66:BI66)</f>
        <v>10</v>
      </c>
      <c r="BK66" s="1">
        <v>10</v>
      </c>
      <c r="BL66" s="17">
        <v>2</v>
      </c>
      <c r="BM66" s="17" t="s">
        <v>200</v>
      </c>
      <c r="BN66" s="1" t="str">
        <f>IF(AL66&gt;AL$95, AL66-AL$95,"")</f>
        <v/>
      </c>
      <c r="BO66" s="1" t="str">
        <f>IF(AM66&gt;AM$95, AM66-AM$95,"")</f>
        <v/>
      </c>
      <c r="BP66" s="1" t="str">
        <f>IF(AN66&gt;AN$95, AN66-AN$95,"")</f>
        <v/>
      </c>
      <c r="BQ66" s="1" t="str">
        <f>IF(AO66&gt;AO$95, AO66-AO$95,"")</f>
        <v/>
      </c>
      <c r="BR66" s="1" t="str">
        <f>IF(AP66&gt;AP$95, AP66-AP$95,"")</f>
        <v/>
      </c>
      <c r="BS66" s="1" t="str">
        <f>IF(AQ66&gt;AQ$95, AQ66-AQ$95,"")</f>
        <v/>
      </c>
      <c r="BT66" s="1" t="str">
        <f>IF(AR66&gt;AR$95, AR66-AR$95,"")</f>
        <v/>
      </c>
      <c r="BU66" s="1" t="str">
        <f>IF(AS66&gt;AS$95, AS66-AS$95,"")</f>
        <v/>
      </c>
      <c r="BV66" s="1" t="str">
        <f>IF(AT66&gt;AT$95, AT66-AT$95,"")</f>
        <v/>
      </c>
      <c r="BW66" s="1" t="str">
        <f>IF(AU66&gt;AU$95, AU66-AU$95,"")</f>
        <v/>
      </c>
      <c r="BX66" s="1" t="str">
        <f>IF(AV66&gt;AV$95, AV66-AV$95,"")</f>
        <v/>
      </c>
      <c r="BY66" s="1" t="str">
        <f>IF(AW66&gt;AW$95, AW66-AW$95,"")</f>
        <v/>
      </c>
      <c r="BZ66" s="1">
        <f>COUNTIF(BN66:BY66, "&gt;0")</f>
        <v>0</v>
      </c>
      <c r="CA66" s="1" t="str">
        <f>IF($BZ66=1,BN66,"")</f>
        <v/>
      </c>
      <c r="CB66" s="1" t="str">
        <f>IF($BZ66=1,BO66,"")</f>
        <v/>
      </c>
      <c r="CC66" s="1" t="str">
        <f>IF($BZ66=1,BP66,"")</f>
        <v/>
      </c>
      <c r="CD66" s="1" t="str">
        <f>IF($BZ66=1,BQ66,"")</f>
        <v/>
      </c>
      <c r="CE66" s="1" t="str">
        <f>IF($BZ66=1,BR66,"")</f>
        <v/>
      </c>
      <c r="CF66" s="1" t="str">
        <f>IF($BZ66=1,BS66,"")</f>
        <v/>
      </c>
      <c r="CG66" s="1" t="str">
        <f>IF($BZ66=1,BT66,"")</f>
        <v/>
      </c>
      <c r="CH66" s="1" t="str">
        <f>IF($BZ66=1,BU66,"")</f>
        <v/>
      </c>
      <c r="CI66" s="1" t="str">
        <f>IF($BZ66=1,BV66,"")</f>
        <v/>
      </c>
      <c r="CJ66" s="1" t="str">
        <f>IF($BZ66=1,BW66,"")</f>
        <v/>
      </c>
      <c r="CK66" s="1" t="str">
        <f>IF($BZ66=1,BX66,"")</f>
        <v/>
      </c>
      <c r="CL66" s="1" t="str">
        <f>IF($BZ66=1,BY66,"")</f>
        <v/>
      </c>
    </row>
    <row r="67" spans="1:90" ht="27" x14ac:dyDescent="0.15">
      <c r="A67" s="1">
        <v>21</v>
      </c>
      <c r="B67" s="1" t="s">
        <v>41</v>
      </c>
      <c r="C67" s="1" t="s">
        <v>33</v>
      </c>
      <c r="D67" s="1" t="s">
        <v>26</v>
      </c>
      <c r="E67" s="6"/>
      <c r="F67" s="6"/>
      <c r="G67" s="6">
        <v>6</v>
      </c>
      <c r="H67" s="6">
        <v>6</v>
      </c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4"/>
      <c r="AM67" s="4"/>
      <c r="AN67" s="4">
        <v>10</v>
      </c>
      <c r="AO67" s="4"/>
      <c r="AP67" s="4"/>
      <c r="AQ67" s="4"/>
      <c r="AR67" s="2"/>
      <c r="AS67" s="2"/>
      <c r="AT67" s="2"/>
      <c r="AU67" s="2"/>
      <c r="AV67" s="2"/>
      <c r="AW67" s="2">
        <v>10</v>
      </c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>
        <f>SUM(E67:BI67)</f>
        <v>32</v>
      </c>
      <c r="BK67" s="1">
        <v>12</v>
      </c>
      <c r="BL67" s="17">
        <v>2</v>
      </c>
      <c r="BM67" s="17" t="s">
        <v>203</v>
      </c>
      <c r="BN67" s="1" t="str">
        <f>IF(AL67&gt;AL$95, AL67-AL$95,"")</f>
        <v/>
      </c>
      <c r="BO67" s="1" t="str">
        <f>IF(AM67&gt;AM$95, AM67-AM$95,"")</f>
        <v/>
      </c>
      <c r="BP67" s="1" t="str">
        <f>IF(AN67&gt;AN$95, AN67-AN$95,"")</f>
        <v/>
      </c>
      <c r="BQ67" s="1" t="str">
        <f>IF(AO67&gt;AO$95, AO67-AO$95,"")</f>
        <v/>
      </c>
      <c r="BR67" s="1" t="str">
        <f>IF(AP67&gt;AP$95, AP67-AP$95,"")</f>
        <v/>
      </c>
      <c r="BS67" s="1" t="str">
        <f>IF(AQ67&gt;AQ$95, AQ67-AQ$95,"")</f>
        <v/>
      </c>
      <c r="BT67" s="1" t="str">
        <f>IF(AR67&gt;AR$95, AR67-AR$95,"")</f>
        <v/>
      </c>
      <c r="BU67" s="1" t="str">
        <f>IF(AS67&gt;AS$95, AS67-AS$95,"")</f>
        <v/>
      </c>
      <c r="BV67" s="1" t="str">
        <f>IF(AT67&gt;AT$95, AT67-AT$95,"")</f>
        <v/>
      </c>
      <c r="BW67" s="1" t="str">
        <f>IF(AU67&gt;AU$95, AU67-AU$95,"")</f>
        <v/>
      </c>
      <c r="BX67" s="1" t="str">
        <f>IF(AV67&gt;AV$95, AV67-AV$95,"")</f>
        <v/>
      </c>
      <c r="BY67" s="1">
        <f>IF(AW67&gt;AW$95, AW67-AW$95,"")</f>
        <v>7</v>
      </c>
      <c r="BZ67" s="1">
        <f>COUNTIF(BN67:BY67, "&gt;0")</f>
        <v>1</v>
      </c>
      <c r="CA67" s="1" t="str">
        <f>IF($BZ67=1,BN67,"")</f>
        <v/>
      </c>
      <c r="CB67" s="1" t="str">
        <f>IF($BZ67=1,BO67,"")</f>
        <v/>
      </c>
      <c r="CC67" s="1" t="str">
        <f>IF($BZ67=1,BP67,"")</f>
        <v/>
      </c>
      <c r="CD67" s="1" t="str">
        <f>IF($BZ67=1,BQ67,"")</f>
        <v/>
      </c>
      <c r="CE67" s="1" t="str">
        <f>IF($BZ67=1,BR67,"")</f>
        <v/>
      </c>
      <c r="CF67" s="1" t="str">
        <f>IF($BZ67=1,BS67,"")</f>
        <v/>
      </c>
      <c r="CG67" s="1" t="str">
        <f>IF($BZ67=1,BT67,"")</f>
        <v/>
      </c>
      <c r="CH67" s="1" t="str">
        <f>IF($BZ67=1,BU67,"")</f>
        <v/>
      </c>
      <c r="CI67" s="1" t="str">
        <f>IF($BZ67=1,BV67,"")</f>
        <v/>
      </c>
      <c r="CJ67" s="1" t="str">
        <f>IF($BZ67=1,BW67,"")</f>
        <v/>
      </c>
      <c r="CK67" s="1" t="str">
        <f>IF($BZ67=1,BX67,"")</f>
        <v/>
      </c>
      <c r="CL67" s="1">
        <f>IF($BZ67=1,BY67,"")</f>
        <v>7</v>
      </c>
    </row>
    <row r="68" spans="1:90" ht="27" x14ac:dyDescent="0.15">
      <c r="A68" s="1">
        <v>72</v>
      </c>
      <c r="B68" s="3" t="s">
        <v>137</v>
      </c>
      <c r="C68" s="1" t="s">
        <v>68</v>
      </c>
      <c r="D68" s="1" t="s">
        <v>13</v>
      </c>
      <c r="E68" s="6"/>
      <c r="F68" s="6"/>
      <c r="G68" s="6"/>
      <c r="H68" s="6"/>
      <c r="I68" s="6"/>
      <c r="J68" s="6"/>
      <c r="K68" s="6"/>
      <c r="L68" s="6">
        <v>6</v>
      </c>
      <c r="M68" s="6">
        <v>6</v>
      </c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4"/>
      <c r="AM68" s="4"/>
      <c r="AN68" s="4"/>
      <c r="AO68" s="4"/>
      <c r="AP68" s="4"/>
      <c r="AQ68" s="4">
        <v>10</v>
      </c>
      <c r="AR68" s="2"/>
      <c r="AS68" s="2"/>
      <c r="AT68" s="2"/>
      <c r="AU68" s="2"/>
      <c r="AV68" s="2">
        <v>10</v>
      </c>
      <c r="AW68" s="2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>
        <f>SUM(E68:BI68)</f>
        <v>32</v>
      </c>
      <c r="BK68" s="1">
        <v>12</v>
      </c>
      <c r="BL68" s="17">
        <v>2</v>
      </c>
      <c r="BM68" s="17" t="s">
        <v>204</v>
      </c>
      <c r="BN68" s="1" t="str">
        <f>IF(AL68&gt;AL$95, AL68-AL$95,"")</f>
        <v/>
      </c>
      <c r="BO68" s="1" t="str">
        <f>IF(AM68&gt;AM$95, AM68-AM$95,"")</f>
        <v/>
      </c>
      <c r="BP68" s="1" t="str">
        <f>IF(AN68&gt;AN$95, AN68-AN$95,"")</f>
        <v/>
      </c>
      <c r="BQ68" s="1" t="str">
        <f>IF(AO68&gt;AO$95, AO68-AO$95,"")</f>
        <v/>
      </c>
      <c r="BR68" s="1" t="str">
        <f>IF(AP68&gt;AP$95, AP68-AP$95,"")</f>
        <v/>
      </c>
      <c r="BS68" s="1">
        <f>IF(AQ68&gt;AQ$95, AQ68-AQ$95,"")</f>
        <v>8</v>
      </c>
      <c r="BT68" s="1" t="str">
        <f>IF(AR68&gt;AR$95, AR68-AR$95,"")</f>
        <v/>
      </c>
      <c r="BU68" s="1" t="str">
        <f>IF(AS68&gt;AS$95, AS68-AS$95,"")</f>
        <v/>
      </c>
      <c r="BV68" s="1" t="str">
        <f>IF(AT68&gt;AT$95, AT68-AT$95,"")</f>
        <v/>
      </c>
      <c r="BW68" s="1" t="str">
        <f>IF(AU68&gt;AU$95, AU68-AU$95,"")</f>
        <v/>
      </c>
      <c r="BX68" s="1" t="str">
        <f>IF(AV68&gt;AV$95, AV68-AV$95,"")</f>
        <v/>
      </c>
      <c r="BY68" s="1" t="str">
        <f>IF(AW68&gt;AW$95, AW68-AW$95,"")</f>
        <v/>
      </c>
      <c r="BZ68" s="1">
        <f>COUNTIF(BN68:BY68, "&gt;0")</f>
        <v>1</v>
      </c>
      <c r="CA68" s="1" t="str">
        <f>IF($BZ68=1,BN68,"")</f>
        <v/>
      </c>
      <c r="CB68" s="1" t="str">
        <f>IF($BZ68=1,BO68,"")</f>
        <v/>
      </c>
      <c r="CC68" s="1" t="str">
        <f>IF($BZ68=1,BP68,"")</f>
        <v/>
      </c>
      <c r="CD68" s="1" t="str">
        <f>IF($BZ68=1,BQ68,"")</f>
        <v/>
      </c>
      <c r="CE68" s="1" t="str">
        <f>IF($BZ68=1,BR68,"")</f>
        <v/>
      </c>
      <c r="CF68" s="1">
        <f>IF($BZ68=1,BS68,"")</f>
        <v>8</v>
      </c>
      <c r="CG68" s="1" t="str">
        <f>IF($BZ68=1,BT68,"")</f>
        <v/>
      </c>
      <c r="CH68" s="1" t="str">
        <f>IF($BZ68=1,BU68,"")</f>
        <v/>
      </c>
      <c r="CI68" s="1" t="str">
        <f>IF($BZ68=1,BV68,"")</f>
        <v/>
      </c>
      <c r="CJ68" s="1" t="str">
        <f>IF($BZ68=1,BW68,"")</f>
        <v/>
      </c>
      <c r="CK68" s="1" t="str">
        <f>IF($BZ68=1,BX68,"")</f>
        <v/>
      </c>
      <c r="CL68" s="1" t="str">
        <f>IF($BZ68=1,BY68,"")</f>
        <v/>
      </c>
    </row>
    <row r="69" spans="1:90" ht="27" x14ac:dyDescent="0.15">
      <c r="A69" s="1">
        <v>81</v>
      </c>
      <c r="B69" s="3" t="s">
        <v>92</v>
      </c>
      <c r="C69" s="3" t="s">
        <v>87</v>
      </c>
      <c r="D69" s="1" t="s">
        <v>13</v>
      </c>
      <c r="E69" s="6"/>
      <c r="F69" s="6"/>
      <c r="G69" s="6"/>
      <c r="H69" s="6"/>
      <c r="I69" s="6"/>
      <c r="J69" s="6"/>
      <c r="K69" s="6"/>
      <c r="L69" s="6">
        <v>6</v>
      </c>
      <c r="M69" s="6"/>
      <c r="N69" s="6"/>
      <c r="O69" s="6">
        <v>6</v>
      </c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4"/>
      <c r="AM69" s="4"/>
      <c r="AN69" s="4"/>
      <c r="AO69" s="4">
        <v>10</v>
      </c>
      <c r="AP69" s="4"/>
      <c r="AQ69" s="4"/>
      <c r="AR69" s="2"/>
      <c r="AS69" s="2"/>
      <c r="AT69" s="2"/>
      <c r="AU69" s="2"/>
      <c r="AV69" s="2">
        <v>10</v>
      </c>
      <c r="AW69" s="2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>
        <f>SUM(E69:BI69)</f>
        <v>32</v>
      </c>
      <c r="BK69" s="1">
        <v>13</v>
      </c>
      <c r="BL69" s="17">
        <v>2</v>
      </c>
      <c r="BM69" s="17" t="s">
        <v>205</v>
      </c>
      <c r="BN69" s="1" t="str">
        <f>IF(AL69&gt;AL$95, AL69-AL$95,"")</f>
        <v/>
      </c>
      <c r="BO69" s="1" t="str">
        <f>IF(AM69&gt;AM$95, AM69-AM$95,"")</f>
        <v/>
      </c>
      <c r="BP69" s="1" t="str">
        <f>IF(AN69&gt;AN$95, AN69-AN$95,"")</f>
        <v/>
      </c>
      <c r="BQ69" s="1">
        <f>IF(AO69&gt;AO$95, AO69-AO$95,"")</f>
        <v>10</v>
      </c>
      <c r="BR69" s="1" t="str">
        <f>IF(AP69&gt;AP$95, AP69-AP$95,"")</f>
        <v/>
      </c>
      <c r="BS69" s="1" t="str">
        <f>IF(AQ69&gt;AQ$95, AQ69-AQ$95,"")</f>
        <v/>
      </c>
      <c r="BT69" s="1" t="str">
        <f>IF(AR69&gt;AR$95, AR69-AR$95,"")</f>
        <v/>
      </c>
      <c r="BU69" s="1" t="str">
        <f>IF(AS69&gt;AS$95, AS69-AS$95,"")</f>
        <v/>
      </c>
      <c r="BV69" s="1" t="str">
        <f>IF(AT69&gt;AT$95, AT69-AT$95,"")</f>
        <v/>
      </c>
      <c r="BW69" s="1" t="str">
        <f>IF(AU69&gt;AU$95, AU69-AU$95,"")</f>
        <v/>
      </c>
      <c r="BX69" s="1" t="str">
        <f>IF(AV69&gt;AV$95, AV69-AV$95,"")</f>
        <v/>
      </c>
      <c r="BY69" s="1" t="str">
        <f>IF(AW69&gt;AW$95, AW69-AW$95,"")</f>
        <v/>
      </c>
      <c r="BZ69" s="1">
        <f>COUNTIF(BN69:BY69, "&gt;0")</f>
        <v>1</v>
      </c>
      <c r="CA69" s="1" t="str">
        <f>IF($BZ69=1,BN69,"")</f>
        <v/>
      </c>
      <c r="CB69" s="1" t="str">
        <f>IF($BZ69=1,BO69,"")</f>
        <v/>
      </c>
      <c r="CC69" s="1" t="str">
        <f>IF($BZ69=1,BP69,"")</f>
        <v/>
      </c>
      <c r="CD69" s="1">
        <f>IF($BZ69=1,BQ69,"")</f>
        <v>10</v>
      </c>
      <c r="CE69" s="1" t="str">
        <f>IF($BZ69=1,BR69,"")</f>
        <v/>
      </c>
      <c r="CF69" s="1" t="str">
        <f>IF($BZ69=1,BS69,"")</f>
        <v/>
      </c>
      <c r="CG69" s="1" t="str">
        <f>IF($BZ69=1,BT69,"")</f>
        <v/>
      </c>
      <c r="CH69" s="1" t="str">
        <f>IF($BZ69=1,BU69,"")</f>
        <v/>
      </c>
      <c r="CI69" s="1" t="str">
        <f>IF($BZ69=1,BV69,"")</f>
        <v/>
      </c>
      <c r="CJ69" s="1" t="str">
        <f>IF($BZ69=1,BW69,"")</f>
        <v/>
      </c>
      <c r="CK69" s="1" t="str">
        <f>IF($BZ69=1,BX69,"")</f>
        <v/>
      </c>
      <c r="CL69" s="1" t="str">
        <f>IF($BZ69=1,BY69,"")</f>
        <v/>
      </c>
    </row>
    <row r="70" spans="1:90" ht="27" x14ac:dyDescent="0.15">
      <c r="A70" s="1">
        <v>34</v>
      </c>
      <c r="B70" s="1" t="s">
        <v>51</v>
      </c>
      <c r="C70" s="1" t="s">
        <v>52</v>
      </c>
      <c r="D70" s="1" t="s">
        <v>25</v>
      </c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4">
        <v>15</v>
      </c>
      <c r="AM70" s="4"/>
      <c r="AN70" s="4"/>
      <c r="AO70" s="4"/>
      <c r="AP70" s="4"/>
      <c r="AQ70" s="4"/>
      <c r="AR70" s="2"/>
      <c r="AS70" s="2"/>
      <c r="AT70" s="2"/>
      <c r="AU70" s="2"/>
      <c r="AV70" s="2"/>
      <c r="AW70" s="2">
        <v>15</v>
      </c>
      <c r="AX70" s="1"/>
      <c r="AY70" s="1"/>
      <c r="AZ70" s="1"/>
      <c r="BA70" s="1"/>
      <c r="BB70" s="1">
        <v>15</v>
      </c>
      <c r="BC70" s="1">
        <v>15</v>
      </c>
      <c r="BD70" s="1"/>
      <c r="BE70" s="1"/>
      <c r="BF70" s="1"/>
      <c r="BG70" s="1"/>
      <c r="BH70" s="1"/>
      <c r="BI70" s="1"/>
      <c r="BJ70" s="1">
        <f>SUM(E70:BI70)</f>
        <v>60</v>
      </c>
      <c r="BK70" s="1">
        <v>15</v>
      </c>
      <c r="BL70" s="17">
        <v>2</v>
      </c>
      <c r="BM70" s="17" t="s">
        <v>206</v>
      </c>
      <c r="BN70" s="1">
        <f>IF(AL70&gt;AL$95, AL70-AL$95,"")</f>
        <v>3</v>
      </c>
      <c r="BO70" s="1" t="str">
        <f>IF(AM70&gt;AM$95, AM70-AM$95,"")</f>
        <v/>
      </c>
      <c r="BP70" s="1" t="str">
        <f>IF(AN70&gt;AN$95, AN70-AN$95,"")</f>
        <v/>
      </c>
      <c r="BQ70" s="1" t="str">
        <f>IF(AO70&gt;AO$95, AO70-AO$95,"")</f>
        <v/>
      </c>
      <c r="BR70" s="1" t="str">
        <f>IF(AP70&gt;AP$95, AP70-AP$95,"")</f>
        <v/>
      </c>
      <c r="BS70" s="1" t="str">
        <f>IF(AQ70&gt;AQ$95, AQ70-AQ$95,"")</f>
        <v/>
      </c>
      <c r="BT70" s="1" t="str">
        <f>IF(AR70&gt;AR$95, AR70-AR$95,"")</f>
        <v/>
      </c>
      <c r="BU70" s="1" t="str">
        <f>IF(AS70&gt;AS$95, AS70-AS$95,"")</f>
        <v/>
      </c>
      <c r="BV70" s="1" t="str">
        <f>IF(AT70&gt;AT$95, AT70-AT$95,"")</f>
        <v/>
      </c>
      <c r="BW70" s="1" t="str">
        <f>IF(AU70&gt;AU$95, AU70-AU$95,"")</f>
        <v/>
      </c>
      <c r="BX70" s="1" t="str">
        <f>IF(AV70&gt;AV$95, AV70-AV$95,"")</f>
        <v/>
      </c>
      <c r="BY70" s="1">
        <f>IF(AW70&gt;AW$95, AW70-AW$95,"")</f>
        <v>12</v>
      </c>
      <c r="BZ70" s="1">
        <f>COUNTIF(BN70:BY70, "&gt;0")</f>
        <v>2</v>
      </c>
      <c r="CA70" s="1" t="str">
        <f>IF($BZ70=1,BN70,"")</f>
        <v/>
      </c>
      <c r="CB70" s="1" t="str">
        <f>IF($BZ70=1,BO70,"")</f>
        <v/>
      </c>
      <c r="CC70" s="1" t="str">
        <f>IF($BZ70=1,BP70,"")</f>
        <v/>
      </c>
      <c r="CD70" s="1" t="str">
        <f>IF($BZ70=1,BQ70,"")</f>
        <v/>
      </c>
      <c r="CE70" s="1" t="str">
        <f>IF($BZ70=1,BR70,"")</f>
        <v/>
      </c>
      <c r="CF70" s="1" t="str">
        <f>IF($BZ70=1,BS70,"")</f>
        <v/>
      </c>
      <c r="CG70" s="1" t="str">
        <f>IF($BZ70=1,BT70,"")</f>
        <v/>
      </c>
      <c r="CH70" s="1" t="str">
        <f>IF($BZ70=1,BU70,"")</f>
        <v/>
      </c>
      <c r="CI70" s="1" t="str">
        <f>IF($BZ70=1,BV70,"")</f>
        <v/>
      </c>
      <c r="CJ70" s="1" t="str">
        <f>IF($BZ70=1,BW70,"")</f>
        <v/>
      </c>
      <c r="CK70" s="1" t="str">
        <f>IF($BZ70=1,BX70,"")</f>
        <v/>
      </c>
      <c r="CL70" s="1" t="str">
        <f>IF($BZ70=1,BY70,"")</f>
        <v/>
      </c>
    </row>
    <row r="71" spans="1:90" ht="27" x14ac:dyDescent="0.15">
      <c r="A71" s="1">
        <v>82</v>
      </c>
      <c r="B71" s="3" t="s">
        <v>93</v>
      </c>
      <c r="C71" s="3" t="s">
        <v>87</v>
      </c>
      <c r="D71" s="1" t="s">
        <v>13</v>
      </c>
      <c r="E71" s="6"/>
      <c r="F71" s="6"/>
      <c r="G71" s="6"/>
      <c r="H71" s="6"/>
      <c r="I71" s="6"/>
      <c r="J71" s="6"/>
      <c r="K71" s="6"/>
      <c r="L71" s="6">
        <v>6</v>
      </c>
      <c r="M71" s="6"/>
      <c r="N71" s="6">
        <v>6</v>
      </c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4"/>
      <c r="AM71" s="4"/>
      <c r="AN71" s="4"/>
      <c r="AO71" s="4">
        <v>10</v>
      </c>
      <c r="AP71" s="4"/>
      <c r="AQ71" s="4"/>
      <c r="AR71" s="2"/>
      <c r="AS71" s="2"/>
      <c r="AT71" s="2"/>
      <c r="AU71" s="2">
        <v>10</v>
      </c>
      <c r="AV71" s="2"/>
      <c r="AW71" s="2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>
        <f>SUM(E71:BI71)</f>
        <v>32</v>
      </c>
      <c r="BK71" s="1">
        <v>15</v>
      </c>
      <c r="BL71" s="17">
        <v>2</v>
      </c>
      <c r="BM71" s="17" t="s">
        <v>207</v>
      </c>
      <c r="BN71" s="1" t="str">
        <f>IF(AL71&gt;AL$95, AL71-AL$95,"")</f>
        <v/>
      </c>
      <c r="BO71" s="1" t="str">
        <f>IF(AM71&gt;AM$95, AM71-AM$95,"")</f>
        <v/>
      </c>
      <c r="BP71" s="1" t="str">
        <f>IF(AN71&gt;AN$95, AN71-AN$95,"")</f>
        <v/>
      </c>
      <c r="BQ71" s="1">
        <f>IF(AO71&gt;AO$95, AO71-AO$95,"")</f>
        <v>10</v>
      </c>
      <c r="BR71" s="1" t="str">
        <f>IF(AP71&gt;AP$95, AP71-AP$95,"")</f>
        <v/>
      </c>
      <c r="BS71" s="1" t="str">
        <f>IF(AQ71&gt;AQ$95, AQ71-AQ$95,"")</f>
        <v/>
      </c>
      <c r="BT71" s="1" t="str">
        <f>IF(AR71&gt;AR$95, AR71-AR$95,"")</f>
        <v/>
      </c>
      <c r="BU71" s="1" t="str">
        <f>IF(AS71&gt;AS$95, AS71-AS$95,"")</f>
        <v/>
      </c>
      <c r="BV71" s="1" t="str">
        <f>IF(AT71&gt;AT$95, AT71-AT$95,"")</f>
        <v/>
      </c>
      <c r="BW71" s="1" t="str">
        <f>IF(AU71&gt;AU$95, AU71-AU$95,"")</f>
        <v/>
      </c>
      <c r="BX71" s="1" t="str">
        <f>IF(AV71&gt;AV$95, AV71-AV$95,"")</f>
        <v/>
      </c>
      <c r="BY71" s="1" t="str">
        <f>IF(AW71&gt;AW$95, AW71-AW$95,"")</f>
        <v/>
      </c>
      <c r="BZ71" s="1">
        <f>COUNTIF(BN71:BY71, "&gt;0")</f>
        <v>1</v>
      </c>
      <c r="CA71" s="1" t="str">
        <f>IF($BZ71=1,BN71,"")</f>
        <v/>
      </c>
      <c r="CB71" s="1" t="str">
        <f>IF($BZ71=1,BO71,"")</f>
        <v/>
      </c>
      <c r="CC71" s="1" t="str">
        <f>IF($BZ71=1,BP71,"")</f>
        <v/>
      </c>
      <c r="CD71" s="1">
        <f>IF($BZ71=1,BQ71,"")</f>
        <v>10</v>
      </c>
      <c r="CE71" s="1" t="str">
        <f>IF($BZ71=1,BR71,"")</f>
        <v/>
      </c>
      <c r="CF71" s="1" t="str">
        <f>IF($BZ71=1,BS71,"")</f>
        <v/>
      </c>
      <c r="CG71" s="1" t="str">
        <f>IF($BZ71=1,BT71,"")</f>
        <v/>
      </c>
      <c r="CH71" s="1" t="str">
        <f>IF($BZ71=1,BU71,"")</f>
        <v/>
      </c>
      <c r="CI71" s="1" t="str">
        <f>IF($BZ71=1,BV71,"")</f>
        <v/>
      </c>
      <c r="CJ71" s="1" t="str">
        <f>IF($BZ71=1,BW71,"")</f>
        <v/>
      </c>
      <c r="CK71" s="1" t="str">
        <f>IF($BZ71=1,BX71,"")</f>
        <v/>
      </c>
      <c r="CL71" s="1" t="str">
        <f>IF($BZ71=1,BY71,"")</f>
        <v/>
      </c>
    </row>
    <row r="72" spans="1:90" ht="27" x14ac:dyDescent="0.15">
      <c r="A72" s="1">
        <v>5</v>
      </c>
      <c r="B72" s="1" t="s">
        <v>22</v>
      </c>
      <c r="C72" s="1" t="s">
        <v>2</v>
      </c>
      <c r="D72" s="1" t="s">
        <v>12</v>
      </c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4"/>
      <c r="AM72" s="4">
        <v>10</v>
      </c>
      <c r="AN72" s="4"/>
      <c r="AO72" s="4"/>
      <c r="AP72" s="4"/>
      <c r="AQ72" s="4"/>
      <c r="AR72" s="2"/>
      <c r="AS72" s="2"/>
      <c r="AT72" s="2"/>
      <c r="AU72" s="2"/>
      <c r="AV72" s="2"/>
      <c r="AW72" s="2">
        <v>10</v>
      </c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>
        <f>SUM(E72:BI72)</f>
        <v>20</v>
      </c>
      <c r="BK72" s="1">
        <v>16</v>
      </c>
      <c r="BL72" s="17">
        <v>2</v>
      </c>
      <c r="BM72" s="17" t="s">
        <v>208</v>
      </c>
      <c r="BN72" s="1" t="str">
        <f>IF(AL72&gt;AL$95, AL72-AL$95,"")</f>
        <v/>
      </c>
      <c r="BO72" s="1">
        <f>IF(AM72&gt;AM$95, AM72-AM$95,"")</f>
        <v>9</v>
      </c>
      <c r="BP72" s="1" t="str">
        <f>IF(AN72&gt;AN$95, AN72-AN$95,"")</f>
        <v/>
      </c>
      <c r="BQ72" s="1" t="str">
        <f>IF(AO72&gt;AO$95, AO72-AO$95,"")</f>
        <v/>
      </c>
      <c r="BR72" s="1" t="str">
        <f>IF(AP72&gt;AP$95, AP72-AP$95,"")</f>
        <v/>
      </c>
      <c r="BS72" s="1" t="str">
        <f>IF(AQ72&gt;AQ$95, AQ72-AQ$95,"")</f>
        <v/>
      </c>
      <c r="BT72" s="1" t="str">
        <f>IF(AR72&gt;AR$95, AR72-AR$95,"")</f>
        <v/>
      </c>
      <c r="BU72" s="1" t="str">
        <f>IF(AS72&gt;AS$95, AS72-AS$95,"")</f>
        <v/>
      </c>
      <c r="BV72" s="1" t="str">
        <f>IF(AT72&gt;AT$95, AT72-AT$95,"")</f>
        <v/>
      </c>
      <c r="BW72" s="1" t="str">
        <f>IF(AU72&gt;AU$95, AU72-AU$95,"")</f>
        <v/>
      </c>
      <c r="BX72" s="1" t="str">
        <f>IF(AV72&gt;AV$95, AV72-AV$95,"")</f>
        <v/>
      </c>
      <c r="BY72" s="1">
        <f>IF(AW72&gt;AW$95, AW72-AW$95,"")</f>
        <v>7</v>
      </c>
      <c r="BZ72" s="1">
        <f>COUNTIF(BN72:BY72, "&gt;0")</f>
        <v>2</v>
      </c>
      <c r="CA72" s="1" t="str">
        <f>IF($BZ72=1,BN72,"")</f>
        <v/>
      </c>
      <c r="CB72" s="1" t="str">
        <f>IF($BZ72=1,BO72,"")</f>
        <v/>
      </c>
      <c r="CC72" s="1" t="str">
        <f>IF($BZ72=1,BP72,"")</f>
        <v/>
      </c>
      <c r="CD72" s="1" t="str">
        <f>IF($BZ72=1,BQ72,"")</f>
        <v/>
      </c>
      <c r="CE72" s="1" t="str">
        <f>IF($BZ72=1,BR72,"")</f>
        <v/>
      </c>
      <c r="CF72" s="1" t="str">
        <f>IF($BZ72=1,BS72,"")</f>
        <v/>
      </c>
      <c r="CG72" s="1" t="str">
        <f>IF($BZ72=1,BT72,"")</f>
        <v/>
      </c>
      <c r="CH72" s="1" t="str">
        <f>IF($BZ72=1,BU72,"")</f>
        <v/>
      </c>
      <c r="CI72" s="1" t="str">
        <f>IF($BZ72=1,BV72,"")</f>
        <v/>
      </c>
      <c r="CJ72" s="1" t="str">
        <f>IF($BZ72=1,BW72,"")</f>
        <v/>
      </c>
      <c r="CK72" s="1" t="str">
        <f>IF($BZ72=1,BX72,"")</f>
        <v/>
      </c>
      <c r="CL72" s="1" t="str">
        <f>IF($BZ72=1,BY72,"")</f>
        <v/>
      </c>
    </row>
    <row r="73" spans="1:90" ht="27" x14ac:dyDescent="0.15">
      <c r="A73" s="1">
        <v>6</v>
      </c>
      <c r="B73" s="1" t="s">
        <v>61</v>
      </c>
      <c r="C73" s="1" t="s">
        <v>2</v>
      </c>
      <c r="D73" s="1" t="s">
        <v>23</v>
      </c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4"/>
      <c r="AM73" s="4">
        <v>10</v>
      </c>
      <c r="AN73" s="4"/>
      <c r="AO73" s="4"/>
      <c r="AP73" s="4"/>
      <c r="AQ73" s="4"/>
      <c r="AR73" s="2"/>
      <c r="AS73" s="2"/>
      <c r="AT73" s="2"/>
      <c r="AU73" s="2"/>
      <c r="AV73" s="2"/>
      <c r="AW73" s="2">
        <v>10</v>
      </c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>
        <f>SUM(E73:BI73)</f>
        <v>20</v>
      </c>
      <c r="BK73" s="1">
        <v>16</v>
      </c>
      <c r="BL73" s="17">
        <v>2</v>
      </c>
      <c r="BM73" s="17" t="s">
        <v>161</v>
      </c>
      <c r="BN73" s="1" t="str">
        <f>IF(AL73&gt;AL$95, AL73-AL$95,"")</f>
        <v/>
      </c>
      <c r="BO73" s="1">
        <f>IF(AM73&gt;AM$95, AM73-AM$95,"")</f>
        <v>9</v>
      </c>
      <c r="BP73" s="1" t="str">
        <f>IF(AN73&gt;AN$95, AN73-AN$95,"")</f>
        <v/>
      </c>
      <c r="BQ73" s="1" t="str">
        <f>IF(AO73&gt;AO$95, AO73-AO$95,"")</f>
        <v/>
      </c>
      <c r="BR73" s="1" t="str">
        <f>IF(AP73&gt;AP$95, AP73-AP$95,"")</f>
        <v/>
      </c>
      <c r="BS73" s="1" t="str">
        <f>IF(AQ73&gt;AQ$95, AQ73-AQ$95,"")</f>
        <v/>
      </c>
      <c r="BT73" s="1" t="str">
        <f>IF(AR73&gt;AR$95, AR73-AR$95,"")</f>
        <v/>
      </c>
      <c r="BU73" s="1" t="str">
        <f>IF(AS73&gt;AS$95, AS73-AS$95,"")</f>
        <v/>
      </c>
      <c r="BV73" s="1" t="str">
        <f>IF(AT73&gt;AT$95, AT73-AT$95,"")</f>
        <v/>
      </c>
      <c r="BW73" s="1" t="str">
        <f>IF(AU73&gt;AU$95, AU73-AU$95,"")</f>
        <v/>
      </c>
      <c r="BX73" s="1" t="str">
        <f>IF(AV73&gt;AV$95, AV73-AV$95,"")</f>
        <v/>
      </c>
      <c r="BY73" s="1">
        <f>IF(AW73&gt;AW$95, AW73-AW$95,"")</f>
        <v>7</v>
      </c>
      <c r="BZ73" s="1">
        <f>COUNTIF(BN73:BY73, "&gt;0")</f>
        <v>2</v>
      </c>
      <c r="CA73" s="1" t="str">
        <f>IF($BZ73=1,BN73,"")</f>
        <v/>
      </c>
      <c r="CB73" s="1" t="str">
        <f>IF($BZ73=1,BO73,"")</f>
        <v/>
      </c>
      <c r="CC73" s="1" t="str">
        <f>IF($BZ73=1,BP73,"")</f>
        <v/>
      </c>
      <c r="CD73" s="1" t="str">
        <f>IF($BZ73=1,BQ73,"")</f>
        <v/>
      </c>
      <c r="CE73" s="1" t="str">
        <f>IF($BZ73=1,BR73,"")</f>
        <v/>
      </c>
      <c r="CF73" s="1" t="str">
        <f>IF($BZ73=1,BS73,"")</f>
        <v/>
      </c>
      <c r="CG73" s="1" t="str">
        <f>IF($BZ73=1,BT73,"")</f>
        <v/>
      </c>
      <c r="CH73" s="1" t="str">
        <f>IF($BZ73=1,BU73,"")</f>
        <v/>
      </c>
      <c r="CI73" s="1" t="str">
        <f>IF($BZ73=1,BV73,"")</f>
        <v/>
      </c>
      <c r="CJ73" s="1" t="str">
        <f>IF($BZ73=1,BW73,"")</f>
        <v/>
      </c>
      <c r="CK73" s="1" t="str">
        <f>IF($BZ73=1,BX73,"")</f>
        <v/>
      </c>
      <c r="CL73" s="1" t="str">
        <f>IF($BZ73=1,BY73,"")</f>
        <v/>
      </c>
    </row>
    <row r="74" spans="1:90" ht="27" x14ac:dyDescent="0.15">
      <c r="A74" s="1">
        <v>8</v>
      </c>
      <c r="B74" s="1" t="s">
        <v>62</v>
      </c>
      <c r="C74" s="1" t="s">
        <v>2</v>
      </c>
      <c r="D74" s="1" t="s">
        <v>26</v>
      </c>
      <c r="E74" s="6">
        <v>6</v>
      </c>
      <c r="F74" s="6"/>
      <c r="G74" s="6"/>
      <c r="H74" s="6">
        <v>6</v>
      </c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4"/>
      <c r="AM74" s="4">
        <v>10</v>
      </c>
      <c r="AN74" s="4"/>
      <c r="AO74" s="4"/>
      <c r="AP74" s="4"/>
      <c r="AQ74" s="4"/>
      <c r="AR74" s="2"/>
      <c r="AS74" s="2"/>
      <c r="AT74" s="2"/>
      <c r="AU74" s="2"/>
      <c r="AV74" s="2"/>
      <c r="AW74" s="2">
        <v>10</v>
      </c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>
        <f>SUM(E74:BI74)</f>
        <v>32</v>
      </c>
      <c r="BK74" s="1">
        <v>16</v>
      </c>
      <c r="BL74" s="17">
        <v>2</v>
      </c>
      <c r="BM74" s="17" t="s">
        <v>161</v>
      </c>
      <c r="BN74" s="1" t="str">
        <f>IF(AL74&gt;AL$95, AL74-AL$95,"")</f>
        <v/>
      </c>
      <c r="BO74" s="1">
        <f>IF(AM74&gt;AM$95, AM74-AM$95,"")</f>
        <v>9</v>
      </c>
      <c r="BP74" s="1" t="str">
        <f>IF(AN74&gt;AN$95, AN74-AN$95,"")</f>
        <v/>
      </c>
      <c r="BQ74" s="1" t="str">
        <f>IF(AO74&gt;AO$95, AO74-AO$95,"")</f>
        <v/>
      </c>
      <c r="BR74" s="1" t="str">
        <f>IF(AP74&gt;AP$95, AP74-AP$95,"")</f>
        <v/>
      </c>
      <c r="BS74" s="1" t="str">
        <f>IF(AQ74&gt;AQ$95, AQ74-AQ$95,"")</f>
        <v/>
      </c>
      <c r="BT74" s="1" t="str">
        <f>IF(AR74&gt;AR$95, AR74-AR$95,"")</f>
        <v/>
      </c>
      <c r="BU74" s="1" t="str">
        <f>IF(AS74&gt;AS$95, AS74-AS$95,"")</f>
        <v/>
      </c>
      <c r="BV74" s="1" t="str">
        <f>IF(AT74&gt;AT$95, AT74-AT$95,"")</f>
        <v/>
      </c>
      <c r="BW74" s="1" t="str">
        <f>IF(AU74&gt;AU$95, AU74-AU$95,"")</f>
        <v/>
      </c>
      <c r="BX74" s="1" t="str">
        <f>IF(AV74&gt;AV$95, AV74-AV$95,"")</f>
        <v/>
      </c>
      <c r="BY74" s="1">
        <f>IF(AW74&gt;AW$95, AW74-AW$95,"")</f>
        <v>7</v>
      </c>
      <c r="BZ74" s="1">
        <f>COUNTIF(BN74:BY74, "&gt;0")</f>
        <v>2</v>
      </c>
      <c r="CA74" s="1" t="str">
        <f>IF($BZ74=1,BN74,"")</f>
        <v/>
      </c>
      <c r="CB74" s="1" t="str">
        <f>IF($BZ74=1,BO74,"")</f>
        <v/>
      </c>
      <c r="CC74" s="1" t="str">
        <f>IF($BZ74=1,BP74,"")</f>
        <v/>
      </c>
      <c r="CD74" s="1" t="str">
        <f>IF($BZ74=1,BQ74,"")</f>
        <v/>
      </c>
      <c r="CE74" s="1" t="str">
        <f>IF($BZ74=1,BR74,"")</f>
        <v/>
      </c>
      <c r="CF74" s="1" t="str">
        <f>IF($BZ74=1,BS74,"")</f>
        <v/>
      </c>
      <c r="CG74" s="1" t="str">
        <f>IF($BZ74=1,BT74,"")</f>
        <v/>
      </c>
      <c r="CH74" s="1" t="str">
        <f>IF($BZ74=1,BU74,"")</f>
        <v/>
      </c>
      <c r="CI74" s="1" t="str">
        <f>IF($BZ74=1,BV74,"")</f>
        <v/>
      </c>
      <c r="CJ74" s="1" t="str">
        <f>IF($BZ74=1,BW74,"")</f>
        <v/>
      </c>
      <c r="CK74" s="1" t="str">
        <f>IF($BZ74=1,BX74,"")</f>
        <v/>
      </c>
      <c r="CL74" s="1" t="str">
        <f>IF($BZ74=1,BY74,"")</f>
        <v/>
      </c>
    </row>
    <row r="75" spans="1:90" ht="27" x14ac:dyDescent="0.15">
      <c r="A75" s="1">
        <v>13</v>
      </c>
      <c r="B75" s="1" t="s">
        <v>116</v>
      </c>
      <c r="C75" s="1" t="s">
        <v>2</v>
      </c>
      <c r="D75" s="1" t="s">
        <v>1</v>
      </c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>
        <v>15</v>
      </c>
      <c r="Q75" s="6"/>
      <c r="R75" s="6"/>
      <c r="S75" s="6"/>
      <c r="T75" s="6"/>
      <c r="U75" s="6"/>
      <c r="V75" s="6">
        <v>15</v>
      </c>
      <c r="W75" s="6"/>
      <c r="X75" s="6"/>
      <c r="Y75" s="6"/>
      <c r="Z75" s="6"/>
      <c r="AA75" s="6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4"/>
      <c r="AM75" s="4"/>
      <c r="AN75" s="4"/>
      <c r="AO75" s="4"/>
      <c r="AP75" s="4"/>
      <c r="AQ75" s="4"/>
      <c r="AR75" s="2"/>
      <c r="AS75" s="2"/>
      <c r="AT75" s="2"/>
      <c r="AU75" s="2"/>
      <c r="AV75" s="2"/>
      <c r="AW75" s="2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>
        <f>SUM(E75:BI75)</f>
        <v>30</v>
      </c>
      <c r="BK75" s="1">
        <v>16</v>
      </c>
      <c r="BL75" s="17">
        <v>2</v>
      </c>
      <c r="BM75" s="17" t="s">
        <v>209</v>
      </c>
      <c r="BN75" s="1" t="str">
        <f>IF(AL75&gt;AL$95, AL75-AL$95,"")</f>
        <v/>
      </c>
      <c r="BO75" s="1" t="str">
        <f>IF(AM75&gt;AM$95, AM75-AM$95,"")</f>
        <v/>
      </c>
      <c r="BP75" s="1" t="str">
        <f>IF(AN75&gt;AN$95, AN75-AN$95,"")</f>
        <v/>
      </c>
      <c r="BQ75" s="1" t="str">
        <f>IF(AO75&gt;AO$95, AO75-AO$95,"")</f>
        <v/>
      </c>
      <c r="BR75" s="1" t="str">
        <f>IF(AP75&gt;AP$95, AP75-AP$95,"")</f>
        <v/>
      </c>
      <c r="BS75" s="1" t="str">
        <f>IF(AQ75&gt;AQ$95, AQ75-AQ$95,"")</f>
        <v/>
      </c>
      <c r="BT75" s="1" t="str">
        <f>IF(AR75&gt;AR$95, AR75-AR$95,"")</f>
        <v/>
      </c>
      <c r="BU75" s="1" t="str">
        <f>IF(AS75&gt;AS$95, AS75-AS$95,"")</f>
        <v/>
      </c>
      <c r="BV75" s="1" t="str">
        <f>IF(AT75&gt;AT$95, AT75-AT$95,"")</f>
        <v/>
      </c>
      <c r="BW75" s="1" t="str">
        <f>IF(AU75&gt;AU$95, AU75-AU$95,"")</f>
        <v/>
      </c>
      <c r="BX75" s="1" t="str">
        <f>IF(AV75&gt;AV$95, AV75-AV$95,"")</f>
        <v/>
      </c>
      <c r="BY75" s="1" t="str">
        <f>IF(AW75&gt;AW$95, AW75-AW$95,"")</f>
        <v/>
      </c>
      <c r="BZ75" s="1">
        <f>COUNTIF(BN75:BY75, "&gt;0")</f>
        <v>0</v>
      </c>
      <c r="CA75" s="1" t="str">
        <f>IF($BZ75=1,BN75,"")</f>
        <v/>
      </c>
      <c r="CB75" s="1" t="str">
        <f>IF($BZ75=1,BO75,"")</f>
        <v/>
      </c>
      <c r="CC75" s="1" t="str">
        <f>IF($BZ75=1,BP75,"")</f>
        <v/>
      </c>
      <c r="CD75" s="1" t="str">
        <f>IF($BZ75=1,BQ75,"")</f>
        <v/>
      </c>
      <c r="CE75" s="1" t="str">
        <f>IF($BZ75=1,BR75,"")</f>
        <v/>
      </c>
      <c r="CF75" s="1" t="str">
        <f>IF($BZ75=1,BS75,"")</f>
        <v/>
      </c>
      <c r="CG75" s="1" t="str">
        <f>IF($BZ75=1,BT75,"")</f>
        <v/>
      </c>
      <c r="CH75" s="1" t="str">
        <f>IF($BZ75=1,BU75,"")</f>
        <v/>
      </c>
      <c r="CI75" s="1" t="str">
        <f>IF($BZ75=1,BV75,"")</f>
        <v/>
      </c>
      <c r="CJ75" s="1" t="str">
        <f>IF($BZ75=1,BW75,"")</f>
        <v/>
      </c>
      <c r="CK75" s="1" t="str">
        <f>IF($BZ75=1,BX75,"")</f>
        <v/>
      </c>
      <c r="CL75" s="1" t="str">
        <f>IF($BZ75=1,BY75,"")</f>
        <v/>
      </c>
    </row>
    <row r="76" spans="1:90" ht="40.5" x14ac:dyDescent="0.15">
      <c r="A76" s="1">
        <v>9</v>
      </c>
      <c r="B76" s="1" t="s">
        <v>29</v>
      </c>
      <c r="C76" s="1" t="s">
        <v>2</v>
      </c>
      <c r="D76" s="1" t="s">
        <v>26</v>
      </c>
      <c r="E76" s="6"/>
      <c r="F76" s="6"/>
      <c r="G76" s="6"/>
      <c r="H76" s="6"/>
      <c r="I76" s="6">
        <v>4</v>
      </c>
      <c r="J76" s="6"/>
      <c r="K76" s="6">
        <v>4</v>
      </c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4"/>
      <c r="AM76" s="4">
        <v>5</v>
      </c>
      <c r="AN76" s="4"/>
      <c r="AO76" s="4"/>
      <c r="AP76" s="4"/>
      <c r="AQ76" s="4"/>
      <c r="AR76" s="2">
        <v>5</v>
      </c>
      <c r="AS76" s="2"/>
      <c r="AT76" s="2"/>
      <c r="AU76" s="2"/>
      <c r="AV76" s="2"/>
      <c r="AW76" s="2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>
        <f>SUM(E76:BI76)</f>
        <v>18</v>
      </c>
      <c r="BK76" s="1">
        <v>8</v>
      </c>
      <c r="BL76" s="17">
        <v>3</v>
      </c>
      <c r="BM76" s="17" t="s">
        <v>210</v>
      </c>
      <c r="BN76" s="1" t="str">
        <f>IF(AL76&gt;AL$95, AL76-AL$95,"")</f>
        <v/>
      </c>
      <c r="BO76" s="1">
        <f>IF(AM76&gt;AM$95, AM76-AM$95,"")</f>
        <v>4</v>
      </c>
      <c r="BP76" s="1" t="str">
        <f>IF(AN76&gt;AN$95, AN76-AN$95,"")</f>
        <v/>
      </c>
      <c r="BQ76" s="1" t="str">
        <f>IF(AO76&gt;AO$95, AO76-AO$95,"")</f>
        <v/>
      </c>
      <c r="BR76" s="1" t="str">
        <f>IF(AP76&gt;AP$95, AP76-AP$95,"")</f>
        <v/>
      </c>
      <c r="BS76" s="1" t="str">
        <f>IF(AQ76&gt;AQ$95, AQ76-AQ$95,"")</f>
        <v/>
      </c>
      <c r="BT76" s="1">
        <f>IF(AR76&gt;AR$95, AR76-AR$95,"")</f>
        <v>3</v>
      </c>
      <c r="BU76" s="1" t="str">
        <f>IF(AS76&gt;AS$95, AS76-AS$95,"")</f>
        <v/>
      </c>
      <c r="BV76" s="1" t="str">
        <f>IF(AT76&gt;AT$95, AT76-AT$95,"")</f>
        <v/>
      </c>
      <c r="BW76" s="1" t="str">
        <f>IF(AU76&gt;AU$95, AU76-AU$95,"")</f>
        <v/>
      </c>
      <c r="BX76" s="1" t="str">
        <f>IF(AV76&gt;AV$95, AV76-AV$95,"")</f>
        <v/>
      </c>
      <c r="BY76" s="1" t="str">
        <f>IF(AW76&gt;AW$95, AW76-AW$95,"")</f>
        <v/>
      </c>
      <c r="BZ76" s="1">
        <f>COUNTIF(BN76:BY76, "&gt;0")</f>
        <v>2</v>
      </c>
      <c r="CA76" s="1" t="str">
        <f>IF($BZ76=1,BN76,"")</f>
        <v/>
      </c>
      <c r="CB76" s="1" t="str">
        <f>IF($BZ76=1,BO76,"")</f>
        <v/>
      </c>
      <c r="CC76" s="1" t="str">
        <f>IF($BZ76=1,BP76,"")</f>
        <v/>
      </c>
      <c r="CD76" s="1" t="str">
        <f>IF($BZ76=1,BQ76,"")</f>
        <v/>
      </c>
      <c r="CE76" s="1" t="str">
        <f>IF($BZ76=1,BR76,"")</f>
        <v/>
      </c>
      <c r="CF76" s="1" t="str">
        <f>IF($BZ76=1,BS76,"")</f>
        <v/>
      </c>
      <c r="CG76" s="1" t="str">
        <f>IF($BZ76=1,BT76,"")</f>
        <v/>
      </c>
      <c r="CH76" s="1" t="str">
        <f>IF($BZ76=1,BU76,"")</f>
        <v/>
      </c>
      <c r="CI76" s="1" t="str">
        <f>IF($BZ76=1,BV76,"")</f>
        <v/>
      </c>
      <c r="CJ76" s="1" t="str">
        <f>IF($BZ76=1,BW76,"")</f>
        <v/>
      </c>
      <c r="CK76" s="1" t="str">
        <f>IF($BZ76=1,BX76,"")</f>
        <v/>
      </c>
      <c r="CL76" s="1" t="str">
        <f>IF($BZ76=1,BY76,"")</f>
        <v/>
      </c>
    </row>
    <row r="77" spans="1:90" ht="40.5" x14ac:dyDescent="0.15">
      <c r="A77" s="1">
        <v>69</v>
      </c>
      <c r="B77" s="3" t="s">
        <v>83</v>
      </c>
      <c r="C77" s="1" t="s">
        <v>68</v>
      </c>
      <c r="D77" s="1" t="s">
        <v>13</v>
      </c>
      <c r="E77" s="6"/>
      <c r="F77" s="6"/>
      <c r="G77" s="6"/>
      <c r="H77" s="6">
        <v>6</v>
      </c>
      <c r="I77" s="6">
        <v>6</v>
      </c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4"/>
      <c r="AM77" s="4"/>
      <c r="AN77" s="4"/>
      <c r="AO77" s="4"/>
      <c r="AP77" s="4"/>
      <c r="AQ77" s="4">
        <v>10</v>
      </c>
      <c r="AR77" s="2"/>
      <c r="AS77" s="2">
        <v>10</v>
      </c>
      <c r="AT77" s="2"/>
      <c r="AU77" s="2"/>
      <c r="AV77" s="2"/>
      <c r="AW77" s="2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>
        <f>SUM(E77:BI77)</f>
        <v>32</v>
      </c>
      <c r="BK77" s="1">
        <v>13</v>
      </c>
      <c r="BL77" s="17">
        <v>3</v>
      </c>
      <c r="BM77" s="17" t="s">
        <v>211</v>
      </c>
      <c r="BN77" s="1" t="str">
        <f>IF(AL77&gt;AL$95, AL77-AL$95,"")</f>
        <v/>
      </c>
      <c r="BO77" s="1" t="str">
        <f>IF(AM77&gt;AM$95, AM77-AM$95,"")</f>
        <v/>
      </c>
      <c r="BP77" s="1" t="str">
        <f>IF(AN77&gt;AN$95, AN77-AN$95,"")</f>
        <v/>
      </c>
      <c r="BQ77" s="1" t="str">
        <f>IF(AO77&gt;AO$95, AO77-AO$95,"")</f>
        <v/>
      </c>
      <c r="BR77" s="1" t="str">
        <f>IF(AP77&gt;AP$95, AP77-AP$95,"")</f>
        <v/>
      </c>
      <c r="BS77" s="1">
        <f>IF(AQ77&gt;AQ$95, AQ77-AQ$95,"")</f>
        <v>8</v>
      </c>
      <c r="BT77" s="1" t="str">
        <f>IF(AR77&gt;AR$95, AR77-AR$95,"")</f>
        <v/>
      </c>
      <c r="BU77" s="1">
        <f>IF(AS77&gt;AS$95, AS77-AS$95,"")</f>
        <v>3</v>
      </c>
      <c r="BV77" s="1" t="str">
        <f>IF(AT77&gt;AT$95, AT77-AT$95,"")</f>
        <v/>
      </c>
      <c r="BW77" s="1" t="str">
        <f>IF(AU77&gt;AU$95, AU77-AU$95,"")</f>
        <v/>
      </c>
      <c r="BX77" s="1" t="str">
        <f>IF(AV77&gt;AV$95, AV77-AV$95,"")</f>
        <v/>
      </c>
      <c r="BY77" s="1" t="str">
        <f>IF(AW77&gt;AW$95, AW77-AW$95,"")</f>
        <v/>
      </c>
      <c r="BZ77" s="1">
        <f>COUNTIF(BN77:BY77, "&gt;0")</f>
        <v>2</v>
      </c>
      <c r="CA77" s="1" t="str">
        <f>IF($BZ77=1,BN77,"")</f>
        <v/>
      </c>
      <c r="CB77" s="1" t="str">
        <f>IF($BZ77=1,BO77,"")</f>
        <v/>
      </c>
      <c r="CC77" s="1" t="str">
        <f>IF($BZ77=1,BP77,"")</f>
        <v/>
      </c>
      <c r="CD77" s="1" t="str">
        <f>IF($BZ77=1,BQ77,"")</f>
        <v/>
      </c>
      <c r="CE77" s="1" t="str">
        <f>IF($BZ77=1,BR77,"")</f>
        <v/>
      </c>
      <c r="CF77" s="1" t="str">
        <f>IF($BZ77=1,BS77,"")</f>
        <v/>
      </c>
      <c r="CG77" s="1" t="str">
        <f>IF($BZ77=1,BT77,"")</f>
        <v/>
      </c>
      <c r="CH77" s="1" t="str">
        <f>IF($BZ77=1,BU77,"")</f>
        <v/>
      </c>
      <c r="CI77" s="1" t="str">
        <f>IF($BZ77=1,BV77,"")</f>
        <v/>
      </c>
      <c r="CJ77" s="1" t="str">
        <f>IF($BZ77=1,BW77,"")</f>
        <v/>
      </c>
      <c r="CK77" s="1" t="str">
        <f>IF($BZ77=1,BX77,"")</f>
        <v/>
      </c>
      <c r="CL77" s="1" t="str">
        <f>IF($BZ77=1,BY77,"")</f>
        <v/>
      </c>
    </row>
    <row r="78" spans="1:90" ht="40.5" x14ac:dyDescent="0.15">
      <c r="A78" s="1">
        <v>28</v>
      </c>
      <c r="B78" s="1" t="s">
        <v>108</v>
      </c>
      <c r="C78" s="1" t="s">
        <v>33</v>
      </c>
      <c r="D78" s="1" t="s">
        <v>1</v>
      </c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1"/>
      <c r="AC78" s="1"/>
      <c r="AD78" s="1"/>
      <c r="AE78" s="1">
        <v>5</v>
      </c>
      <c r="AF78" s="1">
        <v>5</v>
      </c>
      <c r="AG78" s="1">
        <v>5</v>
      </c>
      <c r="AH78" s="1"/>
      <c r="AI78" s="1"/>
      <c r="AJ78" s="1"/>
      <c r="AK78" s="1"/>
      <c r="AL78" s="4"/>
      <c r="AM78" s="4"/>
      <c r="AN78" s="4"/>
      <c r="AO78" s="4"/>
      <c r="AP78" s="4"/>
      <c r="AQ78" s="4"/>
      <c r="AR78" s="2"/>
      <c r="AS78" s="2"/>
      <c r="AT78" s="2"/>
      <c r="AU78" s="2"/>
      <c r="AV78" s="2"/>
      <c r="AW78" s="2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>
        <f>SUM(E78:BI78)</f>
        <v>15</v>
      </c>
      <c r="BK78" s="1">
        <v>15</v>
      </c>
      <c r="BL78" s="17">
        <v>3</v>
      </c>
      <c r="BM78" s="17" t="s">
        <v>162</v>
      </c>
      <c r="BN78" s="1" t="str">
        <f>IF(AL78&gt;AL$95, AL78-AL$95,"")</f>
        <v/>
      </c>
      <c r="BO78" s="1" t="str">
        <f>IF(AM78&gt;AM$95, AM78-AM$95,"")</f>
        <v/>
      </c>
      <c r="BP78" s="1" t="str">
        <f>IF(AN78&gt;AN$95, AN78-AN$95,"")</f>
        <v/>
      </c>
      <c r="BQ78" s="1" t="str">
        <f>IF(AO78&gt;AO$95, AO78-AO$95,"")</f>
        <v/>
      </c>
      <c r="BR78" s="1" t="str">
        <f>IF(AP78&gt;AP$95, AP78-AP$95,"")</f>
        <v/>
      </c>
      <c r="BS78" s="1" t="str">
        <f>IF(AQ78&gt;AQ$95, AQ78-AQ$95,"")</f>
        <v/>
      </c>
      <c r="BT78" s="1" t="str">
        <f>IF(AR78&gt;AR$95, AR78-AR$95,"")</f>
        <v/>
      </c>
      <c r="BU78" s="1" t="str">
        <f>IF(AS78&gt;AS$95, AS78-AS$95,"")</f>
        <v/>
      </c>
      <c r="BV78" s="1" t="str">
        <f>IF(AT78&gt;AT$95, AT78-AT$95,"")</f>
        <v/>
      </c>
      <c r="BW78" s="1" t="str">
        <f>IF(AU78&gt;AU$95, AU78-AU$95,"")</f>
        <v/>
      </c>
      <c r="BX78" s="1" t="str">
        <f>IF(AV78&gt;AV$95, AV78-AV$95,"")</f>
        <v/>
      </c>
      <c r="BY78" s="1" t="str">
        <f>IF(AW78&gt;AW$95, AW78-AW$95,"")</f>
        <v/>
      </c>
      <c r="BZ78" s="1">
        <f>COUNTIF(BN78:BY78, "&gt;0")</f>
        <v>0</v>
      </c>
      <c r="CA78" s="1" t="str">
        <f>IF($BZ78=1,BN78,"")</f>
        <v/>
      </c>
      <c r="CB78" s="1" t="str">
        <f>IF($BZ78=1,BO78,"")</f>
        <v/>
      </c>
      <c r="CC78" s="1" t="str">
        <f>IF($BZ78=1,BP78,"")</f>
        <v/>
      </c>
      <c r="CD78" s="1" t="str">
        <f>IF($BZ78=1,BQ78,"")</f>
        <v/>
      </c>
      <c r="CE78" s="1" t="str">
        <f>IF($BZ78=1,BR78,"")</f>
        <v/>
      </c>
      <c r="CF78" s="1" t="str">
        <f>IF($BZ78=1,BS78,"")</f>
        <v/>
      </c>
      <c r="CG78" s="1" t="str">
        <f>IF($BZ78=1,BT78,"")</f>
        <v/>
      </c>
      <c r="CH78" s="1" t="str">
        <f>IF($BZ78=1,BU78,"")</f>
        <v/>
      </c>
      <c r="CI78" s="1" t="str">
        <f>IF($BZ78=1,BV78,"")</f>
        <v/>
      </c>
      <c r="CJ78" s="1" t="str">
        <f>IF($BZ78=1,BW78,"")</f>
        <v/>
      </c>
      <c r="CK78" s="1" t="str">
        <f>IF($BZ78=1,BX78,"")</f>
        <v/>
      </c>
      <c r="CL78" s="1" t="str">
        <f>IF($BZ78=1,BY78,"")</f>
        <v/>
      </c>
    </row>
    <row r="79" spans="1:90" ht="40.5" x14ac:dyDescent="0.15">
      <c r="A79" s="1">
        <v>89</v>
      </c>
      <c r="B79" s="3" t="s">
        <v>122</v>
      </c>
      <c r="C79" s="3" t="s">
        <v>123</v>
      </c>
      <c r="D79" s="1" t="s">
        <v>1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1"/>
      <c r="AC79" s="1">
        <v>5</v>
      </c>
      <c r="AD79" s="1"/>
      <c r="AE79" s="1">
        <v>5</v>
      </c>
      <c r="AF79" s="1">
        <v>5</v>
      </c>
      <c r="AG79" s="1"/>
      <c r="AH79" s="1"/>
      <c r="AI79" s="1"/>
      <c r="AJ79" s="1"/>
      <c r="AK79" s="1"/>
      <c r="AL79" s="4"/>
      <c r="AM79" s="4"/>
      <c r="AN79" s="4"/>
      <c r="AO79" s="4"/>
      <c r="AP79" s="4"/>
      <c r="AQ79" s="4"/>
      <c r="AR79" s="2"/>
      <c r="AS79" s="2"/>
      <c r="AT79" s="2"/>
      <c r="AU79" s="2"/>
      <c r="AV79" s="2"/>
      <c r="AW79" s="2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>
        <f>SUM(E79:BI79)</f>
        <v>15</v>
      </c>
      <c r="BK79" s="1">
        <v>15</v>
      </c>
      <c r="BL79" s="17">
        <v>3</v>
      </c>
      <c r="BM79" s="17" t="s">
        <v>212</v>
      </c>
      <c r="BN79" s="1" t="str">
        <f>IF(AL79&gt;AL$95, AL79-AL$95,"")</f>
        <v/>
      </c>
      <c r="BO79" s="1" t="str">
        <f>IF(AM79&gt;AM$95, AM79-AM$95,"")</f>
        <v/>
      </c>
      <c r="BP79" s="1" t="str">
        <f>IF(AN79&gt;AN$95, AN79-AN$95,"")</f>
        <v/>
      </c>
      <c r="BQ79" s="1" t="str">
        <f>IF(AO79&gt;AO$95, AO79-AO$95,"")</f>
        <v/>
      </c>
      <c r="BR79" s="1" t="str">
        <f>IF(AP79&gt;AP$95, AP79-AP$95,"")</f>
        <v/>
      </c>
      <c r="BS79" s="1" t="str">
        <f>IF(AQ79&gt;AQ$95, AQ79-AQ$95,"")</f>
        <v/>
      </c>
      <c r="BT79" s="1" t="str">
        <f>IF(AR79&gt;AR$95, AR79-AR$95,"")</f>
        <v/>
      </c>
      <c r="BU79" s="1" t="str">
        <f>IF(AS79&gt;AS$95, AS79-AS$95,"")</f>
        <v/>
      </c>
      <c r="BV79" s="1" t="str">
        <f>IF(AT79&gt;AT$95, AT79-AT$95,"")</f>
        <v/>
      </c>
      <c r="BW79" s="1" t="str">
        <f>IF(AU79&gt;AU$95, AU79-AU$95,"")</f>
        <v/>
      </c>
      <c r="BX79" s="1" t="str">
        <f>IF(AV79&gt;AV$95, AV79-AV$95,"")</f>
        <v/>
      </c>
      <c r="BY79" s="1" t="str">
        <f>IF(AW79&gt;AW$95, AW79-AW$95,"")</f>
        <v/>
      </c>
      <c r="BZ79" s="1">
        <f>COUNTIF(BN79:BY79, "&gt;0")</f>
        <v>0</v>
      </c>
      <c r="CA79" s="1" t="str">
        <f>IF($BZ79=1,BN79,"")</f>
        <v/>
      </c>
      <c r="CB79" s="1" t="str">
        <f>IF($BZ79=1,BO79,"")</f>
        <v/>
      </c>
      <c r="CC79" s="1" t="str">
        <f>IF($BZ79=1,BP79,"")</f>
        <v/>
      </c>
      <c r="CD79" s="1" t="str">
        <f>IF($BZ79=1,BQ79,"")</f>
        <v/>
      </c>
      <c r="CE79" s="1" t="str">
        <f>IF($BZ79=1,BR79,"")</f>
        <v/>
      </c>
      <c r="CF79" s="1" t="str">
        <f>IF($BZ79=1,BS79,"")</f>
        <v/>
      </c>
      <c r="CG79" s="1" t="str">
        <f>IF($BZ79=1,BT79,"")</f>
        <v/>
      </c>
      <c r="CH79" s="1" t="str">
        <f>IF($BZ79=1,BU79,"")</f>
        <v/>
      </c>
      <c r="CI79" s="1" t="str">
        <f>IF($BZ79=1,BV79,"")</f>
        <v/>
      </c>
      <c r="CJ79" s="1" t="str">
        <f>IF($BZ79=1,BW79,"")</f>
        <v/>
      </c>
      <c r="CK79" s="1" t="str">
        <f>IF($BZ79=1,BX79,"")</f>
        <v/>
      </c>
      <c r="CL79" s="1" t="str">
        <f>IF($BZ79=1,BY79,"")</f>
        <v/>
      </c>
    </row>
    <row r="80" spans="1:90" ht="40.5" x14ac:dyDescent="0.15">
      <c r="A80" s="1">
        <v>58</v>
      </c>
      <c r="B80" s="1" t="s">
        <v>72</v>
      </c>
      <c r="C80" s="1" t="s">
        <v>68</v>
      </c>
      <c r="D80" s="1" t="s">
        <v>13</v>
      </c>
      <c r="E80" s="6"/>
      <c r="F80" s="6"/>
      <c r="G80" s="6">
        <v>10</v>
      </c>
      <c r="H80" s="6"/>
      <c r="I80" s="6"/>
      <c r="J80" s="6"/>
      <c r="K80" s="6"/>
      <c r="L80" s="6"/>
      <c r="M80" s="6"/>
      <c r="N80" s="6">
        <v>10</v>
      </c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4"/>
      <c r="AM80" s="4"/>
      <c r="AN80" s="4"/>
      <c r="AO80" s="4"/>
      <c r="AP80" s="4"/>
      <c r="AQ80" s="4">
        <v>10</v>
      </c>
      <c r="AR80" s="2"/>
      <c r="AS80" s="2"/>
      <c r="AT80" s="2"/>
      <c r="AU80" s="2">
        <v>10</v>
      </c>
      <c r="AV80" s="2"/>
      <c r="AW80" s="2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>
        <f>SUM(E80:BI80)</f>
        <v>40</v>
      </c>
      <c r="BK80" s="1">
        <v>26</v>
      </c>
      <c r="BL80" s="17">
        <v>3</v>
      </c>
      <c r="BM80" s="17" t="s">
        <v>163</v>
      </c>
      <c r="BN80" s="1" t="str">
        <f>IF(AL80&gt;AL$95, AL80-AL$95,"")</f>
        <v/>
      </c>
      <c r="BO80" s="1" t="str">
        <f>IF(AM80&gt;AM$95, AM80-AM$95,"")</f>
        <v/>
      </c>
      <c r="BP80" s="1" t="str">
        <f>IF(AN80&gt;AN$95, AN80-AN$95,"")</f>
        <v/>
      </c>
      <c r="BQ80" s="1" t="str">
        <f>IF(AO80&gt;AO$95, AO80-AO$95,"")</f>
        <v/>
      </c>
      <c r="BR80" s="1" t="str">
        <f>IF(AP80&gt;AP$95, AP80-AP$95,"")</f>
        <v/>
      </c>
      <c r="BS80" s="1">
        <f>IF(AQ80&gt;AQ$95, AQ80-AQ$95,"")</f>
        <v>8</v>
      </c>
      <c r="BT80" s="1" t="str">
        <f>IF(AR80&gt;AR$95, AR80-AR$95,"")</f>
        <v/>
      </c>
      <c r="BU80" s="1" t="str">
        <f>IF(AS80&gt;AS$95, AS80-AS$95,"")</f>
        <v/>
      </c>
      <c r="BV80" s="1" t="str">
        <f>IF(AT80&gt;AT$95, AT80-AT$95,"")</f>
        <v/>
      </c>
      <c r="BW80" s="1" t="str">
        <f>IF(AU80&gt;AU$95, AU80-AU$95,"")</f>
        <v/>
      </c>
      <c r="BX80" s="1" t="str">
        <f>IF(AV80&gt;AV$95, AV80-AV$95,"")</f>
        <v/>
      </c>
      <c r="BY80" s="1" t="str">
        <f>IF(AW80&gt;AW$95, AW80-AW$95,"")</f>
        <v/>
      </c>
      <c r="BZ80" s="1">
        <f>COUNTIF(BN80:BY80, "&gt;0")</f>
        <v>1</v>
      </c>
      <c r="CA80" s="1" t="str">
        <f>IF($BZ80=1,BN80,"")</f>
        <v/>
      </c>
      <c r="CB80" s="1" t="str">
        <f>IF($BZ80=1,BO80,"")</f>
        <v/>
      </c>
      <c r="CC80" s="1" t="str">
        <f>IF($BZ80=1,BP80,"")</f>
        <v/>
      </c>
      <c r="CD80" s="1" t="str">
        <f>IF($BZ80=1,BQ80,"")</f>
        <v/>
      </c>
      <c r="CE80" s="1" t="str">
        <f>IF($BZ80=1,BR80,"")</f>
        <v/>
      </c>
      <c r="CF80" s="1">
        <f>IF($BZ80=1,BS80,"")</f>
        <v>8</v>
      </c>
      <c r="CG80" s="1" t="str">
        <f>IF($BZ80=1,BT80,"")</f>
        <v/>
      </c>
      <c r="CH80" s="1" t="str">
        <f>IF($BZ80=1,BU80,"")</f>
        <v/>
      </c>
      <c r="CI80" s="1" t="str">
        <f>IF($BZ80=1,BV80,"")</f>
        <v/>
      </c>
      <c r="CJ80" s="1" t="str">
        <f>IF($BZ80=1,BW80,"")</f>
        <v/>
      </c>
      <c r="CK80" s="1" t="str">
        <f>IF($BZ80=1,BX80,"")</f>
        <v/>
      </c>
      <c r="CL80" s="1" t="str">
        <f>IF($BZ80=1,BY80,"")</f>
        <v/>
      </c>
    </row>
    <row r="81" spans="1:90" ht="40.5" x14ac:dyDescent="0.15">
      <c r="A81" s="1">
        <v>65</v>
      </c>
      <c r="B81" s="3" t="s">
        <v>78</v>
      </c>
      <c r="C81" s="1" t="s">
        <v>68</v>
      </c>
      <c r="D81" s="1" t="s">
        <v>13</v>
      </c>
      <c r="E81" s="6"/>
      <c r="F81" s="6"/>
      <c r="G81" s="6">
        <v>10</v>
      </c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1"/>
      <c r="AC81" s="1"/>
      <c r="AD81" s="1"/>
      <c r="AE81" s="1"/>
      <c r="AF81" s="1"/>
      <c r="AG81" s="1"/>
      <c r="AH81" s="1"/>
      <c r="AI81" s="1"/>
      <c r="AJ81" s="1"/>
      <c r="AK81" s="1">
        <v>25</v>
      </c>
      <c r="AL81" s="4"/>
      <c r="AM81" s="4"/>
      <c r="AN81" s="4"/>
      <c r="AO81" s="4"/>
      <c r="AP81" s="4"/>
      <c r="AQ81" s="4">
        <v>10</v>
      </c>
      <c r="AR81" s="2"/>
      <c r="AS81" s="2"/>
      <c r="AT81" s="2"/>
      <c r="AU81" s="2">
        <v>10</v>
      </c>
      <c r="AV81" s="2"/>
      <c r="AW81" s="2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>
        <f>SUM(E81:BI81)</f>
        <v>55</v>
      </c>
      <c r="BK81" s="1">
        <v>42</v>
      </c>
      <c r="BL81" s="17">
        <v>3</v>
      </c>
      <c r="BM81" s="17" t="s">
        <v>213</v>
      </c>
      <c r="BN81" s="1" t="str">
        <f>IF(AL81&gt;AL$95, AL81-AL$95,"")</f>
        <v/>
      </c>
      <c r="BO81" s="1" t="str">
        <f>IF(AM81&gt;AM$95, AM81-AM$95,"")</f>
        <v/>
      </c>
      <c r="BP81" s="1" t="str">
        <f>IF(AN81&gt;AN$95, AN81-AN$95,"")</f>
        <v/>
      </c>
      <c r="BQ81" s="1" t="str">
        <f>IF(AO81&gt;AO$95, AO81-AO$95,"")</f>
        <v/>
      </c>
      <c r="BR81" s="1" t="str">
        <f>IF(AP81&gt;AP$95, AP81-AP$95,"")</f>
        <v/>
      </c>
      <c r="BS81" s="1">
        <f>IF(AQ81&gt;AQ$95, AQ81-AQ$95,"")</f>
        <v>8</v>
      </c>
      <c r="BT81" s="1" t="str">
        <f>IF(AR81&gt;AR$95, AR81-AR$95,"")</f>
        <v/>
      </c>
      <c r="BU81" s="1" t="str">
        <f>IF(AS81&gt;AS$95, AS81-AS$95,"")</f>
        <v/>
      </c>
      <c r="BV81" s="1" t="str">
        <f>IF(AT81&gt;AT$95, AT81-AT$95,"")</f>
        <v/>
      </c>
      <c r="BW81" s="1" t="str">
        <f>IF(AU81&gt;AU$95, AU81-AU$95,"")</f>
        <v/>
      </c>
      <c r="BX81" s="1" t="str">
        <f>IF(AV81&gt;AV$95, AV81-AV$95,"")</f>
        <v/>
      </c>
      <c r="BY81" s="1" t="str">
        <f>IF(AW81&gt;AW$95, AW81-AW$95,"")</f>
        <v/>
      </c>
      <c r="BZ81" s="1">
        <f>COUNTIF(BN81:BY81, "&gt;0")</f>
        <v>1</v>
      </c>
      <c r="CA81" s="1" t="str">
        <f>IF($BZ81=1,BN81,"")</f>
        <v/>
      </c>
      <c r="CB81" s="1" t="str">
        <f>IF($BZ81=1,BO81,"")</f>
        <v/>
      </c>
      <c r="CC81" s="1" t="str">
        <f>IF($BZ81=1,BP81,"")</f>
        <v/>
      </c>
      <c r="CD81" s="1" t="str">
        <f>IF($BZ81=1,BQ81,"")</f>
        <v/>
      </c>
      <c r="CE81" s="1" t="str">
        <f>IF($BZ81=1,BR81,"")</f>
        <v/>
      </c>
      <c r="CF81" s="1">
        <f>IF($BZ81=1,BS81,"")</f>
        <v>8</v>
      </c>
      <c r="CG81" s="1" t="str">
        <f>IF($BZ81=1,BT81,"")</f>
        <v/>
      </c>
      <c r="CH81" s="1" t="str">
        <f>IF($BZ81=1,BU81,"")</f>
        <v/>
      </c>
      <c r="CI81" s="1" t="str">
        <f>IF($BZ81=1,BV81,"")</f>
        <v/>
      </c>
      <c r="CJ81" s="1" t="str">
        <f>IF($BZ81=1,BW81,"")</f>
        <v/>
      </c>
      <c r="CK81" s="1" t="str">
        <f>IF($BZ81=1,BX81,"")</f>
        <v/>
      </c>
      <c r="CL81" s="1" t="str">
        <f>IF($BZ81=1,BY81,"")</f>
        <v/>
      </c>
    </row>
    <row r="82" spans="1:90" ht="40.5" x14ac:dyDescent="0.15">
      <c r="A82" s="1">
        <v>93</v>
      </c>
      <c r="B82" s="3" t="s">
        <v>125</v>
      </c>
      <c r="C82" s="3" t="s">
        <v>123</v>
      </c>
      <c r="D82" s="1" t="s">
        <v>1</v>
      </c>
      <c r="E82" s="6"/>
      <c r="F82" s="6">
        <v>20</v>
      </c>
      <c r="G82" s="6"/>
      <c r="H82" s="6"/>
      <c r="I82" s="6"/>
      <c r="J82" s="6"/>
      <c r="K82" s="6">
        <v>20</v>
      </c>
      <c r="L82" s="6"/>
      <c r="M82" s="6"/>
      <c r="N82" s="6">
        <v>20</v>
      </c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4"/>
      <c r="AM82" s="4"/>
      <c r="AN82" s="4"/>
      <c r="AO82" s="4"/>
      <c r="AP82" s="4"/>
      <c r="AQ82" s="4"/>
      <c r="AR82" s="2"/>
      <c r="AS82" s="2"/>
      <c r="AT82" s="2"/>
      <c r="AU82" s="2"/>
      <c r="AV82" s="2"/>
      <c r="AW82" s="2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>
        <f>SUM(E82:BI82)</f>
        <v>60</v>
      </c>
      <c r="BK82" s="1">
        <v>52</v>
      </c>
      <c r="BL82" s="17">
        <v>3</v>
      </c>
      <c r="BM82" s="17" t="s">
        <v>214</v>
      </c>
      <c r="BN82" s="1" t="str">
        <f>IF(AL82&gt;AL$95, AL82-AL$95,"")</f>
        <v/>
      </c>
      <c r="BO82" s="1" t="str">
        <f>IF(AM82&gt;AM$95, AM82-AM$95,"")</f>
        <v/>
      </c>
      <c r="BP82" s="1" t="str">
        <f>IF(AN82&gt;AN$95, AN82-AN$95,"")</f>
        <v/>
      </c>
      <c r="BQ82" s="1" t="str">
        <f>IF(AO82&gt;AO$95, AO82-AO$95,"")</f>
        <v/>
      </c>
      <c r="BR82" s="1" t="str">
        <f>IF(AP82&gt;AP$95, AP82-AP$95,"")</f>
        <v/>
      </c>
      <c r="BS82" s="1" t="str">
        <f>IF(AQ82&gt;AQ$95, AQ82-AQ$95,"")</f>
        <v/>
      </c>
      <c r="BT82" s="1" t="str">
        <f>IF(AR82&gt;AR$95, AR82-AR$95,"")</f>
        <v/>
      </c>
      <c r="BU82" s="1" t="str">
        <f>IF(AS82&gt;AS$95, AS82-AS$95,"")</f>
        <v/>
      </c>
      <c r="BV82" s="1" t="str">
        <f>IF(AT82&gt;AT$95, AT82-AT$95,"")</f>
        <v/>
      </c>
      <c r="BW82" s="1" t="str">
        <f>IF(AU82&gt;AU$95, AU82-AU$95,"")</f>
        <v/>
      </c>
      <c r="BX82" s="1" t="str">
        <f>IF(AV82&gt;AV$95, AV82-AV$95,"")</f>
        <v/>
      </c>
      <c r="BY82" s="1" t="str">
        <f>IF(AW82&gt;AW$95, AW82-AW$95,"")</f>
        <v/>
      </c>
      <c r="BZ82" s="1">
        <f>COUNTIF(BN82:BY82, "&gt;0")</f>
        <v>0</v>
      </c>
      <c r="CA82" s="1" t="str">
        <f>IF($BZ82=1,BN82,"")</f>
        <v/>
      </c>
      <c r="CB82" s="1" t="str">
        <f>IF($BZ82=1,BO82,"")</f>
        <v/>
      </c>
      <c r="CC82" s="1" t="str">
        <f>IF($BZ82=1,BP82,"")</f>
        <v/>
      </c>
      <c r="CD82" s="1" t="str">
        <f>IF($BZ82=1,BQ82,"")</f>
        <v/>
      </c>
      <c r="CE82" s="1" t="str">
        <f>IF($BZ82=1,BR82,"")</f>
        <v/>
      </c>
      <c r="CF82" s="1" t="str">
        <f>IF($BZ82=1,BS82,"")</f>
        <v/>
      </c>
      <c r="CG82" s="1" t="str">
        <f>IF($BZ82=1,BT82,"")</f>
        <v/>
      </c>
      <c r="CH82" s="1" t="str">
        <f>IF($BZ82=1,BU82,"")</f>
        <v/>
      </c>
      <c r="CI82" s="1" t="str">
        <f>IF($BZ82=1,BV82,"")</f>
        <v/>
      </c>
      <c r="CJ82" s="1" t="str">
        <f>IF($BZ82=1,BW82,"")</f>
        <v/>
      </c>
      <c r="CK82" s="1" t="str">
        <f>IF($BZ82=1,BX82,"")</f>
        <v/>
      </c>
      <c r="CL82" s="1" t="str">
        <f>IF($BZ82=1,BY82,"")</f>
        <v/>
      </c>
    </row>
    <row r="83" spans="1:90" ht="54" x14ac:dyDescent="0.15">
      <c r="A83" s="1">
        <v>68</v>
      </c>
      <c r="B83" s="3" t="s">
        <v>82</v>
      </c>
      <c r="C83" s="1" t="s">
        <v>68</v>
      </c>
      <c r="D83" s="1" t="s">
        <v>13</v>
      </c>
      <c r="E83" s="6"/>
      <c r="F83" s="6">
        <v>6</v>
      </c>
      <c r="G83" s="6"/>
      <c r="H83" s="6"/>
      <c r="I83" s="6"/>
      <c r="J83" s="6"/>
      <c r="K83" s="6"/>
      <c r="L83" s="6"/>
      <c r="M83" s="6"/>
      <c r="N83" s="6">
        <v>6</v>
      </c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4"/>
      <c r="AM83" s="4"/>
      <c r="AN83" s="4"/>
      <c r="AO83" s="4"/>
      <c r="AP83" s="4"/>
      <c r="AQ83" s="4">
        <v>10</v>
      </c>
      <c r="AR83" s="2"/>
      <c r="AS83" s="2"/>
      <c r="AT83" s="2"/>
      <c r="AU83" s="2"/>
      <c r="AV83" s="2"/>
      <c r="AW83" s="2">
        <v>10</v>
      </c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>
        <f>SUM(E83:BI83)</f>
        <v>32</v>
      </c>
      <c r="BK83" s="1">
        <v>22</v>
      </c>
      <c r="BL83" s="17">
        <v>4</v>
      </c>
      <c r="BM83" s="17" t="s">
        <v>215</v>
      </c>
      <c r="BN83" s="1" t="str">
        <f>IF(AL83&gt;AL$95, AL83-AL$95,"")</f>
        <v/>
      </c>
      <c r="BO83" s="1" t="str">
        <f>IF(AM83&gt;AM$95, AM83-AM$95,"")</f>
        <v/>
      </c>
      <c r="BP83" s="1" t="str">
        <f>IF(AN83&gt;AN$95, AN83-AN$95,"")</f>
        <v/>
      </c>
      <c r="BQ83" s="1" t="str">
        <f>IF(AO83&gt;AO$95, AO83-AO$95,"")</f>
        <v/>
      </c>
      <c r="BR83" s="1" t="str">
        <f>IF(AP83&gt;AP$95, AP83-AP$95,"")</f>
        <v/>
      </c>
      <c r="BS83" s="1">
        <f>IF(AQ83&gt;AQ$95, AQ83-AQ$95,"")</f>
        <v>8</v>
      </c>
      <c r="BT83" s="1" t="str">
        <f>IF(AR83&gt;AR$95, AR83-AR$95,"")</f>
        <v/>
      </c>
      <c r="BU83" s="1" t="str">
        <f>IF(AS83&gt;AS$95, AS83-AS$95,"")</f>
        <v/>
      </c>
      <c r="BV83" s="1" t="str">
        <f>IF(AT83&gt;AT$95, AT83-AT$95,"")</f>
        <v/>
      </c>
      <c r="BW83" s="1" t="str">
        <f>IF(AU83&gt;AU$95, AU83-AU$95,"")</f>
        <v/>
      </c>
      <c r="BX83" s="1" t="str">
        <f>IF(AV83&gt;AV$95, AV83-AV$95,"")</f>
        <v/>
      </c>
      <c r="BY83" s="1">
        <f>IF(AW83&gt;AW$95, AW83-AW$95,"")</f>
        <v>7</v>
      </c>
      <c r="BZ83" s="1">
        <f>COUNTIF(BN83:BY83, "&gt;0")</f>
        <v>2</v>
      </c>
      <c r="CA83" s="1" t="str">
        <f>IF($BZ83=1,BN83,"")</f>
        <v/>
      </c>
      <c r="CB83" s="1" t="str">
        <f>IF($BZ83=1,BO83,"")</f>
        <v/>
      </c>
      <c r="CC83" s="1" t="str">
        <f>IF($BZ83=1,BP83,"")</f>
        <v/>
      </c>
      <c r="CD83" s="1" t="str">
        <f>IF($BZ83=1,BQ83,"")</f>
        <v/>
      </c>
      <c r="CE83" s="1" t="str">
        <f>IF($BZ83=1,BR83,"")</f>
        <v/>
      </c>
      <c r="CF83" s="1" t="str">
        <f>IF($BZ83=1,BS83,"")</f>
        <v/>
      </c>
      <c r="CG83" s="1" t="str">
        <f>IF($BZ83=1,BT83,"")</f>
        <v/>
      </c>
      <c r="CH83" s="1" t="str">
        <f>IF($BZ83=1,BU83,"")</f>
        <v/>
      </c>
      <c r="CI83" s="1" t="str">
        <f>IF($BZ83=1,BV83,"")</f>
        <v/>
      </c>
      <c r="CJ83" s="1" t="str">
        <f>IF($BZ83=1,BW83,"")</f>
        <v/>
      </c>
      <c r="CK83" s="1" t="str">
        <f>IF($BZ83=1,BX83,"")</f>
        <v/>
      </c>
      <c r="CL83" s="1" t="str">
        <f>IF($BZ83=1,BY83,"")</f>
        <v/>
      </c>
    </row>
    <row r="84" spans="1:90" ht="54" x14ac:dyDescent="0.15">
      <c r="A84" s="1">
        <v>54</v>
      </c>
      <c r="B84" s="1" t="s">
        <v>67</v>
      </c>
      <c r="C84" s="1" t="s">
        <v>68</v>
      </c>
      <c r="D84" s="1" t="s">
        <v>1</v>
      </c>
      <c r="E84" s="6"/>
      <c r="F84" s="6">
        <v>15</v>
      </c>
      <c r="G84" s="6"/>
      <c r="H84" s="6">
        <v>15</v>
      </c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4"/>
      <c r="AM84" s="4"/>
      <c r="AN84" s="4"/>
      <c r="AO84" s="4"/>
      <c r="AP84" s="4"/>
      <c r="AQ84" s="4">
        <v>15</v>
      </c>
      <c r="AR84" s="2"/>
      <c r="AS84" s="2"/>
      <c r="AT84" s="2"/>
      <c r="AU84" s="2"/>
      <c r="AV84" s="2">
        <v>15</v>
      </c>
      <c r="AW84" s="2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>
        <f>SUM(E84:BI84)</f>
        <v>60</v>
      </c>
      <c r="BK84" s="1">
        <v>29</v>
      </c>
      <c r="BL84" s="17">
        <v>4</v>
      </c>
      <c r="BM84" s="17" t="s">
        <v>216</v>
      </c>
      <c r="BN84" s="1" t="str">
        <f>IF(AL84&gt;AL$95, AL84-AL$95,"")</f>
        <v/>
      </c>
      <c r="BO84" s="1" t="str">
        <f>IF(AM84&gt;AM$95, AM84-AM$95,"")</f>
        <v/>
      </c>
      <c r="BP84" s="1" t="str">
        <f>IF(AN84&gt;AN$95, AN84-AN$95,"")</f>
        <v/>
      </c>
      <c r="BQ84" s="1" t="str">
        <f>IF(AO84&gt;AO$95, AO84-AO$95,"")</f>
        <v/>
      </c>
      <c r="BR84" s="1" t="str">
        <f>IF(AP84&gt;AP$95, AP84-AP$95,"")</f>
        <v/>
      </c>
      <c r="BS84" s="1">
        <f>IF(AQ84&gt;AQ$95, AQ84-AQ$95,"")</f>
        <v>13</v>
      </c>
      <c r="BT84" s="1" t="str">
        <f>IF(AR84&gt;AR$95, AR84-AR$95,"")</f>
        <v/>
      </c>
      <c r="BU84" s="1" t="str">
        <f>IF(AS84&gt;AS$95, AS84-AS$95,"")</f>
        <v/>
      </c>
      <c r="BV84" s="1" t="str">
        <f>IF(AT84&gt;AT$95, AT84-AT$95,"")</f>
        <v/>
      </c>
      <c r="BW84" s="1" t="str">
        <f>IF(AU84&gt;AU$95, AU84-AU$95,"")</f>
        <v/>
      </c>
      <c r="BX84" s="1">
        <f>IF(AV84&gt;AV$95, AV84-AV$95,"")</f>
        <v>3</v>
      </c>
      <c r="BY84" s="1" t="str">
        <f>IF(AW84&gt;AW$95, AW84-AW$95,"")</f>
        <v/>
      </c>
      <c r="BZ84" s="1">
        <f>COUNTIF(BN84:BY84, "&gt;0")</f>
        <v>2</v>
      </c>
      <c r="CA84" s="1" t="str">
        <f>IF($BZ84=1,BN84,"")</f>
        <v/>
      </c>
      <c r="CB84" s="1" t="str">
        <f>IF($BZ84=1,BO84,"")</f>
        <v/>
      </c>
      <c r="CC84" s="1" t="str">
        <f>IF($BZ84=1,BP84,"")</f>
        <v/>
      </c>
      <c r="CD84" s="1" t="str">
        <f>IF($BZ84=1,BQ84,"")</f>
        <v/>
      </c>
      <c r="CE84" s="1" t="str">
        <f>IF($BZ84=1,BR84,"")</f>
        <v/>
      </c>
      <c r="CF84" s="1" t="str">
        <f>IF($BZ84=1,BS84,"")</f>
        <v/>
      </c>
      <c r="CG84" s="1" t="str">
        <f>IF($BZ84=1,BT84,"")</f>
        <v/>
      </c>
      <c r="CH84" s="1" t="str">
        <f>IF($BZ84=1,BU84,"")</f>
        <v/>
      </c>
      <c r="CI84" s="1" t="str">
        <f>IF($BZ84=1,BV84,"")</f>
        <v/>
      </c>
      <c r="CJ84" s="1" t="str">
        <f>IF($BZ84=1,BW84,"")</f>
        <v/>
      </c>
      <c r="CK84" s="1" t="str">
        <f>IF($BZ84=1,BX84,"")</f>
        <v/>
      </c>
      <c r="CL84" s="1" t="str">
        <f>IF($BZ84=1,BY84,"")</f>
        <v/>
      </c>
    </row>
    <row r="85" spans="1:90" ht="54" x14ac:dyDescent="0.15">
      <c r="A85" s="1">
        <v>78</v>
      </c>
      <c r="B85" s="3" t="s">
        <v>90</v>
      </c>
      <c r="C85" s="3" t="s">
        <v>87</v>
      </c>
      <c r="D85" s="1" t="s">
        <v>1</v>
      </c>
      <c r="E85" s="6"/>
      <c r="F85" s="6"/>
      <c r="G85" s="6">
        <v>15</v>
      </c>
      <c r="H85" s="6">
        <v>15</v>
      </c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4"/>
      <c r="AM85" s="4"/>
      <c r="AN85" s="4"/>
      <c r="AO85" s="4"/>
      <c r="AP85" s="4"/>
      <c r="AQ85" s="4"/>
      <c r="AR85" s="2"/>
      <c r="AS85" s="2"/>
      <c r="AT85" s="2"/>
      <c r="AU85" s="2"/>
      <c r="AV85" s="2">
        <v>15</v>
      </c>
      <c r="AW85" s="2">
        <v>15</v>
      </c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>
        <f>SUM(E85:BI85)</f>
        <v>60</v>
      </c>
      <c r="BK85" s="1">
        <v>31</v>
      </c>
      <c r="BL85" s="17">
        <v>4</v>
      </c>
      <c r="BM85" s="17" t="s">
        <v>217</v>
      </c>
      <c r="BN85" s="1" t="str">
        <f>IF(AL85&gt;AL$95, AL85-AL$95,"")</f>
        <v/>
      </c>
      <c r="BO85" s="1" t="str">
        <f>IF(AM85&gt;AM$95, AM85-AM$95,"")</f>
        <v/>
      </c>
      <c r="BP85" s="1" t="str">
        <f>IF(AN85&gt;AN$95, AN85-AN$95,"")</f>
        <v/>
      </c>
      <c r="BQ85" s="1" t="str">
        <f>IF(AO85&gt;AO$95, AO85-AO$95,"")</f>
        <v/>
      </c>
      <c r="BR85" s="1" t="str">
        <f>IF(AP85&gt;AP$95, AP85-AP$95,"")</f>
        <v/>
      </c>
      <c r="BS85" s="1" t="str">
        <f>IF(AQ85&gt;AQ$95, AQ85-AQ$95,"")</f>
        <v/>
      </c>
      <c r="BT85" s="1" t="str">
        <f>IF(AR85&gt;AR$95, AR85-AR$95,"")</f>
        <v/>
      </c>
      <c r="BU85" s="1" t="str">
        <f>IF(AS85&gt;AS$95, AS85-AS$95,"")</f>
        <v/>
      </c>
      <c r="BV85" s="1" t="str">
        <f>IF(AT85&gt;AT$95, AT85-AT$95,"")</f>
        <v/>
      </c>
      <c r="BW85" s="1" t="str">
        <f>IF(AU85&gt;AU$95, AU85-AU$95,"")</f>
        <v/>
      </c>
      <c r="BX85" s="1">
        <f>IF(AV85&gt;AV$95, AV85-AV$95,"")</f>
        <v>3</v>
      </c>
      <c r="BY85" s="1">
        <f>IF(AW85&gt;AW$95, AW85-AW$95,"")</f>
        <v>12</v>
      </c>
      <c r="BZ85" s="1">
        <f>COUNTIF(BN85:BY85, "&gt;0")</f>
        <v>2</v>
      </c>
      <c r="CA85" s="1" t="str">
        <f>IF($BZ85=1,BN85,"")</f>
        <v/>
      </c>
      <c r="CB85" s="1" t="str">
        <f>IF($BZ85=1,BO85,"")</f>
        <v/>
      </c>
      <c r="CC85" s="1" t="str">
        <f>IF($BZ85=1,BP85,"")</f>
        <v/>
      </c>
      <c r="CD85" s="1" t="str">
        <f>IF($BZ85=1,BQ85,"")</f>
        <v/>
      </c>
      <c r="CE85" s="1" t="str">
        <f>IF($BZ85=1,BR85,"")</f>
        <v/>
      </c>
      <c r="CF85" s="1" t="str">
        <f>IF($BZ85=1,BS85,"")</f>
        <v/>
      </c>
      <c r="CG85" s="1" t="str">
        <f>IF($BZ85=1,BT85,"")</f>
        <v/>
      </c>
      <c r="CH85" s="1" t="str">
        <f>IF($BZ85=1,BU85,"")</f>
        <v/>
      </c>
      <c r="CI85" s="1" t="str">
        <f>IF($BZ85=1,BV85,"")</f>
        <v/>
      </c>
      <c r="CJ85" s="1" t="str">
        <f>IF($BZ85=1,BW85,"")</f>
        <v/>
      </c>
      <c r="CK85" s="1" t="str">
        <f>IF($BZ85=1,BX85,"")</f>
        <v/>
      </c>
      <c r="CL85" s="1" t="str">
        <f>IF($BZ85=1,BY85,"")</f>
        <v/>
      </c>
    </row>
    <row r="86" spans="1:90" ht="54" x14ac:dyDescent="0.15">
      <c r="A86" s="1">
        <v>14</v>
      </c>
      <c r="B86" s="1" t="s">
        <v>32</v>
      </c>
      <c r="C86" s="1" t="s">
        <v>33</v>
      </c>
      <c r="D86" s="1" t="s">
        <v>34</v>
      </c>
      <c r="E86" s="6"/>
      <c r="F86" s="6"/>
      <c r="G86" s="6">
        <v>15</v>
      </c>
      <c r="H86" s="6">
        <v>15</v>
      </c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4"/>
      <c r="AM86" s="4"/>
      <c r="AN86" s="4">
        <v>15</v>
      </c>
      <c r="AO86" s="4"/>
      <c r="AP86" s="4"/>
      <c r="AQ86" s="4"/>
      <c r="AR86" s="2"/>
      <c r="AS86" s="2"/>
      <c r="AT86" s="2"/>
      <c r="AU86" s="2"/>
      <c r="AV86" s="2"/>
      <c r="AW86" s="2">
        <v>15</v>
      </c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>
        <f>SUM(E86:BI86)</f>
        <v>60</v>
      </c>
      <c r="BK86" s="1">
        <v>32</v>
      </c>
      <c r="BL86" s="17">
        <v>4</v>
      </c>
      <c r="BM86" s="17" t="s">
        <v>218</v>
      </c>
      <c r="BN86" s="1" t="str">
        <f>IF(AL86&gt;AL$95, AL86-AL$95,"")</f>
        <v/>
      </c>
      <c r="BO86" s="1" t="str">
        <f>IF(AM86&gt;AM$95, AM86-AM$95,"")</f>
        <v/>
      </c>
      <c r="BP86" s="1">
        <f>IF(AN86&gt;AN$95, AN86-AN$95,"")</f>
        <v>4</v>
      </c>
      <c r="BQ86" s="1" t="str">
        <f>IF(AO86&gt;AO$95, AO86-AO$95,"")</f>
        <v/>
      </c>
      <c r="BR86" s="1" t="str">
        <f>IF(AP86&gt;AP$95, AP86-AP$95,"")</f>
        <v/>
      </c>
      <c r="BS86" s="1" t="str">
        <f>IF(AQ86&gt;AQ$95, AQ86-AQ$95,"")</f>
        <v/>
      </c>
      <c r="BT86" s="1" t="str">
        <f>IF(AR86&gt;AR$95, AR86-AR$95,"")</f>
        <v/>
      </c>
      <c r="BU86" s="1" t="str">
        <f>IF(AS86&gt;AS$95, AS86-AS$95,"")</f>
        <v/>
      </c>
      <c r="BV86" s="1" t="str">
        <f>IF(AT86&gt;AT$95, AT86-AT$95,"")</f>
        <v/>
      </c>
      <c r="BW86" s="1" t="str">
        <f>IF(AU86&gt;AU$95, AU86-AU$95,"")</f>
        <v/>
      </c>
      <c r="BX86" s="1" t="str">
        <f>IF(AV86&gt;AV$95, AV86-AV$95,"")</f>
        <v/>
      </c>
      <c r="BY86" s="1">
        <f>IF(AW86&gt;AW$95, AW86-AW$95,"")</f>
        <v>12</v>
      </c>
      <c r="BZ86" s="1">
        <f>COUNTIF(BN86:BY86, "&gt;0")</f>
        <v>2</v>
      </c>
      <c r="CA86" s="1" t="str">
        <f>IF($BZ86=1,BN86,"")</f>
        <v/>
      </c>
      <c r="CB86" s="1" t="str">
        <f>IF($BZ86=1,BO86,"")</f>
        <v/>
      </c>
      <c r="CC86" s="1" t="str">
        <f>IF($BZ86=1,BP86,"")</f>
        <v/>
      </c>
      <c r="CD86" s="1" t="str">
        <f>IF($BZ86=1,BQ86,"")</f>
        <v/>
      </c>
      <c r="CE86" s="1" t="str">
        <f>IF($BZ86=1,BR86,"")</f>
        <v/>
      </c>
      <c r="CF86" s="1" t="str">
        <f>IF($BZ86=1,BS86,"")</f>
        <v/>
      </c>
      <c r="CG86" s="1" t="str">
        <f>IF($BZ86=1,BT86,"")</f>
        <v/>
      </c>
      <c r="CH86" s="1" t="str">
        <f>IF($BZ86=1,BU86,"")</f>
        <v/>
      </c>
      <c r="CI86" s="1" t="str">
        <f>IF($BZ86=1,BV86,"")</f>
        <v/>
      </c>
      <c r="CJ86" s="1" t="str">
        <f>IF($BZ86=1,BW86,"")</f>
        <v/>
      </c>
      <c r="CK86" s="1" t="str">
        <f>IF($BZ86=1,BX86,"")</f>
        <v/>
      </c>
      <c r="CL86" s="1" t="str">
        <f>IF($BZ86=1,BY86,"")</f>
        <v/>
      </c>
    </row>
    <row r="87" spans="1:90" ht="54" x14ac:dyDescent="0.15">
      <c r="A87" s="1">
        <v>95</v>
      </c>
      <c r="B87" s="3" t="s">
        <v>128</v>
      </c>
      <c r="C87" s="3" t="s">
        <v>96</v>
      </c>
      <c r="D87" s="1" t="s">
        <v>1</v>
      </c>
      <c r="E87" s="6"/>
      <c r="F87" s="6"/>
      <c r="G87" s="6"/>
      <c r="H87" s="6"/>
      <c r="I87" s="6"/>
      <c r="J87" s="6"/>
      <c r="K87" s="6"/>
      <c r="L87" s="6">
        <v>15</v>
      </c>
      <c r="M87" s="6"/>
      <c r="N87" s="6"/>
      <c r="O87" s="6">
        <v>15</v>
      </c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4"/>
      <c r="AM87" s="4"/>
      <c r="AN87" s="4"/>
      <c r="AO87" s="4"/>
      <c r="AP87" s="4"/>
      <c r="AQ87" s="4"/>
      <c r="AR87" s="2"/>
      <c r="AS87" s="2"/>
      <c r="AT87" s="2"/>
      <c r="AU87" s="2"/>
      <c r="AV87" s="2">
        <v>15</v>
      </c>
      <c r="AW87" s="2">
        <v>15</v>
      </c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>
        <f>SUM(E87:BI87)</f>
        <v>60</v>
      </c>
      <c r="BK87" s="1">
        <v>32</v>
      </c>
      <c r="BL87" s="17">
        <v>4</v>
      </c>
      <c r="BM87" s="17" t="s">
        <v>219</v>
      </c>
      <c r="BN87" s="1" t="str">
        <f>IF(AL87&gt;AL$95, AL87-AL$95,"")</f>
        <v/>
      </c>
      <c r="BO87" s="1" t="str">
        <f>IF(AM87&gt;AM$95, AM87-AM$95,"")</f>
        <v/>
      </c>
      <c r="BP87" s="1" t="str">
        <f>IF(AN87&gt;AN$95, AN87-AN$95,"")</f>
        <v/>
      </c>
      <c r="BQ87" s="1" t="str">
        <f>IF(AO87&gt;AO$95, AO87-AO$95,"")</f>
        <v/>
      </c>
      <c r="BR87" s="1" t="str">
        <f>IF(AP87&gt;AP$95, AP87-AP$95,"")</f>
        <v/>
      </c>
      <c r="BS87" s="1" t="str">
        <f>IF(AQ87&gt;AQ$95, AQ87-AQ$95,"")</f>
        <v/>
      </c>
      <c r="BT87" s="1" t="str">
        <f>IF(AR87&gt;AR$95, AR87-AR$95,"")</f>
        <v/>
      </c>
      <c r="BU87" s="1" t="str">
        <f>IF(AS87&gt;AS$95, AS87-AS$95,"")</f>
        <v/>
      </c>
      <c r="BV87" s="1" t="str">
        <f>IF(AT87&gt;AT$95, AT87-AT$95,"")</f>
        <v/>
      </c>
      <c r="BW87" s="1" t="str">
        <f>IF(AU87&gt;AU$95, AU87-AU$95,"")</f>
        <v/>
      </c>
      <c r="BX87" s="1">
        <f>IF(AV87&gt;AV$95, AV87-AV$95,"")</f>
        <v>3</v>
      </c>
      <c r="BY87" s="1">
        <f>IF(AW87&gt;AW$95, AW87-AW$95,"")</f>
        <v>12</v>
      </c>
      <c r="BZ87" s="1">
        <f>COUNTIF(BN87:BY87, "&gt;0")</f>
        <v>2</v>
      </c>
      <c r="CA87" s="1" t="str">
        <f>IF($BZ87=1,BN87,"")</f>
        <v/>
      </c>
      <c r="CB87" s="1" t="str">
        <f>IF($BZ87=1,BO87,"")</f>
        <v/>
      </c>
      <c r="CC87" s="1" t="str">
        <f>IF($BZ87=1,BP87,"")</f>
        <v/>
      </c>
      <c r="CD87" s="1" t="str">
        <f>IF($BZ87=1,BQ87,"")</f>
        <v/>
      </c>
      <c r="CE87" s="1" t="str">
        <f>IF($BZ87=1,BR87,"")</f>
        <v/>
      </c>
      <c r="CF87" s="1" t="str">
        <f>IF($BZ87=1,BS87,"")</f>
        <v/>
      </c>
      <c r="CG87" s="1" t="str">
        <f>IF($BZ87=1,BT87,"")</f>
        <v/>
      </c>
      <c r="CH87" s="1" t="str">
        <f>IF($BZ87=1,BU87,"")</f>
        <v/>
      </c>
      <c r="CI87" s="1" t="str">
        <f>IF($BZ87=1,BV87,"")</f>
        <v/>
      </c>
      <c r="CJ87" s="1" t="str">
        <f>IF($BZ87=1,BW87,"")</f>
        <v/>
      </c>
      <c r="CK87" s="1" t="str">
        <f>IF($BZ87=1,BX87,"")</f>
        <v/>
      </c>
      <c r="CL87" s="1" t="str">
        <f>IF($BZ87=1,BY87,"")</f>
        <v/>
      </c>
    </row>
    <row r="88" spans="1:90" ht="54" x14ac:dyDescent="0.15">
      <c r="A88" s="1">
        <v>1</v>
      </c>
      <c r="B88" s="1" t="s">
        <v>0</v>
      </c>
      <c r="C88" s="1" t="s">
        <v>2</v>
      </c>
      <c r="D88" s="1" t="s">
        <v>1</v>
      </c>
      <c r="E88" s="6">
        <v>10</v>
      </c>
      <c r="F88" s="6">
        <v>10</v>
      </c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4"/>
      <c r="AM88" s="4">
        <v>10</v>
      </c>
      <c r="AN88" s="4"/>
      <c r="AO88" s="4"/>
      <c r="AP88" s="4"/>
      <c r="AQ88" s="4"/>
      <c r="AR88" s="2">
        <v>15</v>
      </c>
      <c r="AS88" s="2">
        <v>15</v>
      </c>
      <c r="AT88" s="2"/>
      <c r="AU88" s="2"/>
      <c r="AV88" s="2"/>
      <c r="AW88" s="2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>
        <f>SUM(E88:BI88)</f>
        <v>60</v>
      </c>
      <c r="BK88" s="1">
        <v>36</v>
      </c>
      <c r="BL88" s="17">
        <v>4</v>
      </c>
      <c r="BM88" s="17" t="s">
        <v>220</v>
      </c>
      <c r="BN88" s="1" t="str">
        <f>IF(AL88&gt;AL$95, AL88-AL$95,"")</f>
        <v/>
      </c>
      <c r="BO88" s="1">
        <f>IF(AM88&gt;AM$95, AM88-AM$95,"")</f>
        <v>9</v>
      </c>
      <c r="BP88" s="1" t="str">
        <f>IF(AN88&gt;AN$95, AN88-AN$95,"")</f>
        <v/>
      </c>
      <c r="BQ88" s="1" t="str">
        <f>IF(AO88&gt;AO$95, AO88-AO$95,"")</f>
        <v/>
      </c>
      <c r="BR88" s="1" t="str">
        <f>IF(AP88&gt;AP$95, AP88-AP$95,"")</f>
        <v/>
      </c>
      <c r="BS88" s="1" t="str">
        <f>IF(AQ88&gt;AQ$95, AQ88-AQ$95,"")</f>
        <v/>
      </c>
      <c r="BT88" s="1">
        <f>IF(AR88&gt;AR$95, AR88-AR$95,"")</f>
        <v>13</v>
      </c>
      <c r="BU88" s="1">
        <f>IF(AS88&gt;AS$95, AS88-AS$95,"")</f>
        <v>8</v>
      </c>
      <c r="BV88" s="1" t="str">
        <f>IF(AT88&gt;AT$95, AT88-AT$95,"")</f>
        <v/>
      </c>
      <c r="BW88" s="1" t="str">
        <f>IF(AU88&gt;AU$95, AU88-AU$95,"")</f>
        <v/>
      </c>
      <c r="BX88" s="1" t="str">
        <f>IF(AV88&gt;AV$95, AV88-AV$95,"")</f>
        <v/>
      </c>
      <c r="BY88" s="1" t="str">
        <f>IF(AW88&gt;AW$95, AW88-AW$95,"")</f>
        <v/>
      </c>
      <c r="BZ88" s="1">
        <f>COUNTIF(BN88:BY88, "&gt;0")</f>
        <v>3</v>
      </c>
      <c r="CA88" s="1" t="str">
        <f>IF($BZ88=1,BN88,"")</f>
        <v/>
      </c>
      <c r="CB88" s="1" t="str">
        <f>IF($BZ88=1,BO88,"")</f>
        <v/>
      </c>
      <c r="CC88" s="1" t="str">
        <f>IF($BZ88=1,BP88,"")</f>
        <v/>
      </c>
      <c r="CD88" s="1" t="str">
        <f>IF($BZ88=1,BQ88,"")</f>
        <v/>
      </c>
      <c r="CE88" s="1" t="str">
        <f>IF($BZ88=1,BR88,"")</f>
        <v/>
      </c>
      <c r="CF88" s="1" t="str">
        <f>IF($BZ88=1,BS88,"")</f>
        <v/>
      </c>
      <c r="CG88" s="1" t="str">
        <f>IF($BZ88=1,BT88,"")</f>
        <v/>
      </c>
      <c r="CH88" s="1" t="str">
        <f>IF($BZ88=1,BU88,"")</f>
        <v/>
      </c>
      <c r="CI88" s="1" t="str">
        <f>IF($BZ88=1,BV88,"")</f>
        <v/>
      </c>
      <c r="CJ88" s="1" t="str">
        <f>IF($BZ88=1,BW88,"")</f>
        <v/>
      </c>
      <c r="CK88" s="1" t="str">
        <f>IF($BZ88=1,BX88,"")</f>
        <v/>
      </c>
      <c r="CL88" s="1" t="str">
        <f>IF($BZ88=1,BY88,"")</f>
        <v/>
      </c>
    </row>
    <row r="89" spans="1:90" ht="54" x14ac:dyDescent="0.15">
      <c r="A89" s="1">
        <v>3</v>
      </c>
      <c r="B89" s="1" t="s">
        <v>11</v>
      </c>
      <c r="C89" s="1" t="s">
        <v>2</v>
      </c>
      <c r="D89" s="1" t="s">
        <v>12</v>
      </c>
      <c r="E89" s="6">
        <v>15</v>
      </c>
      <c r="F89" s="6"/>
      <c r="G89" s="6">
        <v>15</v>
      </c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4"/>
      <c r="AM89" s="4">
        <v>15</v>
      </c>
      <c r="AN89" s="4"/>
      <c r="AO89" s="4"/>
      <c r="AP89" s="4"/>
      <c r="AQ89" s="4"/>
      <c r="AR89" s="2"/>
      <c r="AS89" s="2"/>
      <c r="AT89" s="2"/>
      <c r="AU89" s="2"/>
      <c r="AV89" s="2"/>
      <c r="AW89" s="2">
        <v>15</v>
      </c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>
        <f>SUM(E89:BI89)</f>
        <v>60</v>
      </c>
      <c r="BK89" s="1">
        <v>45</v>
      </c>
      <c r="BL89" s="17">
        <v>4</v>
      </c>
      <c r="BM89" s="17" t="s">
        <v>164</v>
      </c>
      <c r="BN89" s="1" t="str">
        <f>IF(AL89&gt;AL$95, AL89-AL$95,"")</f>
        <v/>
      </c>
      <c r="BO89" s="1">
        <f>IF(AM89&gt;AM$95, AM89-AM$95,"")</f>
        <v>14</v>
      </c>
      <c r="BP89" s="1" t="str">
        <f>IF(AN89&gt;AN$95, AN89-AN$95,"")</f>
        <v/>
      </c>
      <c r="BQ89" s="1" t="str">
        <f>IF(AO89&gt;AO$95, AO89-AO$95,"")</f>
        <v/>
      </c>
      <c r="BR89" s="1" t="str">
        <f>IF(AP89&gt;AP$95, AP89-AP$95,"")</f>
        <v/>
      </c>
      <c r="BS89" s="1" t="str">
        <f>IF(AQ89&gt;AQ$95, AQ89-AQ$95,"")</f>
        <v/>
      </c>
      <c r="BT89" s="1" t="str">
        <f>IF(AR89&gt;AR$95, AR89-AR$95,"")</f>
        <v/>
      </c>
      <c r="BU89" s="1" t="str">
        <f>IF(AS89&gt;AS$95, AS89-AS$95,"")</f>
        <v/>
      </c>
      <c r="BV89" s="1" t="str">
        <f>IF(AT89&gt;AT$95, AT89-AT$95,"")</f>
        <v/>
      </c>
      <c r="BW89" s="1" t="str">
        <f>IF(AU89&gt;AU$95, AU89-AU$95,"")</f>
        <v/>
      </c>
      <c r="BX89" s="1" t="str">
        <f>IF(AV89&gt;AV$95, AV89-AV$95,"")</f>
        <v/>
      </c>
      <c r="BY89" s="1">
        <f>IF(AW89&gt;AW$95, AW89-AW$95,"")</f>
        <v>12</v>
      </c>
      <c r="BZ89" s="1">
        <f>COUNTIF(BN89:BY89, "&gt;0")</f>
        <v>2</v>
      </c>
      <c r="CA89" s="1" t="str">
        <f>IF($BZ89=1,BN89,"")</f>
        <v/>
      </c>
      <c r="CB89" s="1" t="str">
        <f>IF($BZ89=1,BO89,"")</f>
        <v/>
      </c>
      <c r="CC89" s="1" t="str">
        <f>IF($BZ89=1,BP89,"")</f>
        <v/>
      </c>
      <c r="CD89" s="1" t="str">
        <f>IF($BZ89=1,BQ89,"")</f>
        <v/>
      </c>
      <c r="CE89" s="1" t="str">
        <f>IF($BZ89=1,BR89,"")</f>
        <v/>
      </c>
      <c r="CF89" s="1" t="str">
        <f>IF($BZ89=1,BS89,"")</f>
        <v/>
      </c>
      <c r="CG89" s="1" t="str">
        <f>IF($BZ89=1,BT89,"")</f>
        <v/>
      </c>
      <c r="CH89" s="1" t="str">
        <f>IF($BZ89=1,BU89,"")</f>
        <v/>
      </c>
      <c r="CI89" s="1" t="str">
        <f>IF($BZ89=1,BV89,"")</f>
        <v/>
      </c>
      <c r="CJ89" s="1" t="str">
        <f>IF($BZ89=1,BW89,"")</f>
        <v/>
      </c>
      <c r="CK89" s="1" t="str">
        <f>IF($BZ89=1,BX89,"")</f>
        <v/>
      </c>
      <c r="CL89" s="1" t="str">
        <f>IF($BZ89=1,BY89,"")</f>
        <v/>
      </c>
    </row>
    <row r="90" spans="1:90" ht="54" x14ac:dyDescent="0.15">
      <c r="A90" s="1">
        <v>77</v>
      </c>
      <c r="B90" s="3" t="s">
        <v>86</v>
      </c>
      <c r="C90" s="3" t="s">
        <v>87</v>
      </c>
      <c r="D90" s="1" t="s">
        <v>13</v>
      </c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4"/>
      <c r="AM90" s="4"/>
      <c r="AN90" s="4"/>
      <c r="AO90" s="4">
        <v>20</v>
      </c>
      <c r="AP90" s="4"/>
      <c r="AQ90" s="4"/>
      <c r="AR90" s="2">
        <v>20</v>
      </c>
      <c r="AS90" s="2">
        <v>20</v>
      </c>
      <c r="AT90" s="2"/>
      <c r="AU90" s="2"/>
      <c r="AV90" s="2"/>
      <c r="AW90" s="2">
        <v>10</v>
      </c>
      <c r="AX90" s="1"/>
      <c r="AY90" s="1"/>
      <c r="AZ90" s="1"/>
      <c r="BA90" s="1"/>
      <c r="BB90" s="1">
        <v>20</v>
      </c>
      <c r="BC90" s="1"/>
      <c r="BD90" s="1"/>
      <c r="BE90" s="1"/>
      <c r="BF90" s="1"/>
      <c r="BG90" s="1"/>
      <c r="BH90" s="1"/>
      <c r="BI90" s="1"/>
      <c r="BJ90" s="1">
        <f>SUM(E90:BI90)</f>
        <v>90</v>
      </c>
      <c r="BK90" s="1">
        <v>58</v>
      </c>
      <c r="BL90" s="17">
        <v>4</v>
      </c>
      <c r="BM90" s="17" t="s">
        <v>221</v>
      </c>
      <c r="BN90" s="1" t="str">
        <f>IF(AL90&gt;AL$95, AL90-AL$95,"")</f>
        <v/>
      </c>
      <c r="BO90" s="1" t="str">
        <f>IF(AM90&gt;AM$95, AM90-AM$95,"")</f>
        <v/>
      </c>
      <c r="BP90" s="1" t="str">
        <f>IF(AN90&gt;AN$95, AN90-AN$95,"")</f>
        <v/>
      </c>
      <c r="BQ90" s="1">
        <f>IF(AO90&gt;AO$95, AO90-AO$95,"")</f>
        <v>20</v>
      </c>
      <c r="BR90" s="1" t="str">
        <f>IF(AP90&gt;AP$95, AP90-AP$95,"")</f>
        <v/>
      </c>
      <c r="BS90" s="1" t="str">
        <f>IF(AQ90&gt;AQ$95, AQ90-AQ$95,"")</f>
        <v/>
      </c>
      <c r="BT90" s="1">
        <f>IF(AR90&gt;AR$95, AR90-AR$95,"")</f>
        <v>18</v>
      </c>
      <c r="BU90" s="1">
        <f>IF(AS90&gt;AS$95, AS90-AS$95,"")</f>
        <v>13</v>
      </c>
      <c r="BV90" s="1" t="str">
        <f>IF(AT90&gt;AT$95, AT90-AT$95,"")</f>
        <v/>
      </c>
      <c r="BW90" s="1" t="str">
        <f>IF(AU90&gt;AU$95, AU90-AU$95,"")</f>
        <v/>
      </c>
      <c r="BX90" s="1" t="str">
        <f>IF(AV90&gt;AV$95, AV90-AV$95,"")</f>
        <v/>
      </c>
      <c r="BY90" s="1">
        <f>IF(AW90&gt;AW$95, AW90-AW$95,"")</f>
        <v>7</v>
      </c>
      <c r="BZ90" s="1">
        <f>COUNTIF(BN90:BY90, "&gt;0")</f>
        <v>4</v>
      </c>
      <c r="CA90" s="1" t="str">
        <f>IF($BZ90=1,BN90,"")</f>
        <v/>
      </c>
      <c r="CB90" s="1" t="str">
        <f>IF($BZ90=1,BO90,"")</f>
        <v/>
      </c>
      <c r="CC90" s="1" t="str">
        <f>IF($BZ90=1,BP90,"")</f>
        <v/>
      </c>
      <c r="CD90" s="1" t="str">
        <f>IF($BZ90=1,BQ90,"")</f>
        <v/>
      </c>
      <c r="CE90" s="1" t="str">
        <f>IF($BZ90=1,BR90,"")</f>
        <v/>
      </c>
      <c r="CF90" s="1" t="str">
        <f>IF($BZ90=1,BS90,"")</f>
        <v/>
      </c>
      <c r="CG90" s="1" t="str">
        <f>IF($BZ90=1,BT90,"")</f>
        <v/>
      </c>
      <c r="CH90" s="1" t="str">
        <f>IF($BZ90=1,BU90,"")</f>
        <v/>
      </c>
      <c r="CI90" s="1" t="str">
        <f>IF($BZ90=1,BV90,"")</f>
        <v/>
      </c>
      <c r="CJ90" s="1" t="str">
        <f>IF($BZ90=1,BW90,"")</f>
        <v/>
      </c>
      <c r="CK90" s="1" t="str">
        <f>IF($BZ90=1,BX90,"")</f>
        <v/>
      </c>
      <c r="CL90" s="1" t="str">
        <f>IF($BZ90=1,BY90,"")</f>
        <v/>
      </c>
    </row>
    <row r="91" spans="1:90" ht="54" x14ac:dyDescent="0.15">
      <c r="A91" s="1">
        <v>85</v>
      </c>
      <c r="B91" s="3" t="s">
        <v>94</v>
      </c>
      <c r="C91" s="3" t="s">
        <v>87</v>
      </c>
      <c r="D91" s="1" t="s">
        <v>43</v>
      </c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4"/>
      <c r="AM91" s="4"/>
      <c r="AN91" s="4"/>
      <c r="AO91" s="4"/>
      <c r="AP91" s="4"/>
      <c r="AQ91" s="4"/>
      <c r="AR91" s="2"/>
      <c r="AS91" s="2"/>
      <c r="AT91" s="2"/>
      <c r="AU91" s="2"/>
      <c r="AV91" s="2"/>
      <c r="AW91" s="2"/>
      <c r="AX91" s="1"/>
      <c r="AY91" s="1"/>
      <c r="AZ91" s="1"/>
      <c r="BA91" s="1"/>
      <c r="BB91" s="1"/>
      <c r="BC91" s="1"/>
      <c r="BD91" s="1"/>
      <c r="BE91" s="1"/>
      <c r="BF91" s="1">
        <v>50</v>
      </c>
      <c r="BG91" s="1">
        <v>50</v>
      </c>
      <c r="BH91" s="1">
        <v>50</v>
      </c>
      <c r="BI91" s="1">
        <v>50</v>
      </c>
      <c r="BJ91" s="1">
        <f>SUM(E91:BI91)</f>
        <v>200</v>
      </c>
      <c r="BK91" s="1">
        <v>195</v>
      </c>
      <c r="BL91" s="17">
        <v>4</v>
      </c>
      <c r="BM91" s="17" t="s">
        <v>222</v>
      </c>
      <c r="BN91" s="1" t="str">
        <f>IF(AL91&gt;AL$95, AL91-AL$95,"")</f>
        <v/>
      </c>
      <c r="BO91" s="1" t="str">
        <f>IF(AM91&gt;AM$95, AM91-AM$95,"")</f>
        <v/>
      </c>
      <c r="BP91" s="1" t="str">
        <f>IF(AN91&gt;AN$95, AN91-AN$95,"")</f>
        <v/>
      </c>
      <c r="BQ91" s="1" t="str">
        <f>IF(AO91&gt;AO$95, AO91-AO$95,"")</f>
        <v/>
      </c>
      <c r="BR91" s="1" t="str">
        <f>IF(AP91&gt;AP$95, AP91-AP$95,"")</f>
        <v/>
      </c>
      <c r="BS91" s="1" t="str">
        <f>IF(AQ91&gt;AQ$95, AQ91-AQ$95,"")</f>
        <v/>
      </c>
      <c r="BT91" s="1" t="str">
        <f>IF(AR91&gt;AR$95, AR91-AR$95,"")</f>
        <v/>
      </c>
      <c r="BU91" s="1" t="str">
        <f>IF(AS91&gt;AS$95, AS91-AS$95,"")</f>
        <v/>
      </c>
      <c r="BV91" s="1" t="str">
        <f>IF(AT91&gt;AT$95, AT91-AT$95,"")</f>
        <v/>
      </c>
      <c r="BW91" s="1" t="str">
        <f>IF(AU91&gt;AU$95, AU91-AU$95,"")</f>
        <v/>
      </c>
      <c r="BX91" s="1" t="str">
        <f>IF(AV91&gt;AV$95, AV91-AV$95,"")</f>
        <v/>
      </c>
      <c r="BY91" s="1" t="str">
        <f>IF(AW91&gt;AW$95, AW91-AW$95,"")</f>
        <v/>
      </c>
      <c r="BZ91" s="1">
        <f>COUNTIF(BN91:BY91, "&gt;0")</f>
        <v>0</v>
      </c>
      <c r="CA91" s="1" t="str">
        <f>IF($BZ91=1,BN91,"")</f>
        <v/>
      </c>
      <c r="CB91" s="1" t="str">
        <f>IF($BZ91=1,BO91,"")</f>
        <v/>
      </c>
      <c r="CC91" s="1" t="str">
        <f>IF($BZ91=1,BP91,"")</f>
        <v/>
      </c>
      <c r="CD91" s="1" t="str">
        <f>IF($BZ91=1,BQ91,"")</f>
        <v/>
      </c>
      <c r="CE91" s="1" t="str">
        <f>IF($BZ91=1,BR91,"")</f>
        <v/>
      </c>
      <c r="CF91" s="1" t="str">
        <f>IF($BZ91=1,BS91,"")</f>
        <v/>
      </c>
      <c r="CG91" s="1" t="str">
        <f>IF($BZ91=1,BT91,"")</f>
        <v/>
      </c>
      <c r="CH91" s="1" t="str">
        <f>IF($BZ91=1,BU91,"")</f>
        <v/>
      </c>
      <c r="CI91" s="1" t="str">
        <f>IF($BZ91=1,BV91,"")</f>
        <v/>
      </c>
      <c r="CJ91" s="1" t="str">
        <f>IF($BZ91=1,BW91,"")</f>
        <v/>
      </c>
      <c r="CK91" s="1" t="str">
        <f>IF($BZ91=1,BX91,"")</f>
        <v/>
      </c>
      <c r="CL91" s="1" t="str">
        <f>IF($BZ91=1,BY91,"")</f>
        <v/>
      </c>
    </row>
    <row r="92" spans="1:90" ht="54" x14ac:dyDescent="0.15">
      <c r="A92" s="1">
        <v>23</v>
      </c>
      <c r="B92" s="1" t="s">
        <v>42</v>
      </c>
      <c r="C92" s="1" t="s">
        <v>33</v>
      </c>
      <c r="D92" s="1" t="s">
        <v>43</v>
      </c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4"/>
      <c r="AM92" s="4"/>
      <c r="AN92" s="4"/>
      <c r="AO92" s="4"/>
      <c r="AP92" s="4"/>
      <c r="AQ92" s="4"/>
      <c r="AR92" s="2"/>
      <c r="AS92" s="2"/>
      <c r="AT92" s="2"/>
      <c r="AU92" s="2"/>
      <c r="AV92" s="2"/>
      <c r="AW92" s="2"/>
      <c r="AX92" s="1"/>
      <c r="AY92" s="1"/>
      <c r="AZ92" s="1"/>
      <c r="BA92" s="1"/>
      <c r="BB92" s="1"/>
      <c r="BC92" s="1"/>
      <c r="BD92" s="1">
        <v>50</v>
      </c>
      <c r="BE92" s="1">
        <v>50</v>
      </c>
      <c r="BF92" s="1"/>
      <c r="BG92" s="1"/>
      <c r="BH92" s="1">
        <v>50</v>
      </c>
      <c r="BI92" s="1">
        <v>50</v>
      </c>
      <c r="BJ92" s="1">
        <f>SUM(E92:BI92)</f>
        <v>200</v>
      </c>
      <c r="BK92" s="1">
        <v>200</v>
      </c>
      <c r="BL92" s="17">
        <v>4</v>
      </c>
      <c r="BM92" s="17" t="s">
        <v>223</v>
      </c>
      <c r="BN92" s="1" t="str">
        <f>IF(AL92&gt;AL$95, AL92-AL$95,"")</f>
        <v/>
      </c>
      <c r="BO92" s="1" t="str">
        <f>IF(AM92&gt;AM$95, AM92-AM$95,"")</f>
        <v/>
      </c>
      <c r="BP92" s="1" t="str">
        <f>IF(AN92&gt;AN$95, AN92-AN$95,"")</f>
        <v/>
      </c>
      <c r="BQ92" s="1" t="str">
        <f>IF(AO92&gt;AO$95, AO92-AO$95,"")</f>
        <v/>
      </c>
      <c r="BR92" s="1" t="str">
        <f>IF(AP92&gt;AP$95, AP92-AP$95,"")</f>
        <v/>
      </c>
      <c r="BS92" s="1" t="str">
        <f>IF(AQ92&gt;AQ$95, AQ92-AQ$95,"")</f>
        <v/>
      </c>
      <c r="BT92" s="1" t="str">
        <f>IF(AR92&gt;AR$95, AR92-AR$95,"")</f>
        <v/>
      </c>
      <c r="BU92" s="1" t="str">
        <f>IF(AS92&gt;AS$95, AS92-AS$95,"")</f>
        <v/>
      </c>
      <c r="BV92" s="1" t="str">
        <f>IF(AT92&gt;AT$95, AT92-AT$95,"")</f>
        <v/>
      </c>
      <c r="BW92" s="1" t="str">
        <f>IF(AU92&gt;AU$95, AU92-AU$95,"")</f>
        <v/>
      </c>
      <c r="BX92" s="1" t="str">
        <f>IF(AV92&gt;AV$95, AV92-AV$95,"")</f>
        <v/>
      </c>
      <c r="BY92" s="1" t="str">
        <f>IF(AW92&gt;AW$95, AW92-AW$95,"")</f>
        <v/>
      </c>
      <c r="BZ92" s="1">
        <f>COUNTIF(BN92:BY92, "&gt;0")</f>
        <v>0</v>
      </c>
      <c r="CA92" s="1" t="str">
        <f>IF($BZ92=1,BN92,"")</f>
        <v/>
      </c>
      <c r="CB92" s="1" t="str">
        <f>IF($BZ92=1,BO92,"")</f>
        <v/>
      </c>
      <c r="CC92" s="1" t="str">
        <f>IF($BZ92=1,BP92,"")</f>
        <v/>
      </c>
      <c r="CD92" s="1" t="str">
        <f>IF($BZ92=1,BQ92,"")</f>
        <v/>
      </c>
      <c r="CE92" s="1" t="str">
        <f>IF($BZ92=1,BR92,"")</f>
        <v/>
      </c>
      <c r="CF92" s="1" t="str">
        <f>IF($BZ92=1,BS92,"")</f>
        <v/>
      </c>
      <c r="CG92" s="1" t="str">
        <f>IF($BZ92=1,BT92,"")</f>
        <v/>
      </c>
      <c r="CH92" s="1" t="str">
        <f>IF($BZ92=1,BU92,"")</f>
        <v/>
      </c>
      <c r="CI92" s="1" t="str">
        <f>IF($BZ92=1,BV92,"")</f>
        <v/>
      </c>
      <c r="CJ92" s="1" t="str">
        <f>IF($BZ92=1,BW92,"")</f>
        <v/>
      </c>
      <c r="CK92" s="1" t="str">
        <f>IF($BZ92=1,BX92,"")</f>
        <v/>
      </c>
      <c r="CL92" s="1" t="str">
        <f>IF($BZ92=1,BY92,"")</f>
        <v/>
      </c>
    </row>
    <row r="93" spans="1:90" ht="54" x14ac:dyDescent="0.15">
      <c r="A93" s="1">
        <v>102</v>
      </c>
      <c r="B93" s="3" t="s">
        <v>98</v>
      </c>
      <c r="C93" s="3" t="s">
        <v>96</v>
      </c>
      <c r="D93" s="1" t="s">
        <v>43</v>
      </c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4"/>
      <c r="AM93" s="4"/>
      <c r="AN93" s="4"/>
      <c r="AO93" s="4"/>
      <c r="AP93" s="4"/>
      <c r="AQ93" s="4"/>
      <c r="AR93" s="2"/>
      <c r="AS93" s="2"/>
      <c r="AT93" s="2"/>
      <c r="AU93" s="2"/>
      <c r="AV93" s="2"/>
      <c r="AW93" s="2"/>
      <c r="AX93" s="1"/>
      <c r="AY93" s="1"/>
      <c r="AZ93" s="1"/>
      <c r="BA93" s="1"/>
      <c r="BB93" s="1"/>
      <c r="BC93" s="1"/>
      <c r="BD93" s="1">
        <v>50</v>
      </c>
      <c r="BE93" s="1">
        <v>50</v>
      </c>
      <c r="BF93" s="1"/>
      <c r="BG93" s="1"/>
      <c r="BH93" s="1">
        <v>50</v>
      </c>
      <c r="BI93" s="1">
        <v>50</v>
      </c>
      <c r="BJ93" s="1">
        <f>SUM(E93:BI93)</f>
        <v>200</v>
      </c>
      <c r="BK93" s="1">
        <v>200</v>
      </c>
      <c r="BL93" s="17">
        <v>4</v>
      </c>
      <c r="BM93" s="17" t="s">
        <v>165</v>
      </c>
      <c r="BN93" s="1" t="str">
        <f>IF(AL93&gt;AL$95, AL93-AL$95,"")</f>
        <v/>
      </c>
      <c r="BO93" s="1" t="str">
        <f>IF(AM93&gt;AM$95, AM93-AM$95,"")</f>
        <v/>
      </c>
      <c r="BP93" s="1" t="str">
        <f>IF(AN93&gt;AN$95, AN93-AN$95,"")</f>
        <v/>
      </c>
      <c r="BQ93" s="1" t="str">
        <f>IF(AO93&gt;AO$95, AO93-AO$95,"")</f>
        <v/>
      </c>
      <c r="BR93" s="1" t="str">
        <f>IF(AP93&gt;AP$95, AP93-AP$95,"")</f>
        <v/>
      </c>
      <c r="BS93" s="1" t="str">
        <f>IF(AQ93&gt;AQ$95, AQ93-AQ$95,"")</f>
        <v/>
      </c>
      <c r="BT93" s="1" t="str">
        <f>IF(AR93&gt;AR$95, AR93-AR$95,"")</f>
        <v/>
      </c>
      <c r="BU93" s="1" t="str">
        <f>IF(AS93&gt;AS$95, AS93-AS$95,"")</f>
        <v/>
      </c>
      <c r="BV93" s="1" t="str">
        <f>IF(AT93&gt;AT$95, AT93-AT$95,"")</f>
        <v/>
      </c>
      <c r="BW93" s="1" t="str">
        <f>IF(AU93&gt;AU$95, AU93-AU$95,"")</f>
        <v/>
      </c>
      <c r="BX93" s="1" t="str">
        <f>IF(AV93&gt;AV$95, AV93-AV$95,"")</f>
        <v/>
      </c>
      <c r="BY93" s="1" t="str">
        <f>IF(AW93&gt;AW$95, AW93-AW$95,"")</f>
        <v/>
      </c>
      <c r="BZ93" s="1">
        <f>COUNTIF(BN93:BY93, "&gt;0")</f>
        <v>0</v>
      </c>
      <c r="CA93" s="1" t="str">
        <f>IF($BZ93=1,BN93,"")</f>
        <v/>
      </c>
      <c r="CB93" s="1" t="str">
        <f>IF($BZ93=1,BO93,"")</f>
        <v/>
      </c>
      <c r="CC93" s="1" t="str">
        <f>IF($BZ93=1,BP93,"")</f>
        <v/>
      </c>
      <c r="CD93" s="1" t="str">
        <f>IF($BZ93=1,BQ93,"")</f>
        <v/>
      </c>
      <c r="CE93" s="1" t="str">
        <f>IF($BZ93=1,BR93,"")</f>
        <v/>
      </c>
      <c r="CF93" s="1" t="str">
        <f>IF($BZ93=1,BS93,"")</f>
        <v/>
      </c>
      <c r="CG93" s="1" t="str">
        <f>IF($BZ93=1,BT93,"")</f>
        <v/>
      </c>
      <c r="CH93" s="1" t="str">
        <f>IF($BZ93=1,BU93,"")</f>
        <v/>
      </c>
      <c r="CI93" s="1" t="str">
        <f>IF($BZ93=1,BV93,"")</f>
        <v/>
      </c>
      <c r="CJ93" s="1" t="str">
        <f>IF($BZ93=1,BW93,"")</f>
        <v/>
      </c>
      <c r="CK93" s="1" t="str">
        <f>IF($BZ93=1,BX93,"")</f>
        <v/>
      </c>
      <c r="CL93" s="1" t="str">
        <f>IF($BZ93=1,BY93,"")</f>
        <v/>
      </c>
    </row>
    <row r="94" spans="1:90" x14ac:dyDescent="0.15">
      <c r="A94" s="1"/>
      <c r="B94" s="1" t="s">
        <v>100</v>
      </c>
      <c r="C94" s="1"/>
      <c r="D94" s="1"/>
      <c r="E94" s="6">
        <f>SUM(E2:E93)</f>
        <v>47</v>
      </c>
      <c r="F94" s="6">
        <f>SUM(F2:F93)</f>
        <v>84</v>
      </c>
      <c r="G94" s="6">
        <f>SUM(G2:G93)</f>
        <v>86</v>
      </c>
      <c r="H94" s="6">
        <f>SUM(H2:H93)</f>
        <v>91</v>
      </c>
      <c r="I94" s="6">
        <f>SUM(I2:I93)</f>
        <v>35</v>
      </c>
      <c r="J94" s="6">
        <f>SUM(J2:J93)</f>
        <v>10</v>
      </c>
      <c r="K94" s="6">
        <f>SUM(K2:K93)</f>
        <v>38</v>
      </c>
      <c r="L94" s="6">
        <f>SUM(L2:L93)</f>
        <v>45</v>
      </c>
      <c r="M94" s="6">
        <f>SUM(M2:M93)</f>
        <v>17</v>
      </c>
      <c r="N94" s="6">
        <f>SUM(N2:N93)</f>
        <v>47</v>
      </c>
      <c r="O94" s="6">
        <f>SUM(O2:O93)</f>
        <v>42</v>
      </c>
      <c r="P94" s="6">
        <f>SUM(P2:P93)</f>
        <v>25</v>
      </c>
      <c r="Q94" s="6">
        <f>SUM(Q2:Q93)</f>
        <v>10</v>
      </c>
      <c r="R94" s="6">
        <f>SUM(R2:R93)</f>
        <v>15</v>
      </c>
      <c r="S94" s="6">
        <f>SUM(S2:S93)</f>
        <v>28</v>
      </c>
      <c r="T94" s="6">
        <f>SUM(T2:T93)</f>
        <v>10</v>
      </c>
      <c r="U94" s="6">
        <f>SUM(U2:U93)</f>
        <v>20</v>
      </c>
      <c r="V94" s="6">
        <f>SUM(V2:V93)</f>
        <v>15</v>
      </c>
      <c r="W94" s="6">
        <f>SUM(W2:W93)</f>
        <v>15</v>
      </c>
      <c r="X94" s="6">
        <f>SUM(X2:X93)</f>
        <v>15</v>
      </c>
      <c r="Y94" s="6">
        <f>SUM(Y2:Y93)</f>
        <v>10</v>
      </c>
      <c r="Z94" s="6">
        <f>SUM(Z2:Z93)</f>
        <v>25</v>
      </c>
      <c r="AA94" s="6">
        <f>SUM(AA2:AA93)</f>
        <v>4</v>
      </c>
      <c r="AB94" s="1">
        <f>SUM(AB2:AB93)</f>
        <v>277</v>
      </c>
      <c r="AC94" s="1">
        <f>SUM(AC2:AC93)</f>
        <v>10</v>
      </c>
      <c r="AD94" s="1">
        <f>SUM(AD2:AD93)</f>
        <v>15</v>
      </c>
      <c r="AE94" s="1">
        <f>SUM(AE2:AE93)</f>
        <v>25</v>
      </c>
      <c r="AF94" s="1">
        <f>SUM(AF2:AF93)</f>
        <v>25</v>
      </c>
      <c r="AG94" s="1">
        <f>SUM(AG2:AG93)</f>
        <v>5</v>
      </c>
      <c r="AH94" s="1">
        <f>SUM(AH2:AH93)</f>
        <v>20</v>
      </c>
      <c r="AI94" s="1">
        <f>SUM(AI2:AI93)</f>
        <v>10</v>
      </c>
      <c r="AJ94" s="1">
        <f>SUM(AJ2:AJ93)</f>
        <v>25</v>
      </c>
      <c r="AK94" s="1">
        <f>SUM(AK2:AK93)</f>
        <v>50</v>
      </c>
      <c r="AL94" s="4">
        <f>SUM(AL2:AL93)</f>
        <v>65</v>
      </c>
      <c r="AM94" s="4">
        <f>SUM(AM2:AM93)</f>
        <v>60</v>
      </c>
      <c r="AN94" s="4">
        <f>SUM(AN2:AN93)</f>
        <v>45</v>
      </c>
      <c r="AO94" s="4">
        <f>SUM(AO2:AO93)</f>
        <v>40</v>
      </c>
      <c r="AP94" s="4">
        <f>SUM(AP2:AP93)</f>
        <v>8</v>
      </c>
      <c r="AQ94" s="4">
        <f>SUM(AQ2:AQ93)</f>
        <v>85</v>
      </c>
      <c r="AR94" s="2">
        <f>SUM(AR2:AR93)</f>
        <v>53</v>
      </c>
      <c r="AS94" s="2">
        <f>SUM(AS2:AS93)</f>
        <v>65</v>
      </c>
      <c r="AT94" s="2">
        <f>SUM(AT2:AT93)</f>
        <v>10</v>
      </c>
      <c r="AU94" s="2">
        <f>SUM(AU2:AU93)</f>
        <v>65</v>
      </c>
      <c r="AV94" s="2">
        <f>SUM(AV2:AV93)</f>
        <v>120</v>
      </c>
      <c r="AW94" s="2">
        <f>SUM(AW2:AW93)</f>
        <v>185</v>
      </c>
      <c r="AX94" s="1">
        <f>SUM(AX2:AX93)</f>
        <v>60</v>
      </c>
      <c r="AY94" s="1">
        <f>SUM(AY2:AY93)</f>
        <v>60</v>
      </c>
      <c r="AZ94" s="1">
        <f>SUM(AZ2:AZ93)</f>
        <v>60</v>
      </c>
      <c r="BA94" s="1">
        <f>SUM(BA2:BA93)</f>
        <v>60</v>
      </c>
      <c r="BB94" s="1">
        <f>SUM(BB2:BB93)</f>
        <v>85</v>
      </c>
      <c r="BC94" s="1">
        <f>SUM(BC2:BC93)</f>
        <v>55</v>
      </c>
      <c r="BD94" s="1">
        <f>SUM(BD2:BD93)</f>
        <v>100</v>
      </c>
      <c r="BE94" s="1">
        <f>SUM(BE2:BE93)</f>
        <v>100</v>
      </c>
      <c r="BF94" s="1">
        <f>SUM(BF2:BF93)</f>
        <v>50</v>
      </c>
      <c r="BG94" s="1">
        <f>SUM(BG2:BG93)</f>
        <v>50</v>
      </c>
      <c r="BH94" s="1">
        <f>SUM(BH2:BH93)</f>
        <v>150</v>
      </c>
      <c r="BI94" s="1">
        <f>SUM(BI2:BI93)</f>
        <v>150</v>
      </c>
      <c r="BJ94" s="1"/>
      <c r="BK94" s="1"/>
      <c r="BL94" s="17"/>
      <c r="BM94" s="17"/>
      <c r="BN94" s="1">
        <f>MIN(BN2:BN93)</f>
        <v>3</v>
      </c>
      <c r="BO94" s="1">
        <f>MIN(BO2:BO93)</f>
        <v>4</v>
      </c>
      <c r="BP94" s="1">
        <f>MIN(BP2:BP93)</f>
        <v>4</v>
      </c>
      <c r="BQ94" s="1">
        <f>MIN(BQ2:BQ93)</f>
        <v>10</v>
      </c>
      <c r="BR94" s="1">
        <f>MIN(BR2:BR93)</f>
        <v>0</v>
      </c>
      <c r="BS94" s="1">
        <f>MIN(BS2:BS93)</f>
        <v>8</v>
      </c>
      <c r="BT94" s="1">
        <f>MIN(BT2:BT93)</f>
        <v>3</v>
      </c>
      <c r="BU94" s="1">
        <f>MIN(BU2:BU93)</f>
        <v>3</v>
      </c>
      <c r="BV94" s="1">
        <f>MIN(BV2:BV93)</f>
        <v>0</v>
      </c>
      <c r="BW94" s="1">
        <f>MIN(BW2:BW93)</f>
        <v>0</v>
      </c>
      <c r="BX94" s="1">
        <f>MIN(BX2:BX93)</f>
        <v>3</v>
      </c>
      <c r="BY94" s="1">
        <f>MIN(BY2:BY93)</f>
        <v>2</v>
      </c>
      <c r="BZ94" s="1"/>
      <c r="CA94" s="1">
        <f>MIN(CA2:CA93)</f>
        <v>0</v>
      </c>
      <c r="CB94" s="1">
        <f>MIN(CB2:CB93)</f>
        <v>0</v>
      </c>
      <c r="CC94" s="1">
        <f>MIN(CC2:CC93)</f>
        <v>0</v>
      </c>
      <c r="CD94" s="1">
        <f>MIN(CD2:CD93)</f>
        <v>10</v>
      </c>
      <c r="CE94" s="1">
        <f>MIN(CE2:CE93)</f>
        <v>0</v>
      </c>
      <c r="CF94" s="1">
        <f>MIN(CF2:CF93)</f>
        <v>8</v>
      </c>
      <c r="CG94" s="1">
        <f>MIN(CG2:CG93)</f>
        <v>3</v>
      </c>
      <c r="CH94" s="1">
        <f>MIN(CH2:CH93)</f>
        <v>3</v>
      </c>
      <c r="CI94" s="1">
        <f>MIN(CI2:CI93)</f>
        <v>0</v>
      </c>
      <c r="CJ94" s="1">
        <f>MIN(CJ2:CJ93)</f>
        <v>0</v>
      </c>
      <c r="CK94" s="1">
        <f>MIN(CK2:CK93)</f>
        <v>0</v>
      </c>
      <c r="CL94" s="1">
        <f>MIN(CL2:CL93)</f>
        <v>2</v>
      </c>
    </row>
    <row r="95" spans="1:90" x14ac:dyDescent="0.15">
      <c r="A95" s="1"/>
      <c r="B95" s="3" t="s">
        <v>140</v>
      </c>
      <c r="C95" s="1"/>
      <c r="D95" s="1"/>
      <c r="E95" s="1">
        <v>10</v>
      </c>
      <c r="F95" s="1">
        <v>4</v>
      </c>
      <c r="G95" s="1">
        <v>1</v>
      </c>
      <c r="H95" s="1">
        <v>13</v>
      </c>
      <c r="I95" s="1">
        <v>4</v>
      </c>
      <c r="J95" s="1">
        <v>20</v>
      </c>
      <c r="K95" s="1">
        <v>3</v>
      </c>
      <c r="L95" s="1">
        <v>10</v>
      </c>
      <c r="M95" s="1">
        <v>2</v>
      </c>
      <c r="N95" s="1">
        <v>1</v>
      </c>
      <c r="O95" s="1">
        <v>3</v>
      </c>
      <c r="P95" s="1">
        <v>4</v>
      </c>
      <c r="Q95" s="1">
        <v>8</v>
      </c>
      <c r="R95" s="1">
        <v>2</v>
      </c>
      <c r="S95" s="1">
        <v>12</v>
      </c>
      <c r="T95" s="1">
        <v>2</v>
      </c>
      <c r="U95" s="1">
        <v>0</v>
      </c>
      <c r="V95" s="1">
        <v>10</v>
      </c>
      <c r="W95" s="1">
        <v>27</v>
      </c>
      <c r="X95" s="1">
        <v>0</v>
      </c>
      <c r="Y95" s="1">
        <v>35</v>
      </c>
      <c r="Z95" s="1">
        <v>84</v>
      </c>
      <c r="AA95" s="1">
        <v>32</v>
      </c>
      <c r="AB95" s="1">
        <v>0</v>
      </c>
      <c r="AC95" s="1">
        <v>0</v>
      </c>
      <c r="AD95" s="1">
        <v>0</v>
      </c>
      <c r="AE95" s="1">
        <v>0</v>
      </c>
      <c r="AF95" s="1">
        <v>0</v>
      </c>
      <c r="AG95" s="1">
        <v>0</v>
      </c>
      <c r="AH95" s="1">
        <v>0</v>
      </c>
      <c r="AI95" s="1">
        <v>0</v>
      </c>
      <c r="AJ95" s="1">
        <v>0</v>
      </c>
      <c r="AK95" s="1">
        <v>0</v>
      </c>
      <c r="AL95" s="14">
        <v>12</v>
      </c>
      <c r="AM95" s="14">
        <v>1</v>
      </c>
      <c r="AN95" s="14">
        <v>11</v>
      </c>
      <c r="AO95" s="14">
        <v>0</v>
      </c>
      <c r="AP95" s="14">
        <v>8</v>
      </c>
      <c r="AQ95" s="14">
        <v>2</v>
      </c>
      <c r="AR95" s="14">
        <v>2</v>
      </c>
      <c r="AS95" s="14">
        <v>7</v>
      </c>
      <c r="AT95" s="14">
        <v>17</v>
      </c>
      <c r="AU95" s="14">
        <v>15</v>
      </c>
      <c r="AV95" s="14">
        <v>12</v>
      </c>
      <c r="AW95" s="14">
        <v>3</v>
      </c>
      <c r="AX95" s="1">
        <v>32</v>
      </c>
      <c r="AY95" s="1">
        <v>28</v>
      </c>
      <c r="AZ95" s="1">
        <v>45</v>
      </c>
      <c r="BA95" s="1">
        <v>60</v>
      </c>
      <c r="BB95" s="1">
        <v>32</v>
      </c>
      <c r="BC95" s="1">
        <v>28</v>
      </c>
      <c r="BD95" s="1"/>
      <c r="BE95" s="1"/>
      <c r="BF95" s="1">
        <v>5</v>
      </c>
      <c r="BG95" s="1"/>
      <c r="BH95" s="1"/>
      <c r="BI95" s="1"/>
      <c r="BJ95" s="1"/>
      <c r="BK95" s="1"/>
      <c r="BL95" s="17"/>
      <c r="BM95" s="17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</row>
    <row r="96" spans="1:90" x14ac:dyDescent="0.15">
      <c r="A96" s="1"/>
      <c r="B96" s="3" t="s">
        <v>224</v>
      </c>
      <c r="C96" s="1"/>
      <c r="D96" s="1"/>
      <c r="E96" s="1">
        <f>E95-E94</f>
        <v>-37</v>
      </c>
      <c r="F96" s="1">
        <f t="shared" ref="F96:BI96" si="0">F95-F94</f>
        <v>-80</v>
      </c>
      <c r="G96" s="1">
        <f t="shared" si="0"/>
        <v>-85</v>
      </c>
      <c r="H96" s="1">
        <f t="shared" si="0"/>
        <v>-78</v>
      </c>
      <c r="I96" s="1">
        <f t="shared" si="0"/>
        <v>-31</v>
      </c>
      <c r="J96" s="1">
        <f t="shared" si="0"/>
        <v>10</v>
      </c>
      <c r="K96" s="1">
        <f t="shared" si="0"/>
        <v>-35</v>
      </c>
      <c r="L96" s="1">
        <f t="shared" si="0"/>
        <v>-35</v>
      </c>
      <c r="M96" s="1">
        <f t="shared" si="0"/>
        <v>-15</v>
      </c>
      <c r="N96" s="1">
        <f t="shared" si="0"/>
        <v>-46</v>
      </c>
      <c r="O96" s="1">
        <f t="shared" si="0"/>
        <v>-39</v>
      </c>
      <c r="P96" s="1">
        <f t="shared" si="0"/>
        <v>-21</v>
      </c>
      <c r="Q96" s="1">
        <f t="shared" si="0"/>
        <v>-2</v>
      </c>
      <c r="R96" s="1">
        <f t="shared" si="0"/>
        <v>-13</v>
      </c>
      <c r="S96" s="1">
        <f t="shared" si="0"/>
        <v>-16</v>
      </c>
      <c r="T96" s="1">
        <f t="shared" si="0"/>
        <v>-8</v>
      </c>
      <c r="U96" s="1">
        <f t="shared" si="0"/>
        <v>-20</v>
      </c>
      <c r="V96" s="1">
        <f t="shared" si="0"/>
        <v>-5</v>
      </c>
      <c r="W96" s="1">
        <f t="shared" si="0"/>
        <v>12</v>
      </c>
      <c r="X96" s="1">
        <f t="shared" si="0"/>
        <v>-15</v>
      </c>
      <c r="Y96" s="1">
        <f t="shared" si="0"/>
        <v>25</v>
      </c>
      <c r="Z96" s="1">
        <f t="shared" si="0"/>
        <v>59</v>
      </c>
      <c r="AA96" s="1">
        <f t="shared" si="0"/>
        <v>28</v>
      </c>
      <c r="AB96" s="1">
        <f t="shared" si="0"/>
        <v>-277</v>
      </c>
      <c r="AC96" s="1">
        <f t="shared" si="0"/>
        <v>-10</v>
      </c>
      <c r="AD96" s="1">
        <f t="shared" si="0"/>
        <v>-15</v>
      </c>
      <c r="AE96" s="1">
        <f t="shared" si="0"/>
        <v>-25</v>
      </c>
      <c r="AF96" s="1">
        <f t="shared" si="0"/>
        <v>-25</v>
      </c>
      <c r="AG96" s="1">
        <f t="shared" si="0"/>
        <v>-5</v>
      </c>
      <c r="AH96" s="1">
        <f t="shared" si="0"/>
        <v>-20</v>
      </c>
      <c r="AI96" s="1">
        <f t="shared" si="0"/>
        <v>-10</v>
      </c>
      <c r="AJ96" s="1">
        <f t="shared" si="0"/>
        <v>-25</v>
      </c>
      <c r="AK96" s="1">
        <f t="shared" si="0"/>
        <v>-50</v>
      </c>
      <c r="AL96" s="1">
        <f t="shared" si="0"/>
        <v>-53</v>
      </c>
      <c r="AM96" s="1">
        <f t="shared" si="0"/>
        <v>-59</v>
      </c>
      <c r="AN96" s="1">
        <f t="shared" si="0"/>
        <v>-34</v>
      </c>
      <c r="AO96" s="1">
        <f t="shared" si="0"/>
        <v>-40</v>
      </c>
      <c r="AP96" s="1">
        <f t="shared" si="0"/>
        <v>0</v>
      </c>
      <c r="AQ96" s="1">
        <f t="shared" si="0"/>
        <v>-83</v>
      </c>
      <c r="AR96" s="1">
        <f t="shared" si="0"/>
        <v>-51</v>
      </c>
      <c r="AS96" s="1">
        <f t="shared" si="0"/>
        <v>-58</v>
      </c>
      <c r="AT96" s="1">
        <f t="shared" si="0"/>
        <v>7</v>
      </c>
      <c r="AU96" s="1">
        <f t="shared" si="0"/>
        <v>-50</v>
      </c>
      <c r="AV96" s="1">
        <f t="shared" si="0"/>
        <v>-108</v>
      </c>
      <c r="AW96" s="1">
        <f t="shared" si="0"/>
        <v>-182</v>
      </c>
      <c r="AX96" s="1">
        <f t="shared" si="0"/>
        <v>-28</v>
      </c>
      <c r="AY96" s="1">
        <f t="shared" si="0"/>
        <v>-32</v>
      </c>
      <c r="AZ96" s="1">
        <f t="shared" si="0"/>
        <v>-15</v>
      </c>
      <c r="BA96" s="1">
        <f t="shared" si="0"/>
        <v>0</v>
      </c>
      <c r="BB96" s="1">
        <f t="shared" si="0"/>
        <v>-53</v>
      </c>
      <c r="BC96" s="1">
        <f t="shared" si="0"/>
        <v>-27</v>
      </c>
      <c r="BD96" s="1">
        <f t="shared" si="0"/>
        <v>-100</v>
      </c>
      <c r="BE96" s="1">
        <f t="shared" si="0"/>
        <v>-100</v>
      </c>
      <c r="BF96" s="1">
        <f t="shared" si="0"/>
        <v>-45</v>
      </c>
      <c r="BG96" s="1">
        <f t="shared" si="0"/>
        <v>-50</v>
      </c>
      <c r="BH96" s="1">
        <f t="shared" si="0"/>
        <v>-150</v>
      </c>
      <c r="BI96" s="1">
        <f t="shared" si="0"/>
        <v>-150</v>
      </c>
      <c r="BJ96" s="1"/>
      <c r="BK96" s="1"/>
      <c r="BL96" s="17"/>
      <c r="BM96" s="17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</row>
  </sheetData>
  <autoFilter ref="A1:BJ94"/>
  <sortState ref="A2:CL95">
    <sortCondition ref="BL2:BL95"/>
    <sortCondition ref="BK2:BK95"/>
  </sortState>
  <phoneticPr fontId="1" type="noConversion"/>
  <conditionalFormatting sqref="E86:E87">
    <cfRule type="cellIs" dxfId="4" priority="3" operator="greaterThan">
      <formula>$E$95</formula>
    </cfRule>
  </conditionalFormatting>
  <conditionalFormatting sqref="E94">
    <cfRule type="cellIs" dxfId="3" priority="2" operator="greaterThan">
      <formula>$E$95</formula>
    </cfRule>
  </conditionalFormatting>
  <conditionalFormatting sqref="E96:BI96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99</xdr:row>
                    <xdr:rowOff>28575</xdr:rowOff>
                  </from>
                  <to>
                    <xdr:col>1</xdr:col>
                    <xdr:colOff>428625</xdr:colOff>
                    <xdr:row>100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20"/>
  <sheetViews>
    <sheetView workbookViewId="0">
      <selection activeCell="D42" sqref="D42"/>
    </sheetView>
  </sheetViews>
  <sheetFormatPr defaultRowHeight="13.5" x14ac:dyDescent="0.15"/>
  <cols>
    <col min="1" max="1" width="5.25" bestFit="1" customWidth="1"/>
    <col min="2" max="2" width="13" bestFit="1" customWidth="1"/>
  </cols>
  <sheetData>
    <row r="1" spans="1:3" x14ac:dyDescent="0.15">
      <c r="A1" s="5" t="s">
        <v>134</v>
      </c>
      <c r="B1" s="5" t="s">
        <v>130</v>
      </c>
      <c r="C1" s="5" t="s">
        <v>135</v>
      </c>
    </row>
    <row r="2" spans="1:3" x14ac:dyDescent="0.15">
      <c r="A2" s="1">
        <v>10</v>
      </c>
      <c r="B2" s="2" t="s">
        <v>14</v>
      </c>
      <c r="C2" s="1">
        <v>190</v>
      </c>
    </row>
    <row r="3" spans="1:3" x14ac:dyDescent="0.15">
      <c r="A3" s="1">
        <v>12</v>
      </c>
      <c r="B3" s="2" t="s">
        <v>69</v>
      </c>
      <c r="C3" s="1">
        <v>120</v>
      </c>
    </row>
    <row r="4" spans="1:3" x14ac:dyDescent="0.15">
      <c r="A4" s="1">
        <v>4</v>
      </c>
      <c r="B4" s="4" t="s">
        <v>70</v>
      </c>
      <c r="C4" s="1">
        <v>85</v>
      </c>
    </row>
    <row r="5" spans="1:3" x14ac:dyDescent="0.15">
      <c r="A5" s="1">
        <v>3</v>
      </c>
      <c r="B5" s="4" t="s">
        <v>53</v>
      </c>
      <c r="C5" s="1">
        <v>65</v>
      </c>
    </row>
    <row r="6" spans="1:3" x14ac:dyDescent="0.15">
      <c r="A6" s="1">
        <v>8</v>
      </c>
      <c r="B6" s="2" t="s">
        <v>7</v>
      </c>
      <c r="C6" s="1">
        <v>65</v>
      </c>
    </row>
    <row r="7" spans="1:3" x14ac:dyDescent="0.15">
      <c r="A7" s="1">
        <v>9</v>
      </c>
      <c r="B7" s="2" t="s">
        <v>9</v>
      </c>
      <c r="C7" s="1">
        <v>65</v>
      </c>
    </row>
    <row r="8" spans="1:3" x14ac:dyDescent="0.15">
      <c r="A8" s="1">
        <v>1</v>
      </c>
      <c r="B8" s="4" t="s">
        <v>5</v>
      </c>
      <c r="C8" s="1">
        <v>60</v>
      </c>
    </row>
    <row r="9" spans="1:3" x14ac:dyDescent="0.15">
      <c r="A9" s="1">
        <v>7</v>
      </c>
      <c r="B9" s="2" t="s">
        <v>6</v>
      </c>
      <c r="C9" s="1">
        <v>53</v>
      </c>
    </row>
    <row r="10" spans="1:3" x14ac:dyDescent="0.15">
      <c r="A10" s="1">
        <v>2</v>
      </c>
      <c r="B10" s="4" t="s">
        <v>35</v>
      </c>
      <c r="C10" s="1">
        <v>45</v>
      </c>
    </row>
    <row r="11" spans="1:3" x14ac:dyDescent="0.15">
      <c r="A11" s="1">
        <v>5</v>
      </c>
      <c r="B11" s="4" t="s">
        <v>89</v>
      </c>
      <c r="C11" s="1">
        <v>45</v>
      </c>
    </row>
    <row r="12" spans="1:3" x14ac:dyDescent="0.15">
      <c r="A12" s="1">
        <v>11</v>
      </c>
      <c r="B12" s="2" t="s">
        <v>55</v>
      </c>
      <c r="C12" s="1">
        <v>10</v>
      </c>
    </row>
    <row r="13" spans="1:3" x14ac:dyDescent="0.15">
      <c r="A13" s="1">
        <v>6</v>
      </c>
      <c r="B13" s="4" t="s">
        <v>99</v>
      </c>
      <c r="C13" s="1">
        <v>8</v>
      </c>
    </row>
    <row r="19" spans="7:18" x14ac:dyDescent="0.15">
      <c r="G19" s="10" t="s">
        <v>53</v>
      </c>
      <c r="H19" s="10" t="s">
        <v>5</v>
      </c>
      <c r="I19" s="10" t="s">
        <v>35</v>
      </c>
      <c r="J19" s="10" t="s">
        <v>89</v>
      </c>
      <c r="K19" s="10" t="s">
        <v>99</v>
      </c>
      <c r="L19" s="10" t="s">
        <v>70</v>
      </c>
      <c r="M19" s="11" t="s">
        <v>6</v>
      </c>
      <c r="N19" s="11" t="s">
        <v>7</v>
      </c>
      <c r="O19" s="11" t="s">
        <v>55</v>
      </c>
      <c r="P19" s="11" t="s">
        <v>9</v>
      </c>
      <c r="Q19" s="11" t="s">
        <v>69</v>
      </c>
      <c r="R19" s="11" t="s">
        <v>14</v>
      </c>
    </row>
    <row r="20" spans="7:18" x14ac:dyDescent="0.15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D22" sqref="D22"/>
    </sheetView>
  </sheetViews>
  <sheetFormatPr defaultRowHeight="13.5" x14ac:dyDescent="0.15"/>
  <cols>
    <col min="2" max="2" width="14.125" bestFit="1" customWidth="1"/>
  </cols>
  <sheetData>
    <row r="1" spans="1:3" x14ac:dyDescent="0.15">
      <c r="A1" s="8" t="s">
        <v>144</v>
      </c>
      <c r="B1" s="8" t="s">
        <v>145</v>
      </c>
      <c r="C1" s="8" t="s">
        <v>146</v>
      </c>
    </row>
    <row r="2" spans="1:3" x14ac:dyDescent="0.15">
      <c r="A2" s="1">
        <v>5</v>
      </c>
      <c r="B2" s="10" t="s">
        <v>99</v>
      </c>
      <c r="C2" s="1">
        <v>0</v>
      </c>
    </row>
    <row r="3" spans="1:3" x14ac:dyDescent="0.15">
      <c r="A3" s="1">
        <v>9</v>
      </c>
      <c r="B3" s="11" t="s">
        <v>55</v>
      </c>
      <c r="C3" s="1">
        <v>0</v>
      </c>
    </row>
    <row r="4" spans="1:3" x14ac:dyDescent="0.15">
      <c r="A4" s="1">
        <v>10</v>
      </c>
      <c r="B4" s="11" t="s">
        <v>9</v>
      </c>
      <c r="C4" s="1">
        <v>0</v>
      </c>
    </row>
    <row r="5" spans="1:3" x14ac:dyDescent="0.15">
      <c r="A5" s="1">
        <v>4</v>
      </c>
      <c r="B5" s="10" t="s">
        <v>89</v>
      </c>
      <c r="C5" s="1">
        <v>2</v>
      </c>
    </row>
    <row r="6" spans="1:3" x14ac:dyDescent="0.15">
      <c r="A6" s="1">
        <v>8</v>
      </c>
      <c r="B6" s="11" t="s">
        <v>7</v>
      </c>
      <c r="C6" s="1">
        <v>3</v>
      </c>
    </row>
    <row r="7" spans="1:3" x14ac:dyDescent="0.15">
      <c r="A7" s="1">
        <v>12</v>
      </c>
      <c r="B7" s="11" t="s">
        <v>14</v>
      </c>
      <c r="C7" s="1">
        <v>3</v>
      </c>
    </row>
    <row r="8" spans="1:3" x14ac:dyDescent="0.15">
      <c r="A8" s="1">
        <v>1</v>
      </c>
      <c r="B8" s="10" t="s">
        <v>53</v>
      </c>
      <c r="C8" s="1">
        <v>4</v>
      </c>
    </row>
    <row r="9" spans="1:3" x14ac:dyDescent="0.15">
      <c r="A9" s="1">
        <v>2</v>
      </c>
      <c r="B9" s="10" t="s">
        <v>5</v>
      </c>
      <c r="C9" s="1">
        <v>4</v>
      </c>
    </row>
    <row r="10" spans="1:3" x14ac:dyDescent="0.15">
      <c r="A10" s="1">
        <v>7</v>
      </c>
      <c r="B10" s="11" t="s">
        <v>6</v>
      </c>
      <c r="C10" s="1">
        <v>4</v>
      </c>
    </row>
    <row r="11" spans="1:3" x14ac:dyDescent="0.15">
      <c r="A11" s="1">
        <v>3</v>
      </c>
      <c r="B11" s="10" t="s">
        <v>35</v>
      </c>
      <c r="C11" s="1">
        <v>5</v>
      </c>
    </row>
    <row r="12" spans="1:3" x14ac:dyDescent="0.15">
      <c r="A12" s="1">
        <v>11</v>
      </c>
      <c r="B12" s="11" t="s">
        <v>69</v>
      </c>
      <c r="C12" s="1">
        <v>5</v>
      </c>
    </row>
    <row r="13" spans="1:3" x14ac:dyDescent="0.15">
      <c r="A13" s="1">
        <v>6</v>
      </c>
      <c r="B13" s="10" t="s">
        <v>70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13"/>
  <sheetViews>
    <sheetView workbookViewId="0">
      <selection activeCell="B9" sqref="B9:C13"/>
    </sheetView>
  </sheetViews>
  <sheetFormatPr defaultRowHeight="13.5" x14ac:dyDescent="0.15"/>
  <cols>
    <col min="2" max="2" width="14.125" bestFit="1" customWidth="1"/>
  </cols>
  <sheetData>
    <row r="2" spans="2:3" x14ac:dyDescent="0.15">
      <c r="B2" s="10" t="s">
        <v>53</v>
      </c>
      <c r="C2">
        <v>0</v>
      </c>
    </row>
    <row r="3" spans="2:3" x14ac:dyDescent="0.15">
      <c r="B3" s="10" t="s">
        <v>5</v>
      </c>
      <c r="C3">
        <v>0</v>
      </c>
    </row>
    <row r="4" spans="2:3" x14ac:dyDescent="0.15">
      <c r="B4" s="10" t="s">
        <v>35</v>
      </c>
      <c r="C4">
        <v>0</v>
      </c>
    </row>
    <row r="5" spans="2:3" x14ac:dyDescent="0.15">
      <c r="B5" s="10" t="s">
        <v>99</v>
      </c>
      <c r="C5">
        <v>0</v>
      </c>
    </row>
    <row r="6" spans="2:3" x14ac:dyDescent="0.15">
      <c r="B6" s="11" t="s">
        <v>55</v>
      </c>
      <c r="C6">
        <v>0</v>
      </c>
    </row>
    <row r="7" spans="2:3" x14ac:dyDescent="0.15">
      <c r="B7" s="11" t="s">
        <v>9</v>
      </c>
      <c r="C7">
        <v>0</v>
      </c>
    </row>
    <row r="8" spans="2:3" x14ac:dyDescent="0.15">
      <c r="B8" s="11" t="s">
        <v>69</v>
      </c>
      <c r="C8">
        <v>0</v>
      </c>
    </row>
    <row r="9" spans="2:3" x14ac:dyDescent="0.15">
      <c r="B9" s="10" t="s">
        <v>89</v>
      </c>
      <c r="C9">
        <v>2</v>
      </c>
    </row>
    <row r="10" spans="2:3" x14ac:dyDescent="0.15">
      <c r="B10" s="11" t="s">
        <v>7</v>
      </c>
      <c r="C10">
        <v>3</v>
      </c>
    </row>
    <row r="11" spans="2:3" x14ac:dyDescent="0.15">
      <c r="B11" s="11" t="s">
        <v>14</v>
      </c>
      <c r="C11">
        <v>3</v>
      </c>
    </row>
    <row r="12" spans="2:3" x14ac:dyDescent="0.15">
      <c r="B12" s="11" t="s">
        <v>6</v>
      </c>
      <c r="C12">
        <v>4</v>
      </c>
    </row>
    <row r="13" spans="2:3" x14ac:dyDescent="0.15">
      <c r="B13" s="10" t="s">
        <v>70</v>
      </c>
      <c r="C13">
        <v>9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2019-12-25T01:00:51Z</dcterms:modified>
</cp:coreProperties>
</file>