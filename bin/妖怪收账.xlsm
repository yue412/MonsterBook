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activeTab="1"/>
  </bookViews>
  <sheets>
    <sheet name="Sheet1" sheetId="1" r:id="rId1"/>
    <sheet name="Sheet1 (2)" sheetId="6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Sheet1!$A$1:$BP$119</definedName>
    <definedName name="_xlnm._FilterDatabase" localSheetId="1" hidden="1">'Sheet1 (2)'!$A$1:$BP$8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3" i="6" l="1"/>
  <c r="BO15" i="6" s="1"/>
  <c r="BN13" i="6"/>
  <c r="BN15" i="6" s="1"/>
  <c r="BM13" i="6"/>
  <c r="BM15" i="6" s="1"/>
  <c r="BL13" i="6"/>
  <c r="BL15" i="6" s="1"/>
  <c r="BK13" i="6"/>
  <c r="BK15" i="6" s="1"/>
  <c r="BJ13" i="6"/>
  <c r="BJ15" i="6" s="1"/>
  <c r="BI13" i="6"/>
  <c r="BI15" i="6" s="1"/>
  <c r="BH13" i="6"/>
  <c r="BH15" i="6" s="1"/>
  <c r="BG13" i="6"/>
  <c r="BG15" i="6" s="1"/>
  <c r="BF13" i="6"/>
  <c r="BF15" i="6" s="1"/>
  <c r="BE13" i="6"/>
  <c r="BE15" i="6" s="1"/>
  <c r="BD13" i="6"/>
  <c r="BD15" i="6" s="1"/>
  <c r="BC13" i="6"/>
  <c r="BC15" i="6" s="1"/>
  <c r="BB13" i="6"/>
  <c r="BB15" i="6" s="1"/>
  <c r="BA13" i="6"/>
  <c r="BA15" i="6" s="1"/>
  <c r="AZ13" i="6"/>
  <c r="AZ15" i="6" s="1"/>
  <c r="AY13" i="6"/>
  <c r="AY15" i="6" s="1"/>
  <c r="AX13" i="6"/>
  <c r="AX15" i="6" s="1"/>
  <c r="AW13" i="6"/>
  <c r="AW15" i="6" s="1"/>
  <c r="AV13" i="6"/>
  <c r="AV15" i="6" s="1"/>
  <c r="AU13" i="6"/>
  <c r="AU15" i="6" s="1"/>
  <c r="AT13" i="6"/>
  <c r="AT15" i="6" s="1"/>
  <c r="AS13" i="6"/>
  <c r="AS15" i="6" s="1"/>
  <c r="AR13" i="6"/>
  <c r="AR15" i="6" s="1"/>
  <c r="AQ13" i="6"/>
  <c r="AQ15" i="6" s="1"/>
  <c r="AP13" i="6"/>
  <c r="AP15" i="6" s="1"/>
  <c r="AO13" i="6"/>
  <c r="AO15" i="6" s="1"/>
  <c r="AN13" i="6"/>
  <c r="AN15" i="6" s="1"/>
  <c r="AM13" i="6"/>
  <c r="AM15" i="6" s="1"/>
  <c r="AL13" i="6"/>
  <c r="AL15" i="6" s="1"/>
  <c r="AK13" i="6"/>
  <c r="AK15" i="6" s="1"/>
  <c r="AJ13" i="6"/>
  <c r="AJ15" i="6" s="1"/>
  <c r="AI13" i="6"/>
  <c r="AI15" i="6" s="1"/>
  <c r="AH13" i="6"/>
  <c r="AH15" i="6" s="1"/>
  <c r="AG13" i="6"/>
  <c r="AG15" i="6" s="1"/>
  <c r="AF13" i="6"/>
  <c r="AF15" i="6" s="1"/>
  <c r="AE13" i="6"/>
  <c r="AE15" i="6" s="1"/>
  <c r="AD13" i="6"/>
  <c r="AD15" i="6" s="1"/>
  <c r="AC13" i="6"/>
  <c r="AC15" i="6" s="1"/>
  <c r="AB13" i="6"/>
  <c r="AB15" i="6" s="1"/>
  <c r="AA13" i="6"/>
  <c r="AA15" i="6" s="1"/>
  <c r="Z13" i="6"/>
  <c r="Z15" i="6" s="1"/>
  <c r="Y13" i="6"/>
  <c r="Y15" i="6" s="1"/>
  <c r="X13" i="6"/>
  <c r="X15" i="6" s="1"/>
  <c r="W13" i="6"/>
  <c r="W15" i="6" s="1"/>
  <c r="V13" i="6"/>
  <c r="V15" i="6" s="1"/>
  <c r="U13" i="6"/>
  <c r="U15" i="6" s="1"/>
  <c r="T13" i="6"/>
  <c r="T15" i="6" s="1"/>
  <c r="S13" i="6"/>
  <c r="S15" i="6" s="1"/>
  <c r="R13" i="6"/>
  <c r="R15" i="6" s="1"/>
  <c r="Q13" i="6"/>
  <c r="Q15" i="6" s="1"/>
  <c r="P13" i="6"/>
  <c r="P15" i="6" s="1"/>
  <c r="O13" i="6"/>
  <c r="O15" i="6" s="1"/>
  <c r="N13" i="6"/>
  <c r="N15" i="6" s="1"/>
  <c r="M13" i="6"/>
  <c r="M15" i="6" s="1"/>
  <c r="L13" i="6"/>
  <c r="L15" i="6" s="1"/>
  <c r="K13" i="6"/>
  <c r="K15" i="6" s="1"/>
  <c r="J13" i="6"/>
  <c r="J15" i="6" s="1"/>
  <c r="I13" i="6"/>
  <c r="I15" i="6" s="1"/>
  <c r="H13" i="6"/>
  <c r="H15" i="6" s="1"/>
  <c r="G13" i="6"/>
  <c r="G15" i="6" s="1"/>
  <c r="F13" i="6"/>
  <c r="F15" i="6" s="1"/>
  <c r="E13" i="6"/>
  <c r="E15" i="6" s="1"/>
  <c r="BO12" i="6"/>
  <c r="BO14" i="6" s="1"/>
  <c r="BN12" i="6"/>
  <c r="BN14" i="6" s="1"/>
  <c r="BM12" i="6"/>
  <c r="BM14" i="6" s="1"/>
  <c r="BL12" i="6"/>
  <c r="BL14" i="6" s="1"/>
  <c r="BK12" i="6"/>
  <c r="BK14" i="6" s="1"/>
  <c r="BJ12" i="6"/>
  <c r="BJ14" i="6" s="1"/>
  <c r="BI12" i="6"/>
  <c r="BI14" i="6" s="1"/>
  <c r="BH12" i="6"/>
  <c r="BH14" i="6" s="1"/>
  <c r="BG12" i="6"/>
  <c r="BG14" i="6" s="1"/>
  <c r="BF12" i="6"/>
  <c r="BF14" i="6" s="1"/>
  <c r="BE12" i="6"/>
  <c r="BE14" i="6" s="1"/>
  <c r="BD12" i="6"/>
  <c r="BD14" i="6" s="1"/>
  <c r="BC12" i="6"/>
  <c r="BC14" i="6" s="1"/>
  <c r="BB12" i="6"/>
  <c r="BB14" i="6" s="1"/>
  <c r="BA12" i="6"/>
  <c r="BA14" i="6" s="1"/>
  <c r="AZ12" i="6"/>
  <c r="AZ14" i="6" s="1"/>
  <c r="AY12" i="6"/>
  <c r="AY14" i="6" s="1"/>
  <c r="AX12" i="6"/>
  <c r="AX14" i="6" s="1"/>
  <c r="AW12" i="6"/>
  <c r="AW14" i="6" s="1"/>
  <c r="AV12" i="6"/>
  <c r="AV14" i="6" s="1"/>
  <c r="AU12" i="6"/>
  <c r="AU14" i="6" s="1"/>
  <c r="AT12" i="6"/>
  <c r="AT14" i="6" s="1"/>
  <c r="AS12" i="6"/>
  <c r="AS14" i="6" s="1"/>
  <c r="AR12" i="6"/>
  <c r="AR14" i="6" s="1"/>
  <c r="AQ12" i="6"/>
  <c r="AQ14" i="6" s="1"/>
  <c r="AP12" i="6"/>
  <c r="AP14" i="6" s="1"/>
  <c r="AO12" i="6"/>
  <c r="AO14" i="6" s="1"/>
  <c r="AN12" i="6"/>
  <c r="AN14" i="6" s="1"/>
  <c r="AM12" i="6"/>
  <c r="AM14" i="6" s="1"/>
  <c r="AL12" i="6"/>
  <c r="AL14" i="6" s="1"/>
  <c r="AK12" i="6"/>
  <c r="AK14" i="6" s="1"/>
  <c r="AJ12" i="6"/>
  <c r="AJ14" i="6" s="1"/>
  <c r="AI12" i="6"/>
  <c r="AI14" i="6" s="1"/>
  <c r="AH12" i="6"/>
  <c r="AH14" i="6" s="1"/>
  <c r="AG12" i="6"/>
  <c r="AG14" i="6" s="1"/>
  <c r="AF12" i="6"/>
  <c r="AF14" i="6" s="1"/>
  <c r="AE12" i="6"/>
  <c r="AE14" i="6" s="1"/>
  <c r="AD12" i="6"/>
  <c r="AD14" i="6" s="1"/>
  <c r="AC12" i="6"/>
  <c r="AC14" i="6" s="1"/>
  <c r="AB12" i="6"/>
  <c r="AB14" i="6" s="1"/>
  <c r="AA12" i="6"/>
  <c r="AA14" i="6" s="1"/>
  <c r="Z12" i="6"/>
  <c r="Z14" i="6" s="1"/>
  <c r="Y12" i="6"/>
  <c r="Y14" i="6" s="1"/>
  <c r="X12" i="6"/>
  <c r="X14" i="6" s="1"/>
  <c r="W12" i="6"/>
  <c r="W14" i="6" s="1"/>
  <c r="V12" i="6"/>
  <c r="V14" i="6" s="1"/>
  <c r="U12" i="6"/>
  <c r="U14" i="6" s="1"/>
  <c r="T12" i="6"/>
  <c r="T14" i="6" s="1"/>
  <c r="S12" i="6"/>
  <c r="S14" i="6" s="1"/>
  <c r="R12" i="6"/>
  <c r="R14" i="6" s="1"/>
  <c r="Q12" i="6"/>
  <c r="Q14" i="6" s="1"/>
  <c r="P12" i="6"/>
  <c r="P14" i="6" s="1"/>
  <c r="O12" i="6"/>
  <c r="O14" i="6" s="1"/>
  <c r="N12" i="6"/>
  <c r="N14" i="6" s="1"/>
  <c r="M12" i="6"/>
  <c r="M14" i="6" s="1"/>
  <c r="L12" i="6"/>
  <c r="L14" i="6" s="1"/>
  <c r="K12" i="6"/>
  <c r="K14" i="6" s="1"/>
  <c r="J12" i="6"/>
  <c r="J14" i="6" s="1"/>
  <c r="I12" i="6"/>
  <c r="I14" i="6" s="1"/>
  <c r="H12" i="6"/>
  <c r="H14" i="6" s="1"/>
  <c r="G12" i="6"/>
  <c r="G14" i="6" s="1"/>
  <c r="F12" i="6"/>
  <c r="F14" i="6" s="1"/>
  <c r="E12" i="6"/>
  <c r="E14" i="6" s="1"/>
  <c r="BO9" i="6"/>
  <c r="BO11" i="6" s="1"/>
  <c r="BN9" i="6"/>
  <c r="BN11" i="6" s="1"/>
  <c r="BM9" i="6"/>
  <c r="BM11" i="6" s="1"/>
  <c r="BL9" i="6"/>
  <c r="BL11" i="6" s="1"/>
  <c r="BK9" i="6"/>
  <c r="BK11" i="6" s="1"/>
  <c r="BJ9" i="6"/>
  <c r="BJ11" i="6" s="1"/>
  <c r="BI9" i="6"/>
  <c r="BI11" i="6" s="1"/>
  <c r="BH9" i="6"/>
  <c r="BH11" i="6" s="1"/>
  <c r="BG9" i="6"/>
  <c r="BG11" i="6" s="1"/>
  <c r="BF9" i="6"/>
  <c r="BF11" i="6" s="1"/>
  <c r="BE9" i="6"/>
  <c r="BE11" i="6" s="1"/>
  <c r="BD9" i="6"/>
  <c r="BD11" i="6" s="1"/>
  <c r="BC9" i="6"/>
  <c r="BC11" i="6" s="1"/>
  <c r="BB9" i="6"/>
  <c r="BA9" i="6"/>
  <c r="BA11" i="6" s="1"/>
  <c r="AZ9" i="6"/>
  <c r="AZ11" i="6" s="1"/>
  <c r="AY9" i="6"/>
  <c r="CB8" i="6" s="1"/>
  <c r="AX9" i="6"/>
  <c r="AW9" i="6"/>
  <c r="AV9" i="6"/>
  <c r="BY8" i="6" s="1"/>
  <c r="AU9" i="6"/>
  <c r="AT9" i="6"/>
  <c r="BW7" i="6" s="1"/>
  <c r="AS9" i="6"/>
  <c r="BV8" i="6" s="1"/>
  <c r="AR9" i="6"/>
  <c r="AQ9" i="6"/>
  <c r="BT7" i="6" s="1"/>
  <c r="AP9" i="6"/>
  <c r="AP11" i="6" s="1"/>
  <c r="AO9" i="6"/>
  <c r="AO11" i="6" s="1"/>
  <c r="AN9" i="6"/>
  <c r="AN11" i="6" s="1"/>
  <c r="AM9" i="6"/>
  <c r="AM11" i="6" s="1"/>
  <c r="AL9" i="6"/>
  <c r="AL11" i="6" s="1"/>
  <c r="AK9" i="6"/>
  <c r="AK11" i="6" s="1"/>
  <c r="AJ9" i="6"/>
  <c r="AJ11" i="6" s="1"/>
  <c r="AI9" i="6"/>
  <c r="AI11" i="6" s="1"/>
  <c r="AH9" i="6"/>
  <c r="AH11" i="6" s="1"/>
  <c r="AG9" i="6"/>
  <c r="AG11" i="6" s="1"/>
  <c r="AF9" i="6"/>
  <c r="AF11" i="6" s="1"/>
  <c r="AE9" i="6"/>
  <c r="AE11" i="6" s="1"/>
  <c r="AD9" i="6"/>
  <c r="AD11" i="6" s="1"/>
  <c r="AC9" i="6"/>
  <c r="AC11" i="6" s="1"/>
  <c r="AB9" i="6"/>
  <c r="AB11" i="6" s="1"/>
  <c r="AA9" i="6"/>
  <c r="AA11" i="6" s="1"/>
  <c r="Z9" i="6"/>
  <c r="Z11" i="6" s="1"/>
  <c r="Y9" i="6"/>
  <c r="Y11" i="6" s="1"/>
  <c r="X9" i="6"/>
  <c r="X11" i="6" s="1"/>
  <c r="W9" i="6"/>
  <c r="W11" i="6" s="1"/>
  <c r="V9" i="6"/>
  <c r="V11" i="6" s="1"/>
  <c r="U9" i="6"/>
  <c r="U11" i="6" s="1"/>
  <c r="T9" i="6"/>
  <c r="T11" i="6" s="1"/>
  <c r="S9" i="6"/>
  <c r="S11" i="6" s="1"/>
  <c r="R9" i="6"/>
  <c r="R11" i="6" s="1"/>
  <c r="Q9" i="6"/>
  <c r="Q11" i="6" s="1"/>
  <c r="P9" i="6"/>
  <c r="P11" i="6" s="1"/>
  <c r="O9" i="6"/>
  <c r="O11" i="6" s="1"/>
  <c r="N9" i="6"/>
  <c r="N11" i="6" s="1"/>
  <c r="M9" i="6"/>
  <c r="M11" i="6" s="1"/>
  <c r="L9" i="6"/>
  <c r="L11" i="6" s="1"/>
  <c r="K9" i="6"/>
  <c r="K11" i="6" s="1"/>
  <c r="J9" i="6"/>
  <c r="J11" i="6" s="1"/>
  <c r="I9" i="6"/>
  <c r="I11" i="6" s="1"/>
  <c r="H9" i="6"/>
  <c r="H11" i="6" s="1"/>
  <c r="G9" i="6"/>
  <c r="G11" i="6" s="1"/>
  <c r="F9" i="6"/>
  <c r="F11" i="6" s="1"/>
  <c r="E9" i="6"/>
  <c r="E11" i="6" s="1"/>
  <c r="BT8" i="6"/>
  <c r="BP8" i="6"/>
  <c r="CS7" i="6"/>
  <c r="BP7" i="6"/>
  <c r="BW6" i="6"/>
  <c r="BP6" i="6"/>
  <c r="CS5" i="6"/>
  <c r="BP5" i="6"/>
  <c r="CS4" i="6"/>
  <c r="CB4" i="6"/>
  <c r="BP4" i="6"/>
  <c r="CS3" i="6"/>
  <c r="BV3" i="6"/>
  <c r="BT3" i="6"/>
  <c r="BP3" i="6"/>
  <c r="CS2" i="6"/>
  <c r="BW2" i="6"/>
  <c r="BT2" i="6"/>
  <c r="BP2" i="6"/>
  <c r="BT5" i="6" l="1"/>
  <c r="BW5" i="6"/>
  <c r="BW3" i="6"/>
  <c r="BT6" i="6"/>
  <c r="CC6" i="6"/>
  <c r="BT4" i="6"/>
  <c r="BW4" i="6"/>
  <c r="BZ4" i="6"/>
  <c r="BZ8" i="6"/>
  <c r="CC2" i="6"/>
  <c r="CC4" i="6"/>
  <c r="BU3" i="6"/>
  <c r="CA4" i="6"/>
  <c r="CD3" i="6"/>
  <c r="CA7" i="6"/>
  <c r="CD4" i="6"/>
  <c r="BY3" i="6"/>
  <c r="CD8" i="6"/>
  <c r="BY2" i="6"/>
  <c r="BY7" i="6"/>
  <c r="BZ2" i="6"/>
  <c r="BY5" i="6"/>
  <c r="CD2" i="6"/>
  <c r="CD5" i="6"/>
  <c r="BY6" i="6"/>
  <c r="CB7" i="6"/>
  <c r="BY4" i="6"/>
  <c r="CD6" i="6"/>
  <c r="CE6" i="6"/>
  <c r="BU5" i="6"/>
  <c r="BU8" i="6"/>
  <c r="BU7" i="6"/>
  <c r="CA3" i="6"/>
  <c r="CE4" i="6"/>
  <c r="BW8" i="6"/>
  <c r="CA2" i="6"/>
  <c r="BU6" i="6"/>
  <c r="CE5" i="6"/>
  <c r="CE2" i="6"/>
  <c r="CA6" i="6"/>
  <c r="CE7" i="6"/>
  <c r="CE8" i="6"/>
  <c r="AW11" i="6"/>
  <c r="CC7" i="6"/>
  <c r="CC8" i="6"/>
  <c r="BZ3" i="6"/>
  <c r="CB2" i="6"/>
  <c r="BV6" i="6"/>
  <c r="CB3" i="6"/>
  <c r="BX6" i="6"/>
  <c r="BZ6" i="6"/>
  <c r="BZ5" i="6"/>
  <c r="BZ7" i="6"/>
  <c r="CC5" i="6"/>
  <c r="CB6" i="6"/>
  <c r="AQ11" i="6"/>
  <c r="CC3" i="6"/>
  <c r="CD7" i="6"/>
  <c r="AR11" i="6"/>
  <c r="BU2" i="6"/>
  <c r="CE3" i="6"/>
  <c r="BU4" i="6"/>
  <c r="CA5" i="6"/>
  <c r="CA8" i="6"/>
  <c r="BB11" i="6"/>
  <c r="BV2" i="6"/>
  <c r="BV4" i="6"/>
  <c r="CB5" i="6"/>
  <c r="BV7" i="6"/>
  <c r="BV5" i="6"/>
  <c r="BX8" i="6"/>
  <c r="BX7" i="6"/>
  <c r="BX5" i="6"/>
  <c r="AU11" i="6"/>
  <c r="BX4" i="6"/>
  <c r="BX3" i="6"/>
  <c r="BX2" i="6"/>
  <c r="CS9" i="6"/>
  <c r="AS11" i="6"/>
  <c r="AT11" i="6"/>
  <c r="AV11" i="6"/>
  <c r="AX11" i="6"/>
  <c r="AY11" i="6"/>
  <c r="BP36" i="1"/>
  <c r="BY9" i="6" l="1"/>
  <c r="BW9" i="6"/>
  <c r="BT9" i="6"/>
  <c r="BU9" i="6"/>
  <c r="BV9" i="6"/>
  <c r="CA9" i="6"/>
  <c r="CB9" i="6"/>
  <c r="CF5" i="6"/>
  <c r="CQ5" i="6" s="1"/>
  <c r="CF2" i="6"/>
  <c r="CN2" i="6" s="1"/>
  <c r="CF7" i="6"/>
  <c r="CG7" i="6" s="1"/>
  <c r="CC9" i="6"/>
  <c r="BZ9" i="6"/>
  <c r="CF4" i="6"/>
  <c r="CL4" i="6" s="1"/>
  <c r="CD9" i="6"/>
  <c r="CF3" i="6"/>
  <c r="CR3" i="6" s="1"/>
  <c r="CE9" i="6"/>
  <c r="BX9" i="6"/>
  <c r="BP49" i="1"/>
  <c r="BP61" i="1"/>
  <c r="BP15" i="1"/>
  <c r="CO3" i="6" l="1"/>
  <c r="CQ4" i="6"/>
  <c r="CR5" i="6"/>
  <c r="CG5" i="6"/>
  <c r="CI5" i="6"/>
  <c r="CM4" i="6"/>
  <c r="CO4" i="6"/>
  <c r="CH4" i="6"/>
  <c r="CK4" i="6"/>
  <c r="CI4" i="6"/>
  <c r="CN4" i="6"/>
  <c r="CP4" i="6"/>
  <c r="CQ7" i="6"/>
  <c r="CH7" i="6"/>
  <c r="CI7" i="6"/>
  <c r="CP7" i="6"/>
  <c r="CJ7" i="6"/>
  <c r="CK7" i="6"/>
  <c r="CL7" i="6"/>
  <c r="CQ2" i="6"/>
  <c r="CN7" i="6"/>
  <c r="CM7" i="6"/>
  <c r="CO7" i="6"/>
  <c r="CR7" i="6"/>
  <c r="CJ4" i="6"/>
  <c r="CQ3" i="6"/>
  <c r="CR2" i="6"/>
  <c r="CG3" i="6"/>
  <c r="CJ5" i="6"/>
  <c r="CM2" i="6"/>
  <c r="CH3" i="6"/>
  <c r="CK5" i="6"/>
  <c r="CP2" i="6"/>
  <c r="CI3" i="6"/>
  <c r="CL5" i="6"/>
  <c r="CG2" i="6"/>
  <c r="CM5" i="6"/>
  <c r="CJ2" i="6"/>
  <c r="CO5" i="6"/>
  <c r="CL2" i="6"/>
  <c r="CK2" i="6"/>
  <c r="CM3" i="6"/>
  <c r="CH2" i="6"/>
  <c r="CH5" i="6"/>
  <c r="CI2" i="6"/>
  <c r="CN5" i="6"/>
  <c r="CP5" i="6"/>
  <c r="CO2" i="6"/>
  <c r="CK3" i="6"/>
  <c r="CR4" i="6"/>
  <c r="CG4" i="6"/>
  <c r="CL3" i="6"/>
  <c r="CL9" i="6" s="1"/>
  <c r="CN3" i="6"/>
  <c r="CJ3" i="6"/>
  <c r="CP3" i="6"/>
  <c r="BC123" i="1"/>
  <c r="BC125" i="1" s="1"/>
  <c r="BD123" i="1"/>
  <c r="BD125" i="1" s="1"/>
  <c r="BE123" i="1"/>
  <c r="BE125" i="1" s="1"/>
  <c r="BF123" i="1"/>
  <c r="BF125" i="1" s="1"/>
  <c r="BG123" i="1"/>
  <c r="BG125" i="1" s="1"/>
  <c r="BH123" i="1"/>
  <c r="BH125" i="1" s="1"/>
  <c r="BI123" i="1"/>
  <c r="BI125" i="1" s="1"/>
  <c r="BJ123" i="1"/>
  <c r="BJ125" i="1" s="1"/>
  <c r="BK123" i="1"/>
  <c r="BK125" i="1" s="1"/>
  <c r="BL123" i="1"/>
  <c r="BL125" i="1" s="1"/>
  <c r="BM123" i="1"/>
  <c r="BM125" i="1" s="1"/>
  <c r="BN123" i="1"/>
  <c r="BN125" i="1" s="1"/>
  <c r="BO123" i="1"/>
  <c r="BO125" i="1" s="1"/>
  <c r="BC124" i="1"/>
  <c r="BC126" i="1" s="1"/>
  <c r="BD124" i="1"/>
  <c r="BD126" i="1" s="1"/>
  <c r="BE124" i="1"/>
  <c r="BE126" i="1" s="1"/>
  <c r="BF124" i="1"/>
  <c r="BF126" i="1" s="1"/>
  <c r="BG124" i="1"/>
  <c r="BG126" i="1" s="1"/>
  <c r="BH124" i="1"/>
  <c r="BH126" i="1" s="1"/>
  <c r="BI124" i="1"/>
  <c r="BI126" i="1" s="1"/>
  <c r="BJ124" i="1"/>
  <c r="BJ126" i="1" s="1"/>
  <c r="BK124" i="1"/>
  <c r="BK126" i="1" s="1"/>
  <c r="BL124" i="1"/>
  <c r="BL126" i="1" s="1"/>
  <c r="BM124" i="1"/>
  <c r="BM126" i="1" s="1"/>
  <c r="BN124" i="1"/>
  <c r="BN126" i="1" s="1"/>
  <c r="BO124" i="1"/>
  <c r="BO126" i="1" s="1"/>
  <c r="BA123" i="1"/>
  <c r="BA125" i="1" s="1"/>
  <c r="BB123" i="1"/>
  <c r="BB125" i="1" s="1"/>
  <c r="BA124" i="1"/>
  <c r="BA126" i="1" s="1"/>
  <c r="BB124" i="1"/>
  <c r="BB126" i="1" s="1"/>
  <c r="AQ123" i="1"/>
  <c r="AQ125" i="1" s="1"/>
  <c r="AR123" i="1"/>
  <c r="AR125" i="1" s="1"/>
  <c r="AS123" i="1"/>
  <c r="AS125" i="1" s="1"/>
  <c r="AT123" i="1"/>
  <c r="AT125" i="1" s="1"/>
  <c r="AU123" i="1"/>
  <c r="AU125" i="1" s="1"/>
  <c r="AV123" i="1"/>
  <c r="AV125" i="1" s="1"/>
  <c r="AW123" i="1"/>
  <c r="AW125" i="1" s="1"/>
  <c r="AX123" i="1"/>
  <c r="AX125" i="1" s="1"/>
  <c r="AY123" i="1"/>
  <c r="AY125" i="1" s="1"/>
  <c r="AZ123" i="1"/>
  <c r="AZ125" i="1" s="1"/>
  <c r="AQ124" i="1"/>
  <c r="AQ126" i="1" s="1"/>
  <c r="AR124" i="1"/>
  <c r="AR126" i="1" s="1"/>
  <c r="AS124" i="1"/>
  <c r="AS126" i="1" s="1"/>
  <c r="AT124" i="1"/>
  <c r="AT126" i="1" s="1"/>
  <c r="AU124" i="1"/>
  <c r="AU126" i="1" s="1"/>
  <c r="AV124" i="1"/>
  <c r="AV126" i="1" s="1"/>
  <c r="AW124" i="1"/>
  <c r="AW126" i="1" s="1"/>
  <c r="AX124" i="1"/>
  <c r="AX126" i="1" s="1"/>
  <c r="AY124" i="1"/>
  <c r="AY126" i="1" s="1"/>
  <c r="AZ124" i="1"/>
  <c r="AZ126" i="1" s="1"/>
  <c r="AI123" i="1"/>
  <c r="AI125" i="1" s="1"/>
  <c r="AJ123" i="1"/>
  <c r="AJ125" i="1" s="1"/>
  <c r="AK123" i="1"/>
  <c r="AK125" i="1" s="1"/>
  <c r="AL123" i="1"/>
  <c r="AL125" i="1" s="1"/>
  <c r="AM123" i="1"/>
  <c r="AM125" i="1" s="1"/>
  <c r="AN123" i="1"/>
  <c r="AN125" i="1" s="1"/>
  <c r="AO123" i="1"/>
  <c r="AO125" i="1" s="1"/>
  <c r="AP123" i="1"/>
  <c r="AP125" i="1" s="1"/>
  <c r="AI124" i="1"/>
  <c r="AI126" i="1" s="1"/>
  <c r="AJ124" i="1"/>
  <c r="AJ126" i="1" s="1"/>
  <c r="AK124" i="1"/>
  <c r="AK126" i="1" s="1"/>
  <c r="AL124" i="1"/>
  <c r="AL126" i="1" s="1"/>
  <c r="AM124" i="1"/>
  <c r="AM126" i="1" s="1"/>
  <c r="AN124" i="1"/>
  <c r="AN126" i="1" s="1"/>
  <c r="AO124" i="1"/>
  <c r="AO126" i="1" s="1"/>
  <c r="AP124" i="1"/>
  <c r="AP126" i="1" s="1"/>
  <c r="AC123" i="1"/>
  <c r="AC125" i="1" s="1"/>
  <c r="AD123" i="1"/>
  <c r="AD125" i="1" s="1"/>
  <c r="AE123" i="1"/>
  <c r="AE125" i="1" s="1"/>
  <c r="AF123" i="1"/>
  <c r="AF125" i="1" s="1"/>
  <c r="AG123" i="1"/>
  <c r="AG125" i="1" s="1"/>
  <c r="AH123" i="1"/>
  <c r="AH125" i="1" s="1"/>
  <c r="AC124" i="1"/>
  <c r="AC126" i="1" s="1"/>
  <c r="AD124" i="1"/>
  <c r="AD126" i="1" s="1"/>
  <c r="AE124" i="1"/>
  <c r="AE126" i="1" s="1"/>
  <c r="AF124" i="1"/>
  <c r="AF126" i="1" s="1"/>
  <c r="AG124" i="1"/>
  <c r="AG126" i="1" s="1"/>
  <c r="AH124" i="1"/>
  <c r="AH126" i="1" s="1"/>
  <c r="W123" i="1"/>
  <c r="W125" i="1" s="1"/>
  <c r="X123" i="1"/>
  <c r="X125" i="1" s="1"/>
  <c r="Y123" i="1"/>
  <c r="Y125" i="1" s="1"/>
  <c r="Z123" i="1"/>
  <c r="Z125" i="1" s="1"/>
  <c r="AA123" i="1"/>
  <c r="AA125" i="1" s="1"/>
  <c r="AB123" i="1"/>
  <c r="AB125" i="1" s="1"/>
  <c r="W124" i="1"/>
  <c r="W126" i="1" s="1"/>
  <c r="X124" i="1"/>
  <c r="X126" i="1" s="1"/>
  <c r="Y124" i="1"/>
  <c r="Y126" i="1" s="1"/>
  <c r="Z124" i="1"/>
  <c r="Z126" i="1" s="1"/>
  <c r="AA124" i="1"/>
  <c r="AA126" i="1" s="1"/>
  <c r="AB124" i="1"/>
  <c r="AB126" i="1" s="1"/>
  <c r="P123" i="1"/>
  <c r="P125" i="1" s="1"/>
  <c r="Q123" i="1"/>
  <c r="Q125" i="1" s="1"/>
  <c r="R123" i="1"/>
  <c r="R125" i="1" s="1"/>
  <c r="S123" i="1"/>
  <c r="S125" i="1" s="1"/>
  <c r="T123" i="1"/>
  <c r="T125" i="1" s="1"/>
  <c r="U123" i="1"/>
  <c r="U125" i="1" s="1"/>
  <c r="V123" i="1"/>
  <c r="V125" i="1" s="1"/>
  <c r="P124" i="1"/>
  <c r="P126" i="1" s="1"/>
  <c r="Q124" i="1"/>
  <c r="Q126" i="1" s="1"/>
  <c r="R124" i="1"/>
  <c r="R126" i="1" s="1"/>
  <c r="S124" i="1"/>
  <c r="S126" i="1" s="1"/>
  <c r="T124" i="1"/>
  <c r="T126" i="1" s="1"/>
  <c r="U124" i="1"/>
  <c r="U126" i="1" s="1"/>
  <c r="V124" i="1"/>
  <c r="V126" i="1" s="1"/>
  <c r="G123" i="1"/>
  <c r="G125" i="1" s="1"/>
  <c r="H123" i="1"/>
  <c r="H125" i="1" s="1"/>
  <c r="I123" i="1"/>
  <c r="I125" i="1" s="1"/>
  <c r="J123" i="1"/>
  <c r="J125" i="1" s="1"/>
  <c r="K123" i="1"/>
  <c r="K125" i="1" s="1"/>
  <c r="L123" i="1"/>
  <c r="L125" i="1" s="1"/>
  <c r="M123" i="1"/>
  <c r="M125" i="1" s="1"/>
  <c r="N123" i="1"/>
  <c r="N125" i="1" s="1"/>
  <c r="O123" i="1"/>
  <c r="O125" i="1" s="1"/>
  <c r="G124" i="1"/>
  <c r="G126" i="1" s="1"/>
  <c r="H124" i="1"/>
  <c r="H126" i="1" s="1"/>
  <c r="I124" i="1"/>
  <c r="I126" i="1" s="1"/>
  <c r="J124" i="1"/>
  <c r="J126" i="1" s="1"/>
  <c r="K124" i="1"/>
  <c r="K126" i="1" s="1"/>
  <c r="L124" i="1"/>
  <c r="L126" i="1" s="1"/>
  <c r="M124" i="1"/>
  <c r="M126" i="1" s="1"/>
  <c r="N124" i="1"/>
  <c r="N126" i="1" s="1"/>
  <c r="O124" i="1"/>
  <c r="O126" i="1" s="1"/>
  <c r="F123" i="1"/>
  <c r="F125" i="1" s="1"/>
  <c r="F124" i="1"/>
  <c r="F126" i="1" s="1"/>
  <c r="E124" i="1"/>
  <c r="E126" i="1" s="1"/>
  <c r="E123" i="1"/>
  <c r="E125" i="1" s="1"/>
  <c r="CN9" i="6" l="1"/>
  <c r="CI9" i="6"/>
  <c r="CK9" i="6"/>
  <c r="CP9" i="6"/>
  <c r="CO9" i="6"/>
  <c r="CR9" i="6"/>
  <c r="CJ9" i="6"/>
  <c r="CM9" i="6"/>
  <c r="CQ9" i="6"/>
  <c r="CG9" i="6"/>
  <c r="CH9" i="6"/>
  <c r="BP3" i="1"/>
  <c r="BP4" i="1"/>
  <c r="BP5" i="1"/>
  <c r="BP6" i="1"/>
  <c r="BP7" i="1"/>
  <c r="BP8" i="1"/>
  <c r="BP14" i="1"/>
  <c r="BP11" i="1"/>
  <c r="BP13" i="1"/>
  <c r="BP21" i="1"/>
  <c r="BP19" i="1"/>
  <c r="BP22" i="1"/>
  <c r="BP23" i="1"/>
  <c r="BP24" i="1"/>
  <c r="BP25" i="1"/>
  <c r="BP26" i="1"/>
  <c r="BP27" i="1"/>
  <c r="BP20" i="1"/>
  <c r="BP16" i="1"/>
  <c r="BP17" i="1"/>
  <c r="BP31" i="1"/>
  <c r="BP35" i="1"/>
  <c r="BP44" i="1"/>
  <c r="BP46" i="1"/>
  <c r="BP47" i="1"/>
  <c r="BP48" i="1"/>
  <c r="BP10" i="1"/>
  <c r="BP12" i="1"/>
  <c r="BP50" i="1"/>
  <c r="BP51" i="1"/>
  <c r="BP52" i="1"/>
  <c r="BP53" i="1"/>
  <c r="BP54" i="1"/>
  <c r="BP55" i="1"/>
  <c r="BP34" i="1"/>
  <c r="BP56" i="1"/>
  <c r="BP57" i="1"/>
  <c r="BP28" i="1"/>
  <c r="BP9" i="1"/>
  <c r="BP32" i="1"/>
  <c r="BP33" i="1"/>
  <c r="BP30" i="1"/>
  <c r="BP37" i="1"/>
  <c r="BP45" i="1"/>
  <c r="BP73" i="1"/>
  <c r="BP78" i="1"/>
  <c r="BP79" i="1"/>
  <c r="BP80" i="1"/>
  <c r="BP81" i="1"/>
  <c r="BP82" i="1"/>
  <c r="BP83" i="1"/>
  <c r="BP85" i="1"/>
  <c r="BP18" i="1"/>
  <c r="BP60" i="1"/>
  <c r="BP87" i="1"/>
  <c r="BP88" i="1"/>
  <c r="BP29" i="1"/>
  <c r="BP38" i="1"/>
  <c r="BP39" i="1"/>
  <c r="BP62" i="1"/>
  <c r="BP70" i="1"/>
  <c r="BP71" i="1"/>
  <c r="BP91" i="1"/>
  <c r="BP66" i="1"/>
  <c r="BP67" i="1"/>
  <c r="BP68" i="1"/>
  <c r="BP40" i="1"/>
  <c r="BP41" i="1"/>
  <c r="BP42" i="1"/>
  <c r="BP43" i="1"/>
  <c r="BP63" i="1"/>
  <c r="BP64" i="1"/>
  <c r="BP65" i="1"/>
  <c r="BP72" i="1"/>
  <c r="BP75" i="1"/>
  <c r="BP77" i="1"/>
  <c r="BP84" i="1"/>
  <c r="BP96" i="1"/>
  <c r="BP86" i="1"/>
  <c r="BP97" i="1"/>
  <c r="BP98" i="1"/>
  <c r="BP99" i="1"/>
  <c r="BP100" i="1"/>
  <c r="BP101" i="1"/>
  <c r="BP102" i="1"/>
  <c r="BP103" i="1"/>
  <c r="BP104" i="1"/>
  <c r="BP105" i="1"/>
  <c r="BP106" i="1"/>
  <c r="BP107" i="1"/>
  <c r="BP58" i="1"/>
  <c r="BP59" i="1"/>
  <c r="BP108" i="1"/>
  <c r="BP109" i="1"/>
  <c r="BP90" i="1"/>
  <c r="BP89" i="1"/>
  <c r="BP69" i="1"/>
  <c r="BP110" i="1"/>
  <c r="BP111" i="1"/>
  <c r="BP112" i="1"/>
  <c r="BP113" i="1"/>
  <c r="BP114" i="1"/>
  <c r="BP115" i="1"/>
  <c r="BP92" i="1"/>
  <c r="BP76" i="1"/>
  <c r="BP74" i="1"/>
  <c r="BP116" i="1"/>
  <c r="BP117" i="1"/>
  <c r="BP118" i="1"/>
  <c r="BP119" i="1"/>
  <c r="BP93" i="1"/>
  <c r="BP94" i="1"/>
  <c r="BP95" i="1"/>
  <c r="CS119" i="1" l="1"/>
  <c r="CS3" i="1" l="1"/>
  <c r="CS4" i="1"/>
  <c r="CS5" i="1"/>
  <c r="CS29" i="1"/>
  <c r="CS14" i="1"/>
  <c r="CS21" i="1"/>
  <c r="CS19" i="1"/>
  <c r="CS22" i="1"/>
  <c r="CS23" i="1"/>
  <c r="CS24" i="1"/>
  <c r="CS25" i="1"/>
  <c r="CS11" i="1"/>
  <c r="CS28" i="1"/>
  <c r="CS34" i="1"/>
  <c r="CS55" i="1"/>
  <c r="CS16" i="1"/>
  <c r="CS44" i="1"/>
  <c r="CS46" i="1"/>
  <c r="CS47" i="1"/>
  <c r="CS18" i="1"/>
  <c r="CS38" i="1"/>
  <c r="CS20" i="1"/>
  <c r="CS56" i="1"/>
  <c r="CS57" i="1"/>
  <c r="CS39" i="1"/>
  <c r="CS87" i="1"/>
  <c r="CS88" i="1"/>
  <c r="CS30" i="1"/>
  <c r="CS45" i="1"/>
  <c r="CS76" i="1"/>
  <c r="CS41" i="1"/>
  <c r="CS92" i="1"/>
  <c r="CS64" i="1"/>
  <c r="CS93" i="1"/>
  <c r="CS116" i="1"/>
  <c r="CS2" i="1"/>
  <c r="CS120" i="1" l="1"/>
  <c r="BP2" i="1" l="1"/>
  <c r="BM120" i="1" l="1"/>
  <c r="BM122" i="1" s="1"/>
  <c r="AM120" i="1"/>
  <c r="AM122" i="1" s="1"/>
  <c r="L120" i="1"/>
  <c r="L122" i="1" s="1"/>
  <c r="AY120" i="1"/>
  <c r="BK120" i="1"/>
  <c r="BK122" i="1" s="1"/>
  <c r="AJ120" i="1"/>
  <c r="AJ122" i="1" s="1"/>
  <c r="AW120" i="1"/>
  <c r="BH120" i="1"/>
  <c r="BH122" i="1" s="1"/>
  <c r="AU120" i="1"/>
  <c r="AH120" i="1"/>
  <c r="AH122" i="1" s="1"/>
  <c r="AL120" i="1"/>
  <c r="AL122" i="1" s="1"/>
  <c r="BD120" i="1"/>
  <c r="BD122" i="1" s="1"/>
  <c r="BA120" i="1"/>
  <c r="BL120" i="1"/>
  <c r="BL122" i="1" s="1"/>
  <c r="AZ120" i="1"/>
  <c r="J120" i="1"/>
  <c r="J122" i="1" s="1"/>
  <c r="H120" i="1"/>
  <c r="H122" i="1" s="1"/>
  <c r="G120" i="1"/>
  <c r="G122" i="1" s="1"/>
  <c r="BG120" i="1"/>
  <c r="BG122" i="1" s="1"/>
  <c r="AQ120" i="1"/>
  <c r="AE120" i="1"/>
  <c r="AE122" i="1" s="1"/>
  <c r="F120" i="1"/>
  <c r="F122" i="1" s="1"/>
  <c r="BB120" i="1"/>
  <c r="BJ120" i="1"/>
  <c r="BJ122" i="1" s="1"/>
  <c r="AX120" i="1"/>
  <c r="AI120" i="1"/>
  <c r="AI122" i="1" s="1"/>
  <c r="I120" i="1"/>
  <c r="I122" i="1" s="1"/>
  <c r="AG120" i="1"/>
  <c r="AG122" i="1" s="1"/>
  <c r="BE120" i="1"/>
  <c r="BE122" i="1" s="1"/>
  <c r="AF120" i="1"/>
  <c r="AF122" i="1" s="1"/>
  <c r="BF120" i="1"/>
  <c r="BF122" i="1" s="1"/>
  <c r="AS120" i="1"/>
  <c r="O120" i="1"/>
  <c r="O122" i="1" s="1"/>
  <c r="BO120" i="1"/>
  <c r="BO122" i="1" s="1"/>
  <c r="AR120" i="1"/>
  <c r="N120" i="1"/>
  <c r="N122" i="1" s="1"/>
  <c r="K120" i="1"/>
  <c r="K122" i="1" s="1"/>
  <c r="AK120" i="1"/>
  <c r="AK122" i="1" s="1"/>
  <c r="BI120" i="1"/>
  <c r="BI122" i="1" s="1"/>
  <c r="AT120" i="1"/>
  <c r="AV120" i="1"/>
  <c r="E120" i="1"/>
  <c r="E122" i="1" s="1"/>
  <c r="BN120" i="1"/>
  <c r="BN122" i="1" s="1"/>
  <c r="AN120" i="1"/>
  <c r="AN122" i="1" s="1"/>
  <c r="M120" i="1"/>
  <c r="M122" i="1" s="1"/>
  <c r="AP120" i="1"/>
  <c r="AP122" i="1" s="1"/>
  <c r="BC120" i="1"/>
  <c r="BC122" i="1" s="1"/>
  <c r="AO120" i="1"/>
  <c r="AO122" i="1" s="1"/>
  <c r="V120" i="1"/>
  <c r="V122" i="1" s="1"/>
  <c r="Y120" i="1"/>
  <c r="Y122" i="1" s="1"/>
  <c r="W120" i="1"/>
  <c r="W122" i="1" s="1"/>
  <c r="S120" i="1"/>
  <c r="S122" i="1" s="1"/>
  <c r="X120" i="1"/>
  <c r="X122" i="1" s="1"/>
  <c r="R120" i="1"/>
  <c r="R122" i="1" s="1"/>
  <c r="Z120" i="1"/>
  <c r="Z122" i="1" s="1"/>
  <c r="U120" i="1"/>
  <c r="U122" i="1" s="1"/>
  <c r="T120" i="1"/>
  <c r="T122" i="1" s="1"/>
  <c r="AC120" i="1"/>
  <c r="AC122" i="1" s="1"/>
  <c r="Q120" i="1"/>
  <c r="Q122" i="1" s="1"/>
  <c r="AB120" i="1"/>
  <c r="AB122" i="1" s="1"/>
  <c r="P120" i="1"/>
  <c r="P122" i="1" s="1"/>
  <c r="AA120" i="1"/>
  <c r="AA122" i="1" s="1"/>
  <c r="AD120" i="1"/>
  <c r="AD122" i="1" s="1"/>
  <c r="AR122" i="1" l="1"/>
  <c r="BU11" i="1"/>
  <c r="BU26" i="1"/>
  <c r="BU46" i="1"/>
  <c r="BU55" i="1"/>
  <c r="BU87" i="1"/>
  <c r="BU5" i="1"/>
  <c r="BU31" i="1"/>
  <c r="BU50" i="1"/>
  <c r="BU9" i="1"/>
  <c r="BU82" i="1"/>
  <c r="BU67" i="1"/>
  <c r="BU63" i="1"/>
  <c r="BU64" i="1"/>
  <c r="BU65" i="1"/>
  <c r="BU72" i="1"/>
  <c r="BU75" i="1"/>
  <c r="BU77" i="1"/>
  <c r="BU84" i="1"/>
  <c r="BU96" i="1"/>
  <c r="BU86" i="1"/>
  <c r="BU97" i="1"/>
  <c r="BU98" i="1"/>
  <c r="BU99" i="1"/>
  <c r="BU100" i="1"/>
  <c r="BU101" i="1"/>
  <c r="BU102" i="1"/>
  <c r="BU103" i="1"/>
  <c r="BU104" i="1"/>
  <c r="BU105" i="1"/>
  <c r="BU106" i="1"/>
  <c r="BU107" i="1"/>
  <c r="BU58" i="1"/>
  <c r="BU59" i="1"/>
  <c r="BU108" i="1"/>
  <c r="BU109" i="1"/>
  <c r="BU90" i="1"/>
  <c r="BU89" i="1"/>
  <c r="BU69" i="1"/>
  <c r="BU110" i="1"/>
  <c r="BU111" i="1"/>
  <c r="BU112" i="1"/>
  <c r="BU113" i="1"/>
  <c r="BU20" i="1"/>
  <c r="BU34" i="1"/>
  <c r="BU73" i="1"/>
  <c r="BU29" i="1"/>
  <c r="BU14" i="1"/>
  <c r="BU25" i="1"/>
  <c r="BU44" i="1"/>
  <c r="BU54" i="1"/>
  <c r="BU37" i="1"/>
  <c r="BU60" i="1"/>
  <c r="BU91" i="1"/>
  <c r="BU42" i="1"/>
  <c r="BU4" i="1"/>
  <c r="BU19" i="1"/>
  <c r="BU12" i="1"/>
  <c r="BU28" i="1"/>
  <c r="BU81" i="1"/>
  <c r="BU13" i="1"/>
  <c r="BU27" i="1"/>
  <c r="BU47" i="1"/>
  <c r="BU45" i="1"/>
  <c r="BU88" i="1"/>
  <c r="BU41" i="1"/>
  <c r="BU6" i="1"/>
  <c r="BU22" i="1"/>
  <c r="BU51" i="1"/>
  <c r="BU32" i="1"/>
  <c r="BU83" i="1"/>
  <c r="BU7" i="1"/>
  <c r="BU21" i="1"/>
  <c r="BU53" i="1"/>
  <c r="BU38" i="1"/>
  <c r="BU3" i="1"/>
  <c r="BU24" i="1"/>
  <c r="BU79" i="1"/>
  <c r="BU76" i="1"/>
  <c r="BU116" i="1"/>
  <c r="BU118" i="1"/>
  <c r="BU95" i="1"/>
  <c r="BU8" i="1"/>
  <c r="BU48" i="1"/>
  <c r="BU43" i="1"/>
  <c r="BU115" i="1"/>
  <c r="BU74" i="1"/>
  <c r="BU117" i="1"/>
  <c r="BU94" i="1"/>
  <c r="BU16" i="1"/>
  <c r="BU39" i="1"/>
  <c r="BU66" i="1"/>
  <c r="BU40" i="1"/>
  <c r="BU93" i="1"/>
  <c r="BU71" i="1"/>
  <c r="BU92" i="1"/>
  <c r="BU119" i="1"/>
  <c r="BU56" i="1"/>
  <c r="BU114" i="1"/>
  <c r="BU85" i="1"/>
  <c r="BU62" i="1"/>
  <c r="BU17" i="1"/>
  <c r="BU33" i="1"/>
  <c r="BU80" i="1"/>
  <c r="BU52" i="1"/>
  <c r="BU57" i="1"/>
  <c r="BU10" i="1"/>
  <c r="BU18" i="1"/>
  <c r="BU23" i="1"/>
  <c r="BU30" i="1"/>
  <c r="BU70" i="1"/>
  <c r="BU68" i="1"/>
  <c r="BU35" i="1"/>
  <c r="BU78" i="1"/>
  <c r="BU2" i="1"/>
  <c r="AU122" i="1"/>
  <c r="BX3" i="1"/>
  <c r="BX4" i="1"/>
  <c r="BX5" i="1"/>
  <c r="BX6" i="1"/>
  <c r="BX7" i="1"/>
  <c r="BX8" i="1"/>
  <c r="BX14" i="1"/>
  <c r="BX11" i="1"/>
  <c r="BX13" i="1"/>
  <c r="BX21" i="1"/>
  <c r="BX19" i="1"/>
  <c r="BX22" i="1"/>
  <c r="BX23" i="1"/>
  <c r="BX24" i="1"/>
  <c r="BX25" i="1"/>
  <c r="BX26" i="1"/>
  <c r="BX27" i="1"/>
  <c r="BX20" i="1"/>
  <c r="BX16" i="1"/>
  <c r="BX17" i="1"/>
  <c r="BX31" i="1"/>
  <c r="BX35" i="1"/>
  <c r="BX44" i="1"/>
  <c r="BX46" i="1"/>
  <c r="BX47" i="1"/>
  <c r="BX48" i="1"/>
  <c r="BX10" i="1"/>
  <c r="BX12" i="1"/>
  <c r="BX50" i="1"/>
  <c r="BX51" i="1"/>
  <c r="BX52" i="1"/>
  <c r="BX53" i="1"/>
  <c r="BX54" i="1"/>
  <c r="BX55" i="1"/>
  <c r="BX34" i="1"/>
  <c r="BX56" i="1"/>
  <c r="BX57" i="1"/>
  <c r="BX28" i="1"/>
  <c r="BX9" i="1"/>
  <c r="BX32" i="1"/>
  <c r="BX33" i="1"/>
  <c r="BX30" i="1"/>
  <c r="BX37" i="1"/>
  <c r="BX45" i="1"/>
  <c r="BX73" i="1"/>
  <c r="BX78" i="1"/>
  <c r="BX79" i="1"/>
  <c r="BX80" i="1"/>
  <c r="BX81" i="1"/>
  <c r="BX82" i="1"/>
  <c r="BX83" i="1"/>
  <c r="BX85" i="1"/>
  <c r="BX18" i="1"/>
  <c r="BX60" i="1"/>
  <c r="BX87" i="1"/>
  <c r="BX88" i="1"/>
  <c r="BX29" i="1"/>
  <c r="BX38" i="1"/>
  <c r="BX39" i="1"/>
  <c r="BX62" i="1"/>
  <c r="BX71" i="1"/>
  <c r="BX68" i="1"/>
  <c r="BX70" i="1"/>
  <c r="BX66" i="1"/>
  <c r="BX43" i="1"/>
  <c r="BX91" i="1"/>
  <c r="BX42" i="1"/>
  <c r="BX75" i="1"/>
  <c r="BX104" i="1"/>
  <c r="BX106" i="1"/>
  <c r="BX102" i="1"/>
  <c r="BX58" i="1"/>
  <c r="BX109" i="1"/>
  <c r="BX112" i="1"/>
  <c r="BX96" i="1"/>
  <c r="BX69" i="1"/>
  <c r="BX77" i="1"/>
  <c r="BX105" i="1"/>
  <c r="BX64" i="1"/>
  <c r="BX100" i="1"/>
  <c r="BX40" i="1"/>
  <c r="BX98" i="1"/>
  <c r="BX72" i="1"/>
  <c r="BX103" i="1"/>
  <c r="BX107" i="1"/>
  <c r="BX108" i="1"/>
  <c r="BX86" i="1"/>
  <c r="BX115" i="1"/>
  <c r="BX92" i="1"/>
  <c r="BX76" i="1"/>
  <c r="BX74" i="1"/>
  <c r="BX116" i="1"/>
  <c r="BX117" i="1"/>
  <c r="BX118" i="1"/>
  <c r="BX119" i="1"/>
  <c r="BX93" i="1"/>
  <c r="BX94" i="1"/>
  <c r="BX95" i="1"/>
  <c r="BX110" i="1"/>
  <c r="BX67" i="1"/>
  <c r="BX41" i="1"/>
  <c r="BX65" i="1"/>
  <c r="BX101" i="1"/>
  <c r="BX114" i="1"/>
  <c r="BX99" i="1"/>
  <c r="BX59" i="1"/>
  <c r="BX113" i="1"/>
  <c r="BX84" i="1"/>
  <c r="BX63" i="1"/>
  <c r="BX90" i="1"/>
  <c r="BX97" i="1"/>
  <c r="BX89" i="1"/>
  <c r="BX111" i="1"/>
  <c r="BX2" i="1"/>
  <c r="BB122" i="1"/>
  <c r="CE13" i="1"/>
  <c r="CE27" i="1"/>
  <c r="CE47" i="1"/>
  <c r="CE45" i="1"/>
  <c r="CE88" i="1"/>
  <c r="CE6" i="1"/>
  <c r="CE22" i="1"/>
  <c r="CE51" i="1"/>
  <c r="CE32" i="1"/>
  <c r="CE83" i="1"/>
  <c r="CE91" i="1"/>
  <c r="CE42" i="1"/>
  <c r="CE16" i="1"/>
  <c r="CE48" i="1"/>
  <c r="CE78" i="1"/>
  <c r="CE38" i="1"/>
  <c r="CE11" i="1"/>
  <c r="CE26" i="1"/>
  <c r="CE46" i="1"/>
  <c r="CE55" i="1"/>
  <c r="CE87" i="1"/>
  <c r="CE62" i="1"/>
  <c r="CE71" i="1"/>
  <c r="CE40" i="1"/>
  <c r="CE5" i="1"/>
  <c r="CE31" i="1"/>
  <c r="CE50" i="1"/>
  <c r="CE9" i="1"/>
  <c r="CE82" i="1"/>
  <c r="CE20" i="1"/>
  <c r="CE34" i="1"/>
  <c r="CE73" i="1"/>
  <c r="CE29" i="1"/>
  <c r="CE68" i="1"/>
  <c r="CE7" i="1"/>
  <c r="CE23" i="1"/>
  <c r="CE52" i="1"/>
  <c r="CE33" i="1"/>
  <c r="CE85" i="1"/>
  <c r="CE10" i="1"/>
  <c r="CE18" i="1"/>
  <c r="CE41" i="1"/>
  <c r="CE65" i="1"/>
  <c r="CE107" i="1"/>
  <c r="CE108" i="1"/>
  <c r="CE21" i="1"/>
  <c r="CE53" i="1"/>
  <c r="CE28" i="1"/>
  <c r="CE63" i="1"/>
  <c r="CE99" i="1"/>
  <c r="CE104" i="1"/>
  <c r="CE114" i="1"/>
  <c r="CE115" i="1"/>
  <c r="CE92" i="1"/>
  <c r="CE74" i="1"/>
  <c r="CE116" i="1"/>
  <c r="CE118" i="1"/>
  <c r="CE119" i="1"/>
  <c r="CE94" i="1"/>
  <c r="CE95" i="1"/>
  <c r="CE39" i="1"/>
  <c r="CE102" i="1"/>
  <c r="CE106" i="1"/>
  <c r="CE113" i="1"/>
  <c r="CE3" i="1"/>
  <c r="CE35" i="1"/>
  <c r="CE12" i="1"/>
  <c r="CE60" i="1"/>
  <c r="CE70" i="1"/>
  <c r="CE75" i="1"/>
  <c r="CE76" i="1"/>
  <c r="CE117" i="1"/>
  <c r="CE93" i="1"/>
  <c r="CE19" i="1"/>
  <c r="CE24" i="1"/>
  <c r="CE37" i="1"/>
  <c r="CE97" i="1"/>
  <c r="CE59" i="1"/>
  <c r="CE90" i="1"/>
  <c r="CE110" i="1"/>
  <c r="CE8" i="1"/>
  <c r="CE54" i="1"/>
  <c r="CE4" i="1"/>
  <c r="CE44" i="1"/>
  <c r="CE79" i="1"/>
  <c r="CE96" i="1"/>
  <c r="CE25" i="1"/>
  <c r="CE56" i="1"/>
  <c r="CE14" i="1"/>
  <c r="CE66" i="1"/>
  <c r="CE77" i="1"/>
  <c r="CE58" i="1"/>
  <c r="CE109" i="1"/>
  <c r="CE69" i="1"/>
  <c r="CE112" i="1"/>
  <c r="CE67" i="1"/>
  <c r="CE86" i="1"/>
  <c r="CE89" i="1"/>
  <c r="CE17" i="1"/>
  <c r="CE43" i="1"/>
  <c r="CE98" i="1"/>
  <c r="CE101" i="1"/>
  <c r="CE80" i="1"/>
  <c r="CE72" i="1"/>
  <c r="CE103" i="1"/>
  <c r="CE105" i="1"/>
  <c r="CE57" i="1"/>
  <c r="CE111" i="1"/>
  <c r="CE81" i="1"/>
  <c r="CE100" i="1"/>
  <c r="CE84" i="1"/>
  <c r="CE64" i="1"/>
  <c r="CE30" i="1"/>
  <c r="CE2" i="1"/>
  <c r="AS122" i="1"/>
  <c r="BV3" i="1"/>
  <c r="BV21" i="1"/>
  <c r="BV10" i="1"/>
  <c r="BV57" i="1"/>
  <c r="BV80" i="1"/>
  <c r="BV62" i="1"/>
  <c r="BV71" i="1"/>
  <c r="BV68" i="1"/>
  <c r="BV11" i="1"/>
  <c r="BV26" i="1"/>
  <c r="BV46" i="1"/>
  <c r="BV55" i="1"/>
  <c r="BV87" i="1"/>
  <c r="BV5" i="1"/>
  <c r="BV31" i="1"/>
  <c r="BV50" i="1"/>
  <c r="BV9" i="1"/>
  <c r="BV82" i="1"/>
  <c r="BV67" i="1"/>
  <c r="BV63" i="1"/>
  <c r="BV64" i="1"/>
  <c r="BV65" i="1"/>
  <c r="BV72" i="1"/>
  <c r="BV75" i="1"/>
  <c r="BV77" i="1"/>
  <c r="BV84" i="1"/>
  <c r="BV96" i="1"/>
  <c r="BV86" i="1"/>
  <c r="BV97" i="1"/>
  <c r="BV98" i="1"/>
  <c r="BV99" i="1"/>
  <c r="BV100" i="1"/>
  <c r="BV101" i="1"/>
  <c r="BV102" i="1"/>
  <c r="BV103" i="1"/>
  <c r="BV104" i="1"/>
  <c r="BV105" i="1"/>
  <c r="BV106" i="1"/>
  <c r="BV107" i="1"/>
  <c r="BV17" i="1"/>
  <c r="BV56" i="1"/>
  <c r="BV79" i="1"/>
  <c r="BV39" i="1"/>
  <c r="BV14" i="1"/>
  <c r="BV25" i="1"/>
  <c r="BV44" i="1"/>
  <c r="BV54" i="1"/>
  <c r="BV37" i="1"/>
  <c r="BV60" i="1"/>
  <c r="BV91" i="1"/>
  <c r="BV42" i="1"/>
  <c r="BV4" i="1"/>
  <c r="BV19" i="1"/>
  <c r="BV12" i="1"/>
  <c r="BV28" i="1"/>
  <c r="BV81" i="1"/>
  <c r="BV13" i="1"/>
  <c r="BV27" i="1"/>
  <c r="BV47" i="1"/>
  <c r="BV45" i="1"/>
  <c r="BV88" i="1"/>
  <c r="BV41" i="1"/>
  <c r="BV23" i="1"/>
  <c r="BV34" i="1"/>
  <c r="BV30" i="1"/>
  <c r="BV20" i="1"/>
  <c r="BV35" i="1"/>
  <c r="BV78" i="1"/>
  <c r="BV70" i="1"/>
  <c r="BV66" i="1"/>
  <c r="BV40" i="1"/>
  <c r="BV108" i="1"/>
  <c r="BV111" i="1"/>
  <c r="BV24" i="1"/>
  <c r="BV89" i="1"/>
  <c r="BV8" i="1"/>
  <c r="BV48" i="1"/>
  <c r="BV83" i="1"/>
  <c r="BV16" i="1"/>
  <c r="BV32" i="1"/>
  <c r="BV51" i="1"/>
  <c r="BV43" i="1"/>
  <c r="BV115" i="1"/>
  <c r="BV92" i="1"/>
  <c r="BV76" i="1"/>
  <c r="BV74" i="1"/>
  <c r="BV116" i="1"/>
  <c r="BV117" i="1"/>
  <c r="BV118" i="1"/>
  <c r="BV119" i="1"/>
  <c r="BV93" i="1"/>
  <c r="BV94" i="1"/>
  <c r="BV95" i="1"/>
  <c r="BV22" i="1"/>
  <c r="BV85" i="1"/>
  <c r="BV73" i="1"/>
  <c r="BV6" i="1"/>
  <c r="BV33" i="1"/>
  <c r="BV59" i="1"/>
  <c r="BV90" i="1"/>
  <c r="BV110" i="1"/>
  <c r="BV113" i="1"/>
  <c r="BV52" i="1"/>
  <c r="BV29" i="1"/>
  <c r="BV18" i="1"/>
  <c r="BV7" i="1"/>
  <c r="BV53" i="1"/>
  <c r="BV38" i="1"/>
  <c r="BV69" i="1"/>
  <c r="BV112" i="1"/>
  <c r="BV58" i="1"/>
  <c r="BV114" i="1"/>
  <c r="BV109" i="1"/>
  <c r="BV2" i="1"/>
  <c r="AW122" i="1"/>
  <c r="BZ16" i="1"/>
  <c r="BZ48" i="1"/>
  <c r="BZ78" i="1"/>
  <c r="BZ38" i="1"/>
  <c r="BZ8" i="1"/>
  <c r="BZ24" i="1"/>
  <c r="BZ35" i="1"/>
  <c r="BZ53" i="1"/>
  <c r="BZ30" i="1"/>
  <c r="BZ18" i="1"/>
  <c r="BZ40" i="1"/>
  <c r="BZ3" i="1"/>
  <c r="BZ21" i="1"/>
  <c r="BZ10" i="1"/>
  <c r="BZ57" i="1"/>
  <c r="BZ80" i="1"/>
  <c r="BZ20" i="1"/>
  <c r="BZ34" i="1"/>
  <c r="BZ73" i="1"/>
  <c r="BZ29" i="1"/>
  <c r="BZ67" i="1"/>
  <c r="BZ7" i="1"/>
  <c r="BZ23" i="1"/>
  <c r="BZ52" i="1"/>
  <c r="BZ33" i="1"/>
  <c r="BZ85" i="1"/>
  <c r="BZ63" i="1"/>
  <c r="BZ64" i="1"/>
  <c r="BZ65" i="1"/>
  <c r="BZ72" i="1"/>
  <c r="BZ75" i="1"/>
  <c r="BZ77" i="1"/>
  <c r="BZ84" i="1"/>
  <c r="BZ96" i="1"/>
  <c r="BZ86" i="1"/>
  <c r="BZ97" i="1"/>
  <c r="BZ98" i="1"/>
  <c r="BZ99" i="1"/>
  <c r="BZ100" i="1"/>
  <c r="BZ101" i="1"/>
  <c r="BZ102" i="1"/>
  <c r="BZ103" i="1"/>
  <c r="BZ104" i="1"/>
  <c r="BZ105" i="1"/>
  <c r="BZ106" i="1"/>
  <c r="BZ107" i="1"/>
  <c r="BZ58" i="1"/>
  <c r="BZ59" i="1"/>
  <c r="BZ108" i="1"/>
  <c r="BZ109" i="1"/>
  <c r="BZ90" i="1"/>
  <c r="BZ89" i="1"/>
  <c r="BZ69" i="1"/>
  <c r="BZ110" i="1"/>
  <c r="BZ111" i="1"/>
  <c r="BZ112" i="1"/>
  <c r="BZ17" i="1"/>
  <c r="BZ56" i="1"/>
  <c r="BZ79" i="1"/>
  <c r="BZ39" i="1"/>
  <c r="BZ70" i="1"/>
  <c r="BZ66" i="1"/>
  <c r="BZ43" i="1"/>
  <c r="BZ14" i="1"/>
  <c r="BZ25" i="1"/>
  <c r="BZ44" i="1"/>
  <c r="BZ54" i="1"/>
  <c r="BZ37" i="1"/>
  <c r="BZ60" i="1"/>
  <c r="BZ27" i="1"/>
  <c r="BZ28" i="1"/>
  <c r="BZ68" i="1"/>
  <c r="BZ42" i="1"/>
  <c r="BZ19" i="1"/>
  <c r="BZ82" i="1"/>
  <c r="BZ87" i="1"/>
  <c r="BZ4" i="1"/>
  <c r="BZ9" i="1"/>
  <c r="BZ50" i="1"/>
  <c r="BZ31" i="1"/>
  <c r="BZ83" i="1"/>
  <c r="BZ71" i="1"/>
  <c r="BZ55" i="1"/>
  <c r="BZ32" i="1"/>
  <c r="BZ5" i="1"/>
  <c r="BZ46" i="1"/>
  <c r="BZ51" i="1"/>
  <c r="BZ88" i="1"/>
  <c r="BZ62" i="1"/>
  <c r="BZ26" i="1"/>
  <c r="BZ45" i="1"/>
  <c r="BZ81" i="1"/>
  <c r="BZ41" i="1"/>
  <c r="BZ113" i="1"/>
  <c r="BZ11" i="1"/>
  <c r="BZ22" i="1"/>
  <c r="BZ114" i="1"/>
  <c r="BZ115" i="1"/>
  <c r="BZ92" i="1"/>
  <c r="BZ76" i="1"/>
  <c r="BZ74" i="1"/>
  <c r="BZ116" i="1"/>
  <c r="BZ117" i="1"/>
  <c r="BZ118" i="1"/>
  <c r="BZ119" i="1"/>
  <c r="BZ93" i="1"/>
  <c r="BZ94" i="1"/>
  <c r="BZ95" i="1"/>
  <c r="BZ6" i="1"/>
  <c r="BZ47" i="1"/>
  <c r="BZ13" i="1"/>
  <c r="BZ91" i="1"/>
  <c r="BZ12" i="1"/>
  <c r="BZ2" i="1"/>
  <c r="AT122" i="1"/>
  <c r="BW3" i="1"/>
  <c r="BW4" i="1"/>
  <c r="BW5" i="1"/>
  <c r="BW6" i="1"/>
  <c r="BW7" i="1"/>
  <c r="BW8" i="1"/>
  <c r="BW14" i="1"/>
  <c r="BW11" i="1"/>
  <c r="BW13" i="1"/>
  <c r="BW21" i="1"/>
  <c r="BW19" i="1"/>
  <c r="BW22" i="1"/>
  <c r="BW23" i="1"/>
  <c r="BW24" i="1"/>
  <c r="BW25" i="1"/>
  <c r="BW26" i="1"/>
  <c r="BW27" i="1"/>
  <c r="BW20" i="1"/>
  <c r="BW16" i="1"/>
  <c r="BW17" i="1"/>
  <c r="BW31" i="1"/>
  <c r="BW35" i="1"/>
  <c r="BW44" i="1"/>
  <c r="BW46" i="1"/>
  <c r="BW47" i="1"/>
  <c r="BW48" i="1"/>
  <c r="BW10" i="1"/>
  <c r="BW12" i="1"/>
  <c r="BW50" i="1"/>
  <c r="BW51" i="1"/>
  <c r="BW52" i="1"/>
  <c r="BW53" i="1"/>
  <c r="BW54" i="1"/>
  <c r="BW55" i="1"/>
  <c r="BW34" i="1"/>
  <c r="BW56" i="1"/>
  <c r="BW57" i="1"/>
  <c r="BW28" i="1"/>
  <c r="BW9" i="1"/>
  <c r="BW32" i="1"/>
  <c r="BW33" i="1"/>
  <c r="BW30" i="1"/>
  <c r="BW37" i="1"/>
  <c r="BW45" i="1"/>
  <c r="BW73" i="1"/>
  <c r="BW78" i="1"/>
  <c r="BW79" i="1"/>
  <c r="BW80" i="1"/>
  <c r="BW81" i="1"/>
  <c r="BW82" i="1"/>
  <c r="BW83" i="1"/>
  <c r="BW85" i="1"/>
  <c r="BW18" i="1"/>
  <c r="BW60" i="1"/>
  <c r="BW87" i="1"/>
  <c r="BW88" i="1"/>
  <c r="BW29" i="1"/>
  <c r="BW38" i="1"/>
  <c r="BW39" i="1"/>
  <c r="BW62" i="1"/>
  <c r="BW70" i="1"/>
  <c r="BW71" i="1"/>
  <c r="BW91" i="1"/>
  <c r="BW66" i="1"/>
  <c r="BW67" i="1"/>
  <c r="BW68" i="1"/>
  <c r="BW40" i="1"/>
  <c r="BW41" i="1"/>
  <c r="BW42" i="1"/>
  <c r="BW43" i="1"/>
  <c r="BW97" i="1"/>
  <c r="BW96" i="1"/>
  <c r="BW58" i="1"/>
  <c r="BW109" i="1"/>
  <c r="BW69" i="1"/>
  <c r="BW112" i="1"/>
  <c r="BW100" i="1"/>
  <c r="BW64" i="1"/>
  <c r="BW98" i="1"/>
  <c r="BW77" i="1"/>
  <c r="BW105" i="1"/>
  <c r="BW72" i="1"/>
  <c r="BW103" i="1"/>
  <c r="BW107" i="1"/>
  <c r="BW108" i="1"/>
  <c r="BW89" i="1"/>
  <c r="BW111" i="1"/>
  <c r="BW86" i="1"/>
  <c r="BW65" i="1"/>
  <c r="BW101" i="1"/>
  <c r="BW114" i="1"/>
  <c r="BW84" i="1"/>
  <c r="BW75" i="1"/>
  <c r="BW104" i="1"/>
  <c r="BW63" i="1"/>
  <c r="BW99" i="1"/>
  <c r="BW59" i="1"/>
  <c r="BW90" i="1"/>
  <c r="BW110" i="1"/>
  <c r="BW113" i="1"/>
  <c r="BW106" i="1"/>
  <c r="BW95" i="1"/>
  <c r="BW115" i="1"/>
  <c r="BW92" i="1"/>
  <c r="BW119" i="1"/>
  <c r="BW116" i="1"/>
  <c r="BW76" i="1"/>
  <c r="BW93" i="1"/>
  <c r="BW102" i="1"/>
  <c r="BW74" i="1"/>
  <c r="BW94" i="1"/>
  <c r="BW117" i="1"/>
  <c r="BW118" i="1"/>
  <c r="BW2" i="1"/>
  <c r="AY122" i="1"/>
  <c r="CB3" i="1"/>
  <c r="CB4" i="1"/>
  <c r="CB5" i="1"/>
  <c r="CB6" i="1"/>
  <c r="CB7" i="1"/>
  <c r="CB8" i="1"/>
  <c r="CB14" i="1"/>
  <c r="CB11" i="1"/>
  <c r="CB13" i="1"/>
  <c r="CB21" i="1"/>
  <c r="CB19" i="1"/>
  <c r="CB22" i="1"/>
  <c r="CB23" i="1"/>
  <c r="CB24" i="1"/>
  <c r="CB25" i="1"/>
  <c r="CB26" i="1"/>
  <c r="CB27" i="1"/>
  <c r="CB20" i="1"/>
  <c r="CB16" i="1"/>
  <c r="CB17" i="1"/>
  <c r="CB31" i="1"/>
  <c r="CB35" i="1"/>
  <c r="CB44" i="1"/>
  <c r="CB46" i="1"/>
  <c r="CB47" i="1"/>
  <c r="CB48" i="1"/>
  <c r="CB10" i="1"/>
  <c r="CB12" i="1"/>
  <c r="CB50" i="1"/>
  <c r="CB51" i="1"/>
  <c r="CB52" i="1"/>
  <c r="CB53" i="1"/>
  <c r="CB54" i="1"/>
  <c r="CB55" i="1"/>
  <c r="CB34" i="1"/>
  <c r="CB56" i="1"/>
  <c r="CB57" i="1"/>
  <c r="CB28" i="1"/>
  <c r="CB9" i="1"/>
  <c r="CB32" i="1"/>
  <c r="CB33" i="1"/>
  <c r="CB30" i="1"/>
  <c r="CB37" i="1"/>
  <c r="CB45" i="1"/>
  <c r="CB73" i="1"/>
  <c r="CB78" i="1"/>
  <c r="CB79" i="1"/>
  <c r="CB80" i="1"/>
  <c r="CB81" i="1"/>
  <c r="CB82" i="1"/>
  <c r="CB83" i="1"/>
  <c r="CB85" i="1"/>
  <c r="CB18" i="1"/>
  <c r="CB60" i="1"/>
  <c r="CB87" i="1"/>
  <c r="CB88" i="1"/>
  <c r="CB29" i="1"/>
  <c r="CB38" i="1"/>
  <c r="CB39" i="1"/>
  <c r="CB62" i="1"/>
  <c r="CB70" i="1"/>
  <c r="CB71" i="1"/>
  <c r="CB91" i="1"/>
  <c r="CB66" i="1"/>
  <c r="CB67" i="1"/>
  <c r="CB68" i="1"/>
  <c r="CB40" i="1"/>
  <c r="CB41" i="1"/>
  <c r="CB42" i="1"/>
  <c r="CB43" i="1"/>
  <c r="CB63" i="1"/>
  <c r="CB64" i="1"/>
  <c r="CB65" i="1"/>
  <c r="CB72" i="1"/>
  <c r="CB75" i="1"/>
  <c r="CB77" i="1"/>
  <c r="CB84" i="1"/>
  <c r="CB96" i="1"/>
  <c r="CB86" i="1"/>
  <c r="CB97" i="1"/>
  <c r="CB98" i="1"/>
  <c r="CB99" i="1"/>
  <c r="CB100" i="1"/>
  <c r="CB101" i="1"/>
  <c r="CB102" i="1"/>
  <c r="CB103" i="1"/>
  <c r="CB104" i="1"/>
  <c r="CB114" i="1"/>
  <c r="CB116" i="1"/>
  <c r="CB93" i="1"/>
  <c r="CB106" i="1"/>
  <c r="CB113" i="1"/>
  <c r="CB58" i="1"/>
  <c r="CB112" i="1"/>
  <c r="CB109" i="1"/>
  <c r="CB69" i="1"/>
  <c r="CB115" i="1"/>
  <c r="CB76" i="1"/>
  <c r="CB117" i="1"/>
  <c r="CB94" i="1"/>
  <c r="CB107" i="1"/>
  <c r="CB108" i="1"/>
  <c r="CB89" i="1"/>
  <c r="CB111" i="1"/>
  <c r="CB92" i="1"/>
  <c r="CB118" i="1"/>
  <c r="CB95" i="1"/>
  <c r="CB74" i="1"/>
  <c r="CB119" i="1"/>
  <c r="CB90" i="1"/>
  <c r="CB110" i="1"/>
  <c r="CB105" i="1"/>
  <c r="CB59" i="1"/>
  <c r="CB2" i="1"/>
  <c r="AZ122" i="1"/>
  <c r="CC3" i="1"/>
  <c r="CC4" i="1"/>
  <c r="CC5" i="1"/>
  <c r="CC6" i="1"/>
  <c r="CC7" i="1"/>
  <c r="CC8" i="1"/>
  <c r="CC14" i="1"/>
  <c r="CC11" i="1"/>
  <c r="CC13" i="1"/>
  <c r="CC21" i="1"/>
  <c r="CC19" i="1"/>
  <c r="CC22" i="1"/>
  <c r="CC23" i="1"/>
  <c r="CC24" i="1"/>
  <c r="CC25" i="1"/>
  <c r="CC26" i="1"/>
  <c r="CC27" i="1"/>
  <c r="CC20" i="1"/>
  <c r="CC16" i="1"/>
  <c r="CC17" i="1"/>
  <c r="CC31" i="1"/>
  <c r="CC35" i="1"/>
  <c r="CC44" i="1"/>
  <c r="CC46" i="1"/>
  <c r="CC47" i="1"/>
  <c r="CC48" i="1"/>
  <c r="CC10" i="1"/>
  <c r="CC12" i="1"/>
  <c r="CC50" i="1"/>
  <c r="CC51" i="1"/>
  <c r="CC52" i="1"/>
  <c r="CC53" i="1"/>
  <c r="CC54" i="1"/>
  <c r="CC55" i="1"/>
  <c r="CC34" i="1"/>
  <c r="CC56" i="1"/>
  <c r="CC57" i="1"/>
  <c r="CC28" i="1"/>
  <c r="CC9" i="1"/>
  <c r="CC32" i="1"/>
  <c r="CC33" i="1"/>
  <c r="CC30" i="1"/>
  <c r="CC37" i="1"/>
  <c r="CC45" i="1"/>
  <c r="CC73" i="1"/>
  <c r="CC78" i="1"/>
  <c r="CC79" i="1"/>
  <c r="CC80" i="1"/>
  <c r="CC81" i="1"/>
  <c r="CC82" i="1"/>
  <c r="CC83" i="1"/>
  <c r="CC85" i="1"/>
  <c r="CC18" i="1"/>
  <c r="CC60" i="1"/>
  <c r="CC87" i="1"/>
  <c r="CC88" i="1"/>
  <c r="CC29" i="1"/>
  <c r="CC38" i="1"/>
  <c r="CC39" i="1"/>
  <c r="CC62" i="1"/>
  <c r="CC70" i="1"/>
  <c r="CC71" i="1"/>
  <c r="CC41" i="1"/>
  <c r="CC68" i="1"/>
  <c r="CC67" i="1"/>
  <c r="CC63" i="1"/>
  <c r="CC97" i="1"/>
  <c r="CC59" i="1"/>
  <c r="CC90" i="1"/>
  <c r="CC110" i="1"/>
  <c r="CC91" i="1"/>
  <c r="CC102" i="1"/>
  <c r="CC106" i="1"/>
  <c r="CC113" i="1"/>
  <c r="CC42" i="1"/>
  <c r="CC96" i="1"/>
  <c r="CC64" i="1"/>
  <c r="CC100" i="1"/>
  <c r="CC66" i="1"/>
  <c r="CC77" i="1"/>
  <c r="CC58" i="1"/>
  <c r="CC109" i="1"/>
  <c r="CC69" i="1"/>
  <c r="CC112" i="1"/>
  <c r="CC40" i="1"/>
  <c r="CC43" i="1"/>
  <c r="CC72" i="1"/>
  <c r="CC103" i="1"/>
  <c r="CC105" i="1"/>
  <c r="CC86" i="1"/>
  <c r="CC65" i="1"/>
  <c r="CC101" i="1"/>
  <c r="CC107" i="1"/>
  <c r="CC108" i="1"/>
  <c r="CC89" i="1"/>
  <c r="CC111" i="1"/>
  <c r="CC84" i="1"/>
  <c r="CC99" i="1"/>
  <c r="CC115" i="1"/>
  <c r="CC118" i="1"/>
  <c r="CC98" i="1"/>
  <c r="CC92" i="1"/>
  <c r="CC119" i="1"/>
  <c r="CC76" i="1"/>
  <c r="CC104" i="1"/>
  <c r="CC74" i="1"/>
  <c r="CC93" i="1"/>
  <c r="CC94" i="1"/>
  <c r="CC116" i="1"/>
  <c r="CC95" i="1"/>
  <c r="CC75" i="1"/>
  <c r="CC114" i="1"/>
  <c r="CC117" i="1"/>
  <c r="CC2" i="1"/>
  <c r="AV122" i="1"/>
  <c r="BY8" i="1"/>
  <c r="BY24" i="1"/>
  <c r="BY35" i="1"/>
  <c r="BY53" i="1"/>
  <c r="BY30" i="1"/>
  <c r="BY18" i="1"/>
  <c r="BY40" i="1"/>
  <c r="BY3" i="1"/>
  <c r="BY21" i="1"/>
  <c r="BY10" i="1"/>
  <c r="BY57" i="1"/>
  <c r="BY80" i="1"/>
  <c r="BY11" i="1"/>
  <c r="BY26" i="1"/>
  <c r="BY46" i="1"/>
  <c r="BY55" i="1"/>
  <c r="BY87" i="1"/>
  <c r="BY62" i="1"/>
  <c r="BY71" i="1"/>
  <c r="BY68" i="1"/>
  <c r="BY7" i="1"/>
  <c r="BY23" i="1"/>
  <c r="BY52" i="1"/>
  <c r="BY33" i="1"/>
  <c r="BY85" i="1"/>
  <c r="BY63" i="1"/>
  <c r="BY64" i="1"/>
  <c r="BY65" i="1"/>
  <c r="BY72" i="1"/>
  <c r="BY75" i="1"/>
  <c r="BY77" i="1"/>
  <c r="BY84" i="1"/>
  <c r="BY96" i="1"/>
  <c r="BY86" i="1"/>
  <c r="BY97" i="1"/>
  <c r="BY98" i="1"/>
  <c r="BY99" i="1"/>
  <c r="BY100" i="1"/>
  <c r="BY101" i="1"/>
  <c r="BY102" i="1"/>
  <c r="BY103" i="1"/>
  <c r="BY104" i="1"/>
  <c r="BY105" i="1"/>
  <c r="BY106" i="1"/>
  <c r="BY107" i="1"/>
  <c r="BY58" i="1"/>
  <c r="BY59" i="1"/>
  <c r="BY108" i="1"/>
  <c r="BY109" i="1"/>
  <c r="BY90" i="1"/>
  <c r="BY89" i="1"/>
  <c r="BY69" i="1"/>
  <c r="BY110" i="1"/>
  <c r="BY111" i="1"/>
  <c r="BY112" i="1"/>
  <c r="BY113" i="1"/>
  <c r="BY114" i="1"/>
  <c r="BY17" i="1"/>
  <c r="BY56" i="1"/>
  <c r="BY79" i="1"/>
  <c r="BY39" i="1"/>
  <c r="BY70" i="1"/>
  <c r="BY66" i="1"/>
  <c r="BY43" i="1"/>
  <c r="BY14" i="1"/>
  <c r="BY25" i="1"/>
  <c r="BY44" i="1"/>
  <c r="BY54" i="1"/>
  <c r="BY37" i="1"/>
  <c r="BY60" i="1"/>
  <c r="BY4" i="1"/>
  <c r="BY19" i="1"/>
  <c r="BY12" i="1"/>
  <c r="BY28" i="1"/>
  <c r="BY81" i="1"/>
  <c r="BY91" i="1"/>
  <c r="BY42" i="1"/>
  <c r="BY13" i="1"/>
  <c r="BY73" i="1"/>
  <c r="BY82" i="1"/>
  <c r="BY38" i="1"/>
  <c r="BY20" i="1"/>
  <c r="BY9" i="1"/>
  <c r="BY78" i="1"/>
  <c r="BY50" i="1"/>
  <c r="BY31" i="1"/>
  <c r="BY48" i="1"/>
  <c r="BY83" i="1"/>
  <c r="BY16" i="1"/>
  <c r="BY32" i="1"/>
  <c r="BY5" i="1"/>
  <c r="BY51" i="1"/>
  <c r="BY88" i="1"/>
  <c r="BY45" i="1"/>
  <c r="BY29" i="1"/>
  <c r="BY22" i="1"/>
  <c r="BY115" i="1"/>
  <c r="BY92" i="1"/>
  <c r="BY76" i="1"/>
  <c r="BY74" i="1"/>
  <c r="BY116" i="1"/>
  <c r="BY117" i="1"/>
  <c r="BY118" i="1"/>
  <c r="BY119" i="1"/>
  <c r="BY93" i="1"/>
  <c r="BY94" i="1"/>
  <c r="BY95" i="1"/>
  <c r="BY6" i="1"/>
  <c r="BY47" i="1"/>
  <c r="BY67" i="1"/>
  <c r="BY41" i="1"/>
  <c r="BY27" i="1"/>
  <c r="BY34" i="1"/>
  <c r="BY2" i="1"/>
  <c r="AQ122" i="1"/>
  <c r="BT5" i="1"/>
  <c r="BT31" i="1"/>
  <c r="BT50" i="1"/>
  <c r="BT9" i="1"/>
  <c r="BT82" i="1"/>
  <c r="BT67" i="1"/>
  <c r="BT63" i="1"/>
  <c r="BT64" i="1"/>
  <c r="BT65" i="1"/>
  <c r="BT72" i="1"/>
  <c r="BT75" i="1"/>
  <c r="BT77" i="1"/>
  <c r="BT84" i="1"/>
  <c r="BT96" i="1"/>
  <c r="BT86" i="1"/>
  <c r="BT97" i="1"/>
  <c r="BT98" i="1"/>
  <c r="BT99" i="1"/>
  <c r="BT100" i="1"/>
  <c r="BT101" i="1"/>
  <c r="BT102" i="1"/>
  <c r="BT103" i="1"/>
  <c r="BT104" i="1"/>
  <c r="BT105" i="1"/>
  <c r="BT106" i="1"/>
  <c r="BT107" i="1"/>
  <c r="BT58" i="1"/>
  <c r="BT59" i="1"/>
  <c r="BT108" i="1"/>
  <c r="BT109" i="1"/>
  <c r="BT90" i="1"/>
  <c r="BT89" i="1"/>
  <c r="BT69" i="1"/>
  <c r="BT110" i="1"/>
  <c r="BT111" i="1"/>
  <c r="BT112" i="1"/>
  <c r="BT113" i="1"/>
  <c r="BT114" i="1"/>
  <c r="BT20" i="1"/>
  <c r="BT34" i="1"/>
  <c r="BT73" i="1"/>
  <c r="BT29" i="1"/>
  <c r="BT7" i="1"/>
  <c r="BT23" i="1"/>
  <c r="BT52" i="1"/>
  <c r="BT33" i="1"/>
  <c r="BT85" i="1"/>
  <c r="BT70" i="1"/>
  <c r="BT66" i="1"/>
  <c r="BT43" i="1"/>
  <c r="BT4" i="1"/>
  <c r="BT19" i="1"/>
  <c r="BT12" i="1"/>
  <c r="BT28" i="1"/>
  <c r="BT81" i="1"/>
  <c r="BT13" i="1"/>
  <c r="BT27" i="1"/>
  <c r="BT47" i="1"/>
  <c r="BT45" i="1"/>
  <c r="BT88" i="1"/>
  <c r="BT41" i="1"/>
  <c r="BT6" i="1"/>
  <c r="BT22" i="1"/>
  <c r="BT51" i="1"/>
  <c r="BT32" i="1"/>
  <c r="BT83" i="1"/>
  <c r="BT16" i="1"/>
  <c r="BT48" i="1"/>
  <c r="BT78" i="1"/>
  <c r="BT38" i="1"/>
  <c r="BT40" i="1"/>
  <c r="BT3" i="1"/>
  <c r="BT35" i="1"/>
  <c r="BT91" i="1"/>
  <c r="BT68" i="1"/>
  <c r="BT8" i="1"/>
  <c r="BT37" i="1"/>
  <c r="BT25" i="1"/>
  <c r="BT54" i="1"/>
  <c r="BT39" i="1"/>
  <c r="BT44" i="1"/>
  <c r="BT79" i="1"/>
  <c r="BT87" i="1"/>
  <c r="BT71" i="1"/>
  <c r="BT115" i="1"/>
  <c r="BT92" i="1"/>
  <c r="BT76" i="1"/>
  <c r="BT74" i="1"/>
  <c r="BT116" i="1"/>
  <c r="BT117" i="1"/>
  <c r="BT118" i="1"/>
  <c r="BT119" i="1"/>
  <c r="BT93" i="1"/>
  <c r="BT94" i="1"/>
  <c r="BT95" i="1"/>
  <c r="BT56" i="1"/>
  <c r="BT14" i="1"/>
  <c r="BT55" i="1"/>
  <c r="BT62" i="1"/>
  <c r="BT17" i="1"/>
  <c r="BT46" i="1"/>
  <c r="BT80" i="1"/>
  <c r="BT26" i="1"/>
  <c r="BT57" i="1"/>
  <c r="BT21" i="1"/>
  <c r="BT11" i="1"/>
  <c r="BT10" i="1"/>
  <c r="BT18" i="1"/>
  <c r="BT53" i="1"/>
  <c r="BT30" i="1"/>
  <c r="BT60" i="1"/>
  <c r="BT24" i="1"/>
  <c r="BT42" i="1"/>
  <c r="BT2" i="1"/>
  <c r="AX122" i="1"/>
  <c r="CA6" i="1"/>
  <c r="CA22" i="1"/>
  <c r="CA51" i="1"/>
  <c r="CA32" i="1"/>
  <c r="CA83" i="1"/>
  <c r="CA41" i="1"/>
  <c r="CA16" i="1"/>
  <c r="CA48" i="1"/>
  <c r="CA78" i="1"/>
  <c r="CA38" i="1"/>
  <c r="CA8" i="1"/>
  <c r="CA24" i="1"/>
  <c r="CA35" i="1"/>
  <c r="CA53" i="1"/>
  <c r="CA30" i="1"/>
  <c r="CA18" i="1"/>
  <c r="CA40" i="1"/>
  <c r="CA5" i="1"/>
  <c r="CA31" i="1"/>
  <c r="CA50" i="1"/>
  <c r="CA9" i="1"/>
  <c r="CA82" i="1"/>
  <c r="CA20" i="1"/>
  <c r="CA34" i="1"/>
  <c r="CA73" i="1"/>
  <c r="CA29" i="1"/>
  <c r="CA67" i="1"/>
  <c r="CA7" i="1"/>
  <c r="CA23" i="1"/>
  <c r="CA52" i="1"/>
  <c r="CA33" i="1"/>
  <c r="CA85" i="1"/>
  <c r="CA63" i="1"/>
  <c r="CA64" i="1"/>
  <c r="CA65" i="1"/>
  <c r="CA72" i="1"/>
  <c r="CA75" i="1"/>
  <c r="CA77" i="1"/>
  <c r="CA84" i="1"/>
  <c r="CA96" i="1"/>
  <c r="CA86" i="1"/>
  <c r="CA97" i="1"/>
  <c r="CA98" i="1"/>
  <c r="CA99" i="1"/>
  <c r="CA100" i="1"/>
  <c r="CA101" i="1"/>
  <c r="CA102" i="1"/>
  <c r="CA103" i="1"/>
  <c r="CA104" i="1"/>
  <c r="CA17" i="1"/>
  <c r="CA56" i="1"/>
  <c r="CA79" i="1"/>
  <c r="CA39" i="1"/>
  <c r="CA70" i="1"/>
  <c r="CA66" i="1"/>
  <c r="CA43" i="1"/>
  <c r="CA47" i="1"/>
  <c r="CA81" i="1"/>
  <c r="CA59" i="1"/>
  <c r="CA110" i="1"/>
  <c r="CA27" i="1"/>
  <c r="CA3" i="1"/>
  <c r="CA13" i="1"/>
  <c r="CA12" i="1"/>
  <c r="CA60" i="1"/>
  <c r="CA91" i="1"/>
  <c r="CA37" i="1"/>
  <c r="CA68" i="1"/>
  <c r="CA42" i="1"/>
  <c r="CA19" i="1"/>
  <c r="CA54" i="1"/>
  <c r="CA58" i="1"/>
  <c r="CA109" i="1"/>
  <c r="CA69" i="1"/>
  <c r="CA112" i="1"/>
  <c r="CA44" i="1"/>
  <c r="CA4" i="1"/>
  <c r="CA25" i="1"/>
  <c r="CA87" i="1"/>
  <c r="CA105" i="1"/>
  <c r="CA14" i="1"/>
  <c r="CA71" i="1"/>
  <c r="CA55" i="1"/>
  <c r="CA107" i="1"/>
  <c r="CA108" i="1"/>
  <c r="CA89" i="1"/>
  <c r="CA111" i="1"/>
  <c r="CA114" i="1"/>
  <c r="CA76" i="1"/>
  <c r="CA116" i="1"/>
  <c r="CA119" i="1"/>
  <c r="CA95" i="1"/>
  <c r="CA46" i="1"/>
  <c r="CA80" i="1"/>
  <c r="CA88" i="1"/>
  <c r="CA62" i="1"/>
  <c r="CA11" i="1"/>
  <c r="CA92" i="1"/>
  <c r="CA117" i="1"/>
  <c r="CA93" i="1"/>
  <c r="CA90" i="1"/>
  <c r="CA26" i="1"/>
  <c r="CA57" i="1"/>
  <c r="CA45" i="1"/>
  <c r="CA10" i="1"/>
  <c r="CA115" i="1"/>
  <c r="CA74" i="1"/>
  <c r="CA118" i="1"/>
  <c r="CA94" i="1"/>
  <c r="CA21" i="1"/>
  <c r="CA106" i="1"/>
  <c r="CA113" i="1"/>
  <c r="CA28" i="1"/>
  <c r="CA2" i="1"/>
  <c r="BA122" i="1"/>
  <c r="CD3" i="1"/>
  <c r="CD4" i="1"/>
  <c r="CD5" i="1"/>
  <c r="CD6" i="1"/>
  <c r="CD7" i="1"/>
  <c r="CD8" i="1"/>
  <c r="CD14" i="1"/>
  <c r="CD11" i="1"/>
  <c r="CD13" i="1"/>
  <c r="CD21" i="1"/>
  <c r="CD19" i="1"/>
  <c r="CD22" i="1"/>
  <c r="CD23" i="1"/>
  <c r="CD24" i="1"/>
  <c r="CD25" i="1"/>
  <c r="CD26" i="1"/>
  <c r="CD27" i="1"/>
  <c r="CD20" i="1"/>
  <c r="CD16" i="1"/>
  <c r="CD17" i="1"/>
  <c r="CD31" i="1"/>
  <c r="CD35" i="1"/>
  <c r="CD44" i="1"/>
  <c r="CD46" i="1"/>
  <c r="CD47" i="1"/>
  <c r="CD48" i="1"/>
  <c r="CD10" i="1"/>
  <c r="CD12" i="1"/>
  <c r="CD50" i="1"/>
  <c r="CD51" i="1"/>
  <c r="CD52" i="1"/>
  <c r="CD53" i="1"/>
  <c r="CD54" i="1"/>
  <c r="CD55" i="1"/>
  <c r="CD34" i="1"/>
  <c r="CD56" i="1"/>
  <c r="CD57" i="1"/>
  <c r="CD28" i="1"/>
  <c r="CD9" i="1"/>
  <c r="CD32" i="1"/>
  <c r="CD33" i="1"/>
  <c r="CD30" i="1"/>
  <c r="CD37" i="1"/>
  <c r="CD45" i="1"/>
  <c r="CD73" i="1"/>
  <c r="CD78" i="1"/>
  <c r="CD79" i="1"/>
  <c r="CD80" i="1"/>
  <c r="CD81" i="1"/>
  <c r="CD82" i="1"/>
  <c r="CD83" i="1"/>
  <c r="CD85" i="1"/>
  <c r="CD18" i="1"/>
  <c r="CD60" i="1"/>
  <c r="CD87" i="1"/>
  <c r="CD88" i="1"/>
  <c r="CD29" i="1"/>
  <c r="CD38" i="1"/>
  <c r="CD39" i="1"/>
  <c r="CD62" i="1"/>
  <c r="CD70" i="1"/>
  <c r="CD71" i="1"/>
  <c r="CD91" i="1"/>
  <c r="CD42" i="1"/>
  <c r="CD41" i="1"/>
  <c r="CD68" i="1"/>
  <c r="CD67" i="1"/>
  <c r="CD75" i="1"/>
  <c r="CD104" i="1"/>
  <c r="CD114" i="1"/>
  <c r="CD115" i="1"/>
  <c r="CD92" i="1"/>
  <c r="CD76" i="1"/>
  <c r="CD74" i="1"/>
  <c r="CD116" i="1"/>
  <c r="CD117" i="1"/>
  <c r="CD118" i="1"/>
  <c r="CD119" i="1"/>
  <c r="CD93" i="1"/>
  <c r="CD94" i="1"/>
  <c r="CD95" i="1"/>
  <c r="CD90" i="1"/>
  <c r="CD110" i="1"/>
  <c r="CD96" i="1"/>
  <c r="CD77" i="1"/>
  <c r="CD97" i="1"/>
  <c r="CD59" i="1"/>
  <c r="CD102" i="1"/>
  <c r="CD106" i="1"/>
  <c r="CD113" i="1"/>
  <c r="CD64" i="1"/>
  <c r="CD100" i="1"/>
  <c r="CD66" i="1"/>
  <c r="CD58" i="1"/>
  <c r="CD40" i="1"/>
  <c r="CD43" i="1"/>
  <c r="CD98" i="1"/>
  <c r="CD65" i="1"/>
  <c r="CD101" i="1"/>
  <c r="CD107" i="1"/>
  <c r="CD108" i="1"/>
  <c r="CD84" i="1"/>
  <c r="CD72" i="1"/>
  <c r="CD103" i="1"/>
  <c r="CD105" i="1"/>
  <c r="CD89" i="1"/>
  <c r="CD86" i="1"/>
  <c r="CD111" i="1"/>
  <c r="CD99" i="1"/>
  <c r="CD69" i="1"/>
  <c r="CD63" i="1"/>
  <c r="CD112" i="1"/>
  <c r="CD109" i="1"/>
  <c r="CD2" i="1"/>
  <c r="CF24" i="1" l="1"/>
  <c r="CH24" i="1" s="1"/>
  <c r="CF119" i="1"/>
  <c r="CF39" i="1"/>
  <c r="CF4" i="1"/>
  <c r="CF34" i="1"/>
  <c r="CF46" i="1"/>
  <c r="CF88" i="1"/>
  <c r="BZ120" i="1"/>
  <c r="BV120" i="1"/>
  <c r="CF30" i="1"/>
  <c r="CF25" i="1"/>
  <c r="CF16" i="1"/>
  <c r="CF45" i="1"/>
  <c r="CF20" i="1"/>
  <c r="CF116" i="1"/>
  <c r="BW120" i="1"/>
  <c r="CF55" i="1"/>
  <c r="CF47" i="1"/>
  <c r="CB120" i="1"/>
  <c r="CF18" i="1"/>
  <c r="CF76" i="1"/>
  <c r="CC120" i="1"/>
  <c r="CA120" i="1"/>
  <c r="CF14" i="1"/>
  <c r="CF92" i="1"/>
  <c r="CF11" i="1"/>
  <c r="CF5" i="1"/>
  <c r="CF21" i="1"/>
  <c r="CF56" i="1"/>
  <c r="CF3" i="1"/>
  <c r="BT120" i="1"/>
  <c r="CF22" i="1"/>
  <c r="CF28" i="1"/>
  <c r="CF23" i="1"/>
  <c r="CE120" i="1"/>
  <c r="CD120" i="1"/>
  <c r="CF57" i="1"/>
  <c r="CF87" i="1"/>
  <c r="CF2" i="1"/>
  <c r="CF38" i="1"/>
  <c r="CF41" i="1"/>
  <c r="CF29" i="1"/>
  <c r="BU120" i="1"/>
  <c r="CF93" i="1"/>
  <c r="CF44" i="1"/>
  <c r="CF19" i="1"/>
  <c r="CF64" i="1"/>
  <c r="BY120" i="1"/>
  <c r="BX120" i="1"/>
  <c r="CL24" i="1" l="1"/>
  <c r="CG24" i="1"/>
  <c r="CQ24" i="1"/>
  <c r="CP24" i="1"/>
  <c r="CM24" i="1"/>
  <c r="CI24" i="1"/>
  <c r="CR24" i="1"/>
  <c r="CJ24" i="1"/>
  <c r="CO24" i="1"/>
  <c r="CK24" i="1"/>
  <c r="CN24" i="1"/>
  <c r="CN5" i="1"/>
  <c r="CM5" i="1"/>
  <c r="CR5" i="1"/>
  <c r="CI5" i="1"/>
  <c r="CK5" i="1"/>
  <c r="CJ5" i="1"/>
  <c r="CL5" i="1"/>
  <c r="CP5" i="1"/>
  <c r="CQ5" i="1"/>
  <c r="CG5" i="1"/>
  <c r="CH5" i="1"/>
  <c r="CO5" i="1"/>
  <c r="CK30" i="1"/>
  <c r="CQ30" i="1"/>
  <c r="CM30" i="1"/>
  <c r="CL30" i="1"/>
  <c r="CG30" i="1"/>
  <c r="CP30" i="1"/>
  <c r="CJ30" i="1"/>
  <c r="CI30" i="1"/>
  <c r="CN30" i="1"/>
  <c r="CO30" i="1"/>
  <c r="CR30" i="1"/>
  <c r="CH30" i="1"/>
  <c r="CO64" i="1"/>
  <c r="CJ64" i="1"/>
  <c r="CI64" i="1"/>
  <c r="CH64" i="1"/>
  <c r="CR64" i="1"/>
  <c r="CQ64" i="1"/>
  <c r="CM64" i="1"/>
  <c r="CP64" i="1"/>
  <c r="CG64" i="1"/>
  <c r="CK64" i="1"/>
  <c r="CN64" i="1"/>
  <c r="CL64" i="1"/>
  <c r="CR87" i="1"/>
  <c r="CG87" i="1"/>
  <c r="CI87" i="1"/>
  <c r="CN87" i="1"/>
  <c r="CL87" i="1"/>
  <c r="CJ87" i="1"/>
  <c r="CM87" i="1"/>
  <c r="CH87" i="1"/>
  <c r="CO87" i="1"/>
  <c r="CQ87" i="1"/>
  <c r="CK87" i="1"/>
  <c r="CP87" i="1"/>
  <c r="CO47" i="1"/>
  <c r="CR47" i="1"/>
  <c r="CN47" i="1"/>
  <c r="CQ47" i="1"/>
  <c r="CK47" i="1"/>
  <c r="CP47" i="1"/>
  <c r="CH47" i="1"/>
  <c r="CJ47" i="1"/>
  <c r="CM47" i="1"/>
  <c r="CL47" i="1"/>
  <c r="CG47" i="1"/>
  <c r="CI47" i="1"/>
  <c r="CR19" i="1"/>
  <c r="CK19" i="1"/>
  <c r="CM19" i="1"/>
  <c r="CL19" i="1"/>
  <c r="CN19" i="1"/>
  <c r="CG19" i="1"/>
  <c r="CP19" i="1"/>
  <c r="CI19" i="1"/>
  <c r="CH19" i="1"/>
  <c r="CJ19" i="1"/>
  <c r="CO19" i="1"/>
  <c r="CQ19" i="1"/>
  <c r="CN57" i="1"/>
  <c r="CH57" i="1"/>
  <c r="CR57" i="1"/>
  <c r="CJ57" i="1"/>
  <c r="CL57" i="1"/>
  <c r="CM57" i="1"/>
  <c r="CP57" i="1"/>
  <c r="CG57" i="1"/>
  <c r="CO57" i="1"/>
  <c r="CK57" i="1"/>
  <c r="CI57" i="1"/>
  <c r="CQ57" i="1"/>
  <c r="CJ55" i="1"/>
  <c r="CN55" i="1"/>
  <c r="CK55" i="1"/>
  <c r="CH55" i="1"/>
  <c r="CP55" i="1"/>
  <c r="CR55" i="1"/>
  <c r="CG55" i="1"/>
  <c r="CL55" i="1"/>
  <c r="CM55" i="1"/>
  <c r="CO55" i="1"/>
  <c r="CQ55" i="1"/>
  <c r="CI55" i="1"/>
  <c r="CL44" i="1"/>
  <c r="CG44" i="1"/>
  <c r="CI44" i="1"/>
  <c r="CK44" i="1"/>
  <c r="CN44" i="1"/>
  <c r="CO44" i="1"/>
  <c r="CJ44" i="1"/>
  <c r="CM44" i="1"/>
  <c r="CQ44" i="1"/>
  <c r="CR44" i="1"/>
  <c r="CH44" i="1"/>
  <c r="CP44" i="1"/>
  <c r="CM11" i="1"/>
  <c r="CN11" i="1"/>
  <c r="CL11" i="1"/>
  <c r="CI11" i="1"/>
  <c r="CO11" i="1"/>
  <c r="CQ11" i="1"/>
  <c r="CJ11" i="1"/>
  <c r="CH11" i="1"/>
  <c r="CP11" i="1"/>
  <c r="CG11" i="1"/>
  <c r="CR11" i="1"/>
  <c r="CK11" i="1"/>
  <c r="CJ88" i="1"/>
  <c r="CQ88" i="1"/>
  <c r="CP88" i="1"/>
  <c r="CM88" i="1"/>
  <c r="CK88" i="1"/>
  <c r="CO88" i="1"/>
  <c r="CI88" i="1"/>
  <c r="CR88" i="1"/>
  <c r="CH88" i="1"/>
  <c r="CL88" i="1"/>
  <c r="CN88" i="1"/>
  <c r="CG88" i="1"/>
  <c r="CR93" i="1"/>
  <c r="CL93" i="1"/>
  <c r="CJ93" i="1"/>
  <c r="CI93" i="1"/>
  <c r="CG93" i="1"/>
  <c r="CN93" i="1"/>
  <c r="CH93" i="1"/>
  <c r="CM93" i="1"/>
  <c r="CP93" i="1"/>
  <c r="CK93" i="1"/>
  <c r="CQ93" i="1"/>
  <c r="CO93" i="1"/>
  <c r="CP23" i="1"/>
  <c r="CR23" i="1"/>
  <c r="CM23" i="1"/>
  <c r="CK23" i="1"/>
  <c r="CL23" i="1"/>
  <c r="CQ23" i="1"/>
  <c r="CO23" i="1"/>
  <c r="CN23" i="1"/>
  <c r="CH23" i="1"/>
  <c r="CG23" i="1"/>
  <c r="CI23" i="1"/>
  <c r="CJ23" i="1"/>
  <c r="CI46" i="1"/>
  <c r="CN46" i="1"/>
  <c r="CM46" i="1"/>
  <c r="CJ46" i="1"/>
  <c r="CO46" i="1"/>
  <c r="CQ46" i="1"/>
  <c r="CR46" i="1"/>
  <c r="CK46" i="1"/>
  <c r="CH46" i="1"/>
  <c r="CL46" i="1"/>
  <c r="CP46" i="1"/>
  <c r="CG46" i="1"/>
  <c r="CQ28" i="1"/>
  <c r="CH28" i="1"/>
  <c r="CP28" i="1"/>
  <c r="CK28" i="1"/>
  <c r="CJ28" i="1"/>
  <c r="CG28" i="1"/>
  <c r="CI28" i="1"/>
  <c r="CN28" i="1"/>
  <c r="CO28" i="1"/>
  <c r="CR28" i="1"/>
  <c r="CM28" i="1"/>
  <c r="CL28" i="1"/>
  <c r="CK92" i="1"/>
  <c r="CJ92" i="1"/>
  <c r="CO92" i="1"/>
  <c r="CM92" i="1"/>
  <c r="CR92" i="1"/>
  <c r="CI92" i="1"/>
  <c r="CP92" i="1"/>
  <c r="CN92" i="1"/>
  <c r="CL92" i="1"/>
  <c r="CG92" i="1"/>
  <c r="CH92" i="1"/>
  <c r="CQ92" i="1"/>
  <c r="CR34" i="1"/>
  <c r="CP34" i="1"/>
  <c r="CN34" i="1"/>
  <c r="CJ34" i="1"/>
  <c r="CL34" i="1"/>
  <c r="CH34" i="1"/>
  <c r="CO34" i="1"/>
  <c r="CI34" i="1"/>
  <c r="CG34" i="1"/>
  <c r="CM34" i="1"/>
  <c r="CK34" i="1"/>
  <c r="CQ34" i="1"/>
  <c r="CN22" i="1"/>
  <c r="CK22" i="1"/>
  <c r="CR22" i="1"/>
  <c r="CH22" i="1"/>
  <c r="CG22" i="1"/>
  <c r="CL22" i="1"/>
  <c r="CJ22" i="1"/>
  <c r="CO22" i="1"/>
  <c r="CQ22" i="1"/>
  <c r="CP22" i="1"/>
  <c r="CI22" i="1"/>
  <c r="CM22" i="1"/>
  <c r="CO14" i="1"/>
  <c r="CR14" i="1"/>
  <c r="CI14" i="1"/>
  <c r="CJ14" i="1"/>
  <c r="CG14" i="1"/>
  <c r="CQ14" i="1"/>
  <c r="CM14" i="1"/>
  <c r="CH14" i="1"/>
  <c r="CP14" i="1"/>
  <c r="CN14" i="1"/>
  <c r="CK14" i="1"/>
  <c r="CL14" i="1"/>
  <c r="CG116" i="1"/>
  <c r="CI116" i="1"/>
  <c r="CM116" i="1"/>
  <c r="CK116" i="1"/>
  <c r="CR116" i="1"/>
  <c r="CL116" i="1"/>
  <c r="CQ116" i="1"/>
  <c r="CO116" i="1"/>
  <c r="CP116" i="1"/>
  <c r="CN116" i="1"/>
  <c r="CH116" i="1"/>
  <c r="CJ116" i="1"/>
  <c r="CN4" i="1"/>
  <c r="CL4" i="1"/>
  <c r="CQ4" i="1"/>
  <c r="CM4" i="1"/>
  <c r="CG4" i="1"/>
  <c r="CH4" i="1"/>
  <c r="CP4" i="1"/>
  <c r="CO4" i="1"/>
  <c r="CK4" i="1"/>
  <c r="CR4" i="1"/>
  <c r="CI4" i="1"/>
  <c r="CJ4" i="1"/>
  <c r="CQ29" i="1"/>
  <c r="CR29" i="1"/>
  <c r="CG29" i="1"/>
  <c r="CJ29" i="1"/>
  <c r="CK29" i="1"/>
  <c r="CP29" i="1"/>
  <c r="CI29" i="1"/>
  <c r="CH29" i="1"/>
  <c r="CL29" i="1"/>
  <c r="CN29" i="1"/>
  <c r="CO29" i="1"/>
  <c r="CM29" i="1"/>
  <c r="CI20" i="1"/>
  <c r="CH20" i="1"/>
  <c r="CR20" i="1"/>
  <c r="CK20" i="1"/>
  <c r="CJ20" i="1"/>
  <c r="CP20" i="1"/>
  <c r="CN20" i="1"/>
  <c r="CM20" i="1"/>
  <c r="CL20" i="1"/>
  <c r="CG20" i="1"/>
  <c r="CO20" i="1"/>
  <c r="CQ20" i="1"/>
  <c r="CK41" i="1"/>
  <c r="CP41" i="1"/>
  <c r="CL41" i="1"/>
  <c r="CI41" i="1"/>
  <c r="CR41" i="1"/>
  <c r="CQ41" i="1"/>
  <c r="CO41" i="1"/>
  <c r="CH41" i="1"/>
  <c r="CJ41" i="1"/>
  <c r="CM41" i="1"/>
  <c r="CG41" i="1"/>
  <c r="CN41" i="1"/>
  <c r="CN3" i="1"/>
  <c r="CR3" i="1"/>
  <c r="CI3" i="1"/>
  <c r="CO3" i="1"/>
  <c r="CK3" i="1"/>
  <c r="CJ3" i="1"/>
  <c r="CM3" i="1"/>
  <c r="CP3" i="1"/>
  <c r="CG3" i="1"/>
  <c r="CL3" i="1"/>
  <c r="CH3" i="1"/>
  <c r="CQ3" i="1"/>
  <c r="CG45" i="1"/>
  <c r="CM45" i="1"/>
  <c r="CJ45" i="1"/>
  <c r="CO45" i="1"/>
  <c r="CH45" i="1"/>
  <c r="CK45" i="1"/>
  <c r="CR45" i="1"/>
  <c r="CI45" i="1"/>
  <c r="CL45" i="1"/>
  <c r="CQ45" i="1"/>
  <c r="CP45" i="1"/>
  <c r="CN45" i="1"/>
  <c r="CN38" i="1"/>
  <c r="CM38" i="1"/>
  <c r="CI38" i="1"/>
  <c r="CG38" i="1"/>
  <c r="CL38" i="1"/>
  <c r="CP38" i="1"/>
  <c r="CO38" i="1"/>
  <c r="CQ38" i="1"/>
  <c r="CJ38" i="1"/>
  <c r="CK38" i="1"/>
  <c r="CH38" i="1"/>
  <c r="CR38" i="1"/>
  <c r="CL56" i="1"/>
  <c r="CO56" i="1"/>
  <c r="CM56" i="1"/>
  <c r="CP56" i="1"/>
  <c r="CQ56" i="1"/>
  <c r="CK56" i="1"/>
  <c r="CG56" i="1"/>
  <c r="CJ56" i="1"/>
  <c r="CH56" i="1"/>
  <c r="CR56" i="1"/>
  <c r="CN56" i="1"/>
  <c r="CI56" i="1"/>
  <c r="CN76" i="1"/>
  <c r="CP76" i="1"/>
  <c r="CR76" i="1"/>
  <c r="CI76" i="1"/>
  <c r="CO76" i="1"/>
  <c r="CL76" i="1"/>
  <c r="CJ76" i="1"/>
  <c r="CG76" i="1"/>
  <c r="CK76" i="1"/>
  <c r="CM76" i="1"/>
  <c r="CQ76" i="1"/>
  <c r="CH76" i="1"/>
  <c r="CH16" i="1"/>
  <c r="CK16" i="1"/>
  <c r="CQ16" i="1"/>
  <c r="CG16" i="1"/>
  <c r="CL16" i="1"/>
  <c r="CN16" i="1"/>
  <c r="CJ16" i="1"/>
  <c r="CI16" i="1"/>
  <c r="CO16" i="1"/>
  <c r="CM16" i="1"/>
  <c r="CR16" i="1"/>
  <c r="CP16" i="1"/>
  <c r="CR39" i="1"/>
  <c r="CI39" i="1"/>
  <c r="CN39" i="1"/>
  <c r="CP39" i="1"/>
  <c r="CM39" i="1"/>
  <c r="CK39" i="1"/>
  <c r="CO39" i="1"/>
  <c r="CQ39" i="1"/>
  <c r="CH39" i="1"/>
  <c r="CG39" i="1"/>
  <c r="CL39" i="1"/>
  <c r="CJ39" i="1"/>
  <c r="CH2" i="1"/>
  <c r="CO2" i="1"/>
  <c r="CR2" i="1"/>
  <c r="CL2" i="1"/>
  <c r="CK2" i="1"/>
  <c r="CI2" i="1"/>
  <c r="CQ2" i="1"/>
  <c r="CP2" i="1"/>
  <c r="CM2" i="1"/>
  <c r="CJ2" i="1"/>
  <c r="CN2" i="1"/>
  <c r="CG2" i="1"/>
  <c r="CN21" i="1"/>
  <c r="CH21" i="1"/>
  <c r="CJ21" i="1"/>
  <c r="CK21" i="1"/>
  <c r="CP21" i="1"/>
  <c r="CI21" i="1"/>
  <c r="CG21" i="1"/>
  <c r="CO21" i="1"/>
  <c r="CL21" i="1"/>
  <c r="CR21" i="1"/>
  <c r="CQ21" i="1"/>
  <c r="CM21" i="1"/>
  <c r="CG18" i="1"/>
  <c r="CM18" i="1"/>
  <c r="CO18" i="1"/>
  <c r="CQ18" i="1"/>
  <c r="CJ18" i="1"/>
  <c r="CL18" i="1"/>
  <c r="CI18" i="1"/>
  <c r="CK18" i="1"/>
  <c r="CH18" i="1"/>
  <c r="CP18" i="1"/>
  <c r="CN18" i="1"/>
  <c r="CR18" i="1"/>
  <c r="CM25" i="1"/>
  <c r="CL25" i="1"/>
  <c r="CH25" i="1"/>
  <c r="CI25" i="1"/>
  <c r="CR25" i="1"/>
  <c r="CQ25" i="1"/>
  <c r="CO25" i="1"/>
  <c r="CK25" i="1"/>
  <c r="CN25" i="1"/>
  <c r="CJ25" i="1"/>
  <c r="CP25" i="1"/>
  <c r="CG25" i="1"/>
  <c r="CM119" i="1"/>
  <c r="CN119" i="1"/>
  <c r="CP119" i="1"/>
  <c r="CL119" i="1"/>
  <c r="CG119" i="1"/>
  <c r="CR119" i="1"/>
  <c r="CK119" i="1"/>
  <c r="CJ119" i="1"/>
  <c r="CQ119" i="1"/>
  <c r="CH119" i="1"/>
  <c r="CO119" i="1"/>
  <c r="CI119" i="1"/>
  <c r="CQ120" i="1" l="1"/>
  <c r="CH120" i="1"/>
  <c r="CL120" i="1"/>
  <c r="CG120" i="1"/>
  <c r="CP120" i="1"/>
  <c r="CM120" i="1"/>
  <c r="CJ120" i="1"/>
  <c r="CK120" i="1"/>
  <c r="CO120" i="1"/>
  <c r="CI120" i="1"/>
  <c r="CR120" i="1"/>
  <c r="CN120" i="1"/>
</calcChain>
</file>

<file path=xl/sharedStrings.xml><?xml version="1.0" encoding="utf-8"?>
<sst xmlns="http://schemas.openxmlformats.org/spreadsheetml/2006/main" count="768" uniqueCount="279">
  <si>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</si>
  <si>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</si>
  <si>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</si>
  <si>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</si>
  <si>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</si>
  <si>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</si>
  <si>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</si>
  <si>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</si>
  <si>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</si>
  <si>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</si>
  <si>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</si>
  <si>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</si>
  <si>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</si>
  <si>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</si>
  <si>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</si>
  <si>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</si>
  <si>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</si>
  <si>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</si>
  <si>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</si>
  <si>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</si>
  <si>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</si>
  <si>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</si>
  <si>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</si>
  <si>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</si>
  <si>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</si>
  <si>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</si>
  <si>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</si>
  <si>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</si>
  <si>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</si>
  <si>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</si>
  <si>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</si>
  <si>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</si>
  <si>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</si>
  <si>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</si>
  <si>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</si>
  <si>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</si>
  <si>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</si>
  <si>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</si>
  <si>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</si>
  <si>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</si>
  <si>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</si>
  <si>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</si>
  <si>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</si>
  <si>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</si>
  <si>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</si>
  <si>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</si>
  <si>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</si>
  <si>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</si>
  <si>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</si>
  <si>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</si>
  <si>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</si>
  <si>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</si>
  <si>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</si>
  <si>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</si>
  <si>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</si>
  <si>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</si>
  <si>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</si>
  <si>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</si>
  <si>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</si>
  <si>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</si>
  <si>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</si>
  <si>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</si>
  <si>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</si>
  <si>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</si>
  <si>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</si>
  <si>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</si>
  <si>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</si>
  <si>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</si>
  <si>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</si>
  <si>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</si>
  <si>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</si>
  <si>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</si>
  <si>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</si>
  <si>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</si>
  <si>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</si>
  <si>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</si>
  <si>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</si>
  <si>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</si>
  <si>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</si>
  <si>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</si>
  <si>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</si>
  <si>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</si>
  <si>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</si>
  <si>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</si>
  <si>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</si>
  <si>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</si>
  <si>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</si>
  <si>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</si>
  <si>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</si>
  <si>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</si>
  <si>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</si>
  <si>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</si>
  <si>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</si>
  <si>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</si>
  <si>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</si>
  <si>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</si>
  <si>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</si>
  <si>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</si>
  <si>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</si>
  <si>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</si>
  <si>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</si>
  <si>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</si>
  <si>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</si>
  <si>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</si>
  <si>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</si>
  <si>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</si>
  <si>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</si>
  <si>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</si>
  <si>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</si>
  <si>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</si>
  <si>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</si>
  <si>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</si>
  <si>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</si>
  <si>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</si>
  <si>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</si>
  <si>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</si>
  <si>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</si>
  <si>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</si>
  <si>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</si>
  <si>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</si>
  <si>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</si>
  <si>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</si>
  <si>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</si>
  <si>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</si>
  <si>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</si>
  <si>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</si>
  <si>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</si>
  <si>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</si>
  <si>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</si>
  <si>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</si>
  <si>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</si>
  <si>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</si>
  <si>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</si>
  <si>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</si>
  <si>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</si>
  <si>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</si>
  <si>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</si>
  <si>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</si>
  <si>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</si>
  <si>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</si>
  <si>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</si>
  <si>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</si>
  <si>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</si>
  <si>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</si>
  <si>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</si>
  <si>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</si>
  <si>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</si>
  <si>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</si>
  <si>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</si>
  <si>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</si>
  <si>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</si>
  <si>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</si>
  <si>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</si>
  <si>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</si>
  <si>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</si>
  <si>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</si>
  <si>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</si>
  <si>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</si>
  <si>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</si>
  <si>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</si>
  <si>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</si>
  <si>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</si>
  <si>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</si>
  <si>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</si>
  <si>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</si>
  <si>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</si>
  <si>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</si>
  <si>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</si>
  <si>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</si>
  <si>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</si>
  <si>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</si>
  <si>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</si>
  <si>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</si>
  <si>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</si>
  <si>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</si>
  <si>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</si>
  <si>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</si>
  <si>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</si>
  <si>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</si>
  <si>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</si>
  <si>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</si>
  <si>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</si>
  <si>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</si>
  <si>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</si>
  <si>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</si>
  <si>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</si>
  <si>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</si>
  <si>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</si>
  <si>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</si>
  <si>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</si>
  <si>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</si>
  <si>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</si>
  <si>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</si>
  <si>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</si>
  <si>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</si>
  <si>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</si>
  <si>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</si>
  <si>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</si>
  <si>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</si>
  <si>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</si>
  <si>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</si>
  <si>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愚山乾坤石(13),</t>
    <phoneticPr fontId="1" type="noConversion"/>
  </si>
  <si>
    <t>彗星(5),</t>
    <phoneticPr fontId="1" type="noConversion"/>
  </si>
  <si>
    <t>欠条大(8),_x000D_
钱袋大(10),</t>
    <phoneticPr fontId="1" type="noConversion"/>
  </si>
  <si>
    <t>欠条中(4),_x000D_
骰子小(8),_x000D_
筹码小(10),_x000D_
庄家令牌小(2),</t>
    <phoneticPr fontId="1" type="noConversion"/>
  </si>
  <si>
    <t>桂花酒(5),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</si>
  <si>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</si>
  <si>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</si>
  <si>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</si>
  <si>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</si>
  <si>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欠条小(8),_x000D_
钱袋小(9),_x000D_
骰子小(8),_x000D_
筹码小(10),</t>
    <phoneticPr fontId="1" type="noConversion"/>
  </si>
  <si>
    <t>糯米(3),</t>
    <phoneticPr fontId="1" type="noConversion"/>
  </si>
  <si>
    <t>螃蟹(5),</t>
    <phoneticPr fontId="1" type="noConversion"/>
  </si>
  <si>
    <t>欠条中(4),_x000D_
筹码中(4),_x000D_
筹码大(1),</t>
    <phoneticPr fontId="1" type="noConversion"/>
  </si>
  <si>
    <t>超进阶素材火(50),_x000D_
超进阶素材光(45),_x000D_
超进阶素材暗(45),</t>
    <phoneticPr fontId="1" type="noConversion"/>
  </si>
  <si>
    <t>超进阶素材土(9),_x000D_
超进阶素材木(1),_x000D_
超进阶素材光(45),_x000D_
超进阶素材暗(45),</t>
    <phoneticPr fontId="1" type="noConversion"/>
  </si>
  <si>
    <t>糯米(2),</t>
    <phoneticPr fontId="1" type="noConversion"/>
  </si>
  <si>
    <t>钱袋大(10),_x000D_
筹码大(9),</t>
    <phoneticPr fontId="1" type="noConversion"/>
  </si>
  <si>
    <t>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</si>
  <si>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</si>
  <si>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</si>
  <si>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皇天</t>
    <phoneticPr fontId="1" type="noConversion"/>
  </si>
  <si>
    <t>幸运符文叉大(5),</t>
  </si>
  <si>
    <t>幸运符文叉大(10),</t>
  </si>
  <si>
    <t>仙丹(5),</t>
    <phoneticPr fontId="1" type="noConversion"/>
  </si>
  <si>
    <t>仙丹(5),</t>
    <phoneticPr fontId="1" type="noConversion"/>
  </si>
  <si>
    <t>神农鼎(5),_x000D_
幸运符文叉大(15),</t>
    <phoneticPr fontId="1" type="noConversion"/>
  </si>
  <si>
    <t>幸运符文叉大(10),</t>
    <phoneticPr fontId="1" type="noConversion"/>
  </si>
  <si>
    <t>金钗(2),</t>
    <phoneticPr fontId="1" type="noConversion"/>
  </si>
  <si>
    <t>桂花(5),</t>
    <phoneticPr fontId="1" type="noConversion"/>
  </si>
  <si>
    <t>秘窟冰晶卵(4),</t>
    <phoneticPr fontId="1" type="noConversion"/>
  </si>
  <si>
    <t>神农鼎(10),_x000D_
幸运符文叉大(20),</t>
    <phoneticPr fontId="1" type="noConversion"/>
  </si>
  <si>
    <t>魅力符文叉大(6),</t>
    <phoneticPr fontId="1" type="noConversion"/>
  </si>
  <si>
    <t>龙灵不朽藤(8),</t>
    <phoneticPr fontId="1" type="noConversion"/>
  </si>
  <si>
    <t>愚山乾坤石(8),</t>
    <phoneticPr fontId="1" type="noConversion"/>
  </si>
  <si>
    <t>魅力符文叉大(11),</t>
    <phoneticPr fontId="1" type="noConversion"/>
  </si>
  <si>
    <t>神农鼎(5),_x000D_
龙灵不朽藤(13),</t>
    <phoneticPr fontId="1" type="noConversion"/>
  </si>
  <si>
    <t>愚山乾坤石(13),</t>
    <phoneticPr fontId="1" type="noConversion"/>
  </si>
  <si>
    <t>彗星(15),</t>
    <phoneticPr fontId="1" type="noConversion"/>
  </si>
  <si>
    <t>金甲虫(49),</t>
    <phoneticPr fontId="1" type="noConversion"/>
  </si>
  <si>
    <t>金甲虫(199),</t>
    <phoneticPr fontId="1" type="noConversion"/>
  </si>
  <si>
    <t>力量符文叉大(1),_x000D_
幸运符文叉大(15),</t>
    <phoneticPr fontId="1" type="noConversion"/>
  </si>
  <si>
    <t>糯米(5),_x000D_
粽叶(1),</t>
    <phoneticPr fontId="1" type="noConversion"/>
  </si>
  <si>
    <t>幸运符文叉大(15),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</si>
  <si>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</si>
  <si>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</si>
  <si>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力量符文叉大(6),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</si>
  <si>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</si>
  <si>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</si>
  <si>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魅力符文叉大(11),_x000D_
幸运符文叉大(15),</t>
    <phoneticPr fontId="1" type="noConversion"/>
  </si>
  <si>
    <t>愚山乾坤石(8),_x000D_
力量符文叉大(1),</t>
    <phoneticPr fontId="1" type="noConversion"/>
  </si>
  <si>
    <t>糯米(5),_x000D_
粽叶(10),</t>
    <phoneticPr fontId="1" type="noConversion"/>
  </si>
  <si>
    <t>太一之轮(3),_x000D_
幸运符文叉大(20),</t>
    <phoneticPr fontId="1" type="noConversion"/>
  </si>
  <si>
    <t>愚山乾坤石(8),_x000D_
魅力符文叉大(6),</t>
    <phoneticPr fontId="1" type="noConversion"/>
  </si>
  <si>
    <t>欠条大(8),_x000D_
钱袋大(10),</t>
    <phoneticPr fontId="1" type="noConversion"/>
  </si>
  <si>
    <t>钱袋大(10),_x000D_
筹码大(9),</t>
    <phoneticPr fontId="1" type="noConversion"/>
  </si>
  <si>
    <t>赤焰十字星(30),_x000D_
力量符文叉大(26),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</si>
  <si>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</si>
  <si>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</si>
  <si>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</si>
  <si>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神农鼎(5),_x000D_
赤焰十字星(5),_x000D_
幸运符文叉大(15),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</si>
  <si>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</si>
  <si>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</si>
  <si>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骰子大(4),_x000D_
庄家令牌大(6),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</si>
  <si>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</si>
  <si>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</si>
  <si>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</si>
  <si>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欠条大(8),_x000D_
骰子大(4),_x000D_
龙灵不朽藤(8),</t>
    <phoneticPr fontId="1" type="noConversion"/>
  </si>
  <si>
    <t>欠条大(8),_x000D_
骰子大(4),_x000D_
愚山乾坤石(8),</t>
    <phoneticPr fontId="1" type="noConversion"/>
  </si>
  <si>
    <t>糯米(10),_x000D_
粽叶(10),_x000D_
龙灵不朽藤(3),</t>
    <phoneticPr fontId="1" type="noConversion"/>
  </si>
  <si>
    <t>彗星(25),_x000D_
魅力符文叉大(6),</t>
    <phoneticPr fontId="1" type="noConversion"/>
  </si>
  <si>
    <t>超进阶素材火(50),_x000D_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</si>
  <si>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</si>
  <si>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</si>
  <si>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</si>
  <si>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</si>
  <si>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</si>
  <si>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</si>
  <si>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超进阶素材土(9),_x000D_
超进阶素材木(1),_x000D_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</si>
</sst>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126</xdr:row>
          <xdr:rowOff>28575</xdr:rowOff>
        </xdr:from>
        <xdr:to>
          <xdr:col>1</xdr:col>
          <xdr:colOff>428625</xdr:colOff>
          <xdr:row>127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</xdr:row>
          <xdr:rowOff>28575</xdr:rowOff>
        </xdr:from>
        <xdr:to>
          <xdr:col>1</xdr:col>
          <xdr:colOff>428625</xdr:colOff>
          <xdr:row>16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6"/>
  <sheetViews>
    <sheetView workbookViewId="0">
      <pane xSplit="2" ySplit="1" topLeftCell="BK41" activePane="bottomRight" state="frozen"/>
      <selection pane="topRight" activeCell="C1" sqref="C1"/>
      <selection pane="bottomLeft" activeCell="A3" sqref="A3"/>
      <selection pane="bottomRight" activeCell="BS32" sqref="BS32:BS3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76</v>
      </c>
      <c r="B1" s="8" t="s">
        <v>77</v>
      </c>
      <c r="C1" s="8" t="s">
        <v>79</v>
      </c>
      <c r="D1" s="8" t="s">
        <v>78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74</v>
      </c>
      <c r="K1" s="9" t="s">
        <v>26</v>
      </c>
      <c r="L1" s="9" t="s">
        <v>46</v>
      </c>
      <c r="M1" s="9" t="s">
        <v>48</v>
      </c>
      <c r="N1" s="9" t="s">
        <v>53</v>
      </c>
      <c r="O1" s="9" t="s">
        <v>47</v>
      </c>
      <c r="P1" s="27" t="s">
        <v>114</v>
      </c>
      <c r="Q1" s="27" t="s">
        <v>126</v>
      </c>
      <c r="R1" s="27" t="s">
        <v>120</v>
      </c>
      <c r="S1" s="27" t="s">
        <v>115</v>
      </c>
      <c r="T1" s="27" t="s">
        <v>124</v>
      </c>
      <c r="U1" s="27" t="s">
        <v>130</v>
      </c>
      <c r="V1" s="27" t="s">
        <v>116</v>
      </c>
      <c r="W1" s="27" t="s">
        <v>123</v>
      </c>
      <c r="X1" s="27" t="s">
        <v>121</v>
      </c>
      <c r="Y1" s="27" t="s">
        <v>117</v>
      </c>
      <c r="Z1" s="27" t="s">
        <v>125</v>
      </c>
      <c r="AA1" s="27" t="s">
        <v>132</v>
      </c>
      <c r="AB1" s="27" t="s">
        <v>119</v>
      </c>
      <c r="AC1" s="27" t="s">
        <v>118</v>
      </c>
      <c r="AD1" s="27" t="s">
        <v>143</v>
      </c>
      <c r="AE1" s="8" t="s">
        <v>9</v>
      </c>
      <c r="AF1" s="8" t="s">
        <v>32</v>
      </c>
      <c r="AG1" s="8" t="s">
        <v>33</v>
      </c>
      <c r="AH1" s="8" t="s">
        <v>64</v>
      </c>
      <c r="AI1" s="8" t="s">
        <v>65</v>
      </c>
      <c r="AJ1" s="8" t="s">
        <v>67</v>
      </c>
      <c r="AK1" s="8" t="s">
        <v>68</v>
      </c>
      <c r="AL1" s="8" t="s">
        <v>70</v>
      </c>
      <c r="AM1" s="8" t="s">
        <v>54</v>
      </c>
      <c r="AN1" s="8" t="s">
        <v>56</v>
      </c>
      <c r="AO1" s="8" t="s">
        <v>102</v>
      </c>
      <c r="AP1" s="8" t="s">
        <v>103</v>
      </c>
      <c r="AQ1" s="10" t="s">
        <v>43</v>
      </c>
      <c r="AR1" s="10" t="s">
        <v>5</v>
      </c>
      <c r="AS1" s="10" t="s">
        <v>30</v>
      </c>
      <c r="AT1" s="10" t="s">
        <v>58</v>
      </c>
      <c r="AU1" s="10" t="s">
        <v>62</v>
      </c>
      <c r="AV1" s="10" t="s">
        <v>52</v>
      </c>
      <c r="AW1" s="11" t="s">
        <v>6</v>
      </c>
      <c r="AX1" s="11" t="s">
        <v>7</v>
      </c>
      <c r="AY1" s="11" t="s">
        <v>44</v>
      </c>
      <c r="AZ1" s="11" t="s">
        <v>8</v>
      </c>
      <c r="BA1" s="11" t="s">
        <v>51</v>
      </c>
      <c r="BB1" s="11" t="s">
        <v>13</v>
      </c>
      <c r="BC1" s="25" t="s">
        <v>99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84</v>
      </c>
      <c r="BQ1" s="8" t="s">
        <v>85</v>
      </c>
      <c r="BR1" s="16" t="s">
        <v>86</v>
      </c>
      <c r="BS1" s="16"/>
      <c r="BT1" s="10" t="s">
        <v>43</v>
      </c>
      <c r="BU1" s="10" t="s">
        <v>5</v>
      </c>
      <c r="BV1" s="10" t="s">
        <v>30</v>
      </c>
      <c r="BW1" s="10" t="s">
        <v>58</v>
      </c>
      <c r="BX1" s="10" t="s">
        <v>62</v>
      </c>
      <c r="BY1" s="10" t="s">
        <v>52</v>
      </c>
      <c r="BZ1" s="11" t="s">
        <v>6</v>
      </c>
      <c r="CA1" s="11" t="s">
        <v>7</v>
      </c>
      <c r="CB1" s="11" t="s">
        <v>44</v>
      </c>
      <c r="CC1" s="11" t="s">
        <v>8</v>
      </c>
      <c r="CD1" s="11" t="s">
        <v>51</v>
      </c>
      <c r="CE1" s="11" t="s">
        <v>13</v>
      </c>
      <c r="CF1" s="8"/>
      <c r="CG1" s="10" t="s">
        <v>43</v>
      </c>
      <c r="CH1" s="10" t="s">
        <v>5</v>
      </c>
      <c r="CI1" s="10" t="s">
        <v>30</v>
      </c>
      <c r="CJ1" s="10" t="s">
        <v>58</v>
      </c>
      <c r="CK1" s="10" t="s">
        <v>62</v>
      </c>
      <c r="CL1" s="10" t="s">
        <v>52</v>
      </c>
      <c r="CM1" s="11" t="s">
        <v>6</v>
      </c>
      <c r="CN1" s="11" t="s">
        <v>7</v>
      </c>
      <c r="CO1" s="11" t="s">
        <v>44</v>
      </c>
      <c r="CP1" s="11" t="s">
        <v>8</v>
      </c>
      <c r="CQ1" s="11" t="s">
        <v>51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IF(AQ2&gt;AQ$120, AQ2-AQ$120,"")</f>
        <v/>
      </c>
      <c r="BU2" s="40" t="str">
        <f>IF(AR2&gt;AR$120, AR2-AR$120,"")</f>
        <v/>
      </c>
      <c r="BV2" s="40" t="str">
        <f>IF(AS2&gt;AS$120, AS2-AS$120,"")</f>
        <v/>
      </c>
      <c r="BW2" s="40" t="str">
        <f>IF(AT2&gt;AT$120, AT2-AT$120,"")</f>
        <v/>
      </c>
      <c r="BX2" s="40" t="str">
        <f>IF(AU2&gt;AU$120, AU2-AU$120,"")</f>
        <v/>
      </c>
      <c r="BY2" s="40" t="str">
        <f>IF(AV2&gt;AV$120, AV2-AV$120,"")</f>
        <v/>
      </c>
      <c r="BZ2" s="40" t="str">
        <f>IF(AW2&gt;AW$120, AW2-AW$120,"")</f>
        <v/>
      </c>
      <c r="CA2" s="40" t="str">
        <f>IF(AX2&gt;AX$120, AX2-AX$120,"")</f>
        <v/>
      </c>
      <c r="CB2" s="40" t="str">
        <f>IF(AY2&gt;AY$120, AY2-AY$120,"")</f>
        <v/>
      </c>
      <c r="CC2" s="40" t="str">
        <f>IF(AZ2&gt;AZ$120, AZ2-AZ$120,"")</f>
        <v/>
      </c>
      <c r="CD2" s="40" t="str">
        <f>IF(BA2&gt;BA$120, BA2-BA$120,"")</f>
        <v/>
      </c>
      <c r="CE2" s="40" t="str">
        <f>IF(BB2&gt;BB$120, BB2-BB$120,"")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27</v>
      </c>
      <c r="C3" s="1" t="s">
        <v>28</v>
      </c>
      <c r="D3" s="1" t="s">
        <v>23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IF(AQ3&gt;AQ$120, AQ3-AQ$120,"")</f>
        <v/>
      </c>
      <c r="BU3" s="1" t="str">
        <f>IF(AR3&gt;AR$120, AR3-AR$120,"")</f>
        <v/>
      </c>
      <c r="BV3" s="1" t="str">
        <f>IF(AS3&gt;AS$120, AS3-AS$120,"")</f>
        <v/>
      </c>
      <c r="BW3" s="1" t="str">
        <f>IF(AT3&gt;AT$120, AT3-AT$120,"")</f>
        <v/>
      </c>
      <c r="BX3" s="1" t="str">
        <f>IF(AU3&gt;AU$120, AU3-AU$120,"")</f>
        <v/>
      </c>
      <c r="BY3" s="1" t="str">
        <f>IF(AV3&gt;AV$120, AV3-AV$120,"")</f>
        <v/>
      </c>
      <c r="BZ3" s="1" t="str">
        <f>IF(AW3&gt;AW$120, AW3-AW$120,"")</f>
        <v/>
      </c>
      <c r="CA3" s="1" t="str">
        <f>IF(AX3&gt;AX$120, AX3-AX$120,"")</f>
        <v/>
      </c>
      <c r="CB3" s="1" t="str">
        <f>IF(AY3&gt;AY$120, AY3-AY$120,"")</f>
        <v/>
      </c>
      <c r="CC3" s="1" t="str">
        <f>IF(AZ3&gt;AZ$120, AZ3-AZ$120,"")</f>
        <v/>
      </c>
      <c r="CD3" s="1" t="str">
        <f>IF(BA3&gt;BA$120, BA3-BA$120,"")</f>
        <v/>
      </c>
      <c r="CE3" s="1" t="str">
        <f>IF(BB3&gt;BB$120, BB3-BB$120,"")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41</v>
      </c>
      <c r="C4" s="1" t="s">
        <v>42</v>
      </c>
      <c r="D4" s="1" t="s">
        <v>23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IF(AQ4&gt;AQ$120, AQ4-AQ$120,"")</f>
        <v/>
      </c>
      <c r="BU4" s="1" t="str">
        <f>IF(AR4&gt;AR$120, AR4-AR$120,"")</f>
        <v/>
      </c>
      <c r="BV4" s="1" t="str">
        <f>IF(AS4&gt;AS$120, AS4-AS$120,"")</f>
        <v/>
      </c>
      <c r="BW4" s="1" t="str">
        <f>IF(AT4&gt;AT$120, AT4-AT$120,"")</f>
        <v/>
      </c>
      <c r="BX4" s="1" t="str">
        <f>IF(AU4&gt;AU$120, AU4-AU$120,"")</f>
        <v/>
      </c>
      <c r="BY4" s="1" t="str">
        <f>IF(AV4&gt;AV$120, AV4-AV$120,"")</f>
        <v/>
      </c>
      <c r="BZ4" s="1" t="str">
        <f>IF(AW4&gt;AW$120, AW4-AW$120,"")</f>
        <v/>
      </c>
      <c r="CA4" s="1" t="str">
        <f>IF(AX4&gt;AX$120, AX4-AX$120,"")</f>
        <v/>
      </c>
      <c r="CB4" s="1" t="str">
        <f>IF(AY4&gt;AY$120, AY4-AY$120,"")</f>
        <v/>
      </c>
      <c r="CC4" s="1" t="str">
        <f>IF(AZ4&gt;AZ$120, AZ4-AZ$120,"")</f>
        <v/>
      </c>
      <c r="CD4" s="1" t="str">
        <f>IF(BA4&gt;BA$120, BA4-BA$120,"")</f>
        <v/>
      </c>
      <c r="CE4" s="1" t="str">
        <f>IF(BB4&gt;BB$120, BB4-BB$120,"")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49</v>
      </c>
      <c r="C5" s="1" t="s">
        <v>50</v>
      </c>
      <c r="D5" s="1" t="s">
        <v>12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IF(AQ5&gt;AQ$120, AQ5-AQ$120,"")</f>
        <v/>
      </c>
      <c r="BU5" s="1" t="str">
        <f>IF(AR5&gt;AR$120, AR5-AR$120,"")</f>
        <v/>
      </c>
      <c r="BV5" s="1" t="str">
        <f>IF(AS5&gt;AS$120, AS5-AS$120,"")</f>
        <v/>
      </c>
      <c r="BW5" s="1" t="str">
        <f>IF(AT5&gt;AT$120, AT5-AT$120,"")</f>
        <v/>
      </c>
      <c r="BX5" s="1" t="str">
        <f>IF(AU5&gt;AU$120, AU5-AU$120,"")</f>
        <v/>
      </c>
      <c r="BY5" s="1" t="str">
        <f>IF(AV5&gt;AV$120, AV5-AV$120,"")</f>
        <v/>
      </c>
      <c r="BZ5" s="1" t="str">
        <f>IF(AW5&gt;AW$120, AW5-AW$120,"")</f>
        <v/>
      </c>
      <c r="CA5" s="1" t="str">
        <f>IF(AX5&gt;AX$120, AX5-AX$120,"")</f>
        <v/>
      </c>
      <c r="CB5" s="1" t="str">
        <f>IF(AY5&gt;AY$120, AY5-AY$120,"")</f>
        <v/>
      </c>
      <c r="CC5" s="1" t="str">
        <f>IF(AZ5&gt;AZ$120, AZ5-AZ$120,"")</f>
        <v/>
      </c>
      <c r="CD5" s="1" t="str">
        <f>IF(BA5&gt;BA$120, BA5-BA$120,"")</f>
        <v/>
      </c>
      <c r="CE5" s="1" t="str">
        <f>IF(BB5&gt;BB$120, BB5-BB$120,"")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96</v>
      </c>
      <c r="C6" s="1" t="s">
        <v>97</v>
      </c>
      <c r="D6" s="1" t="s">
        <v>95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IF(AQ6&gt;AQ$120, AQ6-AQ$120,"")</f>
        <v/>
      </c>
      <c r="BU6" s="1" t="str">
        <f>IF(AR6&gt;AR$120, AR6-AR$120,"")</f>
        <v/>
      </c>
      <c r="BV6" s="1" t="str">
        <f>IF(AS6&gt;AS$120, AS6-AS$120,"")</f>
        <v/>
      </c>
      <c r="BW6" s="1" t="str">
        <f>IF(AT6&gt;AT$120, AT6-AT$120,"")</f>
        <v/>
      </c>
      <c r="BX6" s="1" t="str">
        <f>IF(AU6&gt;AU$120, AU6-AU$120,"")</f>
        <v/>
      </c>
      <c r="BY6" s="1" t="str">
        <f>IF(AV6&gt;AV$120, AV6-AV$120,"")</f>
        <v/>
      </c>
      <c r="BZ6" s="1" t="str">
        <f>IF(AW6&gt;AW$120, AW6-AW$120,"")</f>
        <v/>
      </c>
      <c r="CA6" s="1" t="str">
        <f>IF(AX6&gt;AX$120, AX6-AX$120,"")</f>
        <v/>
      </c>
      <c r="CB6" s="1" t="str">
        <f>IF(AY6&gt;AY$120, AY6-AY$120,"")</f>
        <v/>
      </c>
      <c r="CC6" s="1" t="str">
        <f>IF(AZ6&gt;AZ$120, AZ6-AZ$120,"")</f>
        <v/>
      </c>
      <c r="CD6" s="1" t="str">
        <f>IF(BA6&gt;BA$120, BA6-BA$120,"")</f>
        <v/>
      </c>
      <c r="CE6" s="1" t="str">
        <f>IF(BB6&gt;BB$120, BB6-BB$120,"")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160</v>
      </c>
      <c r="C7" s="1" t="s">
        <v>105</v>
      </c>
      <c r="D7" s="1" t="s">
        <v>95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IF(AQ7&gt;AQ$120, AQ7-AQ$120,"")</f>
        <v/>
      </c>
      <c r="BU7" s="1" t="str">
        <f>IF(AR7&gt;AR$120, AR7-AR$120,"")</f>
        <v/>
      </c>
      <c r="BV7" s="1" t="str">
        <f>IF(AS7&gt;AS$120, AS7-AS$120,"")</f>
        <v/>
      </c>
      <c r="BW7" s="1" t="str">
        <f>IF(AT7&gt;AT$120, AT7-AT$120,"")</f>
        <v/>
      </c>
      <c r="BX7" s="1" t="str">
        <f>IF(AU7&gt;AU$120, AU7-AU$120,"")</f>
        <v/>
      </c>
      <c r="BY7" s="1" t="str">
        <f>IF(AV7&gt;AV$120, AV7-AV$120,"")</f>
        <v/>
      </c>
      <c r="BZ7" s="1" t="str">
        <f>IF(AW7&gt;AW$120, AW7-AW$120,"")</f>
        <v/>
      </c>
      <c r="CA7" s="1" t="str">
        <f>IF(AX7&gt;AX$120, AX7-AX$120,"")</f>
        <v/>
      </c>
      <c r="CB7" s="1" t="str">
        <f>IF(AY7&gt;AY$120, AY7-AY$120,"")</f>
        <v/>
      </c>
      <c r="CC7" s="1" t="str">
        <f>IF(AZ7&gt;AZ$120, AZ7-AZ$120,"")</f>
        <v/>
      </c>
      <c r="CD7" s="1" t="str">
        <f>IF(BA7&gt;BA$120, BA7-BA$120,"")</f>
        <v/>
      </c>
      <c r="CE7" s="1" t="str">
        <f>IF(BB7&gt;BB$120, BB7-BB$120,"")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168</v>
      </c>
      <c r="C8" s="1" t="s">
        <v>93</v>
      </c>
      <c r="D8" s="1" t="s">
        <v>95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IF(AQ8&gt;AQ$120, AQ8-AQ$120,"")</f>
        <v/>
      </c>
      <c r="BU8" s="1" t="str">
        <f>IF(AR8&gt;AR$120, AR8-AR$120,"")</f>
        <v/>
      </c>
      <c r="BV8" s="1" t="str">
        <f>IF(AS8&gt;AS$120, AS8-AS$120,"")</f>
        <v/>
      </c>
      <c r="BW8" s="1" t="str">
        <f>IF(AT8&gt;AT$120, AT8-AT$120,"")</f>
        <v/>
      </c>
      <c r="BX8" s="1" t="str">
        <f>IF(AU8&gt;AU$120, AU8-AU$120,"")</f>
        <v/>
      </c>
      <c r="BY8" s="1" t="str">
        <f>IF(AV8&gt;AV$120, AV8-AV$120,"")</f>
        <v/>
      </c>
      <c r="BZ8" s="1" t="str">
        <f>IF(AW8&gt;AW$120, AW8-AW$120,"")</f>
        <v/>
      </c>
      <c r="CA8" s="1" t="str">
        <f>IF(AX8&gt;AX$120, AX8-AX$120,"")</f>
        <v/>
      </c>
      <c r="CB8" s="1" t="str">
        <f>IF(AY8&gt;AY$120, AY8-AY$120,"")</f>
        <v/>
      </c>
      <c r="CC8" s="1" t="str">
        <f>IF(AZ8&gt;AZ$120, AZ8-AZ$120,"")</f>
        <v/>
      </c>
      <c r="CD8" s="1" t="str">
        <f>IF(BA8&gt;BA$120, BA8-BA$120,"")</f>
        <v/>
      </c>
      <c r="CE8" s="1" t="str">
        <f>IF(BB8&gt;BB$120, BB8-BB$120,"")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1"/>
      <c r="B9" s="1" t="s">
        <v>173</v>
      </c>
      <c r="C9" s="1" t="s">
        <v>108</v>
      </c>
      <c r="D9" s="1" t="s">
        <v>95</v>
      </c>
      <c r="E9" s="6"/>
      <c r="F9" s="6"/>
      <c r="G9" s="6"/>
      <c r="H9" s="6">
        <v>10</v>
      </c>
      <c r="I9" s="6"/>
      <c r="J9" s="6">
        <v>10</v>
      </c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 s="1" t="str">
        <f>IF(AQ9&gt;AQ$120, AQ9-AQ$120,"")</f>
        <v/>
      </c>
      <c r="BU9" s="1" t="str">
        <f>IF(AR9&gt;AR$120, AR9-AR$120,"")</f>
        <v/>
      </c>
      <c r="BV9" s="1" t="str">
        <f>IF(AS9&gt;AS$120, AS9-AS$120,"")</f>
        <v/>
      </c>
      <c r="BW9" s="1" t="str">
        <f>IF(AT9&gt;AT$120, AT9-AT$120,"")</f>
        <v/>
      </c>
      <c r="BX9" s="1" t="str">
        <f>IF(AU9&gt;AU$120, AU9-AU$120,"")</f>
        <v/>
      </c>
      <c r="BY9" s="1" t="str">
        <f>IF(AV9&gt;AV$120, AV9-AV$120,"")</f>
        <v/>
      </c>
      <c r="BZ9" s="1" t="str">
        <f>IF(AW9&gt;AW$120, AW9-AW$120,"")</f>
        <v/>
      </c>
      <c r="CA9" s="1" t="str">
        <f>IF(AX9&gt;AX$120, AX9-AX$120,"")</f>
        <v/>
      </c>
      <c r="CB9" s="1" t="str">
        <f>IF(AY9&gt;AY$120, AY9-AY$120,"")</f>
        <v/>
      </c>
      <c r="CC9" s="1" t="str">
        <f>IF(AZ9&gt;AZ$120, AZ9-AZ$120,"")</f>
        <v/>
      </c>
      <c r="CD9" s="1" t="str">
        <f>IF(BA9&gt;BA$120, BA9-BA$120,"")</f>
        <v/>
      </c>
      <c r="CE9" s="1" t="str">
        <f>IF(BB9&gt;BB$120, BB9-BB$120,"")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/>
      <c r="B10" s="1" t="s">
        <v>172</v>
      </c>
      <c r="C10" s="1" t="s">
        <v>93</v>
      </c>
      <c r="D10" s="1" t="s">
        <v>95</v>
      </c>
      <c r="E10" s="6"/>
      <c r="F10" s="6"/>
      <c r="G10" s="6"/>
      <c r="H10" s="6">
        <v>6</v>
      </c>
      <c r="I10" s="6"/>
      <c r="J10" s="6"/>
      <c r="K10" s="6">
        <v>6</v>
      </c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>
        <v>10</v>
      </c>
      <c r="AR10" s="4"/>
      <c r="AS10" s="4"/>
      <c r="AT10" s="4"/>
      <c r="AU10" s="4"/>
      <c r="AV10" s="4"/>
      <c r="AW10" s="2">
        <v>10</v>
      </c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32</v>
      </c>
      <c r="BQ10" s="1">
        <v>0</v>
      </c>
      <c r="BR10" s="17">
        <v>0</v>
      </c>
      <c r="BS10" s="17"/>
      <c r="BT10" s="1" t="str">
        <f>IF(AQ10&gt;AQ$120, AQ10-AQ$120,"")</f>
        <v/>
      </c>
      <c r="BU10" s="1" t="str">
        <f>IF(AR10&gt;AR$120, AR10-AR$120,"")</f>
        <v/>
      </c>
      <c r="BV10" s="1" t="str">
        <f>IF(AS10&gt;AS$120, AS10-AS$120,"")</f>
        <v/>
      </c>
      <c r="BW10" s="1" t="str">
        <f>IF(AT10&gt;AT$120, AT10-AT$120,"")</f>
        <v/>
      </c>
      <c r="BX10" s="1" t="str">
        <f>IF(AU10&gt;AU$120, AU10-AU$120,"")</f>
        <v/>
      </c>
      <c r="BY10" s="1" t="str">
        <f>IF(AV10&gt;AV$120, AV10-AV$120,"")</f>
        <v/>
      </c>
      <c r="BZ10" s="1" t="str">
        <f>IF(AW10&gt;AW$120, AW10-AW$120,"")</f>
        <v/>
      </c>
      <c r="CA10" s="1" t="str">
        <f>IF(AX10&gt;AX$120, AX10-AX$120,"")</f>
        <v/>
      </c>
      <c r="CB10" s="1" t="str">
        <f>IF(AY10&gt;AY$120, AY10-AY$120,"")</f>
        <v/>
      </c>
      <c r="CC10" s="1" t="str">
        <f>IF(AZ10&gt;AZ$120, AZ10-AZ$120,"")</f>
        <v/>
      </c>
      <c r="CD10" s="1" t="str">
        <f>IF(BA10&gt;BA$120, BA10-BA$120,"")</f>
        <v/>
      </c>
      <c r="CE10" s="1" t="str">
        <f>IF(BB10&gt;BB$120, BB10-BB$120,"")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>
        <v>39</v>
      </c>
      <c r="B11" s="1" t="s">
        <v>45</v>
      </c>
      <c r="C11" s="1" t="s">
        <v>42</v>
      </c>
      <c r="D11" s="1" t="s">
        <v>23</v>
      </c>
      <c r="E11" s="6"/>
      <c r="F11" s="6">
        <v>6</v>
      </c>
      <c r="G11" s="6"/>
      <c r="H11" s="6"/>
      <c r="I11" s="6"/>
      <c r="J11" s="6"/>
      <c r="K11" s="6"/>
      <c r="L11" s="6">
        <v>6</v>
      </c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>
        <v>10</v>
      </c>
      <c r="AR11" s="4"/>
      <c r="AS11" s="4"/>
      <c r="AT11" s="4"/>
      <c r="AU11" s="4"/>
      <c r="AV11" s="4"/>
      <c r="AW11" s="2"/>
      <c r="AX11" s="2">
        <v>10</v>
      </c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0</v>
      </c>
      <c r="BR11" s="17">
        <v>0</v>
      </c>
      <c r="BS11" s="17"/>
      <c r="BT11" s="1" t="str">
        <f>IF(AQ11&gt;AQ$120, AQ11-AQ$120,"")</f>
        <v/>
      </c>
      <c r="BU11" s="1" t="str">
        <f>IF(AR11&gt;AR$120, AR11-AR$120,"")</f>
        <v/>
      </c>
      <c r="BV11" s="1" t="str">
        <f>IF(AS11&gt;AS$120, AS11-AS$120,"")</f>
        <v/>
      </c>
      <c r="BW11" s="1" t="str">
        <f>IF(AT11&gt;AT$120, AT11-AT$120,"")</f>
        <v/>
      </c>
      <c r="BX11" s="1" t="str">
        <f>IF(AU11&gt;AU$120, AU11-AU$120,"")</f>
        <v/>
      </c>
      <c r="BY11" s="1" t="str">
        <f>IF(AV11&gt;AV$120, AV11-AV$120,"")</f>
        <v/>
      </c>
      <c r="BZ11" s="1" t="str">
        <f>IF(AW11&gt;AW$120, AW11-AW$120,"")</f>
        <v/>
      </c>
      <c r="CA11" s="1" t="str">
        <f>IF(AX11&gt;AX$120, AX11-AX$120,"")</f>
        <v/>
      </c>
      <c r="CB11" s="1" t="str">
        <f>IF(AY11&gt;AY$120, AY11-AY$120,"")</f>
        <v/>
      </c>
      <c r="CC11" s="1" t="str">
        <f>IF(AZ11&gt;AZ$120, AZ11-AZ$120,"")</f>
        <v/>
      </c>
      <c r="CD11" s="1" t="str">
        <f>IF(BA11&gt;BA$120, BA11-BA$120,"")</f>
        <v/>
      </c>
      <c r="CE11" s="1" t="str">
        <f>IF(BB11&gt;BB$120, BB11-BB$120,"")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20</v>
      </c>
    </row>
    <row r="12" spans="1:97" s="23" customFormat="1" x14ac:dyDescent="0.15">
      <c r="A12" s="1"/>
      <c r="B12" s="1" t="s">
        <v>194</v>
      </c>
      <c r="C12" s="1" t="s">
        <v>108</v>
      </c>
      <c r="D12" s="1" t="s">
        <v>95</v>
      </c>
      <c r="E12" s="6"/>
      <c r="F12" s="6">
        <v>6</v>
      </c>
      <c r="G12" s="6"/>
      <c r="H12" s="6"/>
      <c r="I12" s="6"/>
      <c r="J12" s="6"/>
      <c r="K12" s="6"/>
      <c r="L12" s="6"/>
      <c r="M12" s="6"/>
      <c r="N12" s="6"/>
      <c r="O12" s="6">
        <v>6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>
        <v>10</v>
      </c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IF(AQ12&gt;AQ$120, AQ12-AQ$120,"")</f>
        <v/>
      </c>
      <c r="BU12" s="1" t="str">
        <f>IF(AR12&gt;AR$120, AR12-AR$120,"")</f>
        <v/>
      </c>
      <c r="BV12" s="1" t="str">
        <f>IF(AS12&gt;AS$120, AS12-AS$120,"")</f>
        <v/>
      </c>
      <c r="BW12" s="1" t="str">
        <f>IF(AT12&gt;AT$120, AT12-AT$120,"")</f>
        <v/>
      </c>
      <c r="BX12" s="1" t="str">
        <f>IF(AU12&gt;AU$120, AU12-AU$120,"")</f>
        <v/>
      </c>
      <c r="BY12" s="1" t="str">
        <f>IF(AV12&gt;AV$120, AV12-AV$120,"")</f>
        <v/>
      </c>
      <c r="BZ12" s="1" t="str">
        <f>IF(AW12&gt;AW$120, AW12-AW$120,"")</f>
        <v/>
      </c>
      <c r="CA12" s="1" t="str">
        <f>IF(AX12&gt;AX$120, AX12-AX$120,"")</f>
        <v/>
      </c>
      <c r="CB12" s="1" t="str">
        <f>IF(AY12&gt;AY$120, AY12-AY$120,"")</f>
        <v/>
      </c>
      <c r="CC12" s="1" t="str">
        <f>IF(AZ12&gt;AZ$120, AZ12-AZ$120,"")</f>
        <v/>
      </c>
      <c r="CD12" s="1" t="str">
        <f>IF(BA12&gt;BA$120, BA12-BA$120,"")</f>
        <v/>
      </c>
      <c r="CE12" s="1" t="str">
        <f>IF(BB12&gt;BB$120, BB12-BB$120,"")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8"/>
      <c r="B13" s="18" t="s">
        <v>104</v>
      </c>
      <c r="C13" s="18" t="s">
        <v>97</v>
      </c>
      <c r="D13" s="18" t="s">
        <v>101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216</v>
      </c>
      <c r="BT13" s="18" t="str">
        <f>IF(AQ13&gt;AQ$120, AQ13-AQ$120,"")</f>
        <v/>
      </c>
      <c r="BU13" s="18" t="str">
        <f>IF(AR13&gt;AR$120, AR13-AR$120,"")</f>
        <v/>
      </c>
      <c r="BV13" s="18" t="str">
        <f>IF(AS13&gt;AS$120, AS13-AS$120,"")</f>
        <v/>
      </c>
      <c r="BW13" s="18" t="str">
        <f>IF(AT13&gt;AT$120, AT13-AT$120,"")</f>
        <v/>
      </c>
      <c r="BX13" s="18" t="str">
        <f>IF(AU13&gt;AU$120, AU13-AU$120,"")</f>
        <v/>
      </c>
      <c r="BY13" s="18" t="str">
        <f>IF(AV13&gt;AV$120, AV13-AV$120,"")</f>
        <v/>
      </c>
      <c r="BZ13" s="18" t="str">
        <f>IF(AW13&gt;AW$120, AW13-AW$120,"")</f>
        <v/>
      </c>
      <c r="CA13" s="18" t="str">
        <f>IF(AX13&gt;AX$120, AX13-AX$120,"")</f>
        <v/>
      </c>
      <c r="CB13" s="18" t="str">
        <f>IF(AY13&gt;AY$120, AY13-AY$120,"")</f>
        <v/>
      </c>
      <c r="CC13" s="18" t="str">
        <f>IF(AZ13&gt;AZ$120, AZ13-AZ$120,"")</f>
        <v/>
      </c>
      <c r="CD13" s="18" t="str">
        <f>IF(BA13&gt;BA$120, BA13-BA$120,"")</f>
        <v/>
      </c>
      <c r="CE13" s="18" t="str">
        <f>IF(BB13&gt;BB$120, BB13-BB$120,"")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x14ac:dyDescent="0.15">
      <c r="A14" s="1">
        <v>91</v>
      </c>
      <c r="B14" s="3" t="s">
        <v>73</v>
      </c>
      <c r="C14" s="3" t="s">
        <v>72</v>
      </c>
      <c r="D14" s="1" t="s">
        <v>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>
        <v>5</v>
      </c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2</v>
      </c>
      <c r="BR14" s="17">
        <v>1</v>
      </c>
      <c r="BS14" s="17" t="s">
        <v>228</v>
      </c>
      <c r="BT14" s="1" t="str">
        <f>IF(AQ14&gt;AQ$120, AQ14-AQ$120,"")</f>
        <v/>
      </c>
      <c r="BU14" s="1" t="str">
        <f>IF(AR14&gt;AR$120, AR14-AR$120,"")</f>
        <v/>
      </c>
      <c r="BV14" s="1" t="str">
        <f>IF(AS14&gt;AS$120, AS14-AS$120,"")</f>
        <v/>
      </c>
      <c r="BW14" s="1" t="str">
        <f>IF(AT14&gt;AT$120, AT14-AT$120,"")</f>
        <v/>
      </c>
      <c r="BX14" s="1" t="str">
        <f>IF(AU14&gt;AU$120, AU14-AU$120,"")</f>
        <v/>
      </c>
      <c r="BY14" s="1" t="str">
        <f>IF(AV14&gt;AV$120, AV14-AV$120,"")</f>
        <v/>
      </c>
      <c r="BZ14" s="1" t="str">
        <f>IF(AW14&gt;AW$120, AW14-AW$120,"")</f>
        <v/>
      </c>
      <c r="CA14" s="1" t="str">
        <f>IF(AX14&gt;AX$120, AX14-AX$120,"")</f>
        <v/>
      </c>
      <c r="CB14" s="1" t="str">
        <f>IF(AY14&gt;AY$120, AY14-AY$120,"")</f>
        <v/>
      </c>
      <c r="CC14" s="1" t="str">
        <f>IF(AZ14&gt;AZ$120, AZ14-AZ$120,"")</f>
        <v/>
      </c>
      <c r="CD14" s="1" t="str">
        <f>IF(BA14&gt;BA$120, BA14-BA$120,"")</f>
        <v/>
      </c>
      <c r="CE14" s="1" t="str">
        <f>IF(BB14&gt;BB$120, BB14-BB$120,"")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5</v>
      </c>
    </row>
    <row r="15" spans="1:97" x14ac:dyDescent="0.15">
      <c r="A15" s="18"/>
      <c r="B15" s="18" t="s">
        <v>197</v>
      </c>
      <c r="C15" s="18" t="s">
        <v>28</v>
      </c>
      <c r="D15" s="18" t="s">
        <v>198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>
        <v>3</v>
      </c>
      <c r="AP15" s="18"/>
      <c r="AQ15" s="20"/>
      <c r="AR15" s="20"/>
      <c r="AS15" s="20"/>
      <c r="AT15" s="20"/>
      <c r="AU15" s="20"/>
      <c r="AV15" s="20"/>
      <c r="AW15" s="21"/>
      <c r="AX15" s="21"/>
      <c r="AY15" s="21"/>
      <c r="AZ15" s="21"/>
      <c r="BA15" s="21"/>
      <c r="BB15" s="21"/>
      <c r="BC15" s="26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>
        <f>SUM(E15:BO15)</f>
        <v>3</v>
      </c>
      <c r="BQ15" s="18">
        <v>3</v>
      </c>
      <c r="BR15" s="22">
        <v>1</v>
      </c>
      <c r="BS15" s="22" t="s">
        <v>211</v>
      </c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30"/>
    </row>
    <row r="16" spans="1:97" x14ac:dyDescent="0.15">
      <c r="A16" s="1">
        <v>34</v>
      </c>
      <c r="B16" s="1" t="s">
        <v>41</v>
      </c>
      <c r="C16" s="1" t="s">
        <v>42</v>
      </c>
      <c r="D16" s="1" t="s">
        <v>22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>
        <v>15</v>
      </c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>
        <v>15</v>
      </c>
      <c r="BC16" s="14"/>
      <c r="BD16" s="1"/>
      <c r="BE16" s="1"/>
      <c r="BF16" s="1"/>
      <c r="BG16" s="1"/>
      <c r="BH16" s="1">
        <v>15</v>
      </c>
      <c r="BI16" s="1">
        <v>15</v>
      </c>
      <c r="BJ16" s="1"/>
      <c r="BK16" s="1"/>
      <c r="BL16" s="1"/>
      <c r="BM16" s="1"/>
      <c r="BN16" s="1"/>
      <c r="BO16" s="1"/>
      <c r="BP16" s="1">
        <f>SUM(E16:BO16)</f>
        <v>60</v>
      </c>
      <c r="BQ16" s="1">
        <v>4</v>
      </c>
      <c r="BR16" s="17">
        <v>1</v>
      </c>
      <c r="BS16" s="17" t="s">
        <v>230</v>
      </c>
      <c r="BT16" s="1" t="str">
        <f>IF(AQ16&gt;AQ$120, AQ16-AQ$120,"")</f>
        <v/>
      </c>
      <c r="BU16" s="1" t="str">
        <f>IF(AR16&gt;AR$120, AR16-AR$120,"")</f>
        <v/>
      </c>
      <c r="BV16" s="1" t="str">
        <f>IF(AS16&gt;AS$120, AS16-AS$120,"")</f>
        <v/>
      </c>
      <c r="BW16" s="1" t="str">
        <f>IF(AT16&gt;AT$120, AT16-AT$120,"")</f>
        <v/>
      </c>
      <c r="BX16" s="1" t="str">
        <f>IF(AU16&gt;AU$120, AU16-AU$120,"")</f>
        <v/>
      </c>
      <c r="BY16" s="1" t="str">
        <f>IF(AV16&gt;AV$120, AV16-AV$120,"")</f>
        <v/>
      </c>
      <c r="BZ16" s="1" t="str">
        <f>IF(AW16&gt;AW$120, AW16-AW$120,"")</f>
        <v/>
      </c>
      <c r="CA16" s="1" t="str">
        <f>IF(AX16&gt;AX$120, AX16-AX$120,"")</f>
        <v/>
      </c>
      <c r="CB16" s="1" t="str">
        <f>IF(AY16&gt;AY$120, AY16-AY$120,"")</f>
        <v/>
      </c>
      <c r="CC16" s="1" t="str">
        <f>IF(AZ16&gt;AZ$120, AZ16-AZ$120,"")</f>
        <v/>
      </c>
      <c r="CD16" s="1" t="str">
        <f>IF(BA16&gt;BA$120, BA16-BA$120,"")</f>
        <v/>
      </c>
      <c r="CE16" s="1" t="str">
        <f>IF(BB16&gt;BB$120, BB16-BB$120,"")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60</v>
      </c>
    </row>
    <row r="17" spans="1:97" x14ac:dyDescent="0.15">
      <c r="A17" s="1"/>
      <c r="B17" s="1" t="s">
        <v>169</v>
      </c>
      <c r="C17" s="1" t="s">
        <v>93</v>
      </c>
      <c r="D17" s="1" t="s">
        <v>94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>
        <v>15</v>
      </c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>
        <v>15</v>
      </c>
      <c r="BC17" s="14"/>
      <c r="BD17" s="1"/>
      <c r="BE17" s="1"/>
      <c r="BF17" s="1"/>
      <c r="BG17" s="1"/>
      <c r="BH17" s="1">
        <v>15</v>
      </c>
      <c r="BI17" s="1">
        <v>15</v>
      </c>
      <c r="BJ17" s="1"/>
      <c r="BK17" s="1"/>
      <c r="BL17" s="1"/>
      <c r="BM17" s="1"/>
      <c r="BN17" s="1"/>
      <c r="BO17" s="1"/>
      <c r="BP17" s="1">
        <f>SUM(E17:BO17)</f>
        <v>60</v>
      </c>
      <c r="BQ17" s="1">
        <v>4</v>
      </c>
      <c r="BR17" s="17">
        <v>1</v>
      </c>
      <c r="BS17" s="17" t="s">
        <v>230</v>
      </c>
      <c r="BT17" s="1" t="str">
        <f>IF(AQ17&gt;AQ$120, AQ17-AQ$120,"")</f>
        <v/>
      </c>
      <c r="BU17" s="1" t="str">
        <f>IF(AR17&gt;AR$120, AR17-AR$120,"")</f>
        <v/>
      </c>
      <c r="BV17" s="1" t="str">
        <f>IF(AS17&gt;AS$120, AS17-AS$120,"")</f>
        <v/>
      </c>
      <c r="BW17" s="1" t="str">
        <f>IF(AT17&gt;AT$120, AT17-AT$120,"")</f>
        <v/>
      </c>
      <c r="BX17" s="1" t="str">
        <f>IF(AU17&gt;AU$120, AU17-AU$120,"")</f>
        <v/>
      </c>
      <c r="BY17" s="1" t="str">
        <f>IF(AV17&gt;AV$120, AV17-AV$120,"")</f>
        <v/>
      </c>
      <c r="BZ17" s="1" t="str">
        <f>IF(AW17&gt;AW$120, AW17-AW$120,"")</f>
        <v/>
      </c>
      <c r="CA17" s="1" t="str">
        <f>IF(AX17&gt;AX$120, AX17-AX$120,"")</f>
        <v/>
      </c>
      <c r="CB17" s="1" t="str">
        <f>IF(AY17&gt;AY$120, AY17-AY$120,"")</f>
        <v/>
      </c>
      <c r="CC17" s="1" t="str">
        <f>IF(AZ17&gt;AZ$120, AZ17-AZ$120,"")</f>
        <v/>
      </c>
      <c r="CD17" s="1" t="str">
        <f>IF(BA17&gt;BA$120, BA17-BA$120,"")</f>
        <v/>
      </c>
      <c r="CE17" s="1" t="str">
        <f>IF(BB17&gt;BB$120, BB17-BB$120,"")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s="23" customFormat="1" x14ac:dyDescent="0.15">
      <c r="A18" s="31">
        <v>84</v>
      </c>
      <c r="B18" s="32" t="s">
        <v>177</v>
      </c>
      <c r="C18" s="32" t="s">
        <v>57</v>
      </c>
      <c r="D18" s="31" t="s">
        <v>12</v>
      </c>
      <c r="E18" s="33"/>
      <c r="F18" s="33"/>
      <c r="G18" s="33">
        <v>5</v>
      </c>
      <c r="H18" s="33">
        <v>5</v>
      </c>
      <c r="I18" s="33"/>
      <c r="J18" s="33"/>
      <c r="K18" s="33"/>
      <c r="L18" s="33"/>
      <c r="M18" s="33"/>
      <c r="N18" s="33"/>
      <c r="O18" s="33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5"/>
      <c r="AR18" s="35"/>
      <c r="AS18" s="35"/>
      <c r="AT18" s="35"/>
      <c r="AU18" s="35"/>
      <c r="AV18" s="35"/>
      <c r="AW18" s="36"/>
      <c r="AX18" s="36"/>
      <c r="AY18" s="36"/>
      <c r="AZ18" s="36"/>
      <c r="BA18" s="36">
        <v>5</v>
      </c>
      <c r="BB18" s="36">
        <v>5</v>
      </c>
      <c r="BC18" s="37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>
        <f>SUM(E18:BO18)</f>
        <v>20</v>
      </c>
      <c r="BQ18" s="31">
        <v>5</v>
      </c>
      <c r="BR18" s="38">
        <v>1</v>
      </c>
      <c r="BS18" s="38" t="s">
        <v>222</v>
      </c>
      <c r="BT18" s="31" t="str">
        <f>IF(AQ18&gt;AQ$120, AQ18-AQ$120,"")</f>
        <v/>
      </c>
      <c r="BU18" s="31" t="str">
        <f>IF(AR18&gt;AR$120, AR18-AR$120,"")</f>
        <v/>
      </c>
      <c r="BV18" s="31" t="str">
        <f>IF(AS18&gt;AS$120, AS18-AS$120,"")</f>
        <v/>
      </c>
      <c r="BW18" s="31" t="str">
        <f>IF(AT18&gt;AT$120, AT18-AT$120,"")</f>
        <v/>
      </c>
      <c r="BX18" s="31" t="str">
        <f>IF(AU18&gt;AU$120, AU18-AU$120,"")</f>
        <v/>
      </c>
      <c r="BY18" s="31" t="str">
        <f>IF(AV18&gt;AV$120, AV18-AV$120,"")</f>
        <v/>
      </c>
      <c r="BZ18" s="31" t="str">
        <f>IF(AW18&gt;AW$120, AW18-AW$120,"")</f>
        <v/>
      </c>
      <c r="CA18" s="31" t="str">
        <f>IF(AX18&gt;AX$120, AX18-AX$120,"")</f>
        <v/>
      </c>
      <c r="CB18" s="31" t="str">
        <f>IF(AY18&gt;AY$120, AY18-AY$120,"")</f>
        <v/>
      </c>
      <c r="CC18" s="31" t="str">
        <f>IF(AZ18&gt;AZ$120, AZ18-AZ$120,"")</f>
        <v/>
      </c>
      <c r="CD18" s="31" t="str">
        <f>IF(BA18&gt;BA$120, BA18-BA$120,"")</f>
        <v/>
      </c>
      <c r="CE18" s="31" t="str">
        <f>IF(BB18&gt;BB$120, BB18-BB$120,"")</f>
        <v/>
      </c>
      <c r="CF18" s="31">
        <f>COUNTIF(BT18:CE18, "&gt;0")</f>
        <v>0</v>
      </c>
      <c r="CG18" s="31" t="str">
        <f>IF($CF18=1,BT18,"")</f>
        <v/>
      </c>
      <c r="CH18" s="31" t="str">
        <f>IF($CF18=1,BU18,"")</f>
        <v/>
      </c>
      <c r="CI18" s="31" t="str">
        <f>IF($CF18=1,BV18,"")</f>
        <v/>
      </c>
      <c r="CJ18" s="31" t="str">
        <f>IF($CF18=1,BW18,"")</f>
        <v/>
      </c>
      <c r="CK18" s="31" t="str">
        <f>IF($CF18=1,BX18,"")</f>
        <v/>
      </c>
      <c r="CL18" s="31" t="str">
        <f>IF($CF18=1,BY18,"")</f>
        <v/>
      </c>
      <c r="CM18" s="31" t="str">
        <f>IF($CF18=1,BZ18,"")</f>
        <v/>
      </c>
      <c r="CN18" s="31" t="str">
        <f>IF($CF18=1,CA18,"")</f>
        <v/>
      </c>
      <c r="CO18" s="31" t="str">
        <f>IF($CF18=1,CB18,"")</f>
        <v/>
      </c>
      <c r="CP18" s="31" t="str">
        <f>IF($CF18=1,CC18,"")</f>
        <v/>
      </c>
      <c r="CQ18" s="31" t="str">
        <f>IF($CF18=1,CD18,"")</f>
        <v/>
      </c>
      <c r="CR18" s="31" t="str">
        <f>IF($CF18=1,CE18,"")</f>
        <v/>
      </c>
      <c r="CS18" s="32">
        <f>SUM(AE18:BO18)</f>
        <v>10</v>
      </c>
    </row>
    <row r="19" spans="1:97" s="49" customFormat="1" x14ac:dyDescent="0.15">
      <c r="A19" s="1">
        <v>18</v>
      </c>
      <c r="B19" s="1" t="s">
        <v>31</v>
      </c>
      <c r="C19" s="1" t="s">
        <v>28</v>
      </c>
      <c r="D19" s="1" t="s">
        <v>22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>
        <v>5</v>
      </c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224</v>
      </c>
      <c r="BT19" s="1" t="str">
        <f>IF(AQ19&gt;AQ$120, AQ19-AQ$120,"")</f>
        <v/>
      </c>
      <c r="BU19" s="1" t="str">
        <f>IF(AR19&gt;AR$120, AR19-AR$120,"")</f>
        <v/>
      </c>
      <c r="BV19" s="1" t="str">
        <f>IF(AS19&gt;AS$120, AS19-AS$120,"")</f>
        <v/>
      </c>
      <c r="BW19" s="1" t="str">
        <f>IF(AT19&gt;AT$120, AT19-AT$120,"")</f>
        <v/>
      </c>
      <c r="BX19" s="1" t="str">
        <f>IF(AU19&gt;AU$120, AU19-AU$120,"")</f>
        <v/>
      </c>
      <c r="BY19" s="1" t="str">
        <f>IF(AV19&gt;AV$120, AV19-AV$120,"")</f>
        <v/>
      </c>
      <c r="BZ19" s="1" t="str">
        <f>IF(AW19&gt;AW$120, AW19-AW$120,"")</f>
        <v/>
      </c>
      <c r="CA19" s="1" t="str">
        <f>IF(AX19&gt;AX$120, AX19-AX$120,"")</f>
        <v/>
      </c>
      <c r="CB19" s="1" t="str">
        <f>IF(AY19&gt;AY$120, AY19-AY$120,"")</f>
        <v/>
      </c>
      <c r="CC19" s="1" t="str">
        <f>IF(AZ19&gt;AZ$120, AZ19-AZ$120,"")</f>
        <v/>
      </c>
      <c r="CD19" s="1" t="str">
        <f>IF(BA19&gt;BA$120, BA19-BA$120,"")</f>
        <v/>
      </c>
      <c r="CE19" s="1" t="str">
        <f>IF(BB19&gt;BB$120, BB19-BB$120,"")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s="49" customFormat="1" x14ac:dyDescent="0.15">
      <c r="A20" s="40">
        <v>20</v>
      </c>
      <c r="B20" s="40" t="s">
        <v>221</v>
      </c>
      <c r="C20" s="40" t="s">
        <v>28</v>
      </c>
      <c r="D20" s="40" t="s">
        <v>22</v>
      </c>
      <c r="E20" s="41"/>
      <c r="F20" s="41">
        <v>5</v>
      </c>
      <c r="G20" s="41"/>
      <c r="H20" s="41"/>
      <c r="I20" s="41"/>
      <c r="J20" s="41"/>
      <c r="K20" s="41"/>
      <c r="L20" s="41"/>
      <c r="M20" s="41"/>
      <c r="N20" s="41"/>
      <c r="O20" s="41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0"/>
      <c r="AF20" s="40"/>
      <c r="AG20" s="40">
        <v>5</v>
      </c>
      <c r="AH20" s="40"/>
      <c r="AI20" s="40"/>
      <c r="AJ20" s="40"/>
      <c r="AK20" s="40"/>
      <c r="AL20" s="40"/>
      <c r="AM20" s="40"/>
      <c r="AN20" s="40"/>
      <c r="AO20" s="40"/>
      <c r="AP20" s="40"/>
      <c r="AQ20" s="43"/>
      <c r="AR20" s="43"/>
      <c r="AS20" s="43"/>
      <c r="AT20" s="43"/>
      <c r="AU20" s="43"/>
      <c r="AV20" s="43"/>
      <c r="AW20" s="44"/>
      <c r="AX20" s="44"/>
      <c r="AY20" s="44"/>
      <c r="AZ20" s="44"/>
      <c r="BA20" s="44"/>
      <c r="BB20" s="44"/>
      <c r="BC20" s="45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>
        <f>SUM(E20:BO20)</f>
        <v>10</v>
      </c>
      <c r="BQ20" s="40">
        <v>5</v>
      </c>
      <c r="BR20" s="46">
        <v>1</v>
      </c>
      <c r="BS20" s="46" t="s">
        <v>225</v>
      </c>
      <c r="BT20" s="40" t="str">
        <f>IF(AQ20&gt;AQ$120, AQ20-AQ$120,"")</f>
        <v/>
      </c>
      <c r="BU20" s="40" t="str">
        <f>IF(AR20&gt;AR$120, AR20-AR$120,"")</f>
        <v/>
      </c>
      <c r="BV20" s="40" t="str">
        <f>IF(AS20&gt;AS$120, AS20-AS$120,"")</f>
        <v/>
      </c>
      <c r="BW20" s="40" t="str">
        <f>IF(AT20&gt;AT$120, AT20-AT$120,"")</f>
        <v/>
      </c>
      <c r="BX20" s="40" t="str">
        <f>IF(AU20&gt;AU$120, AU20-AU$120,"")</f>
        <v/>
      </c>
      <c r="BY20" s="40" t="str">
        <f>IF(AV20&gt;AV$120, AV20-AV$120,"")</f>
        <v/>
      </c>
      <c r="BZ20" s="40" t="str">
        <f>IF(AW20&gt;AW$120, AW20-AW$120,"")</f>
        <v/>
      </c>
      <c r="CA20" s="40" t="str">
        <f>IF(AX20&gt;AX$120, AX20-AX$120,"")</f>
        <v/>
      </c>
      <c r="CB20" s="40" t="str">
        <f>IF(AY20&gt;AY$120, AY20-AY$120,"")</f>
        <v/>
      </c>
      <c r="CC20" s="40" t="str">
        <f>IF(AZ20&gt;AZ$120, AZ20-AZ$120,"")</f>
        <v/>
      </c>
      <c r="CD20" s="40" t="str">
        <f>IF(BA20&gt;BA$120, BA20-BA$120,"")</f>
        <v/>
      </c>
      <c r="CE20" s="40" t="str">
        <f>IF(BB20&gt;BB$120, BB20-BB$120,"")</f>
        <v/>
      </c>
      <c r="CF20" s="40">
        <f>COUNTIF(BT20:CE20, "&gt;0")</f>
        <v>0</v>
      </c>
      <c r="CG20" s="40" t="str">
        <f>IF($CF20=1,BT20,"")</f>
        <v/>
      </c>
      <c r="CH20" s="40" t="str">
        <f>IF($CF20=1,BU20,"")</f>
        <v/>
      </c>
      <c r="CI20" s="40" t="str">
        <f>IF($CF20=1,BV20,"")</f>
        <v/>
      </c>
      <c r="CJ20" s="40" t="str">
        <f>IF($CF20=1,BW20,"")</f>
        <v/>
      </c>
      <c r="CK20" s="40" t="str">
        <f>IF($CF20=1,BX20,"")</f>
        <v/>
      </c>
      <c r="CL20" s="40" t="str">
        <f>IF($CF20=1,BY20,"")</f>
        <v/>
      </c>
      <c r="CM20" s="40" t="str">
        <f>IF($CF20=1,BZ20,"")</f>
        <v/>
      </c>
      <c r="CN20" s="40" t="str">
        <f>IF($CF20=1,CA20,"")</f>
        <v/>
      </c>
      <c r="CO20" s="40" t="str">
        <f>IF($CF20=1,CB20,"")</f>
        <v/>
      </c>
      <c r="CP20" s="40" t="str">
        <f>IF($CF20=1,CC20,"")</f>
        <v/>
      </c>
      <c r="CQ20" s="40" t="str">
        <f>IF($CF20=1,CD20,"")</f>
        <v/>
      </c>
      <c r="CR20" s="40" t="str">
        <f>IF($CF20=1,CE20,"")</f>
        <v/>
      </c>
      <c r="CS20" s="47">
        <f>SUM(AE20:BO20)</f>
        <v>5</v>
      </c>
    </row>
    <row r="21" spans="1:97" x14ac:dyDescent="0.15">
      <c r="A21" s="18">
        <v>17</v>
      </c>
      <c r="B21" s="18" t="s">
        <v>31</v>
      </c>
      <c r="C21" s="18" t="s">
        <v>28</v>
      </c>
      <c r="D21" s="18" t="s">
        <v>21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18"/>
      <c r="AF21" s="18">
        <v>5</v>
      </c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0"/>
      <c r="AR21" s="20"/>
      <c r="AS21" s="20"/>
      <c r="AT21" s="20"/>
      <c r="AU21" s="20"/>
      <c r="AV21" s="20"/>
      <c r="AW21" s="21"/>
      <c r="AX21" s="21"/>
      <c r="AY21" s="21"/>
      <c r="AZ21" s="21"/>
      <c r="BA21" s="21"/>
      <c r="BB21" s="21"/>
      <c r="BC21" s="26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>
        <f>SUM(E21:BO21)</f>
        <v>5</v>
      </c>
      <c r="BQ21" s="18">
        <v>5</v>
      </c>
      <c r="BR21" s="22">
        <v>1</v>
      </c>
      <c r="BS21" s="22" t="s">
        <v>212</v>
      </c>
      <c r="BT21" s="18" t="str">
        <f>IF(AQ21&gt;AQ$120, AQ21-AQ$120,"")</f>
        <v/>
      </c>
      <c r="BU21" s="18" t="str">
        <f>IF(AR21&gt;AR$120, AR21-AR$120,"")</f>
        <v/>
      </c>
      <c r="BV21" s="18" t="str">
        <f>IF(AS21&gt;AS$120, AS21-AS$120,"")</f>
        <v/>
      </c>
      <c r="BW21" s="18" t="str">
        <f>IF(AT21&gt;AT$120, AT21-AT$120,"")</f>
        <v/>
      </c>
      <c r="BX21" s="18" t="str">
        <f>IF(AU21&gt;AU$120, AU21-AU$120,"")</f>
        <v/>
      </c>
      <c r="BY21" s="18" t="str">
        <f>IF(AV21&gt;AV$120, AV21-AV$120,"")</f>
        <v/>
      </c>
      <c r="BZ21" s="18" t="str">
        <f>IF(AW21&gt;AW$120, AW21-AW$120,"")</f>
        <v/>
      </c>
      <c r="CA21" s="18" t="str">
        <f>IF(AX21&gt;AX$120, AX21-AX$120,"")</f>
        <v/>
      </c>
      <c r="CB21" s="18" t="str">
        <f>IF(AY21&gt;AY$120, AY21-AY$120,"")</f>
        <v/>
      </c>
      <c r="CC21" s="18" t="str">
        <f>IF(AZ21&gt;AZ$120, AZ21-AZ$120,"")</f>
        <v/>
      </c>
      <c r="CD21" s="18" t="str">
        <f>IF(BA21&gt;BA$120, BA21-BA$120,"")</f>
        <v/>
      </c>
      <c r="CE21" s="18" t="str">
        <f>IF(BB21&gt;BB$120, BB21-BB$120,"")</f>
        <v/>
      </c>
      <c r="CF21" s="18">
        <f>COUNTIF(BT21:CE21, "&gt;0")</f>
        <v>0</v>
      </c>
      <c r="CG21" s="18" t="str">
        <f>IF($CF21=1,BT21,"")</f>
        <v/>
      </c>
      <c r="CH21" s="18" t="str">
        <f>IF($CF21=1,BU21,"")</f>
        <v/>
      </c>
      <c r="CI21" s="18" t="str">
        <f>IF($CF21=1,BV21,"")</f>
        <v/>
      </c>
      <c r="CJ21" s="18" t="str">
        <f>IF($CF21=1,BW21,"")</f>
        <v/>
      </c>
      <c r="CK21" s="18" t="str">
        <f>IF($CF21=1,BX21,"")</f>
        <v/>
      </c>
      <c r="CL21" s="18" t="str">
        <f>IF($CF21=1,BY21,"")</f>
        <v/>
      </c>
      <c r="CM21" s="18" t="str">
        <f>IF($CF21=1,BZ21,"")</f>
        <v/>
      </c>
      <c r="CN21" s="18" t="str">
        <f>IF($CF21=1,CA21,"")</f>
        <v/>
      </c>
      <c r="CO21" s="18" t="str">
        <f>IF($CF21=1,CB21,"")</f>
        <v/>
      </c>
      <c r="CP21" s="18" t="str">
        <f>IF($CF21=1,CC21,"")</f>
        <v/>
      </c>
      <c r="CQ21" s="18" t="str">
        <f>IF($CF21=1,CD21,"")</f>
        <v/>
      </c>
      <c r="CR21" s="18" t="str">
        <f>IF($CF21=1,CE21,"")</f>
        <v/>
      </c>
      <c r="CS21" s="30">
        <f>SUM(AE21:BO21)</f>
        <v>5</v>
      </c>
    </row>
    <row r="22" spans="1:97" x14ac:dyDescent="0.15">
      <c r="A22" s="18">
        <v>32</v>
      </c>
      <c r="B22" s="18" t="s">
        <v>69</v>
      </c>
      <c r="C22" s="18" t="s">
        <v>28</v>
      </c>
      <c r="D22" s="18" t="s">
        <v>21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/>
      <c r="AG22" s="18"/>
      <c r="AH22" s="18"/>
      <c r="AI22" s="18">
        <v>5</v>
      </c>
      <c r="AJ22" s="18"/>
      <c r="AK22" s="18"/>
      <c r="AL22" s="18"/>
      <c r="AM22" s="18"/>
      <c r="AN22" s="18"/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205</v>
      </c>
      <c r="BT22" s="18" t="str">
        <f>IF(AQ22&gt;AQ$120, AQ22-AQ$120,"")</f>
        <v/>
      </c>
      <c r="BU22" s="18" t="str">
        <f>IF(AR22&gt;AR$120, AR22-AR$120,"")</f>
        <v/>
      </c>
      <c r="BV22" s="18" t="str">
        <f>IF(AS22&gt;AS$120, AS22-AS$120,"")</f>
        <v/>
      </c>
      <c r="BW22" s="18" t="str">
        <f>IF(AT22&gt;AT$120, AT22-AT$120,"")</f>
        <v/>
      </c>
      <c r="BX22" s="18" t="str">
        <f>IF(AU22&gt;AU$120, AU22-AU$120,"")</f>
        <v/>
      </c>
      <c r="BY22" s="18" t="str">
        <f>IF(AV22&gt;AV$120, AV22-AV$120,"")</f>
        <v/>
      </c>
      <c r="BZ22" s="18" t="str">
        <f>IF(AW22&gt;AW$120, AW22-AW$120,"")</f>
        <v/>
      </c>
      <c r="CA22" s="18" t="str">
        <f>IF(AX22&gt;AX$120, AX22-AX$120,"")</f>
        <v/>
      </c>
      <c r="CB22" s="18" t="str">
        <f>IF(AY22&gt;AY$120, AY22-AY$120,"")</f>
        <v/>
      </c>
      <c r="CC22" s="18" t="str">
        <f>IF(AZ22&gt;AZ$120, AZ22-AZ$120,"")</f>
        <v/>
      </c>
      <c r="CD22" s="18" t="str">
        <f>IF(BA22&gt;BA$120, BA22-BA$120,"")</f>
        <v/>
      </c>
      <c r="CE22" s="18" t="str">
        <f>IF(BB22&gt;BB$120, BB22-BB$120,"")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x14ac:dyDescent="0.15">
      <c r="A23" s="18">
        <v>33</v>
      </c>
      <c r="B23" s="18" t="s">
        <v>69</v>
      </c>
      <c r="C23" s="18" t="s">
        <v>28</v>
      </c>
      <c r="D23" s="18" t="s">
        <v>1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>
        <v>5</v>
      </c>
      <c r="AI23" s="18"/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229</v>
      </c>
      <c r="BT23" s="18" t="str">
        <f>IF(AQ23&gt;AQ$120, AQ23-AQ$120,"")</f>
        <v/>
      </c>
      <c r="BU23" s="18" t="str">
        <f>IF(AR23&gt;AR$120, AR23-AR$120,"")</f>
        <v/>
      </c>
      <c r="BV23" s="18" t="str">
        <f>IF(AS23&gt;AS$120, AS23-AS$120,"")</f>
        <v/>
      </c>
      <c r="BW23" s="18" t="str">
        <f>IF(AT23&gt;AT$120, AT23-AT$120,"")</f>
        <v/>
      </c>
      <c r="BX23" s="18" t="str">
        <f>IF(AU23&gt;AU$120, AU23-AU$120,"")</f>
        <v/>
      </c>
      <c r="BY23" s="18" t="str">
        <f>IF(AV23&gt;AV$120, AV23-AV$120,"")</f>
        <v/>
      </c>
      <c r="BZ23" s="18" t="str">
        <f>IF(AW23&gt;AW$120, AW23-AW$120,"")</f>
        <v/>
      </c>
      <c r="CA23" s="18" t="str">
        <f>IF(AX23&gt;AX$120, AX23-AX$120,"")</f>
        <v/>
      </c>
      <c r="CB23" s="18" t="str">
        <f>IF(AY23&gt;AY$120, AY23-AY$120,"")</f>
        <v/>
      </c>
      <c r="CC23" s="18" t="str">
        <f>IF(AZ23&gt;AZ$120, AZ23-AZ$120,"")</f>
        <v/>
      </c>
      <c r="CD23" s="18" t="str">
        <f>IF(BA23&gt;BA$120, BA23-BA$120,"")</f>
        <v/>
      </c>
      <c r="CE23" s="18" t="str">
        <f>IF(BB23&gt;BB$120, BB23-BB$120,"")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x14ac:dyDescent="0.15">
      <c r="A24" s="18">
        <v>63</v>
      </c>
      <c r="B24" s="30" t="s">
        <v>55</v>
      </c>
      <c r="C24" s="18" t="s">
        <v>50</v>
      </c>
      <c r="D24" s="18" t="s">
        <v>21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/>
      <c r="AI24" s="18"/>
      <c r="AJ24" s="18"/>
      <c r="AK24" s="18"/>
      <c r="AL24" s="18"/>
      <c r="AM24" s="18"/>
      <c r="AN24" s="18">
        <v>5</v>
      </c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202</v>
      </c>
      <c r="BT24" s="18" t="str">
        <f>IF(AQ24&gt;AQ$120, AQ24-AQ$120,"")</f>
        <v/>
      </c>
      <c r="BU24" s="18" t="str">
        <f>IF(AR24&gt;AR$120, AR24-AR$120,"")</f>
        <v/>
      </c>
      <c r="BV24" s="18" t="str">
        <f>IF(AS24&gt;AS$120, AS24-AS$120,"")</f>
        <v/>
      </c>
      <c r="BW24" s="18" t="str">
        <f>IF(AT24&gt;AT$120, AT24-AT$120,"")</f>
        <v/>
      </c>
      <c r="BX24" s="18" t="str">
        <f>IF(AU24&gt;AU$120, AU24-AU$120,"")</f>
        <v/>
      </c>
      <c r="BY24" s="18" t="str">
        <f>IF(AV24&gt;AV$120, AV24-AV$120,"")</f>
        <v/>
      </c>
      <c r="BZ24" s="18" t="str">
        <f>IF(AW24&gt;AW$120, AW24-AW$120,"")</f>
        <v/>
      </c>
      <c r="CA24" s="18" t="str">
        <f>IF(AX24&gt;AX$120, AX24-AX$120,"")</f>
        <v/>
      </c>
      <c r="CB24" s="18" t="str">
        <f>IF(AY24&gt;AY$120, AY24-AY$120,"")</f>
        <v/>
      </c>
      <c r="CC24" s="18" t="str">
        <f>IF(AZ24&gt;AZ$120, AZ24-AZ$120,"")</f>
        <v/>
      </c>
      <c r="CD24" s="18" t="str">
        <f>IF(BA24&gt;BA$120, BA24-BA$120,"")</f>
        <v/>
      </c>
      <c r="CE24" s="18" t="str">
        <f>IF(BB24&gt;BB$120, BB24-BB$120,"")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>
        <v>90</v>
      </c>
      <c r="B25" s="30" t="s">
        <v>73</v>
      </c>
      <c r="C25" s="30" t="s">
        <v>72</v>
      </c>
      <c r="D25" s="18" t="s">
        <v>21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/>
      <c r="AJ25" s="18"/>
      <c r="AK25" s="18"/>
      <c r="AL25" s="18"/>
      <c r="AM25" s="18"/>
      <c r="AN25" s="18">
        <v>5</v>
      </c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202</v>
      </c>
      <c r="BT25" s="18" t="str">
        <f>IF(AQ25&gt;AQ$120, AQ25-AQ$120,"")</f>
        <v/>
      </c>
      <c r="BU25" s="18" t="str">
        <f>IF(AR25&gt;AR$120, AR25-AR$120,"")</f>
        <v/>
      </c>
      <c r="BV25" s="18" t="str">
        <f>IF(AS25&gt;AS$120, AS25-AS$120,"")</f>
        <v/>
      </c>
      <c r="BW25" s="18" t="str">
        <f>IF(AT25&gt;AT$120, AT25-AT$120,"")</f>
        <v/>
      </c>
      <c r="BX25" s="18" t="str">
        <f>IF(AU25&gt;AU$120, AU25-AU$120,"")</f>
        <v/>
      </c>
      <c r="BY25" s="18" t="str">
        <f>IF(AV25&gt;AV$120, AV25-AV$120,"")</f>
        <v/>
      </c>
      <c r="BZ25" s="18" t="str">
        <f>IF(AW25&gt;AW$120, AW25-AW$120,"")</f>
        <v/>
      </c>
      <c r="CA25" s="18" t="str">
        <f>IF(AX25&gt;AX$120, AX25-AX$120,"")</f>
        <v/>
      </c>
      <c r="CB25" s="18" t="str">
        <f>IF(AY25&gt;AY$120, AY25-AY$120,"")</f>
        <v/>
      </c>
      <c r="CC25" s="18" t="str">
        <f>IF(AZ25&gt;AZ$120, AZ25-AZ$120,"")</f>
        <v/>
      </c>
      <c r="CD25" s="18" t="str">
        <f>IF(BA25&gt;BA$120, BA25-BA$120,"")</f>
        <v/>
      </c>
      <c r="CE25" s="18" t="str">
        <f>IF(BB25&gt;BB$120, BB25-BB$120,"")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/>
      <c r="B26" s="18" t="s">
        <v>107</v>
      </c>
      <c r="C26" s="18" t="s">
        <v>105</v>
      </c>
      <c r="D26" s="18" t="s">
        <v>101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>
        <v>5</v>
      </c>
      <c r="AI26" s="18"/>
      <c r="AJ26" s="18"/>
      <c r="AK26" s="18"/>
      <c r="AL26" s="18"/>
      <c r="AM26" s="18"/>
      <c r="AN26" s="18"/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229</v>
      </c>
      <c r="BT26" s="18" t="str">
        <f>IF(AQ26&gt;AQ$120, AQ26-AQ$120,"")</f>
        <v/>
      </c>
      <c r="BU26" s="18" t="str">
        <f>IF(AR26&gt;AR$120, AR26-AR$120,"")</f>
        <v/>
      </c>
      <c r="BV26" s="18" t="str">
        <f>IF(AS26&gt;AS$120, AS26-AS$120,"")</f>
        <v/>
      </c>
      <c r="BW26" s="18" t="str">
        <f>IF(AT26&gt;AT$120, AT26-AT$120,"")</f>
        <v/>
      </c>
      <c r="BX26" s="18" t="str">
        <f>IF(AU26&gt;AU$120, AU26-AU$120,"")</f>
        <v/>
      </c>
      <c r="BY26" s="18" t="str">
        <f>IF(AV26&gt;AV$120, AV26-AV$120,"")</f>
        <v/>
      </c>
      <c r="BZ26" s="18" t="str">
        <f>IF(AW26&gt;AW$120, AW26-AW$120,"")</f>
        <v/>
      </c>
      <c r="CA26" s="18" t="str">
        <f>IF(AX26&gt;AX$120, AX26-AX$120,"")</f>
        <v/>
      </c>
      <c r="CB26" s="18" t="str">
        <f>IF(AY26&gt;AY$120, AY26-AY$120,"")</f>
        <v/>
      </c>
      <c r="CC26" s="18" t="str">
        <f>IF(AZ26&gt;AZ$120, AZ26-AZ$120,"")</f>
        <v/>
      </c>
      <c r="CD26" s="18" t="str">
        <f>IF(BA26&gt;BA$120, BA26-BA$120,"")</f>
        <v/>
      </c>
      <c r="CE26" s="18" t="str">
        <f>IF(BB26&gt;BB$120, BB26-BB$120,"")</f>
        <v/>
      </c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30"/>
    </row>
    <row r="27" spans="1:97" x14ac:dyDescent="0.15">
      <c r="A27" s="18"/>
      <c r="B27" s="18" t="s">
        <v>107</v>
      </c>
      <c r="C27" s="18" t="s">
        <v>105</v>
      </c>
      <c r="D27" s="18" t="s">
        <v>95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/>
      <c r="AI27" s="18">
        <v>5</v>
      </c>
      <c r="AJ27" s="18"/>
      <c r="AK27" s="18"/>
      <c r="AL27" s="18"/>
      <c r="AM27" s="18"/>
      <c r="AN27" s="18"/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205</v>
      </c>
      <c r="BT27" s="18" t="str">
        <f>IF(AQ27&gt;AQ$120, AQ27-AQ$120,"")</f>
        <v/>
      </c>
      <c r="BU27" s="18" t="str">
        <f>IF(AR27&gt;AR$120, AR27-AR$120,"")</f>
        <v/>
      </c>
      <c r="BV27" s="18" t="str">
        <f>IF(AS27&gt;AS$120, AS27-AS$120,"")</f>
        <v/>
      </c>
      <c r="BW27" s="18" t="str">
        <f>IF(AT27&gt;AT$120, AT27-AT$120,"")</f>
        <v/>
      </c>
      <c r="BX27" s="18" t="str">
        <f>IF(AU27&gt;AU$120, AU27-AU$120,"")</f>
        <v/>
      </c>
      <c r="BY27" s="18" t="str">
        <f>IF(AV27&gt;AV$120, AV27-AV$120,"")</f>
        <v/>
      </c>
      <c r="BZ27" s="18" t="str">
        <f>IF(AW27&gt;AW$120, AW27-AW$120,"")</f>
        <v/>
      </c>
      <c r="CA27" s="18" t="str">
        <f>IF(AX27&gt;AX$120, AX27-AX$120,"")</f>
        <v/>
      </c>
      <c r="CB27" s="18" t="str">
        <f>IF(AY27&gt;AY$120, AY27-AY$120,"")</f>
        <v/>
      </c>
      <c r="CC27" s="18" t="str">
        <f>IF(AZ27&gt;AZ$120, AZ27-AZ$120,"")</f>
        <v/>
      </c>
      <c r="CD27" s="18" t="str">
        <f>IF(BA27&gt;BA$120, BA27-BA$120,"")</f>
        <v/>
      </c>
      <c r="CE27" s="18" t="str">
        <f>IF(BB27&gt;BB$120, BB27-BB$120,"")</f>
        <v/>
      </c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30"/>
    </row>
    <row r="28" spans="1:97" x14ac:dyDescent="0.15">
      <c r="A28" s="1">
        <v>82</v>
      </c>
      <c r="B28" s="3" t="s">
        <v>60</v>
      </c>
      <c r="C28" s="3" t="s">
        <v>57</v>
      </c>
      <c r="D28" s="1" t="s">
        <v>12</v>
      </c>
      <c r="E28" s="6"/>
      <c r="F28" s="6"/>
      <c r="G28" s="6"/>
      <c r="H28" s="6"/>
      <c r="I28" s="6"/>
      <c r="J28" s="6"/>
      <c r="K28" s="6"/>
      <c r="L28" s="6">
        <v>6</v>
      </c>
      <c r="M28" s="6"/>
      <c r="N28" s="6">
        <v>6</v>
      </c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>
        <v>10</v>
      </c>
      <c r="AU28" s="4"/>
      <c r="AV28" s="4"/>
      <c r="AW28" s="2"/>
      <c r="AX28" s="2"/>
      <c r="AY28" s="2"/>
      <c r="AZ28" s="2">
        <v>10</v>
      </c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32</v>
      </c>
      <c r="BQ28" s="1">
        <v>6</v>
      </c>
      <c r="BR28" s="17">
        <v>1</v>
      </c>
      <c r="BS28" s="17" t="s">
        <v>232</v>
      </c>
      <c r="BT28" s="1" t="str">
        <f>IF(AQ28&gt;AQ$120, AQ28-AQ$120,"")</f>
        <v/>
      </c>
      <c r="BU28" s="1" t="str">
        <f>IF(AR28&gt;AR$120, AR28-AR$120,"")</f>
        <v/>
      </c>
      <c r="BV28" s="1" t="str">
        <f>IF(AS28&gt;AS$120, AS28-AS$120,"")</f>
        <v/>
      </c>
      <c r="BW28" s="1" t="str">
        <f>IF(AT28&gt;AT$120, AT28-AT$120,"")</f>
        <v/>
      </c>
      <c r="BX28" s="1" t="str">
        <f>IF(AU28&gt;AU$120, AU28-AU$120,"")</f>
        <v/>
      </c>
      <c r="BY28" s="1" t="str">
        <f>IF(AV28&gt;AV$120, AV28-AV$120,"")</f>
        <v/>
      </c>
      <c r="BZ28" s="1" t="str">
        <f>IF(AW28&gt;AW$120, AW28-AW$120,"")</f>
        <v/>
      </c>
      <c r="CA28" s="1" t="str">
        <f>IF(AX28&gt;AX$120, AX28-AX$120,"")</f>
        <v/>
      </c>
      <c r="CB28" s="1" t="str">
        <f>IF(AY28&gt;AY$120, AY28-AY$120,"")</f>
        <v/>
      </c>
      <c r="CC28" s="1" t="str">
        <f>IF(AZ28&gt;AZ$120, AZ28-AZ$120,"")</f>
        <v/>
      </c>
      <c r="CD28" s="1" t="str">
        <f>IF(BA28&gt;BA$120, BA28-BA$120,"")</f>
        <v/>
      </c>
      <c r="CE28" s="1" t="str">
        <f>IF(BB28&gt;BB$120, BB28-BB$120,"")</f>
        <v/>
      </c>
      <c r="CF28" s="1">
        <f>COUNTIF(BT28:CE28, "&gt;0")</f>
        <v>0</v>
      </c>
      <c r="CG28" s="1" t="str">
        <f>IF($CF28=1,BT28,"")</f>
        <v/>
      </c>
      <c r="CH28" s="1" t="str">
        <f>IF($CF28=1,BU28,"")</f>
        <v/>
      </c>
      <c r="CI28" s="1" t="str">
        <f>IF($CF28=1,BV28,"")</f>
        <v/>
      </c>
      <c r="CJ28" s="1" t="str">
        <f>IF($CF28=1,BW28,"")</f>
        <v/>
      </c>
      <c r="CK28" s="1" t="str">
        <f>IF($CF28=1,BX28,"")</f>
        <v/>
      </c>
      <c r="CL28" s="1" t="str">
        <f>IF($CF28=1,BY28,"")</f>
        <v/>
      </c>
      <c r="CM28" s="1" t="str">
        <f>IF($CF28=1,BZ28,"")</f>
        <v/>
      </c>
      <c r="CN28" s="1" t="str">
        <f>IF($CF28=1,CA28,"")</f>
        <v/>
      </c>
      <c r="CO28" s="1" t="str">
        <f>IF($CF28=1,CB28,"")</f>
        <v/>
      </c>
      <c r="CP28" s="1" t="str">
        <f>IF($CF28=1,CC28,"")</f>
        <v/>
      </c>
      <c r="CQ28" s="1" t="str">
        <f>IF($CF28=1,CD28,"")</f>
        <v/>
      </c>
      <c r="CR28" s="1" t="str">
        <f>IF($CF28=1,CE28,"")</f>
        <v/>
      </c>
      <c r="CS28" s="3">
        <f>SUM(AE28:BO28)</f>
        <v>20</v>
      </c>
    </row>
    <row r="29" spans="1:97" x14ac:dyDescent="0.15">
      <c r="A29" s="1">
        <v>45</v>
      </c>
      <c r="B29" s="1" t="s">
        <v>92</v>
      </c>
      <c r="C29" s="1" t="s">
        <v>42</v>
      </c>
      <c r="D29" s="1" t="s">
        <v>12</v>
      </c>
      <c r="E29" s="6">
        <v>6</v>
      </c>
      <c r="F29" s="6"/>
      <c r="G29" s="6"/>
      <c r="H29" s="6"/>
      <c r="I29" s="6"/>
      <c r="J29" s="6"/>
      <c r="K29" s="6"/>
      <c r="L29" s="6"/>
      <c r="M29" s="6">
        <v>6</v>
      </c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10</v>
      </c>
      <c r="AR29" s="4"/>
      <c r="AS29" s="4"/>
      <c r="AT29" s="4"/>
      <c r="AU29" s="4"/>
      <c r="AV29" s="4"/>
      <c r="AW29" s="2"/>
      <c r="AX29" s="2"/>
      <c r="AY29" s="2"/>
      <c r="AZ29" s="2">
        <v>10</v>
      </c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6</v>
      </c>
      <c r="BR29" s="17">
        <v>1</v>
      </c>
      <c r="BS29" s="17" t="s">
        <v>232</v>
      </c>
      <c r="BT29" s="1" t="str">
        <f>IF(AQ29&gt;AQ$120, AQ29-AQ$120,"")</f>
        <v/>
      </c>
      <c r="BU29" s="1" t="str">
        <f>IF(AR29&gt;AR$120, AR29-AR$120,"")</f>
        <v/>
      </c>
      <c r="BV29" s="1" t="str">
        <f>IF(AS29&gt;AS$120, AS29-AS$120,"")</f>
        <v/>
      </c>
      <c r="BW29" s="1" t="str">
        <f>IF(AT29&gt;AT$120, AT29-AT$120,"")</f>
        <v/>
      </c>
      <c r="BX29" s="1" t="str">
        <f>IF(AU29&gt;AU$120, AU29-AU$120,"")</f>
        <v/>
      </c>
      <c r="BY29" s="1" t="str">
        <f>IF(AV29&gt;AV$120, AV29-AV$120,"")</f>
        <v/>
      </c>
      <c r="BZ29" s="1" t="str">
        <f>IF(AW29&gt;AW$120, AW29-AW$120,"")</f>
        <v/>
      </c>
      <c r="CA29" s="1" t="str">
        <f>IF(AX29&gt;AX$120, AX29-AX$120,"")</f>
        <v/>
      </c>
      <c r="CB29" s="1" t="str">
        <f>IF(AY29&gt;AY$120, AY29-AY$120,"")</f>
        <v/>
      </c>
      <c r="CC29" s="1" t="str">
        <f>IF(AZ29&gt;AZ$120, AZ29-AZ$120,"")</f>
        <v/>
      </c>
      <c r="CD29" s="1" t="str">
        <f>IF(BA29&gt;BA$120, BA29-BA$120,"")</f>
        <v/>
      </c>
      <c r="CE29" s="1" t="str">
        <f>IF(BB29&gt;BB$120, BB29-BB$120,"")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20</v>
      </c>
    </row>
    <row r="30" spans="1:97" x14ac:dyDescent="0.15">
      <c r="A30" s="40">
        <v>77</v>
      </c>
      <c r="B30" s="47" t="s">
        <v>154</v>
      </c>
      <c r="C30" s="47" t="s">
        <v>57</v>
      </c>
      <c r="D30" s="40" t="s">
        <v>12</v>
      </c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3"/>
      <c r="AR30" s="43"/>
      <c r="AS30" s="43"/>
      <c r="AT30" s="43">
        <v>20</v>
      </c>
      <c r="AU30" s="43"/>
      <c r="AV30" s="43"/>
      <c r="AW30" s="44">
        <v>20</v>
      </c>
      <c r="AX30" s="44">
        <v>20</v>
      </c>
      <c r="AY30" s="44"/>
      <c r="AZ30" s="44"/>
      <c r="BA30" s="44"/>
      <c r="BB30" s="44">
        <v>10</v>
      </c>
      <c r="BC30" s="45"/>
      <c r="BD30" s="40"/>
      <c r="BE30" s="40"/>
      <c r="BF30" s="40"/>
      <c r="BG30" s="40"/>
      <c r="BH30" s="40">
        <v>20</v>
      </c>
      <c r="BI30" s="40"/>
      <c r="BJ30" s="40"/>
      <c r="BK30" s="40"/>
      <c r="BL30" s="40"/>
      <c r="BM30" s="40"/>
      <c r="BN30" s="40"/>
      <c r="BO30" s="40"/>
      <c r="BP30" s="40">
        <f>SUM(E30:BO30)</f>
        <v>90</v>
      </c>
      <c r="BQ30" s="40">
        <v>6</v>
      </c>
      <c r="BR30" s="46">
        <v>1</v>
      </c>
      <c r="BS30" s="46" t="s">
        <v>246</v>
      </c>
      <c r="BT30" s="40" t="str">
        <f>IF(AQ30&gt;AQ$120, AQ30-AQ$120,"")</f>
        <v/>
      </c>
      <c r="BU30" s="40" t="str">
        <f>IF(AR30&gt;AR$120, AR30-AR$120,"")</f>
        <v/>
      </c>
      <c r="BV30" s="40" t="str">
        <f>IF(AS30&gt;AS$120, AS30-AS$120,"")</f>
        <v/>
      </c>
      <c r="BW30" s="40" t="str">
        <f>IF(AT30&gt;AT$120, AT30-AT$120,"")</f>
        <v/>
      </c>
      <c r="BX30" s="40" t="str">
        <f>IF(AU30&gt;AU$120, AU30-AU$120,"")</f>
        <v/>
      </c>
      <c r="BY30" s="40" t="str">
        <f>IF(AV30&gt;AV$120, AV30-AV$120,"")</f>
        <v/>
      </c>
      <c r="BZ30" s="40" t="str">
        <f>IF(AW30&gt;AW$120, AW30-AW$120,"")</f>
        <v/>
      </c>
      <c r="CA30" s="40" t="str">
        <f>IF(AX30&gt;AX$120, AX30-AX$120,"")</f>
        <v/>
      </c>
      <c r="CB30" s="40" t="str">
        <f>IF(AY30&gt;AY$120, AY30-AY$120,"")</f>
        <v/>
      </c>
      <c r="CC30" s="40" t="str">
        <f>IF(AZ30&gt;AZ$120, AZ30-AZ$120,"")</f>
        <v/>
      </c>
      <c r="CD30" s="40" t="str">
        <f>IF(BA30&gt;BA$120, BA30-BA$120,"")</f>
        <v/>
      </c>
      <c r="CE30" s="40" t="str">
        <f>IF(BB30&gt;BB$120, BB30-BB$120,"")</f>
        <v/>
      </c>
      <c r="CF30" s="40">
        <f>COUNTIF(BT30:CE30, "&gt;0")</f>
        <v>0</v>
      </c>
      <c r="CG30" s="40" t="str">
        <f>IF($CF30=1,BT30,"")</f>
        <v/>
      </c>
      <c r="CH30" s="40" t="str">
        <f>IF($CF30=1,BU30,"")</f>
        <v/>
      </c>
      <c r="CI30" s="40" t="str">
        <f>IF($CF30=1,BV30,"")</f>
        <v/>
      </c>
      <c r="CJ30" s="40" t="str">
        <f>IF($CF30=1,BW30,"")</f>
        <v/>
      </c>
      <c r="CK30" s="40" t="str">
        <f>IF($CF30=1,BX30,"")</f>
        <v/>
      </c>
      <c r="CL30" s="40" t="str">
        <f>IF($CF30=1,BY30,"")</f>
        <v/>
      </c>
      <c r="CM30" s="40" t="str">
        <f>IF($CF30=1,BZ30,"")</f>
        <v/>
      </c>
      <c r="CN30" s="40" t="str">
        <f>IF($CF30=1,CA30,"")</f>
        <v/>
      </c>
      <c r="CO30" s="40" t="str">
        <f>IF($CF30=1,CB30,"")</f>
        <v/>
      </c>
      <c r="CP30" s="40" t="str">
        <f>IF($CF30=1,CC30,"")</f>
        <v/>
      </c>
      <c r="CQ30" s="40" t="str">
        <f>IF($CF30=1,CD30,"")</f>
        <v/>
      </c>
      <c r="CR30" s="40" t="str">
        <f>IF($CF30=1,CE30,"")</f>
        <v/>
      </c>
      <c r="CS30" s="47">
        <f>SUM(AE30:BO30)</f>
        <v>90</v>
      </c>
    </row>
    <row r="31" spans="1:97" x14ac:dyDescent="0.15">
      <c r="A31" s="1"/>
      <c r="B31" s="1" t="s">
        <v>176</v>
      </c>
      <c r="C31" s="1" t="s">
        <v>97</v>
      </c>
      <c r="D31" s="1" t="s">
        <v>95</v>
      </c>
      <c r="E31" s="6">
        <v>6</v>
      </c>
      <c r="F31" s="6">
        <v>6</v>
      </c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>
        <v>10</v>
      </c>
      <c r="AT31" s="4"/>
      <c r="AU31" s="4"/>
      <c r="AV31" s="4"/>
      <c r="AW31" s="2"/>
      <c r="AX31" s="2">
        <v>10</v>
      </c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32</v>
      </c>
      <c r="BQ31" s="1">
        <v>8</v>
      </c>
      <c r="BR31" s="17">
        <v>1</v>
      </c>
      <c r="BS31" s="17" t="s">
        <v>233</v>
      </c>
      <c r="BT31" s="1" t="str">
        <f>IF(AQ31&gt;AQ$120, AQ31-AQ$120,"")</f>
        <v/>
      </c>
      <c r="BU31" s="1" t="str">
        <f>IF(AR31&gt;AR$120, AR31-AR$120,"")</f>
        <v/>
      </c>
      <c r="BV31" s="1" t="str">
        <f>IF(AS31&gt;AS$120, AS31-AS$120,"")</f>
        <v/>
      </c>
      <c r="BW31" s="1" t="str">
        <f>IF(AT31&gt;AT$120, AT31-AT$120,"")</f>
        <v/>
      </c>
      <c r="BX31" s="1" t="str">
        <f>IF(AU31&gt;AU$120, AU31-AU$120,"")</f>
        <v/>
      </c>
      <c r="BY31" s="1" t="str">
        <f>IF(AV31&gt;AV$120, AV31-AV$120,"")</f>
        <v/>
      </c>
      <c r="BZ31" s="1" t="str">
        <f>IF(AW31&gt;AW$120, AW31-AW$120,"")</f>
        <v/>
      </c>
      <c r="CA31" s="1" t="str">
        <f>IF(AX31&gt;AX$120, AX31-AX$120,"")</f>
        <v/>
      </c>
      <c r="CB31" s="1" t="str">
        <f>IF(AY31&gt;AY$120, AY31-AY$120,"")</f>
        <v/>
      </c>
      <c r="CC31" s="1" t="str">
        <f>IF(AZ31&gt;AZ$120, AZ31-AZ$120,"")</f>
        <v/>
      </c>
      <c r="CD31" s="1" t="str">
        <f>IF(BA31&gt;BA$120, BA31-BA$120,"")</f>
        <v/>
      </c>
      <c r="CE31" s="1" t="str">
        <f>IF(BB31&gt;BB$120, BB31-BB$120,"")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/>
      <c r="B32" s="1" t="s">
        <v>165</v>
      </c>
      <c r="C32" s="1" t="s">
        <v>105</v>
      </c>
      <c r="D32" s="1" t="s">
        <v>95</v>
      </c>
      <c r="E32" s="6">
        <v>10</v>
      </c>
      <c r="F32" s="6"/>
      <c r="G32" s="6">
        <v>10</v>
      </c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>
        <v>10</v>
      </c>
      <c r="AS32" s="4"/>
      <c r="AT32" s="4"/>
      <c r="AU32" s="4"/>
      <c r="AV32" s="4"/>
      <c r="AW32" s="2"/>
      <c r="AX32" s="2"/>
      <c r="AY32" s="2"/>
      <c r="AZ32" s="2"/>
      <c r="BA32" s="2"/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8</v>
      </c>
      <c r="BR32" s="17">
        <v>1</v>
      </c>
      <c r="BS32" s="17" t="s">
        <v>234</v>
      </c>
      <c r="BT32" s="1" t="str">
        <f>IF(AQ32&gt;AQ$120, AQ32-AQ$120,"")</f>
        <v/>
      </c>
      <c r="BU32" s="1" t="str">
        <f>IF(AR32&gt;AR$120, AR32-AR$120,"")</f>
        <v/>
      </c>
      <c r="BV32" s="1" t="str">
        <f>IF(AS32&gt;AS$120, AS32-AS$120,"")</f>
        <v/>
      </c>
      <c r="BW32" s="1" t="str">
        <f>IF(AT32&gt;AT$120, AT32-AT$120,"")</f>
        <v/>
      </c>
      <c r="BX32" s="1" t="str">
        <f>IF(AU32&gt;AU$120, AU32-AU$120,"")</f>
        <v/>
      </c>
      <c r="BY32" s="1" t="str">
        <f>IF(AV32&gt;AV$120, AV32-AV$120,"")</f>
        <v/>
      </c>
      <c r="BZ32" s="1" t="str">
        <f>IF(AW32&gt;AW$120, AW32-AW$120,"")</f>
        <v/>
      </c>
      <c r="CA32" s="1" t="str">
        <f>IF(AX32&gt;AX$120, AX32-AX$120,"")</f>
        <v/>
      </c>
      <c r="CB32" s="1" t="str">
        <f>IF(AY32&gt;AY$120, AY32-AY$120,"")</f>
        <v/>
      </c>
      <c r="CC32" s="1" t="str">
        <f>IF(AZ32&gt;AZ$120, AZ32-AZ$120,"")</f>
        <v/>
      </c>
      <c r="CD32" s="1" t="str">
        <f>IF(BA32&gt;BA$120, BA32-BA$120,"")</f>
        <v/>
      </c>
      <c r="CE32" s="1" t="str">
        <f>IF(BB32&gt;BB$120, BB32-BB$120,"")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/>
      <c r="B33" s="1" t="s">
        <v>163</v>
      </c>
      <c r="C33" s="1" t="s">
        <v>139</v>
      </c>
      <c r="D33" s="1" t="s">
        <v>113</v>
      </c>
      <c r="E33" s="6">
        <v>10</v>
      </c>
      <c r="F33" s="6"/>
      <c r="G33" s="6">
        <v>10</v>
      </c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>
        <v>10</v>
      </c>
      <c r="AS33" s="4"/>
      <c r="AT33" s="4"/>
      <c r="AU33" s="4"/>
      <c r="AV33" s="4"/>
      <c r="AW33" s="2"/>
      <c r="AX33" s="2"/>
      <c r="AY33" s="2"/>
      <c r="AZ33" s="2"/>
      <c r="BA33" s="2"/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8</v>
      </c>
      <c r="BR33" s="17">
        <v>1</v>
      </c>
      <c r="BS33" s="17" t="s">
        <v>234</v>
      </c>
      <c r="BT33" s="1" t="str">
        <f>IF(AQ33&gt;AQ$120, AQ33-AQ$120,"")</f>
        <v/>
      </c>
      <c r="BU33" s="1" t="str">
        <f>IF(AR33&gt;AR$120, AR33-AR$120,"")</f>
        <v/>
      </c>
      <c r="BV33" s="1" t="str">
        <f>IF(AS33&gt;AS$120, AS33-AS$120,"")</f>
        <v/>
      </c>
      <c r="BW33" s="1" t="str">
        <f>IF(AT33&gt;AT$120, AT33-AT$120,"")</f>
        <v/>
      </c>
      <c r="BX33" s="1" t="str">
        <f>IF(AU33&gt;AU$120, AU33-AU$120,"")</f>
        <v/>
      </c>
      <c r="BY33" s="1" t="str">
        <f>IF(AV33&gt;AV$120, AV33-AV$120,"")</f>
        <v/>
      </c>
      <c r="BZ33" s="1" t="str">
        <f>IF(AW33&gt;AW$120, AW33-AW$120,"")</f>
        <v/>
      </c>
      <c r="CA33" s="1" t="str">
        <f>IF(AX33&gt;AX$120, AX33-AX$120,"")</f>
        <v/>
      </c>
      <c r="CB33" s="1" t="str">
        <f>IF(AY33&gt;AY$120, AY33-AY$120,"")</f>
        <v/>
      </c>
      <c r="CC33" s="1" t="str">
        <f>IF(AZ33&gt;AZ$120, AZ33-AZ$120,"")</f>
        <v/>
      </c>
      <c r="CD33" s="1" t="str">
        <f>IF(BA33&gt;BA$120, BA33-BA$120,"")</f>
        <v/>
      </c>
      <c r="CE33" s="1" t="str">
        <f>IF(BB33&gt;BB$120, BB33-BB$120,"")</f>
        <v/>
      </c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3"/>
    </row>
    <row r="34" spans="1:97" x14ac:dyDescent="0.15">
      <c r="A34" s="1">
        <v>8</v>
      </c>
      <c r="B34" s="1" t="s">
        <v>158</v>
      </c>
      <c r="C34" s="1" t="s">
        <v>2</v>
      </c>
      <c r="D34" s="1" t="s">
        <v>23</v>
      </c>
      <c r="E34" s="6">
        <v>6</v>
      </c>
      <c r="F34" s="6"/>
      <c r="G34" s="6"/>
      <c r="H34" s="6">
        <v>6</v>
      </c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32</v>
      </c>
      <c r="BQ34" s="1">
        <v>8</v>
      </c>
      <c r="BR34" s="17">
        <v>1</v>
      </c>
      <c r="BS34" s="17" t="s">
        <v>234</v>
      </c>
      <c r="BT34" s="1" t="str">
        <f>IF(AQ34&gt;AQ$120, AQ34-AQ$120,"")</f>
        <v/>
      </c>
      <c r="BU34" s="1" t="str">
        <f>IF(AR34&gt;AR$120, AR34-AR$120,"")</f>
        <v/>
      </c>
      <c r="BV34" s="1" t="str">
        <f>IF(AS34&gt;AS$120, AS34-AS$120,"")</f>
        <v/>
      </c>
      <c r="BW34" s="1" t="str">
        <f>IF(AT34&gt;AT$120, AT34-AT$120,"")</f>
        <v/>
      </c>
      <c r="BX34" s="1" t="str">
        <f>IF(AU34&gt;AU$120, AU34-AU$120,"")</f>
        <v/>
      </c>
      <c r="BY34" s="1" t="str">
        <f>IF(AV34&gt;AV$120, AV34-AV$120,"")</f>
        <v/>
      </c>
      <c r="BZ34" s="1" t="str">
        <f>IF(AW34&gt;AW$120, AW34-AW$120,"")</f>
        <v/>
      </c>
      <c r="CA34" s="1" t="str">
        <f>IF(AX34&gt;AX$120, AX34-AX$120,"")</f>
        <v/>
      </c>
      <c r="CB34" s="1" t="str">
        <f>IF(AY34&gt;AY$120, AY34-AY$120,"")</f>
        <v/>
      </c>
      <c r="CC34" s="1" t="str">
        <f>IF(AZ34&gt;AZ$120, AZ34-AZ$120,"")</f>
        <v/>
      </c>
      <c r="CD34" s="1" t="str">
        <f>IF(BA34&gt;BA$120, BA34-BA$120,"")</f>
        <v/>
      </c>
      <c r="CE34" s="1" t="str">
        <f>IF(BB34&gt;BB$120, BB34-BB$120,"")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20</v>
      </c>
    </row>
    <row r="35" spans="1:97" x14ac:dyDescent="0.15">
      <c r="A35" s="1"/>
      <c r="B35" s="1" t="s">
        <v>175</v>
      </c>
      <c r="C35" s="1" t="s">
        <v>108</v>
      </c>
      <c r="D35" s="1" t="s">
        <v>94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10</v>
      </c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</v>
      </c>
      <c r="BQ35" s="1">
        <v>10</v>
      </c>
      <c r="BR35" s="17">
        <v>1</v>
      </c>
      <c r="BS35" s="17" t="s">
        <v>223</v>
      </c>
      <c r="BT35" s="1" t="str">
        <f>IF(AQ35&gt;AQ$120, AQ35-AQ$120,"")</f>
        <v/>
      </c>
      <c r="BU35" s="1" t="str">
        <f>IF(AR35&gt;AR$120, AR35-AR$120,"")</f>
        <v/>
      </c>
      <c r="BV35" s="1" t="str">
        <f>IF(AS35&gt;AS$120, AS35-AS$120,"")</f>
        <v/>
      </c>
      <c r="BW35" s="1" t="str">
        <f>IF(AT35&gt;AT$120, AT35-AT$120,"")</f>
        <v/>
      </c>
      <c r="BX35" s="1" t="str">
        <f>IF(AU35&gt;AU$120, AU35-AU$120,"")</f>
        <v/>
      </c>
      <c r="BY35" s="1" t="str">
        <f>IF(AV35&gt;AV$120, AV35-AV$120,"")</f>
        <v/>
      </c>
      <c r="BZ35" s="1" t="str">
        <f>IF(AW35&gt;AW$120, AW35-AW$120,"")</f>
        <v/>
      </c>
      <c r="CA35" s="1" t="str">
        <f>IF(AX35&gt;AX$120, AX35-AX$120,"")</f>
        <v/>
      </c>
      <c r="CB35" s="1" t="str">
        <f>IF(AY35&gt;AY$120, AY35-AY$120,"")</f>
        <v/>
      </c>
      <c r="CC35" s="1" t="str">
        <f>IF(AZ35&gt;AZ$120, AZ35-AZ$120,"")</f>
        <v/>
      </c>
      <c r="CD35" s="1" t="str">
        <f>IF(BA35&gt;BA$120, BA35-BA$120,"")</f>
        <v/>
      </c>
      <c r="CE35" s="1" t="str">
        <f>IF(BB35&gt;BB$120, BB35-BB$120,"")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1"/>
      <c r="B36" s="1" t="s">
        <v>207</v>
      </c>
      <c r="C36" s="1" t="s">
        <v>208</v>
      </c>
      <c r="D36" s="1" t="s">
        <v>209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>
        <v>15</v>
      </c>
      <c r="AV36" s="4"/>
      <c r="AW36" s="2"/>
      <c r="AX36" s="2"/>
      <c r="AY36" s="2">
        <v>15</v>
      </c>
      <c r="AZ36" s="2"/>
      <c r="BA36" s="2">
        <v>10</v>
      </c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10</v>
      </c>
      <c r="BR36" s="17">
        <v>1</v>
      </c>
      <c r="BS36" s="17" t="s">
        <v>223</v>
      </c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/>
      <c r="B37" s="1" t="s">
        <v>157</v>
      </c>
      <c r="C37" s="1" t="s">
        <v>140</v>
      </c>
      <c r="D37" s="1" t="s">
        <v>113</v>
      </c>
      <c r="E37" s="6"/>
      <c r="F37" s="6"/>
      <c r="G37" s="6"/>
      <c r="H37" s="6"/>
      <c r="I37" s="6"/>
      <c r="J37" s="6"/>
      <c r="K37" s="6"/>
      <c r="L37" s="6">
        <v>6</v>
      </c>
      <c r="M37" s="6"/>
      <c r="N37" s="6"/>
      <c r="O37" s="6">
        <v>6</v>
      </c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>
        <v>10</v>
      </c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10</v>
      </c>
      <c r="BR37" s="17">
        <v>1</v>
      </c>
      <c r="BS37" s="17" t="s">
        <v>223</v>
      </c>
      <c r="BT37" s="1" t="str">
        <f>IF(AQ37&gt;AQ$120, AQ37-AQ$120,"")</f>
        <v/>
      </c>
      <c r="BU37" s="1" t="str">
        <f>IF(AR37&gt;AR$120, AR37-AR$120,"")</f>
        <v/>
      </c>
      <c r="BV37" s="1" t="str">
        <f>IF(AS37&gt;AS$120, AS37-AS$120,"")</f>
        <v/>
      </c>
      <c r="BW37" s="1" t="str">
        <f>IF(AT37&gt;AT$120, AT37-AT$120,"")</f>
        <v/>
      </c>
      <c r="BX37" s="1" t="str">
        <f>IF(AU37&gt;AU$120, AU37-AU$120,"")</f>
        <v/>
      </c>
      <c r="BY37" s="1" t="str">
        <f>IF(AV37&gt;AV$120, AV37-AV$120,"")</f>
        <v/>
      </c>
      <c r="BZ37" s="1" t="str">
        <f>IF(AW37&gt;AW$120, AW37-AW$120,"")</f>
        <v/>
      </c>
      <c r="CA37" s="1" t="str">
        <f>IF(AX37&gt;AX$120, AX37-AX$120,"")</f>
        <v/>
      </c>
      <c r="CB37" s="1" t="str">
        <f>IF(AY37&gt;AY$120, AY37-AY$120,"")</f>
        <v/>
      </c>
      <c r="CC37" s="1" t="str">
        <f>IF(AZ37&gt;AZ$120, AZ37-AZ$120,"")</f>
        <v/>
      </c>
      <c r="CD37" s="1" t="str">
        <f>IF(BA37&gt;BA$120, BA37-BA$120,"")</f>
        <v/>
      </c>
      <c r="CE37" s="1" t="str">
        <f>IF(BB37&gt;BB$120, BB37-BB$120,"")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1">
        <v>81</v>
      </c>
      <c r="B38" s="3" t="s">
        <v>59</v>
      </c>
      <c r="C38" s="3" t="s">
        <v>57</v>
      </c>
      <c r="D38" s="1" t="s">
        <v>12</v>
      </c>
      <c r="E38" s="6"/>
      <c r="F38" s="6"/>
      <c r="G38" s="6"/>
      <c r="H38" s="6"/>
      <c r="I38" s="6"/>
      <c r="J38" s="6"/>
      <c r="K38" s="6"/>
      <c r="L38" s="6">
        <v>6</v>
      </c>
      <c r="M38" s="6"/>
      <c r="N38" s="6"/>
      <c r="O38" s="6">
        <v>6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/>
      <c r="BA38" s="2">
        <v>10</v>
      </c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32</v>
      </c>
      <c r="BQ38" s="1">
        <v>10</v>
      </c>
      <c r="BR38" s="17">
        <v>1</v>
      </c>
      <c r="BS38" s="17" t="s">
        <v>223</v>
      </c>
      <c r="BT38" s="1" t="str">
        <f>IF(AQ38&gt;AQ$120, AQ38-AQ$120,"")</f>
        <v/>
      </c>
      <c r="BU38" s="1" t="str">
        <f>IF(AR38&gt;AR$120, AR38-AR$120,"")</f>
        <v/>
      </c>
      <c r="BV38" s="1" t="str">
        <f>IF(AS38&gt;AS$120, AS38-AS$120,"")</f>
        <v/>
      </c>
      <c r="BW38" s="1" t="str">
        <f>IF(AT38&gt;AT$120, AT38-AT$120,"")</f>
        <v/>
      </c>
      <c r="BX38" s="1" t="str">
        <f>IF(AU38&gt;AU$120, AU38-AU$120,"")</f>
        <v/>
      </c>
      <c r="BY38" s="1" t="str">
        <f>IF(AV38&gt;AV$120, AV38-AV$120,"")</f>
        <v/>
      </c>
      <c r="BZ38" s="1" t="str">
        <f>IF(AW38&gt;AW$120, AW38-AW$120,"")</f>
        <v/>
      </c>
      <c r="CA38" s="1" t="str">
        <f>IF(AX38&gt;AX$120, AX38-AX$120,"")</f>
        <v/>
      </c>
      <c r="CB38" s="1" t="str">
        <f>IF(AY38&gt;AY$120, AY38-AY$120,"")</f>
        <v/>
      </c>
      <c r="CC38" s="1" t="str">
        <f>IF(AZ38&gt;AZ$120, AZ38-AZ$120,"")</f>
        <v/>
      </c>
      <c r="CD38" s="1" t="str">
        <f>IF(BA38&gt;BA$120, BA38-BA$120,"")</f>
        <v/>
      </c>
      <c r="CE38" s="1" t="str">
        <f>IF(BB38&gt;BB$120, BB38-BB$120,"")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3">
        <f>SUM(AE38:BO38)</f>
        <v>20</v>
      </c>
    </row>
    <row r="39" spans="1:97" s="23" customFormat="1" x14ac:dyDescent="0.15">
      <c r="A39" s="1">
        <v>72</v>
      </c>
      <c r="B39" s="3" t="s">
        <v>82</v>
      </c>
      <c r="C39" s="1" t="s">
        <v>50</v>
      </c>
      <c r="D39" s="1" t="s">
        <v>12</v>
      </c>
      <c r="E39" s="6"/>
      <c r="F39" s="6"/>
      <c r="G39" s="6"/>
      <c r="H39" s="6"/>
      <c r="I39" s="6"/>
      <c r="J39" s="6"/>
      <c r="K39" s="6"/>
      <c r="L39" s="6">
        <v>6</v>
      </c>
      <c r="M39" s="6">
        <v>6</v>
      </c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>
        <v>10</v>
      </c>
      <c r="AW39" s="2"/>
      <c r="AX39" s="2"/>
      <c r="AY39" s="2"/>
      <c r="AZ39" s="2"/>
      <c r="BA39" s="2">
        <v>10</v>
      </c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32</v>
      </c>
      <c r="BQ39" s="1">
        <v>10</v>
      </c>
      <c r="BR39" s="17">
        <v>1</v>
      </c>
      <c r="BS39" s="17" t="s">
        <v>227</v>
      </c>
      <c r="BT39" s="1" t="str">
        <f>IF(AQ39&gt;AQ$120, AQ39-AQ$120,"")</f>
        <v/>
      </c>
      <c r="BU39" s="1" t="str">
        <f>IF(AR39&gt;AR$120, AR39-AR$120,"")</f>
        <v/>
      </c>
      <c r="BV39" s="1" t="str">
        <f>IF(AS39&gt;AS$120, AS39-AS$120,"")</f>
        <v/>
      </c>
      <c r="BW39" s="1" t="str">
        <f>IF(AT39&gt;AT$120, AT39-AT$120,"")</f>
        <v/>
      </c>
      <c r="BX39" s="1" t="str">
        <f>IF(AU39&gt;AU$120, AU39-AU$120,"")</f>
        <v/>
      </c>
      <c r="BY39" s="1" t="str">
        <f>IF(AV39&gt;AV$120, AV39-AV$120,"")</f>
        <v/>
      </c>
      <c r="BZ39" s="1" t="str">
        <f>IF(AW39&gt;AW$120, AW39-AW$120,"")</f>
        <v/>
      </c>
      <c r="CA39" s="1" t="str">
        <f>IF(AX39&gt;AX$120, AX39-AX$120,"")</f>
        <v/>
      </c>
      <c r="CB39" s="1" t="str">
        <f>IF(AY39&gt;AY$120, AY39-AY$120,"")</f>
        <v/>
      </c>
      <c r="CC39" s="1" t="str">
        <f>IF(AZ39&gt;AZ$120, AZ39-AZ$120,"")</f>
        <v/>
      </c>
      <c r="CD39" s="1" t="str">
        <f>IF(BA39&gt;BA$120, BA39-BA$120,"")</f>
        <v/>
      </c>
      <c r="CE39" s="1" t="str">
        <f>IF(BB39&gt;BB$120, BB39-BB$120,"")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20</v>
      </c>
    </row>
    <row r="40" spans="1:97" x14ac:dyDescent="0.15">
      <c r="A40" s="1"/>
      <c r="B40" s="1" t="s">
        <v>166</v>
      </c>
      <c r="C40" s="1" t="s">
        <v>133</v>
      </c>
      <c r="D40" s="1" t="s">
        <v>112</v>
      </c>
      <c r="E40" s="6"/>
      <c r="F40" s="6"/>
      <c r="G40" s="6"/>
      <c r="H40" s="6"/>
      <c r="I40" s="6"/>
      <c r="J40" s="6">
        <v>10</v>
      </c>
      <c r="K40" s="6"/>
      <c r="L40" s="6">
        <v>10</v>
      </c>
      <c r="M40" s="6">
        <v>10</v>
      </c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>
        <v>15</v>
      </c>
      <c r="AZ40" s="2">
        <v>15</v>
      </c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11</v>
      </c>
      <c r="BR40" s="17">
        <v>1</v>
      </c>
      <c r="BS40" s="17" t="s">
        <v>235</v>
      </c>
      <c r="BT40" s="1" t="str">
        <f>IF(AQ40&gt;AQ$120, AQ40-AQ$120,"")</f>
        <v/>
      </c>
      <c r="BU40" s="1" t="str">
        <f>IF(AR40&gt;AR$120, AR40-AR$120,"")</f>
        <v/>
      </c>
      <c r="BV40" s="1" t="str">
        <f>IF(AS40&gt;AS$120, AS40-AS$120,"")</f>
        <v/>
      </c>
      <c r="BW40" s="1" t="str">
        <f>IF(AT40&gt;AT$120, AT40-AT$120,"")</f>
        <v/>
      </c>
      <c r="BX40" s="1" t="str">
        <f>IF(AU40&gt;AU$120, AU40-AU$120,"")</f>
        <v/>
      </c>
      <c r="BY40" s="1" t="str">
        <f>IF(AV40&gt;AV$120, AV40-AV$120,"")</f>
        <v/>
      </c>
      <c r="BZ40" s="1" t="str">
        <f>IF(AW40&gt;AW$120, AW40-AW$120,"")</f>
        <v/>
      </c>
      <c r="CA40" s="1" t="str">
        <f>IF(AX40&gt;AX$120, AX40-AX$120,"")</f>
        <v/>
      </c>
      <c r="CB40" s="1" t="str">
        <f>IF(AY40&gt;AY$120, AY40-AY$120,"")</f>
        <v/>
      </c>
      <c r="CC40" s="1" t="str">
        <f>IF(AZ40&gt;AZ$120, AZ40-AZ$120,"")</f>
        <v/>
      </c>
      <c r="CD40" s="1" t="str">
        <f>IF(BA40&gt;BA$120, BA40-BA$120,"")</f>
        <v/>
      </c>
      <c r="CE40" s="1" t="str">
        <f>IF(BB40&gt;BB$120, BB40-BB$120,"")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40">
        <v>3</v>
      </c>
      <c r="B41" s="40" t="s">
        <v>10</v>
      </c>
      <c r="C41" s="40" t="s">
        <v>2</v>
      </c>
      <c r="D41" s="40" t="s">
        <v>11</v>
      </c>
      <c r="E41" s="41">
        <v>15</v>
      </c>
      <c r="F41" s="41"/>
      <c r="G41" s="41">
        <v>15</v>
      </c>
      <c r="H41" s="41"/>
      <c r="I41" s="41"/>
      <c r="J41" s="41"/>
      <c r="K41" s="41"/>
      <c r="L41" s="41"/>
      <c r="M41" s="41"/>
      <c r="N41" s="41"/>
      <c r="O41" s="41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3"/>
      <c r="AR41" s="43">
        <v>15</v>
      </c>
      <c r="AS41" s="43"/>
      <c r="AT41" s="43"/>
      <c r="AU41" s="43"/>
      <c r="AV41" s="43"/>
      <c r="AW41" s="44"/>
      <c r="AX41" s="44"/>
      <c r="AY41" s="44"/>
      <c r="AZ41" s="44"/>
      <c r="BA41" s="44"/>
      <c r="BB41" s="44">
        <v>15</v>
      </c>
      <c r="BC41" s="45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>
        <f>SUM(E41:BO41)</f>
        <v>60</v>
      </c>
      <c r="BQ41" s="40">
        <v>13</v>
      </c>
      <c r="BR41" s="46">
        <v>1</v>
      </c>
      <c r="BS41" s="46" t="s">
        <v>237</v>
      </c>
      <c r="BT41" s="40" t="str">
        <f>IF(AQ41&gt;AQ$120, AQ41-AQ$120,"")</f>
        <v/>
      </c>
      <c r="BU41" s="40" t="str">
        <f>IF(AR41&gt;AR$120, AR41-AR$120,"")</f>
        <v/>
      </c>
      <c r="BV41" s="40" t="str">
        <f>IF(AS41&gt;AS$120, AS41-AS$120,"")</f>
        <v/>
      </c>
      <c r="BW41" s="40" t="str">
        <f>IF(AT41&gt;AT$120, AT41-AT$120,"")</f>
        <v/>
      </c>
      <c r="BX41" s="40" t="str">
        <f>IF(AU41&gt;AU$120, AU41-AU$120,"")</f>
        <v/>
      </c>
      <c r="BY41" s="40" t="str">
        <f>IF(AV41&gt;AV$120, AV41-AV$120,"")</f>
        <v/>
      </c>
      <c r="BZ41" s="40" t="str">
        <f>IF(AW41&gt;AW$120, AW41-AW$120,"")</f>
        <v/>
      </c>
      <c r="CA41" s="40" t="str">
        <f>IF(AX41&gt;AX$120, AX41-AX$120,"")</f>
        <v/>
      </c>
      <c r="CB41" s="40" t="str">
        <f>IF(AY41&gt;AY$120, AY41-AY$120,"")</f>
        <v/>
      </c>
      <c r="CC41" s="40" t="str">
        <f>IF(AZ41&gt;AZ$120, AZ41-AZ$120,"")</f>
        <v/>
      </c>
      <c r="CD41" s="40" t="str">
        <f>IF(BA41&gt;BA$120, BA41-BA$120,"")</f>
        <v/>
      </c>
      <c r="CE41" s="40" t="str">
        <f>IF(BB41&gt;BB$120, BB41-BB$120,"")</f>
        <v/>
      </c>
      <c r="CF41" s="40">
        <f>COUNTIF(BT41:CE41, "&gt;0")</f>
        <v>0</v>
      </c>
      <c r="CG41" s="40" t="str">
        <f>IF($CF41=1,BT41,"")</f>
        <v/>
      </c>
      <c r="CH41" s="40" t="str">
        <f>IF($CF41=1,BU41,"")</f>
        <v/>
      </c>
      <c r="CI41" s="40" t="str">
        <f>IF($CF41=1,BV41,"")</f>
        <v/>
      </c>
      <c r="CJ41" s="40" t="str">
        <f>IF($CF41=1,BW41,"")</f>
        <v/>
      </c>
      <c r="CK41" s="40" t="str">
        <f>IF($CF41=1,BX41,"")</f>
        <v/>
      </c>
      <c r="CL41" s="40" t="str">
        <f>IF($CF41=1,BY41,"")</f>
        <v/>
      </c>
      <c r="CM41" s="40" t="str">
        <f>IF($CF41=1,BZ41,"")</f>
        <v/>
      </c>
      <c r="CN41" s="40" t="str">
        <f>IF($CF41=1,CA41,"")</f>
        <v/>
      </c>
      <c r="CO41" s="40" t="str">
        <f>IF($CF41=1,CB41,"")</f>
        <v/>
      </c>
      <c r="CP41" s="40" t="str">
        <f>IF($CF41=1,CC41,"")</f>
        <v/>
      </c>
      <c r="CQ41" s="40" t="str">
        <f>IF($CF41=1,CD41,"")</f>
        <v/>
      </c>
      <c r="CR41" s="40" t="str">
        <f>IF($CF41=1,CE41,"")</f>
        <v/>
      </c>
      <c r="CS41" s="47">
        <f>SUM(AE41:BO41)</f>
        <v>30</v>
      </c>
    </row>
    <row r="42" spans="1:97" x14ac:dyDescent="0.15">
      <c r="A42" s="1"/>
      <c r="B42" s="1" t="s">
        <v>159</v>
      </c>
      <c r="C42" s="1" t="s">
        <v>105</v>
      </c>
      <c r="D42" s="1" t="s">
        <v>94</v>
      </c>
      <c r="E42" s="6">
        <v>15</v>
      </c>
      <c r="F42" s="6"/>
      <c r="G42" s="6">
        <v>15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15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13</v>
      </c>
      <c r="BR42" s="17">
        <v>1</v>
      </c>
      <c r="BS42" s="17" t="s">
        <v>237</v>
      </c>
      <c r="BT42" s="1" t="str">
        <f>IF(AQ42&gt;AQ$120, AQ42-AQ$120,"")</f>
        <v/>
      </c>
      <c r="BU42" s="1" t="str">
        <f>IF(AR42&gt;AR$120, AR42-AR$120,"")</f>
        <v/>
      </c>
      <c r="BV42" s="1" t="str">
        <f>IF(AS42&gt;AS$120, AS42-AS$120,"")</f>
        <v/>
      </c>
      <c r="BW42" s="1" t="str">
        <f>IF(AT42&gt;AT$120, AT42-AT$120,"")</f>
        <v/>
      </c>
      <c r="BX42" s="1" t="str">
        <f>IF(AU42&gt;AU$120, AU42-AU$120,"")</f>
        <v/>
      </c>
      <c r="BY42" s="1" t="str">
        <f>IF(AV42&gt;AV$120, AV42-AV$120,"")</f>
        <v/>
      </c>
      <c r="BZ42" s="1" t="str">
        <f>IF(AW42&gt;AW$120, AW42-AW$120,"")</f>
        <v/>
      </c>
      <c r="CA42" s="1" t="str">
        <f>IF(AX42&gt;AX$120, AX42-AX$120,"")</f>
        <v/>
      </c>
      <c r="CB42" s="1" t="str">
        <f>IF(AY42&gt;AY$120, AY42-AY$120,"")</f>
        <v/>
      </c>
      <c r="CC42" s="1" t="str">
        <f>IF(AZ42&gt;AZ$120, AZ42-AZ$120,"")</f>
        <v/>
      </c>
      <c r="CD42" s="1" t="str">
        <f>IF(BA42&gt;BA$120, BA42-BA$120,"")</f>
        <v/>
      </c>
      <c r="CE42" s="1" t="str">
        <f>IF(BB42&gt;BB$120, BB42-BB$120,"")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x14ac:dyDescent="0.15">
      <c r="A43" s="40"/>
      <c r="B43" s="40" t="s">
        <v>161</v>
      </c>
      <c r="C43" s="40" t="s">
        <v>105</v>
      </c>
      <c r="D43" s="40" t="s">
        <v>94</v>
      </c>
      <c r="E43" s="41">
        <v>15</v>
      </c>
      <c r="F43" s="41"/>
      <c r="G43" s="41">
        <v>15</v>
      </c>
      <c r="H43" s="41"/>
      <c r="I43" s="41"/>
      <c r="J43" s="41"/>
      <c r="K43" s="41"/>
      <c r="L43" s="41"/>
      <c r="M43" s="41"/>
      <c r="N43" s="41"/>
      <c r="O43" s="41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3"/>
      <c r="AR43" s="43">
        <v>15</v>
      </c>
      <c r="AS43" s="43"/>
      <c r="AT43" s="43"/>
      <c r="AU43" s="43"/>
      <c r="AV43" s="43"/>
      <c r="AW43" s="44"/>
      <c r="AX43" s="44"/>
      <c r="AY43" s="44"/>
      <c r="AZ43" s="44"/>
      <c r="BA43" s="44"/>
      <c r="BB43" s="44">
        <v>15</v>
      </c>
      <c r="BC43" s="45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>
        <f>SUM(E43:BO43)</f>
        <v>60</v>
      </c>
      <c r="BQ43" s="40">
        <v>13</v>
      </c>
      <c r="BR43" s="46">
        <v>1</v>
      </c>
      <c r="BS43" s="46" t="s">
        <v>201</v>
      </c>
      <c r="BT43" s="40" t="str">
        <f>IF(AQ43&gt;AQ$120, AQ43-AQ$120,"")</f>
        <v/>
      </c>
      <c r="BU43" s="40" t="str">
        <f>IF(AR43&gt;AR$120, AR43-AR$120,"")</f>
        <v/>
      </c>
      <c r="BV43" s="40" t="str">
        <f>IF(AS43&gt;AS$120, AS43-AS$120,"")</f>
        <v/>
      </c>
      <c r="BW43" s="40" t="str">
        <f>IF(AT43&gt;AT$120, AT43-AT$120,"")</f>
        <v/>
      </c>
      <c r="BX43" s="40" t="str">
        <f>IF(AU43&gt;AU$120, AU43-AU$120,"")</f>
        <v/>
      </c>
      <c r="BY43" s="40" t="str">
        <f>IF(AV43&gt;AV$120, AV43-AV$120,"")</f>
        <v/>
      </c>
      <c r="BZ43" s="40" t="str">
        <f>IF(AW43&gt;AW$120, AW43-AW$120,"")</f>
        <v/>
      </c>
      <c r="CA43" s="40" t="str">
        <f>IF(AX43&gt;AX$120, AX43-AX$120,"")</f>
        <v/>
      </c>
      <c r="CB43" s="40" t="str">
        <f>IF(AY43&gt;AY$120, AY43-AY$120,"")</f>
        <v/>
      </c>
      <c r="CC43" s="40" t="str">
        <f>IF(AZ43&gt;AZ$120, AZ43-AZ$120,"")</f>
        <v/>
      </c>
      <c r="CD43" s="40" t="str">
        <f>IF(BA43&gt;BA$120, BA43-BA$120,"")</f>
        <v/>
      </c>
      <c r="CE43" s="40" t="str">
        <f>IF(BB43&gt;BB$120, BB43-BB$120,"")</f>
        <v/>
      </c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7"/>
    </row>
    <row r="44" spans="1:97" s="48" customFormat="1" x14ac:dyDescent="0.15">
      <c r="A44" s="18">
        <v>64</v>
      </c>
      <c r="B44" s="24" t="s">
        <v>55</v>
      </c>
      <c r="C44" s="18" t="s">
        <v>50</v>
      </c>
      <c r="D44" s="18" t="s">
        <v>1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15</v>
      </c>
      <c r="BQ44" s="18">
        <v>15</v>
      </c>
      <c r="BR44" s="22">
        <v>1</v>
      </c>
      <c r="BS44" s="22" t="s">
        <v>238</v>
      </c>
      <c r="BT44" s="18" t="str">
        <f>IF(AQ44&gt;AQ$120, AQ44-AQ$120,"")</f>
        <v/>
      </c>
      <c r="BU44" s="18" t="str">
        <f>IF(AR44&gt;AR$120, AR44-AR$120,"")</f>
        <v/>
      </c>
      <c r="BV44" s="18" t="str">
        <f>IF(AS44&gt;AS$120, AS44-AS$120,"")</f>
        <v/>
      </c>
      <c r="BW44" s="18" t="str">
        <f>IF(AT44&gt;AT$120, AT44-AT$120,"")</f>
        <v/>
      </c>
      <c r="BX44" s="18" t="str">
        <f>IF(AU44&gt;AU$120, AU44-AU$120,"")</f>
        <v/>
      </c>
      <c r="BY44" s="18" t="str">
        <f>IF(AV44&gt;AV$120, AV44-AV$120,"")</f>
        <v/>
      </c>
      <c r="BZ44" s="18" t="str">
        <f>IF(AW44&gt;AW$120, AW44-AW$120,"")</f>
        <v/>
      </c>
      <c r="CA44" s="18" t="str">
        <f>IF(AX44&gt;AX$120, AX44-AX$120,"")</f>
        <v/>
      </c>
      <c r="CB44" s="18" t="str">
        <f>IF(AY44&gt;AY$120, AY44-AY$120,"")</f>
        <v/>
      </c>
      <c r="CC44" s="18" t="str">
        <f>IF(AZ44&gt;AZ$120, AZ44-AZ$120,"")</f>
        <v/>
      </c>
      <c r="CD44" s="18" t="str">
        <f>IF(BA44&gt;BA$120, BA44-BA$120,"")</f>
        <v/>
      </c>
      <c r="CE44" s="18" t="str">
        <f>IF(BB44&gt;BB$120, BB44-BB$120,"")</f>
        <v/>
      </c>
      <c r="CF44" s="18">
        <f>COUNTIF(BT44:CE44, "&gt;0")</f>
        <v>0</v>
      </c>
      <c r="CG44" s="18" t="str">
        <f>IF($CF44=1,BT44,"")</f>
        <v/>
      </c>
      <c r="CH44" s="18" t="str">
        <f>IF($CF44=1,BU44,"")</f>
        <v/>
      </c>
      <c r="CI44" s="18" t="str">
        <f>IF($CF44=1,BV44,"")</f>
        <v/>
      </c>
      <c r="CJ44" s="18" t="str">
        <f>IF($CF44=1,BW44,"")</f>
        <v/>
      </c>
      <c r="CK44" s="18" t="str">
        <f>IF($CF44=1,BX44,"")</f>
        <v/>
      </c>
      <c r="CL44" s="18" t="str">
        <f>IF($CF44=1,BY44,"")</f>
        <v/>
      </c>
      <c r="CM44" s="18" t="str">
        <f>IF($CF44=1,BZ44,"")</f>
        <v/>
      </c>
      <c r="CN44" s="18" t="str">
        <f>IF($CF44=1,CA44,"")</f>
        <v/>
      </c>
      <c r="CO44" s="18" t="str">
        <f>IF($CF44=1,CB44,"")</f>
        <v/>
      </c>
      <c r="CP44" s="18" t="str">
        <f>IF($CF44=1,CC44,"")</f>
        <v/>
      </c>
      <c r="CQ44" s="18" t="str">
        <f>IF($CF44=1,CD44,"")</f>
        <v/>
      </c>
      <c r="CR44" s="18" t="str">
        <f>IF($CF44=1,CE44,"")</f>
        <v/>
      </c>
      <c r="CS44" s="24">
        <f>SUM(AE44:BO44)</f>
        <v>15</v>
      </c>
    </row>
    <row r="45" spans="1:97" x14ac:dyDescent="0.15">
      <c r="A45" s="1">
        <v>95</v>
      </c>
      <c r="B45" s="3" t="s">
        <v>75</v>
      </c>
      <c r="C45" s="3" t="s">
        <v>61</v>
      </c>
      <c r="D45" s="1" t="s">
        <v>1</v>
      </c>
      <c r="E45" s="6"/>
      <c r="F45" s="6"/>
      <c r="G45" s="6"/>
      <c r="H45" s="6"/>
      <c r="I45" s="6"/>
      <c r="J45" s="6"/>
      <c r="K45" s="6"/>
      <c r="L45" s="6">
        <v>15</v>
      </c>
      <c r="M45" s="6"/>
      <c r="N45" s="6"/>
      <c r="O45" s="6">
        <v>15</v>
      </c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15</v>
      </c>
      <c r="BB45" s="2">
        <v>15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60</v>
      </c>
      <c r="BQ45" s="1">
        <v>15</v>
      </c>
      <c r="BR45" s="17">
        <v>1</v>
      </c>
      <c r="BS45" s="17" t="s">
        <v>243</v>
      </c>
      <c r="BT45" s="1" t="str">
        <f>IF(AQ45&gt;AQ$120, AQ45-AQ$120,"")</f>
        <v/>
      </c>
      <c r="BU45" s="1" t="str">
        <f>IF(AR45&gt;AR$120, AR45-AR$120,"")</f>
        <v/>
      </c>
      <c r="BV45" s="1" t="str">
        <f>IF(AS45&gt;AS$120, AS45-AS$120,"")</f>
        <v/>
      </c>
      <c r="BW45" s="1" t="str">
        <f>IF(AT45&gt;AT$120, AT45-AT$120,"")</f>
        <v/>
      </c>
      <c r="BX45" s="1" t="str">
        <f>IF(AU45&gt;AU$120, AU45-AU$120,"")</f>
        <v/>
      </c>
      <c r="BY45" s="1" t="str">
        <f>IF(AV45&gt;AV$120, AV45-AV$120,"")</f>
        <v/>
      </c>
      <c r="BZ45" s="1" t="str">
        <f>IF(AW45&gt;AW$120, AW45-AW$120,"")</f>
        <v/>
      </c>
      <c r="CA45" s="1" t="str">
        <f>IF(AX45&gt;AX$120, AX45-AX$120,"")</f>
        <v/>
      </c>
      <c r="CB45" s="1" t="str">
        <f>IF(AY45&gt;AY$120, AY45-AY$120,"")</f>
        <v/>
      </c>
      <c r="CC45" s="1" t="str">
        <f>IF(AZ45&gt;AZ$120, AZ45-AZ$120,"")</f>
        <v/>
      </c>
      <c r="CD45" s="1" t="str">
        <f>IF(BA45&gt;BA$120, BA45-BA$120,"")</f>
        <v/>
      </c>
      <c r="CE45" s="1" t="str">
        <f>IF(BB45&gt;BB$120, BB45-BB$120,"")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30</v>
      </c>
    </row>
    <row r="46" spans="1:97" s="48" customFormat="1" x14ac:dyDescent="0.15">
      <c r="A46" s="1">
        <v>98</v>
      </c>
      <c r="B46" s="3" t="s">
        <v>156</v>
      </c>
      <c r="C46" s="3" t="s">
        <v>61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>
        <v>50</v>
      </c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50</v>
      </c>
      <c r="BQ46" s="1">
        <v>49</v>
      </c>
      <c r="BR46" s="17">
        <v>1</v>
      </c>
      <c r="BS46" s="17" t="s">
        <v>239</v>
      </c>
      <c r="BT46" s="1" t="str">
        <f>IF(AQ46&gt;AQ$120, AQ46-AQ$120,"")</f>
        <v/>
      </c>
      <c r="BU46" s="1" t="str">
        <f>IF(AR46&gt;AR$120, AR46-AR$120,"")</f>
        <v/>
      </c>
      <c r="BV46" s="1" t="str">
        <f>IF(AS46&gt;AS$120, AS46-AS$120,"")</f>
        <v/>
      </c>
      <c r="BW46" s="1" t="str">
        <f>IF(AT46&gt;AT$120, AT46-AT$120,"")</f>
        <v/>
      </c>
      <c r="BX46" s="1" t="str">
        <f>IF(AU46&gt;AU$120, AU46-AU$120,"")</f>
        <v/>
      </c>
      <c r="BY46" s="1" t="str">
        <f>IF(AV46&gt;AV$120, AV46-AV$120,"")</f>
        <v/>
      </c>
      <c r="BZ46" s="1" t="str">
        <f>IF(AW46&gt;AW$120, AW46-AW$120,"")</f>
        <v/>
      </c>
      <c r="CA46" s="1" t="str">
        <f>IF(AX46&gt;AX$120, AX46-AX$120,"")</f>
        <v/>
      </c>
      <c r="CB46" s="1" t="str">
        <f>IF(AY46&gt;AY$120, AY46-AY$120,"")</f>
        <v/>
      </c>
      <c r="CC46" s="1" t="str">
        <f>IF(AZ46&gt;AZ$120, AZ46-AZ$120,"")</f>
        <v/>
      </c>
      <c r="CD46" s="1" t="str">
        <f>IF(BA46&gt;BA$120, BA46-BA$120,"")</f>
        <v/>
      </c>
      <c r="CE46" s="1" t="str">
        <f>IF(BB46&gt;BB$120, BB46-BB$120,"")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50</v>
      </c>
    </row>
    <row r="47" spans="1:97" x14ac:dyDescent="0.15">
      <c r="A47" s="1">
        <v>99</v>
      </c>
      <c r="B47" s="3" t="s">
        <v>156</v>
      </c>
      <c r="C47" s="3" t="s">
        <v>61</v>
      </c>
      <c r="D47" s="1" t="s">
        <v>12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200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200</v>
      </c>
      <c r="BQ47" s="1">
        <v>199</v>
      </c>
      <c r="BR47" s="17">
        <v>1</v>
      </c>
      <c r="BS47" s="17" t="s">
        <v>240</v>
      </c>
      <c r="BT47" s="1" t="str">
        <f>IF(AQ47&gt;AQ$120, AQ47-AQ$120,"")</f>
        <v/>
      </c>
      <c r="BU47" s="1" t="str">
        <f>IF(AR47&gt;AR$120, AR47-AR$120,"")</f>
        <v/>
      </c>
      <c r="BV47" s="1" t="str">
        <f>IF(AS47&gt;AS$120, AS47-AS$120,"")</f>
        <v/>
      </c>
      <c r="BW47" s="1" t="str">
        <f>IF(AT47&gt;AT$120, AT47-AT$120,"")</f>
        <v/>
      </c>
      <c r="BX47" s="1" t="str">
        <f>IF(AU47&gt;AU$120, AU47-AU$120,"")</f>
        <v/>
      </c>
      <c r="BY47" s="1" t="str">
        <f>IF(AV47&gt;AV$120, AV47-AV$120,"")</f>
        <v/>
      </c>
      <c r="BZ47" s="1" t="str">
        <f>IF(AW47&gt;AW$120, AW47-AW$120,"")</f>
        <v/>
      </c>
      <c r="CA47" s="1" t="str">
        <f>IF(AX47&gt;AX$120, AX47-AX$120,"")</f>
        <v/>
      </c>
      <c r="CB47" s="1" t="str">
        <f>IF(AY47&gt;AY$120, AY47-AY$120,"")</f>
        <v/>
      </c>
      <c r="CC47" s="1" t="str">
        <f>IF(AZ47&gt;AZ$120, AZ47-AZ$120,"")</f>
        <v/>
      </c>
      <c r="CD47" s="1" t="str">
        <f>IF(BA47&gt;BA$120, BA47-BA$120,"")</f>
        <v/>
      </c>
      <c r="CE47" s="1" t="str">
        <f>IF(BB47&gt;BB$120, BB47-BB$120,"")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200</v>
      </c>
    </row>
    <row r="48" spans="1:97" ht="27" x14ac:dyDescent="0.15">
      <c r="A48" s="1"/>
      <c r="B48" s="1" t="s">
        <v>104</v>
      </c>
      <c r="C48" s="1" t="s">
        <v>97</v>
      </c>
      <c r="D48" s="1" t="s">
        <v>94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>
        <v>5</v>
      </c>
      <c r="AP48" s="1">
        <v>1</v>
      </c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6</v>
      </c>
      <c r="BQ48" s="1">
        <v>6</v>
      </c>
      <c r="BR48" s="17">
        <v>2</v>
      </c>
      <c r="BS48" s="17" t="s">
        <v>242</v>
      </c>
      <c r="BT48" s="1" t="str">
        <f>IF(AQ48&gt;AQ$120, AQ48-AQ$120,"")</f>
        <v/>
      </c>
      <c r="BU48" s="1" t="str">
        <f>IF(AR48&gt;AR$120, AR48-AR$120,"")</f>
        <v/>
      </c>
      <c r="BV48" s="1" t="str">
        <f>IF(AS48&gt;AS$120, AS48-AS$120,"")</f>
        <v/>
      </c>
      <c r="BW48" s="1" t="str">
        <f>IF(AT48&gt;AT$120, AT48-AT$120,"")</f>
        <v/>
      </c>
      <c r="BX48" s="1" t="str">
        <f>IF(AU48&gt;AU$120, AU48-AU$120,"")</f>
        <v/>
      </c>
      <c r="BY48" s="1" t="str">
        <f>IF(AV48&gt;AV$120, AV48-AV$120,"")</f>
        <v/>
      </c>
      <c r="BZ48" s="1" t="str">
        <f>IF(AW48&gt;AW$120, AW48-AW$120,"")</f>
        <v/>
      </c>
      <c r="CA48" s="1" t="str">
        <f>IF(AX48&gt;AX$120, AX48-AX$120,"")</f>
        <v/>
      </c>
      <c r="CB48" s="1" t="str">
        <f>IF(AY48&gt;AY$120, AY48-AY$120,"")</f>
        <v/>
      </c>
      <c r="CC48" s="1" t="str">
        <f>IF(AZ48&gt;AZ$120, AZ48-AZ$120,"")</f>
        <v/>
      </c>
      <c r="CD48" s="1" t="str">
        <f>IF(BA48&gt;BA$120, BA48-BA$120,"")</f>
        <v/>
      </c>
      <c r="CE48" s="1" t="str">
        <f>IF(BB48&gt;BB$120, BB48-BB$120,"")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197</v>
      </c>
      <c r="C49" s="1" t="s">
        <v>28</v>
      </c>
      <c r="D49" s="1" t="s">
        <v>22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5</v>
      </c>
      <c r="AP49" s="1">
        <v>1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</v>
      </c>
      <c r="BQ49" s="1">
        <v>6</v>
      </c>
      <c r="BR49" s="17">
        <v>2</v>
      </c>
      <c r="BS49" s="17" t="s">
        <v>242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100</v>
      </c>
      <c r="C50" s="1" t="s">
        <v>97</v>
      </c>
      <c r="D50" s="1" t="s">
        <v>101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3</v>
      </c>
      <c r="AP50" s="1">
        <v>5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8</v>
      </c>
      <c r="BQ50" s="1">
        <v>8</v>
      </c>
      <c r="BR50" s="17">
        <v>2</v>
      </c>
      <c r="BS50" s="17" t="s">
        <v>244</v>
      </c>
      <c r="BT50" s="1" t="str">
        <f>IF(AQ50&gt;AQ$120, AQ50-AQ$120,"")</f>
        <v/>
      </c>
      <c r="BU50" s="1" t="str">
        <f>IF(AR50&gt;AR$120, AR50-AR$120,"")</f>
        <v/>
      </c>
      <c r="BV50" s="1" t="str">
        <f>IF(AS50&gt;AS$120, AS50-AS$120,"")</f>
        <v/>
      </c>
      <c r="BW50" s="1" t="str">
        <f>IF(AT50&gt;AT$120, AT50-AT$120,"")</f>
        <v/>
      </c>
      <c r="BX50" s="1" t="str">
        <f>IF(AU50&gt;AU$120, AU50-AU$120,"")</f>
        <v/>
      </c>
      <c r="BY50" s="1" t="str">
        <f>IF(AV50&gt;AV$120, AV50-AV$120,"")</f>
        <v/>
      </c>
      <c r="BZ50" s="1" t="str">
        <f>IF(AW50&gt;AW$120, AW50-AW$120,"")</f>
        <v/>
      </c>
      <c r="CA50" s="1" t="str">
        <f>IF(AX50&gt;AX$120, AX50-AX$120,"")</f>
        <v/>
      </c>
      <c r="CB50" s="1" t="str">
        <f>IF(AY50&gt;AY$120, AY50-AY$120,"")</f>
        <v/>
      </c>
      <c r="CC50" s="1" t="str">
        <f>IF(AZ50&gt;AZ$120, AZ50-AZ$120,"")</f>
        <v/>
      </c>
      <c r="CD50" s="1" t="str">
        <f>IF(BA50&gt;BA$120, BA50-BA$120,"")</f>
        <v/>
      </c>
      <c r="CE50" s="1" t="str">
        <f>IF(BB50&gt;BB$120, BB50-BB$120,"")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122</v>
      </c>
      <c r="C51" s="1" t="s">
        <v>110</v>
      </c>
      <c r="D51" s="1" t="s">
        <v>112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>
        <v>2</v>
      </c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206</v>
      </c>
      <c r="BT51" s="1" t="str">
        <f>IF(AQ51&gt;AQ$120, AQ51-AQ$120,"")</f>
        <v/>
      </c>
      <c r="BU51" s="1" t="str">
        <f>IF(AR51&gt;AR$120, AR51-AR$120,"")</f>
        <v/>
      </c>
      <c r="BV51" s="1" t="str">
        <f>IF(AS51&gt;AS$120, AS51-AS$120,"")</f>
        <v/>
      </c>
      <c r="BW51" s="1" t="str">
        <f>IF(AT51&gt;AT$120, AT51-AT$120,"")</f>
        <v/>
      </c>
      <c r="BX51" s="1" t="str">
        <f>IF(AU51&gt;AU$120, AU51-AU$120,"")</f>
        <v/>
      </c>
      <c r="BY51" s="1" t="str">
        <f>IF(AV51&gt;AV$120, AV51-AV$120,"")</f>
        <v/>
      </c>
      <c r="BZ51" s="1" t="str">
        <f>IF(AW51&gt;AW$120, AW51-AW$120,"")</f>
        <v/>
      </c>
      <c r="CA51" s="1" t="str">
        <f>IF(AX51&gt;AX$120, AX51-AX$120,"")</f>
        <v/>
      </c>
      <c r="CB51" s="1" t="str">
        <f>IF(AY51&gt;AY$120, AY51-AY$120,"")</f>
        <v/>
      </c>
      <c r="CC51" s="1" t="str">
        <f>IF(AZ51&gt;AZ$120, AZ51-AZ$120,"")</f>
        <v/>
      </c>
      <c r="CD51" s="1" t="str">
        <f>IF(BA51&gt;BA$120, BA51-BA$120,"")</f>
        <v/>
      </c>
      <c r="CE51" s="1" t="str">
        <f>IF(BB51&gt;BB$120, BB51-BB$120,"")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127</v>
      </c>
      <c r="C52" s="1" t="s">
        <v>110</v>
      </c>
      <c r="D52" s="1" t="s">
        <v>112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206</v>
      </c>
      <c r="BT52" s="1" t="str">
        <f>IF(AQ52&gt;AQ$120, AQ52-AQ$120,"")</f>
        <v/>
      </c>
      <c r="BU52" s="1" t="str">
        <f>IF(AR52&gt;AR$120, AR52-AR$120,"")</f>
        <v/>
      </c>
      <c r="BV52" s="1" t="str">
        <f>IF(AS52&gt;AS$120, AS52-AS$120,"")</f>
        <v/>
      </c>
      <c r="BW52" s="1" t="str">
        <f>IF(AT52&gt;AT$120, AT52-AT$120,"")</f>
        <v/>
      </c>
      <c r="BX52" s="1" t="str">
        <f>IF(AU52&gt;AU$120, AU52-AU$120,"")</f>
        <v/>
      </c>
      <c r="BY52" s="1" t="str">
        <f>IF(AV52&gt;AV$120, AV52-AV$120,"")</f>
        <v/>
      </c>
      <c r="BZ52" s="1" t="str">
        <f>IF(AW52&gt;AW$120, AW52-AW$120,"")</f>
        <v/>
      </c>
      <c r="CA52" s="1" t="str">
        <f>IF(AX52&gt;AX$120, AX52-AX$120,"")</f>
        <v/>
      </c>
      <c r="CB52" s="1" t="str">
        <f>IF(AY52&gt;AY$120, AY52-AY$120,"")</f>
        <v/>
      </c>
      <c r="CC52" s="1" t="str">
        <f>IF(AZ52&gt;AZ$120, AZ52-AZ$120,"")</f>
        <v/>
      </c>
      <c r="CD52" s="1" t="str">
        <f>IF(BA52&gt;BA$120, BA52-BA$120,"")</f>
        <v/>
      </c>
      <c r="CE52" s="1" t="str">
        <f>IF(BB52&gt;BB$120, BB52-BB$120,"")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135</v>
      </c>
      <c r="C53" s="1" t="s">
        <v>133</v>
      </c>
      <c r="D53" s="1" t="s">
        <v>112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245</v>
      </c>
      <c r="BT53" s="1" t="str">
        <f>IF(AQ53&gt;AQ$120, AQ53-AQ$120,"")</f>
        <v/>
      </c>
      <c r="BU53" s="1" t="str">
        <f>IF(AR53&gt;AR$120, AR53-AR$120,"")</f>
        <v/>
      </c>
      <c r="BV53" s="1" t="str">
        <f>IF(AS53&gt;AS$120, AS53-AS$120,"")</f>
        <v/>
      </c>
      <c r="BW53" s="1" t="str">
        <f>IF(AT53&gt;AT$120, AT53-AT$120,"")</f>
        <v/>
      </c>
      <c r="BX53" s="1" t="str">
        <f>IF(AU53&gt;AU$120, AU53-AU$120,"")</f>
        <v/>
      </c>
      <c r="BY53" s="1" t="str">
        <f>IF(AV53&gt;AV$120, AV53-AV$120,"")</f>
        <v/>
      </c>
      <c r="BZ53" s="1" t="str">
        <f>IF(AW53&gt;AW$120, AW53-AW$120,"")</f>
        <v/>
      </c>
      <c r="CA53" s="1" t="str">
        <f>IF(AX53&gt;AX$120, AX53-AX$120,"")</f>
        <v/>
      </c>
      <c r="CB53" s="1" t="str">
        <f>IF(AY53&gt;AY$120, AY53-AY$120,"")</f>
        <v/>
      </c>
      <c r="CC53" s="1" t="str">
        <f>IF(AZ53&gt;AZ$120, AZ53-AZ$120,"")</f>
        <v/>
      </c>
      <c r="CD53" s="1" t="str">
        <f>IF(BA53&gt;BA$120, BA53-BA$120,"")</f>
        <v/>
      </c>
      <c r="CE53" s="1" t="str">
        <f>IF(BB53&gt;BB$120, BB53-BB$120,"")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137</v>
      </c>
      <c r="C54" s="1" t="s">
        <v>138</v>
      </c>
      <c r="D54" s="1" t="s">
        <v>112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/>
      <c r="X54" s="28">
        <v>2</v>
      </c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245</v>
      </c>
      <c r="BT54" s="1" t="str">
        <f>IF(AQ54&gt;AQ$120, AQ54-AQ$120,"")</f>
        <v/>
      </c>
      <c r="BU54" s="1" t="str">
        <f>IF(AR54&gt;AR$120, AR54-AR$120,"")</f>
        <v/>
      </c>
      <c r="BV54" s="1" t="str">
        <f>IF(AS54&gt;AS$120, AS54-AS$120,"")</f>
        <v/>
      </c>
      <c r="BW54" s="1" t="str">
        <f>IF(AT54&gt;AT$120, AT54-AT$120,"")</f>
        <v/>
      </c>
      <c r="BX54" s="1" t="str">
        <f>IF(AU54&gt;AU$120, AU54-AU$120,"")</f>
        <v/>
      </c>
      <c r="BY54" s="1" t="str">
        <f>IF(AV54&gt;AV$120, AV54-AV$120,"")</f>
        <v/>
      </c>
      <c r="BZ54" s="1" t="str">
        <f>IF(AW54&gt;AW$120, AW54-AW$120,"")</f>
        <v/>
      </c>
      <c r="CA54" s="1" t="str">
        <f>IF(AX54&gt;AX$120, AX54-AX$120,"")</f>
        <v/>
      </c>
      <c r="CB54" s="1" t="str">
        <f>IF(AY54&gt;AY$120, AY54-AY$120,"")</f>
        <v/>
      </c>
      <c r="CC54" s="1" t="str">
        <f>IF(AZ54&gt;AZ$120, AZ54-AZ$120,"")</f>
        <v/>
      </c>
      <c r="CD54" s="1" t="str">
        <f>IF(BA54&gt;BA$120, BA54-BA$120,"")</f>
        <v/>
      </c>
      <c r="CE54" s="1" t="str">
        <f>IF(BB54&gt;BB$120, BB54-BB$120,"")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40">
        <v>1</v>
      </c>
      <c r="B55" s="40" t="s">
        <v>0</v>
      </c>
      <c r="C55" s="40" t="s">
        <v>2</v>
      </c>
      <c r="D55" s="40" t="s">
        <v>1</v>
      </c>
      <c r="E55" s="41">
        <v>10</v>
      </c>
      <c r="F55" s="41">
        <v>10</v>
      </c>
      <c r="G55" s="41"/>
      <c r="H55" s="41"/>
      <c r="I55" s="41"/>
      <c r="J55" s="41"/>
      <c r="K55" s="41"/>
      <c r="L55" s="41"/>
      <c r="M55" s="41"/>
      <c r="N55" s="41"/>
      <c r="O55" s="41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3"/>
      <c r="AR55" s="43">
        <v>10</v>
      </c>
      <c r="AS55" s="43"/>
      <c r="AT55" s="43"/>
      <c r="AU55" s="43"/>
      <c r="AV55" s="43"/>
      <c r="AW55" s="44">
        <v>15</v>
      </c>
      <c r="AX55" s="44">
        <v>15</v>
      </c>
      <c r="AY55" s="44"/>
      <c r="AZ55" s="44"/>
      <c r="BA55" s="44"/>
      <c r="BB55" s="44"/>
      <c r="BC55" s="45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>
        <f>SUM(E55:BO55)</f>
        <v>60</v>
      </c>
      <c r="BQ55" s="40">
        <v>9</v>
      </c>
      <c r="BR55" s="46">
        <v>2</v>
      </c>
      <c r="BS55" s="46" t="s">
        <v>250</v>
      </c>
      <c r="BT55" s="40" t="str">
        <f>IF(AQ55&gt;AQ$120, AQ55-AQ$120,"")</f>
        <v/>
      </c>
      <c r="BU55" s="40" t="str">
        <f>IF(AR55&gt;AR$120, AR55-AR$120,"")</f>
        <v/>
      </c>
      <c r="BV55" s="40" t="str">
        <f>IF(AS55&gt;AS$120, AS55-AS$120,"")</f>
        <v/>
      </c>
      <c r="BW55" s="40" t="str">
        <f>IF(AT55&gt;AT$120, AT55-AT$120,"")</f>
        <v/>
      </c>
      <c r="BX55" s="40" t="str">
        <f>IF(AU55&gt;AU$120, AU55-AU$120,"")</f>
        <v/>
      </c>
      <c r="BY55" s="40" t="str">
        <f>IF(AV55&gt;AV$120, AV55-AV$120,"")</f>
        <v/>
      </c>
      <c r="BZ55" s="40" t="str">
        <f>IF(AW55&gt;AW$120, AW55-AW$120,"")</f>
        <v/>
      </c>
      <c r="CA55" s="40" t="str">
        <f>IF(AX55&gt;AX$120, AX55-AX$120,"")</f>
        <v/>
      </c>
      <c r="CB55" s="40" t="str">
        <f>IF(AY55&gt;AY$120, AY55-AY$120,"")</f>
        <v/>
      </c>
      <c r="CC55" s="40" t="str">
        <f>IF(AZ55&gt;AZ$120, AZ55-AZ$120,"")</f>
        <v/>
      </c>
      <c r="CD55" s="40" t="str">
        <f>IF(BA55&gt;BA$120, BA55-BA$120,"")</f>
        <v/>
      </c>
      <c r="CE55" s="40" t="str">
        <f>IF(BB55&gt;BB$120, BB55-BB$120,"")</f>
        <v/>
      </c>
      <c r="CF55" s="40">
        <f>COUNTIF(BT55:CE55, "&gt;0")</f>
        <v>0</v>
      </c>
      <c r="CG55" s="40" t="str">
        <f>IF($CF55=1,BT55,"")</f>
        <v/>
      </c>
      <c r="CH55" s="40" t="str">
        <f>IF($CF55=1,BU55,"")</f>
        <v/>
      </c>
      <c r="CI55" s="40" t="str">
        <f>IF($CF55=1,BV55,"")</f>
        <v/>
      </c>
      <c r="CJ55" s="40" t="str">
        <f>IF($CF55=1,BW55,"")</f>
        <v/>
      </c>
      <c r="CK55" s="40" t="str">
        <f>IF($CF55=1,BX55,"")</f>
        <v/>
      </c>
      <c r="CL55" s="40" t="str">
        <f>IF($CF55=1,BY55,"")</f>
        <v/>
      </c>
      <c r="CM55" s="40" t="str">
        <f>IF($CF55=1,BZ55,"")</f>
        <v/>
      </c>
      <c r="CN55" s="40" t="str">
        <f>IF($CF55=1,CA55,"")</f>
        <v/>
      </c>
      <c r="CO55" s="40" t="str">
        <f>IF($CF55=1,CB55,"")</f>
        <v/>
      </c>
      <c r="CP55" s="40" t="str">
        <f>IF($CF55=1,CC55,"")</f>
        <v/>
      </c>
      <c r="CQ55" s="40" t="str">
        <f>IF($CF55=1,CD55,"")</f>
        <v/>
      </c>
      <c r="CR55" s="40" t="str">
        <f>IF($CF55=1,CE55,"")</f>
        <v/>
      </c>
      <c r="CS55" s="47">
        <f>SUM(AE55:BO55)</f>
        <v>40</v>
      </c>
    </row>
    <row r="56" spans="1:97" ht="27" x14ac:dyDescent="0.15">
      <c r="A56" s="1">
        <v>27</v>
      </c>
      <c r="B56" s="1" t="s">
        <v>66</v>
      </c>
      <c r="C56" s="1" t="s">
        <v>28</v>
      </c>
      <c r="D56" s="1" t="s">
        <v>21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>
        <v>5</v>
      </c>
      <c r="AI56" s="1">
        <v>5</v>
      </c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10</v>
      </c>
      <c r="BQ56" s="1">
        <v>10</v>
      </c>
      <c r="BR56" s="17">
        <v>2</v>
      </c>
      <c r="BS56" s="17" t="s">
        <v>247</v>
      </c>
      <c r="BT56" s="1" t="str">
        <f>IF(AQ56&gt;AQ$120, AQ56-AQ$120,"")</f>
        <v/>
      </c>
      <c r="BU56" s="1" t="str">
        <f>IF(AR56&gt;AR$120, AR56-AR$120,"")</f>
        <v/>
      </c>
      <c r="BV56" s="1" t="str">
        <f>IF(AS56&gt;AS$120, AS56-AS$120,"")</f>
        <v/>
      </c>
      <c r="BW56" s="1" t="str">
        <f>IF(AT56&gt;AT$120, AT56-AT$120,"")</f>
        <v/>
      </c>
      <c r="BX56" s="1" t="str">
        <f>IF(AU56&gt;AU$120, AU56-AU$120,"")</f>
        <v/>
      </c>
      <c r="BY56" s="1" t="str">
        <f>IF(AV56&gt;AV$120, AV56-AV$120,"")</f>
        <v/>
      </c>
      <c r="BZ56" s="1" t="str">
        <f>IF(AW56&gt;AW$120, AW56-AW$120,"")</f>
        <v/>
      </c>
      <c r="CA56" s="1" t="str">
        <f>IF(AX56&gt;AX$120, AX56-AX$120,"")</f>
        <v/>
      </c>
      <c r="CB56" s="1" t="str">
        <f>IF(AY56&gt;AY$120, AY56-AY$120,"")</f>
        <v/>
      </c>
      <c r="CC56" s="1" t="str">
        <f>IF(AZ56&gt;AZ$120, AZ56-AZ$120,"")</f>
        <v/>
      </c>
      <c r="CD56" s="1" t="str">
        <f>IF(BA56&gt;BA$120, BA56-BA$120,"")</f>
        <v/>
      </c>
      <c r="CE56" s="1" t="str">
        <f>IF(BB56&gt;BB$120, BB56-BB$120,"")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10</v>
      </c>
    </row>
    <row r="57" spans="1:97" ht="27" x14ac:dyDescent="0.15">
      <c r="A57" s="1">
        <v>88</v>
      </c>
      <c r="B57" s="3" t="s">
        <v>71</v>
      </c>
      <c r="C57" s="3" t="s">
        <v>72</v>
      </c>
      <c r="D57" s="1" t="s">
        <v>21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>
        <v>5</v>
      </c>
      <c r="AI57" s="1">
        <v>5</v>
      </c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10</v>
      </c>
      <c r="BQ57" s="1">
        <v>10</v>
      </c>
      <c r="BR57" s="17">
        <v>2</v>
      </c>
      <c r="BS57" s="17" t="s">
        <v>247</v>
      </c>
      <c r="BT57" s="1" t="str">
        <f>IF(AQ57&gt;AQ$120, AQ57-AQ$120,"")</f>
        <v/>
      </c>
      <c r="BU57" s="1" t="str">
        <f>IF(AR57&gt;AR$120, AR57-AR$120,"")</f>
        <v/>
      </c>
      <c r="BV57" s="1" t="str">
        <f>IF(AS57&gt;AS$120, AS57-AS$120,"")</f>
        <v/>
      </c>
      <c r="BW57" s="1" t="str">
        <f>IF(AT57&gt;AT$120, AT57-AT$120,"")</f>
        <v/>
      </c>
      <c r="BX57" s="1" t="str">
        <f>IF(AU57&gt;AU$120, AU57-AU$120,"")</f>
        <v/>
      </c>
      <c r="BY57" s="1" t="str">
        <f>IF(AV57&gt;AV$120, AV57-AV$120,"")</f>
        <v/>
      </c>
      <c r="BZ57" s="1" t="str">
        <f>IF(AW57&gt;AW$120, AW57-AW$120,"")</f>
        <v/>
      </c>
      <c r="CA57" s="1" t="str">
        <f>IF(AX57&gt;AX$120, AX57-AX$120,"")</f>
        <v/>
      </c>
      <c r="CB57" s="1" t="str">
        <f>IF(AY57&gt;AY$120, AY57-AY$120,"")</f>
        <v/>
      </c>
      <c r="CC57" s="1" t="str">
        <f>IF(AZ57&gt;AZ$120, AZ57-AZ$120,"")</f>
        <v/>
      </c>
      <c r="CD57" s="1" t="str">
        <f>IF(BA57&gt;BA$120, BA57-BA$120,"")</f>
        <v/>
      </c>
      <c r="CE57" s="1" t="str">
        <f>IF(BB57&gt;BB$120, BB57-BB$120,"")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10</v>
      </c>
    </row>
    <row r="58" spans="1:97" ht="27" x14ac:dyDescent="0.15">
      <c r="A58" s="1"/>
      <c r="B58" s="1" t="s">
        <v>141</v>
      </c>
      <c r="C58" s="1" t="s">
        <v>140</v>
      </c>
      <c r="D58" s="1" t="s">
        <v>113</v>
      </c>
      <c r="E58" s="6"/>
      <c r="F58" s="6"/>
      <c r="G58" s="6">
        <v>10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>
        <v>10</v>
      </c>
      <c r="Y58" s="28"/>
      <c r="Z58" s="28"/>
      <c r="AA58" s="28"/>
      <c r="AB58" s="28"/>
      <c r="AC58" s="28"/>
      <c r="AD58" s="28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10</v>
      </c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10</v>
      </c>
      <c r="BR58" s="17">
        <v>2</v>
      </c>
      <c r="BS58" s="17" t="s">
        <v>263</v>
      </c>
      <c r="BT58" s="1" t="str">
        <f>IF(AQ58&gt;AQ$120, AQ58-AQ$120,"")</f>
        <v/>
      </c>
      <c r="BU58" s="1" t="str">
        <f>IF(AR58&gt;AR$120, AR58-AR$120,"")</f>
        <v/>
      </c>
      <c r="BV58" s="1" t="str">
        <f>IF(AS58&gt;AS$120, AS58-AS$120,"")</f>
        <v/>
      </c>
      <c r="BW58" s="1" t="str">
        <f>IF(AT58&gt;AT$120, AT58-AT$120,"")</f>
        <v/>
      </c>
      <c r="BX58" s="1" t="str">
        <f>IF(AU58&gt;AU$120, AU58-AU$120,"")</f>
        <v/>
      </c>
      <c r="BY58" s="1" t="str">
        <f>IF(AV58&gt;AV$120, AV58-AV$120,"")</f>
        <v/>
      </c>
      <c r="BZ58" s="1" t="str">
        <f>IF(AW58&gt;AW$120, AW58-AW$120,"")</f>
        <v/>
      </c>
      <c r="CA58" s="1" t="str">
        <f>IF(AX58&gt;AX$120, AX58-AX$120,"")</f>
        <v/>
      </c>
      <c r="CB58" s="1" t="str">
        <f>IF(AY58&gt;AY$120, AY58-AY$120,"")</f>
        <v/>
      </c>
      <c r="CC58" s="1" t="str">
        <f>IF(AZ58&gt;AZ$120, AZ58-AZ$120,"")</f>
        <v/>
      </c>
      <c r="CD58" s="1" t="str">
        <f>IF(BA58&gt;BA$120, BA58-BA$120,"")</f>
        <v/>
      </c>
      <c r="CE58" s="1" t="str">
        <f>IF(BB58&gt;BB$120, BB58-BB$120,"")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s="48" customFormat="1" ht="27" x14ac:dyDescent="0.15">
      <c r="A59" s="1"/>
      <c r="B59" s="1" t="s">
        <v>147</v>
      </c>
      <c r="C59" s="1" t="s">
        <v>108</v>
      </c>
      <c r="D59" s="1" t="s">
        <v>150</v>
      </c>
      <c r="E59" s="6"/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>
        <v>10</v>
      </c>
      <c r="Y59" s="28"/>
      <c r="Z59" s="28"/>
      <c r="AA59" s="28"/>
      <c r="AB59" s="28"/>
      <c r="AC59" s="28"/>
      <c r="AD59" s="28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>
        <v>10</v>
      </c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10</v>
      </c>
      <c r="BR59" s="17">
        <v>2</v>
      </c>
      <c r="BS59" s="17" t="s">
        <v>263</v>
      </c>
      <c r="BT59" s="1" t="str">
        <f>IF(AQ59&gt;AQ$120, AQ59-AQ$120,"")</f>
        <v/>
      </c>
      <c r="BU59" s="1" t="str">
        <f>IF(AR59&gt;AR$120, AR59-AR$120,"")</f>
        <v/>
      </c>
      <c r="BV59" s="1" t="str">
        <f>IF(AS59&gt;AS$120, AS59-AS$120,"")</f>
        <v/>
      </c>
      <c r="BW59" s="1" t="str">
        <f>IF(AT59&gt;AT$120, AT59-AT$120,"")</f>
        <v/>
      </c>
      <c r="BX59" s="1" t="str">
        <f>IF(AU59&gt;AU$120, AU59-AU$120,"")</f>
        <v/>
      </c>
      <c r="BY59" s="1" t="str">
        <f>IF(AV59&gt;AV$120, AV59-AV$120,"")</f>
        <v/>
      </c>
      <c r="BZ59" s="1" t="str">
        <f>IF(AW59&gt;AW$120, AW59-AW$120,"")</f>
        <v/>
      </c>
      <c r="CA59" s="1" t="str">
        <f>IF(AX59&gt;AX$120, AX59-AX$120,"")</f>
        <v/>
      </c>
      <c r="CB59" s="1" t="str">
        <f>IF(AY59&gt;AY$120, AY59-AY$120,"")</f>
        <v/>
      </c>
      <c r="CC59" s="1" t="str">
        <f>IF(AZ59&gt;AZ$120, AZ59-AZ$120,"")</f>
        <v/>
      </c>
      <c r="CD59" s="1" t="str">
        <f>IF(BA59&gt;BA$120, BA59-BA$120,"")</f>
        <v/>
      </c>
      <c r="CE59" s="1" t="str">
        <f>IF(BB59&gt;BB$120, BB59-BB$120,"")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/>
      <c r="B60" s="1" t="s">
        <v>153</v>
      </c>
      <c r="C60" s="1" t="s">
        <v>110</v>
      </c>
      <c r="D60" s="1" t="s">
        <v>113</v>
      </c>
      <c r="E60" s="6"/>
      <c r="F60" s="6"/>
      <c r="G60" s="6"/>
      <c r="H60" s="6"/>
      <c r="I60" s="6">
        <v>10</v>
      </c>
      <c r="J60" s="6"/>
      <c r="K60" s="6"/>
      <c r="L60" s="6"/>
      <c r="M60" s="6"/>
      <c r="N60" s="6"/>
      <c r="O60" s="6"/>
      <c r="P60" s="28"/>
      <c r="Q60" s="28"/>
      <c r="R60" s="28">
        <v>10</v>
      </c>
      <c r="S60" s="28"/>
      <c r="T60" s="28"/>
      <c r="U60" s="28"/>
      <c r="V60" s="28"/>
      <c r="W60" s="28"/>
      <c r="X60" s="28">
        <v>10</v>
      </c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10</v>
      </c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40</v>
      </c>
      <c r="BQ60" s="1">
        <v>12</v>
      </c>
      <c r="BR60" s="17">
        <v>2</v>
      </c>
      <c r="BS60" s="17" t="s">
        <v>248</v>
      </c>
      <c r="BT60" s="1" t="str">
        <f>IF(AQ60&gt;AQ$120, AQ60-AQ$120,"")</f>
        <v/>
      </c>
      <c r="BU60" s="1" t="str">
        <f>IF(AR60&gt;AR$120, AR60-AR$120,"")</f>
        <v/>
      </c>
      <c r="BV60" s="1" t="str">
        <f>IF(AS60&gt;AS$120, AS60-AS$120,"")</f>
        <v/>
      </c>
      <c r="BW60" s="1" t="str">
        <f>IF(AT60&gt;AT$120, AT60-AT$120,"")</f>
        <v/>
      </c>
      <c r="BX60" s="1" t="str">
        <f>IF(AU60&gt;AU$120, AU60-AU$120,"")</f>
        <v/>
      </c>
      <c r="BY60" s="1" t="str">
        <f>IF(AV60&gt;AV$120, AV60-AV$120,"")</f>
        <v/>
      </c>
      <c r="BZ60" s="1" t="str">
        <f>IF(AW60&gt;AW$120, AW60-AW$120,"")</f>
        <v/>
      </c>
      <c r="CA60" s="1" t="str">
        <f>IF(AX60&gt;AX$120, AX60-AX$120,"")</f>
        <v/>
      </c>
      <c r="CB60" s="1" t="str">
        <f>IF(AY60&gt;AY$120, AY60-AY$120,"")</f>
        <v/>
      </c>
      <c r="CC60" s="1" t="str">
        <f>IF(AZ60&gt;AZ$120, AZ60-AZ$120,"")</f>
        <v/>
      </c>
      <c r="CD60" s="1" t="str">
        <f>IF(BA60&gt;BA$120, BA60-BA$120,"")</f>
        <v/>
      </c>
      <c r="CE60" s="1" t="str">
        <f>IF(BB60&gt;BB$120, BB60-BB$120,"")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/>
      <c r="B61" s="1" t="s">
        <v>200</v>
      </c>
      <c r="C61" s="1" t="s">
        <v>2</v>
      </c>
      <c r="D61" s="1" t="s">
        <v>199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>
        <v>10</v>
      </c>
      <c r="AS61" s="4"/>
      <c r="AT61" s="4"/>
      <c r="AU61" s="4"/>
      <c r="AV61" s="4"/>
      <c r="AW61" s="2"/>
      <c r="AX61" s="2"/>
      <c r="AY61" s="2"/>
      <c r="AZ61" s="2">
        <v>10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20</v>
      </c>
      <c r="BQ61" s="1">
        <v>14</v>
      </c>
      <c r="BR61" s="17">
        <v>2</v>
      </c>
      <c r="BS61" s="17" t="s">
        <v>253</v>
      </c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100</v>
      </c>
      <c r="C62" s="1" t="s">
        <v>97</v>
      </c>
      <c r="D62" s="1" t="s">
        <v>94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>
        <v>5</v>
      </c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>
        <v>5</v>
      </c>
      <c r="AP62" s="1">
        <v>10</v>
      </c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20</v>
      </c>
      <c r="BQ62" s="1">
        <v>15</v>
      </c>
      <c r="BR62" s="17">
        <v>2</v>
      </c>
      <c r="BS62" s="17" t="s">
        <v>251</v>
      </c>
      <c r="BT62" s="1" t="str">
        <f>IF(AQ62&gt;AQ$120, AQ62-AQ$120,"")</f>
        <v/>
      </c>
      <c r="BU62" s="1" t="str">
        <f>IF(AR62&gt;AR$120, AR62-AR$120,"")</f>
        <v/>
      </c>
      <c r="BV62" s="1" t="str">
        <f>IF(AS62&gt;AS$120, AS62-AS$120,"")</f>
        <v/>
      </c>
      <c r="BW62" s="1" t="str">
        <f>IF(AT62&gt;AT$120, AT62-AT$120,"")</f>
        <v/>
      </c>
      <c r="BX62" s="1" t="str">
        <f>IF(AU62&gt;AU$120, AU62-AU$120,"")</f>
        <v/>
      </c>
      <c r="BY62" s="1" t="str">
        <f>IF(AV62&gt;AV$120, AV62-AV$120,"")</f>
        <v/>
      </c>
      <c r="BZ62" s="1" t="str">
        <f>IF(AW62&gt;AW$120, AW62-AW$120,"")</f>
        <v/>
      </c>
      <c r="CA62" s="1" t="str">
        <f>IF(AX62&gt;AX$120, AX62-AX$120,"")</f>
        <v/>
      </c>
      <c r="CB62" s="1" t="str">
        <f>IF(AY62&gt;AY$120, AY62-AY$120,"")</f>
        <v/>
      </c>
      <c r="CC62" s="1" t="str">
        <f>IF(AZ62&gt;AZ$120, AZ62-AZ$120,"")</f>
        <v/>
      </c>
      <c r="CD62" s="1" t="str">
        <f>IF(BA62&gt;BA$120, BA62-BA$120,"")</f>
        <v/>
      </c>
      <c r="CE62" s="1" t="str">
        <f>IF(BB62&gt;BB$120, BB62-BB$120,"")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167</v>
      </c>
      <c r="C63" s="1" t="s">
        <v>133</v>
      </c>
      <c r="D63" s="1" t="s">
        <v>112</v>
      </c>
      <c r="E63" s="6">
        <v>15</v>
      </c>
      <c r="F63" s="6"/>
      <c r="G63" s="6"/>
      <c r="H63" s="6"/>
      <c r="I63" s="6"/>
      <c r="J63" s="6"/>
      <c r="K63" s="6"/>
      <c r="L63" s="6"/>
      <c r="M63" s="6">
        <v>15</v>
      </c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>
        <v>15</v>
      </c>
      <c r="AX63" s="2"/>
      <c r="AY63" s="2"/>
      <c r="AZ63" s="2"/>
      <c r="BA63" s="2">
        <v>15</v>
      </c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16</v>
      </c>
      <c r="BR63" s="17">
        <v>2</v>
      </c>
      <c r="BS63" s="17" t="s">
        <v>241</v>
      </c>
      <c r="BT63" s="1" t="str">
        <f>IF(AQ63&gt;AQ$120, AQ63-AQ$120,"")</f>
        <v/>
      </c>
      <c r="BU63" s="1" t="str">
        <f>IF(AR63&gt;AR$120, AR63-AR$120,"")</f>
        <v/>
      </c>
      <c r="BV63" s="1" t="str">
        <f>IF(AS63&gt;AS$120, AS63-AS$120,"")</f>
        <v/>
      </c>
      <c r="BW63" s="1" t="str">
        <f>IF(AT63&gt;AT$120, AT63-AT$120,"")</f>
        <v/>
      </c>
      <c r="BX63" s="1" t="str">
        <f>IF(AU63&gt;AU$120, AU63-AU$120,"")</f>
        <v/>
      </c>
      <c r="BY63" s="1" t="str">
        <f>IF(AV63&gt;AV$120, AV63-AV$120,"")</f>
        <v/>
      </c>
      <c r="BZ63" s="1" t="str">
        <f>IF(AW63&gt;AW$120, AW63-AW$120,"")</f>
        <v/>
      </c>
      <c r="CA63" s="1" t="str">
        <f>IF(AX63&gt;AX$120, AX63-AX$120,"")</f>
        <v/>
      </c>
      <c r="CB63" s="1" t="str">
        <f>IF(AY63&gt;AY$120, AY63-AY$120,"")</f>
        <v/>
      </c>
      <c r="CC63" s="1" t="str">
        <f>IF(AZ63&gt;AZ$120, AZ63-AZ$120,"")</f>
        <v/>
      </c>
      <c r="CD63" s="1" t="str">
        <f>IF(BA63&gt;BA$120, BA63-BA$120,"")</f>
        <v/>
      </c>
      <c r="CE63" s="1" t="str">
        <f>IF(BB63&gt;BB$120, BB63-BB$120,"")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s="48" customFormat="1" ht="27" x14ac:dyDescent="0.15">
      <c r="A64" s="1">
        <v>14</v>
      </c>
      <c r="B64" s="1" t="s">
        <v>27</v>
      </c>
      <c r="C64" s="1" t="s">
        <v>28</v>
      </c>
      <c r="D64" s="1" t="s">
        <v>29</v>
      </c>
      <c r="E64" s="6"/>
      <c r="F64" s="6"/>
      <c r="G64" s="6">
        <v>15</v>
      </c>
      <c r="H64" s="6">
        <v>15</v>
      </c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15</v>
      </c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18</v>
      </c>
      <c r="BR64" s="17">
        <v>2</v>
      </c>
      <c r="BS64" s="17" t="s">
        <v>236</v>
      </c>
      <c r="BT64" s="1" t="str">
        <f>IF(AQ64&gt;AQ$120, AQ64-AQ$120,"")</f>
        <v/>
      </c>
      <c r="BU64" s="1" t="str">
        <f>IF(AR64&gt;AR$120, AR64-AR$120,"")</f>
        <v/>
      </c>
      <c r="BV64" s="1" t="str">
        <f>IF(AS64&gt;AS$120, AS64-AS$120,"")</f>
        <v/>
      </c>
      <c r="BW64" s="1" t="str">
        <f>IF(AT64&gt;AT$120, AT64-AT$120,"")</f>
        <v/>
      </c>
      <c r="BX64" s="1" t="str">
        <f>IF(AU64&gt;AU$120, AU64-AU$120,"")</f>
        <v/>
      </c>
      <c r="BY64" s="1" t="str">
        <f>IF(AV64&gt;AV$120, AV64-AV$120,"")</f>
        <v/>
      </c>
      <c r="BZ64" s="1" t="str">
        <f>IF(AW64&gt;AW$120, AW64-AW$120,"")</f>
        <v/>
      </c>
      <c r="CA64" s="1" t="str">
        <f>IF(AX64&gt;AX$120, AX64-AX$120,"")</f>
        <v/>
      </c>
      <c r="CB64" s="1" t="str">
        <f>IF(AY64&gt;AY$120, AY64-AY$120,"")</f>
        <v/>
      </c>
      <c r="CC64" s="1" t="str">
        <f>IF(AZ64&gt;AZ$120, AZ64-AZ$120,"")</f>
        <v/>
      </c>
      <c r="CD64" s="1" t="str">
        <f>IF(BA64&gt;BA$120, BA64-BA$120,"")</f>
        <v/>
      </c>
      <c r="CE64" s="1" t="str">
        <f>IF(BB64&gt;BB$120, BB64-BB$120,"")</f>
        <v/>
      </c>
      <c r="CF64" s="1">
        <f>COUNTIF(BT64:CE64, "&gt;0")</f>
        <v>0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 t="str">
        <f>IF($CF64=1,CD64,"")</f>
        <v/>
      </c>
      <c r="CR64" s="1" t="str">
        <f>IF($CF64=1,CE64,"")</f>
        <v/>
      </c>
      <c r="CS64" s="3">
        <f>SUM(AE64:BO64)</f>
        <v>30</v>
      </c>
    </row>
    <row r="65" spans="1:97" ht="27" x14ac:dyDescent="0.15">
      <c r="A65" s="1"/>
      <c r="B65" s="1" t="s">
        <v>96</v>
      </c>
      <c r="C65" s="1" t="s">
        <v>97</v>
      </c>
      <c r="D65" s="1" t="s">
        <v>94</v>
      </c>
      <c r="E65" s="6"/>
      <c r="F65" s="6"/>
      <c r="G65" s="6">
        <v>15</v>
      </c>
      <c r="H65" s="6">
        <v>15</v>
      </c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15</v>
      </c>
      <c r="AT65" s="4"/>
      <c r="AU65" s="4"/>
      <c r="AV65" s="4"/>
      <c r="AW65" s="2"/>
      <c r="AX65" s="2"/>
      <c r="AY65" s="2"/>
      <c r="AZ65" s="2"/>
      <c r="BA65" s="2"/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18</v>
      </c>
      <c r="BR65" s="17">
        <v>2</v>
      </c>
      <c r="BS65" s="17" t="s">
        <v>236</v>
      </c>
      <c r="BT65" s="1" t="str">
        <f>IF(AQ65&gt;AQ$120, AQ65-AQ$120,"")</f>
        <v/>
      </c>
      <c r="BU65" s="1" t="str">
        <f>IF(AR65&gt;AR$120, AR65-AR$120,"")</f>
        <v/>
      </c>
      <c r="BV65" s="1" t="str">
        <f>IF(AS65&gt;AS$120, AS65-AS$120,"")</f>
        <v/>
      </c>
      <c r="BW65" s="1" t="str">
        <f>IF(AT65&gt;AT$120, AT65-AT$120,"")</f>
        <v/>
      </c>
      <c r="BX65" s="1" t="str">
        <f>IF(AU65&gt;AU$120, AU65-AU$120,"")</f>
        <v/>
      </c>
      <c r="BY65" s="1" t="str">
        <f>IF(AV65&gt;AV$120, AV65-AV$120,"")</f>
        <v/>
      </c>
      <c r="BZ65" s="1" t="str">
        <f>IF(AW65&gt;AW$120, AW65-AW$120,"")</f>
        <v/>
      </c>
      <c r="CA65" s="1" t="str">
        <f>IF(AX65&gt;AX$120, AX65-AX$120,"")</f>
        <v/>
      </c>
      <c r="CB65" s="1" t="str">
        <f>IF(AY65&gt;AY$120, AY65-AY$120,"")</f>
        <v/>
      </c>
      <c r="CC65" s="1" t="str">
        <f>IF(AZ65&gt;AZ$120, AZ65-AZ$120,"")</f>
        <v/>
      </c>
      <c r="CD65" s="1" t="str">
        <f>IF(BA65&gt;BA$120, BA65-BA$120,"")</f>
        <v/>
      </c>
      <c r="CE65" s="1" t="str">
        <f>IF(BB65&gt;BB$120, BB65-BB$120,"")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128</v>
      </c>
      <c r="C66" s="1" t="s">
        <v>129</v>
      </c>
      <c r="D66" s="1" t="s">
        <v>113</v>
      </c>
      <c r="E66" s="6">
        <v>10</v>
      </c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>
        <v>10</v>
      </c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>
        <v>10</v>
      </c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40</v>
      </c>
      <c r="BQ66" s="1">
        <v>18</v>
      </c>
      <c r="BR66" s="17">
        <v>2</v>
      </c>
      <c r="BS66" s="17" t="s">
        <v>203</v>
      </c>
      <c r="BT66" s="1" t="str">
        <f>IF(AQ66&gt;AQ$120, AQ66-AQ$120,"")</f>
        <v/>
      </c>
      <c r="BU66" s="1" t="str">
        <f>IF(AR66&gt;AR$120, AR66-AR$120,"")</f>
        <v/>
      </c>
      <c r="BV66" s="1" t="str">
        <f>IF(AS66&gt;AS$120, AS66-AS$120,"")</f>
        <v/>
      </c>
      <c r="BW66" s="1" t="str">
        <f>IF(AT66&gt;AT$120, AT66-AT$120,"")</f>
        <v/>
      </c>
      <c r="BX66" s="1" t="str">
        <f>IF(AU66&gt;AU$120, AU66-AU$120,"")</f>
        <v/>
      </c>
      <c r="BY66" s="1" t="str">
        <f>IF(AV66&gt;AV$120, AV66-AV$120,"")</f>
        <v/>
      </c>
      <c r="BZ66" s="1" t="str">
        <f>IF(AW66&gt;AW$120, AW66-AW$120,"")</f>
        <v/>
      </c>
      <c r="CA66" s="1" t="str">
        <f>IF(AX66&gt;AX$120, AX66-AX$120,"")</f>
        <v/>
      </c>
      <c r="CB66" s="1" t="str">
        <f>IF(AY66&gt;AY$120, AY66-AY$120,"")</f>
        <v/>
      </c>
      <c r="CC66" s="1" t="str">
        <f>IF(AZ66&gt;AZ$120, AZ66-AZ$120,"")</f>
        <v/>
      </c>
      <c r="CD66" s="1" t="str">
        <f>IF(BA66&gt;BA$120, BA66-BA$120,"")</f>
        <v/>
      </c>
      <c r="CE66" s="1" t="str">
        <f>IF(BB66&gt;BB$120, BB66-BB$120,"")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134</v>
      </c>
      <c r="C67" s="1" t="s">
        <v>133</v>
      </c>
      <c r="D67" s="1" t="s">
        <v>113</v>
      </c>
      <c r="E67" s="6">
        <v>10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>
        <v>10</v>
      </c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18</v>
      </c>
      <c r="BR67" s="17">
        <v>2</v>
      </c>
      <c r="BS67" s="17" t="s">
        <v>254</v>
      </c>
      <c r="BT67" s="1" t="str">
        <f>IF(AQ67&gt;AQ$120, AQ67-AQ$120,"")</f>
        <v/>
      </c>
      <c r="BU67" s="1" t="str">
        <f>IF(AR67&gt;AR$120, AR67-AR$120,"")</f>
        <v/>
      </c>
      <c r="BV67" s="1" t="str">
        <f>IF(AS67&gt;AS$120, AS67-AS$120,"")</f>
        <v/>
      </c>
      <c r="BW67" s="1" t="str">
        <f>IF(AT67&gt;AT$120, AT67-AT$120,"")</f>
        <v/>
      </c>
      <c r="BX67" s="1" t="str">
        <f>IF(AU67&gt;AU$120, AU67-AU$120,"")</f>
        <v/>
      </c>
      <c r="BY67" s="1" t="str">
        <f>IF(AV67&gt;AV$120, AV67-AV$120,"")</f>
        <v/>
      </c>
      <c r="BZ67" s="1" t="str">
        <f>IF(AW67&gt;AW$120, AW67-AW$120,"")</f>
        <v/>
      </c>
      <c r="CA67" s="1" t="str">
        <f>IF(AX67&gt;AX$120, AX67-AX$120,"")</f>
        <v/>
      </c>
      <c r="CB67" s="1" t="str">
        <f>IF(AY67&gt;AY$120, AY67-AY$120,"")</f>
        <v/>
      </c>
      <c r="CC67" s="1" t="str">
        <f>IF(AZ67&gt;AZ$120, AZ67-AZ$120,"")</f>
        <v/>
      </c>
      <c r="CD67" s="1" t="str">
        <f>IF(BA67&gt;BA$120, BA67-BA$120,"")</f>
        <v/>
      </c>
      <c r="CE67" s="1" t="str">
        <f>IF(BB67&gt;BB$120, BB67-BB$120,"")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144</v>
      </c>
      <c r="C68" s="1" t="s">
        <v>140</v>
      </c>
      <c r="D68" s="1" t="s">
        <v>113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254</v>
      </c>
      <c r="BT68" s="1" t="str">
        <f>IF(AQ68&gt;AQ$120, AQ68-AQ$120,"")</f>
        <v/>
      </c>
      <c r="BU68" s="1" t="str">
        <f>IF(AR68&gt;AR$120, AR68-AR$120,"")</f>
        <v/>
      </c>
      <c r="BV68" s="1" t="str">
        <f>IF(AS68&gt;AS$120, AS68-AS$120,"")</f>
        <v/>
      </c>
      <c r="BW68" s="1" t="str">
        <f>IF(AT68&gt;AT$120, AT68-AT$120,"")</f>
        <v/>
      </c>
      <c r="BX68" s="1" t="str">
        <f>IF(AU68&gt;AU$120, AU68-AU$120,"")</f>
        <v/>
      </c>
      <c r="BY68" s="1" t="str">
        <f>IF(AV68&gt;AV$120, AV68-AV$120,"")</f>
        <v/>
      </c>
      <c r="BZ68" s="1" t="str">
        <f>IF(AW68&gt;AW$120, AW68-AW$120,"")</f>
        <v/>
      </c>
      <c r="CA68" s="1" t="str">
        <f>IF(AX68&gt;AX$120, AX68-AX$120,"")</f>
        <v/>
      </c>
      <c r="CB68" s="1" t="str">
        <f>IF(AY68&gt;AY$120, AY68-AY$120,"")</f>
        <v/>
      </c>
      <c r="CC68" s="1" t="str">
        <f>IF(AZ68&gt;AZ$120, AZ68-AZ$120,"")</f>
        <v/>
      </c>
      <c r="CD68" s="1" t="str">
        <f>IF(BA68&gt;BA$120, BA68-BA$120,"")</f>
        <v/>
      </c>
      <c r="CE68" s="1" t="str">
        <f>IF(BB68&gt;BB$120, BB68-BB$120,"")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142</v>
      </c>
      <c r="C69" s="1" t="s">
        <v>140</v>
      </c>
      <c r="D69" s="1" t="s">
        <v>113</v>
      </c>
      <c r="E69" s="6"/>
      <c r="F69" s="6"/>
      <c r="G69" s="6"/>
      <c r="H69" s="6">
        <v>10</v>
      </c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203</v>
      </c>
      <c r="BT69" s="1" t="str">
        <f>IF(AQ69&gt;AQ$120, AQ69-AQ$120,"")</f>
        <v/>
      </c>
      <c r="BU69" s="1" t="str">
        <f>IF(AR69&gt;AR$120, AR69-AR$120,"")</f>
        <v/>
      </c>
      <c r="BV69" s="1" t="str">
        <f>IF(AS69&gt;AS$120, AS69-AS$120,"")</f>
        <v/>
      </c>
      <c r="BW69" s="1" t="str">
        <f>IF(AT69&gt;AT$120, AT69-AT$120,"")</f>
        <v/>
      </c>
      <c r="BX69" s="1" t="str">
        <f>IF(AU69&gt;AU$120, AU69-AU$120,"")</f>
        <v/>
      </c>
      <c r="BY69" s="1" t="str">
        <f>IF(AV69&gt;AV$120, AV69-AV$120,"")</f>
        <v/>
      </c>
      <c r="BZ69" s="1" t="str">
        <f>IF(AW69&gt;AW$120, AW69-AW$120,"")</f>
        <v/>
      </c>
      <c r="CA69" s="1" t="str">
        <f>IF(AX69&gt;AX$120, AX69-AX$120,"")</f>
        <v/>
      </c>
      <c r="CB69" s="1" t="str">
        <f>IF(AY69&gt;AY$120, AY69-AY$120,"")</f>
        <v/>
      </c>
      <c r="CC69" s="1" t="str">
        <f>IF(AZ69&gt;AZ$120, AZ69-AZ$120,"")</f>
        <v/>
      </c>
      <c r="CD69" s="1" t="str">
        <f>IF(BA69&gt;BA$120, BA69-BA$120,"")</f>
        <v/>
      </c>
      <c r="CE69" s="1" t="str">
        <f>IF(BB69&gt;BB$120, BB69-BB$120,"")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136</v>
      </c>
      <c r="C70" s="1" t="s">
        <v>138</v>
      </c>
      <c r="D70" s="1" t="s">
        <v>113</v>
      </c>
      <c r="E70" s="6"/>
      <c r="F70" s="6"/>
      <c r="G70" s="6"/>
      <c r="H70" s="6"/>
      <c r="I70" s="6"/>
      <c r="J70" s="6">
        <v>10</v>
      </c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>
        <v>10</v>
      </c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19</v>
      </c>
      <c r="BR70" s="17">
        <v>2</v>
      </c>
      <c r="BS70" s="17" t="s">
        <v>217</v>
      </c>
      <c r="BT70" s="1" t="str">
        <f>IF(AQ70&gt;AQ$120, AQ70-AQ$120,"")</f>
        <v/>
      </c>
      <c r="BU70" s="1" t="str">
        <f>IF(AR70&gt;AR$120, AR70-AR$120,"")</f>
        <v/>
      </c>
      <c r="BV70" s="1" t="str">
        <f>IF(AS70&gt;AS$120, AS70-AS$120,"")</f>
        <v/>
      </c>
      <c r="BW70" s="1" t="str">
        <f>IF(AT70&gt;AT$120, AT70-AT$120,"")</f>
        <v/>
      </c>
      <c r="BX70" s="1" t="str">
        <f>IF(AU70&gt;AU$120, AU70-AU$120,"")</f>
        <v/>
      </c>
      <c r="BY70" s="1" t="str">
        <f>IF(AV70&gt;AV$120, AV70-AV$120,"")</f>
        <v/>
      </c>
      <c r="BZ70" s="1" t="str">
        <f>IF(AW70&gt;AW$120, AW70-AW$120,"")</f>
        <v/>
      </c>
      <c r="CA70" s="1" t="str">
        <f>IF(AX70&gt;AX$120, AX70-AX$120,"")</f>
        <v/>
      </c>
      <c r="CB70" s="1" t="str">
        <f>IF(AY70&gt;AY$120, AY70-AY$120,"")</f>
        <v/>
      </c>
      <c r="CC70" s="1" t="str">
        <f>IF(AZ70&gt;AZ$120, AZ70-AZ$120,"")</f>
        <v/>
      </c>
      <c r="CD70" s="1" t="str">
        <f>IF(BA70&gt;BA$120, BA70-BA$120,"")</f>
        <v/>
      </c>
      <c r="CE70" s="1" t="str">
        <f>IF(BB70&gt;BB$120, BB70-BB$120,"")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146</v>
      </c>
      <c r="C71" s="1" t="s">
        <v>140</v>
      </c>
      <c r="D71" s="1" t="s">
        <v>113</v>
      </c>
      <c r="E71" s="6"/>
      <c r="F71" s="6"/>
      <c r="G71" s="6"/>
      <c r="H71" s="6"/>
      <c r="I71" s="6"/>
      <c r="J71" s="6">
        <v>10</v>
      </c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>
        <v>10</v>
      </c>
      <c r="V71" s="28"/>
      <c r="W71" s="28"/>
      <c r="X71" s="28"/>
      <c r="Y71" s="28"/>
      <c r="Z71" s="28"/>
      <c r="AA71" s="28">
        <v>10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19</v>
      </c>
      <c r="BR71" s="17">
        <v>2</v>
      </c>
      <c r="BS71" s="17" t="s">
        <v>255</v>
      </c>
      <c r="BT71" s="1" t="str">
        <f>IF(AQ71&gt;AQ$120, AQ71-AQ$120,"")</f>
        <v/>
      </c>
      <c r="BU71" s="1" t="str">
        <f>IF(AR71&gt;AR$120, AR71-AR$120,"")</f>
        <v/>
      </c>
      <c r="BV71" s="1" t="str">
        <f>IF(AS71&gt;AS$120, AS71-AS$120,"")</f>
        <v/>
      </c>
      <c r="BW71" s="1" t="str">
        <f>IF(AT71&gt;AT$120, AT71-AT$120,"")</f>
        <v/>
      </c>
      <c r="BX71" s="1" t="str">
        <f>IF(AU71&gt;AU$120, AU71-AU$120,"")</f>
        <v/>
      </c>
      <c r="BY71" s="1" t="str">
        <f>IF(AV71&gt;AV$120, AV71-AV$120,"")</f>
        <v/>
      </c>
      <c r="BZ71" s="1" t="str">
        <f>IF(AW71&gt;AW$120, AW71-AW$120,"")</f>
        <v/>
      </c>
      <c r="CA71" s="1" t="str">
        <f>IF(AX71&gt;AX$120, AX71-AX$120,"")</f>
        <v/>
      </c>
      <c r="CB71" s="1" t="str">
        <f>IF(AY71&gt;AY$120, AY71-AY$120,"")</f>
        <v/>
      </c>
      <c r="CC71" s="1" t="str">
        <f>IF(AZ71&gt;AZ$120, AZ71-AZ$120,"")</f>
        <v/>
      </c>
      <c r="CD71" s="1" t="str">
        <f>IF(BA71&gt;BA$120, BA71-BA$120,"")</f>
        <v/>
      </c>
      <c r="CE71" s="1" t="str">
        <f>IF(BB71&gt;BB$120, BB71-BB$120,"")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40.5" x14ac:dyDescent="0.15">
      <c r="A72" s="40"/>
      <c r="B72" s="40" t="s">
        <v>171</v>
      </c>
      <c r="C72" s="40" t="s">
        <v>108</v>
      </c>
      <c r="D72" s="40" t="s">
        <v>94</v>
      </c>
      <c r="E72" s="41"/>
      <c r="F72" s="41"/>
      <c r="G72" s="41">
        <v>15</v>
      </c>
      <c r="H72" s="41">
        <v>15</v>
      </c>
      <c r="I72" s="41"/>
      <c r="J72" s="41"/>
      <c r="K72" s="41"/>
      <c r="L72" s="41"/>
      <c r="M72" s="41"/>
      <c r="N72" s="41"/>
      <c r="O72" s="41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3"/>
      <c r="AR72" s="43"/>
      <c r="AS72" s="43"/>
      <c r="AT72" s="43"/>
      <c r="AU72" s="43"/>
      <c r="AV72" s="43"/>
      <c r="AW72" s="44"/>
      <c r="AX72" s="44"/>
      <c r="AY72" s="44"/>
      <c r="AZ72" s="44"/>
      <c r="BA72" s="44">
        <v>15</v>
      </c>
      <c r="BB72" s="44">
        <v>15</v>
      </c>
      <c r="BC72" s="45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>
        <f>SUM(E72:BO72)</f>
        <v>60</v>
      </c>
      <c r="BQ72" s="40">
        <v>20</v>
      </c>
      <c r="BR72" s="46">
        <v>2</v>
      </c>
      <c r="BS72" s="46" t="s">
        <v>226</v>
      </c>
      <c r="BT72" s="40" t="str">
        <f>IF(AQ72&gt;AQ$120, AQ72-AQ$120,"")</f>
        <v/>
      </c>
      <c r="BU72" s="40" t="str">
        <f>IF(AR72&gt;AR$120, AR72-AR$120,"")</f>
        <v/>
      </c>
      <c r="BV72" s="40" t="str">
        <f>IF(AS72&gt;AS$120, AS72-AS$120,"")</f>
        <v/>
      </c>
      <c r="BW72" s="40" t="str">
        <f>IF(AT72&gt;AT$120, AT72-AT$120,"")</f>
        <v/>
      </c>
      <c r="BX72" s="40" t="str">
        <f>IF(AU72&gt;AU$120, AU72-AU$120,"")</f>
        <v/>
      </c>
      <c r="BY72" s="40" t="str">
        <f>IF(AV72&gt;AV$120, AV72-AV$120,"")</f>
        <v/>
      </c>
      <c r="BZ72" s="40" t="str">
        <f>IF(AW72&gt;AW$120, AW72-AW$120,"")</f>
        <v/>
      </c>
      <c r="CA72" s="40" t="str">
        <f>IF(AX72&gt;AX$120, AX72-AX$120,"")</f>
        <v/>
      </c>
      <c r="CB72" s="40" t="str">
        <f>IF(AY72&gt;AY$120, AY72-AY$120,"")</f>
        <v/>
      </c>
      <c r="CC72" s="40" t="str">
        <f>IF(AZ72&gt;AZ$120, AZ72-AZ$120,"")</f>
        <v/>
      </c>
      <c r="CD72" s="40" t="str">
        <f>IF(BA72&gt;BA$120, BA72-BA$120,"")</f>
        <v/>
      </c>
      <c r="CE72" s="40" t="str">
        <f>IF(BB72&gt;BB$120, BB72-BB$120,"")</f>
        <v/>
      </c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7"/>
    </row>
    <row r="73" spans="1:97" ht="27" x14ac:dyDescent="0.15">
      <c r="A73" s="1"/>
      <c r="B73" s="1" t="s">
        <v>155</v>
      </c>
      <c r="C73" s="1" t="s">
        <v>109</v>
      </c>
      <c r="D73" s="1" t="s">
        <v>94</v>
      </c>
      <c r="E73" s="6"/>
      <c r="F73" s="6"/>
      <c r="G73" s="6"/>
      <c r="H73" s="6"/>
      <c r="I73" s="6"/>
      <c r="J73" s="6"/>
      <c r="K73" s="6"/>
      <c r="L73" s="6">
        <v>20</v>
      </c>
      <c r="M73" s="6"/>
      <c r="N73" s="6"/>
      <c r="O73" s="6">
        <v>20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20</v>
      </c>
      <c r="BB73" s="2">
        <v>20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80</v>
      </c>
      <c r="BQ73" s="1">
        <v>23</v>
      </c>
      <c r="BR73" s="17">
        <v>2</v>
      </c>
      <c r="BS73" s="17" t="s">
        <v>252</v>
      </c>
      <c r="BT73" s="1" t="str">
        <f>IF(AQ73&gt;AQ$120, AQ73-AQ$120,"")</f>
        <v/>
      </c>
      <c r="BU73" s="1" t="str">
        <f>IF(AR73&gt;AR$120, AR73-AR$120,"")</f>
        <v/>
      </c>
      <c r="BV73" s="1" t="str">
        <f>IF(AS73&gt;AS$120, AS73-AS$120,"")</f>
        <v/>
      </c>
      <c r="BW73" s="1" t="str">
        <f>IF(AT73&gt;AT$120, AT73-AT$120,"")</f>
        <v/>
      </c>
      <c r="BX73" s="1" t="str">
        <f>IF(AU73&gt;AU$120, AU73-AU$120,"")</f>
        <v/>
      </c>
      <c r="BY73" s="1" t="str">
        <f>IF(AV73&gt;AV$120, AV73-AV$120,"")</f>
        <v/>
      </c>
      <c r="BZ73" s="1" t="str">
        <f>IF(AW73&gt;AW$120, AW73-AW$120,"")</f>
        <v/>
      </c>
      <c r="CA73" s="1" t="str">
        <f>IF(AX73&gt;AX$120, AX73-AX$120,"")</f>
        <v/>
      </c>
      <c r="CB73" s="1" t="str">
        <f>IF(AY73&gt;AY$120, AY73-AY$120,"")</f>
        <v/>
      </c>
      <c r="CC73" s="1" t="str">
        <f>IF(AZ73&gt;AZ$120, AZ73-AZ$120,"")</f>
        <v/>
      </c>
      <c r="CD73" s="1" t="str">
        <f>IF(BA73&gt;BA$120, BA73-BA$120,"")</f>
        <v/>
      </c>
      <c r="CE73" s="1" t="str">
        <f>IF(BB73&gt;BB$120, BB73-BB$120,"")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"/>
      <c r="B74" s="1" t="s">
        <v>151</v>
      </c>
      <c r="C74" s="1" t="s">
        <v>93</v>
      </c>
      <c r="D74" s="1" t="s">
        <v>95</v>
      </c>
      <c r="E74" s="6">
        <v>10</v>
      </c>
      <c r="F74" s="6"/>
      <c r="G74" s="6">
        <v>10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15</v>
      </c>
      <c r="AU74" s="4"/>
      <c r="AV74" s="4"/>
      <c r="AW74" s="2"/>
      <c r="AX74" s="2"/>
      <c r="AY74" s="2"/>
      <c r="AZ74" s="2">
        <v>15</v>
      </c>
      <c r="BA74" s="2">
        <v>15</v>
      </c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65</v>
      </c>
      <c r="BQ74" s="1">
        <v>26</v>
      </c>
      <c r="BR74" s="17">
        <v>2</v>
      </c>
      <c r="BS74" s="17" t="s">
        <v>249</v>
      </c>
      <c r="BT74" s="1" t="str">
        <f>IF(AQ74&gt;AQ$120, AQ74-AQ$120,"")</f>
        <v/>
      </c>
      <c r="BU74" s="1" t="str">
        <f>IF(AR74&gt;AR$120, AR74-AR$120,"")</f>
        <v/>
      </c>
      <c r="BV74" s="1" t="str">
        <f>IF(AS74&gt;AS$120, AS74-AS$120,"")</f>
        <v/>
      </c>
      <c r="BW74" s="1" t="str">
        <f>IF(AT74&gt;AT$120, AT74-AT$120,"")</f>
        <v/>
      </c>
      <c r="BX74" s="1" t="str">
        <f>IF(AU74&gt;AU$120, AU74-AU$120,"")</f>
        <v/>
      </c>
      <c r="BY74" s="1" t="str">
        <f>IF(AV74&gt;AV$120, AV74-AV$120,"")</f>
        <v/>
      </c>
      <c r="BZ74" s="1" t="str">
        <f>IF(AW74&gt;AW$120, AW74-AW$120,"")</f>
        <v/>
      </c>
      <c r="CA74" s="1" t="str">
        <f>IF(AX74&gt;AX$120, AX74-AX$120,"")</f>
        <v/>
      </c>
      <c r="CB74" s="1" t="str">
        <f>IF(AY74&gt;AY$120, AY74-AY$120,"")</f>
        <v/>
      </c>
      <c r="CC74" s="1" t="str">
        <f>IF(AZ74&gt;AZ$120, AZ74-AZ$120,"")</f>
        <v/>
      </c>
      <c r="CD74" s="1" t="str">
        <f>IF(BA74&gt;BA$120, BA74-BA$120,"")</f>
        <v/>
      </c>
      <c r="CE74" s="1" t="str">
        <f>IF(BB74&gt;BB$120, BB74-BB$120,"")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27" x14ac:dyDescent="0.15">
      <c r="A75" s="1"/>
      <c r="B75" s="1" t="s">
        <v>170</v>
      </c>
      <c r="C75" s="1" t="s">
        <v>108</v>
      </c>
      <c r="D75" s="1" t="s">
        <v>94</v>
      </c>
      <c r="E75" s="6"/>
      <c r="F75" s="6"/>
      <c r="G75" s="6">
        <v>20</v>
      </c>
      <c r="H75" s="6">
        <v>20</v>
      </c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>
        <v>20</v>
      </c>
      <c r="BB75" s="2">
        <v>20</v>
      </c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80</v>
      </c>
      <c r="BQ75" s="1">
        <v>30</v>
      </c>
      <c r="BR75" s="17">
        <v>2</v>
      </c>
      <c r="BS75" s="17" t="s">
        <v>231</v>
      </c>
      <c r="BT75" s="1" t="str">
        <f>IF(AQ75&gt;AQ$120, AQ75-AQ$120,"")</f>
        <v/>
      </c>
      <c r="BU75" s="1" t="str">
        <f>IF(AR75&gt;AR$120, AR75-AR$120,"")</f>
        <v/>
      </c>
      <c r="BV75" s="1" t="str">
        <f>IF(AS75&gt;AS$120, AS75-AS$120,"")</f>
        <v/>
      </c>
      <c r="BW75" s="1" t="str">
        <f>IF(AT75&gt;AT$120, AT75-AT$120,"")</f>
        <v/>
      </c>
      <c r="BX75" s="1" t="str">
        <f>IF(AU75&gt;AU$120, AU75-AU$120,"")</f>
        <v/>
      </c>
      <c r="BY75" s="1" t="str">
        <f>IF(AV75&gt;AV$120, AV75-AV$120,"")</f>
        <v/>
      </c>
      <c r="BZ75" s="1" t="str">
        <f>IF(AW75&gt;AW$120, AW75-AW$120,"")</f>
        <v/>
      </c>
      <c r="CA75" s="1" t="str">
        <f>IF(AX75&gt;AX$120, AX75-AX$120,"")</f>
        <v/>
      </c>
      <c r="CB75" s="1" t="str">
        <f>IF(AY75&gt;AY$120, AY75-AY$120,"")</f>
        <v/>
      </c>
      <c r="CC75" s="1" t="str">
        <f>IF(AZ75&gt;AZ$120, AZ75-AZ$120,"")</f>
        <v/>
      </c>
      <c r="CD75" s="1" t="str">
        <f>IF(BA75&gt;BA$120, BA75-BA$120,"")</f>
        <v/>
      </c>
      <c r="CE75" s="1" t="str">
        <f>IF(BB75&gt;BB$120, BB75-BB$120,"")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27" x14ac:dyDescent="0.15">
      <c r="A76" s="18">
        <v>65</v>
      </c>
      <c r="B76" s="24" t="s">
        <v>55</v>
      </c>
      <c r="C76" s="18" t="s">
        <v>50</v>
      </c>
      <c r="D76" s="18" t="s">
        <v>12</v>
      </c>
      <c r="E76" s="19"/>
      <c r="F76" s="19"/>
      <c r="G76" s="19">
        <v>10</v>
      </c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/>
      <c r="AJ76" s="18"/>
      <c r="AK76" s="18"/>
      <c r="AL76" s="18"/>
      <c r="AM76" s="18"/>
      <c r="AN76" s="18">
        <v>25</v>
      </c>
      <c r="AO76" s="18"/>
      <c r="AP76" s="18"/>
      <c r="AQ76" s="20"/>
      <c r="AR76" s="20"/>
      <c r="AS76" s="20"/>
      <c r="AT76" s="20"/>
      <c r="AU76" s="20"/>
      <c r="AV76" s="20">
        <v>10</v>
      </c>
      <c r="AW76" s="21"/>
      <c r="AX76" s="21"/>
      <c r="AY76" s="21"/>
      <c r="AZ76" s="21">
        <v>10</v>
      </c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55</v>
      </c>
      <c r="BQ76" s="18">
        <v>31</v>
      </c>
      <c r="BR76" s="22">
        <v>2</v>
      </c>
      <c r="BS76" s="22" t="s">
        <v>270</v>
      </c>
      <c r="BT76" s="18" t="str">
        <f>IF(AQ76&gt;AQ$120, AQ76-AQ$120,"")</f>
        <v/>
      </c>
      <c r="BU76" s="18" t="str">
        <f>IF(AR76&gt;AR$120, AR76-AR$120,"")</f>
        <v/>
      </c>
      <c r="BV76" s="18" t="str">
        <f>IF(AS76&gt;AS$120, AS76-AS$120,"")</f>
        <v/>
      </c>
      <c r="BW76" s="18" t="str">
        <f>IF(AT76&gt;AT$120, AT76-AT$120,"")</f>
        <v/>
      </c>
      <c r="BX76" s="18" t="str">
        <f>IF(AU76&gt;AU$120, AU76-AU$120,"")</f>
        <v/>
      </c>
      <c r="BY76" s="18" t="str">
        <f>IF(AV76&gt;AV$120, AV76-AV$120,"")</f>
        <v/>
      </c>
      <c r="BZ76" s="18" t="str">
        <f>IF(AW76&gt;AW$120, AW76-AW$120,"")</f>
        <v/>
      </c>
      <c r="CA76" s="18" t="str">
        <f>IF(AX76&gt;AX$120, AX76-AX$120,"")</f>
        <v/>
      </c>
      <c r="CB76" s="18" t="str">
        <f>IF(AY76&gt;AY$120, AY76-AY$120,"")</f>
        <v/>
      </c>
      <c r="CC76" s="18" t="str">
        <f>IF(AZ76&gt;AZ$120, AZ76-AZ$120,"")</f>
        <v/>
      </c>
      <c r="CD76" s="18" t="str">
        <f>IF(BA76&gt;BA$120, BA76-BA$120,"")</f>
        <v/>
      </c>
      <c r="CE76" s="18" t="str">
        <f>IF(BB76&gt;BB$120, BB76-BB$120,"")</f>
        <v/>
      </c>
      <c r="CF76" s="18">
        <f>COUNTIF(BT76:CE76, "&gt;0")</f>
        <v>0</v>
      </c>
      <c r="CG76" s="18" t="str">
        <f>IF($CF76=1,BT76,"")</f>
        <v/>
      </c>
      <c r="CH76" s="18" t="str">
        <f>IF($CF76=1,BU76,"")</f>
        <v/>
      </c>
      <c r="CI76" s="18" t="str">
        <f>IF($CF76=1,BV76,"")</f>
        <v/>
      </c>
      <c r="CJ76" s="18" t="str">
        <f>IF($CF76=1,BW76,"")</f>
        <v/>
      </c>
      <c r="CK76" s="18" t="str">
        <f>IF($CF76=1,BX76,"")</f>
        <v/>
      </c>
      <c r="CL76" s="18" t="str">
        <f>IF($CF76=1,BY76,"")</f>
        <v/>
      </c>
      <c r="CM76" s="18" t="str">
        <f>IF($CF76=1,BZ76,"")</f>
        <v/>
      </c>
      <c r="CN76" s="18" t="str">
        <f>IF($CF76=1,CA76,"")</f>
        <v/>
      </c>
      <c r="CO76" s="18" t="str">
        <f>IF($CF76=1,CB76,"")</f>
        <v/>
      </c>
      <c r="CP76" s="18" t="str">
        <f>IF($CF76=1,CC76,"")</f>
        <v/>
      </c>
      <c r="CQ76" s="18" t="str">
        <f>IF($CF76=1,CD76,"")</f>
        <v/>
      </c>
      <c r="CR76" s="18" t="str">
        <f>IF($CF76=1,CE76,"")</f>
        <v/>
      </c>
      <c r="CS76" s="24">
        <f>SUM(AE76:BO76)</f>
        <v>45</v>
      </c>
    </row>
    <row r="77" spans="1:97" ht="27" x14ac:dyDescent="0.15">
      <c r="A77" s="1"/>
      <c r="B77" s="1" t="s">
        <v>96</v>
      </c>
      <c r="C77" s="1" t="s">
        <v>97</v>
      </c>
      <c r="D77" s="1" t="s">
        <v>98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40</v>
      </c>
      <c r="AW77" s="2">
        <v>40</v>
      </c>
      <c r="AX77" s="2"/>
      <c r="AY77" s="2"/>
      <c r="AZ77" s="2"/>
      <c r="BA77" s="2"/>
      <c r="BB77" s="2">
        <v>40</v>
      </c>
      <c r="BC77" s="14">
        <v>10</v>
      </c>
      <c r="BD77" s="1">
        <v>50</v>
      </c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180</v>
      </c>
      <c r="BQ77" s="1">
        <v>56</v>
      </c>
      <c r="BR77" s="17">
        <v>2</v>
      </c>
      <c r="BS77" s="17" t="s">
        <v>256</v>
      </c>
      <c r="BT77" s="1" t="str">
        <f>IF(AQ77&gt;AQ$120, AQ77-AQ$120,"")</f>
        <v/>
      </c>
      <c r="BU77" s="1" t="str">
        <f>IF(AR77&gt;AR$120, AR77-AR$120,"")</f>
        <v/>
      </c>
      <c r="BV77" s="1" t="str">
        <f>IF(AS77&gt;AS$120, AS77-AS$120,"")</f>
        <v/>
      </c>
      <c r="BW77" s="1" t="str">
        <f>IF(AT77&gt;AT$120, AT77-AT$120,"")</f>
        <v/>
      </c>
      <c r="BX77" s="1" t="str">
        <f>IF(AU77&gt;AU$120, AU77-AU$120,"")</f>
        <v/>
      </c>
      <c r="BY77" s="1" t="str">
        <f>IF(AV77&gt;AV$120, AV77-AV$120,"")</f>
        <v/>
      </c>
      <c r="BZ77" s="1" t="str">
        <f>IF(AW77&gt;AW$120, AW77-AW$120,"")</f>
        <v/>
      </c>
      <c r="CA77" s="1" t="str">
        <f>IF(AX77&gt;AX$120, AX77-AX$120,"")</f>
        <v/>
      </c>
      <c r="CB77" s="1" t="str">
        <f>IF(AY77&gt;AY$120, AY77-AY$120,"")</f>
        <v/>
      </c>
      <c r="CC77" s="1" t="str">
        <f>IF(AZ77&gt;AZ$120, AZ77-AZ$120,"")</f>
        <v/>
      </c>
      <c r="CD77" s="1" t="str">
        <f>IF(BA77&gt;BA$120, BA77-BA$120,"")</f>
        <v/>
      </c>
      <c r="CE77" s="1" t="str">
        <f>IF(BB77&gt;BB$120, BB77-BB$120,"")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144</v>
      </c>
      <c r="C78" s="1" t="s">
        <v>140</v>
      </c>
      <c r="D78" s="1" t="s">
        <v>112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2</v>
      </c>
      <c r="V78" s="28"/>
      <c r="W78" s="28"/>
      <c r="X78" s="28"/>
      <c r="Y78" s="28"/>
      <c r="Z78" s="28"/>
      <c r="AA78" s="28">
        <v>2</v>
      </c>
      <c r="AB78" s="28"/>
      <c r="AC78" s="28">
        <v>5</v>
      </c>
      <c r="AD78" s="28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11</v>
      </c>
      <c r="BQ78" s="1">
        <v>6</v>
      </c>
      <c r="BR78" s="17">
        <v>3</v>
      </c>
      <c r="BS78" s="17" t="s">
        <v>257</v>
      </c>
      <c r="BT78" s="1" t="str">
        <f>IF(AQ78&gt;AQ$120, AQ78-AQ$120,"")</f>
        <v/>
      </c>
      <c r="BU78" s="1" t="str">
        <f>IF(AR78&gt;AR$120, AR78-AR$120,"")</f>
        <v/>
      </c>
      <c r="BV78" s="1" t="str">
        <f>IF(AS78&gt;AS$120, AS78-AS$120,"")</f>
        <v/>
      </c>
      <c r="BW78" s="1" t="str">
        <f>IF(AT78&gt;AT$120, AT78-AT$120,"")</f>
        <v/>
      </c>
      <c r="BX78" s="1" t="str">
        <f>IF(AU78&gt;AU$120, AU78-AU$120,"")</f>
        <v/>
      </c>
      <c r="BY78" s="1" t="str">
        <f>IF(AV78&gt;AV$120, AV78-AV$120,"")</f>
        <v/>
      </c>
      <c r="BZ78" s="1" t="str">
        <f>IF(AW78&gt;AW$120, AW78-AW$120,"")</f>
        <v/>
      </c>
      <c r="CA78" s="1" t="str">
        <f>IF(AX78&gt;AX$120, AX78-AX$120,"")</f>
        <v/>
      </c>
      <c r="CB78" s="1" t="str">
        <f>IF(AY78&gt;AY$120, AY78-AY$120,"")</f>
        <v/>
      </c>
      <c r="CC78" s="1" t="str">
        <f>IF(AZ78&gt;AZ$120, AZ78-AZ$120,"")</f>
        <v/>
      </c>
      <c r="CD78" s="1" t="str">
        <f>IF(BA78&gt;BA$120, BA78-BA$120,"")</f>
        <v/>
      </c>
      <c r="CE78" s="1" t="str">
        <f>IF(BB78&gt;BB$120, BB78-BB$120,"")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137</v>
      </c>
      <c r="C79" s="1" t="s">
        <v>138</v>
      </c>
      <c r="D79" s="1" t="s">
        <v>113</v>
      </c>
      <c r="E79" s="6"/>
      <c r="F79" s="6"/>
      <c r="G79" s="6"/>
      <c r="H79" s="6"/>
      <c r="I79" s="6"/>
      <c r="J79" s="6"/>
      <c r="K79" s="6"/>
      <c r="L79" s="6">
        <v>7</v>
      </c>
      <c r="M79" s="6"/>
      <c r="N79" s="6"/>
      <c r="O79" s="6"/>
      <c r="P79" s="28"/>
      <c r="Q79" s="28">
        <v>7</v>
      </c>
      <c r="R79" s="28"/>
      <c r="S79" s="28"/>
      <c r="T79" s="28">
        <v>7</v>
      </c>
      <c r="U79" s="28"/>
      <c r="V79" s="28"/>
      <c r="W79" s="28"/>
      <c r="X79" s="28">
        <v>7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28</v>
      </c>
      <c r="BQ79" s="1">
        <v>9</v>
      </c>
      <c r="BR79" s="17">
        <v>3</v>
      </c>
      <c r="BS79" s="17" t="s">
        <v>258</v>
      </c>
      <c r="BT79" s="1" t="str">
        <f>IF(AQ79&gt;AQ$120, AQ79-AQ$120,"")</f>
        <v/>
      </c>
      <c r="BU79" s="1" t="str">
        <f>IF(AR79&gt;AR$120, AR79-AR$120,"")</f>
        <v/>
      </c>
      <c r="BV79" s="1" t="str">
        <f>IF(AS79&gt;AS$120, AS79-AS$120,"")</f>
        <v/>
      </c>
      <c r="BW79" s="1" t="str">
        <f>IF(AT79&gt;AT$120, AT79-AT$120,"")</f>
        <v/>
      </c>
      <c r="BX79" s="1" t="str">
        <f>IF(AU79&gt;AU$120, AU79-AU$120,"")</f>
        <v/>
      </c>
      <c r="BY79" s="1" t="str">
        <f>IF(AV79&gt;AV$120, AV79-AV$120,"")</f>
        <v/>
      </c>
      <c r="BZ79" s="1" t="str">
        <f>IF(AW79&gt;AW$120, AW79-AW$120,"")</f>
        <v/>
      </c>
      <c r="CA79" s="1" t="str">
        <f>IF(AX79&gt;AX$120, AX79-AX$120,"")</f>
        <v/>
      </c>
      <c r="CB79" s="1" t="str">
        <f>IF(AY79&gt;AY$120, AY79-AY$120,"")</f>
        <v/>
      </c>
      <c r="CC79" s="1" t="str">
        <f>IF(AZ79&gt;AZ$120, AZ79-AZ$120,"")</f>
        <v/>
      </c>
      <c r="CD79" s="1" t="str">
        <f>IF(BA79&gt;BA$120, BA79-BA$120,"")</f>
        <v/>
      </c>
      <c r="CE79" s="1" t="str">
        <f>IF(BB79&gt;BB$120, BB79-BB$120,"")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131</v>
      </c>
      <c r="C80" s="1" t="s">
        <v>129</v>
      </c>
      <c r="D80" s="1" t="s">
        <v>112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/>
      <c r="Y80" s="28"/>
      <c r="Z80" s="28">
        <v>5</v>
      </c>
      <c r="AA80" s="28">
        <v>2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17</v>
      </c>
      <c r="BQ80" s="1">
        <v>9</v>
      </c>
      <c r="BR80" s="17">
        <v>3</v>
      </c>
      <c r="BS80" s="17" t="s">
        <v>259</v>
      </c>
      <c r="BT80" s="1" t="str">
        <f>IF(AQ80&gt;AQ$120, AQ80-AQ$120,"")</f>
        <v/>
      </c>
      <c r="BU80" s="1" t="str">
        <f>IF(AR80&gt;AR$120, AR80-AR$120,"")</f>
        <v/>
      </c>
      <c r="BV80" s="1" t="str">
        <f>IF(AS80&gt;AS$120, AS80-AS$120,"")</f>
        <v/>
      </c>
      <c r="BW80" s="1" t="str">
        <f>IF(AT80&gt;AT$120, AT80-AT$120,"")</f>
        <v/>
      </c>
      <c r="BX80" s="1" t="str">
        <f>IF(AU80&gt;AU$120, AU80-AU$120,"")</f>
        <v/>
      </c>
      <c r="BY80" s="1" t="str">
        <f>IF(AV80&gt;AV$120, AV80-AV$120,"")</f>
        <v/>
      </c>
      <c r="BZ80" s="1" t="str">
        <f>IF(AW80&gt;AW$120, AW80-AW$120,"")</f>
        <v/>
      </c>
      <c r="CA80" s="1" t="str">
        <f>IF(AX80&gt;AX$120, AX80-AX$120,"")</f>
        <v/>
      </c>
      <c r="CB80" s="1" t="str">
        <f>IF(AY80&gt;AY$120, AY80-AY$120,"")</f>
        <v/>
      </c>
      <c r="CC80" s="1" t="str">
        <f>IF(AZ80&gt;AZ$120, AZ80-AZ$120,"")</f>
        <v/>
      </c>
      <c r="CD80" s="1" t="str">
        <f>IF(BA80&gt;BA$120, BA80-BA$120,"")</f>
        <v/>
      </c>
      <c r="CE80" s="1" t="str">
        <f>IF(BB80&gt;BB$120, BB80-BB$120,"")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141</v>
      </c>
      <c r="C81" s="1" t="s">
        <v>140</v>
      </c>
      <c r="D81" s="1" t="s">
        <v>112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/>
      <c r="Y81" s="28"/>
      <c r="Z81" s="28">
        <v>5</v>
      </c>
      <c r="AA81" s="28">
        <v>2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17</v>
      </c>
      <c r="BQ81" s="1">
        <v>9</v>
      </c>
      <c r="BR81" s="17">
        <v>3</v>
      </c>
      <c r="BS81" s="17" t="s">
        <v>213</v>
      </c>
      <c r="BT81" s="1" t="str">
        <f>IF(AQ81&gt;AQ$120, AQ81-AQ$120,"")</f>
        <v/>
      </c>
      <c r="BU81" s="1" t="str">
        <f>IF(AR81&gt;AR$120, AR81-AR$120,"")</f>
        <v/>
      </c>
      <c r="BV81" s="1" t="str">
        <f>IF(AS81&gt;AS$120, AS81-AS$120,"")</f>
        <v/>
      </c>
      <c r="BW81" s="1" t="str">
        <f>IF(AT81&gt;AT$120, AT81-AT$120,"")</f>
        <v/>
      </c>
      <c r="BX81" s="1" t="str">
        <f>IF(AU81&gt;AU$120, AU81-AU$120,"")</f>
        <v/>
      </c>
      <c r="BY81" s="1" t="str">
        <f>IF(AV81&gt;AV$120, AV81-AV$120,"")</f>
        <v/>
      </c>
      <c r="BZ81" s="1" t="str">
        <f>IF(AW81&gt;AW$120, AW81-AW$120,"")</f>
        <v/>
      </c>
      <c r="CA81" s="1" t="str">
        <f>IF(AX81&gt;AX$120, AX81-AX$120,"")</f>
        <v/>
      </c>
      <c r="CB81" s="1" t="str">
        <f>IF(AY81&gt;AY$120, AY81-AY$120,"")</f>
        <v/>
      </c>
      <c r="CC81" s="1" t="str">
        <f>IF(AZ81&gt;AZ$120, AZ81-AZ$120,"")</f>
        <v/>
      </c>
      <c r="CD81" s="1" t="str">
        <f>IF(BA81&gt;BA$120, BA81-BA$120,"")</f>
        <v/>
      </c>
      <c r="CE81" s="1" t="str">
        <f>IF(BB81&gt;BB$120, BB81-BB$120,"")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147</v>
      </c>
      <c r="C82" s="1" t="s">
        <v>108</v>
      </c>
      <c r="D82" s="1" t="s">
        <v>149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/>
      <c r="Y82" s="28"/>
      <c r="Z82" s="28">
        <v>5</v>
      </c>
      <c r="AA82" s="28">
        <v>2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17</v>
      </c>
      <c r="BQ82" s="1">
        <v>9</v>
      </c>
      <c r="BR82" s="17">
        <v>3</v>
      </c>
      <c r="BS82" s="17" t="s">
        <v>259</v>
      </c>
      <c r="BT82" s="1" t="str">
        <f>IF(AQ82&gt;AQ$120, AQ82-AQ$120,"")</f>
        <v/>
      </c>
      <c r="BU82" s="1" t="str">
        <f>IF(AR82&gt;AR$120, AR82-AR$120,"")</f>
        <v/>
      </c>
      <c r="BV82" s="1" t="str">
        <f>IF(AS82&gt;AS$120, AS82-AS$120,"")</f>
        <v/>
      </c>
      <c r="BW82" s="1" t="str">
        <f>IF(AT82&gt;AT$120, AT82-AT$120,"")</f>
        <v/>
      </c>
      <c r="BX82" s="1" t="str">
        <f>IF(AU82&gt;AU$120, AU82-AU$120,"")</f>
        <v/>
      </c>
      <c r="BY82" s="1" t="str">
        <f>IF(AV82&gt;AV$120, AV82-AV$120,"")</f>
        <v/>
      </c>
      <c r="BZ82" s="1" t="str">
        <f>IF(AW82&gt;AW$120, AW82-AW$120,"")</f>
        <v/>
      </c>
      <c r="CA82" s="1" t="str">
        <f>IF(AX82&gt;AX$120, AX82-AX$120,"")</f>
        <v/>
      </c>
      <c r="CB82" s="1" t="str">
        <f>IF(AY82&gt;AY$120, AY82-AY$120,"")</f>
        <v/>
      </c>
      <c r="CC82" s="1" t="str">
        <f>IF(AZ82&gt;AZ$120, AZ82-AZ$120,"")</f>
        <v/>
      </c>
      <c r="CD82" s="1" t="str">
        <f>IF(BA82&gt;BA$120, BA82-BA$120,"")</f>
        <v/>
      </c>
      <c r="CE82" s="1" t="str">
        <f>IF(BB82&gt;BB$120, BB82-BB$120,"")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144</v>
      </c>
      <c r="C83" s="1" t="s">
        <v>140</v>
      </c>
      <c r="D83" s="1" t="s">
        <v>111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>
        <v>5</v>
      </c>
      <c r="X83" s="28"/>
      <c r="Y83" s="28"/>
      <c r="Z83" s="28">
        <v>5</v>
      </c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20</v>
      </c>
      <c r="BQ83" s="1">
        <v>11</v>
      </c>
      <c r="BR83" s="17">
        <v>3</v>
      </c>
      <c r="BS83" s="17" t="s">
        <v>261</v>
      </c>
      <c r="BT83" s="1" t="str">
        <f>IF(AQ83&gt;AQ$120, AQ83-AQ$120,"")</f>
        <v/>
      </c>
      <c r="BU83" s="1" t="str">
        <f>IF(AR83&gt;AR$120, AR83-AR$120,"")</f>
        <v/>
      </c>
      <c r="BV83" s="1" t="str">
        <f>IF(AS83&gt;AS$120, AS83-AS$120,"")</f>
        <v/>
      </c>
      <c r="BW83" s="1" t="str">
        <f>IF(AT83&gt;AT$120, AT83-AT$120,"")</f>
        <v/>
      </c>
      <c r="BX83" s="1" t="str">
        <f>IF(AU83&gt;AU$120, AU83-AU$120,"")</f>
        <v/>
      </c>
      <c r="BY83" s="1" t="str">
        <f>IF(AV83&gt;AV$120, AV83-AV$120,"")</f>
        <v/>
      </c>
      <c r="BZ83" s="1" t="str">
        <f>IF(AW83&gt;AW$120, AW83-AW$120,"")</f>
        <v/>
      </c>
      <c r="CA83" s="1" t="str">
        <f>IF(AX83&gt;AX$120, AX83-AX$120,"")</f>
        <v/>
      </c>
      <c r="CB83" s="1" t="str">
        <f>IF(AY83&gt;AY$120, AY83-AY$120,"")</f>
        <v/>
      </c>
      <c r="CC83" s="1" t="str">
        <f>IF(AZ83&gt;AZ$120, AZ83-AZ$120,"")</f>
        <v/>
      </c>
      <c r="CD83" s="1" t="str">
        <f>IF(BA83&gt;BA$120, BA83-BA$120,"")</f>
        <v/>
      </c>
      <c r="CE83" s="1" t="str">
        <f>IF(BB83&gt;BB$120, BB83-BB$120,"")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145</v>
      </c>
      <c r="C84" s="1" t="s">
        <v>140</v>
      </c>
      <c r="D84" s="1" t="s">
        <v>113</v>
      </c>
      <c r="E84" s="6"/>
      <c r="F84" s="6"/>
      <c r="G84" s="6">
        <v>5</v>
      </c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>
        <v>5</v>
      </c>
      <c r="W84" s="28"/>
      <c r="X84" s="28"/>
      <c r="Y84" s="28">
        <v>5</v>
      </c>
      <c r="Z84" s="28"/>
      <c r="AA84" s="28"/>
      <c r="AB84" s="28"/>
      <c r="AC84" s="28">
        <v>5</v>
      </c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20</v>
      </c>
      <c r="BQ84" s="1">
        <v>11</v>
      </c>
      <c r="BR84" s="17">
        <v>3</v>
      </c>
      <c r="BS84" s="17" t="s">
        <v>262</v>
      </c>
      <c r="BT84" s="1" t="str">
        <f>IF(AQ84&gt;AQ$120, AQ84-AQ$120,"")</f>
        <v/>
      </c>
      <c r="BU84" s="1" t="str">
        <f>IF(AR84&gt;AR$120, AR84-AR$120,"")</f>
        <v/>
      </c>
      <c r="BV84" s="1" t="str">
        <f>IF(AS84&gt;AS$120, AS84-AS$120,"")</f>
        <v/>
      </c>
      <c r="BW84" s="1" t="str">
        <f>IF(AT84&gt;AT$120, AT84-AT$120,"")</f>
        <v/>
      </c>
      <c r="BX84" s="1" t="str">
        <f>IF(AU84&gt;AU$120, AU84-AU$120,"")</f>
        <v/>
      </c>
      <c r="BY84" s="1" t="str">
        <f>IF(AV84&gt;AV$120, AV84-AV$120,"")</f>
        <v/>
      </c>
      <c r="BZ84" s="1" t="str">
        <f>IF(AW84&gt;AW$120, AW84-AW$120,"")</f>
        <v/>
      </c>
      <c r="CA84" s="1" t="str">
        <f>IF(AX84&gt;AX$120, AX84-AX$120,"")</f>
        <v/>
      </c>
      <c r="CB84" s="1" t="str">
        <f>IF(AY84&gt;AY$120, AY84-AY$120,"")</f>
        <v/>
      </c>
      <c r="CC84" s="1" t="str">
        <f>IF(AZ84&gt;AZ$120, AZ84-AZ$120,"")</f>
        <v/>
      </c>
      <c r="CD84" s="1" t="str">
        <f>IF(BA84&gt;BA$120, BA84-BA$120,"")</f>
        <v/>
      </c>
      <c r="CE84" s="1" t="str">
        <f>IF(BB84&gt;BB$120, BB84-BB$120,"")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135</v>
      </c>
      <c r="C85" s="1" t="s">
        <v>133</v>
      </c>
      <c r="D85" s="1" t="s">
        <v>113</v>
      </c>
      <c r="E85" s="6"/>
      <c r="F85" s="6"/>
      <c r="G85" s="6"/>
      <c r="H85" s="6"/>
      <c r="I85" s="6">
        <v>7</v>
      </c>
      <c r="J85" s="6"/>
      <c r="K85" s="6"/>
      <c r="L85" s="6"/>
      <c r="M85" s="6"/>
      <c r="N85" s="6"/>
      <c r="O85" s="6"/>
      <c r="P85" s="28"/>
      <c r="Q85" s="28">
        <v>7</v>
      </c>
      <c r="R85" s="28">
        <v>7</v>
      </c>
      <c r="S85" s="28"/>
      <c r="T85" s="28">
        <v>7</v>
      </c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28</v>
      </c>
      <c r="BQ85" s="1">
        <v>13</v>
      </c>
      <c r="BR85" s="17">
        <v>3</v>
      </c>
      <c r="BS85" s="17" t="s">
        <v>264</v>
      </c>
      <c r="BT85" s="1" t="str">
        <f>IF(AQ85&gt;AQ$120, AQ85-AQ$120,"")</f>
        <v/>
      </c>
      <c r="BU85" s="1" t="str">
        <f>IF(AR85&gt;AR$120, AR85-AR$120,"")</f>
        <v/>
      </c>
      <c r="BV85" s="1" t="str">
        <f>IF(AS85&gt;AS$120, AS85-AS$120,"")</f>
        <v/>
      </c>
      <c r="BW85" s="1" t="str">
        <f>IF(AT85&gt;AT$120, AT85-AT$120,"")</f>
        <v/>
      </c>
      <c r="BX85" s="1" t="str">
        <f>IF(AU85&gt;AU$120, AU85-AU$120,"")</f>
        <v/>
      </c>
      <c r="BY85" s="1" t="str">
        <f>IF(AV85&gt;AV$120, AV85-AV$120,"")</f>
        <v/>
      </c>
      <c r="BZ85" s="1" t="str">
        <f>IF(AW85&gt;AW$120, AW85-AW$120,"")</f>
        <v/>
      </c>
      <c r="CA85" s="1" t="str">
        <f>IF(AX85&gt;AX$120, AX85-AX$120,"")</f>
        <v/>
      </c>
      <c r="CB85" s="1" t="str">
        <f>IF(AY85&gt;AY$120, AY85-AY$120,"")</f>
        <v/>
      </c>
      <c r="CC85" s="1" t="str">
        <f>IF(AZ85&gt;AZ$120, AZ85-AZ$120,"")</f>
        <v/>
      </c>
      <c r="CD85" s="1" t="str">
        <f>IF(BA85&gt;BA$120, BA85-BA$120,"")</f>
        <v/>
      </c>
      <c r="CE85" s="1" t="str">
        <f>IF(BB85&gt;BB$120, BB85-BB$120,"")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131</v>
      </c>
      <c r="C86" s="1" t="s">
        <v>129</v>
      </c>
      <c r="D86" s="1" t="s">
        <v>113</v>
      </c>
      <c r="E86" s="6"/>
      <c r="F86" s="6"/>
      <c r="G86" s="6"/>
      <c r="H86" s="6">
        <v>7</v>
      </c>
      <c r="I86" s="6"/>
      <c r="J86" s="6"/>
      <c r="K86" s="6"/>
      <c r="L86" s="6"/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/>
      <c r="Y86" s="28"/>
      <c r="Z86" s="28"/>
      <c r="AA86" s="28">
        <v>7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14</v>
      </c>
      <c r="BR86" s="17">
        <v>3</v>
      </c>
      <c r="BS86" s="17" t="s">
        <v>218</v>
      </c>
      <c r="BT86" s="1" t="str">
        <f>IF(AQ86&gt;AQ$120, AQ86-AQ$120,"")</f>
        <v/>
      </c>
      <c r="BU86" s="1" t="str">
        <f>IF(AR86&gt;AR$120, AR86-AR$120,"")</f>
        <v/>
      </c>
      <c r="BV86" s="1" t="str">
        <f>IF(AS86&gt;AS$120, AS86-AS$120,"")</f>
        <v/>
      </c>
      <c r="BW86" s="1" t="str">
        <f>IF(AT86&gt;AT$120, AT86-AT$120,"")</f>
        <v/>
      </c>
      <c r="BX86" s="1" t="str">
        <f>IF(AU86&gt;AU$120, AU86-AU$120,"")</f>
        <v/>
      </c>
      <c r="BY86" s="1" t="str">
        <f>IF(AV86&gt;AV$120, AV86-AV$120,"")</f>
        <v/>
      </c>
      <c r="BZ86" s="1" t="str">
        <f>IF(AW86&gt;AW$120, AW86-AW$120,"")</f>
        <v/>
      </c>
      <c r="CA86" s="1" t="str">
        <f>IF(AX86&gt;AX$120, AX86-AX$120,"")</f>
        <v/>
      </c>
      <c r="CB86" s="1" t="str">
        <f>IF(AY86&gt;AY$120, AY86-AY$120,"")</f>
        <v/>
      </c>
      <c r="CC86" s="1" t="str">
        <f>IF(AZ86&gt;AZ$120, AZ86-AZ$120,"")</f>
        <v/>
      </c>
      <c r="CD86" s="1" t="str">
        <f>IF(BA86&gt;BA$120, BA86-BA$120,"")</f>
        <v/>
      </c>
      <c r="CE86" s="1" t="str">
        <f>IF(BB86&gt;BB$120, BB86-BB$120,"")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>
        <v>28</v>
      </c>
      <c r="B87" s="1" t="s">
        <v>66</v>
      </c>
      <c r="C87" s="1" t="s">
        <v>28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>
        <v>5</v>
      </c>
      <c r="AI87" s="1">
        <v>5</v>
      </c>
      <c r="AJ87" s="1">
        <v>5</v>
      </c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15</v>
      </c>
      <c r="BQ87" s="1">
        <v>15</v>
      </c>
      <c r="BR87" s="17">
        <v>3</v>
      </c>
      <c r="BS87" s="17" t="s">
        <v>265</v>
      </c>
      <c r="BT87" s="1" t="str">
        <f>IF(AQ87&gt;AQ$120, AQ87-AQ$120,"")</f>
        <v/>
      </c>
      <c r="BU87" s="1" t="str">
        <f>IF(AR87&gt;AR$120, AR87-AR$120,"")</f>
        <v/>
      </c>
      <c r="BV87" s="1" t="str">
        <f>IF(AS87&gt;AS$120, AS87-AS$120,"")</f>
        <v/>
      </c>
      <c r="BW87" s="1" t="str">
        <f>IF(AT87&gt;AT$120, AT87-AT$120,"")</f>
        <v/>
      </c>
      <c r="BX87" s="1" t="str">
        <f>IF(AU87&gt;AU$120, AU87-AU$120,"")</f>
        <v/>
      </c>
      <c r="BY87" s="1" t="str">
        <f>IF(AV87&gt;AV$120, AV87-AV$120,"")</f>
        <v/>
      </c>
      <c r="BZ87" s="1" t="str">
        <f>IF(AW87&gt;AW$120, AW87-AW$120,"")</f>
        <v/>
      </c>
      <c r="CA87" s="1" t="str">
        <f>IF(AX87&gt;AX$120, AX87-AX$120,"")</f>
        <v/>
      </c>
      <c r="CB87" s="1" t="str">
        <f>IF(AY87&gt;AY$120, AY87-AY$120,"")</f>
        <v/>
      </c>
      <c r="CC87" s="1" t="str">
        <f>IF(AZ87&gt;AZ$120, AZ87-AZ$120,"")</f>
        <v/>
      </c>
      <c r="CD87" s="1" t="str">
        <f>IF(BA87&gt;BA$120, BA87-BA$120,"")</f>
        <v/>
      </c>
      <c r="CE87" s="1" t="str">
        <f>IF(BB87&gt;BB$120, BB87-BB$120,"")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3">
        <f>SUM(AE87:BO87)</f>
        <v>15</v>
      </c>
    </row>
    <row r="88" spans="1:97" ht="40.5" x14ac:dyDescent="0.15">
      <c r="A88" s="1">
        <v>89</v>
      </c>
      <c r="B88" s="3" t="s">
        <v>71</v>
      </c>
      <c r="C88" s="3" t="s">
        <v>72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15</v>
      </c>
      <c r="BQ88" s="1">
        <v>15</v>
      </c>
      <c r="BR88" s="17">
        <v>3</v>
      </c>
      <c r="BS88" s="17" t="s">
        <v>266</v>
      </c>
      <c r="BT88" s="1" t="str">
        <f>IF(AQ88&gt;AQ$120, AQ88-AQ$120,"")</f>
        <v/>
      </c>
      <c r="BU88" s="1" t="str">
        <f>IF(AR88&gt;AR$120, AR88-AR$120,"")</f>
        <v/>
      </c>
      <c r="BV88" s="1" t="str">
        <f>IF(AS88&gt;AS$120, AS88-AS$120,"")</f>
        <v/>
      </c>
      <c r="BW88" s="1" t="str">
        <f>IF(AT88&gt;AT$120, AT88-AT$120,"")</f>
        <v/>
      </c>
      <c r="BX88" s="1" t="str">
        <f>IF(AU88&gt;AU$120, AU88-AU$120,"")</f>
        <v/>
      </c>
      <c r="BY88" s="1" t="str">
        <f>IF(AV88&gt;AV$120, AV88-AV$120,"")</f>
        <v/>
      </c>
      <c r="BZ88" s="1" t="str">
        <f>IF(AW88&gt;AW$120, AW88-AW$120,"")</f>
        <v/>
      </c>
      <c r="CA88" s="1" t="str">
        <f>IF(AX88&gt;AX$120, AX88-AX$120,"")</f>
        <v/>
      </c>
      <c r="CB88" s="1" t="str">
        <f>IF(AY88&gt;AY$120, AY88-AY$120,"")</f>
        <v/>
      </c>
      <c r="CC88" s="1" t="str">
        <f>IF(AZ88&gt;AZ$120, AZ88-AZ$120,"")</f>
        <v/>
      </c>
      <c r="CD88" s="1" t="str">
        <f>IF(BA88&gt;BA$120, BA88-BA$120,"")</f>
        <v/>
      </c>
      <c r="CE88" s="1" t="str">
        <f>IF(BB88&gt;BB$120, BB88-BB$120,"")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3">
        <f>SUM(AE88:BO88)</f>
        <v>15</v>
      </c>
    </row>
    <row r="89" spans="1:97" ht="40.5" x14ac:dyDescent="0.15">
      <c r="A89" s="1"/>
      <c r="B89" s="1" t="s">
        <v>122</v>
      </c>
      <c r="C89" s="1" t="s">
        <v>110</v>
      </c>
      <c r="D89" s="1" t="s">
        <v>113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>
        <v>10</v>
      </c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20</v>
      </c>
      <c r="BR89" s="17">
        <v>3</v>
      </c>
      <c r="BS89" s="17" t="s">
        <v>267</v>
      </c>
      <c r="BT89" s="1" t="str">
        <f>IF(AQ89&gt;AQ$120, AQ89-AQ$120,"")</f>
        <v/>
      </c>
      <c r="BU89" s="1" t="str">
        <f>IF(AR89&gt;AR$120, AR89-AR$120,"")</f>
        <v/>
      </c>
      <c r="BV89" s="1" t="str">
        <f>IF(AS89&gt;AS$120, AS89-AS$120,"")</f>
        <v/>
      </c>
      <c r="BW89" s="1" t="str">
        <f>IF(AT89&gt;AT$120, AT89-AT$120,"")</f>
        <v/>
      </c>
      <c r="BX89" s="1" t="str">
        <f>IF(AU89&gt;AU$120, AU89-AU$120,"")</f>
        <v/>
      </c>
      <c r="BY89" s="1" t="str">
        <f>IF(AV89&gt;AV$120, AV89-AV$120,"")</f>
        <v/>
      </c>
      <c r="BZ89" s="1" t="str">
        <f>IF(AW89&gt;AW$120, AW89-AW$120,"")</f>
        <v/>
      </c>
      <c r="CA89" s="1" t="str">
        <f>IF(AX89&gt;AX$120, AX89-AX$120,"")</f>
        <v/>
      </c>
      <c r="CB89" s="1" t="str">
        <f>IF(AY89&gt;AY$120, AY89-AY$120,"")</f>
        <v/>
      </c>
      <c r="CC89" s="1" t="str">
        <f>IF(AZ89&gt;AZ$120, AZ89-AZ$120,"")</f>
        <v/>
      </c>
      <c r="CD89" s="1" t="str">
        <f>IF(BA89&gt;BA$120, BA89-BA$120,"")</f>
        <v/>
      </c>
      <c r="CE89" s="1" t="str">
        <f>IF(BB89&gt;BB$120, BB89-BB$120,"")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127</v>
      </c>
      <c r="C90" s="1" t="s">
        <v>110</v>
      </c>
      <c r="D90" s="1" t="s">
        <v>113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20</v>
      </c>
      <c r="BR90" s="17">
        <v>3</v>
      </c>
      <c r="BS90" s="17" t="s">
        <v>268</v>
      </c>
      <c r="BT90" s="1" t="str">
        <f>IF(AQ90&gt;AQ$120, AQ90-AQ$120,"")</f>
        <v/>
      </c>
      <c r="BU90" s="1" t="str">
        <f>IF(AR90&gt;AR$120, AR90-AR$120,"")</f>
        <v/>
      </c>
      <c r="BV90" s="1" t="str">
        <f>IF(AS90&gt;AS$120, AS90-AS$120,"")</f>
        <v/>
      </c>
      <c r="BW90" s="1" t="str">
        <f>IF(AT90&gt;AT$120, AT90-AT$120,"")</f>
        <v/>
      </c>
      <c r="BX90" s="1" t="str">
        <f>IF(AU90&gt;AU$120, AU90-AU$120,"")</f>
        <v/>
      </c>
      <c r="BY90" s="1" t="str">
        <f>IF(AV90&gt;AV$120, AV90-AV$120,"")</f>
        <v/>
      </c>
      <c r="BZ90" s="1" t="str">
        <f>IF(AW90&gt;AW$120, AW90-AW$120,"")</f>
        <v/>
      </c>
      <c r="CA90" s="1" t="str">
        <f>IF(AX90&gt;AX$120, AX90-AX$120,"")</f>
        <v/>
      </c>
      <c r="CB90" s="1" t="str">
        <f>IF(AY90&gt;AY$120, AY90-AY$120,"")</f>
        <v/>
      </c>
      <c r="CC90" s="1" t="str">
        <f>IF(AZ90&gt;AZ$120, AZ90-AZ$120,"")</f>
        <v/>
      </c>
      <c r="CD90" s="1" t="str">
        <f>IF(BA90&gt;BA$120, BA90-BA$120,"")</f>
        <v/>
      </c>
      <c r="CE90" s="1" t="str">
        <f>IF(BB90&gt;BB$120, BB90-BB$120,"")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100</v>
      </c>
      <c r="C91" s="1" t="s">
        <v>97</v>
      </c>
      <c r="D91" s="1" t="s">
        <v>95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>
        <v>10</v>
      </c>
      <c r="AP91" s="1">
        <v>10</v>
      </c>
      <c r="AQ91" s="4"/>
      <c r="AR91" s="4"/>
      <c r="AS91" s="4">
        <v>5</v>
      </c>
      <c r="AT91" s="4"/>
      <c r="AU91" s="4"/>
      <c r="AV91" s="4"/>
      <c r="AW91" s="2"/>
      <c r="AX91" s="2">
        <v>5</v>
      </c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30</v>
      </c>
      <c r="BQ91" s="1">
        <v>23</v>
      </c>
      <c r="BR91" s="17">
        <v>3</v>
      </c>
      <c r="BS91" s="17" t="s">
        <v>269</v>
      </c>
      <c r="BT91" s="1" t="str">
        <f>IF(AQ91&gt;AQ$120, AQ91-AQ$120,"")</f>
        <v/>
      </c>
      <c r="BU91" s="1" t="str">
        <f>IF(AR91&gt;AR$120, AR91-AR$120,"")</f>
        <v/>
      </c>
      <c r="BV91" s="1" t="str">
        <f>IF(AS91&gt;AS$120, AS91-AS$120,"")</f>
        <v/>
      </c>
      <c r="BW91" s="1" t="str">
        <f>IF(AT91&gt;AT$120, AT91-AT$120,"")</f>
        <v/>
      </c>
      <c r="BX91" s="1" t="str">
        <f>IF(AU91&gt;AU$120, AU91-AU$120,"")</f>
        <v/>
      </c>
      <c r="BY91" s="1" t="str">
        <f>IF(AV91&gt;AV$120, AV91-AV$120,"")</f>
        <v/>
      </c>
      <c r="BZ91" s="1" t="str">
        <f>IF(AW91&gt;AW$120, AW91-AW$120,"")</f>
        <v/>
      </c>
      <c r="CA91" s="1" t="str">
        <f>IF(AX91&gt;AX$120, AX91-AX$120,"")</f>
        <v/>
      </c>
      <c r="CB91" s="1" t="str">
        <f>IF(AY91&gt;AY$120, AY91-AY$120,"")</f>
        <v/>
      </c>
      <c r="CC91" s="1" t="str">
        <f>IF(AZ91&gt;AZ$120, AZ91-AZ$120,"")</f>
        <v/>
      </c>
      <c r="CD91" s="1" t="str">
        <f>IF(BA91&gt;BA$120, BA91-BA$120,"")</f>
        <v/>
      </c>
      <c r="CE91" s="1" t="str">
        <f>IF(BB91&gt;BB$120, BB91-BB$120,"")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>
        <v>54</v>
      </c>
      <c r="B92" s="1" t="s">
        <v>49</v>
      </c>
      <c r="C92" s="1" t="s">
        <v>50</v>
      </c>
      <c r="D92" s="1" t="s">
        <v>1</v>
      </c>
      <c r="E92" s="6"/>
      <c r="F92" s="6">
        <v>15</v>
      </c>
      <c r="G92" s="6"/>
      <c r="H92" s="6">
        <v>15</v>
      </c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15</v>
      </c>
      <c r="AW92" s="2"/>
      <c r="AX92" s="2"/>
      <c r="AY92" s="2"/>
      <c r="AZ92" s="2"/>
      <c r="BA92" s="2">
        <v>15</v>
      </c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25</v>
      </c>
      <c r="BR92" s="17">
        <v>3</v>
      </c>
      <c r="BS92" s="17" t="s">
        <v>260</v>
      </c>
      <c r="BT92" s="1" t="str">
        <f>IF(AQ92&gt;AQ$120, AQ92-AQ$120,"")</f>
        <v/>
      </c>
      <c r="BU92" s="1" t="str">
        <f>IF(AR92&gt;AR$120, AR92-AR$120,"")</f>
        <v/>
      </c>
      <c r="BV92" s="1" t="str">
        <f>IF(AS92&gt;AS$120, AS92-AS$120,"")</f>
        <v/>
      </c>
      <c r="BW92" s="1" t="str">
        <f>IF(AT92&gt;AT$120, AT92-AT$120,"")</f>
        <v/>
      </c>
      <c r="BX92" s="1" t="str">
        <f>IF(AU92&gt;AU$120, AU92-AU$120,"")</f>
        <v/>
      </c>
      <c r="BY92" s="1" t="str">
        <f>IF(AV92&gt;AV$120, AV92-AV$120,"")</f>
        <v/>
      </c>
      <c r="BZ92" s="1" t="str">
        <f>IF(AW92&gt;AW$120, AW92-AW$120,"")</f>
        <v/>
      </c>
      <c r="CA92" s="1" t="str">
        <f>IF(AX92&gt;AX$120, AX92-AX$120,"")</f>
        <v/>
      </c>
      <c r="CB92" s="1" t="str">
        <f>IF(AY92&gt;AY$120, AY92-AY$120,"")</f>
        <v/>
      </c>
      <c r="CC92" s="1" t="str">
        <f>IF(AZ92&gt;AZ$120, AZ92-AZ$120,"")</f>
        <v/>
      </c>
      <c r="CD92" s="1" t="str">
        <f>IF(BA92&gt;BA$120, BA92-BA$120,"")</f>
        <v/>
      </c>
      <c r="CE92" s="1" t="str">
        <f>IF(BB92&gt;BB$120, BB92-BB$120,"")</f>
        <v/>
      </c>
      <c r="CF92" s="1">
        <f>COUNTIF(BT92:CE92, "&gt;0")</f>
        <v>0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 t="str">
        <f>IF($CF92=1,CD92,"")</f>
        <v/>
      </c>
      <c r="CR92" s="1" t="str">
        <f>IF($CF92=1,CE92,"")</f>
        <v/>
      </c>
      <c r="CS92" s="3">
        <f>SUM(AE92:BO92)</f>
        <v>30</v>
      </c>
    </row>
    <row r="93" spans="1:97" ht="40.5" x14ac:dyDescent="0.15">
      <c r="A93" s="1">
        <v>85</v>
      </c>
      <c r="B93" s="3" t="s">
        <v>177</v>
      </c>
      <c r="C93" s="3" t="s">
        <v>57</v>
      </c>
      <c r="D93" s="1" t="s">
        <v>34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>
        <v>50</v>
      </c>
      <c r="BM93" s="1">
        <v>50</v>
      </c>
      <c r="BN93" s="1">
        <v>50</v>
      </c>
      <c r="BO93" s="1">
        <v>50</v>
      </c>
      <c r="BP93" s="1">
        <f>SUM(E93:BO93)</f>
        <v>200</v>
      </c>
      <c r="BQ93" s="1">
        <v>140</v>
      </c>
      <c r="BR93" s="17">
        <v>3</v>
      </c>
      <c r="BS93" s="17" t="s">
        <v>271</v>
      </c>
      <c r="BT93" s="1" t="str">
        <f>IF(AQ93&gt;AQ$120, AQ93-AQ$120,"")</f>
        <v/>
      </c>
      <c r="BU93" s="1" t="str">
        <f>IF(AR93&gt;AR$120, AR93-AR$120,"")</f>
        <v/>
      </c>
      <c r="BV93" s="1" t="str">
        <f>IF(AS93&gt;AS$120, AS93-AS$120,"")</f>
        <v/>
      </c>
      <c r="BW93" s="1" t="str">
        <f>IF(AT93&gt;AT$120, AT93-AT$120,"")</f>
        <v/>
      </c>
      <c r="BX93" s="1" t="str">
        <f>IF(AU93&gt;AU$120, AU93-AU$120,"")</f>
        <v/>
      </c>
      <c r="BY93" s="1" t="str">
        <f>IF(AV93&gt;AV$120, AV93-AV$120,"")</f>
        <v/>
      </c>
      <c r="BZ93" s="1" t="str">
        <f>IF(AW93&gt;AW$120, AW93-AW$120,"")</f>
        <v/>
      </c>
      <c r="CA93" s="1" t="str">
        <f>IF(AX93&gt;AX$120, AX93-AX$120,"")</f>
        <v/>
      </c>
      <c r="CB93" s="1" t="str">
        <f>IF(AY93&gt;AY$120, AY93-AY$120,"")</f>
        <v/>
      </c>
      <c r="CC93" s="1" t="str">
        <f>IF(AZ93&gt;AZ$120, AZ93-AZ$120,"")</f>
        <v/>
      </c>
      <c r="CD93" s="1" t="str">
        <f>IF(BA93&gt;BA$120, BA93-BA$120,"")</f>
        <v/>
      </c>
      <c r="CE93" s="1" t="str">
        <f>IF(BB93&gt;BB$120, BB93-BB$120,"")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200</v>
      </c>
    </row>
    <row r="94" spans="1:97" ht="40.5" x14ac:dyDescent="0.15">
      <c r="A94" s="1"/>
      <c r="B94" s="1" t="s">
        <v>174</v>
      </c>
      <c r="C94" s="1" t="s">
        <v>108</v>
      </c>
      <c r="D94" s="1" t="s">
        <v>106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>
        <v>50</v>
      </c>
      <c r="BM94" s="1">
        <v>50</v>
      </c>
      <c r="BN94" s="1">
        <v>50</v>
      </c>
      <c r="BO94" s="1">
        <v>50</v>
      </c>
      <c r="BP94" s="1">
        <f>SUM(E94:BO94)</f>
        <v>200</v>
      </c>
      <c r="BQ94" s="1">
        <v>140</v>
      </c>
      <c r="BR94" s="17">
        <v>3</v>
      </c>
      <c r="BS94" s="17" t="s">
        <v>214</v>
      </c>
      <c r="BT94" s="1" t="str">
        <f>IF(AQ94&gt;AQ$120, AQ94-AQ$120,"")</f>
        <v/>
      </c>
      <c r="BU94" s="1" t="str">
        <f>IF(AR94&gt;AR$120, AR94-AR$120,"")</f>
        <v/>
      </c>
      <c r="BV94" s="1" t="str">
        <f>IF(AS94&gt;AS$120, AS94-AS$120,"")</f>
        <v/>
      </c>
      <c r="BW94" s="1" t="str">
        <f>IF(AT94&gt;AT$120, AT94-AT$120,"")</f>
        <v/>
      </c>
      <c r="BX94" s="1" t="str">
        <f>IF(AU94&gt;AU$120, AU94-AU$120,"")</f>
        <v/>
      </c>
      <c r="BY94" s="1" t="str">
        <f>IF(AV94&gt;AV$120, AV94-AV$120,"")</f>
        <v/>
      </c>
      <c r="BZ94" s="1" t="str">
        <f>IF(AW94&gt;AW$120, AW94-AW$120,"")</f>
        <v/>
      </c>
      <c r="CA94" s="1" t="str">
        <f>IF(AX94&gt;AX$120, AX94-AX$120,"")</f>
        <v/>
      </c>
      <c r="CB94" s="1" t="str">
        <f>IF(AY94&gt;AY$120, AY94-AY$120,"")</f>
        <v/>
      </c>
      <c r="CC94" s="1" t="str">
        <f>IF(AZ94&gt;AZ$120, AZ94-AZ$120,"")</f>
        <v/>
      </c>
      <c r="CD94" s="1" t="str">
        <f>IF(BA94&gt;BA$120, BA94-BA$120,"")</f>
        <v/>
      </c>
      <c r="CE94" s="1" t="str">
        <f>IF(BB94&gt;BB$120, BB94-BB$120,"")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195</v>
      </c>
      <c r="C95" s="1" t="s">
        <v>108</v>
      </c>
      <c r="D95" s="1" t="s">
        <v>106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>
        <v>50</v>
      </c>
      <c r="BM95" s="1">
        <v>50</v>
      </c>
      <c r="BN95" s="1">
        <v>50</v>
      </c>
      <c r="BO95" s="1">
        <v>50</v>
      </c>
      <c r="BP95" s="1">
        <f>SUM(E95:BO95)</f>
        <v>200</v>
      </c>
      <c r="BQ95" s="1">
        <v>140</v>
      </c>
      <c r="BR95" s="17">
        <v>3</v>
      </c>
      <c r="BS95" s="17" t="s">
        <v>214</v>
      </c>
      <c r="BT95" s="1" t="str">
        <f>IF(AQ95&gt;AQ$120, AQ95-AQ$120,"")</f>
        <v/>
      </c>
      <c r="BU95" s="1" t="str">
        <f>IF(AR95&gt;AR$120, AR95-AR$120,"")</f>
        <v/>
      </c>
      <c r="BV95" s="1" t="str">
        <f>IF(AS95&gt;AS$120, AS95-AS$120,"")</f>
        <v/>
      </c>
      <c r="BW95" s="1" t="str">
        <f>IF(AT95&gt;AT$120, AT95-AT$120,"")</f>
        <v/>
      </c>
      <c r="BX95" s="1" t="str">
        <f>IF(AU95&gt;AU$120, AU95-AU$120,"")</f>
        <v/>
      </c>
      <c r="BY95" s="1" t="str">
        <f>IF(AV95&gt;AV$120, AV95-AV$120,"")</f>
        <v/>
      </c>
      <c r="BZ95" s="1" t="str">
        <f>IF(AW95&gt;AW$120, AW95-AW$120,"")</f>
        <v/>
      </c>
      <c r="CA95" s="1" t="str">
        <f>IF(AX95&gt;AX$120, AX95-AX$120,"")</f>
        <v/>
      </c>
      <c r="CB95" s="1" t="str">
        <f>IF(AY95&gt;AY$120, AY95-AY$120,"")</f>
        <v/>
      </c>
      <c r="CC95" s="1" t="str">
        <f>IF(AZ95&gt;AZ$120, AZ95-AZ$120,"")</f>
        <v/>
      </c>
      <c r="CD95" s="1" t="str">
        <f>IF(BA95&gt;BA$120, BA95-BA$120,"")</f>
        <v/>
      </c>
      <c r="CE95" s="1" t="str">
        <f>IF(BB95&gt;BB$120, BB95-BB$120,"")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142</v>
      </c>
      <c r="C96" s="1" t="s">
        <v>140</v>
      </c>
      <c r="D96" s="1" t="s">
        <v>112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/>
      <c r="U96" s="28"/>
      <c r="V96" s="28">
        <v>10</v>
      </c>
      <c r="W96" s="28"/>
      <c r="X96" s="28"/>
      <c r="Y96" s="28"/>
      <c r="Z96" s="28">
        <v>5</v>
      </c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18</v>
      </c>
      <c r="BR96" s="17">
        <v>4</v>
      </c>
      <c r="BS96" s="17" t="s">
        <v>272</v>
      </c>
      <c r="BT96" s="1" t="str">
        <f>IF(AQ96&gt;AQ$120, AQ96-AQ$120,"")</f>
        <v/>
      </c>
      <c r="BU96" s="1" t="str">
        <f>IF(AR96&gt;AR$120, AR96-AR$120,"")</f>
        <v/>
      </c>
      <c r="BV96" s="1" t="str">
        <f>IF(AS96&gt;AS$120, AS96-AS$120,"")</f>
        <v/>
      </c>
      <c r="BW96" s="1" t="str">
        <f>IF(AT96&gt;AT$120, AT96-AT$120,"")</f>
        <v/>
      </c>
      <c r="BX96" s="1" t="str">
        <f>IF(AU96&gt;AU$120, AU96-AU$120,"")</f>
        <v/>
      </c>
      <c r="BY96" s="1" t="str">
        <f>IF(AV96&gt;AV$120, AV96-AV$120,"")</f>
        <v/>
      </c>
      <c r="BZ96" s="1" t="str">
        <f>IF(AW96&gt;AW$120, AW96-AW$120,"")</f>
        <v/>
      </c>
      <c r="CA96" s="1" t="str">
        <f>IF(AX96&gt;AX$120, AX96-AX$120,"")</f>
        <v/>
      </c>
      <c r="CB96" s="1" t="str">
        <f>IF(AY96&gt;AY$120, AY96-AY$120,"")</f>
        <v/>
      </c>
      <c r="CC96" s="1" t="str">
        <f>IF(AZ96&gt;AZ$120, AZ96-AZ$120,"")</f>
        <v/>
      </c>
      <c r="CD96" s="1" t="str">
        <f>IF(BA96&gt;BA$120, BA96-BA$120,"")</f>
        <v/>
      </c>
      <c r="CE96" s="1" t="str">
        <f>IF(BB96&gt;BB$120, BB96-BB$120,"")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122</v>
      </c>
      <c r="C97" s="1" t="s">
        <v>110</v>
      </c>
      <c r="D97" s="1" t="s">
        <v>111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219</v>
      </c>
      <c r="BT97" s="1" t="str">
        <f>IF(AQ97&gt;AQ$120, AQ97-AQ$120,"")</f>
        <v/>
      </c>
      <c r="BU97" s="1" t="str">
        <f>IF(AR97&gt;AR$120, AR97-AR$120,"")</f>
        <v/>
      </c>
      <c r="BV97" s="1" t="str">
        <f>IF(AS97&gt;AS$120, AS97-AS$120,"")</f>
        <v/>
      </c>
      <c r="BW97" s="1" t="str">
        <f>IF(AT97&gt;AT$120, AT97-AT$120,"")</f>
        <v/>
      </c>
      <c r="BX97" s="1" t="str">
        <f>IF(AU97&gt;AU$120, AU97-AU$120,"")</f>
        <v/>
      </c>
      <c r="BY97" s="1" t="str">
        <f>IF(AV97&gt;AV$120, AV97-AV$120,"")</f>
        <v/>
      </c>
      <c r="BZ97" s="1" t="str">
        <f>IF(AW97&gt;AW$120, AW97-AW$120,"")</f>
        <v/>
      </c>
      <c r="CA97" s="1" t="str">
        <f>IF(AX97&gt;AX$120, AX97-AX$120,"")</f>
        <v/>
      </c>
      <c r="CB97" s="1" t="str">
        <f>IF(AY97&gt;AY$120, AY97-AY$120,"")</f>
        <v/>
      </c>
      <c r="CC97" s="1" t="str">
        <f>IF(AZ97&gt;AZ$120, AZ97-AZ$120,"")</f>
        <v/>
      </c>
      <c r="CD97" s="1" t="str">
        <f>IF(BA97&gt;BA$120, BA97-BA$120,"")</f>
        <v/>
      </c>
      <c r="CE97" s="1" t="str">
        <f>IF(BB97&gt;BB$120, BB97-BB$120,"")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127</v>
      </c>
      <c r="C98" s="1" t="s">
        <v>110</v>
      </c>
      <c r="D98" s="1" t="s">
        <v>111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273</v>
      </c>
      <c r="BT98" s="1" t="str">
        <f>IF(AQ98&gt;AQ$120, AQ98-AQ$120,"")</f>
        <v/>
      </c>
      <c r="BU98" s="1" t="str">
        <f>IF(AR98&gt;AR$120, AR98-AR$120,"")</f>
        <v/>
      </c>
      <c r="BV98" s="1" t="str">
        <f>IF(AS98&gt;AS$120, AS98-AS$120,"")</f>
        <v/>
      </c>
      <c r="BW98" s="1" t="str">
        <f>IF(AT98&gt;AT$120, AT98-AT$120,"")</f>
        <v/>
      </c>
      <c r="BX98" s="1" t="str">
        <f>IF(AU98&gt;AU$120, AU98-AU$120,"")</f>
        <v/>
      </c>
      <c r="BY98" s="1" t="str">
        <f>IF(AV98&gt;AV$120, AV98-AV$120,"")</f>
        <v/>
      </c>
      <c r="BZ98" s="1" t="str">
        <f>IF(AW98&gt;AW$120, AW98-AW$120,"")</f>
        <v/>
      </c>
      <c r="CA98" s="1" t="str">
        <f>IF(AX98&gt;AX$120, AX98-AX$120,"")</f>
        <v/>
      </c>
      <c r="CB98" s="1" t="str">
        <f>IF(AY98&gt;AY$120, AY98-AY$120,"")</f>
        <v/>
      </c>
      <c r="CC98" s="1" t="str">
        <f>IF(AZ98&gt;AZ$120, AZ98-AZ$120,"")</f>
        <v/>
      </c>
      <c r="CD98" s="1" t="str">
        <f>IF(BA98&gt;BA$120, BA98-BA$120,"")</f>
        <v/>
      </c>
      <c r="CE98" s="1" t="str">
        <f>IF(BB98&gt;BB$120, BB98-BB$120,"")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131</v>
      </c>
      <c r="C99" s="1" t="s">
        <v>129</v>
      </c>
      <c r="D99" s="1" t="s">
        <v>111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273</v>
      </c>
      <c r="BT99" s="1" t="str">
        <f>IF(AQ99&gt;AQ$120, AQ99-AQ$120,"")</f>
        <v/>
      </c>
      <c r="BU99" s="1" t="str">
        <f>IF(AR99&gt;AR$120, AR99-AR$120,"")</f>
        <v/>
      </c>
      <c r="BV99" s="1" t="str">
        <f>IF(AS99&gt;AS$120, AS99-AS$120,"")</f>
        <v/>
      </c>
      <c r="BW99" s="1" t="str">
        <f>IF(AT99&gt;AT$120, AT99-AT$120,"")</f>
        <v/>
      </c>
      <c r="BX99" s="1" t="str">
        <f>IF(AU99&gt;AU$120, AU99-AU$120,"")</f>
        <v/>
      </c>
      <c r="BY99" s="1" t="str">
        <f>IF(AV99&gt;AV$120, AV99-AV$120,"")</f>
        <v/>
      </c>
      <c r="BZ99" s="1" t="str">
        <f>IF(AW99&gt;AW$120, AW99-AW$120,"")</f>
        <v/>
      </c>
      <c r="CA99" s="1" t="str">
        <f>IF(AX99&gt;AX$120, AX99-AX$120,"")</f>
        <v/>
      </c>
      <c r="CB99" s="1" t="str">
        <f>IF(AY99&gt;AY$120, AY99-AY$120,"")</f>
        <v/>
      </c>
      <c r="CC99" s="1" t="str">
        <f>IF(AZ99&gt;AZ$120, AZ99-AZ$120,"")</f>
        <v/>
      </c>
      <c r="CD99" s="1" t="str">
        <f>IF(BA99&gt;BA$120, BA99-BA$120,"")</f>
        <v/>
      </c>
      <c r="CE99" s="1" t="str">
        <f>IF(BB99&gt;BB$120, BB99-BB$120,"")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135</v>
      </c>
      <c r="C100" s="1" t="s">
        <v>133</v>
      </c>
      <c r="D100" s="1" t="s">
        <v>111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219</v>
      </c>
      <c r="BT100" s="1" t="str">
        <f>IF(AQ100&gt;AQ$120, AQ100-AQ$120,"")</f>
        <v/>
      </c>
      <c r="BU100" s="1" t="str">
        <f>IF(AR100&gt;AR$120, AR100-AR$120,"")</f>
        <v/>
      </c>
      <c r="BV100" s="1" t="str">
        <f>IF(AS100&gt;AS$120, AS100-AS$120,"")</f>
        <v/>
      </c>
      <c r="BW100" s="1" t="str">
        <f>IF(AT100&gt;AT$120, AT100-AT$120,"")</f>
        <v/>
      </c>
      <c r="BX100" s="1" t="str">
        <f>IF(AU100&gt;AU$120, AU100-AU$120,"")</f>
        <v/>
      </c>
      <c r="BY100" s="1" t="str">
        <f>IF(AV100&gt;AV$120, AV100-AV$120,"")</f>
        <v/>
      </c>
      <c r="BZ100" s="1" t="str">
        <f>IF(AW100&gt;AW$120, AW100-AW$120,"")</f>
        <v/>
      </c>
      <c r="CA100" s="1" t="str">
        <f>IF(AX100&gt;AX$120, AX100-AX$120,"")</f>
        <v/>
      </c>
      <c r="CB100" s="1" t="str">
        <f>IF(AY100&gt;AY$120, AY100-AY$120,"")</f>
        <v/>
      </c>
      <c r="CC100" s="1" t="str">
        <f>IF(AZ100&gt;AZ$120, AZ100-AZ$120,"")</f>
        <v/>
      </c>
      <c r="CD100" s="1" t="str">
        <f>IF(BA100&gt;BA$120, BA100-BA$120,"")</f>
        <v/>
      </c>
      <c r="CE100" s="1" t="str">
        <f>IF(BB100&gt;BB$120, BB100-BB$120,"")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141</v>
      </c>
      <c r="C101" s="1" t="s">
        <v>140</v>
      </c>
      <c r="D101" s="1" t="s">
        <v>111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219</v>
      </c>
      <c r="BT101" s="1" t="str">
        <f>IF(AQ101&gt;AQ$120, AQ101-AQ$120,"")</f>
        <v/>
      </c>
      <c r="BU101" s="1" t="str">
        <f>IF(AR101&gt;AR$120, AR101-AR$120,"")</f>
        <v/>
      </c>
      <c r="BV101" s="1" t="str">
        <f>IF(AS101&gt;AS$120, AS101-AS$120,"")</f>
        <v/>
      </c>
      <c r="BW101" s="1" t="str">
        <f>IF(AT101&gt;AT$120, AT101-AT$120,"")</f>
        <v/>
      </c>
      <c r="BX101" s="1" t="str">
        <f>IF(AU101&gt;AU$120, AU101-AU$120,"")</f>
        <v/>
      </c>
      <c r="BY101" s="1" t="str">
        <f>IF(AV101&gt;AV$120, AV101-AV$120,"")</f>
        <v/>
      </c>
      <c r="BZ101" s="1" t="str">
        <f>IF(AW101&gt;AW$120, AW101-AW$120,"")</f>
        <v/>
      </c>
      <c r="CA101" s="1" t="str">
        <f>IF(AX101&gt;AX$120, AX101-AX$120,"")</f>
        <v/>
      </c>
      <c r="CB101" s="1" t="str">
        <f>IF(AY101&gt;AY$120, AY101-AY$120,"")</f>
        <v/>
      </c>
      <c r="CC101" s="1" t="str">
        <f>IF(AZ101&gt;AZ$120, AZ101-AZ$120,"")</f>
        <v/>
      </c>
      <c r="CD101" s="1" t="str">
        <f>IF(BA101&gt;BA$120, BA101-BA$120,"")</f>
        <v/>
      </c>
      <c r="CE101" s="1" t="str">
        <f>IF(BB101&gt;BB$120, BB101-BB$120,"")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147</v>
      </c>
      <c r="C102" s="1" t="s">
        <v>108</v>
      </c>
      <c r="D102" s="1" t="s">
        <v>148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219</v>
      </c>
      <c r="BT102" s="1" t="str">
        <f>IF(AQ102&gt;AQ$120, AQ102-AQ$120,"")</f>
        <v/>
      </c>
      <c r="BU102" s="1" t="str">
        <f>IF(AR102&gt;AR$120, AR102-AR$120,"")</f>
        <v/>
      </c>
      <c r="BV102" s="1" t="str">
        <f>IF(AS102&gt;AS$120, AS102-AS$120,"")</f>
        <v/>
      </c>
      <c r="BW102" s="1" t="str">
        <f>IF(AT102&gt;AT$120, AT102-AT$120,"")</f>
        <v/>
      </c>
      <c r="BX102" s="1" t="str">
        <f>IF(AU102&gt;AU$120, AU102-AU$120,"")</f>
        <v/>
      </c>
      <c r="BY102" s="1" t="str">
        <f>IF(AV102&gt;AV$120, AV102-AV$120,"")</f>
        <v/>
      </c>
      <c r="BZ102" s="1" t="str">
        <f>IF(AW102&gt;AW$120, AW102-AW$120,"")</f>
        <v/>
      </c>
      <c r="CA102" s="1" t="str">
        <f>IF(AX102&gt;AX$120, AX102-AX$120,"")</f>
        <v/>
      </c>
      <c r="CB102" s="1" t="str">
        <f>IF(AY102&gt;AY$120, AY102-AY$120,"")</f>
        <v/>
      </c>
      <c r="CC102" s="1" t="str">
        <f>IF(AZ102&gt;AZ$120, AZ102-AZ$120,"")</f>
        <v/>
      </c>
      <c r="CD102" s="1" t="str">
        <f>IF(BA102&gt;BA$120, BA102-BA$120,"")</f>
        <v/>
      </c>
      <c r="CE102" s="1" t="str">
        <f>IF(BB102&gt;BB$120, BB102-BB$120,"")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152</v>
      </c>
      <c r="C103" s="1" t="s">
        <v>110</v>
      </c>
      <c r="D103" s="1" t="s">
        <v>112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220</v>
      </c>
      <c r="BT103" s="1" t="str">
        <f>IF(AQ103&gt;AQ$120, AQ103-AQ$120,"")</f>
        <v/>
      </c>
      <c r="BU103" s="1" t="str">
        <f>IF(AR103&gt;AR$120, AR103-AR$120,"")</f>
        <v/>
      </c>
      <c r="BV103" s="1" t="str">
        <f>IF(AS103&gt;AS$120, AS103-AS$120,"")</f>
        <v/>
      </c>
      <c r="BW103" s="1" t="str">
        <f>IF(AT103&gt;AT$120, AT103-AT$120,"")</f>
        <v/>
      </c>
      <c r="BX103" s="1" t="str">
        <f>IF(AU103&gt;AU$120, AU103-AU$120,"")</f>
        <v/>
      </c>
      <c r="BY103" s="1" t="str">
        <f>IF(AV103&gt;AV$120, AV103-AV$120,"")</f>
        <v/>
      </c>
      <c r="BZ103" s="1" t="str">
        <f>IF(AW103&gt;AW$120, AW103-AW$120,"")</f>
        <v/>
      </c>
      <c r="CA103" s="1" t="str">
        <f>IF(AX103&gt;AX$120, AX103-AX$120,"")</f>
        <v/>
      </c>
      <c r="CB103" s="1" t="str">
        <f>IF(AY103&gt;AY$120, AY103-AY$120,"")</f>
        <v/>
      </c>
      <c r="CC103" s="1" t="str">
        <f>IF(AZ103&gt;AZ$120, AZ103-AZ$120,"")</f>
        <v/>
      </c>
      <c r="CD103" s="1" t="str">
        <f>IF(BA103&gt;BA$120, BA103-BA$120,"")</f>
        <v/>
      </c>
      <c r="CE103" s="1" t="str">
        <f>IF(BB103&gt;BB$120, BB103-BB$120,"")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136</v>
      </c>
      <c r="C104" s="1" t="s">
        <v>138</v>
      </c>
      <c r="D104" s="1" t="s">
        <v>112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274</v>
      </c>
      <c r="BT104" s="1" t="str">
        <f>IF(AQ104&gt;AQ$120, AQ104-AQ$120,"")</f>
        <v/>
      </c>
      <c r="BU104" s="1" t="str">
        <f>IF(AR104&gt;AR$120, AR104-AR$120,"")</f>
        <v/>
      </c>
      <c r="BV104" s="1" t="str">
        <f>IF(AS104&gt;AS$120, AS104-AS$120,"")</f>
        <v/>
      </c>
      <c r="BW104" s="1" t="str">
        <f>IF(AT104&gt;AT$120, AT104-AT$120,"")</f>
        <v/>
      </c>
      <c r="BX104" s="1" t="str">
        <f>IF(AU104&gt;AU$120, AU104-AU$120,"")</f>
        <v/>
      </c>
      <c r="BY104" s="1" t="str">
        <f>IF(AV104&gt;AV$120, AV104-AV$120,"")</f>
        <v/>
      </c>
      <c r="BZ104" s="1" t="str">
        <f>IF(AW104&gt;AW$120, AW104-AW$120,"")</f>
        <v/>
      </c>
      <c r="CA104" s="1" t="str">
        <f>IF(AX104&gt;AX$120, AX104-AX$120,"")</f>
        <v/>
      </c>
      <c r="CB104" s="1" t="str">
        <f>IF(AY104&gt;AY$120, AY104-AY$120,"")</f>
        <v/>
      </c>
      <c r="CC104" s="1" t="str">
        <f>IF(AZ104&gt;AZ$120, AZ104-AZ$120,"")</f>
        <v/>
      </c>
      <c r="CD104" s="1" t="str">
        <f>IF(BA104&gt;BA$120, BA104-BA$120,"")</f>
        <v/>
      </c>
      <c r="CE104" s="1" t="str">
        <f>IF(BB104&gt;BB$120, BB104-BB$120,"")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145</v>
      </c>
      <c r="C105" s="1" t="s">
        <v>140</v>
      </c>
      <c r="D105" s="1" t="s">
        <v>112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274</v>
      </c>
      <c r="BT105" s="1" t="str">
        <f>IF(AQ105&gt;AQ$120, AQ105-AQ$120,"")</f>
        <v/>
      </c>
      <c r="BU105" s="1" t="str">
        <f>IF(AR105&gt;AR$120, AR105-AR$120,"")</f>
        <v/>
      </c>
      <c r="BV105" s="1" t="str">
        <f>IF(AS105&gt;AS$120, AS105-AS$120,"")</f>
        <v/>
      </c>
      <c r="BW105" s="1" t="str">
        <f>IF(AT105&gt;AT$120, AT105-AT$120,"")</f>
        <v/>
      </c>
      <c r="BX105" s="1" t="str">
        <f>IF(AU105&gt;AU$120, AU105-AU$120,"")</f>
        <v/>
      </c>
      <c r="BY105" s="1" t="str">
        <f>IF(AV105&gt;AV$120, AV105-AV$120,"")</f>
        <v/>
      </c>
      <c r="BZ105" s="1" t="str">
        <f>IF(AW105&gt;AW$120, AW105-AW$120,"")</f>
        <v/>
      </c>
      <c r="CA105" s="1" t="str">
        <f>IF(AX105&gt;AX$120, AX105-AX$120,"")</f>
        <v/>
      </c>
      <c r="CB105" s="1" t="str">
        <f>IF(AY105&gt;AY$120, AY105-AY$120,"")</f>
        <v/>
      </c>
      <c r="CC105" s="1" t="str">
        <f>IF(AZ105&gt;AZ$120, AZ105-AZ$120,"")</f>
        <v/>
      </c>
      <c r="CD105" s="1" t="str">
        <f>IF(BA105&gt;BA$120, BA105-BA$120,"")</f>
        <v/>
      </c>
      <c r="CE105" s="1" t="str">
        <f>IF(BB105&gt;BB$120, BB105-BB$120,"")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146</v>
      </c>
      <c r="C106" s="1" t="s">
        <v>140</v>
      </c>
      <c r="D106" s="1" t="s">
        <v>112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220</v>
      </c>
      <c r="BT106" s="1" t="str">
        <f>IF(AQ106&gt;AQ$120, AQ106-AQ$120,"")</f>
        <v/>
      </c>
      <c r="BU106" s="1" t="str">
        <f>IF(AR106&gt;AR$120, AR106-AR$120,"")</f>
        <v/>
      </c>
      <c r="BV106" s="1" t="str">
        <f>IF(AS106&gt;AS$120, AS106-AS$120,"")</f>
        <v/>
      </c>
      <c r="BW106" s="1" t="str">
        <f>IF(AT106&gt;AT$120, AT106-AT$120,"")</f>
        <v/>
      </c>
      <c r="BX106" s="1" t="str">
        <f>IF(AU106&gt;AU$120, AU106-AU$120,"")</f>
        <v/>
      </c>
      <c r="BY106" s="1" t="str">
        <f>IF(AV106&gt;AV$120, AV106-AV$120,"")</f>
        <v/>
      </c>
      <c r="BZ106" s="1" t="str">
        <f>IF(AW106&gt;AW$120, AW106-AW$120,"")</f>
        <v/>
      </c>
      <c r="CA106" s="1" t="str">
        <f>IF(AX106&gt;AX$120, AX106-AX$120,"")</f>
        <v/>
      </c>
      <c r="CB106" s="1" t="str">
        <f>IF(AY106&gt;AY$120, AY106-AY$120,"")</f>
        <v/>
      </c>
      <c r="CC106" s="1" t="str">
        <f>IF(AZ106&gt;AZ$120, AZ106-AZ$120,"")</f>
        <v/>
      </c>
      <c r="CD106" s="1" t="str">
        <f>IF(BA106&gt;BA$120, BA106-BA$120,"")</f>
        <v/>
      </c>
      <c r="CE106" s="1" t="str">
        <f>IF(BB106&gt;BB$120, BB106-BB$120,"")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137</v>
      </c>
      <c r="C107" s="1" t="s">
        <v>138</v>
      </c>
      <c r="D107" s="1" t="s">
        <v>111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/>
      <c r="X107" s="28"/>
      <c r="Y107" s="28"/>
      <c r="Z107" s="28">
        <v>5</v>
      </c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275</v>
      </c>
      <c r="BT107" s="1" t="str">
        <f>IF(AQ107&gt;AQ$120, AQ107-AQ$120,"")</f>
        <v/>
      </c>
      <c r="BU107" s="1" t="str">
        <f>IF(AR107&gt;AR$120, AR107-AR$120,"")</f>
        <v/>
      </c>
      <c r="BV107" s="1" t="str">
        <f>IF(AS107&gt;AS$120, AS107-AS$120,"")</f>
        <v/>
      </c>
      <c r="BW107" s="1" t="str">
        <f>IF(AT107&gt;AT$120, AT107-AT$120,"")</f>
        <v/>
      </c>
      <c r="BX107" s="1" t="str">
        <f>IF(AU107&gt;AU$120, AU107-AU$120,"")</f>
        <v/>
      </c>
      <c r="BY107" s="1" t="str">
        <f>IF(AV107&gt;AV$120, AV107-AV$120,"")</f>
        <v/>
      </c>
      <c r="BZ107" s="1" t="str">
        <f>IF(AW107&gt;AW$120, AW107-AW$120,"")</f>
        <v/>
      </c>
      <c r="CA107" s="1" t="str">
        <f>IF(AX107&gt;AX$120, AX107-AX$120,"")</f>
        <v/>
      </c>
      <c r="CB107" s="1" t="str">
        <f>IF(AY107&gt;AY$120, AY107-AY$120,"")</f>
        <v/>
      </c>
      <c r="CC107" s="1" t="str">
        <f>IF(AZ107&gt;AZ$120, AZ107-AZ$120,"")</f>
        <v/>
      </c>
      <c r="CD107" s="1" t="str">
        <f>IF(BA107&gt;BA$120, BA107-BA$120,"")</f>
        <v/>
      </c>
      <c r="CE107" s="1" t="str">
        <f>IF(BB107&gt;BB$120, BB107-BB$120,"")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128</v>
      </c>
      <c r="C108" s="1" t="s">
        <v>129</v>
      </c>
      <c r="D108" s="1" t="s">
        <v>112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24</v>
      </c>
      <c r="BR108" s="17">
        <v>4</v>
      </c>
      <c r="BS108" s="17" t="s">
        <v>204</v>
      </c>
      <c r="BT108" s="1" t="str">
        <f>IF(AQ108&gt;AQ$120, AQ108-AQ$120,"")</f>
        <v/>
      </c>
      <c r="BU108" s="1" t="str">
        <f>IF(AR108&gt;AR$120, AR108-AR$120,"")</f>
        <v/>
      </c>
      <c r="BV108" s="1" t="str">
        <f>IF(AS108&gt;AS$120, AS108-AS$120,"")</f>
        <v/>
      </c>
      <c r="BW108" s="1" t="str">
        <f>IF(AT108&gt;AT$120, AT108-AT$120,"")</f>
        <v/>
      </c>
      <c r="BX108" s="1" t="str">
        <f>IF(AU108&gt;AU$120, AU108-AU$120,"")</f>
        <v/>
      </c>
      <c r="BY108" s="1" t="str">
        <f>IF(AV108&gt;AV$120, AV108-AV$120,"")</f>
        <v/>
      </c>
      <c r="BZ108" s="1" t="str">
        <f>IF(AW108&gt;AW$120, AW108-AW$120,"")</f>
        <v/>
      </c>
      <c r="CA108" s="1" t="str">
        <f>IF(AX108&gt;AX$120, AX108-AX$120,"")</f>
        <v/>
      </c>
      <c r="CB108" s="1" t="str">
        <f>IF(AY108&gt;AY$120, AY108-AY$120,"")</f>
        <v/>
      </c>
      <c r="CC108" s="1" t="str">
        <f>IF(AZ108&gt;AZ$120, AZ108-AZ$120,"")</f>
        <v/>
      </c>
      <c r="CD108" s="1" t="str">
        <f>IF(BA108&gt;BA$120, BA108-BA$120,"")</f>
        <v/>
      </c>
      <c r="CE108" s="1" t="str">
        <f>IF(BB108&gt;BB$120, BB108-BB$120,"")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134</v>
      </c>
      <c r="C109" s="1" t="s">
        <v>133</v>
      </c>
      <c r="D109" s="1" t="s">
        <v>112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24</v>
      </c>
      <c r="BR109" s="17">
        <v>4</v>
      </c>
      <c r="BS109" s="17" t="s">
        <v>276</v>
      </c>
      <c r="BT109" s="1" t="str">
        <f>IF(AQ109&gt;AQ$120, AQ109-AQ$120,"")</f>
        <v/>
      </c>
      <c r="BU109" s="1" t="str">
        <f>IF(AR109&gt;AR$120, AR109-AR$120,"")</f>
        <v/>
      </c>
      <c r="BV109" s="1" t="str">
        <f>IF(AS109&gt;AS$120, AS109-AS$120,"")</f>
        <v/>
      </c>
      <c r="BW109" s="1" t="str">
        <f>IF(AT109&gt;AT$120, AT109-AT$120,"")</f>
        <v/>
      </c>
      <c r="BX109" s="1" t="str">
        <f>IF(AU109&gt;AU$120, AU109-AU$120,"")</f>
        <v/>
      </c>
      <c r="BY109" s="1" t="str">
        <f>IF(AV109&gt;AV$120, AV109-AV$120,"")</f>
        <v/>
      </c>
      <c r="BZ109" s="1" t="str">
        <f>IF(AW109&gt;AW$120, AW109-AW$120,"")</f>
        <v/>
      </c>
      <c r="CA109" s="1" t="str">
        <f>IF(AX109&gt;AX$120, AX109-AX$120,"")</f>
        <v/>
      </c>
      <c r="CB109" s="1" t="str">
        <f>IF(AY109&gt;AY$120, AY109-AY$120,"")</f>
        <v/>
      </c>
      <c r="CC109" s="1" t="str">
        <f>IF(AZ109&gt;AZ$120, AZ109-AZ$120,"")</f>
        <v/>
      </c>
      <c r="CD109" s="1" t="str">
        <f>IF(BA109&gt;BA$120, BA109-BA$120,"")</f>
        <v/>
      </c>
      <c r="CE109" s="1" t="str">
        <f>IF(BB109&gt;BB$120, BB109-BB$120,"")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128</v>
      </c>
      <c r="C110" s="1" t="s">
        <v>129</v>
      </c>
      <c r="D110" s="1" t="s">
        <v>111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210</v>
      </c>
      <c r="BT110" s="1" t="str">
        <f>IF(AQ110&gt;AQ$120, AQ110-AQ$120,"")</f>
        <v/>
      </c>
      <c r="BU110" s="1" t="str">
        <f>IF(AR110&gt;AR$120, AR110-AR$120,"")</f>
        <v/>
      </c>
      <c r="BV110" s="1" t="str">
        <f>IF(AS110&gt;AS$120, AS110-AS$120,"")</f>
        <v/>
      </c>
      <c r="BW110" s="1" t="str">
        <f>IF(AT110&gt;AT$120, AT110-AT$120,"")</f>
        <v/>
      </c>
      <c r="BX110" s="1" t="str">
        <f>IF(AU110&gt;AU$120, AU110-AU$120,"")</f>
        <v/>
      </c>
      <c r="BY110" s="1" t="str">
        <f>IF(AV110&gt;AV$120, AV110-AV$120,"")</f>
        <v/>
      </c>
      <c r="BZ110" s="1" t="str">
        <f>IF(AW110&gt;AW$120, AW110-AW$120,"")</f>
        <v/>
      </c>
      <c r="CA110" s="1" t="str">
        <f>IF(AX110&gt;AX$120, AX110-AX$120,"")</f>
        <v/>
      </c>
      <c r="CB110" s="1" t="str">
        <f>IF(AY110&gt;AY$120, AY110-AY$120,"")</f>
        <v/>
      </c>
      <c r="CC110" s="1" t="str">
        <f>IF(AZ110&gt;AZ$120, AZ110-AZ$120,"")</f>
        <v/>
      </c>
      <c r="CD110" s="1" t="str">
        <f>IF(BA110&gt;BA$120, BA110-BA$120,"")</f>
        <v/>
      </c>
      <c r="CE110" s="1" t="str">
        <f>IF(BB110&gt;BB$120, BB110-BB$120,"")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134</v>
      </c>
      <c r="C111" s="1" t="s">
        <v>133</v>
      </c>
      <c r="D111" s="1" t="s">
        <v>111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277</v>
      </c>
      <c r="BT111" s="1" t="str">
        <f>IF(AQ111&gt;AQ$120, AQ111-AQ$120,"")</f>
        <v/>
      </c>
      <c r="BU111" s="1" t="str">
        <f>IF(AR111&gt;AR$120, AR111-AR$120,"")</f>
        <v/>
      </c>
      <c r="BV111" s="1" t="str">
        <f>IF(AS111&gt;AS$120, AS111-AS$120,"")</f>
        <v/>
      </c>
      <c r="BW111" s="1" t="str">
        <f>IF(AT111&gt;AT$120, AT111-AT$120,"")</f>
        <v/>
      </c>
      <c r="BX111" s="1" t="str">
        <f>IF(AU111&gt;AU$120, AU111-AU$120,"")</f>
        <v/>
      </c>
      <c r="BY111" s="1" t="str">
        <f>IF(AV111&gt;AV$120, AV111-AV$120,"")</f>
        <v/>
      </c>
      <c r="BZ111" s="1" t="str">
        <f>IF(AW111&gt;AW$120, AW111-AW$120,"")</f>
        <v/>
      </c>
      <c r="CA111" s="1" t="str">
        <f>IF(AX111&gt;AX$120, AX111-AX$120,"")</f>
        <v/>
      </c>
      <c r="CB111" s="1" t="str">
        <f>IF(AY111&gt;AY$120, AY111-AY$120,"")</f>
        <v/>
      </c>
      <c r="CC111" s="1" t="str">
        <f>IF(AZ111&gt;AZ$120, AZ111-AZ$120,"")</f>
        <v/>
      </c>
      <c r="CD111" s="1" t="str">
        <f>IF(BA111&gt;BA$120, BA111-BA$120,"")</f>
        <v/>
      </c>
      <c r="CE111" s="1" t="str">
        <f>IF(BB111&gt;BB$120, BB111-BB$120,"")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136</v>
      </c>
      <c r="C112" s="1" t="s">
        <v>138</v>
      </c>
      <c r="D112" s="1" t="s">
        <v>111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277</v>
      </c>
      <c r="BT112" s="1" t="str">
        <f>IF(AQ112&gt;AQ$120, AQ112-AQ$120,"")</f>
        <v/>
      </c>
      <c r="BU112" s="1" t="str">
        <f>IF(AR112&gt;AR$120, AR112-AR$120,"")</f>
        <v/>
      </c>
      <c r="BV112" s="1" t="str">
        <f>IF(AS112&gt;AS$120, AS112-AS$120,"")</f>
        <v/>
      </c>
      <c r="BW112" s="1" t="str">
        <f>IF(AT112&gt;AT$120, AT112-AT$120,"")</f>
        <v/>
      </c>
      <c r="BX112" s="1" t="str">
        <f>IF(AU112&gt;AU$120, AU112-AU$120,"")</f>
        <v/>
      </c>
      <c r="BY112" s="1" t="str">
        <f>IF(AV112&gt;AV$120, AV112-AV$120,"")</f>
        <v/>
      </c>
      <c r="BZ112" s="1" t="str">
        <f>IF(AW112&gt;AW$120, AW112-AW$120,"")</f>
        <v/>
      </c>
      <c r="CA112" s="1" t="str">
        <f>IF(AX112&gt;AX$120, AX112-AX$120,"")</f>
        <v/>
      </c>
      <c r="CB112" s="1" t="str">
        <f>IF(AY112&gt;AY$120, AY112-AY$120,"")</f>
        <v/>
      </c>
      <c r="CC112" s="1" t="str">
        <f>IF(AZ112&gt;AZ$120, AZ112-AZ$120,"")</f>
        <v/>
      </c>
      <c r="CD112" s="1" t="str">
        <f>IF(BA112&gt;BA$120, BA112-BA$120,"")</f>
        <v/>
      </c>
      <c r="CE112" s="1" t="str">
        <f>IF(BB112&gt;BB$120, BB112-BB$120,"")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142</v>
      </c>
      <c r="C113" s="1" t="s">
        <v>140</v>
      </c>
      <c r="D113" s="1" t="s">
        <v>111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277</v>
      </c>
      <c r="BT113" s="1" t="str">
        <f>IF(AQ113&gt;AQ$120, AQ113-AQ$120,"")</f>
        <v/>
      </c>
      <c r="BU113" s="1" t="str">
        <f>IF(AR113&gt;AR$120, AR113-AR$120,"")</f>
        <v/>
      </c>
      <c r="BV113" s="1" t="str">
        <f>IF(AS113&gt;AS$120, AS113-AS$120,"")</f>
        <v/>
      </c>
      <c r="BW113" s="1" t="str">
        <f>IF(AT113&gt;AT$120, AT113-AT$120,"")</f>
        <v/>
      </c>
      <c r="BX113" s="1" t="str">
        <f>IF(AU113&gt;AU$120, AU113-AU$120,"")</f>
        <v/>
      </c>
      <c r="BY113" s="1" t="str">
        <f>IF(AV113&gt;AV$120, AV113-AV$120,"")</f>
        <v/>
      </c>
      <c r="BZ113" s="1" t="str">
        <f>IF(AW113&gt;AW$120, AW113-AW$120,"")</f>
        <v/>
      </c>
      <c r="CA113" s="1" t="str">
        <f>IF(AX113&gt;AX$120, AX113-AX$120,"")</f>
        <v/>
      </c>
      <c r="CB113" s="1" t="str">
        <f>IF(AY113&gt;AY$120, AY113-AY$120,"")</f>
        <v/>
      </c>
      <c r="CC113" s="1" t="str">
        <f>IF(AZ113&gt;AZ$120, AZ113-AZ$120,"")</f>
        <v/>
      </c>
      <c r="CD113" s="1" t="str">
        <f>IF(BA113&gt;BA$120, BA113-BA$120,"")</f>
        <v/>
      </c>
      <c r="CE113" s="1" t="str">
        <f>IF(BB113&gt;BB$120, BB113-BB$120,"")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145</v>
      </c>
      <c r="C114" s="1" t="s">
        <v>140</v>
      </c>
      <c r="D114" s="1" t="s">
        <v>111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277</v>
      </c>
      <c r="BT114" s="1" t="str">
        <f>IF(AQ114&gt;AQ$120, AQ114-AQ$120,"")</f>
        <v/>
      </c>
      <c r="BU114" s="1" t="str">
        <f>IF(AR114&gt;AR$120, AR114-AR$120,"")</f>
        <v/>
      </c>
      <c r="BV114" s="1" t="str">
        <f>IF(AS114&gt;AS$120, AS114-AS$120,"")</f>
        <v/>
      </c>
      <c r="BW114" s="1" t="str">
        <f>IF(AT114&gt;AT$120, AT114-AT$120,"")</f>
        <v/>
      </c>
      <c r="BX114" s="1" t="str">
        <f>IF(AU114&gt;AU$120, AU114-AU$120,"")</f>
        <v/>
      </c>
      <c r="BY114" s="1" t="str">
        <f>IF(AV114&gt;AV$120, AV114-AV$120,"")</f>
        <v/>
      </c>
      <c r="BZ114" s="1" t="str">
        <f>IF(AW114&gt;AW$120, AW114-AW$120,"")</f>
        <v/>
      </c>
      <c r="CA114" s="1" t="str">
        <f>IF(AX114&gt;AX$120, AX114-AX$120,"")</f>
        <v/>
      </c>
      <c r="CB114" s="1" t="str">
        <f>IF(AY114&gt;AY$120, AY114-AY$120,"")</f>
        <v/>
      </c>
      <c r="CC114" s="1" t="str">
        <f>IF(AZ114&gt;AZ$120, AZ114-AZ$120,"")</f>
        <v/>
      </c>
      <c r="CD114" s="1" t="str">
        <f>IF(BA114&gt;BA$120, BA114-BA$120,"")</f>
        <v/>
      </c>
      <c r="CE114" s="1" t="str">
        <f>IF(BB114&gt;BB$120, BB114-BB$120,"")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146</v>
      </c>
      <c r="C115" s="1" t="s">
        <v>140</v>
      </c>
      <c r="D115" s="1" t="s">
        <v>111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277</v>
      </c>
      <c r="BT115" s="1" t="str">
        <f>IF(AQ115&gt;AQ$120, AQ115-AQ$120,"")</f>
        <v/>
      </c>
      <c r="BU115" s="1" t="str">
        <f>IF(AR115&gt;AR$120, AR115-AR$120,"")</f>
        <v/>
      </c>
      <c r="BV115" s="1" t="str">
        <f>IF(AS115&gt;AS$120, AS115-AS$120,"")</f>
        <v/>
      </c>
      <c r="BW115" s="1" t="str">
        <f>IF(AT115&gt;AT$120, AT115-AT$120,"")</f>
        <v/>
      </c>
      <c r="BX115" s="1" t="str">
        <f>IF(AU115&gt;AU$120, AU115-AU$120,"")</f>
        <v/>
      </c>
      <c r="BY115" s="1" t="str">
        <f>IF(AV115&gt;AV$120, AV115-AV$120,"")</f>
        <v/>
      </c>
      <c r="BZ115" s="1" t="str">
        <f>IF(AW115&gt;AW$120, AW115-AW$120,"")</f>
        <v/>
      </c>
      <c r="CA115" s="1" t="str">
        <f>IF(AX115&gt;AX$120, AX115-AX$120,"")</f>
        <v/>
      </c>
      <c r="CB115" s="1" t="str">
        <f>IF(AY115&gt;AY$120, AY115-AY$120,"")</f>
        <v/>
      </c>
      <c r="CC115" s="1" t="str">
        <f>IF(AZ115&gt;AZ$120, AZ115-AZ$120,"")</f>
        <v/>
      </c>
      <c r="CD115" s="1" t="str">
        <f>IF(BA115&gt;BA$120, BA115-BA$120,"")</f>
        <v/>
      </c>
      <c r="CE115" s="1" t="str">
        <f>IF(BB115&gt;BB$120, BB115-BB$120,"")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>
        <v>23</v>
      </c>
      <c r="B116" s="1" t="s">
        <v>91</v>
      </c>
      <c r="C116" s="1" t="s">
        <v>28</v>
      </c>
      <c r="D116" s="1" t="s">
        <v>34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>
        <v>50</v>
      </c>
      <c r="BK116" s="1">
        <v>50</v>
      </c>
      <c r="BL116" s="1"/>
      <c r="BM116" s="1"/>
      <c r="BN116" s="1">
        <v>50</v>
      </c>
      <c r="BO116" s="1">
        <v>50</v>
      </c>
      <c r="BP116" s="1">
        <f>SUM(E116:BO116)</f>
        <v>200</v>
      </c>
      <c r="BQ116" s="1">
        <v>100</v>
      </c>
      <c r="BR116" s="17">
        <v>4</v>
      </c>
      <c r="BS116" s="17" t="s">
        <v>215</v>
      </c>
      <c r="BT116" s="1" t="str">
        <f>IF(AQ116&gt;AQ$120, AQ116-AQ$120,"")</f>
        <v/>
      </c>
      <c r="BU116" s="1" t="str">
        <f>IF(AR116&gt;AR$120, AR116-AR$120,"")</f>
        <v/>
      </c>
      <c r="BV116" s="1" t="str">
        <f>IF(AS116&gt;AS$120, AS116-AS$120,"")</f>
        <v/>
      </c>
      <c r="BW116" s="1" t="str">
        <f>IF(AT116&gt;AT$120, AT116-AT$120,"")</f>
        <v/>
      </c>
      <c r="BX116" s="1" t="str">
        <f>IF(AU116&gt;AU$120, AU116-AU$120,"")</f>
        <v/>
      </c>
      <c r="BY116" s="1" t="str">
        <f>IF(AV116&gt;AV$120, AV116-AV$120,"")</f>
        <v/>
      </c>
      <c r="BZ116" s="1" t="str">
        <f>IF(AW116&gt;AW$120, AW116-AW$120,"")</f>
        <v/>
      </c>
      <c r="CA116" s="1" t="str">
        <f>IF(AX116&gt;AX$120, AX116-AX$120,"")</f>
        <v/>
      </c>
      <c r="CB116" s="1" t="str">
        <f>IF(AY116&gt;AY$120, AY116-AY$120,"")</f>
        <v/>
      </c>
      <c r="CC116" s="1" t="str">
        <f>IF(AZ116&gt;AZ$120, AZ116-AZ$120,"")</f>
        <v/>
      </c>
      <c r="CD116" s="1" t="str">
        <f>IF(BA116&gt;BA$120, BA116-BA$120,"")</f>
        <v/>
      </c>
      <c r="CE116" s="1" t="str">
        <f>IF(BB116&gt;BB$120, BB116-BB$120,"")</f>
        <v/>
      </c>
      <c r="CF116" s="1">
        <f>COUNTIF(BT116:CE116, "&gt;0")</f>
        <v>0</v>
      </c>
      <c r="CG116" s="1" t="str">
        <f>IF($CF116=1,BT116,"")</f>
        <v/>
      </c>
      <c r="CH116" s="1" t="str">
        <f>IF($CF116=1,BU116,"")</f>
        <v/>
      </c>
      <c r="CI116" s="1" t="str">
        <f>IF($CF116=1,BV116,"")</f>
        <v/>
      </c>
      <c r="CJ116" s="1" t="str">
        <f>IF($CF116=1,BW116,"")</f>
        <v/>
      </c>
      <c r="CK116" s="1" t="str">
        <f>IF($CF116=1,BX116,"")</f>
        <v/>
      </c>
      <c r="CL116" s="1" t="str">
        <f>IF($CF116=1,BY116,"")</f>
        <v/>
      </c>
      <c r="CM116" s="1" t="str">
        <f>IF($CF116=1,BZ116,"")</f>
        <v/>
      </c>
      <c r="CN116" s="1" t="str">
        <f>IF($CF116=1,CA116,"")</f>
        <v/>
      </c>
      <c r="CO116" s="1" t="str">
        <f>IF($CF116=1,CB116,"")</f>
        <v/>
      </c>
      <c r="CP116" s="1" t="str">
        <f>IF($CF116=1,CC116,"")</f>
        <v/>
      </c>
      <c r="CQ116" s="1" t="str">
        <f>IF($CF116=1,CD116,"")</f>
        <v/>
      </c>
      <c r="CR116" s="1" t="str">
        <f>IF($CF116=1,CE116,"")</f>
        <v/>
      </c>
      <c r="CS116" s="3">
        <f>SUM(AE116:BO116)</f>
        <v>200</v>
      </c>
    </row>
    <row r="117" spans="1:97" ht="54" x14ac:dyDescent="0.15">
      <c r="A117" s="1"/>
      <c r="B117" s="1" t="s">
        <v>164</v>
      </c>
      <c r="C117" s="1" t="s">
        <v>105</v>
      </c>
      <c r="D117" s="1" t="s">
        <v>106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>
        <v>50</v>
      </c>
      <c r="BK117" s="1">
        <v>50</v>
      </c>
      <c r="BL117" s="1"/>
      <c r="BM117" s="1"/>
      <c r="BN117" s="1">
        <v>50</v>
      </c>
      <c r="BO117" s="1">
        <v>50</v>
      </c>
      <c r="BP117" s="1">
        <f>SUM(E117:BO117)</f>
        <v>200</v>
      </c>
      <c r="BQ117" s="1">
        <v>100</v>
      </c>
      <c r="BR117" s="17">
        <v>4</v>
      </c>
      <c r="BS117" s="17" t="s">
        <v>278</v>
      </c>
      <c r="BT117" s="1" t="str">
        <f>IF(AQ117&gt;AQ$120, AQ117-AQ$120,"")</f>
        <v/>
      </c>
      <c r="BU117" s="1" t="str">
        <f>IF(AR117&gt;AR$120, AR117-AR$120,"")</f>
        <v/>
      </c>
      <c r="BV117" s="1" t="str">
        <f>IF(AS117&gt;AS$120, AS117-AS$120,"")</f>
        <v/>
      </c>
      <c r="BW117" s="1" t="str">
        <f>IF(AT117&gt;AT$120, AT117-AT$120,"")</f>
        <v/>
      </c>
      <c r="BX117" s="1" t="str">
        <f>IF(AU117&gt;AU$120, AU117-AU$120,"")</f>
        <v/>
      </c>
      <c r="BY117" s="1" t="str">
        <f>IF(AV117&gt;AV$120, AV117-AV$120,"")</f>
        <v/>
      </c>
      <c r="BZ117" s="1" t="str">
        <f>IF(AW117&gt;AW$120, AW117-AW$120,"")</f>
        <v/>
      </c>
      <c r="CA117" s="1" t="str">
        <f>IF(AX117&gt;AX$120, AX117-AX$120,"")</f>
        <v/>
      </c>
      <c r="CB117" s="1" t="str">
        <f>IF(AY117&gt;AY$120, AY117-AY$120,"")</f>
        <v/>
      </c>
      <c r="CC117" s="1" t="str">
        <f>IF(AZ117&gt;AZ$120, AZ117-AZ$120,"")</f>
        <v/>
      </c>
      <c r="CD117" s="1" t="str">
        <f>IF(BA117&gt;BA$120, BA117-BA$120,"")</f>
        <v/>
      </c>
      <c r="CE117" s="1" t="str">
        <f>IF(BB117&gt;BB$120, BB117-BB$120,"")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162</v>
      </c>
      <c r="C118" s="1" t="s">
        <v>139</v>
      </c>
      <c r="D118" s="1" t="s">
        <v>34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>
        <v>50</v>
      </c>
      <c r="BK118" s="1">
        <v>50</v>
      </c>
      <c r="BL118" s="1"/>
      <c r="BM118" s="1"/>
      <c r="BN118" s="1">
        <v>50</v>
      </c>
      <c r="BO118" s="1">
        <v>50</v>
      </c>
      <c r="BP118" s="1">
        <f>SUM(E118:BO118)</f>
        <v>200</v>
      </c>
      <c r="BQ118" s="1">
        <v>100</v>
      </c>
      <c r="BR118" s="17">
        <v>4</v>
      </c>
      <c r="BS118" s="17" t="s">
        <v>278</v>
      </c>
      <c r="BT118" s="1" t="str">
        <f>IF(AQ118&gt;AQ$120, AQ118-AQ$120,"")</f>
        <v/>
      </c>
      <c r="BU118" s="1" t="str">
        <f>IF(AR118&gt;AR$120, AR118-AR$120,"")</f>
        <v/>
      </c>
      <c r="BV118" s="1" t="str">
        <f>IF(AS118&gt;AS$120, AS118-AS$120,"")</f>
        <v/>
      </c>
      <c r="BW118" s="1" t="str">
        <f>IF(AT118&gt;AT$120, AT118-AT$120,"")</f>
        <v/>
      </c>
      <c r="BX118" s="1" t="str">
        <f>IF(AU118&gt;AU$120, AU118-AU$120,"")</f>
        <v/>
      </c>
      <c r="BY118" s="1" t="str">
        <f>IF(AV118&gt;AV$120, AV118-AV$120,"")</f>
        <v/>
      </c>
      <c r="BZ118" s="1" t="str">
        <f>IF(AW118&gt;AW$120, AW118-AW$120,"")</f>
        <v/>
      </c>
      <c r="CA118" s="1" t="str">
        <f>IF(AX118&gt;AX$120, AX118-AX$120,"")</f>
        <v/>
      </c>
      <c r="CB118" s="1" t="str">
        <f>IF(AY118&gt;AY$120, AY118-AY$120,"")</f>
        <v/>
      </c>
      <c r="CC118" s="1" t="str">
        <f>IF(AZ118&gt;AZ$120, AZ118-AZ$120,"")</f>
        <v/>
      </c>
      <c r="CD118" s="1" t="str">
        <f>IF(BA118&gt;BA$120, BA118-BA$120,"")</f>
        <v/>
      </c>
      <c r="CE118" s="1" t="str">
        <f>IF(BB118&gt;BB$120, BB118-BB$120,"")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>
        <v>102</v>
      </c>
      <c r="B119" s="3" t="s">
        <v>196</v>
      </c>
      <c r="C119" s="3" t="s">
        <v>61</v>
      </c>
      <c r="D119" s="1" t="s">
        <v>34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100</v>
      </c>
      <c r="BR119" s="17">
        <v>4</v>
      </c>
      <c r="BS119" s="17" t="s">
        <v>278</v>
      </c>
      <c r="BT119" s="1" t="str">
        <f>IF(AQ119&gt;AQ$120, AQ119-AQ$120,"")</f>
        <v/>
      </c>
      <c r="BU119" s="1" t="str">
        <f>IF(AR119&gt;AR$120, AR119-AR$120,"")</f>
        <v/>
      </c>
      <c r="BV119" s="1" t="str">
        <f>IF(AS119&gt;AS$120, AS119-AS$120,"")</f>
        <v/>
      </c>
      <c r="BW119" s="1" t="str">
        <f>IF(AT119&gt;AT$120, AT119-AT$120,"")</f>
        <v/>
      </c>
      <c r="BX119" s="1" t="str">
        <f>IF(AU119&gt;AU$120, AU119-AU$120,"")</f>
        <v/>
      </c>
      <c r="BY119" s="1" t="str">
        <f>IF(AV119&gt;AV$120, AV119-AV$120,"")</f>
        <v/>
      </c>
      <c r="BZ119" s="1" t="str">
        <f>IF(AW119&gt;AW$120, AW119-AW$120,"")</f>
        <v/>
      </c>
      <c r="CA119" s="1" t="str">
        <f>IF(AX119&gt;AX$120, AX119-AX$120,"")</f>
        <v/>
      </c>
      <c r="CB119" s="1" t="str">
        <f>IF(AY119&gt;AY$120, AY119-AY$120,"")</f>
        <v/>
      </c>
      <c r="CC119" s="1" t="str">
        <f>IF(AZ119&gt;AZ$120, AZ119-AZ$120,"")</f>
        <v/>
      </c>
      <c r="CD119" s="1" t="str">
        <f>IF(BA119&gt;BA$120, BA119-BA$120,"")</f>
        <v/>
      </c>
      <c r="CE119" s="1" t="str">
        <f>IF(BB119&gt;BB$120, BB119-BB$120,"")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3">
        <f>SUM(AE119:BO119)</f>
        <v>200</v>
      </c>
    </row>
    <row r="120" spans="1:97" x14ac:dyDescent="0.15">
      <c r="A120" s="1"/>
      <c r="B120" s="1" t="s">
        <v>63</v>
      </c>
      <c r="C120" s="1"/>
      <c r="D120" s="1"/>
      <c r="E120" s="6">
        <f>SUM(E3:E119)</f>
        <v>148</v>
      </c>
      <c r="F120" s="6">
        <f>SUM(F3:F119)</f>
        <v>48</v>
      </c>
      <c r="G120" s="6">
        <f>SUM(G3:G119)</f>
        <v>180</v>
      </c>
      <c r="H120" s="6">
        <f>SUM(H3:H119)</f>
        <v>134</v>
      </c>
      <c r="I120" s="6">
        <f>SUM(I3:I119)</f>
        <v>17</v>
      </c>
      <c r="J120" s="6">
        <f>SUM(J3:J119)</f>
        <v>40</v>
      </c>
      <c r="K120" s="6">
        <f>SUM(K3:K119)</f>
        <v>6</v>
      </c>
      <c r="L120" s="6">
        <f>SUM(L3:L119)</f>
        <v>82</v>
      </c>
      <c r="M120" s="6">
        <f>SUM(M3:M119)</f>
        <v>37</v>
      </c>
      <c r="N120" s="6">
        <f>SUM(N3:N119)</f>
        <v>6</v>
      </c>
      <c r="O120" s="6">
        <f>SUM(O3:O119)</f>
        <v>68</v>
      </c>
      <c r="P120" s="28">
        <f>SUM(P3:P119)</f>
        <v>130</v>
      </c>
      <c r="Q120" s="28">
        <f>SUM(Q3:Q119)</f>
        <v>76</v>
      </c>
      <c r="R120" s="28">
        <f>SUM(R3:R119)</f>
        <v>83</v>
      </c>
      <c r="S120" s="28">
        <f>SUM(S3:S119)</f>
        <v>130</v>
      </c>
      <c r="T120" s="28">
        <f>SUM(T3:T119)</f>
        <v>61</v>
      </c>
      <c r="U120" s="28">
        <f>SUM(U3:U119)</f>
        <v>62</v>
      </c>
      <c r="V120" s="28">
        <f>SUM(V3:V119)</f>
        <v>135</v>
      </c>
      <c r="W120" s="28">
        <f>SUM(W3:W119)</f>
        <v>35</v>
      </c>
      <c r="X120" s="28">
        <f>SUM(X3:X119)</f>
        <v>59</v>
      </c>
      <c r="Y120" s="28">
        <f>SUM(Y3:Y119)</f>
        <v>125</v>
      </c>
      <c r="Z120" s="28">
        <f>SUM(Z3:Z119)</f>
        <v>50</v>
      </c>
      <c r="AA120" s="28">
        <f>SUM(AA3:AA119)</f>
        <v>35</v>
      </c>
      <c r="AB120" s="28">
        <f>SUM(AB3:AB119)</f>
        <v>140</v>
      </c>
      <c r="AC120" s="28">
        <f>SUM(AC3:AC119)</f>
        <v>30</v>
      </c>
      <c r="AD120" s="28">
        <f>SUM(AD3:AD119)</f>
        <v>22</v>
      </c>
      <c r="AE120" s="1">
        <f>SUM(AE3:AE119)</f>
        <v>250</v>
      </c>
      <c r="AF120" s="1">
        <f>SUM(AF3:AF119)</f>
        <v>10</v>
      </c>
      <c r="AG120" s="1">
        <f>SUM(AG3:AG119)</f>
        <v>10</v>
      </c>
      <c r="AH120" s="1">
        <f>SUM(AH3:AH119)</f>
        <v>30</v>
      </c>
      <c r="AI120" s="1">
        <f>SUM(AI3:AI119)</f>
        <v>30</v>
      </c>
      <c r="AJ120" s="1">
        <f>SUM(AJ3:AJ119)</f>
        <v>5</v>
      </c>
      <c r="AK120" s="1">
        <f>SUM(AK3:AK119)</f>
        <v>0</v>
      </c>
      <c r="AL120" s="1">
        <f>SUM(AL3:AL119)</f>
        <v>0</v>
      </c>
      <c r="AM120" s="1">
        <f>SUM(AM3:AM119)</f>
        <v>5</v>
      </c>
      <c r="AN120" s="1">
        <f>SUM(AN3:AN119)</f>
        <v>50</v>
      </c>
      <c r="AO120" s="1">
        <f>SUM(AO3:AO119)</f>
        <v>33</v>
      </c>
      <c r="AP120" s="1">
        <f>SUM(AP3:AP119)</f>
        <v>27</v>
      </c>
      <c r="AQ120" s="4">
        <f>SUM(AQ3:AQ119)</f>
        <v>80</v>
      </c>
      <c r="AR120" s="4">
        <f>SUM(AR3:AR119)</f>
        <v>105</v>
      </c>
      <c r="AS120" s="4">
        <f>SUM(AS3:AS119)</f>
        <v>55</v>
      </c>
      <c r="AT120" s="4">
        <f>SUM(AT3:AT119)</f>
        <v>85</v>
      </c>
      <c r="AU120" s="4">
        <f>SUM(AU3:AU119)</f>
        <v>55</v>
      </c>
      <c r="AV120" s="4">
        <f>SUM(AV3:AV119)</f>
        <v>95</v>
      </c>
      <c r="AW120" s="2">
        <f>SUM(AW3:AW119)</f>
        <v>100</v>
      </c>
      <c r="AX120" s="2">
        <f>SUM(AX3:AX119)</f>
        <v>60</v>
      </c>
      <c r="AY120" s="2">
        <f>SUM(AY3:AY119)</f>
        <v>50</v>
      </c>
      <c r="AZ120" s="2">
        <f>SUM(AZ3:AZ119)</f>
        <v>70</v>
      </c>
      <c r="BA120" s="2">
        <f>SUM(BA3:BA119)</f>
        <v>170</v>
      </c>
      <c r="BB120" s="2">
        <f>SUM(BB3:BB119)</f>
        <v>280</v>
      </c>
      <c r="BC120" s="1">
        <f>SUM(BC3:BC119)</f>
        <v>10</v>
      </c>
      <c r="BD120" s="1">
        <f>SUM(BD3:BD119)</f>
        <v>150</v>
      </c>
      <c r="BE120" s="1">
        <f>SUM(BE3:BE119)</f>
        <v>100</v>
      </c>
      <c r="BF120" s="1">
        <f>SUM(BF3:BF119)</f>
        <v>100</v>
      </c>
      <c r="BG120" s="1">
        <f>SUM(BG3:BG119)</f>
        <v>100</v>
      </c>
      <c r="BH120" s="1">
        <f>SUM(BH3:BH119)</f>
        <v>90</v>
      </c>
      <c r="BI120" s="1">
        <f>SUM(BI3:BI119)</f>
        <v>70</v>
      </c>
      <c r="BJ120" s="1">
        <f>SUM(BJ3:BJ119)</f>
        <v>200</v>
      </c>
      <c r="BK120" s="1">
        <f>SUM(BK3:BK119)</f>
        <v>200</v>
      </c>
      <c r="BL120" s="1">
        <f>SUM(BL3:BL119)</f>
        <v>150</v>
      </c>
      <c r="BM120" s="1">
        <f>SUM(BM3:BM119)</f>
        <v>150</v>
      </c>
      <c r="BN120" s="1">
        <f>SUM(BN3:BN119)</f>
        <v>350</v>
      </c>
      <c r="BO120" s="1">
        <f>SUM(BO3:BO119)</f>
        <v>350</v>
      </c>
      <c r="BP120" s="1"/>
      <c r="BQ120" s="1"/>
      <c r="BR120" s="17"/>
      <c r="BS120" s="17"/>
      <c r="BT120" s="1">
        <f>MIN(BT3:BT119)</f>
        <v>0</v>
      </c>
      <c r="BU120" s="1">
        <f>MIN(BU3:BU119)</f>
        <v>0</v>
      </c>
      <c r="BV120" s="1">
        <f>MIN(BV3:BV119)</f>
        <v>0</v>
      </c>
      <c r="BW120" s="1">
        <f>MIN(BW3:BW119)</f>
        <v>0</v>
      </c>
      <c r="BX120" s="1">
        <f>MIN(BX3:BX119)</f>
        <v>0</v>
      </c>
      <c r="BY120" s="1">
        <f>MIN(BY3:BY119)</f>
        <v>0</v>
      </c>
      <c r="BZ120" s="1">
        <f>MIN(BZ3:BZ119)</f>
        <v>0</v>
      </c>
      <c r="CA120" s="1">
        <f>MIN(CA3:CA119)</f>
        <v>0</v>
      </c>
      <c r="CB120" s="1">
        <f>MIN(CB3:CB119)</f>
        <v>0</v>
      </c>
      <c r="CC120" s="1">
        <f>MIN(CC3:CC119)</f>
        <v>0</v>
      </c>
      <c r="CD120" s="1">
        <f>MIN(CD3:CD119)</f>
        <v>0</v>
      </c>
      <c r="CE120" s="1">
        <f>MIN(CE3:CE119)</f>
        <v>0</v>
      </c>
      <c r="CF120" s="1"/>
      <c r="CG120" s="1">
        <f>MIN(CG3:CG119)</f>
        <v>0</v>
      </c>
      <c r="CH120" s="1">
        <f>MIN(CH3:CH119)</f>
        <v>0</v>
      </c>
      <c r="CI120" s="1">
        <f>MIN(CI3:CI119)</f>
        <v>0</v>
      </c>
      <c r="CJ120" s="1">
        <f>MIN(CJ3:CJ119)</f>
        <v>0</v>
      </c>
      <c r="CK120" s="1">
        <f>MIN(CK3:CK119)</f>
        <v>0</v>
      </c>
      <c r="CL120" s="1">
        <f>MIN(CL3:CL119)</f>
        <v>0</v>
      </c>
      <c r="CM120" s="1">
        <f>MIN(CM3:CM119)</f>
        <v>0</v>
      </c>
      <c r="CN120" s="1">
        <f>MIN(CN3:CN119)</f>
        <v>0</v>
      </c>
      <c r="CO120" s="1">
        <f>MIN(CO3:CO119)</f>
        <v>0</v>
      </c>
      <c r="CP120" s="1">
        <f>MIN(CP3:CP119)</f>
        <v>0</v>
      </c>
      <c r="CQ120" s="1">
        <f>MIN(CQ3:CQ119)</f>
        <v>0</v>
      </c>
      <c r="CR120" s="1">
        <f>MIN(CR3:CR119)</f>
        <v>0</v>
      </c>
      <c r="CS120" s="3">
        <f>COUNTIF(CS3:CS119,"=0")</f>
        <v>0</v>
      </c>
    </row>
    <row r="121" spans="1:97" x14ac:dyDescent="0.15">
      <c r="A121" s="1"/>
      <c r="B121" s="3" t="s">
        <v>83</v>
      </c>
      <c r="C121" s="1"/>
      <c r="D121" s="1"/>
      <c r="E121" s="1">
        <v>45</v>
      </c>
      <c r="F121" s="1">
        <v>20</v>
      </c>
      <c r="G121" s="1">
        <v>34</v>
      </c>
      <c r="H121" s="1">
        <v>10</v>
      </c>
      <c r="I121" s="1">
        <v>38</v>
      </c>
      <c r="J121" s="1">
        <v>52</v>
      </c>
      <c r="K121" s="1">
        <v>25</v>
      </c>
      <c r="L121" s="1">
        <v>78</v>
      </c>
      <c r="M121" s="1">
        <v>37</v>
      </c>
      <c r="N121" s="1">
        <v>43</v>
      </c>
      <c r="O121" s="1">
        <v>17</v>
      </c>
      <c r="P121" s="14">
        <v>2</v>
      </c>
      <c r="Q121" s="14">
        <v>1</v>
      </c>
      <c r="R121" s="14">
        <v>2</v>
      </c>
      <c r="S121" s="14">
        <v>1</v>
      </c>
      <c r="T121" s="14">
        <v>5</v>
      </c>
      <c r="U121" s="14">
        <v>0</v>
      </c>
      <c r="V121" s="14">
        <v>2</v>
      </c>
      <c r="W121" s="14">
        <v>2</v>
      </c>
      <c r="X121" s="14">
        <v>6</v>
      </c>
      <c r="Y121" s="14">
        <v>0</v>
      </c>
      <c r="Z121" s="14">
        <v>1</v>
      </c>
      <c r="AA121" s="14">
        <v>1</v>
      </c>
      <c r="AB121" s="14">
        <v>8</v>
      </c>
      <c r="AC121" s="14">
        <v>2</v>
      </c>
      <c r="AD121" s="14">
        <v>4</v>
      </c>
      <c r="AE121" s="1">
        <v>1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33</v>
      </c>
      <c r="AL121" s="1">
        <v>43</v>
      </c>
      <c r="AM121" s="1">
        <v>3</v>
      </c>
      <c r="AN121" s="1">
        <v>0</v>
      </c>
      <c r="AO121" s="1">
        <v>0</v>
      </c>
      <c r="AP121" s="1">
        <v>0</v>
      </c>
      <c r="AQ121" s="14">
        <v>11</v>
      </c>
      <c r="AR121" s="14">
        <v>2</v>
      </c>
      <c r="AS121" s="14">
        <v>2</v>
      </c>
      <c r="AT121" s="14">
        <v>21</v>
      </c>
      <c r="AU121" s="14">
        <v>17</v>
      </c>
      <c r="AV121" s="14">
        <v>10</v>
      </c>
      <c r="AW121" s="14">
        <v>14</v>
      </c>
      <c r="AX121" s="14">
        <v>35</v>
      </c>
      <c r="AY121" s="14">
        <v>20</v>
      </c>
      <c r="AZ121" s="14">
        <v>4</v>
      </c>
      <c r="BA121" s="14">
        <v>0</v>
      </c>
      <c r="BB121" s="14">
        <v>69</v>
      </c>
      <c r="BC121" s="14">
        <v>10</v>
      </c>
      <c r="BD121" s="1">
        <v>162</v>
      </c>
      <c r="BE121" s="1">
        <v>244</v>
      </c>
      <c r="BF121" s="1">
        <v>233</v>
      </c>
      <c r="BG121" s="1">
        <v>242</v>
      </c>
      <c r="BH121" s="1">
        <v>141</v>
      </c>
      <c r="BI121" s="1">
        <v>154</v>
      </c>
      <c r="BJ121" s="1">
        <v>41</v>
      </c>
      <c r="BK121" s="1">
        <v>49</v>
      </c>
      <c r="BL121" s="1">
        <v>81</v>
      </c>
      <c r="BM121" s="1"/>
      <c r="BN121" s="1">
        <v>5</v>
      </c>
      <c r="BO121" s="1">
        <v>5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x14ac:dyDescent="0.15">
      <c r="A122" s="1"/>
      <c r="B122" s="3" t="s">
        <v>90</v>
      </c>
      <c r="C122" s="1"/>
      <c r="D122" s="1"/>
      <c r="E122" s="1">
        <f>E121-E120</f>
        <v>-103</v>
      </c>
      <c r="F122" s="1">
        <f>F121-F120</f>
        <v>-28</v>
      </c>
      <c r="G122" s="1">
        <f>G121-G120</f>
        <v>-146</v>
      </c>
      <c r="H122" s="1">
        <f>H121-H120</f>
        <v>-124</v>
      </c>
      <c r="I122" s="1">
        <f>I121-I120</f>
        <v>21</v>
      </c>
      <c r="J122" s="1">
        <f>J121-J120</f>
        <v>12</v>
      </c>
      <c r="K122" s="1">
        <f>K121-K120</f>
        <v>19</v>
      </c>
      <c r="L122" s="1">
        <f>L121-L120</f>
        <v>-4</v>
      </c>
      <c r="M122" s="1">
        <f>M121-M120</f>
        <v>0</v>
      </c>
      <c r="N122" s="1">
        <f>N121-N120</f>
        <v>37</v>
      </c>
      <c r="O122" s="1">
        <f>O121-O120</f>
        <v>-51</v>
      </c>
      <c r="P122" s="1">
        <f>P121-P120</f>
        <v>-128</v>
      </c>
      <c r="Q122" s="1">
        <f>Q121-Q120</f>
        <v>-75</v>
      </c>
      <c r="R122" s="1">
        <f>R121-R120</f>
        <v>-81</v>
      </c>
      <c r="S122" s="1">
        <f>S121-S120</f>
        <v>-129</v>
      </c>
      <c r="T122" s="1">
        <f>T121-T120</f>
        <v>-56</v>
      </c>
      <c r="U122" s="1">
        <f>U121-U120</f>
        <v>-62</v>
      </c>
      <c r="V122" s="1">
        <f>V121-V120</f>
        <v>-133</v>
      </c>
      <c r="W122" s="1">
        <f>W121-W120</f>
        <v>-33</v>
      </c>
      <c r="X122" s="1">
        <f>X121-X120</f>
        <v>-53</v>
      </c>
      <c r="Y122" s="1">
        <f>Y121-Y120</f>
        <v>-125</v>
      </c>
      <c r="Z122" s="1">
        <f>Z121-Z120</f>
        <v>-49</v>
      </c>
      <c r="AA122" s="1">
        <f>AA121-AA120</f>
        <v>-34</v>
      </c>
      <c r="AB122" s="1">
        <f>AB121-AB120</f>
        <v>-132</v>
      </c>
      <c r="AC122" s="1">
        <f>AC121-AC120</f>
        <v>-28</v>
      </c>
      <c r="AD122" s="1">
        <f>AD121-AD120</f>
        <v>-18</v>
      </c>
      <c r="AE122" s="1">
        <f>AE121-AE120</f>
        <v>-249</v>
      </c>
      <c r="AF122" s="1">
        <f>AF121-AF120</f>
        <v>-10</v>
      </c>
      <c r="AG122" s="1">
        <f>AG121-AG120</f>
        <v>-10</v>
      </c>
      <c r="AH122" s="1">
        <f>AH121-AH120</f>
        <v>-30</v>
      </c>
      <c r="AI122" s="1">
        <f>AI121-AI120</f>
        <v>-30</v>
      </c>
      <c r="AJ122" s="1">
        <f>AJ121-AJ120</f>
        <v>-5</v>
      </c>
      <c r="AK122" s="1">
        <f>AK121-AK120</f>
        <v>33</v>
      </c>
      <c r="AL122" s="1">
        <f>AL121-AL120</f>
        <v>43</v>
      </c>
      <c r="AM122" s="1">
        <f>AM121-AM120</f>
        <v>-2</v>
      </c>
      <c r="AN122" s="1">
        <f>AN121-AN120</f>
        <v>-50</v>
      </c>
      <c r="AO122" s="1">
        <f>AO121-AO120</f>
        <v>-33</v>
      </c>
      <c r="AP122" s="1">
        <f>AP121-AP120</f>
        <v>-27</v>
      </c>
      <c r="AQ122" s="1">
        <f>AQ121-AQ120</f>
        <v>-69</v>
      </c>
      <c r="AR122" s="1">
        <f>AR121-AR120</f>
        <v>-103</v>
      </c>
      <c r="AS122" s="1">
        <f>AS121-AS120</f>
        <v>-53</v>
      </c>
      <c r="AT122" s="1">
        <f>AT121-AT120</f>
        <v>-64</v>
      </c>
      <c r="AU122" s="1">
        <f>AU121-AU120</f>
        <v>-38</v>
      </c>
      <c r="AV122" s="1">
        <f>AV121-AV120</f>
        <v>-85</v>
      </c>
      <c r="AW122" s="1">
        <f>AW121-AW120</f>
        <v>-86</v>
      </c>
      <c r="AX122" s="1">
        <f>AX121-AX120</f>
        <v>-25</v>
      </c>
      <c r="AY122" s="1">
        <f>AY121-AY120</f>
        <v>-30</v>
      </c>
      <c r="AZ122" s="1">
        <f>AZ121-AZ120</f>
        <v>-66</v>
      </c>
      <c r="BA122" s="1">
        <f>BA121-BA120</f>
        <v>-170</v>
      </c>
      <c r="BB122" s="1">
        <f>BB121-BB120</f>
        <v>-211</v>
      </c>
      <c r="BC122" s="1">
        <f>BC121-BC120</f>
        <v>0</v>
      </c>
      <c r="BD122" s="1">
        <f>BD121-BD120</f>
        <v>12</v>
      </c>
      <c r="BE122" s="1">
        <f>BE121-BE120</f>
        <v>144</v>
      </c>
      <c r="BF122" s="1">
        <f>BF121-BF120</f>
        <v>133</v>
      </c>
      <c r="BG122" s="1">
        <f>BG121-BG120</f>
        <v>142</v>
      </c>
      <c r="BH122" s="1">
        <f>BH121-BH120</f>
        <v>51</v>
      </c>
      <c r="BI122" s="1">
        <f>BI121-BI120</f>
        <v>84</v>
      </c>
      <c r="BJ122" s="1">
        <f>BJ121-BJ120</f>
        <v>-159</v>
      </c>
      <c r="BK122" s="1">
        <f>BK121-BK120</f>
        <v>-151</v>
      </c>
      <c r="BL122" s="1">
        <f>BL121-BL120</f>
        <v>-69</v>
      </c>
      <c r="BM122" s="1">
        <f>BM121-BM120</f>
        <v>-150</v>
      </c>
      <c r="BN122" s="1">
        <f>BN121-BN120</f>
        <v>-345</v>
      </c>
      <c r="BO122" s="1">
        <f>BO121-BO120</f>
        <v>-345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  <row r="123" spans="1:97" x14ac:dyDescent="0.15">
      <c r="A123" s="1"/>
      <c r="B123" s="3" t="s">
        <v>178</v>
      </c>
      <c r="C123" s="1"/>
      <c r="D123" s="1"/>
      <c r="E123" s="1">
        <f>MAX(E3:E119)</f>
        <v>15</v>
      </c>
      <c r="F123" s="1">
        <f>MAX(F3:F119)</f>
        <v>15</v>
      </c>
      <c r="G123" s="1">
        <f>MAX(G3:G119)</f>
        <v>20</v>
      </c>
      <c r="H123" s="1">
        <f>MAX(H3:H119)</f>
        <v>20</v>
      </c>
      <c r="I123" s="1">
        <f>MAX(I3:I119)</f>
        <v>10</v>
      </c>
      <c r="J123" s="1">
        <f>MAX(J3:J119)</f>
        <v>10</v>
      </c>
      <c r="K123" s="1">
        <f>MAX(K3:K119)</f>
        <v>6</v>
      </c>
      <c r="L123" s="1">
        <f>MAX(L3:L119)</f>
        <v>20</v>
      </c>
      <c r="M123" s="1">
        <f>MAX(M3:M119)</f>
        <v>15</v>
      </c>
      <c r="N123" s="1">
        <f>MAX(N3:N119)</f>
        <v>6</v>
      </c>
      <c r="O123" s="1">
        <f>MAX(O3:O119)</f>
        <v>20</v>
      </c>
      <c r="P123" s="1">
        <f>MAX(P3:P119)</f>
        <v>10</v>
      </c>
      <c r="Q123" s="1">
        <f>MAX(Q3:Q119)</f>
        <v>7</v>
      </c>
      <c r="R123" s="1">
        <f>MAX(R3:R119)</f>
        <v>10</v>
      </c>
      <c r="S123" s="1">
        <f>MAX(S3:S119)</f>
        <v>10</v>
      </c>
      <c r="T123" s="1">
        <f>MAX(T3:T119)</f>
        <v>7</v>
      </c>
      <c r="U123" s="1">
        <f>MAX(U3:U119)</f>
        <v>10</v>
      </c>
      <c r="V123" s="1">
        <f>MAX(V3:V119)</f>
        <v>10</v>
      </c>
      <c r="W123" s="1">
        <f>MAX(W3:W119)</f>
        <v>5</v>
      </c>
      <c r="X123" s="1">
        <f>MAX(X3:X119)</f>
        <v>10</v>
      </c>
      <c r="Y123" s="1">
        <f>MAX(Y3:Y119)</f>
        <v>10</v>
      </c>
      <c r="Z123" s="1">
        <f>MAX(Z3:Z119)</f>
        <v>5</v>
      </c>
      <c r="AA123" s="1">
        <f>MAX(AA3:AA119)</f>
        <v>10</v>
      </c>
      <c r="AB123" s="1">
        <f>MAX(AB3:AB119)</f>
        <v>10</v>
      </c>
      <c r="AC123" s="1">
        <f>MAX(AC3:AC119)</f>
        <v>5</v>
      </c>
      <c r="AD123" s="1">
        <f>MAX(AD3:AD119)</f>
        <v>10</v>
      </c>
      <c r="AE123" s="1">
        <f>MAX(AE3:AE119)</f>
        <v>200</v>
      </c>
      <c r="AF123" s="1">
        <f>MAX(AF3:AF119)</f>
        <v>5</v>
      </c>
      <c r="AG123" s="1">
        <f>MAX(AG3:AG119)</f>
        <v>5</v>
      </c>
      <c r="AH123" s="1">
        <f>MAX(AH3:AH119)</f>
        <v>5</v>
      </c>
      <c r="AI123" s="1">
        <f>MAX(AI3:AI119)</f>
        <v>5</v>
      </c>
      <c r="AJ123" s="1">
        <f>MAX(AJ3:AJ119)</f>
        <v>5</v>
      </c>
      <c r="AK123" s="1">
        <f>MAX(AK3:AK119)</f>
        <v>0</v>
      </c>
      <c r="AL123" s="1">
        <f>MAX(AL3:AL119)</f>
        <v>0</v>
      </c>
      <c r="AM123" s="1">
        <f>MAX(AM3:AM119)</f>
        <v>5</v>
      </c>
      <c r="AN123" s="1">
        <f>MAX(AN3:AN119)</f>
        <v>25</v>
      </c>
      <c r="AO123" s="1">
        <f>MAX(AO3:AO119)</f>
        <v>10</v>
      </c>
      <c r="AP123" s="1">
        <f>MAX(AP3:AP119)</f>
        <v>10</v>
      </c>
      <c r="AQ123" s="1">
        <f>MAX(AQ3:AQ119)</f>
        <v>15</v>
      </c>
      <c r="AR123" s="1">
        <f>MAX(AR3:AR119)</f>
        <v>15</v>
      </c>
      <c r="AS123" s="1">
        <f>MAX(AS3:AS119)</f>
        <v>15</v>
      </c>
      <c r="AT123" s="1">
        <f>MAX(AT3:AT119)</f>
        <v>20</v>
      </c>
      <c r="AU123" s="1">
        <f>MAX(AU3:AU119)</f>
        <v>15</v>
      </c>
      <c r="AV123" s="1">
        <f>MAX(AV3:AV119)</f>
        <v>40</v>
      </c>
      <c r="AW123" s="1">
        <f>MAX(AW3:AW119)</f>
        <v>40</v>
      </c>
      <c r="AX123" s="1">
        <f>MAX(AX3:AX119)</f>
        <v>20</v>
      </c>
      <c r="AY123" s="1">
        <f>MAX(AY3:AY119)</f>
        <v>15</v>
      </c>
      <c r="AZ123" s="1">
        <f>MAX(AZ3:AZ119)</f>
        <v>15</v>
      </c>
      <c r="BA123" s="1">
        <f>MAX(BA3:BA119)</f>
        <v>20</v>
      </c>
      <c r="BB123" s="1">
        <f>MAX(BB3:BB119)</f>
        <v>40</v>
      </c>
      <c r="BC123" s="1">
        <f>MAX(BC3:BC119)</f>
        <v>10</v>
      </c>
      <c r="BD123" s="1">
        <f>MAX(BD3:BD119)</f>
        <v>50</v>
      </c>
      <c r="BE123" s="1">
        <f>MAX(BE3:BE119)</f>
        <v>20</v>
      </c>
      <c r="BF123" s="1">
        <f>MAX(BF3:BF119)</f>
        <v>20</v>
      </c>
      <c r="BG123" s="1">
        <f>MAX(BG3:BG119)</f>
        <v>20</v>
      </c>
      <c r="BH123" s="1">
        <f>MAX(BH3:BH119)</f>
        <v>20</v>
      </c>
      <c r="BI123" s="1">
        <f>MAX(BI3:BI119)</f>
        <v>20</v>
      </c>
      <c r="BJ123" s="1">
        <f>MAX(BJ3:BJ119)</f>
        <v>50</v>
      </c>
      <c r="BK123" s="1">
        <f>MAX(BK3:BK119)</f>
        <v>50</v>
      </c>
      <c r="BL123" s="1">
        <f>MAX(BL3:BL119)</f>
        <v>50</v>
      </c>
      <c r="BM123" s="1">
        <f>MAX(BM3:BM119)</f>
        <v>50</v>
      </c>
      <c r="BN123" s="1">
        <f>MAX(BN3:BN119)</f>
        <v>50</v>
      </c>
      <c r="BO123" s="1">
        <f>MAX(BO3:BO119)</f>
        <v>50</v>
      </c>
      <c r="BP123" s="1"/>
      <c r="BQ123" s="1"/>
      <c r="BR123" s="17"/>
      <c r="BS123" s="17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</row>
    <row r="124" spans="1:97" x14ac:dyDescent="0.15">
      <c r="A124" s="1"/>
      <c r="B124" s="3" t="s">
        <v>179</v>
      </c>
      <c r="C124" s="1"/>
      <c r="D124" s="1"/>
      <c r="E124" s="1">
        <f>MIN(E3:E119)</f>
        <v>6</v>
      </c>
      <c r="F124" s="1">
        <f>MIN(F3:F119)</f>
        <v>5</v>
      </c>
      <c r="G124" s="1">
        <f>MIN(G3:G119)</f>
        <v>5</v>
      </c>
      <c r="H124" s="1">
        <f>MIN(H3:H119)</f>
        <v>5</v>
      </c>
      <c r="I124" s="1">
        <f>MIN(I3:I119)</f>
        <v>7</v>
      </c>
      <c r="J124" s="1">
        <f>MIN(J3:J119)</f>
        <v>10</v>
      </c>
      <c r="K124" s="1">
        <f>MIN(K3:K119)</f>
        <v>6</v>
      </c>
      <c r="L124" s="1">
        <f>MIN(L3:L119)</f>
        <v>6</v>
      </c>
      <c r="M124" s="1">
        <f>MIN(M3:M119)</f>
        <v>6</v>
      </c>
      <c r="N124" s="1">
        <f>MIN(N3:N119)</f>
        <v>6</v>
      </c>
      <c r="O124" s="1">
        <f>MIN(O3:O119)</f>
        <v>5</v>
      </c>
      <c r="P124" s="1">
        <f>MIN(P3:P119)</f>
        <v>10</v>
      </c>
      <c r="Q124" s="1">
        <f>MIN(Q3:Q119)</f>
        <v>5</v>
      </c>
      <c r="R124" s="1">
        <f>MIN(R3:R119)</f>
        <v>2</v>
      </c>
      <c r="S124" s="1">
        <f>MIN(S3:S119)</f>
        <v>10</v>
      </c>
      <c r="T124" s="1">
        <f>MIN(T3:T119)</f>
        <v>5</v>
      </c>
      <c r="U124" s="1">
        <f>MIN(U3:U119)</f>
        <v>2</v>
      </c>
      <c r="V124" s="1">
        <f>MIN(V3:V119)</f>
        <v>5</v>
      </c>
      <c r="W124" s="1">
        <f>MIN(W3:W119)</f>
        <v>5</v>
      </c>
      <c r="X124" s="1">
        <f>MIN(X3:X119)</f>
        <v>2</v>
      </c>
      <c r="Y124" s="1">
        <f>MIN(Y3:Y119)</f>
        <v>5</v>
      </c>
      <c r="Z124" s="1">
        <f>MIN(Z3:Z119)</f>
        <v>5</v>
      </c>
      <c r="AA124" s="1">
        <f>MIN(AA3:AA119)</f>
        <v>2</v>
      </c>
      <c r="AB124" s="1">
        <f>MIN(AB3:AB119)</f>
        <v>10</v>
      </c>
      <c r="AC124" s="1">
        <f>MIN(AC3:AC119)</f>
        <v>5</v>
      </c>
      <c r="AD124" s="1">
        <f>MIN(AD3:AD119)</f>
        <v>2</v>
      </c>
      <c r="AE124" s="1">
        <f>MIN(AE3:AE119)</f>
        <v>50</v>
      </c>
      <c r="AF124" s="1">
        <f>MIN(AF3:AF119)</f>
        <v>5</v>
      </c>
      <c r="AG124" s="1">
        <f>MIN(AG3:AG119)</f>
        <v>5</v>
      </c>
      <c r="AH124" s="1">
        <f>MIN(AH3:AH119)</f>
        <v>5</v>
      </c>
      <c r="AI124" s="1">
        <f>MIN(AI3:AI119)</f>
        <v>5</v>
      </c>
      <c r="AJ124" s="1">
        <f>MIN(AJ3:AJ119)</f>
        <v>5</v>
      </c>
      <c r="AK124" s="1">
        <f>MIN(AK3:AK119)</f>
        <v>0</v>
      </c>
      <c r="AL124" s="1">
        <f>MIN(AL3:AL119)</f>
        <v>0</v>
      </c>
      <c r="AM124" s="1">
        <f>MIN(AM3:AM119)</f>
        <v>5</v>
      </c>
      <c r="AN124" s="1">
        <f>MIN(AN3:AN119)</f>
        <v>5</v>
      </c>
      <c r="AO124" s="1">
        <f>MIN(AO3:AO119)</f>
        <v>2</v>
      </c>
      <c r="AP124" s="1">
        <f>MIN(AP3:AP119)</f>
        <v>1</v>
      </c>
      <c r="AQ124" s="1">
        <f>MIN(AQ3:AQ119)</f>
        <v>10</v>
      </c>
      <c r="AR124" s="1">
        <f>MIN(AR3:AR119)</f>
        <v>10</v>
      </c>
      <c r="AS124" s="1">
        <f>MIN(AS3:AS119)</f>
        <v>5</v>
      </c>
      <c r="AT124" s="1">
        <f>MIN(AT3:AT119)</f>
        <v>10</v>
      </c>
      <c r="AU124" s="1">
        <f>MIN(AU3:AU119)</f>
        <v>10</v>
      </c>
      <c r="AV124" s="1">
        <f>MIN(AV3:AV119)</f>
        <v>10</v>
      </c>
      <c r="AW124" s="1">
        <f>MIN(AW3:AW119)</f>
        <v>10</v>
      </c>
      <c r="AX124" s="1">
        <f>MIN(AX3:AX119)</f>
        <v>5</v>
      </c>
      <c r="AY124" s="1">
        <f>MIN(AY3:AY119)</f>
        <v>10</v>
      </c>
      <c r="AZ124" s="1">
        <f>MIN(AZ3:AZ119)</f>
        <v>10</v>
      </c>
      <c r="BA124" s="1">
        <f>MIN(BA3:BA119)</f>
        <v>5</v>
      </c>
      <c r="BB124" s="1">
        <f>MIN(BB3:BB119)</f>
        <v>5</v>
      </c>
      <c r="BC124" s="1">
        <f>MIN(BC3:BC119)</f>
        <v>10</v>
      </c>
      <c r="BD124" s="1">
        <f>MIN(BD3:BD119)</f>
        <v>20</v>
      </c>
      <c r="BE124" s="1">
        <f>MIN(BE3:BE119)</f>
        <v>20</v>
      </c>
      <c r="BF124" s="1">
        <f>MIN(BF3:BF119)</f>
        <v>20</v>
      </c>
      <c r="BG124" s="1">
        <f>MIN(BG3:BG119)</f>
        <v>20</v>
      </c>
      <c r="BH124" s="1">
        <f>MIN(BH3:BH119)</f>
        <v>15</v>
      </c>
      <c r="BI124" s="1">
        <f>MIN(BI3:BI119)</f>
        <v>15</v>
      </c>
      <c r="BJ124" s="1">
        <f>MIN(BJ3:BJ119)</f>
        <v>50</v>
      </c>
      <c r="BK124" s="1">
        <f>MIN(BK3:BK119)</f>
        <v>50</v>
      </c>
      <c r="BL124" s="1">
        <f>MIN(BL3:BL119)</f>
        <v>50</v>
      </c>
      <c r="BM124" s="1">
        <f>MIN(BM3:BM119)</f>
        <v>50</v>
      </c>
      <c r="BN124" s="1">
        <f>MIN(BN3:BN119)</f>
        <v>50</v>
      </c>
      <c r="BO124" s="1">
        <f>MIN(BO3:BO119)</f>
        <v>50</v>
      </c>
      <c r="BP124" s="1"/>
      <c r="BQ124" s="1"/>
      <c r="BR124" s="17"/>
      <c r="BS124" s="17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</row>
    <row r="125" spans="1:97" x14ac:dyDescent="0.15">
      <c r="A125" s="1"/>
      <c r="B125" s="3" t="s">
        <v>180</v>
      </c>
      <c r="C125" s="1"/>
      <c r="D125" s="1"/>
      <c r="E125" s="1">
        <f>E121-E123</f>
        <v>30</v>
      </c>
      <c r="F125" s="1">
        <f>F121-F123</f>
        <v>5</v>
      </c>
      <c r="G125" s="1">
        <f>G121-G123</f>
        <v>14</v>
      </c>
      <c r="H125" s="1">
        <f>H121-H123</f>
        <v>-10</v>
      </c>
      <c r="I125" s="1">
        <f>I121-I123</f>
        <v>28</v>
      </c>
      <c r="J125" s="1">
        <f>J121-J123</f>
        <v>42</v>
      </c>
      <c r="K125" s="1">
        <f>K121-K123</f>
        <v>19</v>
      </c>
      <c r="L125" s="1">
        <f>L121-L123</f>
        <v>58</v>
      </c>
      <c r="M125" s="1">
        <f>M121-M123</f>
        <v>22</v>
      </c>
      <c r="N125" s="1">
        <f>N121-N123</f>
        <v>37</v>
      </c>
      <c r="O125" s="1">
        <f>O121-O123</f>
        <v>-3</v>
      </c>
      <c r="P125" s="1">
        <f>P121-P123</f>
        <v>-8</v>
      </c>
      <c r="Q125" s="1">
        <f>Q121-Q123</f>
        <v>-6</v>
      </c>
      <c r="R125" s="1">
        <f>R121-R123</f>
        <v>-8</v>
      </c>
      <c r="S125" s="1">
        <f>S121-S123</f>
        <v>-9</v>
      </c>
      <c r="T125" s="1">
        <f>T121-T123</f>
        <v>-2</v>
      </c>
      <c r="U125" s="1">
        <f>U121-U123</f>
        <v>-10</v>
      </c>
      <c r="V125" s="1">
        <f>V121-V123</f>
        <v>-8</v>
      </c>
      <c r="W125" s="1">
        <f>W121-W123</f>
        <v>-3</v>
      </c>
      <c r="X125" s="1">
        <f>X121-X123</f>
        <v>-4</v>
      </c>
      <c r="Y125" s="1">
        <f>Y121-Y123</f>
        <v>-10</v>
      </c>
      <c r="Z125" s="1">
        <f>Z121-Z123</f>
        <v>-4</v>
      </c>
      <c r="AA125" s="1">
        <f>AA121-AA123</f>
        <v>-9</v>
      </c>
      <c r="AB125" s="1">
        <f>AB121-AB123</f>
        <v>-2</v>
      </c>
      <c r="AC125" s="1">
        <f>AC121-AC123</f>
        <v>-3</v>
      </c>
      <c r="AD125" s="1">
        <f>AD121-AD123</f>
        <v>-6</v>
      </c>
      <c r="AE125" s="1">
        <f>AE121-AE123</f>
        <v>-199</v>
      </c>
      <c r="AF125" s="1">
        <f>AF121-AF123</f>
        <v>-5</v>
      </c>
      <c r="AG125" s="1">
        <f>AG121-AG123</f>
        <v>-5</v>
      </c>
      <c r="AH125" s="1">
        <f>AH121-AH123</f>
        <v>-5</v>
      </c>
      <c r="AI125" s="1">
        <f>AI121-AI123</f>
        <v>-5</v>
      </c>
      <c r="AJ125" s="1">
        <f>AJ121-AJ123</f>
        <v>-5</v>
      </c>
      <c r="AK125" s="1">
        <f>AK121-AK123</f>
        <v>33</v>
      </c>
      <c r="AL125" s="1">
        <f>AL121-AL123</f>
        <v>43</v>
      </c>
      <c r="AM125" s="1">
        <f>AM121-AM123</f>
        <v>-2</v>
      </c>
      <c r="AN125" s="1">
        <f>AN121-AN123</f>
        <v>-25</v>
      </c>
      <c r="AO125" s="1">
        <f>AO121-AO123</f>
        <v>-10</v>
      </c>
      <c r="AP125" s="1">
        <f>AP121-AP123</f>
        <v>-10</v>
      </c>
      <c r="AQ125" s="1">
        <f>AQ121-AQ123</f>
        <v>-4</v>
      </c>
      <c r="AR125" s="1">
        <f>AR121-AR123</f>
        <v>-13</v>
      </c>
      <c r="AS125" s="1">
        <f>AS121-AS123</f>
        <v>-13</v>
      </c>
      <c r="AT125" s="1">
        <f>AT121-AT123</f>
        <v>1</v>
      </c>
      <c r="AU125" s="1">
        <f>AU121-AU123</f>
        <v>2</v>
      </c>
      <c r="AV125" s="1">
        <f>AV121-AV123</f>
        <v>-30</v>
      </c>
      <c r="AW125" s="1">
        <f>AW121-AW123</f>
        <v>-26</v>
      </c>
      <c r="AX125" s="1">
        <f>AX121-AX123</f>
        <v>15</v>
      </c>
      <c r="AY125" s="1">
        <f>AY121-AY123</f>
        <v>5</v>
      </c>
      <c r="AZ125" s="1">
        <f>AZ121-AZ123</f>
        <v>-11</v>
      </c>
      <c r="BA125" s="1">
        <f>BA121-BA123</f>
        <v>-20</v>
      </c>
      <c r="BB125" s="1">
        <f>BB121-BB123</f>
        <v>29</v>
      </c>
      <c r="BC125" s="1">
        <f>BC121-BC123</f>
        <v>0</v>
      </c>
      <c r="BD125" s="1">
        <f>BD121-BD123</f>
        <v>112</v>
      </c>
      <c r="BE125" s="1">
        <f>BE121-BE123</f>
        <v>224</v>
      </c>
      <c r="BF125" s="1">
        <f>BF121-BF123</f>
        <v>213</v>
      </c>
      <c r="BG125" s="1">
        <f>BG121-BG123</f>
        <v>222</v>
      </c>
      <c r="BH125" s="1">
        <f>BH121-BH123</f>
        <v>121</v>
      </c>
      <c r="BI125" s="1">
        <f>BI121-BI123</f>
        <v>134</v>
      </c>
      <c r="BJ125" s="1">
        <f>BJ121-BJ123</f>
        <v>-9</v>
      </c>
      <c r="BK125" s="1">
        <f>BK121-BK123</f>
        <v>-1</v>
      </c>
      <c r="BL125" s="1">
        <f>BL121-BL123</f>
        <v>31</v>
      </c>
      <c r="BM125" s="1">
        <f>BM121-BM123</f>
        <v>-50</v>
      </c>
      <c r="BN125" s="1">
        <f>BN121-BN123</f>
        <v>-45</v>
      </c>
      <c r="BO125" s="1">
        <f>BO121-BO123</f>
        <v>-45</v>
      </c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s="13" customFormat="1" x14ac:dyDescent="0.15">
      <c r="A126" s="1"/>
      <c r="B126" s="3" t="s">
        <v>181</v>
      </c>
      <c r="C126" s="1"/>
      <c r="D126" s="1"/>
      <c r="E126" s="1">
        <f>E121-E124</f>
        <v>39</v>
      </c>
      <c r="F126" s="1">
        <f>F121-F124</f>
        <v>15</v>
      </c>
      <c r="G126" s="1">
        <f>G121-G124</f>
        <v>29</v>
      </c>
      <c r="H126" s="1">
        <f>H121-H124</f>
        <v>5</v>
      </c>
      <c r="I126" s="1">
        <f>I121-I124</f>
        <v>31</v>
      </c>
      <c r="J126" s="1">
        <f>J121-J124</f>
        <v>42</v>
      </c>
      <c r="K126" s="1">
        <f>K121-K124</f>
        <v>19</v>
      </c>
      <c r="L126" s="1">
        <f>L121-L124</f>
        <v>72</v>
      </c>
      <c r="M126" s="1">
        <f>M121-M124</f>
        <v>31</v>
      </c>
      <c r="N126" s="1">
        <f>N121-N124</f>
        <v>37</v>
      </c>
      <c r="O126" s="1">
        <f>O121-O124</f>
        <v>12</v>
      </c>
      <c r="P126" s="1">
        <f>P121-P124</f>
        <v>-8</v>
      </c>
      <c r="Q126" s="1">
        <f>Q121-Q124</f>
        <v>-4</v>
      </c>
      <c r="R126" s="1">
        <f>R121-R124</f>
        <v>0</v>
      </c>
      <c r="S126" s="1">
        <f>S121-S124</f>
        <v>-9</v>
      </c>
      <c r="T126" s="1">
        <f>T121-T124</f>
        <v>0</v>
      </c>
      <c r="U126" s="1">
        <f>U121-U124</f>
        <v>-2</v>
      </c>
      <c r="V126" s="1">
        <f>V121-V124</f>
        <v>-3</v>
      </c>
      <c r="W126" s="1">
        <f>W121-W124</f>
        <v>-3</v>
      </c>
      <c r="X126" s="1">
        <f>X121-X124</f>
        <v>4</v>
      </c>
      <c r="Y126" s="1">
        <f>Y121-Y124</f>
        <v>-5</v>
      </c>
      <c r="Z126" s="1">
        <f>Z121-Z124</f>
        <v>-4</v>
      </c>
      <c r="AA126" s="1">
        <f>AA121-AA124</f>
        <v>-1</v>
      </c>
      <c r="AB126" s="1">
        <f>AB121-AB124</f>
        <v>-2</v>
      </c>
      <c r="AC126" s="1">
        <f>AC121-AC124</f>
        <v>-3</v>
      </c>
      <c r="AD126" s="1">
        <f>AD121-AD124</f>
        <v>2</v>
      </c>
      <c r="AE126" s="1">
        <f>AE121-AE124</f>
        <v>-49</v>
      </c>
      <c r="AF126" s="1">
        <f>AF121-AF124</f>
        <v>-5</v>
      </c>
      <c r="AG126" s="1">
        <f>AG121-AG124</f>
        <v>-5</v>
      </c>
      <c r="AH126" s="1">
        <f>AH121-AH124</f>
        <v>-5</v>
      </c>
      <c r="AI126" s="1">
        <f>AI121-AI124</f>
        <v>-5</v>
      </c>
      <c r="AJ126" s="1">
        <f>AJ121-AJ124</f>
        <v>-5</v>
      </c>
      <c r="AK126" s="1">
        <f>AK121-AK124</f>
        <v>33</v>
      </c>
      <c r="AL126" s="1">
        <f>AL121-AL124</f>
        <v>43</v>
      </c>
      <c r="AM126" s="1">
        <f>AM121-AM124</f>
        <v>-2</v>
      </c>
      <c r="AN126" s="1">
        <f>AN121-AN124</f>
        <v>-5</v>
      </c>
      <c r="AO126" s="1">
        <f>AO121-AO124</f>
        <v>-2</v>
      </c>
      <c r="AP126" s="1">
        <f>AP121-AP124</f>
        <v>-1</v>
      </c>
      <c r="AQ126" s="1">
        <f>AQ121-AQ124</f>
        <v>1</v>
      </c>
      <c r="AR126" s="1">
        <f>AR121-AR124</f>
        <v>-8</v>
      </c>
      <c r="AS126" s="1">
        <f>AS121-AS124</f>
        <v>-3</v>
      </c>
      <c r="AT126" s="1">
        <f>AT121-AT124</f>
        <v>11</v>
      </c>
      <c r="AU126" s="1">
        <f>AU121-AU124</f>
        <v>7</v>
      </c>
      <c r="AV126" s="1">
        <f>AV121-AV124</f>
        <v>0</v>
      </c>
      <c r="AW126" s="1">
        <f>AW121-AW124</f>
        <v>4</v>
      </c>
      <c r="AX126" s="1">
        <f>AX121-AX124</f>
        <v>30</v>
      </c>
      <c r="AY126" s="1">
        <f>AY121-AY124</f>
        <v>10</v>
      </c>
      <c r="AZ126" s="1">
        <f>AZ121-AZ124</f>
        <v>-6</v>
      </c>
      <c r="BA126" s="1">
        <f>BA121-BA124</f>
        <v>-5</v>
      </c>
      <c r="BB126" s="1">
        <f>BB121-BB124</f>
        <v>64</v>
      </c>
      <c r="BC126" s="1">
        <f>BC121-BC124</f>
        <v>0</v>
      </c>
      <c r="BD126" s="1">
        <f>BD121-BD124</f>
        <v>142</v>
      </c>
      <c r="BE126" s="1">
        <f>BE121-BE124</f>
        <v>224</v>
      </c>
      <c r="BF126" s="1">
        <f>BF121-BF124</f>
        <v>213</v>
      </c>
      <c r="BG126" s="1">
        <f>BG121-BG124</f>
        <v>222</v>
      </c>
      <c r="BH126" s="1">
        <f>BH121-BH124</f>
        <v>126</v>
      </c>
      <c r="BI126" s="1">
        <f>BI121-BI124</f>
        <v>139</v>
      </c>
      <c r="BJ126" s="1">
        <f>BJ121-BJ124</f>
        <v>-9</v>
      </c>
      <c r="BK126" s="1">
        <f>BK121-BK124</f>
        <v>-1</v>
      </c>
      <c r="BL126" s="1">
        <f>BL121-BL124</f>
        <v>31</v>
      </c>
      <c r="BM126" s="1">
        <f>BM121-BM124</f>
        <v>-50</v>
      </c>
      <c r="BN126" s="1">
        <f>BN121-BN124</f>
        <v>-45</v>
      </c>
      <c r="BO126" s="1">
        <f>BO121-BO124</f>
        <v>-45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</sheetData>
  <autoFilter ref="A1:BP119"/>
  <sortState ref="A2:CS126">
    <sortCondition ref="BR2:BR126"/>
    <sortCondition ref="BQ2:BQ126"/>
  </sortState>
  <phoneticPr fontId="1" type="noConversion"/>
  <conditionalFormatting sqref="E13">
    <cfRule type="cellIs" dxfId="7" priority="14" operator="greaterThan">
      <formula>$E$120</formula>
    </cfRule>
  </conditionalFormatting>
  <conditionalFormatting sqref="E123">
    <cfRule type="expression" dxfId="6" priority="10">
      <formula>"&lt;=$E$135"</formula>
    </cfRule>
  </conditionalFormatting>
  <conditionalFormatting sqref="E125:BO126">
    <cfRule type="cellIs" dxfId="5" priority="1" operator="lessThan">
      <formula>0</formula>
    </cfRule>
  </conditionalFormatting>
  <conditionalFormatting sqref="E122:BO122">
    <cfRule type="cellIs" dxfId="4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126</xdr:row>
                    <xdr:rowOff>28575</xdr:rowOff>
                  </from>
                  <to>
                    <xdr:col>1</xdr:col>
                    <xdr:colOff>428625</xdr:colOff>
                    <xdr:row>127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5"/>
  <sheetViews>
    <sheetView tabSelected="1" workbookViewId="0">
      <pane xSplit="2" ySplit="1" topLeftCell="AQ2" activePane="bottomRight" state="frozen"/>
      <selection pane="topRight" activeCell="C1" sqref="C1"/>
      <selection pane="bottomLeft" activeCell="A3" sqref="A3"/>
      <selection pane="bottomRight" activeCell="H11" sqref="H1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76</v>
      </c>
      <c r="B1" s="8" t="s">
        <v>77</v>
      </c>
      <c r="C1" s="8" t="s">
        <v>79</v>
      </c>
      <c r="D1" s="8" t="s">
        <v>78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74</v>
      </c>
      <c r="K1" s="9" t="s">
        <v>26</v>
      </c>
      <c r="L1" s="9" t="s">
        <v>46</v>
      </c>
      <c r="M1" s="9" t="s">
        <v>48</v>
      </c>
      <c r="N1" s="9" t="s">
        <v>53</v>
      </c>
      <c r="O1" s="9" t="s">
        <v>47</v>
      </c>
      <c r="P1" s="27" t="s">
        <v>114</v>
      </c>
      <c r="Q1" s="27" t="s">
        <v>126</v>
      </c>
      <c r="R1" s="27" t="s">
        <v>120</v>
      </c>
      <c r="S1" s="27" t="s">
        <v>115</v>
      </c>
      <c r="T1" s="27" t="s">
        <v>124</v>
      </c>
      <c r="U1" s="27" t="s">
        <v>130</v>
      </c>
      <c r="V1" s="27" t="s">
        <v>116</v>
      </c>
      <c r="W1" s="27" t="s">
        <v>123</v>
      </c>
      <c r="X1" s="27" t="s">
        <v>121</v>
      </c>
      <c r="Y1" s="27" t="s">
        <v>117</v>
      </c>
      <c r="Z1" s="27" t="s">
        <v>125</v>
      </c>
      <c r="AA1" s="27" t="s">
        <v>132</v>
      </c>
      <c r="AB1" s="27" t="s">
        <v>119</v>
      </c>
      <c r="AC1" s="27" t="s">
        <v>118</v>
      </c>
      <c r="AD1" s="27" t="s">
        <v>143</v>
      </c>
      <c r="AE1" s="8" t="s">
        <v>9</v>
      </c>
      <c r="AF1" s="8" t="s">
        <v>32</v>
      </c>
      <c r="AG1" s="8" t="s">
        <v>33</v>
      </c>
      <c r="AH1" s="8" t="s">
        <v>64</v>
      </c>
      <c r="AI1" s="8" t="s">
        <v>65</v>
      </c>
      <c r="AJ1" s="8" t="s">
        <v>67</v>
      </c>
      <c r="AK1" s="8" t="s">
        <v>68</v>
      </c>
      <c r="AL1" s="8" t="s">
        <v>70</v>
      </c>
      <c r="AM1" s="8" t="s">
        <v>54</v>
      </c>
      <c r="AN1" s="8" t="s">
        <v>56</v>
      </c>
      <c r="AO1" s="8" t="s">
        <v>102</v>
      </c>
      <c r="AP1" s="8" t="s">
        <v>103</v>
      </c>
      <c r="AQ1" s="10" t="s">
        <v>43</v>
      </c>
      <c r="AR1" s="10" t="s">
        <v>5</v>
      </c>
      <c r="AS1" s="10" t="s">
        <v>30</v>
      </c>
      <c r="AT1" s="10" t="s">
        <v>58</v>
      </c>
      <c r="AU1" s="10" t="s">
        <v>62</v>
      </c>
      <c r="AV1" s="10" t="s">
        <v>52</v>
      </c>
      <c r="AW1" s="11" t="s">
        <v>6</v>
      </c>
      <c r="AX1" s="11" t="s">
        <v>7</v>
      </c>
      <c r="AY1" s="11" t="s">
        <v>44</v>
      </c>
      <c r="AZ1" s="11" t="s">
        <v>8</v>
      </c>
      <c r="BA1" s="11" t="s">
        <v>51</v>
      </c>
      <c r="BB1" s="11" t="s">
        <v>13</v>
      </c>
      <c r="BC1" s="25" t="s">
        <v>99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63</v>
      </c>
      <c r="BQ1" s="8" t="s">
        <v>85</v>
      </c>
      <c r="BR1" s="16" t="s">
        <v>86</v>
      </c>
      <c r="BS1" s="16"/>
      <c r="BT1" s="10" t="s">
        <v>43</v>
      </c>
      <c r="BU1" s="10" t="s">
        <v>5</v>
      </c>
      <c r="BV1" s="10" t="s">
        <v>30</v>
      </c>
      <c r="BW1" s="10" t="s">
        <v>58</v>
      </c>
      <c r="BX1" s="10" t="s">
        <v>62</v>
      </c>
      <c r="BY1" s="10" t="s">
        <v>52</v>
      </c>
      <c r="BZ1" s="11" t="s">
        <v>6</v>
      </c>
      <c r="CA1" s="11" t="s">
        <v>7</v>
      </c>
      <c r="CB1" s="11" t="s">
        <v>44</v>
      </c>
      <c r="CC1" s="11" t="s">
        <v>8</v>
      </c>
      <c r="CD1" s="11" t="s">
        <v>51</v>
      </c>
      <c r="CE1" s="11" t="s">
        <v>13</v>
      </c>
      <c r="CF1" s="8"/>
      <c r="CG1" s="10" t="s">
        <v>43</v>
      </c>
      <c r="CH1" s="10" t="s">
        <v>5</v>
      </c>
      <c r="CI1" s="10" t="s">
        <v>30</v>
      </c>
      <c r="CJ1" s="10" t="s">
        <v>58</v>
      </c>
      <c r="CK1" s="10" t="s">
        <v>62</v>
      </c>
      <c r="CL1" s="10" t="s">
        <v>52</v>
      </c>
      <c r="CM1" s="11" t="s">
        <v>6</v>
      </c>
      <c r="CN1" s="11" t="s">
        <v>7</v>
      </c>
      <c r="CO1" s="11" t="s">
        <v>44</v>
      </c>
      <c r="CP1" s="11" t="s">
        <v>8</v>
      </c>
      <c r="CQ1" s="11" t="s">
        <v>51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IF(AQ2&gt;AQ$9, AQ2-AQ$9,"")</f>
        <v/>
      </c>
      <c r="BU2" s="40" t="str">
        <f>IF(AR2&gt;AR$9, AR2-AR$9,"")</f>
        <v/>
      </c>
      <c r="BV2" s="40" t="str">
        <f>IF(AS2&gt;AS$9, AS2-AS$9,"")</f>
        <v/>
      </c>
      <c r="BW2" s="40" t="str">
        <f>IF(AT2&gt;AT$9, AT2-AT$9,"")</f>
        <v/>
      </c>
      <c r="BX2" s="40" t="str">
        <f>IF(AU2&gt;AU$9, AU2-AU$9,"")</f>
        <v/>
      </c>
      <c r="BY2" s="40" t="str">
        <f>IF(AV2&gt;AV$9, AV2-AV$9,"")</f>
        <v/>
      </c>
      <c r="BZ2" s="40" t="str">
        <f>IF(AW2&gt;AW$9, AW2-AW$9,"")</f>
        <v/>
      </c>
      <c r="CA2" s="40" t="str">
        <f>IF(AX2&gt;AX$9, AX2-AX$9,"")</f>
        <v/>
      </c>
      <c r="CB2" s="40" t="str">
        <f>IF(AY2&gt;AY$9, AY2-AY$9,"")</f>
        <v/>
      </c>
      <c r="CC2" s="40" t="str">
        <f>IF(AZ2&gt;AZ$9, AZ2-AZ$9,"")</f>
        <v/>
      </c>
      <c r="CD2" s="40" t="str">
        <f>IF(BA2&gt;BA$9, BA2-BA$9,"")</f>
        <v/>
      </c>
      <c r="CE2" s="40" t="str">
        <f>IF(BB2&gt;BB$9, BB2-BB$9,"")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s="49" customFormat="1" x14ac:dyDescent="0.15">
      <c r="A3" s="40">
        <v>20</v>
      </c>
      <c r="B3" s="40" t="s">
        <v>221</v>
      </c>
      <c r="C3" s="40" t="s">
        <v>28</v>
      </c>
      <c r="D3" s="40" t="s">
        <v>11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10</v>
      </c>
      <c r="BQ3" s="40">
        <v>5</v>
      </c>
      <c r="BR3" s="46">
        <v>1</v>
      </c>
      <c r="BS3" s="46" t="s">
        <v>225</v>
      </c>
      <c r="BT3" s="40" t="str">
        <f>IF(AQ3&gt;AQ$9, AQ3-AQ$9,"")</f>
        <v/>
      </c>
      <c r="BU3" s="40" t="str">
        <f>IF(AR3&gt;AR$9, AR3-AR$9,"")</f>
        <v/>
      </c>
      <c r="BV3" s="40" t="str">
        <f>IF(AS3&gt;AS$9, AS3-AS$9,"")</f>
        <v/>
      </c>
      <c r="BW3" s="40" t="str">
        <f>IF(AT3&gt;AT$9, AT3-AT$9,"")</f>
        <v/>
      </c>
      <c r="BX3" s="40" t="str">
        <f>IF(AU3&gt;AU$9, AU3-AU$9,"")</f>
        <v/>
      </c>
      <c r="BY3" s="40" t="str">
        <f>IF(AV3&gt;AV$9, AV3-AV$9,"")</f>
        <v/>
      </c>
      <c r="BZ3" s="40" t="str">
        <f>IF(AW3&gt;AW$9, AW3-AW$9,"")</f>
        <v/>
      </c>
      <c r="CA3" s="40" t="str">
        <f>IF(AX3&gt;AX$9, AX3-AX$9,"")</f>
        <v/>
      </c>
      <c r="CB3" s="40" t="str">
        <f>IF(AY3&gt;AY$9, AY3-AY$9,"")</f>
        <v/>
      </c>
      <c r="CC3" s="40" t="str">
        <f>IF(AZ3&gt;AZ$9, AZ3-AZ$9,"")</f>
        <v/>
      </c>
      <c r="CD3" s="40" t="str">
        <f>IF(BA3&gt;BA$9, BA3-BA$9,"")</f>
        <v/>
      </c>
      <c r="CE3" s="40" t="str">
        <f>IF(BB3&gt;BB$9, BB3-BB$9,"")</f>
        <v/>
      </c>
      <c r="CF3" s="40">
        <f>COUNTIF(BT3:CE3, "&gt;0")</f>
        <v>0</v>
      </c>
      <c r="CG3" s="40" t="str">
        <f>IF($CF3=1,BT3,"")</f>
        <v/>
      </c>
      <c r="CH3" s="40" t="str">
        <f>IF($CF3=1,BU3,"")</f>
        <v/>
      </c>
      <c r="CI3" s="40" t="str">
        <f>IF($CF3=1,BV3,"")</f>
        <v/>
      </c>
      <c r="CJ3" s="40" t="str">
        <f>IF($CF3=1,BW3,"")</f>
        <v/>
      </c>
      <c r="CK3" s="40" t="str">
        <f>IF($CF3=1,BX3,"")</f>
        <v/>
      </c>
      <c r="CL3" s="40" t="str">
        <f>IF($CF3=1,BY3,"")</f>
        <v/>
      </c>
      <c r="CM3" s="40" t="str">
        <f>IF($CF3=1,BZ3,"")</f>
        <v/>
      </c>
      <c r="CN3" s="40" t="str">
        <f>IF($CF3=1,CA3,"")</f>
        <v/>
      </c>
      <c r="CO3" s="40" t="str">
        <f>IF($CF3=1,CB3,"")</f>
        <v/>
      </c>
      <c r="CP3" s="40" t="str">
        <f>IF($CF3=1,CC3,"")</f>
        <v/>
      </c>
      <c r="CQ3" s="40" t="str">
        <f>IF($CF3=1,CD3,"")</f>
        <v/>
      </c>
      <c r="CR3" s="40" t="str">
        <f>IF($CF3=1,CE3,"")</f>
        <v/>
      </c>
      <c r="CS3" s="47">
        <f>SUM(AE3:BO3)</f>
        <v>5</v>
      </c>
    </row>
    <row r="4" spans="1:97" x14ac:dyDescent="0.15">
      <c r="A4" s="40">
        <v>77</v>
      </c>
      <c r="B4" s="47" t="s">
        <v>154</v>
      </c>
      <c r="C4" s="47" t="s">
        <v>57</v>
      </c>
      <c r="D4" s="40" t="s">
        <v>12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>SUM(E4:BO4)</f>
        <v>90</v>
      </c>
      <c r="BQ4" s="40">
        <v>6</v>
      </c>
      <c r="BR4" s="46">
        <v>1</v>
      </c>
      <c r="BS4" s="46" t="s">
        <v>246</v>
      </c>
      <c r="BT4" s="40" t="str">
        <f>IF(AQ4&gt;AQ$9, AQ4-AQ$9,"")</f>
        <v/>
      </c>
      <c r="BU4" s="40" t="str">
        <f>IF(AR4&gt;AR$9, AR4-AR$9,"")</f>
        <v/>
      </c>
      <c r="BV4" s="40" t="str">
        <f>IF(AS4&gt;AS$9, AS4-AS$9,"")</f>
        <v/>
      </c>
      <c r="BW4" s="40" t="str">
        <f>IF(AT4&gt;AT$9, AT4-AT$9,"")</f>
        <v/>
      </c>
      <c r="BX4" s="40" t="str">
        <f>IF(AU4&gt;AU$9, AU4-AU$9,"")</f>
        <v/>
      </c>
      <c r="BY4" s="40" t="str">
        <f>IF(AV4&gt;AV$9, AV4-AV$9,"")</f>
        <v/>
      </c>
      <c r="BZ4" s="40" t="str">
        <f>IF(AW4&gt;AW$9, AW4-AW$9,"")</f>
        <v/>
      </c>
      <c r="CA4" s="40" t="str">
        <f>IF(AX4&gt;AX$9, AX4-AX$9,"")</f>
        <v/>
      </c>
      <c r="CB4" s="40" t="str">
        <f>IF(AY4&gt;AY$9, AY4-AY$9,"")</f>
        <v/>
      </c>
      <c r="CC4" s="40" t="str">
        <f>IF(AZ4&gt;AZ$9, AZ4-AZ$9,"")</f>
        <v/>
      </c>
      <c r="CD4" s="40" t="str">
        <f>IF(BA4&gt;BA$9, BA4-BA$9,"")</f>
        <v/>
      </c>
      <c r="CE4" s="40" t="str">
        <f>IF(BB4&gt;BB$9, BB4-BB$9,"")</f>
        <v/>
      </c>
      <c r="CF4" s="40">
        <f>COUNTIF(BT4:CE4, "&gt;0")</f>
        <v>0</v>
      </c>
      <c r="CG4" s="40" t="str">
        <f>IF($CF4=1,BT4,"")</f>
        <v/>
      </c>
      <c r="CH4" s="40" t="str">
        <f>IF($CF4=1,BU4,"")</f>
        <v/>
      </c>
      <c r="CI4" s="40" t="str">
        <f>IF($CF4=1,BV4,"")</f>
        <v/>
      </c>
      <c r="CJ4" s="40" t="str">
        <f>IF($CF4=1,BW4,"")</f>
        <v/>
      </c>
      <c r="CK4" s="40" t="str">
        <f>IF($CF4=1,BX4,"")</f>
        <v/>
      </c>
      <c r="CL4" s="40" t="str">
        <f>IF($CF4=1,BY4,"")</f>
        <v/>
      </c>
      <c r="CM4" s="40" t="str">
        <f>IF($CF4=1,BZ4,"")</f>
        <v/>
      </c>
      <c r="CN4" s="40" t="str">
        <f>IF($CF4=1,CA4,"")</f>
        <v/>
      </c>
      <c r="CO4" s="40" t="str">
        <f>IF($CF4=1,CB4,"")</f>
        <v/>
      </c>
      <c r="CP4" s="40" t="str">
        <f>IF($CF4=1,CC4,"")</f>
        <v/>
      </c>
      <c r="CQ4" s="40" t="str">
        <f>IF($CF4=1,CD4,"")</f>
        <v/>
      </c>
      <c r="CR4" s="40" t="str">
        <f>IF($CF4=1,CE4,"")</f>
        <v/>
      </c>
      <c r="CS4" s="47">
        <f>SUM(AE4:BO4)</f>
        <v>90</v>
      </c>
    </row>
    <row r="5" spans="1:97" x14ac:dyDescent="0.15">
      <c r="A5" s="40">
        <v>3</v>
      </c>
      <c r="B5" s="40" t="s">
        <v>10</v>
      </c>
      <c r="C5" s="40" t="s">
        <v>2</v>
      </c>
      <c r="D5" s="40" t="s">
        <v>11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>SUM(E5:BO5)</f>
        <v>60</v>
      </c>
      <c r="BQ5" s="40">
        <v>13</v>
      </c>
      <c r="BR5" s="46">
        <v>1</v>
      </c>
      <c r="BS5" s="46" t="s">
        <v>237</v>
      </c>
      <c r="BT5" s="40" t="str">
        <f>IF(AQ5&gt;AQ$9, AQ5-AQ$9,"")</f>
        <v/>
      </c>
      <c r="BU5" s="40" t="str">
        <f>IF(AR5&gt;AR$9, AR5-AR$9,"")</f>
        <v/>
      </c>
      <c r="BV5" s="40" t="str">
        <f>IF(AS5&gt;AS$9, AS5-AS$9,"")</f>
        <v/>
      </c>
      <c r="BW5" s="40" t="str">
        <f>IF(AT5&gt;AT$9, AT5-AT$9,"")</f>
        <v/>
      </c>
      <c r="BX5" s="40" t="str">
        <f>IF(AU5&gt;AU$9, AU5-AU$9,"")</f>
        <v/>
      </c>
      <c r="BY5" s="40" t="str">
        <f>IF(AV5&gt;AV$9, AV5-AV$9,"")</f>
        <v/>
      </c>
      <c r="BZ5" s="40" t="str">
        <f>IF(AW5&gt;AW$9, AW5-AW$9,"")</f>
        <v/>
      </c>
      <c r="CA5" s="40" t="str">
        <f>IF(AX5&gt;AX$9, AX5-AX$9,"")</f>
        <v/>
      </c>
      <c r="CB5" s="40" t="str">
        <f>IF(AY5&gt;AY$9, AY5-AY$9,"")</f>
        <v/>
      </c>
      <c r="CC5" s="40" t="str">
        <f>IF(AZ5&gt;AZ$9, AZ5-AZ$9,"")</f>
        <v/>
      </c>
      <c r="CD5" s="40" t="str">
        <f>IF(BA5&gt;BA$9, BA5-BA$9,"")</f>
        <v/>
      </c>
      <c r="CE5" s="40" t="str">
        <f>IF(BB5&gt;BB$9, BB5-BB$9,"")</f>
        <v/>
      </c>
      <c r="CF5" s="40">
        <f>COUNTIF(BT5:CE5, "&gt;0")</f>
        <v>0</v>
      </c>
      <c r="CG5" s="40" t="str">
        <f>IF($CF5=1,BT5,"")</f>
        <v/>
      </c>
      <c r="CH5" s="40" t="str">
        <f>IF($CF5=1,BU5,"")</f>
        <v/>
      </c>
      <c r="CI5" s="40" t="str">
        <f>IF($CF5=1,BV5,"")</f>
        <v/>
      </c>
      <c r="CJ5" s="40" t="str">
        <f>IF($CF5=1,BW5,"")</f>
        <v/>
      </c>
      <c r="CK5" s="40" t="str">
        <f>IF($CF5=1,BX5,"")</f>
        <v/>
      </c>
      <c r="CL5" s="40" t="str">
        <f>IF($CF5=1,BY5,"")</f>
        <v/>
      </c>
      <c r="CM5" s="40" t="str">
        <f>IF($CF5=1,BZ5,"")</f>
        <v/>
      </c>
      <c r="CN5" s="40" t="str">
        <f>IF($CF5=1,CA5,"")</f>
        <v/>
      </c>
      <c r="CO5" s="40" t="str">
        <f>IF($CF5=1,CB5,"")</f>
        <v/>
      </c>
      <c r="CP5" s="40" t="str">
        <f>IF($CF5=1,CC5,"")</f>
        <v/>
      </c>
      <c r="CQ5" s="40" t="str">
        <f>IF($CF5=1,CD5,"")</f>
        <v/>
      </c>
      <c r="CR5" s="40" t="str">
        <f>IF($CF5=1,CE5,"")</f>
        <v/>
      </c>
      <c r="CS5" s="47">
        <f>SUM(AE5:BO5)</f>
        <v>30</v>
      </c>
    </row>
    <row r="6" spans="1:97" x14ac:dyDescent="0.15">
      <c r="A6" s="40"/>
      <c r="B6" s="40" t="s">
        <v>161</v>
      </c>
      <c r="C6" s="40" t="s">
        <v>105</v>
      </c>
      <c r="D6" s="40" t="s">
        <v>11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>SUM(E6:BO6)</f>
        <v>60</v>
      </c>
      <c r="BQ6" s="40">
        <v>13</v>
      </c>
      <c r="BR6" s="46">
        <v>1</v>
      </c>
      <c r="BS6" s="46" t="s">
        <v>201</v>
      </c>
      <c r="BT6" s="40" t="str">
        <f>IF(AQ6&gt;AQ$9, AQ6-AQ$9,"")</f>
        <v/>
      </c>
      <c r="BU6" s="40" t="str">
        <f>IF(AR6&gt;AR$9, AR6-AR$9,"")</f>
        <v/>
      </c>
      <c r="BV6" s="40" t="str">
        <f>IF(AS6&gt;AS$9, AS6-AS$9,"")</f>
        <v/>
      </c>
      <c r="BW6" s="40" t="str">
        <f>IF(AT6&gt;AT$9, AT6-AT$9,"")</f>
        <v/>
      </c>
      <c r="BX6" s="40" t="str">
        <f>IF(AU6&gt;AU$9, AU6-AU$9,"")</f>
        <v/>
      </c>
      <c r="BY6" s="40" t="str">
        <f>IF(AV6&gt;AV$9, AV6-AV$9,"")</f>
        <v/>
      </c>
      <c r="BZ6" s="40" t="str">
        <f>IF(AW6&gt;AW$9, AW6-AW$9,"")</f>
        <v/>
      </c>
      <c r="CA6" s="40" t="str">
        <f>IF(AX6&gt;AX$9, AX6-AX$9,"")</f>
        <v/>
      </c>
      <c r="CB6" s="40" t="str">
        <f>IF(AY6&gt;AY$9, AY6-AY$9,"")</f>
        <v/>
      </c>
      <c r="CC6" s="40" t="str">
        <f>IF(AZ6&gt;AZ$9, AZ6-AZ$9,"")</f>
        <v/>
      </c>
      <c r="CD6" s="40" t="str">
        <f>IF(BA6&gt;BA$9, BA6-BA$9,"")</f>
        <v/>
      </c>
      <c r="CE6" s="40" t="str">
        <f>IF(BB6&gt;BB$9, BB6-BB$9,"")</f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>
        <v>1</v>
      </c>
      <c r="B7" s="40" t="s">
        <v>0</v>
      </c>
      <c r="C7" s="40" t="s">
        <v>2</v>
      </c>
      <c r="D7" s="40" t="s">
        <v>1</v>
      </c>
      <c r="E7" s="41">
        <v>10</v>
      </c>
      <c r="F7" s="41">
        <v>10</v>
      </c>
      <c r="G7" s="41"/>
      <c r="H7" s="41"/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>
        <v>10</v>
      </c>
      <c r="AS7" s="43"/>
      <c r="AT7" s="43"/>
      <c r="AU7" s="43"/>
      <c r="AV7" s="43"/>
      <c r="AW7" s="44">
        <v>15</v>
      </c>
      <c r="AX7" s="44">
        <v>15</v>
      </c>
      <c r="AY7" s="44"/>
      <c r="AZ7" s="44"/>
      <c r="BA7" s="44"/>
      <c r="BB7" s="44"/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>SUM(E7:BO7)</f>
        <v>60</v>
      </c>
      <c r="BQ7" s="40">
        <v>9</v>
      </c>
      <c r="BR7" s="46">
        <v>2</v>
      </c>
      <c r="BS7" s="46" t="s">
        <v>250</v>
      </c>
      <c r="BT7" s="40" t="str">
        <f>IF(AQ7&gt;AQ$9, AQ7-AQ$9,"")</f>
        <v/>
      </c>
      <c r="BU7" s="40" t="str">
        <f>IF(AR7&gt;AR$9, AR7-AR$9,"")</f>
        <v/>
      </c>
      <c r="BV7" s="40" t="str">
        <f>IF(AS7&gt;AS$9, AS7-AS$9,"")</f>
        <v/>
      </c>
      <c r="BW7" s="40" t="str">
        <f>IF(AT7&gt;AT$9, AT7-AT$9,"")</f>
        <v/>
      </c>
      <c r="BX7" s="40" t="str">
        <f>IF(AU7&gt;AU$9, AU7-AU$9,"")</f>
        <v/>
      </c>
      <c r="BY7" s="40" t="str">
        <f>IF(AV7&gt;AV$9, AV7-AV$9,"")</f>
        <v/>
      </c>
      <c r="BZ7" s="40" t="str">
        <f>IF(AW7&gt;AW$9, AW7-AW$9,"")</f>
        <v/>
      </c>
      <c r="CA7" s="40" t="str">
        <f>IF(AX7&gt;AX$9, AX7-AX$9,"")</f>
        <v/>
      </c>
      <c r="CB7" s="40" t="str">
        <f>IF(AY7&gt;AY$9, AY7-AY$9,"")</f>
        <v/>
      </c>
      <c r="CC7" s="40" t="str">
        <f>IF(AZ7&gt;AZ$9, AZ7-AZ$9,"")</f>
        <v/>
      </c>
      <c r="CD7" s="40" t="str">
        <f>IF(BA7&gt;BA$9, BA7-BA$9,"")</f>
        <v/>
      </c>
      <c r="CE7" s="40" t="str">
        <f>IF(BB7&gt;BB$9, BB7-BB$9,"")</f>
        <v/>
      </c>
      <c r="CF7" s="40">
        <f>COUNTIF(BT7:CE7, "&gt;0")</f>
        <v>0</v>
      </c>
      <c r="CG7" s="40" t="str">
        <f>IF($CF7=1,BT7,"")</f>
        <v/>
      </c>
      <c r="CH7" s="40" t="str">
        <f>IF($CF7=1,BU7,"")</f>
        <v/>
      </c>
      <c r="CI7" s="40" t="str">
        <f>IF($CF7=1,BV7,"")</f>
        <v/>
      </c>
      <c r="CJ7" s="40" t="str">
        <f>IF($CF7=1,BW7,"")</f>
        <v/>
      </c>
      <c r="CK7" s="40" t="str">
        <f>IF($CF7=1,BX7,"")</f>
        <v/>
      </c>
      <c r="CL7" s="40" t="str">
        <f>IF($CF7=1,BY7,"")</f>
        <v/>
      </c>
      <c r="CM7" s="40" t="str">
        <f>IF($CF7=1,BZ7,"")</f>
        <v/>
      </c>
      <c r="CN7" s="40" t="str">
        <f>IF($CF7=1,CA7,"")</f>
        <v/>
      </c>
      <c r="CO7" s="40" t="str">
        <f>IF($CF7=1,CB7,"")</f>
        <v/>
      </c>
      <c r="CP7" s="40" t="str">
        <f>IF($CF7=1,CC7,"")</f>
        <v/>
      </c>
      <c r="CQ7" s="40" t="str">
        <f>IF($CF7=1,CD7,"")</f>
        <v/>
      </c>
      <c r="CR7" s="40" t="str">
        <f>IF($CF7=1,CE7,"")</f>
        <v/>
      </c>
      <c r="CS7" s="47">
        <f>SUM(AE7:BO7)</f>
        <v>40</v>
      </c>
    </row>
    <row r="8" spans="1:97" ht="40.5" x14ac:dyDescent="0.15">
      <c r="A8" s="40"/>
      <c r="B8" s="40" t="s">
        <v>171</v>
      </c>
      <c r="C8" s="40" t="s">
        <v>72</v>
      </c>
      <c r="D8" s="40" t="s">
        <v>11</v>
      </c>
      <c r="E8" s="41"/>
      <c r="F8" s="41"/>
      <c r="G8" s="41">
        <v>15</v>
      </c>
      <c r="H8" s="41">
        <v>15</v>
      </c>
      <c r="I8" s="41"/>
      <c r="J8" s="41"/>
      <c r="K8" s="41"/>
      <c r="L8" s="41"/>
      <c r="M8" s="41"/>
      <c r="N8" s="41"/>
      <c r="O8" s="41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3"/>
      <c r="AR8" s="43"/>
      <c r="AS8" s="43"/>
      <c r="AT8" s="43"/>
      <c r="AU8" s="43"/>
      <c r="AV8" s="43"/>
      <c r="AW8" s="44"/>
      <c r="AX8" s="44"/>
      <c r="AY8" s="44"/>
      <c r="AZ8" s="44"/>
      <c r="BA8" s="44">
        <v>15</v>
      </c>
      <c r="BB8" s="44">
        <v>15</v>
      </c>
      <c r="BC8" s="4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>
        <f>SUM(E8:BO8)</f>
        <v>60</v>
      </c>
      <c r="BQ8" s="40">
        <v>20</v>
      </c>
      <c r="BR8" s="46">
        <v>2</v>
      </c>
      <c r="BS8" s="46" t="s">
        <v>226</v>
      </c>
      <c r="BT8" s="40" t="str">
        <f>IF(AQ8&gt;AQ$9, AQ8-AQ$9,"")</f>
        <v/>
      </c>
      <c r="BU8" s="40" t="str">
        <f>IF(AR8&gt;AR$9, AR8-AR$9,"")</f>
        <v/>
      </c>
      <c r="BV8" s="40" t="str">
        <f>IF(AS8&gt;AS$9, AS8-AS$9,"")</f>
        <v/>
      </c>
      <c r="BW8" s="40" t="str">
        <f>IF(AT8&gt;AT$9, AT8-AT$9,"")</f>
        <v/>
      </c>
      <c r="BX8" s="40" t="str">
        <f>IF(AU8&gt;AU$9, AU8-AU$9,"")</f>
        <v/>
      </c>
      <c r="BY8" s="40" t="str">
        <f>IF(AV8&gt;AV$9, AV8-AV$9,"")</f>
        <v/>
      </c>
      <c r="BZ8" s="40" t="str">
        <f>IF(AW8&gt;AW$9, AW8-AW$9,"")</f>
        <v/>
      </c>
      <c r="CA8" s="40" t="str">
        <f>IF(AX8&gt;AX$9, AX8-AX$9,"")</f>
        <v/>
      </c>
      <c r="CB8" s="40" t="str">
        <f>IF(AY8&gt;AY$9, AY8-AY$9,"")</f>
        <v/>
      </c>
      <c r="CC8" s="40" t="str">
        <f>IF(AZ8&gt;AZ$9, AZ8-AZ$9,"")</f>
        <v/>
      </c>
      <c r="CD8" s="40" t="str">
        <f>IF(BA8&gt;BA$9, BA8-BA$9,"")</f>
        <v/>
      </c>
      <c r="CE8" s="40" t="str">
        <f>IF(BB8&gt;BB$9, BB8-BB$9,"")</f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7"/>
    </row>
    <row r="9" spans="1:97" x14ac:dyDescent="0.15">
      <c r="A9" s="1"/>
      <c r="B9" s="1" t="s">
        <v>63</v>
      </c>
      <c r="C9" s="1"/>
      <c r="D9" s="1"/>
      <c r="E9" s="6">
        <f>SUM(E3:E8)</f>
        <v>40</v>
      </c>
      <c r="F9" s="6">
        <f>SUM(F3:F8)</f>
        <v>15</v>
      </c>
      <c r="G9" s="6">
        <f>SUM(G3:G8)</f>
        <v>45</v>
      </c>
      <c r="H9" s="6">
        <f>SUM(H3:H8)</f>
        <v>15</v>
      </c>
      <c r="I9" s="6">
        <f>SUM(I3:I8)</f>
        <v>0</v>
      </c>
      <c r="J9" s="6">
        <f>SUM(J3:J8)</f>
        <v>0</v>
      </c>
      <c r="K9" s="6">
        <f>SUM(K3:K8)</f>
        <v>0</v>
      </c>
      <c r="L9" s="6">
        <f>SUM(L3:L8)</f>
        <v>0</v>
      </c>
      <c r="M9" s="6">
        <f>SUM(M3:M8)</f>
        <v>0</v>
      </c>
      <c r="N9" s="6">
        <f>SUM(N3:N8)</f>
        <v>0</v>
      </c>
      <c r="O9" s="6">
        <f>SUM(O3:O8)</f>
        <v>0</v>
      </c>
      <c r="P9" s="28">
        <f>SUM(P3:P8)</f>
        <v>0</v>
      </c>
      <c r="Q9" s="28">
        <f>SUM(Q3:Q8)</f>
        <v>0</v>
      </c>
      <c r="R9" s="28">
        <f>SUM(R3:R8)</f>
        <v>0</v>
      </c>
      <c r="S9" s="28">
        <f>SUM(S3:S8)</f>
        <v>0</v>
      </c>
      <c r="T9" s="28">
        <f>SUM(T3:T8)</f>
        <v>0</v>
      </c>
      <c r="U9" s="28">
        <f>SUM(U3:U8)</f>
        <v>0</v>
      </c>
      <c r="V9" s="28">
        <f>SUM(V3:V8)</f>
        <v>0</v>
      </c>
      <c r="W9" s="28">
        <f>SUM(W3:W8)</f>
        <v>0</v>
      </c>
      <c r="X9" s="28">
        <f>SUM(X3:X8)</f>
        <v>0</v>
      </c>
      <c r="Y9" s="28">
        <f>SUM(Y3:Y8)</f>
        <v>0</v>
      </c>
      <c r="Z9" s="28">
        <f>SUM(Z3:Z8)</f>
        <v>0</v>
      </c>
      <c r="AA9" s="28">
        <f>SUM(AA3:AA8)</f>
        <v>0</v>
      </c>
      <c r="AB9" s="28">
        <f>SUM(AB3:AB8)</f>
        <v>0</v>
      </c>
      <c r="AC9" s="28">
        <f>SUM(AC3:AC8)</f>
        <v>0</v>
      </c>
      <c r="AD9" s="28">
        <f>SUM(AD3:AD8)</f>
        <v>0</v>
      </c>
      <c r="AE9" s="1">
        <f>SUM(AE3:AE8)</f>
        <v>0</v>
      </c>
      <c r="AF9" s="1">
        <f>SUM(AF3:AF8)</f>
        <v>0</v>
      </c>
      <c r="AG9" s="1">
        <f>SUM(AG3:AG8)</f>
        <v>5</v>
      </c>
      <c r="AH9" s="1">
        <f>SUM(AH3:AH8)</f>
        <v>0</v>
      </c>
      <c r="AI9" s="1">
        <f>SUM(AI3:AI8)</f>
        <v>0</v>
      </c>
      <c r="AJ9" s="1">
        <f>SUM(AJ3:AJ8)</f>
        <v>0</v>
      </c>
      <c r="AK9" s="1">
        <f>SUM(AK3:AK8)</f>
        <v>0</v>
      </c>
      <c r="AL9" s="1">
        <f>SUM(AL3:AL8)</f>
        <v>0</v>
      </c>
      <c r="AM9" s="1">
        <f>SUM(AM3:AM8)</f>
        <v>0</v>
      </c>
      <c r="AN9" s="1">
        <f>SUM(AN3:AN8)</f>
        <v>0</v>
      </c>
      <c r="AO9" s="1">
        <f>SUM(AO3:AO8)</f>
        <v>0</v>
      </c>
      <c r="AP9" s="1">
        <f>SUM(AP3:AP8)</f>
        <v>0</v>
      </c>
      <c r="AQ9" s="4">
        <f>SUM(AQ3:AQ8)</f>
        <v>0</v>
      </c>
      <c r="AR9" s="4">
        <f>SUM(AR3:AR8)</f>
        <v>40</v>
      </c>
      <c r="AS9" s="4">
        <f>SUM(AS3:AS8)</f>
        <v>0</v>
      </c>
      <c r="AT9" s="4">
        <f>SUM(AT3:AT8)</f>
        <v>20</v>
      </c>
      <c r="AU9" s="4">
        <f>SUM(AU3:AU8)</f>
        <v>0</v>
      </c>
      <c r="AV9" s="4">
        <f>SUM(AV3:AV8)</f>
        <v>0</v>
      </c>
      <c r="AW9" s="2">
        <f>SUM(AW3:AW8)</f>
        <v>35</v>
      </c>
      <c r="AX9" s="2">
        <f>SUM(AX3:AX8)</f>
        <v>35</v>
      </c>
      <c r="AY9" s="2">
        <f>SUM(AY3:AY8)</f>
        <v>0</v>
      </c>
      <c r="AZ9" s="2">
        <f>SUM(AZ3:AZ8)</f>
        <v>0</v>
      </c>
      <c r="BA9" s="2">
        <f>SUM(BA3:BA8)</f>
        <v>15</v>
      </c>
      <c r="BB9" s="2">
        <f>SUM(BB3:BB8)</f>
        <v>55</v>
      </c>
      <c r="BC9" s="1">
        <f>SUM(BC3:BC8)</f>
        <v>0</v>
      </c>
      <c r="BD9" s="1">
        <f>SUM(BD3:BD8)</f>
        <v>0</v>
      </c>
      <c r="BE9" s="1">
        <f>SUM(BE3:BE8)</f>
        <v>0</v>
      </c>
      <c r="BF9" s="1">
        <f>SUM(BF3:BF8)</f>
        <v>0</v>
      </c>
      <c r="BG9" s="1">
        <f>SUM(BG3:BG8)</f>
        <v>0</v>
      </c>
      <c r="BH9" s="1">
        <f>SUM(BH3:BH8)</f>
        <v>20</v>
      </c>
      <c r="BI9" s="1">
        <f>SUM(BI3:BI8)</f>
        <v>0</v>
      </c>
      <c r="BJ9" s="1">
        <f>SUM(BJ3:BJ8)</f>
        <v>0</v>
      </c>
      <c r="BK9" s="1">
        <f>SUM(BK3:BK8)</f>
        <v>0</v>
      </c>
      <c r="BL9" s="1">
        <f>SUM(BL3:BL8)</f>
        <v>0</v>
      </c>
      <c r="BM9" s="1">
        <f>SUM(BM3:BM8)</f>
        <v>0</v>
      </c>
      <c r="BN9" s="1">
        <f>SUM(BN3:BN8)</f>
        <v>0</v>
      </c>
      <c r="BO9" s="1">
        <f>SUM(BO3:BO8)</f>
        <v>0</v>
      </c>
      <c r="BP9" s="1"/>
      <c r="BQ9" s="1"/>
      <c r="BR9" s="17"/>
      <c r="BS9" s="17"/>
      <c r="BT9" s="1">
        <f>MIN(BT3:BT8)</f>
        <v>0</v>
      </c>
      <c r="BU9" s="1">
        <f>MIN(BU3:BU8)</f>
        <v>0</v>
      </c>
      <c r="BV9" s="1">
        <f>MIN(BV3:BV8)</f>
        <v>0</v>
      </c>
      <c r="BW9" s="1">
        <f>MIN(BW3:BW8)</f>
        <v>0</v>
      </c>
      <c r="BX9" s="1">
        <f>MIN(BX3:BX8)</f>
        <v>0</v>
      </c>
      <c r="BY9" s="1">
        <f>MIN(BY3:BY8)</f>
        <v>0</v>
      </c>
      <c r="BZ9" s="1">
        <f>MIN(BZ3:BZ8)</f>
        <v>0</v>
      </c>
      <c r="CA9" s="1">
        <f>MIN(CA3:CA8)</f>
        <v>0</v>
      </c>
      <c r="CB9" s="1">
        <f>MIN(CB3:CB8)</f>
        <v>0</v>
      </c>
      <c r="CC9" s="1">
        <f>MIN(CC3:CC8)</f>
        <v>0</v>
      </c>
      <c r="CD9" s="1">
        <f>MIN(CD3:CD8)</f>
        <v>0</v>
      </c>
      <c r="CE9" s="1">
        <f>MIN(CE3:CE8)</f>
        <v>0</v>
      </c>
      <c r="CF9" s="1"/>
      <c r="CG9" s="1">
        <f>MIN(CG3:CG8)</f>
        <v>0</v>
      </c>
      <c r="CH9" s="1">
        <f>MIN(CH3:CH8)</f>
        <v>0</v>
      </c>
      <c r="CI9" s="1">
        <f>MIN(CI3:CI8)</f>
        <v>0</v>
      </c>
      <c r="CJ9" s="1">
        <f>MIN(CJ3:CJ8)</f>
        <v>0</v>
      </c>
      <c r="CK9" s="1">
        <f>MIN(CK3:CK8)</f>
        <v>0</v>
      </c>
      <c r="CL9" s="1">
        <f>MIN(CL3:CL8)</f>
        <v>0</v>
      </c>
      <c r="CM9" s="1">
        <f>MIN(CM3:CM8)</f>
        <v>0</v>
      </c>
      <c r="CN9" s="1">
        <f>MIN(CN3:CN8)</f>
        <v>0</v>
      </c>
      <c r="CO9" s="1">
        <f>MIN(CO3:CO8)</f>
        <v>0</v>
      </c>
      <c r="CP9" s="1">
        <f>MIN(CP3:CP8)</f>
        <v>0</v>
      </c>
      <c r="CQ9" s="1">
        <f>MIN(CQ3:CQ8)</f>
        <v>0</v>
      </c>
      <c r="CR9" s="1">
        <f>MIN(CR3:CR8)</f>
        <v>0</v>
      </c>
      <c r="CS9" s="3">
        <f>COUNTIF(CS3:CS8,"=0")</f>
        <v>0</v>
      </c>
    </row>
    <row r="10" spans="1:97" x14ac:dyDescent="0.15">
      <c r="A10" s="1"/>
      <c r="B10" s="3" t="s">
        <v>83</v>
      </c>
      <c r="C10" s="1"/>
      <c r="D10" s="1"/>
      <c r="E10" s="1">
        <v>45</v>
      </c>
      <c r="F10" s="1">
        <v>20</v>
      </c>
      <c r="G10" s="1">
        <v>34</v>
      </c>
      <c r="H10" s="1">
        <v>10</v>
      </c>
      <c r="I10" s="1">
        <v>38</v>
      </c>
      <c r="J10" s="1">
        <v>52</v>
      </c>
      <c r="K10" s="1">
        <v>25</v>
      </c>
      <c r="L10" s="1">
        <v>78</v>
      </c>
      <c r="M10" s="1">
        <v>37</v>
      </c>
      <c r="N10" s="1">
        <v>43</v>
      </c>
      <c r="O10" s="1">
        <v>17</v>
      </c>
      <c r="P10" s="14">
        <v>2</v>
      </c>
      <c r="Q10" s="14">
        <v>1</v>
      </c>
      <c r="R10" s="14">
        <v>2</v>
      </c>
      <c r="S10" s="14">
        <v>1</v>
      </c>
      <c r="T10" s="14">
        <v>5</v>
      </c>
      <c r="U10" s="14">
        <v>0</v>
      </c>
      <c r="V10" s="14">
        <v>2</v>
      </c>
      <c r="W10" s="14">
        <v>2</v>
      </c>
      <c r="X10" s="14">
        <v>6</v>
      </c>
      <c r="Y10" s="14">
        <v>0</v>
      </c>
      <c r="Z10" s="14">
        <v>1</v>
      </c>
      <c r="AA10" s="14">
        <v>1</v>
      </c>
      <c r="AB10" s="14">
        <v>8</v>
      </c>
      <c r="AC10" s="14">
        <v>2</v>
      </c>
      <c r="AD10" s="14">
        <v>4</v>
      </c>
      <c r="AE10" s="1">
        <v>1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33</v>
      </c>
      <c r="AL10" s="1">
        <v>43</v>
      </c>
      <c r="AM10" s="1">
        <v>3</v>
      </c>
      <c r="AN10" s="1">
        <v>0</v>
      </c>
      <c r="AO10" s="1">
        <v>0</v>
      </c>
      <c r="AP10" s="1">
        <v>0</v>
      </c>
      <c r="AQ10" s="14">
        <v>11</v>
      </c>
      <c r="AR10" s="14">
        <v>2</v>
      </c>
      <c r="AS10" s="14">
        <v>2</v>
      </c>
      <c r="AT10" s="14">
        <v>21</v>
      </c>
      <c r="AU10" s="14">
        <v>17</v>
      </c>
      <c r="AV10" s="14">
        <v>10</v>
      </c>
      <c r="AW10" s="14">
        <v>14</v>
      </c>
      <c r="AX10" s="14">
        <v>35</v>
      </c>
      <c r="AY10" s="14">
        <v>20</v>
      </c>
      <c r="AZ10" s="14">
        <v>4</v>
      </c>
      <c r="BA10" s="14">
        <v>0</v>
      </c>
      <c r="BB10" s="14">
        <v>69</v>
      </c>
      <c r="BC10" s="14">
        <v>10</v>
      </c>
      <c r="BD10" s="1">
        <v>162</v>
      </c>
      <c r="BE10" s="1">
        <v>244</v>
      </c>
      <c r="BF10" s="1">
        <v>233</v>
      </c>
      <c r="BG10" s="1">
        <v>242</v>
      </c>
      <c r="BH10" s="1">
        <v>141</v>
      </c>
      <c r="BI10" s="1">
        <v>154</v>
      </c>
      <c r="BJ10" s="1">
        <v>41</v>
      </c>
      <c r="BK10" s="1">
        <v>49</v>
      </c>
      <c r="BL10" s="1">
        <v>81</v>
      </c>
      <c r="BM10" s="1"/>
      <c r="BN10" s="1">
        <v>5</v>
      </c>
      <c r="BO10" s="1"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90</v>
      </c>
      <c r="C11" s="1"/>
      <c r="D11" s="1"/>
      <c r="E11" s="1">
        <f>E10-E9</f>
        <v>5</v>
      </c>
      <c r="F11" s="1">
        <f>F10-F9</f>
        <v>5</v>
      </c>
      <c r="G11" s="1">
        <f>G10-G9</f>
        <v>-11</v>
      </c>
      <c r="H11" s="1">
        <f>H10-H9</f>
        <v>-5</v>
      </c>
      <c r="I11" s="1">
        <f>I10-I9</f>
        <v>38</v>
      </c>
      <c r="J11" s="1">
        <f>J10-J9</f>
        <v>52</v>
      </c>
      <c r="K11" s="1">
        <f>K10-K9</f>
        <v>25</v>
      </c>
      <c r="L11" s="1">
        <f>L10-L9</f>
        <v>78</v>
      </c>
      <c r="M11" s="1">
        <f>M10-M9</f>
        <v>37</v>
      </c>
      <c r="N11" s="1">
        <f>N10-N9</f>
        <v>43</v>
      </c>
      <c r="O11" s="1">
        <f>O10-O9</f>
        <v>17</v>
      </c>
      <c r="P11" s="1">
        <f>P10-P9</f>
        <v>2</v>
      </c>
      <c r="Q11" s="1">
        <f>Q10-Q9</f>
        <v>1</v>
      </c>
      <c r="R11" s="1">
        <f>R10-R9</f>
        <v>2</v>
      </c>
      <c r="S11" s="1">
        <f>S10-S9</f>
        <v>1</v>
      </c>
      <c r="T11" s="1">
        <f>T10-T9</f>
        <v>5</v>
      </c>
      <c r="U11" s="1">
        <f>U10-U9</f>
        <v>0</v>
      </c>
      <c r="V11" s="1">
        <f>V10-V9</f>
        <v>2</v>
      </c>
      <c r="W11" s="1">
        <f>W10-W9</f>
        <v>2</v>
      </c>
      <c r="X11" s="1">
        <f>X10-X9</f>
        <v>6</v>
      </c>
      <c r="Y11" s="1">
        <f>Y10-Y9</f>
        <v>0</v>
      </c>
      <c r="Z11" s="1">
        <f>Z10-Z9</f>
        <v>1</v>
      </c>
      <c r="AA11" s="1">
        <f>AA10-AA9</f>
        <v>1</v>
      </c>
      <c r="AB11" s="1">
        <f>AB10-AB9</f>
        <v>8</v>
      </c>
      <c r="AC11" s="1">
        <f>AC10-AC9</f>
        <v>2</v>
      </c>
      <c r="AD11" s="1">
        <f>AD10-AD9</f>
        <v>4</v>
      </c>
      <c r="AE11" s="1">
        <f>AE10-AE9</f>
        <v>1</v>
      </c>
      <c r="AF11" s="1">
        <f>AF10-AF9</f>
        <v>0</v>
      </c>
      <c r="AG11" s="1">
        <f>AG10-AG9</f>
        <v>-5</v>
      </c>
      <c r="AH11" s="1">
        <f>AH10-AH9</f>
        <v>0</v>
      </c>
      <c r="AI11" s="1">
        <f>AI10-AI9</f>
        <v>0</v>
      </c>
      <c r="AJ11" s="1">
        <f>AJ10-AJ9</f>
        <v>0</v>
      </c>
      <c r="AK11" s="1">
        <f>AK10-AK9</f>
        <v>33</v>
      </c>
      <c r="AL11" s="1">
        <f>AL10-AL9</f>
        <v>43</v>
      </c>
      <c r="AM11" s="1">
        <f>AM10-AM9</f>
        <v>3</v>
      </c>
      <c r="AN11" s="1">
        <f>AN10-AN9</f>
        <v>0</v>
      </c>
      <c r="AO11" s="1">
        <f>AO10-AO9</f>
        <v>0</v>
      </c>
      <c r="AP11" s="1">
        <f>AP10-AP9</f>
        <v>0</v>
      </c>
      <c r="AQ11" s="1">
        <f>AQ10-AQ9</f>
        <v>11</v>
      </c>
      <c r="AR11" s="1">
        <f>AR10-AR9</f>
        <v>-38</v>
      </c>
      <c r="AS11" s="1">
        <f>AS10-AS9</f>
        <v>2</v>
      </c>
      <c r="AT11" s="1">
        <f>AT10-AT9</f>
        <v>1</v>
      </c>
      <c r="AU11" s="1">
        <f>AU10-AU9</f>
        <v>17</v>
      </c>
      <c r="AV11" s="1">
        <f>AV10-AV9</f>
        <v>10</v>
      </c>
      <c r="AW11" s="1">
        <f>AW10-AW9</f>
        <v>-21</v>
      </c>
      <c r="AX11" s="1">
        <f>AX10-AX9</f>
        <v>0</v>
      </c>
      <c r="AY11" s="1">
        <f>AY10-AY9</f>
        <v>20</v>
      </c>
      <c r="AZ11" s="1">
        <f>AZ10-AZ9</f>
        <v>4</v>
      </c>
      <c r="BA11" s="1">
        <f>BA10-BA9</f>
        <v>-15</v>
      </c>
      <c r="BB11" s="1">
        <f>BB10-BB9</f>
        <v>14</v>
      </c>
      <c r="BC11" s="1">
        <f>BC10-BC9</f>
        <v>10</v>
      </c>
      <c r="BD11" s="1">
        <f>BD10-BD9</f>
        <v>162</v>
      </c>
      <c r="BE11" s="1">
        <f>BE10-BE9</f>
        <v>244</v>
      </c>
      <c r="BF11" s="1">
        <f>BF10-BF9</f>
        <v>233</v>
      </c>
      <c r="BG11" s="1">
        <f>BG10-BG9</f>
        <v>242</v>
      </c>
      <c r="BH11" s="1">
        <f>BH10-BH9</f>
        <v>121</v>
      </c>
      <c r="BI11" s="1">
        <f>BI10-BI9</f>
        <v>154</v>
      </c>
      <c r="BJ11" s="1">
        <f>BJ10-BJ9</f>
        <v>41</v>
      </c>
      <c r="BK11" s="1">
        <f>BK10-BK9</f>
        <v>49</v>
      </c>
      <c r="BL11" s="1">
        <f>BL10-BL9</f>
        <v>81</v>
      </c>
      <c r="BM11" s="1">
        <f>BM10-BM9</f>
        <v>0</v>
      </c>
      <c r="BN11" s="1">
        <f>BN10-BN9</f>
        <v>5</v>
      </c>
      <c r="BO11" s="1">
        <f>BO10-BO9</f>
        <v>5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178</v>
      </c>
      <c r="C12" s="1"/>
      <c r="D12" s="1"/>
      <c r="E12" s="1">
        <f>MAX(E3:E8)</f>
        <v>15</v>
      </c>
      <c r="F12" s="1">
        <f>MAX(F3:F8)</f>
        <v>10</v>
      </c>
      <c r="G12" s="1">
        <f>MAX(G3:G8)</f>
        <v>15</v>
      </c>
      <c r="H12" s="1">
        <f>MAX(H3:H8)</f>
        <v>15</v>
      </c>
      <c r="I12" s="1">
        <f>MAX(I3:I8)</f>
        <v>0</v>
      </c>
      <c r="J12" s="1">
        <f>MAX(J3:J8)</f>
        <v>0</v>
      </c>
      <c r="K12" s="1">
        <f>MAX(K3:K8)</f>
        <v>0</v>
      </c>
      <c r="L12" s="1">
        <f>MAX(L3:L8)</f>
        <v>0</v>
      </c>
      <c r="M12" s="1">
        <f>MAX(M3:M8)</f>
        <v>0</v>
      </c>
      <c r="N12" s="1">
        <f>MAX(N3:N8)</f>
        <v>0</v>
      </c>
      <c r="O12" s="1">
        <f>MAX(O3:O8)</f>
        <v>0</v>
      </c>
      <c r="P12" s="1">
        <f>MAX(P3:P8)</f>
        <v>0</v>
      </c>
      <c r="Q12" s="1">
        <f>MAX(Q3:Q8)</f>
        <v>0</v>
      </c>
      <c r="R12" s="1">
        <f>MAX(R3:R8)</f>
        <v>0</v>
      </c>
      <c r="S12" s="1">
        <f>MAX(S3:S8)</f>
        <v>0</v>
      </c>
      <c r="T12" s="1">
        <f>MAX(T3:T8)</f>
        <v>0</v>
      </c>
      <c r="U12" s="1">
        <f>MAX(U3:U8)</f>
        <v>0</v>
      </c>
      <c r="V12" s="1">
        <f>MAX(V3:V8)</f>
        <v>0</v>
      </c>
      <c r="W12" s="1">
        <f>MAX(W3:W8)</f>
        <v>0</v>
      </c>
      <c r="X12" s="1">
        <f>MAX(X3:X8)</f>
        <v>0</v>
      </c>
      <c r="Y12" s="1">
        <f>MAX(Y3:Y8)</f>
        <v>0</v>
      </c>
      <c r="Z12" s="1">
        <f>MAX(Z3:Z8)</f>
        <v>0</v>
      </c>
      <c r="AA12" s="1">
        <f>MAX(AA3:AA8)</f>
        <v>0</v>
      </c>
      <c r="AB12" s="1">
        <f>MAX(AB3:AB8)</f>
        <v>0</v>
      </c>
      <c r="AC12" s="1">
        <f>MAX(AC3:AC8)</f>
        <v>0</v>
      </c>
      <c r="AD12" s="1">
        <f>MAX(AD3:AD8)</f>
        <v>0</v>
      </c>
      <c r="AE12" s="1">
        <f>MAX(AE3:AE8)</f>
        <v>0</v>
      </c>
      <c r="AF12" s="1">
        <f>MAX(AF3:AF8)</f>
        <v>0</v>
      </c>
      <c r="AG12" s="1">
        <f>MAX(AG3:AG8)</f>
        <v>5</v>
      </c>
      <c r="AH12" s="1">
        <f>MAX(AH3:AH8)</f>
        <v>0</v>
      </c>
      <c r="AI12" s="1">
        <f>MAX(AI3:AI8)</f>
        <v>0</v>
      </c>
      <c r="AJ12" s="1">
        <f>MAX(AJ3:AJ8)</f>
        <v>0</v>
      </c>
      <c r="AK12" s="1">
        <f>MAX(AK3:AK8)</f>
        <v>0</v>
      </c>
      <c r="AL12" s="1">
        <f>MAX(AL3:AL8)</f>
        <v>0</v>
      </c>
      <c r="AM12" s="1">
        <f>MAX(AM3:AM8)</f>
        <v>0</v>
      </c>
      <c r="AN12" s="1">
        <f>MAX(AN3:AN8)</f>
        <v>0</v>
      </c>
      <c r="AO12" s="1">
        <f>MAX(AO3:AO8)</f>
        <v>0</v>
      </c>
      <c r="AP12" s="1">
        <f>MAX(AP3:AP8)</f>
        <v>0</v>
      </c>
      <c r="AQ12" s="1">
        <f>MAX(AQ3:AQ8)</f>
        <v>0</v>
      </c>
      <c r="AR12" s="1">
        <f>MAX(AR3:AR8)</f>
        <v>15</v>
      </c>
      <c r="AS12" s="1">
        <f>MAX(AS3:AS8)</f>
        <v>0</v>
      </c>
      <c r="AT12" s="1">
        <f>MAX(AT3:AT8)</f>
        <v>20</v>
      </c>
      <c r="AU12" s="1">
        <f>MAX(AU3:AU8)</f>
        <v>0</v>
      </c>
      <c r="AV12" s="1">
        <f>MAX(AV3:AV8)</f>
        <v>0</v>
      </c>
      <c r="AW12" s="1">
        <f>MAX(AW3:AW8)</f>
        <v>20</v>
      </c>
      <c r="AX12" s="1">
        <f>MAX(AX3:AX8)</f>
        <v>20</v>
      </c>
      <c r="AY12" s="1">
        <f>MAX(AY3:AY8)</f>
        <v>0</v>
      </c>
      <c r="AZ12" s="1">
        <f>MAX(AZ3:AZ8)</f>
        <v>0</v>
      </c>
      <c r="BA12" s="1">
        <f>MAX(BA3:BA8)</f>
        <v>15</v>
      </c>
      <c r="BB12" s="1">
        <f>MAX(BB3:BB8)</f>
        <v>15</v>
      </c>
      <c r="BC12" s="1">
        <f>MAX(BC3:BC8)</f>
        <v>0</v>
      </c>
      <c r="BD12" s="1">
        <f>MAX(BD3:BD8)</f>
        <v>0</v>
      </c>
      <c r="BE12" s="1">
        <f>MAX(BE3:BE8)</f>
        <v>0</v>
      </c>
      <c r="BF12" s="1">
        <f>MAX(BF3:BF8)</f>
        <v>0</v>
      </c>
      <c r="BG12" s="1">
        <f>MAX(BG3:BG8)</f>
        <v>0</v>
      </c>
      <c r="BH12" s="1">
        <f>MAX(BH3:BH8)</f>
        <v>20</v>
      </c>
      <c r="BI12" s="1">
        <f>MAX(BI3:BI8)</f>
        <v>0</v>
      </c>
      <c r="BJ12" s="1">
        <f>MAX(BJ3:BJ8)</f>
        <v>0</v>
      </c>
      <c r="BK12" s="1">
        <f>MAX(BK3:BK8)</f>
        <v>0</v>
      </c>
      <c r="BL12" s="1">
        <f>MAX(BL3:BL8)</f>
        <v>0</v>
      </c>
      <c r="BM12" s="1">
        <f>MAX(BM3:BM8)</f>
        <v>0</v>
      </c>
      <c r="BN12" s="1">
        <f>MAX(BN3:BN8)</f>
        <v>0</v>
      </c>
      <c r="BO12" s="1">
        <f>MAX(BO3:BO8)</f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179</v>
      </c>
      <c r="C13" s="1"/>
      <c r="D13" s="1"/>
      <c r="E13" s="1">
        <f>MIN(E3:E8)</f>
        <v>10</v>
      </c>
      <c r="F13" s="1">
        <f>MIN(F3:F8)</f>
        <v>5</v>
      </c>
      <c r="G13" s="1">
        <f>MIN(G3:G8)</f>
        <v>15</v>
      </c>
      <c r="H13" s="1">
        <f>MIN(H3:H8)</f>
        <v>15</v>
      </c>
      <c r="I13" s="1">
        <f>MIN(I3:I8)</f>
        <v>0</v>
      </c>
      <c r="J13" s="1">
        <f>MIN(J3:J8)</f>
        <v>0</v>
      </c>
      <c r="K13" s="1">
        <f>MIN(K3:K8)</f>
        <v>0</v>
      </c>
      <c r="L13" s="1">
        <f>MIN(L3:L8)</f>
        <v>0</v>
      </c>
      <c r="M13" s="1">
        <f>MIN(M3:M8)</f>
        <v>0</v>
      </c>
      <c r="N13" s="1">
        <f>MIN(N3:N8)</f>
        <v>0</v>
      </c>
      <c r="O13" s="1">
        <f>MIN(O3:O8)</f>
        <v>0</v>
      </c>
      <c r="P13" s="1">
        <f>MIN(P3:P8)</f>
        <v>0</v>
      </c>
      <c r="Q13" s="1">
        <f>MIN(Q3:Q8)</f>
        <v>0</v>
      </c>
      <c r="R13" s="1">
        <f>MIN(R3:R8)</f>
        <v>0</v>
      </c>
      <c r="S13" s="1">
        <f>MIN(S3:S8)</f>
        <v>0</v>
      </c>
      <c r="T13" s="1">
        <f>MIN(T3:T8)</f>
        <v>0</v>
      </c>
      <c r="U13" s="1">
        <f>MIN(U3:U8)</f>
        <v>0</v>
      </c>
      <c r="V13" s="1">
        <f>MIN(V3:V8)</f>
        <v>0</v>
      </c>
      <c r="W13" s="1">
        <f>MIN(W3:W8)</f>
        <v>0</v>
      </c>
      <c r="X13" s="1">
        <f>MIN(X3:X8)</f>
        <v>0</v>
      </c>
      <c r="Y13" s="1">
        <f>MIN(Y3:Y8)</f>
        <v>0</v>
      </c>
      <c r="Z13" s="1">
        <f>MIN(Z3:Z8)</f>
        <v>0</v>
      </c>
      <c r="AA13" s="1">
        <f>MIN(AA3:AA8)</f>
        <v>0</v>
      </c>
      <c r="AB13" s="1">
        <f>MIN(AB3:AB8)</f>
        <v>0</v>
      </c>
      <c r="AC13" s="1">
        <f>MIN(AC3:AC8)</f>
        <v>0</v>
      </c>
      <c r="AD13" s="1">
        <f>MIN(AD3:AD8)</f>
        <v>0</v>
      </c>
      <c r="AE13" s="1">
        <f>MIN(AE3:AE8)</f>
        <v>0</v>
      </c>
      <c r="AF13" s="1">
        <f>MIN(AF3:AF8)</f>
        <v>0</v>
      </c>
      <c r="AG13" s="1">
        <f>MIN(AG3:AG8)</f>
        <v>5</v>
      </c>
      <c r="AH13" s="1">
        <f>MIN(AH3:AH8)</f>
        <v>0</v>
      </c>
      <c r="AI13" s="1">
        <f>MIN(AI3:AI8)</f>
        <v>0</v>
      </c>
      <c r="AJ13" s="1">
        <f>MIN(AJ3:AJ8)</f>
        <v>0</v>
      </c>
      <c r="AK13" s="1">
        <f>MIN(AK3:AK8)</f>
        <v>0</v>
      </c>
      <c r="AL13" s="1">
        <f>MIN(AL3:AL8)</f>
        <v>0</v>
      </c>
      <c r="AM13" s="1">
        <f>MIN(AM3:AM8)</f>
        <v>0</v>
      </c>
      <c r="AN13" s="1">
        <f>MIN(AN3:AN8)</f>
        <v>0</v>
      </c>
      <c r="AO13" s="1">
        <f>MIN(AO3:AO8)</f>
        <v>0</v>
      </c>
      <c r="AP13" s="1">
        <f>MIN(AP3:AP8)</f>
        <v>0</v>
      </c>
      <c r="AQ13" s="1">
        <f>MIN(AQ3:AQ8)</f>
        <v>0</v>
      </c>
      <c r="AR13" s="1">
        <f>MIN(AR3:AR8)</f>
        <v>10</v>
      </c>
      <c r="AS13" s="1">
        <f>MIN(AS3:AS8)</f>
        <v>0</v>
      </c>
      <c r="AT13" s="1">
        <f>MIN(AT3:AT8)</f>
        <v>20</v>
      </c>
      <c r="AU13" s="1">
        <f>MIN(AU3:AU8)</f>
        <v>0</v>
      </c>
      <c r="AV13" s="1">
        <f>MIN(AV3:AV8)</f>
        <v>0</v>
      </c>
      <c r="AW13" s="1">
        <f>MIN(AW3:AW8)</f>
        <v>15</v>
      </c>
      <c r="AX13" s="1">
        <f>MIN(AX3:AX8)</f>
        <v>15</v>
      </c>
      <c r="AY13" s="1">
        <f>MIN(AY3:AY8)</f>
        <v>0</v>
      </c>
      <c r="AZ13" s="1">
        <f>MIN(AZ3:AZ8)</f>
        <v>0</v>
      </c>
      <c r="BA13" s="1">
        <f>MIN(BA3:BA8)</f>
        <v>15</v>
      </c>
      <c r="BB13" s="1">
        <f>MIN(BB3:BB8)</f>
        <v>10</v>
      </c>
      <c r="BC13" s="1">
        <f>MIN(BC3:BC8)</f>
        <v>0</v>
      </c>
      <c r="BD13" s="1">
        <f>MIN(BD3:BD8)</f>
        <v>0</v>
      </c>
      <c r="BE13" s="1">
        <f>MIN(BE3:BE8)</f>
        <v>0</v>
      </c>
      <c r="BF13" s="1">
        <f>MIN(BF3:BF8)</f>
        <v>0</v>
      </c>
      <c r="BG13" s="1">
        <f>MIN(BG3:BG8)</f>
        <v>0</v>
      </c>
      <c r="BH13" s="1">
        <f>MIN(BH3:BH8)</f>
        <v>20</v>
      </c>
      <c r="BI13" s="1">
        <f>MIN(BI3:BI8)</f>
        <v>0</v>
      </c>
      <c r="BJ13" s="1">
        <f>MIN(BJ3:BJ8)</f>
        <v>0</v>
      </c>
      <c r="BK13" s="1">
        <f>MIN(BK3:BK8)</f>
        <v>0</v>
      </c>
      <c r="BL13" s="1">
        <f>MIN(BL3:BL8)</f>
        <v>0</v>
      </c>
      <c r="BM13" s="1">
        <f>MIN(BM3:BM8)</f>
        <v>0</v>
      </c>
      <c r="BN13" s="1">
        <f>MIN(BN3:BN8)</f>
        <v>0</v>
      </c>
      <c r="BO13" s="1">
        <f>MIN(BO3:BO8)</f>
        <v>0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180</v>
      </c>
      <c r="C14" s="1"/>
      <c r="D14" s="1"/>
      <c r="E14" s="1">
        <f>E10-E12</f>
        <v>30</v>
      </c>
      <c r="F14" s="1">
        <f>F10-F12</f>
        <v>10</v>
      </c>
      <c r="G14" s="1">
        <f>G10-G12</f>
        <v>19</v>
      </c>
      <c r="H14" s="1">
        <f>H10-H12</f>
        <v>-5</v>
      </c>
      <c r="I14" s="1">
        <f>I10-I12</f>
        <v>38</v>
      </c>
      <c r="J14" s="1">
        <f>J10-J12</f>
        <v>52</v>
      </c>
      <c r="K14" s="1">
        <f>K10-K12</f>
        <v>25</v>
      </c>
      <c r="L14" s="1">
        <f>L10-L12</f>
        <v>78</v>
      </c>
      <c r="M14" s="1">
        <f>M10-M12</f>
        <v>37</v>
      </c>
      <c r="N14" s="1">
        <f>N10-N12</f>
        <v>43</v>
      </c>
      <c r="O14" s="1">
        <f>O10-O12</f>
        <v>17</v>
      </c>
      <c r="P14" s="1">
        <f>P10-P12</f>
        <v>2</v>
      </c>
      <c r="Q14" s="1">
        <f>Q10-Q12</f>
        <v>1</v>
      </c>
      <c r="R14" s="1">
        <f>R10-R12</f>
        <v>2</v>
      </c>
      <c r="S14" s="1">
        <f>S10-S12</f>
        <v>1</v>
      </c>
      <c r="T14" s="1">
        <f>T10-T12</f>
        <v>5</v>
      </c>
      <c r="U14" s="1">
        <f>U10-U12</f>
        <v>0</v>
      </c>
      <c r="V14" s="1">
        <f>V10-V12</f>
        <v>2</v>
      </c>
      <c r="W14" s="1">
        <f>W10-W12</f>
        <v>2</v>
      </c>
      <c r="X14" s="1">
        <f>X10-X12</f>
        <v>6</v>
      </c>
      <c r="Y14" s="1">
        <f>Y10-Y12</f>
        <v>0</v>
      </c>
      <c r="Z14" s="1">
        <f>Z10-Z12</f>
        <v>1</v>
      </c>
      <c r="AA14" s="1">
        <f>AA10-AA12</f>
        <v>1</v>
      </c>
      <c r="AB14" s="1">
        <f>AB10-AB12</f>
        <v>8</v>
      </c>
      <c r="AC14" s="1">
        <f>AC10-AC12</f>
        <v>2</v>
      </c>
      <c r="AD14" s="1">
        <f>AD10-AD12</f>
        <v>4</v>
      </c>
      <c r="AE14" s="1">
        <f>AE10-AE12</f>
        <v>1</v>
      </c>
      <c r="AF14" s="1">
        <f>AF10-AF12</f>
        <v>0</v>
      </c>
      <c r="AG14" s="1">
        <f>AG10-AG12</f>
        <v>-5</v>
      </c>
      <c r="AH14" s="1">
        <f>AH10-AH12</f>
        <v>0</v>
      </c>
      <c r="AI14" s="1">
        <f>AI10-AI12</f>
        <v>0</v>
      </c>
      <c r="AJ14" s="1">
        <f>AJ10-AJ12</f>
        <v>0</v>
      </c>
      <c r="AK14" s="1">
        <f>AK10-AK12</f>
        <v>33</v>
      </c>
      <c r="AL14" s="1">
        <f>AL10-AL12</f>
        <v>43</v>
      </c>
      <c r="AM14" s="1">
        <f>AM10-AM12</f>
        <v>3</v>
      </c>
      <c r="AN14" s="1">
        <f>AN10-AN12</f>
        <v>0</v>
      </c>
      <c r="AO14" s="1">
        <f>AO10-AO12</f>
        <v>0</v>
      </c>
      <c r="AP14" s="1">
        <f>AP10-AP12</f>
        <v>0</v>
      </c>
      <c r="AQ14" s="1">
        <f>AQ10-AQ12</f>
        <v>11</v>
      </c>
      <c r="AR14" s="1">
        <f>AR10-AR12</f>
        <v>-13</v>
      </c>
      <c r="AS14" s="1">
        <f>AS10-AS12</f>
        <v>2</v>
      </c>
      <c r="AT14" s="1">
        <f>AT10-AT12</f>
        <v>1</v>
      </c>
      <c r="AU14" s="1">
        <f>AU10-AU12</f>
        <v>17</v>
      </c>
      <c r="AV14" s="1">
        <f>AV10-AV12</f>
        <v>10</v>
      </c>
      <c r="AW14" s="1">
        <f>AW10-AW12</f>
        <v>-6</v>
      </c>
      <c r="AX14" s="1">
        <f>AX10-AX12</f>
        <v>15</v>
      </c>
      <c r="AY14" s="1">
        <f>AY10-AY12</f>
        <v>20</v>
      </c>
      <c r="AZ14" s="1">
        <f>AZ10-AZ12</f>
        <v>4</v>
      </c>
      <c r="BA14" s="1">
        <f>BA10-BA12</f>
        <v>-15</v>
      </c>
      <c r="BB14" s="1">
        <f>BB10-BB12</f>
        <v>54</v>
      </c>
      <c r="BC14" s="1">
        <f>BC10-BC12</f>
        <v>10</v>
      </c>
      <c r="BD14" s="1">
        <f>BD10-BD12</f>
        <v>162</v>
      </c>
      <c r="BE14" s="1">
        <f>BE10-BE12</f>
        <v>244</v>
      </c>
      <c r="BF14" s="1">
        <f>BF10-BF12</f>
        <v>233</v>
      </c>
      <c r="BG14" s="1">
        <f>BG10-BG12</f>
        <v>242</v>
      </c>
      <c r="BH14" s="1">
        <f>BH10-BH12</f>
        <v>121</v>
      </c>
      <c r="BI14" s="1">
        <f>BI10-BI12</f>
        <v>154</v>
      </c>
      <c r="BJ14" s="1">
        <f>BJ10-BJ12</f>
        <v>41</v>
      </c>
      <c r="BK14" s="1">
        <f>BK10-BK12</f>
        <v>49</v>
      </c>
      <c r="BL14" s="1">
        <f>BL10-BL12</f>
        <v>81</v>
      </c>
      <c r="BM14" s="1">
        <f>BM10-BM12</f>
        <v>0</v>
      </c>
      <c r="BN14" s="1">
        <f>BN10-BN12</f>
        <v>5</v>
      </c>
      <c r="BO14" s="1">
        <f>BO10-BO12</f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s="13" customFormat="1" x14ac:dyDescent="0.15">
      <c r="A15" s="1"/>
      <c r="B15" s="3" t="s">
        <v>181</v>
      </c>
      <c r="C15" s="1"/>
      <c r="D15" s="1"/>
      <c r="E15" s="1">
        <f>E10-E13</f>
        <v>35</v>
      </c>
      <c r="F15" s="1">
        <f>F10-F13</f>
        <v>15</v>
      </c>
      <c r="G15" s="1">
        <f>G10-G13</f>
        <v>19</v>
      </c>
      <c r="H15" s="1">
        <f>H10-H13</f>
        <v>-5</v>
      </c>
      <c r="I15" s="1">
        <f>I10-I13</f>
        <v>38</v>
      </c>
      <c r="J15" s="1">
        <f>J10-J13</f>
        <v>52</v>
      </c>
      <c r="K15" s="1">
        <f>K10-K13</f>
        <v>25</v>
      </c>
      <c r="L15" s="1">
        <f>L10-L13</f>
        <v>78</v>
      </c>
      <c r="M15" s="1">
        <f>M10-M13</f>
        <v>37</v>
      </c>
      <c r="N15" s="1">
        <f>N10-N13</f>
        <v>43</v>
      </c>
      <c r="O15" s="1">
        <f>O10-O13</f>
        <v>17</v>
      </c>
      <c r="P15" s="1">
        <f>P10-P13</f>
        <v>2</v>
      </c>
      <c r="Q15" s="1">
        <f>Q10-Q13</f>
        <v>1</v>
      </c>
      <c r="R15" s="1">
        <f>R10-R13</f>
        <v>2</v>
      </c>
      <c r="S15" s="1">
        <f>S10-S13</f>
        <v>1</v>
      </c>
      <c r="T15" s="1">
        <f>T10-T13</f>
        <v>5</v>
      </c>
      <c r="U15" s="1">
        <f>U10-U13</f>
        <v>0</v>
      </c>
      <c r="V15" s="1">
        <f>V10-V13</f>
        <v>2</v>
      </c>
      <c r="W15" s="1">
        <f>W10-W13</f>
        <v>2</v>
      </c>
      <c r="X15" s="1">
        <f>X10-X13</f>
        <v>6</v>
      </c>
      <c r="Y15" s="1">
        <f>Y10-Y13</f>
        <v>0</v>
      </c>
      <c r="Z15" s="1">
        <f>Z10-Z13</f>
        <v>1</v>
      </c>
      <c r="AA15" s="1">
        <f>AA10-AA13</f>
        <v>1</v>
      </c>
      <c r="AB15" s="1">
        <f>AB10-AB13</f>
        <v>8</v>
      </c>
      <c r="AC15" s="1">
        <f>AC10-AC13</f>
        <v>2</v>
      </c>
      <c r="AD15" s="1">
        <f>AD10-AD13</f>
        <v>4</v>
      </c>
      <c r="AE15" s="1">
        <f>AE10-AE13</f>
        <v>1</v>
      </c>
      <c r="AF15" s="1">
        <f>AF10-AF13</f>
        <v>0</v>
      </c>
      <c r="AG15" s="1">
        <f>AG10-AG13</f>
        <v>-5</v>
      </c>
      <c r="AH15" s="1">
        <f>AH10-AH13</f>
        <v>0</v>
      </c>
      <c r="AI15" s="1">
        <f>AI10-AI13</f>
        <v>0</v>
      </c>
      <c r="AJ15" s="1">
        <f>AJ10-AJ13</f>
        <v>0</v>
      </c>
      <c r="AK15" s="1">
        <f>AK10-AK13</f>
        <v>33</v>
      </c>
      <c r="AL15" s="1">
        <f>AL10-AL13</f>
        <v>43</v>
      </c>
      <c r="AM15" s="1">
        <f>AM10-AM13</f>
        <v>3</v>
      </c>
      <c r="AN15" s="1">
        <f>AN10-AN13</f>
        <v>0</v>
      </c>
      <c r="AO15" s="1">
        <f>AO10-AO13</f>
        <v>0</v>
      </c>
      <c r="AP15" s="1">
        <f>AP10-AP13</f>
        <v>0</v>
      </c>
      <c r="AQ15" s="1">
        <f>AQ10-AQ13</f>
        <v>11</v>
      </c>
      <c r="AR15" s="1">
        <f>AR10-AR13</f>
        <v>-8</v>
      </c>
      <c r="AS15" s="1">
        <f>AS10-AS13</f>
        <v>2</v>
      </c>
      <c r="AT15" s="1">
        <f>AT10-AT13</f>
        <v>1</v>
      </c>
      <c r="AU15" s="1">
        <f>AU10-AU13</f>
        <v>17</v>
      </c>
      <c r="AV15" s="1">
        <f>AV10-AV13</f>
        <v>10</v>
      </c>
      <c r="AW15" s="1">
        <f>AW10-AW13</f>
        <v>-1</v>
      </c>
      <c r="AX15" s="1">
        <f>AX10-AX13</f>
        <v>20</v>
      </c>
      <c r="AY15" s="1">
        <f>AY10-AY13</f>
        <v>20</v>
      </c>
      <c r="AZ15" s="1">
        <f>AZ10-AZ13</f>
        <v>4</v>
      </c>
      <c r="BA15" s="1">
        <f>BA10-BA13</f>
        <v>-15</v>
      </c>
      <c r="BB15" s="1">
        <f>BB10-BB13</f>
        <v>59</v>
      </c>
      <c r="BC15" s="1">
        <f>BC10-BC13</f>
        <v>10</v>
      </c>
      <c r="BD15" s="1">
        <f>BD10-BD13</f>
        <v>162</v>
      </c>
      <c r="BE15" s="1">
        <f>BE10-BE13</f>
        <v>244</v>
      </c>
      <c r="BF15" s="1">
        <f>BF10-BF13</f>
        <v>233</v>
      </c>
      <c r="BG15" s="1">
        <f>BG10-BG13</f>
        <v>242</v>
      </c>
      <c r="BH15" s="1">
        <f>BH10-BH13</f>
        <v>121</v>
      </c>
      <c r="BI15" s="1">
        <f>BI10-BI13</f>
        <v>154</v>
      </c>
      <c r="BJ15" s="1">
        <f>BJ10-BJ13</f>
        <v>41</v>
      </c>
      <c r="BK15" s="1">
        <f>BK10-BK13</f>
        <v>49</v>
      </c>
      <c r="BL15" s="1">
        <f>BL10-BL13</f>
        <v>81</v>
      </c>
      <c r="BM15" s="1">
        <f>BM10-BM13</f>
        <v>0</v>
      </c>
      <c r="BN15" s="1">
        <f>BN10-BN13</f>
        <v>5</v>
      </c>
      <c r="BO15" s="1">
        <f>BO10-BO13</f>
        <v>5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</sheetData>
  <autoFilter ref="A1:BP8"/>
  <phoneticPr fontId="1" type="noConversion"/>
  <conditionalFormatting sqref="E12">
    <cfRule type="expression" dxfId="2" priority="3">
      <formula>"&lt;=$E$135"</formula>
    </cfRule>
  </conditionalFormatting>
  <conditionalFormatting sqref="E14:BO15">
    <cfRule type="cellIs" dxfId="1" priority="1" operator="lessThan">
      <formula>0</formula>
    </cfRule>
  </conditionalFormatting>
  <conditionalFormatting sqref="E11:BO11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</xdr:row>
                    <xdr:rowOff>28575</xdr:rowOff>
                  </from>
                  <to>
                    <xdr:col>1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80</v>
      </c>
      <c r="B1" s="5" t="s">
        <v>77</v>
      </c>
      <c r="C1" s="5" t="s">
        <v>81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51</v>
      </c>
      <c r="C3" s="1">
        <v>120</v>
      </c>
    </row>
    <row r="4" spans="1:3" x14ac:dyDescent="0.15">
      <c r="A4" s="1">
        <v>4</v>
      </c>
      <c r="B4" s="4" t="s">
        <v>52</v>
      </c>
      <c r="C4" s="1">
        <v>85</v>
      </c>
    </row>
    <row r="5" spans="1:3" x14ac:dyDescent="0.15">
      <c r="A5" s="1">
        <v>3</v>
      </c>
      <c r="B5" s="4" t="s">
        <v>43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30</v>
      </c>
      <c r="C10" s="1">
        <v>45</v>
      </c>
    </row>
    <row r="11" spans="1:3" x14ac:dyDescent="0.15">
      <c r="A11" s="1">
        <v>5</v>
      </c>
      <c r="B11" s="4" t="s">
        <v>58</v>
      </c>
      <c r="C11" s="1">
        <v>45</v>
      </c>
    </row>
    <row r="12" spans="1:3" x14ac:dyDescent="0.15">
      <c r="A12" s="1">
        <v>11</v>
      </c>
      <c r="B12" s="2" t="s">
        <v>44</v>
      </c>
      <c r="C12" s="1">
        <v>10</v>
      </c>
    </row>
    <row r="13" spans="1:3" x14ac:dyDescent="0.15">
      <c r="A13" s="1">
        <v>6</v>
      </c>
      <c r="B13" s="4" t="s">
        <v>62</v>
      </c>
      <c r="C13" s="1">
        <v>8</v>
      </c>
    </row>
    <row r="19" spans="3:18" x14ac:dyDescent="0.15">
      <c r="G19" s="10" t="s">
        <v>43</v>
      </c>
      <c r="H19" s="10" t="s">
        <v>5</v>
      </c>
      <c r="I19" s="10" t="s">
        <v>30</v>
      </c>
      <c r="J19" s="10" t="s">
        <v>58</v>
      </c>
      <c r="K19" s="10" t="s">
        <v>62</v>
      </c>
      <c r="L19" s="10" t="s">
        <v>52</v>
      </c>
      <c r="M19" s="11" t="s">
        <v>6</v>
      </c>
      <c r="N19" s="11" t="s">
        <v>7</v>
      </c>
      <c r="O19" s="11" t="s">
        <v>44</v>
      </c>
      <c r="P19" s="11" t="s">
        <v>8</v>
      </c>
      <c r="Q19" s="11" t="s">
        <v>51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182</v>
      </c>
      <c r="D27" t="s">
        <v>183</v>
      </c>
      <c r="E27" t="s">
        <v>184</v>
      </c>
      <c r="F27" t="s">
        <v>185</v>
      </c>
      <c r="G27" t="s">
        <v>186</v>
      </c>
      <c r="H27" t="s">
        <v>187</v>
      </c>
      <c r="I27" t="s">
        <v>188</v>
      </c>
      <c r="J27" t="s">
        <v>189</v>
      </c>
      <c r="K27" t="s">
        <v>190</v>
      </c>
      <c r="L27" t="s">
        <v>191</v>
      </c>
      <c r="M27" t="s">
        <v>192</v>
      </c>
      <c r="N27" t="s">
        <v>193</v>
      </c>
    </row>
    <row r="31" spans="3:18" x14ac:dyDescent="0.15">
      <c r="C31">
        <v>-3</v>
      </c>
      <c r="D31" t="s">
        <v>182</v>
      </c>
    </row>
    <row r="32" spans="3:18" x14ac:dyDescent="0.15">
      <c r="C32">
        <v>-8</v>
      </c>
      <c r="D32" t="s">
        <v>183</v>
      </c>
    </row>
    <row r="33" spans="3:4" x14ac:dyDescent="0.15">
      <c r="C33">
        <v>-3</v>
      </c>
      <c r="D33" t="s">
        <v>184</v>
      </c>
    </row>
    <row r="34" spans="3:4" x14ac:dyDescent="0.15">
      <c r="C34">
        <v>1</v>
      </c>
      <c r="D34" t="s">
        <v>185</v>
      </c>
    </row>
    <row r="35" spans="3:4" x14ac:dyDescent="0.15">
      <c r="C35">
        <v>3</v>
      </c>
      <c r="D35" t="s">
        <v>186</v>
      </c>
    </row>
    <row r="36" spans="3:4" x14ac:dyDescent="0.15">
      <c r="C36">
        <v>0</v>
      </c>
      <c r="D36" t="s">
        <v>187</v>
      </c>
    </row>
    <row r="37" spans="3:4" x14ac:dyDescent="0.15">
      <c r="C37">
        <v>-3</v>
      </c>
      <c r="D37" t="s">
        <v>188</v>
      </c>
    </row>
    <row r="38" spans="3:4" x14ac:dyDescent="0.15">
      <c r="C38">
        <v>30</v>
      </c>
      <c r="D38" t="s">
        <v>189</v>
      </c>
    </row>
    <row r="39" spans="3:4" x14ac:dyDescent="0.15">
      <c r="C39">
        <v>5</v>
      </c>
      <c r="D39" t="s">
        <v>190</v>
      </c>
    </row>
    <row r="40" spans="3:4" x14ac:dyDescent="0.15">
      <c r="C40">
        <v>-10</v>
      </c>
      <c r="D40" t="s">
        <v>191</v>
      </c>
    </row>
    <row r="41" spans="3:4" x14ac:dyDescent="0.15">
      <c r="C41">
        <v>3</v>
      </c>
      <c r="D41" t="s">
        <v>192</v>
      </c>
    </row>
    <row r="42" spans="3:4" x14ac:dyDescent="0.15">
      <c r="C42">
        <v>138</v>
      </c>
      <c r="D42" t="s">
        <v>193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87</v>
      </c>
      <c r="B1" s="8" t="s">
        <v>88</v>
      </c>
      <c r="C1" s="8" t="s">
        <v>89</v>
      </c>
    </row>
    <row r="2" spans="1:3" x14ac:dyDescent="0.15">
      <c r="A2" s="1">
        <v>5</v>
      </c>
      <c r="B2" s="10" t="s">
        <v>62</v>
      </c>
      <c r="C2" s="1">
        <v>0</v>
      </c>
    </row>
    <row r="3" spans="1:3" x14ac:dyDescent="0.15">
      <c r="A3" s="1">
        <v>9</v>
      </c>
      <c r="B3" s="11" t="s">
        <v>44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58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30</v>
      </c>
      <c r="C11" s="1">
        <v>5</v>
      </c>
    </row>
    <row r="12" spans="1:3" x14ac:dyDescent="0.15">
      <c r="A12" s="1">
        <v>11</v>
      </c>
      <c r="B12" s="11" t="s">
        <v>51</v>
      </c>
      <c r="C12" s="1">
        <v>5</v>
      </c>
    </row>
    <row r="13" spans="1:3" x14ac:dyDescent="0.15">
      <c r="A13" s="1">
        <v>6</v>
      </c>
      <c r="B13" s="10" t="s">
        <v>52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30</v>
      </c>
      <c r="C4">
        <v>0</v>
      </c>
    </row>
    <row r="5" spans="2:3" x14ac:dyDescent="0.15">
      <c r="B5" s="10" t="s">
        <v>62</v>
      </c>
      <c r="C5">
        <v>0</v>
      </c>
    </row>
    <row r="6" spans="2:3" x14ac:dyDescent="0.15">
      <c r="B6" s="11" t="s">
        <v>44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51</v>
      </c>
      <c r="C8">
        <v>0</v>
      </c>
    </row>
    <row r="9" spans="2:3" x14ac:dyDescent="0.15">
      <c r="B9" s="10" t="s">
        <v>58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52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2020-03-29T01:40:19Z</dcterms:modified>
</cp:coreProperties>
</file>