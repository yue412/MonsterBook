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3" i="1" l="1"/>
  <c r="AD165" i="1" s="1"/>
  <c r="BP162" i="1" l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S162" i="1"/>
  <c r="P163" i="1"/>
  <c r="P165" i="1" s="1"/>
  <c r="Q163" i="1"/>
  <c r="Q165" i="1" s="1"/>
  <c r="R163" i="1"/>
  <c r="R165" i="1" s="1"/>
  <c r="S163" i="1"/>
  <c r="S165" i="1" s="1"/>
  <c r="T163" i="1"/>
  <c r="T165" i="1" s="1"/>
  <c r="U163" i="1"/>
  <c r="U165" i="1" s="1"/>
  <c r="V163" i="1"/>
  <c r="V165" i="1" s="1"/>
  <c r="W163" i="1"/>
  <c r="W165" i="1" s="1"/>
  <c r="X163" i="1"/>
  <c r="X165" i="1" s="1"/>
  <c r="Y163" i="1"/>
  <c r="Y165" i="1" s="1"/>
  <c r="Z163" i="1"/>
  <c r="Z165" i="1" s="1"/>
  <c r="AA163" i="1"/>
  <c r="AA165" i="1" s="1"/>
  <c r="AB163" i="1"/>
  <c r="AB165" i="1" s="1"/>
  <c r="AC163" i="1"/>
  <c r="AC165" i="1" s="1"/>
  <c r="CF162" i="1" l="1"/>
  <c r="CM162" i="1" s="1"/>
  <c r="AO163" i="1"/>
  <c r="AO165" i="1" s="1"/>
  <c r="AP163" i="1"/>
  <c r="AP165" i="1" s="1"/>
  <c r="BC163" i="1"/>
  <c r="BC165" i="1" s="1"/>
  <c r="CO162" i="1" l="1"/>
  <c r="CK162" i="1"/>
  <c r="CI162" i="1"/>
  <c r="CN162" i="1"/>
  <c r="CP162" i="1"/>
  <c r="CJ162" i="1"/>
  <c r="CL162" i="1"/>
  <c r="CG162" i="1"/>
  <c r="CQ162" i="1"/>
  <c r="CH162" i="1"/>
  <c r="CR162" i="1"/>
  <c r="CS3" i="1"/>
  <c r="CS4" i="1"/>
  <c r="CS5" i="1"/>
  <c r="CS65" i="1"/>
  <c r="CS6" i="1"/>
  <c r="CS7" i="1"/>
  <c r="CS8" i="1"/>
  <c r="CS51" i="1"/>
  <c r="CS108" i="1"/>
  <c r="CS45" i="1"/>
  <c r="CS67" i="1"/>
  <c r="CS68" i="1"/>
  <c r="CS69" i="1"/>
  <c r="CS70" i="1"/>
  <c r="CS71" i="1"/>
  <c r="CS72" i="1"/>
  <c r="CS73" i="1"/>
  <c r="CS64" i="1"/>
  <c r="CS106" i="1"/>
  <c r="CS12" i="1"/>
  <c r="CS16" i="1"/>
  <c r="CS17" i="1"/>
  <c r="CS56" i="1"/>
  <c r="CS46" i="1"/>
  <c r="CS44" i="1"/>
  <c r="CS114" i="1"/>
  <c r="CS78" i="1"/>
  <c r="CS63" i="1"/>
  <c r="CS80" i="1"/>
  <c r="CS82" i="1"/>
  <c r="CS20" i="1"/>
  <c r="CS85" i="1"/>
  <c r="CS86" i="1"/>
  <c r="CS9" i="1"/>
  <c r="CS62" i="1"/>
  <c r="CS47" i="1"/>
  <c r="CS10" i="1"/>
  <c r="CS13" i="1"/>
  <c r="CS55" i="1"/>
  <c r="CS18" i="1"/>
  <c r="CS19" i="1"/>
  <c r="CS107" i="1"/>
  <c r="CS116" i="1"/>
  <c r="CS117" i="1"/>
  <c r="CS11" i="1"/>
  <c r="CS14" i="1"/>
  <c r="CS136" i="1"/>
  <c r="CS137" i="1"/>
  <c r="CS123" i="1"/>
  <c r="CS101" i="1"/>
  <c r="CS15" i="1"/>
  <c r="CS115" i="1"/>
  <c r="CS84" i="1"/>
  <c r="CS83" i="1"/>
  <c r="CS59" i="1"/>
  <c r="CS120" i="1"/>
  <c r="CS145" i="1"/>
  <c r="CS139" i="1"/>
  <c r="CS146" i="1"/>
  <c r="CS156" i="1"/>
  <c r="CS157" i="1"/>
  <c r="CS2" i="1"/>
  <c r="CS163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6" i="1"/>
  <c r="BU6" i="1"/>
  <c r="BV6" i="1"/>
  <c r="BW6" i="1"/>
  <c r="BX6" i="1"/>
  <c r="BY6" i="1"/>
  <c r="BZ6" i="1"/>
  <c r="CA6" i="1"/>
  <c r="CB6" i="1"/>
  <c r="CC6" i="1"/>
  <c r="CD6" i="1"/>
  <c r="CE6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BU2" i="1"/>
  <c r="BV2" i="1"/>
  <c r="BW2" i="1"/>
  <c r="BX2" i="1"/>
  <c r="BY2" i="1"/>
  <c r="BZ2" i="1"/>
  <c r="CA2" i="1"/>
  <c r="CB2" i="1"/>
  <c r="CC2" i="1"/>
  <c r="CD2" i="1"/>
  <c r="CE2" i="1"/>
  <c r="BT2" i="1"/>
  <c r="CF108" i="1" l="1"/>
  <c r="CR108" i="1" s="1"/>
  <c r="CF68" i="1"/>
  <c r="CR68" i="1" s="1"/>
  <c r="CF67" i="1"/>
  <c r="CN67" i="1" s="1"/>
  <c r="CF51" i="1"/>
  <c r="CH51" i="1" s="1"/>
  <c r="CA163" i="1"/>
  <c r="CC163" i="1"/>
  <c r="BX163" i="1"/>
  <c r="BZ163" i="1"/>
  <c r="BV163" i="1"/>
  <c r="BU163" i="1"/>
  <c r="CD163" i="1"/>
  <c r="BY163" i="1"/>
  <c r="CB163" i="1"/>
  <c r="CE163" i="1"/>
  <c r="CF59" i="1"/>
  <c r="CK59" i="1" s="1"/>
  <c r="CF106" i="1"/>
  <c r="CM106" i="1" s="1"/>
  <c r="CF85" i="1"/>
  <c r="CI85" i="1" s="1"/>
  <c r="CF18" i="1"/>
  <c r="CJ18" i="1" s="1"/>
  <c r="CF115" i="1"/>
  <c r="CG115" i="1" s="1"/>
  <c r="CF5" i="1"/>
  <c r="CN5" i="1" s="1"/>
  <c r="CF4" i="1"/>
  <c r="CN4" i="1" s="1"/>
  <c r="CF3" i="1"/>
  <c r="CN3" i="1" s="1"/>
  <c r="CF157" i="1"/>
  <c r="CG157" i="1" s="1"/>
  <c r="CF120" i="1"/>
  <c r="CK120" i="1" s="1"/>
  <c r="CF145" i="1"/>
  <c r="CK145" i="1" s="1"/>
  <c r="CF83" i="1"/>
  <c r="CR83" i="1" s="1"/>
  <c r="CF137" i="1"/>
  <c r="CJ137" i="1" s="1"/>
  <c r="CF55" i="1"/>
  <c r="CH55" i="1" s="1"/>
  <c r="CF11" i="1"/>
  <c r="CR11" i="1" s="1"/>
  <c r="CF12" i="1"/>
  <c r="CQ12" i="1" s="1"/>
  <c r="CF56" i="1"/>
  <c r="CR56" i="1" s="1"/>
  <c r="CF16" i="1"/>
  <c r="CH16" i="1" s="1"/>
  <c r="CF10" i="1"/>
  <c r="CN10" i="1" s="1"/>
  <c r="CF64" i="1"/>
  <c r="CH64" i="1" s="1"/>
  <c r="CF13" i="1"/>
  <c r="CN13" i="1" s="1"/>
  <c r="CF82" i="1"/>
  <c r="CL82" i="1" s="1"/>
  <c r="CF63" i="1"/>
  <c r="CH63" i="1" s="1"/>
  <c r="CF20" i="1"/>
  <c r="CK20" i="1" s="1"/>
  <c r="CF46" i="1"/>
  <c r="CO46" i="1" s="1"/>
  <c r="CF45" i="1"/>
  <c r="CO45" i="1" s="1"/>
  <c r="CF72" i="1"/>
  <c r="CH72" i="1" s="1"/>
  <c r="CF71" i="1"/>
  <c r="CP71" i="1" s="1"/>
  <c r="CF70" i="1"/>
  <c r="CN70" i="1" s="1"/>
  <c r="CF69" i="1"/>
  <c r="CR69" i="1" s="1"/>
  <c r="CF47" i="1"/>
  <c r="CG47" i="1" s="1"/>
  <c r="CF65" i="1"/>
  <c r="CQ65" i="1" s="1"/>
  <c r="CF6" i="1"/>
  <c r="CL6" i="1" s="1"/>
  <c r="CF19" i="1"/>
  <c r="CJ19" i="1" s="1"/>
  <c r="CF8" i="1"/>
  <c r="CN8" i="1" s="1"/>
  <c r="CF7" i="1"/>
  <c r="CI7" i="1" s="1"/>
  <c r="CF156" i="1"/>
  <c r="CR156" i="1" s="1"/>
  <c r="CF114" i="1"/>
  <c r="CJ114" i="1" s="1"/>
  <c r="CF146" i="1"/>
  <c r="CO146" i="1" s="1"/>
  <c r="CF84" i="1"/>
  <c r="CN84" i="1" s="1"/>
  <c r="CF15" i="1"/>
  <c r="CK15" i="1" s="1"/>
  <c r="CF136" i="1"/>
  <c r="CR136" i="1" s="1"/>
  <c r="CF9" i="1"/>
  <c r="CP9" i="1" s="1"/>
  <c r="CF14" i="1"/>
  <c r="CR14" i="1" s="1"/>
  <c r="CF78" i="1"/>
  <c r="CH78" i="1" s="1"/>
  <c r="CF17" i="1"/>
  <c r="CK17" i="1" s="1"/>
  <c r="CF117" i="1"/>
  <c r="CN117" i="1" s="1"/>
  <c r="CF116" i="1"/>
  <c r="CL116" i="1" s="1"/>
  <c r="CF123" i="1"/>
  <c r="CN123" i="1" s="1"/>
  <c r="CF107" i="1"/>
  <c r="CI107" i="1" s="1"/>
  <c r="CF62" i="1"/>
  <c r="CH62" i="1" s="1"/>
  <c r="CF86" i="1"/>
  <c r="CO86" i="1" s="1"/>
  <c r="CF80" i="1"/>
  <c r="CM80" i="1" s="1"/>
  <c r="CF44" i="1"/>
  <c r="CR44" i="1" s="1"/>
  <c r="CF73" i="1"/>
  <c r="CM73" i="1" s="1"/>
  <c r="CF2" i="1"/>
  <c r="CH2" i="1" s="1"/>
  <c r="CF101" i="1"/>
  <c r="CK101" i="1" s="1"/>
  <c r="CF139" i="1"/>
  <c r="CG139" i="1" s="1"/>
  <c r="BW163" i="1"/>
  <c r="BT163" i="1"/>
  <c r="BP56" i="1"/>
  <c r="BP9" i="1"/>
  <c r="BP11" i="1"/>
  <c r="BP146" i="1"/>
  <c r="BP3" i="1"/>
  <c r="BP67" i="1"/>
  <c r="BP68" i="1"/>
  <c r="BP69" i="1"/>
  <c r="BP107" i="1"/>
  <c r="BP123" i="1"/>
  <c r="BP157" i="1"/>
  <c r="BP62" i="1"/>
  <c r="BP116" i="1"/>
  <c r="BP136" i="1"/>
  <c r="BP70" i="1"/>
  <c r="BP71" i="1"/>
  <c r="BP78" i="1"/>
  <c r="BP4" i="1"/>
  <c r="BP51" i="1"/>
  <c r="BP106" i="1"/>
  <c r="BP7" i="1"/>
  <c r="BP64" i="1"/>
  <c r="BP65" i="1"/>
  <c r="BP145" i="1"/>
  <c r="BP5" i="1"/>
  <c r="BP15" i="1"/>
  <c r="BP13" i="1"/>
  <c r="BP80" i="1"/>
  <c r="BP72" i="1"/>
  <c r="BP82" i="1"/>
  <c r="BP84" i="1"/>
  <c r="BP59" i="1"/>
  <c r="BP55" i="1"/>
  <c r="BP14" i="1"/>
  <c r="BP20" i="1"/>
  <c r="BP101" i="1"/>
  <c r="BP139" i="1"/>
  <c r="BP10" i="1"/>
  <c r="BP12" i="1"/>
  <c r="BP8" i="1"/>
  <c r="BP47" i="1"/>
  <c r="BP156" i="1"/>
  <c r="BP117" i="1"/>
  <c r="BP137" i="1"/>
  <c r="BP73" i="1"/>
  <c r="BP45" i="1"/>
  <c r="BP46" i="1"/>
  <c r="BP83" i="1"/>
  <c r="BP18" i="1"/>
  <c r="BP115" i="1"/>
  <c r="BP19" i="1"/>
  <c r="BP44" i="1"/>
  <c r="BP85" i="1"/>
  <c r="BP86" i="1"/>
  <c r="J163" i="1"/>
  <c r="J165" i="1" s="1"/>
  <c r="K163" i="1"/>
  <c r="K165" i="1" s="1"/>
  <c r="L163" i="1"/>
  <c r="L165" i="1" s="1"/>
  <c r="M163" i="1"/>
  <c r="M165" i="1" s="1"/>
  <c r="N163" i="1"/>
  <c r="N165" i="1" s="1"/>
  <c r="O163" i="1"/>
  <c r="O165" i="1" s="1"/>
  <c r="AE163" i="1"/>
  <c r="AE165" i="1" s="1"/>
  <c r="AF163" i="1"/>
  <c r="AF165" i="1" s="1"/>
  <c r="AG163" i="1"/>
  <c r="AG165" i="1" s="1"/>
  <c r="AH163" i="1"/>
  <c r="AH165" i="1" s="1"/>
  <c r="AI163" i="1"/>
  <c r="AI165" i="1" s="1"/>
  <c r="AJ163" i="1"/>
  <c r="AJ165" i="1" s="1"/>
  <c r="AK163" i="1"/>
  <c r="AK165" i="1" s="1"/>
  <c r="AL163" i="1"/>
  <c r="AL165" i="1" s="1"/>
  <c r="AM163" i="1"/>
  <c r="AM165" i="1" s="1"/>
  <c r="AN163" i="1"/>
  <c r="AN165" i="1" s="1"/>
  <c r="AR163" i="1"/>
  <c r="AR165" i="1" s="1"/>
  <c r="AS163" i="1"/>
  <c r="AS165" i="1" s="1"/>
  <c r="AQ163" i="1"/>
  <c r="AQ165" i="1" s="1"/>
  <c r="AV163" i="1"/>
  <c r="AV165" i="1" s="1"/>
  <c r="AT163" i="1"/>
  <c r="AT165" i="1" s="1"/>
  <c r="AU163" i="1"/>
  <c r="AU165" i="1" s="1"/>
  <c r="BP63" i="1"/>
  <c r="BP120" i="1"/>
  <c r="BP2" i="1"/>
  <c r="BP16" i="1"/>
  <c r="BP17" i="1"/>
  <c r="BP6" i="1"/>
  <c r="BP108" i="1"/>
  <c r="BP114" i="1"/>
  <c r="BF163" i="1"/>
  <c r="BF165" i="1" s="1"/>
  <c r="BG163" i="1"/>
  <c r="BG165" i="1" s="1"/>
  <c r="BE163" i="1"/>
  <c r="BE165" i="1" s="1"/>
  <c r="BD163" i="1"/>
  <c r="BD165" i="1" s="1"/>
  <c r="BH163" i="1"/>
  <c r="BH165" i="1" s="1"/>
  <c r="BI163" i="1"/>
  <c r="BI165" i="1" s="1"/>
  <c r="BJ163" i="1"/>
  <c r="BJ165" i="1" s="1"/>
  <c r="BK163" i="1"/>
  <c r="BK165" i="1" s="1"/>
  <c r="BL163" i="1"/>
  <c r="BL165" i="1" s="1"/>
  <c r="BM163" i="1"/>
  <c r="BM165" i="1" s="1"/>
  <c r="BN163" i="1"/>
  <c r="BN165" i="1" s="1"/>
  <c r="BO163" i="1"/>
  <c r="BO165" i="1" s="1"/>
  <c r="F163" i="1"/>
  <c r="F165" i="1" s="1"/>
  <c r="G163" i="1"/>
  <c r="G165" i="1" s="1"/>
  <c r="H163" i="1"/>
  <c r="H165" i="1" s="1"/>
  <c r="I163" i="1"/>
  <c r="I165" i="1" s="1"/>
  <c r="AW163" i="1"/>
  <c r="AW165" i="1" s="1"/>
  <c r="AX163" i="1"/>
  <c r="AX165" i="1" s="1"/>
  <c r="AZ163" i="1"/>
  <c r="AZ165" i="1" s="1"/>
  <c r="BB163" i="1"/>
  <c r="BB165" i="1" s="1"/>
  <c r="AY163" i="1"/>
  <c r="AY165" i="1" s="1"/>
  <c r="BA163" i="1"/>
  <c r="BA165" i="1" s="1"/>
  <c r="E163" i="1"/>
  <c r="E165" i="1" s="1"/>
  <c r="CO51" i="1" l="1"/>
  <c r="CN72" i="1"/>
  <c r="CH19" i="1"/>
  <c r="CK72" i="1"/>
  <c r="CP4" i="1"/>
  <c r="CP6" i="1"/>
  <c r="CJ56" i="1"/>
  <c r="CI106" i="1"/>
  <c r="CJ5" i="1"/>
  <c r="CQ7" i="1"/>
  <c r="CG51" i="1"/>
  <c r="CM19" i="1"/>
  <c r="CH106" i="1"/>
  <c r="CP106" i="1"/>
  <c r="CG106" i="1"/>
  <c r="CR106" i="1"/>
  <c r="CN12" i="1"/>
  <c r="CK106" i="1"/>
  <c r="CI59" i="1"/>
  <c r="CP59" i="1"/>
  <c r="CQ59" i="1"/>
  <c r="CH59" i="1"/>
  <c r="CL19" i="1"/>
  <c r="CO59" i="1"/>
  <c r="CQ19" i="1"/>
  <c r="CG59" i="1"/>
  <c r="CP45" i="1"/>
  <c r="CO14" i="1"/>
  <c r="CR116" i="1"/>
  <c r="CP72" i="1"/>
  <c r="CN7" i="1"/>
  <c r="CI19" i="1"/>
  <c r="CQ18" i="1"/>
  <c r="CJ4" i="1"/>
  <c r="CL4" i="1"/>
  <c r="CM59" i="1"/>
  <c r="CM116" i="1"/>
  <c r="CK69" i="1"/>
  <c r="CN83" i="1"/>
  <c r="CN18" i="1"/>
  <c r="CO83" i="1"/>
  <c r="CM18" i="1"/>
  <c r="CI18" i="1"/>
  <c r="CR18" i="1"/>
  <c r="CL64" i="1"/>
  <c r="CN2" i="1"/>
  <c r="CK18" i="1"/>
  <c r="CL120" i="1"/>
  <c r="CQ8" i="1"/>
  <c r="CI10" i="1"/>
  <c r="CQ120" i="1"/>
  <c r="CJ120" i="1"/>
  <c r="CH18" i="1"/>
  <c r="CP18" i="1"/>
  <c r="CL13" i="1"/>
  <c r="CH65" i="1"/>
  <c r="CG12" i="1"/>
  <c r="CG18" i="1"/>
  <c r="CO12" i="1"/>
  <c r="CR51" i="1"/>
  <c r="CO18" i="1"/>
  <c r="CG13" i="1"/>
  <c r="CL51" i="1"/>
  <c r="CR3" i="1"/>
  <c r="CJ13" i="1"/>
  <c r="CL18" i="1"/>
  <c r="CR13" i="1"/>
  <c r="CI83" i="1"/>
  <c r="CO13" i="1"/>
  <c r="CO120" i="1"/>
  <c r="CQ83" i="1"/>
  <c r="CM69" i="1"/>
  <c r="CP65" i="1"/>
  <c r="CJ12" i="1"/>
  <c r="CR115" i="1"/>
  <c r="CQ115" i="1"/>
  <c r="CP115" i="1"/>
  <c r="CM46" i="1"/>
  <c r="CN115" i="1"/>
  <c r="CM115" i="1"/>
  <c r="CJ115" i="1"/>
  <c r="CJ85" i="1"/>
  <c r="CO115" i="1"/>
  <c r="CP80" i="1"/>
  <c r="CH115" i="1"/>
  <c r="CG80" i="1"/>
  <c r="CK115" i="1"/>
  <c r="CI115" i="1"/>
  <c r="CR19" i="1"/>
  <c r="CR82" i="1"/>
  <c r="CL137" i="1"/>
  <c r="CQ68" i="1"/>
  <c r="CQ137" i="1"/>
  <c r="CK82" i="1"/>
  <c r="CK114" i="1"/>
  <c r="CN68" i="1"/>
  <c r="CN14" i="1"/>
  <c r="CP68" i="1"/>
  <c r="CL114" i="1"/>
  <c r="CH68" i="1"/>
  <c r="CO114" i="1"/>
  <c r="CO68" i="1"/>
  <c r="CN137" i="1"/>
  <c r="CI114" i="1"/>
  <c r="CK68" i="1"/>
  <c r="CM137" i="1"/>
  <c r="CH114" i="1"/>
  <c r="CO137" i="1"/>
  <c r="CI137" i="1"/>
  <c r="CR114" i="1"/>
  <c r="CI68" i="1"/>
  <c r="CQ82" i="1"/>
  <c r="CH137" i="1"/>
  <c r="CQ114" i="1"/>
  <c r="CP82" i="1"/>
  <c r="CG137" i="1"/>
  <c r="CN114" i="1"/>
  <c r="CR15" i="1"/>
  <c r="CO6" i="1"/>
  <c r="CR2" i="1"/>
  <c r="CM123" i="1"/>
  <c r="CJ82" i="1"/>
  <c r="CM82" i="1"/>
  <c r="CR137" i="1"/>
  <c r="CI101" i="1"/>
  <c r="CJ68" i="1"/>
  <c r="CR7" i="1"/>
  <c r="CO19" i="1"/>
  <c r="CK156" i="1"/>
  <c r="CO65" i="1"/>
  <c r="CR12" i="1"/>
  <c r="CG72" i="1"/>
  <c r="CP46" i="1"/>
  <c r="CL83" i="1"/>
  <c r="CL7" i="1"/>
  <c r="CI45" i="1"/>
  <c r="CR107" i="1"/>
  <c r="CJ59" i="1"/>
  <c r="CL46" i="1"/>
  <c r="CM3" i="1"/>
  <c r="CJ106" i="1"/>
  <c r="CM2" i="1"/>
  <c r="CH13" i="1"/>
  <c r="CK146" i="1"/>
  <c r="CJ2" i="1"/>
  <c r="CM16" i="1"/>
  <c r="CP17" i="1"/>
  <c r="CQ136" i="1"/>
  <c r="CI3" i="1"/>
  <c r="CN106" i="1"/>
  <c r="CP13" i="1"/>
  <c r="CJ51" i="1"/>
  <c r="CI2" i="1"/>
  <c r="CM156" i="1"/>
  <c r="CP14" i="1"/>
  <c r="CL136" i="1"/>
  <c r="CG3" i="1"/>
  <c r="CM107" i="1"/>
  <c r="CG19" i="1"/>
  <c r="CM51" i="1"/>
  <c r="CN65" i="1"/>
  <c r="CK10" i="1"/>
  <c r="CM12" i="1"/>
  <c r="CQ72" i="1"/>
  <c r="CR59" i="1"/>
  <c r="CH83" i="1"/>
  <c r="CP56" i="1"/>
  <c r="CM7" i="1"/>
  <c r="CI139" i="1"/>
  <c r="CO106" i="1"/>
  <c r="CN16" i="1"/>
  <c r="CL139" i="1"/>
  <c r="CL65" i="1"/>
  <c r="CQ10" i="1"/>
  <c r="CO139" i="1"/>
  <c r="CL12" i="1"/>
  <c r="CM6" i="1"/>
  <c r="CO107" i="1"/>
  <c r="CI51" i="1"/>
  <c r="CG55" i="1"/>
  <c r="CH4" i="1"/>
  <c r="CG7" i="1"/>
  <c r="CR139" i="1"/>
  <c r="CL106" i="1"/>
  <c r="CK65" i="1"/>
  <c r="CO10" i="1"/>
  <c r="CK12" i="1"/>
  <c r="CG6" i="1"/>
  <c r="CL107" i="1"/>
  <c r="CQ51" i="1"/>
  <c r="CI72" i="1"/>
  <c r="CR55" i="1"/>
  <c r="CQ67" i="1"/>
  <c r="CN139" i="1"/>
  <c r="CH107" i="1"/>
  <c r="CI55" i="1"/>
  <c r="CK107" i="1"/>
  <c r="CO55" i="1"/>
  <c r="CO7" i="1"/>
  <c r="CP67" i="1"/>
  <c r="CM139" i="1"/>
  <c r="CN19" i="1"/>
  <c r="CN45" i="1"/>
  <c r="CN80" i="1"/>
  <c r="CL115" i="1"/>
  <c r="CK6" i="1"/>
  <c r="CR9" i="1"/>
  <c r="CL55" i="1"/>
  <c r="CM67" i="1"/>
  <c r="CJ139" i="1"/>
  <c r="CI80" i="1"/>
  <c r="CK9" i="1"/>
  <c r="CJ67" i="1"/>
  <c r="CQ146" i="1"/>
  <c r="CM63" i="1"/>
  <c r="CI67" i="1"/>
  <c r="CP146" i="1"/>
  <c r="CI63" i="1"/>
  <c r="CG67" i="1"/>
  <c r="CN146" i="1"/>
  <c r="CL67" i="1"/>
  <c r="CK139" i="1"/>
  <c r="CQ107" i="1"/>
  <c r="CJ146" i="1"/>
  <c r="CN55" i="1"/>
  <c r="CQ55" i="1"/>
  <c r="CK67" i="1"/>
  <c r="CN107" i="1"/>
  <c r="CG146" i="1"/>
  <c r="CP55" i="1"/>
  <c r="CJ55" i="1"/>
  <c r="CG107" i="1"/>
  <c r="CL146" i="1"/>
  <c r="CM55" i="1"/>
  <c r="CJ14" i="1"/>
  <c r="CQ4" i="1"/>
  <c r="CO3" i="1"/>
  <c r="CI145" i="1"/>
  <c r="CK7" i="1"/>
  <c r="CK19" i="1"/>
  <c r="CM45" i="1"/>
  <c r="CP10" i="1"/>
  <c r="CH80" i="1"/>
  <c r="CN157" i="1"/>
  <c r="CJ116" i="1"/>
  <c r="CM72" i="1"/>
  <c r="CN9" i="1"/>
  <c r="CL8" i="1"/>
  <c r="CQ16" i="1"/>
  <c r="CH14" i="1"/>
  <c r="CK136" i="1"/>
  <c r="CO69" i="1"/>
  <c r="CH7" i="1"/>
  <c r="CG156" i="1"/>
  <c r="CJ45" i="1"/>
  <c r="CG10" i="1"/>
  <c r="CQ80" i="1"/>
  <c r="CQ116" i="1"/>
  <c r="CJ72" i="1"/>
  <c r="CH9" i="1"/>
  <c r="CK8" i="1"/>
  <c r="CP16" i="1"/>
  <c r="CQ156" i="1"/>
  <c r="CJ108" i="1"/>
  <c r="CG14" i="1"/>
  <c r="CL69" i="1"/>
  <c r="CL156" i="1"/>
  <c r="CL2" i="1"/>
  <c r="CG45" i="1"/>
  <c r="CL10" i="1"/>
  <c r="CO80" i="1"/>
  <c r="CK116" i="1"/>
  <c r="CR72" i="1"/>
  <c r="CO9" i="1"/>
  <c r="CJ16" i="1"/>
  <c r="CN59" i="1"/>
  <c r="CP83" i="1"/>
  <c r="CI4" i="1"/>
  <c r="CQ3" i="1"/>
  <c r="CK70" i="1"/>
  <c r="CQ6" i="1"/>
  <c r="CL9" i="1"/>
  <c r="CI16" i="1"/>
  <c r="CJ3" i="1"/>
  <c r="CQ44" i="1"/>
  <c r="CG44" i="1"/>
  <c r="CJ80" i="1"/>
  <c r="CM14" i="1"/>
  <c r="CJ136" i="1"/>
  <c r="CL3" i="1"/>
  <c r="CQ69" i="1"/>
  <c r="CP7" i="1"/>
  <c r="CH85" i="1"/>
  <c r="CO156" i="1"/>
  <c r="CM65" i="1"/>
  <c r="CL45" i="1"/>
  <c r="CM10" i="1"/>
  <c r="CQ64" i="1"/>
  <c r="CM9" i="1"/>
  <c r="CP116" i="1"/>
  <c r="CK157" i="1"/>
  <c r="CN6" i="1"/>
  <c r="CO72" i="1"/>
  <c r="CJ9" i="1"/>
  <c r="CQ2" i="1"/>
  <c r="CG16" i="1"/>
  <c r="CP156" i="1"/>
  <c r="CL59" i="1"/>
  <c r="CG17" i="1"/>
  <c r="CL14" i="1"/>
  <c r="CP136" i="1"/>
  <c r="CM4" i="1"/>
  <c r="CK3" i="1"/>
  <c r="CJ69" i="1"/>
  <c r="CM44" i="1"/>
  <c r="CJ7" i="1"/>
  <c r="CO85" i="1"/>
  <c r="CQ106" i="1"/>
  <c r="CP19" i="1"/>
  <c r="CP2" i="1"/>
  <c r="CI65" i="1"/>
  <c r="CK45" i="1"/>
  <c r="CJ10" i="1"/>
  <c r="CM64" i="1"/>
  <c r="CN116" i="1"/>
  <c r="CJ6" i="1"/>
  <c r="CL72" i="1"/>
  <c r="CI9" i="1"/>
  <c r="CO2" i="1"/>
  <c r="CO16" i="1"/>
  <c r="CN156" i="1"/>
  <c r="CR17" i="1"/>
  <c r="CK14" i="1"/>
  <c r="CM136" i="1"/>
  <c r="CR4" i="1"/>
  <c r="CH3" i="1"/>
  <c r="CN69" i="1"/>
  <c r="CJ44" i="1"/>
  <c r="CH10" i="1"/>
  <c r="CQ13" i="1"/>
  <c r="CR10" i="1"/>
  <c r="CI116" i="1"/>
  <c r="CR6" i="1"/>
  <c r="CQ9" i="1"/>
  <c r="CJ156" i="1"/>
  <c r="CI14" i="1"/>
  <c r="CJ83" i="1"/>
  <c r="CN136" i="1"/>
  <c r="CK4" i="1"/>
  <c r="CP3" i="1"/>
  <c r="CI69" i="1"/>
  <c r="CO44" i="1"/>
  <c r="CH116" i="1"/>
  <c r="CG9" i="1"/>
  <c r="CQ14" i="1"/>
  <c r="CO136" i="1"/>
  <c r="CP69" i="1"/>
  <c r="CL44" i="1"/>
  <c r="CK44" i="1"/>
  <c r="CP44" i="1"/>
  <c r="CG2" i="1"/>
  <c r="CI156" i="1"/>
  <c r="CK83" i="1"/>
  <c r="CI136" i="1"/>
  <c r="CI44" i="1"/>
  <c r="CR62" i="1"/>
  <c r="CR84" i="1"/>
  <c r="CO62" i="1"/>
  <c r="CO84" i="1"/>
  <c r="CL62" i="1"/>
  <c r="CP20" i="1"/>
  <c r="CL84" i="1"/>
  <c r="CI47" i="1"/>
  <c r="CK84" i="1"/>
  <c r="CH47" i="1"/>
  <c r="CQ11" i="1"/>
  <c r="CP47" i="1"/>
  <c r="CM11" i="1"/>
  <c r="CH84" i="1"/>
  <c r="CN20" i="1"/>
  <c r="CJ20" i="1"/>
  <c r="CR47" i="1"/>
  <c r="CJ11" i="1"/>
  <c r="CI20" i="1"/>
  <c r="CM47" i="1"/>
  <c r="CL15" i="1"/>
  <c r="CM8" i="1"/>
  <c r="CO47" i="1"/>
  <c r="CH11" i="1"/>
  <c r="CP62" i="1"/>
  <c r="CQ20" i="1"/>
  <c r="CQ86" i="1"/>
  <c r="CJ8" i="1"/>
  <c r="CL47" i="1"/>
  <c r="CP11" i="1"/>
  <c r="CM62" i="1"/>
  <c r="CM20" i="1"/>
  <c r="CJ86" i="1"/>
  <c r="CM86" i="1"/>
  <c r="CG8" i="1"/>
  <c r="CK47" i="1"/>
  <c r="CI123" i="1"/>
  <c r="CO101" i="1"/>
  <c r="CI11" i="1"/>
  <c r="CJ62" i="1"/>
  <c r="CH20" i="1"/>
  <c r="CG20" i="1"/>
  <c r="CQ84" i="1"/>
  <c r="CN47" i="1"/>
  <c r="CR8" i="1"/>
  <c r="CM70" i="1"/>
  <c r="CO11" i="1"/>
  <c r="CI62" i="1"/>
  <c r="CR20" i="1"/>
  <c r="CP84" i="1"/>
  <c r="CO8" i="1"/>
  <c r="CH123" i="1"/>
  <c r="CL68" i="1"/>
  <c r="CL70" i="1"/>
  <c r="CP63" i="1"/>
  <c r="CL11" i="1"/>
  <c r="CG62" i="1"/>
  <c r="CL20" i="1"/>
  <c r="CJ84" i="1"/>
  <c r="CK11" i="1"/>
  <c r="CJ78" i="1"/>
  <c r="CO108" i="1"/>
  <c r="CL85" i="1"/>
  <c r="CR78" i="1"/>
  <c r="CK64" i="1"/>
  <c r="CI86" i="1"/>
  <c r="CI15" i="1"/>
  <c r="CP120" i="1"/>
  <c r="CK46" i="1"/>
  <c r="CL108" i="1"/>
  <c r="CI17" i="1"/>
  <c r="CI5" i="1"/>
  <c r="CJ70" i="1"/>
  <c r="CO56" i="1"/>
  <c r="CK85" i="1"/>
  <c r="CO78" i="1"/>
  <c r="CG120" i="1"/>
  <c r="CG86" i="1"/>
  <c r="CH15" i="1"/>
  <c r="CN120" i="1"/>
  <c r="CK108" i="1"/>
  <c r="CJ17" i="1"/>
  <c r="CR5" i="1"/>
  <c r="CH70" i="1"/>
  <c r="CL56" i="1"/>
  <c r="CQ85" i="1"/>
  <c r="CL78" i="1"/>
  <c r="CL86" i="1"/>
  <c r="CQ15" i="1"/>
  <c r="CM120" i="1"/>
  <c r="CQ17" i="1"/>
  <c r="CL5" i="1"/>
  <c r="CI70" i="1"/>
  <c r="CK56" i="1"/>
  <c r="CN15" i="1"/>
  <c r="CK78" i="1"/>
  <c r="CI157" i="1"/>
  <c r="CK86" i="1"/>
  <c r="CP15" i="1"/>
  <c r="CN17" i="1"/>
  <c r="CK5" i="1"/>
  <c r="CG70" i="1"/>
  <c r="CJ64" i="1"/>
  <c r="CH157" i="1"/>
  <c r="CJ15" i="1"/>
  <c r="CM78" i="1"/>
  <c r="CM17" i="1"/>
  <c r="CH5" i="1"/>
  <c r="CR101" i="1"/>
  <c r="CR70" i="1"/>
  <c r="CM85" i="1"/>
  <c r="CI64" i="1"/>
  <c r="CR157" i="1"/>
  <c r="CG15" i="1"/>
  <c r="CN64" i="1"/>
  <c r="CQ46" i="1"/>
  <c r="CQ108" i="1"/>
  <c r="CH17" i="1"/>
  <c r="CO70" i="1"/>
  <c r="CN44" i="1"/>
  <c r="CP85" i="1"/>
  <c r="CQ157" i="1"/>
  <c r="CM108" i="1"/>
  <c r="CQ56" i="1"/>
  <c r="CN85" i="1"/>
  <c r="CM15" i="1"/>
  <c r="CG64" i="1"/>
  <c r="CI120" i="1"/>
  <c r="CP64" i="1"/>
  <c r="CO157" i="1"/>
  <c r="CJ46" i="1"/>
  <c r="CH108" i="1"/>
  <c r="CO17" i="1"/>
  <c r="CQ5" i="1"/>
  <c r="CP70" i="1"/>
  <c r="CJ71" i="1"/>
  <c r="CH44" i="1"/>
  <c r="CN56" i="1"/>
  <c r="CG85" i="1"/>
  <c r="CQ78" i="1"/>
  <c r="CR64" i="1"/>
  <c r="CP86" i="1"/>
  <c r="CH120" i="1"/>
  <c r="CI46" i="1"/>
  <c r="CP108" i="1"/>
  <c r="CL17" i="1"/>
  <c r="CP5" i="1"/>
  <c r="CQ70" i="1"/>
  <c r="CQ71" i="1"/>
  <c r="CM56" i="1"/>
  <c r="CR85" i="1"/>
  <c r="CP78" i="1"/>
  <c r="CO64" i="1"/>
  <c r="CN46" i="1"/>
  <c r="CN86" i="1"/>
  <c r="CR120" i="1"/>
  <c r="CL157" i="1"/>
  <c r="CG46" i="1"/>
  <c r="CI108" i="1"/>
  <c r="CM5" i="1"/>
  <c r="CI71" i="1"/>
  <c r="CI56" i="1"/>
  <c r="CJ73" i="1"/>
  <c r="CH67" i="1"/>
  <c r="CK62" i="1"/>
  <c r="CH139" i="1"/>
  <c r="CG114" i="1"/>
  <c r="CG82" i="1"/>
  <c r="CK137" i="1"/>
  <c r="CI8" i="1"/>
  <c r="CJ65" i="1"/>
  <c r="CH45" i="1"/>
  <c r="CO20" i="1"/>
  <c r="CK13" i="1"/>
  <c r="CN78" i="1"/>
  <c r="CP114" i="1"/>
  <c r="CR80" i="1"/>
  <c r="CM84" i="1"/>
  <c r="CP157" i="1"/>
  <c r="CH86" i="1"/>
  <c r="CG116" i="1"/>
  <c r="CO15" i="1"/>
  <c r="CM13" i="1"/>
  <c r="CP107" i="1"/>
  <c r="CI146" i="1"/>
  <c r="CN51" i="1"/>
  <c r="CK2" i="1"/>
  <c r="CQ47" i="1"/>
  <c r="CH46" i="1"/>
  <c r="CR16" i="1"/>
  <c r="CK55" i="1"/>
  <c r="CN108" i="1"/>
  <c r="CM83" i="1"/>
  <c r="CG5" i="1"/>
  <c r="CH73" i="1"/>
  <c r="CJ123" i="1"/>
  <c r="CH136" i="1"/>
  <c r="CH101" i="1"/>
  <c r="CG4" i="1"/>
  <c r="CM68" i="1"/>
  <c r="CH69" i="1"/>
  <c r="CN71" i="1"/>
  <c r="CN63" i="1"/>
  <c r="CH56" i="1"/>
  <c r="CN11" i="1"/>
  <c r="CH145" i="1"/>
  <c r="CI117" i="1"/>
  <c r="CN73" i="1"/>
  <c r="CR145" i="1"/>
  <c r="CH82" i="1"/>
  <c r="CR67" i="1"/>
  <c r="CH117" i="1"/>
  <c r="CQ139" i="1"/>
  <c r="CM146" i="1"/>
  <c r="CO82" i="1"/>
  <c r="CH8" i="1"/>
  <c r="CG65" i="1"/>
  <c r="CR45" i="1"/>
  <c r="CI78" i="1"/>
  <c r="CM114" i="1"/>
  <c r="CL80" i="1"/>
  <c r="CI12" i="1"/>
  <c r="CI84" i="1"/>
  <c r="CM157" i="1"/>
  <c r="CR86" i="1"/>
  <c r="CO116" i="1"/>
  <c r="CJ107" i="1"/>
  <c r="CR146" i="1"/>
  <c r="CK51" i="1"/>
  <c r="CN62" i="1"/>
  <c r="CP8" i="1"/>
  <c r="CJ47" i="1"/>
  <c r="CR46" i="1"/>
  <c r="CL16" i="1"/>
  <c r="CH156" i="1"/>
  <c r="CG108" i="1"/>
  <c r="CG83" i="1"/>
  <c r="CO5" i="1"/>
  <c r="CG73" i="1"/>
  <c r="CG123" i="1"/>
  <c r="CG136" i="1"/>
  <c r="CQ101" i="1"/>
  <c r="CO4" i="1"/>
  <c r="CG68" i="1"/>
  <c r="CG69" i="1"/>
  <c r="CG71" i="1"/>
  <c r="CG63" i="1"/>
  <c r="CG56" i="1"/>
  <c r="CG11" i="1"/>
  <c r="CQ145" i="1"/>
  <c r="CO67" i="1"/>
  <c r="CQ62" i="1"/>
  <c r="CQ117" i="1"/>
  <c r="CP139" i="1"/>
  <c r="CH146" i="1"/>
  <c r="CP51" i="1"/>
  <c r="CP137" i="1"/>
  <c r="CQ45" i="1"/>
  <c r="CR65" i="1"/>
  <c r="CI13" i="1"/>
  <c r="CG78" i="1"/>
  <c r="CK80" i="1"/>
  <c r="CG84" i="1"/>
  <c r="CJ157" i="1"/>
  <c r="CK16" i="1"/>
  <c r="CR73" i="1"/>
  <c r="CR123" i="1"/>
  <c r="CP101" i="1"/>
  <c r="CR71" i="1"/>
  <c r="CR63" i="1"/>
  <c r="CP145" i="1"/>
  <c r="CM117" i="1"/>
  <c r="CP117" i="1"/>
  <c r="CO73" i="1"/>
  <c r="CO123" i="1"/>
  <c r="CN101" i="1"/>
  <c r="CO71" i="1"/>
  <c r="CO63" i="1"/>
  <c r="CN145" i="1"/>
  <c r="CI6" i="1"/>
  <c r="CH6" i="1"/>
  <c r="CJ117" i="1"/>
  <c r="CL73" i="1"/>
  <c r="CL123" i="1"/>
  <c r="CM101" i="1"/>
  <c r="CL71" i="1"/>
  <c r="CL63" i="1"/>
  <c r="CM145" i="1"/>
  <c r="CG117" i="1"/>
  <c r="CK73" i="1"/>
  <c r="CK123" i="1"/>
  <c r="CJ101" i="1"/>
  <c r="CK71" i="1"/>
  <c r="CK63" i="1"/>
  <c r="CJ145" i="1"/>
  <c r="CH12" i="1"/>
  <c r="CP12" i="1"/>
  <c r="CR117" i="1"/>
  <c r="CQ73" i="1"/>
  <c r="CP123" i="1"/>
  <c r="CG101" i="1"/>
  <c r="CM71" i="1"/>
  <c r="CQ63" i="1"/>
  <c r="CG145" i="1"/>
  <c r="CO117" i="1"/>
  <c r="CP73" i="1"/>
  <c r="CO145" i="1"/>
  <c r="CL117" i="1"/>
  <c r="CI73" i="1"/>
  <c r="CQ123" i="1"/>
  <c r="CL101" i="1"/>
  <c r="CH71" i="1"/>
  <c r="CJ63" i="1"/>
  <c r="CL145" i="1"/>
  <c r="CI82" i="1"/>
  <c r="CN82" i="1"/>
  <c r="CK117" i="1"/>
  <c r="CR163" i="1" l="1"/>
  <c r="CN163" i="1"/>
  <c r="CJ163" i="1"/>
  <c r="CH163" i="1"/>
  <c r="CM163" i="1"/>
  <c r="CL163" i="1"/>
  <c r="CQ163" i="1"/>
  <c r="CG163" i="1"/>
  <c r="CK163" i="1"/>
  <c r="CP163" i="1"/>
  <c r="CO163" i="1"/>
  <c r="CI163" i="1"/>
</calcChain>
</file>

<file path=xl/sharedStrings.xml><?xml version="1.0" encoding="utf-8"?>
<sst xmlns="http://schemas.openxmlformats.org/spreadsheetml/2006/main" count="752" uniqueCount="289">
  <si>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</si>
  <si>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</si>
  <si>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</si>
  <si>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</si>
  <si>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</si>
  <si>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</si>
  <si>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</si>
  <si>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</si>
  <si>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</si>
  <si>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</si>
  <si>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</si>
  <si>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</si>
  <si>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</si>
  <si>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</si>
  <si>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</si>
  <si>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</si>
  <si>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</si>
  <si>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</si>
  <si>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</si>
  <si>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</si>
  <si>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</si>
  <si>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</si>
  <si>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</si>
  <si>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</si>
  <si>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</si>
  <si>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</si>
  <si>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</si>
  <si>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</si>
  <si>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</si>
  <si>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</si>
  <si>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</si>
  <si>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</si>
  <si>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</si>
  <si>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</si>
  <si>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</si>
  <si>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</si>
  <si>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</si>
  <si>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</si>
  <si>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</si>
  <si>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</si>
  <si>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</si>
  <si>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</si>
  <si>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</si>
  <si>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</si>
  <si>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</si>
  <si>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</si>
  <si>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</si>
  <si>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</si>
  <si>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</si>
  <si>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</si>
  <si>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</si>
  <si>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</si>
  <si>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</si>
  <si>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</si>
  <si>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</si>
  <si>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</si>
  <si>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</si>
  <si>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</si>
  <si>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</si>
  <si>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</si>
  <si>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</si>
  <si>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</si>
  <si>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</si>
  <si>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</si>
  <si>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</si>
  <si>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</si>
  <si>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</si>
  <si>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</si>
  <si>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</si>
  <si>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</si>
  <si>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</si>
  <si>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</si>
  <si>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</si>
  <si>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</si>
  <si>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</si>
  <si>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</si>
  <si>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</si>
  <si>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</si>
  <si>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</si>
  <si>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</si>
  <si>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</si>
  <si>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</si>
  <si>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</si>
  <si>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</si>
  <si>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</si>
  <si>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</si>
  <si>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</si>
  <si>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</si>
  <si>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</si>
  <si>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</si>
  <si>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</si>
  <si>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</si>
  <si>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</si>
  <si>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</si>
  <si>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</si>
  <si>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</si>
  <si>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</si>
  <si>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</si>
  <si>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</si>
  <si>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</si>
  <si>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</si>
  <si>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</si>
  <si>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</si>
  <si>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</si>
  <si>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</si>
  <si>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</si>
  <si>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</si>
  <si>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</si>
  <si>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</si>
  <si>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</si>
  <si>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</si>
  <si>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</si>
  <si>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</si>
  <si>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</si>
  <si>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</si>
  <si>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</si>
  <si>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</si>
  <si>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</si>
  <si>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</si>
  <si>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</si>
  <si>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</si>
  <si>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</si>
  <si>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</si>
  <si>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</si>
  <si>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</si>
  <si>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</si>
  <si>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</si>
  <si>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</si>
  <si>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</si>
  <si>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</si>
  <si>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</si>
  <si>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</si>
  <si>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</si>
  <si>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</si>
  <si>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</si>
  <si>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</si>
  <si>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</si>
  <si>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</si>
  <si>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</si>
  <si>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</si>
  <si>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</si>
  <si>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</si>
  <si>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</si>
  <si>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</si>
  <si>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</si>
  <si>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</si>
  <si>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</si>
  <si>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</si>
  <si>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</si>
  <si>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</si>
  <si>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</si>
  <si>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</si>
  <si>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</si>
  <si>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</si>
  <si>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</si>
  <si>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</si>
  <si>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</si>
  <si>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</si>
  <si>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</si>
  <si>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</si>
  <si>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</si>
  <si>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</si>
  <si>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</si>
  <si>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</si>
  <si>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</si>
  <si>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</si>
  <si>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</si>
  <si>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</si>
  <si>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</si>
  <si>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</si>
  <si>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</si>
  <si>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</si>
  <si>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</si>
  <si>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</si>
  <si>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</si>
  <si>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</si>
  <si>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</si>
  <si>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</si>
  <si>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</si>
  <si>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</si>
  <si>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</si>
  <si>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</si>
  <si>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</si>
  <si>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</si>
  <si>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</si>
  <si>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</si>
  <si>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</si>
  <si>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</si>
  <si>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</si>
  <si>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</si>
  <si>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</si>
  <si>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</si>
  <si>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</si>
  <si>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</si>
  <si>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</si>
  <si>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</si>
  <si>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</si>
  <si>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</si>
  <si>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</si>
  <si>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</si>
  <si>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</si>
  <si>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</si>
  <si>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</si>
  <si>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</si>
  <si>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梅花4</t>
    <phoneticPr fontId="1" type="noConversion"/>
  </si>
  <si>
    <t>青年</t>
    <phoneticPr fontId="1" type="noConversion"/>
  </si>
  <si>
    <t>成年</t>
    <phoneticPr fontId="1" type="noConversion"/>
  </si>
  <si>
    <t>敖钦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</si>
  <si>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</si>
  <si>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</si>
  <si>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</si>
  <si>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</si>
  <si>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金钗(1),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</si>
  <si>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</si>
  <si>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</si>
  <si>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</si>
  <si>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</si>
  <si>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</si>
  <si>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</si>
  <si>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</si>
  <si>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</si>
  <si>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</si>
  <si>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</si>
  <si>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</si>
  <si>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庄家令牌小(2),_x000D_
庄家令牌中(3),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</si>
  <si>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</si>
  <si>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</si>
  <si>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</si>
  <si>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</si>
  <si>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</si>
  <si>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</si>
  <si>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</si>
  <si>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</si>
  <si>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</si>
  <si>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</si>
  <si>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</si>
  <si>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</si>
  <si>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</si>
  <si>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</si>
  <si>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</si>
  <si>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</si>
  <si>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</si>
  <si>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</si>
  <si>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</si>
  <si>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</si>
  <si>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</si>
  <si>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超进阶素材土(45),_x000D_
超进阶素材木(50),_x000D_
超进阶素材光(50),_x000D_
超进阶素材暗(50),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</si>
  <si>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</si>
  <si>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</si>
  <si>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</si>
  <si>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</si>
  <si>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东皇钟(2),</t>
    <phoneticPr fontId="1" type="noConversion"/>
  </si>
  <si>
    <t>神农鼎(2),</t>
    <phoneticPr fontId="1" type="noConversion"/>
  </si>
  <si>
    <t>炼妖壶(2),</t>
    <phoneticPr fontId="1" type="noConversion"/>
  </si>
  <si>
    <t>神农鼎(3),</t>
    <phoneticPr fontId="1" type="noConversion"/>
  </si>
  <si>
    <t>庄家令牌中(3),</t>
    <phoneticPr fontId="1" type="noConversion"/>
  </si>
  <si>
    <t>龙灵不朽藤(3),</t>
    <phoneticPr fontId="1" type="noConversion"/>
  </si>
  <si>
    <t>秘窟冰晶卵(4),</t>
    <phoneticPr fontId="1" type="noConversion"/>
  </si>
  <si>
    <t>螃蟹(5),</t>
    <phoneticPr fontId="1" type="noConversion"/>
  </si>
  <si>
    <t>桂花(5),</t>
    <phoneticPr fontId="1" type="noConversion"/>
  </si>
  <si>
    <t>神农鼎(7),</t>
    <phoneticPr fontId="1" type="noConversion"/>
  </si>
  <si>
    <t>秘窟冰晶卵(9),</t>
    <phoneticPr fontId="1" type="noConversion"/>
  </si>
  <si>
    <t>东皇钟(12),</t>
    <phoneticPr fontId="1" type="noConversion"/>
  </si>
  <si>
    <t>炼妖壶(17),</t>
    <phoneticPr fontId="1" type="noConversion"/>
  </si>
  <si>
    <t>彗星(25),</t>
    <phoneticPr fontId="1" type="noConversion"/>
  </si>
  <si>
    <t>东皇钟(2),_x000D_
幸运符文叉大(3),</t>
    <phoneticPr fontId="1" type="noConversion"/>
  </si>
  <si>
    <t>骰子中(3),_x000D_
庄家令牌小(2),</t>
  </si>
  <si>
    <t>骰子中(3),_x000D_
庄家令牌小(2),</t>
    <phoneticPr fontId="1" type="noConversion"/>
  </si>
  <si>
    <t>崆峒印(3),_x000D_
太一之轮(2),</t>
    <phoneticPr fontId="1" type="noConversion"/>
  </si>
  <si>
    <t>欠条中(4),_x000D_
庄家令牌小(2),</t>
    <phoneticPr fontId="1" type="noConversion"/>
  </si>
  <si>
    <t>神农鼎(3),_x000D_
秘窟冰晶卵(4),</t>
    <phoneticPr fontId="1" type="noConversion"/>
  </si>
  <si>
    <t>炼妖壶(3),_x000D_
秘窟冰晶卵(4),</t>
    <phoneticPr fontId="1" type="noConversion"/>
  </si>
  <si>
    <t>神农鼎(3),_x000D_
月冕霓晴符(5),</t>
    <phoneticPr fontId="1" type="noConversion"/>
  </si>
  <si>
    <t>糯米(3),_x000D_
粽叶(5),</t>
    <phoneticPr fontId="1" type="noConversion"/>
  </si>
  <si>
    <t>东皇钟(2),_x000D_
炼妖壶(7),</t>
    <phoneticPr fontId="1" type="noConversion"/>
  </si>
  <si>
    <t>太一之轮(7),_x000D_
幸运符文叉大(3),</t>
    <phoneticPr fontId="1" type="noConversion"/>
  </si>
  <si>
    <t>骰子大(4),_x000D_
庄家令牌大(6),</t>
  </si>
  <si>
    <t>骰子大(4),_x000D_
庄家令牌大(6),</t>
    <phoneticPr fontId="1" type="noConversion"/>
  </si>
  <si>
    <t>东皇钟(7),_x000D_
女娲石(4),</t>
    <phoneticPr fontId="1" type="noConversion"/>
  </si>
  <si>
    <t>炼妖壶(3),_x000D_
龙灵不朽藤(8),</t>
    <phoneticPr fontId="1" type="noConversion"/>
  </si>
  <si>
    <t>糯米(5),_x000D_
粽叶(10),</t>
    <phoneticPr fontId="1" type="noConversion"/>
  </si>
  <si>
    <t>欠条中(4),_x000D_
筹码中(4),_x000D_
筹码大(1),</t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</si>
  <si>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</si>
  <si>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</si>
  <si>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东皇钟(7),_x000D_
崆峒印(8),_x000D_
幸运符文叉大(3),</t>
    <phoneticPr fontId="1" type="noConversion"/>
  </si>
  <si>
    <t>女娲石(9),_x000D_
神农鼎(17),_x000D_
幸运符文叉大(8),</t>
    <phoneticPr fontId="1" type="noConversion"/>
  </si>
  <si>
    <t>神农鼎(4),_x000D_
欠条中(6),_x000D_
钱袋中(2),_x000D_
筹码大(6),</t>
    <phoneticPr fontId="1" type="noConversion"/>
  </si>
  <si>
    <t>东皇钟(2),_x000D_
欠条大(8),_x000D_
钱袋大(10),_x000D_
月冕霓晴符(7),</t>
    <phoneticPr fontId="1" type="noConversion"/>
  </si>
  <si>
    <t>超进阶素材水(45),_x000D_
超进阶素材火(50),_x000D_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</si>
</sst>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167</xdr:row>
          <xdr:rowOff>28575</xdr:rowOff>
        </xdr:from>
        <xdr:to>
          <xdr:col>1</xdr:col>
          <xdr:colOff>428625</xdr:colOff>
          <xdr:row>168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5"/>
  <sheetViews>
    <sheetView tabSelected="1" workbookViewId="0">
      <pane xSplit="2" ySplit="1" topLeftCell="BL2" activePane="bottomRight" state="frozen"/>
      <selection pane="topRight" activeCell="C1" sqref="C1"/>
      <selection pane="bottomLeft" activeCell="A3" sqref="A3"/>
      <selection pane="bottomRight" activeCell="BN146" sqref="BN14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165</v>
      </c>
      <c r="Q1" s="31" t="s">
        <v>177</v>
      </c>
      <c r="R1" s="31" t="s">
        <v>171</v>
      </c>
      <c r="S1" s="31" t="s">
        <v>166</v>
      </c>
      <c r="T1" s="31" t="s">
        <v>175</v>
      </c>
      <c r="U1" s="31" t="s">
        <v>181</v>
      </c>
      <c r="V1" s="31" t="s">
        <v>167</v>
      </c>
      <c r="W1" s="31" t="s">
        <v>174</v>
      </c>
      <c r="X1" s="31" t="s">
        <v>172</v>
      </c>
      <c r="Y1" s="31" t="s">
        <v>168</v>
      </c>
      <c r="Z1" s="31" t="s">
        <v>176</v>
      </c>
      <c r="AA1" s="31" t="s">
        <v>183</v>
      </c>
      <c r="AB1" s="31" t="s">
        <v>170</v>
      </c>
      <c r="AC1" s="31" t="s">
        <v>169</v>
      </c>
      <c r="AD1" s="31" t="s">
        <v>199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132</v>
      </c>
      <c r="AP1" s="8" t="s">
        <v>133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128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IF(AQ2&gt;AQ$164, AQ2-AQ$164,"")</f>
        <v/>
      </c>
      <c r="BU2" s="1" t="str">
        <f>IF(AR2&gt;AR$164, AR2-AR$164,"")</f>
        <v/>
      </c>
      <c r="BV2" s="1" t="str">
        <f>IF(AS2&gt;AS$164, AS2-AS$164,"")</f>
        <v/>
      </c>
      <c r="BW2" s="1" t="str">
        <f>IF(AT2&gt;AT$164, AT2-AT$164,"")</f>
        <v/>
      </c>
      <c r="BX2" s="1" t="str">
        <f>IF(AU2&gt;AU$164, AU2-AU$164,"")</f>
        <v/>
      </c>
      <c r="BY2" s="1" t="str">
        <f>IF(AV2&gt;AV$164, AV2-AV$164,"")</f>
        <v/>
      </c>
      <c r="BZ2" s="1" t="str">
        <f>IF(AW2&gt;AW$164, AW2-AW$164,"")</f>
        <v/>
      </c>
      <c r="CA2" s="1" t="str">
        <f>IF(AX2&gt;AX$164, AX2-AX$164,"")</f>
        <v/>
      </c>
      <c r="CB2" s="1" t="str">
        <f>IF(AY2&gt;AY$164, AY2-AY$164,"")</f>
        <v/>
      </c>
      <c r="CC2" s="1" t="str">
        <f>IF(AZ2&gt;AZ$164, AZ2-AZ$164,"")</f>
        <v/>
      </c>
      <c r="CD2" s="1" t="str">
        <f>IF(BA2&gt;BA$164, BA2-BA$164,"")</f>
        <v/>
      </c>
      <c r="CE2" s="1" t="str">
        <f>IF(BB2&gt;BB$164, BB2-BB$164,"")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IF(AQ3&gt;AQ$164, AQ3-AQ$164,"")</f>
        <v/>
      </c>
      <c r="BU3" s="1" t="str">
        <f>IF(AR3&gt;AR$164, AR3-AR$164,"")</f>
        <v/>
      </c>
      <c r="BV3" s="1" t="str">
        <f>IF(AS3&gt;AS$164, AS3-AS$164,"")</f>
        <v/>
      </c>
      <c r="BW3" s="1" t="str">
        <f>IF(AT3&gt;AT$164, AT3-AT$164,"")</f>
        <v/>
      </c>
      <c r="BX3" s="1" t="str">
        <f>IF(AU3&gt;AU$164, AU3-AU$164,"")</f>
        <v/>
      </c>
      <c r="BY3" s="1" t="str">
        <f>IF(AV3&gt;AV$164, AV3-AV$164,"")</f>
        <v/>
      </c>
      <c r="BZ3" s="1" t="str">
        <f>IF(AW3&gt;AW$164, AW3-AW$164,"")</f>
        <v/>
      </c>
      <c r="CA3" s="1" t="str">
        <f>IF(AX3&gt;AX$164, AX3-AX$164,"")</f>
        <v/>
      </c>
      <c r="CB3" s="1" t="str">
        <f>IF(AY3&gt;AY$164, AY3-AY$164,"")</f>
        <v/>
      </c>
      <c r="CC3" s="1" t="str">
        <f>IF(AZ3&gt;AZ$164, AZ3-AZ$164,"")</f>
        <v/>
      </c>
      <c r="CD3" s="1" t="str">
        <f>IF(BA3&gt;BA$164, BA3-BA$164,"")</f>
        <v/>
      </c>
      <c r="CE3" s="1" t="str">
        <f>IF(BB3&gt;BB$164, BB3-BB$164,"")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IF(AQ4&gt;AQ$164, AQ4-AQ$164,"")</f>
        <v/>
      </c>
      <c r="BU4" s="1" t="str">
        <f>IF(AR4&gt;AR$164, AR4-AR$164,"")</f>
        <v/>
      </c>
      <c r="BV4" s="1" t="str">
        <f>IF(AS4&gt;AS$164, AS4-AS$164,"")</f>
        <v/>
      </c>
      <c r="BW4" s="1" t="str">
        <f>IF(AT4&gt;AT$164, AT4-AT$164,"")</f>
        <v/>
      </c>
      <c r="BX4" s="1" t="str">
        <f>IF(AU4&gt;AU$164, AU4-AU$164,"")</f>
        <v/>
      </c>
      <c r="BY4" s="1" t="str">
        <f>IF(AV4&gt;AV$164, AV4-AV$164,"")</f>
        <v/>
      </c>
      <c r="BZ4" s="1" t="str">
        <f>IF(AW4&gt;AW$164, AW4-AW$164,"")</f>
        <v/>
      </c>
      <c r="CA4" s="1" t="str">
        <f>IF(AX4&gt;AX$164, AX4-AX$164,"")</f>
        <v/>
      </c>
      <c r="CB4" s="1" t="str">
        <f>IF(AY4&gt;AY$164, AY4-AY$164,"")</f>
        <v/>
      </c>
      <c r="CC4" s="1" t="str">
        <f>IF(AZ4&gt;AZ$164, AZ4-AZ$164,"")</f>
        <v/>
      </c>
      <c r="CD4" s="1" t="str">
        <f>IF(BA4&gt;BA$164, BA4-BA$164,"")</f>
        <v/>
      </c>
      <c r="CE4" s="1" t="str">
        <f>IF(BB4&gt;BB$164, BB4-BB$164,"")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IF(AQ5&gt;AQ$164, AQ5-AQ$164,"")</f>
        <v/>
      </c>
      <c r="BU5" s="1" t="str">
        <f>IF(AR5&gt;AR$164, AR5-AR$164,"")</f>
        <v/>
      </c>
      <c r="BV5" s="1" t="str">
        <f>IF(AS5&gt;AS$164, AS5-AS$164,"")</f>
        <v/>
      </c>
      <c r="BW5" s="1" t="str">
        <f>IF(AT5&gt;AT$164, AT5-AT$164,"")</f>
        <v/>
      </c>
      <c r="BX5" s="1" t="str">
        <f>IF(AU5&gt;AU$164, AU5-AU$164,"")</f>
        <v/>
      </c>
      <c r="BY5" s="1" t="str">
        <f>IF(AV5&gt;AV$164, AV5-AV$164,"")</f>
        <v/>
      </c>
      <c r="BZ5" s="1" t="str">
        <f>IF(AW5&gt;AW$164, AW5-AW$164,"")</f>
        <v/>
      </c>
      <c r="CA5" s="1" t="str">
        <f>IF(AX5&gt;AX$164, AX5-AX$164,"")</f>
        <v/>
      </c>
      <c r="CB5" s="1" t="str">
        <f>IF(AY5&gt;AY$164, AY5-AY$164,"")</f>
        <v/>
      </c>
      <c r="CC5" s="1" t="str">
        <f>IF(AZ5&gt;AZ$164, AZ5-AZ$164,"")</f>
        <v/>
      </c>
      <c r="CD5" s="1" t="str">
        <f>IF(BA5&gt;BA$164, BA5-BA$164,"")</f>
        <v/>
      </c>
      <c r="CE5" s="1" t="str">
        <f>IF(BB5&gt;BB$164, BB5-BB$164,"")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>SUM(E6:BO6)</f>
        <v>5</v>
      </c>
      <c r="BQ6" s="19">
        <v>0</v>
      </c>
      <c r="BR6" s="23">
        <v>0</v>
      </c>
      <c r="BS6" s="23"/>
      <c r="BT6" s="19" t="str">
        <f>IF(AQ6&gt;AQ$164, AQ6-AQ$164,"")</f>
        <v/>
      </c>
      <c r="BU6" s="19" t="str">
        <f>IF(AR6&gt;AR$164, AR6-AR$164,"")</f>
        <v/>
      </c>
      <c r="BV6" s="19" t="str">
        <f>IF(AS6&gt;AS$164, AS6-AS$164,"")</f>
        <v/>
      </c>
      <c r="BW6" s="19" t="str">
        <f>IF(AT6&gt;AT$164, AT6-AT$164,"")</f>
        <v/>
      </c>
      <c r="BX6" s="19" t="str">
        <f>IF(AU6&gt;AU$164, AU6-AU$164,"")</f>
        <v/>
      </c>
      <c r="BY6" s="19" t="str">
        <f>IF(AV6&gt;AV$164, AV6-AV$164,"")</f>
        <v/>
      </c>
      <c r="BZ6" s="19" t="str">
        <f>IF(AW6&gt;AW$164, AW6-AW$164,"")</f>
        <v/>
      </c>
      <c r="CA6" s="19" t="str">
        <f>IF(AX6&gt;AX$164, AX6-AX$164,"")</f>
        <v/>
      </c>
      <c r="CB6" s="19" t="str">
        <f>IF(AY6&gt;AY$164, AY6-AY$164,"")</f>
        <v/>
      </c>
      <c r="CC6" s="19" t="str">
        <f>IF(AZ6&gt;AZ$164, AZ6-AZ$164,"")</f>
        <v/>
      </c>
      <c r="CD6" s="19" t="str">
        <f>IF(BA6&gt;BA$164, BA6-BA$164,"")</f>
        <v/>
      </c>
      <c r="CE6" s="19" t="str">
        <f>IF(BB6&gt;BB$164, BB6-BB$164,"")</f>
        <v/>
      </c>
      <c r="CF6" s="19">
        <f>COUNTIF(BT6:CE6, "&gt;0")</f>
        <v>0</v>
      </c>
      <c r="CG6" s="19" t="str">
        <f>IF($CF6=1,BT6,"")</f>
        <v/>
      </c>
      <c r="CH6" s="19" t="str">
        <f>IF($CF6=1,BU6,"")</f>
        <v/>
      </c>
      <c r="CI6" s="19" t="str">
        <f>IF($CF6=1,BV6,"")</f>
        <v/>
      </c>
      <c r="CJ6" s="19" t="str">
        <f>IF($CF6=1,BW6,"")</f>
        <v/>
      </c>
      <c r="CK6" s="19" t="str">
        <f>IF($CF6=1,BX6,"")</f>
        <v/>
      </c>
      <c r="CL6" s="19" t="str">
        <f>IF($CF6=1,BY6,"")</f>
        <v/>
      </c>
      <c r="CM6" s="19" t="str">
        <f>IF($CF6=1,BZ6,"")</f>
        <v/>
      </c>
      <c r="CN6" s="19" t="str">
        <f>IF($CF6=1,CA6,"")</f>
        <v/>
      </c>
      <c r="CO6" s="19" t="str">
        <f>IF($CF6=1,CB6,"")</f>
        <v/>
      </c>
      <c r="CP6" s="19" t="str">
        <f>IF($CF6=1,CC6,"")</f>
        <v/>
      </c>
      <c r="CQ6" s="19" t="str">
        <f>IF($CF6=1,CD6,"")</f>
        <v/>
      </c>
      <c r="CR6" s="19" t="str">
        <f>IF($CF6=1,CE6,"")</f>
        <v/>
      </c>
      <c r="CS6" s="24">
        <f>SUM(AE6:BO6)</f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>SUM(E7:BO7)</f>
        <v>5</v>
      </c>
      <c r="BQ7" s="19">
        <v>0</v>
      </c>
      <c r="BR7" s="23">
        <v>0</v>
      </c>
      <c r="BS7" s="23"/>
      <c r="BT7" s="19" t="str">
        <f>IF(AQ7&gt;AQ$164, AQ7-AQ$164,"")</f>
        <v/>
      </c>
      <c r="BU7" s="19" t="str">
        <f>IF(AR7&gt;AR$164, AR7-AR$164,"")</f>
        <v/>
      </c>
      <c r="BV7" s="19" t="str">
        <f>IF(AS7&gt;AS$164, AS7-AS$164,"")</f>
        <v/>
      </c>
      <c r="BW7" s="19" t="str">
        <f>IF(AT7&gt;AT$164, AT7-AT$164,"")</f>
        <v/>
      </c>
      <c r="BX7" s="19" t="str">
        <f>IF(AU7&gt;AU$164, AU7-AU$164,"")</f>
        <v/>
      </c>
      <c r="BY7" s="19" t="str">
        <f>IF(AV7&gt;AV$164, AV7-AV$164,"")</f>
        <v/>
      </c>
      <c r="BZ7" s="19" t="str">
        <f>IF(AW7&gt;AW$164, AW7-AW$164,"")</f>
        <v/>
      </c>
      <c r="CA7" s="19" t="str">
        <f>IF(AX7&gt;AX$164, AX7-AX$164,"")</f>
        <v/>
      </c>
      <c r="CB7" s="19" t="str">
        <f>IF(AY7&gt;AY$164, AY7-AY$164,"")</f>
        <v/>
      </c>
      <c r="CC7" s="19" t="str">
        <f>IF(AZ7&gt;AZ$164, AZ7-AZ$164,"")</f>
        <v/>
      </c>
      <c r="CD7" s="19" t="str">
        <f>IF(BA7&gt;BA$164, BA7-BA$164,"")</f>
        <v/>
      </c>
      <c r="CE7" s="19" t="str">
        <f>IF(BB7&gt;BB$164, BB7-BB$164,"")</f>
        <v/>
      </c>
      <c r="CF7" s="19">
        <f>COUNTIF(BT7:CE7, "&gt;0")</f>
        <v>0</v>
      </c>
      <c r="CG7" s="19" t="str">
        <f>IF($CF7=1,BT7,"")</f>
        <v/>
      </c>
      <c r="CH7" s="19" t="str">
        <f>IF($CF7=1,BU7,"")</f>
        <v/>
      </c>
      <c r="CI7" s="19" t="str">
        <f>IF($CF7=1,BV7,"")</f>
        <v/>
      </c>
      <c r="CJ7" s="19" t="str">
        <f>IF($CF7=1,BW7,"")</f>
        <v/>
      </c>
      <c r="CK7" s="19" t="str">
        <f>IF($CF7=1,BX7,"")</f>
        <v/>
      </c>
      <c r="CL7" s="19" t="str">
        <f>IF($CF7=1,BY7,"")</f>
        <v/>
      </c>
      <c r="CM7" s="19" t="str">
        <f>IF($CF7=1,BZ7,"")</f>
        <v/>
      </c>
      <c r="CN7" s="19" t="str">
        <f>IF($CF7=1,CA7,"")</f>
        <v/>
      </c>
      <c r="CO7" s="19" t="str">
        <f>IF($CF7=1,CB7,"")</f>
        <v/>
      </c>
      <c r="CP7" s="19" t="str">
        <f>IF($CF7=1,CC7,"")</f>
        <v/>
      </c>
      <c r="CQ7" s="19" t="str">
        <f>IF($CF7=1,CD7,"")</f>
        <v/>
      </c>
      <c r="CR7" s="19" t="str">
        <f>IF($CF7=1,CE7,"")</f>
        <v/>
      </c>
      <c r="CS7" s="24">
        <f>SUM(AE7:BO7)</f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>SUM(E8:BO8)</f>
        <v>5</v>
      </c>
      <c r="BQ8" s="19">
        <v>0</v>
      </c>
      <c r="BR8" s="23">
        <v>0</v>
      </c>
      <c r="BS8" s="23"/>
      <c r="BT8" s="19" t="str">
        <f>IF(AQ8&gt;AQ$164, AQ8-AQ$164,"")</f>
        <v/>
      </c>
      <c r="BU8" s="19" t="str">
        <f>IF(AR8&gt;AR$164, AR8-AR$164,"")</f>
        <v/>
      </c>
      <c r="BV8" s="19" t="str">
        <f>IF(AS8&gt;AS$164, AS8-AS$164,"")</f>
        <v/>
      </c>
      <c r="BW8" s="19" t="str">
        <f>IF(AT8&gt;AT$164, AT8-AT$164,"")</f>
        <v/>
      </c>
      <c r="BX8" s="19" t="str">
        <f>IF(AU8&gt;AU$164, AU8-AU$164,"")</f>
        <v/>
      </c>
      <c r="BY8" s="19" t="str">
        <f>IF(AV8&gt;AV$164, AV8-AV$164,"")</f>
        <v/>
      </c>
      <c r="BZ8" s="19" t="str">
        <f>IF(AW8&gt;AW$164, AW8-AW$164,"")</f>
        <v/>
      </c>
      <c r="CA8" s="19" t="str">
        <f>IF(AX8&gt;AX$164, AX8-AX$164,"")</f>
        <v/>
      </c>
      <c r="CB8" s="19" t="str">
        <f>IF(AY8&gt;AY$164, AY8-AY$164,"")</f>
        <v/>
      </c>
      <c r="CC8" s="19" t="str">
        <f>IF(AZ8&gt;AZ$164, AZ8-AZ$164,"")</f>
        <v/>
      </c>
      <c r="CD8" s="19" t="str">
        <f>IF(BA8&gt;BA$164, BA8-BA$164,"")</f>
        <v/>
      </c>
      <c r="CE8" s="19" t="str">
        <f>IF(BB8&gt;BB$164, BB8-BB$164,"")</f>
        <v/>
      </c>
      <c r="CF8" s="19">
        <f>COUNTIF(BT8:CE8, "&gt;0")</f>
        <v>0</v>
      </c>
      <c r="CG8" s="19" t="str">
        <f>IF($CF8=1,BT8,"")</f>
        <v/>
      </c>
      <c r="CH8" s="19" t="str">
        <f>IF($CF8=1,BU8,"")</f>
        <v/>
      </c>
      <c r="CI8" s="19" t="str">
        <f>IF($CF8=1,BV8,"")</f>
        <v/>
      </c>
      <c r="CJ8" s="19" t="str">
        <f>IF($CF8=1,BW8,"")</f>
        <v/>
      </c>
      <c r="CK8" s="19" t="str">
        <f>IF($CF8=1,BX8,"")</f>
        <v/>
      </c>
      <c r="CL8" s="19" t="str">
        <f>IF($CF8=1,BY8,"")</f>
        <v/>
      </c>
      <c r="CM8" s="19" t="str">
        <f>IF($CF8=1,BZ8,"")</f>
        <v/>
      </c>
      <c r="CN8" s="19" t="str">
        <f>IF($CF8=1,CA8,"")</f>
        <v/>
      </c>
      <c r="CO8" s="19" t="str">
        <f>IF($CF8=1,CB8,"")</f>
        <v/>
      </c>
      <c r="CP8" s="19" t="str">
        <f>IF($CF8=1,CC8,"")</f>
        <v/>
      </c>
      <c r="CQ8" s="19" t="str">
        <f>IF($CF8=1,CD8,"")</f>
        <v/>
      </c>
      <c r="CR8" s="19" t="str">
        <f>IF($CF8=1,CE8,"")</f>
        <v/>
      </c>
      <c r="CS8" s="24">
        <f>SUM(AE8:BO8)</f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18</v>
      </c>
      <c r="BQ9" s="1">
        <v>0</v>
      </c>
      <c r="BR9" s="17">
        <v>0</v>
      </c>
      <c r="BS9" s="17"/>
      <c r="BT9" s="1" t="str">
        <f>IF(AQ9&gt;AQ$164, AQ9-AQ$164,"")</f>
        <v/>
      </c>
      <c r="BU9" s="1" t="str">
        <f>IF(AR9&gt;AR$164, AR9-AR$164,"")</f>
        <v/>
      </c>
      <c r="BV9" s="1" t="str">
        <f>IF(AS9&gt;AS$164, AS9-AS$164,"")</f>
        <v/>
      </c>
      <c r="BW9" s="1" t="str">
        <f>IF(AT9&gt;AT$164, AT9-AT$164,"")</f>
        <v/>
      </c>
      <c r="BX9" s="1" t="str">
        <f>IF(AU9&gt;AU$164, AU9-AU$164,"")</f>
        <v/>
      </c>
      <c r="BY9" s="1" t="str">
        <f>IF(AV9&gt;AV$164, AV9-AV$164,"")</f>
        <v/>
      </c>
      <c r="BZ9" s="1" t="str">
        <f>IF(AW9&gt;AW$164, AW9-AW$164,"")</f>
        <v/>
      </c>
      <c r="CA9" s="1" t="str">
        <f>IF(AX9&gt;AX$164, AX9-AX$164,"")</f>
        <v/>
      </c>
      <c r="CB9" s="1" t="str">
        <f>IF(AY9&gt;AY$164, AY9-AY$164,"")</f>
        <v/>
      </c>
      <c r="CC9" s="1" t="str">
        <f>IF(AZ9&gt;AZ$164, AZ9-AZ$164,"")</f>
        <v/>
      </c>
      <c r="CD9" s="1" t="str">
        <f>IF(BA9&gt;BA$164, BA9-BA$164,"")</f>
        <v/>
      </c>
      <c r="CE9" s="1" t="str">
        <f>IF(BB9&gt;BB$164, BB9-BB$164,"")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18">
        <f>SUM(AE9:BO9)</f>
        <v>10</v>
      </c>
    </row>
    <row r="10" spans="1:97" s="25" customFormat="1" x14ac:dyDescent="0.15">
      <c r="A10" s="1">
        <v>81</v>
      </c>
      <c r="B10" s="3" t="s">
        <v>74</v>
      </c>
      <c r="C10" s="3" t="s">
        <v>71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32</v>
      </c>
      <c r="BQ10" s="1">
        <v>0</v>
      </c>
      <c r="BR10" s="17">
        <v>0</v>
      </c>
      <c r="BS10" s="17"/>
      <c r="BT10" s="1" t="str">
        <f>IF(AQ10&gt;AQ$164, AQ10-AQ$164,"")</f>
        <v/>
      </c>
      <c r="BU10" s="1" t="str">
        <f>IF(AR10&gt;AR$164, AR10-AR$164,"")</f>
        <v/>
      </c>
      <c r="BV10" s="1" t="str">
        <f>IF(AS10&gt;AS$164, AS10-AS$164,"")</f>
        <v/>
      </c>
      <c r="BW10" s="1" t="str">
        <f>IF(AT10&gt;AT$164, AT10-AT$164,"")</f>
        <v/>
      </c>
      <c r="BX10" s="1" t="str">
        <f>IF(AU10&gt;AU$164, AU10-AU$164,"")</f>
        <v/>
      </c>
      <c r="BY10" s="1" t="str">
        <f>IF(AV10&gt;AV$164, AV10-AV$164,"")</f>
        <v/>
      </c>
      <c r="BZ10" s="1" t="str">
        <f>IF(AW10&gt;AW$164, AW10-AW$164,"")</f>
        <v/>
      </c>
      <c r="CA10" s="1" t="str">
        <f>IF(AX10&gt;AX$164, AX10-AX$164,"")</f>
        <v/>
      </c>
      <c r="CB10" s="1" t="str">
        <f>IF(AY10&gt;AY$164, AY10-AY$164,"")</f>
        <v/>
      </c>
      <c r="CC10" s="1" t="str">
        <f>IF(AZ10&gt;AZ$164, AZ10-AZ$164,"")</f>
        <v/>
      </c>
      <c r="CD10" s="1" t="str">
        <f>IF(BA10&gt;BA$164, BA10-BA$164,"")</f>
        <v/>
      </c>
      <c r="CE10" s="1" t="str">
        <f>IF(BB10&gt;BB$164, BB10-BB$164,"")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18">
        <f>SUM(AE10:BO10)</f>
        <v>20</v>
      </c>
    </row>
    <row r="11" spans="1:97" x14ac:dyDescent="0.15">
      <c r="A11" s="19">
        <v>13</v>
      </c>
      <c r="B11" s="19" t="s">
        <v>118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>SUM(E11:BO11)</f>
        <v>0</v>
      </c>
      <c r="BQ11" s="19">
        <v>0</v>
      </c>
      <c r="BR11" s="23">
        <v>0</v>
      </c>
      <c r="BS11" s="23"/>
      <c r="BT11" s="19" t="str">
        <f>IF(AQ11&gt;AQ$164, AQ11-AQ$164,"")</f>
        <v/>
      </c>
      <c r="BU11" s="19" t="str">
        <f>IF(AR11&gt;AR$164, AR11-AR$164,"")</f>
        <v/>
      </c>
      <c r="BV11" s="19" t="str">
        <f>IF(AS11&gt;AS$164, AS11-AS$164,"")</f>
        <v/>
      </c>
      <c r="BW11" s="19" t="str">
        <f>IF(AT11&gt;AT$164, AT11-AT$164,"")</f>
        <v/>
      </c>
      <c r="BX11" s="19" t="str">
        <f>IF(AU11&gt;AU$164, AU11-AU$164,"")</f>
        <v/>
      </c>
      <c r="BY11" s="19" t="str">
        <f>IF(AV11&gt;AV$164, AV11-AV$164,"")</f>
        <v/>
      </c>
      <c r="BZ11" s="19" t="str">
        <f>IF(AW11&gt;AW$164, AW11-AW$164,"")</f>
        <v/>
      </c>
      <c r="CA11" s="19" t="str">
        <f>IF(AX11&gt;AX$164, AX11-AX$164,"")</f>
        <v/>
      </c>
      <c r="CB11" s="19" t="str">
        <f>IF(AY11&gt;AY$164, AY11-AY$164,"")</f>
        <v/>
      </c>
      <c r="CC11" s="19" t="str">
        <f>IF(AZ11&gt;AZ$164, AZ11-AZ$164,"")</f>
        <v/>
      </c>
      <c r="CD11" s="19" t="str">
        <f>IF(BA11&gt;BA$164, BA11-BA$164,"")</f>
        <v/>
      </c>
      <c r="CE11" s="19" t="str">
        <f>IF(BB11&gt;BB$164, BB11-BB$164,"")</f>
        <v/>
      </c>
      <c r="CF11" s="19">
        <f>COUNTIF(BT11:CE11, "&gt;0")</f>
        <v>0</v>
      </c>
      <c r="CG11" s="19" t="str">
        <f>IF($CF11=1,BT11,"")</f>
        <v/>
      </c>
      <c r="CH11" s="19" t="str">
        <f>IF($CF11=1,BU11,"")</f>
        <v/>
      </c>
      <c r="CI11" s="19" t="str">
        <f>IF($CF11=1,BV11,"")</f>
        <v/>
      </c>
      <c r="CJ11" s="19" t="str">
        <f>IF($CF11=1,BW11,"")</f>
        <v/>
      </c>
      <c r="CK11" s="19" t="str">
        <f>IF($CF11=1,BX11,"")</f>
        <v/>
      </c>
      <c r="CL11" s="19" t="str">
        <f>IF($CF11=1,BY11,"")</f>
        <v/>
      </c>
      <c r="CM11" s="19" t="str">
        <f>IF($CF11=1,BZ11,"")</f>
        <v/>
      </c>
      <c r="CN11" s="19" t="str">
        <f>IF($CF11=1,CA11,"")</f>
        <v/>
      </c>
      <c r="CO11" s="19" t="str">
        <f>IF($CF11=1,CB11,"")</f>
        <v/>
      </c>
      <c r="CP11" s="19" t="str">
        <f>IF($CF11=1,CC11,"")</f>
        <v/>
      </c>
      <c r="CQ11" s="19" t="str">
        <f>IF($CF11=1,CD11,"")</f>
        <v/>
      </c>
      <c r="CR11" s="19" t="str">
        <f>IF($CF11=1,CE11,"")</f>
        <v/>
      </c>
      <c r="CS11" s="24">
        <f>SUM(AE11:BO11)</f>
        <v>0</v>
      </c>
    </row>
    <row r="12" spans="1:97" x14ac:dyDescent="0.15">
      <c r="A12" s="1">
        <v>82</v>
      </c>
      <c r="B12" s="3" t="s">
        <v>75</v>
      </c>
      <c r="C12" s="3" t="s">
        <v>71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IF(AQ12&gt;AQ$164, AQ12-AQ$164,"")</f>
        <v/>
      </c>
      <c r="BU12" s="1" t="str">
        <f>IF(AR12&gt;AR$164, AR12-AR$164,"")</f>
        <v/>
      </c>
      <c r="BV12" s="1" t="str">
        <f>IF(AS12&gt;AS$164, AS12-AS$164,"")</f>
        <v/>
      </c>
      <c r="BW12" s="1" t="str">
        <f>IF(AT12&gt;AT$164, AT12-AT$164,"")</f>
        <v/>
      </c>
      <c r="BX12" s="1" t="str">
        <f>IF(AU12&gt;AU$164, AU12-AU$164,"")</f>
        <v/>
      </c>
      <c r="BY12" s="1" t="str">
        <f>IF(AV12&gt;AV$164, AV12-AV$164,"")</f>
        <v/>
      </c>
      <c r="BZ12" s="1" t="str">
        <f>IF(AW12&gt;AW$164, AW12-AW$164,"")</f>
        <v/>
      </c>
      <c r="CA12" s="1" t="str">
        <f>IF(AX12&gt;AX$164, AX12-AX$164,"")</f>
        <v/>
      </c>
      <c r="CB12" s="1" t="str">
        <f>IF(AY12&gt;AY$164, AY12-AY$164,"")</f>
        <v/>
      </c>
      <c r="CC12" s="1" t="str">
        <f>IF(AZ12&gt;AZ$164, AZ12-AZ$164,"")</f>
        <v/>
      </c>
      <c r="CD12" s="1" t="str">
        <f>IF(BA12&gt;BA$164, BA12-BA$164,"")</f>
        <v/>
      </c>
      <c r="CE12" s="1" t="str">
        <f>IF(BB12&gt;BB$164, BB12-BB$164,"")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18">
        <f>SUM(AE12:BO12)</f>
        <v>20</v>
      </c>
    </row>
    <row r="13" spans="1:97" x14ac:dyDescent="0.15">
      <c r="A13" s="19">
        <v>60</v>
      </c>
      <c r="B13" s="19" t="s">
        <v>113</v>
      </c>
      <c r="C13" s="19" t="s">
        <v>62</v>
      </c>
      <c r="D13" s="19" t="s">
        <v>1</v>
      </c>
      <c r="E13" s="20"/>
      <c r="F13" s="20"/>
      <c r="G13" s="20"/>
      <c r="H13" s="20"/>
      <c r="I13" s="20"/>
      <c r="J13" s="20"/>
      <c r="K13" s="20">
        <v>5</v>
      </c>
      <c r="L13" s="20"/>
      <c r="M13" s="20"/>
      <c r="N13" s="20"/>
      <c r="O13" s="20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1"/>
      <c r="AR13" s="21"/>
      <c r="AS13" s="21"/>
      <c r="AT13" s="21"/>
      <c r="AU13" s="21"/>
      <c r="AV13" s="21"/>
      <c r="AW13" s="22"/>
      <c r="AX13" s="22"/>
      <c r="AY13" s="22"/>
      <c r="AZ13" s="22"/>
      <c r="BA13" s="22"/>
      <c r="BB13" s="22"/>
      <c r="BC13" s="30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>
        <f>SUM(E13:BO13)</f>
        <v>5</v>
      </c>
      <c r="BQ13" s="19">
        <v>0</v>
      </c>
      <c r="BR13" s="23">
        <v>0</v>
      </c>
      <c r="BS13" s="23"/>
      <c r="BT13" s="19" t="str">
        <f>IF(AQ13&gt;AQ$164, AQ13-AQ$164,"")</f>
        <v/>
      </c>
      <c r="BU13" s="19" t="str">
        <f>IF(AR13&gt;AR$164, AR13-AR$164,"")</f>
        <v/>
      </c>
      <c r="BV13" s="19" t="str">
        <f>IF(AS13&gt;AS$164, AS13-AS$164,"")</f>
        <v/>
      </c>
      <c r="BW13" s="19" t="str">
        <f>IF(AT13&gt;AT$164, AT13-AT$164,"")</f>
        <v/>
      </c>
      <c r="BX13" s="19" t="str">
        <f>IF(AU13&gt;AU$164, AU13-AU$164,"")</f>
        <v/>
      </c>
      <c r="BY13" s="19" t="str">
        <f>IF(AV13&gt;AV$164, AV13-AV$164,"")</f>
        <v/>
      </c>
      <c r="BZ13" s="19" t="str">
        <f>IF(AW13&gt;AW$164, AW13-AW$164,"")</f>
        <v/>
      </c>
      <c r="CA13" s="19" t="str">
        <f>IF(AX13&gt;AX$164, AX13-AX$164,"")</f>
        <v/>
      </c>
      <c r="CB13" s="19" t="str">
        <f>IF(AY13&gt;AY$164, AY13-AY$164,"")</f>
        <v/>
      </c>
      <c r="CC13" s="19" t="str">
        <f>IF(AZ13&gt;AZ$164, AZ13-AZ$164,"")</f>
        <v/>
      </c>
      <c r="CD13" s="19" t="str">
        <f>IF(BA13&gt;BA$164, BA13-BA$164,"")</f>
        <v/>
      </c>
      <c r="CE13" s="19" t="str">
        <f>IF(BB13&gt;BB$164, BB13-BB$164,"")</f>
        <v/>
      </c>
      <c r="CF13" s="19">
        <f>COUNTIF(BT13:CE13, "&gt;0")</f>
        <v>0</v>
      </c>
      <c r="CG13" s="19" t="str">
        <f>IF($CF13=1,BT13,"")</f>
        <v/>
      </c>
      <c r="CH13" s="19" t="str">
        <f>IF($CF13=1,BU13,"")</f>
        <v/>
      </c>
      <c r="CI13" s="19" t="str">
        <f>IF($CF13=1,BV13,"")</f>
        <v/>
      </c>
      <c r="CJ13" s="19" t="str">
        <f>IF($CF13=1,BW13,"")</f>
        <v/>
      </c>
      <c r="CK13" s="19" t="str">
        <f>IF($CF13=1,BX13,"")</f>
        <v/>
      </c>
      <c r="CL13" s="19" t="str">
        <f>IF($CF13=1,BY13,"")</f>
        <v/>
      </c>
      <c r="CM13" s="19" t="str">
        <f>IF($CF13=1,BZ13,"")</f>
        <v/>
      </c>
      <c r="CN13" s="19" t="str">
        <f>IF($CF13=1,CA13,"")</f>
        <v/>
      </c>
      <c r="CO13" s="19" t="str">
        <f>IF($CF13=1,CB13,"")</f>
        <v/>
      </c>
      <c r="CP13" s="19" t="str">
        <f>IF($CF13=1,CC13,"")</f>
        <v/>
      </c>
      <c r="CQ13" s="19" t="str">
        <f>IF($CF13=1,CD13,"")</f>
        <v/>
      </c>
      <c r="CR13" s="19" t="str">
        <f>IF($CF13=1,CE13,"")</f>
        <v/>
      </c>
      <c r="CS13" s="24">
        <f>SUM(AE13:BO13)</f>
        <v>0</v>
      </c>
    </row>
    <row r="14" spans="1:97" x14ac:dyDescent="0.15">
      <c r="A14" s="1">
        <v>72</v>
      </c>
      <c r="B14" s="3" t="s">
        <v>102</v>
      </c>
      <c r="C14" s="1" t="s">
        <v>62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>
        <v>6</v>
      </c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>
        <v>10</v>
      </c>
      <c r="AW14" s="2"/>
      <c r="AX14" s="2"/>
      <c r="AY14" s="2"/>
      <c r="AZ14" s="2"/>
      <c r="BA14" s="2">
        <v>10</v>
      </c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32</v>
      </c>
      <c r="BQ14" s="1">
        <v>0</v>
      </c>
      <c r="BR14" s="17">
        <v>0</v>
      </c>
      <c r="BS14" s="17"/>
      <c r="BT14" s="1" t="str">
        <f>IF(AQ14&gt;AQ$164, AQ14-AQ$164,"")</f>
        <v/>
      </c>
      <c r="BU14" s="1" t="str">
        <f>IF(AR14&gt;AR$164, AR14-AR$164,"")</f>
        <v/>
      </c>
      <c r="BV14" s="1" t="str">
        <f>IF(AS14&gt;AS$164, AS14-AS$164,"")</f>
        <v/>
      </c>
      <c r="BW14" s="1" t="str">
        <f>IF(AT14&gt;AT$164, AT14-AT$164,"")</f>
        <v/>
      </c>
      <c r="BX14" s="1" t="str">
        <f>IF(AU14&gt;AU$164, AU14-AU$164,"")</f>
        <v/>
      </c>
      <c r="BY14" s="1" t="str">
        <f>IF(AV14&gt;AV$164, AV14-AV$164,"")</f>
        <v/>
      </c>
      <c r="BZ14" s="1" t="str">
        <f>IF(AW14&gt;AW$164, AW14-AW$164,"")</f>
        <v/>
      </c>
      <c r="CA14" s="1" t="str">
        <f>IF(AX14&gt;AX$164, AX14-AX$164,"")</f>
        <v/>
      </c>
      <c r="CB14" s="1" t="str">
        <f>IF(AY14&gt;AY$164, AY14-AY$164,"")</f>
        <v/>
      </c>
      <c r="CC14" s="1" t="str">
        <f>IF(AZ14&gt;AZ$164, AZ14-AZ$164,"")</f>
        <v/>
      </c>
      <c r="CD14" s="1" t="str">
        <f>IF(BA14&gt;BA$164, BA14-BA$164,"")</f>
        <v/>
      </c>
      <c r="CE14" s="1" t="str">
        <f>IF(BB14&gt;BB$164, BB14-BB$164,"")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18">
        <f>SUM(AE14:BO14)</f>
        <v>20</v>
      </c>
    </row>
    <row r="15" spans="1:97" x14ac:dyDescent="0.15">
      <c r="A15" s="1">
        <v>58</v>
      </c>
      <c r="B15" s="1" t="s">
        <v>65</v>
      </c>
      <c r="C15" s="1" t="s">
        <v>62</v>
      </c>
      <c r="D15" s="1" t="s">
        <v>13</v>
      </c>
      <c r="E15" s="6"/>
      <c r="F15" s="6"/>
      <c r="G15" s="6">
        <v>10</v>
      </c>
      <c r="H15" s="6"/>
      <c r="I15" s="6"/>
      <c r="J15" s="6"/>
      <c r="K15" s="6"/>
      <c r="L15" s="6"/>
      <c r="M15" s="6"/>
      <c r="N15" s="6">
        <v>10</v>
      </c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>
        <v>10</v>
      </c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 s="1" t="str">
        <f>IF(AQ15&gt;AQ$164, AQ15-AQ$164,"")</f>
        <v/>
      </c>
      <c r="BU15" s="1" t="str">
        <f>IF(AR15&gt;AR$164, AR15-AR$164,"")</f>
        <v/>
      </c>
      <c r="BV15" s="1" t="str">
        <f>IF(AS15&gt;AS$164, AS15-AS$164,"")</f>
        <v/>
      </c>
      <c r="BW15" s="1" t="str">
        <f>IF(AT15&gt;AT$164, AT15-AT$164,"")</f>
        <v/>
      </c>
      <c r="BX15" s="1" t="str">
        <f>IF(AU15&gt;AU$164, AU15-AU$164,"")</f>
        <v/>
      </c>
      <c r="BY15" s="1" t="str">
        <f>IF(AV15&gt;AV$164, AV15-AV$164,"")</f>
        <v/>
      </c>
      <c r="BZ15" s="1" t="str">
        <f>IF(AW15&gt;AW$164, AW15-AW$164,"")</f>
        <v/>
      </c>
      <c r="CA15" s="1" t="str">
        <f>IF(AX15&gt;AX$164, AX15-AX$164,"")</f>
        <v/>
      </c>
      <c r="CB15" s="1" t="str">
        <f>IF(AY15&gt;AY$164, AY15-AY$164,"")</f>
        <v/>
      </c>
      <c r="CC15" s="1" t="str">
        <f>IF(AZ15&gt;AZ$164, AZ15-AZ$164,"")</f>
        <v/>
      </c>
      <c r="CD15" s="1" t="str">
        <f>IF(BA15&gt;BA$164, BA15-BA$164,"")</f>
        <v/>
      </c>
      <c r="CE15" s="1" t="str">
        <f>IF(BB15&gt;BB$164, BB15-BB$164,"")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18">
        <f>SUM(AE15:BO15)</f>
        <v>20</v>
      </c>
    </row>
    <row r="16" spans="1:97" x14ac:dyDescent="0.15">
      <c r="A16" s="1">
        <v>5</v>
      </c>
      <c r="B16" s="1" t="s">
        <v>22</v>
      </c>
      <c r="C16" s="1" t="s">
        <v>2</v>
      </c>
      <c r="D16" s="1" t="s">
        <v>12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>
        <v>10</v>
      </c>
      <c r="AS16" s="4"/>
      <c r="AT16" s="4"/>
      <c r="AU16" s="4"/>
      <c r="AV16" s="4"/>
      <c r="AW16" s="2"/>
      <c r="AX16" s="2"/>
      <c r="AY16" s="2"/>
      <c r="AZ16" s="2"/>
      <c r="BA16" s="2"/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20</v>
      </c>
      <c r="BQ16" s="1">
        <v>0</v>
      </c>
      <c r="BR16" s="17">
        <v>0</v>
      </c>
      <c r="BS16" s="17"/>
      <c r="BT16" s="1" t="str">
        <f>IF(AQ16&gt;AQ$164, AQ16-AQ$164,"")</f>
        <v/>
      </c>
      <c r="BU16" s="1" t="str">
        <f>IF(AR16&gt;AR$164, AR16-AR$164,"")</f>
        <v/>
      </c>
      <c r="BV16" s="1" t="str">
        <f>IF(AS16&gt;AS$164, AS16-AS$164,"")</f>
        <v/>
      </c>
      <c r="BW16" s="1" t="str">
        <f>IF(AT16&gt;AT$164, AT16-AT$164,"")</f>
        <v/>
      </c>
      <c r="BX16" s="1" t="str">
        <f>IF(AU16&gt;AU$164, AU16-AU$164,"")</f>
        <v/>
      </c>
      <c r="BY16" s="1" t="str">
        <f>IF(AV16&gt;AV$164, AV16-AV$164,"")</f>
        <v/>
      </c>
      <c r="BZ16" s="1" t="str">
        <f>IF(AW16&gt;AW$164, AW16-AW$164,"")</f>
        <v/>
      </c>
      <c r="CA16" s="1" t="str">
        <f>IF(AX16&gt;AX$164, AX16-AX$164,"")</f>
        <v/>
      </c>
      <c r="CB16" s="1" t="str">
        <f>IF(AY16&gt;AY$164, AY16-AY$164,"")</f>
        <v/>
      </c>
      <c r="CC16" s="1" t="str">
        <f>IF(AZ16&gt;AZ$164, AZ16-AZ$164,"")</f>
        <v/>
      </c>
      <c r="CD16" s="1" t="str">
        <f>IF(BA16&gt;BA$164, BA16-BA$164,"")</f>
        <v/>
      </c>
      <c r="CE16" s="1" t="str">
        <f>IF(BB16&gt;BB$164, BB16-BB$164,"")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18">
        <f>SUM(AE16:BO16)</f>
        <v>20</v>
      </c>
    </row>
    <row r="17" spans="1:97" x14ac:dyDescent="0.15">
      <c r="A17" s="1">
        <v>6</v>
      </c>
      <c r="B17" s="1" t="s">
        <v>55</v>
      </c>
      <c r="C17" s="1" t="s">
        <v>2</v>
      </c>
      <c r="D17" s="1" t="s">
        <v>23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>
        <v>10</v>
      </c>
      <c r="AS17" s="4"/>
      <c r="AT17" s="4"/>
      <c r="AU17" s="4"/>
      <c r="AV17" s="4"/>
      <c r="AW17" s="2"/>
      <c r="AX17" s="2"/>
      <c r="AY17" s="2"/>
      <c r="AZ17" s="2"/>
      <c r="BA17" s="2"/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0</v>
      </c>
      <c r="BR17" s="17">
        <v>0</v>
      </c>
      <c r="BS17" s="17"/>
      <c r="BT17" s="1" t="str">
        <f>IF(AQ17&gt;AQ$164, AQ17-AQ$164,"")</f>
        <v/>
      </c>
      <c r="BU17" s="1" t="str">
        <f>IF(AR17&gt;AR$164, AR17-AR$164,"")</f>
        <v/>
      </c>
      <c r="BV17" s="1" t="str">
        <f>IF(AS17&gt;AS$164, AS17-AS$164,"")</f>
        <v/>
      </c>
      <c r="BW17" s="1" t="str">
        <f>IF(AT17&gt;AT$164, AT17-AT$164,"")</f>
        <v/>
      </c>
      <c r="BX17" s="1" t="str">
        <f>IF(AU17&gt;AU$164, AU17-AU$164,"")</f>
        <v/>
      </c>
      <c r="BY17" s="1" t="str">
        <f>IF(AV17&gt;AV$164, AV17-AV$164,"")</f>
        <v/>
      </c>
      <c r="BZ17" s="1" t="str">
        <f>IF(AW17&gt;AW$164, AW17-AW$164,"")</f>
        <v/>
      </c>
      <c r="CA17" s="1" t="str">
        <f>IF(AX17&gt;AX$164, AX17-AX$164,"")</f>
        <v/>
      </c>
      <c r="CB17" s="1" t="str">
        <f>IF(AY17&gt;AY$164, AY17-AY$164,"")</f>
        <v/>
      </c>
      <c r="CC17" s="1" t="str">
        <f>IF(AZ17&gt;AZ$164, AZ17-AZ$164,"")</f>
        <v/>
      </c>
      <c r="CD17" s="1" t="str">
        <f>IF(BA17&gt;BA$164, BA17-BA$164,"")</f>
        <v/>
      </c>
      <c r="CE17" s="1" t="str">
        <f>IF(BB17&gt;BB$164, BB17-BB$164,"")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18">
        <f>SUM(AE17:BO17)</f>
        <v>20</v>
      </c>
    </row>
    <row r="18" spans="1:97" x14ac:dyDescent="0.15">
      <c r="A18" s="1">
        <v>94</v>
      </c>
      <c r="B18" s="3" t="s">
        <v>94</v>
      </c>
      <c r="C18" s="3" t="s">
        <v>78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>
        <v>10</v>
      </c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20</v>
      </c>
      <c r="BQ18" s="1">
        <v>0</v>
      </c>
      <c r="BR18" s="17">
        <v>0</v>
      </c>
      <c r="BS18" s="17"/>
      <c r="BT18" s="1" t="str">
        <f>IF(AQ18&gt;AQ$164, AQ18-AQ$164,"")</f>
        <v/>
      </c>
      <c r="BU18" s="1" t="str">
        <f>IF(AR18&gt;AR$164, AR18-AR$164,"")</f>
        <v/>
      </c>
      <c r="BV18" s="1" t="str">
        <f>IF(AS18&gt;AS$164, AS18-AS$164,"")</f>
        <v/>
      </c>
      <c r="BW18" s="1" t="str">
        <f>IF(AT18&gt;AT$164, AT18-AT$164,"")</f>
        <v/>
      </c>
      <c r="BX18" s="1" t="str">
        <f>IF(AU18&gt;AU$164, AU18-AU$164,"")</f>
        <v/>
      </c>
      <c r="BY18" s="1" t="str">
        <f>IF(AV18&gt;AV$164, AV18-AV$164,"")</f>
        <v/>
      </c>
      <c r="BZ18" s="1" t="str">
        <f>IF(AW18&gt;AW$164, AW18-AW$164,"")</f>
        <v/>
      </c>
      <c r="CA18" s="1" t="str">
        <f>IF(AX18&gt;AX$164, AX18-AX$164,"")</f>
        <v/>
      </c>
      <c r="CB18" s="1" t="str">
        <f>IF(AY18&gt;AY$164, AY18-AY$164,"")</f>
        <v/>
      </c>
      <c r="CC18" s="1" t="str">
        <f>IF(AZ18&gt;AZ$164, AZ18-AZ$164,"")</f>
        <v/>
      </c>
      <c r="CD18" s="1" t="str">
        <f>IF(BA18&gt;BA$164, BA18-BA$164,"")</f>
        <v/>
      </c>
      <c r="CE18" s="1" t="str">
        <f>IF(BB18&gt;BB$164, BB18-BB$164,"")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18">
        <f>SUM(AE18:BO18)</f>
        <v>20</v>
      </c>
    </row>
    <row r="19" spans="1:97" x14ac:dyDescent="0.15">
      <c r="A19" s="1">
        <v>96</v>
      </c>
      <c r="B19" s="3" t="s">
        <v>77</v>
      </c>
      <c r="C19" s="3" t="s">
        <v>78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>
        <v>10</v>
      </c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20</v>
      </c>
      <c r="BQ19" s="1">
        <v>0</v>
      </c>
      <c r="BR19" s="17">
        <v>0</v>
      </c>
      <c r="BS19" s="17"/>
      <c r="BT19" s="1" t="str">
        <f>IF(AQ19&gt;AQ$164, AQ19-AQ$164,"")</f>
        <v/>
      </c>
      <c r="BU19" s="1" t="str">
        <f>IF(AR19&gt;AR$164, AR19-AR$164,"")</f>
        <v/>
      </c>
      <c r="BV19" s="1" t="str">
        <f>IF(AS19&gt;AS$164, AS19-AS$164,"")</f>
        <v/>
      </c>
      <c r="BW19" s="1" t="str">
        <f>IF(AT19&gt;AT$164, AT19-AT$164,"")</f>
        <v/>
      </c>
      <c r="BX19" s="1" t="str">
        <f>IF(AU19&gt;AU$164, AU19-AU$164,"")</f>
        <v/>
      </c>
      <c r="BY19" s="1" t="str">
        <f>IF(AV19&gt;AV$164, AV19-AV$164,"")</f>
        <v/>
      </c>
      <c r="BZ19" s="1" t="str">
        <f>IF(AW19&gt;AW$164, AW19-AW$164,"")</f>
        <v/>
      </c>
      <c r="CA19" s="1" t="str">
        <f>IF(AX19&gt;AX$164, AX19-AX$164,"")</f>
        <v/>
      </c>
      <c r="CB19" s="1" t="str">
        <f>IF(AY19&gt;AY$164, AY19-AY$164,"")</f>
        <v/>
      </c>
      <c r="CC19" s="1" t="str">
        <f>IF(AZ19&gt;AZ$164, AZ19-AZ$164,"")</f>
        <v/>
      </c>
      <c r="CD19" s="1" t="str">
        <f>IF(BA19&gt;BA$164, BA19-BA$164,"")</f>
        <v/>
      </c>
      <c r="CE19" s="1" t="str">
        <f>IF(BB19&gt;BB$164, BB19-BB$164,"")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18">
        <f>SUM(AE19:BO19)</f>
        <v>20</v>
      </c>
    </row>
    <row r="20" spans="1:97" x14ac:dyDescent="0.15">
      <c r="A20" s="1">
        <v>76</v>
      </c>
      <c r="B20" s="3" t="s">
        <v>115</v>
      </c>
      <c r="C20" s="3" t="s">
        <v>71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>
        <v>10</v>
      </c>
      <c r="BI20" s="1"/>
      <c r="BJ20" s="1"/>
      <c r="BK20" s="1"/>
      <c r="BL20" s="1"/>
      <c r="BM20" s="1"/>
      <c r="BN20" s="1"/>
      <c r="BO20" s="1"/>
      <c r="BP20" s="1">
        <f>SUM(E20:BO20)</f>
        <v>10</v>
      </c>
      <c r="BQ20" s="1">
        <v>0</v>
      </c>
      <c r="BR20" s="17">
        <v>0</v>
      </c>
      <c r="BS20" s="17"/>
      <c r="BT20" s="1" t="str">
        <f>IF(AQ20&gt;AQ$164, AQ20-AQ$164,"")</f>
        <v/>
      </c>
      <c r="BU20" s="1" t="str">
        <f>IF(AR20&gt;AR$164, AR20-AR$164,"")</f>
        <v/>
      </c>
      <c r="BV20" s="1" t="str">
        <f>IF(AS20&gt;AS$164, AS20-AS$164,"")</f>
        <v/>
      </c>
      <c r="BW20" s="1" t="str">
        <f>IF(AT20&gt;AT$164, AT20-AT$164,"")</f>
        <v/>
      </c>
      <c r="BX20" s="1" t="str">
        <f>IF(AU20&gt;AU$164, AU20-AU$164,"")</f>
        <v/>
      </c>
      <c r="BY20" s="1" t="str">
        <f>IF(AV20&gt;AV$164, AV20-AV$164,"")</f>
        <v/>
      </c>
      <c r="BZ20" s="1" t="str">
        <f>IF(AW20&gt;AW$164, AW20-AW$164,"")</f>
        <v/>
      </c>
      <c r="CA20" s="1" t="str">
        <f>IF(AX20&gt;AX$164, AX20-AX$164,"")</f>
        <v/>
      </c>
      <c r="CB20" s="1" t="str">
        <f>IF(AY20&gt;AY$164, AY20-AY$164,"")</f>
        <v/>
      </c>
      <c r="CC20" s="1" t="str">
        <f>IF(AZ20&gt;AZ$164, AZ20-AZ$164,"")</f>
        <v/>
      </c>
      <c r="CD20" s="1" t="str">
        <f>IF(BA20&gt;BA$164, BA20-BA$164,"")</f>
        <v/>
      </c>
      <c r="CE20" s="1" t="str">
        <f>IF(BB20&gt;BB$164, BB20-BB$164,"")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18">
        <f>SUM(AE20:BO20)</f>
        <v>10</v>
      </c>
    </row>
    <row r="21" spans="1:97" x14ac:dyDescent="0.15">
      <c r="A21" s="1"/>
      <c r="B21" s="1" t="s">
        <v>121</v>
      </c>
      <c r="C21" s="1" t="s">
        <v>122</v>
      </c>
      <c r="D21" s="1" t="s">
        <v>123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125</v>
      </c>
      <c r="C22" s="1" t="s">
        <v>126</v>
      </c>
      <c r="D22" s="1" t="s">
        <v>124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>
        <v>20</v>
      </c>
      <c r="BE22" s="1">
        <v>20</v>
      </c>
      <c r="BF22" s="1">
        <v>20</v>
      </c>
      <c r="BG22" s="1">
        <v>20</v>
      </c>
      <c r="BH22" s="1"/>
      <c r="BI22" s="1"/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/>
      <c r="B23" s="1" t="s">
        <v>136</v>
      </c>
      <c r="C23" s="1" t="s">
        <v>137</v>
      </c>
      <c r="D23" s="1" t="s">
        <v>124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>
        <v>20</v>
      </c>
      <c r="BG23" s="1">
        <v>20</v>
      </c>
      <c r="BH23" s="1">
        <v>20</v>
      </c>
      <c r="BI23" s="1">
        <v>20</v>
      </c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139</v>
      </c>
      <c r="C24" s="1" t="s">
        <v>137</v>
      </c>
      <c r="D24" s="1" t="s">
        <v>123</v>
      </c>
      <c r="E24" s="6"/>
      <c r="F24" s="6"/>
      <c r="G24" s="6"/>
      <c r="H24" s="6"/>
      <c r="I24" s="6"/>
      <c r="J24" s="6"/>
      <c r="K24" s="6"/>
      <c r="L24" s="6"/>
      <c r="M24" s="6"/>
      <c r="N24" s="6">
        <v>5</v>
      </c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142</v>
      </c>
      <c r="C25" s="1" t="s">
        <v>122</v>
      </c>
      <c r="D25" s="1" t="s">
        <v>124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>
        <v>20</v>
      </c>
      <c r="BE25" s="1">
        <v>20</v>
      </c>
      <c r="BF25" s="1">
        <v>20</v>
      </c>
      <c r="BG25" s="1">
        <v>20</v>
      </c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x14ac:dyDescent="0.15">
      <c r="A26" s="1"/>
      <c r="B26" s="1" t="s">
        <v>144</v>
      </c>
      <c r="C26" s="1" t="s">
        <v>122</v>
      </c>
      <c r="D26" s="1" t="s">
        <v>123</v>
      </c>
      <c r="E26" s="6"/>
      <c r="F26" s="6"/>
      <c r="G26" s="6"/>
      <c r="H26" s="6"/>
      <c r="I26" s="6"/>
      <c r="J26" s="6"/>
      <c r="K26" s="6">
        <v>5</v>
      </c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s="25" customFormat="1" x14ac:dyDescent="0.15">
      <c r="A27" s="1"/>
      <c r="B27" s="1" t="s">
        <v>145</v>
      </c>
      <c r="C27" s="1" t="s">
        <v>146</v>
      </c>
      <c r="D27" s="1" t="s">
        <v>123</v>
      </c>
      <c r="E27" s="6"/>
      <c r="F27" s="6"/>
      <c r="G27" s="6">
        <v>2</v>
      </c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147</v>
      </c>
      <c r="C28" s="1" t="s">
        <v>146</v>
      </c>
      <c r="D28" s="1" t="s">
        <v>123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151</v>
      </c>
      <c r="C29" s="1" t="s">
        <v>149</v>
      </c>
      <c r="D29" s="1" t="s">
        <v>123</v>
      </c>
      <c r="E29" s="6"/>
      <c r="F29" s="6"/>
      <c r="G29" s="6"/>
      <c r="H29" s="6"/>
      <c r="I29" s="6"/>
      <c r="J29" s="6">
        <v>5</v>
      </c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153</v>
      </c>
      <c r="C30" s="1" t="s">
        <v>149</v>
      </c>
      <c r="D30" s="1" t="s">
        <v>123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>
        <v>5</v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154</v>
      </c>
      <c r="C31" s="1" t="s">
        <v>149</v>
      </c>
      <c r="D31" s="1" t="s">
        <v>123</v>
      </c>
      <c r="E31" s="6"/>
      <c r="F31" s="6"/>
      <c r="G31" s="6"/>
      <c r="H31" s="6"/>
      <c r="I31" s="6"/>
      <c r="J31" s="6"/>
      <c r="K31" s="6">
        <v>5</v>
      </c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156</v>
      </c>
      <c r="C32" s="1" t="s">
        <v>149</v>
      </c>
      <c r="D32" s="1" t="s">
        <v>123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192</v>
      </c>
      <c r="C33" s="1" t="s">
        <v>191</v>
      </c>
      <c r="D33" s="1" t="s">
        <v>163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>
        <v>10</v>
      </c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193</v>
      </c>
      <c r="C34" s="1" t="s">
        <v>194</v>
      </c>
      <c r="D34" s="1" t="s">
        <v>163</v>
      </c>
      <c r="E34" s="6"/>
      <c r="F34" s="6"/>
      <c r="G34" s="6"/>
      <c r="H34" s="6"/>
      <c r="I34" s="6"/>
      <c r="J34" s="6">
        <v>5</v>
      </c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195</v>
      </c>
      <c r="C35" s="1" t="s">
        <v>196</v>
      </c>
      <c r="D35" s="1" t="s">
        <v>164</v>
      </c>
      <c r="E35" s="6"/>
      <c r="F35" s="6"/>
      <c r="G35" s="6"/>
      <c r="H35" s="6"/>
      <c r="I35" s="6"/>
      <c r="J35" s="6"/>
      <c r="K35" s="6"/>
      <c r="L35" s="6">
        <v>6</v>
      </c>
      <c r="M35" s="6"/>
      <c r="N35" s="6"/>
      <c r="O35" s="6">
        <v>6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10</v>
      </c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202</v>
      </c>
      <c r="C36" s="1" t="s">
        <v>196</v>
      </c>
      <c r="D36" s="1" t="s">
        <v>163</v>
      </c>
      <c r="E36" s="6"/>
      <c r="F36" s="6"/>
      <c r="G36" s="6"/>
      <c r="H36" s="6"/>
      <c r="I36" s="6"/>
      <c r="J36" s="6"/>
      <c r="K36" s="6">
        <v>5</v>
      </c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160</v>
      </c>
      <c r="C37" s="1" t="s">
        <v>161</v>
      </c>
      <c r="D37" s="1" t="s">
        <v>162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s="25" customFormat="1" x14ac:dyDescent="0.15">
      <c r="A38" s="1"/>
      <c r="B38" s="1" t="s">
        <v>179</v>
      </c>
      <c r="C38" s="1" t="s">
        <v>180</v>
      </c>
      <c r="D38" s="1" t="s">
        <v>162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187</v>
      </c>
      <c r="C39" s="1" t="s">
        <v>185</v>
      </c>
      <c r="D39" s="1" t="s">
        <v>162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>
        <v>10</v>
      </c>
      <c r="Q39" s="32"/>
      <c r="R39" s="32"/>
      <c r="S39" s="32">
        <v>10</v>
      </c>
      <c r="T39" s="32"/>
      <c r="U39" s="32"/>
      <c r="V39" s="32">
        <v>10</v>
      </c>
      <c r="W39" s="32"/>
      <c r="X39" s="32"/>
      <c r="Y39" s="32">
        <v>10</v>
      </c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/>
      <c r="B40" s="1" t="s">
        <v>189</v>
      </c>
      <c r="C40" s="1" t="s">
        <v>191</v>
      </c>
      <c r="D40" s="1" t="s">
        <v>162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>
        <v>10</v>
      </c>
      <c r="Q40" s="32"/>
      <c r="R40" s="32"/>
      <c r="S40" s="32">
        <v>10</v>
      </c>
      <c r="T40" s="32"/>
      <c r="U40" s="32"/>
      <c r="V40" s="32">
        <v>10</v>
      </c>
      <c r="W40" s="32"/>
      <c r="X40" s="32"/>
      <c r="Y40" s="32">
        <v>10</v>
      </c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198</v>
      </c>
      <c r="C41" s="1" t="s">
        <v>196</v>
      </c>
      <c r="D41" s="1" t="s">
        <v>162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>
        <v>10</v>
      </c>
      <c r="Q41" s="32"/>
      <c r="R41" s="32"/>
      <c r="S41" s="32">
        <v>10</v>
      </c>
      <c r="T41" s="32"/>
      <c r="U41" s="32"/>
      <c r="V41" s="32">
        <v>10</v>
      </c>
      <c r="W41" s="32"/>
      <c r="X41" s="32"/>
      <c r="Y41" s="32">
        <v>10</v>
      </c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201</v>
      </c>
      <c r="C42" s="1" t="s">
        <v>196</v>
      </c>
      <c r="D42" s="1" t="s">
        <v>162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>
        <v>10</v>
      </c>
      <c r="Q42" s="32"/>
      <c r="R42" s="32"/>
      <c r="S42" s="32">
        <v>10</v>
      </c>
      <c r="T42" s="32"/>
      <c r="U42" s="32"/>
      <c r="V42" s="32">
        <v>10</v>
      </c>
      <c r="W42" s="32"/>
      <c r="X42" s="32"/>
      <c r="Y42" s="32">
        <v>10</v>
      </c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v>0</v>
      </c>
      <c r="BR42" s="17">
        <v>0</v>
      </c>
      <c r="BS42" s="17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203</v>
      </c>
      <c r="C43" s="1" t="s">
        <v>196</v>
      </c>
      <c r="D43" s="1" t="s">
        <v>162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2">
        <v>10</v>
      </c>
      <c r="Q43" s="32"/>
      <c r="R43" s="32"/>
      <c r="S43" s="32">
        <v>10</v>
      </c>
      <c r="T43" s="32"/>
      <c r="U43" s="32"/>
      <c r="V43" s="32">
        <v>10</v>
      </c>
      <c r="W43" s="32"/>
      <c r="X43" s="32"/>
      <c r="Y43" s="32">
        <v>10</v>
      </c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0</v>
      </c>
      <c r="BR43" s="17">
        <v>0</v>
      </c>
      <c r="BS43" s="17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>
        <v>97</v>
      </c>
      <c r="B44" s="3" t="s">
        <v>79</v>
      </c>
      <c r="C44" s="3" t="s">
        <v>78</v>
      </c>
      <c r="D44" s="1" t="s">
        <v>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>
        <v>10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10</v>
      </c>
      <c r="BQ44" s="1">
        <v>0</v>
      </c>
      <c r="BR44" s="17">
        <v>0</v>
      </c>
      <c r="BS44" s="17"/>
      <c r="BT44" s="1" t="str">
        <f>IF(AQ44&gt;AQ$164, AQ44-AQ$164,"")</f>
        <v/>
      </c>
      <c r="BU44" s="1" t="str">
        <f>IF(AR44&gt;AR$164, AR44-AR$164,"")</f>
        <v/>
      </c>
      <c r="BV44" s="1" t="str">
        <f>IF(AS44&gt;AS$164, AS44-AS$164,"")</f>
        <v/>
      </c>
      <c r="BW44" s="1" t="str">
        <f>IF(AT44&gt;AT$164, AT44-AT$164,"")</f>
        <v/>
      </c>
      <c r="BX44" s="1" t="str">
        <f>IF(AU44&gt;AU$164, AU44-AU$164,"")</f>
        <v/>
      </c>
      <c r="BY44" s="1" t="str">
        <f>IF(AV44&gt;AV$164, AV44-AV$164,"")</f>
        <v/>
      </c>
      <c r="BZ44" s="1" t="str">
        <f>IF(AW44&gt;AW$164, AW44-AW$164,"")</f>
        <v/>
      </c>
      <c r="CA44" s="1" t="str">
        <f>IF(AX44&gt;AX$164, AX44-AX$164,"")</f>
        <v/>
      </c>
      <c r="CB44" s="1" t="str">
        <f>IF(AY44&gt;AY$164, AY44-AY$164,"")</f>
        <v/>
      </c>
      <c r="CC44" s="1" t="str">
        <f>IF(AZ44&gt;AZ$164, AZ44-AZ$164,"")</f>
        <v/>
      </c>
      <c r="CD44" s="1" t="str">
        <f>IF(BA44&gt;BA$164, BA44-BA$164,"")</f>
        <v/>
      </c>
      <c r="CE44" s="1" t="str">
        <f>IF(BB44&gt;BB$164, BB44-BB$164,"")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18">
        <f>SUM(AE44:BO44)</f>
        <v>10</v>
      </c>
    </row>
    <row r="45" spans="1:97" x14ac:dyDescent="0.15">
      <c r="A45" s="1">
        <v>91</v>
      </c>
      <c r="B45" s="3" t="s">
        <v>91</v>
      </c>
      <c r="C45" s="3" t="s">
        <v>90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>
        <v>5</v>
      </c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5</v>
      </c>
      <c r="BQ45" s="1">
        <v>1</v>
      </c>
      <c r="BR45" s="17">
        <v>1</v>
      </c>
      <c r="BS45" s="17" t="s">
        <v>212</v>
      </c>
      <c r="BT45" s="1" t="str">
        <f>IF(AQ45&gt;AQ$164, AQ45-AQ$164,"")</f>
        <v/>
      </c>
      <c r="BU45" s="1" t="str">
        <f>IF(AR45&gt;AR$164, AR45-AR$164,"")</f>
        <v/>
      </c>
      <c r="BV45" s="1" t="str">
        <f>IF(AS45&gt;AS$164, AS45-AS$164,"")</f>
        <v/>
      </c>
      <c r="BW45" s="1" t="str">
        <f>IF(AT45&gt;AT$164, AT45-AT$164,"")</f>
        <v/>
      </c>
      <c r="BX45" s="1" t="str">
        <f>IF(AU45&gt;AU$164, AU45-AU$164,"")</f>
        <v/>
      </c>
      <c r="BY45" s="1" t="str">
        <f>IF(AV45&gt;AV$164, AV45-AV$164,"")</f>
        <v/>
      </c>
      <c r="BZ45" s="1" t="str">
        <f>IF(AW45&gt;AW$164, AW45-AW$164,"")</f>
        <v/>
      </c>
      <c r="CA45" s="1" t="str">
        <f>IF(AX45&gt;AX$164, AX45-AX$164,"")</f>
        <v/>
      </c>
      <c r="CB45" s="1" t="str">
        <f>IF(AY45&gt;AY$164, AY45-AY$164,"")</f>
        <v/>
      </c>
      <c r="CC45" s="1" t="str">
        <f>IF(AZ45&gt;AZ$164, AZ45-AZ$164,"")</f>
        <v/>
      </c>
      <c r="CD45" s="1" t="str">
        <f>IF(BA45&gt;BA$164, BA45-BA$164,"")</f>
        <v/>
      </c>
      <c r="CE45" s="1" t="str">
        <f>IF(BB45&gt;BB$164, BB45-BB$164,"")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18">
        <f>SUM(AE45:BO45)</f>
        <v>5</v>
      </c>
    </row>
    <row r="46" spans="1:97" x14ac:dyDescent="0.15">
      <c r="A46" s="19">
        <v>92</v>
      </c>
      <c r="B46" s="27" t="s">
        <v>92</v>
      </c>
      <c r="C46" s="27" t="s">
        <v>90</v>
      </c>
      <c r="D46" s="19" t="s">
        <v>24</v>
      </c>
      <c r="E46" s="20">
        <v>10</v>
      </c>
      <c r="F46" s="20"/>
      <c r="G46" s="20"/>
      <c r="H46" s="20"/>
      <c r="I46" s="20">
        <v>10</v>
      </c>
      <c r="J46" s="20">
        <v>10</v>
      </c>
      <c r="K46" s="20"/>
      <c r="L46" s="20"/>
      <c r="M46" s="20"/>
      <c r="N46" s="20"/>
      <c r="O46" s="20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21"/>
      <c r="AR46" s="21"/>
      <c r="AS46" s="21"/>
      <c r="AT46" s="21"/>
      <c r="AU46" s="21"/>
      <c r="AV46" s="21"/>
      <c r="AW46" s="22"/>
      <c r="AX46" s="22"/>
      <c r="AY46" s="22"/>
      <c r="AZ46" s="22"/>
      <c r="BA46" s="22"/>
      <c r="BB46" s="22"/>
      <c r="BC46" s="30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>
        <f>SUM(E46:BO46)</f>
        <v>30</v>
      </c>
      <c r="BQ46" s="19">
        <v>2</v>
      </c>
      <c r="BR46" s="23">
        <v>1</v>
      </c>
      <c r="BS46" s="23" t="s">
        <v>251</v>
      </c>
      <c r="BT46" s="19" t="str">
        <f>IF(AQ46&gt;AQ$164, AQ46-AQ$164,"")</f>
        <v/>
      </c>
      <c r="BU46" s="19" t="str">
        <f>IF(AR46&gt;AR$164, AR46-AR$164,"")</f>
        <v/>
      </c>
      <c r="BV46" s="19" t="str">
        <f>IF(AS46&gt;AS$164, AS46-AS$164,"")</f>
        <v/>
      </c>
      <c r="BW46" s="19" t="str">
        <f>IF(AT46&gt;AT$164, AT46-AT$164,"")</f>
        <v/>
      </c>
      <c r="BX46" s="19" t="str">
        <f>IF(AU46&gt;AU$164, AU46-AU$164,"")</f>
        <v/>
      </c>
      <c r="BY46" s="19" t="str">
        <f>IF(AV46&gt;AV$164, AV46-AV$164,"")</f>
        <v/>
      </c>
      <c r="BZ46" s="19" t="str">
        <f>IF(AW46&gt;AW$164, AW46-AW$164,"")</f>
        <v/>
      </c>
      <c r="CA46" s="19" t="str">
        <f>IF(AX46&gt;AX$164, AX46-AX$164,"")</f>
        <v/>
      </c>
      <c r="CB46" s="19" t="str">
        <f>IF(AY46&gt;AY$164, AY46-AY$164,"")</f>
        <v/>
      </c>
      <c r="CC46" s="19" t="str">
        <f>IF(AZ46&gt;AZ$164, AZ46-AZ$164,"")</f>
        <v/>
      </c>
      <c r="CD46" s="19" t="str">
        <f>IF(BA46&gt;BA$164, BA46-BA$164,"")</f>
        <v/>
      </c>
      <c r="CE46" s="19" t="str">
        <f>IF(BB46&gt;BB$164, BB46-BB$164,"")</f>
        <v/>
      </c>
      <c r="CF46" s="19">
        <f>COUNTIF(BT46:CE46, "&gt;0")</f>
        <v>0</v>
      </c>
      <c r="CG46" s="19" t="str">
        <f>IF($CF46=1,BT46,"")</f>
        <v/>
      </c>
      <c r="CH46" s="19" t="str">
        <f>IF($CF46=1,BU46,"")</f>
        <v/>
      </c>
      <c r="CI46" s="19" t="str">
        <f>IF($CF46=1,BV46,"")</f>
        <v/>
      </c>
      <c r="CJ46" s="19" t="str">
        <f>IF($CF46=1,BW46,"")</f>
        <v/>
      </c>
      <c r="CK46" s="19" t="str">
        <f>IF($CF46=1,BX46,"")</f>
        <v/>
      </c>
      <c r="CL46" s="19" t="str">
        <f>IF($CF46=1,BY46,"")</f>
        <v/>
      </c>
      <c r="CM46" s="19" t="str">
        <f>IF($CF46=1,BZ46,"")</f>
        <v/>
      </c>
      <c r="CN46" s="19" t="str">
        <f>IF($CF46=1,CA46,"")</f>
        <v/>
      </c>
      <c r="CO46" s="19" t="str">
        <f>IF($CF46=1,CB46,"")</f>
        <v/>
      </c>
      <c r="CP46" s="19" t="str">
        <f>IF($CF46=1,CC46,"")</f>
        <v/>
      </c>
      <c r="CQ46" s="19" t="str">
        <f>IF($CF46=1,CD46,"")</f>
        <v/>
      </c>
      <c r="CR46" s="19" t="str">
        <f>IF($CF46=1,CE46,"")</f>
        <v/>
      </c>
      <c r="CS46" s="24">
        <f>SUM(AE46:BO46)</f>
        <v>0</v>
      </c>
    </row>
    <row r="47" spans="1:97" x14ac:dyDescent="0.15">
      <c r="A47" s="1">
        <v>84</v>
      </c>
      <c r="B47" s="3" t="s">
        <v>76</v>
      </c>
      <c r="C47" s="3" t="s">
        <v>71</v>
      </c>
      <c r="D47" s="1" t="s">
        <v>13</v>
      </c>
      <c r="E47" s="6"/>
      <c r="F47" s="6"/>
      <c r="G47" s="6">
        <v>5</v>
      </c>
      <c r="H47" s="6">
        <v>5</v>
      </c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5</v>
      </c>
      <c r="BB47" s="2">
        <v>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</v>
      </c>
      <c r="BQ47" s="1">
        <v>2</v>
      </c>
      <c r="BR47" s="17">
        <v>1</v>
      </c>
      <c r="BS47" s="17" t="s">
        <v>252</v>
      </c>
      <c r="BT47" s="1" t="str">
        <f>IF(AQ47&gt;AQ$164, AQ47-AQ$164,"")</f>
        <v/>
      </c>
      <c r="BU47" s="1" t="str">
        <f>IF(AR47&gt;AR$164, AR47-AR$164,"")</f>
        <v/>
      </c>
      <c r="BV47" s="1" t="str">
        <f>IF(AS47&gt;AS$164, AS47-AS$164,"")</f>
        <v/>
      </c>
      <c r="BW47" s="1" t="str">
        <f>IF(AT47&gt;AT$164, AT47-AT$164,"")</f>
        <v/>
      </c>
      <c r="BX47" s="1" t="str">
        <f>IF(AU47&gt;AU$164, AU47-AU$164,"")</f>
        <v/>
      </c>
      <c r="BY47" s="1" t="str">
        <f>IF(AV47&gt;AV$164, AV47-AV$164,"")</f>
        <v/>
      </c>
      <c r="BZ47" s="1" t="str">
        <f>IF(AW47&gt;AW$164, AW47-AW$164,"")</f>
        <v/>
      </c>
      <c r="CA47" s="1" t="str">
        <f>IF(AX47&gt;AX$164, AX47-AX$164,"")</f>
        <v/>
      </c>
      <c r="CB47" s="1" t="str">
        <f>IF(AY47&gt;AY$164, AY47-AY$164,"")</f>
        <v/>
      </c>
      <c r="CC47" s="1" t="str">
        <f>IF(AZ47&gt;AZ$164, AZ47-AZ$164,"")</f>
        <v/>
      </c>
      <c r="CD47" s="1" t="str">
        <f>IF(BA47&gt;BA$164, BA47-BA$164,"")</f>
        <v/>
      </c>
      <c r="CE47" s="1" t="str">
        <f>IF(BB47&gt;BB$164, BB47-BB$164,"")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18">
        <f>SUM(AE47:BO47)</f>
        <v>10</v>
      </c>
    </row>
    <row r="48" spans="1:97" x14ac:dyDescent="0.15">
      <c r="A48" s="1"/>
      <c r="B48" s="1" t="s">
        <v>139</v>
      </c>
      <c r="C48" s="1" t="s">
        <v>137</v>
      </c>
      <c r="D48" s="1" t="s">
        <v>124</v>
      </c>
      <c r="E48" s="6">
        <v>10</v>
      </c>
      <c r="F48" s="6"/>
      <c r="G48" s="6">
        <v>10</v>
      </c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>
        <v>10</v>
      </c>
      <c r="AS48" s="4"/>
      <c r="AT48" s="4"/>
      <c r="AU48" s="4"/>
      <c r="AV48" s="4"/>
      <c r="AW48" s="2"/>
      <c r="AX48" s="2"/>
      <c r="AY48" s="2"/>
      <c r="AZ48" s="2"/>
      <c r="BA48" s="2"/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251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155</v>
      </c>
      <c r="C49" s="1" t="s">
        <v>149</v>
      </c>
      <c r="D49" s="1" t="s">
        <v>123</v>
      </c>
      <c r="E49" s="6"/>
      <c r="F49" s="6"/>
      <c r="G49" s="6"/>
      <c r="H49" s="6">
        <v>5</v>
      </c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2</v>
      </c>
      <c r="BR49" s="17">
        <v>1</v>
      </c>
      <c r="BS49" s="17" t="s">
        <v>252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/>
      <c r="B50" s="1" t="s">
        <v>193</v>
      </c>
      <c r="C50" s="1" t="s">
        <v>194</v>
      </c>
      <c r="D50" s="1" t="s">
        <v>164</v>
      </c>
      <c r="E50" s="6">
        <v>10</v>
      </c>
      <c r="F50" s="6"/>
      <c r="G50" s="6">
        <v>10</v>
      </c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>
        <v>10</v>
      </c>
      <c r="AS50" s="4"/>
      <c r="AT50" s="4"/>
      <c r="AU50" s="4"/>
      <c r="AV50" s="4"/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2</v>
      </c>
      <c r="BR50" s="17">
        <v>1</v>
      </c>
      <c r="BS50" s="17" t="s">
        <v>251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9">
        <v>37</v>
      </c>
      <c r="B51" s="19" t="s">
        <v>52</v>
      </c>
      <c r="C51" s="19" t="s">
        <v>49</v>
      </c>
      <c r="D51" s="19" t="s">
        <v>25</v>
      </c>
      <c r="E51" s="20"/>
      <c r="F51" s="20">
        <v>5</v>
      </c>
      <c r="G51" s="20"/>
      <c r="H51" s="20"/>
      <c r="I51" s="20"/>
      <c r="J51" s="20"/>
      <c r="K51" s="20"/>
      <c r="L51" s="20"/>
      <c r="M51" s="20"/>
      <c r="N51" s="20"/>
      <c r="O51" s="20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21"/>
      <c r="AR51" s="21"/>
      <c r="AS51" s="21"/>
      <c r="AT51" s="21"/>
      <c r="AU51" s="21"/>
      <c r="AV51" s="21"/>
      <c r="AW51" s="22"/>
      <c r="AX51" s="22"/>
      <c r="AY51" s="22"/>
      <c r="AZ51" s="22"/>
      <c r="BA51" s="22"/>
      <c r="BB51" s="22"/>
      <c r="BC51" s="30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>
        <f>SUM(E51:BO51)</f>
        <v>5</v>
      </c>
      <c r="BQ51" s="19">
        <v>2</v>
      </c>
      <c r="BR51" s="23">
        <v>1</v>
      </c>
      <c r="BS51" s="23" t="s">
        <v>253</v>
      </c>
      <c r="BT51" s="19" t="str">
        <f>IF(AQ51&gt;AQ$164, AQ51-AQ$164,"")</f>
        <v/>
      </c>
      <c r="BU51" s="19" t="str">
        <f>IF(AR51&gt;AR$164, AR51-AR$164,"")</f>
        <v/>
      </c>
      <c r="BV51" s="19" t="str">
        <f>IF(AS51&gt;AS$164, AS51-AS$164,"")</f>
        <v/>
      </c>
      <c r="BW51" s="19" t="str">
        <f>IF(AT51&gt;AT$164, AT51-AT$164,"")</f>
        <v/>
      </c>
      <c r="BX51" s="19" t="str">
        <f>IF(AU51&gt;AU$164, AU51-AU$164,"")</f>
        <v/>
      </c>
      <c r="BY51" s="19" t="str">
        <f>IF(AV51&gt;AV$164, AV51-AV$164,"")</f>
        <v/>
      </c>
      <c r="BZ51" s="19" t="str">
        <f>IF(AW51&gt;AW$164, AW51-AW$164,"")</f>
        <v/>
      </c>
      <c r="CA51" s="19" t="str">
        <f>IF(AX51&gt;AX$164, AX51-AX$164,"")</f>
        <v/>
      </c>
      <c r="CB51" s="19" t="str">
        <f>IF(AY51&gt;AY$164, AY51-AY$164,"")</f>
        <v/>
      </c>
      <c r="CC51" s="19" t="str">
        <f>IF(AZ51&gt;AZ$164, AZ51-AZ$164,"")</f>
        <v/>
      </c>
      <c r="CD51" s="19" t="str">
        <f>IF(BA51&gt;BA$164, BA51-BA$164,"")</f>
        <v/>
      </c>
      <c r="CE51" s="19" t="str">
        <f>IF(BB51&gt;BB$164, BB51-BB$164,"")</f>
        <v/>
      </c>
      <c r="CF51" s="19">
        <f>COUNTIF(BT51:CE51, "&gt;0")</f>
        <v>0</v>
      </c>
      <c r="CG51" s="19" t="str">
        <f>IF($CF51=1,BT51,"")</f>
        <v/>
      </c>
      <c r="CH51" s="19" t="str">
        <f>IF($CF51=1,BU51,"")</f>
        <v/>
      </c>
      <c r="CI51" s="19" t="str">
        <f>IF($CF51=1,BV51,"")</f>
        <v/>
      </c>
      <c r="CJ51" s="19" t="str">
        <f>IF($CF51=1,BW51,"")</f>
        <v/>
      </c>
      <c r="CK51" s="19" t="str">
        <f>IF($CF51=1,BX51,"")</f>
        <v/>
      </c>
      <c r="CL51" s="19" t="str">
        <f>IF($CF51=1,BY51,"")</f>
        <v/>
      </c>
      <c r="CM51" s="19" t="str">
        <f>IF($CF51=1,BZ51,"")</f>
        <v/>
      </c>
      <c r="CN51" s="19" t="str">
        <f>IF($CF51=1,CA51,"")</f>
        <v/>
      </c>
      <c r="CO51" s="19" t="str">
        <f>IF($CF51=1,CB51,"")</f>
        <v/>
      </c>
      <c r="CP51" s="19" t="str">
        <f>IF($CF51=1,CC51,"")</f>
        <v/>
      </c>
      <c r="CQ51" s="19" t="str">
        <f>IF($CF51=1,CD51,"")</f>
        <v/>
      </c>
      <c r="CR51" s="19" t="str">
        <f>IF($CF51=1,CE51,"")</f>
        <v/>
      </c>
      <c r="CS51" s="24">
        <f>SUM(AE51:BO51)</f>
        <v>0</v>
      </c>
    </row>
    <row r="52" spans="1:97" s="25" customFormat="1" x14ac:dyDescent="0.15">
      <c r="A52" s="1"/>
      <c r="B52" s="1" t="s">
        <v>134</v>
      </c>
      <c r="C52" s="1" t="s">
        <v>126</v>
      </c>
      <c r="D52" s="1" t="s">
        <v>123</v>
      </c>
      <c r="E52" s="6"/>
      <c r="F52" s="6">
        <v>5</v>
      </c>
      <c r="G52" s="6"/>
      <c r="H52" s="6"/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2</v>
      </c>
      <c r="BR52" s="17">
        <v>1</v>
      </c>
      <c r="BS52" s="17" t="s">
        <v>253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/>
      <c r="B53" s="1" t="s">
        <v>152</v>
      </c>
      <c r="C53" s="1" t="s">
        <v>149</v>
      </c>
      <c r="D53" s="1" t="s">
        <v>123</v>
      </c>
      <c r="E53" s="6"/>
      <c r="F53" s="6">
        <v>5</v>
      </c>
      <c r="G53" s="6"/>
      <c r="H53" s="6"/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2</v>
      </c>
      <c r="BR53" s="17">
        <v>1</v>
      </c>
      <c r="BS53" s="17" t="s">
        <v>253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/>
      <c r="B54" s="1" t="s">
        <v>135</v>
      </c>
      <c r="C54" s="1" t="s">
        <v>126</v>
      </c>
      <c r="D54" s="1" t="s">
        <v>131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2</v>
      </c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v>2</v>
      </c>
      <c r="BR54" s="17">
        <v>1</v>
      </c>
      <c r="BS54" s="17" t="s">
        <v>208</v>
      </c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x14ac:dyDescent="0.15">
      <c r="A55" s="1">
        <v>69</v>
      </c>
      <c r="B55" s="3" t="s">
        <v>70</v>
      </c>
      <c r="C55" s="1" t="s">
        <v>62</v>
      </c>
      <c r="D55" s="1" t="s">
        <v>13</v>
      </c>
      <c r="E55" s="6"/>
      <c r="F55" s="6"/>
      <c r="G55" s="6"/>
      <c r="H55" s="6">
        <v>6</v>
      </c>
      <c r="I55" s="6">
        <v>6</v>
      </c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10</v>
      </c>
      <c r="AW55" s="2"/>
      <c r="AX55" s="2">
        <v>10</v>
      </c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3</v>
      </c>
      <c r="BR55" s="17">
        <v>1</v>
      </c>
      <c r="BS55" s="17" t="s">
        <v>254</v>
      </c>
      <c r="BT55" s="1" t="str">
        <f>IF(AQ55&gt;AQ$164, AQ55-AQ$164,"")</f>
        <v/>
      </c>
      <c r="BU55" s="1" t="str">
        <f>IF(AR55&gt;AR$164, AR55-AR$164,"")</f>
        <v/>
      </c>
      <c r="BV55" s="1" t="str">
        <f>IF(AS55&gt;AS$164, AS55-AS$164,"")</f>
        <v/>
      </c>
      <c r="BW55" s="1" t="str">
        <f>IF(AT55&gt;AT$164, AT55-AT$164,"")</f>
        <v/>
      </c>
      <c r="BX55" s="1" t="str">
        <f>IF(AU55&gt;AU$164, AU55-AU$164,"")</f>
        <v/>
      </c>
      <c r="BY55" s="1" t="str">
        <f>IF(AV55&gt;AV$164, AV55-AV$164,"")</f>
        <v/>
      </c>
      <c r="BZ55" s="1" t="str">
        <f>IF(AW55&gt;AW$164, AW55-AW$164,"")</f>
        <v/>
      </c>
      <c r="CA55" s="1" t="str">
        <f>IF(AX55&gt;AX$164, AX55-AX$164,"")</f>
        <v/>
      </c>
      <c r="CB55" s="1" t="str">
        <f>IF(AY55&gt;AY$164, AY55-AY$164,"")</f>
        <v/>
      </c>
      <c r="CC55" s="1" t="str">
        <f>IF(AZ55&gt;AZ$164, AZ55-AZ$164,"")</f>
        <v/>
      </c>
      <c r="CD55" s="1" t="str">
        <f>IF(BA55&gt;BA$164, BA55-BA$164,"")</f>
        <v/>
      </c>
      <c r="CE55" s="1" t="str">
        <f>IF(BB55&gt;BB$164, BB55-BB$164,"")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18">
        <f>SUM(AE55:BO55)</f>
        <v>20</v>
      </c>
    </row>
    <row r="56" spans="1:97" x14ac:dyDescent="0.15">
      <c r="A56" s="1">
        <v>8</v>
      </c>
      <c r="B56" s="1" t="s">
        <v>56</v>
      </c>
      <c r="C56" s="1" t="s">
        <v>2</v>
      </c>
      <c r="D56" s="1" t="s">
        <v>26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3</v>
      </c>
      <c r="BR56" s="17">
        <v>1</v>
      </c>
      <c r="BS56" s="17" t="s">
        <v>254</v>
      </c>
      <c r="BT56" s="1" t="str">
        <f>IF(AQ56&gt;AQ$164, AQ56-AQ$164,"")</f>
        <v/>
      </c>
      <c r="BU56" s="1" t="str">
        <f>IF(AR56&gt;AR$164, AR56-AR$164,"")</f>
        <v/>
      </c>
      <c r="BV56" s="1" t="str">
        <f>IF(AS56&gt;AS$164, AS56-AS$164,"")</f>
        <v/>
      </c>
      <c r="BW56" s="1" t="str">
        <f>IF(AT56&gt;AT$164, AT56-AT$164,"")</f>
        <v/>
      </c>
      <c r="BX56" s="1" t="str">
        <f>IF(AU56&gt;AU$164, AU56-AU$164,"")</f>
        <v/>
      </c>
      <c r="BY56" s="1" t="str">
        <f>IF(AV56&gt;AV$164, AV56-AV$164,"")</f>
        <v/>
      </c>
      <c r="BZ56" s="1" t="str">
        <f>IF(AW56&gt;AW$164, AW56-AW$164,"")</f>
        <v/>
      </c>
      <c r="CA56" s="1" t="str">
        <f>IF(AX56&gt;AX$164, AX56-AX$164,"")</f>
        <v/>
      </c>
      <c r="CB56" s="1" t="str">
        <f>IF(AY56&gt;AY$164, AY56-AY$164,"")</f>
        <v/>
      </c>
      <c r="CC56" s="1" t="str">
        <f>IF(AZ56&gt;AZ$164, AZ56-AZ$164,"")</f>
        <v/>
      </c>
      <c r="CD56" s="1" t="str">
        <f>IF(BA56&gt;BA$164, BA56-BA$164,"")</f>
        <v/>
      </c>
      <c r="CE56" s="1" t="str">
        <f>IF(BB56&gt;BB$164, BB56-BB$164,"")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18">
        <f>SUM(AE56:BO56)</f>
        <v>20</v>
      </c>
    </row>
    <row r="57" spans="1:97" x14ac:dyDescent="0.15">
      <c r="A57" s="1"/>
      <c r="B57" s="1" t="s">
        <v>207</v>
      </c>
      <c r="C57" s="1" t="s">
        <v>146</v>
      </c>
      <c r="D57" s="1" t="s">
        <v>124</v>
      </c>
      <c r="E57" s="6"/>
      <c r="F57" s="6"/>
      <c r="G57" s="6">
        <v>6</v>
      </c>
      <c r="H57" s="6">
        <v>6</v>
      </c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>
        <v>10</v>
      </c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v>3</v>
      </c>
      <c r="BR57" s="17">
        <v>1</v>
      </c>
      <c r="BS57" s="17" t="s">
        <v>254</v>
      </c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/>
      <c r="B58" s="1" t="s">
        <v>155</v>
      </c>
      <c r="C58" s="1" t="s">
        <v>149</v>
      </c>
      <c r="D58" s="1" t="s">
        <v>124</v>
      </c>
      <c r="E58" s="6"/>
      <c r="F58" s="6"/>
      <c r="G58" s="6"/>
      <c r="H58" s="6">
        <v>6</v>
      </c>
      <c r="I58" s="6"/>
      <c r="J58" s="6">
        <v>6</v>
      </c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>
        <v>8</v>
      </c>
      <c r="AU58" s="4"/>
      <c r="AV58" s="4"/>
      <c r="AW58" s="2"/>
      <c r="AX58" s="2"/>
      <c r="AY58" s="2">
        <v>8</v>
      </c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v>3</v>
      </c>
      <c r="BR58" s="17">
        <v>1</v>
      </c>
      <c r="BS58" s="17" t="s">
        <v>254</v>
      </c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x14ac:dyDescent="0.15">
      <c r="A59" s="1">
        <v>68</v>
      </c>
      <c r="B59" s="3" t="s">
        <v>117</v>
      </c>
      <c r="C59" s="1" t="s">
        <v>62</v>
      </c>
      <c r="D59" s="1" t="s">
        <v>13</v>
      </c>
      <c r="E59" s="6"/>
      <c r="F59" s="6">
        <v>6</v>
      </c>
      <c r="G59" s="6"/>
      <c r="H59" s="6"/>
      <c r="I59" s="6"/>
      <c r="J59" s="6"/>
      <c r="K59" s="6"/>
      <c r="L59" s="6"/>
      <c r="M59" s="6"/>
      <c r="N59" s="6">
        <v>6</v>
      </c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>
        <v>10</v>
      </c>
      <c r="AW59" s="2"/>
      <c r="AX59" s="2"/>
      <c r="AY59" s="2"/>
      <c r="AZ59" s="2"/>
      <c r="BA59" s="2"/>
      <c r="BB59" s="2">
        <v>10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3</v>
      </c>
      <c r="BR59" s="17">
        <v>1</v>
      </c>
      <c r="BS59" s="17" t="s">
        <v>210</v>
      </c>
      <c r="BT59" s="1" t="str">
        <f>IF(AQ59&gt;AQ$164, AQ59-AQ$164,"")</f>
        <v/>
      </c>
      <c r="BU59" s="1" t="str">
        <f>IF(AR59&gt;AR$164, AR59-AR$164,"")</f>
        <v/>
      </c>
      <c r="BV59" s="1" t="str">
        <f>IF(AS59&gt;AS$164, AS59-AS$164,"")</f>
        <v/>
      </c>
      <c r="BW59" s="1" t="str">
        <f>IF(AT59&gt;AT$164, AT59-AT$164,"")</f>
        <v/>
      </c>
      <c r="BX59" s="1" t="str">
        <f>IF(AU59&gt;AU$164, AU59-AU$164,"")</f>
        <v/>
      </c>
      <c r="BY59" s="1" t="str">
        <f>IF(AV59&gt;AV$164, AV59-AV$164,"")</f>
        <v/>
      </c>
      <c r="BZ59" s="1" t="str">
        <f>IF(AW59&gt;AW$164, AW59-AW$164,"")</f>
        <v/>
      </c>
      <c r="CA59" s="1" t="str">
        <f>IF(AX59&gt;AX$164, AX59-AX$164,"")</f>
        <v/>
      </c>
      <c r="CB59" s="1" t="str">
        <f>IF(AY59&gt;AY$164, AY59-AY$164,"")</f>
        <v/>
      </c>
      <c r="CC59" s="1" t="str">
        <f>IF(AZ59&gt;AZ$164, AZ59-AZ$164,"")</f>
        <v/>
      </c>
      <c r="CD59" s="1" t="str">
        <f>IF(BA59&gt;BA$164, BA59-BA$164,"")</f>
        <v/>
      </c>
      <c r="CE59" s="1" t="str">
        <f>IF(BB59&gt;BB$164, BB59-BB$164,"")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18">
        <f>SUM(AE59:BO59)</f>
        <v>20</v>
      </c>
    </row>
    <row r="60" spans="1:97" x14ac:dyDescent="0.15">
      <c r="A60" s="1"/>
      <c r="B60" s="1" t="s">
        <v>153</v>
      </c>
      <c r="C60" s="1" t="s">
        <v>149</v>
      </c>
      <c r="D60" s="1" t="s">
        <v>124</v>
      </c>
      <c r="E60" s="6"/>
      <c r="F60" s="6">
        <v>6</v>
      </c>
      <c r="G60" s="6"/>
      <c r="H60" s="6"/>
      <c r="I60" s="6"/>
      <c r="J60" s="6"/>
      <c r="K60" s="6"/>
      <c r="L60" s="6"/>
      <c r="M60" s="6"/>
      <c r="N60" s="6"/>
      <c r="O60" s="6">
        <v>6</v>
      </c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10</v>
      </c>
      <c r="AU60" s="4"/>
      <c r="AV60" s="4"/>
      <c r="AW60" s="2"/>
      <c r="AX60" s="2"/>
      <c r="AY60" s="2">
        <v>10</v>
      </c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v>3</v>
      </c>
      <c r="BR60" s="17">
        <v>1</v>
      </c>
      <c r="BS60" s="17" t="s">
        <v>210</v>
      </c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x14ac:dyDescent="0.15">
      <c r="A61" s="1"/>
      <c r="B61" s="1" t="s">
        <v>201</v>
      </c>
      <c r="C61" s="1" t="s">
        <v>196</v>
      </c>
      <c r="D61" s="1" t="s">
        <v>164</v>
      </c>
      <c r="E61" s="6"/>
      <c r="F61" s="6"/>
      <c r="G61" s="6">
        <v>5</v>
      </c>
      <c r="H61" s="6"/>
      <c r="I61" s="6"/>
      <c r="J61" s="6"/>
      <c r="K61" s="6"/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>
        <v>5</v>
      </c>
      <c r="W61" s="32"/>
      <c r="X61" s="32"/>
      <c r="Y61" s="32">
        <v>5</v>
      </c>
      <c r="Z61" s="32"/>
      <c r="AA61" s="32"/>
      <c r="AB61" s="32"/>
      <c r="AC61" s="32">
        <v>5</v>
      </c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3</v>
      </c>
      <c r="BR61" s="17">
        <v>1</v>
      </c>
      <c r="BS61" s="17" t="s">
        <v>255</v>
      </c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>
        <v>24</v>
      </c>
      <c r="B62" s="1" t="s">
        <v>47</v>
      </c>
      <c r="C62" s="1" t="s">
        <v>32</v>
      </c>
      <c r="D62" s="1" t="s">
        <v>26</v>
      </c>
      <c r="E62" s="6"/>
      <c r="F62" s="6"/>
      <c r="G62" s="6"/>
      <c r="H62" s="6"/>
      <c r="I62" s="6">
        <v>4</v>
      </c>
      <c r="J62" s="6"/>
      <c r="K62" s="6">
        <v>4</v>
      </c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>
        <v>5</v>
      </c>
      <c r="AT62" s="4"/>
      <c r="AU62" s="4"/>
      <c r="AV62" s="4"/>
      <c r="AW62" s="2">
        <v>5</v>
      </c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18</v>
      </c>
      <c r="BQ62" s="1">
        <v>3</v>
      </c>
      <c r="BR62" s="17">
        <v>1</v>
      </c>
      <c r="BS62" s="17" t="s">
        <v>256</v>
      </c>
      <c r="BT62" s="1" t="str">
        <f>IF(AQ62&gt;AQ$164, AQ62-AQ$164,"")</f>
        <v/>
      </c>
      <c r="BU62" s="1" t="str">
        <f>IF(AR62&gt;AR$164, AR62-AR$164,"")</f>
        <v/>
      </c>
      <c r="BV62" s="1">
        <f>IF(AS62&gt;AS$164, AS62-AS$164,"")</f>
        <v>3</v>
      </c>
      <c r="BW62" s="1" t="str">
        <f>IF(AT62&gt;AT$164, AT62-AT$164,"")</f>
        <v/>
      </c>
      <c r="BX62" s="1" t="str">
        <f>IF(AU62&gt;AU$164, AU62-AU$164,"")</f>
        <v/>
      </c>
      <c r="BY62" s="1" t="str">
        <f>IF(AV62&gt;AV$164, AV62-AV$164,"")</f>
        <v/>
      </c>
      <c r="BZ62" s="1" t="str">
        <f>IF(AW62&gt;AW$164, AW62-AW$164,"")</f>
        <v/>
      </c>
      <c r="CA62" s="1" t="str">
        <f>IF(AX62&gt;AX$164, AX62-AX$164,"")</f>
        <v/>
      </c>
      <c r="CB62" s="1" t="str">
        <f>IF(AY62&gt;AY$164, AY62-AY$164,"")</f>
        <v/>
      </c>
      <c r="CC62" s="1" t="str">
        <f>IF(AZ62&gt;AZ$164, AZ62-AZ$164,"")</f>
        <v/>
      </c>
      <c r="CD62" s="1" t="str">
        <f>IF(BA62&gt;BA$164, BA62-BA$164,"")</f>
        <v/>
      </c>
      <c r="CE62" s="1" t="str">
        <f>IF(BB62&gt;BB$164, BB62-BB$164,"")</f>
        <v/>
      </c>
      <c r="CF62" s="1">
        <f>COUNTIF(BT62:CE62, "&gt;0")</f>
        <v>1</v>
      </c>
      <c r="CG62" s="1" t="str">
        <f>IF($CF62=1,BT62,"")</f>
        <v/>
      </c>
      <c r="CH62" s="1" t="str">
        <f>IF($CF62=1,BU62,"")</f>
        <v/>
      </c>
      <c r="CI62" s="1">
        <f>IF($CF62=1,BV62,"")</f>
        <v>3</v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18">
        <f>SUM(AE62:BO62)</f>
        <v>10</v>
      </c>
    </row>
    <row r="63" spans="1:97" x14ac:dyDescent="0.15">
      <c r="A63" s="1">
        <v>2</v>
      </c>
      <c r="B63" s="1" t="s">
        <v>8</v>
      </c>
      <c r="C63" s="1" t="s">
        <v>2</v>
      </c>
      <c r="D63" s="1" t="s">
        <v>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>
        <v>15</v>
      </c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>
        <v>15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30</v>
      </c>
      <c r="BQ63" s="1">
        <v>3</v>
      </c>
      <c r="BR63" s="17">
        <v>1</v>
      </c>
      <c r="BS63" s="17" t="s">
        <v>219</v>
      </c>
      <c r="BT63" s="1" t="str">
        <f>IF(AQ63&gt;AQ$164, AQ63-AQ$164,"")</f>
        <v/>
      </c>
      <c r="BU63" s="1" t="str">
        <f>IF(AR63&gt;AR$164, AR63-AR$164,"")</f>
        <v/>
      </c>
      <c r="BV63" s="1" t="str">
        <f>IF(AS63&gt;AS$164, AS63-AS$164,"")</f>
        <v/>
      </c>
      <c r="BW63" s="1" t="str">
        <f>IF(AT63&gt;AT$164, AT63-AT$164,"")</f>
        <v/>
      </c>
      <c r="BX63" s="1" t="str">
        <f>IF(AU63&gt;AU$164, AU63-AU$164,"")</f>
        <v/>
      </c>
      <c r="BY63" s="1" t="str">
        <f>IF(AV63&gt;AV$164, AV63-AV$164,"")</f>
        <v/>
      </c>
      <c r="BZ63" s="1" t="str">
        <f>IF(AW63&gt;AW$164, AW63-AW$164,"")</f>
        <v/>
      </c>
      <c r="CA63" s="1" t="str">
        <f>IF(AX63&gt;AX$164, AX63-AX$164,"")</f>
        <v/>
      </c>
      <c r="CB63" s="1" t="str">
        <f>IF(AY63&gt;AY$164, AY63-AY$164,"")</f>
        <v/>
      </c>
      <c r="CC63" s="1" t="str">
        <f>IF(AZ63&gt;AZ$164, AZ63-AZ$164,"")</f>
        <v/>
      </c>
      <c r="CD63" s="1" t="str">
        <f>IF(BA63&gt;BA$164, BA63-BA$164,"")</f>
        <v/>
      </c>
      <c r="CE63" s="1" t="str">
        <f>IF(BB63&gt;BB$164, BB63-BB$164,"")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18">
        <f>SUM(AE63:BO63)</f>
        <v>30</v>
      </c>
    </row>
    <row r="64" spans="1:97" x14ac:dyDescent="0.15">
      <c r="A64" s="1">
        <v>41</v>
      </c>
      <c r="B64" s="1" t="s">
        <v>57</v>
      </c>
      <c r="C64" s="1" t="s">
        <v>49</v>
      </c>
      <c r="D64" s="1" t="s">
        <v>13</v>
      </c>
      <c r="E64" s="6"/>
      <c r="F64" s="6"/>
      <c r="G64" s="6"/>
      <c r="H64" s="6"/>
      <c r="I64" s="6"/>
      <c r="J64" s="6"/>
      <c r="K64" s="6"/>
      <c r="L64" s="6">
        <v>6</v>
      </c>
      <c r="M64" s="6"/>
      <c r="N64" s="6"/>
      <c r="O64" s="6">
        <v>6</v>
      </c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>
        <v>10</v>
      </c>
      <c r="AR64" s="4"/>
      <c r="AS64" s="4"/>
      <c r="AT64" s="4"/>
      <c r="AU64" s="4"/>
      <c r="AV64" s="4"/>
      <c r="AW64" s="2"/>
      <c r="AX64" s="2">
        <v>10</v>
      </c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32</v>
      </c>
      <c r="BQ64" s="1">
        <v>4</v>
      </c>
      <c r="BR64" s="17">
        <v>1</v>
      </c>
      <c r="BS64" s="17" t="s">
        <v>257</v>
      </c>
      <c r="BT64" s="1">
        <f>IF(AQ64&gt;AQ$164, AQ64-AQ$164,"")</f>
        <v>4</v>
      </c>
      <c r="BU64" s="1" t="str">
        <f>IF(AR64&gt;AR$164, AR64-AR$164,"")</f>
        <v/>
      </c>
      <c r="BV64" s="1" t="str">
        <f>IF(AS64&gt;AS$164, AS64-AS$164,"")</f>
        <v/>
      </c>
      <c r="BW64" s="1" t="str">
        <f>IF(AT64&gt;AT$164, AT64-AT$164,"")</f>
        <v/>
      </c>
      <c r="BX64" s="1" t="str">
        <f>IF(AU64&gt;AU$164, AU64-AU$164,"")</f>
        <v/>
      </c>
      <c r="BY64" s="1" t="str">
        <f>IF(AV64&gt;AV$164, AV64-AV$164,"")</f>
        <v/>
      </c>
      <c r="BZ64" s="1" t="str">
        <f>IF(AW64&gt;AW$164, AW64-AW$164,"")</f>
        <v/>
      </c>
      <c r="CA64" s="1" t="str">
        <f>IF(AX64&gt;AX$164, AX64-AX$164,"")</f>
        <v/>
      </c>
      <c r="CB64" s="1" t="str">
        <f>IF(AY64&gt;AY$164, AY64-AY$164,"")</f>
        <v/>
      </c>
      <c r="CC64" s="1" t="str">
        <f>IF(AZ64&gt;AZ$164, AZ64-AZ$164,"")</f>
        <v/>
      </c>
      <c r="CD64" s="1" t="str">
        <f>IF(BA64&gt;BA$164, BA64-BA$164,"")</f>
        <v/>
      </c>
      <c r="CE64" s="1" t="str">
        <f>IF(BB64&gt;BB$164, BB64-BB$164,"")</f>
        <v/>
      </c>
      <c r="CF64" s="1">
        <f>COUNTIF(BT64:CE64, "&gt;0")</f>
        <v>1</v>
      </c>
      <c r="CG64" s="1">
        <f>IF($CF64=1,BT64,"")</f>
        <v>4</v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 t="str">
        <f>IF($CF64=1,CD64,"")</f>
        <v/>
      </c>
      <c r="CR64" s="1" t="str">
        <f>IF($CF64=1,CE64,"")</f>
        <v/>
      </c>
      <c r="CS64" s="18">
        <f>SUM(AE64:BO64)</f>
        <v>20</v>
      </c>
    </row>
    <row r="65" spans="1:97" x14ac:dyDescent="0.15">
      <c r="A65" s="1">
        <v>45</v>
      </c>
      <c r="B65" s="1" t="s">
        <v>120</v>
      </c>
      <c r="C65" s="1" t="s">
        <v>49</v>
      </c>
      <c r="D65" s="1" t="s">
        <v>13</v>
      </c>
      <c r="E65" s="6">
        <v>6</v>
      </c>
      <c r="F65" s="6"/>
      <c r="G65" s="6"/>
      <c r="H65" s="6"/>
      <c r="I65" s="6"/>
      <c r="J65" s="6"/>
      <c r="K65" s="6"/>
      <c r="L65" s="6"/>
      <c r="M65" s="6">
        <v>6</v>
      </c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>
        <v>10</v>
      </c>
      <c r="AR65" s="4"/>
      <c r="AS65" s="4"/>
      <c r="AT65" s="4"/>
      <c r="AU65" s="4"/>
      <c r="AV65" s="4"/>
      <c r="AW65" s="2"/>
      <c r="AX65" s="2"/>
      <c r="AY65" s="2"/>
      <c r="AZ65" s="2">
        <v>10</v>
      </c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32</v>
      </c>
      <c r="BQ65" s="1">
        <v>4</v>
      </c>
      <c r="BR65" s="17">
        <v>1</v>
      </c>
      <c r="BS65" s="17" t="s">
        <v>257</v>
      </c>
      <c r="BT65" s="1">
        <f>IF(AQ65&gt;AQ$164, AQ65-AQ$164,"")</f>
        <v>4</v>
      </c>
      <c r="BU65" s="1" t="str">
        <f>IF(AR65&gt;AR$164, AR65-AR$164,"")</f>
        <v/>
      </c>
      <c r="BV65" s="1" t="str">
        <f>IF(AS65&gt;AS$164, AS65-AS$164,"")</f>
        <v/>
      </c>
      <c r="BW65" s="1" t="str">
        <f>IF(AT65&gt;AT$164, AT65-AT$164,"")</f>
        <v/>
      </c>
      <c r="BX65" s="1" t="str">
        <f>IF(AU65&gt;AU$164, AU65-AU$164,"")</f>
        <v/>
      </c>
      <c r="BY65" s="1" t="str">
        <f>IF(AV65&gt;AV$164, AV65-AV$164,"")</f>
        <v/>
      </c>
      <c r="BZ65" s="1" t="str">
        <f>IF(AW65&gt;AW$164, AW65-AW$164,"")</f>
        <v/>
      </c>
      <c r="CA65" s="1" t="str">
        <f>IF(AX65&gt;AX$164, AX65-AX$164,"")</f>
        <v/>
      </c>
      <c r="CB65" s="1" t="str">
        <f>IF(AY65&gt;AY$164, AY65-AY$164,"")</f>
        <v/>
      </c>
      <c r="CC65" s="1" t="str">
        <f>IF(AZ65&gt;AZ$164, AZ65-AZ$164,"")</f>
        <v/>
      </c>
      <c r="CD65" s="1" t="str">
        <f>IF(BA65&gt;BA$164, BA65-BA$164,"")</f>
        <v/>
      </c>
      <c r="CE65" s="1" t="str">
        <f>IF(BB65&gt;BB$164, BB65-BB$164,"")</f>
        <v/>
      </c>
      <c r="CF65" s="1">
        <f>COUNTIF(BT65:CE65, "&gt;0")</f>
        <v>1</v>
      </c>
      <c r="CG65" s="1">
        <f>IF($CF65=1,BT65,"")</f>
        <v>4</v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18">
        <f>SUM(AE65:BO65)</f>
        <v>20</v>
      </c>
    </row>
    <row r="66" spans="1:97" x14ac:dyDescent="0.15">
      <c r="A66" s="1"/>
      <c r="B66" s="1" t="s">
        <v>143</v>
      </c>
      <c r="C66" s="1" t="s">
        <v>122</v>
      </c>
      <c r="D66" s="1" t="s">
        <v>123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>
        <v>10</v>
      </c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>
        <v>10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v>4</v>
      </c>
      <c r="BR66" s="17">
        <v>1</v>
      </c>
      <c r="BS66" s="17" t="s">
        <v>257</v>
      </c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x14ac:dyDescent="0.15">
      <c r="A67" s="1">
        <v>17</v>
      </c>
      <c r="B67" s="1" t="s">
        <v>35</v>
      </c>
      <c r="C67" s="1" t="s">
        <v>32</v>
      </c>
      <c r="D67" s="1" t="s">
        <v>24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>
        <v>5</v>
      </c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5</v>
      </c>
      <c r="BQ67" s="1">
        <v>5</v>
      </c>
      <c r="BR67" s="17">
        <v>1</v>
      </c>
      <c r="BS67" s="17" t="s">
        <v>258</v>
      </c>
      <c r="BT67" s="1" t="str">
        <f>IF(AQ67&gt;AQ$164, AQ67-AQ$164,"")</f>
        <v/>
      </c>
      <c r="BU67" s="1" t="str">
        <f>IF(AR67&gt;AR$164, AR67-AR$164,"")</f>
        <v/>
      </c>
      <c r="BV67" s="1" t="str">
        <f>IF(AS67&gt;AS$164, AS67-AS$164,"")</f>
        <v/>
      </c>
      <c r="BW67" s="1" t="str">
        <f>IF(AT67&gt;AT$164, AT67-AT$164,"")</f>
        <v/>
      </c>
      <c r="BX67" s="1" t="str">
        <f>IF(AU67&gt;AU$164, AU67-AU$164,"")</f>
        <v/>
      </c>
      <c r="BY67" s="1" t="str">
        <f>IF(AV67&gt;AV$164, AV67-AV$164,"")</f>
        <v/>
      </c>
      <c r="BZ67" s="1" t="str">
        <f>IF(AW67&gt;AW$164, AW67-AW$164,"")</f>
        <v/>
      </c>
      <c r="CA67" s="1" t="str">
        <f>IF(AX67&gt;AX$164, AX67-AX$164,"")</f>
        <v/>
      </c>
      <c r="CB67" s="1" t="str">
        <f>IF(AY67&gt;AY$164, AY67-AY$164,"")</f>
        <v/>
      </c>
      <c r="CC67" s="1" t="str">
        <f>IF(AZ67&gt;AZ$164, AZ67-AZ$164,"")</f>
        <v/>
      </c>
      <c r="CD67" s="1" t="str">
        <f>IF(BA67&gt;BA$164, BA67-BA$164,"")</f>
        <v/>
      </c>
      <c r="CE67" s="1" t="str">
        <f>IF(BB67&gt;BB$164, BB67-BB$164,"")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18">
        <f>SUM(AE67:BO67)</f>
        <v>5</v>
      </c>
    </row>
    <row r="68" spans="1:97" x14ac:dyDescent="0.15">
      <c r="A68" s="1">
        <v>18</v>
      </c>
      <c r="B68" s="1" t="s">
        <v>35</v>
      </c>
      <c r="C68" s="1" t="s">
        <v>32</v>
      </c>
      <c r="D68" s="1" t="s">
        <v>25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>
        <v>5</v>
      </c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5</v>
      </c>
      <c r="BQ68" s="1">
        <v>5</v>
      </c>
      <c r="BR68" s="17">
        <v>1</v>
      </c>
      <c r="BS68" s="17" t="s">
        <v>213</v>
      </c>
      <c r="BT68" s="1" t="str">
        <f>IF(AQ68&gt;AQ$164, AQ68-AQ$164,"")</f>
        <v/>
      </c>
      <c r="BU68" s="1" t="str">
        <f>IF(AR68&gt;AR$164, AR68-AR$164,"")</f>
        <v/>
      </c>
      <c r="BV68" s="1" t="str">
        <f>IF(AS68&gt;AS$164, AS68-AS$164,"")</f>
        <v/>
      </c>
      <c r="BW68" s="1" t="str">
        <f>IF(AT68&gt;AT$164, AT68-AT$164,"")</f>
        <v/>
      </c>
      <c r="BX68" s="1" t="str">
        <f>IF(AU68&gt;AU$164, AU68-AU$164,"")</f>
        <v/>
      </c>
      <c r="BY68" s="1" t="str">
        <f>IF(AV68&gt;AV$164, AV68-AV$164,"")</f>
        <v/>
      </c>
      <c r="BZ68" s="1" t="str">
        <f>IF(AW68&gt;AW$164, AW68-AW$164,"")</f>
        <v/>
      </c>
      <c r="CA68" s="1" t="str">
        <f>IF(AX68&gt;AX$164, AX68-AX$164,"")</f>
        <v/>
      </c>
      <c r="CB68" s="1" t="str">
        <f>IF(AY68&gt;AY$164, AY68-AY$164,"")</f>
        <v/>
      </c>
      <c r="CC68" s="1" t="str">
        <f>IF(AZ68&gt;AZ$164, AZ68-AZ$164,"")</f>
        <v/>
      </c>
      <c r="CD68" s="1" t="str">
        <f>IF(BA68&gt;BA$164, BA68-BA$164,"")</f>
        <v/>
      </c>
      <c r="CE68" s="1" t="str">
        <f>IF(BB68&gt;BB$164, BB68-BB$164,"")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18">
        <f>SUM(AE68:BO68)</f>
        <v>5</v>
      </c>
    </row>
    <row r="69" spans="1:97" x14ac:dyDescent="0.15">
      <c r="A69" s="1">
        <v>19</v>
      </c>
      <c r="B69" s="1" t="s">
        <v>38</v>
      </c>
      <c r="C69" s="1" t="s">
        <v>32</v>
      </c>
      <c r="D69" s="1" t="s">
        <v>24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>
        <v>5</v>
      </c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5</v>
      </c>
      <c r="BQ69" s="1">
        <v>5</v>
      </c>
      <c r="BR69" s="17">
        <v>1</v>
      </c>
      <c r="BS69" s="17" t="s">
        <v>213</v>
      </c>
      <c r="BT69" s="1" t="str">
        <f>IF(AQ69&gt;AQ$164, AQ69-AQ$164,"")</f>
        <v/>
      </c>
      <c r="BU69" s="1" t="str">
        <f>IF(AR69&gt;AR$164, AR69-AR$164,"")</f>
        <v/>
      </c>
      <c r="BV69" s="1" t="str">
        <f>IF(AS69&gt;AS$164, AS69-AS$164,"")</f>
        <v/>
      </c>
      <c r="BW69" s="1" t="str">
        <f>IF(AT69&gt;AT$164, AT69-AT$164,"")</f>
        <v/>
      </c>
      <c r="BX69" s="1" t="str">
        <f>IF(AU69&gt;AU$164, AU69-AU$164,"")</f>
        <v/>
      </c>
      <c r="BY69" s="1" t="str">
        <f>IF(AV69&gt;AV$164, AV69-AV$164,"")</f>
        <v/>
      </c>
      <c r="BZ69" s="1" t="str">
        <f>IF(AW69&gt;AW$164, AW69-AW$164,"")</f>
        <v/>
      </c>
      <c r="CA69" s="1" t="str">
        <f>IF(AX69&gt;AX$164, AX69-AX$164,"")</f>
        <v/>
      </c>
      <c r="CB69" s="1" t="str">
        <f>IF(AY69&gt;AY$164, AY69-AY$164,"")</f>
        <v/>
      </c>
      <c r="CC69" s="1" t="str">
        <f>IF(AZ69&gt;AZ$164, AZ69-AZ$164,"")</f>
        <v/>
      </c>
      <c r="CD69" s="1" t="str">
        <f>IF(BA69&gt;BA$164, BA69-BA$164,"")</f>
        <v/>
      </c>
      <c r="CE69" s="1" t="str">
        <f>IF(BB69&gt;BB$164, BB69-BB$164,"")</f>
        <v/>
      </c>
      <c r="CF69" s="1">
        <f>COUNTIF(BT69:CE69, "&gt;0")</f>
        <v>0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18">
        <f>SUM(AE69:BO69)</f>
        <v>5</v>
      </c>
    </row>
    <row r="70" spans="1:97" x14ac:dyDescent="0.15">
      <c r="A70" s="1">
        <v>32</v>
      </c>
      <c r="B70" s="1" t="s">
        <v>87</v>
      </c>
      <c r="C70" s="1" t="s">
        <v>32</v>
      </c>
      <c r="D70" s="1" t="s">
        <v>24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>
        <v>5</v>
      </c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5</v>
      </c>
      <c r="BQ70" s="1">
        <v>5</v>
      </c>
      <c r="BR70" s="17">
        <v>1</v>
      </c>
      <c r="BS70" s="17" t="s">
        <v>214</v>
      </c>
      <c r="BT70" s="1" t="str">
        <f>IF(AQ70&gt;AQ$164, AQ70-AQ$164,"")</f>
        <v/>
      </c>
      <c r="BU70" s="1" t="str">
        <f>IF(AR70&gt;AR$164, AR70-AR$164,"")</f>
        <v/>
      </c>
      <c r="BV70" s="1" t="str">
        <f>IF(AS70&gt;AS$164, AS70-AS$164,"")</f>
        <v/>
      </c>
      <c r="BW70" s="1" t="str">
        <f>IF(AT70&gt;AT$164, AT70-AT$164,"")</f>
        <v/>
      </c>
      <c r="BX70" s="1" t="str">
        <f>IF(AU70&gt;AU$164, AU70-AU$164,"")</f>
        <v/>
      </c>
      <c r="BY70" s="1" t="str">
        <f>IF(AV70&gt;AV$164, AV70-AV$164,"")</f>
        <v/>
      </c>
      <c r="BZ70" s="1" t="str">
        <f>IF(AW70&gt;AW$164, AW70-AW$164,"")</f>
        <v/>
      </c>
      <c r="CA70" s="1" t="str">
        <f>IF(AX70&gt;AX$164, AX70-AX$164,"")</f>
        <v/>
      </c>
      <c r="CB70" s="1" t="str">
        <f>IF(AY70&gt;AY$164, AY70-AY$164,"")</f>
        <v/>
      </c>
      <c r="CC70" s="1" t="str">
        <f>IF(AZ70&gt;AZ$164, AZ70-AZ$164,"")</f>
        <v/>
      </c>
      <c r="CD70" s="1" t="str">
        <f>IF(BA70&gt;BA$164, BA70-BA$164,"")</f>
        <v/>
      </c>
      <c r="CE70" s="1" t="str">
        <f>IF(BB70&gt;BB$164, BB70-BB$164,"")</f>
        <v/>
      </c>
      <c r="CF70" s="1">
        <f>COUNTIF(BT70:CE70, "&gt;0")</f>
        <v>0</v>
      </c>
      <c r="CG70" s="1" t="str">
        <f>IF($CF70=1,BT70,"")</f>
        <v/>
      </c>
      <c r="CH70" s="1" t="str">
        <f>IF($CF70=1,BU70,"")</f>
        <v/>
      </c>
      <c r="CI70" s="1" t="str">
        <f>IF($CF70=1,BV70,"")</f>
        <v/>
      </c>
      <c r="CJ70" s="1" t="str">
        <f>IF($CF70=1,BW70,"")</f>
        <v/>
      </c>
      <c r="CK70" s="1" t="str">
        <f>IF($CF70=1,BX70,"")</f>
        <v/>
      </c>
      <c r="CL70" s="1" t="str">
        <f>IF($CF70=1,BY70,"")</f>
        <v/>
      </c>
      <c r="CM70" s="1" t="str">
        <f>IF($CF70=1,BZ70,"")</f>
        <v/>
      </c>
      <c r="CN70" s="1" t="str">
        <f>IF($CF70=1,CA70,"")</f>
        <v/>
      </c>
      <c r="CO70" s="1" t="str">
        <f>IF($CF70=1,CB70,"")</f>
        <v/>
      </c>
      <c r="CP70" s="1" t="str">
        <f>IF($CF70=1,CC70,"")</f>
        <v/>
      </c>
      <c r="CQ70" s="1" t="str">
        <f>IF($CF70=1,CD70,"")</f>
        <v/>
      </c>
      <c r="CR70" s="1" t="str">
        <f>IF($CF70=1,CE70,"")</f>
        <v/>
      </c>
      <c r="CS70" s="18">
        <f>SUM(AE70:BO70)</f>
        <v>5</v>
      </c>
    </row>
    <row r="71" spans="1:97" x14ac:dyDescent="0.15">
      <c r="A71" s="1">
        <v>33</v>
      </c>
      <c r="B71" s="1" t="s">
        <v>87</v>
      </c>
      <c r="C71" s="1" t="s">
        <v>32</v>
      </c>
      <c r="D71" s="1" t="s">
        <v>1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>
        <v>5</v>
      </c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5</v>
      </c>
      <c r="BQ71" s="1">
        <v>5</v>
      </c>
      <c r="BR71" s="17">
        <v>1</v>
      </c>
      <c r="BS71" s="17" t="s">
        <v>259</v>
      </c>
      <c r="BT71" s="1" t="str">
        <f>IF(AQ71&gt;AQ$164, AQ71-AQ$164,"")</f>
        <v/>
      </c>
      <c r="BU71" s="1" t="str">
        <f>IF(AR71&gt;AR$164, AR71-AR$164,"")</f>
        <v/>
      </c>
      <c r="BV71" s="1" t="str">
        <f>IF(AS71&gt;AS$164, AS71-AS$164,"")</f>
        <v/>
      </c>
      <c r="BW71" s="1" t="str">
        <f>IF(AT71&gt;AT$164, AT71-AT$164,"")</f>
        <v/>
      </c>
      <c r="BX71" s="1" t="str">
        <f>IF(AU71&gt;AU$164, AU71-AU$164,"")</f>
        <v/>
      </c>
      <c r="BY71" s="1" t="str">
        <f>IF(AV71&gt;AV$164, AV71-AV$164,"")</f>
        <v/>
      </c>
      <c r="BZ71" s="1" t="str">
        <f>IF(AW71&gt;AW$164, AW71-AW$164,"")</f>
        <v/>
      </c>
      <c r="CA71" s="1" t="str">
        <f>IF(AX71&gt;AX$164, AX71-AX$164,"")</f>
        <v/>
      </c>
      <c r="CB71" s="1" t="str">
        <f>IF(AY71&gt;AY$164, AY71-AY$164,"")</f>
        <v/>
      </c>
      <c r="CC71" s="1" t="str">
        <f>IF(AZ71&gt;AZ$164, AZ71-AZ$164,"")</f>
        <v/>
      </c>
      <c r="CD71" s="1" t="str">
        <f>IF(BA71&gt;BA$164, BA71-BA$164,"")</f>
        <v/>
      </c>
      <c r="CE71" s="1" t="str">
        <f>IF(BB71&gt;BB$164, BB71-BB$164,"")</f>
        <v/>
      </c>
      <c r="CF71" s="1">
        <f>COUNTIF(BT71:CE71, "&gt;0")</f>
        <v>0</v>
      </c>
      <c r="CG71" s="1" t="str">
        <f>IF($CF71=1,BT71,"")</f>
        <v/>
      </c>
      <c r="CH71" s="1" t="str">
        <f>IF($CF71=1,BU71,"")</f>
        <v/>
      </c>
      <c r="CI71" s="1" t="str">
        <f>IF($CF71=1,BV71,"")</f>
        <v/>
      </c>
      <c r="CJ71" s="1" t="str">
        <f>IF($CF71=1,BW71,"")</f>
        <v/>
      </c>
      <c r="CK71" s="1" t="str">
        <f>IF($CF71=1,BX71,"")</f>
        <v/>
      </c>
      <c r="CL71" s="1" t="str">
        <f>IF($CF71=1,BY71,"")</f>
        <v/>
      </c>
      <c r="CM71" s="1" t="str">
        <f>IF($CF71=1,BZ71,"")</f>
        <v/>
      </c>
      <c r="CN71" s="1" t="str">
        <f>IF($CF71=1,CA71,"")</f>
        <v/>
      </c>
      <c r="CO71" s="1" t="str">
        <f>IF($CF71=1,CB71,"")</f>
        <v/>
      </c>
      <c r="CP71" s="1" t="str">
        <f>IF($CF71=1,CC71,"")</f>
        <v/>
      </c>
      <c r="CQ71" s="1" t="str">
        <f>IF($CF71=1,CD71,"")</f>
        <v/>
      </c>
      <c r="CR71" s="1" t="str">
        <f>IF($CF71=1,CE71,"")</f>
        <v/>
      </c>
      <c r="CS71" s="18">
        <f>SUM(AE71:BO71)</f>
        <v>5</v>
      </c>
    </row>
    <row r="72" spans="1:97" x14ac:dyDescent="0.15">
      <c r="A72" s="1">
        <v>63</v>
      </c>
      <c r="B72" s="3" t="s">
        <v>68</v>
      </c>
      <c r="C72" s="1" t="s">
        <v>62</v>
      </c>
      <c r="D72" s="1" t="s">
        <v>24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>
        <v>5</v>
      </c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5</v>
      </c>
      <c r="BQ72" s="1">
        <v>5</v>
      </c>
      <c r="BR72" s="17">
        <v>1</v>
      </c>
      <c r="BS72" s="17" t="s">
        <v>215</v>
      </c>
      <c r="BT72" s="1" t="str">
        <f>IF(AQ72&gt;AQ$164, AQ72-AQ$164,"")</f>
        <v/>
      </c>
      <c r="BU72" s="1" t="str">
        <f>IF(AR72&gt;AR$164, AR72-AR$164,"")</f>
        <v/>
      </c>
      <c r="BV72" s="1" t="str">
        <f>IF(AS72&gt;AS$164, AS72-AS$164,"")</f>
        <v/>
      </c>
      <c r="BW72" s="1" t="str">
        <f>IF(AT72&gt;AT$164, AT72-AT$164,"")</f>
        <v/>
      </c>
      <c r="BX72" s="1" t="str">
        <f>IF(AU72&gt;AU$164, AU72-AU$164,"")</f>
        <v/>
      </c>
      <c r="BY72" s="1" t="str">
        <f>IF(AV72&gt;AV$164, AV72-AV$164,"")</f>
        <v/>
      </c>
      <c r="BZ72" s="1" t="str">
        <f>IF(AW72&gt;AW$164, AW72-AW$164,"")</f>
        <v/>
      </c>
      <c r="CA72" s="1" t="str">
        <f>IF(AX72&gt;AX$164, AX72-AX$164,"")</f>
        <v/>
      </c>
      <c r="CB72" s="1" t="str">
        <f>IF(AY72&gt;AY$164, AY72-AY$164,"")</f>
        <v/>
      </c>
      <c r="CC72" s="1" t="str">
        <f>IF(AZ72&gt;AZ$164, AZ72-AZ$164,"")</f>
        <v/>
      </c>
      <c r="CD72" s="1" t="str">
        <f>IF(BA72&gt;BA$164, BA72-BA$164,"")</f>
        <v/>
      </c>
      <c r="CE72" s="1" t="str">
        <f>IF(BB72&gt;BB$164, BB72-BB$164,"")</f>
        <v/>
      </c>
      <c r="CF72" s="1">
        <f>COUNTIF(BT72:CE72, "&gt;0")</f>
        <v>0</v>
      </c>
      <c r="CG72" s="1" t="str">
        <f>IF($CF72=1,BT72,"")</f>
        <v/>
      </c>
      <c r="CH72" s="1" t="str">
        <f>IF($CF72=1,BU72,"")</f>
        <v/>
      </c>
      <c r="CI72" s="1" t="str">
        <f>IF($CF72=1,BV72,"")</f>
        <v/>
      </c>
      <c r="CJ72" s="1" t="str">
        <f>IF($CF72=1,BW72,"")</f>
        <v/>
      </c>
      <c r="CK72" s="1" t="str">
        <f>IF($CF72=1,BX72,"")</f>
        <v/>
      </c>
      <c r="CL72" s="1" t="str">
        <f>IF($CF72=1,BY72,"")</f>
        <v/>
      </c>
      <c r="CM72" s="1" t="str">
        <f>IF($CF72=1,BZ72,"")</f>
        <v/>
      </c>
      <c r="CN72" s="1" t="str">
        <f>IF($CF72=1,CA72,"")</f>
        <v/>
      </c>
      <c r="CO72" s="1" t="str">
        <f>IF($CF72=1,CB72,"")</f>
        <v/>
      </c>
      <c r="CP72" s="1" t="str">
        <f>IF($CF72=1,CC72,"")</f>
        <v/>
      </c>
      <c r="CQ72" s="1" t="str">
        <f>IF($CF72=1,CD72,"")</f>
        <v/>
      </c>
      <c r="CR72" s="1" t="str">
        <f>IF($CF72=1,CE72,"")</f>
        <v/>
      </c>
      <c r="CS72" s="18">
        <f>SUM(AE72:BO72)</f>
        <v>5</v>
      </c>
    </row>
    <row r="73" spans="1:97" x14ac:dyDescent="0.15">
      <c r="A73" s="1">
        <v>90</v>
      </c>
      <c r="B73" s="3" t="s">
        <v>91</v>
      </c>
      <c r="C73" s="3" t="s">
        <v>90</v>
      </c>
      <c r="D73" s="1" t="s">
        <v>24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>
        <v>5</v>
      </c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5</v>
      </c>
      <c r="BQ73" s="1">
        <v>5</v>
      </c>
      <c r="BR73" s="17">
        <v>1</v>
      </c>
      <c r="BS73" s="17" t="s">
        <v>215</v>
      </c>
      <c r="BT73" s="1" t="str">
        <f>IF(AQ73&gt;AQ$164, AQ73-AQ$164,"")</f>
        <v/>
      </c>
      <c r="BU73" s="1" t="str">
        <f>IF(AR73&gt;AR$164, AR73-AR$164,"")</f>
        <v/>
      </c>
      <c r="BV73" s="1" t="str">
        <f>IF(AS73&gt;AS$164, AS73-AS$164,"")</f>
        <v/>
      </c>
      <c r="BW73" s="1" t="str">
        <f>IF(AT73&gt;AT$164, AT73-AT$164,"")</f>
        <v/>
      </c>
      <c r="BX73" s="1" t="str">
        <f>IF(AU73&gt;AU$164, AU73-AU$164,"")</f>
        <v/>
      </c>
      <c r="BY73" s="1" t="str">
        <f>IF(AV73&gt;AV$164, AV73-AV$164,"")</f>
        <v/>
      </c>
      <c r="BZ73" s="1" t="str">
        <f>IF(AW73&gt;AW$164, AW73-AW$164,"")</f>
        <v/>
      </c>
      <c r="CA73" s="1" t="str">
        <f>IF(AX73&gt;AX$164, AX73-AX$164,"")</f>
        <v/>
      </c>
      <c r="CB73" s="1" t="str">
        <f>IF(AY73&gt;AY$164, AY73-AY$164,"")</f>
        <v/>
      </c>
      <c r="CC73" s="1" t="str">
        <f>IF(AZ73&gt;AZ$164, AZ73-AZ$164,"")</f>
        <v/>
      </c>
      <c r="CD73" s="1" t="str">
        <f>IF(BA73&gt;BA$164, BA73-BA$164,"")</f>
        <v/>
      </c>
      <c r="CE73" s="1" t="str">
        <f>IF(BB73&gt;BB$164, BB73-BB$164,"")</f>
        <v/>
      </c>
      <c r="CF73" s="1">
        <f>COUNTIF(BT73:CE73, "&gt;0")</f>
        <v>0</v>
      </c>
      <c r="CG73" s="1" t="str">
        <f>IF($CF73=1,BT73,"")</f>
        <v/>
      </c>
      <c r="CH73" s="1" t="str">
        <f>IF($CF73=1,BU73,"")</f>
        <v/>
      </c>
      <c r="CI73" s="1" t="str">
        <f>IF($CF73=1,BV73,"")</f>
        <v/>
      </c>
      <c r="CJ73" s="1" t="str">
        <f>IF($CF73=1,BW73,"")</f>
        <v/>
      </c>
      <c r="CK73" s="1" t="str">
        <f>IF($CF73=1,BX73,"")</f>
        <v/>
      </c>
      <c r="CL73" s="1" t="str">
        <f>IF($CF73=1,BY73,"")</f>
        <v/>
      </c>
      <c r="CM73" s="1" t="str">
        <f>IF($CF73=1,BZ73,"")</f>
        <v/>
      </c>
      <c r="CN73" s="1" t="str">
        <f>IF($CF73=1,CA73,"")</f>
        <v/>
      </c>
      <c r="CO73" s="1" t="str">
        <f>IF($CF73=1,CB73,"")</f>
        <v/>
      </c>
      <c r="CP73" s="1" t="str">
        <f>IF($CF73=1,CC73,"")</f>
        <v/>
      </c>
      <c r="CQ73" s="1" t="str">
        <f>IF($CF73=1,CD73,"")</f>
        <v/>
      </c>
      <c r="CR73" s="1" t="str">
        <f>IF($CF73=1,CE73,"")</f>
        <v/>
      </c>
      <c r="CS73" s="18">
        <f>SUM(AE73:BO73)</f>
        <v>5</v>
      </c>
    </row>
    <row r="74" spans="1:97" x14ac:dyDescent="0.15">
      <c r="A74" s="1"/>
      <c r="B74" s="1" t="s">
        <v>141</v>
      </c>
      <c r="C74" s="1" t="s">
        <v>137</v>
      </c>
      <c r="D74" s="1" t="s">
        <v>131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>
        <v>5</v>
      </c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v>5</v>
      </c>
      <c r="BR74" s="17">
        <v>1</v>
      </c>
      <c r="BS74" s="17" t="s">
        <v>259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/>
      <c r="B75" s="1" t="s">
        <v>141</v>
      </c>
      <c r="C75" s="1" t="s">
        <v>137</v>
      </c>
      <c r="D75" s="1" t="s">
        <v>124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>
        <v>5</v>
      </c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5</v>
      </c>
      <c r="BR75" s="17">
        <v>1</v>
      </c>
      <c r="BS75" s="17" t="s">
        <v>214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/>
      <c r="B76" s="1" t="s">
        <v>154</v>
      </c>
      <c r="C76" s="1" t="s">
        <v>149</v>
      </c>
      <c r="D76" s="1" t="s">
        <v>124</v>
      </c>
      <c r="E76" s="6"/>
      <c r="F76" s="6"/>
      <c r="G76" s="6"/>
      <c r="H76" s="6">
        <v>10</v>
      </c>
      <c r="I76" s="6"/>
      <c r="J76" s="6">
        <v>10</v>
      </c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>
        <v>10</v>
      </c>
      <c r="AU76" s="4"/>
      <c r="AV76" s="4"/>
      <c r="AW76" s="2"/>
      <c r="AX76" s="2"/>
      <c r="AY76" s="2">
        <v>10</v>
      </c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7</v>
      </c>
      <c r="BR76" s="17">
        <v>1</v>
      </c>
      <c r="BS76" s="17" t="s">
        <v>260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/>
      <c r="B77" s="1" t="s">
        <v>129</v>
      </c>
      <c r="C77" s="1" t="s">
        <v>126</v>
      </c>
      <c r="D77" s="1" t="s">
        <v>123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>
        <v>10</v>
      </c>
      <c r="AT77" s="4"/>
      <c r="AU77" s="4"/>
      <c r="AV77" s="4"/>
      <c r="AW77" s="2"/>
      <c r="AX77" s="2"/>
      <c r="AY77" s="2"/>
      <c r="AZ77" s="2"/>
      <c r="BA77" s="2"/>
      <c r="BB77" s="2">
        <v>10</v>
      </c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v>8</v>
      </c>
      <c r="BR77" s="17">
        <v>1</v>
      </c>
      <c r="BS77" s="17" t="s">
        <v>218</v>
      </c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x14ac:dyDescent="0.15">
      <c r="A78" s="1">
        <v>34</v>
      </c>
      <c r="B78" s="1" t="s">
        <v>48</v>
      </c>
      <c r="C78" s="1" t="s">
        <v>49</v>
      </c>
      <c r="D78" s="1" t="s">
        <v>25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15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>
        <v>15</v>
      </c>
      <c r="BC78" s="14"/>
      <c r="BD78" s="1"/>
      <c r="BE78" s="1"/>
      <c r="BF78" s="1"/>
      <c r="BG78" s="1"/>
      <c r="BH78" s="1">
        <v>15</v>
      </c>
      <c r="BI78" s="1">
        <v>15</v>
      </c>
      <c r="BJ78" s="1"/>
      <c r="BK78" s="1"/>
      <c r="BL78" s="1"/>
      <c r="BM78" s="1"/>
      <c r="BN78" s="1"/>
      <c r="BO78" s="1"/>
      <c r="BP78" s="1">
        <f>SUM(E78:BO78)</f>
        <v>60</v>
      </c>
      <c r="BQ78" s="1">
        <v>9</v>
      </c>
      <c r="BR78" s="17">
        <v>1</v>
      </c>
      <c r="BS78" s="17" t="s">
        <v>261</v>
      </c>
      <c r="BT78" s="1">
        <f>IF(AQ78&gt;AQ$164, AQ78-AQ$164,"")</f>
        <v>9</v>
      </c>
      <c r="BU78" s="1" t="str">
        <f>IF(AR78&gt;AR$164, AR78-AR$164,"")</f>
        <v/>
      </c>
      <c r="BV78" s="1" t="str">
        <f>IF(AS78&gt;AS$164, AS78-AS$164,"")</f>
        <v/>
      </c>
      <c r="BW78" s="1" t="str">
        <f>IF(AT78&gt;AT$164, AT78-AT$164,"")</f>
        <v/>
      </c>
      <c r="BX78" s="1" t="str">
        <f>IF(AU78&gt;AU$164, AU78-AU$164,"")</f>
        <v/>
      </c>
      <c r="BY78" s="1" t="str">
        <f>IF(AV78&gt;AV$164, AV78-AV$164,"")</f>
        <v/>
      </c>
      <c r="BZ78" s="1" t="str">
        <f>IF(AW78&gt;AW$164, AW78-AW$164,"")</f>
        <v/>
      </c>
      <c r="CA78" s="1" t="str">
        <f>IF(AX78&gt;AX$164, AX78-AX$164,"")</f>
        <v/>
      </c>
      <c r="CB78" s="1" t="str">
        <f>IF(AY78&gt;AY$164, AY78-AY$164,"")</f>
        <v/>
      </c>
      <c r="CC78" s="1" t="str">
        <f>IF(AZ78&gt;AZ$164, AZ78-AZ$164,"")</f>
        <v/>
      </c>
      <c r="CD78" s="1" t="str">
        <f>IF(BA78&gt;BA$164, BA78-BA$164,"")</f>
        <v/>
      </c>
      <c r="CE78" s="1" t="str">
        <f>IF(BB78&gt;BB$164, BB78-BB$164,"")</f>
        <v/>
      </c>
      <c r="CF78" s="1">
        <f>COUNTIF(BT78:CE78, "&gt;0")</f>
        <v>1</v>
      </c>
      <c r="CG78" s="1">
        <f>IF($CF78=1,BT78,"")</f>
        <v>9</v>
      </c>
      <c r="CH78" s="1" t="str">
        <f>IF($CF78=1,BU78,"")</f>
        <v/>
      </c>
      <c r="CI78" s="1" t="str">
        <f>IF($CF78=1,BV78,"")</f>
        <v/>
      </c>
      <c r="CJ78" s="1" t="str">
        <f>IF($CF78=1,BW78,"")</f>
        <v/>
      </c>
      <c r="CK78" s="1" t="str">
        <f>IF($CF78=1,BX78,"")</f>
        <v/>
      </c>
      <c r="CL78" s="1" t="str">
        <f>IF($CF78=1,BY78,"")</f>
        <v/>
      </c>
      <c r="CM78" s="1" t="str">
        <f>IF($CF78=1,BZ78,"")</f>
        <v/>
      </c>
      <c r="CN78" s="1" t="str">
        <f>IF($CF78=1,CA78,"")</f>
        <v/>
      </c>
      <c r="CO78" s="1" t="str">
        <f>IF($CF78=1,CB78,"")</f>
        <v/>
      </c>
      <c r="CP78" s="1" t="str">
        <f>IF($CF78=1,CC78,"")</f>
        <v/>
      </c>
      <c r="CQ78" s="1" t="str">
        <f>IF($CF78=1,CD78,"")</f>
        <v/>
      </c>
      <c r="CR78" s="1" t="str">
        <f>IF($CF78=1,CE78,"")</f>
        <v/>
      </c>
      <c r="CS78" s="18">
        <f>SUM(AE78:BO78)</f>
        <v>60</v>
      </c>
    </row>
    <row r="79" spans="1:97" x14ac:dyDescent="0.15">
      <c r="A79" s="1"/>
      <c r="B79" s="1" t="s">
        <v>142</v>
      </c>
      <c r="C79" s="1" t="s">
        <v>122</v>
      </c>
      <c r="D79" s="1" t="s">
        <v>123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15</v>
      </c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>
        <v>15</v>
      </c>
      <c r="BC79" s="14"/>
      <c r="BD79" s="1"/>
      <c r="BE79" s="1"/>
      <c r="BF79" s="1"/>
      <c r="BG79" s="1"/>
      <c r="BH79" s="1">
        <v>15</v>
      </c>
      <c r="BI79" s="1">
        <v>15</v>
      </c>
      <c r="BJ79" s="1"/>
      <c r="BK79" s="1"/>
      <c r="BL79" s="1"/>
      <c r="BM79" s="1"/>
      <c r="BN79" s="1"/>
      <c r="BO79" s="1"/>
      <c r="BP79" s="1"/>
      <c r="BQ79" s="1">
        <v>9</v>
      </c>
      <c r="BR79" s="17">
        <v>1</v>
      </c>
      <c r="BS79" s="17" t="s">
        <v>261</v>
      </c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x14ac:dyDescent="0.15">
      <c r="A80" s="1">
        <v>62</v>
      </c>
      <c r="B80" s="1" t="s">
        <v>119</v>
      </c>
      <c r="C80" s="1" t="s">
        <v>62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>
        <v>15</v>
      </c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15</v>
      </c>
      <c r="BQ80" s="1">
        <v>11</v>
      </c>
      <c r="BR80" s="17">
        <v>1</v>
      </c>
      <c r="BS80" s="17" t="s">
        <v>220</v>
      </c>
      <c r="BT80" s="1" t="str">
        <f>IF(AQ80&gt;AQ$164, AQ80-AQ$164,"")</f>
        <v/>
      </c>
      <c r="BU80" s="1" t="str">
        <f>IF(AR80&gt;AR$164, AR80-AR$164,"")</f>
        <v/>
      </c>
      <c r="BV80" s="1" t="str">
        <f>IF(AS80&gt;AS$164, AS80-AS$164,"")</f>
        <v/>
      </c>
      <c r="BW80" s="1" t="str">
        <f>IF(AT80&gt;AT$164, AT80-AT$164,"")</f>
        <v/>
      </c>
      <c r="BX80" s="1" t="str">
        <f>IF(AU80&gt;AU$164, AU80-AU$164,"")</f>
        <v/>
      </c>
      <c r="BY80" s="1" t="str">
        <f>IF(AV80&gt;AV$164, AV80-AV$164,"")</f>
        <v/>
      </c>
      <c r="BZ80" s="1" t="str">
        <f>IF(AW80&gt;AW$164, AW80-AW$164,"")</f>
        <v/>
      </c>
      <c r="CA80" s="1" t="str">
        <f>IF(AX80&gt;AX$164, AX80-AX$164,"")</f>
        <v/>
      </c>
      <c r="CB80" s="1" t="str">
        <f>IF(AY80&gt;AY$164, AY80-AY$164,"")</f>
        <v/>
      </c>
      <c r="CC80" s="1" t="str">
        <f>IF(AZ80&gt;AZ$164, AZ80-AZ$164,"")</f>
        <v/>
      </c>
      <c r="CD80" s="1" t="str">
        <f>IF(BA80&gt;BA$164, BA80-BA$164,"")</f>
        <v/>
      </c>
      <c r="CE80" s="1" t="str">
        <f>IF(BB80&gt;BB$164, BB80-BB$164,"")</f>
        <v/>
      </c>
      <c r="CF80" s="1">
        <f>COUNTIF(BT80:CE80, "&gt;0")</f>
        <v>0</v>
      </c>
      <c r="CG80" s="1" t="str">
        <f>IF($CF80=1,BT80,"")</f>
        <v/>
      </c>
      <c r="CH80" s="1" t="str">
        <f>IF($CF80=1,BU80,"")</f>
        <v/>
      </c>
      <c r="CI80" s="1" t="str">
        <f>IF($CF80=1,BV80,"")</f>
        <v/>
      </c>
      <c r="CJ80" s="1" t="str">
        <f>IF($CF80=1,BW80,"")</f>
        <v/>
      </c>
      <c r="CK80" s="1" t="str">
        <f>IF($CF80=1,BX80,"")</f>
        <v/>
      </c>
      <c r="CL80" s="1" t="str">
        <f>IF($CF80=1,BY80,"")</f>
        <v/>
      </c>
      <c r="CM80" s="1" t="str">
        <f>IF($CF80=1,BZ80,"")</f>
        <v/>
      </c>
      <c r="CN80" s="1" t="str">
        <f>IF($CF80=1,CA80,"")</f>
        <v/>
      </c>
      <c r="CO80" s="1" t="str">
        <f>IF($CF80=1,CB80,"")</f>
        <v/>
      </c>
      <c r="CP80" s="1" t="str">
        <f>IF($CF80=1,CC80,"")</f>
        <v/>
      </c>
      <c r="CQ80" s="1" t="str">
        <f>IF($CF80=1,CD80,"")</f>
        <v/>
      </c>
      <c r="CR80" s="1" t="str">
        <f>IF($CF80=1,CE80,"")</f>
        <v/>
      </c>
      <c r="CS80" s="18">
        <f>SUM(AE80:BO80)</f>
        <v>15</v>
      </c>
    </row>
    <row r="81" spans="1:97" x14ac:dyDescent="0.15">
      <c r="A81" s="1"/>
      <c r="B81" s="1" t="s">
        <v>204</v>
      </c>
      <c r="C81" s="1" t="s">
        <v>32</v>
      </c>
      <c r="D81" s="1" t="s">
        <v>206</v>
      </c>
      <c r="E81" s="6">
        <v>20</v>
      </c>
      <c r="F81" s="6"/>
      <c r="G81" s="6"/>
      <c r="H81" s="6"/>
      <c r="I81" s="6">
        <v>20</v>
      </c>
      <c r="J81" s="6">
        <v>20</v>
      </c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v>12</v>
      </c>
      <c r="BR81" s="17">
        <v>1</v>
      </c>
      <c r="BS81" s="17" t="s">
        <v>262</v>
      </c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x14ac:dyDescent="0.15">
      <c r="A82" s="1">
        <v>64</v>
      </c>
      <c r="B82" s="3" t="s">
        <v>68</v>
      </c>
      <c r="C82" s="1" t="s">
        <v>62</v>
      </c>
      <c r="D82" s="1" t="s">
        <v>1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>
        <v>15</v>
      </c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15</v>
      </c>
      <c r="BQ82" s="1">
        <v>15</v>
      </c>
      <c r="BR82" s="17">
        <v>1</v>
      </c>
      <c r="BS82" s="17" t="s">
        <v>221</v>
      </c>
      <c r="BT82" s="1" t="str">
        <f>IF(AQ82&gt;AQ$164, AQ82-AQ$164,"")</f>
        <v/>
      </c>
      <c r="BU82" s="1" t="str">
        <f>IF(AR82&gt;AR$164, AR82-AR$164,"")</f>
        <v/>
      </c>
      <c r="BV82" s="1" t="str">
        <f>IF(AS82&gt;AS$164, AS82-AS$164,"")</f>
        <v/>
      </c>
      <c r="BW82" s="1" t="str">
        <f>IF(AT82&gt;AT$164, AT82-AT$164,"")</f>
        <v/>
      </c>
      <c r="BX82" s="1" t="str">
        <f>IF(AU82&gt;AU$164, AU82-AU$164,"")</f>
        <v/>
      </c>
      <c r="BY82" s="1" t="str">
        <f>IF(AV82&gt;AV$164, AV82-AV$164,"")</f>
        <v/>
      </c>
      <c r="BZ82" s="1" t="str">
        <f>IF(AW82&gt;AW$164, AW82-AW$164,"")</f>
        <v/>
      </c>
      <c r="CA82" s="1" t="str">
        <f>IF(AX82&gt;AX$164, AX82-AX$164,"")</f>
        <v/>
      </c>
      <c r="CB82" s="1" t="str">
        <f>IF(AY82&gt;AY$164, AY82-AY$164,"")</f>
        <v/>
      </c>
      <c r="CC82" s="1" t="str">
        <f>IF(AZ82&gt;AZ$164, AZ82-AZ$164,"")</f>
        <v/>
      </c>
      <c r="CD82" s="1" t="str">
        <f>IF(BA82&gt;BA$164, BA82-BA$164,"")</f>
        <v/>
      </c>
      <c r="CE82" s="1" t="str">
        <f>IF(BB82&gt;BB$164, BB82-BB$164,"")</f>
        <v/>
      </c>
      <c r="CF82" s="1">
        <f>COUNTIF(BT82:CE82, "&gt;0")</f>
        <v>0</v>
      </c>
      <c r="CG82" s="1" t="str">
        <f>IF($CF82=1,BT82,"")</f>
        <v/>
      </c>
      <c r="CH82" s="1" t="str">
        <f>IF($CF82=1,BU82,"")</f>
        <v/>
      </c>
      <c r="CI82" s="1" t="str">
        <f>IF($CF82=1,BV82,"")</f>
        <v/>
      </c>
      <c r="CJ82" s="1" t="str">
        <f>IF($CF82=1,BW82,"")</f>
        <v/>
      </c>
      <c r="CK82" s="1" t="str">
        <f>IF($CF82=1,BX82,"")</f>
        <v/>
      </c>
      <c r="CL82" s="1" t="str">
        <f>IF($CF82=1,BY82,"")</f>
        <v/>
      </c>
      <c r="CM82" s="1" t="str">
        <f>IF($CF82=1,BZ82,"")</f>
        <v/>
      </c>
      <c r="CN82" s="1" t="str">
        <f>IF($CF82=1,CA82,"")</f>
        <v/>
      </c>
      <c r="CO82" s="1" t="str">
        <f>IF($CF82=1,CB82,"")</f>
        <v/>
      </c>
      <c r="CP82" s="1" t="str">
        <f>IF($CF82=1,CC82,"")</f>
        <v/>
      </c>
      <c r="CQ82" s="1" t="str">
        <f>IF($CF82=1,CD82,"")</f>
        <v/>
      </c>
      <c r="CR82" s="1" t="str">
        <f>IF($CF82=1,CE82,"")</f>
        <v/>
      </c>
      <c r="CS82" s="18">
        <f>SUM(AE82:BO82)</f>
        <v>15</v>
      </c>
    </row>
    <row r="83" spans="1:97" x14ac:dyDescent="0.15">
      <c r="A83" s="19">
        <v>93</v>
      </c>
      <c r="B83" s="27" t="s">
        <v>92</v>
      </c>
      <c r="C83" s="27" t="s">
        <v>90</v>
      </c>
      <c r="D83" s="19" t="s">
        <v>1</v>
      </c>
      <c r="E83" s="20"/>
      <c r="F83" s="20">
        <v>20</v>
      </c>
      <c r="G83" s="20"/>
      <c r="H83" s="20"/>
      <c r="I83" s="20"/>
      <c r="J83" s="20"/>
      <c r="K83" s="20">
        <v>20</v>
      </c>
      <c r="L83" s="20"/>
      <c r="M83" s="20"/>
      <c r="N83" s="20">
        <v>20</v>
      </c>
      <c r="O83" s="20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21"/>
      <c r="AR83" s="21"/>
      <c r="AS83" s="21"/>
      <c r="AT83" s="21"/>
      <c r="AU83" s="21"/>
      <c r="AV83" s="21"/>
      <c r="AW83" s="22"/>
      <c r="AX83" s="22"/>
      <c r="AY83" s="22"/>
      <c r="AZ83" s="22"/>
      <c r="BA83" s="22"/>
      <c r="BB83" s="22"/>
      <c r="BC83" s="30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>
        <f>SUM(E83:BO83)</f>
        <v>60</v>
      </c>
      <c r="BQ83" s="19">
        <v>17</v>
      </c>
      <c r="BR83" s="23">
        <v>1</v>
      </c>
      <c r="BS83" s="23" t="s">
        <v>263</v>
      </c>
      <c r="BT83" s="19" t="str">
        <f>IF(AQ83&gt;AQ$164, AQ83-AQ$164,"")</f>
        <v/>
      </c>
      <c r="BU83" s="19" t="str">
        <f>IF(AR83&gt;AR$164, AR83-AR$164,"")</f>
        <v/>
      </c>
      <c r="BV83" s="19" t="str">
        <f>IF(AS83&gt;AS$164, AS83-AS$164,"")</f>
        <v/>
      </c>
      <c r="BW83" s="19" t="str">
        <f>IF(AT83&gt;AT$164, AT83-AT$164,"")</f>
        <v/>
      </c>
      <c r="BX83" s="19" t="str">
        <f>IF(AU83&gt;AU$164, AU83-AU$164,"")</f>
        <v/>
      </c>
      <c r="BY83" s="19" t="str">
        <f>IF(AV83&gt;AV$164, AV83-AV$164,"")</f>
        <v/>
      </c>
      <c r="BZ83" s="19" t="str">
        <f>IF(AW83&gt;AW$164, AW83-AW$164,"")</f>
        <v/>
      </c>
      <c r="CA83" s="19" t="str">
        <f>IF(AX83&gt;AX$164, AX83-AX$164,"")</f>
        <v/>
      </c>
      <c r="CB83" s="19" t="str">
        <f>IF(AY83&gt;AY$164, AY83-AY$164,"")</f>
        <v/>
      </c>
      <c r="CC83" s="19" t="str">
        <f>IF(AZ83&gt;AZ$164, AZ83-AZ$164,"")</f>
        <v/>
      </c>
      <c r="CD83" s="19" t="str">
        <f>IF(BA83&gt;BA$164, BA83-BA$164,"")</f>
        <v/>
      </c>
      <c r="CE83" s="19" t="str">
        <f>IF(BB83&gt;BB$164, BB83-BB$164,"")</f>
        <v/>
      </c>
      <c r="CF83" s="19">
        <f>COUNTIF(BT83:CE83, "&gt;0")</f>
        <v>0</v>
      </c>
      <c r="CG83" s="19" t="str">
        <f>IF($CF83=1,BT83,"")</f>
        <v/>
      </c>
      <c r="CH83" s="19" t="str">
        <f>IF($CF83=1,BU83,"")</f>
        <v/>
      </c>
      <c r="CI83" s="19" t="str">
        <f>IF($CF83=1,BV83,"")</f>
        <v/>
      </c>
      <c r="CJ83" s="19" t="str">
        <f>IF($CF83=1,BW83,"")</f>
        <v/>
      </c>
      <c r="CK83" s="19" t="str">
        <f>IF($CF83=1,BX83,"")</f>
        <v/>
      </c>
      <c r="CL83" s="19" t="str">
        <f>IF($CF83=1,BY83,"")</f>
        <v/>
      </c>
      <c r="CM83" s="19" t="str">
        <f>IF($CF83=1,BZ83,"")</f>
        <v/>
      </c>
      <c r="CN83" s="19" t="str">
        <f>IF($CF83=1,CA83,"")</f>
        <v/>
      </c>
      <c r="CO83" s="19" t="str">
        <f>IF($CF83=1,CB83,"")</f>
        <v/>
      </c>
      <c r="CP83" s="19" t="str">
        <f>IF($CF83=1,CC83,"")</f>
        <v/>
      </c>
      <c r="CQ83" s="19" t="str">
        <f>IF($CF83=1,CD83,"")</f>
        <v/>
      </c>
      <c r="CR83" s="19" t="str">
        <f>IF($CF83=1,CE83,"")</f>
        <v/>
      </c>
      <c r="CS83" s="24">
        <f>SUM(AE83:BO83)</f>
        <v>0</v>
      </c>
    </row>
    <row r="84" spans="1:97" x14ac:dyDescent="0.15">
      <c r="A84" s="1">
        <v>65</v>
      </c>
      <c r="B84" s="3" t="s">
        <v>68</v>
      </c>
      <c r="C84" s="1" t="s">
        <v>62</v>
      </c>
      <c r="D84" s="1" t="s">
        <v>13</v>
      </c>
      <c r="E84" s="6"/>
      <c r="F84" s="6"/>
      <c r="G84" s="6">
        <v>10</v>
      </c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>
        <v>25</v>
      </c>
      <c r="AO84" s="1"/>
      <c r="AP84" s="1"/>
      <c r="AQ84" s="4"/>
      <c r="AR84" s="4"/>
      <c r="AS84" s="4"/>
      <c r="AT84" s="4"/>
      <c r="AU84" s="4"/>
      <c r="AV84" s="4">
        <v>10</v>
      </c>
      <c r="AW84" s="2"/>
      <c r="AX84" s="2"/>
      <c r="AY84" s="2"/>
      <c r="AZ84" s="2">
        <v>10</v>
      </c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55</v>
      </c>
      <c r="BQ84" s="1">
        <v>25</v>
      </c>
      <c r="BR84" s="17">
        <v>1</v>
      </c>
      <c r="BS84" s="17" t="s">
        <v>264</v>
      </c>
      <c r="BT84" s="1" t="str">
        <f>IF(AQ84&gt;AQ$164, AQ84-AQ$164,"")</f>
        <v/>
      </c>
      <c r="BU84" s="1" t="str">
        <f>IF(AR84&gt;AR$164, AR84-AR$164,"")</f>
        <v/>
      </c>
      <c r="BV84" s="1" t="str">
        <f>IF(AS84&gt;AS$164, AS84-AS$164,"")</f>
        <v/>
      </c>
      <c r="BW84" s="1" t="str">
        <f>IF(AT84&gt;AT$164, AT84-AT$164,"")</f>
        <v/>
      </c>
      <c r="BX84" s="1" t="str">
        <f>IF(AU84&gt;AU$164, AU84-AU$164,"")</f>
        <v/>
      </c>
      <c r="BY84" s="1" t="str">
        <f>IF(AV84&gt;AV$164, AV84-AV$164,"")</f>
        <v/>
      </c>
      <c r="BZ84" s="1" t="str">
        <f>IF(AW84&gt;AW$164, AW84-AW$164,"")</f>
        <v/>
      </c>
      <c r="CA84" s="1" t="str">
        <f>IF(AX84&gt;AX$164, AX84-AX$164,"")</f>
        <v/>
      </c>
      <c r="CB84" s="1" t="str">
        <f>IF(AY84&gt;AY$164, AY84-AY$164,"")</f>
        <v/>
      </c>
      <c r="CC84" s="1" t="str">
        <f>IF(AZ84&gt;AZ$164, AZ84-AZ$164,"")</f>
        <v/>
      </c>
      <c r="CD84" s="1" t="str">
        <f>IF(BA84&gt;BA$164, BA84-BA$164,"")</f>
        <v/>
      </c>
      <c r="CE84" s="1" t="str">
        <f>IF(BB84&gt;BB$164, BB84-BB$164,"")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18">
        <f>SUM(AE84:BO84)</f>
        <v>45</v>
      </c>
    </row>
    <row r="85" spans="1:97" x14ac:dyDescent="0.15">
      <c r="A85" s="1">
        <v>98</v>
      </c>
      <c r="B85" s="3" t="s">
        <v>79</v>
      </c>
      <c r="C85" s="3" t="s">
        <v>78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>
        <v>50</v>
      </c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50</v>
      </c>
      <c r="BQ85" s="1">
        <v>38</v>
      </c>
      <c r="BR85" s="17">
        <v>1</v>
      </c>
      <c r="BS85" s="17" t="s">
        <v>222</v>
      </c>
      <c r="BT85" s="1" t="str">
        <f>IF(AQ85&gt;AQ$164, AQ85-AQ$164,"")</f>
        <v/>
      </c>
      <c r="BU85" s="1" t="str">
        <f>IF(AR85&gt;AR$164, AR85-AR$164,"")</f>
        <v/>
      </c>
      <c r="BV85" s="1" t="str">
        <f>IF(AS85&gt;AS$164, AS85-AS$164,"")</f>
        <v/>
      </c>
      <c r="BW85" s="1" t="str">
        <f>IF(AT85&gt;AT$164, AT85-AT$164,"")</f>
        <v/>
      </c>
      <c r="BX85" s="1" t="str">
        <f>IF(AU85&gt;AU$164, AU85-AU$164,"")</f>
        <v/>
      </c>
      <c r="BY85" s="1" t="str">
        <f>IF(AV85&gt;AV$164, AV85-AV$164,"")</f>
        <v/>
      </c>
      <c r="BZ85" s="1" t="str">
        <f>IF(AW85&gt;AW$164, AW85-AW$164,"")</f>
        <v/>
      </c>
      <c r="CA85" s="1" t="str">
        <f>IF(AX85&gt;AX$164, AX85-AX$164,"")</f>
        <v/>
      </c>
      <c r="CB85" s="1" t="str">
        <f>IF(AY85&gt;AY$164, AY85-AY$164,"")</f>
        <v/>
      </c>
      <c r="CC85" s="1" t="str">
        <f>IF(AZ85&gt;AZ$164, AZ85-AZ$164,"")</f>
        <v/>
      </c>
      <c r="CD85" s="1" t="str">
        <f>IF(BA85&gt;BA$164, BA85-BA$164,"")</f>
        <v/>
      </c>
      <c r="CE85" s="1" t="str">
        <f>IF(BB85&gt;BB$164, BB85-BB$164,"")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18">
        <f>SUM(AE85:BO85)</f>
        <v>50</v>
      </c>
    </row>
    <row r="86" spans="1:97" x14ac:dyDescent="0.15">
      <c r="A86" s="1">
        <v>99</v>
      </c>
      <c r="B86" s="3" t="s">
        <v>79</v>
      </c>
      <c r="C86" s="3" t="s">
        <v>78</v>
      </c>
      <c r="D86" s="1" t="s">
        <v>13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>
        <v>200</v>
      </c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200</v>
      </c>
      <c r="BQ86" s="1">
        <v>188</v>
      </c>
      <c r="BR86" s="17">
        <v>1</v>
      </c>
      <c r="BS86" s="17" t="s">
        <v>223</v>
      </c>
      <c r="BT86" s="1" t="str">
        <f>IF(AQ86&gt;AQ$164, AQ86-AQ$164,"")</f>
        <v/>
      </c>
      <c r="BU86" s="1" t="str">
        <f>IF(AR86&gt;AR$164, AR86-AR$164,"")</f>
        <v/>
      </c>
      <c r="BV86" s="1" t="str">
        <f>IF(AS86&gt;AS$164, AS86-AS$164,"")</f>
        <v/>
      </c>
      <c r="BW86" s="1" t="str">
        <f>IF(AT86&gt;AT$164, AT86-AT$164,"")</f>
        <v/>
      </c>
      <c r="BX86" s="1" t="str">
        <f>IF(AU86&gt;AU$164, AU86-AU$164,"")</f>
        <v/>
      </c>
      <c r="BY86" s="1" t="str">
        <f>IF(AV86&gt;AV$164, AV86-AV$164,"")</f>
        <v/>
      </c>
      <c r="BZ86" s="1" t="str">
        <f>IF(AW86&gt;AW$164, AW86-AW$164,"")</f>
        <v/>
      </c>
      <c r="CA86" s="1" t="str">
        <f>IF(AX86&gt;AX$164, AX86-AX$164,"")</f>
        <v/>
      </c>
      <c r="CB86" s="1" t="str">
        <f>IF(AY86&gt;AY$164, AY86-AY$164,"")</f>
        <v/>
      </c>
      <c r="CC86" s="1" t="str">
        <f>IF(AZ86&gt;AZ$164, AZ86-AZ$164,"")</f>
        <v/>
      </c>
      <c r="CD86" s="1" t="str">
        <f>IF(BA86&gt;BA$164, BA86-BA$164,"")</f>
        <v/>
      </c>
      <c r="CE86" s="1" t="str">
        <f>IF(BB86&gt;BB$164, BB86-BB$164,"")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18">
        <f>SUM(AE86:BO86)</f>
        <v>200</v>
      </c>
    </row>
    <row r="87" spans="1:97" ht="27" x14ac:dyDescent="0.15">
      <c r="A87" s="1"/>
      <c r="B87" s="1" t="s">
        <v>121</v>
      </c>
      <c r="C87" s="1" t="s">
        <v>122</v>
      </c>
      <c r="D87" s="1" t="s">
        <v>124</v>
      </c>
      <c r="E87" s="6">
        <v>10</v>
      </c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15</v>
      </c>
      <c r="AU87" s="4"/>
      <c r="AV87" s="4"/>
      <c r="AW87" s="2"/>
      <c r="AX87" s="2"/>
      <c r="AY87" s="2"/>
      <c r="AZ87" s="2">
        <v>15</v>
      </c>
      <c r="BA87" s="2">
        <v>15</v>
      </c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2</v>
      </c>
      <c r="BS87" s="17" t="s">
        <v>265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27" x14ac:dyDescent="0.15">
      <c r="A88" s="1"/>
      <c r="B88" s="1" t="s">
        <v>184</v>
      </c>
      <c r="C88" s="1" t="s">
        <v>185</v>
      </c>
      <c r="D88" s="1" t="s">
        <v>163</v>
      </c>
      <c r="E88" s="6"/>
      <c r="F88" s="6"/>
      <c r="G88" s="6"/>
      <c r="H88" s="6"/>
      <c r="I88" s="6"/>
      <c r="J88" s="6">
        <v>10</v>
      </c>
      <c r="K88" s="6"/>
      <c r="L88" s="6">
        <v>10</v>
      </c>
      <c r="M88" s="6">
        <v>10</v>
      </c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>
        <v>15</v>
      </c>
      <c r="AZ88" s="2">
        <v>15</v>
      </c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209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160</v>
      </c>
      <c r="C89" s="1" t="s">
        <v>161</v>
      </c>
      <c r="D89" s="1" t="s">
        <v>163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>
        <v>10</v>
      </c>
      <c r="W89" s="32"/>
      <c r="X89" s="32"/>
      <c r="Y89" s="32">
        <v>10</v>
      </c>
      <c r="Z89" s="32"/>
      <c r="AA89" s="32"/>
      <c r="AB89" s="32">
        <v>10</v>
      </c>
      <c r="AC89" s="32">
        <v>5</v>
      </c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224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173</v>
      </c>
      <c r="C90" s="1" t="s">
        <v>161</v>
      </c>
      <c r="D90" s="1" t="s">
        <v>162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>
        <v>10</v>
      </c>
      <c r="Q90" s="32"/>
      <c r="R90" s="32"/>
      <c r="S90" s="32">
        <v>10</v>
      </c>
      <c r="T90" s="32"/>
      <c r="U90" s="32"/>
      <c r="V90" s="32"/>
      <c r="W90" s="32">
        <v>5</v>
      </c>
      <c r="X90" s="32"/>
      <c r="Y90" s="32"/>
      <c r="Z90" s="32"/>
      <c r="AA90" s="32"/>
      <c r="AB90" s="32">
        <v>10</v>
      </c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267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178</v>
      </c>
      <c r="C91" s="1" t="s">
        <v>161</v>
      </c>
      <c r="D91" s="1" t="s">
        <v>162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>
        <v>10</v>
      </c>
      <c r="Q91" s="32"/>
      <c r="R91" s="32"/>
      <c r="S91" s="32">
        <v>10</v>
      </c>
      <c r="T91" s="32"/>
      <c r="U91" s="32"/>
      <c r="V91" s="32"/>
      <c r="W91" s="32">
        <v>5</v>
      </c>
      <c r="X91" s="32"/>
      <c r="Y91" s="32"/>
      <c r="Z91" s="32"/>
      <c r="AA91" s="32"/>
      <c r="AB91" s="32">
        <v>10</v>
      </c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267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182</v>
      </c>
      <c r="C92" s="1" t="s">
        <v>180</v>
      </c>
      <c r="D92" s="1" t="s">
        <v>162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>
        <v>10</v>
      </c>
      <c r="Q92" s="32"/>
      <c r="R92" s="32"/>
      <c r="S92" s="32">
        <v>10</v>
      </c>
      <c r="T92" s="32"/>
      <c r="U92" s="32"/>
      <c r="V92" s="32"/>
      <c r="W92" s="32">
        <v>5</v>
      </c>
      <c r="X92" s="32"/>
      <c r="Y92" s="32"/>
      <c r="Z92" s="32"/>
      <c r="AA92" s="32"/>
      <c r="AB92" s="32">
        <v>10</v>
      </c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267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188</v>
      </c>
      <c r="C93" s="1" t="s">
        <v>185</v>
      </c>
      <c r="D93" s="1" t="s">
        <v>162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>
        <v>10</v>
      </c>
      <c r="Q93" s="32"/>
      <c r="R93" s="32"/>
      <c r="S93" s="32">
        <v>10</v>
      </c>
      <c r="T93" s="32"/>
      <c r="U93" s="32"/>
      <c r="V93" s="32"/>
      <c r="W93" s="32">
        <v>5</v>
      </c>
      <c r="X93" s="32"/>
      <c r="Y93" s="32"/>
      <c r="Z93" s="32"/>
      <c r="AA93" s="32"/>
      <c r="AB93" s="32">
        <v>10</v>
      </c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267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189</v>
      </c>
      <c r="C94" s="1" t="s">
        <v>191</v>
      </c>
      <c r="D94" s="1" t="s">
        <v>163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>
        <v>10</v>
      </c>
      <c r="W94" s="32"/>
      <c r="X94" s="32"/>
      <c r="Y94" s="32">
        <v>10</v>
      </c>
      <c r="Z94" s="32"/>
      <c r="AA94" s="32"/>
      <c r="AB94" s="32">
        <v>10</v>
      </c>
      <c r="AC94" s="32">
        <v>5</v>
      </c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5</v>
      </c>
      <c r="BR94" s="17">
        <v>2</v>
      </c>
      <c r="BS94" s="17" t="s">
        <v>224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/>
      <c r="B95" s="1" t="s">
        <v>197</v>
      </c>
      <c r="C95" s="1" t="s">
        <v>196</v>
      </c>
      <c r="D95" s="1" t="s">
        <v>162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>
        <v>10</v>
      </c>
      <c r="Q95" s="32"/>
      <c r="R95" s="32"/>
      <c r="S95" s="32">
        <v>10</v>
      </c>
      <c r="T95" s="32"/>
      <c r="U95" s="32"/>
      <c r="V95" s="32"/>
      <c r="W95" s="32">
        <v>5</v>
      </c>
      <c r="X95" s="32"/>
      <c r="Y95" s="32"/>
      <c r="Z95" s="32"/>
      <c r="AA95" s="32"/>
      <c r="AB95" s="32">
        <v>10</v>
      </c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v>5</v>
      </c>
      <c r="BR95" s="17">
        <v>2</v>
      </c>
      <c r="BS95" s="17" t="s">
        <v>267</v>
      </c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27" x14ac:dyDescent="0.15">
      <c r="A96" s="1"/>
      <c r="B96" s="1" t="s">
        <v>201</v>
      </c>
      <c r="C96" s="1" t="s">
        <v>196</v>
      </c>
      <c r="D96" s="1" t="s">
        <v>163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>
        <v>10</v>
      </c>
      <c r="W96" s="32"/>
      <c r="X96" s="32"/>
      <c r="Y96" s="32">
        <v>10</v>
      </c>
      <c r="Z96" s="32"/>
      <c r="AA96" s="32"/>
      <c r="AB96" s="32">
        <v>10</v>
      </c>
      <c r="AC96" s="32">
        <v>5</v>
      </c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v>5</v>
      </c>
      <c r="BR96" s="17">
        <v>2</v>
      </c>
      <c r="BS96" s="17" t="s">
        <v>224</v>
      </c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27" x14ac:dyDescent="0.15">
      <c r="A97" s="1"/>
      <c r="B97" s="1" t="s">
        <v>203</v>
      </c>
      <c r="C97" s="1" t="s">
        <v>196</v>
      </c>
      <c r="D97" s="1" t="s">
        <v>163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>
        <v>10</v>
      </c>
      <c r="W97" s="32"/>
      <c r="X97" s="32"/>
      <c r="Y97" s="32">
        <v>10</v>
      </c>
      <c r="Z97" s="32"/>
      <c r="AA97" s="32"/>
      <c r="AB97" s="32">
        <v>10</v>
      </c>
      <c r="AC97" s="32">
        <v>5</v>
      </c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5</v>
      </c>
      <c r="BR97" s="17">
        <v>2</v>
      </c>
      <c r="BS97" s="17" t="s">
        <v>224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/>
      <c r="B98" s="1" t="s">
        <v>204</v>
      </c>
      <c r="C98" s="1" t="s">
        <v>32</v>
      </c>
      <c r="D98" s="1" t="s">
        <v>205</v>
      </c>
      <c r="E98" s="6"/>
      <c r="F98" s="6"/>
      <c r="G98" s="6"/>
      <c r="H98" s="6"/>
      <c r="I98" s="6"/>
      <c r="J98" s="6"/>
      <c r="K98" s="6"/>
      <c r="L98" s="6">
        <v>10</v>
      </c>
      <c r="M98" s="6">
        <v>10</v>
      </c>
      <c r="N98" s="6"/>
      <c r="O98" s="6">
        <v>10</v>
      </c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5</v>
      </c>
      <c r="BR98" s="17">
        <v>2</v>
      </c>
      <c r="BS98" s="17" t="s">
        <v>268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27" x14ac:dyDescent="0.15">
      <c r="A99" s="1"/>
      <c r="B99" s="1" t="s">
        <v>247</v>
      </c>
      <c r="C99" s="1" t="s">
        <v>149</v>
      </c>
      <c r="D99" s="1" t="s">
        <v>248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2">
        <v>10</v>
      </c>
      <c r="Q99" s="32"/>
      <c r="R99" s="32"/>
      <c r="S99" s="32">
        <v>10</v>
      </c>
      <c r="T99" s="32"/>
      <c r="U99" s="32"/>
      <c r="V99" s="32"/>
      <c r="W99" s="32">
        <v>5</v>
      </c>
      <c r="X99" s="32"/>
      <c r="Y99" s="32"/>
      <c r="Z99" s="32"/>
      <c r="AA99" s="32"/>
      <c r="AB99" s="32">
        <v>10</v>
      </c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5</v>
      </c>
      <c r="BR99" s="17">
        <v>2</v>
      </c>
      <c r="BS99" s="17" t="s">
        <v>266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/>
      <c r="B100" s="1" t="s">
        <v>135</v>
      </c>
      <c r="C100" s="1" t="s">
        <v>126</v>
      </c>
      <c r="D100" s="1" t="s">
        <v>123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>
        <v>5</v>
      </c>
      <c r="AP100" s="1">
        <v>1</v>
      </c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v>6</v>
      </c>
      <c r="BR100" s="17">
        <v>2</v>
      </c>
      <c r="BS100" s="17" t="s">
        <v>225</v>
      </c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27" x14ac:dyDescent="0.15">
      <c r="A101" s="1">
        <v>77</v>
      </c>
      <c r="B101" s="3" t="s">
        <v>116</v>
      </c>
      <c r="C101" s="3" t="s">
        <v>71</v>
      </c>
      <c r="D101" s="1" t="s">
        <v>13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20</v>
      </c>
      <c r="AU101" s="4"/>
      <c r="AV101" s="4"/>
      <c r="AW101" s="2">
        <v>20</v>
      </c>
      <c r="AX101" s="2">
        <v>20</v>
      </c>
      <c r="AY101" s="2"/>
      <c r="AZ101" s="2"/>
      <c r="BA101" s="2"/>
      <c r="BB101" s="2">
        <v>10</v>
      </c>
      <c r="BC101" s="14"/>
      <c r="BD101" s="1"/>
      <c r="BE101" s="1"/>
      <c r="BF101" s="1"/>
      <c r="BG101" s="1"/>
      <c r="BH101" s="1">
        <v>20</v>
      </c>
      <c r="BI101" s="1"/>
      <c r="BJ101" s="1"/>
      <c r="BK101" s="1"/>
      <c r="BL101" s="1"/>
      <c r="BM101" s="1"/>
      <c r="BN101" s="1"/>
      <c r="BO101" s="1"/>
      <c r="BP101" s="1">
        <f>SUM(E101:BO101)</f>
        <v>90</v>
      </c>
      <c r="BQ101" s="1">
        <v>6</v>
      </c>
      <c r="BR101" s="17">
        <v>2</v>
      </c>
      <c r="BS101" s="17" t="s">
        <v>226</v>
      </c>
      <c r="BT101" s="1" t="str">
        <f>IF(AQ101&gt;AQ$164, AQ101-AQ$164,"")</f>
        <v/>
      </c>
      <c r="BU101" s="1" t="str">
        <f>IF(AR101&gt;AR$164, AR101-AR$164,"")</f>
        <v/>
      </c>
      <c r="BV101" s="1" t="str">
        <f>IF(AS101&gt;AS$164, AS101-AS$164,"")</f>
        <v/>
      </c>
      <c r="BW101" s="1">
        <f>IF(AT101&gt;AT$164, AT101-AT$164,"")</f>
        <v>5</v>
      </c>
      <c r="BX101" s="1" t="str">
        <f>IF(AU101&gt;AU$164, AU101-AU$164,"")</f>
        <v/>
      </c>
      <c r="BY101" s="1" t="str">
        <f>IF(AV101&gt;AV$164, AV101-AV$164,"")</f>
        <v/>
      </c>
      <c r="BZ101" s="1">
        <f>IF(AW101&gt;AW$164, AW101-AW$164,"")</f>
        <v>1</v>
      </c>
      <c r="CA101" s="1" t="str">
        <f>IF(AX101&gt;AX$164, AX101-AX$164,"")</f>
        <v/>
      </c>
      <c r="CB101" s="1" t="str">
        <f>IF(AY101&gt;AY$164, AY101-AY$164,"")</f>
        <v/>
      </c>
      <c r="CC101" s="1" t="str">
        <f>IF(AZ101&gt;AZ$164, AZ101-AZ$164,"")</f>
        <v/>
      </c>
      <c r="CD101" s="1" t="str">
        <f>IF(BA101&gt;BA$164, BA101-BA$164,"")</f>
        <v/>
      </c>
      <c r="CE101" s="1" t="str">
        <f>IF(BB101&gt;BB$164, BB101-BB$164,"")</f>
        <v/>
      </c>
      <c r="CF101" s="1">
        <f>COUNTIF(BT101:CE101, "&gt;0")</f>
        <v>2</v>
      </c>
      <c r="CG101" s="1" t="str">
        <f>IF($CF101=1,BT101,"")</f>
        <v/>
      </c>
      <c r="CH101" s="1" t="str">
        <f>IF($CF101=1,BU101,"")</f>
        <v/>
      </c>
      <c r="CI101" s="1" t="str">
        <f>IF($CF101=1,BV101,"")</f>
        <v/>
      </c>
      <c r="CJ101" s="1" t="str">
        <f>IF($CF101=1,BW101,"")</f>
        <v/>
      </c>
      <c r="CK101" s="1" t="str">
        <f>IF($CF101=1,BX101,"")</f>
        <v/>
      </c>
      <c r="CL101" s="1" t="str">
        <f>IF($CF101=1,BY101,"")</f>
        <v/>
      </c>
      <c r="CM101" s="1" t="str">
        <f>IF($CF101=1,BZ101,"")</f>
        <v/>
      </c>
      <c r="CN101" s="1" t="str">
        <f>IF($CF101=1,CA101,"")</f>
        <v/>
      </c>
      <c r="CO101" s="1" t="str">
        <f>IF($CF101=1,CB101,"")</f>
        <v/>
      </c>
      <c r="CP101" s="1" t="str">
        <f>IF($CF101=1,CC101,"")</f>
        <v/>
      </c>
      <c r="CQ101" s="1" t="str">
        <f>IF($CF101=1,CD101,"")</f>
        <v/>
      </c>
      <c r="CR101" s="1" t="str">
        <f>IF($CF101=1,CE101,"")</f>
        <v/>
      </c>
      <c r="CS101" s="18">
        <f>SUM(AE101:BO101)</f>
        <v>90</v>
      </c>
    </row>
    <row r="102" spans="1:97" ht="27" x14ac:dyDescent="0.15">
      <c r="A102" s="1"/>
      <c r="B102" s="1" t="s">
        <v>179</v>
      </c>
      <c r="C102" s="1" t="s">
        <v>180</v>
      </c>
      <c r="D102" s="1" t="s">
        <v>163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32"/>
      <c r="Q102" s="32">
        <v>5</v>
      </c>
      <c r="R102" s="32"/>
      <c r="S102" s="32"/>
      <c r="T102" s="32"/>
      <c r="U102" s="32"/>
      <c r="V102" s="32">
        <v>10</v>
      </c>
      <c r="W102" s="32"/>
      <c r="X102" s="32"/>
      <c r="Y102" s="32">
        <v>10</v>
      </c>
      <c r="Z102" s="32"/>
      <c r="AA102" s="32"/>
      <c r="AB102" s="32">
        <v>10</v>
      </c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v>6</v>
      </c>
      <c r="BR102" s="17">
        <v>2</v>
      </c>
      <c r="BS102" s="17" t="s">
        <v>269</v>
      </c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27" x14ac:dyDescent="0.15">
      <c r="A103" s="1"/>
      <c r="B103" s="1" t="s">
        <v>187</v>
      </c>
      <c r="C103" s="1" t="s">
        <v>185</v>
      </c>
      <c r="D103" s="1" t="s">
        <v>163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2"/>
      <c r="Q103" s="32">
        <v>5</v>
      </c>
      <c r="R103" s="32"/>
      <c r="S103" s="32"/>
      <c r="T103" s="32"/>
      <c r="U103" s="32"/>
      <c r="V103" s="32">
        <v>10</v>
      </c>
      <c r="W103" s="32"/>
      <c r="X103" s="32"/>
      <c r="Y103" s="32">
        <v>10</v>
      </c>
      <c r="Z103" s="32"/>
      <c r="AA103" s="32"/>
      <c r="AB103" s="32">
        <v>10</v>
      </c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6</v>
      </c>
      <c r="BR103" s="17">
        <v>2</v>
      </c>
      <c r="BS103" s="17" t="s">
        <v>269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190</v>
      </c>
      <c r="C104" s="1" t="s">
        <v>191</v>
      </c>
      <c r="D104" s="1" t="s">
        <v>162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>
        <v>10</v>
      </c>
      <c r="Q104" s="32"/>
      <c r="R104" s="32"/>
      <c r="S104" s="32">
        <v>10</v>
      </c>
      <c r="T104" s="32"/>
      <c r="U104" s="32"/>
      <c r="V104" s="32"/>
      <c r="W104" s="32"/>
      <c r="X104" s="32"/>
      <c r="Y104" s="32"/>
      <c r="Z104" s="32">
        <v>5</v>
      </c>
      <c r="AA104" s="32"/>
      <c r="AB104" s="32">
        <v>10</v>
      </c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6</v>
      </c>
      <c r="BR104" s="17">
        <v>2</v>
      </c>
      <c r="BS104" s="17" t="s">
        <v>227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144</v>
      </c>
      <c r="C105" s="1" t="s">
        <v>122</v>
      </c>
      <c r="D105" s="1" t="s">
        <v>124</v>
      </c>
      <c r="E105" s="6"/>
      <c r="F105" s="6"/>
      <c r="G105" s="6"/>
      <c r="H105" s="6">
        <v>6</v>
      </c>
      <c r="I105" s="6"/>
      <c r="J105" s="6"/>
      <c r="K105" s="6">
        <v>6</v>
      </c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>
        <v>10</v>
      </c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7</v>
      </c>
      <c r="BR105" s="17">
        <v>2</v>
      </c>
      <c r="BS105" s="17" t="s">
        <v>270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>
        <v>39</v>
      </c>
      <c r="B106" s="1" t="s">
        <v>53</v>
      </c>
      <c r="C106" s="1" t="s">
        <v>49</v>
      </c>
      <c r="D106" s="1" t="s">
        <v>26</v>
      </c>
      <c r="E106" s="6"/>
      <c r="F106" s="6">
        <v>6</v>
      </c>
      <c r="G106" s="6"/>
      <c r="H106" s="6"/>
      <c r="I106" s="6"/>
      <c r="J106" s="6"/>
      <c r="K106" s="6"/>
      <c r="L106" s="6">
        <v>6</v>
      </c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>
        <v>10</v>
      </c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32</v>
      </c>
      <c r="BQ106" s="1">
        <v>7</v>
      </c>
      <c r="BR106" s="17">
        <v>2</v>
      </c>
      <c r="BS106" s="17" t="s">
        <v>271</v>
      </c>
      <c r="BT106" s="1">
        <f>IF(AQ106&gt;AQ$164, AQ106-AQ$164,"")</f>
        <v>4</v>
      </c>
      <c r="BU106" s="1" t="str">
        <f>IF(AR106&gt;AR$164, AR106-AR$164,"")</f>
        <v/>
      </c>
      <c r="BV106" s="1" t="str">
        <f>IF(AS106&gt;AS$164, AS106-AS$164,"")</f>
        <v/>
      </c>
      <c r="BW106" s="1" t="str">
        <f>IF(AT106&gt;AT$164, AT106-AT$164,"")</f>
        <v/>
      </c>
      <c r="BX106" s="1" t="str">
        <f>IF(AU106&gt;AU$164, AU106-AU$164,"")</f>
        <v/>
      </c>
      <c r="BY106" s="1" t="str">
        <f>IF(AV106&gt;AV$164, AV106-AV$164,"")</f>
        <v/>
      </c>
      <c r="BZ106" s="1" t="str">
        <f>IF(AW106&gt;AW$164, AW106-AW$164,"")</f>
        <v/>
      </c>
      <c r="CA106" s="1" t="str">
        <f>IF(AX106&gt;AX$164, AX106-AX$164,"")</f>
        <v/>
      </c>
      <c r="CB106" s="1" t="str">
        <f>IF(AY106&gt;AY$164, AY106-AY$164,"")</f>
        <v/>
      </c>
      <c r="CC106" s="1" t="str">
        <f>IF(AZ106&gt;AZ$164, AZ106-AZ$164,"")</f>
        <v/>
      </c>
      <c r="CD106" s="1" t="str">
        <f>IF(BA106&gt;BA$164, BA106-BA$164,"")</f>
        <v/>
      </c>
      <c r="CE106" s="1" t="str">
        <f>IF(BB106&gt;BB$164, BB106-BB$164,"")</f>
        <v/>
      </c>
      <c r="CF106" s="1">
        <f>COUNTIF(BT106:CE106, "&gt;0")</f>
        <v>1</v>
      </c>
      <c r="CG106" s="1">
        <f>IF($CF106=1,BT106,"")</f>
        <v>4</v>
      </c>
      <c r="CH106" s="1" t="str">
        <f>IF($CF106=1,BU106,"")</f>
        <v/>
      </c>
      <c r="CI106" s="1" t="str">
        <f>IF($CF106=1,BV106,"")</f>
        <v/>
      </c>
      <c r="CJ106" s="1" t="str">
        <f>IF($CF106=1,BW106,"")</f>
        <v/>
      </c>
      <c r="CK106" s="1" t="str">
        <f>IF($CF106=1,BX106,"")</f>
        <v/>
      </c>
      <c r="CL106" s="1" t="str">
        <f>IF($CF106=1,BY106,"")</f>
        <v/>
      </c>
      <c r="CM106" s="1" t="str">
        <f>IF($CF106=1,BZ106,"")</f>
        <v/>
      </c>
      <c r="CN106" s="1" t="str">
        <f>IF($CF106=1,CA106,"")</f>
        <v/>
      </c>
      <c r="CO106" s="1" t="str">
        <f>IF($CF106=1,CB106,"")</f>
        <v/>
      </c>
      <c r="CP106" s="1" t="str">
        <f>IF($CF106=1,CC106,"")</f>
        <v/>
      </c>
      <c r="CQ106" s="1" t="str">
        <f>IF($CF106=1,CD106,"")</f>
        <v/>
      </c>
      <c r="CR106" s="1" t="str">
        <f>IF($CF106=1,CE106,"")</f>
        <v/>
      </c>
      <c r="CS106" s="18">
        <f>SUM(AE106:BO106)</f>
        <v>20</v>
      </c>
    </row>
    <row r="107" spans="1:97" ht="27" x14ac:dyDescent="0.15">
      <c r="A107" s="1">
        <v>20</v>
      </c>
      <c r="B107" s="1" t="s">
        <v>38</v>
      </c>
      <c r="C107" s="1" t="s">
        <v>32</v>
      </c>
      <c r="D107" s="1" t="s">
        <v>25</v>
      </c>
      <c r="E107" s="6"/>
      <c r="F107" s="6">
        <v>5</v>
      </c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"/>
      <c r="AF107" s="1"/>
      <c r="AG107" s="1">
        <v>5</v>
      </c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10</v>
      </c>
      <c r="BQ107" s="1">
        <v>7</v>
      </c>
      <c r="BR107" s="17">
        <v>2</v>
      </c>
      <c r="BS107" s="17" t="s">
        <v>228</v>
      </c>
      <c r="BT107" s="1" t="str">
        <f>IF(AQ107&gt;AQ$164, AQ107-AQ$164,"")</f>
        <v/>
      </c>
      <c r="BU107" s="1" t="str">
        <f>IF(AR107&gt;AR$164, AR107-AR$164,"")</f>
        <v/>
      </c>
      <c r="BV107" s="1" t="str">
        <f>IF(AS107&gt;AS$164, AS107-AS$164,"")</f>
        <v/>
      </c>
      <c r="BW107" s="1" t="str">
        <f>IF(AT107&gt;AT$164, AT107-AT$164,"")</f>
        <v/>
      </c>
      <c r="BX107" s="1" t="str">
        <f>IF(AU107&gt;AU$164, AU107-AU$164,"")</f>
        <v/>
      </c>
      <c r="BY107" s="1" t="str">
        <f>IF(AV107&gt;AV$164, AV107-AV$164,"")</f>
        <v/>
      </c>
      <c r="BZ107" s="1" t="str">
        <f>IF(AW107&gt;AW$164, AW107-AW$164,"")</f>
        <v/>
      </c>
      <c r="CA107" s="1" t="str">
        <f>IF(AX107&gt;AX$164, AX107-AX$164,"")</f>
        <v/>
      </c>
      <c r="CB107" s="1" t="str">
        <f>IF(AY107&gt;AY$164, AY107-AY$164,"")</f>
        <v/>
      </c>
      <c r="CC107" s="1" t="str">
        <f>IF(AZ107&gt;AZ$164, AZ107-AZ$164,"")</f>
        <v/>
      </c>
      <c r="CD107" s="1" t="str">
        <f>IF(BA107&gt;BA$164, BA107-BA$164,"")</f>
        <v/>
      </c>
      <c r="CE107" s="1" t="str">
        <f>IF(BB107&gt;BB$164, BB107-BB$164,"")</f>
        <v/>
      </c>
      <c r="CF107" s="1">
        <f>COUNTIF(BT107:CE107, "&gt;0")</f>
        <v>0</v>
      </c>
      <c r="CG107" s="1" t="str">
        <f>IF($CF107=1,BT107,"")</f>
        <v/>
      </c>
      <c r="CH107" s="1" t="str">
        <f>IF($CF107=1,BU107,"")</f>
        <v/>
      </c>
      <c r="CI107" s="1" t="str">
        <f>IF($CF107=1,BV107,"")</f>
        <v/>
      </c>
      <c r="CJ107" s="1" t="str">
        <f>IF($CF107=1,BW107,"")</f>
        <v/>
      </c>
      <c r="CK107" s="1" t="str">
        <f>IF($CF107=1,BX107,"")</f>
        <v/>
      </c>
      <c r="CL107" s="1" t="str">
        <f>IF($CF107=1,BY107,"")</f>
        <v/>
      </c>
      <c r="CM107" s="1" t="str">
        <f>IF($CF107=1,BZ107,"")</f>
        <v/>
      </c>
      <c r="CN107" s="1" t="str">
        <f>IF($CF107=1,CA107,"")</f>
        <v/>
      </c>
      <c r="CO107" s="1" t="str">
        <f>IF($CF107=1,CB107,"")</f>
        <v/>
      </c>
      <c r="CP107" s="1" t="str">
        <f>IF($CF107=1,CC107,"")</f>
        <v/>
      </c>
      <c r="CQ107" s="1" t="str">
        <f>IF($CF107=1,CD107,"")</f>
        <v/>
      </c>
      <c r="CR107" s="1" t="str">
        <f>IF($CF107=1,CE107,"")</f>
        <v/>
      </c>
      <c r="CS107" s="18">
        <f>SUM(AE107:BO107)</f>
        <v>5</v>
      </c>
    </row>
    <row r="108" spans="1:97" ht="27" x14ac:dyDescent="0.15">
      <c r="A108" s="1">
        <v>101</v>
      </c>
      <c r="B108" s="3" t="s">
        <v>112</v>
      </c>
      <c r="C108" s="3" t="s">
        <v>78</v>
      </c>
      <c r="D108" s="1" t="s">
        <v>13</v>
      </c>
      <c r="E108" s="6"/>
      <c r="F108" s="6"/>
      <c r="G108" s="6"/>
      <c r="H108" s="6">
        <v>6</v>
      </c>
      <c r="I108" s="6">
        <v>6</v>
      </c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>
        <v>8</v>
      </c>
      <c r="AV108" s="4"/>
      <c r="AW108" s="2">
        <v>8</v>
      </c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28</v>
      </c>
      <c r="BQ108" s="1">
        <v>8</v>
      </c>
      <c r="BR108" s="17">
        <v>2</v>
      </c>
      <c r="BS108" s="17" t="s">
        <v>272</v>
      </c>
      <c r="BT108" s="1" t="str">
        <f>IF(AQ108&gt;AQ$164, AQ108-AQ$164,"")</f>
        <v/>
      </c>
      <c r="BU108" s="1" t="str">
        <f>IF(AR108&gt;AR$164, AR108-AR$164,"")</f>
        <v/>
      </c>
      <c r="BV108" s="1" t="str">
        <f>IF(AS108&gt;AS$164, AS108-AS$164,"")</f>
        <v/>
      </c>
      <c r="BW108" s="1" t="str">
        <f>IF(AT108&gt;AT$164, AT108-AT$164,"")</f>
        <v/>
      </c>
      <c r="BX108" s="1">
        <f>IF(AU108&gt;AU$164, AU108-AU$164,"")</f>
        <v>5</v>
      </c>
      <c r="BY108" s="1" t="str">
        <f>IF(AV108&gt;AV$164, AV108-AV$164,"")</f>
        <v/>
      </c>
      <c r="BZ108" s="1" t="str">
        <f>IF(AW108&gt;AW$164, AW108-AW$164,"")</f>
        <v/>
      </c>
      <c r="CA108" s="1" t="str">
        <f>IF(AX108&gt;AX$164, AX108-AX$164,"")</f>
        <v/>
      </c>
      <c r="CB108" s="1" t="str">
        <f>IF(AY108&gt;AY$164, AY108-AY$164,"")</f>
        <v/>
      </c>
      <c r="CC108" s="1" t="str">
        <f>IF(AZ108&gt;AZ$164, AZ108-AZ$164,"")</f>
        <v/>
      </c>
      <c r="CD108" s="1" t="str">
        <f>IF(BA108&gt;BA$164, BA108-BA$164,"")</f>
        <v/>
      </c>
      <c r="CE108" s="1" t="str">
        <f>IF(BB108&gt;BB$164, BB108-BB$164,"")</f>
        <v/>
      </c>
      <c r="CF108" s="1">
        <f>COUNTIF(BT108:CE108, "&gt;0")</f>
        <v>1</v>
      </c>
      <c r="CG108" s="1" t="str">
        <f>IF($CF108=1,BT108,"")</f>
        <v/>
      </c>
      <c r="CH108" s="1" t="str">
        <f>IF($CF108=1,BU108,"")</f>
        <v/>
      </c>
      <c r="CI108" s="1" t="str">
        <f>IF($CF108=1,BV108,"")</f>
        <v/>
      </c>
      <c r="CJ108" s="1" t="str">
        <f>IF($CF108=1,BW108,"")</f>
        <v/>
      </c>
      <c r="CK108" s="1">
        <f>IF($CF108=1,BX108,"")</f>
        <v>5</v>
      </c>
      <c r="CL108" s="1" t="str">
        <f>IF($CF108=1,BY108,"")</f>
        <v/>
      </c>
      <c r="CM108" s="1" t="str">
        <f>IF($CF108=1,BZ108,"")</f>
        <v/>
      </c>
      <c r="CN108" s="1" t="str">
        <f>IF($CF108=1,CA108,"")</f>
        <v/>
      </c>
      <c r="CO108" s="1" t="str">
        <f>IF($CF108=1,CB108,"")</f>
        <v/>
      </c>
      <c r="CP108" s="1" t="str">
        <f>IF($CF108=1,CC108,"")</f>
        <v/>
      </c>
      <c r="CQ108" s="1" t="str">
        <f>IF($CF108=1,CD108,"")</f>
        <v/>
      </c>
      <c r="CR108" s="1" t="str">
        <f>IF($CF108=1,CE108,"")</f>
        <v/>
      </c>
      <c r="CS108" s="18">
        <f>SUM(AE108:BO108)</f>
        <v>16</v>
      </c>
    </row>
    <row r="109" spans="1:97" ht="27" x14ac:dyDescent="0.15">
      <c r="A109" s="1"/>
      <c r="B109" s="1" t="s">
        <v>130</v>
      </c>
      <c r="C109" s="1" t="s">
        <v>126</v>
      </c>
      <c r="D109" s="1" t="s">
        <v>131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>
        <v>3</v>
      </c>
      <c r="AP109" s="1">
        <v>5</v>
      </c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8</v>
      </c>
      <c r="BR109" s="17">
        <v>2</v>
      </c>
      <c r="BS109" s="17" t="s">
        <v>273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173</v>
      </c>
      <c r="C110" s="1" t="s">
        <v>161</v>
      </c>
      <c r="D110" s="1" t="s">
        <v>163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>
        <v>5</v>
      </c>
      <c r="R110" s="32">
        <v>2</v>
      </c>
      <c r="S110" s="32"/>
      <c r="T110" s="32">
        <v>5</v>
      </c>
      <c r="U110" s="32"/>
      <c r="V110" s="32"/>
      <c r="W110" s="32"/>
      <c r="X110" s="32"/>
      <c r="Y110" s="32"/>
      <c r="Z110" s="32">
        <v>5</v>
      </c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8</v>
      </c>
      <c r="BR110" s="17">
        <v>2</v>
      </c>
      <c r="BS110" s="17" t="s">
        <v>229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/>
      <c r="B111" s="1" t="s">
        <v>178</v>
      </c>
      <c r="C111" s="1" t="s">
        <v>161</v>
      </c>
      <c r="D111" s="1" t="s">
        <v>163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>
        <v>5</v>
      </c>
      <c r="R111" s="32">
        <v>2</v>
      </c>
      <c r="S111" s="32"/>
      <c r="T111" s="32">
        <v>5</v>
      </c>
      <c r="U111" s="32"/>
      <c r="V111" s="32"/>
      <c r="W111" s="32"/>
      <c r="X111" s="32"/>
      <c r="Y111" s="32"/>
      <c r="Z111" s="32">
        <v>5</v>
      </c>
      <c r="AA111" s="32"/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v>8</v>
      </c>
      <c r="BR111" s="17">
        <v>2</v>
      </c>
      <c r="BS111" s="17" t="s">
        <v>229</v>
      </c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27" x14ac:dyDescent="0.15">
      <c r="A112" s="1"/>
      <c r="B112" s="1" t="s">
        <v>188</v>
      </c>
      <c r="C112" s="1" t="s">
        <v>185</v>
      </c>
      <c r="D112" s="1" t="s">
        <v>163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>
        <v>5</v>
      </c>
      <c r="R112" s="32">
        <v>2</v>
      </c>
      <c r="S112" s="32"/>
      <c r="T112" s="32">
        <v>5</v>
      </c>
      <c r="U112" s="32"/>
      <c r="V112" s="32"/>
      <c r="W112" s="32"/>
      <c r="X112" s="32"/>
      <c r="Y112" s="32"/>
      <c r="Z112" s="32">
        <v>5</v>
      </c>
      <c r="AA112" s="32"/>
      <c r="AB112" s="32"/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8</v>
      </c>
      <c r="BR112" s="17">
        <v>2</v>
      </c>
      <c r="BS112" s="17" t="s">
        <v>229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/>
      <c r="B113" s="1" t="s">
        <v>190</v>
      </c>
      <c r="C113" s="1" t="s">
        <v>191</v>
      </c>
      <c r="D113" s="1" t="s">
        <v>163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>
        <v>5</v>
      </c>
      <c r="R113" s="32"/>
      <c r="S113" s="32"/>
      <c r="T113" s="32">
        <v>5</v>
      </c>
      <c r="U113" s="32"/>
      <c r="V113" s="32"/>
      <c r="W113" s="32"/>
      <c r="X113" s="32">
        <v>2</v>
      </c>
      <c r="Y113" s="32"/>
      <c r="Z113" s="32">
        <v>5</v>
      </c>
      <c r="AA113" s="32"/>
      <c r="AB113" s="32"/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8</v>
      </c>
      <c r="BR113" s="17">
        <v>2</v>
      </c>
      <c r="BS113" s="17" t="s">
        <v>229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>
        <v>1</v>
      </c>
      <c r="B114" s="1" t="s">
        <v>0</v>
      </c>
      <c r="C114" s="1" t="s">
        <v>2</v>
      </c>
      <c r="D114" s="1" t="s">
        <v>1</v>
      </c>
      <c r="E114" s="6">
        <v>10</v>
      </c>
      <c r="F114" s="6">
        <v>10</v>
      </c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>
        <v>10</v>
      </c>
      <c r="AS114" s="4"/>
      <c r="AT114" s="4"/>
      <c r="AU114" s="4"/>
      <c r="AV114" s="4"/>
      <c r="AW114" s="2">
        <v>15</v>
      </c>
      <c r="AX114" s="2">
        <v>15</v>
      </c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60</v>
      </c>
      <c r="BQ114" s="1">
        <v>9</v>
      </c>
      <c r="BR114" s="17">
        <v>2</v>
      </c>
      <c r="BS114" s="17" t="s">
        <v>274</v>
      </c>
      <c r="BT114" s="1" t="str">
        <f>IF(AQ114&gt;AQ$164, AQ114-AQ$164,"")</f>
        <v/>
      </c>
      <c r="BU114" s="1" t="str">
        <f>IF(AR114&gt;AR$164, AR114-AR$164,"")</f>
        <v/>
      </c>
      <c r="BV114" s="1" t="str">
        <f>IF(AS114&gt;AS$164, AS114-AS$164,"")</f>
        <v/>
      </c>
      <c r="BW114" s="1" t="str">
        <f>IF(AT114&gt;AT$164, AT114-AT$164,"")</f>
        <v/>
      </c>
      <c r="BX114" s="1" t="str">
        <f>IF(AU114&gt;AU$164, AU114-AU$164,"")</f>
        <v/>
      </c>
      <c r="BY114" s="1" t="str">
        <f>IF(AV114&gt;AV$164, AV114-AV$164,"")</f>
        <v/>
      </c>
      <c r="BZ114" s="1" t="str">
        <f>IF(AW114&gt;AW$164, AW114-AW$164,"")</f>
        <v/>
      </c>
      <c r="CA114" s="1" t="str">
        <f>IF(AX114&gt;AX$164, AX114-AX$164,"")</f>
        <v/>
      </c>
      <c r="CB114" s="1" t="str">
        <f>IF(AY114&gt;AY$164, AY114-AY$164,"")</f>
        <v/>
      </c>
      <c r="CC114" s="1" t="str">
        <f>IF(AZ114&gt;AZ$164, AZ114-AZ$164,"")</f>
        <v/>
      </c>
      <c r="CD114" s="1" t="str">
        <f>IF(BA114&gt;BA$164, BA114-BA$164,"")</f>
        <v/>
      </c>
      <c r="CE114" s="1" t="str">
        <f>IF(BB114&gt;BB$164, BB114-BB$164,"")</f>
        <v/>
      </c>
      <c r="CF114" s="1">
        <f>COUNTIF(BT114:CE114, "&gt;0")</f>
        <v>0</v>
      </c>
      <c r="CG114" s="1" t="str">
        <f>IF($CF114=1,BT114,"")</f>
        <v/>
      </c>
      <c r="CH114" s="1" t="str">
        <f>IF($CF114=1,BU114,"")</f>
        <v/>
      </c>
      <c r="CI114" s="1" t="str">
        <f>IF($CF114=1,BV114,"")</f>
        <v/>
      </c>
      <c r="CJ114" s="1" t="str">
        <f>IF($CF114=1,BW114,"")</f>
        <v/>
      </c>
      <c r="CK114" s="1" t="str">
        <f>IF($CF114=1,BX114,"")</f>
        <v/>
      </c>
      <c r="CL114" s="1" t="str">
        <f>IF($CF114=1,BY114,"")</f>
        <v/>
      </c>
      <c r="CM114" s="1" t="str">
        <f>IF($CF114=1,BZ114,"")</f>
        <v/>
      </c>
      <c r="CN114" s="1" t="str">
        <f>IF($CF114=1,CA114,"")</f>
        <v/>
      </c>
      <c r="CO114" s="1" t="str">
        <f>IF($CF114=1,CB114,"")</f>
        <v/>
      </c>
      <c r="CP114" s="1" t="str">
        <f>IF($CF114=1,CC114,"")</f>
        <v/>
      </c>
      <c r="CQ114" s="1" t="str">
        <f>IF($CF114=1,CD114,"")</f>
        <v/>
      </c>
      <c r="CR114" s="1" t="str">
        <f>IF($CF114=1,CE114,"")</f>
        <v/>
      </c>
      <c r="CS114" s="18">
        <f>SUM(AE114:BO114)</f>
        <v>40</v>
      </c>
    </row>
    <row r="115" spans="1:97" ht="27" x14ac:dyDescent="0.15">
      <c r="A115" s="1">
        <v>95</v>
      </c>
      <c r="B115" s="3" t="s">
        <v>95</v>
      </c>
      <c r="C115" s="3" t="s">
        <v>78</v>
      </c>
      <c r="D115" s="1" t="s">
        <v>1</v>
      </c>
      <c r="E115" s="6"/>
      <c r="F115" s="6"/>
      <c r="G115" s="6"/>
      <c r="H115" s="6"/>
      <c r="I115" s="6"/>
      <c r="J115" s="6"/>
      <c r="K115" s="6"/>
      <c r="L115" s="6">
        <v>15</v>
      </c>
      <c r="M115" s="6"/>
      <c r="N115" s="6"/>
      <c r="O115" s="6">
        <v>15</v>
      </c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>
        <v>15</v>
      </c>
      <c r="BB115" s="2">
        <v>15</v>
      </c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60</v>
      </c>
      <c r="BQ115" s="1">
        <v>10</v>
      </c>
      <c r="BR115" s="17">
        <v>2</v>
      </c>
      <c r="BS115" s="17" t="s">
        <v>275</v>
      </c>
      <c r="BT115" s="1" t="str">
        <f>IF(AQ115&gt;AQ$164, AQ115-AQ$164,"")</f>
        <v/>
      </c>
      <c r="BU115" s="1" t="str">
        <f>IF(AR115&gt;AR$164, AR115-AR$164,"")</f>
        <v/>
      </c>
      <c r="BV115" s="1" t="str">
        <f>IF(AS115&gt;AS$164, AS115-AS$164,"")</f>
        <v/>
      </c>
      <c r="BW115" s="1" t="str">
        <f>IF(AT115&gt;AT$164, AT115-AT$164,"")</f>
        <v/>
      </c>
      <c r="BX115" s="1" t="str">
        <f>IF(AU115&gt;AU$164, AU115-AU$164,"")</f>
        <v/>
      </c>
      <c r="BY115" s="1" t="str">
        <f>IF(AV115&gt;AV$164, AV115-AV$164,"")</f>
        <v/>
      </c>
      <c r="BZ115" s="1" t="str">
        <f>IF(AW115&gt;AW$164, AW115-AW$164,"")</f>
        <v/>
      </c>
      <c r="CA115" s="1" t="str">
        <f>IF(AX115&gt;AX$164, AX115-AX$164,"")</f>
        <v/>
      </c>
      <c r="CB115" s="1" t="str">
        <f>IF(AY115&gt;AY$164, AY115-AY$164,"")</f>
        <v/>
      </c>
      <c r="CC115" s="1" t="str">
        <f>IF(AZ115&gt;AZ$164, AZ115-AZ$164,"")</f>
        <v/>
      </c>
      <c r="CD115" s="1">
        <f>IF(BA115&gt;BA$164, BA115-BA$164,"")</f>
        <v>3</v>
      </c>
      <c r="CE115" s="1" t="str">
        <f>IF(BB115&gt;BB$164, BB115-BB$164,"")</f>
        <v/>
      </c>
      <c r="CF115" s="1">
        <f>COUNTIF(BT115:CE115, "&gt;0")</f>
        <v>1</v>
      </c>
      <c r="CG115" s="1" t="str">
        <f>IF($CF115=1,BT115,"")</f>
        <v/>
      </c>
      <c r="CH115" s="1" t="str">
        <f>IF($CF115=1,BU115,"")</f>
        <v/>
      </c>
      <c r="CI115" s="1" t="str">
        <f>IF($CF115=1,BV115,"")</f>
        <v/>
      </c>
      <c r="CJ115" s="1" t="str">
        <f>IF($CF115=1,BW115,"")</f>
        <v/>
      </c>
      <c r="CK115" s="1" t="str">
        <f>IF($CF115=1,BX115,"")</f>
        <v/>
      </c>
      <c r="CL115" s="1" t="str">
        <f>IF($CF115=1,BY115,"")</f>
        <v/>
      </c>
      <c r="CM115" s="1" t="str">
        <f>IF($CF115=1,BZ115,"")</f>
        <v/>
      </c>
      <c r="CN115" s="1" t="str">
        <f>IF($CF115=1,CA115,"")</f>
        <v/>
      </c>
      <c r="CO115" s="1" t="str">
        <f>IF($CF115=1,CB115,"")</f>
        <v/>
      </c>
      <c r="CP115" s="1" t="str">
        <f>IF($CF115=1,CC115,"")</f>
        <v/>
      </c>
      <c r="CQ115" s="1">
        <f>IF($CF115=1,CD115,"")</f>
        <v>3</v>
      </c>
      <c r="CR115" s="1" t="str">
        <f>IF($CF115=1,CE115,"")</f>
        <v/>
      </c>
      <c r="CS115" s="18">
        <f>SUM(AE115:BO115)</f>
        <v>30</v>
      </c>
    </row>
    <row r="116" spans="1:97" ht="27" x14ac:dyDescent="0.15">
      <c r="A116" s="1">
        <v>27</v>
      </c>
      <c r="B116" s="1" t="s">
        <v>84</v>
      </c>
      <c r="C116" s="1" t="s">
        <v>32</v>
      </c>
      <c r="D116" s="1" t="s">
        <v>24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>
        <v>5</v>
      </c>
      <c r="AI116" s="1">
        <v>5</v>
      </c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10</v>
      </c>
      <c r="BQ116" s="1">
        <v>10</v>
      </c>
      <c r="BR116" s="17">
        <v>2</v>
      </c>
      <c r="BS116" s="17" t="s">
        <v>230</v>
      </c>
      <c r="BT116" s="1" t="str">
        <f>IF(AQ116&gt;AQ$164, AQ116-AQ$164,"")</f>
        <v/>
      </c>
      <c r="BU116" s="1" t="str">
        <f>IF(AR116&gt;AR$164, AR116-AR$164,"")</f>
        <v/>
      </c>
      <c r="BV116" s="1" t="str">
        <f>IF(AS116&gt;AS$164, AS116-AS$164,"")</f>
        <v/>
      </c>
      <c r="BW116" s="1" t="str">
        <f>IF(AT116&gt;AT$164, AT116-AT$164,"")</f>
        <v/>
      </c>
      <c r="BX116" s="1" t="str">
        <f>IF(AU116&gt;AU$164, AU116-AU$164,"")</f>
        <v/>
      </c>
      <c r="BY116" s="1" t="str">
        <f>IF(AV116&gt;AV$164, AV116-AV$164,"")</f>
        <v/>
      </c>
      <c r="BZ116" s="1" t="str">
        <f>IF(AW116&gt;AW$164, AW116-AW$164,"")</f>
        <v/>
      </c>
      <c r="CA116" s="1" t="str">
        <f>IF(AX116&gt;AX$164, AX116-AX$164,"")</f>
        <v/>
      </c>
      <c r="CB116" s="1" t="str">
        <f>IF(AY116&gt;AY$164, AY116-AY$164,"")</f>
        <v/>
      </c>
      <c r="CC116" s="1" t="str">
        <f>IF(AZ116&gt;AZ$164, AZ116-AZ$164,"")</f>
        <v/>
      </c>
      <c r="CD116" s="1" t="str">
        <f>IF(BA116&gt;BA$164, BA116-BA$164,"")</f>
        <v/>
      </c>
      <c r="CE116" s="1" t="str">
        <f>IF(BB116&gt;BB$164, BB116-BB$164,"")</f>
        <v/>
      </c>
      <c r="CF116" s="1">
        <f>COUNTIF(BT116:CE116, "&gt;0")</f>
        <v>0</v>
      </c>
      <c r="CG116" s="1" t="str">
        <f>IF($CF116=1,BT116,"")</f>
        <v/>
      </c>
      <c r="CH116" s="1" t="str">
        <f>IF($CF116=1,BU116,"")</f>
        <v/>
      </c>
      <c r="CI116" s="1" t="str">
        <f>IF($CF116=1,BV116,"")</f>
        <v/>
      </c>
      <c r="CJ116" s="1" t="str">
        <f>IF($CF116=1,BW116,"")</f>
        <v/>
      </c>
      <c r="CK116" s="1" t="str">
        <f>IF($CF116=1,BX116,"")</f>
        <v/>
      </c>
      <c r="CL116" s="1" t="str">
        <f>IF($CF116=1,BY116,"")</f>
        <v/>
      </c>
      <c r="CM116" s="1" t="str">
        <f>IF($CF116=1,BZ116,"")</f>
        <v/>
      </c>
      <c r="CN116" s="1" t="str">
        <f>IF($CF116=1,CA116,"")</f>
        <v/>
      </c>
      <c r="CO116" s="1" t="str">
        <f>IF($CF116=1,CB116,"")</f>
        <v/>
      </c>
      <c r="CP116" s="1" t="str">
        <f>IF($CF116=1,CC116,"")</f>
        <v/>
      </c>
      <c r="CQ116" s="1" t="str">
        <f>IF($CF116=1,CD116,"")</f>
        <v/>
      </c>
      <c r="CR116" s="1" t="str">
        <f>IF($CF116=1,CE116,"")</f>
        <v/>
      </c>
      <c r="CS116" s="18">
        <f>SUM(AE116:BO116)</f>
        <v>10</v>
      </c>
    </row>
    <row r="117" spans="1:97" ht="27" x14ac:dyDescent="0.15">
      <c r="A117" s="1">
        <v>88</v>
      </c>
      <c r="B117" s="3" t="s">
        <v>89</v>
      </c>
      <c r="C117" s="3" t="s">
        <v>90</v>
      </c>
      <c r="D117" s="1" t="s">
        <v>24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>
        <v>5</v>
      </c>
      <c r="AI117" s="1">
        <v>5</v>
      </c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10</v>
      </c>
      <c r="BQ117" s="1">
        <v>10</v>
      </c>
      <c r="BR117" s="17">
        <v>2</v>
      </c>
      <c r="BS117" s="17" t="s">
        <v>230</v>
      </c>
      <c r="BT117" s="1" t="str">
        <f>IF(AQ117&gt;AQ$164, AQ117-AQ$164,"")</f>
        <v/>
      </c>
      <c r="BU117" s="1" t="str">
        <f>IF(AR117&gt;AR$164, AR117-AR$164,"")</f>
        <v/>
      </c>
      <c r="BV117" s="1" t="str">
        <f>IF(AS117&gt;AS$164, AS117-AS$164,"")</f>
        <v/>
      </c>
      <c r="BW117" s="1" t="str">
        <f>IF(AT117&gt;AT$164, AT117-AT$164,"")</f>
        <v/>
      </c>
      <c r="BX117" s="1" t="str">
        <f>IF(AU117&gt;AU$164, AU117-AU$164,"")</f>
        <v/>
      </c>
      <c r="BY117" s="1" t="str">
        <f>IF(AV117&gt;AV$164, AV117-AV$164,"")</f>
        <v/>
      </c>
      <c r="BZ117" s="1" t="str">
        <f>IF(AW117&gt;AW$164, AW117-AW$164,"")</f>
        <v/>
      </c>
      <c r="CA117" s="1" t="str">
        <f>IF(AX117&gt;AX$164, AX117-AX$164,"")</f>
        <v/>
      </c>
      <c r="CB117" s="1" t="str">
        <f>IF(AY117&gt;AY$164, AY117-AY$164,"")</f>
        <v/>
      </c>
      <c r="CC117" s="1" t="str">
        <f>IF(AZ117&gt;AZ$164, AZ117-AZ$164,"")</f>
        <v/>
      </c>
      <c r="CD117" s="1" t="str">
        <f>IF(BA117&gt;BA$164, BA117-BA$164,"")</f>
        <v/>
      </c>
      <c r="CE117" s="1" t="str">
        <f>IF(BB117&gt;BB$164, BB117-BB$164,"")</f>
        <v/>
      </c>
      <c r="CF117" s="1">
        <f>COUNTIF(BT117:CE117, "&gt;0")</f>
        <v>0</v>
      </c>
      <c r="CG117" s="1" t="str">
        <f>IF($CF117=1,BT117,"")</f>
        <v/>
      </c>
      <c r="CH117" s="1" t="str">
        <f>IF($CF117=1,BU117,"")</f>
        <v/>
      </c>
      <c r="CI117" s="1" t="str">
        <f>IF($CF117=1,BV117,"")</f>
        <v/>
      </c>
      <c r="CJ117" s="1" t="str">
        <f>IF($CF117=1,BW117,"")</f>
        <v/>
      </c>
      <c r="CK117" s="1" t="str">
        <f>IF($CF117=1,BX117,"")</f>
        <v/>
      </c>
      <c r="CL117" s="1" t="str">
        <f>IF($CF117=1,BY117,"")</f>
        <v/>
      </c>
      <c r="CM117" s="1" t="str">
        <f>IF($CF117=1,BZ117,"")</f>
        <v/>
      </c>
      <c r="CN117" s="1" t="str">
        <f>IF($CF117=1,CA117,"")</f>
        <v/>
      </c>
      <c r="CO117" s="1" t="str">
        <f>IF($CF117=1,CB117,"")</f>
        <v/>
      </c>
      <c r="CP117" s="1" t="str">
        <f>IF($CF117=1,CC117,"")</f>
        <v/>
      </c>
      <c r="CQ117" s="1" t="str">
        <f>IF($CF117=1,CD117,"")</f>
        <v/>
      </c>
      <c r="CR117" s="1" t="str">
        <f>IF($CF117=1,CE117,"")</f>
        <v/>
      </c>
      <c r="CS117" s="18">
        <f>SUM(AE117:BO117)</f>
        <v>10</v>
      </c>
    </row>
    <row r="118" spans="1:97" ht="27" x14ac:dyDescent="0.15">
      <c r="A118" s="1"/>
      <c r="B118" s="1" t="s">
        <v>197</v>
      </c>
      <c r="C118" s="1" t="s">
        <v>196</v>
      </c>
      <c r="D118" s="1" t="s">
        <v>164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>
        <v>10</v>
      </c>
      <c r="Y118" s="32"/>
      <c r="Z118" s="32"/>
      <c r="AA118" s="32"/>
      <c r="AB118" s="32"/>
      <c r="AC118" s="32"/>
      <c r="AD118" s="32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10</v>
      </c>
      <c r="BR118" s="17">
        <v>2</v>
      </c>
      <c r="BS118" s="17" t="s">
        <v>277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/>
      <c r="B119" s="1" t="s">
        <v>247</v>
      </c>
      <c r="C119" s="1" t="s">
        <v>149</v>
      </c>
      <c r="D119" s="1" t="s">
        <v>250</v>
      </c>
      <c r="E119" s="6"/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>
        <v>10</v>
      </c>
      <c r="Y119" s="32"/>
      <c r="Z119" s="32"/>
      <c r="AA119" s="32"/>
      <c r="AB119" s="32"/>
      <c r="AC119" s="32"/>
      <c r="AD119" s="32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10</v>
      </c>
      <c r="BR119" s="17">
        <v>2</v>
      </c>
      <c r="BS119" s="17" t="s">
        <v>276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>
        <v>3</v>
      </c>
      <c r="B120" s="1" t="s">
        <v>11</v>
      </c>
      <c r="C120" s="1" t="s">
        <v>2</v>
      </c>
      <c r="D120" s="1" t="s">
        <v>12</v>
      </c>
      <c r="E120" s="6">
        <v>15</v>
      </c>
      <c r="F120" s="6"/>
      <c r="G120" s="6">
        <v>15</v>
      </c>
      <c r="H120" s="6"/>
      <c r="I120" s="6"/>
      <c r="J120" s="6"/>
      <c r="K120" s="6"/>
      <c r="L120" s="6"/>
      <c r="M120" s="6"/>
      <c r="N120" s="6"/>
      <c r="O120" s="6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>
        <v>15</v>
      </c>
      <c r="AS120" s="4"/>
      <c r="AT120" s="4"/>
      <c r="AU120" s="4"/>
      <c r="AV120" s="4"/>
      <c r="AW120" s="2"/>
      <c r="AX120" s="2"/>
      <c r="AY120" s="2"/>
      <c r="AZ120" s="2"/>
      <c r="BA120" s="2"/>
      <c r="BB120" s="2">
        <v>15</v>
      </c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60</v>
      </c>
      <c r="BQ120" s="1">
        <v>11</v>
      </c>
      <c r="BR120" s="17">
        <v>2</v>
      </c>
      <c r="BS120" s="17" t="s">
        <v>278</v>
      </c>
      <c r="BT120" s="1" t="str">
        <f>IF(AQ120&gt;AQ$164, AQ120-AQ$164,"")</f>
        <v/>
      </c>
      <c r="BU120" s="1" t="str">
        <f>IF(AR120&gt;AR$164, AR120-AR$164,"")</f>
        <v/>
      </c>
      <c r="BV120" s="1" t="str">
        <f>IF(AS120&gt;AS$164, AS120-AS$164,"")</f>
        <v/>
      </c>
      <c r="BW120" s="1" t="str">
        <f>IF(AT120&gt;AT$164, AT120-AT$164,"")</f>
        <v/>
      </c>
      <c r="BX120" s="1" t="str">
        <f>IF(AU120&gt;AU$164, AU120-AU$164,"")</f>
        <v/>
      </c>
      <c r="BY120" s="1" t="str">
        <f>IF(AV120&gt;AV$164, AV120-AV$164,"")</f>
        <v/>
      </c>
      <c r="BZ120" s="1" t="str">
        <f>IF(AW120&gt;AW$164, AW120-AW$164,"")</f>
        <v/>
      </c>
      <c r="CA120" s="1" t="str">
        <f>IF(AX120&gt;AX$164, AX120-AX$164,"")</f>
        <v/>
      </c>
      <c r="CB120" s="1" t="str">
        <f>IF(AY120&gt;AY$164, AY120-AY$164,"")</f>
        <v/>
      </c>
      <c r="CC120" s="1" t="str">
        <f>IF(AZ120&gt;AZ$164, AZ120-AZ$164,"")</f>
        <v/>
      </c>
      <c r="CD120" s="1" t="str">
        <f>IF(BA120&gt;BA$164, BA120-BA$164,"")</f>
        <v/>
      </c>
      <c r="CE120" s="1" t="str">
        <f>IF(BB120&gt;BB$164, BB120-BB$164,"")</f>
        <v/>
      </c>
      <c r="CF120" s="1">
        <f>COUNTIF(BT120:CE120, "&gt;0")</f>
        <v>0</v>
      </c>
      <c r="CG120" s="1" t="str">
        <f>IF($CF120=1,BT120,"")</f>
        <v/>
      </c>
      <c r="CH120" s="1" t="str">
        <f>IF($CF120=1,BU120,"")</f>
        <v/>
      </c>
      <c r="CI120" s="1" t="str">
        <f>IF($CF120=1,BV120,"")</f>
        <v/>
      </c>
      <c r="CJ120" s="1" t="str">
        <f>IF($CF120=1,BW120,"")</f>
        <v/>
      </c>
      <c r="CK120" s="1" t="str">
        <f>IF($CF120=1,BX120,"")</f>
        <v/>
      </c>
      <c r="CL120" s="1" t="str">
        <f>IF($CF120=1,BY120,"")</f>
        <v/>
      </c>
      <c r="CM120" s="1" t="str">
        <f>IF($CF120=1,BZ120,"")</f>
        <v/>
      </c>
      <c r="CN120" s="1" t="str">
        <f>IF($CF120=1,CA120,"")</f>
        <v/>
      </c>
      <c r="CO120" s="1" t="str">
        <f>IF($CF120=1,CB120,"")</f>
        <v/>
      </c>
      <c r="CP120" s="1" t="str">
        <f>IF($CF120=1,CC120,"")</f>
        <v/>
      </c>
      <c r="CQ120" s="1" t="str">
        <f>IF($CF120=1,CD120,"")</f>
        <v/>
      </c>
      <c r="CR120" s="1" t="str">
        <f>IF($CF120=1,CE120,"")</f>
        <v/>
      </c>
      <c r="CS120" s="18">
        <f>SUM(AE120:BO120)</f>
        <v>30</v>
      </c>
    </row>
    <row r="121" spans="1:97" ht="27" x14ac:dyDescent="0.15">
      <c r="A121" s="1"/>
      <c r="B121" s="1" t="s">
        <v>136</v>
      </c>
      <c r="C121" s="1" t="s">
        <v>137</v>
      </c>
      <c r="D121" s="1" t="s">
        <v>123</v>
      </c>
      <c r="E121" s="6">
        <v>15</v>
      </c>
      <c r="F121" s="6"/>
      <c r="G121" s="6">
        <v>15</v>
      </c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>
        <v>15</v>
      </c>
      <c r="AS121" s="4"/>
      <c r="AT121" s="4"/>
      <c r="AU121" s="4"/>
      <c r="AV121" s="4"/>
      <c r="AW121" s="2"/>
      <c r="AX121" s="2"/>
      <c r="AY121" s="2"/>
      <c r="AZ121" s="2"/>
      <c r="BA121" s="2"/>
      <c r="BB121" s="2">
        <v>15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11</v>
      </c>
      <c r="BR121" s="17">
        <v>2</v>
      </c>
      <c r="BS121" s="17" t="s">
        <v>278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/>
      <c r="B122" s="1" t="s">
        <v>138</v>
      </c>
      <c r="C122" s="1" t="s">
        <v>137</v>
      </c>
      <c r="D122" s="1" t="s">
        <v>123</v>
      </c>
      <c r="E122" s="6">
        <v>15</v>
      </c>
      <c r="F122" s="6"/>
      <c r="G122" s="6">
        <v>15</v>
      </c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>
        <v>15</v>
      </c>
      <c r="AS122" s="4"/>
      <c r="AT122" s="4"/>
      <c r="AU122" s="4"/>
      <c r="AV122" s="4"/>
      <c r="AW122" s="2"/>
      <c r="AX122" s="2"/>
      <c r="AY122" s="2"/>
      <c r="AZ122" s="2"/>
      <c r="BA122" s="2"/>
      <c r="BB122" s="2">
        <v>15</v>
      </c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11</v>
      </c>
      <c r="BR122" s="17">
        <v>2</v>
      </c>
      <c r="BS122" s="17" t="s">
        <v>278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27" x14ac:dyDescent="0.15">
      <c r="A123" s="1">
        <v>21</v>
      </c>
      <c r="B123" s="1" t="s">
        <v>39</v>
      </c>
      <c r="C123" s="1" t="s">
        <v>32</v>
      </c>
      <c r="D123" s="1" t="s">
        <v>26</v>
      </c>
      <c r="E123" s="6"/>
      <c r="F123" s="6"/>
      <c r="G123" s="6">
        <v>6</v>
      </c>
      <c r="H123" s="6">
        <v>6</v>
      </c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/>
      <c r="AY123" s="2"/>
      <c r="AZ123" s="2"/>
      <c r="BA123" s="2"/>
      <c r="BB123" s="2">
        <v>10</v>
      </c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32</v>
      </c>
      <c r="BQ123" s="1">
        <v>11</v>
      </c>
      <c r="BR123" s="17">
        <v>2</v>
      </c>
      <c r="BS123" s="17" t="s">
        <v>217</v>
      </c>
      <c r="BT123" s="1" t="str">
        <f>IF(AQ123&gt;AQ$164, AQ123-AQ$164,"")</f>
        <v/>
      </c>
      <c r="BU123" s="1" t="str">
        <f>IF(AR123&gt;AR$164, AR123-AR$164,"")</f>
        <v/>
      </c>
      <c r="BV123" s="1">
        <f>IF(AS123&gt;AS$164, AS123-AS$164,"")</f>
        <v>8</v>
      </c>
      <c r="BW123" s="1" t="str">
        <f>IF(AT123&gt;AT$164, AT123-AT$164,"")</f>
        <v/>
      </c>
      <c r="BX123" s="1" t="str">
        <f>IF(AU123&gt;AU$164, AU123-AU$164,"")</f>
        <v/>
      </c>
      <c r="BY123" s="1" t="str">
        <f>IF(AV123&gt;AV$164, AV123-AV$164,"")</f>
        <v/>
      </c>
      <c r="BZ123" s="1" t="str">
        <f>IF(AW123&gt;AW$164, AW123-AW$164,"")</f>
        <v/>
      </c>
      <c r="CA123" s="1" t="str">
        <f>IF(AX123&gt;AX$164, AX123-AX$164,"")</f>
        <v/>
      </c>
      <c r="CB123" s="1" t="str">
        <f>IF(AY123&gt;AY$164, AY123-AY$164,"")</f>
        <v/>
      </c>
      <c r="CC123" s="1" t="str">
        <f>IF(AZ123&gt;AZ$164, AZ123-AZ$164,"")</f>
        <v/>
      </c>
      <c r="CD123" s="1" t="str">
        <f>IF(BA123&gt;BA$164, BA123-BA$164,"")</f>
        <v/>
      </c>
      <c r="CE123" s="1" t="str">
        <f>IF(BB123&gt;BB$164, BB123-BB$164,"")</f>
        <v/>
      </c>
      <c r="CF123" s="1">
        <f>COUNTIF(BT123:CE123, "&gt;0")</f>
        <v>1</v>
      </c>
      <c r="CG123" s="1" t="str">
        <f>IF($CF123=1,BT123,"")</f>
        <v/>
      </c>
      <c r="CH123" s="1" t="str">
        <f>IF($CF123=1,BU123,"")</f>
        <v/>
      </c>
      <c r="CI123" s="1">
        <f>IF($CF123=1,BV123,"")</f>
        <v>8</v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18">
        <f>SUM(AE123:BO123)</f>
        <v>20</v>
      </c>
    </row>
    <row r="124" spans="1:97" ht="27" x14ac:dyDescent="0.15">
      <c r="A124" s="1"/>
      <c r="B124" s="1" t="s">
        <v>134</v>
      </c>
      <c r="C124" s="1" t="s">
        <v>126</v>
      </c>
      <c r="D124" s="1" t="s">
        <v>124</v>
      </c>
      <c r="E124" s="6">
        <v>6</v>
      </c>
      <c r="F124" s="6">
        <v>6</v>
      </c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>
        <v>10</v>
      </c>
      <c r="AT124" s="4"/>
      <c r="AU124" s="4"/>
      <c r="AV124" s="4"/>
      <c r="AW124" s="2"/>
      <c r="AX124" s="2">
        <v>10</v>
      </c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11</v>
      </c>
      <c r="BR124" s="17">
        <v>2</v>
      </c>
      <c r="BS124" s="17" t="s">
        <v>279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27" x14ac:dyDescent="0.15">
      <c r="A125" s="1"/>
      <c r="B125" s="1" t="s">
        <v>160</v>
      </c>
      <c r="C125" s="1" t="s">
        <v>161</v>
      </c>
      <c r="D125" s="1" t="s">
        <v>164</v>
      </c>
      <c r="E125" s="6"/>
      <c r="F125" s="6"/>
      <c r="G125" s="6"/>
      <c r="H125" s="6"/>
      <c r="I125" s="6">
        <v>10</v>
      </c>
      <c r="J125" s="6"/>
      <c r="K125" s="6"/>
      <c r="L125" s="6"/>
      <c r="M125" s="6"/>
      <c r="N125" s="6"/>
      <c r="O125" s="6"/>
      <c r="P125" s="32"/>
      <c r="Q125" s="32"/>
      <c r="R125" s="32">
        <v>10</v>
      </c>
      <c r="S125" s="32"/>
      <c r="T125" s="32"/>
      <c r="U125" s="32"/>
      <c r="V125" s="32"/>
      <c r="W125" s="32"/>
      <c r="X125" s="32">
        <v>10</v>
      </c>
      <c r="Y125" s="32"/>
      <c r="Z125" s="32"/>
      <c r="AA125" s="32"/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10</v>
      </c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12</v>
      </c>
      <c r="BR125" s="17">
        <v>2</v>
      </c>
      <c r="BS125" s="17" t="s">
        <v>231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27" x14ac:dyDescent="0.15">
      <c r="A126" s="1"/>
      <c r="B126" s="1" t="s">
        <v>130</v>
      </c>
      <c r="C126" s="1" t="s">
        <v>126</v>
      </c>
      <c r="D126" s="1" t="s">
        <v>123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>
        <v>5</v>
      </c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>
        <v>5</v>
      </c>
      <c r="AP126" s="1">
        <v>10</v>
      </c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15</v>
      </c>
      <c r="BR126" s="17">
        <v>2</v>
      </c>
      <c r="BS126" s="17" t="s">
        <v>280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27" x14ac:dyDescent="0.15">
      <c r="A127" s="1"/>
      <c r="B127" s="1" t="s">
        <v>157</v>
      </c>
      <c r="C127" s="1" t="s">
        <v>158</v>
      </c>
      <c r="D127" s="1" t="s">
        <v>123</v>
      </c>
      <c r="E127" s="6"/>
      <c r="F127" s="6"/>
      <c r="G127" s="6"/>
      <c r="H127" s="6"/>
      <c r="I127" s="6"/>
      <c r="J127" s="6"/>
      <c r="K127" s="6"/>
      <c r="L127" s="6">
        <v>20</v>
      </c>
      <c r="M127" s="6"/>
      <c r="N127" s="6"/>
      <c r="O127" s="6">
        <v>20</v>
      </c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>
        <v>20</v>
      </c>
      <c r="BB127" s="2">
        <v>20</v>
      </c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20</v>
      </c>
      <c r="BR127" s="17">
        <v>2</v>
      </c>
      <c r="BS127" s="17" t="s">
        <v>211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200</v>
      </c>
      <c r="C128" s="1" t="s">
        <v>196</v>
      </c>
      <c r="D128" s="1" t="s">
        <v>163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/>
      <c r="R128" s="32"/>
      <c r="S128" s="32"/>
      <c r="T128" s="32"/>
      <c r="U128" s="32">
        <v>2</v>
      </c>
      <c r="V128" s="32"/>
      <c r="W128" s="32"/>
      <c r="X128" s="32"/>
      <c r="Y128" s="32"/>
      <c r="Z128" s="32"/>
      <c r="AA128" s="32">
        <v>2</v>
      </c>
      <c r="AB128" s="32"/>
      <c r="AC128" s="32">
        <v>5</v>
      </c>
      <c r="AD128" s="32">
        <v>2</v>
      </c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6</v>
      </c>
      <c r="BR128" s="17">
        <v>3</v>
      </c>
      <c r="BS128" s="17" t="s">
        <v>234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190</v>
      </c>
      <c r="C129" s="1" t="s">
        <v>191</v>
      </c>
      <c r="D129" s="1" t="s">
        <v>164</v>
      </c>
      <c r="E129" s="6"/>
      <c r="F129" s="6"/>
      <c r="G129" s="6"/>
      <c r="H129" s="6"/>
      <c r="I129" s="6"/>
      <c r="J129" s="6"/>
      <c r="K129" s="6"/>
      <c r="L129" s="6">
        <v>7</v>
      </c>
      <c r="M129" s="6"/>
      <c r="N129" s="6"/>
      <c r="O129" s="6"/>
      <c r="P129" s="32"/>
      <c r="Q129" s="32">
        <v>7</v>
      </c>
      <c r="R129" s="32"/>
      <c r="S129" s="32"/>
      <c r="T129" s="32">
        <v>7</v>
      </c>
      <c r="U129" s="32"/>
      <c r="V129" s="32"/>
      <c r="W129" s="32"/>
      <c r="X129" s="32">
        <v>7</v>
      </c>
      <c r="Y129" s="32"/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9</v>
      </c>
      <c r="BR129" s="17">
        <v>3</v>
      </c>
      <c r="BS129" s="17" t="s">
        <v>235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/>
      <c r="B130" s="1" t="s">
        <v>182</v>
      </c>
      <c r="C130" s="1" t="s">
        <v>180</v>
      </c>
      <c r="D130" s="1" t="s">
        <v>163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>
        <v>5</v>
      </c>
      <c r="R130" s="32"/>
      <c r="S130" s="32"/>
      <c r="T130" s="32">
        <v>5</v>
      </c>
      <c r="U130" s="32"/>
      <c r="V130" s="32"/>
      <c r="W130" s="32"/>
      <c r="X130" s="32"/>
      <c r="Y130" s="32"/>
      <c r="Z130" s="32">
        <v>5</v>
      </c>
      <c r="AA130" s="32">
        <v>2</v>
      </c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9</v>
      </c>
      <c r="BR130" s="17">
        <v>3</v>
      </c>
      <c r="BS130" s="17" t="s">
        <v>236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40.5" x14ac:dyDescent="0.15">
      <c r="A131" s="1"/>
      <c r="B131" s="1" t="s">
        <v>197</v>
      </c>
      <c r="C131" s="1" t="s">
        <v>196</v>
      </c>
      <c r="D131" s="1" t="s">
        <v>163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>
        <v>5</v>
      </c>
      <c r="R131" s="32"/>
      <c r="S131" s="32"/>
      <c r="T131" s="32">
        <v>5</v>
      </c>
      <c r="U131" s="32"/>
      <c r="V131" s="32"/>
      <c r="W131" s="32"/>
      <c r="X131" s="32"/>
      <c r="Y131" s="32"/>
      <c r="Z131" s="32">
        <v>5</v>
      </c>
      <c r="AA131" s="32">
        <v>2</v>
      </c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9</v>
      </c>
      <c r="BR131" s="17">
        <v>3</v>
      </c>
      <c r="BS131" s="17" t="s">
        <v>236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40.5" x14ac:dyDescent="0.15">
      <c r="A132" s="1"/>
      <c r="B132" s="1" t="s">
        <v>247</v>
      </c>
      <c r="C132" s="1" t="s">
        <v>149</v>
      </c>
      <c r="D132" s="1" t="s">
        <v>249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/>
      <c r="Q132" s="32">
        <v>5</v>
      </c>
      <c r="R132" s="32"/>
      <c r="S132" s="32"/>
      <c r="T132" s="32">
        <v>5</v>
      </c>
      <c r="U132" s="32"/>
      <c r="V132" s="32"/>
      <c r="W132" s="32"/>
      <c r="X132" s="32"/>
      <c r="Y132" s="32"/>
      <c r="Z132" s="32">
        <v>5</v>
      </c>
      <c r="AA132" s="32">
        <v>2</v>
      </c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9</v>
      </c>
      <c r="BR132" s="17">
        <v>3</v>
      </c>
      <c r="BS132" s="17" t="s">
        <v>281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40.5" x14ac:dyDescent="0.15">
      <c r="A133" s="1"/>
      <c r="B133" s="1" t="s">
        <v>198</v>
      </c>
      <c r="C133" s="1" t="s">
        <v>196</v>
      </c>
      <c r="D133" s="1" t="s">
        <v>163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/>
      <c r="Q133" s="32">
        <v>5</v>
      </c>
      <c r="R133" s="32"/>
      <c r="S133" s="32"/>
      <c r="T133" s="32"/>
      <c r="U133" s="32"/>
      <c r="V133" s="32">
        <v>10</v>
      </c>
      <c r="W133" s="32"/>
      <c r="X133" s="32"/>
      <c r="Y133" s="32"/>
      <c r="Z133" s="32">
        <v>5</v>
      </c>
      <c r="AA133" s="32"/>
      <c r="AB133" s="32">
        <v>10</v>
      </c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10</v>
      </c>
      <c r="BR133" s="17">
        <v>3</v>
      </c>
      <c r="BS133" s="17" t="s">
        <v>237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40.5" x14ac:dyDescent="0.15">
      <c r="A134" s="1"/>
      <c r="B134" s="1" t="s">
        <v>200</v>
      </c>
      <c r="C134" s="1" t="s">
        <v>196</v>
      </c>
      <c r="D134" s="1" t="s">
        <v>162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/>
      <c r="Q134" s="32">
        <v>5</v>
      </c>
      <c r="R134" s="32"/>
      <c r="S134" s="32"/>
      <c r="T134" s="32">
        <v>5</v>
      </c>
      <c r="U134" s="32"/>
      <c r="V134" s="32"/>
      <c r="W134" s="32">
        <v>5</v>
      </c>
      <c r="X134" s="32"/>
      <c r="Y134" s="32"/>
      <c r="Z134" s="32">
        <v>5</v>
      </c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11</v>
      </c>
      <c r="BR134" s="17">
        <v>3</v>
      </c>
      <c r="BS134" s="17" t="s">
        <v>238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40.5" x14ac:dyDescent="0.15">
      <c r="A135" s="1"/>
      <c r="B135" s="1" t="s">
        <v>188</v>
      </c>
      <c r="C135" s="1" t="s">
        <v>185</v>
      </c>
      <c r="D135" s="1" t="s">
        <v>164</v>
      </c>
      <c r="E135" s="6"/>
      <c r="F135" s="6"/>
      <c r="G135" s="6"/>
      <c r="H135" s="6"/>
      <c r="I135" s="6">
        <v>7</v>
      </c>
      <c r="J135" s="6"/>
      <c r="K135" s="6"/>
      <c r="L135" s="6"/>
      <c r="M135" s="6"/>
      <c r="N135" s="6"/>
      <c r="O135" s="6"/>
      <c r="P135" s="32"/>
      <c r="Q135" s="32">
        <v>7</v>
      </c>
      <c r="R135" s="32">
        <v>7</v>
      </c>
      <c r="S135" s="32"/>
      <c r="T135" s="32">
        <v>7</v>
      </c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13</v>
      </c>
      <c r="BR135" s="17">
        <v>3</v>
      </c>
      <c r="BS135" s="17" t="s">
        <v>239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40.5" x14ac:dyDescent="0.15">
      <c r="A136" s="1">
        <v>28</v>
      </c>
      <c r="B136" s="1" t="s">
        <v>84</v>
      </c>
      <c r="C136" s="1" t="s">
        <v>32</v>
      </c>
      <c r="D136" s="1" t="s">
        <v>1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>
        <v>5</v>
      </c>
      <c r="AI136" s="1">
        <v>5</v>
      </c>
      <c r="AJ136" s="1">
        <v>5</v>
      </c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15</v>
      </c>
      <c r="BQ136" s="1">
        <v>15</v>
      </c>
      <c r="BR136" s="17">
        <v>3</v>
      </c>
      <c r="BS136" s="17" t="s">
        <v>282</v>
      </c>
      <c r="BT136" s="1" t="str">
        <f>IF(AQ136&gt;AQ$164, AQ136-AQ$164,"")</f>
        <v/>
      </c>
      <c r="BU136" s="1" t="str">
        <f>IF(AR136&gt;AR$164, AR136-AR$164,"")</f>
        <v/>
      </c>
      <c r="BV136" s="1" t="str">
        <f>IF(AS136&gt;AS$164, AS136-AS$164,"")</f>
        <v/>
      </c>
      <c r="BW136" s="1" t="str">
        <f>IF(AT136&gt;AT$164, AT136-AT$164,"")</f>
        <v/>
      </c>
      <c r="BX136" s="1" t="str">
        <f>IF(AU136&gt;AU$164, AU136-AU$164,"")</f>
        <v/>
      </c>
      <c r="BY136" s="1" t="str">
        <f>IF(AV136&gt;AV$164, AV136-AV$164,"")</f>
        <v/>
      </c>
      <c r="BZ136" s="1" t="str">
        <f>IF(AW136&gt;AW$164, AW136-AW$164,"")</f>
        <v/>
      </c>
      <c r="CA136" s="1" t="str">
        <f>IF(AX136&gt;AX$164, AX136-AX$164,"")</f>
        <v/>
      </c>
      <c r="CB136" s="1" t="str">
        <f>IF(AY136&gt;AY$164, AY136-AY$164,"")</f>
        <v/>
      </c>
      <c r="CC136" s="1" t="str">
        <f>IF(AZ136&gt;AZ$164, AZ136-AZ$164,"")</f>
        <v/>
      </c>
      <c r="CD136" s="1" t="str">
        <f>IF(BA136&gt;BA$164, BA136-BA$164,"")</f>
        <v/>
      </c>
      <c r="CE136" s="1" t="str">
        <f>IF(BB136&gt;BB$164, BB136-BB$164,"")</f>
        <v/>
      </c>
      <c r="CF136" s="1">
        <f>COUNTIF(BT136:CE136, "&gt;0")</f>
        <v>0</v>
      </c>
      <c r="CG136" s="1" t="str">
        <f>IF($CF136=1,BT136,"")</f>
        <v/>
      </c>
      <c r="CH136" s="1" t="str">
        <f>IF($CF136=1,BU136,"")</f>
        <v/>
      </c>
      <c r="CI136" s="1" t="str">
        <f>IF($CF136=1,BV136,"")</f>
        <v/>
      </c>
      <c r="CJ136" s="1" t="str">
        <f>IF($CF136=1,BW136,"")</f>
        <v/>
      </c>
      <c r="CK136" s="1" t="str">
        <f>IF($CF136=1,BX136,"")</f>
        <v/>
      </c>
      <c r="CL136" s="1" t="str">
        <f>IF($CF136=1,BY136,"")</f>
        <v/>
      </c>
      <c r="CM136" s="1" t="str">
        <f>IF($CF136=1,BZ136,"")</f>
        <v/>
      </c>
      <c r="CN136" s="1" t="str">
        <f>IF($CF136=1,CA136,"")</f>
        <v/>
      </c>
      <c r="CO136" s="1" t="str">
        <f>IF($CF136=1,CB136,"")</f>
        <v/>
      </c>
      <c r="CP136" s="1" t="str">
        <f>IF($CF136=1,CC136,"")</f>
        <v/>
      </c>
      <c r="CQ136" s="1" t="str">
        <f>IF($CF136=1,CD136,"")</f>
        <v/>
      </c>
      <c r="CR136" s="1" t="str">
        <f>IF($CF136=1,CE136,"")</f>
        <v/>
      </c>
      <c r="CS136" s="18">
        <f>SUM(AE136:BO136)</f>
        <v>15</v>
      </c>
    </row>
    <row r="137" spans="1:97" ht="40.5" x14ac:dyDescent="0.15">
      <c r="A137" s="1">
        <v>89</v>
      </c>
      <c r="B137" s="3" t="s">
        <v>89</v>
      </c>
      <c r="C137" s="3" t="s">
        <v>90</v>
      </c>
      <c r="D137" s="1" t="s">
        <v>1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>
        <v>5</v>
      </c>
      <c r="AG137" s="1"/>
      <c r="AH137" s="1">
        <v>5</v>
      </c>
      <c r="AI137" s="1">
        <v>5</v>
      </c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15</v>
      </c>
      <c r="BQ137" s="1">
        <v>15</v>
      </c>
      <c r="BR137" s="17">
        <v>3</v>
      </c>
      <c r="BS137" s="17" t="s">
        <v>283</v>
      </c>
      <c r="BT137" s="1" t="str">
        <f>IF(AQ137&gt;AQ$164, AQ137-AQ$164,"")</f>
        <v/>
      </c>
      <c r="BU137" s="1" t="str">
        <f>IF(AR137&gt;AR$164, AR137-AR$164,"")</f>
        <v/>
      </c>
      <c r="BV137" s="1" t="str">
        <f>IF(AS137&gt;AS$164, AS137-AS$164,"")</f>
        <v/>
      </c>
      <c r="BW137" s="1" t="str">
        <f>IF(AT137&gt;AT$164, AT137-AT$164,"")</f>
        <v/>
      </c>
      <c r="BX137" s="1" t="str">
        <f>IF(AU137&gt;AU$164, AU137-AU$164,"")</f>
        <v/>
      </c>
      <c r="BY137" s="1" t="str">
        <f>IF(AV137&gt;AV$164, AV137-AV$164,"")</f>
        <v/>
      </c>
      <c r="BZ137" s="1" t="str">
        <f>IF(AW137&gt;AW$164, AW137-AW$164,"")</f>
        <v/>
      </c>
      <c r="CA137" s="1" t="str">
        <f>IF(AX137&gt;AX$164, AX137-AX$164,"")</f>
        <v/>
      </c>
      <c r="CB137" s="1" t="str">
        <f>IF(AY137&gt;AY$164, AY137-AY$164,"")</f>
        <v/>
      </c>
      <c r="CC137" s="1" t="str">
        <f>IF(AZ137&gt;AZ$164, AZ137-AZ$164,"")</f>
        <v/>
      </c>
      <c r="CD137" s="1" t="str">
        <f>IF(BA137&gt;BA$164, BA137-BA$164,"")</f>
        <v/>
      </c>
      <c r="CE137" s="1" t="str">
        <f>IF(BB137&gt;BB$164, BB137-BB$164,"")</f>
        <v/>
      </c>
      <c r="CF137" s="1">
        <f>COUNTIF(BT137:CE137, "&gt;0")</f>
        <v>0</v>
      </c>
      <c r="CG137" s="1" t="str">
        <f>IF($CF137=1,BT137,"")</f>
        <v/>
      </c>
      <c r="CH137" s="1" t="str">
        <f>IF($CF137=1,BU137,"")</f>
        <v/>
      </c>
      <c r="CI137" s="1" t="str">
        <f>IF($CF137=1,BV137,"")</f>
        <v/>
      </c>
      <c r="CJ137" s="1" t="str">
        <f>IF($CF137=1,BW137,"")</f>
        <v/>
      </c>
      <c r="CK137" s="1" t="str">
        <f>IF($CF137=1,BX137,"")</f>
        <v/>
      </c>
      <c r="CL137" s="1" t="str">
        <f>IF($CF137=1,BY137,"")</f>
        <v/>
      </c>
      <c r="CM137" s="1" t="str">
        <f>IF($CF137=1,BZ137,"")</f>
        <v/>
      </c>
      <c r="CN137" s="1" t="str">
        <f>IF($CF137=1,CA137,"")</f>
        <v/>
      </c>
      <c r="CO137" s="1" t="str">
        <f>IF($CF137=1,CB137,"")</f>
        <v/>
      </c>
      <c r="CP137" s="1" t="str">
        <f>IF($CF137=1,CC137,"")</f>
        <v/>
      </c>
      <c r="CQ137" s="1" t="str">
        <f>IF($CF137=1,CD137,"")</f>
        <v/>
      </c>
      <c r="CR137" s="1" t="str">
        <f>IF($CF137=1,CE137,"")</f>
        <v/>
      </c>
      <c r="CS137" s="18">
        <f>SUM(AE137:BO137)</f>
        <v>15</v>
      </c>
    </row>
    <row r="138" spans="1:97" ht="40.5" x14ac:dyDescent="0.15">
      <c r="A138" s="1"/>
      <c r="B138" s="1" t="s">
        <v>186</v>
      </c>
      <c r="C138" s="1" t="s">
        <v>185</v>
      </c>
      <c r="D138" s="1" t="s">
        <v>163</v>
      </c>
      <c r="E138" s="6">
        <v>15</v>
      </c>
      <c r="F138" s="6"/>
      <c r="G138" s="6"/>
      <c r="H138" s="6"/>
      <c r="I138" s="6"/>
      <c r="J138" s="6"/>
      <c r="K138" s="6"/>
      <c r="L138" s="6"/>
      <c r="M138" s="6">
        <v>15</v>
      </c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>
        <v>15</v>
      </c>
      <c r="AX138" s="2"/>
      <c r="AY138" s="2"/>
      <c r="AZ138" s="2"/>
      <c r="BA138" s="2">
        <v>15</v>
      </c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18</v>
      </c>
      <c r="BR138" s="17">
        <v>3</v>
      </c>
      <c r="BS138" s="17" t="s">
        <v>284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>
        <v>78</v>
      </c>
      <c r="B139" s="3" t="s">
        <v>73</v>
      </c>
      <c r="C139" s="3" t="s">
        <v>71</v>
      </c>
      <c r="D139" s="1" t="s">
        <v>1</v>
      </c>
      <c r="E139" s="6"/>
      <c r="F139" s="6"/>
      <c r="G139" s="6">
        <v>15</v>
      </c>
      <c r="H139" s="6">
        <v>15</v>
      </c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>
        <v>15</v>
      </c>
      <c r="BB139" s="2">
        <v>15</v>
      </c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60</v>
      </c>
      <c r="BQ139" s="1">
        <v>19</v>
      </c>
      <c r="BR139" s="17">
        <v>3</v>
      </c>
      <c r="BS139" s="17" t="s">
        <v>216</v>
      </c>
      <c r="BT139" s="1" t="str">
        <f>IF(AQ139&gt;AQ$164, AQ139-AQ$164,"")</f>
        <v/>
      </c>
      <c r="BU139" s="1" t="str">
        <f>IF(AR139&gt;AR$164, AR139-AR$164,"")</f>
        <v/>
      </c>
      <c r="BV139" s="1" t="str">
        <f>IF(AS139&gt;AS$164, AS139-AS$164,"")</f>
        <v/>
      </c>
      <c r="BW139" s="1" t="str">
        <f>IF(AT139&gt;AT$164, AT139-AT$164,"")</f>
        <v/>
      </c>
      <c r="BX139" s="1" t="str">
        <f>IF(AU139&gt;AU$164, AU139-AU$164,"")</f>
        <v/>
      </c>
      <c r="BY139" s="1" t="str">
        <f>IF(AV139&gt;AV$164, AV139-AV$164,"")</f>
        <v/>
      </c>
      <c r="BZ139" s="1" t="str">
        <f>IF(AW139&gt;AW$164, AW139-AW$164,"")</f>
        <v/>
      </c>
      <c r="CA139" s="1" t="str">
        <f>IF(AX139&gt;AX$164, AX139-AX$164,"")</f>
        <v/>
      </c>
      <c r="CB139" s="1" t="str">
        <f>IF(AY139&gt;AY$164, AY139-AY$164,"")</f>
        <v/>
      </c>
      <c r="CC139" s="1" t="str">
        <f>IF(AZ139&gt;AZ$164, AZ139-AZ$164,"")</f>
        <v/>
      </c>
      <c r="CD139" s="1">
        <f>IF(BA139&gt;BA$164, BA139-BA$164,"")</f>
        <v>3</v>
      </c>
      <c r="CE139" s="1" t="str">
        <f>IF(BB139&gt;BB$164, BB139-BB$164,"")</f>
        <v/>
      </c>
      <c r="CF139" s="1">
        <f>COUNTIF(BT139:CE139, "&gt;0")</f>
        <v>1</v>
      </c>
      <c r="CG139" s="1" t="str">
        <f>IF($CF139=1,BT139,"")</f>
        <v/>
      </c>
      <c r="CH139" s="1" t="str">
        <f>IF($CF139=1,BU139,"")</f>
        <v/>
      </c>
      <c r="CI139" s="1" t="str">
        <f>IF($CF139=1,BV139,"")</f>
        <v/>
      </c>
      <c r="CJ139" s="1" t="str">
        <f>IF($CF139=1,BW139,"")</f>
        <v/>
      </c>
      <c r="CK139" s="1" t="str">
        <f>IF($CF139=1,BX139,"")</f>
        <v/>
      </c>
      <c r="CL139" s="1" t="str">
        <f>IF($CF139=1,BY139,"")</f>
        <v/>
      </c>
      <c r="CM139" s="1" t="str">
        <f>IF($CF139=1,BZ139,"")</f>
        <v/>
      </c>
      <c r="CN139" s="1" t="str">
        <f>IF($CF139=1,CA139,"")</f>
        <v/>
      </c>
      <c r="CO139" s="1" t="str">
        <f>IF($CF139=1,CB139,"")</f>
        <v/>
      </c>
      <c r="CP139" s="1" t="str">
        <f>IF($CF139=1,CC139,"")</f>
        <v/>
      </c>
      <c r="CQ139" s="1">
        <f>IF($CF139=1,CD139,"")</f>
        <v>3</v>
      </c>
      <c r="CR139" s="1" t="str">
        <f>IF($CF139=1,CE139,"")</f>
        <v/>
      </c>
      <c r="CS139" s="18">
        <f>SUM(AE139:BO139)</f>
        <v>30</v>
      </c>
    </row>
    <row r="140" spans="1:97" ht="40.5" x14ac:dyDescent="0.15">
      <c r="A140" s="1"/>
      <c r="B140" s="1" t="s">
        <v>150</v>
      </c>
      <c r="C140" s="1" t="s">
        <v>149</v>
      </c>
      <c r="D140" s="1" t="s">
        <v>123</v>
      </c>
      <c r="E140" s="6"/>
      <c r="F140" s="6"/>
      <c r="G140" s="6">
        <v>15</v>
      </c>
      <c r="H140" s="6">
        <v>15</v>
      </c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>
        <v>15</v>
      </c>
      <c r="BB140" s="2">
        <v>15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19</v>
      </c>
      <c r="BR140" s="17">
        <v>3</v>
      </c>
      <c r="BS140" s="17" t="s">
        <v>216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178</v>
      </c>
      <c r="C141" s="1" t="s">
        <v>161</v>
      </c>
      <c r="D141" s="1" t="s">
        <v>164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32"/>
      <c r="Q141" s="32"/>
      <c r="R141" s="32">
        <v>10</v>
      </c>
      <c r="S141" s="32"/>
      <c r="T141" s="32"/>
      <c r="U141" s="32"/>
      <c r="V141" s="32"/>
      <c r="W141" s="32"/>
      <c r="X141" s="32">
        <v>10</v>
      </c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19</v>
      </c>
      <c r="BR141" s="17">
        <v>3</v>
      </c>
      <c r="BS141" s="17" t="s">
        <v>240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189</v>
      </c>
      <c r="C142" s="1" t="s">
        <v>191</v>
      </c>
      <c r="D142" s="1" t="s">
        <v>164</v>
      </c>
      <c r="E142" s="6"/>
      <c r="F142" s="6"/>
      <c r="G142" s="6"/>
      <c r="H142" s="6"/>
      <c r="I142" s="6"/>
      <c r="J142" s="6">
        <v>10</v>
      </c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>
        <v>10</v>
      </c>
      <c r="V142" s="32"/>
      <c r="W142" s="32"/>
      <c r="X142" s="32"/>
      <c r="Y142" s="32"/>
      <c r="Z142" s="32"/>
      <c r="AA142" s="32">
        <v>10</v>
      </c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>
        <v>10</v>
      </c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23</v>
      </c>
      <c r="BR142" s="17">
        <v>3</v>
      </c>
      <c r="BS142" s="17" t="s">
        <v>232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/>
      <c r="B143" s="1" t="s">
        <v>203</v>
      </c>
      <c r="C143" s="1" t="s">
        <v>196</v>
      </c>
      <c r="D143" s="1" t="s">
        <v>164</v>
      </c>
      <c r="E143" s="6"/>
      <c r="F143" s="6"/>
      <c r="G143" s="6"/>
      <c r="H143" s="6"/>
      <c r="I143" s="6"/>
      <c r="J143" s="6">
        <v>10</v>
      </c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>
        <v>10</v>
      </c>
      <c r="V143" s="32"/>
      <c r="W143" s="32"/>
      <c r="X143" s="32"/>
      <c r="Y143" s="32"/>
      <c r="Z143" s="32"/>
      <c r="AA143" s="32">
        <v>10</v>
      </c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>
        <v>10</v>
      </c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23</v>
      </c>
      <c r="BR143" s="17">
        <v>3</v>
      </c>
      <c r="BS143" s="17" t="s">
        <v>232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40.5" x14ac:dyDescent="0.15">
      <c r="A144" s="1"/>
      <c r="B144" s="1" t="s">
        <v>130</v>
      </c>
      <c r="C144" s="1" t="s">
        <v>126</v>
      </c>
      <c r="D144" s="1" t="s">
        <v>124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>
        <v>10</v>
      </c>
      <c r="AP144" s="1">
        <v>10</v>
      </c>
      <c r="AQ144" s="4"/>
      <c r="AR144" s="4"/>
      <c r="AS144" s="4">
        <v>5</v>
      </c>
      <c r="AT144" s="4"/>
      <c r="AU144" s="4"/>
      <c r="AV144" s="4"/>
      <c r="AW144" s="2"/>
      <c r="AX144" s="2">
        <v>5</v>
      </c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23</v>
      </c>
      <c r="BR144" s="17">
        <v>3</v>
      </c>
      <c r="BS144" s="17" t="s">
        <v>244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40.5" x14ac:dyDescent="0.15">
      <c r="A145" s="1">
        <v>54</v>
      </c>
      <c r="B145" s="1" t="s">
        <v>61</v>
      </c>
      <c r="C145" s="1" t="s">
        <v>62</v>
      </c>
      <c r="D145" s="1" t="s">
        <v>1</v>
      </c>
      <c r="E145" s="6"/>
      <c r="F145" s="6">
        <v>15</v>
      </c>
      <c r="G145" s="6"/>
      <c r="H145" s="6">
        <v>15</v>
      </c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>
        <v>15</v>
      </c>
      <c r="AW145" s="2"/>
      <c r="AX145" s="2"/>
      <c r="AY145" s="2"/>
      <c r="AZ145" s="2"/>
      <c r="BA145" s="2">
        <v>15</v>
      </c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60</v>
      </c>
      <c r="BQ145" s="1">
        <v>27</v>
      </c>
      <c r="BR145" s="17">
        <v>3</v>
      </c>
      <c r="BS145" s="17" t="s">
        <v>241</v>
      </c>
      <c r="BT145" s="1" t="str">
        <f>IF(AQ145&gt;AQ$164, AQ145-AQ$164,"")</f>
        <v/>
      </c>
      <c r="BU145" s="1" t="str">
        <f>IF(AR145&gt;AR$164, AR145-AR$164,"")</f>
        <v/>
      </c>
      <c r="BV145" s="1" t="str">
        <f>IF(AS145&gt;AS$164, AS145-AS$164,"")</f>
        <v/>
      </c>
      <c r="BW145" s="1" t="str">
        <f>IF(AT145&gt;AT$164, AT145-AT$164,"")</f>
        <v/>
      </c>
      <c r="BX145" s="1" t="str">
        <f>IF(AU145&gt;AU$164, AU145-AU$164,"")</f>
        <v/>
      </c>
      <c r="BY145" s="1" t="str">
        <f>IF(AV145&gt;AV$164, AV145-AV$164,"")</f>
        <v/>
      </c>
      <c r="BZ145" s="1" t="str">
        <f>IF(AW145&gt;AW$164, AW145-AW$164,"")</f>
        <v/>
      </c>
      <c r="CA145" s="1" t="str">
        <f>IF(AX145&gt;AX$164, AX145-AX$164,"")</f>
        <v/>
      </c>
      <c r="CB145" s="1" t="str">
        <f>IF(AY145&gt;AY$164, AY145-AY$164,"")</f>
        <v/>
      </c>
      <c r="CC145" s="1" t="str">
        <f>IF(AZ145&gt;AZ$164, AZ145-AZ$164,"")</f>
        <v/>
      </c>
      <c r="CD145" s="1">
        <f>IF(BA145&gt;BA$164, BA145-BA$164,"")</f>
        <v>3</v>
      </c>
      <c r="CE145" s="1" t="str">
        <f>IF(BB145&gt;BB$164, BB145-BB$164,"")</f>
        <v/>
      </c>
      <c r="CF145" s="1">
        <f>COUNTIF(BT145:CE145, "&gt;0")</f>
        <v>1</v>
      </c>
      <c r="CG145" s="1" t="str">
        <f>IF($CF145=1,BT145,"")</f>
        <v/>
      </c>
      <c r="CH145" s="1" t="str">
        <f>IF($CF145=1,BU145,"")</f>
        <v/>
      </c>
      <c r="CI145" s="1" t="str">
        <f>IF($CF145=1,BV145,"")</f>
        <v/>
      </c>
      <c r="CJ145" s="1" t="str">
        <f>IF($CF145=1,BW145,"")</f>
        <v/>
      </c>
      <c r="CK145" s="1" t="str">
        <f>IF($CF145=1,BX145,"")</f>
        <v/>
      </c>
      <c r="CL145" s="1" t="str">
        <f>IF($CF145=1,BY145,"")</f>
        <v/>
      </c>
      <c r="CM145" s="1" t="str">
        <f>IF($CF145=1,BZ145,"")</f>
        <v/>
      </c>
      <c r="CN145" s="1" t="str">
        <f>IF($CF145=1,CA145,"")</f>
        <v/>
      </c>
      <c r="CO145" s="1" t="str">
        <f>IF($CF145=1,CB145,"")</f>
        <v/>
      </c>
      <c r="CP145" s="1" t="str">
        <f>IF($CF145=1,CC145,"")</f>
        <v/>
      </c>
      <c r="CQ145" s="1">
        <f>IF($CF145=1,CD145,"")</f>
        <v>3</v>
      </c>
      <c r="CR145" s="1" t="str">
        <f>IF($CF145=1,CE145,"")</f>
        <v/>
      </c>
      <c r="CS145" s="18">
        <f>SUM(AE145:BO145)</f>
        <v>30</v>
      </c>
    </row>
    <row r="146" spans="1:97" ht="40.5" x14ac:dyDescent="0.15">
      <c r="A146" s="1">
        <v>14</v>
      </c>
      <c r="B146" s="1" t="s">
        <v>31</v>
      </c>
      <c r="C146" s="1" t="s">
        <v>32</v>
      </c>
      <c r="D146" s="1" t="s">
        <v>33</v>
      </c>
      <c r="E146" s="6"/>
      <c r="F146" s="6"/>
      <c r="G146" s="6">
        <v>15</v>
      </c>
      <c r="H146" s="6">
        <v>15</v>
      </c>
      <c r="I146" s="6"/>
      <c r="J146" s="6"/>
      <c r="K146" s="6"/>
      <c r="L146" s="6"/>
      <c r="M146" s="6"/>
      <c r="N146" s="6"/>
      <c r="O146" s="6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>
        <v>15</v>
      </c>
      <c r="AT146" s="4"/>
      <c r="AU146" s="4"/>
      <c r="AV146" s="4"/>
      <c r="AW146" s="2"/>
      <c r="AX146" s="2"/>
      <c r="AY146" s="2"/>
      <c r="AZ146" s="2"/>
      <c r="BA146" s="2"/>
      <c r="BB146" s="2">
        <v>15</v>
      </c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60</v>
      </c>
      <c r="BQ146" s="1">
        <v>29</v>
      </c>
      <c r="BR146" s="17">
        <v>3</v>
      </c>
      <c r="BS146" s="17" t="s">
        <v>233</v>
      </c>
      <c r="BT146" s="1" t="str">
        <f>IF(AQ146&gt;AQ$164, AQ146-AQ$164,"")</f>
        <v/>
      </c>
      <c r="BU146" s="1" t="str">
        <f>IF(AR146&gt;AR$164, AR146-AR$164,"")</f>
        <v/>
      </c>
      <c r="BV146" s="1">
        <f>IF(AS146&gt;AS$164, AS146-AS$164,"")</f>
        <v>13</v>
      </c>
      <c r="BW146" s="1" t="str">
        <f>IF(AT146&gt;AT$164, AT146-AT$164,"")</f>
        <v/>
      </c>
      <c r="BX146" s="1" t="str">
        <f>IF(AU146&gt;AU$164, AU146-AU$164,"")</f>
        <v/>
      </c>
      <c r="BY146" s="1" t="str">
        <f>IF(AV146&gt;AV$164, AV146-AV$164,"")</f>
        <v/>
      </c>
      <c r="BZ146" s="1" t="str">
        <f>IF(AW146&gt;AW$164, AW146-AW$164,"")</f>
        <v/>
      </c>
      <c r="CA146" s="1" t="str">
        <f>IF(AX146&gt;AX$164, AX146-AX$164,"")</f>
        <v/>
      </c>
      <c r="CB146" s="1" t="str">
        <f>IF(AY146&gt;AY$164, AY146-AY$164,"")</f>
        <v/>
      </c>
      <c r="CC146" s="1" t="str">
        <f>IF(AZ146&gt;AZ$164, AZ146-AZ$164,"")</f>
        <v/>
      </c>
      <c r="CD146" s="1" t="str">
        <f>IF(BA146&gt;BA$164, BA146-BA$164,"")</f>
        <v/>
      </c>
      <c r="CE146" s="1" t="str">
        <f>IF(BB146&gt;BB$164, BB146-BB$164,"")</f>
        <v/>
      </c>
      <c r="CF146" s="1">
        <f>COUNTIF(BT146:CE146, "&gt;0")</f>
        <v>1</v>
      </c>
      <c r="CG146" s="1" t="str">
        <f>IF($CF146=1,BT146,"")</f>
        <v/>
      </c>
      <c r="CH146" s="1" t="str">
        <f>IF($CF146=1,BU146,"")</f>
        <v/>
      </c>
      <c r="CI146" s="1">
        <f>IF($CF146=1,BV146,"")</f>
        <v>13</v>
      </c>
      <c r="CJ146" s="1" t="str">
        <f>IF($CF146=1,BW146,"")</f>
        <v/>
      </c>
      <c r="CK146" s="1" t="str">
        <f>IF($CF146=1,BX146,"")</f>
        <v/>
      </c>
      <c r="CL146" s="1" t="str">
        <f>IF($CF146=1,BY146,"")</f>
        <v/>
      </c>
      <c r="CM146" s="1" t="str">
        <f>IF($CF146=1,BZ146,"")</f>
        <v/>
      </c>
      <c r="CN146" s="1" t="str">
        <f>IF($CF146=1,CA146,"")</f>
        <v/>
      </c>
      <c r="CO146" s="1" t="str">
        <f>IF($CF146=1,CB146,"")</f>
        <v/>
      </c>
      <c r="CP146" s="1" t="str">
        <f>IF($CF146=1,CC146,"")</f>
        <v/>
      </c>
      <c r="CQ146" s="1" t="str">
        <f>IF($CF146=1,CD146,"")</f>
        <v/>
      </c>
      <c r="CR146" s="1" t="str">
        <f>IF($CF146=1,CE146,"")</f>
        <v/>
      </c>
      <c r="CS146" s="18">
        <f>SUM(AE146:BO146)</f>
        <v>30</v>
      </c>
    </row>
    <row r="147" spans="1:97" ht="40.5" x14ac:dyDescent="0.15">
      <c r="A147" s="1"/>
      <c r="B147" s="1" t="s">
        <v>125</v>
      </c>
      <c r="C147" s="1" t="s">
        <v>126</v>
      </c>
      <c r="D147" s="1" t="s">
        <v>123</v>
      </c>
      <c r="E147" s="6"/>
      <c r="F147" s="6"/>
      <c r="G147" s="6">
        <v>15</v>
      </c>
      <c r="H147" s="6">
        <v>15</v>
      </c>
      <c r="I147" s="6"/>
      <c r="J147" s="6"/>
      <c r="K147" s="6"/>
      <c r="L147" s="6"/>
      <c r="M147" s="6"/>
      <c r="N147" s="6"/>
      <c r="O147" s="6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>
        <v>15</v>
      </c>
      <c r="AT147" s="4"/>
      <c r="AU147" s="4"/>
      <c r="AV147" s="4"/>
      <c r="AW147" s="2"/>
      <c r="AX147" s="2"/>
      <c r="AY147" s="2"/>
      <c r="AZ147" s="2"/>
      <c r="BA147" s="2"/>
      <c r="BB147" s="2">
        <v>15</v>
      </c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29</v>
      </c>
      <c r="BR147" s="17">
        <v>3</v>
      </c>
      <c r="BS147" s="17" t="s">
        <v>233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40.5" x14ac:dyDescent="0.15">
      <c r="A148" s="1"/>
      <c r="B148" s="1" t="s">
        <v>148</v>
      </c>
      <c r="C148" s="1" t="s">
        <v>149</v>
      </c>
      <c r="D148" s="1" t="s">
        <v>123</v>
      </c>
      <c r="E148" s="6"/>
      <c r="F148" s="6"/>
      <c r="G148" s="6">
        <v>20</v>
      </c>
      <c r="H148" s="6">
        <v>20</v>
      </c>
      <c r="I148" s="6"/>
      <c r="J148" s="6"/>
      <c r="K148" s="6"/>
      <c r="L148" s="6"/>
      <c r="M148" s="6"/>
      <c r="N148" s="6"/>
      <c r="O148" s="6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>
        <v>20</v>
      </c>
      <c r="BB148" s="2">
        <v>20</v>
      </c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34</v>
      </c>
      <c r="BR148" s="17">
        <v>3</v>
      </c>
      <c r="BS148" s="17" t="s">
        <v>285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182</v>
      </c>
      <c r="C149" s="1" t="s">
        <v>180</v>
      </c>
      <c r="D149" s="1" t="s">
        <v>164</v>
      </c>
      <c r="E149" s="6"/>
      <c r="F149" s="6"/>
      <c r="G149" s="6"/>
      <c r="H149" s="6">
        <v>7</v>
      </c>
      <c r="I149" s="6"/>
      <c r="J149" s="6"/>
      <c r="K149" s="6"/>
      <c r="L149" s="6"/>
      <c r="M149" s="6"/>
      <c r="N149" s="6"/>
      <c r="O149" s="6"/>
      <c r="P149" s="32"/>
      <c r="Q149" s="32">
        <v>7</v>
      </c>
      <c r="R149" s="32"/>
      <c r="S149" s="32"/>
      <c r="T149" s="32">
        <v>7</v>
      </c>
      <c r="U149" s="32"/>
      <c r="V149" s="32"/>
      <c r="W149" s="32"/>
      <c r="X149" s="32"/>
      <c r="Y149" s="32"/>
      <c r="Z149" s="32"/>
      <c r="AA149" s="32">
        <v>7</v>
      </c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18</v>
      </c>
      <c r="BR149" s="17">
        <v>4</v>
      </c>
      <c r="BS149" s="17" t="s">
        <v>286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/>
      <c r="B150" s="1" t="s">
        <v>173</v>
      </c>
      <c r="C150" s="1" t="s">
        <v>161</v>
      </c>
      <c r="D150" s="1" t="s">
        <v>164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>
        <v>10</v>
      </c>
      <c r="P150" s="32"/>
      <c r="Q150" s="32"/>
      <c r="R150" s="32">
        <v>10</v>
      </c>
      <c r="S150" s="32"/>
      <c r="T150" s="32"/>
      <c r="U150" s="32"/>
      <c r="V150" s="32"/>
      <c r="W150" s="32"/>
      <c r="X150" s="32">
        <v>10</v>
      </c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>
        <v>10</v>
      </c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22</v>
      </c>
      <c r="BR150" s="17">
        <v>4</v>
      </c>
      <c r="BS150" s="17" t="s">
        <v>243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54" x14ac:dyDescent="0.15">
      <c r="A151" s="1"/>
      <c r="B151" s="1" t="s">
        <v>179</v>
      </c>
      <c r="C151" s="1" t="s">
        <v>180</v>
      </c>
      <c r="D151" s="1" t="s">
        <v>164</v>
      </c>
      <c r="E151" s="6">
        <v>10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>
        <v>10</v>
      </c>
      <c r="S151" s="32"/>
      <c r="T151" s="32"/>
      <c r="U151" s="32">
        <v>10</v>
      </c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>
        <v>10</v>
      </c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v>27</v>
      </c>
      <c r="BR151" s="17">
        <v>4</v>
      </c>
      <c r="BS151" s="17" t="s">
        <v>287</v>
      </c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8"/>
    </row>
    <row r="152" spans="1:97" ht="54" x14ac:dyDescent="0.15">
      <c r="A152" s="1"/>
      <c r="B152" s="1" t="s">
        <v>187</v>
      </c>
      <c r="C152" s="1" t="s">
        <v>185</v>
      </c>
      <c r="D152" s="1" t="s">
        <v>164</v>
      </c>
      <c r="E152" s="6">
        <v>10</v>
      </c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>
        <v>10</v>
      </c>
      <c r="S152" s="32"/>
      <c r="T152" s="32"/>
      <c r="U152" s="32">
        <v>10</v>
      </c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>
        <v>10</v>
      </c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v>27</v>
      </c>
      <c r="BR152" s="17">
        <v>4</v>
      </c>
      <c r="BS152" s="17" t="s">
        <v>287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/>
      <c r="B153" s="1" t="s">
        <v>200</v>
      </c>
      <c r="C153" s="1" t="s">
        <v>196</v>
      </c>
      <c r="D153" s="1" t="s">
        <v>164</v>
      </c>
      <c r="E153" s="6">
        <v>10</v>
      </c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>
        <v>10</v>
      </c>
      <c r="S153" s="32"/>
      <c r="T153" s="32"/>
      <c r="U153" s="32">
        <v>10</v>
      </c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>
        <v>10</v>
      </c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v>27</v>
      </c>
      <c r="BR153" s="17">
        <v>4</v>
      </c>
      <c r="BS153" s="17" t="s">
        <v>287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/>
      <c r="B154" s="1" t="s">
        <v>198</v>
      </c>
      <c r="C154" s="1" t="s">
        <v>196</v>
      </c>
      <c r="D154" s="1" t="s">
        <v>164</v>
      </c>
      <c r="E154" s="6"/>
      <c r="F154" s="6"/>
      <c r="G154" s="6"/>
      <c r="H154" s="6">
        <v>10</v>
      </c>
      <c r="I154" s="6"/>
      <c r="J154" s="6"/>
      <c r="K154" s="6"/>
      <c r="L154" s="6"/>
      <c r="M154" s="6"/>
      <c r="N154" s="6"/>
      <c r="O154" s="6"/>
      <c r="P154" s="32"/>
      <c r="Q154" s="32"/>
      <c r="R154" s="32">
        <v>10</v>
      </c>
      <c r="S154" s="32"/>
      <c r="T154" s="32"/>
      <c r="U154" s="32">
        <v>10</v>
      </c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>
        <v>10</v>
      </c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v>32</v>
      </c>
      <c r="BR154" s="17">
        <v>4</v>
      </c>
      <c r="BS154" s="17" t="s">
        <v>242</v>
      </c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8"/>
    </row>
    <row r="155" spans="1:97" ht="54" x14ac:dyDescent="0.15">
      <c r="A155" s="1"/>
      <c r="B155" s="1" t="s">
        <v>125</v>
      </c>
      <c r="C155" s="1" t="s">
        <v>126</v>
      </c>
      <c r="D155" s="1" t="s">
        <v>127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>
        <v>40</v>
      </c>
      <c r="AW155" s="2">
        <v>40</v>
      </c>
      <c r="AX155" s="2"/>
      <c r="AY155" s="2"/>
      <c r="AZ155" s="2"/>
      <c r="BA155" s="2"/>
      <c r="BB155" s="2">
        <v>40</v>
      </c>
      <c r="BC155" s="14">
        <v>10</v>
      </c>
      <c r="BD155" s="1">
        <v>50</v>
      </c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>
        <v>58</v>
      </c>
      <c r="BR155" s="17">
        <v>4</v>
      </c>
      <c r="BS155" s="17" t="s">
        <v>245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>
        <v>85</v>
      </c>
      <c r="B156" s="3" t="s">
        <v>76</v>
      </c>
      <c r="C156" s="3" t="s">
        <v>71</v>
      </c>
      <c r="D156" s="1" t="s">
        <v>40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>
        <v>50</v>
      </c>
      <c r="BM156" s="1">
        <v>50</v>
      </c>
      <c r="BN156" s="1">
        <v>50</v>
      </c>
      <c r="BO156" s="1">
        <v>50</v>
      </c>
      <c r="BP156" s="1">
        <f>SUM(E156:BO156)</f>
        <v>200</v>
      </c>
      <c r="BQ156" s="1">
        <v>195</v>
      </c>
      <c r="BR156" s="17">
        <v>4</v>
      </c>
      <c r="BS156" s="17" t="s">
        <v>288</v>
      </c>
      <c r="BT156" s="1" t="str">
        <f>IF(AQ156&gt;AQ$164, AQ156-AQ$164,"")</f>
        <v/>
      </c>
      <c r="BU156" s="1" t="str">
        <f>IF(AR156&gt;AR$164, AR156-AR$164,"")</f>
        <v/>
      </c>
      <c r="BV156" s="1" t="str">
        <f>IF(AS156&gt;AS$164, AS156-AS$164,"")</f>
        <v/>
      </c>
      <c r="BW156" s="1" t="str">
        <f>IF(AT156&gt;AT$164, AT156-AT$164,"")</f>
        <v/>
      </c>
      <c r="BX156" s="1" t="str">
        <f>IF(AU156&gt;AU$164, AU156-AU$164,"")</f>
        <v/>
      </c>
      <c r="BY156" s="1" t="str">
        <f>IF(AV156&gt;AV$164, AV156-AV$164,"")</f>
        <v/>
      </c>
      <c r="BZ156" s="1" t="str">
        <f>IF(AW156&gt;AW$164, AW156-AW$164,"")</f>
        <v/>
      </c>
      <c r="CA156" s="1" t="str">
        <f>IF(AX156&gt;AX$164, AX156-AX$164,"")</f>
        <v/>
      </c>
      <c r="CB156" s="1" t="str">
        <f>IF(AY156&gt;AY$164, AY156-AY$164,"")</f>
        <v/>
      </c>
      <c r="CC156" s="1" t="str">
        <f>IF(AZ156&gt;AZ$164, AZ156-AZ$164,"")</f>
        <v/>
      </c>
      <c r="CD156" s="1" t="str">
        <f>IF(BA156&gt;BA$164, BA156-BA$164,"")</f>
        <v/>
      </c>
      <c r="CE156" s="1" t="str">
        <f>IF(BB156&gt;BB$164, BB156-BB$164,"")</f>
        <v/>
      </c>
      <c r="CF156" s="1">
        <f>COUNTIF(BT156:CE156, "&gt;0")</f>
        <v>0</v>
      </c>
      <c r="CG156" s="1" t="str">
        <f>IF($CF156=1,BT156,"")</f>
        <v/>
      </c>
      <c r="CH156" s="1" t="str">
        <f>IF($CF156=1,BU156,"")</f>
        <v/>
      </c>
      <c r="CI156" s="1" t="str">
        <f>IF($CF156=1,BV156,"")</f>
        <v/>
      </c>
      <c r="CJ156" s="1" t="str">
        <f>IF($CF156=1,BW156,"")</f>
        <v/>
      </c>
      <c r="CK156" s="1" t="str">
        <f>IF($CF156=1,BX156,"")</f>
        <v/>
      </c>
      <c r="CL156" s="1" t="str">
        <f>IF($CF156=1,BY156,"")</f>
        <v/>
      </c>
      <c r="CM156" s="1" t="str">
        <f>IF($CF156=1,BZ156,"")</f>
        <v/>
      </c>
      <c r="CN156" s="1" t="str">
        <f>IF($CF156=1,CA156,"")</f>
        <v/>
      </c>
      <c r="CO156" s="1" t="str">
        <f>IF($CF156=1,CB156,"")</f>
        <v/>
      </c>
      <c r="CP156" s="1" t="str">
        <f>IF($CF156=1,CC156,"")</f>
        <v/>
      </c>
      <c r="CQ156" s="1" t="str">
        <f>IF($CF156=1,CD156,"")</f>
        <v/>
      </c>
      <c r="CR156" s="1" t="str">
        <f>IF($CF156=1,CE156,"")</f>
        <v/>
      </c>
      <c r="CS156" s="18">
        <f>SUM(AE156:BO156)</f>
        <v>200</v>
      </c>
    </row>
    <row r="157" spans="1:97" ht="54" x14ac:dyDescent="0.15">
      <c r="A157" s="1">
        <v>23</v>
      </c>
      <c r="B157" s="1" t="s">
        <v>114</v>
      </c>
      <c r="C157" s="1" t="s">
        <v>32</v>
      </c>
      <c r="D157" s="1" t="s">
        <v>40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>
        <v>50</v>
      </c>
      <c r="BK157" s="1">
        <v>50</v>
      </c>
      <c r="BL157" s="1"/>
      <c r="BM157" s="1"/>
      <c r="BN157" s="1">
        <v>50</v>
      </c>
      <c r="BO157" s="1">
        <v>50</v>
      </c>
      <c r="BP157" s="1">
        <f>SUM(E157:BO157)</f>
        <v>200</v>
      </c>
      <c r="BQ157" s="1">
        <v>195</v>
      </c>
      <c r="BR157" s="17">
        <v>4</v>
      </c>
      <c r="BS157" s="17" t="s">
        <v>246</v>
      </c>
      <c r="BT157" s="1" t="str">
        <f>IF(AQ157&gt;AQ$164, AQ157-AQ$164,"")</f>
        <v/>
      </c>
      <c r="BU157" s="1" t="str">
        <f>IF(AR157&gt;AR$164, AR157-AR$164,"")</f>
        <v/>
      </c>
      <c r="BV157" s="1" t="str">
        <f>IF(AS157&gt;AS$164, AS157-AS$164,"")</f>
        <v/>
      </c>
      <c r="BW157" s="1" t="str">
        <f>IF(AT157&gt;AT$164, AT157-AT$164,"")</f>
        <v/>
      </c>
      <c r="BX157" s="1" t="str">
        <f>IF(AU157&gt;AU$164, AU157-AU$164,"")</f>
        <v/>
      </c>
      <c r="BY157" s="1" t="str">
        <f>IF(AV157&gt;AV$164, AV157-AV$164,"")</f>
        <v/>
      </c>
      <c r="BZ157" s="1" t="str">
        <f>IF(AW157&gt;AW$164, AW157-AW$164,"")</f>
        <v/>
      </c>
      <c r="CA157" s="1" t="str">
        <f>IF(AX157&gt;AX$164, AX157-AX$164,"")</f>
        <v/>
      </c>
      <c r="CB157" s="1" t="str">
        <f>IF(AY157&gt;AY$164, AY157-AY$164,"")</f>
        <v/>
      </c>
      <c r="CC157" s="1" t="str">
        <f>IF(AZ157&gt;AZ$164, AZ157-AZ$164,"")</f>
        <v/>
      </c>
      <c r="CD157" s="1" t="str">
        <f>IF(BA157&gt;BA$164, BA157-BA$164,"")</f>
        <v/>
      </c>
      <c r="CE157" s="1" t="str">
        <f>IF(BB157&gt;BB$164, BB157-BB$164,"")</f>
        <v/>
      </c>
      <c r="CF157" s="1">
        <f>COUNTIF(BT157:CE157, "&gt;0")</f>
        <v>0</v>
      </c>
      <c r="CG157" s="1" t="str">
        <f>IF($CF157=1,BT157,"")</f>
        <v/>
      </c>
      <c r="CH157" s="1" t="str">
        <f>IF($CF157=1,BU157,"")</f>
        <v/>
      </c>
      <c r="CI157" s="1" t="str">
        <f>IF($CF157=1,BV157,"")</f>
        <v/>
      </c>
      <c r="CJ157" s="1" t="str">
        <f>IF($CF157=1,BW157,"")</f>
        <v/>
      </c>
      <c r="CK157" s="1" t="str">
        <f>IF($CF157=1,BX157,"")</f>
        <v/>
      </c>
      <c r="CL157" s="1" t="str">
        <f>IF($CF157=1,BY157,"")</f>
        <v/>
      </c>
      <c r="CM157" s="1" t="str">
        <f>IF($CF157=1,BZ157,"")</f>
        <v/>
      </c>
      <c r="CN157" s="1" t="str">
        <f>IF($CF157=1,CA157,"")</f>
        <v/>
      </c>
      <c r="CO157" s="1" t="str">
        <f>IF($CF157=1,CB157,"")</f>
        <v/>
      </c>
      <c r="CP157" s="1" t="str">
        <f>IF($CF157=1,CC157,"")</f>
        <v/>
      </c>
      <c r="CQ157" s="1" t="str">
        <f>IF($CF157=1,CD157,"")</f>
        <v/>
      </c>
      <c r="CR157" s="1" t="str">
        <f>IF($CF157=1,CE157,"")</f>
        <v/>
      </c>
      <c r="CS157" s="18">
        <f>SUM(AE157:BO157)</f>
        <v>200</v>
      </c>
    </row>
    <row r="158" spans="1:97" ht="54" x14ac:dyDescent="0.15">
      <c r="A158" s="1"/>
      <c r="B158" s="1" t="s">
        <v>139</v>
      </c>
      <c r="C158" s="1" t="s">
        <v>137</v>
      </c>
      <c r="D158" s="1" t="s">
        <v>140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>
        <v>50</v>
      </c>
      <c r="BK158" s="1">
        <v>50</v>
      </c>
      <c r="BL158" s="1"/>
      <c r="BM158" s="1"/>
      <c r="BN158" s="1">
        <v>50</v>
      </c>
      <c r="BO158" s="1">
        <v>50</v>
      </c>
      <c r="BP158" s="1"/>
      <c r="BQ158" s="1">
        <v>195</v>
      </c>
      <c r="BR158" s="17">
        <v>4</v>
      </c>
      <c r="BS158" s="17" t="s">
        <v>246</v>
      </c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8"/>
    </row>
    <row r="159" spans="1:97" ht="54" x14ac:dyDescent="0.15">
      <c r="A159" s="1"/>
      <c r="B159" s="1" t="s">
        <v>154</v>
      </c>
      <c r="C159" s="1" t="s">
        <v>149</v>
      </c>
      <c r="D159" s="1" t="s">
        <v>140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>
        <v>50</v>
      </c>
      <c r="BM159" s="1">
        <v>50</v>
      </c>
      <c r="BN159" s="1">
        <v>50</v>
      </c>
      <c r="BO159" s="1">
        <v>50</v>
      </c>
      <c r="BP159" s="1"/>
      <c r="BQ159" s="1">
        <v>195</v>
      </c>
      <c r="BR159" s="17">
        <v>4</v>
      </c>
      <c r="BS159" s="17" t="s">
        <v>288</v>
      </c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8"/>
    </row>
    <row r="160" spans="1:97" ht="54" x14ac:dyDescent="0.15">
      <c r="A160" s="1"/>
      <c r="B160" s="1" t="s">
        <v>159</v>
      </c>
      <c r="C160" s="1" t="s">
        <v>149</v>
      </c>
      <c r="D160" s="1" t="s">
        <v>140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>
        <v>50</v>
      </c>
      <c r="BM160" s="1">
        <v>50</v>
      </c>
      <c r="BN160" s="1">
        <v>50</v>
      </c>
      <c r="BO160" s="1">
        <v>50</v>
      </c>
      <c r="BP160" s="1"/>
      <c r="BQ160" s="1">
        <v>195</v>
      </c>
      <c r="BR160" s="17">
        <v>4</v>
      </c>
      <c r="BS160" s="17" t="s">
        <v>288</v>
      </c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8"/>
    </row>
    <row r="161" spans="1:97" ht="54" x14ac:dyDescent="0.15">
      <c r="A161" s="1"/>
      <c r="B161" s="1" t="s">
        <v>193</v>
      </c>
      <c r="C161" s="1" t="s">
        <v>194</v>
      </c>
      <c r="D161" s="1" t="s">
        <v>40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>
        <v>50</v>
      </c>
      <c r="BK161" s="1">
        <v>50</v>
      </c>
      <c r="BL161" s="1"/>
      <c r="BM161" s="1"/>
      <c r="BN161" s="1">
        <v>50</v>
      </c>
      <c r="BO161" s="1">
        <v>50</v>
      </c>
      <c r="BP161" s="1"/>
      <c r="BQ161" s="1">
        <v>195</v>
      </c>
      <c r="BR161" s="17">
        <v>4</v>
      </c>
      <c r="BS161" s="17" t="s">
        <v>246</v>
      </c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8"/>
    </row>
    <row r="162" spans="1:97" ht="54" x14ac:dyDescent="0.15">
      <c r="A162" s="1">
        <v>102</v>
      </c>
      <c r="B162" s="3" t="s">
        <v>111</v>
      </c>
      <c r="C162" s="3" t="s">
        <v>78</v>
      </c>
      <c r="D162" s="1" t="s">
        <v>40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>
        <v>50</v>
      </c>
      <c r="BK162" s="1">
        <v>50</v>
      </c>
      <c r="BL162" s="1"/>
      <c r="BM162" s="1"/>
      <c r="BN162" s="1">
        <v>50</v>
      </c>
      <c r="BO162" s="1">
        <v>50</v>
      </c>
      <c r="BP162" s="1">
        <f>SUM(E162:BO162)</f>
        <v>200</v>
      </c>
      <c r="BQ162" s="1">
        <v>195</v>
      </c>
      <c r="BR162" s="17">
        <v>4</v>
      </c>
      <c r="BS162" s="17" t="s">
        <v>246</v>
      </c>
      <c r="BT162" s="1" t="str">
        <f>IF(AQ162&gt;AQ$164, AQ162-AQ$164,"")</f>
        <v/>
      </c>
      <c r="BU162" s="1" t="str">
        <f>IF(AR162&gt;AR$164, AR162-AR$164,"")</f>
        <v/>
      </c>
      <c r="BV162" s="1" t="str">
        <f>IF(AS162&gt;AS$164, AS162-AS$164,"")</f>
        <v/>
      </c>
      <c r="BW162" s="1" t="str">
        <f>IF(AT162&gt;AT$164, AT162-AT$164,"")</f>
        <v/>
      </c>
      <c r="BX162" s="1" t="str">
        <f>IF(AU162&gt;AU$164, AU162-AU$164,"")</f>
        <v/>
      </c>
      <c r="BY162" s="1" t="str">
        <f>IF(AV162&gt;AV$164, AV162-AV$164,"")</f>
        <v/>
      </c>
      <c r="BZ162" s="1" t="str">
        <f>IF(AW162&gt;AW$164, AW162-AW$164,"")</f>
        <v/>
      </c>
      <c r="CA162" s="1" t="str">
        <f>IF(AX162&gt;AX$164, AX162-AX$164,"")</f>
        <v/>
      </c>
      <c r="CB162" s="1" t="str">
        <f>IF(AY162&gt;AY$164, AY162-AY$164,"")</f>
        <v/>
      </c>
      <c r="CC162" s="1" t="str">
        <f>IF(AZ162&gt;AZ$164, AZ162-AZ$164,"")</f>
        <v/>
      </c>
      <c r="CD162" s="1" t="str">
        <f>IF(BA162&gt;BA$164, BA162-BA$164,"")</f>
        <v/>
      </c>
      <c r="CE162" s="1" t="str">
        <f>IF(BB162&gt;BB$164, BB162-BB$164,"")</f>
        <v/>
      </c>
      <c r="CF162" s="1">
        <f>COUNTIF(BT162:CE162, "&gt;0")</f>
        <v>0</v>
      </c>
      <c r="CG162" s="1" t="str">
        <f>IF($CF162=1,BT162,"")</f>
        <v/>
      </c>
      <c r="CH162" s="1" t="str">
        <f>IF($CF162=1,BU162,"")</f>
        <v/>
      </c>
      <c r="CI162" s="1" t="str">
        <f>IF($CF162=1,BV162,"")</f>
        <v/>
      </c>
      <c r="CJ162" s="1" t="str">
        <f>IF($CF162=1,BW162,"")</f>
        <v/>
      </c>
      <c r="CK162" s="1" t="str">
        <f>IF($CF162=1,BX162,"")</f>
        <v/>
      </c>
      <c r="CL162" s="1" t="str">
        <f>IF($CF162=1,BY162,"")</f>
        <v/>
      </c>
      <c r="CM162" s="1" t="str">
        <f>IF($CF162=1,BZ162,"")</f>
        <v/>
      </c>
      <c r="CN162" s="1" t="str">
        <f>IF($CF162=1,CA162,"")</f>
        <v/>
      </c>
      <c r="CO162" s="1" t="str">
        <f>IF($CF162=1,CB162,"")</f>
        <v/>
      </c>
      <c r="CP162" s="1" t="str">
        <f>IF($CF162=1,CC162,"")</f>
        <v/>
      </c>
      <c r="CQ162" s="1" t="str">
        <f>IF($CF162=1,CD162,"")</f>
        <v/>
      </c>
      <c r="CR162" s="1" t="str">
        <f>IF($CF162=1,CE162,"")</f>
        <v/>
      </c>
      <c r="CS162" s="18">
        <f>SUM(AE162:BO162)</f>
        <v>200</v>
      </c>
    </row>
    <row r="163" spans="1:97" x14ac:dyDescent="0.15">
      <c r="A163" s="1"/>
      <c r="B163" s="1" t="s">
        <v>81</v>
      </c>
      <c r="C163" s="1"/>
      <c r="D163" s="1"/>
      <c r="E163" s="6">
        <f>SUM(E2:E162)</f>
        <v>178</v>
      </c>
      <c r="F163" s="6">
        <f>SUM(F2:F162)</f>
        <v>89</v>
      </c>
      <c r="G163" s="6">
        <f>SUM(G2:G162)</f>
        <v>224</v>
      </c>
      <c r="H163" s="6">
        <f>SUM(H2:H162)</f>
        <v>184</v>
      </c>
      <c r="I163" s="6">
        <f>SUM(I2:I162)</f>
        <v>67</v>
      </c>
      <c r="J163" s="6">
        <f>SUM(J2:J162)</f>
        <v>86</v>
      </c>
      <c r="K163" s="6">
        <f>SUM(K2:K162)</f>
        <v>54</v>
      </c>
      <c r="L163" s="6">
        <f>SUM(L2:L162)</f>
        <v>98</v>
      </c>
      <c r="M163" s="6">
        <f>SUM(M2:M162)</f>
        <v>47</v>
      </c>
      <c r="N163" s="6">
        <f>SUM(N2:N162)</f>
        <v>47</v>
      </c>
      <c r="O163" s="6">
        <f>SUM(O2:O162)</f>
        <v>99</v>
      </c>
      <c r="P163" s="32">
        <f>SUM(P2:P162)</f>
        <v>140</v>
      </c>
      <c r="Q163" s="32">
        <f>SUM(Q2:Q162)</f>
        <v>76</v>
      </c>
      <c r="R163" s="32">
        <f>SUM(R2:R162)</f>
        <v>83</v>
      </c>
      <c r="S163" s="32">
        <f>SUM(S2:S162)</f>
        <v>140</v>
      </c>
      <c r="T163" s="32">
        <f>SUM(T2:T162)</f>
        <v>61</v>
      </c>
      <c r="U163" s="32">
        <f>SUM(U2:U162)</f>
        <v>62</v>
      </c>
      <c r="V163" s="32">
        <f>SUM(V2:V162)</f>
        <v>145</v>
      </c>
      <c r="W163" s="32">
        <f>SUM(W2:W162)</f>
        <v>35</v>
      </c>
      <c r="X163" s="32">
        <f>SUM(X2:X162)</f>
        <v>59</v>
      </c>
      <c r="Y163" s="32">
        <f>SUM(Y2:Y162)</f>
        <v>135</v>
      </c>
      <c r="Z163" s="32">
        <f>SUM(Z2:Z162)</f>
        <v>50</v>
      </c>
      <c r="AA163" s="32">
        <f>SUM(AA2:AA162)</f>
        <v>35</v>
      </c>
      <c r="AB163" s="32">
        <f>SUM(AB2:AB162)</f>
        <v>140</v>
      </c>
      <c r="AC163" s="32">
        <f>SUM(AC2:AC162)</f>
        <v>30</v>
      </c>
      <c r="AD163" s="32">
        <f>SUM(AD2:AD162)</f>
        <v>22</v>
      </c>
      <c r="AE163" s="1">
        <f>SUM(AE2:AE162)</f>
        <v>275</v>
      </c>
      <c r="AF163" s="1">
        <f>SUM(AF2:AF162)</f>
        <v>10</v>
      </c>
      <c r="AG163" s="1">
        <f>SUM(AG2:AG162)</f>
        <v>15</v>
      </c>
      <c r="AH163" s="1">
        <f>SUM(AH2:AH162)</f>
        <v>30</v>
      </c>
      <c r="AI163" s="1">
        <f>SUM(AI2:AI162)</f>
        <v>30</v>
      </c>
      <c r="AJ163" s="1">
        <f>SUM(AJ2:AJ162)</f>
        <v>5</v>
      </c>
      <c r="AK163" s="1">
        <f>SUM(AK2:AK162)</f>
        <v>0</v>
      </c>
      <c r="AL163" s="1">
        <f>SUM(AL2:AL162)</f>
        <v>0</v>
      </c>
      <c r="AM163" s="1">
        <f>SUM(AM2:AM162)</f>
        <v>20</v>
      </c>
      <c r="AN163" s="1">
        <f>SUM(AN2:AN162)</f>
        <v>50</v>
      </c>
      <c r="AO163" s="1">
        <f>SUM(AO2:AO162)</f>
        <v>25</v>
      </c>
      <c r="AP163" s="1">
        <f>SUM(AP2:AP162)</f>
        <v>26</v>
      </c>
      <c r="AQ163" s="4">
        <f>SUM(AQ2:AQ162)</f>
        <v>100</v>
      </c>
      <c r="AR163" s="4">
        <f>SUM(AR2:AR162)</f>
        <v>130</v>
      </c>
      <c r="AS163" s="4">
        <f>SUM(AS2:AS162)</f>
        <v>80</v>
      </c>
      <c r="AT163" s="4">
        <f>SUM(AT2:AT162)</f>
        <v>93</v>
      </c>
      <c r="AU163" s="4">
        <f>SUM(AU2:AU162)</f>
        <v>48</v>
      </c>
      <c r="AV163" s="4">
        <f>SUM(AV2:AV162)</f>
        <v>135</v>
      </c>
      <c r="AW163" s="2">
        <f>SUM(AW2:AW162)</f>
        <v>128</v>
      </c>
      <c r="AX163" s="2">
        <f>SUM(AX2:AX162)</f>
        <v>80</v>
      </c>
      <c r="AY163" s="2">
        <f>SUM(AY2:AY162)</f>
        <v>43</v>
      </c>
      <c r="AZ163" s="2">
        <f>SUM(AZ2:AZ162)</f>
        <v>85</v>
      </c>
      <c r="BA163" s="2">
        <f>SUM(BA2:BA162)</f>
        <v>205</v>
      </c>
      <c r="BB163" s="2">
        <f>SUM(BB2:BB162)</f>
        <v>385</v>
      </c>
      <c r="BC163" s="1">
        <f>SUM(BC2:BC162)</f>
        <v>10</v>
      </c>
      <c r="BD163" s="1">
        <f>SUM(BD2:BD162)</f>
        <v>150</v>
      </c>
      <c r="BE163" s="1">
        <f>SUM(BE2:BE162)</f>
        <v>100</v>
      </c>
      <c r="BF163" s="1">
        <f>SUM(BF2:BF162)</f>
        <v>120</v>
      </c>
      <c r="BG163" s="1">
        <f>SUM(BG2:BG162)</f>
        <v>120</v>
      </c>
      <c r="BH163" s="1">
        <f>SUM(BH2:BH162)</f>
        <v>120</v>
      </c>
      <c r="BI163" s="1">
        <f>SUM(BI2:BI162)</f>
        <v>90</v>
      </c>
      <c r="BJ163" s="1">
        <f>SUM(BJ2:BJ162)</f>
        <v>200</v>
      </c>
      <c r="BK163" s="1">
        <f>SUM(BK2:BK162)</f>
        <v>200</v>
      </c>
      <c r="BL163" s="1">
        <f>SUM(BL2:BL162)</f>
        <v>150</v>
      </c>
      <c r="BM163" s="1">
        <f>SUM(BM2:BM162)</f>
        <v>150</v>
      </c>
      <c r="BN163" s="1">
        <f>SUM(BN2:BN162)</f>
        <v>350</v>
      </c>
      <c r="BO163" s="1">
        <f>SUM(BO2:BO162)</f>
        <v>350</v>
      </c>
      <c r="BP163" s="1"/>
      <c r="BQ163" s="1"/>
      <c r="BR163" s="17"/>
      <c r="BS163" s="17"/>
      <c r="BT163" s="1">
        <f>MIN(BT2:BT162)</f>
        <v>4</v>
      </c>
      <c r="BU163" s="1">
        <f>MIN(BU2:BU162)</f>
        <v>0</v>
      </c>
      <c r="BV163" s="1">
        <f>MIN(BV2:BV162)</f>
        <v>3</v>
      </c>
      <c r="BW163" s="1">
        <f>MIN(BW2:BW162)</f>
        <v>5</v>
      </c>
      <c r="BX163" s="1">
        <f>MIN(BX2:BX162)</f>
        <v>5</v>
      </c>
      <c r="BY163" s="1">
        <f>MIN(BY2:BY162)</f>
        <v>0</v>
      </c>
      <c r="BZ163" s="1">
        <f>MIN(BZ2:BZ162)</f>
        <v>1</v>
      </c>
      <c r="CA163" s="1">
        <f>MIN(CA2:CA162)</f>
        <v>0</v>
      </c>
      <c r="CB163" s="1">
        <f>MIN(CB2:CB162)</f>
        <v>0</v>
      </c>
      <c r="CC163" s="1">
        <f>MIN(CC2:CC162)</f>
        <v>0</v>
      </c>
      <c r="CD163" s="1">
        <f>MIN(CD2:CD162)</f>
        <v>3</v>
      </c>
      <c r="CE163" s="1">
        <f>MIN(CE2:CE162)</f>
        <v>0</v>
      </c>
      <c r="CF163" s="1"/>
      <c r="CG163" s="1">
        <f>MIN(CG2:CG162)</f>
        <v>4</v>
      </c>
      <c r="CH163" s="1">
        <f>MIN(CH2:CH162)</f>
        <v>0</v>
      </c>
      <c r="CI163" s="1">
        <f>MIN(CI2:CI162)</f>
        <v>3</v>
      </c>
      <c r="CJ163" s="1">
        <f>MIN(CJ2:CJ162)</f>
        <v>0</v>
      </c>
      <c r="CK163" s="1">
        <f>MIN(CK2:CK162)</f>
        <v>5</v>
      </c>
      <c r="CL163" s="1">
        <f>MIN(CL2:CL162)</f>
        <v>0</v>
      </c>
      <c r="CM163" s="1">
        <f>MIN(CM2:CM162)</f>
        <v>0</v>
      </c>
      <c r="CN163" s="1">
        <f>MIN(CN2:CN162)</f>
        <v>0</v>
      </c>
      <c r="CO163" s="1">
        <f>MIN(CO2:CO162)</f>
        <v>0</v>
      </c>
      <c r="CP163" s="1">
        <f>MIN(CP2:CP162)</f>
        <v>0</v>
      </c>
      <c r="CQ163" s="1">
        <f>MIN(CQ2:CQ162)</f>
        <v>3</v>
      </c>
      <c r="CR163" s="1">
        <f>MIN(CR2:CR162)</f>
        <v>0</v>
      </c>
      <c r="CS163" s="18">
        <f>COUNTIF(CS2:CS162,"=0")</f>
        <v>8</v>
      </c>
    </row>
    <row r="164" spans="1:97" x14ac:dyDescent="0.15">
      <c r="A164" s="1"/>
      <c r="B164" s="3" t="s">
        <v>103</v>
      </c>
      <c r="C164" s="1"/>
      <c r="D164" s="1"/>
      <c r="E164" s="1">
        <v>8</v>
      </c>
      <c r="F164" s="1">
        <v>3</v>
      </c>
      <c r="G164" s="1">
        <v>11</v>
      </c>
      <c r="H164" s="1">
        <v>3</v>
      </c>
      <c r="I164" s="1">
        <v>26</v>
      </c>
      <c r="J164" s="1">
        <v>35</v>
      </c>
      <c r="K164" s="1">
        <v>22</v>
      </c>
      <c r="L164" s="1">
        <v>43</v>
      </c>
      <c r="M164" s="1">
        <v>7</v>
      </c>
      <c r="N164" s="1">
        <v>25</v>
      </c>
      <c r="O164" s="1">
        <v>8</v>
      </c>
      <c r="P164" s="14">
        <v>12</v>
      </c>
      <c r="Q164" s="14">
        <v>1</v>
      </c>
      <c r="R164" s="14">
        <v>2</v>
      </c>
      <c r="S164" s="14">
        <v>11</v>
      </c>
      <c r="T164" s="14">
        <v>5</v>
      </c>
      <c r="U164" s="14">
        <v>0</v>
      </c>
      <c r="V164" s="14">
        <v>12</v>
      </c>
      <c r="W164" s="14">
        <v>2</v>
      </c>
      <c r="X164" s="14">
        <v>6</v>
      </c>
      <c r="Y164" s="14">
        <v>10</v>
      </c>
      <c r="Z164" s="14">
        <v>1</v>
      </c>
      <c r="AA164" s="14">
        <v>1</v>
      </c>
      <c r="AB164" s="14">
        <v>8</v>
      </c>
      <c r="AC164" s="14">
        <v>2</v>
      </c>
      <c r="AD164" s="14">
        <v>4</v>
      </c>
      <c r="AE164" s="1">
        <v>12</v>
      </c>
      <c r="AF164" s="1">
        <v>0</v>
      </c>
      <c r="AG164" s="1">
        <v>0</v>
      </c>
      <c r="AH164" s="1">
        <v>0</v>
      </c>
      <c r="AI164" s="1">
        <v>0</v>
      </c>
      <c r="AJ164" s="1">
        <v>0</v>
      </c>
      <c r="AK164" s="1">
        <v>33</v>
      </c>
      <c r="AL164" s="1">
        <v>43</v>
      </c>
      <c r="AM164" s="1">
        <v>4</v>
      </c>
      <c r="AN164" s="1">
        <v>0</v>
      </c>
      <c r="AO164" s="1">
        <v>0</v>
      </c>
      <c r="AP164" s="1">
        <v>0</v>
      </c>
      <c r="AQ164" s="14">
        <v>6</v>
      </c>
      <c r="AR164" s="14">
        <v>16</v>
      </c>
      <c r="AS164" s="14">
        <v>2</v>
      </c>
      <c r="AT164" s="14">
        <v>15</v>
      </c>
      <c r="AU164" s="14">
        <v>3</v>
      </c>
      <c r="AV164" s="14">
        <v>15</v>
      </c>
      <c r="AW164" s="14">
        <v>19</v>
      </c>
      <c r="AX164" s="14">
        <v>25</v>
      </c>
      <c r="AY164" s="14">
        <v>13</v>
      </c>
      <c r="AZ164" s="14">
        <v>16</v>
      </c>
      <c r="BA164" s="14">
        <v>12</v>
      </c>
      <c r="BB164" s="14">
        <v>158</v>
      </c>
      <c r="BC164" s="14"/>
      <c r="BD164" s="1">
        <v>48</v>
      </c>
      <c r="BE164" s="1">
        <v>48</v>
      </c>
      <c r="BF164" s="1">
        <v>81</v>
      </c>
      <c r="BG164" s="1">
        <v>90</v>
      </c>
      <c r="BH164" s="1">
        <v>48</v>
      </c>
      <c r="BI164" s="1">
        <v>44</v>
      </c>
      <c r="BJ164" s="1">
        <v>5</v>
      </c>
      <c r="BK164" s="1"/>
      <c r="BL164" s="1">
        <v>5</v>
      </c>
      <c r="BM164" s="1"/>
      <c r="BN164" s="1"/>
      <c r="BO164" s="1"/>
      <c r="BP164" s="1"/>
      <c r="BQ164" s="1"/>
      <c r="BR164" s="17"/>
      <c r="BS164" s="17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</row>
    <row r="165" spans="1:97" x14ac:dyDescent="0.15">
      <c r="A165" s="1"/>
      <c r="B165" s="3" t="s">
        <v>110</v>
      </c>
      <c r="C165" s="1"/>
      <c r="D165" s="1"/>
      <c r="E165" s="1">
        <f>E164-E163</f>
        <v>-170</v>
      </c>
      <c r="F165" s="1">
        <f>F164-F163</f>
        <v>-86</v>
      </c>
      <c r="G165" s="1">
        <f>G164-G163</f>
        <v>-213</v>
      </c>
      <c r="H165" s="1">
        <f>H164-H163</f>
        <v>-181</v>
      </c>
      <c r="I165" s="1">
        <f>I164-I163</f>
        <v>-41</v>
      </c>
      <c r="J165" s="1">
        <f>J164-J163</f>
        <v>-51</v>
      </c>
      <c r="K165" s="1">
        <f>K164-K163</f>
        <v>-32</v>
      </c>
      <c r="L165" s="1">
        <f>L164-L163</f>
        <v>-55</v>
      </c>
      <c r="M165" s="1">
        <f>M164-M163</f>
        <v>-40</v>
      </c>
      <c r="N165" s="1">
        <f>N164-N163</f>
        <v>-22</v>
      </c>
      <c r="O165" s="1">
        <f>O164-O163</f>
        <v>-91</v>
      </c>
      <c r="P165" s="1">
        <f>P164-P163</f>
        <v>-128</v>
      </c>
      <c r="Q165" s="1">
        <f>Q164-Q163</f>
        <v>-75</v>
      </c>
      <c r="R165" s="1">
        <f>R164-R163</f>
        <v>-81</v>
      </c>
      <c r="S165" s="1">
        <f>S164-S163</f>
        <v>-129</v>
      </c>
      <c r="T165" s="1">
        <f>T164-T163</f>
        <v>-56</v>
      </c>
      <c r="U165" s="1">
        <f>U164-U163</f>
        <v>-62</v>
      </c>
      <c r="V165" s="1">
        <f>V164-V163</f>
        <v>-133</v>
      </c>
      <c r="W165" s="1">
        <f>W164-W163</f>
        <v>-33</v>
      </c>
      <c r="X165" s="1">
        <f>X164-X163</f>
        <v>-53</v>
      </c>
      <c r="Y165" s="1">
        <f>Y164-Y163</f>
        <v>-125</v>
      </c>
      <c r="Z165" s="1">
        <f>Z164-Z163</f>
        <v>-49</v>
      </c>
      <c r="AA165" s="1">
        <f>AA164-AA163</f>
        <v>-34</v>
      </c>
      <c r="AB165" s="1">
        <f>AB164-AB163</f>
        <v>-132</v>
      </c>
      <c r="AC165" s="1">
        <f>AC164-AC163</f>
        <v>-28</v>
      </c>
      <c r="AD165" s="1">
        <f>AD164-AD163</f>
        <v>-18</v>
      </c>
      <c r="AE165" s="1">
        <f>AE164-AE163</f>
        <v>-263</v>
      </c>
      <c r="AF165" s="1">
        <f>AF164-AF163</f>
        <v>-10</v>
      </c>
      <c r="AG165" s="1">
        <f>AG164-AG163</f>
        <v>-15</v>
      </c>
      <c r="AH165" s="1">
        <f>AH164-AH163</f>
        <v>-30</v>
      </c>
      <c r="AI165" s="1">
        <f>AI164-AI163</f>
        <v>-30</v>
      </c>
      <c r="AJ165" s="1">
        <f>AJ164-AJ163</f>
        <v>-5</v>
      </c>
      <c r="AK165" s="1">
        <f>AK164-AK163</f>
        <v>33</v>
      </c>
      <c r="AL165" s="1">
        <f>AL164-AL163</f>
        <v>43</v>
      </c>
      <c r="AM165" s="1">
        <f>AM164-AM163</f>
        <v>-16</v>
      </c>
      <c r="AN165" s="1">
        <f>AN164-AN163</f>
        <v>-50</v>
      </c>
      <c r="AO165" s="1">
        <f>AO164-AO163</f>
        <v>-25</v>
      </c>
      <c r="AP165" s="1">
        <f>AP164-AP163</f>
        <v>-26</v>
      </c>
      <c r="AQ165" s="1">
        <f>AQ164-AQ163</f>
        <v>-94</v>
      </c>
      <c r="AR165" s="1">
        <f>AR164-AR163</f>
        <v>-114</v>
      </c>
      <c r="AS165" s="1">
        <f>AS164-AS163</f>
        <v>-78</v>
      </c>
      <c r="AT165" s="1">
        <f>AT164-AT163</f>
        <v>-78</v>
      </c>
      <c r="AU165" s="1">
        <f>AU164-AU163</f>
        <v>-45</v>
      </c>
      <c r="AV165" s="1">
        <f>AV164-AV163</f>
        <v>-120</v>
      </c>
      <c r="AW165" s="1">
        <f>AW164-AW163</f>
        <v>-109</v>
      </c>
      <c r="AX165" s="1">
        <f>AX164-AX163</f>
        <v>-55</v>
      </c>
      <c r="AY165" s="1">
        <f>AY164-AY163</f>
        <v>-30</v>
      </c>
      <c r="AZ165" s="1">
        <f>AZ164-AZ163</f>
        <v>-69</v>
      </c>
      <c r="BA165" s="1">
        <f>BA164-BA163</f>
        <v>-193</v>
      </c>
      <c r="BB165" s="1">
        <f>BB164-BB163</f>
        <v>-227</v>
      </c>
      <c r="BC165" s="1">
        <f>BC164-BC163</f>
        <v>-10</v>
      </c>
      <c r="BD165" s="1">
        <f>BD164-BD163</f>
        <v>-102</v>
      </c>
      <c r="BE165" s="1">
        <f>BE164-BE163</f>
        <v>-52</v>
      </c>
      <c r="BF165" s="1">
        <f>BF164-BF163</f>
        <v>-39</v>
      </c>
      <c r="BG165" s="1">
        <f>BG164-BG163</f>
        <v>-30</v>
      </c>
      <c r="BH165" s="1">
        <f>BH164-BH163</f>
        <v>-72</v>
      </c>
      <c r="BI165" s="1">
        <f>BI164-BI163</f>
        <v>-46</v>
      </c>
      <c r="BJ165" s="1">
        <f>BJ164-BJ163</f>
        <v>-195</v>
      </c>
      <c r="BK165" s="1">
        <f>BK164-BK163</f>
        <v>-200</v>
      </c>
      <c r="BL165" s="1">
        <f>BL164-BL163</f>
        <v>-145</v>
      </c>
      <c r="BM165" s="1">
        <f>BM164-BM163</f>
        <v>-150</v>
      </c>
      <c r="BN165" s="1">
        <f>BN164-BN163</f>
        <v>-350</v>
      </c>
      <c r="BO165" s="1">
        <f>BO164-BO163</f>
        <v>-350</v>
      </c>
      <c r="BP165" s="1"/>
      <c r="BQ165" s="1"/>
      <c r="BR165" s="17"/>
      <c r="BS165" s="17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</row>
  </sheetData>
  <autoFilter ref="A1:BP163"/>
  <sortState ref="A2:CS165">
    <sortCondition ref="BR2:BR165"/>
    <sortCondition ref="BQ2:BQ165"/>
  </sortState>
  <phoneticPr fontId="1" type="noConversion"/>
  <conditionalFormatting sqref="E53">
    <cfRule type="cellIs" dxfId="2" priority="4" operator="greaterThan">
      <formula>$E$164</formula>
    </cfRule>
  </conditionalFormatting>
  <conditionalFormatting sqref="E163">
    <cfRule type="cellIs" dxfId="1" priority="3" operator="greaterThan">
      <formula>$E$164</formula>
    </cfRule>
  </conditionalFormatting>
  <conditionalFormatting sqref="E165:BO16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167</xdr:row>
                    <xdr:rowOff>28575</xdr:rowOff>
                  </from>
                  <to>
                    <xdr:col>1</xdr:col>
                    <xdr:colOff>428625</xdr:colOff>
                    <xdr:row>168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2020-02-03T11:44:13Z</dcterms:modified>
</cp:coreProperties>
</file>