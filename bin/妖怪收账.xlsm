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Sheet1!$A$1:$BP$149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T3" i="1" l="1"/>
  <c r="BU3" i="1"/>
  <c r="BV3" i="1"/>
  <c r="BW3" i="1"/>
  <c r="BX3" i="1"/>
  <c r="BY3" i="1"/>
  <c r="CF3" i="1" s="1"/>
  <c r="BZ3" i="1"/>
  <c r="CA3" i="1"/>
  <c r="CB3" i="1"/>
  <c r="CC3" i="1"/>
  <c r="CD3" i="1"/>
  <c r="CE3" i="1"/>
  <c r="BT4" i="1"/>
  <c r="BU4" i="1"/>
  <c r="BV4" i="1"/>
  <c r="BW4" i="1"/>
  <c r="BX4" i="1"/>
  <c r="BY4" i="1"/>
  <c r="BZ4" i="1"/>
  <c r="CA4" i="1"/>
  <c r="CF4" i="1" s="1"/>
  <c r="CB4" i="1"/>
  <c r="CC4" i="1"/>
  <c r="CD4" i="1"/>
  <c r="CE4" i="1"/>
  <c r="BT5" i="1"/>
  <c r="BU5" i="1"/>
  <c r="BV5" i="1"/>
  <c r="BW5" i="1"/>
  <c r="BX5" i="1"/>
  <c r="BY5" i="1"/>
  <c r="BZ5" i="1"/>
  <c r="CA5" i="1"/>
  <c r="CF5" i="1" s="1"/>
  <c r="CB5" i="1"/>
  <c r="CC5" i="1"/>
  <c r="CD5" i="1"/>
  <c r="CE5" i="1"/>
  <c r="BT6" i="1"/>
  <c r="BU6" i="1"/>
  <c r="BV6" i="1"/>
  <c r="BW6" i="1"/>
  <c r="BX6" i="1"/>
  <c r="BY6" i="1"/>
  <c r="CF6" i="1" s="1"/>
  <c r="BZ6" i="1"/>
  <c r="CA6" i="1"/>
  <c r="CB6" i="1"/>
  <c r="CC6" i="1"/>
  <c r="CD6" i="1"/>
  <c r="CE6" i="1"/>
  <c r="BT7" i="1"/>
  <c r="BU7" i="1"/>
  <c r="BV7" i="1"/>
  <c r="BW7" i="1"/>
  <c r="BX7" i="1"/>
  <c r="BY7" i="1"/>
  <c r="BZ7" i="1"/>
  <c r="CA7" i="1"/>
  <c r="CB7" i="1"/>
  <c r="CC7" i="1"/>
  <c r="CD7" i="1"/>
  <c r="CE7" i="1"/>
  <c r="BT8" i="1"/>
  <c r="BU8" i="1"/>
  <c r="BV8" i="1"/>
  <c r="BW8" i="1"/>
  <c r="BX8" i="1"/>
  <c r="BY8" i="1"/>
  <c r="BZ8" i="1"/>
  <c r="CA8" i="1"/>
  <c r="CB8" i="1"/>
  <c r="CC8" i="1"/>
  <c r="CD8" i="1"/>
  <c r="CE8" i="1"/>
  <c r="BT9" i="1"/>
  <c r="BU9" i="1"/>
  <c r="BV9" i="1"/>
  <c r="BW9" i="1"/>
  <c r="BX9" i="1"/>
  <c r="BY9" i="1"/>
  <c r="BZ9" i="1"/>
  <c r="CA9" i="1"/>
  <c r="CB9" i="1"/>
  <c r="CC9" i="1"/>
  <c r="CD9" i="1"/>
  <c r="CE9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BT13" i="1"/>
  <c r="BU13" i="1"/>
  <c r="BV13" i="1"/>
  <c r="BW13" i="1"/>
  <c r="BX13" i="1"/>
  <c r="BY13" i="1"/>
  <c r="CF13" i="1" s="1"/>
  <c r="BZ13" i="1"/>
  <c r="CA13" i="1"/>
  <c r="CB13" i="1"/>
  <c r="CC13" i="1"/>
  <c r="CD13" i="1"/>
  <c r="CE13" i="1"/>
  <c r="BT14" i="1"/>
  <c r="BU14" i="1"/>
  <c r="BV14" i="1"/>
  <c r="BW14" i="1"/>
  <c r="BX14" i="1"/>
  <c r="BY14" i="1"/>
  <c r="CF14" i="1" s="1"/>
  <c r="BZ14" i="1"/>
  <c r="CA14" i="1"/>
  <c r="CB14" i="1"/>
  <c r="CC14" i="1"/>
  <c r="CD14" i="1"/>
  <c r="CE14" i="1"/>
  <c r="BT15" i="1"/>
  <c r="CF15" i="1" s="1"/>
  <c r="BU15" i="1"/>
  <c r="BV15" i="1"/>
  <c r="BW15" i="1"/>
  <c r="BX15" i="1"/>
  <c r="BY15" i="1"/>
  <c r="BZ15" i="1"/>
  <c r="CA15" i="1"/>
  <c r="CB15" i="1"/>
  <c r="CC15" i="1"/>
  <c r="CD15" i="1"/>
  <c r="CE15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BT19" i="1"/>
  <c r="CF19" i="1" s="1"/>
  <c r="BU19" i="1"/>
  <c r="BV19" i="1"/>
  <c r="BW19" i="1"/>
  <c r="BX19" i="1"/>
  <c r="BY19" i="1"/>
  <c r="BZ19" i="1"/>
  <c r="CA19" i="1"/>
  <c r="CB19" i="1"/>
  <c r="CC19" i="1"/>
  <c r="CD19" i="1"/>
  <c r="CE19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BT22" i="1"/>
  <c r="CF22" i="1" s="1"/>
  <c r="BU22" i="1"/>
  <c r="BV22" i="1"/>
  <c r="BW22" i="1"/>
  <c r="BX22" i="1"/>
  <c r="BY22" i="1"/>
  <c r="BZ22" i="1"/>
  <c r="CA22" i="1"/>
  <c r="CB22" i="1"/>
  <c r="CC22" i="1"/>
  <c r="CD22" i="1"/>
  <c r="CE22" i="1"/>
  <c r="BT23" i="1"/>
  <c r="CF23" i="1" s="1"/>
  <c r="BU23" i="1"/>
  <c r="BV23" i="1"/>
  <c r="BW23" i="1"/>
  <c r="BX23" i="1"/>
  <c r="BY23" i="1"/>
  <c r="BZ23" i="1"/>
  <c r="CA23" i="1"/>
  <c r="CB23" i="1"/>
  <c r="CC23" i="1"/>
  <c r="CD23" i="1"/>
  <c r="CE23" i="1"/>
  <c r="BT24" i="1"/>
  <c r="CF24" i="1" s="1"/>
  <c r="BU24" i="1"/>
  <c r="BV24" i="1"/>
  <c r="BW24" i="1"/>
  <c r="BX24" i="1"/>
  <c r="BY24" i="1"/>
  <c r="BZ24" i="1"/>
  <c r="CA24" i="1"/>
  <c r="CB24" i="1"/>
  <c r="CC24" i="1"/>
  <c r="CD24" i="1"/>
  <c r="CE24" i="1"/>
  <c r="BT25" i="1"/>
  <c r="CF25" i="1" s="1"/>
  <c r="BU25" i="1"/>
  <c r="BV25" i="1"/>
  <c r="BW25" i="1"/>
  <c r="BX25" i="1"/>
  <c r="BY25" i="1"/>
  <c r="BZ25" i="1"/>
  <c r="CA25" i="1"/>
  <c r="CB25" i="1"/>
  <c r="CC25" i="1"/>
  <c r="CD25" i="1"/>
  <c r="CE25" i="1"/>
  <c r="BT26" i="1"/>
  <c r="BU26" i="1"/>
  <c r="BV26" i="1"/>
  <c r="BW26" i="1"/>
  <c r="BX26" i="1"/>
  <c r="BY26" i="1"/>
  <c r="CF26" i="1" s="1"/>
  <c r="BZ26" i="1"/>
  <c r="CA26" i="1"/>
  <c r="CB26" i="1"/>
  <c r="CC26" i="1"/>
  <c r="CD26" i="1"/>
  <c r="CE26" i="1"/>
  <c r="BT27" i="1"/>
  <c r="BU27" i="1"/>
  <c r="BV27" i="1"/>
  <c r="BW27" i="1"/>
  <c r="BX27" i="1"/>
  <c r="BY27" i="1"/>
  <c r="BZ27" i="1"/>
  <c r="CF27" i="1" s="1"/>
  <c r="CA27" i="1"/>
  <c r="CB27" i="1"/>
  <c r="CC27" i="1"/>
  <c r="CD27" i="1"/>
  <c r="CE27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BT30" i="1"/>
  <c r="BU30" i="1"/>
  <c r="BV30" i="1"/>
  <c r="BW30" i="1"/>
  <c r="BX30" i="1"/>
  <c r="BY30" i="1"/>
  <c r="BZ30" i="1"/>
  <c r="CA30" i="1"/>
  <c r="CF30" i="1" s="1"/>
  <c r="CB30" i="1"/>
  <c r="CC30" i="1"/>
  <c r="CD30" i="1"/>
  <c r="CE30" i="1"/>
  <c r="BT31" i="1"/>
  <c r="BU31" i="1"/>
  <c r="BV31" i="1"/>
  <c r="BW31" i="1"/>
  <c r="BX31" i="1"/>
  <c r="BY31" i="1"/>
  <c r="CF31" i="1" s="1"/>
  <c r="BZ31" i="1"/>
  <c r="CA31" i="1"/>
  <c r="CB31" i="1"/>
  <c r="CC31" i="1"/>
  <c r="CD31" i="1"/>
  <c r="CE31" i="1"/>
  <c r="BT32" i="1"/>
  <c r="BU32" i="1"/>
  <c r="BV32" i="1"/>
  <c r="BW32" i="1"/>
  <c r="BX32" i="1"/>
  <c r="BY32" i="1"/>
  <c r="CF32" i="1" s="1"/>
  <c r="BZ32" i="1"/>
  <c r="CA32" i="1"/>
  <c r="CB32" i="1"/>
  <c r="CC32" i="1"/>
  <c r="CD32" i="1"/>
  <c r="CE32" i="1"/>
  <c r="BT33" i="1"/>
  <c r="BU33" i="1"/>
  <c r="BV33" i="1"/>
  <c r="BW33" i="1"/>
  <c r="BX33" i="1"/>
  <c r="BY33" i="1"/>
  <c r="CF33" i="1" s="1"/>
  <c r="BZ33" i="1"/>
  <c r="CA33" i="1"/>
  <c r="CB33" i="1"/>
  <c r="CC33" i="1"/>
  <c r="CD33" i="1"/>
  <c r="CE33" i="1"/>
  <c r="BT34" i="1"/>
  <c r="CF34" i="1" s="1"/>
  <c r="BU34" i="1"/>
  <c r="BV34" i="1"/>
  <c r="BW34" i="1"/>
  <c r="BX34" i="1"/>
  <c r="BY34" i="1"/>
  <c r="BZ34" i="1"/>
  <c r="CA34" i="1"/>
  <c r="CB34" i="1"/>
  <c r="CC34" i="1"/>
  <c r="CD34" i="1"/>
  <c r="CE34" i="1"/>
  <c r="BT35" i="1"/>
  <c r="CF35" i="1" s="1"/>
  <c r="BU35" i="1"/>
  <c r="BV35" i="1"/>
  <c r="BW35" i="1"/>
  <c r="BX35" i="1"/>
  <c r="BY35" i="1"/>
  <c r="BZ35" i="1"/>
  <c r="CA35" i="1"/>
  <c r="CB35" i="1"/>
  <c r="CC35" i="1"/>
  <c r="CD35" i="1"/>
  <c r="CE35" i="1"/>
  <c r="BT36" i="1"/>
  <c r="CF36" i="1" s="1"/>
  <c r="BU36" i="1"/>
  <c r="BV36" i="1"/>
  <c r="BW36" i="1"/>
  <c r="BX36" i="1"/>
  <c r="BY36" i="1"/>
  <c r="BZ36" i="1"/>
  <c r="CA36" i="1"/>
  <c r="CB36" i="1"/>
  <c r="CC36" i="1"/>
  <c r="CD36" i="1"/>
  <c r="CE36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BT39" i="1"/>
  <c r="CF39" i="1" s="1"/>
  <c r="BU39" i="1"/>
  <c r="BV39" i="1"/>
  <c r="BW39" i="1"/>
  <c r="BX39" i="1"/>
  <c r="BY39" i="1"/>
  <c r="BZ39" i="1"/>
  <c r="CA39" i="1"/>
  <c r="CB39" i="1"/>
  <c r="CC39" i="1"/>
  <c r="CD39" i="1"/>
  <c r="CE39" i="1"/>
  <c r="BT40" i="1"/>
  <c r="CF40" i="1" s="1"/>
  <c r="BU40" i="1"/>
  <c r="BV40" i="1"/>
  <c r="BW40" i="1"/>
  <c r="BX40" i="1"/>
  <c r="BY40" i="1"/>
  <c r="BZ40" i="1"/>
  <c r="CA40" i="1"/>
  <c r="CB40" i="1"/>
  <c r="CC40" i="1"/>
  <c r="CD40" i="1"/>
  <c r="CE40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BT45" i="1"/>
  <c r="CF45" i="1" s="1"/>
  <c r="BU45" i="1"/>
  <c r="BV45" i="1"/>
  <c r="BW45" i="1"/>
  <c r="BX45" i="1"/>
  <c r="BY45" i="1"/>
  <c r="BZ45" i="1"/>
  <c r="CA45" i="1"/>
  <c r="CB45" i="1"/>
  <c r="CC45" i="1"/>
  <c r="CD45" i="1"/>
  <c r="CE45" i="1"/>
  <c r="BT46" i="1"/>
  <c r="BU46" i="1"/>
  <c r="BV46" i="1"/>
  <c r="BW46" i="1"/>
  <c r="BX46" i="1"/>
  <c r="BY46" i="1"/>
  <c r="CF46" i="1" s="1"/>
  <c r="BZ46" i="1"/>
  <c r="CA46" i="1"/>
  <c r="CB46" i="1"/>
  <c r="CC46" i="1"/>
  <c r="CD46" i="1"/>
  <c r="CE46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BT49" i="1"/>
  <c r="BU49" i="1"/>
  <c r="BV49" i="1"/>
  <c r="BW49" i="1"/>
  <c r="BX49" i="1"/>
  <c r="BY49" i="1"/>
  <c r="BZ49" i="1"/>
  <c r="CF49" i="1" s="1"/>
  <c r="CA49" i="1"/>
  <c r="CB49" i="1"/>
  <c r="CC49" i="1"/>
  <c r="CD49" i="1"/>
  <c r="CE49" i="1"/>
  <c r="BT50" i="1"/>
  <c r="BU50" i="1"/>
  <c r="BV50" i="1"/>
  <c r="BW50" i="1"/>
  <c r="BX50" i="1"/>
  <c r="BY50" i="1"/>
  <c r="BZ50" i="1"/>
  <c r="CA50" i="1"/>
  <c r="CF50" i="1" s="1"/>
  <c r="CB50" i="1"/>
  <c r="CC50" i="1"/>
  <c r="CD50" i="1"/>
  <c r="CE50" i="1"/>
  <c r="BT51" i="1"/>
  <c r="BU51" i="1"/>
  <c r="BV51" i="1"/>
  <c r="BW51" i="1"/>
  <c r="BX51" i="1"/>
  <c r="BY51" i="1"/>
  <c r="CF51" i="1" s="1"/>
  <c r="BZ51" i="1"/>
  <c r="CA51" i="1"/>
  <c r="CB51" i="1"/>
  <c r="CC51" i="1"/>
  <c r="CD51" i="1"/>
  <c r="CE51" i="1"/>
  <c r="BT52" i="1"/>
  <c r="BU52" i="1"/>
  <c r="BV52" i="1"/>
  <c r="BW52" i="1"/>
  <c r="BX52" i="1"/>
  <c r="BY52" i="1"/>
  <c r="CF52" i="1" s="1"/>
  <c r="BZ52" i="1"/>
  <c r="CA52" i="1"/>
  <c r="CB52" i="1"/>
  <c r="CC52" i="1"/>
  <c r="CD52" i="1"/>
  <c r="CE52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BT62" i="1"/>
  <c r="CF62" i="1" s="1"/>
  <c r="BU62" i="1"/>
  <c r="BV62" i="1"/>
  <c r="BW62" i="1"/>
  <c r="BX62" i="1"/>
  <c r="BY62" i="1"/>
  <c r="BZ62" i="1"/>
  <c r="CA62" i="1"/>
  <c r="CB62" i="1"/>
  <c r="CC62" i="1"/>
  <c r="CD62" i="1"/>
  <c r="CE62" i="1"/>
  <c r="BT63" i="1"/>
  <c r="CF63" i="1" s="1"/>
  <c r="BU63" i="1"/>
  <c r="BV63" i="1"/>
  <c r="BW63" i="1"/>
  <c r="BX63" i="1"/>
  <c r="BY63" i="1"/>
  <c r="BZ63" i="1"/>
  <c r="CA63" i="1"/>
  <c r="CB63" i="1"/>
  <c r="CC63" i="1"/>
  <c r="CD63" i="1"/>
  <c r="CE63" i="1"/>
  <c r="BT64" i="1"/>
  <c r="CF64" i="1" s="1"/>
  <c r="BU64" i="1"/>
  <c r="BV64" i="1"/>
  <c r="BW64" i="1"/>
  <c r="BX64" i="1"/>
  <c r="BY64" i="1"/>
  <c r="BZ64" i="1"/>
  <c r="CA64" i="1"/>
  <c r="CB64" i="1"/>
  <c r="CC64" i="1"/>
  <c r="CD64" i="1"/>
  <c r="CE64" i="1"/>
  <c r="BT65" i="1"/>
  <c r="CF65" i="1" s="1"/>
  <c r="BU65" i="1"/>
  <c r="BV65" i="1"/>
  <c r="BW65" i="1"/>
  <c r="BX65" i="1"/>
  <c r="BY65" i="1"/>
  <c r="BZ65" i="1"/>
  <c r="CA65" i="1"/>
  <c r="CB65" i="1"/>
  <c r="CC65" i="1"/>
  <c r="CD65" i="1"/>
  <c r="CE65" i="1"/>
  <c r="BT66" i="1"/>
  <c r="CF66" i="1" s="1"/>
  <c r="BU66" i="1"/>
  <c r="BV66" i="1"/>
  <c r="BW66" i="1"/>
  <c r="BX66" i="1"/>
  <c r="BY66" i="1"/>
  <c r="BZ66" i="1"/>
  <c r="CA66" i="1"/>
  <c r="CB66" i="1"/>
  <c r="CC66" i="1"/>
  <c r="CD66" i="1"/>
  <c r="CE66" i="1"/>
  <c r="BT67" i="1"/>
  <c r="CF67" i="1" s="1"/>
  <c r="BU67" i="1"/>
  <c r="BV67" i="1"/>
  <c r="BW67" i="1"/>
  <c r="BX67" i="1"/>
  <c r="BY67" i="1"/>
  <c r="BZ67" i="1"/>
  <c r="CA67" i="1"/>
  <c r="CB67" i="1"/>
  <c r="CC67" i="1"/>
  <c r="CD67" i="1"/>
  <c r="CE67" i="1"/>
  <c r="BT68" i="1"/>
  <c r="CF68" i="1" s="1"/>
  <c r="BU68" i="1"/>
  <c r="BV68" i="1"/>
  <c r="BW68" i="1"/>
  <c r="BX68" i="1"/>
  <c r="BY68" i="1"/>
  <c r="BZ68" i="1"/>
  <c r="CA68" i="1"/>
  <c r="CB68" i="1"/>
  <c r="CC68" i="1"/>
  <c r="CD68" i="1"/>
  <c r="CE68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BT72" i="1"/>
  <c r="BU72" i="1"/>
  <c r="BV72" i="1"/>
  <c r="BW72" i="1"/>
  <c r="BX72" i="1"/>
  <c r="BY72" i="1"/>
  <c r="CF72" i="1" s="1"/>
  <c r="BZ72" i="1"/>
  <c r="CA72" i="1"/>
  <c r="CB72" i="1"/>
  <c r="CC72" i="1"/>
  <c r="CD72" i="1"/>
  <c r="CE72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BT74" i="1"/>
  <c r="BU74" i="1"/>
  <c r="BV74" i="1"/>
  <c r="BW74" i="1"/>
  <c r="BX74" i="1"/>
  <c r="BY74" i="1"/>
  <c r="BZ74" i="1"/>
  <c r="CF74" i="1" s="1"/>
  <c r="CA74" i="1"/>
  <c r="CB74" i="1"/>
  <c r="CC74" i="1"/>
  <c r="CD74" i="1"/>
  <c r="CE74" i="1"/>
  <c r="BT75" i="1"/>
  <c r="BU75" i="1"/>
  <c r="BV75" i="1"/>
  <c r="BW75" i="1"/>
  <c r="BX75" i="1"/>
  <c r="BY75" i="1"/>
  <c r="BZ75" i="1"/>
  <c r="CA75" i="1"/>
  <c r="CF75" i="1" s="1"/>
  <c r="CB75" i="1"/>
  <c r="CC75" i="1"/>
  <c r="CD75" i="1"/>
  <c r="CE75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BT84" i="1"/>
  <c r="BU84" i="1"/>
  <c r="BV84" i="1"/>
  <c r="BW84" i="1"/>
  <c r="BX84" i="1"/>
  <c r="BY84" i="1"/>
  <c r="CF84" i="1" s="1"/>
  <c r="BZ84" i="1"/>
  <c r="CA84" i="1"/>
  <c r="CB84" i="1"/>
  <c r="CC84" i="1"/>
  <c r="CD84" i="1"/>
  <c r="CE84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BT87" i="1"/>
  <c r="CF87" i="1" s="1"/>
  <c r="BU87" i="1"/>
  <c r="BV87" i="1"/>
  <c r="BW87" i="1"/>
  <c r="BX87" i="1"/>
  <c r="BY87" i="1"/>
  <c r="BZ87" i="1"/>
  <c r="CA87" i="1"/>
  <c r="CB87" i="1"/>
  <c r="CC87" i="1"/>
  <c r="CD87" i="1"/>
  <c r="CE87" i="1"/>
  <c r="BT88" i="1"/>
  <c r="CF88" i="1" s="1"/>
  <c r="BU88" i="1"/>
  <c r="BV88" i="1"/>
  <c r="BW88" i="1"/>
  <c r="BX88" i="1"/>
  <c r="BY88" i="1"/>
  <c r="BZ88" i="1"/>
  <c r="CA88" i="1"/>
  <c r="CB88" i="1"/>
  <c r="CC88" i="1"/>
  <c r="CD88" i="1"/>
  <c r="CE88" i="1"/>
  <c r="BT89" i="1"/>
  <c r="CF89" i="1" s="1"/>
  <c r="BU89" i="1"/>
  <c r="BV89" i="1"/>
  <c r="BW89" i="1"/>
  <c r="BX89" i="1"/>
  <c r="BY89" i="1"/>
  <c r="BZ89" i="1"/>
  <c r="CA89" i="1"/>
  <c r="CB89" i="1"/>
  <c r="CC89" i="1"/>
  <c r="CD89" i="1"/>
  <c r="CE89" i="1"/>
  <c r="BT90" i="1"/>
  <c r="CF90" i="1" s="1"/>
  <c r="BU90" i="1"/>
  <c r="BV90" i="1"/>
  <c r="BW90" i="1"/>
  <c r="BX90" i="1"/>
  <c r="BY90" i="1"/>
  <c r="BZ90" i="1"/>
  <c r="CA90" i="1"/>
  <c r="CB90" i="1"/>
  <c r="CC90" i="1"/>
  <c r="CD90" i="1"/>
  <c r="CE90" i="1"/>
  <c r="BT91" i="1"/>
  <c r="CF91" i="1" s="1"/>
  <c r="BU91" i="1"/>
  <c r="BV91" i="1"/>
  <c r="BW91" i="1"/>
  <c r="BX91" i="1"/>
  <c r="BY91" i="1"/>
  <c r="BZ91" i="1"/>
  <c r="CA91" i="1"/>
  <c r="CB91" i="1"/>
  <c r="CC91" i="1"/>
  <c r="CD91" i="1"/>
  <c r="CE91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BT93" i="1"/>
  <c r="CF93" i="1" s="1"/>
  <c r="BU93" i="1"/>
  <c r="BV93" i="1"/>
  <c r="BW93" i="1"/>
  <c r="BX93" i="1"/>
  <c r="BY93" i="1"/>
  <c r="BZ93" i="1"/>
  <c r="CA93" i="1"/>
  <c r="CB93" i="1"/>
  <c r="CC93" i="1"/>
  <c r="CD93" i="1"/>
  <c r="CE93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BT96" i="1"/>
  <c r="CF96" i="1" s="1"/>
  <c r="BU96" i="1"/>
  <c r="BV96" i="1"/>
  <c r="BW96" i="1"/>
  <c r="BX96" i="1"/>
  <c r="BY96" i="1"/>
  <c r="BZ96" i="1"/>
  <c r="CA96" i="1"/>
  <c r="CB96" i="1"/>
  <c r="CC96" i="1"/>
  <c r="CD96" i="1"/>
  <c r="CE96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BT102" i="1"/>
  <c r="CF102" i="1" s="1"/>
  <c r="BU102" i="1"/>
  <c r="BV102" i="1"/>
  <c r="BW102" i="1"/>
  <c r="BX102" i="1"/>
  <c r="BY102" i="1"/>
  <c r="BZ102" i="1"/>
  <c r="CA102" i="1"/>
  <c r="CB102" i="1"/>
  <c r="CC102" i="1"/>
  <c r="CD102" i="1"/>
  <c r="CE102" i="1"/>
  <c r="BT103" i="1"/>
  <c r="BU103" i="1"/>
  <c r="BV103" i="1"/>
  <c r="BW103" i="1"/>
  <c r="BX103" i="1"/>
  <c r="BY103" i="1"/>
  <c r="BZ103" i="1"/>
  <c r="CA103" i="1"/>
  <c r="CB103" i="1"/>
  <c r="CC103" i="1"/>
  <c r="CD103" i="1"/>
  <c r="CE103" i="1"/>
  <c r="BT104" i="1"/>
  <c r="BU104" i="1"/>
  <c r="BV104" i="1"/>
  <c r="BW104" i="1"/>
  <c r="BX104" i="1"/>
  <c r="BY104" i="1"/>
  <c r="BZ104" i="1"/>
  <c r="CA104" i="1"/>
  <c r="CB104" i="1"/>
  <c r="CC104" i="1"/>
  <c r="CD104" i="1"/>
  <c r="CE104" i="1"/>
  <c r="BT105" i="1"/>
  <c r="BU105" i="1"/>
  <c r="BV105" i="1"/>
  <c r="BW105" i="1"/>
  <c r="BX105" i="1"/>
  <c r="BY105" i="1"/>
  <c r="BZ105" i="1"/>
  <c r="CA105" i="1"/>
  <c r="CB105" i="1"/>
  <c r="CC105" i="1"/>
  <c r="CD105" i="1"/>
  <c r="CE105" i="1"/>
  <c r="BT106" i="1"/>
  <c r="BU106" i="1"/>
  <c r="BV106" i="1"/>
  <c r="BW106" i="1"/>
  <c r="BX106" i="1"/>
  <c r="BY106" i="1"/>
  <c r="CF106" i="1" s="1"/>
  <c r="BZ106" i="1"/>
  <c r="CA106" i="1"/>
  <c r="CB106" i="1"/>
  <c r="CC106" i="1"/>
  <c r="CD106" i="1"/>
  <c r="CE106" i="1"/>
  <c r="BT107" i="1"/>
  <c r="BU107" i="1"/>
  <c r="BV107" i="1"/>
  <c r="BW107" i="1"/>
  <c r="BX107" i="1"/>
  <c r="BY107" i="1"/>
  <c r="BZ107" i="1"/>
  <c r="CA107" i="1"/>
  <c r="CB107" i="1"/>
  <c r="CC107" i="1"/>
  <c r="CD107" i="1"/>
  <c r="CE107" i="1"/>
  <c r="BT108" i="1"/>
  <c r="BU108" i="1"/>
  <c r="BV108" i="1"/>
  <c r="BW108" i="1"/>
  <c r="BX108" i="1"/>
  <c r="BY108" i="1"/>
  <c r="BZ108" i="1"/>
  <c r="CF108" i="1" s="1"/>
  <c r="CA108" i="1"/>
  <c r="CB108" i="1"/>
  <c r="CC108" i="1"/>
  <c r="CD108" i="1"/>
  <c r="CE108" i="1"/>
  <c r="BT109" i="1"/>
  <c r="BU109" i="1"/>
  <c r="BV109" i="1"/>
  <c r="BW109" i="1"/>
  <c r="BX109" i="1"/>
  <c r="BY109" i="1"/>
  <c r="BZ109" i="1"/>
  <c r="CA109" i="1"/>
  <c r="CB109" i="1"/>
  <c r="CC109" i="1"/>
  <c r="CD109" i="1"/>
  <c r="CE109" i="1"/>
  <c r="BT110" i="1"/>
  <c r="BU110" i="1"/>
  <c r="BV110" i="1"/>
  <c r="BW110" i="1"/>
  <c r="BX110" i="1"/>
  <c r="BY110" i="1"/>
  <c r="BZ110" i="1"/>
  <c r="CA110" i="1"/>
  <c r="CB110" i="1"/>
  <c r="CC110" i="1"/>
  <c r="CD110" i="1"/>
  <c r="CE110" i="1"/>
  <c r="BT111" i="1"/>
  <c r="BU111" i="1"/>
  <c r="BV111" i="1"/>
  <c r="BW111" i="1"/>
  <c r="BX111" i="1"/>
  <c r="BY111" i="1"/>
  <c r="BZ111" i="1"/>
  <c r="CA111" i="1"/>
  <c r="CB111" i="1"/>
  <c r="CC111" i="1"/>
  <c r="CD111" i="1"/>
  <c r="CE111" i="1"/>
  <c r="BT112" i="1"/>
  <c r="BU112" i="1"/>
  <c r="BV112" i="1"/>
  <c r="BW112" i="1"/>
  <c r="BX112" i="1"/>
  <c r="BY112" i="1"/>
  <c r="BZ112" i="1"/>
  <c r="CA112" i="1"/>
  <c r="CB112" i="1"/>
  <c r="CC112" i="1"/>
  <c r="CD112" i="1"/>
  <c r="CE112" i="1"/>
  <c r="BT113" i="1"/>
  <c r="BU113" i="1"/>
  <c r="BV113" i="1"/>
  <c r="BW113" i="1"/>
  <c r="BX113" i="1"/>
  <c r="BY113" i="1"/>
  <c r="BZ113" i="1"/>
  <c r="CA113" i="1"/>
  <c r="CB113" i="1"/>
  <c r="CC113" i="1"/>
  <c r="CD113" i="1"/>
  <c r="CE113" i="1"/>
  <c r="BT114" i="1"/>
  <c r="BU114" i="1"/>
  <c r="BV114" i="1"/>
  <c r="BW114" i="1"/>
  <c r="BX114" i="1"/>
  <c r="BY114" i="1"/>
  <c r="BZ114" i="1"/>
  <c r="CA114" i="1"/>
  <c r="CB114" i="1"/>
  <c r="CC114" i="1"/>
  <c r="CD114" i="1"/>
  <c r="CE114" i="1"/>
  <c r="BT115" i="1"/>
  <c r="BU115" i="1"/>
  <c r="BV115" i="1"/>
  <c r="BW115" i="1"/>
  <c r="BX115" i="1"/>
  <c r="BY115" i="1"/>
  <c r="BZ115" i="1"/>
  <c r="CA115" i="1"/>
  <c r="CB115" i="1"/>
  <c r="CC115" i="1"/>
  <c r="CD115" i="1"/>
  <c r="CE115" i="1"/>
  <c r="BT116" i="1"/>
  <c r="BU116" i="1"/>
  <c r="BV116" i="1"/>
  <c r="BW116" i="1"/>
  <c r="BX116" i="1"/>
  <c r="BY116" i="1"/>
  <c r="BZ116" i="1"/>
  <c r="CA116" i="1"/>
  <c r="CB116" i="1"/>
  <c r="CC116" i="1"/>
  <c r="CD116" i="1"/>
  <c r="CE116" i="1"/>
  <c r="BT117" i="1"/>
  <c r="BU117" i="1"/>
  <c r="BV117" i="1"/>
  <c r="BW117" i="1"/>
  <c r="BX117" i="1"/>
  <c r="BY117" i="1"/>
  <c r="BZ117" i="1"/>
  <c r="CA117" i="1"/>
  <c r="CB117" i="1"/>
  <c r="CC117" i="1"/>
  <c r="CD117" i="1"/>
  <c r="CE117" i="1"/>
  <c r="BT118" i="1"/>
  <c r="BU118" i="1"/>
  <c r="BV118" i="1"/>
  <c r="BW118" i="1"/>
  <c r="BX118" i="1"/>
  <c r="BY118" i="1"/>
  <c r="BZ118" i="1"/>
  <c r="CA118" i="1"/>
  <c r="CB118" i="1"/>
  <c r="CC118" i="1"/>
  <c r="CD118" i="1"/>
  <c r="CE118" i="1"/>
  <c r="BT119" i="1"/>
  <c r="BU119" i="1"/>
  <c r="BV119" i="1"/>
  <c r="BW119" i="1"/>
  <c r="BX119" i="1"/>
  <c r="BY119" i="1"/>
  <c r="BZ119" i="1"/>
  <c r="CA119" i="1"/>
  <c r="CB119" i="1"/>
  <c r="CC119" i="1"/>
  <c r="CD119" i="1"/>
  <c r="CE119" i="1"/>
  <c r="BT120" i="1"/>
  <c r="BU120" i="1"/>
  <c r="BV120" i="1"/>
  <c r="BW120" i="1"/>
  <c r="BX120" i="1"/>
  <c r="BY120" i="1"/>
  <c r="BZ120" i="1"/>
  <c r="CA120" i="1"/>
  <c r="CB120" i="1"/>
  <c r="CC120" i="1"/>
  <c r="CD120" i="1"/>
  <c r="CE120" i="1"/>
  <c r="BT121" i="1"/>
  <c r="BU121" i="1"/>
  <c r="BV121" i="1"/>
  <c r="BW121" i="1"/>
  <c r="BX121" i="1"/>
  <c r="BY121" i="1"/>
  <c r="BZ121" i="1"/>
  <c r="CA121" i="1"/>
  <c r="CB121" i="1"/>
  <c r="CC121" i="1"/>
  <c r="CD121" i="1"/>
  <c r="CE121" i="1"/>
  <c r="BT122" i="1"/>
  <c r="BU122" i="1"/>
  <c r="BV122" i="1"/>
  <c r="BW122" i="1"/>
  <c r="BX122" i="1"/>
  <c r="BY122" i="1"/>
  <c r="BZ122" i="1"/>
  <c r="CA122" i="1"/>
  <c r="CB122" i="1"/>
  <c r="CC122" i="1"/>
  <c r="CD122" i="1"/>
  <c r="CE122" i="1"/>
  <c r="BT123" i="1"/>
  <c r="BU123" i="1"/>
  <c r="BV123" i="1"/>
  <c r="BW123" i="1"/>
  <c r="BX123" i="1"/>
  <c r="BY123" i="1"/>
  <c r="BZ123" i="1"/>
  <c r="CA123" i="1"/>
  <c r="CB123" i="1"/>
  <c r="CC123" i="1"/>
  <c r="CD123" i="1"/>
  <c r="CE123" i="1"/>
  <c r="BT124" i="1"/>
  <c r="BU124" i="1"/>
  <c r="BV124" i="1"/>
  <c r="BW124" i="1"/>
  <c r="BX124" i="1"/>
  <c r="BY124" i="1"/>
  <c r="BZ124" i="1"/>
  <c r="CA124" i="1"/>
  <c r="CB124" i="1"/>
  <c r="CC124" i="1"/>
  <c r="CD124" i="1"/>
  <c r="CE124" i="1"/>
  <c r="BT125" i="1"/>
  <c r="BU125" i="1"/>
  <c r="BV125" i="1"/>
  <c r="BW125" i="1"/>
  <c r="BX125" i="1"/>
  <c r="BY125" i="1"/>
  <c r="BZ125" i="1"/>
  <c r="CA125" i="1"/>
  <c r="CB125" i="1"/>
  <c r="CC125" i="1"/>
  <c r="CD125" i="1"/>
  <c r="CE125" i="1"/>
  <c r="BT126" i="1"/>
  <c r="BU126" i="1"/>
  <c r="BV126" i="1"/>
  <c r="BW126" i="1"/>
  <c r="BX126" i="1"/>
  <c r="BY126" i="1"/>
  <c r="BZ126" i="1"/>
  <c r="CA126" i="1"/>
  <c r="CB126" i="1"/>
  <c r="CC126" i="1"/>
  <c r="CD126" i="1"/>
  <c r="CE126" i="1"/>
  <c r="BT127" i="1"/>
  <c r="BU127" i="1"/>
  <c r="BV127" i="1"/>
  <c r="BW127" i="1"/>
  <c r="BX127" i="1"/>
  <c r="BY127" i="1"/>
  <c r="BZ127" i="1"/>
  <c r="CA127" i="1"/>
  <c r="CB127" i="1"/>
  <c r="CC127" i="1"/>
  <c r="CD127" i="1"/>
  <c r="CE127" i="1"/>
  <c r="BT128" i="1"/>
  <c r="BU128" i="1"/>
  <c r="BV128" i="1"/>
  <c r="BW128" i="1"/>
  <c r="BX128" i="1"/>
  <c r="BY128" i="1"/>
  <c r="BZ128" i="1"/>
  <c r="CA128" i="1"/>
  <c r="CB128" i="1"/>
  <c r="CC128" i="1"/>
  <c r="CD128" i="1"/>
  <c r="CE128" i="1"/>
  <c r="BT129" i="1"/>
  <c r="BU129" i="1"/>
  <c r="BV129" i="1"/>
  <c r="BW129" i="1"/>
  <c r="BX129" i="1"/>
  <c r="BY129" i="1"/>
  <c r="BZ129" i="1"/>
  <c r="CA129" i="1"/>
  <c r="CB129" i="1"/>
  <c r="CC129" i="1"/>
  <c r="CD129" i="1"/>
  <c r="CE129" i="1"/>
  <c r="BT130" i="1"/>
  <c r="BU130" i="1"/>
  <c r="BV130" i="1"/>
  <c r="BW130" i="1"/>
  <c r="BX130" i="1"/>
  <c r="BY130" i="1"/>
  <c r="BZ130" i="1"/>
  <c r="CA130" i="1"/>
  <c r="CB130" i="1"/>
  <c r="CC130" i="1"/>
  <c r="CD130" i="1"/>
  <c r="CE130" i="1"/>
  <c r="BT131" i="1"/>
  <c r="BU131" i="1"/>
  <c r="BV131" i="1"/>
  <c r="BW131" i="1"/>
  <c r="BX131" i="1"/>
  <c r="BY131" i="1"/>
  <c r="BZ131" i="1"/>
  <c r="CA131" i="1"/>
  <c r="CB131" i="1"/>
  <c r="CC131" i="1"/>
  <c r="CD131" i="1"/>
  <c r="CE131" i="1"/>
  <c r="BT132" i="1"/>
  <c r="BU132" i="1"/>
  <c r="BV132" i="1"/>
  <c r="BW132" i="1"/>
  <c r="BX132" i="1"/>
  <c r="BY132" i="1"/>
  <c r="BZ132" i="1"/>
  <c r="CA132" i="1"/>
  <c r="CB132" i="1"/>
  <c r="CC132" i="1"/>
  <c r="CD132" i="1"/>
  <c r="CE132" i="1"/>
  <c r="BT133" i="1"/>
  <c r="BU133" i="1"/>
  <c r="BV133" i="1"/>
  <c r="BW133" i="1"/>
  <c r="BX133" i="1"/>
  <c r="BY133" i="1"/>
  <c r="BZ133" i="1"/>
  <c r="CA133" i="1"/>
  <c r="CB133" i="1"/>
  <c r="CC133" i="1"/>
  <c r="CD133" i="1"/>
  <c r="CE133" i="1"/>
  <c r="BT134" i="1"/>
  <c r="BU134" i="1"/>
  <c r="BV134" i="1"/>
  <c r="BW134" i="1"/>
  <c r="BX134" i="1"/>
  <c r="BY134" i="1"/>
  <c r="BZ134" i="1"/>
  <c r="CA134" i="1"/>
  <c r="CB134" i="1"/>
  <c r="CC134" i="1"/>
  <c r="CD134" i="1"/>
  <c r="CE134" i="1"/>
  <c r="BT135" i="1"/>
  <c r="BU135" i="1"/>
  <c r="BV135" i="1"/>
  <c r="BW135" i="1"/>
  <c r="BX135" i="1"/>
  <c r="BY135" i="1"/>
  <c r="BZ135" i="1"/>
  <c r="CA135" i="1"/>
  <c r="CB135" i="1"/>
  <c r="CC135" i="1"/>
  <c r="CD135" i="1"/>
  <c r="CE135" i="1"/>
  <c r="BT136" i="1"/>
  <c r="BU136" i="1"/>
  <c r="BV136" i="1"/>
  <c r="BW136" i="1"/>
  <c r="BX136" i="1"/>
  <c r="BY136" i="1"/>
  <c r="BZ136" i="1"/>
  <c r="CA136" i="1"/>
  <c r="CB136" i="1"/>
  <c r="CC136" i="1"/>
  <c r="CD136" i="1"/>
  <c r="CE136" i="1"/>
  <c r="BT137" i="1"/>
  <c r="BU137" i="1"/>
  <c r="BV137" i="1"/>
  <c r="BW137" i="1"/>
  <c r="BX137" i="1"/>
  <c r="BY137" i="1"/>
  <c r="BZ137" i="1"/>
  <c r="CA137" i="1"/>
  <c r="CB137" i="1"/>
  <c r="CC137" i="1"/>
  <c r="CD137" i="1"/>
  <c r="CE137" i="1"/>
  <c r="BT138" i="1"/>
  <c r="BU138" i="1"/>
  <c r="BV138" i="1"/>
  <c r="BW138" i="1"/>
  <c r="BX138" i="1"/>
  <c r="BY138" i="1"/>
  <c r="BZ138" i="1"/>
  <c r="CA138" i="1"/>
  <c r="CB138" i="1"/>
  <c r="CC138" i="1"/>
  <c r="CD138" i="1"/>
  <c r="CE138" i="1"/>
  <c r="BT139" i="1"/>
  <c r="BU139" i="1"/>
  <c r="BV139" i="1"/>
  <c r="BW139" i="1"/>
  <c r="BX139" i="1"/>
  <c r="BY139" i="1"/>
  <c r="BZ139" i="1"/>
  <c r="CA139" i="1"/>
  <c r="CF139" i="1" s="1"/>
  <c r="CB139" i="1"/>
  <c r="CC139" i="1"/>
  <c r="CD139" i="1"/>
  <c r="CE139" i="1"/>
  <c r="BT140" i="1"/>
  <c r="CF140" i="1" s="1"/>
  <c r="BU140" i="1"/>
  <c r="BV140" i="1"/>
  <c r="BW140" i="1"/>
  <c r="BX140" i="1"/>
  <c r="BY140" i="1"/>
  <c r="BZ140" i="1"/>
  <c r="CA140" i="1"/>
  <c r="CB140" i="1"/>
  <c r="CC140" i="1"/>
  <c r="CD140" i="1"/>
  <c r="CE140" i="1"/>
  <c r="BT141" i="1"/>
  <c r="BU141" i="1"/>
  <c r="BV141" i="1"/>
  <c r="BW141" i="1"/>
  <c r="BX141" i="1"/>
  <c r="BY141" i="1"/>
  <c r="BZ141" i="1"/>
  <c r="CA141" i="1"/>
  <c r="CB141" i="1"/>
  <c r="CC141" i="1"/>
  <c r="CD141" i="1"/>
  <c r="CE141" i="1"/>
  <c r="BT142" i="1"/>
  <c r="CF142" i="1" s="1"/>
  <c r="BU142" i="1"/>
  <c r="BV142" i="1"/>
  <c r="BW142" i="1"/>
  <c r="BX142" i="1"/>
  <c r="BY142" i="1"/>
  <c r="BZ142" i="1"/>
  <c r="CA142" i="1"/>
  <c r="CB142" i="1"/>
  <c r="CC142" i="1"/>
  <c r="CD142" i="1"/>
  <c r="CE142" i="1"/>
  <c r="BT143" i="1"/>
  <c r="BU143" i="1"/>
  <c r="BV143" i="1"/>
  <c r="BW143" i="1"/>
  <c r="BX143" i="1"/>
  <c r="BY143" i="1"/>
  <c r="BZ143" i="1"/>
  <c r="CA143" i="1"/>
  <c r="CB143" i="1"/>
  <c r="CC143" i="1"/>
  <c r="CD143" i="1"/>
  <c r="CE143" i="1"/>
  <c r="BT144" i="1"/>
  <c r="BU144" i="1"/>
  <c r="BV144" i="1"/>
  <c r="BW144" i="1"/>
  <c r="BX144" i="1"/>
  <c r="BY144" i="1"/>
  <c r="BZ144" i="1"/>
  <c r="CA144" i="1"/>
  <c r="CB144" i="1"/>
  <c r="CC144" i="1"/>
  <c r="CD144" i="1"/>
  <c r="CE144" i="1"/>
  <c r="BT145" i="1"/>
  <c r="CF145" i="1" s="1"/>
  <c r="BU145" i="1"/>
  <c r="BV145" i="1"/>
  <c r="BW145" i="1"/>
  <c r="BX145" i="1"/>
  <c r="BY145" i="1"/>
  <c r="BZ145" i="1"/>
  <c r="CA145" i="1"/>
  <c r="CB145" i="1"/>
  <c r="CC145" i="1"/>
  <c r="CD145" i="1"/>
  <c r="CE145" i="1"/>
  <c r="BT146" i="1"/>
  <c r="CF146" i="1" s="1"/>
  <c r="BU146" i="1"/>
  <c r="BV146" i="1"/>
  <c r="BW146" i="1"/>
  <c r="BX146" i="1"/>
  <c r="BY146" i="1"/>
  <c r="BZ146" i="1"/>
  <c r="CA146" i="1"/>
  <c r="CB146" i="1"/>
  <c r="CC146" i="1"/>
  <c r="CD146" i="1"/>
  <c r="CE146" i="1"/>
  <c r="BT147" i="1"/>
  <c r="BU147" i="1"/>
  <c r="BV147" i="1"/>
  <c r="BW147" i="1"/>
  <c r="BX147" i="1"/>
  <c r="BY147" i="1"/>
  <c r="BZ147" i="1"/>
  <c r="CA147" i="1"/>
  <c r="CB147" i="1"/>
  <c r="CC147" i="1"/>
  <c r="CD147" i="1"/>
  <c r="CE147" i="1"/>
  <c r="BT148" i="1"/>
  <c r="BU148" i="1"/>
  <c r="BV148" i="1"/>
  <c r="BW148" i="1"/>
  <c r="BX148" i="1"/>
  <c r="BY148" i="1"/>
  <c r="BZ148" i="1"/>
  <c r="CA148" i="1"/>
  <c r="CB148" i="1"/>
  <c r="CC148" i="1"/>
  <c r="CD148" i="1"/>
  <c r="CE148" i="1"/>
  <c r="BP3" i="1"/>
  <c r="BP4" i="1"/>
  <c r="BP5" i="1"/>
  <c r="BP6" i="1"/>
  <c r="BP7" i="1"/>
  <c r="BP8" i="1"/>
  <c r="BP9" i="1"/>
  <c r="BP10" i="1"/>
  <c r="BP11" i="1"/>
  <c r="BP12" i="1"/>
  <c r="BP13" i="1"/>
  <c r="BP14" i="1"/>
  <c r="BP15" i="1"/>
  <c r="BP16" i="1"/>
  <c r="BP17" i="1"/>
  <c r="BP18" i="1"/>
  <c r="BP19" i="1"/>
  <c r="BP20" i="1"/>
  <c r="BP21" i="1"/>
  <c r="BP22" i="1"/>
  <c r="BP23" i="1"/>
  <c r="BP24" i="1"/>
  <c r="BP25" i="1"/>
  <c r="BP26" i="1"/>
  <c r="BP27" i="1"/>
  <c r="BP28" i="1"/>
  <c r="BP29" i="1"/>
  <c r="BP30" i="1"/>
  <c r="BP31" i="1"/>
  <c r="BP32" i="1"/>
  <c r="BP33" i="1"/>
  <c r="BP34" i="1"/>
  <c r="BP35" i="1"/>
  <c r="BP36" i="1"/>
  <c r="BP37" i="1"/>
  <c r="BP38" i="1"/>
  <c r="BP39" i="1"/>
  <c r="BP40" i="1"/>
  <c r="BP41" i="1"/>
  <c r="BP42" i="1"/>
  <c r="BP43" i="1"/>
  <c r="BP44" i="1"/>
  <c r="BP45" i="1"/>
  <c r="BP46" i="1"/>
  <c r="BP47" i="1"/>
  <c r="BP48" i="1"/>
  <c r="BP49" i="1"/>
  <c r="BP50" i="1"/>
  <c r="BP51" i="1"/>
  <c r="BP52" i="1"/>
  <c r="BP53" i="1"/>
  <c r="BP54" i="1"/>
  <c r="BP55" i="1"/>
  <c r="BP56" i="1"/>
  <c r="BP57" i="1"/>
  <c r="BP58" i="1"/>
  <c r="BP59" i="1"/>
  <c r="BP60" i="1"/>
  <c r="BP61" i="1"/>
  <c r="BP62" i="1"/>
  <c r="BP63" i="1"/>
  <c r="BP64" i="1"/>
  <c r="BP65" i="1"/>
  <c r="BP66" i="1"/>
  <c r="BP67" i="1"/>
  <c r="BP68" i="1"/>
  <c r="BP69" i="1"/>
  <c r="BP70" i="1"/>
  <c r="BP71" i="1"/>
  <c r="BP72" i="1"/>
  <c r="BP73" i="1"/>
  <c r="BP74" i="1"/>
  <c r="BP75" i="1"/>
  <c r="BP76" i="1"/>
  <c r="BP77" i="1"/>
  <c r="BP78" i="1"/>
  <c r="BP79" i="1"/>
  <c r="BP80" i="1"/>
  <c r="BP81" i="1"/>
  <c r="BP82" i="1"/>
  <c r="BP83" i="1"/>
  <c r="BP84" i="1"/>
  <c r="BP85" i="1"/>
  <c r="BP86" i="1"/>
  <c r="BP87" i="1"/>
  <c r="BP88" i="1"/>
  <c r="BP89" i="1"/>
  <c r="BP90" i="1"/>
  <c r="BP91" i="1"/>
  <c r="BP92" i="1"/>
  <c r="BP93" i="1"/>
  <c r="BP94" i="1"/>
  <c r="BP95" i="1"/>
  <c r="BP96" i="1"/>
  <c r="BP97" i="1"/>
  <c r="BP98" i="1"/>
  <c r="BP99" i="1"/>
  <c r="BP100" i="1"/>
  <c r="BP101" i="1"/>
  <c r="BP102" i="1"/>
  <c r="BP103" i="1"/>
  <c r="BP104" i="1"/>
  <c r="BP105" i="1"/>
  <c r="BP106" i="1"/>
  <c r="BP107" i="1"/>
  <c r="BP108" i="1"/>
  <c r="BP109" i="1"/>
  <c r="BP110" i="1"/>
  <c r="BP111" i="1"/>
  <c r="BP112" i="1"/>
  <c r="BP113" i="1"/>
  <c r="BP114" i="1"/>
  <c r="BP115" i="1"/>
  <c r="BP116" i="1"/>
  <c r="BP117" i="1"/>
  <c r="BP118" i="1"/>
  <c r="BP119" i="1"/>
  <c r="BP120" i="1"/>
  <c r="BP121" i="1"/>
  <c r="BP122" i="1"/>
  <c r="BP123" i="1"/>
  <c r="BP124" i="1"/>
  <c r="BP125" i="1"/>
  <c r="BP126" i="1"/>
  <c r="BP127" i="1"/>
  <c r="BP128" i="1"/>
  <c r="BP129" i="1"/>
  <c r="BP130" i="1"/>
  <c r="BP131" i="1"/>
  <c r="BP132" i="1"/>
  <c r="BP133" i="1"/>
  <c r="BP134" i="1"/>
  <c r="BP135" i="1"/>
  <c r="BP136" i="1"/>
  <c r="BP137" i="1"/>
  <c r="BP138" i="1"/>
  <c r="BP139" i="1"/>
  <c r="BP140" i="1"/>
  <c r="BP141" i="1"/>
  <c r="BP142" i="1"/>
  <c r="BP143" i="1"/>
  <c r="BP144" i="1"/>
  <c r="BP145" i="1"/>
  <c r="BP146" i="1"/>
  <c r="BP147" i="1"/>
  <c r="BP148" i="1"/>
  <c r="CS145" i="1" l="1"/>
  <c r="CM145" i="1" l="1"/>
  <c r="CO145" i="1" l="1"/>
  <c r="CK145" i="1"/>
  <c r="CI145" i="1"/>
  <c r="CN145" i="1"/>
  <c r="CP145" i="1"/>
  <c r="CJ145" i="1"/>
  <c r="CL145" i="1"/>
  <c r="CG145" i="1"/>
  <c r="CQ145" i="1"/>
  <c r="CH145" i="1"/>
  <c r="CR145" i="1"/>
  <c r="CS3" i="1"/>
  <c r="CS4" i="1"/>
  <c r="CS5" i="1"/>
  <c r="CS89" i="1"/>
  <c r="CS24" i="1"/>
  <c r="CS25" i="1"/>
  <c r="CS15" i="1"/>
  <c r="CS65" i="1"/>
  <c r="CS13" i="1"/>
  <c r="CS30" i="1"/>
  <c r="CS31" i="1"/>
  <c r="CS32" i="1"/>
  <c r="CS33" i="1"/>
  <c r="CS34" i="1"/>
  <c r="CS35" i="1"/>
  <c r="CS36" i="1"/>
  <c r="CS52" i="1"/>
  <c r="CS19" i="1"/>
  <c r="CS68" i="1"/>
  <c r="CS26" i="1"/>
  <c r="CS27" i="1"/>
  <c r="CS64" i="1"/>
  <c r="CS14" i="1"/>
  <c r="CS62" i="1"/>
  <c r="CS40" i="1"/>
  <c r="CS74" i="1"/>
  <c r="CS45" i="1"/>
  <c r="CS49" i="1"/>
  <c r="CS50" i="1"/>
  <c r="CS51" i="1"/>
  <c r="CS6" i="1"/>
  <c r="CS23" i="1"/>
  <c r="CS84" i="1"/>
  <c r="CS90" i="1"/>
  <c r="CS63" i="1"/>
  <c r="CS46" i="1"/>
  <c r="CS39" i="1"/>
  <c r="CS66" i="1"/>
  <c r="CS67" i="1"/>
  <c r="CS91" i="1"/>
  <c r="CS87" i="1"/>
  <c r="CS88" i="1"/>
  <c r="CS93" i="1"/>
  <c r="CS72" i="1"/>
  <c r="CS75" i="1"/>
  <c r="CS140" i="1"/>
  <c r="CS96" i="1"/>
  <c r="CS22" i="1"/>
  <c r="CS102" i="1"/>
  <c r="CS139" i="1"/>
  <c r="CS108" i="1"/>
  <c r="CS106" i="1"/>
  <c r="CS146" i="1"/>
  <c r="CS142" i="1"/>
  <c r="CS2" i="1"/>
  <c r="CS149" i="1" l="1"/>
  <c r="BU2" i="1"/>
  <c r="BV2" i="1"/>
  <c r="BW2" i="1"/>
  <c r="BX2" i="1"/>
  <c r="BY2" i="1"/>
  <c r="BZ2" i="1"/>
  <c r="CA2" i="1"/>
  <c r="CB2" i="1"/>
  <c r="CC2" i="1"/>
  <c r="CD2" i="1"/>
  <c r="CE2" i="1"/>
  <c r="BT2" i="1"/>
  <c r="CR65" i="1" l="1"/>
  <c r="CR31" i="1"/>
  <c r="CN30" i="1"/>
  <c r="CH15" i="1"/>
  <c r="CA149" i="1"/>
  <c r="CC149" i="1"/>
  <c r="BX149" i="1"/>
  <c r="BZ149" i="1"/>
  <c r="BV149" i="1"/>
  <c r="BU149" i="1"/>
  <c r="CD149" i="1"/>
  <c r="BY149" i="1"/>
  <c r="CB149" i="1"/>
  <c r="CE149" i="1"/>
  <c r="CK22" i="1"/>
  <c r="CM19" i="1"/>
  <c r="CI50" i="1"/>
  <c r="CJ46" i="1"/>
  <c r="CG75" i="1"/>
  <c r="CN5" i="1"/>
  <c r="CN4" i="1"/>
  <c r="CN3" i="1"/>
  <c r="CG142" i="1"/>
  <c r="CK102" i="1"/>
  <c r="CK139" i="1"/>
  <c r="CR96" i="1"/>
  <c r="CJ88" i="1"/>
  <c r="CH63" i="1"/>
  <c r="CQ68" i="1"/>
  <c r="CR64" i="1"/>
  <c r="CH26" i="1"/>
  <c r="CN90" i="1"/>
  <c r="CH52" i="1"/>
  <c r="CL49" i="1"/>
  <c r="CH74" i="1"/>
  <c r="CO14" i="1"/>
  <c r="CO13" i="1"/>
  <c r="CH35" i="1"/>
  <c r="CP34" i="1"/>
  <c r="CN33" i="1"/>
  <c r="CR32" i="1"/>
  <c r="CG84" i="1"/>
  <c r="CQ89" i="1"/>
  <c r="CN25" i="1"/>
  <c r="CI24" i="1"/>
  <c r="CR146" i="1"/>
  <c r="CJ62" i="1"/>
  <c r="CO106" i="1"/>
  <c r="CN140" i="1"/>
  <c r="CR87" i="1"/>
  <c r="CP6" i="1"/>
  <c r="CR91" i="1"/>
  <c r="CH40" i="1"/>
  <c r="CK27" i="1"/>
  <c r="CN67" i="1"/>
  <c r="CL66" i="1"/>
  <c r="CN93" i="1"/>
  <c r="CI39" i="1"/>
  <c r="CH23" i="1"/>
  <c r="CO51" i="1"/>
  <c r="CM45" i="1"/>
  <c r="CM36" i="1"/>
  <c r="CF2" i="1"/>
  <c r="CH2" i="1" s="1"/>
  <c r="CK72" i="1"/>
  <c r="CG108" i="1"/>
  <c r="BW149" i="1"/>
  <c r="BT149" i="1"/>
  <c r="BP2" i="1"/>
  <c r="CO15" i="1" l="1"/>
  <c r="CN35" i="1"/>
  <c r="CK35" i="1"/>
  <c r="CP4" i="1"/>
  <c r="CJ64" i="1"/>
  <c r="CI19" i="1"/>
  <c r="CJ5" i="1"/>
  <c r="CQ24" i="1"/>
  <c r="CG15" i="1"/>
  <c r="CH19" i="1"/>
  <c r="CP19" i="1"/>
  <c r="CG19" i="1"/>
  <c r="CR19" i="1"/>
  <c r="CN68" i="1"/>
  <c r="CK19" i="1"/>
  <c r="CI22" i="1"/>
  <c r="CP22" i="1"/>
  <c r="CQ22" i="1"/>
  <c r="CH22" i="1"/>
  <c r="CO22" i="1"/>
  <c r="CG22" i="1"/>
  <c r="CP13" i="1"/>
  <c r="CO91" i="1"/>
  <c r="CR66" i="1"/>
  <c r="CP35" i="1"/>
  <c r="CN24" i="1"/>
  <c r="CQ46" i="1"/>
  <c r="CJ4" i="1"/>
  <c r="CL4" i="1"/>
  <c r="CM22" i="1"/>
  <c r="CM66" i="1"/>
  <c r="CK32" i="1"/>
  <c r="CN96" i="1"/>
  <c r="CN46" i="1"/>
  <c r="CO96" i="1"/>
  <c r="CM46" i="1"/>
  <c r="CI46" i="1"/>
  <c r="CR46" i="1"/>
  <c r="CL52" i="1"/>
  <c r="CN2" i="1"/>
  <c r="CK46" i="1"/>
  <c r="CL102" i="1"/>
  <c r="CQ25" i="1"/>
  <c r="CI90" i="1"/>
  <c r="CQ102" i="1"/>
  <c r="CJ102" i="1"/>
  <c r="CH46" i="1"/>
  <c r="CP46" i="1"/>
  <c r="CH89" i="1"/>
  <c r="CG68" i="1"/>
  <c r="CG46" i="1"/>
  <c r="CO68" i="1"/>
  <c r="CR15" i="1"/>
  <c r="CO46" i="1"/>
  <c r="CL15" i="1"/>
  <c r="CR3" i="1"/>
  <c r="CL46" i="1"/>
  <c r="CI96" i="1"/>
  <c r="CO102" i="1"/>
  <c r="CQ96" i="1"/>
  <c r="CM32" i="1"/>
  <c r="CP89" i="1"/>
  <c r="CJ68" i="1"/>
  <c r="CR75" i="1"/>
  <c r="CQ75" i="1"/>
  <c r="CP75" i="1"/>
  <c r="CM14" i="1"/>
  <c r="CN75" i="1"/>
  <c r="CM75" i="1"/>
  <c r="CJ75" i="1"/>
  <c r="CJ50" i="1"/>
  <c r="CO75" i="1"/>
  <c r="CP45" i="1"/>
  <c r="CH75" i="1"/>
  <c r="CG45" i="1"/>
  <c r="CK75" i="1"/>
  <c r="CI75" i="1"/>
  <c r="CR49" i="1"/>
  <c r="CL88" i="1"/>
  <c r="CQ31" i="1"/>
  <c r="CQ88" i="1"/>
  <c r="CK49" i="1"/>
  <c r="CK62" i="1"/>
  <c r="CN31" i="1"/>
  <c r="CN91" i="1"/>
  <c r="CP31" i="1"/>
  <c r="CL62" i="1"/>
  <c r="CH31" i="1"/>
  <c r="CO62" i="1"/>
  <c r="CO31" i="1"/>
  <c r="CN88" i="1"/>
  <c r="CI62" i="1"/>
  <c r="CK31" i="1"/>
  <c r="CM88" i="1"/>
  <c r="CH62" i="1"/>
  <c r="CO88" i="1"/>
  <c r="CI88" i="1"/>
  <c r="CR62" i="1"/>
  <c r="CI31" i="1"/>
  <c r="CQ49" i="1"/>
  <c r="CH88" i="1"/>
  <c r="CQ62" i="1"/>
  <c r="CP49" i="1"/>
  <c r="CG88" i="1"/>
  <c r="CN62" i="1"/>
  <c r="CR2" i="1"/>
  <c r="CM93" i="1"/>
  <c r="CJ49" i="1"/>
  <c r="CM49" i="1"/>
  <c r="CR88" i="1"/>
  <c r="CI72" i="1"/>
  <c r="CJ31" i="1"/>
  <c r="CR24" i="1"/>
  <c r="CK146" i="1"/>
  <c r="CO89" i="1"/>
  <c r="CR68" i="1"/>
  <c r="CG35" i="1"/>
  <c r="CP14" i="1"/>
  <c r="CL96" i="1"/>
  <c r="CL24" i="1"/>
  <c r="CI13" i="1"/>
  <c r="CR39" i="1"/>
  <c r="CJ22" i="1"/>
  <c r="CL14" i="1"/>
  <c r="CM3" i="1"/>
  <c r="CJ19" i="1"/>
  <c r="CM2" i="1"/>
  <c r="CK106" i="1"/>
  <c r="CJ2" i="1"/>
  <c r="CM26" i="1"/>
  <c r="CP27" i="1"/>
  <c r="CQ87" i="1"/>
  <c r="CI3" i="1"/>
  <c r="CN19" i="1"/>
  <c r="CJ15" i="1"/>
  <c r="CI2" i="1"/>
  <c r="CM146" i="1"/>
  <c r="CP91" i="1"/>
  <c r="CL87" i="1"/>
  <c r="CG3" i="1"/>
  <c r="CM39" i="1"/>
  <c r="CM15" i="1"/>
  <c r="CN89" i="1"/>
  <c r="CK90" i="1"/>
  <c r="CM68" i="1"/>
  <c r="CQ35" i="1"/>
  <c r="CR22" i="1"/>
  <c r="CH96" i="1"/>
  <c r="CP64" i="1"/>
  <c r="CM24" i="1"/>
  <c r="CI108" i="1"/>
  <c r="CO19" i="1"/>
  <c r="CN26" i="1"/>
  <c r="CL108" i="1"/>
  <c r="CL89" i="1"/>
  <c r="CQ90" i="1"/>
  <c r="CO108" i="1"/>
  <c r="CL68" i="1"/>
  <c r="CO39" i="1"/>
  <c r="CI15" i="1"/>
  <c r="CG63" i="1"/>
  <c r="CH4" i="1"/>
  <c r="CG24" i="1"/>
  <c r="CR108" i="1"/>
  <c r="CL19" i="1"/>
  <c r="CK89" i="1"/>
  <c r="CO90" i="1"/>
  <c r="CK68" i="1"/>
  <c r="CL39" i="1"/>
  <c r="CQ15" i="1"/>
  <c r="CI35" i="1"/>
  <c r="CR63" i="1"/>
  <c r="CQ30" i="1"/>
  <c r="CN108" i="1"/>
  <c r="CH39" i="1"/>
  <c r="CI63" i="1"/>
  <c r="CK39" i="1"/>
  <c r="CO63" i="1"/>
  <c r="CO24" i="1"/>
  <c r="CP30" i="1"/>
  <c r="CM108" i="1"/>
  <c r="CN13" i="1"/>
  <c r="CN45" i="1"/>
  <c r="CL75" i="1"/>
  <c r="CR6" i="1"/>
  <c r="CL63" i="1"/>
  <c r="CM30" i="1"/>
  <c r="CJ108" i="1"/>
  <c r="CI45" i="1"/>
  <c r="CK6" i="1"/>
  <c r="CJ30" i="1"/>
  <c r="CQ106" i="1"/>
  <c r="CM74" i="1"/>
  <c r="CI30" i="1"/>
  <c r="CP106" i="1"/>
  <c r="CI74" i="1"/>
  <c r="CG30" i="1"/>
  <c r="CN106" i="1"/>
  <c r="CL30" i="1"/>
  <c r="CK108" i="1"/>
  <c r="CQ39" i="1"/>
  <c r="CJ106" i="1"/>
  <c r="CN63" i="1"/>
  <c r="CQ63" i="1"/>
  <c r="CK30" i="1"/>
  <c r="CN39" i="1"/>
  <c r="CG106" i="1"/>
  <c r="CP63" i="1"/>
  <c r="CJ63" i="1"/>
  <c r="CG39" i="1"/>
  <c r="CL106" i="1"/>
  <c r="CM63" i="1"/>
  <c r="CJ91" i="1"/>
  <c r="CQ4" i="1"/>
  <c r="CO3" i="1"/>
  <c r="CI139" i="1"/>
  <c r="CK24" i="1"/>
  <c r="CM13" i="1"/>
  <c r="CP90" i="1"/>
  <c r="CH45" i="1"/>
  <c r="CN142" i="1"/>
  <c r="CJ66" i="1"/>
  <c r="CM35" i="1"/>
  <c r="CN6" i="1"/>
  <c r="CL25" i="1"/>
  <c r="CQ26" i="1"/>
  <c r="CH91" i="1"/>
  <c r="CK87" i="1"/>
  <c r="CO32" i="1"/>
  <c r="CH24" i="1"/>
  <c r="CG146" i="1"/>
  <c r="CJ13" i="1"/>
  <c r="CG90" i="1"/>
  <c r="CQ45" i="1"/>
  <c r="CQ66" i="1"/>
  <c r="CJ35" i="1"/>
  <c r="CH6" i="1"/>
  <c r="CK25" i="1"/>
  <c r="CP26" i="1"/>
  <c r="CQ146" i="1"/>
  <c r="CJ65" i="1"/>
  <c r="CG91" i="1"/>
  <c r="CL32" i="1"/>
  <c r="CL146" i="1"/>
  <c r="CL2" i="1"/>
  <c r="CG13" i="1"/>
  <c r="CL90" i="1"/>
  <c r="CO45" i="1"/>
  <c r="CK66" i="1"/>
  <c r="CR35" i="1"/>
  <c r="CO6" i="1"/>
  <c r="CJ26" i="1"/>
  <c r="CN22" i="1"/>
  <c r="CP96" i="1"/>
  <c r="CI4" i="1"/>
  <c r="CQ3" i="1"/>
  <c r="CK33" i="1"/>
  <c r="CL6" i="1"/>
  <c r="CI26" i="1"/>
  <c r="CJ3" i="1"/>
  <c r="CJ45" i="1"/>
  <c r="CM91" i="1"/>
  <c r="CJ87" i="1"/>
  <c r="CL3" i="1"/>
  <c r="CQ32" i="1"/>
  <c r="CP24" i="1"/>
  <c r="CH50" i="1"/>
  <c r="CO146" i="1"/>
  <c r="CM89" i="1"/>
  <c r="CL13" i="1"/>
  <c r="CM90" i="1"/>
  <c r="CQ52" i="1"/>
  <c r="CM6" i="1"/>
  <c r="CP66" i="1"/>
  <c r="CK142" i="1"/>
  <c r="CO35" i="1"/>
  <c r="CJ6" i="1"/>
  <c r="CQ2" i="1"/>
  <c r="CG26" i="1"/>
  <c r="CP146" i="1"/>
  <c r="CL22" i="1"/>
  <c r="CG27" i="1"/>
  <c r="CL91" i="1"/>
  <c r="CP87" i="1"/>
  <c r="CM4" i="1"/>
  <c r="CK3" i="1"/>
  <c r="CJ32" i="1"/>
  <c r="CJ24" i="1"/>
  <c r="CO50" i="1"/>
  <c r="CQ19" i="1"/>
  <c r="CP2" i="1"/>
  <c r="CI89" i="1"/>
  <c r="CK13" i="1"/>
  <c r="CJ90" i="1"/>
  <c r="CM52" i="1"/>
  <c r="CN66" i="1"/>
  <c r="CL35" i="1"/>
  <c r="CI6" i="1"/>
  <c r="CO2" i="1"/>
  <c r="CO26" i="1"/>
  <c r="CN146" i="1"/>
  <c r="CR27" i="1"/>
  <c r="CK91" i="1"/>
  <c r="CM87" i="1"/>
  <c r="CR4" i="1"/>
  <c r="CH3" i="1"/>
  <c r="CN32" i="1"/>
  <c r="CH90" i="1"/>
  <c r="CR90" i="1"/>
  <c r="CI66" i="1"/>
  <c r="CQ6" i="1"/>
  <c r="CJ146" i="1"/>
  <c r="CI91" i="1"/>
  <c r="CJ96" i="1"/>
  <c r="CN87" i="1"/>
  <c r="CK4" i="1"/>
  <c r="CP3" i="1"/>
  <c r="CI32" i="1"/>
  <c r="CH66" i="1"/>
  <c r="CG6" i="1"/>
  <c r="CQ91" i="1"/>
  <c r="CO87" i="1"/>
  <c r="CP32" i="1"/>
  <c r="CG2" i="1"/>
  <c r="CI146" i="1"/>
  <c r="CK96" i="1"/>
  <c r="CI87" i="1"/>
  <c r="CR23" i="1"/>
  <c r="CR140" i="1"/>
  <c r="CO23" i="1"/>
  <c r="CO140" i="1"/>
  <c r="CL23" i="1"/>
  <c r="CL140" i="1"/>
  <c r="CI84" i="1"/>
  <c r="CK140" i="1"/>
  <c r="CH84" i="1"/>
  <c r="CP84" i="1"/>
  <c r="CH140" i="1"/>
  <c r="CR84" i="1"/>
  <c r="CM84" i="1"/>
  <c r="CM25" i="1"/>
  <c r="CO84" i="1"/>
  <c r="CP23" i="1"/>
  <c r="CQ51" i="1"/>
  <c r="CJ25" i="1"/>
  <c r="CL84" i="1"/>
  <c r="CM23" i="1"/>
  <c r="CJ51" i="1"/>
  <c r="CM51" i="1"/>
  <c r="CG25" i="1"/>
  <c r="CK84" i="1"/>
  <c r="CI93" i="1"/>
  <c r="CO72" i="1"/>
  <c r="CJ23" i="1"/>
  <c r="CQ140" i="1"/>
  <c r="CN84" i="1"/>
  <c r="CR25" i="1"/>
  <c r="CM33" i="1"/>
  <c r="CI23" i="1"/>
  <c r="CP140" i="1"/>
  <c r="CO25" i="1"/>
  <c r="CH93" i="1"/>
  <c r="CL31" i="1"/>
  <c r="CL33" i="1"/>
  <c r="CP74" i="1"/>
  <c r="CG23" i="1"/>
  <c r="CJ140" i="1"/>
  <c r="CJ40" i="1"/>
  <c r="CO65" i="1"/>
  <c r="CL50" i="1"/>
  <c r="CR40" i="1"/>
  <c r="CK52" i="1"/>
  <c r="CI51" i="1"/>
  <c r="CP102" i="1"/>
  <c r="CK14" i="1"/>
  <c r="CL65" i="1"/>
  <c r="CI27" i="1"/>
  <c r="CI5" i="1"/>
  <c r="CJ33" i="1"/>
  <c r="CO64" i="1"/>
  <c r="CK50" i="1"/>
  <c r="CO40" i="1"/>
  <c r="CG102" i="1"/>
  <c r="CG51" i="1"/>
  <c r="CN102" i="1"/>
  <c r="CK65" i="1"/>
  <c r="CJ27" i="1"/>
  <c r="CR5" i="1"/>
  <c r="CH33" i="1"/>
  <c r="CL64" i="1"/>
  <c r="CQ50" i="1"/>
  <c r="CL40" i="1"/>
  <c r="CL51" i="1"/>
  <c r="CM102" i="1"/>
  <c r="CQ27" i="1"/>
  <c r="CL5" i="1"/>
  <c r="CI33" i="1"/>
  <c r="CK64" i="1"/>
  <c r="CK40" i="1"/>
  <c r="CI142" i="1"/>
  <c r="CK51" i="1"/>
  <c r="CN27" i="1"/>
  <c r="CK5" i="1"/>
  <c r="CG33" i="1"/>
  <c r="CJ52" i="1"/>
  <c r="CH142" i="1"/>
  <c r="CM40" i="1"/>
  <c r="CM27" i="1"/>
  <c r="CH5" i="1"/>
  <c r="CR72" i="1"/>
  <c r="CR33" i="1"/>
  <c r="CM50" i="1"/>
  <c r="CI52" i="1"/>
  <c r="CR142" i="1"/>
  <c r="CN52" i="1"/>
  <c r="CQ14" i="1"/>
  <c r="CQ65" i="1"/>
  <c r="CH27" i="1"/>
  <c r="CO33" i="1"/>
  <c r="CP50" i="1"/>
  <c r="CQ142" i="1"/>
  <c r="CM65" i="1"/>
  <c r="CQ64" i="1"/>
  <c r="CN50" i="1"/>
  <c r="CG52" i="1"/>
  <c r="CI102" i="1"/>
  <c r="CP52" i="1"/>
  <c r="CO142" i="1"/>
  <c r="CJ14" i="1"/>
  <c r="CH65" i="1"/>
  <c r="CO27" i="1"/>
  <c r="CQ5" i="1"/>
  <c r="CP33" i="1"/>
  <c r="CJ34" i="1"/>
  <c r="CN64" i="1"/>
  <c r="CG50" i="1"/>
  <c r="CQ40" i="1"/>
  <c r="CR52" i="1"/>
  <c r="CP51" i="1"/>
  <c r="CH102" i="1"/>
  <c r="CI14" i="1"/>
  <c r="CP65" i="1"/>
  <c r="CL27" i="1"/>
  <c r="CP5" i="1"/>
  <c r="CQ33" i="1"/>
  <c r="CQ34" i="1"/>
  <c r="CM64" i="1"/>
  <c r="CR50" i="1"/>
  <c r="CP40" i="1"/>
  <c r="CO52" i="1"/>
  <c r="CN14" i="1"/>
  <c r="CN51" i="1"/>
  <c r="CR102" i="1"/>
  <c r="CL142" i="1"/>
  <c r="CG14" i="1"/>
  <c r="CI65" i="1"/>
  <c r="CM5" i="1"/>
  <c r="CI34" i="1"/>
  <c r="CI64" i="1"/>
  <c r="CJ36" i="1"/>
  <c r="CH30" i="1"/>
  <c r="CK23" i="1"/>
  <c r="CH108" i="1"/>
  <c r="CG62" i="1"/>
  <c r="CG49" i="1"/>
  <c r="CK88" i="1"/>
  <c r="CI25" i="1"/>
  <c r="CJ89" i="1"/>
  <c r="CH13" i="1"/>
  <c r="CN40" i="1"/>
  <c r="CP62" i="1"/>
  <c r="CR45" i="1"/>
  <c r="CM140" i="1"/>
  <c r="CP142" i="1"/>
  <c r="CH51" i="1"/>
  <c r="CG66" i="1"/>
  <c r="CP39" i="1"/>
  <c r="CI106" i="1"/>
  <c r="CN15" i="1"/>
  <c r="CK2" i="1"/>
  <c r="CQ84" i="1"/>
  <c r="CH14" i="1"/>
  <c r="CR26" i="1"/>
  <c r="CK63" i="1"/>
  <c r="CN65" i="1"/>
  <c r="CM96" i="1"/>
  <c r="CG5" i="1"/>
  <c r="CH36" i="1"/>
  <c r="CJ93" i="1"/>
  <c r="CH87" i="1"/>
  <c r="CH72" i="1"/>
  <c r="CG4" i="1"/>
  <c r="CM31" i="1"/>
  <c r="CH32" i="1"/>
  <c r="CN34" i="1"/>
  <c r="CN74" i="1"/>
  <c r="CH64" i="1"/>
  <c r="CH139" i="1"/>
  <c r="CI67" i="1"/>
  <c r="CN36" i="1"/>
  <c r="CR139" i="1"/>
  <c r="CH49" i="1"/>
  <c r="CR30" i="1"/>
  <c r="CH67" i="1"/>
  <c r="CQ108" i="1"/>
  <c r="CM106" i="1"/>
  <c r="CO49" i="1"/>
  <c r="CH25" i="1"/>
  <c r="CG89" i="1"/>
  <c r="CR13" i="1"/>
  <c r="CI40" i="1"/>
  <c r="CM62" i="1"/>
  <c r="CL45" i="1"/>
  <c r="CI68" i="1"/>
  <c r="CI140" i="1"/>
  <c r="CM142" i="1"/>
  <c r="CR51" i="1"/>
  <c r="CO66" i="1"/>
  <c r="CJ39" i="1"/>
  <c r="CR106" i="1"/>
  <c r="CK15" i="1"/>
  <c r="CN23" i="1"/>
  <c r="CP25" i="1"/>
  <c r="CJ84" i="1"/>
  <c r="CR14" i="1"/>
  <c r="CL26" i="1"/>
  <c r="CH146" i="1"/>
  <c r="CG65" i="1"/>
  <c r="CG96" i="1"/>
  <c r="CO5" i="1"/>
  <c r="CG36" i="1"/>
  <c r="CG93" i="1"/>
  <c r="CG87" i="1"/>
  <c r="CQ72" i="1"/>
  <c r="CO4" i="1"/>
  <c r="CG31" i="1"/>
  <c r="CG32" i="1"/>
  <c r="CG34" i="1"/>
  <c r="CG74" i="1"/>
  <c r="CG64" i="1"/>
  <c r="CQ139" i="1"/>
  <c r="CO30" i="1"/>
  <c r="CQ23" i="1"/>
  <c r="CQ67" i="1"/>
  <c r="CP108" i="1"/>
  <c r="CH106" i="1"/>
  <c r="CP15" i="1"/>
  <c r="CP88" i="1"/>
  <c r="CQ13" i="1"/>
  <c r="CR89" i="1"/>
  <c r="CG40" i="1"/>
  <c r="CK45" i="1"/>
  <c r="CG140" i="1"/>
  <c r="CJ142" i="1"/>
  <c r="CK26" i="1"/>
  <c r="CR36" i="1"/>
  <c r="CR93" i="1"/>
  <c r="CP72" i="1"/>
  <c r="CR34" i="1"/>
  <c r="CR74" i="1"/>
  <c r="CP139" i="1"/>
  <c r="CM67" i="1"/>
  <c r="CP67" i="1"/>
  <c r="CO36" i="1"/>
  <c r="CO93" i="1"/>
  <c r="CN72" i="1"/>
  <c r="CO34" i="1"/>
  <c r="CO74" i="1"/>
  <c r="CN139" i="1"/>
  <c r="CJ67" i="1"/>
  <c r="CL36" i="1"/>
  <c r="CL93" i="1"/>
  <c r="CM72" i="1"/>
  <c r="CL34" i="1"/>
  <c r="CL74" i="1"/>
  <c r="CM139" i="1"/>
  <c r="CG67" i="1"/>
  <c r="CK36" i="1"/>
  <c r="CK93" i="1"/>
  <c r="CJ72" i="1"/>
  <c r="CK34" i="1"/>
  <c r="CK74" i="1"/>
  <c r="CJ139" i="1"/>
  <c r="CH68" i="1"/>
  <c r="CP68" i="1"/>
  <c r="CR67" i="1"/>
  <c r="CQ36" i="1"/>
  <c r="CP93" i="1"/>
  <c r="CG72" i="1"/>
  <c r="CM34" i="1"/>
  <c r="CQ74" i="1"/>
  <c r="CG139" i="1"/>
  <c r="CO67" i="1"/>
  <c r="CP36" i="1"/>
  <c r="CO139" i="1"/>
  <c r="CL67" i="1"/>
  <c r="CI36" i="1"/>
  <c r="CQ93" i="1"/>
  <c r="CL72" i="1"/>
  <c r="CH34" i="1"/>
  <c r="CJ74" i="1"/>
  <c r="CL139" i="1"/>
  <c r="CI49" i="1"/>
  <c r="CN49" i="1"/>
  <c r="CK67" i="1"/>
  <c r="CR149" i="1" l="1"/>
  <c r="CN149" i="1"/>
  <c r="CJ149" i="1"/>
  <c r="CH149" i="1"/>
  <c r="CM149" i="1"/>
  <c r="CL149" i="1"/>
  <c r="CQ149" i="1"/>
  <c r="CG149" i="1"/>
  <c r="CK149" i="1"/>
  <c r="CP149" i="1"/>
  <c r="CO149" i="1"/>
  <c r="CI149" i="1"/>
  <c r="BM149" i="1" l="1"/>
  <c r="BM151" i="1" s="1"/>
  <c r="AM149" i="1"/>
  <c r="AM151" i="1" s="1"/>
  <c r="L149" i="1"/>
  <c r="L151" i="1" s="1"/>
  <c r="AY149" i="1"/>
  <c r="AY151" i="1" s="1"/>
  <c r="BK149" i="1"/>
  <c r="BK151" i="1" s="1"/>
  <c r="AJ149" i="1"/>
  <c r="AJ151" i="1" s="1"/>
  <c r="AW149" i="1"/>
  <c r="AW151" i="1" s="1"/>
  <c r="BH149" i="1"/>
  <c r="BH151" i="1" s="1"/>
  <c r="AU149" i="1"/>
  <c r="AU151" i="1" s="1"/>
  <c r="AH149" i="1"/>
  <c r="AH151" i="1" s="1"/>
  <c r="AL149" i="1"/>
  <c r="AL151" i="1" s="1"/>
  <c r="BD149" i="1"/>
  <c r="BD151" i="1" s="1"/>
  <c r="BA149" i="1"/>
  <c r="BA151" i="1" s="1"/>
  <c r="BL149" i="1"/>
  <c r="BL151" i="1" s="1"/>
  <c r="AZ149" i="1"/>
  <c r="AZ151" i="1" s="1"/>
  <c r="J149" i="1"/>
  <c r="J151" i="1" s="1"/>
  <c r="H149" i="1"/>
  <c r="H151" i="1" s="1"/>
  <c r="G149" i="1"/>
  <c r="G151" i="1" s="1"/>
  <c r="BG149" i="1"/>
  <c r="BG151" i="1" s="1"/>
  <c r="AQ149" i="1"/>
  <c r="AQ151" i="1" s="1"/>
  <c r="AE149" i="1"/>
  <c r="AE151" i="1" s="1"/>
  <c r="F149" i="1"/>
  <c r="F151" i="1" s="1"/>
  <c r="BB149" i="1"/>
  <c r="BB151" i="1" s="1"/>
  <c r="BJ149" i="1"/>
  <c r="BJ151" i="1" s="1"/>
  <c r="AX149" i="1"/>
  <c r="AX151" i="1" s="1"/>
  <c r="AI149" i="1"/>
  <c r="AI151" i="1" s="1"/>
  <c r="I149" i="1"/>
  <c r="I151" i="1" s="1"/>
  <c r="AG149" i="1"/>
  <c r="AG151" i="1" s="1"/>
  <c r="BE149" i="1"/>
  <c r="BE151" i="1" s="1"/>
  <c r="AF149" i="1"/>
  <c r="AF151" i="1" s="1"/>
  <c r="BF149" i="1"/>
  <c r="BF151" i="1" s="1"/>
  <c r="AS149" i="1"/>
  <c r="AS151" i="1" s="1"/>
  <c r="O149" i="1"/>
  <c r="O151" i="1" s="1"/>
  <c r="BO149" i="1"/>
  <c r="BO151" i="1" s="1"/>
  <c r="AR149" i="1"/>
  <c r="AR151" i="1" s="1"/>
  <c r="N149" i="1"/>
  <c r="N151" i="1" s="1"/>
  <c r="K149" i="1"/>
  <c r="K151" i="1" s="1"/>
  <c r="AK149" i="1"/>
  <c r="AK151" i="1" s="1"/>
  <c r="BI149" i="1"/>
  <c r="BI151" i="1" s="1"/>
  <c r="AT149" i="1"/>
  <c r="AT151" i="1" s="1"/>
  <c r="AV149" i="1"/>
  <c r="AV151" i="1" s="1"/>
  <c r="E149" i="1"/>
  <c r="E151" i="1" s="1"/>
  <c r="BN149" i="1"/>
  <c r="BN151" i="1" s="1"/>
  <c r="AN149" i="1"/>
  <c r="AN151" i="1" s="1"/>
  <c r="M149" i="1"/>
  <c r="M151" i="1" s="1"/>
  <c r="AP149" i="1"/>
  <c r="AP151" i="1" s="1"/>
  <c r="BC149" i="1"/>
  <c r="BC151" i="1" s="1"/>
  <c r="AO149" i="1"/>
  <c r="AO151" i="1" s="1"/>
  <c r="V149" i="1"/>
  <c r="V151" i="1" s="1"/>
  <c r="Y149" i="1"/>
  <c r="Y151" i="1" s="1"/>
  <c r="W149" i="1"/>
  <c r="W151" i="1" s="1"/>
  <c r="S149" i="1"/>
  <c r="S151" i="1" s="1"/>
  <c r="X149" i="1"/>
  <c r="X151" i="1" s="1"/>
  <c r="R149" i="1"/>
  <c r="R151" i="1" s="1"/>
  <c r="Z149" i="1"/>
  <c r="Z151" i="1" s="1"/>
  <c r="U149" i="1"/>
  <c r="U151" i="1" s="1"/>
  <c r="T149" i="1"/>
  <c r="T151" i="1" s="1"/>
  <c r="AC149" i="1"/>
  <c r="AC151" i="1" s="1"/>
  <c r="Q149" i="1"/>
  <c r="Q151" i="1" s="1"/>
  <c r="AB149" i="1"/>
  <c r="AB151" i="1" s="1"/>
  <c r="P149" i="1"/>
  <c r="P151" i="1" s="1"/>
  <c r="AA149" i="1"/>
  <c r="AA151" i="1" s="1"/>
  <c r="AD149" i="1"/>
  <c r="AD151" i="1" s="1"/>
</calcChain>
</file>

<file path=xl/sharedStrings.xml><?xml version="1.0" encoding="utf-8"?>
<sst xmlns="http://schemas.openxmlformats.org/spreadsheetml/2006/main" count="723" uniqueCount="311">
  <si>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</si>
  <si>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</si>
  <si>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</si>
  <si>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</si>
  <si>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</si>
  <si>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</si>
  <si>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</si>
  <si>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</si>
  <si>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</si>
  <si>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</si>
  <si>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</si>
  <si>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</si>
  <si>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</si>
  <si>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</si>
  <si>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</si>
  <si>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</si>
  <si>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</si>
  <si>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</si>
  <si>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</si>
  <si>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</si>
  <si>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</si>
  <si>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</si>
  <si>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</si>
  <si>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</si>
  <si>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</si>
  <si>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</si>
  <si>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</si>
  <si>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</si>
  <si>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张飞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</si>
  <si>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</si>
  <si>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</si>
  <si>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</si>
  <si>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</si>
  <si>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</si>
  <si>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</si>
  <si>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</si>
  <si>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</si>
  <si>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</si>
  <si>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</si>
  <si>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</si>
  <si>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</si>
  <si>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</si>
  <si>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</si>
  <si>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</si>
  <si>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</si>
  <si>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</si>
  <si>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</si>
  <si>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神将关云长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</si>
  <si>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</si>
  <si>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</si>
  <si>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</si>
  <si>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</si>
  <si>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痴花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</si>
  <si>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</si>
  <si>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</si>
  <si>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</si>
  <si>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风仆</t>
    <phoneticPr fontId="1" type="noConversion"/>
  </si>
  <si>
    <t>成年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</si>
  <si>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</si>
  <si>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</si>
  <si>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</si>
  <si>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</si>
  <si>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</si>
  <si>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</si>
  <si>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</si>
  <si>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</si>
  <si>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</si>
  <si>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</si>
  <si>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汉钟离</t>
    <phoneticPr fontId="1" type="noConversion"/>
  </si>
  <si>
    <t>光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</si>
  <si>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</si>
  <si>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</si>
  <si>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</si>
  <si>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</si>
  <si>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藕丁小童子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</si>
  <si>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</si>
  <si>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</si>
  <si>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</si>
  <si>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</si>
  <si>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</si>
  <si>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</si>
  <si>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</si>
  <si>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</si>
  <si>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</si>
  <si>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</si>
  <si>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</si>
  <si>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</si>
  <si>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</si>
  <si>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黑桃三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</si>
  <si>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</si>
  <si>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</si>
  <si>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</si>
  <si>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</si>
  <si>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</si>
  <si>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</si>
  <si>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</si>
  <si>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</si>
  <si>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</si>
  <si>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</si>
  <si>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</si>
  <si>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</si>
  <si>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</si>
  <si>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</si>
  <si>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</si>
  <si>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</si>
  <si>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</si>
  <si>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</si>
  <si>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名将吕布威登</t>
    <phoneticPr fontId="1" type="noConversion"/>
  </si>
  <si>
    <t>名将吕布威登</t>
    <phoneticPr fontId="1" type="noConversion"/>
  </si>
  <si>
    <t>碧水独角兽</t>
    <phoneticPr fontId="1" type="noConversion"/>
  </si>
  <si>
    <t>囚牛</t>
    <phoneticPr fontId="1" type="noConversion"/>
  </si>
  <si>
    <t>赤笛仔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</si>
  <si>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</si>
  <si>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</si>
  <si>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</si>
  <si>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</si>
  <si>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</si>
  <si>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</si>
  <si>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</si>
  <si>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</si>
  <si>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</si>
  <si>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</si>
  <si>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</si>
  <si>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</si>
  <si>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葫芦妖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</si>
  <si>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</si>
  <si>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</si>
  <si>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</si>
  <si>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</si>
  <si>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天秤星</t>
    <phoneticPr fontId="1" type="noConversion"/>
  </si>
  <si>
    <t>懒懒鹿</t>
    <phoneticPr fontId="1" type="noConversion"/>
  </si>
  <si>
    <t>大宝剑</t>
    <phoneticPr fontId="1" type="noConversion"/>
  </si>
  <si>
    <t>芹正</t>
    <phoneticPr fontId="1" type="noConversion"/>
  </si>
  <si>
    <t>火</t>
    <phoneticPr fontId="1" type="noConversion"/>
  </si>
  <si>
    <t>字母罗</t>
    <phoneticPr fontId="1" type="noConversion"/>
  </si>
  <si>
    <t>光</t>
    <phoneticPr fontId="1" type="noConversion"/>
  </si>
  <si>
    <t>牛小宝</t>
    <phoneticPr fontId="1" type="noConversion"/>
  </si>
  <si>
    <t>馄饨</t>
    <phoneticPr fontId="1" type="noConversion"/>
  </si>
  <si>
    <t>金灵</t>
    <phoneticPr fontId="1" type="noConversion"/>
  </si>
  <si>
    <t>甘冰</t>
    <phoneticPr fontId="1" type="noConversion"/>
  </si>
  <si>
    <t>剑灵</t>
    <phoneticPr fontId="1" type="noConversion"/>
  </si>
  <si>
    <t>羽妖仔</t>
    <phoneticPr fontId="1" type="noConversion"/>
  </si>
  <si>
    <t>子鹿</t>
    <phoneticPr fontId="1" type="noConversion"/>
  </si>
  <si>
    <t>暗</t>
    <phoneticPr fontId="1" type="noConversion"/>
  </si>
  <si>
    <t>羽妖仔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</si>
  <si>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</si>
  <si>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</si>
  <si>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</si>
  <si>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</si>
  <si>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</si>
  <si>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</si>
  <si>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</si>
  <si>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</si>
  <si>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</si>
  <si>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</si>
  <si>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</si>
  <si>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</si>
  <si>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</si>
  <si>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</si>
  <si>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</si>
  <si>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</si>
  <si>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</si>
  <si>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</si>
  <si>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</si>
  <si>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</si>
  <si>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</si>
  <si>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</si>
  <si>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</si>
  <si>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水灵雏龙</t>
    <phoneticPr fontId="1" type="noConversion"/>
  </si>
  <si>
    <t>水</t>
    <phoneticPr fontId="1" type="noConversion"/>
  </si>
  <si>
    <t>水魂珠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</si>
  <si>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</si>
  <si>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</si>
  <si>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</si>
  <si>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</si>
  <si>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</si>
  <si>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小幽儿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</si>
  <si>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</si>
  <si>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</si>
  <si>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</si>
  <si>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</si>
  <si>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</si>
  <si>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</si>
  <si>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</si>
  <si>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暗卒</t>
    <phoneticPr fontId="1" type="noConversion"/>
  </si>
  <si>
    <t>成年</t>
    <phoneticPr fontId="1" type="noConversion"/>
  </si>
  <si>
    <t>敖钦</t>
    <phoneticPr fontId="1" type="noConversion"/>
  </si>
  <si>
    <t>彗星(5),</t>
    <phoneticPr fontId="1" type="noConversion"/>
  </si>
  <si>
    <t>龙灵不朽藤(8),</t>
    <phoneticPr fontId="1" type="noConversion"/>
  </si>
  <si>
    <t>桂花(5),_x000D_
桂花酒(5),</t>
    <phoneticPr fontId="1" type="noConversion"/>
  </si>
  <si>
    <t>钱袋大(2),_x000D_
筹码大(1),_x000D_
庄家令牌中(3),</t>
    <phoneticPr fontId="1" type="noConversion"/>
  </si>
  <si>
    <t>欠条中(6),_x000D_
钱袋中(2),_x000D_
骰子大(1),</t>
    <phoneticPr fontId="1" type="noConversion"/>
  </si>
  <si>
    <t>欠条中(4),_x000D_
骰子中(3),_x000D_
筹码中(4),</t>
    <phoneticPr fontId="1" type="noConversion"/>
  </si>
  <si>
    <t>欠条中(6),_x000D_
欠条大(5),_x000D_
钱袋中(2),</t>
    <phoneticPr fontId="1" type="noConversion"/>
  </si>
  <si>
    <t>糯米(10),_x000D_
粽叶(10),_x000D_
龙灵不朽藤(3),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</si>
  <si>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</si>
  <si>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</si>
  <si>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</si>
  <si>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</si>
  <si>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龙灵不朽藤(3),</t>
    <phoneticPr fontId="1" type="noConversion"/>
  </si>
  <si>
    <t>螃蟹(5),</t>
    <phoneticPr fontId="1" type="noConversion"/>
  </si>
  <si>
    <t>猪刚鬣</t>
    <phoneticPr fontId="1" type="noConversion"/>
  </si>
  <si>
    <t>新兵盖尔</t>
    <phoneticPr fontId="1" type="noConversion"/>
  </si>
  <si>
    <t>眼符</t>
    <phoneticPr fontId="1" type="noConversion"/>
  </si>
  <si>
    <t>眼符</t>
    <phoneticPr fontId="1" type="noConversion"/>
  </si>
  <si>
    <t>樱灵</t>
    <phoneticPr fontId="1" type="noConversion"/>
  </si>
  <si>
    <t>煤西</t>
    <phoneticPr fontId="1" type="noConversion"/>
  </si>
  <si>
    <t>小穗儿</t>
    <phoneticPr fontId="1" type="noConversion"/>
  </si>
  <si>
    <t>八哥</t>
    <phoneticPr fontId="1" type="noConversion"/>
  </si>
  <si>
    <t>鬼金羊</t>
    <phoneticPr fontId="1" type="noConversion"/>
  </si>
  <si>
    <t>张果老</t>
    <phoneticPr fontId="1" type="noConversion"/>
  </si>
  <si>
    <t>蛋黄喵</t>
    <phoneticPr fontId="1" type="noConversion"/>
  </si>
  <si>
    <t>蛋黄喵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</si>
  <si>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</si>
  <si>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</si>
  <si>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</si>
  <si>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太一之轮(4),</t>
  </si>
  <si>
    <t>太一之轮(5),_x000D_
六方天运骰(3),_x000D_
幸运符文叉大(10),</t>
  </si>
  <si>
    <t>六方天运骰(3),_x000D_
魅力符文叉大(10),</t>
  </si>
  <si>
    <t>崆峒印(5),_x000D_
赤焰十字星(3),_x000D_
幸运符文叉大(10),</t>
  </si>
  <si>
    <t>愚山乾坤石(4),</t>
  </si>
  <si>
    <t>幸运符文叉大(10),</t>
  </si>
  <si>
    <t>女娲石(2),</t>
  </si>
  <si>
    <t>太一之轮(5),_x000D_
幸运符文叉大(10),</t>
  </si>
  <si>
    <t>欠条小(8),_x000D_
钱袋小(9),_x000D_
骰子小(8),_x000D_
筹码小(10),</t>
  </si>
  <si>
    <t>女娲石(5),_x000D_
神农鼎(5),_x000D_
幸运符文叉大(5),</t>
    <phoneticPr fontId="1" type="noConversion"/>
  </si>
  <si>
    <t>女娲石(10),_x000D_
愚山乾坤石(4),</t>
    <phoneticPr fontId="1" type="noConversion"/>
  </si>
  <si>
    <t>神农鼎(5),</t>
    <phoneticPr fontId="1" type="noConversion"/>
  </si>
  <si>
    <t>女娲石(10),_x000D_
愚山乾坤石(4),</t>
    <phoneticPr fontId="1" type="noConversion"/>
  </si>
  <si>
    <t>糯米(2),</t>
    <phoneticPr fontId="1" type="noConversion"/>
  </si>
  <si>
    <t>神农鼎(6),_x000D_
赤焰十字星(3),</t>
    <phoneticPr fontId="1" type="noConversion"/>
  </si>
  <si>
    <t>神农鼎(6),_x000D_
愚山乾坤石(4),</t>
    <phoneticPr fontId="1" type="noConversion"/>
  </si>
  <si>
    <t>女娲石(6),_x000D_
神农鼎(6),_x000D_
赤焰十字星(3),</t>
    <phoneticPr fontId="1" type="noConversion"/>
  </si>
  <si>
    <t>神农鼎(6),_x000D_
六方天运骰(1),</t>
    <phoneticPr fontId="1" type="noConversion"/>
  </si>
  <si>
    <t>赤焰十字星(3),</t>
    <phoneticPr fontId="1" type="noConversion"/>
  </si>
  <si>
    <t>太一之轮(5),_x000D_
六方天运骰(3),</t>
    <phoneticPr fontId="1" type="noConversion"/>
  </si>
  <si>
    <t>女娲石(5),_x000D_
骰子小(3),_x000D_
筹码小(5),_x000D_
庄家令牌中(3),</t>
    <phoneticPr fontId="1" type="noConversion"/>
  </si>
  <si>
    <t>金甲虫(11),_x000D_
魅力符文叉大(15),</t>
    <phoneticPr fontId="1" type="noConversion"/>
  </si>
  <si>
    <t>太一之轮(5),_x000D_
秘窟冰晶卵(1),</t>
    <phoneticPr fontId="1" type="noConversion"/>
  </si>
  <si>
    <t>崆峒印(5),_x000D_
秘窟冰晶卵(1),_x000D_
魅力符文叉大(10),</t>
    <phoneticPr fontId="1" type="noConversion"/>
  </si>
  <si>
    <t>秘窟冰晶卵(1),</t>
    <phoneticPr fontId="1" type="noConversion"/>
  </si>
  <si>
    <t>仙丹(5),</t>
    <phoneticPr fontId="1" type="noConversion"/>
  </si>
  <si>
    <t>桂花酒(5),</t>
    <phoneticPr fontId="1" type="noConversion"/>
  </si>
  <si>
    <t>桂花(5),</t>
    <phoneticPr fontId="1" type="noConversion"/>
  </si>
  <si>
    <t>彗星(5),</t>
    <phoneticPr fontId="1" type="noConversion"/>
  </si>
  <si>
    <t>桂花(5),</t>
    <phoneticPr fontId="1" type="noConversion"/>
  </si>
  <si>
    <t>桂花酒(5),</t>
    <phoneticPr fontId="1" type="noConversion"/>
  </si>
  <si>
    <t>神农鼎(10),_x000D_
六方天运骰(3),</t>
    <phoneticPr fontId="1" type="noConversion"/>
  </si>
  <si>
    <t>秘窟冰晶卵(6),</t>
    <phoneticPr fontId="1" type="noConversion"/>
  </si>
  <si>
    <t>秘窟冰晶卵(6),</t>
    <phoneticPr fontId="1" type="noConversion"/>
  </si>
  <si>
    <t>金钗(9),</t>
    <phoneticPr fontId="1" type="noConversion"/>
  </si>
  <si>
    <t>东皇钟(8),</t>
    <phoneticPr fontId="1" type="noConversion"/>
  </si>
  <si>
    <t>彗星(15),</t>
    <phoneticPr fontId="1" type="noConversion"/>
  </si>
  <si>
    <t>炼妖壶(14),_x000D_
轩辕剑(6),_x000D_
伏羲琴(2),</t>
    <phoneticPr fontId="1" type="noConversion"/>
  </si>
  <si>
    <t>女娲石(10),_x000D_
彗星(25),_x000D_
赤焰十字星(3),_x000D_
魅力符文叉大(10),</t>
    <phoneticPr fontId="1" type="noConversion"/>
  </si>
  <si>
    <t>金甲虫(46),</t>
    <phoneticPr fontId="1" type="noConversion"/>
  </si>
  <si>
    <t>金甲虫(196),</t>
    <phoneticPr fontId="1" type="noConversion"/>
  </si>
  <si>
    <t>女娲石(10),_x000D_
六方天运骰(8),_x000D_
魅力符文叉大(15),_x000D_
幸运符文叉大(15),</t>
    <phoneticPr fontId="1" type="noConversion"/>
  </si>
  <si>
    <t>崆峒印(9),_x000D_
智慧符文叉大(2),_x000D_
魅力符文叉大(15),</t>
    <phoneticPr fontId="1" type="noConversion"/>
  </si>
  <si>
    <t>骰子小(8),_x000D_
筹码小(10),_x000D_
庄家令牌小(2),_x000D_
庄家令牌中(3),</t>
    <phoneticPr fontId="1" type="noConversion"/>
  </si>
  <si>
    <t>欠条小(8),_x000D_
钱袋小(9),_x000D_
骰子中(3),_x000D_
庄家令牌小(2),</t>
    <phoneticPr fontId="1" type="noConversion"/>
  </si>
  <si>
    <t>欠条小(8),_x000D_
钱袋小(9),_x000D_
骰子中(3),_x000D_
庄家令牌小(2),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</si>
  <si>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</si>
  <si>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</si>
  <si>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糯米(5),_x000D_
粽叶(1),</t>
    <phoneticPr fontId="1" type="noConversion"/>
  </si>
  <si>
    <t>六方天运骰(13),_x000D_
力量符文叉大(1),</t>
    <phoneticPr fontId="1" type="noConversion"/>
  </si>
  <si>
    <t>欠条中(4),_x000D_
骰子小(8),_x000D_
筹码小(10),_x000D_
庄家令牌小(2),</t>
    <phoneticPr fontId="1" type="noConversion"/>
  </si>
  <si>
    <t>欠条小(8),_x000D_
钱袋小(9),_x000D_
筹码中(4),_x000D_
庄家令牌小(2),</t>
    <phoneticPr fontId="1" type="noConversion"/>
  </si>
  <si>
    <t>神农鼎(6),_x000D_
秘窟冰晶卵(1),</t>
    <phoneticPr fontId="1" type="noConversion"/>
  </si>
  <si>
    <t>秘窟冰晶卵(1),</t>
    <phoneticPr fontId="1" type="noConversion"/>
  </si>
  <si>
    <t>仙丹(5),</t>
    <phoneticPr fontId="1" type="noConversion"/>
  </si>
  <si>
    <t>神农鼎(6),_x000D_
月冕霓晴符(4),</t>
    <phoneticPr fontId="1" type="noConversion"/>
  </si>
  <si>
    <t>糯米(3),_x000D_
粽叶(5),</t>
    <phoneticPr fontId="1" type="noConversion"/>
  </si>
  <si>
    <t>欠条中(4),_x000D_
筹码中(4),</t>
    <phoneticPr fontId="1" type="noConversion"/>
  </si>
  <si>
    <t>欠条中(4),_x000D_
筹码中(4),</t>
    <phoneticPr fontId="1" type="noConversion"/>
  </si>
  <si>
    <t>炼妖壶(4),_x000D_
愚山乾坤石(4),</t>
    <phoneticPr fontId="1" type="noConversion"/>
  </si>
  <si>
    <t>太一之轮(14),_x000D_
幸运符文叉大(15),</t>
    <phoneticPr fontId="1" type="noConversion"/>
  </si>
  <si>
    <t>桂花(5),_x000D_
桂花酒(5),</t>
    <phoneticPr fontId="1" type="noConversion"/>
  </si>
  <si>
    <t>女娲石(10),_x000D_
骰子大(4),_x000D_
庄家令牌大(6),_x000D_
赤焰十字星(3),</t>
    <phoneticPr fontId="1" type="noConversion"/>
  </si>
  <si>
    <t>东皇钟(3),_x000D_
女娲石(15),_x000D_
愚山乾坤石(9),</t>
    <phoneticPr fontId="1" type="noConversion"/>
  </si>
  <si>
    <t>女娲石(6),_x000D_
神农鼎(6),_x000D_
龙灵不朽藤(8),</t>
    <phoneticPr fontId="1" type="noConversion"/>
  </si>
  <si>
    <t>龙灵不朽藤(8),</t>
    <phoneticPr fontId="1" type="noConversion"/>
  </si>
  <si>
    <t>欠条大(8),_x000D_
骰子大(4),_x000D_
六方天运骰(3),</t>
    <phoneticPr fontId="1" type="noConversion"/>
  </si>
  <si>
    <t>太一之轮(4),_x000D_
糯米(5),_x000D_
粽叶(10),</t>
    <phoneticPr fontId="1" type="noConversion"/>
  </si>
  <si>
    <t>太一之轮(19),_x000D_
幸运符文叉大(20),</t>
    <phoneticPr fontId="1" type="noConversion"/>
  </si>
  <si>
    <t>欠条中(4),_x000D_
筹码中(4),_x000D_
筹码大(1),</t>
    <phoneticPr fontId="1" type="noConversion"/>
  </si>
  <si>
    <t>欠条中(4),_x000D_
骰子小(8),_x000D_
筹码中(4),_x000D_
庄家令牌小(2),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</si>
  <si>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</si>
  <si>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</si>
  <si>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东皇钟(3),_x000D_
崆峒印(14),_x000D_
幸运符文叉大(15),</t>
    <phoneticPr fontId="1" type="noConversion"/>
  </si>
  <si>
    <t>女娲石(15),_x000D_
神农鼎(15),_x000D_
幸运符文叉大(15),</t>
    <phoneticPr fontId="1" type="noConversion"/>
  </si>
  <si>
    <t>女娲石(15),_x000D_
神农鼎(15),_x000D_
幸运符文叉大(15),</t>
    <phoneticPr fontId="1" type="noConversion"/>
  </si>
  <si>
    <t>神农鼎(10),_x000D_
欠条大(8),_x000D_
骰子大(4),_x000D_
愚山乾坤石(4),</t>
    <phoneticPr fontId="1" type="noConversion"/>
  </si>
  <si>
    <t>钱袋大(10),_x000D_
筹码大(9),_x000D_
秘窟冰晶卵(1),</t>
    <phoneticPr fontId="1" type="noConversion"/>
  </si>
  <si>
    <t>钱袋大(10),_x000D_
筹码大(9),_x000D_
秘窟冰晶卵(1),</t>
    <phoneticPr fontId="1" type="noConversion"/>
  </si>
  <si>
    <t>炼妖壶(9),_x000D_
神农鼎(15),_x000D_
赤焰十字星(8),_x000D_
幸运符文叉大(15),</t>
    <phoneticPr fontId="1" type="noConversion"/>
  </si>
  <si>
    <t>女娲石(15),_x000D_
神农鼎(15),_x000D_
龙灵不朽藤(13),</t>
    <phoneticPr fontId="1" type="noConversion"/>
  </si>
  <si>
    <t>女娲石(15),_x000D_
神农鼎(15),_x000D_
龙灵不朽藤(13),</t>
    <phoneticPr fontId="1" type="noConversion"/>
  </si>
  <si>
    <t>女娲石(20),_x000D_
神农鼎(20),_x000D_
幸运符文叉大(20),</t>
    <phoneticPr fontId="1" type="noConversion"/>
  </si>
  <si>
    <t>神农鼎(7),_x000D_
欠条中(6),_x000D_
钱袋中(2),_x000D_
筹码大(6),</t>
    <phoneticPr fontId="1" type="noConversion"/>
  </si>
  <si>
    <t>太一之轮(9),_x000D_
欠条大(8),_x000D_
骰子大(4),_x000D_
龙灵不朽藤(8),</t>
    <phoneticPr fontId="1" type="noConversion"/>
  </si>
  <si>
    <t>欠条大(8),_x000D_
钱袋大(10),_x000D_
月冕霓晴符(6),</t>
    <phoneticPr fontId="1" type="noConversion"/>
  </si>
  <si>
    <t>欠条大(8),_x000D_
钱袋大(10),_x000D_
月冕霓晴符(6),</t>
    <phoneticPr fontId="1" type="noConversion"/>
  </si>
  <si>
    <t>神农鼎(10),_x000D_
欠条大(8),_x000D_
钱袋大(10),_x000D_
月冕霓晴符(6),</t>
    <phoneticPr fontId="1" type="noConversion"/>
  </si>
  <si>
    <t>赤焰十字星(33),_x000D_
力量符文叉大(21),_x000D_
逆鳞(10),</t>
    <phoneticPr fontId="1" type="noConversion"/>
  </si>
  <si>
    <t>超进阶素材水(25),_x000D_
超进阶素材火(50),_x000D_
超进阶素材光(50),_x000D_
超进阶素材暗(50),</t>
    <phoneticPr fontId="1" type="noConversion"/>
  </si>
  <si>
    <t>超进阶素材土(37),_x000D_
超进阶素材木(37),_x000D_
超进阶素材光(50),_x000D_
超进阶素材暗(50),</t>
    <phoneticPr fontId="1" type="noConversion"/>
  </si>
  <si>
    <t>超进阶素材水(25),_x000D_
超进阶素材火(50),_x000D_
超进阶素材光(50),_x000D_
超进阶素材暗(50),</t>
    <phoneticPr fontId="1" type="noConversion"/>
  </si>
  <si>
    <t>超进阶素材土(37),_x000D_
超进阶素材木(37),_x000D_
超进阶素材光(50),_x000D_
超进阶素材暗(50),</t>
    <phoneticPr fontId="1" type="noConversion"/>
  </si>
  <si>
    <t>洪玉儿</t>
    <phoneticPr fontId="1" type="noConversion"/>
  </si>
  <si>
    <t>洪玉儿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</si>
</sst>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2" xfId="0" applyFill="1" applyBorder="1">
      <alignment vertical="center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2" xfId="0" applyFont="1" applyFill="1" applyBorder="1">
      <alignment vertical="center"/>
    </xf>
    <xf numFmtId="0" fontId="5" fillId="0" borderId="0" xfId="0" applyFont="1">
      <alignment vertical="center"/>
    </xf>
    <xf numFmtId="0" fontId="5" fillId="0" borderId="1" xfId="0" applyFont="1" applyFill="1" applyBorder="1">
      <alignment vertical="center"/>
    </xf>
    <xf numFmtId="0" fontId="4" fillId="0" borderId="1" xfId="0" applyFont="1" applyFill="1" applyBorder="1">
      <alignment vertical="center"/>
    </xf>
    <xf numFmtId="0" fontId="2" fillId="0" borderId="0" xfId="0" applyFont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0" fillId="0" borderId="0" xfId="0" applyBorder="1">
      <alignment vertical="center"/>
    </xf>
  </cellXfs>
  <cellStyles count="1"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153</xdr:row>
          <xdr:rowOff>28575</xdr:rowOff>
        </xdr:from>
        <xdr:to>
          <xdr:col>1</xdr:col>
          <xdr:colOff>428625</xdr:colOff>
          <xdr:row>154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51"/>
  <sheetViews>
    <sheetView tabSelected="1" workbookViewId="0">
      <pane xSplit="2" ySplit="1" topLeftCell="C140" activePane="bottomRight" state="frozen"/>
      <selection pane="topRight" activeCell="C1" sqref="C1"/>
      <selection pane="bottomLeft" activeCell="A3" sqref="A3"/>
      <selection pane="bottomRight" activeCell="B144" sqref="B144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92</v>
      </c>
      <c r="B1" s="8" t="s">
        <v>93</v>
      </c>
      <c r="C1" s="8" t="s">
        <v>95</v>
      </c>
      <c r="D1" s="8" t="s">
        <v>94</v>
      </c>
      <c r="E1" s="9" t="s">
        <v>3</v>
      </c>
      <c r="F1" s="9" t="s">
        <v>4</v>
      </c>
      <c r="G1" s="9" t="s">
        <v>15</v>
      </c>
      <c r="H1" s="9" t="s">
        <v>27</v>
      </c>
      <c r="I1" s="9" t="s">
        <v>29</v>
      </c>
      <c r="J1" s="9" t="s">
        <v>89</v>
      </c>
      <c r="K1" s="9" t="s">
        <v>30</v>
      </c>
      <c r="L1" s="9" t="s">
        <v>54</v>
      </c>
      <c r="M1" s="9" t="s">
        <v>59</v>
      </c>
      <c r="N1" s="9" t="s">
        <v>64</v>
      </c>
      <c r="O1" s="9" t="s">
        <v>58</v>
      </c>
      <c r="P1" s="31" t="s">
        <v>149</v>
      </c>
      <c r="Q1" s="31" t="s">
        <v>161</v>
      </c>
      <c r="R1" s="31" t="s">
        <v>155</v>
      </c>
      <c r="S1" s="31" t="s">
        <v>150</v>
      </c>
      <c r="T1" s="31" t="s">
        <v>159</v>
      </c>
      <c r="U1" s="31" t="s">
        <v>165</v>
      </c>
      <c r="V1" s="31" t="s">
        <v>151</v>
      </c>
      <c r="W1" s="31" t="s">
        <v>158</v>
      </c>
      <c r="X1" s="31" t="s">
        <v>156</v>
      </c>
      <c r="Y1" s="31" t="s">
        <v>152</v>
      </c>
      <c r="Z1" s="31" t="s">
        <v>160</v>
      </c>
      <c r="AA1" s="31" t="s">
        <v>167</v>
      </c>
      <c r="AB1" s="31" t="s">
        <v>154</v>
      </c>
      <c r="AC1" s="31" t="s">
        <v>153</v>
      </c>
      <c r="AD1" s="31" t="s">
        <v>181</v>
      </c>
      <c r="AE1" s="8" t="s">
        <v>10</v>
      </c>
      <c r="AF1" s="8" t="s">
        <v>36</v>
      </c>
      <c r="AG1" s="8" t="s">
        <v>37</v>
      </c>
      <c r="AH1" s="8" t="s">
        <v>78</v>
      </c>
      <c r="AI1" s="8" t="s">
        <v>79</v>
      </c>
      <c r="AJ1" s="8" t="s">
        <v>81</v>
      </c>
      <c r="AK1" s="8" t="s">
        <v>82</v>
      </c>
      <c r="AL1" s="8" t="s">
        <v>84</v>
      </c>
      <c r="AM1" s="8" t="s">
        <v>65</v>
      </c>
      <c r="AN1" s="8" t="s">
        <v>67</v>
      </c>
      <c r="AO1" s="8" t="s">
        <v>122</v>
      </c>
      <c r="AP1" s="8" t="s">
        <v>123</v>
      </c>
      <c r="AQ1" s="10" t="s">
        <v>50</v>
      </c>
      <c r="AR1" s="10" t="s">
        <v>5</v>
      </c>
      <c r="AS1" s="10" t="s">
        <v>34</v>
      </c>
      <c r="AT1" s="10" t="s">
        <v>70</v>
      </c>
      <c r="AU1" s="10" t="s">
        <v>76</v>
      </c>
      <c r="AV1" s="10" t="s">
        <v>63</v>
      </c>
      <c r="AW1" s="11" t="s">
        <v>6</v>
      </c>
      <c r="AX1" s="11" t="s">
        <v>7</v>
      </c>
      <c r="AY1" s="11" t="s">
        <v>51</v>
      </c>
      <c r="AZ1" s="11" t="s">
        <v>9</v>
      </c>
      <c r="BA1" s="11" t="s">
        <v>62</v>
      </c>
      <c r="BB1" s="11" t="s">
        <v>14</v>
      </c>
      <c r="BC1" s="29" t="s">
        <v>119</v>
      </c>
      <c r="BD1" s="8" t="s">
        <v>19</v>
      </c>
      <c r="BE1" s="8" t="s">
        <v>18</v>
      </c>
      <c r="BF1" s="8" t="s">
        <v>16</v>
      </c>
      <c r="BG1" s="8" t="s">
        <v>17</v>
      </c>
      <c r="BH1" s="8" t="s">
        <v>20</v>
      </c>
      <c r="BI1" s="8" t="s">
        <v>21</v>
      </c>
      <c r="BJ1" s="8" t="s">
        <v>41</v>
      </c>
      <c r="BK1" s="8" t="s">
        <v>42</v>
      </c>
      <c r="BL1" s="8" t="s">
        <v>43</v>
      </c>
      <c r="BM1" s="8" t="s">
        <v>44</v>
      </c>
      <c r="BN1" s="8" t="s">
        <v>45</v>
      </c>
      <c r="BO1" s="8" t="s">
        <v>46</v>
      </c>
      <c r="BP1" s="12" t="s">
        <v>100</v>
      </c>
      <c r="BQ1" s="8" t="s">
        <v>101</v>
      </c>
      <c r="BR1" s="16" t="s">
        <v>102</v>
      </c>
      <c r="BS1" s="16"/>
      <c r="BT1" s="10" t="s">
        <v>50</v>
      </c>
      <c r="BU1" s="10" t="s">
        <v>5</v>
      </c>
      <c r="BV1" s="10" t="s">
        <v>34</v>
      </c>
      <c r="BW1" s="10" t="s">
        <v>70</v>
      </c>
      <c r="BX1" s="10" t="s">
        <v>76</v>
      </c>
      <c r="BY1" s="10" t="s">
        <v>63</v>
      </c>
      <c r="BZ1" s="11" t="s">
        <v>6</v>
      </c>
      <c r="CA1" s="11" t="s">
        <v>7</v>
      </c>
      <c r="CB1" s="11" t="s">
        <v>51</v>
      </c>
      <c r="CC1" s="11" t="s">
        <v>9</v>
      </c>
      <c r="CD1" s="11" t="s">
        <v>62</v>
      </c>
      <c r="CE1" s="11" t="s">
        <v>14</v>
      </c>
      <c r="CF1" s="8"/>
      <c r="CG1" s="10" t="s">
        <v>50</v>
      </c>
      <c r="CH1" s="10" t="s">
        <v>5</v>
      </c>
      <c r="CI1" s="10" t="s">
        <v>34</v>
      </c>
      <c r="CJ1" s="10" t="s">
        <v>70</v>
      </c>
      <c r="CK1" s="10" t="s">
        <v>76</v>
      </c>
      <c r="CL1" s="10" t="s">
        <v>63</v>
      </c>
      <c r="CM1" s="11" t="s">
        <v>6</v>
      </c>
      <c r="CN1" s="11" t="s">
        <v>7</v>
      </c>
      <c r="CO1" s="11" t="s">
        <v>51</v>
      </c>
      <c r="CP1" s="11" t="s">
        <v>9</v>
      </c>
      <c r="CQ1" s="11" t="s">
        <v>62</v>
      </c>
      <c r="CR1" s="11" t="s">
        <v>14</v>
      </c>
      <c r="CS1" s="28"/>
    </row>
    <row r="2" spans="1:97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>
        <v>20</v>
      </c>
      <c r="BG2" s="1">
        <v>20</v>
      </c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 s="1" t="str">
        <f>IF(AQ2&gt;AQ$150, AQ2-AQ$150,"")</f>
        <v/>
      </c>
      <c r="BU2" s="1" t="str">
        <f>IF(AR2&gt;AR$150, AR2-AR$150,"")</f>
        <v/>
      </c>
      <c r="BV2" s="1" t="str">
        <f>IF(AS2&gt;AS$150, AS2-AS$150,"")</f>
        <v/>
      </c>
      <c r="BW2" s="1" t="str">
        <f>IF(AT2&gt;AT$150, AT2-AT$150,"")</f>
        <v/>
      </c>
      <c r="BX2" s="1" t="str">
        <f>IF(AU2&gt;AU$150, AU2-AU$150,"")</f>
        <v/>
      </c>
      <c r="BY2" s="1" t="str">
        <f>IF(AV2&gt;AV$150, AV2-AV$150,"")</f>
        <v/>
      </c>
      <c r="BZ2" s="1" t="str">
        <f>IF(AW2&gt;AW$150, AW2-AW$150,"")</f>
        <v/>
      </c>
      <c r="CA2" s="1" t="str">
        <f>IF(AX2&gt;AX$150, AX2-AX$150,"")</f>
        <v/>
      </c>
      <c r="CB2" s="1" t="str">
        <f>IF(AY2&gt;AY$150, AY2-AY$150,"")</f>
        <v/>
      </c>
      <c r="CC2" s="1" t="str">
        <f>IF(AZ2&gt;AZ$150, AZ2-AZ$150,"")</f>
        <v/>
      </c>
      <c r="CD2" s="1" t="str">
        <f>IF(BA2&gt;BA$150, BA2-BA$150,"")</f>
        <v/>
      </c>
      <c r="CE2" s="1" t="str">
        <f>IF(BB2&gt;BB$150, BB2-BB$150,"")</f>
        <v/>
      </c>
      <c r="CF2" s="1">
        <f>12-COUNTA(BT2:CE2)</f>
        <v>0</v>
      </c>
      <c r="CG2" s="1" t="str">
        <f t="shared" ref="CG2:CR6" si="0">IF($CF2=1,BT2,"")</f>
        <v/>
      </c>
      <c r="CH2" s="1" t="str">
        <f t="shared" si="0"/>
        <v/>
      </c>
      <c r="CI2" s="1" t="str">
        <f t="shared" si="0"/>
        <v/>
      </c>
      <c r="CJ2" s="1" t="str">
        <f t="shared" si="0"/>
        <v/>
      </c>
      <c r="CK2" s="1" t="str">
        <f t="shared" si="0"/>
        <v/>
      </c>
      <c r="CL2" s="1" t="str">
        <f t="shared" si="0"/>
        <v/>
      </c>
      <c r="CM2" s="1" t="str">
        <f t="shared" si="0"/>
        <v/>
      </c>
      <c r="CN2" s="1" t="str">
        <f t="shared" si="0"/>
        <v/>
      </c>
      <c r="CO2" s="1" t="str">
        <f t="shared" si="0"/>
        <v/>
      </c>
      <c r="CP2" s="1" t="str">
        <f t="shared" si="0"/>
        <v/>
      </c>
      <c r="CQ2" s="1" t="str">
        <f t="shared" si="0"/>
        <v/>
      </c>
      <c r="CR2" s="1" t="str">
        <f t="shared" si="0"/>
        <v/>
      </c>
      <c r="CS2" s="18">
        <f>SUM(AE2:BO2)</f>
        <v>80</v>
      </c>
    </row>
    <row r="3" spans="1:97" x14ac:dyDescent="0.15">
      <c r="A3" s="1">
        <v>15</v>
      </c>
      <c r="B3" s="1" t="s">
        <v>31</v>
      </c>
      <c r="C3" s="1" t="s">
        <v>32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 t="shared" ref="BP3:BP63" si="1">SUM(E3:BO3)</f>
        <v>80</v>
      </c>
      <c r="BQ3" s="1">
        <v>0</v>
      </c>
      <c r="BR3" s="17">
        <v>0</v>
      </c>
      <c r="BS3" s="17"/>
      <c r="BT3" s="1" t="str">
        <f>IF(AQ3&gt;AQ$150, AQ3-AQ$150,"")</f>
        <v/>
      </c>
      <c r="BU3" s="1" t="str">
        <f>IF(AR3&gt;AR$150, AR3-AR$150,"")</f>
        <v/>
      </c>
      <c r="BV3" s="1" t="str">
        <f>IF(AS3&gt;AS$150, AS3-AS$150,"")</f>
        <v/>
      </c>
      <c r="BW3" s="1" t="str">
        <f>IF(AT3&gt;AT$150, AT3-AT$150,"")</f>
        <v/>
      </c>
      <c r="BX3" s="1" t="str">
        <f>IF(AU3&gt;AU$150, AU3-AU$150,"")</f>
        <v/>
      </c>
      <c r="BY3" s="1" t="str">
        <f>IF(AV3&gt;AV$150, AV3-AV$150,"")</f>
        <v/>
      </c>
      <c r="BZ3" s="1" t="str">
        <f>IF(AW3&gt;AW$150, AW3-AW$150,"")</f>
        <v/>
      </c>
      <c r="CA3" s="1" t="str">
        <f>IF(AX3&gt;AX$150, AX3-AX$150,"")</f>
        <v/>
      </c>
      <c r="CB3" s="1" t="str">
        <f>IF(AY3&gt;AY$150, AY3-AY$150,"")</f>
        <v/>
      </c>
      <c r="CC3" s="1" t="str">
        <f>IF(AZ3&gt;AZ$150, AZ3-AZ$150,"")</f>
        <v/>
      </c>
      <c r="CD3" s="1" t="str">
        <f>IF(BA3&gt;BA$150, BA3-BA$150,"")</f>
        <v/>
      </c>
      <c r="CE3" s="1" t="str">
        <f>IF(BB3&gt;BB$150, BB3-BB$150,"")</f>
        <v/>
      </c>
      <c r="CF3" s="1">
        <f>12-COUNTA(BT3:CE3)</f>
        <v>0</v>
      </c>
      <c r="CG3" s="1" t="str">
        <f t="shared" si="0"/>
        <v/>
      </c>
      <c r="CH3" s="1" t="str">
        <f t="shared" si="0"/>
        <v/>
      </c>
      <c r="CI3" s="1" t="str">
        <f t="shared" si="0"/>
        <v/>
      </c>
      <c r="CJ3" s="1" t="str">
        <f t="shared" si="0"/>
        <v/>
      </c>
      <c r="CK3" s="1" t="str">
        <f t="shared" si="0"/>
        <v/>
      </c>
      <c r="CL3" s="1" t="str">
        <f t="shared" si="0"/>
        <v/>
      </c>
      <c r="CM3" s="1" t="str">
        <f t="shared" si="0"/>
        <v/>
      </c>
      <c r="CN3" s="1" t="str">
        <f t="shared" si="0"/>
        <v/>
      </c>
      <c r="CO3" s="1" t="str">
        <f t="shared" si="0"/>
        <v/>
      </c>
      <c r="CP3" s="1" t="str">
        <f t="shared" si="0"/>
        <v/>
      </c>
      <c r="CQ3" s="1" t="str">
        <f t="shared" si="0"/>
        <v/>
      </c>
      <c r="CR3" s="1" t="str">
        <f t="shared" si="0"/>
        <v/>
      </c>
      <c r="CS3" s="18">
        <f>SUM(AE3:BO3)</f>
        <v>80</v>
      </c>
    </row>
    <row r="4" spans="1:97" x14ac:dyDescent="0.15">
      <c r="A4" s="1">
        <v>35</v>
      </c>
      <c r="B4" s="1" t="s">
        <v>48</v>
      </c>
      <c r="C4" s="1" t="s">
        <v>49</v>
      </c>
      <c r="D4" s="1" t="s">
        <v>26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 t="shared" si="1"/>
        <v>80</v>
      </c>
      <c r="BQ4" s="1">
        <v>0</v>
      </c>
      <c r="BR4" s="17">
        <v>0</v>
      </c>
      <c r="BS4" s="17"/>
      <c r="BT4" s="1" t="str">
        <f>IF(AQ4&gt;AQ$150, AQ4-AQ$150,"")</f>
        <v/>
      </c>
      <c r="BU4" s="1" t="str">
        <f>IF(AR4&gt;AR$150, AR4-AR$150,"")</f>
        <v/>
      </c>
      <c r="BV4" s="1" t="str">
        <f>IF(AS4&gt;AS$150, AS4-AS$150,"")</f>
        <v/>
      </c>
      <c r="BW4" s="1" t="str">
        <f>IF(AT4&gt;AT$150, AT4-AT$150,"")</f>
        <v/>
      </c>
      <c r="BX4" s="1" t="str">
        <f>IF(AU4&gt;AU$150, AU4-AU$150,"")</f>
        <v/>
      </c>
      <c r="BY4" s="1" t="str">
        <f>IF(AV4&gt;AV$150, AV4-AV$150,"")</f>
        <v/>
      </c>
      <c r="BZ4" s="1" t="str">
        <f>IF(AW4&gt;AW$150, AW4-AW$150,"")</f>
        <v/>
      </c>
      <c r="CA4" s="1" t="str">
        <f>IF(AX4&gt;AX$150, AX4-AX$150,"")</f>
        <v/>
      </c>
      <c r="CB4" s="1" t="str">
        <f>IF(AY4&gt;AY$150, AY4-AY$150,"")</f>
        <v/>
      </c>
      <c r="CC4" s="1" t="str">
        <f>IF(AZ4&gt;AZ$150, AZ4-AZ$150,"")</f>
        <v/>
      </c>
      <c r="CD4" s="1" t="str">
        <f>IF(BA4&gt;BA$150, BA4-BA$150,"")</f>
        <v/>
      </c>
      <c r="CE4" s="1" t="str">
        <f>IF(BB4&gt;BB$150, BB4-BB$150,"")</f>
        <v/>
      </c>
      <c r="CF4" s="1">
        <f>12-COUNTA(BT4:CE4)</f>
        <v>0</v>
      </c>
      <c r="CG4" s="1" t="str">
        <f t="shared" si="0"/>
        <v/>
      </c>
      <c r="CH4" s="1" t="str">
        <f t="shared" si="0"/>
        <v/>
      </c>
      <c r="CI4" s="1" t="str">
        <f t="shared" si="0"/>
        <v/>
      </c>
      <c r="CJ4" s="1" t="str">
        <f t="shared" si="0"/>
        <v/>
      </c>
      <c r="CK4" s="1" t="str">
        <f t="shared" si="0"/>
        <v/>
      </c>
      <c r="CL4" s="1" t="str">
        <f t="shared" si="0"/>
        <v/>
      </c>
      <c r="CM4" s="1" t="str">
        <f t="shared" si="0"/>
        <v/>
      </c>
      <c r="CN4" s="1" t="str">
        <f t="shared" si="0"/>
        <v/>
      </c>
      <c r="CO4" s="1" t="str">
        <f t="shared" si="0"/>
        <v/>
      </c>
      <c r="CP4" s="1" t="str">
        <f t="shared" si="0"/>
        <v/>
      </c>
      <c r="CQ4" s="1" t="str">
        <f t="shared" si="0"/>
        <v/>
      </c>
      <c r="CR4" s="1" t="str">
        <f t="shared" si="0"/>
        <v/>
      </c>
      <c r="CS4" s="18">
        <f>SUM(AE4:BO4)</f>
        <v>80</v>
      </c>
    </row>
    <row r="5" spans="1:97" x14ac:dyDescent="0.15">
      <c r="A5" s="1">
        <v>55</v>
      </c>
      <c r="B5" s="1" t="s">
        <v>60</v>
      </c>
      <c r="C5" s="1" t="s">
        <v>61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/>
      <c r="BG5" s="1"/>
      <c r="BH5" s="1">
        <v>20</v>
      </c>
      <c r="BI5" s="1">
        <v>20</v>
      </c>
      <c r="BJ5" s="1"/>
      <c r="BK5" s="1"/>
      <c r="BL5" s="1"/>
      <c r="BM5" s="1"/>
      <c r="BN5" s="1"/>
      <c r="BO5" s="1"/>
      <c r="BP5" s="1">
        <f t="shared" si="1"/>
        <v>80</v>
      </c>
      <c r="BQ5" s="1">
        <v>0</v>
      </c>
      <c r="BR5" s="17">
        <v>0</v>
      </c>
      <c r="BS5" s="17"/>
      <c r="BT5" s="1" t="str">
        <f>IF(AQ5&gt;AQ$150, AQ5-AQ$150,"")</f>
        <v/>
      </c>
      <c r="BU5" s="1" t="str">
        <f>IF(AR5&gt;AR$150, AR5-AR$150,"")</f>
        <v/>
      </c>
      <c r="BV5" s="1" t="str">
        <f>IF(AS5&gt;AS$150, AS5-AS$150,"")</f>
        <v/>
      </c>
      <c r="BW5" s="1" t="str">
        <f>IF(AT5&gt;AT$150, AT5-AT$150,"")</f>
        <v/>
      </c>
      <c r="BX5" s="1" t="str">
        <f>IF(AU5&gt;AU$150, AU5-AU$150,"")</f>
        <v/>
      </c>
      <c r="BY5" s="1" t="str">
        <f>IF(AV5&gt;AV$150, AV5-AV$150,"")</f>
        <v/>
      </c>
      <c r="BZ5" s="1" t="str">
        <f>IF(AW5&gt;AW$150, AW5-AW$150,"")</f>
        <v/>
      </c>
      <c r="CA5" s="1" t="str">
        <f>IF(AX5&gt;AX$150, AX5-AX$150,"")</f>
        <v/>
      </c>
      <c r="CB5" s="1" t="str">
        <f>IF(AY5&gt;AY$150, AY5-AY$150,"")</f>
        <v/>
      </c>
      <c r="CC5" s="1" t="str">
        <f>IF(AZ5&gt;AZ$150, AZ5-AZ$150,"")</f>
        <v/>
      </c>
      <c r="CD5" s="1" t="str">
        <f>IF(BA5&gt;BA$150, BA5-BA$150,"")</f>
        <v/>
      </c>
      <c r="CE5" s="1" t="str">
        <f>IF(BB5&gt;BB$150, BB5-BB$150,"")</f>
        <v/>
      </c>
      <c r="CF5" s="1">
        <f>12-COUNTA(BT5:CE5)</f>
        <v>0</v>
      </c>
      <c r="CG5" s="1" t="str">
        <f t="shared" si="0"/>
        <v/>
      </c>
      <c r="CH5" s="1" t="str">
        <f t="shared" si="0"/>
        <v/>
      </c>
      <c r="CI5" s="1" t="str">
        <f t="shared" si="0"/>
        <v/>
      </c>
      <c r="CJ5" s="1" t="str">
        <f t="shared" si="0"/>
        <v/>
      </c>
      <c r="CK5" s="1" t="str">
        <f t="shared" si="0"/>
        <v/>
      </c>
      <c r="CL5" s="1" t="str">
        <f t="shared" si="0"/>
        <v/>
      </c>
      <c r="CM5" s="1" t="str">
        <f t="shared" si="0"/>
        <v/>
      </c>
      <c r="CN5" s="1" t="str">
        <f t="shared" si="0"/>
        <v/>
      </c>
      <c r="CO5" s="1" t="str">
        <f t="shared" si="0"/>
        <v/>
      </c>
      <c r="CP5" s="1" t="str">
        <f t="shared" si="0"/>
        <v/>
      </c>
      <c r="CQ5" s="1" t="str">
        <f t="shared" si="0"/>
        <v/>
      </c>
      <c r="CR5" s="1" t="str">
        <f t="shared" si="0"/>
        <v/>
      </c>
      <c r="CS5" s="18">
        <f>SUM(AE5:BO5)</f>
        <v>80</v>
      </c>
    </row>
    <row r="6" spans="1:97" s="25" customFormat="1" x14ac:dyDescent="0.15">
      <c r="A6" s="1">
        <v>9</v>
      </c>
      <c r="B6" s="1" t="s">
        <v>28</v>
      </c>
      <c r="C6" s="1" t="s">
        <v>2</v>
      </c>
      <c r="D6" s="1" t="s">
        <v>26</v>
      </c>
      <c r="E6" s="6"/>
      <c r="F6" s="6"/>
      <c r="G6" s="6"/>
      <c r="H6" s="6"/>
      <c r="I6" s="6">
        <v>4</v>
      </c>
      <c r="J6" s="6"/>
      <c r="K6" s="6">
        <v>4</v>
      </c>
      <c r="L6" s="6"/>
      <c r="M6" s="6"/>
      <c r="N6" s="6"/>
      <c r="O6" s="6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>
        <v>5</v>
      </c>
      <c r="AS6" s="4"/>
      <c r="AT6" s="4"/>
      <c r="AU6" s="4"/>
      <c r="AV6" s="4"/>
      <c r="AW6" s="2">
        <v>5</v>
      </c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>
        <f t="shared" si="1"/>
        <v>18</v>
      </c>
      <c r="BQ6" s="1">
        <v>0</v>
      </c>
      <c r="BR6" s="17">
        <v>0</v>
      </c>
      <c r="BS6" s="17"/>
      <c r="BT6" s="1" t="str">
        <f>IF(AQ6&gt;AQ$150, AQ6-AQ$150,"")</f>
        <v/>
      </c>
      <c r="BU6" s="1" t="str">
        <f>IF(AR6&gt;AR$150, AR6-AR$150,"")</f>
        <v/>
      </c>
      <c r="BV6" s="1" t="str">
        <f>IF(AS6&gt;AS$150, AS6-AS$150,"")</f>
        <v/>
      </c>
      <c r="BW6" s="1" t="str">
        <f>IF(AT6&gt;AT$150, AT6-AT$150,"")</f>
        <v/>
      </c>
      <c r="BX6" s="1" t="str">
        <f>IF(AU6&gt;AU$150, AU6-AU$150,"")</f>
        <v/>
      </c>
      <c r="BY6" s="1" t="str">
        <f>IF(AV6&gt;AV$150, AV6-AV$150,"")</f>
        <v/>
      </c>
      <c r="BZ6" s="1" t="str">
        <f>IF(AW6&gt;AW$150, AW6-AW$150,"")</f>
        <v/>
      </c>
      <c r="CA6" s="1" t="str">
        <f>IF(AX6&gt;AX$150, AX6-AX$150,"")</f>
        <v/>
      </c>
      <c r="CB6" s="1" t="str">
        <f>IF(AY6&gt;AY$150, AY6-AY$150,"")</f>
        <v/>
      </c>
      <c r="CC6" s="1" t="str">
        <f>IF(AZ6&gt;AZ$150, AZ6-AZ$150,"")</f>
        <v/>
      </c>
      <c r="CD6" s="1" t="str">
        <f>IF(BA6&gt;BA$150, BA6-BA$150,"")</f>
        <v/>
      </c>
      <c r="CE6" s="1" t="str">
        <f>IF(BB6&gt;BB$150, BB6-BB$150,"")</f>
        <v/>
      </c>
      <c r="CF6" s="1">
        <f>COUNTIF(BT6:CE6, "&gt;0")</f>
        <v>0</v>
      </c>
      <c r="CG6" s="1" t="str">
        <f t="shared" si="0"/>
        <v/>
      </c>
      <c r="CH6" s="1" t="str">
        <f t="shared" si="0"/>
        <v/>
      </c>
      <c r="CI6" s="1" t="str">
        <f t="shared" si="0"/>
        <v/>
      </c>
      <c r="CJ6" s="1" t="str">
        <f t="shared" si="0"/>
        <v/>
      </c>
      <c r="CK6" s="1" t="str">
        <f t="shared" si="0"/>
        <v/>
      </c>
      <c r="CL6" s="1" t="str">
        <f t="shared" si="0"/>
        <v/>
      </c>
      <c r="CM6" s="1" t="str">
        <f t="shared" si="0"/>
        <v/>
      </c>
      <c r="CN6" s="1" t="str">
        <f t="shared" si="0"/>
        <v/>
      </c>
      <c r="CO6" s="1" t="str">
        <f t="shared" si="0"/>
        <v/>
      </c>
      <c r="CP6" s="1" t="str">
        <f t="shared" si="0"/>
        <v/>
      </c>
      <c r="CQ6" s="1" t="str">
        <f t="shared" si="0"/>
        <v/>
      </c>
      <c r="CR6" s="1" t="str">
        <f t="shared" si="0"/>
        <v/>
      </c>
      <c r="CS6" s="18">
        <f>SUM(AE6:BO6)</f>
        <v>10</v>
      </c>
    </row>
    <row r="7" spans="1:97" s="25" customFormat="1" x14ac:dyDescent="0.15">
      <c r="A7" s="1"/>
      <c r="B7" s="1" t="s">
        <v>116</v>
      </c>
      <c r="C7" s="1" t="s">
        <v>117</v>
      </c>
      <c r="D7" s="1" t="s">
        <v>115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>
        <v>20</v>
      </c>
      <c r="BE7" s="1">
        <v>20</v>
      </c>
      <c r="BF7" s="1">
        <v>20</v>
      </c>
      <c r="BG7" s="1">
        <v>20</v>
      </c>
      <c r="BH7" s="1"/>
      <c r="BI7" s="1"/>
      <c r="BJ7" s="1"/>
      <c r="BK7" s="1"/>
      <c r="BL7" s="1"/>
      <c r="BM7" s="1"/>
      <c r="BN7" s="1"/>
      <c r="BO7" s="1"/>
      <c r="BP7" s="1">
        <f t="shared" si="1"/>
        <v>80</v>
      </c>
      <c r="BQ7" s="1">
        <v>0</v>
      </c>
      <c r="BR7" s="17">
        <v>0</v>
      </c>
      <c r="BS7" s="17"/>
      <c r="BT7" s="1" t="str">
        <f>IF(AQ7&gt;AQ$150, AQ7-AQ$150,"")</f>
        <v/>
      </c>
      <c r="BU7" s="1" t="str">
        <f>IF(AR7&gt;AR$150, AR7-AR$150,"")</f>
        <v/>
      </c>
      <c r="BV7" s="1" t="str">
        <f>IF(AS7&gt;AS$150, AS7-AS$150,"")</f>
        <v/>
      </c>
      <c r="BW7" s="1" t="str">
        <f>IF(AT7&gt;AT$150, AT7-AT$150,"")</f>
        <v/>
      </c>
      <c r="BX7" s="1" t="str">
        <f>IF(AU7&gt;AU$150, AU7-AU$150,"")</f>
        <v/>
      </c>
      <c r="BY7" s="1" t="str">
        <f>IF(AV7&gt;AV$150, AV7-AV$150,"")</f>
        <v/>
      </c>
      <c r="BZ7" s="1" t="str">
        <f>IF(AW7&gt;AW$150, AW7-AW$150,"")</f>
        <v/>
      </c>
      <c r="CA7" s="1" t="str">
        <f>IF(AX7&gt;AX$150, AX7-AX$150,"")</f>
        <v/>
      </c>
      <c r="CB7" s="1" t="str">
        <f>IF(AY7&gt;AY$150, AY7-AY$150,"")</f>
        <v/>
      </c>
      <c r="CC7" s="1" t="str">
        <f>IF(AZ7&gt;AZ$150, AZ7-AZ$150,"")</f>
        <v/>
      </c>
      <c r="CD7" s="1" t="str">
        <f>IF(BA7&gt;BA$150, BA7-BA$150,"")</f>
        <v/>
      </c>
      <c r="CE7" s="1" t="str">
        <f>IF(BB7&gt;BB$150, BB7-BB$150,"")</f>
        <v/>
      </c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8"/>
    </row>
    <row r="8" spans="1:97" s="25" customFormat="1" x14ac:dyDescent="0.15">
      <c r="A8" s="1"/>
      <c r="B8" s="1" t="s">
        <v>212</v>
      </c>
      <c r="C8" s="1" t="s">
        <v>126</v>
      </c>
      <c r="D8" s="1" t="s">
        <v>115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>
        <v>20</v>
      </c>
      <c r="BG8" s="1">
        <v>20</v>
      </c>
      <c r="BH8" s="1">
        <v>20</v>
      </c>
      <c r="BI8" s="1">
        <v>20</v>
      </c>
      <c r="BJ8" s="1"/>
      <c r="BK8" s="1"/>
      <c r="BL8" s="1"/>
      <c r="BM8" s="1"/>
      <c r="BN8" s="1"/>
      <c r="BO8" s="1"/>
      <c r="BP8" s="1">
        <f t="shared" si="1"/>
        <v>80</v>
      </c>
      <c r="BQ8" s="1">
        <v>0</v>
      </c>
      <c r="BR8" s="17">
        <v>0</v>
      </c>
      <c r="BS8" s="17"/>
      <c r="BT8" s="1" t="str">
        <f>IF(AQ8&gt;AQ$150, AQ8-AQ$150,"")</f>
        <v/>
      </c>
      <c r="BU8" s="1" t="str">
        <f>IF(AR8&gt;AR$150, AR8-AR$150,"")</f>
        <v/>
      </c>
      <c r="BV8" s="1" t="str">
        <f>IF(AS8&gt;AS$150, AS8-AS$150,"")</f>
        <v/>
      </c>
      <c r="BW8" s="1" t="str">
        <f>IF(AT8&gt;AT$150, AT8-AT$150,"")</f>
        <v/>
      </c>
      <c r="BX8" s="1" t="str">
        <f>IF(AU8&gt;AU$150, AU8-AU$150,"")</f>
        <v/>
      </c>
      <c r="BY8" s="1" t="str">
        <f>IF(AV8&gt;AV$150, AV8-AV$150,"")</f>
        <v/>
      </c>
      <c r="BZ8" s="1" t="str">
        <f>IF(AW8&gt;AW$150, AW8-AW$150,"")</f>
        <v/>
      </c>
      <c r="CA8" s="1" t="str">
        <f>IF(AX8&gt;AX$150, AX8-AX$150,"")</f>
        <v/>
      </c>
      <c r="CB8" s="1" t="str">
        <f>IF(AY8&gt;AY$150, AY8-AY$150,"")</f>
        <v/>
      </c>
      <c r="CC8" s="1" t="str">
        <f>IF(AZ8&gt;AZ$150, AZ8-AZ$150,"")</f>
        <v/>
      </c>
      <c r="CD8" s="1" t="str">
        <f>IF(BA8&gt;BA$150, BA8-BA$150,"")</f>
        <v/>
      </c>
      <c r="CE8" s="1" t="str">
        <f>IF(BB8&gt;BB$150, BB8-BB$150,"")</f>
        <v/>
      </c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8"/>
    </row>
    <row r="9" spans="1:97" x14ac:dyDescent="0.15">
      <c r="A9" s="1"/>
      <c r="B9" s="1" t="s">
        <v>129</v>
      </c>
      <c r="C9" s="1" t="s">
        <v>113</v>
      </c>
      <c r="D9" s="1" t="s">
        <v>115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>
        <v>20</v>
      </c>
      <c r="BE9" s="1">
        <v>20</v>
      </c>
      <c r="BF9" s="1">
        <v>20</v>
      </c>
      <c r="BG9" s="1">
        <v>20</v>
      </c>
      <c r="BH9" s="1"/>
      <c r="BI9" s="1"/>
      <c r="BJ9" s="1"/>
      <c r="BK9" s="1"/>
      <c r="BL9" s="1"/>
      <c r="BM9" s="1"/>
      <c r="BN9" s="1"/>
      <c r="BO9" s="1"/>
      <c r="BP9" s="1">
        <f t="shared" si="1"/>
        <v>80</v>
      </c>
      <c r="BQ9" s="1">
        <v>0</v>
      </c>
      <c r="BR9" s="17">
        <v>0</v>
      </c>
      <c r="BS9" s="17"/>
      <c r="BT9" s="1" t="str">
        <f>IF(AQ9&gt;AQ$150, AQ9-AQ$150,"")</f>
        <v/>
      </c>
      <c r="BU9" s="1" t="str">
        <f>IF(AR9&gt;AR$150, AR9-AR$150,"")</f>
        <v/>
      </c>
      <c r="BV9" s="1" t="str">
        <f>IF(AS9&gt;AS$150, AS9-AS$150,"")</f>
        <v/>
      </c>
      <c r="BW9" s="1" t="str">
        <f>IF(AT9&gt;AT$150, AT9-AT$150,"")</f>
        <v/>
      </c>
      <c r="BX9" s="1" t="str">
        <f>IF(AU9&gt;AU$150, AU9-AU$150,"")</f>
        <v/>
      </c>
      <c r="BY9" s="1" t="str">
        <f>IF(AV9&gt;AV$150, AV9-AV$150,"")</f>
        <v/>
      </c>
      <c r="BZ9" s="1" t="str">
        <f>IF(AW9&gt;AW$150, AW9-AW$150,"")</f>
        <v/>
      </c>
      <c r="CA9" s="1" t="str">
        <f>IF(AX9&gt;AX$150, AX9-AX$150,"")</f>
        <v/>
      </c>
      <c r="CB9" s="1" t="str">
        <f>IF(AY9&gt;AY$150, AY9-AY$150,"")</f>
        <v/>
      </c>
      <c r="CC9" s="1" t="str">
        <f>IF(AZ9&gt;AZ$150, AZ9-AZ$150,"")</f>
        <v/>
      </c>
      <c r="CD9" s="1" t="str">
        <f>IF(BA9&gt;BA$150, BA9-BA$150,"")</f>
        <v/>
      </c>
      <c r="CE9" s="1" t="str">
        <f>IF(BB9&gt;BB$150, BB9-BB$150,"")</f>
        <v/>
      </c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8"/>
    </row>
    <row r="10" spans="1:97" x14ac:dyDescent="0.15">
      <c r="A10" s="1"/>
      <c r="B10" s="1" t="s">
        <v>131</v>
      </c>
      <c r="C10" s="1" t="s">
        <v>113</v>
      </c>
      <c r="D10" s="1" t="s">
        <v>114</v>
      </c>
      <c r="E10" s="6"/>
      <c r="F10" s="6"/>
      <c r="G10" s="6"/>
      <c r="H10" s="6"/>
      <c r="I10" s="6"/>
      <c r="J10" s="6"/>
      <c r="K10" s="6">
        <v>5</v>
      </c>
      <c r="L10" s="6"/>
      <c r="M10" s="6"/>
      <c r="N10" s="6"/>
      <c r="O10" s="6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 t="shared" si="1"/>
        <v>5</v>
      </c>
      <c r="BQ10" s="1">
        <v>0</v>
      </c>
      <c r="BR10" s="17">
        <v>0</v>
      </c>
      <c r="BS10" s="17"/>
      <c r="BT10" s="1" t="str">
        <f>IF(AQ10&gt;AQ$150, AQ10-AQ$150,"")</f>
        <v/>
      </c>
      <c r="BU10" s="1" t="str">
        <f>IF(AR10&gt;AR$150, AR10-AR$150,"")</f>
        <v/>
      </c>
      <c r="BV10" s="1" t="str">
        <f>IF(AS10&gt;AS$150, AS10-AS$150,"")</f>
        <v/>
      </c>
      <c r="BW10" s="1" t="str">
        <f>IF(AT10&gt;AT$150, AT10-AT$150,"")</f>
        <v/>
      </c>
      <c r="BX10" s="1" t="str">
        <f>IF(AU10&gt;AU$150, AU10-AU$150,"")</f>
        <v/>
      </c>
      <c r="BY10" s="1" t="str">
        <f>IF(AV10&gt;AV$150, AV10-AV$150,"")</f>
        <v/>
      </c>
      <c r="BZ10" s="1" t="str">
        <f>IF(AW10&gt;AW$150, AW10-AW$150,"")</f>
        <v/>
      </c>
      <c r="CA10" s="1" t="str">
        <f>IF(AX10&gt;AX$150, AX10-AX$150,"")</f>
        <v/>
      </c>
      <c r="CB10" s="1" t="str">
        <f>IF(AY10&gt;AY$150, AY10-AY$150,"")</f>
        <v/>
      </c>
      <c r="CC10" s="1" t="str">
        <f>IF(AZ10&gt;AZ$150, AZ10-AZ$150,"")</f>
        <v/>
      </c>
      <c r="CD10" s="1" t="str">
        <f>IF(BA10&gt;BA$150, BA10-BA$150,"")</f>
        <v/>
      </c>
      <c r="CE10" s="1" t="str">
        <f>IF(BB10&gt;BB$150, BB10-BB$150,"")</f>
        <v/>
      </c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8"/>
    </row>
    <row r="11" spans="1:97" x14ac:dyDescent="0.15">
      <c r="A11" s="1"/>
      <c r="B11" s="1" t="s">
        <v>137</v>
      </c>
      <c r="C11" s="1" t="s">
        <v>135</v>
      </c>
      <c r="D11" s="1" t="s">
        <v>114</v>
      </c>
      <c r="E11" s="6"/>
      <c r="F11" s="6"/>
      <c r="G11" s="6"/>
      <c r="H11" s="6"/>
      <c r="I11" s="6"/>
      <c r="J11" s="6">
        <v>5</v>
      </c>
      <c r="K11" s="6"/>
      <c r="L11" s="6"/>
      <c r="M11" s="6"/>
      <c r="N11" s="6"/>
      <c r="O11" s="6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 t="shared" si="1"/>
        <v>5</v>
      </c>
      <c r="BQ11" s="1">
        <v>0</v>
      </c>
      <c r="BR11" s="17">
        <v>0</v>
      </c>
      <c r="BS11" s="17"/>
      <c r="BT11" s="1" t="str">
        <f>IF(AQ11&gt;AQ$150, AQ11-AQ$150,"")</f>
        <v/>
      </c>
      <c r="BU11" s="1" t="str">
        <f>IF(AR11&gt;AR$150, AR11-AR$150,"")</f>
        <v/>
      </c>
      <c r="BV11" s="1" t="str">
        <f>IF(AS11&gt;AS$150, AS11-AS$150,"")</f>
        <v/>
      </c>
      <c r="BW11" s="1" t="str">
        <f>IF(AT11&gt;AT$150, AT11-AT$150,"")</f>
        <v/>
      </c>
      <c r="BX11" s="1" t="str">
        <f>IF(AU11&gt;AU$150, AU11-AU$150,"")</f>
        <v/>
      </c>
      <c r="BY11" s="1" t="str">
        <f>IF(AV11&gt;AV$150, AV11-AV$150,"")</f>
        <v/>
      </c>
      <c r="BZ11" s="1" t="str">
        <f>IF(AW11&gt;AW$150, AW11-AW$150,"")</f>
        <v/>
      </c>
      <c r="CA11" s="1" t="str">
        <f>IF(AX11&gt;AX$150, AX11-AX$150,"")</f>
        <v/>
      </c>
      <c r="CB11" s="1" t="str">
        <f>IF(AY11&gt;AY$150, AY11-AY$150,"")</f>
        <v/>
      </c>
      <c r="CC11" s="1" t="str">
        <f>IF(AZ11&gt;AZ$150, AZ11-AZ$150,"")</f>
        <v/>
      </c>
      <c r="CD11" s="1" t="str">
        <f>IF(BA11&gt;BA$150, BA11-BA$150,"")</f>
        <v/>
      </c>
      <c r="CE11" s="1" t="str">
        <f>IF(BB11&gt;BB$150, BB11-BB$150,"")</f>
        <v/>
      </c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8"/>
    </row>
    <row r="12" spans="1:97" x14ac:dyDescent="0.15">
      <c r="A12" s="1"/>
      <c r="B12" s="1" t="s">
        <v>140</v>
      </c>
      <c r="C12" s="1" t="s">
        <v>135</v>
      </c>
      <c r="D12" s="1" t="s">
        <v>114</v>
      </c>
      <c r="E12" s="6"/>
      <c r="F12" s="6"/>
      <c r="G12" s="6"/>
      <c r="H12" s="6"/>
      <c r="I12" s="6"/>
      <c r="J12" s="6"/>
      <c r="K12" s="6">
        <v>5</v>
      </c>
      <c r="L12" s="6"/>
      <c r="M12" s="6"/>
      <c r="N12" s="6"/>
      <c r="O12" s="6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 t="shared" si="1"/>
        <v>5</v>
      </c>
      <c r="BQ12" s="1">
        <v>0</v>
      </c>
      <c r="BR12" s="17">
        <v>0</v>
      </c>
      <c r="BS12" s="17"/>
      <c r="BT12" s="1" t="str">
        <f>IF(AQ12&gt;AQ$150, AQ12-AQ$150,"")</f>
        <v/>
      </c>
      <c r="BU12" s="1" t="str">
        <f>IF(AR12&gt;AR$150, AR12-AR$150,"")</f>
        <v/>
      </c>
      <c r="BV12" s="1" t="str">
        <f>IF(AS12&gt;AS$150, AS12-AS$150,"")</f>
        <v/>
      </c>
      <c r="BW12" s="1" t="str">
        <f>IF(AT12&gt;AT$150, AT12-AT$150,"")</f>
        <v/>
      </c>
      <c r="BX12" s="1" t="str">
        <f>IF(AU12&gt;AU$150, AU12-AU$150,"")</f>
        <v/>
      </c>
      <c r="BY12" s="1" t="str">
        <f>IF(AV12&gt;AV$150, AV12-AV$150,"")</f>
        <v/>
      </c>
      <c r="BZ12" s="1" t="str">
        <f>IF(AW12&gt;AW$150, AW12-AW$150,"")</f>
        <v/>
      </c>
      <c r="CA12" s="1" t="str">
        <f>IF(AX12&gt;AX$150, AX12-AX$150,"")</f>
        <v/>
      </c>
      <c r="CB12" s="1" t="str">
        <f>IF(AY12&gt;AY$150, AY12-AY$150,"")</f>
        <v/>
      </c>
      <c r="CC12" s="1" t="str">
        <f>IF(AZ12&gt;AZ$150, AZ12-AZ$150,"")</f>
        <v/>
      </c>
      <c r="CD12" s="1" t="str">
        <f>IF(BA12&gt;BA$150, BA12-BA$150,"")</f>
        <v/>
      </c>
      <c r="CE12" s="1" t="str">
        <f>IF(BB12&gt;BB$150, BB12-BB$150,"")</f>
        <v/>
      </c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8"/>
    </row>
    <row r="13" spans="1:97" x14ac:dyDescent="0.15">
      <c r="A13" s="1">
        <v>91</v>
      </c>
      <c r="B13" s="3" t="s">
        <v>87</v>
      </c>
      <c r="C13" s="3" t="s">
        <v>86</v>
      </c>
      <c r="D13" s="1" t="s">
        <v>1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1"/>
      <c r="AF13" s="1"/>
      <c r="AG13" s="1"/>
      <c r="AH13" s="1"/>
      <c r="AI13" s="1"/>
      <c r="AJ13" s="1"/>
      <c r="AK13" s="1"/>
      <c r="AL13" s="1"/>
      <c r="AM13" s="1">
        <v>5</v>
      </c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 t="shared" si="1"/>
        <v>5</v>
      </c>
      <c r="BQ13" s="1">
        <v>0</v>
      </c>
      <c r="BR13" s="17">
        <v>0</v>
      </c>
      <c r="BS13" s="17"/>
      <c r="BT13" s="1" t="str">
        <f>IF(AQ13&gt;AQ$150, AQ13-AQ$150,"")</f>
        <v/>
      </c>
      <c r="BU13" s="1" t="str">
        <f>IF(AR13&gt;AR$150, AR13-AR$150,"")</f>
        <v/>
      </c>
      <c r="BV13" s="1" t="str">
        <f>IF(AS13&gt;AS$150, AS13-AS$150,"")</f>
        <v/>
      </c>
      <c r="BW13" s="1" t="str">
        <f>IF(AT13&gt;AT$150, AT13-AT$150,"")</f>
        <v/>
      </c>
      <c r="BX13" s="1" t="str">
        <f>IF(AU13&gt;AU$150, AU13-AU$150,"")</f>
        <v/>
      </c>
      <c r="BY13" s="1" t="str">
        <f>IF(AV13&gt;AV$150, AV13-AV$150,"")</f>
        <v/>
      </c>
      <c r="BZ13" s="1" t="str">
        <f>IF(AW13&gt;AW$150, AW13-AW$150,"")</f>
        <v/>
      </c>
      <c r="CA13" s="1" t="str">
        <f>IF(AX13&gt;AX$150, AX13-AX$150,"")</f>
        <v/>
      </c>
      <c r="CB13" s="1" t="str">
        <f>IF(AY13&gt;AY$150, AY13-AY$150,"")</f>
        <v/>
      </c>
      <c r="CC13" s="1" t="str">
        <f>IF(AZ13&gt;AZ$150, AZ13-AZ$150,"")</f>
        <v/>
      </c>
      <c r="CD13" s="1" t="str">
        <f>IF(BA13&gt;BA$150, BA13-BA$150,"")</f>
        <v/>
      </c>
      <c r="CE13" s="1" t="str">
        <f>IF(BB13&gt;BB$150, BB13-BB$150,"")</f>
        <v/>
      </c>
      <c r="CF13" s="1">
        <f>COUNTIF(BT13:CE13, "&gt;0")</f>
        <v>0</v>
      </c>
      <c r="CG13" s="1" t="str">
        <f t="shared" ref="CG13:CR15" si="2">IF($CF13=1,BT13,"")</f>
        <v/>
      </c>
      <c r="CH13" s="1" t="str">
        <f t="shared" si="2"/>
        <v/>
      </c>
      <c r="CI13" s="1" t="str">
        <f t="shared" si="2"/>
        <v/>
      </c>
      <c r="CJ13" s="1" t="str">
        <f t="shared" si="2"/>
        <v/>
      </c>
      <c r="CK13" s="1" t="str">
        <f t="shared" si="2"/>
        <v/>
      </c>
      <c r="CL13" s="1" t="str">
        <f t="shared" si="2"/>
        <v/>
      </c>
      <c r="CM13" s="1" t="str">
        <f t="shared" si="2"/>
        <v/>
      </c>
      <c r="CN13" s="1" t="str">
        <f t="shared" si="2"/>
        <v/>
      </c>
      <c r="CO13" s="1" t="str">
        <f t="shared" si="2"/>
        <v/>
      </c>
      <c r="CP13" s="1" t="str">
        <f t="shared" si="2"/>
        <v/>
      </c>
      <c r="CQ13" s="1" t="str">
        <f t="shared" si="2"/>
        <v/>
      </c>
      <c r="CR13" s="1" t="str">
        <f t="shared" si="2"/>
        <v/>
      </c>
      <c r="CS13" s="18">
        <f>SUM(AE13:BO13)</f>
        <v>5</v>
      </c>
    </row>
    <row r="14" spans="1:97" x14ac:dyDescent="0.15">
      <c r="A14" s="19">
        <v>92</v>
      </c>
      <c r="B14" s="27" t="s">
        <v>88</v>
      </c>
      <c r="C14" s="27" t="s">
        <v>86</v>
      </c>
      <c r="D14" s="19" t="s">
        <v>24</v>
      </c>
      <c r="E14" s="20">
        <v>10</v>
      </c>
      <c r="F14" s="20"/>
      <c r="G14" s="20"/>
      <c r="H14" s="20"/>
      <c r="I14" s="20">
        <v>10</v>
      </c>
      <c r="J14" s="20">
        <v>10</v>
      </c>
      <c r="K14" s="20"/>
      <c r="L14" s="20"/>
      <c r="M14" s="20"/>
      <c r="N14" s="20"/>
      <c r="O14" s="20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21"/>
      <c r="AR14" s="21"/>
      <c r="AS14" s="21"/>
      <c r="AT14" s="21"/>
      <c r="AU14" s="21"/>
      <c r="AV14" s="21"/>
      <c r="AW14" s="22"/>
      <c r="AX14" s="22"/>
      <c r="AY14" s="22"/>
      <c r="AZ14" s="22"/>
      <c r="BA14" s="22"/>
      <c r="BB14" s="22"/>
      <c r="BC14" s="30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">
        <f t="shared" si="1"/>
        <v>30</v>
      </c>
      <c r="BQ14" s="19">
        <v>0</v>
      </c>
      <c r="BR14" s="23">
        <v>0</v>
      </c>
      <c r="BS14" s="23"/>
      <c r="BT14" s="1" t="str">
        <f>IF(AQ14&gt;AQ$150, AQ14-AQ$150,"")</f>
        <v/>
      </c>
      <c r="BU14" s="1" t="str">
        <f>IF(AR14&gt;AR$150, AR14-AR$150,"")</f>
        <v/>
      </c>
      <c r="BV14" s="1" t="str">
        <f>IF(AS14&gt;AS$150, AS14-AS$150,"")</f>
        <v/>
      </c>
      <c r="BW14" s="1" t="str">
        <f>IF(AT14&gt;AT$150, AT14-AT$150,"")</f>
        <v/>
      </c>
      <c r="BX14" s="1" t="str">
        <f>IF(AU14&gt;AU$150, AU14-AU$150,"")</f>
        <v/>
      </c>
      <c r="BY14" s="1" t="str">
        <f>IF(AV14&gt;AV$150, AV14-AV$150,"")</f>
        <v/>
      </c>
      <c r="BZ14" s="1" t="str">
        <f>IF(AW14&gt;AW$150, AW14-AW$150,"")</f>
        <v/>
      </c>
      <c r="CA14" s="1" t="str">
        <f>IF(AX14&gt;AX$150, AX14-AX$150,"")</f>
        <v/>
      </c>
      <c r="CB14" s="1" t="str">
        <f>IF(AY14&gt;AY$150, AY14-AY$150,"")</f>
        <v/>
      </c>
      <c r="CC14" s="1" t="str">
        <f>IF(AZ14&gt;AZ$150, AZ14-AZ$150,"")</f>
        <v/>
      </c>
      <c r="CD14" s="1" t="str">
        <f>IF(BA14&gt;BA$150, BA14-BA$150,"")</f>
        <v/>
      </c>
      <c r="CE14" s="1" t="str">
        <f>IF(BB14&gt;BB$150, BB14-BB$150,"")</f>
        <v/>
      </c>
      <c r="CF14" s="19">
        <f>COUNTIF(BT14:CE14, "&gt;0")</f>
        <v>0</v>
      </c>
      <c r="CG14" s="19" t="str">
        <f t="shared" si="2"/>
        <v/>
      </c>
      <c r="CH14" s="19" t="str">
        <f t="shared" si="2"/>
        <v/>
      </c>
      <c r="CI14" s="19" t="str">
        <f t="shared" si="2"/>
        <v/>
      </c>
      <c r="CJ14" s="19" t="str">
        <f t="shared" si="2"/>
        <v/>
      </c>
      <c r="CK14" s="19" t="str">
        <f t="shared" si="2"/>
        <v/>
      </c>
      <c r="CL14" s="19" t="str">
        <f t="shared" si="2"/>
        <v/>
      </c>
      <c r="CM14" s="19" t="str">
        <f t="shared" si="2"/>
        <v/>
      </c>
      <c r="CN14" s="19" t="str">
        <f t="shared" si="2"/>
        <v/>
      </c>
      <c r="CO14" s="19" t="str">
        <f t="shared" si="2"/>
        <v/>
      </c>
      <c r="CP14" s="19" t="str">
        <f t="shared" si="2"/>
        <v/>
      </c>
      <c r="CQ14" s="19" t="str">
        <f t="shared" si="2"/>
        <v/>
      </c>
      <c r="CR14" s="19" t="str">
        <f t="shared" si="2"/>
        <v/>
      </c>
      <c r="CS14" s="24">
        <f>SUM(AE14:BO14)</f>
        <v>0</v>
      </c>
    </row>
    <row r="15" spans="1:97" x14ac:dyDescent="0.15">
      <c r="A15" s="19">
        <v>37</v>
      </c>
      <c r="B15" s="19" t="s">
        <v>52</v>
      </c>
      <c r="C15" s="19" t="s">
        <v>49</v>
      </c>
      <c r="D15" s="19" t="s">
        <v>25</v>
      </c>
      <c r="E15" s="20"/>
      <c r="F15" s="20">
        <v>5</v>
      </c>
      <c r="G15" s="20"/>
      <c r="H15" s="20"/>
      <c r="I15" s="20"/>
      <c r="J15" s="20"/>
      <c r="K15" s="20"/>
      <c r="L15" s="20"/>
      <c r="M15" s="20"/>
      <c r="N15" s="20"/>
      <c r="O15" s="20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1"/>
      <c r="AR15" s="21"/>
      <c r="AS15" s="21"/>
      <c r="AT15" s="21"/>
      <c r="AU15" s="21"/>
      <c r="AV15" s="21"/>
      <c r="AW15" s="22"/>
      <c r="AX15" s="22"/>
      <c r="AY15" s="22"/>
      <c r="AZ15" s="22"/>
      <c r="BA15" s="22"/>
      <c r="BB15" s="22"/>
      <c r="BC15" s="30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">
        <f t="shared" si="1"/>
        <v>5</v>
      </c>
      <c r="BQ15" s="19">
        <v>0</v>
      </c>
      <c r="BR15" s="23">
        <v>0</v>
      </c>
      <c r="BS15" s="23"/>
      <c r="BT15" s="1" t="str">
        <f>IF(AQ15&gt;AQ$150, AQ15-AQ$150,"")</f>
        <v/>
      </c>
      <c r="BU15" s="1" t="str">
        <f>IF(AR15&gt;AR$150, AR15-AR$150,"")</f>
        <v/>
      </c>
      <c r="BV15" s="1" t="str">
        <f>IF(AS15&gt;AS$150, AS15-AS$150,"")</f>
        <v/>
      </c>
      <c r="BW15" s="1" t="str">
        <f>IF(AT15&gt;AT$150, AT15-AT$150,"")</f>
        <v/>
      </c>
      <c r="BX15" s="1" t="str">
        <f>IF(AU15&gt;AU$150, AU15-AU$150,"")</f>
        <v/>
      </c>
      <c r="BY15" s="1" t="str">
        <f>IF(AV15&gt;AV$150, AV15-AV$150,"")</f>
        <v/>
      </c>
      <c r="BZ15" s="1" t="str">
        <f>IF(AW15&gt;AW$150, AW15-AW$150,"")</f>
        <v/>
      </c>
      <c r="CA15" s="1" t="str">
        <f>IF(AX15&gt;AX$150, AX15-AX$150,"")</f>
        <v/>
      </c>
      <c r="CB15" s="1" t="str">
        <f>IF(AY15&gt;AY$150, AY15-AY$150,"")</f>
        <v/>
      </c>
      <c r="CC15" s="1" t="str">
        <f>IF(AZ15&gt;AZ$150, AZ15-AZ$150,"")</f>
        <v/>
      </c>
      <c r="CD15" s="1" t="str">
        <f>IF(BA15&gt;BA$150, BA15-BA$150,"")</f>
        <v/>
      </c>
      <c r="CE15" s="1" t="str">
        <f>IF(BB15&gt;BB$150, BB15-BB$150,"")</f>
        <v/>
      </c>
      <c r="CF15" s="19">
        <f>COUNTIF(BT15:CE15, "&gt;0")</f>
        <v>0</v>
      </c>
      <c r="CG15" s="19" t="str">
        <f t="shared" si="2"/>
        <v/>
      </c>
      <c r="CH15" s="19" t="str">
        <f t="shared" si="2"/>
        <v/>
      </c>
      <c r="CI15" s="19" t="str">
        <f t="shared" si="2"/>
        <v/>
      </c>
      <c r="CJ15" s="19" t="str">
        <f t="shared" si="2"/>
        <v/>
      </c>
      <c r="CK15" s="19" t="str">
        <f t="shared" si="2"/>
        <v/>
      </c>
      <c r="CL15" s="19" t="str">
        <f t="shared" si="2"/>
        <v/>
      </c>
      <c r="CM15" s="19" t="str">
        <f t="shared" si="2"/>
        <v/>
      </c>
      <c r="CN15" s="19" t="str">
        <f t="shared" si="2"/>
        <v/>
      </c>
      <c r="CO15" s="19" t="str">
        <f t="shared" si="2"/>
        <v/>
      </c>
      <c r="CP15" s="19" t="str">
        <f t="shared" si="2"/>
        <v/>
      </c>
      <c r="CQ15" s="19" t="str">
        <f t="shared" si="2"/>
        <v/>
      </c>
      <c r="CR15" s="19" t="str">
        <f t="shared" si="2"/>
        <v/>
      </c>
      <c r="CS15" s="24">
        <f>SUM(AE15:BO15)</f>
        <v>0</v>
      </c>
    </row>
    <row r="16" spans="1:97" x14ac:dyDescent="0.15">
      <c r="A16" s="1"/>
      <c r="B16" s="1" t="s">
        <v>124</v>
      </c>
      <c r="C16" s="1" t="s">
        <v>117</v>
      </c>
      <c r="D16" s="1" t="s">
        <v>114</v>
      </c>
      <c r="E16" s="6"/>
      <c r="F16" s="6">
        <v>5</v>
      </c>
      <c r="G16" s="6"/>
      <c r="H16" s="6"/>
      <c r="I16" s="6"/>
      <c r="J16" s="6"/>
      <c r="K16" s="6"/>
      <c r="L16" s="6"/>
      <c r="M16" s="6"/>
      <c r="N16" s="6"/>
      <c r="O16" s="6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 t="shared" si="1"/>
        <v>5</v>
      </c>
      <c r="BQ16" s="1">
        <v>0</v>
      </c>
      <c r="BR16" s="17">
        <v>0</v>
      </c>
      <c r="BS16" s="17"/>
      <c r="BT16" s="1" t="str">
        <f>IF(AQ16&gt;AQ$150, AQ16-AQ$150,"")</f>
        <v/>
      </c>
      <c r="BU16" s="1" t="str">
        <f>IF(AR16&gt;AR$150, AR16-AR$150,"")</f>
        <v/>
      </c>
      <c r="BV16" s="1" t="str">
        <f>IF(AS16&gt;AS$150, AS16-AS$150,"")</f>
        <v/>
      </c>
      <c r="BW16" s="1" t="str">
        <f>IF(AT16&gt;AT$150, AT16-AT$150,"")</f>
        <v/>
      </c>
      <c r="BX16" s="1" t="str">
        <f>IF(AU16&gt;AU$150, AU16-AU$150,"")</f>
        <v/>
      </c>
      <c r="BY16" s="1" t="str">
        <f>IF(AV16&gt;AV$150, AV16-AV$150,"")</f>
        <v/>
      </c>
      <c r="BZ16" s="1" t="str">
        <f>IF(AW16&gt;AW$150, AW16-AW$150,"")</f>
        <v/>
      </c>
      <c r="CA16" s="1" t="str">
        <f>IF(AX16&gt;AX$150, AX16-AX$150,"")</f>
        <v/>
      </c>
      <c r="CB16" s="1" t="str">
        <f>IF(AY16&gt;AY$150, AY16-AY$150,"")</f>
        <v/>
      </c>
      <c r="CC16" s="1" t="str">
        <f>IF(AZ16&gt;AZ$150, AZ16-AZ$150,"")</f>
        <v/>
      </c>
      <c r="CD16" s="1" t="str">
        <f>IF(BA16&gt;BA$150, BA16-BA$150,"")</f>
        <v/>
      </c>
      <c r="CE16" s="1" t="str">
        <f>IF(BB16&gt;BB$150, BB16-BB$150,"")</f>
        <v/>
      </c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8"/>
    </row>
    <row r="17" spans="1:97" x14ac:dyDescent="0.15">
      <c r="A17" s="1"/>
      <c r="B17" s="1" t="s">
        <v>138</v>
      </c>
      <c r="C17" s="1" t="s">
        <v>135</v>
      </c>
      <c r="D17" s="1" t="s">
        <v>114</v>
      </c>
      <c r="E17" s="6"/>
      <c r="F17" s="6">
        <v>5</v>
      </c>
      <c r="G17" s="6"/>
      <c r="H17" s="6"/>
      <c r="I17" s="6"/>
      <c r="J17" s="6"/>
      <c r="K17" s="6"/>
      <c r="L17" s="6"/>
      <c r="M17" s="6"/>
      <c r="N17" s="6"/>
      <c r="O17" s="6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 t="shared" si="1"/>
        <v>5</v>
      </c>
      <c r="BQ17" s="1">
        <v>0</v>
      </c>
      <c r="BR17" s="17">
        <v>0</v>
      </c>
      <c r="BS17" s="17"/>
      <c r="BT17" s="1" t="str">
        <f>IF(AQ17&gt;AQ$150, AQ17-AQ$150,"")</f>
        <v/>
      </c>
      <c r="BU17" s="1" t="str">
        <f>IF(AR17&gt;AR$150, AR17-AR$150,"")</f>
        <v/>
      </c>
      <c r="BV17" s="1" t="str">
        <f>IF(AS17&gt;AS$150, AS17-AS$150,"")</f>
        <v/>
      </c>
      <c r="BW17" s="1" t="str">
        <f>IF(AT17&gt;AT$150, AT17-AT$150,"")</f>
        <v/>
      </c>
      <c r="BX17" s="1" t="str">
        <f>IF(AU17&gt;AU$150, AU17-AU$150,"")</f>
        <v/>
      </c>
      <c r="BY17" s="1" t="str">
        <f>IF(AV17&gt;AV$150, AV17-AV$150,"")</f>
        <v/>
      </c>
      <c r="BZ17" s="1" t="str">
        <f>IF(AW17&gt;AW$150, AW17-AW$150,"")</f>
        <v/>
      </c>
      <c r="CA17" s="1" t="str">
        <f>IF(AX17&gt;AX$150, AX17-AX$150,"")</f>
        <v/>
      </c>
      <c r="CB17" s="1" t="str">
        <f>IF(AY17&gt;AY$150, AY17-AY$150,"")</f>
        <v/>
      </c>
      <c r="CC17" s="1" t="str">
        <f>IF(AZ17&gt;AZ$150, AZ17-AZ$150,"")</f>
        <v/>
      </c>
      <c r="CD17" s="1" t="str">
        <f>IF(BA17&gt;BA$150, BA17-BA$150,"")</f>
        <v/>
      </c>
      <c r="CE17" s="1" t="str">
        <f>IF(BB17&gt;BB$150, BB17-BB$150,"")</f>
        <v/>
      </c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8"/>
    </row>
    <row r="18" spans="1:97" s="25" customFormat="1" x14ac:dyDescent="0.15">
      <c r="A18" s="1"/>
      <c r="B18" s="1" t="s">
        <v>130</v>
      </c>
      <c r="C18" s="1" t="s">
        <v>113</v>
      </c>
      <c r="D18" s="1" t="s">
        <v>114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>
        <v>10</v>
      </c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>
        <v>10</v>
      </c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 t="shared" si="1"/>
        <v>20</v>
      </c>
      <c r="BQ18" s="1">
        <v>1</v>
      </c>
      <c r="BR18" s="17">
        <v>1</v>
      </c>
      <c r="BS18" s="17" t="s">
        <v>240</v>
      </c>
      <c r="BT18" s="1">
        <f>IF(AQ18&gt;AQ$150, AQ18-AQ$150,"")</f>
        <v>1</v>
      </c>
      <c r="BU18" s="1" t="str">
        <f>IF(AR18&gt;AR$150, AR18-AR$150,"")</f>
        <v/>
      </c>
      <c r="BV18" s="1" t="str">
        <f>IF(AS18&gt;AS$150, AS18-AS$150,"")</f>
        <v/>
      </c>
      <c r="BW18" s="1" t="str">
        <f>IF(AT18&gt;AT$150, AT18-AT$150,"")</f>
        <v/>
      </c>
      <c r="BX18" s="1" t="str">
        <f>IF(AU18&gt;AU$150, AU18-AU$150,"")</f>
        <v/>
      </c>
      <c r="BY18" s="1" t="str">
        <f>IF(AV18&gt;AV$150, AV18-AV$150,"")</f>
        <v/>
      </c>
      <c r="BZ18" s="1" t="str">
        <f>IF(AW18&gt;AW$150, AW18-AW$150,"")</f>
        <v/>
      </c>
      <c r="CA18" s="1" t="str">
        <f>IF(AX18&gt;AX$150, AX18-AX$150,"")</f>
        <v/>
      </c>
      <c r="CB18" s="1" t="str">
        <f>IF(AY18&gt;AY$150, AY18-AY$150,"")</f>
        <v/>
      </c>
      <c r="CC18" s="1" t="str">
        <f>IF(AZ18&gt;AZ$150, AZ18-AZ$150,"")</f>
        <v/>
      </c>
      <c r="CD18" s="1" t="str">
        <f>IF(BA18&gt;BA$150, BA18-BA$150,"")</f>
        <v/>
      </c>
      <c r="CE18" s="1" t="str">
        <f>IF(BB18&gt;BB$150, BB18-BB$150,"")</f>
        <v/>
      </c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8"/>
    </row>
    <row r="19" spans="1:97" x14ac:dyDescent="0.15">
      <c r="A19" s="1">
        <v>39</v>
      </c>
      <c r="B19" s="1" t="s">
        <v>53</v>
      </c>
      <c r="C19" s="1" t="s">
        <v>49</v>
      </c>
      <c r="D19" s="1" t="s">
        <v>26</v>
      </c>
      <c r="E19" s="6"/>
      <c r="F19" s="6">
        <v>6</v>
      </c>
      <c r="G19" s="6"/>
      <c r="H19" s="6"/>
      <c r="I19" s="6"/>
      <c r="J19" s="6"/>
      <c r="K19" s="6"/>
      <c r="L19" s="6">
        <v>6</v>
      </c>
      <c r="M19" s="6"/>
      <c r="N19" s="6"/>
      <c r="O19" s="6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>
        <v>10</v>
      </c>
      <c r="AR19" s="4"/>
      <c r="AS19" s="4"/>
      <c r="AT19" s="4"/>
      <c r="AU19" s="4"/>
      <c r="AV19" s="4"/>
      <c r="AW19" s="2"/>
      <c r="AX19" s="2">
        <v>10</v>
      </c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 t="shared" si="1"/>
        <v>32</v>
      </c>
      <c r="BQ19" s="1">
        <v>1</v>
      </c>
      <c r="BR19" s="17">
        <v>1</v>
      </c>
      <c r="BS19" s="17" t="s">
        <v>269</v>
      </c>
      <c r="BT19" s="1">
        <f>IF(AQ19&gt;AQ$150, AQ19-AQ$150,"")</f>
        <v>1</v>
      </c>
      <c r="BU19" s="1" t="str">
        <f>IF(AR19&gt;AR$150, AR19-AR$150,"")</f>
        <v/>
      </c>
      <c r="BV19" s="1" t="str">
        <f>IF(AS19&gt;AS$150, AS19-AS$150,"")</f>
        <v/>
      </c>
      <c r="BW19" s="1" t="str">
        <f>IF(AT19&gt;AT$150, AT19-AT$150,"")</f>
        <v/>
      </c>
      <c r="BX19" s="1" t="str">
        <f>IF(AU19&gt;AU$150, AU19-AU$150,"")</f>
        <v/>
      </c>
      <c r="BY19" s="1" t="str">
        <f>IF(AV19&gt;AV$150, AV19-AV$150,"")</f>
        <v/>
      </c>
      <c r="BZ19" s="1" t="str">
        <f>IF(AW19&gt;AW$150, AW19-AW$150,"")</f>
        <v/>
      </c>
      <c r="CA19" s="1" t="str">
        <f>IF(AX19&gt;AX$150, AX19-AX$150,"")</f>
        <v/>
      </c>
      <c r="CB19" s="1" t="str">
        <f>IF(AY19&gt;AY$150, AY19-AY$150,"")</f>
        <v/>
      </c>
      <c r="CC19" s="1" t="str">
        <f>IF(AZ19&gt;AZ$150, AZ19-AZ$150,"")</f>
        <v/>
      </c>
      <c r="CD19" s="1" t="str">
        <f>IF(BA19&gt;BA$150, BA19-BA$150,"")</f>
        <v/>
      </c>
      <c r="CE19" s="1" t="str">
        <f>IF(BB19&gt;BB$150, BB19-BB$150,"")</f>
        <v/>
      </c>
      <c r="CF19" s="1">
        <f>COUNTIF(BT19:CE19, "&gt;0")</f>
        <v>1</v>
      </c>
      <c r="CG19" s="1">
        <f t="shared" ref="CG19:CR19" si="3">IF($CF19=1,BT19,"")</f>
        <v>1</v>
      </c>
      <c r="CH19" s="1" t="str">
        <f t="shared" si="3"/>
        <v/>
      </c>
      <c r="CI19" s="1" t="str">
        <f t="shared" si="3"/>
        <v/>
      </c>
      <c r="CJ19" s="1" t="str">
        <f t="shared" si="3"/>
        <v/>
      </c>
      <c r="CK19" s="1" t="str">
        <f t="shared" si="3"/>
        <v/>
      </c>
      <c r="CL19" s="1" t="str">
        <f t="shared" si="3"/>
        <v/>
      </c>
      <c r="CM19" s="1" t="str">
        <f t="shared" si="3"/>
        <v/>
      </c>
      <c r="CN19" s="1" t="str">
        <f t="shared" si="3"/>
        <v/>
      </c>
      <c r="CO19" s="1" t="str">
        <f t="shared" si="3"/>
        <v/>
      </c>
      <c r="CP19" s="1" t="str">
        <f t="shared" si="3"/>
        <v/>
      </c>
      <c r="CQ19" s="1" t="str">
        <f t="shared" si="3"/>
        <v/>
      </c>
      <c r="CR19" s="1" t="str">
        <f t="shared" si="3"/>
        <v/>
      </c>
      <c r="CS19" s="18">
        <f>SUM(AE19:BO19)</f>
        <v>20</v>
      </c>
    </row>
    <row r="20" spans="1:97" x14ac:dyDescent="0.15">
      <c r="A20" s="1"/>
      <c r="B20" s="1" t="s">
        <v>132</v>
      </c>
      <c r="C20" s="1" t="s">
        <v>133</v>
      </c>
      <c r="D20" s="1" t="s">
        <v>114</v>
      </c>
      <c r="E20" s="6"/>
      <c r="F20" s="6"/>
      <c r="G20" s="6">
        <v>2</v>
      </c>
      <c r="H20" s="6"/>
      <c r="I20" s="6"/>
      <c r="J20" s="6"/>
      <c r="K20" s="6"/>
      <c r="L20" s="6"/>
      <c r="M20" s="6"/>
      <c r="N20" s="6"/>
      <c r="O20" s="6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 t="shared" si="1"/>
        <v>2</v>
      </c>
      <c r="BQ20" s="1">
        <v>2</v>
      </c>
      <c r="BR20" s="17">
        <v>1</v>
      </c>
      <c r="BS20" s="17" t="s">
        <v>222</v>
      </c>
      <c r="BT20" s="1" t="str">
        <f>IF(AQ20&gt;AQ$150, AQ20-AQ$150,"")</f>
        <v/>
      </c>
      <c r="BU20" s="1" t="str">
        <f>IF(AR20&gt;AR$150, AR20-AR$150,"")</f>
        <v/>
      </c>
      <c r="BV20" s="1" t="str">
        <f>IF(AS20&gt;AS$150, AS20-AS$150,"")</f>
        <v/>
      </c>
      <c r="BW20" s="1" t="str">
        <f>IF(AT20&gt;AT$150, AT20-AT$150,"")</f>
        <v/>
      </c>
      <c r="BX20" s="1" t="str">
        <f>IF(AU20&gt;AU$150, AU20-AU$150,"")</f>
        <v/>
      </c>
      <c r="BY20" s="1" t="str">
        <f>IF(AV20&gt;AV$150, AV20-AV$150,"")</f>
        <v/>
      </c>
      <c r="BZ20" s="1" t="str">
        <f>IF(AW20&gt;AW$150, AW20-AW$150,"")</f>
        <v/>
      </c>
      <c r="CA20" s="1" t="str">
        <f>IF(AX20&gt;AX$150, AX20-AX$150,"")</f>
        <v/>
      </c>
      <c r="CB20" s="1" t="str">
        <f>IF(AY20&gt;AY$150, AY20-AY$150,"")</f>
        <v/>
      </c>
      <c r="CC20" s="1" t="str">
        <f>IF(AZ20&gt;AZ$150, AZ20-AZ$150,"")</f>
        <v/>
      </c>
      <c r="CD20" s="1" t="str">
        <f>IF(BA20&gt;BA$150, BA20-BA$150,"")</f>
        <v/>
      </c>
      <c r="CE20" s="1" t="str">
        <f>IF(BB20&gt;BB$150, BB20-BB$150,"")</f>
        <v/>
      </c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8"/>
    </row>
    <row r="21" spans="1:97" x14ac:dyDescent="0.15">
      <c r="A21" s="1"/>
      <c r="B21" s="1" t="s">
        <v>125</v>
      </c>
      <c r="C21" s="1" t="s">
        <v>117</v>
      </c>
      <c r="D21" s="1" t="s">
        <v>121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>
        <v>2</v>
      </c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 t="shared" si="1"/>
        <v>2</v>
      </c>
      <c r="BQ21" s="1">
        <v>2</v>
      </c>
      <c r="BR21" s="17">
        <v>1</v>
      </c>
      <c r="BS21" s="17" t="s">
        <v>229</v>
      </c>
      <c r="BT21" s="1" t="str">
        <f>IF(AQ21&gt;AQ$150, AQ21-AQ$150,"")</f>
        <v/>
      </c>
      <c r="BU21" s="1" t="str">
        <f>IF(AR21&gt;AR$150, AR21-AR$150,"")</f>
        <v/>
      </c>
      <c r="BV21" s="1" t="str">
        <f>IF(AS21&gt;AS$150, AS21-AS$150,"")</f>
        <v/>
      </c>
      <c r="BW21" s="1" t="str">
        <f>IF(AT21&gt;AT$150, AT21-AT$150,"")</f>
        <v/>
      </c>
      <c r="BX21" s="1" t="str">
        <f>IF(AU21&gt;AU$150, AU21-AU$150,"")</f>
        <v/>
      </c>
      <c r="BY21" s="1" t="str">
        <f>IF(AV21&gt;AV$150, AV21-AV$150,"")</f>
        <v/>
      </c>
      <c r="BZ21" s="1" t="str">
        <f>IF(AW21&gt;AW$150, AW21-AW$150,"")</f>
        <v/>
      </c>
      <c r="CA21" s="1" t="str">
        <f>IF(AX21&gt;AX$150, AX21-AX$150,"")</f>
        <v/>
      </c>
      <c r="CB21" s="1" t="str">
        <f>IF(AY21&gt;AY$150, AY21-AY$150,"")</f>
        <v/>
      </c>
      <c r="CC21" s="1" t="str">
        <f>IF(AZ21&gt;AZ$150, AZ21-AZ$150,"")</f>
        <v/>
      </c>
      <c r="CD21" s="1" t="str">
        <f>IF(BA21&gt;BA$150, BA21-BA$150,"")</f>
        <v/>
      </c>
      <c r="CE21" s="1" t="str">
        <f>IF(BB21&gt;BB$150, BB21-BB$150,"")</f>
        <v/>
      </c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8"/>
    </row>
    <row r="22" spans="1:97" x14ac:dyDescent="0.15">
      <c r="A22" s="1">
        <v>68</v>
      </c>
      <c r="B22" s="3" t="s">
        <v>110</v>
      </c>
      <c r="C22" s="1" t="s">
        <v>61</v>
      </c>
      <c r="D22" s="1" t="s">
        <v>13</v>
      </c>
      <c r="E22" s="6"/>
      <c r="F22" s="6">
        <v>6</v>
      </c>
      <c r="G22" s="6"/>
      <c r="H22" s="6"/>
      <c r="I22" s="6"/>
      <c r="J22" s="6"/>
      <c r="K22" s="6"/>
      <c r="L22" s="6"/>
      <c r="M22" s="6"/>
      <c r="N22" s="6">
        <v>6</v>
      </c>
      <c r="O22" s="6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>
        <v>10</v>
      </c>
      <c r="AW22" s="2"/>
      <c r="AX22" s="2"/>
      <c r="AY22" s="2"/>
      <c r="AZ22" s="2"/>
      <c r="BA22" s="2"/>
      <c r="BB22" s="2">
        <v>10</v>
      </c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 t="shared" si="1"/>
        <v>32</v>
      </c>
      <c r="BQ22" s="1">
        <v>3</v>
      </c>
      <c r="BR22" s="17">
        <v>1</v>
      </c>
      <c r="BS22" s="17" t="s">
        <v>234</v>
      </c>
      <c r="BT22" s="1" t="str">
        <f>IF(AQ22&gt;AQ$150, AQ22-AQ$150,"")</f>
        <v/>
      </c>
      <c r="BU22" s="1" t="str">
        <f>IF(AR22&gt;AR$150, AR22-AR$150,"")</f>
        <v/>
      </c>
      <c r="BV22" s="1" t="str">
        <f>IF(AS22&gt;AS$150, AS22-AS$150,"")</f>
        <v/>
      </c>
      <c r="BW22" s="1" t="str">
        <f>IF(AT22&gt;AT$150, AT22-AT$150,"")</f>
        <v/>
      </c>
      <c r="BX22" s="1" t="str">
        <f>IF(AU22&gt;AU$150, AU22-AU$150,"")</f>
        <v/>
      </c>
      <c r="BY22" s="1">
        <f>IF(AV22&gt;AV$150, AV22-AV$150,"")</f>
        <v>3</v>
      </c>
      <c r="BZ22" s="1" t="str">
        <f>IF(AW22&gt;AW$150, AW22-AW$150,"")</f>
        <v/>
      </c>
      <c r="CA22" s="1" t="str">
        <f>IF(AX22&gt;AX$150, AX22-AX$150,"")</f>
        <v/>
      </c>
      <c r="CB22" s="1" t="str">
        <f>IF(AY22&gt;AY$150, AY22-AY$150,"")</f>
        <v/>
      </c>
      <c r="CC22" s="1" t="str">
        <f>IF(AZ22&gt;AZ$150, AZ22-AZ$150,"")</f>
        <v/>
      </c>
      <c r="CD22" s="1" t="str">
        <f>IF(BA22&gt;BA$150, BA22-BA$150,"")</f>
        <v/>
      </c>
      <c r="CE22" s="1" t="str">
        <f>IF(BB22&gt;BB$150, BB22-BB$150,"")</f>
        <v/>
      </c>
      <c r="CF22" s="1">
        <f t="shared" ref="CF22:CF27" si="4">COUNTIF(BT22:CE22, "&gt;0")</f>
        <v>1</v>
      </c>
      <c r="CG22" s="1" t="str">
        <f t="shared" ref="CG22:CR27" si="5">IF($CF22=1,BT22,"")</f>
        <v/>
      </c>
      <c r="CH22" s="1" t="str">
        <f t="shared" si="5"/>
        <v/>
      </c>
      <c r="CI22" s="1" t="str">
        <f t="shared" si="5"/>
        <v/>
      </c>
      <c r="CJ22" s="1" t="str">
        <f t="shared" si="5"/>
        <v/>
      </c>
      <c r="CK22" s="1" t="str">
        <f t="shared" si="5"/>
        <v/>
      </c>
      <c r="CL22" s="1">
        <f t="shared" si="5"/>
        <v>3</v>
      </c>
      <c r="CM22" s="1" t="str">
        <f t="shared" si="5"/>
        <v/>
      </c>
      <c r="CN22" s="1" t="str">
        <f t="shared" si="5"/>
        <v/>
      </c>
      <c r="CO22" s="1" t="str">
        <f t="shared" si="5"/>
        <v/>
      </c>
      <c r="CP22" s="1" t="str">
        <f t="shared" si="5"/>
        <v/>
      </c>
      <c r="CQ22" s="1" t="str">
        <f t="shared" si="5"/>
        <v/>
      </c>
      <c r="CR22" s="1" t="str">
        <f t="shared" si="5"/>
        <v/>
      </c>
      <c r="CS22" s="18">
        <f t="shared" ref="CS22:CS27" si="6">SUM(AE22:BO22)</f>
        <v>20</v>
      </c>
    </row>
    <row r="23" spans="1:97" x14ac:dyDescent="0.15">
      <c r="A23" s="1">
        <v>24</v>
      </c>
      <c r="B23" s="1" t="s">
        <v>47</v>
      </c>
      <c r="C23" s="1" t="s">
        <v>32</v>
      </c>
      <c r="D23" s="1" t="s">
        <v>26</v>
      </c>
      <c r="E23" s="6"/>
      <c r="F23" s="6"/>
      <c r="G23" s="6"/>
      <c r="H23" s="6"/>
      <c r="I23" s="6">
        <v>4</v>
      </c>
      <c r="J23" s="6"/>
      <c r="K23" s="6">
        <v>4</v>
      </c>
      <c r="L23" s="6"/>
      <c r="M23" s="6"/>
      <c r="N23" s="6"/>
      <c r="O23" s="6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>
        <v>5</v>
      </c>
      <c r="AT23" s="4"/>
      <c r="AU23" s="4"/>
      <c r="AV23" s="4"/>
      <c r="AW23" s="2">
        <v>5</v>
      </c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 t="shared" si="1"/>
        <v>18</v>
      </c>
      <c r="BQ23" s="1">
        <v>3</v>
      </c>
      <c r="BR23" s="17">
        <v>1</v>
      </c>
      <c r="BS23" s="17" t="s">
        <v>199</v>
      </c>
      <c r="BT23" s="1" t="str">
        <f>IF(AQ23&gt;AQ$150, AQ23-AQ$150,"")</f>
        <v/>
      </c>
      <c r="BU23" s="1" t="str">
        <f>IF(AR23&gt;AR$150, AR23-AR$150,"")</f>
        <v/>
      </c>
      <c r="BV23" s="1">
        <f>IF(AS23&gt;AS$150, AS23-AS$150,"")</f>
        <v>3</v>
      </c>
      <c r="BW23" s="1" t="str">
        <f>IF(AT23&gt;AT$150, AT23-AT$150,"")</f>
        <v/>
      </c>
      <c r="BX23" s="1" t="str">
        <f>IF(AU23&gt;AU$150, AU23-AU$150,"")</f>
        <v/>
      </c>
      <c r="BY23" s="1" t="str">
        <f>IF(AV23&gt;AV$150, AV23-AV$150,"")</f>
        <v/>
      </c>
      <c r="BZ23" s="1" t="str">
        <f>IF(AW23&gt;AW$150, AW23-AW$150,"")</f>
        <v/>
      </c>
      <c r="CA23" s="1" t="str">
        <f>IF(AX23&gt;AX$150, AX23-AX$150,"")</f>
        <v/>
      </c>
      <c r="CB23" s="1" t="str">
        <f>IF(AY23&gt;AY$150, AY23-AY$150,"")</f>
        <v/>
      </c>
      <c r="CC23" s="1" t="str">
        <f>IF(AZ23&gt;AZ$150, AZ23-AZ$150,"")</f>
        <v/>
      </c>
      <c r="CD23" s="1" t="str">
        <f>IF(BA23&gt;BA$150, BA23-BA$150,"")</f>
        <v/>
      </c>
      <c r="CE23" s="1" t="str">
        <f>IF(BB23&gt;BB$150, BB23-BB$150,"")</f>
        <v/>
      </c>
      <c r="CF23" s="1">
        <f t="shared" si="4"/>
        <v>1</v>
      </c>
      <c r="CG23" s="1" t="str">
        <f t="shared" si="5"/>
        <v/>
      </c>
      <c r="CH23" s="1" t="str">
        <f t="shared" si="5"/>
        <v/>
      </c>
      <c r="CI23" s="1">
        <f t="shared" si="5"/>
        <v>3</v>
      </c>
      <c r="CJ23" s="1" t="str">
        <f t="shared" si="5"/>
        <v/>
      </c>
      <c r="CK23" s="1" t="str">
        <f t="shared" si="5"/>
        <v/>
      </c>
      <c r="CL23" s="1" t="str">
        <f t="shared" si="5"/>
        <v/>
      </c>
      <c r="CM23" s="1" t="str">
        <f t="shared" si="5"/>
        <v/>
      </c>
      <c r="CN23" s="1" t="str">
        <f t="shared" si="5"/>
        <v/>
      </c>
      <c r="CO23" s="1" t="str">
        <f t="shared" si="5"/>
        <v/>
      </c>
      <c r="CP23" s="1" t="str">
        <f t="shared" si="5"/>
        <v/>
      </c>
      <c r="CQ23" s="1" t="str">
        <f t="shared" si="5"/>
        <v/>
      </c>
      <c r="CR23" s="1" t="str">
        <f t="shared" si="5"/>
        <v/>
      </c>
      <c r="CS23" s="18">
        <f t="shared" si="6"/>
        <v>10</v>
      </c>
    </row>
    <row r="24" spans="1:97" x14ac:dyDescent="0.15">
      <c r="A24" s="19">
        <v>40</v>
      </c>
      <c r="B24" s="19" t="s">
        <v>56</v>
      </c>
      <c r="C24" s="19" t="s">
        <v>49</v>
      </c>
      <c r="D24" s="19" t="s">
        <v>57</v>
      </c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>
        <v>5</v>
      </c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21"/>
      <c r="AR24" s="21"/>
      <c r="AS24" s="21"/>
      <c r="AT24" s="21"/>
      <c r="AU24" s="21"/>
      <c r="AV24" s="21"/>
      <c r="AW24" s="22"/>
      <c r="AX24" s="22"/>
      <c r="AY24" s="22"/>
      <c r="AZ24" s="22"/>
      <c r="BA24" s="22"/>
      <c r="BB24" s="22"/>
      <c r="BC24" s="30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">
        <f t="shared" si="1"/>
        <v>5</v>
      </c>
      <c r="BQ24" s="19">
        <v>4</v>
      </c>
      <c r="BR24" s="23">
        <v>1</v>
      </c>
      <c r="BS24" s="23" t="s">
        <v>216</v>
      </c>
      <c r="BT24" s="1" t="str">
        <f>IF(AQ24&gt;AQ$150, AQ24-AQ$150,"")</f>
        <v/>
      </c>
      <c r="BU24" s="1" t="str">
        <f>IF(AR24&gt;AR$150, AR24-AR$150,"")</f>
        <v/>
      </c>
      <c r="BV24" s="1" t="str">
        <f>IF(AS24&gt;AS$150, AS24-AS$150,"")</f>
        <v/>
      </c>
      <c r="BW24" s="1" t="str">
        <f>IF(AT24&gt;AT$150, AT24-AT$150,"")</f>
        <v/>
      </c>
      <c r="BX24" s="1" t="str">
        <f>IF(AU24&gt;AU$150, AU24-AU$150,"")</f>
        <v/>
      </c>
      <c r="BY24" s="1" t="str">
        <f>IF(AV24&gt;AV$150, AV24-AV$150,"")</f>
        <v/>
      </c>
      <c r="BZ24" s="1" t="str">
        <f>IF(AW24&gt;AW$150, AW24-AW$150,"")</f>
        <v/>
      </c>
      <c r="CA24" s="1" t="str">
        <f>IF(AX24&gt;AX$150, AX24-AX$150,"")</f>
        <v/>
      </c>
      <c r="CB24" s="1" t="str">
        <f>IF(AY24&gt;AY$150, AY24-AY$150,"")</f>
        <v/>
      </c>
      <c r="CC24" s="1" t="str">
        <f>IF(AZ24&gt;AZ$150, AZ24-AZ$150,"")</f>
        <v/>
      </c>
      <c r="CD24" s="1" t="str">
        <f>IF(BA24&gt;BA$150, BA24-BA$150,"")</f>
        <v/>
      </c>
      <c r="CE24" s="1" t="str">
        <f>IF(BB24&gt;BB$150, BB24-BB$150,"")</f>
        <v/>
      </c>
      <c r="CF24" s="19">
        <f t="shared" si="4"/>
        <v>0</v>
      </c>
      <c r="CG24" s="19" t="str">
        <f t="shared" si="5"/>
        <v/>
      </c>
      <c r="CH24" s="19" t="str">
        <f t="shared" si="5"/>
        <v/>
      </c>
      <c r="CI24" s="19" t="str">
        <f t="shared" si="5"/>
        <v/>
      </c>
      <c r="CJ24" s="19" t="str">
        <f t="shared" si="5"/>
        <v/>
      </c>
      <c r="CK24" s="19" t="str">
        <f t="shared" si="5"/>
        <v/>
      </c>
      <c r="CL24" s="19" t="str">
        <f t="shared" si="5"/>
        <v/>
      </c>
      <c r="CM24" s="19" t="str">
        <f t="shared" si="5"/>
        <v/>
      </c>
      <c r="CN24" s="19" t="str">
        <f t="shared" si="5"/>
        <v/>
      </c>
      <c r="CO24" s="19" t="str">
        <f t="shared" si="5"/>
        <v/>
      </c>
      <c r="CP24" s="19" t="str">
        <f t="shared" si="5"/>
        <v/>
      </c>
      <c r="CQ24" s="19" t="str">
        <f t="shared" si="5"/>
        <v/>
      </c>
      <c r="CR24" s="19" t="str">
        <f t="shared" si="5"/>
        <v/>
      </c>
      <c r="CS24" s="24">
        <f t="shared" si="6"/>
        <v>0</v>
      </c>
    </row>
    <row r="25" spans="1:97" x14ac:dyDescent="0.15">
      <c r="A25" s="19">
        <v>83</v>
      </c>
      <c r="B25" s="26" t="s">
        <v>74</v>
      </c>
      <c r="C25" s="26" t="s">
        <v>69</v>
      </c>
      <c r="D25" s="19" t="s">
        <v>1</v>
      </c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>
        <v>5</v>
      </c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21"/>
      <c r="AR25" s="21"/>
      <c r="AS25" s="21"/>
      <c r="AT25" s="21"/>
      <c r="AU25" s="21"/>
      <c r="AV25" s="21"/>
      <c r="AW25" s="22"/>
      <c r="AX25" s="22"/>
      <c r="AY25" s="22"/>
      <c r="AZ25" s="22"/>
      <c r="BA25" s="22"/>
      <c r="BB25" s="22"/>
      <c r="BC25" s="30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">
        <f t="shared" si="1"/>
        <v>5</v>
      </c>
      <c r="BQ25" s="19">
        <v>4</v>
      </c>
      <c r="BR25" s="23">
        <v>1</v>
      </c>
      <c r="BS25" s="23" t="s">
        <v>216</v>
      </c>
      <c r="BT25" s="1" t="str">
        <f>IF(AQ25&gt;AQ$150, AQ25-AQ$150,"")</f>
        <v/>
      </c>
      <c r="BU25" s="1" t="str">
        <f>IF(AR25&gt;AR$150, AR25-AR$150,"")</f>
        <v/>
      </c>
      <c r="BV25" s="1" t="str">
        <f>IF(AS25&gt;AS$150, AS25-AS$150,"")</f>
        <v/>
      </c>
      <c r="BW25" s="1" t="str">
        <f>IF(AT25&gt;AT$150, AT25-AT$150,"")</f>
        <v/>
      </c>
      <c r="BX25" s="1" t="str">
        <f>IF(AU25&gt;AU$150, AU25-AU$150,"")</f>
        <v/>
      </c>
      <c r="BY25" s="1" t="str">
        <f>IF(AV25&gt;AV$150, AV25-AV$150,"")</f>
        <v/>
      </c>
      <c r="BZ25" s="1" t="str">
        <f>IF(AW25&gt;AW$150, AW25-AW$150,"")</f>
        <v/>
      </c>
      <c r="CA25" s="1" t="str">
        <f>IF(AX25&gt;AX$150, AX25-AX$150,"")</f>
        <v/>
      </c>
      <c r="CB25" s="1" t="str">
        <f>IF(AY25&gt;AY$150, AY25-AY$150,"")</f>
        <v/>
      </c>
      <c r="CC25" s="1" t="str">
        <f>IF(AZ25&gt;AZ$150, AZ25-AZ$150,"")</f>
        <v/>
      </c>
      <c r="CD25" s="1" t="str">
        <f>IF(BA25&gt;BA$150, BA25-BA$150,"")</f>
        <v/>
      </c>
      <c r="CE25" s="1" t="str">
        <f>IF(BB25&gt;BB$150, BB25-BB$150,"")</f>
        <v/>
      </c>
      <c r="CF25" s="19">
        <f t="shared" si="4"/>
        <v>0</v>
      </c>
      <c r="CG25" s="19" t="str">
        <f t="shared" si="5"/>
        <v/>
      </c>
      <c r="CH25" s="19" t="str">
        <f t="shared" si="5"/>
        <v/>
      </c>
      <c r="CI25" s="19" t="str">
        <f t="shared" si="5"/>
        <v/>
      </c>
      <c r="CJ25" s="19" t="str">
        <f t="shared" si="5"/>
        <v/>
      </c>
      <c r="CK25" s="19" t="str">
        <f t="shared" si="5"/>
        <v/>
      </c>
      <c r="CL25" s="19" t="str">
        <f t="shared" si="5"/>
        <v/>
      </c>
      <c r="CM25" s="19" t="str">
        <f t="shared" si="5"/>
        <v/>
      </c>
      <c r="CN25" s="19" t="str">
        <f t="shared" si="5"/>
        <v/>
      </c>
      <c r="CO25" s="19" t="str">
        <f t="shared" si="5"/>
        <v/>
      </c>
      <c r="CP25" s="19" t="str">
        <f t="shared" si="5"/>
        <v/>
      </c>
      <c r="CQ25" s="19" t="str">
        <f t="shared" si="5"/>
        <v/>
      </c>
      <c r="CR25" s="19" t="str">
        <f t="shared" si="5"/>
        <v/>
      </c>
      <c r="CS25" s="24">
        <f t="shared" si="6"/>
        <v>0</v>
      </c>
    </row>
    <row r="26" spans="1:97" s="25" customFormat="1" x14ac:dyDescent="0.15">
      <c r="A26" s="1">
        <v>5</v>
      </c>
      <c r="B26" s="1" t="s">
        <v>22</v>
      </c>
      <c r="C26" s="1" t="s">
        <v>2</v>
      </c>
      <c r="D26" s="1" t="s">
        <v>12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>
        <v>10</v>
      </c>
      <c r="AS26" s="4"/>
      <c r="AT26" s="4"/>
      <c r="AU26" s="4"/>
      <c r="AV26" s="4"/>
      <c r="AW26" s="2"/>
      <c r="AX26" s="2"/>
      <c r="AY26" s="2"/>
      <c r="AZ26" s="2"/>
      <c r="BA26" s="2"/>
      <c r="BB26" s="2">
        <v>10</v>
      </c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 t="shared" si="1"/>
        <v>20</v>
      </c>
      <c r="BQ26" s="1">
        <v>4</v>
      </c>
      <c r="BR26" s="17">
        <v>1</v>
      </c>
      <c r="BS26" s="17" t="s">
        <v>220</v>
      </c>
      <c r="BT26" s="1" t="str">
        <f>IF(AQ26&gt;AQ$150, AQ26-AQ$150,"")</f>
        <v/>
      </c>
      <c r="BU26" s="1">
        <f>IF(AR26&gt;AR$150, AR26-AR$150,"")</f>
        <v>4</v>
      </c>
      <c r="BV26" s="1" t="str">
        <f>IF(AS26&gt;AS$150, AS26-AS$150,"")</f>
        <v/>
      </c>
      <c r="BW26" s="1" t="str">
        <f>IF(AT26&gt;AT$150, AT26-AT$150,"")</f>
        <v/>
      </c>
      <c r="BX26" s="1" t="str">
        <f>IF(AU26&gt;AU$150, AU26-AU$150,"")</f>
        <v/>
      </c>
      <c r="BY26" s="1" t="str">
        <f>IF(AV26&gt;AV$150, AV26-AV$150,"")</f>
        <v/>
      </c>
      <c r="BZ26" s="1" t="str">
        <f>IF(AW26&gt;AW$150, AW26-AW$150,"")</f>
        <v/>
      </c>
      <c r="CA26" s="1" t="str">
        <f>IF(AX26&gt;AX$150, AX26-AX$150,"")</f>
        <v/>
      </c>
      <c r="CB26" s="1" t="str">
        <f>IF(AY26&gt;AY$150, AY26-AY$150,"")</f>
        <v/>
      </c>
      <c r="CC26" s="1" t="str">
        <f>IF(AZ26&gt;AZ$150, AZ26-AZ$150,"")</f>
        <v/>
      </c>
      <c r="CD26" s="1" t="str">
        <f>IF(BA26&gt;BA$150, BA26-BA$150,"")</f>
        <v/>
      </c>
      <c r="CE26" s="1" t="str">
        <f>IF(BB26&gt;BB$150, BB26-BB$150,"")</f>
        <v/>
      </c>
      <c r="CF26" s="1">
        <f t="shared" si="4"/>
        <v>1</v>
      </c>
      <c r="CG26" s="1" t="str">
        <f t="shared" si="5"/>
        <v/>
      </c>
      <c r="CH26" s="1">
        <f t="shared" si="5"/>
        <v>4</v>
      </c>
      <c r="CI26" s="1" t="str">
        <f t="shared" si="5"/>
        <v/>
      </c>
      <c r="CJ26" s="1" t="str">
        <f t="shared" si="5"/>
        <v/>
      </c>
      <c r="CK26" s="1" t="str">
        <f t="shared" si="5"/>
        <v/>
      </c>
      <c r="CL26" s="1" t="str">
        <f t="shared" si="5"/>
        <v/>
      </c>
      <c r="CM26" s="1" t="str">
        <f t="shared" si="5"/>
        <v/>
      </c>
      <c r="CN26" s="1" t="str">
        <f t="shared" si="5"/>
        <v/>
      </c>
      <c r="CO26" s="1" t="str">
        <f t="shared" si="5"/>
        <v/>
      </c>
      <c r="CP26" s="1" t="str">
        <f t="shared" si="5"/>
        <v/>
      </c>
      <c r="CQ26" s="1" t="str">
        <f t="shared" si="5"/>
        <v/>
      </c>
      <c r="CR26" s="1" t="str">
        <f t="shared" si="5"/>
        <v/>
      </c>
      <c r="CS26" s="18">
        <f t="shared" si="6"/>
        <v>20</v>
      </c>
    </row>
    <row r="27" spans="1:97" x14ac:dyDescent="0.15">
      <c r="A27" s="1">
        <v>6</v>
      </c>
      <c r="B27" s="1" t="s">
        <v>55</v>
      </c>
      <c r="C27" s="1" t="s">
        <v>2</v>
      </c>
      <c r="D27" s="1" t="s">
        <v>23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>
        <v>10</v>
      </c>
      <c r="AS27" s="4"/>
      <c r="AT27" s="4"/>
      <c r="AU27" s="4"/>
      <c r="AV27" s="4"/>
      <c r="AW27" s="2"/>
      <c r="AX27" s="2"/>
      <c r="AY27" s="2"/>
      <c r="AZ27" s="2"/>
      <c r="BA27" s="2"/>
      <c r="BB27" s="2">
        <v>10</v>
      </c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 t="shared" si="1"/>
        <v>20</v>
      </c>
      <c r="BQ27" s="1">
        <v>4</v>
      </c>
      <c r="BR27" s="17">
        <v>1</v>
      </c>
      <c r="BS27" s="17" t="s">
        <v>220</v>
      </c>
      <c r="BT27" s="1" t="str">
        <f>IF(AQ27&gt;AQ$150, AQ27-AQ$150,"")</f>
        <v/>
      </c>
      <c r="BU27" s="1">
        <f>IF(AR27&gt;AR$150, AR27-AR$150,"")</f>
        <v>4</v>
      </c>
      <c r="BV27" s="1" t="str">
        <f>IF(AS27&gt;AS$150, AS27-AS$150,"")</f>
        <v/>
      </c>
      <c r="BW27" s="1" t="str">
        <f>IF(AT27&gt;AT$150, AT27-AT$150,"")</f>
        <v/>
      </c>
      <c r="BX27" s="1" t="str">
        <f>IF(AU27&gt;AU$150, AU27-AU$150,"")</f>
        <v/>
      </c>
      <c r="BY27" s="1" t="str">
        <f>IF(AV27&gt;AV$150, AV27-AV$150,"")</f>
        <v/>
      </c>
      <c r="BZ27" s="1" t="str">
        <f>IF(AW27&gt;AW$150, AW27-AW$150,"")</f>
        <v/>
      </c>
      <c r="CA27" s="1" t="str">
        <f>IF(AX27&gt;AX$150, AX27-AX$150,"")</f>
        <v/>
      </c>
      <c r="CB27" s="1" t="str">
        <f>IF(AY27&gt;AY$150, AY27-AY$150,"")</f>
        <v/>
      </c>
      <c r="CC27" s="1" t="str">
        <f>IF(AZ27&gt;AZ$150, AZ27-AZ$150,"")</f>
        <v/>
      </c>
      <c r="CD27" s="1" t="str">
        <f>IF(BA27&gt;BA$150, BA27-BA$150,"")</f>
        <v/>
      </c>
      <c r="CE27" s="1" t="str">
        <f>IF(BB27&gt;BB$150, BB27-BB$150,"")</f>
        <v/>
      </c>
      <c r="CF27" s="1">
        <f t="shared" si="4"/>
        <v>1</v>
      </c>
      <c r="CG27" s="1" t="str">
        <f t="shared" si="5"/>
        <v/>
      </c>
      <c r="CH27" s="1">
        <f t="shared" si="5"/>
        <v>4</v>
      </c>
      <c r="CI27" s="1" t="str">
        <f t="shared" si="5"/>
        <v/>
      </c>
      <c r="CJ27" s="1" t="str">
        <f t="shared" si="5"/>
        <v/>
      </c>
      <c r="CK27" s="1" t="str">
        <f t="shared" si="5"/>
        <v/>
      </c>
      <c r="CL27" s="1" t="str">
        <f t="shared" si="5"/>
        <v/>
      </c>
      <c r="CM27" s="1" t="str">
        <f t="shared" si="5"/>
        <v/>
      </c>
      <c r="CN27" s="1" t="str">
        <f t="shared" si="5"/>
        <v/>
      </c>
      <c r="CO27" s="1" t="str">
        <f t="shared" si="5"/>
        <v/>
      </c>
      <c r="CP27" s="1" t="str">
        <f t="shared" si="5"/>
        <v/>
      </c>
      <c r="CQ27" s="1" t="str">
        <f t="shared" si="5"/>
        <v/>
      </c>
      <c r="CR27" s="1" t="str">
        <f t="shared" si="5"/>
        <v/>
      </c>
      <c r="CS27" s="18">
        <f t="shared" si="6"/>
        <v>20</v>
      </c>
    </row>
    <row r="28" spans="1:97" x14ac:dyDescent="0.15">
      <c r="A28" s="1"/>
      <c r="B28" s="1" t="s">
        <v>139</v>
      </c>
      <c r="C28" s="1" t="s">
        <v>135</v>
      </c>
      <c r="D28" s="1" t="s">
        <v>114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>
        <v>5</v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 t="shared" si="1"/>
        <v>5</v>
      </c>
      <c r="BQ28" s="1">
        <v>4</v>
      </c>
      <c r="BR28" s="17">
        <v>1</v>
      </c>
      <c r="BS28" s="17" t="s">
        <v>216</v>
      </c>
      <c r="BT28" s="1" t="str">
        <f>IF(AQ28&gt;AQ$150, AQ28-AQ$150,"")</f>
        <v/>
      </c>
      <c r="BU28" s="1" t="str">
        <f>IF(AR28&gt;AR$150, AR28-AR$150,"")</f>
        <v/>
      </c>
      <c r="BV28" s="1" t="str">
        <f>IF(AS28&gt;AS$150, AS28-AS$150,"")</f>
        <v/>
      </c>
      <c r="BW28" s="1" t="str">
        <f>IF(AT28&gt;AT$150, AT28-AT$150,"")</f>
        <v/>
      </c>
      <c r="BX28" s="1" t="str">
        <f>IF(AU28&gt;AU$150, AU28-AU$150,"")</f>
        <v/>
      </c>
      <c r="BY28" s="1" t="str">
        <f>IF(AV28&gt;AV$150, AV28-AV$150,"")</f>
        <v/>
      </c>
      <c r="BZ28" s="1" t="str">
        <f>IF(AW28&gt;AW$150, AW28-AW$150,"")</f>
        <v/>
      </c>
      <c r="CA28" s="1" t="str">
        <f>IF(AX28&gt;AX$150, AX28-AX$150,"")</f>
        <v/>
      </c>
      <c r="CB28" s="1" t="str">
        <f>IF(AY28&gt;AY$150, AY28-AY$150,"")</f>
        <v/>
      </c>
      <c r="CC28" s="1" t="str">
        <f>IF(AZ28&gt;AZ$150, AZ28-AZ$150,"")</f>
        <v/>
      </c>
      <c r="CD28" s="1" t="str">
        <f>IF(BA28&gt;BA$150, BA28-BA$150,"")</f>
        <v/>
      </c>
      <c r="CE28" s="1" t="str">
        <f>IF(BB28&gt;BB$150, BB28-BB$150,"")</f>
        <v/>
      </c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8"/>
    </row>
    <row r="29" spans="1:97" x14ac:dyDescent="0.15">
      <c r="A29" s="1"/>
      <c r="B29" s="1" t="s">
        <v>141</v>
      </c>
      <c r="C29" s="1" t="s">
        <v>135</v>
      </c>
      <c r="D29" s="1" t="s">
        <v>114</v>
      </c>
      <c r="E29" s="6"/>
      <c r="F29" s="6"/>
      <c r="G29" s="6"/>
      <c r="H29" s="6">
        <v>5</v>
      </c>
      <c r="I29" s="6"/>
      <c r="J29" s="6"/>
      <c r="K29" s="6"/>
      <c r="L29" s="6"/>
      <c r="M29" s="6"/>
      <c r="N29" s="6"/>
      <c r="O29" s="6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 t="shared" si="1"/>
        <v>5</v>
      </c>
      <c r="BQ29" s="1">
        <v>5</v>
      </c>
      <c r="BR29" s="17">
        <v>1</v>
      </c>
      <c r="BS29" s="17" t="s">
        <v>227</v>
      </c>
      <c r="BT29" s="1" t="str">
        <f>IF(AQ29&gt;AQ$150, AQ29-AQ$150,"")</f>
        <v/>
      </c>
      <c r="BU29" s="1" t="str">
        <f>IF(AR29&gt;AR$150, AR29-AR$150,"")</f>
        <v/>
      </c>
      <c r="BV29" s="1" t="str">
        <f>IF(AS29&gt;AS$150, AS29-AS$150,"")</f>
        <v/>
      </c>
      <c r="BW29" s="1" t="str">
        <f>IF(AT29&gt;AT$150, AT29-AT$150,"")</f>
        <v/>
      </c>
      <c r="BX29" s="1" t="str">
        <f>IF(AU29&gt;AU$150, AU29-AU$150,"")</f>
        <v/>
      </c>
      <c r="BY29" s="1" t="str">
        <f>IF(AV29&gt;AV$150, AV29-AV$150,"")</f>
        <v/>
      </c>
      <c r="BZ29" s="1" t="str">
        <f>IF(AW29&gt;AW$150, AW29-AW$150,"")</f>
        <v/>
      </c>
      <c r="CA29" s="1" t="str">
        <f>IF(AX29&gt;AX$150, AX29-AX$150,"")</f>
        <v/>
      </c>
      <c r="CB29" s="1" t="str">
        <f>IF(AY29&gt;AY$150, AY29-AY$150,"")</f>
        <v/>
      </c>
      <c r="CC29" s="1" t="str">
        <f>IF(AZ29&gt;AZ$150, AZ29-AZ$150,"")</f>
        <v/>
      </c>
      <c r="CD29" s="1" t="str">
        <f>IF(BA29&gt;BA$150, BA29-BA$150,"")</f>
        <v/>
      </c>
      <c r="CE29" s="1" t="str">
        <f>IF(BB29&gt;BB$150, BB29-BB$150,"")</f>
        <v/>
      </c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8"/>
    </row>
    <row r="30" spans="1:97" x14ac:dyDescent="0.15">
      <c r="A30" s="1">
        <v>17</v>
      </c>
      <c r="B30" s="1" t="s">
        <v>35</v>
      </c>
      <c r="C30" s="1" t="s">
        <v>32</v>
      </c>
      <c r="D30" s="1" t="s">
        <v>24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1"/>
      <c r="AF30" s="1">
        <v>5</v>
      </c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 t="shared" si="1"/>
        <v>5</v>
      </c>
      <c r="BQ30" s="1">
        <v>5</v>
      </c>
      <c r="BR30" s="17">
        <v>1</v>
      </c>
      <c r="BS30" s="17" t="s">
        <v>200</v>
      </c>
      <c r="BT30" s="1" t="str">
        <f>IF(AQ30&gt;AQ$150, AQ30-AQ$150,"")</f>
        <v/>
      </c>
      <c r="BU30" s="1" t="str">
        <f>IF(AR30&gt;AR$150, AR30-AR$150,"")</f>
        <v/>
      </c>
      <c r="BV30" s="1" t="str">
        <f>IF(AS30&gt;AS$150, AS30-AS$150,"")</f>
        <v/>
      </c>
      <c r="BW30" s="1" t="str">
        <f>IF(AT30&gt;AT$150, AT30-AT$150,"")</f>
        <v/>
      </c>
      <c r="BX30" s="1" t="str">
        <f>IF(AU30&gt;AU$150, AU30-AU$150,"")</f>
        <v/>
      </c>
      <c r="BY30" s="1" t="str">
        <f>IF(AV30&gt;AV$150, AV30-AV$150,"")</f>
        <v/>
      </c>
      <c r="BZ30" s="1" t="str">
        <f>IF(AW30&gt;AW$150, AW30-AW$150,"")</f>
        <v/>
      </c>
      <c r="CA30" s="1" t="str">
        <f>IF(AX30&gt;AX$150, AX30-AX$150,"")</f>
        <v/>
      </c>
      <c r="CB30" s="1" t="str">
        <f>IF(AY30&gt;AY$150, AY30-AY$150,"")</f>
        <v/>
      </c>
      <c r="CC30" s="1" t="str">
        <f>IF(AZ30&gt;AZ$150, AZ30-AZ$150,"")</f>
        <v/>
      </c>
      <c r="CD30" s="1" t="str">
        <f>IF(BA30&gt;BA$150, BA30-BA$150,"")</f>
        <v/>
      </c>
      <c r="CE30" s="1" t="str">
        <f>IF(BB30&gt;BB$150, BB30-BB$150,"")</f>
        <v/>
      </c>
      <c r="CF30" s="1">
        <f t="shared" ref="CF30:CF36" si="7">COUNTIF(BT30:CE30, "&gt;0")</f>
        <v>0</v>
      </c>
      <c r="CG30" s="1" t="str">
        <f t="shared" ref="CG30:CR36" si="8">IF($CF30=1,BT30,"")</f>
        <v/>
      </c>
      <c r="CH30" s="1" t="str">
        <f t="shared" si="8"/>
        <v/>
      </c>
      <c r="CI30" s="1" t="str">
        <f t="shared" si="8"/>
        <v/>
      </c>
      <c r="CJ30" s="1" t="str">
        <f t="shared" si="8"/>
        <v/>
      </c>
      <c r="CK30" s="1" t="str">
        <f t="shared" si="8"/>
        <v/>
      </c>
      <c r="CL30" s="1" t="str">
        <f t="shared" si="8"/>
        <v/>
      </c>
      <c r="CM30" s="1" t="str">
        <f t="shared" si="8"/>
        <v/>
      </c>
      <c r="CN30" s="1" t="str">
        <f t="shared" si="8"/>
        <v/>
      </c>
      <c r="CO30" s="1" t="str">
        <f t="shared" si="8"/>
        <v/>
      </c>
      <c r="CP30" s="1" t="str">
        <f t="shared" si="8"/>
        <v/>
      </c>
      <c r="CQ30" s="1" t="str">
        <f t="shared" si="8"/>
        <v/>
      </c>
      <c r="CR30" s="1" t="str">
        <f t="shared" si="8"/>
        <v/>
      </c>
      <c r="CS30" s="18">
        <f t="shared" ref="CS30:CS36" si="9">SUM(AE30:BO30)</f>
        <v>5</v>
      </c>
    </row>
    <row r="31" spans="1:97" x14ac:dyDescent="0.15">
      <c r="A31" s="1">
        <v>18</v>
      </c>
      <c r="B31" s="1" t="s">
        <v>35</v>
      </c>
      <c r="C31" s="1" t="s">
        <v>32</v>
      </c>
      <c r="D31" s="1" t="s">
        <v>25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1"/>
      <c r="AF31" s="1"/>
      <c r="AG31" s="1">
        <v>5</v>
      </c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 t="shared" si="1"/>
        <v>5</v>
      </c>
      <c r="BQ31" s="1">
        <v>5</v>
      </c>
      <c r="BR31" s="17">
        <v>1</v>
      </c>
      <c r="BS31" s="17" t="s">
        <v>241</v>
      </c>
      <c r="BT31" s="1" t="str">
        <f>IF(AQ31&gt;AQ$150, AQ31-AQ$150,"")</f>
        <v/>
      </c>
      <c r="BU31" s="1" t="str">
        <f>IF(AR31&gt;AR$150, AR31-AR$150,"")</f>
        <v/>
      </c>
      <c r="BV31" s="1" t="str">
        <f>IF(AS31&gt;AS$150, AS31-AS$150,"")</f>
        <v/>
      </c>
      <c r="BW31" s="1" t="str">
        <f>IF(AT31&gt;AT$150, AT31-AT$150,"")</f>
        <v/>
      </c>
      <c r="BX31" s="1" t="str">
        <f>IF(AU31&gt;AU$150, AU31-AU$150,"")</f>
        <v/>
      </c>
      <c r="BY31" s="1" t="str">
        <f>IF(AV31&gt;AV$150, AV31-AV$150,"")</f>
        <v/>
      </c>
      <c r="BZ31" s="1" t="str">
        <f>IF(AW31&gt;AW$150, AW31-AW$150,"")</f>
        <v/>
      </c>
      <c r="CA31" s="1" t="str">
        <f>IF(AX31&gt;AX$150, AX31-AX$150,"")</f>
        <v/>
      </c>
      <c r="CB31" s="1" t="str">
        <f>IF(AY31&gt;AY$150, AY31-AY$150,"")</f>
        <v/>
      </c>
      <c r="CC31" s="1" t="str">
        <f>IF(AZ31&gt;AZ$150, AZ31-AZ$150,"")</f>
        <v/>
      </c>
      <c r="CD31" s="1" t="str">
        <f>IF(BA31&gt;BA$150, BA31-BA$150,"")</f>
        <v/>
      </c>
      <c r="CE31" s="1" t="str">
        <f>IF(BB31&gt;BB$150, BB31-BB$150,"")</f>
        <v/>
      </c>
      <c r="CF31" s="1">
        <f t="shared" si="7"/>
        <v>0</v>
      </c>
      <c r="CG31" s="1" t="str">
        <f t="shared" si="8"/>
        <v/>
      </c>
      <c r="CH31" s="1" t="str">
        <f t="shared" si="8"/>
        <v/>
      </c>
      <c r="CI31" s="1" t="str">
        <f t="shared" si="8"/>
        <v/>
      </c>
      <c r="CJ31" s="1" t="str">
        <f t="shared" si="8"/>
        <v/>
      </c>
      <c r="CK31" s="1" t="str">
        <f t="shared" si="8"/>
        <v/>
      </c>
      <c r="CL31" s="1" t="str">
        <f t="shared" si="8"/>
        <v/>
      </c>
      <c r="CM31" s="1" t="str">
        <f t="shared" si="8"/>
        <v/>
      </c>
      <c r="CN31" s="1" t="str">
        <f t="shared" si="8"/>
        <v/>
      </c>
      <c r="CO31" s="1" t="str">
        <f t="shared" si="8"/>
        <v/>
      </c>
      <c r="CP31" s="1" t="str">
        <f t="shared" si="8"/>
        <v/>
      </c>
      <c r="CQ31" s="1" t="str">
        <f t="shared" si="8"/>
        <v/>
      </c>
      <c r="CR31" s="1" t="str">
        <f t="shared" si="8"/>
        <v/>
      </c>
      <c r="CS31" s="18">
        <f t="shared" si="9"/>
        <v>5</v>
      </c>
    </row>
    <row r="32" spans="1:97" x14ac:dyDescent="0.15">
      <c r="A32" s="1">
        <v>19</v>
      </c>
      <c r="B32" s="1" t="s">
        <v>38</v>
      </c>
      <c r="C32" s="1" t="s">
        <v>32</v>
      </c>
      <c r="D32" s="1" t="s">
        <v>24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1"/>
      <c r="AF32" s="1"/>
      <c r="AG32" s="1">
        <v>5</v>
      </c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 t="shared" si="1"/>
        <v>5</v>
      </c>
      <c r="BQ32" s="1">
        <v>5</v>
      </c>
      <c r="BR32" s="17">
        <v>1</v>
      </c>
      <c r="BS32" s="17" t="s">
        <v>241</v>
      </c>
      <c r="BT32" s="1" t="str">
        <f>IF(AQ32&gt;AQ$150, AQ32-AQ$150,"")</f>
        <v/>
      </c>
      <c r="BU32" s="1" t="str">
        <f>IF(AR32&gt;AR$150, AR32-AR$150,"")</f>
        <v/>
      </c>
      <c r="BV32" s="1" t="str">
        <f>IF(AS32&gt;AS$150, AS32-AS$150,"")</f>
        <v/>
      </c>
      <c r="BW32" s="1" t="str">
        <f>IF(AT32&gt;AT$150, AT32-AT$150,"")</f>
        <v/>
      </c>
      <c r="BX32" s="1" t="str">
        <f>IF(AU32&gt;AU$150, AU32-AU$150,"")</f>
        <v/>
      </c>
      <c r="BY32" s="1" t="str">
        <f>IF(AV32&gt;AV$150, AV32-AV$150,"")</f>
        <v/>
      </c>
      <c r="BZ32" s="1" t="str">
        <f>IF(AW32&gt;AW$150, AW32-AW$150,"")</f>
        <v/>
      </c>
      <c r="CA32" s="1" t="str">
        <f>IF(AX32&gt;AX$150, AX32-AX$150,"")</f>
        <v/>
      </c>
      <c r="CB32" s="1" t="str">
        <f>IF(AY32&gt;AY$150, AY32-AY$150,"")</f>
        <v/>
      </c>
      <c r="CC32" s="1" t="str">
        <f>IF(AZ32&gt;AZ$150, AZ32-AZ$150,"")</f>
        <v/>
      </c>
      <c r="CD32" s="1" t="str">
        <f>IF(BA32&gt;BA$150, BA32-BA$150,"")</f>
        <v/>
      </c>
      <c r="CE32" s="1" t="str">
        <f>IF(BB32&gt;BB$150, BB32-BB$150,"")</f>
        <v/>
      </c>
      <c r="CF32" s="1">
        <f t="shared" si="7"/>
        <v>0</v>
      </c>
      <c r="CG32" s="1" t="str">
        <f t="shared" si="8"/>
        <v/>
      </c>
      <c r="CH32" s="1" t="str">
        <f t="shared" si="8"/>
        <v/>
      </c>
      <c r="CI32" s="1" t="str">
        <f t="shared" si="8"/>
        <v/>
      </c>
      <c r="CJ32" s="1" t="str">
        <f t="shared" si="8"/>
        <v/>
      </c>
      <c r="CK32" s="1" t="str">
        <f t="shared" si="8"/>
        <v/>
      </c>
      <c r="CL32" s="1" t="str">
        <f t="shared" si="8"/>
        <v/>
      </c>
      <c r="CM32" s="1" t="str">
        <f t="shared" si="8"/>
        <v/>
      </c>
      <c r="CN32" s="1" t="str">
        <f t="shared" si="8"/>
        <v/>
      </c>
      <c r="CO32" s="1" t="str">
        <f t="shared" si="8"/>
        <v/>
      </c>
      <c r="CP32" s="1" t="str">
        <f t="shared" si="8"/>
        <v/>
      </c>
      <c r="CQ32" s="1" t="str">
        <f t="shared" si="8"/>
        <v/>
      </c>
      <c r="CR32" s="1" t="str">
        <f t="shared" si="8"/>
        <v/>
      </c>
      <c r="CS32" s="18">
        <f t="shared" si="9"/>
        <v>5</v>
      </c>
    </row>
    <row r="33" spans="1:97" x14ac:dyDescent="0.15">
      <c r="A33" s="1">
        <v>32</v>
      </c>
      <c r="B33" s="1" t="s">
        <v>83</v>
      </c>
      <c r="C33" s="1" t="s">
        <v>32</v>
      </c>
      <c r="D33" s="1" t="s">
        <v>24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1"/>
      <c r="AF33" s="1"/>
      <c r="AG33" s="1"/>
      <c r="AH33" s="1"/>
      <c r="AI33" s="1">
        <v>5</v>
      </c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 t="shared" si="1"/>
        <v>5</v>
      </c>
      <c r="BQ33" s="1">
        <v>5</v>
      </c>
      <c r="BR33" s="17">
        <v>1</v>
      </c>
      <c r="BS33" s="17" t="s">
        <v>242</v>
      </c>
      <c r="BT33" s="1" t="str">
        <f>IF(AQ33&gt;AQ$150, AQ33-AQ$150,"")</f>
        <v/>
      </c>
      <c r="BU33" s="1" t="str">
        <f>IF(AR33&gt;AR$150, AR33-AR$150,"")</f>
        <v/>
      </c>
      <c r="BV33" s="1" t="str">
        <f>IF(AS33&gt;AS$150, AS33-AS$150,"")</f>
        <v/>
      </c>
      <c r="BW33" s="1" t="str">
        <f>IF(AT33&gt;AT$150, AT33-AT$150,"")</f>
        <v/>
      </c>
      <c r="BX33" s="1" t="str">
        <f>IF(AU33&gt;AU$150, AU33-AU$150,"")</f>
        <v/>
      </c>
      <c r="BY33" s="1" t="str">
        <f>IF(AV33&gt;AV$150, AV33-AV$150,"")</f>
        <v/>
      </c>
      <c r="BZ33" s="1" t="str">
        <f>IF(AW33&gt;AW$150, AW33-AW$150,"")</f>
        <v/>
      </c>
      <c r="CA33" s="1" t="str">
        <f>IF(AX33&gt;AX$150, AX33-AX$150,"")</f>
        <v/>
      </c>
      <c r="CB33" s="1" t="str">
        <f>IF(AY33&gt;AY$150, AY33-AY$150,"")</f>
        <v/>
      </c>
      <c r="CC33" s="1" t="str">
        <f>IF(AZ33&gt;AZ$150, AZ33-AZ$150,"")</f>
        <v/>
      </c>
      <c r="CD33" s="1" t="str">
        <f>IF(BA33&gt;BA$150, BA33-BA$150,"")</f>
        <v/>
      </c>
      <c r="CE33" s="1" t="str">
        <f>IF(BB33&gt;BB$150, BB33-BB$150,"")</f>
        <v/>
      </c>
      <c r="CF33" s="1">
        <f t="shared" si="7"/>
        <v>0</v>
      </c>
      <c r="CG33" s="1" t="str">
        <f t="shared" si="8"/>
        <v/>
      </c>
      <c r="CH33" s="1" t="str">
        <f t="shared" si="8"/>
        <v/>
      </c>
      <c r="CI33" s="1" t="str">
        <f t="shared" si="8"/>
        <v/>
      </c>
      <c r="CJ33" s="1" t="str">
        <f t="shared" si="8"/>
        <v/>
      </c>
      <c r="CK33" s="1" t="str">
        <f t="shared" si="8"/>
        <v/>
      </c>
      <c r="CL33" s="1" t="str">
        <f t="shared" si="8"/>
        <v/>
      </c>
      <c r="CM33" s="1" t="str">
        <f t="shared" si="8"/>
        <v/>
      </c>
      <c r="CN33" s="1" t="str">
        <f t="shared" si="8"/>
        <v/>
      </c>
      <c r="CO33" s="1" t="str">
        <f t="shared" si="8"/>
        <v/>
      </c>
      <c r="CP33" s="1" t="str">
        <f t="shared" si="8"/>
        <v/>
      </c>
      <c r="CQ33" s="1" t="str">
        <f t="shared" si="8"/>
        <v/>
      </c>
      <c r="CR33" s="1" t="str">
        <f t="shared" si="8"/>
        <v/>
      </c>
      <c r="CS33" s="18">
        <f t="shared" si="9"/>
        <v>5</v>
      </c>
    </row>
    <row r="34" spans="1:97" x14ac:dyDescent="0.15">
      <c r="A34" s="1">
        <v>33</v>
      </c>
      <c r="B34" s="1" t="s">
        <v>83</v>
      </c>
      <c r="C34" s="1" t="s">
        <v>32</v>
      </c>
      <c r="D34" s="1" t="s">
        <v>1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1"/>
      <c r="AF34" s="1"/>
      <c r="AG34" s="1"/>
      <c r="AH34" s="1">
        <v>5</v>
      </c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 t="shared" si="1"/>
        <v>5</v>
      </c>
      <c r="BQ34" s="1">
        <v>5</v>
      </c>
      <c r="BR34" s="17">
        <v>1</v>
      </c>
      <c r="BS34" s="17" t="s">
        <v>243</v>
      </c>
      <c r="BT34" s="1" t="str">
        <f>IF(AQ34&gt;AQ$150, AQ34-AQ$150,"")</f>
        <v/>
      </c>
      <c r="BU34" s="1" t="str">
        <f>IF(AR34&gt;AR$150, AR34-AR$150,"")</f>
        <v/>
      </c>
      <c r="BV34" s="1" t="str">
        <f>IF(AS34&gt;AS$150, AS34-AS$150,"")</f>
        <v/>
      </c>
      <c r="BW34" s="1" t="str">
        <f>IF(AT34&gt;AT$150, AT34-AT$150,"")</f>
        <v/>
      </c>
      <c r="BX34" s="1" t="str">
        <f>IF(AU34&gt;AU$150, AU34-AU$150,"")</f>
        <v/>
      </c>
      <c r="BY34" s="1" t="str">
        <f>IF(AV34&gt;AV$150, AV34-AV$150,"")</f>
        <v/>
      </c>
      <c r="BZ34" s="1" t="str">
        <f>IF(AW34&gt;AW$150, AW34-AW$150,"")</f>
        <v/>
      </c>
      <c r="CA34" s="1" t="str">
        <f>IF(AX34&gt;AX$150, AX34-AX$150,"")</f>
        <v/>
      </c>
      <c r="CB34" s="1" t="str">
        <f>IF(AY34&gt;AY$150, AY34-AY$150,"")</f>
        <v/>
      </c>
      <c r="CC34" s="1" t="str">
        <f>IF(AZ34&gt;AZ$150, AZ34-AZ$150,"")</f>
        <v/>
      </c>
      <c r="CD34" s="1" t="str">
        <f>IF(BA34&gt;BA$150, BA34-BA$150,"")</f>
        <v/>
      </c>
      <c r="CE34" s="1" t="str">
        <f>IF(BB34&gt;BB$150, BB34-BB$150,"")</f>
        <v/>
      </c>
      <c r="CF34" s="1">
        <f t="shared" si="7"/>
        <v>0</v>
      </c>
      <c r="CG34" s="1" t="str">
        <f t="shared" si="8"/>
        <v/>
      </c>
      <c r="CH34" s="1" t="str">
        <f t="shared" si="8"/>
        <v/>
      </c>
      <c r="CI34" s="1" t="str">
        <f t="shared" si="8"/>
        <v/>
      </c>
      <c r="CJ34" s="1" t="str">
        <f t="shared" si="8"/>
        <v/>
      </c>
      <c r="CK34" s="1" t="str">
        <f t="shared" si="8"/>
        <v/>
      </c>
      <c r="CL34" s="1" t="str">
        <f t="shared" si="8"/>
        <v/>
      </c>
      <c r="CM34" s="1" t="str">
        <f t="shared" si="8"/>
        <v/>
      </c>
      <c r="CN34" s="1" t="str">
        <f t="shared" si="8"/>
        <v/>
      </c>
      <c r="CO34" s="1" t="str">
        <f t="shared" si="8"/>
        <v/>
      </c>
      <c r="CP34" s="1" t="str">
        <f t="shared" si="8"/>
        <v/>
      </c>
      <c r="CQ34" s="1" t="str">
        <f t="shared" si="8"/>
        <v/>
      </c>
      <c r="CR34" s="1" t="str">
        <f t="shared" si="8"/>
        <v/>
      </c>
      <c r="CS34" s="18">
        <f t="shared" si="9"/>
        <v>5</v>
      </c>
    </row>
    <row r="35" spans="1:97" x14ac:dyDescent="0.15">
      <c r="A35" s="1">
        <v>63</v>
      </c>
      <c r="B35" s="3" t="s">
        <v>66</v>
      </c>
      <c r="C35" s="1" t="s">
        <v>61</v>
      </c>
      <c r="D35" s="1" t="s">
        <v>24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1"/>
      <c r="AF35" s="1"/>
      <c r="AG35" s="1"/>
      <c r="AH35" s="1"/>
      <c r="AI35" s="1"/>
      <c r="AJ35" s="1"/>
      <c r="AK35" s="1"/>
      <c r="AL35" s="1"/>
      <c r="AM35" s="1"/>
      <c r="AN35" s="1">
        <v>5</v>
      </c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 t="shared" si="1"/>
        <v>5</v>
      </c>
      <c r="BQ35" s="1">
        <v>5</v>
      </c>
      <c r="BR35" s="17">
        <v>1</v>
      </c>
      <c r="BS35" s="17" t="s">
        <v>244</v>
      </c>
      <c r="BT35" s="1" t="str">
        <f>IF(AQ35&gt;AQ$150, AQ35-AQ$150,"")</f>
        <v/>
      </c>
      <c r="BU35" s="1" t="str">
        <f>IF(AR35&gt;AR$150, AR35-AR$150,"")</f>
        <v/>
      </c>
      <c r="BV35" s="1" t="str">
        <f>IF(AS35&gt;AS$150, AS35-AS$150,"")</f>
        <v/>
      </c>
      <c r="BW35" s="1" t="str">
        <f>IF(AT35&gt;AT$150, AT35-AT$150,"")</f>
        <v/>
      </c>
      <c r="BX35" s="1" t="str">
        <f>IF(AU35&gt;AU$150, AU35-AU$150,"")</f>
        <v/>
      </c>
      <c r="BY35" s="1" t="str">
        <f>IF(AV35&gt;AV$150, AV35-AV$150,"")</f>
        <v/>
      </c>
      <c r="BZ35" s="1" t="str">
        <f>IF(AW35&gt;AW$150, AW35-AW$150,"")</f>
        <v/>
      </c>
      <c r="CA35" s="1" t="str">
        <f>IF(AX35&gt;AX$150, AX35-AX$150,"")</f>
        <v/>
      </c>
      <c r="CB35" s="1" t="str">
        <f>IF(AY35&gt;AY$150, AY35-AY$150,"")</f>
        <v/>
      </c>
      <c r="CC35" s="1" t="str">
        <f>IF(AZ35&gt;AZ$150, AZ35-AZ$150,"")</f>
        <v/>
      </c>
      <c r="CD35" s="1" t="str">
        <f>IF(BA35&gt;BA$150, BA35-BA$150,"")</f>
        <v/>
      </c>
      <c r="CE35" s="1" t="str">
        <f>IF(BB35&gt;BB$150, BB35-BB$150,"")</f>
        <v/>
      </c>
      <c r="CF35" s="1">
        <f t="shared" si="7"/>
        <v>0</v>
      </c>
      <c r="CG35" s="1" t="str">
        <f t="shared" si="8"/>
        <v/>
      </c>
      <c r="CH35" s="1" t="str">
        <f t="shared" si="8"/>
        <v/>
      </c>
      <c r="CI35" s="1" t="str">
        <f t="shared" si="8"/>
        <v/>
      </c>
      <c r="CJ35" s="1" t="str">
        <f t="shared" si="8"/>
        <v/>
      </c>
      <c r="CK35" s="1" t="str">
        <f t="shared" si="8"/>
        <v/>
      </c>
      <c r="CL35" s="1" t="str">
        <f t="shared" si="8"/>
        <v/>
      </c>
      <c r="CM35" s="1" t="str">
        <f t="shared" si="8"/>
        <v/>
      </c>
      <c r="CN35" s="1" t="str">
        <f t="shared" si="8"/>
        <v/>
      </c>
      <c r="CO35" s="1" t="str">
        <f t="shared" si="8"/>
        <v/>
      </c>
      <c r="CP35" s="1" t="str">
        <f t="shared" si="8"/>
        <v/>
      </c>
      <c r="CQ35" s="1" t="str">
        <f t="shared" si="8"/>
        <v/>
      </c>
      <c r="CR35" s="1" t="str">
        <f t="shared" si="8"/>
        <v/>
      </c>
      <c r="CS35" s="18">
        <f t="shared" si="9"/>
        <v>5</v>
      </c>
    </row>
    <row r="36" spans="1:97" x14ac:dyDescent="0.15">
      <c r="A36" s="1">
        <v>90</v>
      </c>
      <c r="B36" s="3" t="s">
        <v>87</v>
      </c>
      <c r="C36" s="3" t="s">
        <v>86</v>
      </c>
      <c r="D36" s="1" t="s">
        <v>24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1"/>
      <c r="AF36" s="1"/>
      <c r="AG36" s="1"/>
      <c r="AH36" s="1"/>
      <c r="AI36" s="1"/>
      <c r="AJ36" s="1"/>
      <c r="AK36" s="1"/>
      <c r="AL36" s="1"/>
      <c r="AM36" s="1"/>
      <c r="AN36" s="1">
        <v>5</v>
      </c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 t="shared" si="1"/>
        <v>5</v>
      </c>
      <c r="BQ36" s="1">
        <v>5</v>
      </c>
      <c r="BR36" s="17">
        <v>1</v>
      </c>
      <c r="BS36" s="17" t="s">
        <v>187</v>
      </c>
      <c r="BT36" s="1" t="str">
        <f>IF(AQ36&gt;AQ$150, AQ36-AQ$150,"")</f>
        <v/>
      </c>
      <c r="BU36" s="1" t="str">
        <f>IF(AR36&gt;AR$150, AR36-AR$150,"")</f>
        <v/>
      </c>
      <c r="BV36" s="1" t="str">
        <f>IF(AS36&gt;AS$150, AS36-AS$150,"")</f>
        <v/>
      </c>
      <c r="BW36" s="1" t="str">
        <f>IF(AT36&gt;AT$150, AT36-AT$150,"")</f>
        <v/>
      </c>
      <c r="BX36" s="1" t="str">
        <f>IF(AU36&gt;AU$150, AU36-AU$150,"")</f>
        <v/>
      </c>
      <c r="BY36" s="1" t="str">
        <f>IF(AV36&gt;AV$150, AV36-AV$150,"")</f>
        <v/>
      </c>
      <c r="BZ36" s="1" t="str">
        <f>IF(AW36&gt;AW$150, AW36-AW$150,"")</f>
        <v/>
      </c>
      <c r="CA36" s="1" t="str">
        <f>IF(AX36&gt;AX$150, AX36-AX$150,"")</f>
        <v/>
      </c>
      <c r="CB36" s="1" t="str">
        <f>IF(AY36&gt;AY$150, AY36-AY$150,"")</f>
        <v/>
      </c>
      <c r="CC36" s="1" t="str">
        <f>IF(AZ36&gt;AZ$150, AZ36-AZ$150,"")</f>
        <v/>
      </c>
      <c r="CD36" s="1" t="str">
        <f>IF(BA36&gt;BA$150, BA36-BA$150,"")</f>
        <v/>
      </c>
      <c r="CE36" s="1" t="str">
        <f>IF(BB36&gt;BB$150, BB36-BB$150,"")</f>
        <v/>
      </c>
      <c r="CF36" s="1">
        <f t="shared" si="7"/>
        <v>0</v>
      </c>
      <c r="CG36" s="1" t="str">
        <f t="shared" si="8"/>
        <v/>
      </c>
      <c r="CH36" s="1" t="str">
        <f t="shared" si="8"/>
        <v/>
      </c>
      <c r="CI36" s="1" t="str">
        <f t="shared" si="8"/>
        <v/>
      </c>
      <c r="CJ36" s="1" t="str">
        <f t="shared" si="8"/>
        <v/>
      </c>
      <c r="CK36" s="1" t="str">
        <f t="shared" si="8"/>
        <v/>
      </c>
      <c r="CL36" s="1" t="str">
        <f t="shared" si="8"/>
        <v/>
      </c>
      <c r="CM36" s="1" t="str">
        <f t="shared" si="8"/>
        <v/>
      </c>
      <c r="CN36" s="1" t="str">
        <f t="shared" si="8"/>
        <v/>
      </c>
      <c r="CO36" s="1" t="str">
        <f t="shared" si="8"/>
        <v/>
      </c>
      <c r="CP36" s="1" t="str">
        <f t="shared" si="8"/>
        <v/>
      </c>
      <c r="CQ36" s="1" t="str">
        <f t="shared" si="8"/>
        <v/>
      </c>
      <c r="CR36" s="1" t="str">
        <f t="shared" si="8"/>
        <v/>
      </c>
      <c r="CS36" s="18">
        <f t="shared" si="9"/>
        <v>5</v>
      </c>
    </row>
    <row r="37" spans="1:97" x14ac:dyDescent="0.15">
      <c r="A37" s="1"/>
      <c r="B37" s="1" t="s">
        <v>128</v>
      </c>
      <c r="C37" s="1" t="s">
        <v>126</v>
      </c>
      <c r="D37" s="1" t="s">
        <v>121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1"/>
      <c r="AF37" s="1"/>
      <c r="AG37" s="1"/>
      <c r="AH37" s="1">
        <v>5</v>
      </c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 t="shared" si="1"/>
        <v>5</v>
      </c>
      <c r="BQ37" s="1">
        <v>5</v>
      </c>
      <c r="BR37" s="17">
        <v>1</v>
      </c>
      <c r="BS37" s="17" t="s">
        <v>245</v>
      </c>
      <c r="BT37" s="1" t="str">
        <f>IF(AQ37&gt;AQ$150, AQ37-AQ$150,"")</f>
        <v/>
      </c>
      <c r="BU37" s="1" t="str">
        <f>IF(AR37&gt;AR$150, AR37-AR$150,"")</f>
        <v/>
      </c>
      <c r="BV37" s="1" t="str">
        <f>IF(AS37&gt;AS$150, AS37-AS$150,"")</f>
        <v/>
      </c>
      <c r="BW37" s="1" t="str">
        <f>IF(AT37&gt;AT$150, AT37-AT$150,"")</f>
        <v/>
      </c>
      <c r="BX37" s="1" t="str">
        <f>IF(AU37&gt;AU$150, AU37-AU$150,"")</f>
        <v/>
      </c>
      <c r="BY37" s="1" t="str">
        <f>IF(AV37&gt;AV$150, AV37-AV$150,"")</f>
        <v/>
      </c>
      <c r="BZ37" s="1" t="str">
        <f>IF(AW37&gt;AW$150, AW37-AW$150,"")</f>
        <v/>
      </c>
      <c r="CA37" s="1" t="str">
        <f>IF(AX37&gt;AX$150, AX37-AX$150,"")</f>
        <v/>
      </c>
      <c r="CB37" s="1" t="str">
        <f>IF(AY37&gt;AY$150, AY37-AY$150,"")</f>
        <v/>
      </c>
      <c r="CC37" s="1" t="str">
        <f>IF(AZ37&gt;AZ$150, AZ37-AZ$150,"")</f>
        <v/>
      </c>
      <c r="CD37" s="1" t="str">
        <f>IF(BA37&gt;BA$150, BA37-BA$150,"")</f>
        <v/>
      </c>
      <c r="CE37" s="1" t="str">
        <f>IF(BB37&gt;BB$150, BB37-BB$150,"")</f>
        <v/>
      </c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8"/>
    </row>
    <row r="38" spans="1:97" x14ac:dyDescent="0.15">
      <c r="A38" s="1"/>
      <c r="B38" s="1" t="s">
        <v>128</v>
      </c>
      <c r="C38" s="1" t="s">
        <v>126</v>
      </c>
      <c r="D38" s="1" t="s">
        <v>115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1"/>
      <c r="AF38" s="1"/>
      <c r="AG38" s="1"/>
      <c r="AH38" s="1"/>
      <c r="AI38" s="1">
        <v>5</v>
      </c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 t="shared" si="1"/>
        <v>5</v>
      </c>
      <c r="BQ38" s="1">
        <v>5</v>
      </c>
      <c r="BR38" s="17">
        <v>1</v>
      </c>
      <c r="BS38" s="17" t="s">
        <v>246</v>
      </c>
      <c r="BT38" s="1" t="str">
        <f>IF(AQ38&gt;AQ$150, AQ38-AQ$150,"")</f>
        <v/>
      </c>
      <c r="BU38" s="1" t="str">
        <f>IF(AR38&gt;AR$150, AR38-AR$150,"")</f>
        <v/>
      </c>
      <c r="BV38" s="1" t="str">
        <f>IF(AS38&gt;AS$150, AS38-AS$150,"")</f>
        <v/>
      </c>
      <c r="BW38" s="1" t="str">
        <f>IF(AT38&gt;AT$150, AT38-AT$150,"")</f>
        <v/>
      </c>
      <c r="BX38" s="1" t="str">
        <f>IF(AU38&gt;AU$150, AU38-AU$150,"")</f>
        <v/>
      </c>
      <c r="BY38" s="1" t="str">
        <f>IF(AV38&gt;AV$150, AV38-AV$150,"")</f>
        <v/>
      </c>
      <c r="BZ38" s="1" t="str">
        <f>IF(AW38&gt;AW$150, AW38-AW$150,"")</f>
        <v/>
      </c>
      <c r="CA38" s="1" t="str">
        <f>IF(AX38&gt;AX$150, AX38-AX$150,"")</f>
        <v/>
      </c>
      <c r="CB38" s="1" t="str">
        <f>IF(AY38&gt;AY$150, AY38-AY$150,"")</f>
        <v/>
      </c>
      <c r="CC38" s="1" t="str">
        <f>IF(AZ38&gt;AZ$150, AZ38-AZ$150,"")</f>
        <v/>
      </c>
      <c r="CD38" s="1" t="str">
        <f>IF(BA38&gt;BA$150, BA38-BA$150,"")</f>
        <v/>
      </c>
      <c r="CE38" s="1" t="str">
        <f>IF(BB38&gt;BB$150, BB38-BB$150,"")</f>
        <v/>
      </c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8"/>
    </row>
    <row r="39" spans="1:97" s="25" customFormat="1" x14ac:dyDescent="0.15">
      <c r="A39" s="1">
        <v>20</v>
      </c>
      <c r="B39" s="1" t="s">
        <v>38</v>
      </c>
      <c r="C39" s="1" t="s">
        <v>32</v>
      </c>
      <c r="D39" s="1" t="s">
        <v>25</v>
      </c>
      <c r="E39" s="6"/>
      <c r="F39" s="6">
        <v>5</v>
      </c>
      <c r="G39" s="6"/>
      <c r="H39" s="6"/>
      <c r="I39" s="6"/>
      <c r="J39" s="6"/>
      <c r="K39" s="6"/>
      <c r="L39" s="6"/>
      <c r="M39" s="6"/>
      <c r="N39" s="6"/>
      <c r="O39" s="6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1"/>
      <c r="AF39" s="1"/>
      <c r="AG39" s="1">
        <v>5</v>
      </c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 t="shared" si="1"/>
        <v>10</v>
      </c>
      <c r="BQ39" s="1">
        <v>5</v>
      </c>
      <c r="BR39" s="17">
        <v>1</v>
      </c>
      <c r="BS39" s="17" t="s">
        <v>270</v>
      </c>
      <c r="BT39" s="1" t="str">
        <f>IF(AQ39&gt;AQ$150, AQ39-AQ$150,"")</f>
        <v/>
      </c>
      <c r="BU39" s="1" t="str">
        <f>IF(AR39&gt;AR$150, AR39-AR$150,"")</f>
        <v/>
      </c>
      <c r="BV39" s="1" t="str">
        <f>IF(AS39&gt;AS$150, AS39-AS$150,"")</f>
        <v/>
      </c>
      <c r="BW39" s="1" t="str">
        <f>IF(AT39&gt;AT$150, AT39-AT$150,"")</f>
        <v/>
      </c>
      <c r="BX39" s="1" t="str">
        <f>IF(AU39&gt;AU$150, AU39-AU$150,"")</f>
        <v/>
      </c>
      <c r="BY39" s="1" t="str">
        <f>IF(AV39&gt;AV$150, AV39-AV$150,"")</f>
        <v/>
      </c>
      <c r="BZ39" s="1" t="str">
        <f>IF(AW39&gt;AW$150, AW39-AW$150,"")</f>
        <v/>
      </c>
      <c r="CA39" s="1" t="str">
        <f>IF(AX39&gt;AX$150, AX39-AX$150,"")</f>
        <v/>
      </c>
      <c r="CB39" s="1" t="str">
        <f>IF(AY39&gt;AY$150, AY39-AY$150,"")</f>
        <v/>
      </c>
      <c r="CC39" s="1" t="str">
        <f>IF(AZ39&gt;AZ$150, AZ39-AZ$150,"")</f>
        <v/>
      </c>
      <c r="CD39" s="1" t="str">
        <f>IF(BA39&gt;BA$150, BA39-BA$150,"")</f>
        <v/>
      </c>
      <c r="CE39" s="1" t="str">
        <f>IF(BB39&gt;BB$150, BB39-BB$150,"")</f>
        <v/>
      </c>
      <c r="CF39" s="1">
        <f>COUNTIF(BT39:CE39, "&gt;0")</f>
        <v>0</v>
      </c>
      <c r="CG39" s="1" t="str">
        <f t="shared" ref="CG39:CR40" si="10">IF($CF39=1,BT39,"")</f>
        <v/>
      </c>
      <c r="CH39" s="1" t="str">
        <f t="shared" si="10"/>
        <v/>
      </c>
      <c r="CI39" s="1" t="str">
        <f t="shared" si="10"/>
        <v/>
      </c>
      <c r="CJ39" s="1" t="str">
        <f t="shared" si="10"/>
        <v/>
      </c>
      <c r="CK39" s="1" t="str">
        <f t="shared" si="10"/>
        <v/>
      </c>
      <c r="CL39" s="1" t="str">
        <f t="shared" si="10"/>
        <v/>
      </c>
      <c r="CM39" s="1" t="str">
        <f t="shared" si="10"/>
        <v/>
      </c>
      <c r="CN39" s="1" t="str">
        <f t="shared" si="10"/>
        <v/>
      </c>
      <c r="CO39" s="1" t="str">
        <f t="shared" si="10"/>
        <v/>
      </c>
      <c r="CP39" s="1" t="str">
        <f t="shared" si="10"/>
        <v/>
      </c>
      <c r="CQ39" s="1" t="str">
        <f t="shared" si="10"/>
        <v/>
      </c>
      <c r="CR39" s="1" t="str">
        <f t="shared" si="10"/>
        <v/>
      </c>
      <c r="CS39" s="18">
        <f>SUM(AE39:BO39)</f>
        <v>5</v>
      </c>
    </row>
    <row r="40" spans="1:97" x14ac:dyDescent="0.15">
      <c r="A40" s="1">
        <v>34</v>
      </c>
      <c r="B40" s="1" t="s">
        <v>48</v>
      </c>
      <c r="C40" s="1" t="s">
        <v>49</v>
      </c>
      <c r="D40" s="1" t="s">
        <v>25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>
        <v>15</v>
      </c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>
        <v>15</v>
      </c>
      <c r="BC40" s="14"/>
      <c r="BD40" s="1"/>
      <c r="BE40" s="1"/>
      <c r="BF40" s="1"/>
      <c r="BG40" s="1"/>
      <c r="BH40" s="1">
        <v>15</v>
      </c>
      <c r="BI40" s="1">
        <v>15</v>
      </c>
      <c r="BJ40" s="1"/>
      <c r="BK40" s="1"/>
      <c r="BL40" s="1"/>
      <c r="BM40" s="1"/>
      <c r="BN40" s="1"/>
      <c r="BO40" s="1"/>
      <c r="BP40" s="1">
        <f t="shared" si="1"/>
        <v>60</v>
      </c>
      <c r="BQ40" s="1">
        <v>6</v>
      </c>
      <c r="BR40" s="17">
        <v>1</v>
      </c>
      <c r="BS40" s="17" t="s">
        <v>248</v>
      </c>
      <c r="BT40" s="1">
        <f>IF(AQ40&gt;AQ$150, AQ40-AQ$150,"")</f>
        <v>6</v>
      </c>
      <c r="BU40" s="1" t="str">
        <f>IF(AR40&gt;AR$150, AR40-AR$150,"")</f>
        <v/>
      </c>
      <c r="BV40" s="1" t="str">
        <f>IF(AS40&gt;AS$150, AS40-AS$150,"")</f>
        <v/>
      </c>
      <c r="BW40" s="1" t="str">
        <f>IF(AT40&gt;AT$150, AT40-AT$150,"")</f>
        <v/>
      </c>
      <c r="BX40" s="1" t="str">
        <f>IF(AU40&gt;AU$150, AU40-AU$150,"")</f>
        <v/>
      </c>
      <c r="BY40" s="1" t="str">
        <f>IF(AV40&gt;AV$150, AV40-AV$150,"")</f>
        <v/>
      </c>
      <c r="BZ40" s="1" t="str">
        <f>IF(AW40&gt;AW$150, AW40-AW$150,"")</f>
        <v/>
      </c>
      <c r="CA40" s="1" t="str">
        <f>IF(AX40&gt;AX$150, AX40-AX$150,"")</f>
        <v/>
      </c>
      <c r="CB40" s="1" t="str">
        <f>IF(AY40&gt;AY$150, AY40-AY$150,"")</f>
        <v/>
      </c>
      <c r="CC40" s="1" t="str">
        <f>IF(AZ40&gt;AZ$150, AZ40-AZ$150,"")</f>
        <v/>
      </c>
      <c r="CD40" s="1" t="str">
        <f>IF(BA40&gt;BA$150, BA40-BA$150,"")</f>
        <v/>
      </c>
      <c r="CE40" s="1" t="str">
        <f>IF(BB40&gt;BB$150, BB40-BB$150,"")</f>
        <v/>
      </c>
      <c r="CF40" s="1">
        <f>COUNTIF(BT40:CE40, "&gt;0")</f>
        <v>1</v>
      </c>
      <c r="CG40" s="1">
        <f t="shared" si="10"/>
        <v>6</v>
      </c>
      <c r="CH40" s="1" t="str">
        <f t="shared" si="10"/>
        <v/>
      </c>
      <c r="CI40" s="1" t="str">
        <f t="shared" si="10"/>
        <v/>
      </c>
      <c r="CJ40" s="1" t="str">
        <f t="shared" si="10"/>
        <v/>
      </c>
      <c r="CK40" s="1" t="str">
        <f t="shared" si="10"/>
        <v/>
      </c>
      <c r="CL40" s="1" t="str">
        <f t="shared" si="10"/>
        <v/>
      </c>
      <c r="CM40" s="1" t="str">
        <f t="shared" si="10"/>
        <v/>
      </c>
      <c r="CN40" s="1" t="str">
        <f t="shared" si="10"/>
        <v/>
      </c>
      <c r="CO40" s="1" t="str">
        <f t="shared" si="10"/>
        <v/>
      </c>
      <c r="CP40" s="1" t="str">
        <f t="shared" si="10"/>
        <v/>
      </c>
      <c r="CQ40" s="1" t="str">
        <f t="shared" si="10"/>
        <v/>
      </c>
      <c r="CR40" s="1" t="str">
        <f t="shared" si="10"/>
        <v/>
      </c>
      <c r="CS40" s="18">
        <f>SUM(AE40:BO40)</f>
        <v>60</v>
      </c>
    </row>
    <row r="41" spans="1:97" x14ac:dyDescent="0.15">
      <c r="A41" s="1"/>
      <c r="B41" s="1" t="s">
        <v>129</v>
      </c>
      <c r="C41" s="1" t="s">
        <v>113</v>
      </c>
      <c r="D41" s="1" t="s">
        <v>114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>
        <v>15</v>
      </c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>
        <v>15</v>
      </c>
      <c r="BC41" s="14"/>
      <c r="BD41" s="1"/>
      <c r="BE41" s="1"/>
      <c r="BF41" s="1"/>
      <c r="BG41" s="1"/>
      <c r="BH41" s="1">
        <v>15</v>
      </c>
      <c r="BI41" s="1">
        <v>15</v>
      </c>
      <c r="BJ41" s="1"/>
      <c r="BK41" s="1"/>
      <c r="BL41" s="1"/>
      <c r="BM41" s="1"/>
      <c r="BN41" s="1"/>
      <c r="BO41" s="1"/>
      <c r="BP41" s="1">
        <f t="shared" si="1"/>
        <v>60</v>
      </c>
      <c r="BQ41" s="1">
        <v>6</v>
      </c>
      <c r="BR41" s="17">
        <v>1</v>
      </c>
      <c r="BS41" s="17" t="s">
        <v>249</v>
      </c>
      <c r="BT41" s="1">
        <f>IF(AQ41&gt;AQ$150, AQ41-AQ$150,"")</f>
        <v>6</v>
      </c>
      <c r="BU41" s="1" t="str">
        <f>IF(AR41&gt;AR$150, AR41-AR$150,"")</f>
        <v/>
      </c>
      <c r="BV41" s="1" t="str">
        <f>IF(AS41&gt;AS$150, AS41-AS$150,"")</f>
        <v/>
      </c>
      <c r="BW41" s="1" t="str">
        <f>IF(AT41&gt;AT$150, AT41-AT$150,"")</f>
        <v/>
      </c>
      <c r="BX41" s="1" t="str">
        <f>IF(AU41&gt;AU$150, AU41-AU$150,"")</f>
        <v/>
      </c>
      <c r="BY41" s="1" t="str">
        <f>IF(AV41&gt;AV$150, AV41-AV$150,"")</f>
        <v/>
      </c>
      <c r="BZ41" s="1" t="str">
        <f>IF(AW41&gt;AW$150, AW41-AW$150,"")</f>
        <v/>
      </c>
      <c r="CA41" s="1" t="str">
        <f>IF(AX41&gt;AX$150, AX41-AX$150,"")</f>
        <v/>
      </c>
      <c r="CB41" s="1" t="str">
        <f>IF(AY41&gt;AY$150, AY41-AY$150,"")</f>
        <v/>
      </c>
      <c r="CC41" s="1" t="str">
        <f>IF(AZ41&gt;AZ$150, AZ41-AZ$150,"")</f>
        <v/>
      </c>
      <c r="CD41" s="1" t="str">
        <f>IF(BA41&gt;BA$150, BA41-BA$150,"")</f>
        <v/>
      </c>
      <c r="CE41" s="1" t="str">
        <f>IF(BB41&gt;BB$150, BB41-BB$150,"")</f>
        <v/>
      </c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8"/>
    </row>
    <row r="42" spans="1:97" x14ac:dyDescent="0.15">
      <c r="A42" s="1"/>
      <c r="B42" s="1" t="s">
        <v>207</v>
      </c>
      <c r="C42" s="1" t="s">
        <v>117</v>
      </c>
      <c r="D42" s="1" t="s">
        <v>114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>
        <v>10</v>
      </c>
      <c r="AT42" s="4"/>
      <c r="AU42" s="4"/>
      <c r="AV42" s="4"/>
      <c r="AW42" s="2"/>
      <c r="AX42" s="2"/>
      <c r="AY42" s="2"/>
      <c r="AZ42" s="2"/>
      <c r="BA42" s="2"/>
      <c r="BB42" s="2">
        <v>10</v>
      </c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 t="shared" si="1"/>
        <v>20</v>
      </c>
      <c r="BQ42" s="1">
        <v>8</v>
      </c>
      <c r="BR42" s="17">
        <v>1</v>
      </c>
      <c r="BS42" s="17" t="s">
        <v>188</v>
      </c>
      <c r="BT42" s="1" t="str">
        <f>IF(AQ42&gt;AQ$150, AQ42-AQ$150,"")</f>
        <v/>
      </c>
      <c r="BU42" s="1" t="str">
        <f>IF(AR42&gt;AR$150, AR42-AR$150,"")</f>
        <v/>
      </c>
      <c r="BV42" s="1">
        <f>IF(AS42&gt;AS$150, AS42-AS$150,"")</f>
        <v>8</v>
      </c>
      <c r="BW42" s="1" t="str">
        <f>IF(AT42&gt;AT$150, AT42-AT$150,"")</f>
        <v/>
      </c>
      <c r="BX42" s="1" t="str">
        <f>IF(AU42&gt;AU$150, AU42-AU$150,"")</f>
        <v/>
      </c>
      <c r="BY42" s="1" t="str">
        <f>IF(AV42&gt;AV$150, AV42-AV$150,"")</f>
        <v/>
      </c>
      <c r="BZ42" s="1" t="str">
        <f>IF(AW42&gt;AW$150, AW42-AW$150,"")</f>
        <v/>
      </c>
      <c r="CA42" s="1" t="str">
        <f>IF(AX42&gt;AX$150, AX42-AX$150,"")</f>
        <v/>
      </c>
      <c r="CB42" s="1" t="str">
        <f>IF(AY42&gt;AY$150, AY42-AY$150,"")</f>
        <v/>
      </c>
      <c r="CC42" s="1" t="str">
        <f>IF(AZ42&gt;AZ$150, AZ42-AZ$150,"")</f>
        <v/>
      </c>
      <c r="CD42" s="1" t="str">
        <f>IF(BA42&gt;BA$150, BA42-BA$150,"")</f>
        <v/>
      </c>
      <c r="CE42" s="1" t="str">
        <f>IF(BB42&gt;BB$150, BB42-BB$150,"")</f>
        <v/>
      </c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8"/>
    </row>
    <row r="43" spans="1:97" x14ac:dyDescent="0.15">
      <c r="A43" s="1"/>
      <c r="B43" s="1" t="s">
        <v>202</v>
      </c>
      <c r="C43" s="1" t="s">
        <v>32</v>
      </c>
      <c r="D43" s="1" t="s">
        <v>185</v>
      </c>
      <c r="E43" s="6">
        <v>20</v>
      </c>
      <c r="F43" s="6"/>
      <c r="G43" s="6"/>
      <c r="H43" s="6"/>
      <c r="I43" s="6">
        <v>20</v>
      </c>
      <c r="J43" s="6">
        <v>20</v>
      </c>
      <c r="K43" s="6"/>
      <c r="L43" s="6"/>
      <c r="M43" s="6"/>
      <c r="N43" s="6"/>
      <c r="O43" s="6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 t="shared" si="1"/>
        <v>60</v>
      </c>
      <c r="BQ43" s="1">
        <v>8</v>
      </c>
      <c r="BR43" s="17">
        <v>1</v>
      </c>
      <c r="BS43" s="17" t="s">
        <v>251</v>
      </c>
      <c r="BT43" s="1" t="str">
        <f>IF(AQ43&gt;AQ$150, AQ43-AQ$150,"")</f>
        <v/>
      </c>
      <c r="BU43" s="1" t="str">
        <f>IF(AR43&gt;AR$150, AR43-AR$150,"")</f>
        <v/>
      </c>
      <c r="BV43" s="1" t="str">
        <f>IF(AS43&gt;AS$150, AS43-AS$150,"")</f>
        <v/>
      </c>
      <c r="BW43" s="1" t="str">
        <f>IF(AT43&gt;AT$150, AT43-AT$150,"")</f>
        <v/>
      </c>
      <c r="BX43" s="1" t="str">
        <f>IF(AU43&gt;AU$150, AU43-AU$150,"")</f>
        <v/>
      </c>
      <c r="BY43" s="1" t="str">
        <f>IF(AV43&gt;AV$150, AV43-AV$150,"")</f>
        <v/>
      </c>
      <c r="BZ43" s="1" t="str">
        <f>IF(AW43&gt;AW$150, AW43-AW$150,"")</f>
        <v/>
      </c>
      <c r="CA43" s="1" t="str">
        <f>IF(AX43&gt;AX$150, AX43-AX$150,"")</f>
        <v/>
      </c>
      <c r="CB43" s="1" t="str">
        <f>IF(AY43&gt;AY$150, AY43-AY$150,"")</f>
        <v/>
      </c>
      <c r="CC43" s="1" t="str">
        <f>IF(AZ43&gt;AZ$150, AZ43-AZ$150,"")</f>
        <v/>
      </c>
      <c r="CD43" s="1" t="str">
        <f>IF(BA43&gt;BA$150, BA43-BA$150,"")</f>
        <v/>
      </c>
      <c r="CE43" s="1" t="str">
        <f>IF(BB43&gt;BB$150, BB43-BB$150,"")</f>
        <v/>
      </c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8"/>
    </row>
    <row r="44" spans="1:97" x14ac:dyDescent="0.15">
      <c r="A44" s="1"/>
      <c r="B44" s="1" t="s">
        <v>124</v>
      </c>
      <c r="C44" s="1" t="s">
        <v>117</v>
      </c>
      <c r="D44" s="1" t="s">
        <v>115</v>
      </c>
      <c r="E44" s="6">
        <v>6</v>
      </c>
      <c r="F44" s="6">
        <v>6</v>
      </c>
      <c r="G44" s="6"/>
      <c r="H44" s="6"/>
      <c r="I44" s="6"/>
      <c r="J44" s="6"/>
      <c r="K44" s="6"/>
      <c r="L44" s="6"/>
      <c r="M44" s="6"/>
      <c r="N44" s="6"/>
      <c r="O44" s="6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>
        <v>10</v>
      </c>
      <c r="AT44" s="4"/>
      <c r="AU44" s="4"/>
      <c r="AV44" s="4"/>
      <c r="AW44" s="2"/>
      <c r="AX44" s="2">
        <v>10</v>
      </c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 t="shared" si="1"/>
        <v>32</v>
      </c>
      <c r="BQ44" s="1">
        <v>8</v>
      </c>
      <c r="BR44" s="17">
        <v>1</v>
      </c>
      <c r="BS44" s="17" t="s">
        <v>281</v>
      </c>
      <c r="BT44" s="1" t="str">
        <f>IF(AQ44&gt;AQ$150, AQ44-AQ$150,"")</f>
        <v/>
      </c>
      <c r="BU44" s="1" t="str">
        <f>IF(AR44&gt;AR$150, AR44-AR$150,"")</f>
        <v/>
      </c>
      <c r="BV44" s="1">
        <f>IF(AS44&gt;AS$150, AS44-AS$150,"")</f>
        <v>8</v>
      </c>
      <c r="BW44" s="1" t="str">
        <f>IF(AT44&gt;AT$150, AT44-AT$150,"")</f>
        <v/>
      </c>
      <c r="BX44" s="1" t="str">
        <f>IF(AU44&gt;AU$150, AU44-AU$150,"")</f>
        <v/>
      </c>
      <c r="BY44" s="1" t="str">
        <f>IF(AV44&gt;AV$150, AV44-AV$150,"")</f>
        <v/>
      </c>
      <c r="BZ44" s="1" t="str">
        <f>IF(AW44&gt;AW$150, AW44-AW$150,"")</f>
        <v/>
      </c>
      <c r="CA44" s="1" t="str">
        <f>IF(AX44&gt;AX$150, AX44-AX$150,"")</f>
        <v/>
      </c>
      <c r="CB44" s="1" t="str">
        <f>IF(AY44&gt;AY$150, AY44-AY$150,"")</f>
        <v/>
      </c>
      <c r="CC44" s="1" t="str">
        <f>IF(AZ44&gt;AZ$150, AZ44-AZ$150,"")</f>
        <v/>
      </c>
      <c r="CD44" s="1" t="str">
        <f>IF(BA44&gt;BA$150, BA44-BA$150,"")</f>
        <v/>
      </c>
      <c r="CE44" s="1" t="str">
        <f>IF(BB44&gt;BB$150, BB44-BB$150,"")</f>
        <v/>
      </c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8"/>
    </row>
    <row r="45" spans="1:97" x14ac:dyDescent="0.15">
      <c r="A45" s="1">
        <v>62</v>
      </c>
      <c r="B45" s="1" t="s">
        <v>111</v>
      </c>
      <c r="C45" s="1" t="s">
        <v>61</v>
      </c>
      <c r="D45" s="1" t="s">
        <v>1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1"/>
      <c r="AF45" s="1"/>
      <c r="AG45" s="1"/>
      <c r="AH45" s="1"/>
      <c r="AI45" s="1"/>
      <c r="AJ45" s="1"/>
      <c r="AK45" s="1"/>
      <c r="AL45" s="1"/>
      <c r="AM45" s="1">
        <v>15</v>
      </c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 t="shared" si="1"/>
        <v>15</v>
      </c>
      <c r="BQ45" s="1">
        <v>9</v>
      </c>
      <c r="BR45" s="17">
        <v>1</v>
      </c>
      <c r="BS45" s="17" t="s">
        <v>250</v>
      </c>
      <c r="BT45" s="1" t="str">
        <f>IF(AQ45&gt;AQ$150, AQ45-AQ$150,"")</f>
        <v/>
      </c>
      <c r="BU45" s="1" t="str">
        <f>IF(AR45&gt;AR$150, AR45-AR$150,"")</f>
        <v/>
      </c>
      <c r="BV45" s="1" t="str">
        <f>IF(AS45&gt;AS$150, AS45-AS$150,"")</f>
        <v/>
      </c>
      <c r="BW45" s="1" t="str">
        <f>IF(AT45&gt;AT$150, AT45-AT$150,"")</f>
        <v/>
      </c>
      <c r="BX45" s="1" t="str">
        <f>IF(AU45&gt;AU$150, AU45-AU$150,"")</f>
        <v/>
      </c>
      <c r="BY45" s="1" t="str">
        <f>IF(AV45&gt;AV$150, AV45-AV$150,"")</f>
        <v/>
      </c>
      <c r="BZ45" s="1" t="str">
        <f>IF(AW45&gt;AW$150, AW45-AW$150,"")</f>
        <v/>
      </c>
      <c r="CA45" s="1" t="str">
        <f>IF(AX45&gt;AX$150, AX45-AX$150,"")</f>
        <v/>
      </c>
      <c r="CB45" s="1" t="str">
        <f>IF(AY45&gt;AY$150, AY45-AY$150,"")</f>
        <v/>
      </c>
      <c r="CC45" s="1" t="str">
        <f>IF(AZ45&gt;AZ$150, AZ45-AZ$150,"")</f>
        <v/>
      </c>
      <c r="CD45" s="1" t="str">
        <f>IF(BA45&gt;BA$150, BA45-BA$150,"")</f>
        <v/>
      </c>
      <c r="CE45" s="1" t="str">
        <f>IF(BB45&gt;BB$150, BB45-BB$150,"")</f>
        <v/>
      </c>
      <c r="CF45" s="1">
        <f>COUNTIF(BT45:CE45, "&gt;0")</f>
        <v>0</v>
      </c>
      <c r="CG45" s="1" t="str">
        <f t="shared" ref="CG45:CR46" si="11">IF($CF45=1,BT45,"")</f>
        <v/>
      </c>
      <c r="CH45" s="1" t="str">
        <f t="shared" si="11"/>
        <v/>
      </c>
      <c r="CI45" s="1" t="str">
        <f t="shared" si="11"/>
        <v/>
      </c>
      <c r="CJ45" s="1" t="str">
        <f t="shared" si="11"/>
        <v/>
      </c>
      <c r="CK45" s="1" t="str">
        <f t="shared" si="11"/>
        <v/>
      </c>
      <c r="CL45" s="1" t="str">
        <f t="shared" si="11"/>
        <v/>
      </c>
      <c r="CM45" s="1" t="str">
        <f t="shared" si="11"/>
        <v/>
      </c>
      <c r="CN45" s="1" t="str">
        <f t="shared" si="11"/>
        <v/>
      </c>
      <c r="CO45" s="1" t="str">
        <f t="shared" si="11"/>
        <v/>
      </c>
      <c r="CP45" s="1" t="str">
        <f t="shared" si="11"/>
        <v/>
      </c>
      <c r="CQ45" s="1" t="str">
        <f t="shared" si="11"/>
        <v/>
      </c>
      <c r="CR45" s="1" t="str">
        <f t="shared" si="11"/>
        <v/>
      </c>
      <c r="CS45" s="18">
        <f>SUM(AE45:BO45)</f>
        <v>15</v>
      </c>
    </row>
    <row r="46" spans="1:97" x14ac:dyDescent="0.15">
      <c r="A46" s="1">
        <v>94</v>
      </c>
      <c r="B46" s="3" t="s">
        <v>90</v>
      </c>
      <c r="C46" s="3" t="s">
        <v>75</v>
      </c>
      <c r="D46" s="1" t="s">
        <v>1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>
        <v>10</v>
      </c>
      <c r="BB46" s="2">
        <v>10</v>
      </c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 t="shared" si="1"/>
        <v>20</v>
      </c>
      <c r="BQ46" s="1">
        <v>10</v>
      </c>
      <c r="BR46" s="17">
        <v>1</v>
      </c>
      <c r="BS46" s="17" t="s">
        <v>221</v>
      </c>
      <c r="BT46" s="1" t="str">
        <f>IF(AQ46&gt;AQ$150, AQ46-AQ$150,"")</f>
        <v/>
      </c>
      <c r="BU46" s="1" t="str">
        <f>IF(AR46&gt;AR$150, AR46-AR$150,"")</f>
        <v/>
      </c>
      <c r="BV46" s="1" t="str">
        <f>IF(AS46&gt;AS$150, AS46-AS$150,"")</f>
        <v/>
      </c>
      <c r="BW46" s="1" t="str">
        <f>IF(AT46&gt;AT$150, AT46-AT$150,"")</f>
        <v/>
      </c>
      <c r="BX46" s="1" t="str">
        <f>IF(AU46&gt;AU$150, AU46-AU$150,"")</f>
        <v/>
      </c>
      <c r="BY46" s="1" t="str">
        <f>IF(AV46&gt;AV$150, AV46-AV$150,"")</f>
        <v/>
      </c>
      <c r="BZ46" s="1" t="str">
        <f>IF(AW46&gt;AW$150, AW46-AW$150,"")</f>
        <v/>
      </c>
      <c r="CA46" s="1" t="str">
        <f>IF(AX46&gt;AX$150, AX46-AX$150,"")</f>
        <v/>
      </c>
      <c r="CB46" s="1" t="str">
        <f>IF(AY46&gt;AY$150, AY46-AY$150,"")</f>
        <v/>
      </c>
      <c r="CC46" s="1" t="str">
        <f>IF(AZ46&gt;AZ$150, AZ46-AZ$150,"")</f>
        <v/>
      </c>
      <c r="CD46" s="1">
        <f>IF(BA46&gt;BA$150, BA46-BA$150,"")</f>
        <v>10</v>
      </c>
      <c r="CE46" s="1" t="str">
        <f>IF(BB46&gt;BB$150, BB46-BB$150,"")</f>
        <v/>
      </c>
      <c r="CF46" s="1">
        <f>COUNTIF(BT46:CE46, "&gt;0")</f>
        <v>1</v>
      </c>
      <c r="CG46" s="1" t="str">
        <f t="shared" si="11"/>
        <v/>
      </c>
      <c r="CH46" s="1" t="str">
        <f t="shared" si="11"/>
        <v/>
      </c>
      <c r="CI46" s="1" t="str">
        <f t="shared" si="11"/>
        <v/>
      </c>
      <c r="CJ46" s="1" t="str">
        <f t="shared" si="11"/>
        <v/>
      </c>
      <c r="CK46" s="1" t="str">
        <f t="shared" si="11"/>
        <v/>
      </c>
      <c r="CL46" s="1" t="str">
        <f t="shared" si="11"/>
        <v/>
      </c>
      <c r="CM46" s="1" t="str">
        <f t="shared" si="11"/>
        <v/>
      </c>
      <c r="CN46" s="1" t="str">
        <f t="shared" si="11"/>
        <v/>
      </c>
      <c r="CO46" s="1" t="str">
        <f t="shared" si="11"/>
        <v/>
      </c>
      <c r="CP46" s="1" t="str">
        <f t="shared" si="11"/>
        <v/>
      </c>
      <c r="CQ46" s="1">
        <f t="shared" si="11"/>
        <v>10</v>
      </c>
      <c r="CR46" s="1" t="str">
        <f t="shared" si="11"/>
        <v/>
      </c>
      <c r="CS46" s="18">
        <f>SUM(AE46:BO46)</f>
        <v>20</v>
      </c>
    </row>
    <row r="47" spans="1:97" x14ac:dyDescent="0.15">
      <c r="A47" s="1"/>
      <c r="B47" s="1" t="s">
        <v>142</v>
      </c>
      <c r="C47" s="1" t="s">
        <v>135</v>
      </c>
      <c r="D47" s="1" t="s">
        <v>114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>
        <v>10</v>
      </c>
      <c r="BB47" s="2">
        <v>10</v>
      </c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 t="shared" si="1"/>
        <v>20</v>
      </c>
      <c r="BQ47" s="1">
        <v>10</v>
      </c>
      <c r="BR47" s="17">
        <v>1</v>
      </c>
      <c r="BS47" s="17" t="s">
        <v>221</v>
      </c>
      <c r="BT47" s="1" t="str">
        <f>IF(AQ47&gt;AQ$150, AQ47-AQ$150,"")</f>
        <v/>
      </c>
      <c r="BU47" s="1" t="str">
        <f>IF(AR47&gt;AR$150, AR47-AR$150,"")</f>
        <v/>
      </c>
      <c r="BV47" s="1" t="str">
        <f>IF(AS47&gt;AS$150, AS47-AS$150,"")</f>
        <v/>
      </c>
      <c r="BW47" s="1" t="str">
        <f>IF(AT47&gt;AT$150, AT47-AT$150,"")</f>
        <v/>
      </c>
      <c r="BX47" s="1" t="str">
        <f>IF(AU47&gt;AU$150, AU47-AU$150,"")</f>
        <v/>
      </c>
      <c r="BY47" s="1" t="str">
        <f>IF(AV47&gt;AV$150, AV47-AV$150,"")</f>
        <v/>
      </c>
      <c r="BZ47" s="1" t="str">
        <f>IF(AW47&gt;AW$150, AW47-AW$150,"")</f>
        <v/>
      </c>
      <c r="CA47" s="1" t="str">
        <f>IF(AX47&gt;AX$150, AX47-AX$150,"")</f>
        <v/>
      </c>
      <c r="CB47" s="1" t="str">
        <f>IF(AY47&gt;AY$150, AY47-AY$150,"")</f>
        <v/>
      </c>
      <c r="CC47" s="1" t="str">
        <f>IF(AZ47&gt;AZ$150, AZ47-AZ$150,"")</f>
        <v/>
      </c>
      <c r="CD47" s="1">
        <f>IF(BA47&gt;BA$150, BA47-BA$150,"")</f>
        <v>10</v>
      </c>
      <c r="CE47" s="1" t="str">
        <f>IF(BB47&gt;BB$150, BB47-BB$150,"")</f>
        <v/>
      </c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8"/>
    </row>
    <row r="48" spans="1:97" x14ac:dyDescent="0.15">
      <c r="A48" s="1"/>
      <c r="B48" s="1" t="s">
        <v>176</v>
      </c>
      <c r="C48" s="1" t="s">
        <v>175</v>
      </c>
      <c r="D48" s="1" t="s">
        <v>147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>
        <v>10</v>
      </c>
      <c r="BB48" s="2">
        <v>10</v>
      </c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 t="shared" si="1"/>
        <v>20</v>
      </c>
      <c r="BQ48" s="1">
        <v>10</v>
      </c>
      <c r="BR48" s="17">
        <v>1</v>
      </c>
      <c r="BS48" s="17" t="s">
        <v>221</v>
      </c>
      <c r="BT48" s="1" t="str">
        <f>IF(AQ48&gt;AQ$150, AQ48-AQ$150,"")</f>
        <v/>
      </c>
      <c r="BU48" s="1" t="str">
        <f>IF(AR48&gt;AR$150, AR48-AR$150,"")</f>
        <v/>
      </c>
      <c r="BV48" s="1" t="str">
        <f>IF(AS48&gt;AS$150, AS48-AS$150,"")</f>
        <v/>
      </c>
      <c r="BW48" s="1" t="str">
        <f>IF(AT48&gt;AT$150, AT48-AT$150,"")</f>
        <v/>
      </c>
      <c r="BX48" s="1" t="str">
        <f>IF(AU48&gt;AU$150, AU48-AU$150,"")</f>
        <v/>
      </c>
      <c r="BY48" s="1" t="str">
        <f>IF(AV48&gt;AV$150, AV48-AV$150,"")</f>
        <v/>
      </c>
      <c r="BZ48" s="1" t="str">
        <f>IF(AW48&gt;AW$150, AW48-AW$150,"")</f>
        <v/>
      </c>
      <c r="CA48" s="1" t="str">
        <f>IF(AX48&gt;AX$150, AX48-AX$150,"")</f>
        <v/>
      </c>
      <c r="CB48" s="1" t="str">
        <f>IF(AY48&gt;AY$150, AY48-AY$150,"")</f>
        <v/>
      </c>
      <c r="CC48" s="1" t="str">
        <f>IF(AZ48&gt;AZ$150, AZ48-AZ$150,"")</f>
        <v/>
      </c>
      <c r="CD48" s="1">
        <f>IF(BA48&gt;BA$150, BA48-BA$150,"")</f>
        <v>10</v>
      </c>
      <c r="CE48" s="1" t="str">
        <f>IF(BB48&gt;BB$150, BB48-BB$150,"")</f>
        <v/>
      </c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8"/>
    </row>
    <row r="49" spans="1:97" x14ac:dyDescent="0.15">
      <c r="A49" s="1">
        <v>64</v>
      </c>
      <c r="B49" s="3" t="s">
        <v>66</v>
      </c>
      <c r="C49" s="1" t="s">
        <v>61</v>
      </c>
      <c r="D49" s="1" t="s">
        <v>1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1"/>
      <c r="AF49" s="1"/>
      <c r="AG49" s="1"/>
      <c r="AH49" s="1"/>
      <c r="AI49" s="1"/>
      <c r="AJ49" s="1"/>
      <c r="AK49" s="1"/>
      <c r="AL49" s="1"/>
      <c r="AM49" s="1"/>
      <c r="AN49" s="1">
        <v>15</v>
      </c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 t="shared" si="1"/>
        <v>15</v>
      </c>
      <c r="BQ49" s="1">
        <v>15</v>
      </c>
      <c r="BR49" s="17">
        <v>1</v>
      </c>
      <c r="BS49" s="17" t="s">
        <v>252</v>
      </c>
      <c r="BT49" s="1" t="str">
        <f>IF(AQ49&gt;AQ$150, AQ49-AQ$150,"")</f>
        <v/>
      </c>
      <c r="BU49" s="1" t="str">
        <f>IF(AR49&gt;AR$150, AR49-AR$150,"")</f>
        <v/>
      </c>
      <c r="BV49" s="1" t="str">
        <f>IF(AS49&gt;AS$150, AS49-AS$150,"")</f>
        <v/>
      </c>
      <c r="BW49" s="1" t="str">
        <f>IF(AT49&gt;AT$150, AT49-AT$150,"")</f>
        <v/>
      </c>
      <c r="BX49" s="1" t="str">
        <f>IF(AU49&gt;AU$150, AU49-AU$150,"")</f>
        <v/>
      </c>
      <c r="BY49" s="1" t="str">
        <f>IF(AV49&gt;AV$150, AV49-AV$150,"")</f>
        <v/>
      </c>
      <c r="BZ49" s="1" t="str">
        <f>IF(AW49&gt;AW$150, AW49-AW$150,"")</f>
        <v/>
      </c>
      <c r="CA49" s="1" t="str">
        <f>IF(AX49&gt;AX$150, AX49-AX$150,"")</f>
        <v/>
      </c>
      <c r="CB49" s="1" t="str">
        <f>IF(AY49&gt;AY$150, AY49-AY$150,"")</f>
        <v/>
      </c>
      <c r="CC49" s="1" t="str">
        <f>IF(AZ49&gt;AZ$150, AZ49-AZ$150,"")</f>
        <v/>
      </c>
      <c r="CD49" s="1" t="str">
        <f>IF(BA49&gt;BA$150, BA49-BA$150,"")</f>
        <v/>
      </c>
      <c r="CE49" s="1" t="str">
        <f>IF(BB49&gt;BB$150, BB49-BB$150,"")</f>
        <v/>
      </c>
      <c r="CF49" s="1">
        <f>COUNTIF(BT49:CE49, "&gt;0")</f>
        <v>0</v>
      </c>
      <c r="CG49" s="1" t="str">
        <f t="shared" ref="CG49:CR52" si="12">IF($CF49=1,BT49,"")</f>
        <v/>
      </c>
      <c r="CH49" s="1" t="str">
        <f t="shared" si="12"/>
        <v/>
      </c>
      <c r="CI49" s="1" t="str">
        <f t="shared" si="12"/>
        <v/>
      </c>
      <c r="CJ49" s="1" t="str">
        <f t="shared" si="12"/>
        <v/>
      </c>
      <c r="CK49" s="1" t="str">
        <f t="shared" si="12"/>
        <v/>
      </c>
      <c r="CL49" s="1" t="str">
        <f t="shared" si="12"/>
        <v/>
      </c>
      <c r="CM49" s="1" t="str">
        <f t="shared" si="12"/>
        <v/>
      </c>
      <c r="CN49" s="1" t="str">
        <f t="shared" si="12"/>
        <v/>
      </c>
      <c r="CO49" s="1" t="str">
        <f t="shared" si="12"/>
        <v/>
      </c>
      <c r="CP49" s="1" t="str">
        <f t="shared" si="12"/>
        <v/>
      </c>
      <c r="CQ49" s="1" t="str">
        <f t="shared" si="12"/>
        <v/>
      </c>
      <c r="CR49" s="1" t="str">
        <f t="shared" si="12"/>
        <v/>
      </c>
      <c r="CS49" s="18">
        <f>SUM(AE49:BO49)</f>
        <v>15</v>
      </c>
    </row>
    <row r="50" spans="1:97" x14ac:dyDescent="0.15">
      <c r="A50" s="1">
        <v>98</v>
      </c>
      <c r="B50" s="3" t="s">
        <v>208</v>
      </c>
      <c r="C50" s="3" t="s">
        <v>75</v>
      </c>
      <c r="D50" s="1" t="s">
        <v>1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1">
        <v>50</v>
      </c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 t="shared" si="1"/>
        <v>50</v>
      </c>
      <c r="BQ50" s="1">
        <v>46</v>
      </c>
      <c r="BR50" s="17">
        <v>1</v>
      </c>
      <c r="BS50" s="17" t="s">
        <v>255</v>
      </c>
      <c r="BT50" s="1" t="str">
        <f>IF(AQ50&gt;AQ$150, AQ50-AQ$150,"")</f>
        <v/>
      </c>
      <c r="BU50" s="1" t="str">
        <f>IF(AR50&gt;AR$150, AR50-AR$150,"")</f>
        <v/>
      </c>
      <c r="BV50" s="1" t="str">
        <f>IF(AS50&gt;AS$150, AS50-AS$150,"")</f>
        <v/>
      </c>
      <c r="BW50" s="1" t="str">
        <f>IF(AT50&gt;AT$150, AT50-AT$150,"")</f>
        <v/>
      </c>
      <c r="BX50" s="1" t="str">
        <f>IF(AU50&gt;AU$150, AU50-AU$150,"")</f>
        <v/>
      </c>
      <c r="BY50" s="1" t="str">
        <f>IF(AV50&gt;AV$150, AV50-AV$150,"")</f>
        <v/>
      </c>
      <c r="BZ50" s="1" t="str">
        <f>IF(AW50&gt;AW$150, AW50-AW$150,"")</f>
        <v/>
      </c>
      <c r="CA50" s="1" t="str">
        <f>IF(AX50&gt;AX$150, AX50-AX$150,"")</f>
        <v/>
      </c>
      <c r="CB50" s="1" t="str">
        <f>IF(AY50&gt;AY$150, AY50-AY$150,"")</f>
        <v/>
      </c>
      <c r="CC50" s="1" t="str">
        <f>IF(AZ50&gt;AZ$150, AZ50-AZ$150,"")</f>
        <v/>
      </c>
      <c r="CD50" s="1" t="str">
        <f>IF(BA50&gt;BA$150, BA50-BA$150,"")</f>
        <v/>
      </c>
      <c r="CE50" s="1" t="str">
        <f>IF(BB50&gt;BB$150, BB50-BB$150,"")</f>
        <v/>
      </c>
      <c r="CF50" s="1">
        <f>COUNTIF(BT50:CE50, "&gt;0")</f>
        <v>0</v>
      </c>
      <c r="CG50" s="1" t="str">
        <f t="shared" si="12"/>
        <v/>
      </c>
      <c r="CH50" s="1" t="str">
        <f t="shared" si="12"/>
        <v/>
      </c>
      <c r="CI50" s="1" t="str">
        <f t="shared" si="12"/>
        <v/>
      </c>
      <c r="CJ50" s="1" t="str">
        <f t="shared" si="12"/>
        <v/>
      </c>
      <c r="CK50" s="1" t="str">
        <f t="shared" si="12"/>
        <v/>
      </c>
      <c r="CL50" s="1" t="str">
        <f t="shared" si="12"/>
        <v/>
      </c>
      <c r="CM50" s="1" t="str">
        <f t="shared" si="12"/>
        <v/>
      </c>
      <c r="CN50" s="1" t="str">
        <f t="shared" si="12"/>
        <v/>
      </c>
      <c r="CO50" s="1" t="str">
        <f t="shared" si="12"/>
        <v/>
      </c>
      <c r="CP50" s="1" t="str">
        <f t="shared" si="12"/>
        <v/>
      </c>
      <c r="CQ50" s="1" t="str">
        <f t="shared" si="12"/>
        <v/>
      </c>
      <c r="CR50" s="1" t="str">
        <f t="shared" si="12"/>
        <v/>
      </c>
      <c r="CS50" s="18">
        <f>SUM(AE50:BO50)</f>
        <v>50</v>
      </c>
    </row>
    <row r="51" spans="1:97" x14ac:dyDescent="0.15">
      <c r="A51" s="1">
        <v>99</v>
      </c>
      <c r="B51" s="3" t="s">
        <v>208</v>
      </c>
      <c r="C51" s="3" t="s">
        <v>75</v>
      </c>
      <c r="D51" s="1" t="s">
        <v>13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1">
        <v>200</v>
      </c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 t="shared" si="1"/>
        <v>200</v>
      </c>
      <c r="BQ51" s="1">
        <v>196</v>
      </c>
      <c r="BR51" s="17">
        <v>1</v>
      </c>
      <c r="BS51" s="17" t="s">
        <v>256</v>
      </c>
      <c r="BT51" s="1" t="str">
        <f>IF(AQ51&gt;AQ$150, AQ51-AQ$150,"")</f>
        <v/>
      </c>
      <c r="BU51" s="1" t="str">
        <f>IF(AR51&gt;AR$150, AR51-AR$150,"")</f>
        <v/>
      </c>
      <c r="BV51" s="1" t="str">
        <f>IF(AS51&gt;AS$150, AS51-AS$150,"")</f>
        <v/>
      </c>
      <c r="BW51" s="1" t="str">
        <f>IF(AT51&gt;AT$150, AT51-AT$150,"")</f>
        <v/>
      </c>
      <c r="BX51" s="1" t="str">
        <f>IF(AU51&gt;AU$150, AU51-AU$150,"")</f>
        <v/>
      </c>
      <c r="BY51" s="1" t="str">
        <f>IF(AV51&gt;AV$150, AV51-AV$150,"")</f>
        <v/>
      </c>
      <c r="BZ51" s="1" t="str">
        <f>IF(AW51&gt;AW$150, AW51-AW$150,"")</f>
        <v/>
      </c>
      <c r="CA51" s="1" t="str">
        <f>IF(AX51&gt;AX$150, AX51-AX$150,"")</f>
        <v/>
      </c>
      <c r="CB51" s="1" t="str">
        <f>IF(AY51&gt;AY$150, AY51-AY$150,"")</f>
        <v/>
      </c>
      <c r="CC51" s="1" t="str">
        <f>IF(AZ51&gt;AZ$150, AZ51-AZ$150,"")</f>
        <v/>
      </c>
      <c r="CD51" s="1" t="str">
        <f>IF(BA51&gt;BA$150, BA51-BA$150,"")</f>
        <v/>
      </c>
      <c r="CE51" s="1" t="str">
        <f>IF(BB51&gt;BB$150, BB51-BB$150,"")</f>
        <v/>
      </c>
      <c r="CF51" s="1">
        <f>COUNTIF(BT51:CE51, "&gt;0")</f>
        <v>0</v>
      </c>
      <c r="CG51" s="1" t="str">
        <f t="shared" si="12"/>
        <v/>
      </c>
      <c r="CH51" s="1" t="str">
        <f t="shared" si="12"/>
        <v/>
      </c>
      <c r="CI51" s="1" t="str">
        <f t="shared" si="12"/>
        <v/>
      </c>
      <c r="CJ51" s="1" t="str">
        <f t="shared" si="12"/>
        <v/>
      </c>
      <c r="CK51" s="1" t="str">
        <f t="shared" si="12"/>
        <v/>
      </c>
      <c r="CL51" s="1" t="str">
        <f t="shared" si="12"/>
        <v/>
      </c>
      <c r="CM51" s="1" t="str">
        <f t="shared" si="12"/>
        <v/>
      </c>
      <c r="CN51" s="1" t="str">
        <f t="shared" si="12"/>
        <v/>
      </c>
      <c r="CO51" s="1" t="str">
        <f t="shared" si="12"/>
        <v/>
      </c>
      <c r="CP51" s="1" t="str">
        <f t="shared" si="12"/>
        <v/>
      </c>
      <c r="CQ51" s="1" t="str">
        <f t="shared" si="12"/>
        <v/>
      </c>
      <c r="CR51" s="1" t="str">
        <f t="shared" si="12"/>
        <v/>
      </c>
      <c r="CS51" s="18">
        <f>SUM(AE51:BO51)</f>
        <v>200</v>
      </c>
    </row>
    <row r="52" spans="1:97" ht="27" x14ac:dyDescent="0.15">
      <c r="A52" s="1">
        <v>41</v>
      </c>
      <c r="B52" s="1" t="s">
        <v>56</v>
      </c>
      <c r="C52" s="1" t="s">
        <v>49</v>
      </c>
      <c r="D52" s="1" t="s">
        <v>13</v>
      </c>
      <c r="E52" s="6"/>
      <c r="F52" s="6"/>
      <c r="G52" s="6"/>
      <c r="H52" s="6"/>
      <c r="I52" s="6"/>
      <c r="J52" s="6"/>
      <c r="K52" s="6"/>
      <c r="L52" s="6">
        <v>6</v>
      </c>
      <c r="M52" s="6"/>
      <c r="N52" s="6"/>
      <c r="O52" s="6">
        <v>6</v>
      </c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>
        <v>10</v>
      </c>
      <c r="AR52" s="4"/>
      <c r="AS52" s="4"/>
      <c r="AT52" s="4"/>
      <c r="AU52" s="4"/>
      <c r="AV52" s="4"/>
      <c r="AW52" s="2"/>
      <c r="AX52" s="2">
        <v>10</v>
      </c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 t="shared" si="1"/>
        <v>32</v>
      </c>
      <c r="BQ52" s="1">
        <v>6</v>
      </c>
      <c r="BR52" s="17">
        <v>2</v>
      </c>
      <c r="BS52" s="17" t="s">
        <v>238</v>
      </c>
      <c r="BT52" s="1">
        <f>IF(AQ52&gt;AQ$150, AQ52-AQ$150,"")</f>
        <v>1</v>
      </c>
      <c r="BU52" s="1" t="str">
        <f>IF(AR52&gt;AR$150, AR52-AR$150,"")</f>
        <v/>
      </c>
      <c r="BV52" s="1" t="str">
        <f>IF(AS52&gt;AS$150, AS52-AS$150,"")</f>
        <v/>
      </c>
      <c r="BW52" s="1" t="str">
        <f>IF(AT52&gt;AT$150, AT52-AT$150,"")</f>
        <v/>
      </c>
      <c r="BX52" s="1" t="str">
        <f>IF(AU52&gt;AU$150, AU52-AU$150,"")</f>
        <v/>
      </c>
      <c r="BY52" s="1" t="str">
        <f>IF(AV52&gt;AV$150, AV52-AV$150,"")</f>
        <v/>
      </c>
      <c r="BZ52" s="1" t="str">
        <f>IF(AW52&gt;AW$150, AW52-AW$150,"")</f>
        <v/>
      </c>
      <c r="CA52" s="1" t="str">
        <f>IF(AX52&gt;AX$150, AX52-AX$150,"")</f>
        <v/>
      </c>
      <c r="CB52" s="1" t="str">
        <f>IF(AY52&gt;AY$150, AY52-AY$150,"")</f>
        <v/>
      </c>
      <c r="CC52" s="1" t="str">
        <f>IF(AZ52&gt;AZ$150, AZ52-AZ$150,"")</f>
        <v/>
      </c>
      <c r="CD52" s="1" t="str">
        <f>IF(BA52&gt;BA$150, BA52-BA$150,"")</f>
        <v/>
      </c>
      <c r="CE52" s="1" t="str">
        <f>IF(BB52&gt;BB$150, BB52-BB$150,"")</f>
        <v/>
      </c>
      <c r="CF52" s="1">
        <f>COUNTIF(BT52:CE52, "&gt;0")</f>
        <v>1</v>
      </c>
      <c r="CG52" s="1">
        <f t="shared" si="12"/>
        <v>1</v>
      </c>
      <c r="CH52" s="1" t="str">
        <f t="shared" si="12"/>
        <v/>
      </c>
      <c r="CI52" s="1" t="str">
        <f t="shared" si="12"/>
        <v/>
      </c>
      <c r="CJ52" s="1" t="str">
        <f t="shared" si="12"/>
        <v/>
      </c>
      <c r="CK52" s="1" t="str">
        <f t="shared" si="12"/>
        <v/>
      </c>
      <c r="CL52" s="1" t="str">
        <f t="shared" si="12"/>
        <v/>
      </c>
      <c r="CM52" s="1" t="str">
        <f t="shared" si="12"/>
        <v/>
      </c>
      <c r="CN52" s="1" t="str">
        <f t="shared" si="12"/>
        <v/>
      </c>
      <c r="CO52" s="1" t="str">
        <f t="shared" si="12"/>
        <v/>
      </c>
      <c r="CP52" s="1" t="str">
        <f t="shared" si="12"/>
        <v/>
      </c>
      <c r="CQ52" s="1" t="str">
        <f t="shared" si="12"/>
        <v/>
      </c>
      <c r="CR52" s="1" t="str">
        <f t="shared" si="12"/>
        <v/>
      </c>
      <c r="CS52" s="18">
        <f>SUM(AE52:BO52)</f>
        <v>20</v>
      </c>
    </row>
    <row r="53" spans="1:97" ht="27" x14ac:dyDescent="0.15">
      <c r="A53" s="1"/>
      <c r="B53" s="1" t="s">
        <v>125</v>
      </c>
      <c r="C53" s="1" t="s">
        <v>117</v>
      </c>
      <c r="D53" s="1" t="s">
        <v>114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>
        <v>5</v>
      </c>
      <c r="AP53" s="1">
        <v>1</v>
      </c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 t="shared" si="1"/>
        <v>6</v>
      </c>
      <c r="BQ53" s="1">
        <v>6</v>
      </c>
      <c r="BR53" s="17">
        <v>2</v>
      </c>
      <c r="BS53" s="17" t="s">
        <v>264</v>
      </c>
      <c r="BT53" s="1" t="str">
        <f>IF(AQ53&gt;AQ$150, AQ53-AQ$150,"")</f>
        <v/>
      </c>
      <c r="BU53" s="1" t="str">
        <f>IF(AR53&gt;AR$150, AR53-AR$150,"")</f>
        <v/>
      </c>
      <c r="BV53" s="1" t="str">
        <f>IF(AS53&gt;AS$150, AS53-AS$150,"")</f>
        <v/>
      </c>
      <c r="BW53" s="1" t="str">
        <f>IF(AT53&gt;AT$150, AT53-AT$150,"")</f>
        <v/>
      </c>
      <c r="BX53" s="1" t="str">
        <f>IF(AU53&gt;AU$150, AU53-AU$150,"")</f>
        <v/>
      </c>
      <c r="BY53" s="1" t="str">
        <f>IF(AV53&gt;AV$150, AV53-AV$150,"")</f>
        <v/>
      </c>
      <c r="BZ53" s="1" t="str">
        <f>IF(AW53&gt;AW$150, AW53-AW$150,"")</f>
        <v/>
      </c>
      <c r="CA53" s="1" t="str">
        <f>IF(AX53&gt;AX$150, AX53-AX$150,"")</f>
        <v/>
      </c>
      <c r="CB53" s="1" t="str">
        <f>IF(AY53&gt;AY$150, AY53-AY$150,"")</f>
        <v/>
      </c>
      <c r="CC53" s="1" t="str">
        <f>IF(AZ53&gt;AZ$150, AZ53-AZ$150,"")</f>
        <v/>
      </c>
      <c r="CD53" s="1" t="str">
        <f>IF(BA53&gt;BA$150, BA53-BA$150,"")</f>
        <v/>
      </c>
      <c r="CE53" s="1" t="str">
        <f>IF(BB53&gt;BB$150, BB53-BB$150,"")</f>
        <v/>
      </c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8"/>
    </row>
    <row r="54" spans="1:97" ht="27" x14ac:dyDescent="0.15">
      <c r="A54" s="1"/>
      <c r="B54" s="1" t="s">
        <v>141</v>
      </c>
      <c r="C54" s="1" t="s">
        <v>135</v>
      </c>
      <c r="D54" s="1" t="s">
        <v>115</v>
      </c>
      <c r="E54" s="6"/>
      <c r="F54" s="6"/>
      <c r="G54" s="6"/>
      <c r="H54" s="6">
        <v>6</v>
      </c>
      <c r="I54" s="6"/>
      <c r="J54" s="6">
        <v>6</v>
      </c>
      <c r="K54" s="6"/>
      <c r="L54" s="6"/>
      <c r="M54" s="6"/>
      <c r="N54" s="6"/>
      <c r="O54" s="6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>
        <v>8</v>
      </c>
      <c r="AU54" s="4"/>
      <c r="AV54" s="4"/>
      <c r="AW54" s="2"/>
      <c r="AX54" s="2"/>
      <c r="AY54" s="2">
        <v>8</v>
      </c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 t="shared" si="1"/>
        <v>28</v>
      </c>
      <c r="BQ54" s="1">
        <v>7</v>
      </c>
      <c r="BR54" s="17">
        <v>2</v>
      </c>
      <c r="BS54" s="17" t="s">
        <v>233</v>
      </c>
      <c r="BT54" s="1" t="str">
        <f>IF(AQ54&gt;AQ$150, AQ54-AQ$150,"")</f>
        <v/>
      </c>
      <c r="BU54" s="1" t="str">
        <f>IF(AR54&gt;AR$150, AR54-AR$150,"")</f>
        <v/>
      </c>
      <c r="BV54" s="1" t="str">
        <f>IF(AS54&gt;AS$150, AS54-AS$150,"")</f>
        <v/>
      </c>
      <c r="BW54" s="1">
        <f>IF(AT54&gt;AT$150, AT54-AT$150,"")</f>
        <v>1</v>
      </c>
      <c r="BX54" s="1" t="str">
        <f>IF(AU54&gt;AU$150, AU54-AU$150,"")</f>
        <v/>
      </c>
      <c r="BY54" s="1" t="str">
        <f>IF(AV54&gt;AV$150, AV54-AV$150,"")</f>
        <v/>
      </c>
      <c r="BZ54" s="1" t="str">
        <f>IF(AW54&gt;AW$150, AW54-AW$150,"")</f>
        <v/>
      </c>
      <c r="CA54" s="1" t="str">
        <f>IF(AX54&gt;AX$150, AX54-AX$150,"")</f>
        <v/>
      </c>
      <c r="CB54" s="1" t="str">
        <f>IF(AY54&gt;AY$150, AY54-AY$150,"")</f>
        <v/>
      </c>
      <c r="CC54" s="1" t="str">
        <f>IF(AZ54&gt;AZ$150, AZ54-AZ$150,"")</f>
        <v/>
      </c>
      <c r="CD54" s="1" t="str">
        <f>IF(BA54&gt;BA$150, BA54-BA$150,"")</f>
        <v/>
      </c>
      <c r="CE54" s="1" t="str">
        <f>IF(BB54&gt;BB$150, BB54-BB$150,"")</f>
        <v/>
      </c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8"/>
    </row>
    <row r="55" spans="1:97" ht="27" x14ac:dyDescent="0.15">
      <c r="A55" s="1"/>
      <c r="B55" s="1" t="s">
        <v>131</v>
      </c>
      <c r="C55" s="1" t="s">
        <v>113</v>
      </c>
      <c r="D55" s="1" t="s">
        <v>115</v>
      </c>
      <c r="E55" s="6"/>
      <c r="F55" s="6"/>
      <c r="G55" s="6"/>
      <c r="H55" s="6">
        <v>6</v>
      </c>
      <c r="I55" s="6"/>
      <c r="J55" s="6"/>
      <c r="K55" s="6">
        <v>6</v>
      </c>
      <c r="L55" s="6"/>
      <c r="M55" s="6"/>
      <c r="N55" s="6"/>
      <c r="O55" s="6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>
        <v>10</v>
      </c>
      <c r="AR55" s="4"/>
      <c r="AS55" s="4"/>
      <c r="AT55" s="4"/>
      <c r="AU55" s="4"/>
      <c r="AV55" s="4"/>
      <c r="AW55" s="2">
        <v>10</v>
      </c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 t="shared" si="1"/>
        <v>32</v>
      </c>
      <c r="BQ55" s="1">
        <v>7</v>
      </c>
      <c r="BR55" s="17">
        <v>2</v>
      </c>
      <c r="BS55" s="17" t="s">
        <v>268</v>
      </c>
      <c r="BT55" s="1">
        <f>IF(AQ55&gt;AQ$150, AQ55-AQ$150,"")</f>
        <v>1</v>
      </c>
      <c r="BU55" s="1" t="str">
        <f>IF(AR55&gt;AR$150, AR55-AR$150,"")</f>
        <v/>
      </c>
      <c r="BV55" s="1" t="str">
        <f>IF(AS55&gt;AS$150, AS55-AS$150,"")</f>
        <v/>
      </c>
      <c r="BW55" s="1" t="str">
        <f>IF(AT55&gt;AT$150, AT55-AT$150,"")</f>
        <v/>
      </c>
      <c r="BX55" s="1" t="str">
        <f>IF(AU55&gt;AU$150, AU55-AU$150,"")</f>
        <v/>
      </c>
      <c r="BY55" s="1" t="str">
        <f>IF(AV55&gt;AV$150, AV55-AV$150,"")</f>
        <v/>
      </c>
      <c r="BZ55" s="1" t="str">
        <f>IF(AW55&gt;AW$150, AW55-AW$150,"")</f>
        <v/>
      </c>
      <c r="CA55" s="1" t="str">
        <f>IF(AX55&gt;AX$150, AX55-AX$150,"")</f>
        <v/>
      </c>
      <c r="CB55" s="1" t="str">
        <f>IF(AY55&gt;AY$150, AY55-AY$150,"")</f>
        <v/>
      </c>
      <c r="CC55" s="1" t="str">
        <f>IF(AZ55&gt;AZ$150, AZ55-AZ$150,"")</f>
        <v/>
      </c>
      <c r="CD55" s="1" t="str">
        <f>IF(BA55&gt;BA$150, BA55-BA$150,"")</f>
        <v/>
      </c>
      <c r="CE55" s="1" t="str">
        <f>IF(BB55&gt;BB$150, BB55-BB$150,"")</f>
        <v/>
      </c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8"/>
    </row>
    <row r="56" spans="1:97" ht="27" x14ac:dyDescent="0.15">
      <c r="A56" s="1"/>
      <c r="B56" s="1" t="s">
        <v>139</v>
      </c>
      <c r="C56" s="1" t="s">
        <v>135</v>
      </c>
      <c r="D56" s="1" t="s">
        <v>115</v>
      </c>
      <c r="E56" s="6"/>
      <c r="F56" s="6">
        <v>6</v>
      </c>
      <c r="G56" s="6"/>
      <c r="H56" s="6"/>
      <c r="I56" s="6"/>
      <c r="J56" s="6"/>
      <c r="K56" s="6"/>
      <c r="L56" s="6"/>
      <c r="M56" s="6"/>
      <c r="N56" s="6"/>
      <c r="O56" s="6">
        <v>6</v>
      </c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>
        <v>10</v>
      </c>
      <c r="AU56" s="4"/>
      <c r="AV56" s="4"/>
      <c r="AW56" s="2"/>
      <c r="AX56" s="2"/>
      <c r="AY56" s="2">
        <v>10</v>
      </c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 t="shared" si="1"/>
        <v>32</v>
      </c>
      <c r="BQ56" s="1">
        <v>8</v>
      </c>
      <c r="BR56" s="17">
        <v>2</v>
      </c>
      <c r="BS56" s="17" t="s">
        <v>235</v>
      </c>
      <c r="BT56" s="1" t="str">
        <f>IF(AQ56&gt;AQ$150, AQ56-AQ$150,"")</f>
        <v/>
      </c>
      <c r="BU56" s="1" t="str">
        <f>IF(AR56&gt;AR$150, AR56-AR$150,"")</f>
        <v/>
      </c>
      <c r="BV56" s="1" t="str">
        <f>IF(AS56&gt;AS$150, AS56-AS$150,"")</f>
        <v/>
      </c>
      <c r="BW56" s="1">
        <f>IF(AT56&gt;AT$150, AT56-AT$150,"")</f>
        <v>3</v>
      </c>
      <c r="BX56" s="1" t="str">
        <f>IF(AU56&gt;AU$150, AU56-AU$150,"")</f>
        <v/>
      </c>
      <c r="BY56" s="1" t="str">
        <f>IF(AV56&gt;AV$150, AV56-AV$150,"")</f>
        <v/>
      </c>
      <c r="BZ56" s="1" t="str">
        <f>IF(AW56&gt;AW$150, AW56-AW$150,"")</f>
        <v/>
      </c>
      <c r="CA56" s="1" t="str">
        <f>IF(AX56&gt;AX$150, AX56-AX$150,"")</f>
        <v/>
      </c>
      <c r="CB56" s="1" t="str">
        <f>IF(AY56&gt;AY$150, AY56-AY$150,"")</f>
        <v/>
      </c>
      <c r="CC56" s="1" t="str">
        <f>IF(AZ56&gt;AZ$150, AZ56-AZ$150,"")</f>
        <v/>
      </c>
      <c r="CD56" s="1" t="str">
        <f>IF(BA56&gt;BA$150, BA56-BA$150,"")</f>
        <v/>
      </c>
      <c r="CE56" s="1" t="str">
        <f>IF(BB56&gt;BB$150, BB56-BB$150,"")</f>
        <v/>
      </c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8"/>
    </row>
    <row r="57" spans="1:97" ht="27" x14ac:dyDescent="0.15">
      <c r="A57" s="1"/>
      <c r="B57" s="1" t="s">
        <v>120</v>
      </c>
      <c r="C57" s="1" t="s">
        <v>117</v>
      </c>
      <c r="D57" s="1" t="s">
        <v>121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>
        <v>3</v>
      </c>
      <c r="AP57" s="1">
        <v>5</v>
      </c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 t="shared" si="1"/>
        <v>8</v>
      </c>
      <c r="BQ57" s="1">
        <v>8</v>
      </c>
      <c r="BR57" s="17">
        <v>2</v>
      </c>
      <c r="BS57" s="17" t="s">
        <v>272</v>
      </c>
      <c r="BT57" s="1" t="str">
        <f>IF(AQ57&gt;AQ$150, AQ57-AQ$150,"")</f>
        <v/>
      </c>
      <c r="BU57" s="1" t="str">
        <f>IF(AR57&gt;AR$150, AR57-AR$150,"")</f>
        <v/>
      </c>
      <c r="BV57" s="1" t="str">
        <f>IF(AS57&gt;AS$150, AS57-AS$150,"")</f>
        <v/>
      </c>
      <c r="BW57" s="1" t="str">
        <f>IF(AT57&gt;AT$150, AT57-AT$150,"")</f>
        <v/>
      </c>
      <c r="BX57" s="1" t="str">
        <f>IF(AU57&gt;AU$150, AU57-AU$150,"")</f>
        <v/>
      </c>
      <c r="BY57" s="1" t="str">
        <f>IF(AV57&gt;AV$150, AV57-AV$150,"")</f>
        <v/>
      </c>
      <c r="BZ57" s="1" t="str">
        <f>IF(AW57&gt;AW$150, AW57-AW$150,"")</f>
        <v/>
      </c>
      <c r="CA57" s="1" t="str">
        <f>IF(AX57&gt;AX$150, AX57-AX$150,"")</f>
        <v/>
      </c>
      <c r="CB57" s="1" t="str">
        <f>IF(AY57&gt;AY$150, AY57-AY$150,"")</f>
        <v/>
      </c>
      <c r="CC57" s="1" t="str">
        <f>IF(AZ57&gt;AZ$150, AZ57-AZ$150,"")</f>
        <v/>
      </c>
      <c r="CD57" s="1" t="str">
        <f>IF(BA57&gt;BA$150, BA57-BA$150,"")</f>
        <v/>
      </c>
      <c r="CE57" s="1" t="str">
        <f>IF(BB57&gt;BB$150, BB57-BB$150,"")</f>
        <v/>
      </c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8"/>
    </row>
    <row r="58" spans="1:97" ht="27" x14ac:dyDescent="0.15">
      <c r="A58" s="1"/>
      <c r="B58" s="1" t="s">
        <v>157</v>
      </c>
      <c r="C58" s="1" t="s">
        <v>145</v>
      </c>
      <c r="D58" s="1" t="s">
        <v>147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32"/>
      <c r="Q58" s="32">
        <v>5</v>
      </c>
      <c r="R58" s="32">
        <v>2</v>
      </c>
      <c r="S58" s="32"/>
      <c r="T58" s="32">
        <v>5</v>
      </c>
      <c r="U58" s="32"/>
      <c r="V58" s="32"/>
      <c r="W58" s="32"/>
      <c r="X58" s="32"/>
      <c r="Y58" s="32"/>
      <c r="Z58" s="32">
        <v>5</v>
      </c>
      <c r="AA58" s="32"/>
      <c r="AB58" s="32"/>
      <c r="AC58" s="32"/>
      <c r="AD58" s="32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 t="shared" si="1"/>
        <v>17</v>
      </c>
      <c r="BQ58" s="1">
        <v>8</v>
      </c>
      <c r="BR58" s="17">
        <v>2</v>
      </c>
      <c r="BS58" s="17" t="s">
        <v>273</v>
      </c>
      <c r="BT58" s="1" t="str">
        <f>IF(AQ58&gt;AQ$150, AQ58-AQ$150,"")</f>
        <v/>
      </c>
      <c r="BU58" s="1" t="str">
        <f>IF(AR58&gt;AR$150, AR58-AR$150,"")</f>
        <v/>
      </c>
      <c r="BV58" s="1" t="str">
        <f>IF(AS58&gt;AS$150, AS58-AS$150,"")</f>
        <v/>
      </c>
      <c r="BW58" s="1" t="str">
        <f>IF(AT58&gt;AT$150, AT58-AT$150,"")</f>
        <v/>
      </c>
      <c r="BX58" s="1" t="str">
        <f>IF(AU58&gt;AU$150, AU58-AU$150,"")</f>
        <v/>
      </c>
      <c r="BY58" s="1" t="str">
        <f>IF(AV58&gt;AV$150, AV58-AV$150,"")</f>
        <v/>
      </c>
      <c r="BZ58" s="1" t="str">
        <f>IF(AW58&gt;AW$150, AW58-AW$150,"")</f>
        <v/>
      </c>
      <c r="CA58" s="1" t="str">
        <f>IF(AX58&gt;AX$150, AX58-AX$150,"")</f>
        <v/>
      </c>
      <c r="CB58" s="1" t="str">
        <f>IF(AY58&gt;AY$150, AY58-AY$150,"")</f>
        <v/>
      </c>
      <c r="CC58" s="1" t="str">
        <f>IF(AZ58&gt;AZ$150, AZ58-AZ$150,"")</f>
        <v/>
      </c>
      <c r="CD58" s="1" t="str">
        <f>IF(BA58&gt;BA$150, BA58-BA$150,"")</f>
        <v/>
      </c>
      <c r="CE58" s="1" t="str">
        <f>IF(BB58&gt;BB$150, BB58-BB$150,"")</f>
        <v/>
      </c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8"/>
    </row>
    <row r="59" spans="1:97" ht="27" x14ac:dyDescent="0.15">
      <c r="A59" s="1"/>
      <c r="B59" s="1" t="s">
        <v>162</v>
      </c>
      <c r="C59" s="1" t="s">
        <v>145</v>
      </c>
      <c r="D59" s="1" t="s">
        <v>147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32"/>
      <c r="Q59" s="32">
        <v>5</v>
      </c>
      <c r="R59" s="32">
        <v>2</v>
      </c>
      <c r="S59" s="32"/>
      <c r="T59" s="32">
        <v>5</v>
      </c>
      <c r="U59" s="32"/>
      <c r="V59" s="32"/>
      <c r="W59" s="32"/>
      <c r="X59" s="32"/>
      <c r="Y59" s="32"/>
      <c r="Z59" s="32">
        <v>5</v>
      </c>
      <c r="AA59" s="32"/>
      <c r="AB59" s="32"/>
      <c r="AC59" s="32"/>
      <c r="AD59" s="32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 t="shared" si="1"/>
        <v>17</v>
      </c>
      <c r="BQ59" s="1">
        <v>8</v>
      </c>
      <c r="BR59" s="17">
        <v>2</v>
      </c>
      <c r="BS59" s="17" t="s">
        <v>273</v>
      </c>
      <c r="BT59" s="1" t="str">
        <f>IF(AQ59&gt;AQ$150, AQ59-AQ$150,"")</f>
        <v/>
      </c>
      <c r="BU59" s="1" t="str">
        <f>IF(AR59&gt;AR$150, AR59-AR$150,"")</f>
        <v/>
      </c>
      <c r="BV59" s="1" t="str">
        <f>IF(AS59&gt;AS$150, AS59-AS$150,"")</f>
        <v/>
      </c>
      <c r="BW59" s="1" t="str">
        <f>IF(AT59&gt;AT$150, AT59-AT$150,"")</f>
        <v/>
      </c>
      <c r="BX59" s="1" t="str">
        <f>IF(AU59&gt;AU$150, AU59-AU$150,"")</f>
        <v/>
      </c>
      <c r="BY59" s="1" t="str">
        <f>IF(AV59&gt;AV$150, AV59-AV$150,"")</f>
        <v/>
      </c>
      <c r="BZ59" s="1" t="str">
        <f>IF(AW59&gt;AW$150, AW59-AW$150,"")</f>
        <v/>
      </c>
      <c r="CA59" s="1" t="str">
        <f>IF(AX59&gt;AX$150, AX59-AX$150,"")</f>
        <v/>
      </c>
      <c r="CB59" s="1" t="str">
        <f>IF(AY59&gt;AY$150, AY59-AY$150,"")</f>
        <v/>
      </c>
      <c r="CC59" s="1" t="str">
        <f>IF(AZ59&gt;AZ$150, AZ59-AZ$150,"")</f>
        <v/>
      </c>
      <c r="CD59" s="1" t="str">
        <f>IF(BA59&gt;BA$150, BA59-BA$150,"")</f>
        <v/>
      </c>
      <c r="CE59" s="1" t="str">
        <f>IF(BB59&gt;BB$150, BB59-BB$150,"")</f>
        <v/>
      </c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8"/>
    </row>
    <row r="60" spans="1:97" ht="27" x14ac:dyDescent="0.15">
      <c r="A60" s="1"/>
      <c r="B60" s="1" t="s">
        <v>172</v>
      </c>
      <c r="C60" s="1" t="s">
        <v>169</v>
      </c>
      <c r="D60" s="1" t="s">
        <v>147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32"/>
      <c r="Q60" s="32">
        <v>5</v>
      </c>
      <c r="R60" s="32">
        <v>2</v>
      </c>
      <c r="S60" s="32"/>
      <c r="T60" s="32">
        <v>5</v>
      </c>
      <c r="U60" s="32"/>
      <c r="V60" s="32"/>
      <c r="W60" s="32"/>
      <c r="X60" s="32"/>
      <c r="Y60" s="32"/>
      <c r="Z60" s="32">
        <v>5</v>
      </c>
      <c r="AA60" s="32"/>
      <c r="AB60" s="32"/>
      <c r="AC60" s="32"/>
      <c r="AD60" s="32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 t="shared" si="1"/>
        <v>17</v>
      </c>
      <c r="BQ60" s="1">
        <v>8</v>
      </c>
      <c r="BR60" s="17">
        <v>2</v>
      </c>
      <c r="BS60" s="17" t="s">
        <v>273</v>
      </c>
      <c r="BT60" s="1" t="str">
        <f>IF(AQ60&gt;AQ$150, AQ60-AQ$150,"")</f>
        <v/>
      </c>
      <c r="BU60" s="1" t="str">
        <f>IF(AR60&gt;AR$150, AR60-AR$150,"")</f>
        <v/>
      </c>
      <c r="BV60" s="1" t="str">
        <f>IF(AS60&gt;AS$150, AS60-AS$150,"")</f>
        <v/>
      </c>
      <c r="BW60" s="1" t="str">
        <f>IF(AT60&gt;AT$150, AT60-AT$150,"")</f>
        <v/>
      </c>
      <c r="BX60" s="1" t="str">
        <f>IF(AU60&gt;AU$150, AU60-AU$150,"")</f>
        <v/>
      </c>
      <c r="BY60" s="1" t="str">
        <f>IF(AV60&gt;AV$150, AV60-AV$150,"")</f>
        <v/>
      </c>
      <c r="BZ60" s="1" t="str">
        <f>IF(AW60&gt;AW$150, AW60-AW$150,"")</f>
        <v/>
      </c>
      <c r="CA60" s="1" t="str">
        <f>IF(AX60&gt;AX$150, AX60-AX$150,"")</f>
        <v/>
      </c>
      <c r="CB60" s="1" t="str">
        <f>IF(AY60&gt;AY$150, AY60-AY$150,"")</f>
        <v/>
      </c>
      <c r="CC60" s="1" t="str">
        <f>IF(AZ60&gt;AZ$150, AZ60-AZ$150,"")</f>
        <v/>
      </c>
      <c r="CD60" s="1" t="str">
        <f>IF(BA60&gt;BA$150, BA60-BA$150,"")</f>
        <v/>
      </c>
      <c r="CE60" s="1" t="str">
        <f>IF(BB60&gt;BB$150, BB60-BB$150,"")</f>
        <v/>
      </c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8"/>
    </row>
    <row r="61" spans="1:97" ht="27" x14ac:dyDescent="0.15">
      <c r="A61" s="1"/>
      <c r="B61" s="1" t="s">
        <v>174</v>
      </c>
      <c r="C61" s="1" t="s">
        <v>175</v>
      </c>
      <c r="D61" s="1" t="s">
        <v>147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32"/>
      <c r="Q61" s="32">
        <v>5</v>
      </c>
      <c r="R61" s="32"/>
      <c r="S61" s="32"/>
      <c r="T61" s="32">
        <v>5</v>
      </c>
      <c r="U61" s="32"/>
      <c r="V61" s="32"/>
      <c r="W61" s="32"/>
      <c r="X61" s="32">
        <v>2</v>
      </c>
      <c r="Y61" s="32"/>
      <c r="Z61" s="32">
        <v>5</v>
      </c>
      <c r="AA61" s="32"/>
      <c r="AB61" s="32"/>
      <c r="AC61" s="32"/>
      <c r="AD61" s="32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 t="shared" si="1"/>
        <v>17</v>
      </c>
      <c r="BQ61" s="1">
        <v>8</v>
      </c>
      <c r="BR61" s="17">
        <v>2</v>
      </c>
      <c r="BS61" s="17" t="s">
        <v>274</v>
      </c>
      <c r="BT61" s="1" t="str">
        <f>IF(AQ61&gt;AQ$150, AQ61-AQ$150,"")</f>
        <v/>
      </c>
      <c r="BU61" s="1" t="str">
        <f>IF(AR61&gt;AR$150, AR61-AR$150,"")</f>
        <v/>
      </c>
      <c r="BV61" s="1" t="str">
        <f>IF(AS61&gt;AS$150, AS61-AS$150,"")</f>
        <v/>
      </c>
      <c r="BW61" s="1" t="str">
        <f>IF(AT61&gt;AT$150, AT61-AT$150,"")</f>
        <v/>
      </c>
      <c r="BX61" s="1" t="str">
        <f>IF(AU61&gt;AU$150, AU61-AU$150,"")</f>
        <v/>
      </c>
      <c r="BY61" s="1" t="str">
        <f>IF(AV61&gt;AV$150, AV61-AV$150,"")</f>
        <v/>
      </c>
      <c r="BZ61" s="1" t="str">
        <f>IF(AW61&gt;AW$150, AW61-AW$150,"")</f>
        <v/>
      </c>
      <c r="CA61" s="1" t="str">
        <f>IF(AX61&gt;AX$150, AX61-AX$150,"")</f>
        <v/>
      </c>
      <c r="CB61" s="1" t="str">
        <f>IF(AY61&gt;AY$150, AY61-AY$150,"")</f>
        <v/>
      </c>
      <c r="CC61" s="1" t="str">
        <f>IF(AZ61&gt;AZ$150, AZ61-AZ$150,"")</f>
        <v/>
      </c>
      <c r="CD61" s="1" t="str">
        <f>IF(BA61&gt;BA$150, BA61-BA$150,"")</f>
        <v/>
      </c>
      <c r="CE61" s="1" t="str">
        <f>IF(BB61&gt;BB$150, BB61-BB$150,"")</f>
        <v/>
      </c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8"/>
    </row>
    <row r="62" spans="1:97" ht="27" x14ac:dyDescent="0.15">
      <c r="A62" s="1">
        <v>1</v>
      </c>
      <c r="B62" s="1" t="s">
        <v>0</v>
      </c>
      <c r="C62" s="1" t="s">
        <v>2</v>
      </c>
      <c r="D62" s="1" t="s">
        <v>1</v>
      </c>
      <c r="E62" s="6">
        <v>10</v>
      </c>
      <c r="F62" s="6">
        <v>10</v>
      </c>
      <c r="G62" s="6"/>
      <c r="H62" s="6"/>
      <c r="I62" s="6"/>
      <c r="J62" s="6"/>
      <c r="K62" s="6"/>
      <c r="L62" s="6"/>
      <c r="M62" s="6"/>
      <c r="N62" s="6"/>
      <c r="O62" s="6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>
        <v>10</v>
      </c>
      <c r="AS62" s="4"/>
      <c r="AT62" s="4"/>
      <c r="AU62" s="4"/>
      <c r="AV62" s="4"/>
      <c r="AW62" s="2">
        <v>15</v>
      </c>
      <c r="AX62" s="2">
        <v>15</v>
      </c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 t="shared" si="1"/>
        <v>60</v>
      </c>
      <c r="BQ62" s="1">
        <v>8</v>
      </c>
      <c r="BR62" s="17">
        <v>2</v>
      </c>
      <c r="BS62" s="17" t="s">
        <v>275</v>
      </c>
      <c r="BT62" s="1" t="str">
        <f>IF(AQ62&gt;AQ$150, AQ62-AQ$150,"")</f>
        <v/>
      </c>
      <c r="BU62" s="1">
        <f>IF(AR62&gt;AR$150, AR62-AR$150,"")</f>
        <v>4</v>
      </c>
      <c r="BV62" s="1" t="str">
        <f>IF(AS62&gt;AS$150, AS62-AS$150,"")</f>
        <v/>
      </c>
      <c r="BW62" s="1" t="str">
        <f>IF(AT62&gt;AT$150, AT62-AT$150,"")</f>
        <v/>
      </c>
      <c r="BX62" s="1" t="str">
        <f>IF(AU62&gt;AU$150, AU62-AU$150,"")</f>
        <v/>
      </c>
      <c r="BY62" s="1" t="str">
        <f>IF(AV62&gt;AV$150, AV62-AV$150,"")</f>
        <v/>
      </c>
      <c r="BZ62" s="1" t="str">
        <f>IF(AW62&gt;AW$150, AW62-AW$150,"")</f>
        <v/>
      </c>
      <c r="CA62" s="1" t="str">
        <f>IF(AX62&gt;AX$150, AX62-AX$150,"")</f>
        <v/>
      </c>
      <c r="CB62" s="1" t="str">
        <f>IF(AY62&gt;AY$150, AY62-AY$150,"")</f>
        <v/>
      </c>
      <c r="CC62" s="1" t="str">
        <f>IF(AZ62&gt;AZ$150, AZ62-AZ$150,"")</f>
        <v/>
      </c>
      <c r="CD62" s="1" t="str">
        <f>IF(BA62&gt;BA$150, BA62-BA$150,"")</f>
        <v/>
      </c>
      <c r="CE62" s="1" t="str">
        <f>IF(BB62&gt;BB$150, BB62-BB$150,"")</f>
        <v/>
      </c>
      <c r="CF62" s="1">
        <f t="shared" ref="CF62:CF68" si="13">COUNTIF(BT62:CE62, "&gt;0")</f>
        <v>1</v>
      </c>
      <c r="CG62" s="1" t="str">
        <f t="shared" ref="CG62:CR68" si="14">IF($CF62=1,BT62,"")</f>
        <v/>
      </c>
      <c r="CH62" s="1">
        <f t="shared" si="14"/>
        <v>4</v>
      </c>
      <c r="CI62" s="1" t="str">
        <f t="shared" si="14"/>
        <v/>
      </c>
      <c r="CJ62" s="1" t="str">
        <f t="shared" si="14"/>
        <v/>
      </c>
      <c r="CK62" s="1" t="str">
        <f t="shared" si="14"/>
        <v/>
      </c>
      <c r="CL62" s="1" t="str">
        <f t="shared" si="14"/>
        <v/>
      </c>
      <c r="CM62" s="1" t="str">
        <f t="shared" si="14"/>
        <v/>
      </c>
      <c r="CN62" s="1" t="str">
        <f t="shared" si="14"/>
        <v/>
      </c>
      <c r="CO62" s="1" t="str">
        <f t="shared" si="14"/>
        <v/>
      </c>
      <c r="CP62" s="1" t="str">
        <f t="shared" si="14"/>
        <v/>
      </c>
      <c r="CQ62" s="1" t="str">
        <f t="shared" si="14"/>
        <v/>
      </c>
      <c r="CR62" s="1" t="str">
        <f t="shared" si="14"/>
        <v/>
      </c>
      <c r="CS62" s="18">
        <f t="shared" ref="CS62:CS68" si="15">SUM(AE62:BO62)</f>
        <v>40</v>
      </c>
    </row>
    <row r="63" spans="1:97" ht="27" x14ac:dyDescent="0.15">
      <c r="A63" s="1">
        <v>69</v>
      </c>
      <c r="B63" s="3" t="s">
        <v>68</v>
      </c>
      <c r="C63" s="1" t="s">
        <v>61</v>
      </c>
      <c r="D63" s="1" t="s">
        <v>13</v>
      </c>
      <c r="E63" s="6"/>
      <c r="F63" s="6"/>
      <c r="G63" s="6"/>
      <c r="H63" s="6">
        <v>6</v>
      </c>
      <c r="I63" s="6">
        <v>6</v>
      </c>
      <c r="J63" s="6"/>
      <c r="K63" s="6"/>
      <c r="L63" s="6"/>
      <c r="M63" s="6"/>
      <c r="N63" s="6"/>
      <c r="O63" s="6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>
        <v>10</v>
      </c>
      <c r="AW63" s="2"/>
      <c r="AX63" s="2">
        <v>10</v>
      </c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 t="shared" si="1"/>
        <v>32</v>
      </c>
      <c r="BQ63" s="1">
        <v>9</v>
      </c>
      <c r="BR63" s="17">
        <v>2</v>
      </c>
      <c r="BS63" s="17" t="s">
        <v>230</v>
      </c>
      <c r="BT63" s="1" t="str">
        <f>IF(AQ63&gt;AQ$150, AQ63-AQ$150,"")</f>
        <v/>
      </c>
      <c r="BU63" s="1" t="str">
        <f>IF(AR63&gt;AR$150, AR63-AR$150,"")</f>
        <v/>
      </c>
      <c r="BV63" s="1" t="str">
        <f>IF(AS63&gt;AS$150, AS63-AS$150,"")</f>
        <v/>
      </c>
      <c r="BW63" s="1" t="str">
        <f>IF(AT63&gt;AT$150, AT63-AT$150,"")</f>
        <v/>
      </c>
      <c r="BX63" s="1" t="str">
        <f>IF(AU63&gt;AU$150, AU63-AU$150,"")</f>
        <v/>
      </c>
      <c r="BY63" s="1">
        <f>IF(AV63&gt;AV$150, AV63-AV$150,"")</f>
        <v>3</v>
      </c>
      <c r="BZ63" s="1" t="str">
        <f>IF(AW63&gt;AW$150, AW63-AW$150,"")</f>
        <v/>
      </c>
      <c r="CA63" s="1" t="str">
        <f>IF(AX63&gt;AX$150, AX63-AX$150,"")</f>
        <v/>
      </c>
      <c r="CB63" s="1" t="str">
        <f>IF(AY63&gt;AY$150, AY63-AY$150,"")</f>
        <v/>
      </c>
      <c r="CC63" s="1" t="str">
        <f>IF(AZ63&gt;AZ$150, AZ63-AZ$150,"")</f>
        <v/>
      </c>
      <c r="CD63" s="1" t="str">
        <f>IF(BA63&gt;BA$150, BA63-BA$150,"")</f>
        <v/>
      </c>
      <c r="CE63" s="1" t="str">
        <f>IF(BB63&gt;BB$150, BB63-BB$150,"")</f>
        <v/>
      </c>
      <c r="CF63" s="1">
        <f t="shared" si="13"/>
        <v>1</v>
      </c>
      <c r="CG63" s="1" t="str">
        <f t="shared" si="14"/>
        <v/>
      </c>
      <c r="CH63" s="1" t="str">
        <f t="shared" si="14"/>
        <v/>
      </c>
      <c r="CI63" s="1" t="str">
        <f t="shared" si="14"/>
        <v/>
      </c>
      <c r="CJ63" s="1" t="str">
        <f t="shared" si="14"/>
        <v/>
      </c>
      <c r="CK63" s="1" t="str">
        <f t="shared" si="14"/>
        <v/>
      </c>
      <c r="CL63" s="1">
        <f t="shared" si="14"/>
        <v>3</v>
      </c>
      <c r="CM63" s="1" t="str">
        <f t="shared" si="14"/>
        <v/>
      </c>
      <c r="CN63" s="1" t="str">
        <f t="shared" si="14"/>
        <v/>
      </c>
      <c r="CO63" s="1" t="str">
        <f t="shared" si="14"/>
        <v/>
      </c>
      <c r="CP63" s="1" t="str">
        <f t="shared" si="14"/>
        <v/>
      </c>
      <c r="CQ63" s="1" t="str">
        <f t="shared" si="14"/>
        <v/>
      </c>
      <c r="CR63" s="1" t="str">
        <f t="shared" si="14"/>
        <v/>
      </c>
      <c r="CS63" s="18">
        <f t="shared" si="15"/>
        <v>20</v>
      </c>
    </row>
    <row r="64" spans="1:97" ht="27" x14ac:dyDescent="0.15">
      <c r="A64" s="1">
        <v>8</v>
      </c>
      <c r="B64" s="1" t="s">
        <v>210</v>
      </c>
      <c r="C64" s="1" t="s">
        <v>2</v>
      </c>
      <c r="D64" s="1" t="s">
        <v>26</v>
      </c>
      <c r="E64" s="6">
        <v>6</v>
      </c>
      <c r="F64" s="6"/>
      <c r="G64" s="6"/>
      <c r="H64" s="6">
        <v>6</v>
      </c>
      <c r="I64" s="6"/>
      <c r="J64" s="6"/>
      <c r="K64" s="6"/>
      <c r="L64" s="6"/>
      <c r="M64" s="6"/>
      <c r="N64" s="6"/>
      <c r="O64" s="6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>
        <v>10</v>
      </c>
      <c r="AS64" s="4"/>
      <c r="AT64" s="4"/>
      <c r="AU64" s="4"/>
      <c r="AV64" s="4"/>
      <c r="AW64" s="2"/>
      <c r="AX64" s="2"/>
      <c r="AY64" s="2"/>
      <c r="AZ64" s="2"/>
      <c r="BA64" s="2"/>
      <c r="BB64" s="2">
        <v>10</v>
      </c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 t="shared" ref="BP64:BP127" si="16">SUM(E64:BO64)</f>
        <v>32</v>
      </c>
      <c r="BQ64" s="1">
        <v>10</v>
      </c>
      <c r="BR64" s="17">
        <v>2</v>
      </c>
      <c r="BS64" s="17" t="s">
        <v>231</v>
      </c>
      <c r="BT64" s="1" t="str">
        <f>IF(AQ64&gt;AQ$150, AQ64-AQ$150,"")</f>
        <v/>
      </c>
      <c r="BU64" s="1">
        <f>IF(AR64&gt;AR$150, AR64-AR$150,"")</f>
        <v>4</v>
      </c>
      <c r="BV64" s="1" t="str">
        <f>IF(AS64&gt;AS$150, AS64-AS$150,"")</f>
        <v/>
      </c>
      <c r="BW64" s="1" t="str">
        <f>IF(AT64&gt;AT$150, AT64-AT$150,"")</f>
        <v/>
      </c>
      <c r="BX64" s="1" t="str">
        <f>IF(AU64&gt;AU$150, AU64-AU$150,"")</f>
        <v/>
      </c>
      <c r="BY64" s="1" t="str">
        <f>IF(AV64&gt;AV$150, AV64-AV$150,"")</f>
        <v/>
      </c>
      <c r="BZ64" s="1" t="str">
        <f>IF(AW64&gt;AW$150, AW64-AW$150,"")</f>
        <v/>
      </c>
      <c r="CA64" s="1" t="str">
        <f>IF(AX64&gt;AX$150, AX64-AX$150,"")</f>
        <v/>
      </c>
      <c r="CB64" s="1" t="str">
        <f>IF(AY64&gt;AY$150, AY64-AY$150,"")</f>
        <v/>
      </c>
      <c r="CC64" s="1" t="str">
        <f>IF(AZ64&gt;AZ$150, AZ64-AZ$150,"")</f>
        <v/>
      </c>
      <c r="CD64" s="1" t="str">
        <f>IF(BA64&gt;BA$150, BA64-BA$150,"")</f>
        <v/>
      </c>
      <c r="CE64" s="1" t="str">
        <f>IF(BB64&gt;BB$150, BB64-BB$150,"")</f>
        <v/>
      </c>
      <c r="CF64" s="1">
        <f t="shared" si="13"/>
        <v>1</v>
      </c>
      <c r="CG64" s="1" t="str">
        <f t="shared" si="14"/>
        <v/>
      </c>
      <c r="CH64" s="1">
        <f t="shared" si="14"/>
        <v>4</v>
      </c>
      <c r="CI64" s="1" t="str">
        <f t="shared" si="14"/>
        <v/>
      </c>
      <c r="CJ64" s="1" t="str">
        <f t="shared" si="14"/>
        <v/>
      </c>
      <c r="CK64" s="1" t="str">
        <f t="shared" si="14"/>
        <v/>
      </c>
      <c r="CL64" s="1" t="str">
        <f t="shared" si="14"/>
        <v/>
      </c>
      <c r="CM64" s="1" t="str">
        <f t="shared" si="14"/>
        <v/>
      </c>
      <c r="CN64" s="1" t="str">
        <f t="shared" si="14"/>
        <v/>
      </c>
      <c r="CO64" s="1" t="str">
        <f t="shared" si="14"/>
        <v/>
      </c>
      <c r="CP64" s="1" t="str">
        <f t="shared" si="14"/>
        <v/>
      </c>
      <c r="CQ64" s="1" t="str">
        <f t="shared" si="14"/>
        <v/>
      </c>
      <c r="CR64" s="1" t="str">
        <f t="shared" si="14"/>
        <v/>
      </c>
      <c r="CS64" s="18">
        <f t="shared" si="15"/>
        <v>20</v>
      </c>
    </row>
    <row r="65" spans="1:97" ht="27" x14ac:dyDescent="0.15">
      <c r="A65" s="1">
        <v>101</v>
      </c>
      <c r="B65" s="3" t="s">
        <v>108</v>
      </c>
      <c r="C65" s="3" t="s">
        <v>75</v>
      </c>
      <c r="D65" s="1" t="s">
        <v>13</v>
      </c>
      <c r="E65" s="6"/>
      <c r="F65" s="6"/>
      <c r="G65" s="6"/>
      <c r="H65" s="6">
        <v>6</v>
      </c>
      <c r="I65" s="6">
        <v>6</v>
      </c>
      <c r="J65" s="6"/>
      <c r="K65" s="6"/>
      <c r="L65" s="6"/>
      <c r="M65" s="6"/>
      <c r="N65" s="6"/>
      <c r="O65" s="6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>
        <v>8</v>
      </c>
      <c r="AV65" s="4"/>
      <c r="AW65" s="2">
        <v>8</v>
      </c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 t="shared" si="16"/>
        <v>28</v>
      </c>
      <c r="BQ65" s="1">
        <v>10</v>
      </c>
      <c r="BR65" s="17">
        <v>2</v>
      </c>
      <c r="BS65" s="17" t="s">
        <v>271</v>
      </c>
      <c r="BT65" s="1" t="str">
        <f>IF(AQ65&gt;AQ$150, AQ65-AQ$150,"")</f>
        <v/>
      </c>
      <c r="BU65" s="1" t="str">
        <f>IF(AR65&gt;AR$150, AR65-AR$150,"")</f>
        <v/>
      </c>
      <c r="BV65" s="1" t="str">
        <f>IF(AS65&gt;AS$150, AS65-AS$150,"")</f>
        <v/>
      </c>
      <c r="BW65" s="1" t="str">
        <f>IF(AT65&gt;AT$150, AT65-AT$150,"")</f>
        <v/>
      </c>
      <c r="BX65" s="1">
        <f>IF(AU65&gt;AU$150, AU65-AU$150,"")</f>
        <v>4</v>
      </c>
      <c r="BY65" s="1" t="str">
        <f>IF(AV65&gt;AV$150, AV65-AV$150,"")</f>
        <v/>
      </c>
      <c r="BZ65" s="1" t="str">
        <f>IF(AW65&gt;AW$150, AW65-AW$150,"")</f>
        <v/>
      </c>
      <c r="CA65" s="1" t="str">
        <f>IF(AX65&gt;AX$150, AX65-AX$150,"")</f>
        <v/>
      </c>
      <c r="CB65" s="1" t="str">
        <f>IF(AY65&gt;AY$150, AY65-AY$150,"")</f>
        <v/>
      </c>
      <c r="CC65" s="1" t="str">
        <f>IF(AZ65&gt;AZ$150, AZ65-AZ$150,"")</f>
        <v/>
      </c>
      <c r="CD65" s="1" t="str">
        <f>IF(BA65&gt;BA$150, BA65-BA$150,"")</f>
        <v/>
      </c>
      <c r="CE65" s="1" t="str">
        <f>IF(BB65&gt;BB$150, BB65-BB$150,"")</f>
        <v/>
      </c>
      <c r="CF65" s="1">
        <f t="shared" si="13"/>
        <v>1</v>
      </c>
      <c r="CG65" s="1" t="str">
        <f t="shared" si="14"/>
        <v/>
      </c>
      <c r="CH65" s="1" t="str">
        <f t="shared" si="14"/>
        <v/>
      </c>
      <c r="CI65" s="1" t="str">
        <f t="shared" si="14"/>
        <v/>
      </c>
      <c r="CJ65" s="1" t="str">
        <f t="shared" si="14"/>
        <v/>
      </c>
      <c r="CK65" s="1">
        <f t="shared" si="14"/>
        <v>4</v>
      </c>
      <c r="CL65" s="1" t="str">
        <f t="shared" si="14"/>
        <v/>
      </c>
      <c r="CM65" s="1" t="str">
        <f t="shared" si="14"/>
        <v/>
      </c>
      <c r="CN65" s="1" t="str">
        <f t="shared" si="14"/>
        <v/>
      </c>
      <c r="CO65" s="1" t="str">
        <f t="shared" si="14"/>
        <v/>
      </c>
      <c r="CP65" s="1" t="str">
        <f t="shared" si="14"/>
        <v/>
      </c>
      <c r="CQ65" s="1" t="str">
        <f t="shared" si="14"/>
        <v/>
      </c>
      <c r="CR65" s="1" t="str">
        <f t="shared" si="14"/>
        <v/>
      </c>
      <c r="CS65" s="18">
        <f t="shared" si="15"/>
        <v>16</v>
      </c>
    </row>
    <row r="66" spans="1:97" ht="27" x14ac:dyDescent="0.15">
      <c r="A66" s="1">
        <v>27</v>
      </c>
      <c r="B66" s="1" t="s">
        <v>80</v>
      </c>
      <c r="C66" s="1" t="s">
        <v>32</v>
      </c>
      <c r="D66" s="1" t="s">
        <v>24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1"/>
      <c r="AF66" s="1"/>
      <c r="AG66" s="1"/>
      <c r="AH66" s="1">
        <v>5</v>
      </c>
      <c r="AI66" s="1">
        <v>5</v>
      </c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 t="shared" si="16"/>
        <v>10</v>
      </c>
      <c r="BQ66" s="1">
        <v>10</v>
      </c>
      <c r="BR66" s="17">
        <v>2</v>
      </c>
      <c r="BS66" s="17" t="s">
        <v>189</v>
      </c>
      <c r="BT66" s="1" t="str">
        <f t="shared" ref="BT66:BT129" si="17">IF(AQ66&gt;AQ$150, AQ66-AQ$150,"")</f>
        <v/>
      </c>
      <c r="BU66" s="1" t="str">
        <f t="shared" ref="BU66:BU129" si="18">IF(AR66&gt;AR$150, AR66-AR$150,"")</f>
        <v/>
      </c>
      <c r="BV66" s="1" t="str">
        <f t="shared" ref="BV66:BV129" si="19">IF(AS66&gt;AS$150, AS66-AS$150,"")</f>
        <v/>
      </c>
      <c r="BW66" s="1" t="str">
        <f t="shared" ref="BW66:BW129" si="20">IF(AT66&gt;AT$150, AT66-AT$150,"")</f>
        <v/>
      </c>
      <c r="BX66" s="1" t="str">
        <f t="shared" ref="BX66:BX129" si="21">IF(AU66&gt;AU$150, AU66-AU$150,"")</f>
        <v/>
      </c>
      <c r="BY66" s="1" t="str">
        <f t="shared" ref="BY66:BY129" si="22">IF(AV66&gt;AV$150, AV66-AV$150,"")</f>
        <v/>
      </c>
      <c r="BZ66" s="1" t="str">
        <f t="shared" ref="BZ66:BZ129" si="23">IF(AW66&gt;AW$150, AW66-AW$150,"")</f>
        <v/>
      </c>
      <c r="CA66" s="1" t="str">
        <f t="shared" ref="CA66:CA129" si="24">IF(AX66&gt;AX$150, AX66-AX$150,"")</f>
        <v/>
      </c>
      <c r="CB66" s="1" t="str">
        <f t="shared" ref="CB66:CB129" si="25">IF(AY66&gt;AY$150, AY66-AY$150,"")</f>
        <v/>
      </c>
      <c r="CC66" s="1" t="str">
        <f t="shared" ref="CC66:CC129" si="26">IF(AZ66&gt;AZ$150, AZ66-AZ$150,"")</f>
        <v/>
      </c>
      <c r="CD66" s="1" t="str">
        <f t="shared" ref="CD66:CD129" si="27">IF(BA66&gt;BA$150, BA66-BA$150,"")</f>
        <v/>
      </c>
      <c r="CE66" s="1" t="str">
        <f t="shared" ref="CE66:CE129" si="28">IF(BB66&gt;BB$150, BB66-BB$150,"")</f>
        <v/>
      </c>
      <c r="CF66" s="1">
        <f t="shared" si="13"/>
        <v>0</v>
      </c>
      <c r="CG66" s="1" t="str">
        <f t="shared" si="14"/>
        <v/>
      </c>
      <c r="CH66" s="1" t="str">
        <f t="shared" si="14"/>
        <v/>
      </c>
      <c r="CI66" s="1" t="str">
        <f t="shared" si="14"/>
        <v/>
      </c>
      <c r="CJ66" s="1" t="str">
        <f t="shared" si="14"/>
        <v/>
      </c>
      <c r="CK66" s="1" t="str">
        <f t="shared" si="14"/>
        <v/>
      </c>
      <c r="CL66" s="1" t="str">
        <f t="shared" si="14"/>
        <v/>
      </c>
      <c r="CM66" s="1" t="str">
        <f t="shared" si="14"/>
        <v/>
      </c>
      <c r="CN66" s="1" t="str">
        <f t="shared" si="14"/>
        <v/>
      </c>
      <c r="CO66" s="1" t="str">
        <f t="shared" si="14"/>
        <v/>
      </c>
      <c r="CP66" s="1" t="str">
        <f t="shared" si="14"/>
        <v/>
      </c>
      <c r="CQ66" s="1" t="str">
        <f t="shared" si="14"/>
        <v/>
      </c>
      <c r="CR66" s="1" t="str">
        <f t="shared" si="14"/>
        <v/>
      </c>
      <c r="CS66" s="18">
        <f t="shared" si="15"/>
        <v>10</v>
      </c>
    </row>
    <row r="67" spans="1:97" ht="27" x14ac:dyDescent="0.15">
      <c r="A67" s="1">
        <v>88</v>
      </c>
      <c r="B67" s="3" t="s">
        <v>85</v>
      </c>
      <c r="C67" s="3" t="s">
        <v>86</v>
      </c>
      <c r="D67" s="1" t="s">
        <v>24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1"/>
      <c r="AF67" s="1"/>
      <c r="AG67" s="1"/>
      <c r="AH67" s="1">
        <v>5</v>
      </c>
      <c r="AI67" s="1">
        <v>5</v>
      </c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 t="shared" si="16"/>
        <v>10</v>
      </c>
      <c r="BQ67" s="1">
        <v>10</v>
      </c>
      <c r="BR67" s="17">
        <v>2</v>
      </c>
      <c r="BS67" s="17" t="s">
        <v>277</v>
      </c>
      <c r="BT67" s="1" t="str">
        <f t="shared" si="17"/>
        <v/>
      </c>
      <c r="BU67" s="1" t="str">
        <f t="shared" si="18"/>
        <v/>
      </c>
      <c r="BV67" s="1" t="str">
        <f t="shared" si="19"/>
        <v/>
      </c>
      <c r="BW67" s="1" t="str">
        <f t="shared" si="20"/>
        <v/>
      </c>
      <c r="BX67" s="1" t="str">
        <f t="shared" si="21"/>
        <v/>
      </c>
      <c r="BY67" s="1" t="str">
        <f t="shared" si="22"/>
        <v/>
      </c>
      <c r="BZ67" s="1" t="str">
        <f t="shared" si="23"/>
        <v/>
      </c>
      <c r="CA67" s="1" t="str">
        <f t="shared" si="24"/>
        <v/>
      </c>
      <c r="CB67" s="1" t="str">
        <f t="shared" si="25"/>
        <v/>
      </c>
      <c r="CC67" s="1" t="str">
        <f t="shared" si="26"/>
        <v/>
      </c>
      <c r="CD67" s="1" t="str">
        <f t="shared" si="27"/>
        <v/>
      </c>
      <c r="CE67" s="1" t="str">
        <f t="shared" si="28"/>
        <v/>
      </c>
      <c r="CF67" s="1">
        <f t="shared" si="13"/>
        <v>0</v>
      </c>
      <c r="CG67" s="1" t="str">
        <f t="shared" si="14"/>
        <v/>
      </c>
      <c r="CH67" s="1" t="str">
        <f t="shared" si="14"/>
        <v/>
      </c>
      <c r="CI67" s="1" t="str">
        <f t="shared" si="14"/>
        <v/>
      </c>
      <c r="CJ67" s="1" t="str">
        <f t="shared" si="14"/>
        <v/>
      </c>
      <c r="CK67" s="1" t="str">
        <f t="shared" si="14"/>
        <v/>
      </c>
      <c r="CL67" s="1" t="str">
        <f t="shared" si="14"/>
        <v/>
      </c>
      <c r="CM67" s="1" t="str">
        <f t="shared" si="14"/>
        <v/>
      </c>
      <c r="CN67" s="1" t="str">
        <f t="shared" si="14"/>
        <v/>
      </c>
      <c r="CO67" s="1" t="str">
        <f t="shared" si="14"/>
        <v/>
      </c>
      <c r="CP67" s="1" t="str">
        <f t="shared" si="14"/>
        <v/>
      </c>
      <c r="CQ67" s="1" t="str">
        <f t="shared" si="14"/>
        <v/>
      </c>
      <c r="CR67" s="1" t="str">
        <f t="shared" si="14"/>
        <v/>
      </c>
      <c r="CS67" s="18">
        <f t="shared" si="15"/>
        <v>10</v>
      </c>
    </row>
    <row r="68" spans="1:97" ht="27" x14ac:dyDescent="0.15">
      <c r="A68" s="1">
        <v>82</v>
      </c>
      <c r="B68" s="3" t="s">
        <v>73</v>
      </c>
      <c r="C68" s="3" t="s">
        <v>69</v>
      </c>
      <c r="D68" s="1" t="s">
        <v>13</v>
      </c>
      <c r="E68" s="6"/>
      <c r="F68" s="6"/>
      <c r="G68" s="6"/>
      <c r="H68" s="6"/>
      <c r="I68" s="6"/>
      <c r="J68" s="6"/>
      <c r="K68" s="6"/>
      <c r="L68" s="6">
        <v>6</v>
      </c>
      <c r="M68" s="6"/>
      <c r="N68" s="6">
        <v>6</v>
      </c>
      <c r="O68" s="6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>
        <v>10</v>
      </c>
      <c r="AU68" s="4"/>
      <c r="AV68" s="4"/>
      <c r="AW68" s="2"/>
      <c r="AX68" s="2"/>
      <c r="AY68" s="2"/>
      <c r="AZ68" s="2">
        <v>10</v>
      </c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 t="shared" si="16"/>
        <v>32</v>
      </c>
      <c r="BQ68" s="1">
        <v>13</v>
      </c>
      <c r="BR68" s="17">
        <v>2</v>
      </c>
      <c r="BS68" s="17" t="s">
        <v>218</v>
      </c>
      <c r="BT68" s="1" t="str">
        <f t="shared" si="17"/>
        <v/>
      </c>
      <c r="BU68" s="1" t="str">
        <f t="shared" si="18"/>
        <v/>
      </c>
      <c r="BV68" s="1" t="str">
        <f t="shared" si="19"/>
        <v/>
      </c>
      <c r="BW68" s="1">
        <f t="shared" si="20"/>
        <v>3</v>
      </c>
      <c r="BX68" s="1" t="str">
        <f t="shared" si="21"/>
        <v/>
      </c>
      <c r="BY68" s="1" t="str">
        <f t="shared" si="22"/>
        <v/>
      </c>
      <c r="BZ68" s="1" t="str">
        <f t="shared" si="23"/>
        <v/>
      </c>
      <c r="CA68" s="1" t="str">
        <f t="shared" si="24"/>
        <v/>
      </c>
      <c r="CB68" s="1" t="str">
        <f t="shared" si="25"/>
        <v/>
      </c>
      <c r="CC68" s="1">
        <f t="shared" si="26"/>
        <v>10</v>
      </c>
      <c r="CD68" s="1" t="str">
        <f t="shared" si="27"/>
        <v/>
      </c>
      <c r="CE68" s="1" t="str">
        <f t="shared" si="28"/>
        <v/>
      </c>
      <c r="CF68" s="1">
        <f t="shared" si="13"/>
        <v>2</v>
      </c>
      <c r="CG68" s="1" t="str">
        <f t="shared" si="14"/>
        <v/>
      </c>
      <c r="CH68" s="1" t="str">
        <f t="shared" si="14"/>
        <v/>
      </c>
      <c r="CI68" s="1" t="str">
        <f t="shared" si="14"/>
        <v/>
      </c>
      <c r="CJ68" s="1" t="str">
        <f t="shared" si="14"/>
        <v/>
      </c>
      <c r="CK68" s="1" t="str">
        <f t="shared" si="14"/>
        <v/>
      </c>
      <c r="CL68" s="1" t="str">
        <f t="shared" si="14"/>
        <v/>
      </c>
      <c r="CM68" s="1" t="str">
        <f t="shared" si="14"/>
        <v/>
      </c>
      <c r="CN68" s="1" t="str">
        <f t="shared" si="14"/>
        <v/>
      </c>
      <c r="CO68" s="1" t="str">
        <f t="shared" si="14"/>
        <v/>
      </c>
      <c r="CP68" s="1" t="str">
        <f t="shared" si="14"/>
        <v/>
      </c>
      <c r="CQ68" s="1" t="str">
        <f t="shared" si="14"/>
        <v/>
      </c>
      <c r="CR68" s="1" t="str">
        <f t="shared" si="14"/>
        <v/>
      </c>
      <c r="CS68" s="18">
        <f t="shared" si="15"/>
        <v>20</v>
      </c>
    </row>
    <row r="69" spans="1:97" ht="27" x14ac:dyDescent="0.15">
      <c r="A69" s="1"/>
      <c r="B69" s="1" t="s">
        <v>140</v>
      </c>
      <c r="C69" s="1" t="s">
        <v>135</v>
      </c>
      <c r="D69" s="1" t="s">
        <v>115</v>
      </c>
      <c r="E69" s="6"/>
      <c r="F69" s="6"/>
      <c r="G69" s="6"/>
      <c r="H69" s="6">
        <v>10</v>
      </c>
      <c r="I69" s="6"/>
      <c r="J69" s="6">
        <v>10</v>
      </c>
      <c r="K69" s="6"/>
      <c r="L69" s="6"/>
      <c r="M69" s="6"/>
      <c r="N69" s="6"/>
      <c r="O69" s="6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>
        <v>10</v>
      </c>
      <c r="AU69" s="4"/>
      <c r="AV69" s="4"/>
      <c r="AW69" s="2"/>
      <c r="AX69" s="2"/>
      <c r="AY69" s="2">
        <v>10</v>
      </c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 t="shared" si="16"/>
        <v>40</v>
      </c>
      <c r="BQ69" s="1">
        <v>13</v>
      </c>
      <c r="BR69" s="17">
        <v>2</v>
      </c>
      <c r="BS69" s="17" t="s">
        <v>247</v>
      </c>
      <c r="BT69" s="1" t="str">
        <f t="shared" si="17"/>
        <v/>
      </c>
      <c r="BU69" s="1" t="str">
        <f t="shared" si="18"/>
        <v/>
      </c>
      <c r="BV69" s="1" t="str">
        <f t="shared" si="19"/>
        <v/>
      </c>
      <c r="BW69" s="1">
        <f t="shared" si="20"/>
        <v>3</v>
      </c>
      <c r="BX69" s="1" t="str">
        <f t="shared" si="21"/>
        <v/>
      </c>
      <c r="BY69" s="1" t="str">
        <f t="shared" si="22"/>
        <v/>
      </c>
      <c r="BZ69" s="1" t="str">
        <f t="shared" si="23"/>
        <v/>
      </c>
      <c r="CA69" s="1" t="str">
        <f t="shared" si="24"/>
        <v/>
      </c>
      <c r="CB69" s="1" t="str">
        <f t="shared" si="25"/>
        <v/>
      </c>
      <c r="CC69" s="1" t="str">
        <f t="shared" si="26"/>
        <v/>
      </c>
      <c r="CD69" s="1" t="str">
        <f t="shared" si="27"/>
        <v/>
      </c>
      <c r="CE69" s="1" t="str">
        <f t="shared" si="28"/>
        <v/>
      </c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8"/>
    </row>
    <row r="70" spans="1:97" ht="27" x14ac:dyDescent="0.15">
      <c r="A70" s="1"/>
      <c r="B70" s="1" t="s">
        <v>310</v>
      </c>
      <c r="C70" s="1" t="s">
        <v>126</v>
      </c>
      <c r="D70" s="1" t="s">
        <v>115</v>
      </c>
      <c r="E70" s="6">
        <v>10</v>
      </c>
      <c r="F70" s="6"/>
      <c r="G70" s="6">
        <v>10</v>
      </c>
      <c r="H70" s="6"/>
      <c r="I70" s="6"/>
      <c r="J70" s="6"/>
      <c r="K70" s="6"/>
      <c r="L70" s="6"/>
      <c r="M70" s="6"/>
      <c r="N70" s="6"/>
      <c r="O70" s="6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>
        <v>10</v>
      </c>
      <c r="AS70" s="4"/>
      <c r="AT70" s="4"/>
      <c r="AU70" s="4"/>
      <c r="AV70" s="4"/>
      <c r="AW70" s="2"/>
      <c r="AX70" s="2"/>
      <c r="AY70" s="2"/>
      <c r="AZ70" s="2"/>
      <c r="BA70" s="2"/>
      <c r="BB70" s="2">
        <v>10</v>
      </c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 t="shared" si="16"/>
        <v>40</v>
      </c>
      <c r="BQ70" s="1">
        <v>14</v>
      </c>
      <c r="BR70" s="17">
        <v>2</v>
      </c>
      <c r="BS70" s="17" t="s">
        <v>226</v>
      </c>
      <c r="BT70" s="1" t="str">
        <f t="shared" si="17"/>
        <v/>
      </c>
      <c r="BU70" s="1">
        <f t="shared" si="18"/>
        <v>4</v>
      </c>
      <c r="BV70" s="1" t="str">
        <f t="shared" si="19"/>
        <v/>
      </c>
      <c r="BW70" s="1" t="str">
        <f t="shared" si="20"/>
        <v/>
      </c>
      <c r="BX70" s="1" t="str">
        <f t="shared" si="21"/>
        <v/>
      </c>
      <c r="BY70" s="1" t="str">
        <f t="shared" si="22"/>
        <v/>
      </c>
      <c r="BZ70" s="1" t="str">
        <f t="shared" si="23"/>
        <v/>
      </c>
      <c r="CA70" s="1" t="str">
        <f t="shared" si="24"/>
        <v/>
      </c>
      <c r="CB70" s="1" t="str">
        <f t="shared" si="25"/>
        <v/>
      </c>
      <c r="CC70" s="1" t="str">
        <f t="shared" si="26"/>
        <v/>
      </c>
      <c r="CD70" s="1" t="str">
        <f t="shared" si="27"/>
        <v/>
      </c>
      <c r="CE70" s="1" t="str">
        <f t="shared" si="28"/>
        <v/>
      </c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8"/>
    </row>
    <row r="71" spans="1:97" ht="27" x14ac:dyDescent="0.15">
      <c r="A71" s="1"/>
      <c r="B71" s="1" t="s">
        <v>215</v>
      </c>
      <c r="C71" s="1" t="s">
        <v>177</v>
      </c>
      <c r="D71" s="1" t="s">
        <v>148</v>
      </c>
      <c r="E71" s="6">
        <v>10</v>
      </c>
      <c r="F71" s="6"/>
      <c r="G71" s="6">
        <v>10</v>
      </c>
      <c r="H71" s="6"/>
      <c r="I71" s="6"/>
      <c r="J71" s="6"/>
      <c r="K71" s="6"/>
      <c r="L71" s="6"/>
      <c r="M71" s="6"/>
      <c r="N71" s="6"/>
      <c r="O71" s="6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>
        <v>10</v>
      </c>
      <c r="AS71" s="4"/>
      <c r="AT71" s="4"/>
      <c r="AU71" s="4"/>
      <c r="AV71" s="4"/>
      <c r="AW71" s="2"/>
      <c r="AX71" s="2"/>
      <c r="AY71" s="2"/>
      <c r="AZ71" s="2"/>
      <c r="BA71" s="2"/>
      <c r="BB71" s="2">
        <v>10</v>
      </c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 t="shared" si="16"/>
        <v>40</v>
      </c>
      <c r="BQ71" s="1">
        <v>14</v>
      </c>
      <c r="BR71" s="17">
        <v>2</v>
      </c>
      <c r="BS71" s="17" t="s">
        <v>228</v>
      </c>
      <c r="BT71" s="1" t="str">
        <f t="shared" si="17"/>
        <v/>
      </c>
      <c r="BU71" s="1">
        <f t="shared" si="18"/>
        <v>4</v>
      </c>
      <c r="BV71" s="1" t="str">
        <f t="shared" si="19"/>
        <v/>
      </c>
      <c r="BW71" s="1" t="str">
        <f t="shared" si="20"/>
        <v/>
      </c>
      <c r="BX71" s="1" t="str">
        <f t="shared" si="21"/>
        <v/>
      </c>
      <c r="BY71" s="1" t="str">
        <f t="shared" si="22"/>
        <v/>
      </c>
      <c r="BZ71" s="1" t="str">
        <f t="shared" si="23"/>
        <v/>
      </c>
      <c r="CA71" s="1" t="str">
        <f t="shared" si="24"/>
        <v/>
      </c>
      <c r="CB71" s="1" t="str">
        <f t="shared" si="25"/>
        <v/>
      </c>
      <c r="CC71" s="1" t="str">
        <f t="shared" si="26"/>
        <v/>
      </c>
      <c r="CD71" s="1" t="str">
        <f t="shared" si="27"/>
        <v/>
      </c>
      <c r="CE71" s="1" t="str">
        <f t="shared" si="28"/>
        <v/>
      </c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8"/>
    </row>
    <row r="72" spans="1:97" ht="27" x14ac:dyDescent="0.15">
      <c r="A72" s="1">
        <v>77</v>
      </c>
      <c r="B72" s="3" t="s">
        <v>205</v>
      </c>
      <c r="C72" s="3" t="s">
        <v>69</v>
      </c>
      <c r="D72" s="1" t="s">
        <v>13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>
        <v>20</v>
      </c>
      <c r="AU72" s="4"/>
      <c r="AV72" s="4"/>
      <c r="AW72" s="2">
        <v>20</v>
      </c>
      <c r="AX72" s="2">
        <v>20</v>
      </c>
      <c r="AY72" s="2"/>
      <c r="AZ72" s="2"/>
      <c r="BA72" s="2"/>
      <c r="BB72" s="2">
        <v>10</v>
      </c>
      <c r="BC72" s="14"/>
      <c r="BD72" s="1"/>
      <c r="BE72" s="1"/>
      <c r="BF72" s="1"/>
      <c r="BG72" s="1"/>
      <c r="BH72" s="1">
        <v>20</v>
      </c>
      <c r="BI72" s="1"/>
      <c r="BJ72" s="1"/>
      <c r="BK72" s="1"/>
      <c r="BL72" s="1"/>
      <c r="BM72" s="1"/>
      <c r="BN72" s="1"/>
      <c r="BO72" s="1"/>
      <c r="BP72" s="1">
        <f t="shared" si="16"/>
        <v>90</v>
      </c>
      <c r="BQ72" s="1">
        <v>14</v>
      </c>
      <c r="BR72" s="17">
        <v>2</v>
      </c>
      <c r="BS72" s="17" t="s">
        <v>265</v>
      </c>
      <c r="BT72" s="1" t="str">
        <f t="shared" si="17"/>
        <v/>
      </c>
      <c r="BU72" s="1" t="str">
        <f t="shared" si="18"/>
        <v/>
      </c>
      <c r="BV72" s="1" t="str">
        <f t="shared" si="19"/>
        <v/>
      </c>
      <c r="BW72" s="1">
        <f t="shared" si="20"/>
        <v>13</v>
      </c>
      <c r="BX72" s="1" t="str">
        <f t="shared" si="21"/>
        <v/>
      </c>
      <c r="BY72" s="1" t="str">
        <f t="shared" si="22"/>
        <v/>
      </c>
      <c r="BZ72" s="1">
        <f t="shared" si="23"/>
        <v>1</v>
      </c>
      <c r="CA72" s="1" t="str">
        <f t="shared" si="24"/>
        <v/>
      </c>
      <c r="CB72" s="1" t="str">
        <f t="shared" si="25"/>
        <v/>
      </c>
      <c r="CC72" s="1" t="str">
        <f t="shared" si="26"/>
        <v/>
      </c>
      <c r="CD72" s="1" t="str">
        <f t="shared" si="27"/>
        <v/>
      </c>
      <c r="CE72" s="1" t="str">
        <f t="shared" si="28"/>
        <v/>
      </c>
      <c r="CF72" s="1">
        <f>COUNTIF(BT72:CE72, "&gt;0")</f>
        <v>2</v>
      </c>
      <c r="CG72" s="1" t="str">
        <f t="shared" ref="CG72:CR72" si="29">IF($CF72=1,BT72,"")</f>
        <v/>
      </c>
      <c r="CH72" s="1" t="str">
        <f t="shared" si="29"/>
        <v/>
      </c>
      <c r="CI72" s="1" t="str">
        <f t="shared" si="29"/>
        <v/>
      </c>
      <c r="CJ72" s="1" t="str">
        <f t="shared" si="29"/>
        <v/>
      </c>
      <c r="CK72" s="1" t="str">
        <f t="shared" si="29"/>
        <v/>
      </c>
      <c r="CL72" s="1" t="str">
        <f t="shared" si="29"/>
        <v/>
      </c>
      <c r="CM72" s="1" t="str">
        <f t="shared" si="29"/>
        <v/>
      </c>
      <c r="CN72" s="1" t="str">
        <f t="shared" si="29"/>
        <v/>
      </c>
      <c r="CO72" s="1" t="str">
        <f t="shared" si="29"/>
        <v/>
      </c>
      <c r="CP72" s="1" t="str">
        <f t="shared" si="29"/>
        <v/>
      </c>
      <c r="CQ72" s="1" t="str">
        <f t="shared" si="29"/>
        <v/>
      </c>
      <c r="CR72" s="1" t="str">
        <f t="shared" si="29"/>
        <v/>
      </c>
      <c r="CS72" s="18">
        <f>SUM(AE72:BO72)</f>
        <v>90</v>
      </c>
    </row>
    <row r="73" spans="1:97" ht="27" x14ac:dyDescent="0.15">
      <c r="A73" s="1"/>
      <c r="B73" s="1" t="s">
        <v>209</v>
      </c>
      <c r="C73" s="1" t="s">
        <v>178</v>
      </c>
      <c r="D73" s="1" t="s">
        <v>148</v>
      </c>
      <c r="E73" s="6"/>
      <c r="F73" s="6"/>
      <c r="G73" s="6"/>
      <c r="H73" s="6"/>
      <c r="I73" s="6"/>
      <c r="J73" s="6"/>
      <c r="K73" s="6"/>
      <c r="L73" s="6">
        <v>6</v>
      </c>
      <c r="M73" s="6"/>
      <c r="N73" s="6"/>
      <c r="O73" s="6">
        <v>6</v>
      </c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>
        <v>10</v>
      </c>
      <c r="BB73" s="2">
        <v>10</v>
      </c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 t="shared" si="16"/>
        <v>32</v>
      </c>
      <c r="BQ73" s="1">
        <v>15</v>
      </c>
      <c r="BR73" s="17">
        <v>2</v>
      </c>
      <c r="BS73" s="17" t="s">
        <v>223</v>
      </c>
      <c r="BT73" s="1" t="str">
        <f t="shared" si="17"/>
        <v/>
      </c>
      <c r="BU73" s="1" t="str">
        <f t="shared" si="18"/>
        <v/>
      </c>
      <c r="BV73" s="1" t="str">
        <f t="shared" si="19"/>
        <v/>
      </c>
      <c r="BW73" s="1" t="str">
        <f t="shared" si="20"/>
        <v/>
      </c>
      <c r="BX73" s="1" t="str">
        <f t="shared" si="21"/>
        <v/>
      </c>
      <c r="BY73" s="1" t="str">
        <f t="shared" si="22"/>
        <v/>
      </c>
      <c r="BZ73" s="1" t="str">
        <f t="shared" si="23"/>
        <v/>
      </c>
      <c r="CA73" s="1" t="str">
        <f t="shared" si="24"/>
        <v/>
      </c>
      <c r="CB73" s="1" t="str">
        <f t="shared" si="25"/>
        <v/>
      </c>
      <c r="CC73" s="1" t="str">
        <f t="shared" si="26"/>
        <v/>
      </c>
      <c r="CD73" s="1">
        <f t="shared" si="27"/>
        <v>10</v>
      </c>
      <c r="CE73" s="1" t="str">
        <f t="shared" si="28"/>
        <v/>
      </c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8"/>
    </row>
    <row r="74" spans="1:97" ht="27" x14ac:dyDescent="0.15">
      <c r="A74" s="1">
        <v>2</v>
      </c>
      <c r="B74" s="1" t="s">
        <v>8</v>
      </c>
      <c r="C74" s="1" t="s">
        <v>2</v>
      </c>
      <c r="D74" s="1" t="s">
        <v>1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1">
        <v>15</v>
      </c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>
        <v>15</v>
      </c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 t="shared" si="16"/>
        <v>30</v>
      </c>
      <c r="BQ74" s="1">
        <v>26</v>
      </c>
      <c r="BR74" s="17">
        <v>2</v>
      </c>
      <c r="BS74" s="17" t="s">
        <v>237</v>
      </c>
      <c r="BT74" s="1" t="str">
        <f t="shared" si="17"/>
        <v/>
      </c>
      <c r="BU74" s="1" t="str">
        <f t="shared" si="18"/>
        <v/>
      </c>
      <c r="BV74" s="1" t="str">
        <f t="shared" si="19"/>
        <v/>
      </c>
      <c r="BW74" s="1" t="str">
        <f t="shared" si="20"/>
        <v/>
      </c>
      <c r="BX74" s="1" t="str">
        <f t="shared" si="21"/>
        <v/>
      </c>
      <c r="BY74" s="1" t="str">
        <f t="shared" si="22"/>
        <v/>
      </c>
      <c r="BZ74" s="1" t="str">
        <f t="shared" si="23"/>
        <v/>
      </c>
      <c r="CA74" s="1" t="str">
        <f t="shared" si="24"/>
        <v/>
      </c>
      <c r="CB74" s="1" t="str">
        <f t="shared" si="25"/>
        <v/>
      </c>
      <c r="CC74" s="1">
        <f t="shared" si="26"/>
        <v>15</v>
      </c>
      <c r="CD74" s="1" t="str">
        <f t="shared" si="27"/>
        <v/>
      </c>
      <c r="CE74" s="1" t="str">
        <f t="shared" si="28"/>
        <v/>
      </c>
      <c r="CF74" s="1">
        <f>COUNTIF(BT74:CE74, "&gt;0")</f>
        <v>1</v>
      </c>
      <c r="CG74" s="1" t="str">
        <f t="shared" ref="CG74:CR75" si="30">IF($CF74=1,BT74,"")</f>
        <v/>
      </c>
      <c r="CH74" s="1" t="str">
        <f t="shared" si="30"/>
        <v/>
      </c>
      <c r="CI74" s="1" t="str">
        <f t="shared" si="30"/>
        <v/>
      </c>
      <c r="CJ74" s="1" t="str">
        <f t="shared" si="30"/>
        <v/>
      </c>
      <c r="CK74" s="1" t="str">
        <f t="shared" si="30"/>
        <v/>
      </c>
      <c r="CL74" s="1" t="str">
        <f t="shared" si="30"/>
        <v/>
      </c>
      <c r="CM74" s="1" t="str">
        <f t="shared" si="30"/>
        <v/>
      </c>
      <c r="CN74" s="1" t="str">
        <f t="shared" si="30"/>
        <v/>
      </c>
      <c r="CO74" s="1" t="str">
        <f t="shared" si="30"/>
        <v/>
      </c>
      <c r="CP74" s="1">
        <f t="shared" si="30"/>
        <v>15</v>
      </c>
      <c r="CQ74" s="1" t="str">
        <f t="shared" si="30"/>
        <v/>
      </c>
      <c r="CR74" s="1" t="str">
        <f t="shared" si="30"/>
        <v/>
      </c>
      <c r="CS74" s="18">
        <f>SUM(AE74:BO74)</f>
        <v>30</v>
      </c>
    </row>
    <row r="75" spans="1:97" ht="27" x14ac:dyDescent="0.15">
      <c r="A75" s="1">
        <v>95</v>
      </c>
      <c r="B75" s="3" t="s">
        <v>91</v>
      </c>
      <c r="C75" s="3" t="s">
        <v>75</v>
      </c>
      <c r="D75" s="1" t="s">
        <v>1</v>
      </c>
      <c r="E75" s="6"/>
      <c r="F75" s="6"/>
      <c r="G75" s="6"/>
      <c r="H75" s="6"/>
      <c r="I75" s="6"/>
      <c r="J75" s="6"/>
      <c r="K75" s="6"/>
      <c r="L75" s="6">
        <v>15</v>
      </c>
      <c r="M75" s="6"/>
      <c r="N75" s="6"/>
      <c r="O75" s="6">
        <v>15</v>
      </c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>
        <v>15</v>
      </c>
      <c r="BB75" s="2">
        <v>15</v>
      </c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 t="shared" si="16"/>
        <v>60</v>
      </c>
      <c r="BQ75" s="1">
        <v>29</v>
      </c>
      <c r="BR75" s="17">
        <v>2</v>
      </c>
      <c r="BS75" s="17" t="s">
        <v>276</v>
      </c>
      <c r="BT75" s="1" t="str">
        <f t="shared" si="17"/>
        <v/>
      </c>
      <c r="BU75" s="1" t="str">
        <f t="shared" si="18"/>
        <v/>
      </c>
      <c r="BV75" s="1" t="str">
        <f t="shared" si="19"/>
        <v/>
      </c>
      <c r="BW75" s="1" t="str">
        <f t="shared" si="20"/>
        <v/>
      </c>
      <c r="BX75" s="1" t="str">
        <f t="shared" si="21"/>
        <v/>
      </c>
      <c r="BY75" s="1" t="str">
        <f t="shared" si="22"/>
        <v/>
      </c>
      <c r="BZ75" s="1" t="str">
        <f t="shared" si="23"/>
        <v/>
      </c>
      <c r="CA75" s="1" t="str">
        <f t="shared" si="24"/>
        <v/>
      </c>
      <c r="CB75" s="1" t="str">
        <f t="shared" si="25"/>
        <v/>
      </c>
      <c r="CC75" s="1" t="str">
        <f t="shared" si="26"/>
        <v/>
      </c>
      <c r="CD75" s="1">
        <f t="shared" si="27"/>
        <v>15</v>
      </c>
      <c r="CE75" s="1" t="str">
        <f t="shared" si="28"/>
        <v/>
      </c>
      <c r="CF75" s="1">
        <f>COUNTIF(BT75:CE75, "&gt;0")</f>
        <v>1</v>
      </c>
      <c r="CG75" s="1" t="str">
        <f t="shared" si="30"/>
        <v/>
      </c>
      <c r="CH75" s="1" t="str">
        <f t="shared" si="30"/>
        <v/>
      </c>
      <c r="CI75" s="1" t="str">
        <f t="shared" si="30"/>
        <v/>
      </c>
      <c r="CJ75" s="1" t="str">
        <f t="shared" si="30"/>
        <v/>
      </c>
      <c r="CK75" s="1" t="str">
        <f t="shared" si="30"/>
        <v/>
      </c>
      <c r="CL75" s="1" t="str">
        <f t="shared" si="30"/>
        <v/>
      </c>
      <c r="CM75" s="1" t="str">
        <f t="shared" si="30"/>
        <v/>
      </c>
      <c r="CN75" s="1" t="str">
        <f t="shared" si="30"/>
        <v/>
      </c>
      <c r="CO75" s="1" t="str">
        <f t="shared" si="30"/>
        <v/>
      </c>
      <c r="CP75" s="1" t="str">
        <f t="shared" si="30"/>
        <v/>
      </c>
      <c r="CQ75" s="1">
        <f t="shared" si="30"/>
        <v>15</v>
      </c>
      <c r="CR75" s="1" t="str">
        <f t="shared" si="30"/>
        <v/>
      </c>
      <c r="CS75" s="18">
        <f>SUM(AE75:BO75)</f>
        <v>30</v>
      </c>
    </row>
    <row r="76" spans="1:97" ht="27" x14ac:dyDescent="0.15">
      <c r="A76" s="1"/>
      <c r="B76" s="1" t="s">
        <v>206</v>
      </c>
      <c r="C76" s="1" t="s">
        <v>143</v>
      </c>
      <c r="D76" s="1" t="s">
        <v>114</v>
      </c>
      <c r="E76" s="6"/>
      <c r="F76" s="6"/>
      <c r="G76" s="6"/>
      <c r="H76" s="6"/>
      <c r="I76" s="6"/>
      <c r="J76" s="6"/>
      <c r="K76" s="6"/>
      <c r="L76" s="6">
        <v>20</v>
      </c>
      <c r="M76" s="6"/>
      <c r="N76" s="6"/>
      <c r="O76" s="6">
        <v>20</v>
      </c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>
        <v>20</v>
      </c>
      <c r="BB76" s="2">
        <v>20</v>
      </c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 t="shared" si="16"/>
        <v>80</v>
      </c>
      <c r="BQ76" s="1">
        <v>39</v>
      </c>
      <c r="BR76" s="17">
        <v>2</v>
      </c>
      <c r="BS76" s="17" t="s">
        <v>284</v>
      </c>
      <c r="BT76" s="1" t="str">
        <f t="shared" si="17"/>
        <v/>
      </c>
      <c r="BU76" s="1" t="str">
        <f t="shared" si="18"/>
        <v/>
      </c>
      <c r="BV76" s="1" t="str">
        <f t="shared" si="19"/>
        <v/>
      </c>
      <c r="BW76" s="1" t="str">
        <f t="shared" si="20"/>
        <v/>
      </c>
      <c r="BX76" s="1" t="str">
        <f t="shared" si="21"/>
        <v/>
      </c>
      <c r="BY76" s="1" t="str">
        <f t="shared" si="22"/>
        <v/>
      </c>
      <c r="BZ76" s="1" t="str">
        <f t="shared" si="23"/>
        <v/>
      </c>
      <c r="CA76" s="1" t="str">
        <f t="shared" si="24"/>
        <v/>
      </c>
      <c r="CB76" s="1" t="str">
        <f t="shared" si="25"/>
        <v/>
      </c>
      <c r="CC76" s="1" t="str">
        <f t="shared" si="26"/>
        <v/>
      </c>
      <c r="CD76" s="1">
        <f t="shared" si="27"/>
        <v>20</v>
      </c>
      <c r="CE76" s="1" t="str">
        <f t="shared" si="28"/>
        <v/>
      </c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8"/>
    </row>
    <row r="77" spans="1:97" ht="40.5" x14ac:dyDescent="0.15">
      <c r="A77" s="1"/>
      <c r="B77" s="1" t="s">
        <v>182</v>
      </c>
      <c r="C77" s="1" t="s">
        <v>178</v>
      </c>
      <c r="D77" s="1" t="s">
        <v>147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32"/>
      <c r="Q77" s="32"/>
      <c r="R77" s="32"/>
      <c r="S77" s="32"/>
      <c r="T77" s="32"/>
      <c r="U77" s="32">
        <v>2</v>
      </c>
      <c r="V77" s="32"/>
      <c r="W77" s="32"/>
      <c r="X77" s="32"/>
      <c r="Y77" s="32"/>
      <c r="Z77" s="32"/>
      <c r="AA77" s="32">
        <v>2</v>
      </c>
      <c r="AB77" s="32"/>
      <c r="AC77" s="32">
        <v>5</v>
      </c>
      <c r="AD77" s="32">
        <v>2</v>
      </c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 t="shared" si="16"/>
        <v>11</v>
      </c>
      <c r="BQ77" s="1">
        <v>6</v>
      </c>
      <c r="BR77" s="17">
        <v>3</v>
      </c>
      <c r="BS77" s="17" t="s">
        <v>190</v>
      </c>
      <c r="BT77" s="1" t="str">
        <f t="shared" si="17"/>
        <v/>
      </c>
      <c r="BU77" s="1" t="str">
        <f t="shared" si="18"/>
        <v/>
      </c>
      <c r="BV77" s="1" t="str">
        <f t="shared" si="19"/>
        <v/>
      </c>
      <c r="BW77" s="1" t="str">
        <f t="shared" si="20"/>
        <v/>
      </c>
      <c r="BX77" s="1" t="str">
        <f t="shared" si="21"/>
        <v/>
      </c>
      <c r="BY77" s="1" t="str">
        <f t="shared" si="22"/>
        <v/>
      </c>
      <c r="BZ77" s="1" t="str">
        <f t="shared" si="23"/>
        <v/>
      </c>
      <c r="CA77" s="1" t="str">
        <f t="shared" si="24"/>
        <v/>
      </c>
      <c r="CB77" s="1" t="str">
        <f t="shared" si="25"/>
        <v/>
      </c>
      <c r="CC77" s="1" t="str">
        <f t="shared" si="26"/>
        <v/>
      </c>
      <c r="CD77" s="1" t="str">
        <f t="shared" si="27"/>
        <v/>
      </c>
      <c r="CE77" s="1" t="str">
        <f t="shared" si="28"/>
        <v/>
      </c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8"/>
    </row>
    <row r="78" spans="1:97" ht="40.5" x14ac:dyDescent="0.15">
      <c r="A78" s="1"/>
      <c r="B78" s="1" t="s">
        <v>174</v>
      </c>
      <c r="C78" s="1" t="s">
        <v>175</v>
      </c>
      <c r="D78" s="1" t="s">
        <v>148</v>
      </c>
      <c r="E78" s="6"/>
      <c r="F78" s="6"/>
      <c r="G78" s="6"/>
      <c r="H78" s="6"/>
      <c r="I78" s="6"/>
      <c r="J78" s="6"/>
      <c r="K78" s="6"/>
      <c r="L78" s="6">
        <v>7</v>
      </c>
      <c r="M78" s="6"/>
      <c r="N78" s="6"/>
      <c r="O78" s="6"/>
      <c r="P78" s="32"/>
      <c r="Q78" s="32">
        <v>7</v>
      </c>
      <c r="R78" s="32"/>
      <c r="S78" s="32"/>
      <c r="T78" s="32">
        <v>7</v>
      </c>
      <c r="U78" s="32"/>
      <c r="V78" s="32"/>
      <c r="W78" s="32"/>
      <c r="X78" s="32">
        <v>7</v>
      </c>
      <c r="Y78" s="32"/>
      <c r="Z78" s="32"/>
      <c r="AA78" s="32"/>
      <c r="AB78" s="32"/>
      <c r="AC78" s="32"/>
      <c r="AD78" s="32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 t="shared" si="16"/>
        <v>28</v>
      </c>
      <c r="BQ78" s="1">
        <v>9</v>
      </c>
      <c r="BR78" s="17">
        <v>3</v>
      </c>
      <c r="BS78" s="17" t="s">
        <v>191</v>
      </c>
      <c r="BT78" s="1" t="str">
        <f t="shared" si="17"/>
        <v/>
      </c>
      <c r="BU78" s="1" t="str">
        <f t="shared" si="18"/>
        <v/>
      </c>
      <c r="BV78" s="1" t="str">
        <f t="shared" si="19"/>
        <v/>
      </c>
      <c r="BW78" s="1" t="str">
        <f t="shared" si="20"/>
        <v/>
      </c>
      <c r="BX78" s="1" t="str">
        <f t="shared" si="21"/>
        <v/>
      </c>
      <c r="BY78" s="1" t="str">
        <f t="shared" si="22"/>
        <v/>
      </c>
      <c r="BZ78" s="1" t="str">
        <f t="shared" si="23"/>
        <v/>
      </c>
      <c r="CA78" s="1" t="str">
        <f t="shared" si="24"/>
        <v/>
      </c>
      <c r="CB78" s="1" t="str">
        <f t="shared" si="25"/>
        <v/>
      </c>
      <c r="CC78" s="1" t="str">
        <f t="shared" si="26"/>
        <v/>
      </c>
      <c r="CD78" s="1" t="str">
        <f t="shared" si="27"/>
        <v/>
      </c>
      <c r="CE78" s="1" t="str">
        <f t="shared" si="28"/>
        <v/>
      </c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8"/>
    </row>
    <row r="79" spans="1:97" ht="40.5" x14ac:dyDescent="0.15">
      <c r="A79" s="1"/>
      <c r="B79" s="1" t="s">
        <v>166</v>
      </c>
      <c r="C79" s="1" t="s">
        <v>164</v>
      </c>
      <c r="D79" s="1" t="s">
        <v>147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32"/>
      <c r="Q79" s="32">
        <v>5</v>
      </c>
      <c r="R79" s="32"/>
      <c r="S79" s="32"/>
      <c r="T79" s="32">
        <v>5</v>
      </c>
      <c r="U79" s="32"/>
      <c r="V79" s="32"/>
      <c r="W79" s="32"/>
      <c r="X79" s="32"/>
      <c r="Y79" s="32"/>
      <c r="Z79" s="32">
        <v>5</v>
      </c>
      <c r="AA79" s="32">
        <v>2</v>
      </c>
      <c r="AB79" s="32"/>
      <c r="AC79" s="32"/>
      <c r="AD79" s="32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 t="shared" si="16"/>
        <v>17</v>
      </c>
      <c r="BQ79" s="1">
        <v>9</v>
      </c>
      <c r="BR79" s="17">
        <v>3</v>
      </c>
      <c r="BS79" s="17" t="s">
        <v>285</v>
      </c>
      <c r="BT79" s="1" t="str">
        <f t="shared" si="17"/>
        <v/>
      </c>
      <c r="BU79" s="1" t="str">
        <f t="shared" si="18"/>
        <v/>
      </c>
      <c r="BV79" s="1" t="str">
        <f t="shared" si="19"/>
        <v/>
      </c>
      <c r="BW79" s="1" t="str">
        <f t="shared" si="20"/>
        <v/>
      </c>
      <c r="BX79" s="1" t="str">
        <f t="shared" si="21"/>
        <v/>
      </c>
      <c r="BY79" s="1" t="str">
        <f t="shared" si="22"/>
        <v/>
      </c>
      <c r="BZ79" s="1" t="str">
        <f t="shared" si="23"/>
        <v/>
      </c>
      <c r="CA79" s="1" t="str">
        <f t="shared" si="24"/>
        <v/>
      </c>
      <c r="CB79" s="1" t="str">
        <f t="shared" si="25"/>
        <v/>
      </c>
      <c r="CC79" s="1" t="str">
        <f t="shared" si="26"/>
        <v/>
      </c>
      <c r="CD79" s="1" t="str">
        <f t="shared" si="27"/>
        <v/>
      </c>
      <c r="CE79" s="1" t="str">
        <f t="shared" si="28"/>
        <v/>
      </c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8"/>
    </row>
    <row r="80" spans="1:97" ht="40.5" x14ac:dyDescent="0.15">
      <c r="A80" s="1"/>
      <c r="B80" s="1" t="s">
        <v>179</v>
      </c>
      <c r="C80" s="1" t="s">
        <v>178</v>
      </c>
      <c r="D80" s="1" t="s">
        <v>147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32"/>
      <c r="Q80" s="32">
        <v>5</v>
      </c>
      <c r="R80" s="32"/>
      <c r="S80" s="32"/>
      <c r="T80" s="32">
        <v>5</v>
      </c>
      <c r="U80" s="32"/>
      <c r="V80" s="32"/>
      <c r="W80" s="32"/>
      <c r="X80" s="32"/>
      <c r="Y80" s="32"/>
      <c r="Z80" s="32">
        <v>5</v>
      </c>
      <c r="AA80" s="32">
        <v>2</v>
      </c>
      <c r="AB80" s="32"/>
      <c r="AC80" s="32"/>
      <c r="AD80" s="32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 t="shared" si="16"/>
        <v>17</v>
      </c>
      <c r="BQ80" s="1">
        <v>9</v>
      </c>
      <c r="BR80" s="17">
        <v>3</v>
      </c>
      <c r="BS80" s="17" t="s">
        <v>285</v>
      </c>
      <c r="BT80" s="1" t="str">
        <f t="shared" si="17"/>
        <v/>
      </c>
      <c r="BU80" s="1" t="str">
        <f t="shared" si="18"/>
        <v/>
      </c>
      <c r="BV80" s="1" t="str">
        <f t="shared" si="19"/>
        <v/>
      </c>
      <c r="BW80" s="1" t="str">
        <f t="shared" si="20"/>
        <v/>
      </c>
      <c r="BX80" s="1" t="str">
        <f t="shared" si="21"/>
        <v/>
      </c>
      <c r="BY80" s="1" t="str">
        <f t="shared" si="22"/>
        <v/>
      </c>
      <c r="BZ80" s="1" t="str">
        <f t="shared" si="23"/>
        <v/>
      </c>
      <c r="CA80" s="1" t="str">
        <f t="shared" si="24"/>
        <v/>
      </c>
      <c r="CB80" s="1" t="str">
        <f t="shared" si="25"/>
        <v/>
      </c>
      <c r="CC80" s="1" t="str">
        <f t="shared" si="26"/>
        <v/>
      </c>
      <c r="CD80" s="1" t="str">
        <f t="shared" si="27"/>
        <v/>
      </c>
      <c r="CE80" s="1" t="str">
        <f t="shared" si="28"/>
        <v/>
      </c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8"/>
    </row>
    <row r="81" spans="1:97" ht="40.5" x14ac:dyDescent="0.15">
      <c r="A81" s="1"/>
      <c r="B81" s="1" t="s">
        <v>195</v>
      </c>
      <c r="C81" s="1" t="s">
        <v>135</v>
      </c>
      <c r="D81" s="1" t="s">
        <v>197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32"/>
      <c r="Q81" s="32">
        <v>5</v>
      </c>
      <c r="R81" s="32"/>
      <c r="S81" s="32"/>
      <c r="T81" s="32">
        <v>5</v>
      </c>
      <c r="U81" s="32"/>
      <c r="V81" s="32"/>
      <c r="W81" s="32"/>
      <c r="X81" s="32"/>
      <c r="Y81" s="32"/>
      <c r="Z81" s="32">
        <v>5</v>
      </c>
      <c r="AA81" s="32">
        <v>2</v>
      </c>
      <c r="AB81" s="32"/>
      <c r="AC81" s="32"/>
      <c r="AD81" s="32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 t="shared" si="16"/>
        <v>17</v>
      </c>
      <c r="BQ81" s="1">
        <v>9</v>
      </c>
      <c r="BR81" s="17">
        <v>3</v>
      </c>
      <c r="BS81" s="17" t="s">
        <v>285</v>
      </c>
      <c r="BT81" s="1" t="str">
        <f t="shared" si="17"/>
        <v/>
      </c>
      <c r="BU81" s="1" t="str">
        <f t="shared" si="18"/>
        <v/>
      </c>
      <c r="BV81" s="1" t="str">
        <f t="shared" si="19"/>
        <v/>
      </c>
      <c r="BW81" s="1" t="str">
        <f t="shared" si="20"/>
        <v/>
      </c>
      <c r="BX81" s="1" t="str">
        <f t="shared" si="21"/>
        <v/>
      </c>
      <c r="BY81" s="1" t="str">
        <f t="shared" si="22"/>
        <v/>
      </c>
      <c r="BZ81" s="1" t="str">
        <f t="shared" si="23"/>
        <v/>
      </c>
      <c r="CA81" s="1" t="str">
        <f t="shared" si="24"/>
        <v/>
      </c>
      <c r="CB81" s="1" t="str">
        <f t="shared" si="25"/>
        <v/>
      </c>
      <c r="CC81" s="1" t="str">
        <f t="shared" si="26"/>
        <v/>
      </c>
      <c r="CD81" s="1" t="str">
        <f t="shared" si="27"/>
        <v/>
      </c>
      <c r="CE81" s="1" t="str">
        <f t="shared" si="28"/>
        <v/>
      </c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8"/>
    </row>
    <row r="82" spans="1:97" ht="40.5" x14ac:dyDescent="0.15">
      <c r="A82" s="1"/>
      <c r="B82" s="1" t="s">
        <v>182</v>
      </c>
      <c r="C82" s="1" t="s">
        <v>178</v>
      </c>
      <c r="D82" s="1" t="s">
        <v>146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32"/>
      <c r="Q82" s="32">
        <v>5</v>
      </c>
      <c r="R82" s="32"/>
      <c r="S82" s="32"/>
      <c r="T82" s="32">
        <v>5</v>
      </c>
      <c r="U82" s="32"/>
      <c r="V82" s="32"/>
      <c r="W82" s="32">
        <v>5</v>
      </c>
      <c r="X82" s="32"/>
      <c r="Y82" s="32"/>
      <c r="Z82" s="32">
        <v>5</v>
      </c>
      <c r="AA82" s="32"/>
      <c r="AB82" s="32"/>
      <c r="AC82" s="32"/>
      <c r="AD82" s="32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 t="shared" si="16"/>
        <v>20</v>
      </c>
      <c r="BQ82" s="1">
        <v>11</v>
      </c>
      <c r="BR82" s="17">
        <v>3</v>
      </c>
      <c r="BS82" s="17" t="s">
        <v>192</v>
      </c>
      <c r="BT82" s="1" t="str">
        <f t="shared" si="17"/>
        <v/>
      </c>
      <c r="BU82" s="1" t="str">
        <f t="shared" si="18"/>
        <v/>
      </c>
      <c r="BV82" s="1" t="str">
        <f t="shared" si="19"/>
        <v/>
      </c>
      <c r="BW82" s="1" t="str">
        <f t="shared" si="20"/>
        <v/>
      </c>
      <c r="BX82" s="1" t="str">
        <f t="shared" si="21"/>
        <v/>
      </c>
      <c r="BY82" s="1" t="str">
        <f t="shared" si="22"/>
        <v/>
      </c>
      <c r="BZ82" s="1" t="str">
        <f t="shared" si="23"/>
        <v/>
      </c>
      <c r="CA82" s="1" t="str">
        <f t="shared" si="24"/>
        <v/>
      </c>
      <c r="CB82" s="1" t="str">
        <f t="shared" si="25"/>
        <v/>
      </c>
      <c r="CC82" s="1" t="str">
        <f t="shared" si="26"/>
        <v/>
      </c>
      <c r="CD82" s="1" t="str">
        <f t="shared" si="27"/>
        <v/>
      </c>
      <c r="CE82" s="1" t="str">
        <f t="shared" si="28"/>
        <v/>
      </c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8"/>
    </row>
    <row r="83" spans="1:97" ht="40.5" x14ac:dyDescent="0.15">
      <c r="A83" s="1"/>
      <c r="B83" s="1" t="s">
        <v>172</v>
      </c>
      <c r="C83" s="1" t="s">
        <v>169</v>
      </c>
      <c r="D83" s="1" t="s">
        <v>148</v>
      </c>
      <c r="E83" s="6"/>
      <c r="F83" s="6"/>
      <c r="G83" s="6"/>
      <c r="H83" s="6"/>
      <c r="I83" s="6">
        <v>7</v>
      </c>
      <c r="J83" s="6"/>
      <c r="K83" s="6"/>
      <c r="L83" s="6"/>
      <c r="M83" s="6"/>
      <c r="N83" s="6"/>
      <c r="O83" s="6"/>
      <c r="P83" s="32"/>
      <c r="Q83" s="32">
        <v>7</v>
      </c>
      <c r="R83" s="32">
        <v>7</v>
      </c>
      <c r="S83" s="32"/>
      <c r="T83" s="32">
        <v>7</v>
      </c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 t="shared" si="16"/>
        <v>28</v>
      </c>
      <c r="BQ83" s="1">
        <v>13</v>
      </c>
      <c r="BR83" s="17">
        <v>3</v>
      </c>
      <c r="BS83" s="17" t="s">
        <v>193</v>
      </c>
      <c r="BT83" s="1" t="str">
        <f t="shared" si="17"/>
        <v/>
      </c>
      <c r="BU83" s="1" t="str">
        <f t="shared" si="18"/>
        <v/>
      </c>
      <c r="BV83" s="1" t="str">
        <f t="shared" si="19"/>
        <v/>
      </c>
      <c r="BW83" s="1" t="str">
        <f t="shared" si="20"/>
        <v/>
      </c>
      <c r="BX83" s="1" t="str">
        <f t="shared" si="21"/>
        <v/>
      </c>
      <c r="BY83" s="1" t="str">
        <f t="shared" si="22"/>
        <v/>
      </c>
      <c r="BZ83" s="1" t="str">
        <f t="shared" si="23"/>
        <v/>
      </c>
      <c r="CA83" s="1" t="str">
        <f t="shared" si="24"/>
        <v/>
      </c>
      <c r="CB83" s="1" t="str">
        <f t="shared" si="25"/>
        <v/>
      </c>
      <c r="CC83" s="1" t="str">
        <f t="shared" si="26"/>
        <v/>
      </c>
      <c r="CD83" s="1" t="str">
        <f t="shared" si="27"/>
        <v/>
      </c>
      <c r="CE83" s="1" t="str">
        <f t="shared" si="28"/>
        <v/>
      </c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8"/>
    </row>
    <row r="84" spans="1:97" ht="40.5" x14ac:dyDescent="0.15">
      <c r="A84" s="1">
        <v>84</v>
      </c>
      <c r="B84" s="3" t="s">
        <v>74</v>
      </c>
      <c r="C84" s="3" t="s">
        <v>69</v>
      </c>
      <c r="D84" s="1" t="s">
        <v>13</v>
      </c>
      <c r="E84" s="6"/>
      <c r="F84" s="6"/>
      <c r="G84" s="6">
        <v>5</v>
      </c>
      <c r="H84" s="6">
        <v>5</v>
      </c>
      <c r="I84" s="6"/>
      <c r="J84" s="6"/>
      <c r="K84" s="6"/>
      <c r="L84" s="6"/>
      <c r="M84" s="6"/>
      <c r="N84" s="6"/>
      <c r="O84" s="6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>
        <v>5</v>
      </c>
      <c r="BB84" s="2">
        <v>5</v>
      </c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 t="shared" si="16"/>
        <v>20</v>
      </c>
      <c r="BQ84" s="1">
        <v>15</v>
      </c>
      <c r="BR84" s="17">
        <v>3</v>
      </c>
      <c r="BS84" s="17" t="s">
        <v>225</v>
      </c>
      <c r="BT84" s="1" t="str">
        <f t="shared" si="17"/>
        <v/>
      </c>
      <c r="BU84" s="1" t="str">
        <f t="shared" si="18"/>
        <v/>
      </c>
      <c r="BV84" s="1" t="str">
        <f t="shared" si="19"/>
        <v/>
      </c>
      <c r="BW84" s="1" t="str">
        <f t="shared" si="20"/>
        <v/>
      </c>
      <c r="BX84" s="1" t="str">
        <f t="shared" si="21"/>
        <v/>
      </c>
      <c r="BY84" s="1" t="str">
        <f t="shared" si="22"/>
        <v/>
      </c>
      <c r="BZ84" s="1" t="str">
        <f t="shared" si="23"/>
        <v/>
      </c>
      <c r="CA84" s="1" t="str">
        <f t="shared" si="24"/>
        <v/>
      </c>
      <c r="CB84" s="1" t="str">
        <f t="shared" si="25"/>
        <v/>
      </c>
      <c r="CC84" s="1" t="str">
        <f t="shared" si="26"/>
        <v/>
      </c>
      <c r="CD84" s="1">
        <f t="shared" si="27"/>
        <v>5</v>
      </c>
      <c r="CE84" s="1" t="str">
        <f t="shared" si="28"/>
        <v/>
      </c>
      <c r="CF84" s="1">
        <f>COUNTIF(BT84:CE84, "&gt;0")</f>
        <v>1</v>
      </c>
      <c r="CG84" s="1" t="str">
        <f t="shared" ref="CG84:CR84" si="31">IF($CF84=1,BT84,"")</f>
        <v/>
      </c>
      <c r="CH84" s="1" t="str">
        <f t="shared" si="31"/>
        <v/>
      </c>
      <c r="CI84" s="1" t="str">
        <f t="shared" si="31"/>
        <v/>
      </c>
      <c r="CJ84" s="1" t="str">
        <f t="shared" si="31"/>
        <v/>
      </c>
      <c r="CK84" s="1" t="str">
        <f t="shared" si="31"/>
        <v/>
      </c>
      <c r="CL84" s="1" t="str">
        <f t="shared" si="31"/>
        <v/>
      </c>
      <c r="CM84" s="1" t="str">
        <f t="shared" si="31"/>
        <v/>
      </c>
      <c r="CN84" s="1" t="str">
        <f t="shared" si="31"/>
        <v/>
      </c>
      <c r="CO84" s="1" t="str">
        <f t="shared" si="31"/>
        <v/>
      </c>
      <c r="CP84" s="1" t="str">
        <f t="shared" si="31"/>
        <v/>
      </c>
      <c r="CQ84" s="1">
        <f t="shared" si="31"/>
        <v>5</v>
      </c>
      <c r="CR84" s="1" t="str">
        <f t="shared" si="31"/>
        <v/>
      </c>
      <c r="CS84" s="18">
        <f>SUM(AE84:BO84)</f>
        <v>10</v>
      </c>
    </row>
    <row r="85" spans="1:97" ht="40.5" x14ac:dyDescent="0.15">
      <c r="A85" s="1"/>
      <c r="B85" s="1" t="s">
        <v>186</v>
      </c>
      <c r="C85" s="1" t="s">
        <v>133</v>
      </c>
      <c r="D85" s="1" t="s">
        <v>115</v>
      </c>
      <c r="E85" s="6"/>
      <c r="F85" s="6"/>
      <c r="G85" s="6">
        <v>6</v>
      </c>
      <c r="H85" s="6">
        <v>6</v>
      </c>
      <c r="I85" s="6"/>
      <c r="J85" s="6"/>
      <c r="K85" s="6"/>
      <c r="L85" s="6"/>
      <c r="M85" s="6"/>
      <c r="N85" s="6"/>
      <c r="O85" s="6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>
        <v>10</v>
      </c>
      <c r="AW85" s="2">
        <v>10</v>
      </c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 t="shared" si="16"/>
        <v>32</v>
      </c>
      <c r="BQ85" s="1">
        <v>15</v>
      </c>
      <c r="BR85" s="17">
        <v>3</v>
      </c>
      <c r="BS85" s="17" t="s">
        <v>232</v>
      </c>
      <c r="BT85" s="1" t="str">
        <f t="shared" si="17"/>
        <v/>
      </c>
      <c r="BU85" s="1" t="str">
        <f t="shared" si="18"/>
        <v/>
      </c>
      <c r="BV85" s="1" t="str">
        <f t="shared" si="19"/>
        <v/>
      </c>
      <c r="BW85" s="1" t="str">
        <f t="shared" si="20"/>
        <v/>
      </c>
      <c r="BX85" s="1" t="str">
        <f t="shared" si="21"/>
        <v/>
      </c>
      <c r="BY85" s="1">
        <f t="shared" si="22"/>
        <v>3</v>
      </c>
      <c r="BZ85" s="1" t="str">
        <f t="shared" si="23"/>
        <v/>
      </c>
      <c r="CA85" s="1" t="str">
        <f t="shared" si="24"/>
        <v/>
      </c>
      <c r="CB85" s="1" t="str">
        <f t="shared" si="25"/>
        <v/>
      </c>
      <c r="CC85" s="1" t="str">
        <f t="shared" si="26"/>
        <v/>
      </c>
      <c r="CD85" s="1" t="str">
        <f t="shared" si="27"/>
        <v/>
      </c>
      <c r="CE85" s="1" t="str">
        <f t="shared" si="28"/>
        <v/>
      </c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8"/>
    </row>
    <row r="86" spans="1:97" ht="40.5" x14ac:dyDescent="0.15">
      <c r="A86" s="1"/>
      <c r="B86" s="1" t="s">
        <v>204</v>
      </c>
      <c r="C86" s="1" t="s">
        <v>145</v>
      </c>
      <c r="D86" s="1" t="s">
        <v>148</v>
      </c>
      <c r="E86" s="6"/>
      <c r="F86" s="6"/>
      <c r="G86" s="6"/>
      <c r="H86" s="6"/>
      <c r="I86" s="6">
        <v>10</v>
      </c>
      <c r="J86" s="6"/>
      <c r="K86" s="6"/>
      <c r="L86" s="6"/>
      <c r="M86" s="6"/>
      <c r="N86" s="6"/>
      <c r="O86" s="6"/>
      <c r="P86" s="32"/>
      <c r="Q86" s="32"/>
      <c r="R86" s="32">
        <v>10</v>
      </c>
      <c r="S86" s="32"/>
      <c r="T86" s="32"/>
      <c r="U86" s="32"/>
      <c r="V86" s="32"/>
      <c r="W86" s="32"/>
      <c r="X86" s="32">
        <v>10</v>
      </c>
      <c r="Y86" s="32"/>
      <c r="Z86" s="32"/>
      <c r="AA86" s="32"/>
      <c r="AB86" s="32"/>
      <c r="AC86" s="32"/>
      <c r="AD86" s="32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>
        <v>10</v>
      </c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 t="shared" si="16"/>
        <v>40</v>
      </c>
      <c r="BQ86" s="1">
        <v>15</v>
      </c>
      <c r="BR86" s="17">
        <v>3</v>
      </c>
      <c r="BS86" s="17" t="s">
        <v>282</v>
      </c>
      <c r="BT86" s="1" t="str">
        <f t="shared" si="17"/>
        <v/>
      </c>
      <c r="BU86" s="1" t="str">
        <f t="shared" si="18"/>
        <v/>
      </c>
      <c r="BV86" s="1" t="str">
        <f t="shared" si="19"/>
        <v/>
      </c>
      <c r="BW86" s="1">
        <f t="shared" si="20"/>
        <v>3</v>
      </c>
      <c r="BX86" s="1" t="str">
        <f t="shared" si="21"/>
        <v/>
      </c>
      <c r="BY86" s="1" t="str">
        <f t="shared" si="22"/>
        <v/>
      </c>
      <c r="BZ86" s="1" t="str">
        <f t="shared" si="23"/>
        <v/>
      </c>
      <c r="CA86" s="1" t="str">
        <f t="shared" si="24"/>
        <v/>
      </c>
      <c r="CB86" s="1" t="str">
        <f t="shared" si="25"/>
        <v/>
      </c>
      <c r="CC86" s="1" t="str">
        <f t="shared" si="26"/>
        <v/>
      </c>
      <c r="CD86" s="1" t="str">
        <f t="shared" si="27"/>
        <v/>
      </c>
      <c r="CE86" s="1" t="str">
        <f t="shared" si="28"/>
        <v/>
      </c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8"/>
    </row>
    <row r="87" spans="1:97" ht="40.5" x14ac:dyDescent="0.15">
      <c r="A87" s="1">
        <v>28</v>
      </c>
      <c r="B87" s="1" t="s">
        <v>80</v>
      </c>
      <c r="C87" s="1" t="s">
        <v>32</v>
      </c>
      <c r="D87" s="1" t="s">
        <v>1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1"/>
      <c r="AF87" s="1"/>
      <c r="AG87" s="1"/>
      <c r="AH87" s="1">
        <v>5</v>
      </c>
      <c r="AI87" s="1">
        <v>5</v>
      </c>
      <c r="AJ87" s="1">
        <v>5</v>
      </c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 t="shared" si="16"/>
        <v>15</v>
      </c>
      <c r="BQ87" s="1">
        <v>15</v>
      </c>
      <c r="BR87" s="17">
        <v>3</v>
      </c>
      <c r="BS87" s="17" t="s">
        <v>287</v>
      </c>
      <c r="BT87" s="1" t="str">
        <f t="shared" si="17"/>
        <v/>
      </c>
      <c r="BU87" s="1" t="str">
        <f t="shared" si="18"/>
        <v/>
      </c>
      <c r="BV87" s="1" t="str">
        <f t="shared" si="19"/>
        <v/>
      </c>
      <c r="BW87" s="1" t="str">
        <f t="shared" si="20"/>
        <v/>
      </c>
      <c r="BX87" s="1" t="str">
        <f t="shared" si="21"/>
        <v/>
      </c>
      <c r="BY87" s="1" t="str">
        <f t="shared" si="22"/>
        <v/>
      </c>
      <c r="BZ87" s="1" t="str">
        <f t="shared" si="23"/>
        <v/>
      </c>
      <c r="CA87" s="1" t="str">
        <f t="shared" si="24"/>
        <v/>
      </c>
      <c r="CB87" s="1" t="str">
        <f t="shared" si="25"/>
        <v/>
      </c>
      <c r="CC87" s="1" t="str">
        <f t="shared" si="26"/>
        <v/>
      </c>
      <c r="CD87" s="1" t="str">
        <f t="shared" si="27"/>
        <v/>
      </c>
      <c r="CE87" s="1" t="str">
        <f t="shared" si="28"/>
        <v/>
      </c>
      <c r="CF87" s="1">
        <f>COUNTIF(BT87:CE87, "&gt;0")</f>
        <v>0</v>
      </c>
      <c r="CG87" s="1" t="str">
        <f t="shared" ref="CG87:CR91" si="32">IF($CF87=1,BT87,"")</f>
        <v/>
      </c>
      <c r="CH87" s="1" t="str">
        <f t="shared" si="32"/>
        <v/>
      </c>
      <c r="CI87" s="1" t="str">
        <f t="shared" si="32"/>
        <v/>
      </c>
      <c r="CJ87" s="1" t="str">
        <f t="shared" si="32"/>
        <v/>
      </c>
      <c r="CK87" s="1" t="str">
        <f t="shared" si="32"/>
        <v/>
      </c>
      <c r="CL87" s="1" t="str">
        <f t="shared" si="32"/>
        <v/>
      </c>
      <c r="CM87" s="1" t="str">
        <f t="shared" si="32"/>
        <v/>
      </c>
      <c r="CN87" s="1" t="str">
        <f t="shared" si="32"/>
        <v/>
      </c>
      <c r="CO87" s="1" t="str">
        <f t="shared" si="32"/>
        <v/>
      </c>
      <c r="CP87" s="1" t="str">
        <f t="shared" si="32"/>
        <v/>
      </c>
      <c r="CQ87" s="1" t="str">
        <f t="shared" si="32"/>
        <v/>
      </c>
      <c r="CR87" s="1" t="str">
        <f t="shared" si="32"/>
        <v/>
      </c>
      <c r="CS87" s="18">
        <f>SUM(AE87:BO87)</f>
        <v>15</v>
      </c>
    </row>
    <row r="88" spans="1:97" ht="40.5" x14ac:dyDescent="0.15">
      <c r="A88" s="1">
        <v>89</v>
      </c>
      <c r="B88" s="3" t="s">
        <v>85</v>
      </c>
      <c r="C88" s="3" t="s">
        <v>86</v>
      </c>
      <c r="D88" s="1" t="s">
        <v>1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1"/>
      <c r="AF88" s="1">
        <v>5</v>
      </c>
      <c r="AG88" s="1"/>
      <c r="AH88" s="1">
        <v>5</v>
      </c>
      <c r="AI88" s="1">
        <v>5</v>
      </c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 t="shared" si="16"/>
        <v>15</v>
      </c>
      <c r="BQ88" s="1">
        <v>15</v>
      </c>
      <c r="BR88" s="17">
        <v>3</v>
      </c>
      <c r="BS88" s="17" t="s">
        <v>288</v>
      </c>
      <c r="BT88" s="1" t="str">
        <f t="shared" si="17"/>
        <v/>
      </c>
      <c r="BU88" s="1" t="str">
        <f t="shared" si="18"/>
        <v/>
      </c>
      <c r="BV88" s="1" t="str">
        <f t="shared" si="19"/>
        <v/>
      </c>
      <c r="BW88" s="1" t="str">
        <f t="shared" si="20"/>
        <v/>
      </c>
      <c r="BX88" s="1" t="str">
        <f t="shared" si="21"/>
        <v/>
      </c>
      <c r="BY88" s="1" t="str">
        <f t="shared" si="22"/>
        <v/>
      </c>
      <c r="BZ88" s="1" t="str">
        <f t="shared" si="23"/>
        <v/>
      </c>
      <c r="CA88" s="1" t="str">
        <f t="shared" si="24"/>
        <v/>
      </c>
      <c r="CB88" s="1" t="str">
        <f t="shared" si="25"/>
        <v/>
      </c>
      <c r="CC88" s="1" t="str">
        <f t="shared" si="26"/>
        <v/>
      </c>
      <c r="CD88" s="1" t="str">
        <f t="shared" si="27"/>
        <v/>
      </c>
      <c r="CE88" s="1" t="str">
        <f t="shared" si="28"/>
        <v/>
      </c>
      <c r="CF88" s="1">
        <f>COUNTIF(BT88:CE88, "&gt;0")</f>
        <v>0</v>
      </c>
      <c r="CG88" s="1" t="str">
        <f t="shared" si="32"/>
        <v/>
      </c>
      <c r="CH88" s="1" t="str">
        <f t="shared" si="32"/>
        <v/>
      </c>
      <c r="CI88" s="1" t="str">
        <f t="shared" si="32"/>
        <v/>
      </c>
      <c r="CJ88" s="1" t="str">
        <f t="shared" si="32"/>
        <v/>
      </c>
      <c r="CK88" s="1" t="str">
        <f t="shared" si="32"/>
        <v/>
      </c>
      <c r="CL88" s="1" t="str">
        <f t="shared" si="32"/>
        <v/>
      </c>
      <c r="CM88" s="1" t="str">
        <f t="shared" si="32"/>
        <v/>
      </c>
      <c r="CN88" s="1" t="str">
        <f t="shared" si="32"/>
        <v/>
      </c>
      <c r="CO88" s="1" t="str">
        <f t="shared" si="32"/>
        <v/>
      </c>
      <c r="CP88" s="1" t="str">
        <f t="shared" si="32"/>
        <v/>
      </c>
      <c r="CQ88" s="1" t="str">
        <f t="shared" si="32"/>
        <v/>
      </c>
      <c r="CR88" s="1" t="str">
        <f t="shared" si="32"/>
        <v/>
      </c>
      <c r="CS88" s="18">
        <f>SUM(AE88:BO88)</f>
        <v>15</v>
      </c>
    </row>
    <row r="89" spans="1:97" ht="40.5" x14ac:dyDescent="0.15">
      <c r="A89" s="1">
        <v>45</v>
      </c>
      <c r="B89" s="1" t="s">
        <v>112</v>
      </c>
      <c r="C89" s="1" t="s">
        <v>49</v>
      </c>
      <c r="D89" s="1" t="s">
        <v>13</v>
      </c>
      <c r="E89" s="6">
        <v>6</v>
      </c>
      <c r="F89" s="6"/>
      <c r="G89" s="6"/>
      <c r="H89" s="6"/>
      <c r="I89" s="6"/>
      <c r="J89" s="6"/>
      <c r="K89" s="6"/>
      <c r="L89" s="6"/>
      <c r="M89" s="6">
        <v>6</v>
      </c>
      <c r="N89" s="6"/>
      <c r="O89" s="6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>
        <v>10</v>
      </c>
      <c r="AR89" s="4"/>
      <c r="AS89" s="4"/>
      <c r="AT89" s="4"/>
      <c r="AU89" s="4"/>
      <c r="AV89" s="4"/>
      <c r="AW89" s="2"/>
      <c r="AX89" s="2"/>
      <c r="AY89" s="2"/>
      <c r="AZ89" s="2">
        <v>10</v>
      </c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 t="shared" si="16"/>
        <v>32</v>
      </c>
      <c r="BQ89" s="1">
        <v>16</v>
      </c>
      <c r="BR89" s="17">
        <v>3</v>
      </c>
      <c r="BS89" s="17" t="s">
        <v>239</v>
      </c>
      <c r="BT89" s="1">
        <f t="shared" si="17"/>
        <v>1</v>
      </c>
      <c r="BU89" s="1" t="str">
        <f t="shared" si="18"/>
        <v/>
      </c>
      <c r="BV89" s="1" t="str">
        <f t="shared" si="19"/>
        <v/>
      </c>
      <c r="BW89" s="1" t="str">
        <f t="shared" si="20"/>
        <v/>
      </c>
      <c r="BX89" s="1" t="str">
        <f t="shared" si="21"/>
        <v/>
      </c>
      <c r="BY89" s="1" t="str">
        <f t="shared" si="22"/>
        <v/>
      </c>
      <c r="BZ89" s="1" t="str">
        <f t="shared" si="23"/>
        <v/>
      </c>
      <c r="CA89" s="1" t="str">
        <f t="shared" si="24"/>
        <v/>
      </c>
      <c r="CB89" s="1" t="str">
        <f t="shared" si="25"/>
        <v/>
      </c>
      <c r="CC89" s="1">
        <f t="shared" si="26"/>
        <v>10</v>
      </c>
      <c r="CD89" s="1" t="str">
        <f t="shared" si="27"/>
        <v/>
      </c>
      <c r="CE89" s="1" t="str">
        <f t="shared" si="28"/>
        <v/>
      </c>
      <c r="CF89" s="1">
        <f>COUNTIF(BT89:CE89, "&gt;0")</f>
        <v>2</v>
      </c>
      <c r="CG89" s="1" t="str">
        <f t="shared" si="32"/>
        <v/>
      </c>
      <c r="CH89" s="1" t="str">
        <f t="shared" si="32"/>
        <v/>
      </c>
      <c r="CI89" s="1" t="str">
        <f t="shared" si="32"/>
        <v/>
      </c>
      <c r="CJ89" s="1" t="str">
        <f t="shared" si="32"/>
        <v/>
      </c>
      <c r="CK89" s="1" t="str">
        <f t="shared" si="32"/>
        <v/>
      </c>
      <c r="CL89" s="1" t="str">
        <f t="shared" si="32"/>
        <v/>
      </c>
      <c r="CM89" s="1" t="str">
        <f t="shared" si="32"/>
        <v/>
      </c>
      <c r="CN89" s="1" t="str">
        <f t="shared" si="32"/>
        <v/>
      </c>
      <c r="CO89" s="1" t="str">
        <f t="shared" si="32"/>
        <v/>
      </c>
      <c r="CP89" s="1" t="str">
        <f t="shared" si="32"/>
        <v/>
      </c>
      <c r="CQ89" s="1" t="str">
        <f t="shared" si="32"/>
        <v/>
      </c>
      <c r="CR89" s="1" t="str">
        <f t="shared" si="32"/>
        <v/>
      </c>
      <c r="CS89" s="18">
        <f>SUM(AE89:BO89)</f>
        <v>20</v>
      </c>
    </row>
    <row r="90" spans="1:97" ht="40.5" x14ac:dyDescent="0.15">
      <c r="A90" s="1">
        <v>81</v>
      </c>
      <c r="B90" s="3" t="s">
        <v>72</v>
      </c>
      <c r="C90" s="3" t="s">
        <v>69</v>
      </c>
      <c r="D90" s="1" t="s">
        <v>13</v>
      </c>
      <c r="E90" s="6"/>
      <c r="F90" s="6"/>
      <c r="G90" s="6"/>
      <c r="H90" s="6"/>
      <c r="I90" s="6"/>
      <c r="J90" s="6"/>
      <c r="K90" s="6"/>
      <c r="L90" s="6">
        <v>6</v>
      </c>
      <c r="M90" s="6"/>
      <c r="N90" s="6"/>
      <c r="O90" s="6">
        <v>6</v>
      </c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32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>
        <v>10</v>
      </c>
      <c r="AU90" s="4"/>
      <c r="AV90" s="4"/>
      <c r="AW90" s="2"/>
      <c r="AX90" s="2"/>
      <c r="AY90" s="2"/>
      <c r="AZ90" s="2"/>
      <c r="BA90" s="2">
        <v>10</v>
      </c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 t="shared" si="16"/>
        <v>32</v>
      </c>
      <c r="BQ90" s="1">
        <v>18</v>
      </c>
      <c r="BR90" s="17">
        <v>3</v>
      </c>
      <c r="BS90" s="17" t="s">
        <v>217</v>
      </c>
      <c r="BT90" s="1" t="str">
        <f t="shared" si="17"/>
        <v/>
      </c>
      <c r="BU90" s="1" t="str">
        <f t="shared" si="18"/>
        <v/>
      </c>
      <c r="BV90" s="1" t="str">
        <f t="shared" si="19"/>
        <v/>
      </c>
      <c r="BW90" s="1">
        <f t="shared" si="20"/>
        <v>3</v>
      </c>
      <c r="BX90" s="1" t="str">
        <f t="shared" si="21"/>
        <v/>
      </c>
      <c r="BY90" s="1" t="str">
        <f t="shared" si="22"/>
        <v/>
      </c>
      <c r="BZ90" s="1" t="str">
        <f t="shared" si="23"/>
        <v/>
      </c>
      <c r="CA90" s="1" t="str">
        <f t="shared" si="24"/>
        <v/>
      </c>
      <c r="CB90" s="1" t="str">
        <f t="shared" si="25"/>
        <v/>
      </c>
      <c r="CC90" s="1" t="str">
        <f t="shared" si="26"/>
        <v/>
      </c>
      <c r="CD90" s="1">
        <f t="shared" si="27"/>
        <v>10</v>
      </c>
      <c r="CE90" s="1" t="str">
        <f t="shared" si="28"/>
        <v/>
      </c>
      <c r="CF90" s="1">
        <f>COUNTIF(BT90:CE90, "&gt;0")</f>
        <v>2</v>
      </c>
      <c r="CG90" s="1" t="str">
        <f t="shared" si="32"/>
        <v/>
      </c>
      <c r="CH90" s="1" t="str">
        <f t="shared" si="32"/>
        <v/>
      </c>
      <c r="CI90" s="1" t="str">
        <f t="shared" si="32"/>
        <v/>
      </c>
      <c r="CJ90" s="1" t="str">
        <f t="shared" si="32"/>
        <v/>
      </c>
      <c r="CK90" s="1" t="str">
        <f t="shared" si="32"/>
        <v/>
      </c>
      <c r="CL90" s="1" t="str">
        <f t="shared" si="32"/>
        <v/>
      </c>
      <c r="CM90" s="1" t="str">
        <f t="shared" si="32"/>
        <v/>
      </c>
      <c r="CN90" s="1" t="str">
        <f t="shared" si="32"/>
        <v/>
      </c>
      <c r="CO90" s="1" t="str">
        <f t="shared" si="32"/>
        <v/>
      </c>
      <c r="CP90" s="1" t="str">
        <f t="shared" si="32"/>
        <v/>
      </c>
      <c r="CQ90" s="1" t="str">
        <f t="shared" si="32"/>
        <v/>
      </c>
      <c r="CR90" s="1" t="str">
        <f t="shared" si="32"/>
        <v/>
      </c>
      <c r="CS90" s="18">
        <f>SUM(AE90:BO90)</f>
        <v>20</v>
      </c>
    </row>
    <row r="91" spans="1:97" ht="40.5" x14ac:dyDescent="0.15">
      <c r="A91" s="1">
        <v>72</v>
      </c>
      <c r="B91" s="3" t="s">
        <v>98</v>
      </c>
      <c r="C91" s="1" t="s">
        <v>61</v>
      </c>
      <c r="D91" s="1" t="s">
        <v>13</v>
      </c>
      <c r="E91" s="6"/>
      <c r="F91" s="6"/>
      <c r="G91" s="6"/>
      <c r="H91" s="6"/>
      <c r="I91" s="6"/>
      <c r="J91" s="6"/>
      <c r="K91" s="6"/>
      <c r="L91" s="6">
        <v>6</v>
      </c>
      <c r="M91" s="6">
        <v>6</v>
      </c>
      <c r="N91" s="6"/>
      <c r="O91" s="6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>
        <v>10</v>
      </c>
      <c r="AW91" s="2"/>
      <c r="AX91" s="2"/>
      <c r="AY91" s="2"/>
      <c r="AZ91" s="2"/>
      <c r="BA91" s="2">
        <v>10</v>
      </c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 t="shared" si="16"/>
        <v>32</v>
      </c>
      <c r="BQ91" s="1">
        <v>18</v>
      </c>
      <c r="BR91" s="17">
        <v>3</v>
      </c>
      <c r="BS91" s="17" t="s">
        <v>219</v>
      </c>
      <c r="BT91" s="1" t="str">
        <f t="shared" si="17"/>
        <v/>
      </c>
      <c r="BU91" s="1" t="str">
        <f t="shared" si="18"/>
        <v/>
      </c>
      <c r="BV91" s="1" t="str">
        <f t="shared" si="19"/>
        <v/>
      </c>
      <c r="BW91" s="1" t="str">
        <f t="shared" si="20"/>
        <v/>
      </c>
      <c r="BX91" s="1" t="str">
        <f t="shared" si="21"/>
        <v/>
      </c>
      <c r="BY91" s="1">
        <f t="shared" si="22"/>
        <v>3</v>
      </c>
      <c r="BZ91" s="1" t="str">
        <f t="shared" si="23"/>
        <v/>
      </c>
      <c r="CA91" s="1" t="str">
        <f t="shared" si="24"/>
        <v/>
      </c>
      <c r="CB91" s="1" t="str">
        <f t="shared" si="25"/>
        <v/>
      </c>
      <c r="CC91" s="1" t="str">
        <f t="shared" si="26"/>
        <v/>
      </c>
      <c r="CD91" s="1">
        <f t="shared" si="27"/>
        <v>10</v>
      </c>
      <c r="CE91" s="1" t="str">
        <f t="shared" si="28"/>
        <v/>
      </c>
      <c r="CF91" s="1">
        <f>COUNTIF(BT91:CE91, "&gt;0")</f>
        <v>2</v>
      </c>
      <c r="CG91" s="1" t="str">
        <f t="shared" si="32"/>
        <v/>
      </c>
      <c r="CH91" s="1" t="str">
        <f t="shared" si="32"/>
        <v/>
      </c>
      <c r="CI91" s="1" t="str">
        <f t="shared" si="32"/>
        <v/>
      </c>
      <c r="CJ91" s="1" t="str">
        <f t="shared" si="32"/>
        <v/>
      </c>
      <c r="CK91" s="1" t="str">
        <f t="shared" si="32"/>
        <v/>
      </c>
      <c r="CL91" s="1" t="str">
        <f t="shared" si="32"/>
        <v/>
      </c>
      <c r="CM91" s="1" t="str">
        <f t="shared" si="32"/>
        <v/>
      </c>
      <c r="CN91" s="1" t="str">
        <f t="shared" si="32"/>
        <v/>
      </c>
      <c r="CO91" s="1" t="str">
        <f t="shared" si="32"/>
        <v/>
      </c>
      <c r="CP91" s="1" t="str">
        <f t="shared" si="32"/>
        <v/>
      </c>
      <c r="CQ91" s="1" t="str">
        <f t="shared" si="32"/>
        <v/>
      </c>
      <c r="CR91" s="1" t="str">
        <f t="shared" si="32"/>
        <v/>
      </c>
      <c r="CS91" s="18">
        <f>SUM(AE91:BO91)</f>
        <v>20</v>
      </c>
    </row>
    <row r="92" spans="1:97" ht="40.5" x14ac:dyDescent="0.15">
      <c r="A92" s="1"/>
      <c r="B92" s="1" t="s">
        <v>120</v>
      </c>
      <c r="C92" s="1" t="s">
        <v>117</v>
      </c>
      <c r="D92" s="1" t="s">
        <v>114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>
        <v>5</v>
      </c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>
        <v>5</v>
      </c>
      <c r="AP92" s="1">
        <v>10</v>
      </c>
      <c r="AQ92" s="4"/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 t="shared" si="16"/>
        <v>20</v>
      </c>
      <c r="BQ92" s="1">
        <v>19</v>
      </c>
      <c r="BR92" s="17">
        <v>3</v>
      </c>
      <c r="BS92" s="17" t="s">
        <v>283</v>
      </c>
      <c r="BT92" s="1" t="str">
        <f t="shared" si="17"/>
        <v/>
      </c>
      <c r="BU92" s="1" t="str">
        <f t="shared" si="18"/>
        <v/>
      </c>
      <c r="BV92" s="1" t="str">
        <f t="shared" si="19"/>
        <v/>
      </c>
      <c r="BW92" s="1" t="str">
        <f t="shared" si="20"/>
        <v/>
      </c>
      <c r="BX92" s="1" t="str">
        <f t="shared" si="21"/>
        <v/>
      </c>
      <c r="BY92" s="1" t="str">
        <f t="shared" si="22"/>
        <v/>
      </c>
      <c r="BZ92" s="1" t="str">
        <f t="shared" si="23"/>
        <v/>
      </c>
      <c r="CA92" s="1" t="str">
        <f t="shared" si="24"/>
        <v/>
      </c>
      <c r="CB92" s="1" t="str">
        <f t="shared" si="25"/>
        <v/>
      </c>
      <c r="CC92" s="1" t="str">
        <f t="shared" si="26"/>
        <v/>
      </c>
      <c r="CD92" s="1" t="str">
        <f t="shared" si="27"/>
        <v/>
      </c>
      <c r="CE92" s="1" t="str">
        <f t="shared" si="28"/>
        <v/>
      </c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8"/>
    </row>
    <row r="93" spans="1:97" ht="40.5" x14ac:dyDescent="0.15">
      <c r="A93" s="1">
        <v>21</v>
      </c>
      <c r="B93" s="1" t="s">
        <v>39</v>
      </c>
      <c r="C93" s="1" t="s">
        <v>32</v>
      </c>
      <c r="D93" s="1" t="s">
        <v>26</v>
      </c>
      <c r="E93" s="6"/>
      <c r="F93" s="6"/>
      <c r="G93" s="6">
        <v>6</v>
      </c>
      <c r="H93" s="6">
        <v>6</v>
      </c>
      <c r="I93" s="6"/>
      <c r="J93" s="6"/>
      <c r="K93" s="6"/>
      <c r="L93" s="6"/>
      <c r="M93" s="6"/>
      <c r="N93" s="6"/>
      <c r="O93" s="6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>
        <v>10</v>
      </c>
      <c r="AT93" s="4"/>
      <c r="AU93" s="4"/>
      <c r="AV93" s="4"/>
      <c r="AW93" s="2"/>
      <c r="AX93" s="2"/>
      <c r="AY93" s="2"/>
      <c r="AZ93" s="2"/>
      <c r="BA93" s="2"/>
      <c r="BB93" s="2">
        <v>10</v>
      </c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 t="shared" si="16"/>
        <v>32</v>
      </c>
      <c r="BQ93" s="1">
        <v>20</v>
      </c>
      <c r="BR93" s="17">
        <v>3</v>
      </c>
      <c r="BS93" s="17" t="s">
        <v>280</v>
      </c>
      <c r="BT93" s="1" t="str">
        <f t="shared" si="17"/>
        <v/>
      </c>
      <c r="BU93" s="1" t="str">
        <f t="shared" si="18"/>
        <v/>
      </c>
      <c r="BV93" s="1">
        <f t="shared" si="19"/>
        <v>8</v>
      </c>
      <c r="BW93" s="1" t="str">
        <f t="shared" si="20"/>
        <v/>
      </c>
      <c r="BX93" s="1" t="str">
        <f t="shared" si="21"/>
        <v/>
      </c>
      <c r="BY93" s="1" t="str">
        <f t="shared" si="22"/>
        <v/>
      </c>
      <c r="BZ93" s="1" t="str">
        <f t="shared" si="23"/>
        <v/>
      </c>
      <c r="CA93" s="1" t="str">
        <f t="shared" si="24"/>
        <v/>
      </c>
      <c r="CB93" s="1" t="str">
        <f t="shared" si="25"/>
        <v/>
      </c>
      <c r="CC93" s="1" t="str">
        <f t="shared" si="26"/>
        <v/>
      </c>
      <c r="CD93" s="1" t="str">
        <f t="shared" si="27"/>
        <v/>
      </c>
      <c r="CE93" s="1" t="str">
        <f t="shared" si="28"/>
        <v/>
      </c>
      <c r="CF93" s="1">
        <f>COUNTIF(BT93:CE93, "&gt;0")</f>
        <v>1</v>
      </c>
      <c r="CG93" s="1" t="str">
        <f t="shared" ref="CG93:CR93" si="33">IF($CF93=1,BT93,"")</f>
        <v/>
      </c>
      <c r="CH93" s="1" t="str">
        <f t="shared" si="33"/>
        <v/>
      </c>
      <c r="CI93" s="1">
        <f t="shared" si="33"/>
        <v>8</v>
      </c>
      <c r="CJ93" s="1" t="str">
        <f t="shared" si="33"/>
        <v/>
      </c>
      <c r="CK93" s="1" t="str">
        <f t="shared" si="33"/>
        <v/>
      </c>
      <c r="CL93" s="1" t="str">
        <f t="shared" si="33"/>
        <v/>
      </c>
      <c r="CM93" s="1" t="str">
        <f t="shared" si="33"/>
        <v/>
      </c>
      <c r="CN93" s="1" t="str">
        <f t="shared" si="33"/>
        <v/>
      </c>
      <c r="CO93" s="1" t="str">
        <f t="shared" si="33"/>
        <v/>
      </c>
      <c r="CP93" s="1" t="str">
        <f t="shared" si="33"/>
        <v/>
      </c>
      <c r="CQ93" s="1" t="str">
        <f t="shared" si="33"/>
        <v/>
      </c>
      <c r="CR93" s="1" t="str">
        <f t="shared" si="33"/>
        <v/>
      </c>
      <c r="CS93" s="18">
        <f>SUM(AE93:BO93)</f>
        <v>20</v>
      </c>
    </row>
    <row r="94" spans="1:97" ht="40.5" x14ac:dyDescent="0.15">
      <c r="A94" s="1"/>
      <c r="B94" s="1" t="s">
        <v>173</v>
      </c>
      <c r="C94" s="1" t="s">
        <v>175</v>
      </c>
      <c r="D94" s="1" t="s">
        <v>148</v>
      </c>
      <c r="E94" s="6"/>
      <c r="F94" s="6"/>
      <c r="G94" s="6"/>
      <c r="H94" s="6"/>
      <c r="I94" s="6"/>
      <c r="J94" s="6">
        <v>10</v>
      </c>
      <c r="K94" s="6"/>
      <c r="L94" s="6"/>
      <c r="M94" s="6"/>
      <c r="N94" s="6"/>
      <c r="O94" s="6"/>
      <c r="P94" s="32"/>
      <c r="Q94" s="32"/>
      <c r="R94" s="32"/>
      <c r="S94" s="32"/>
      <c r="T94" s="32"/>
      <c r="U94" s="32">
        <v>10</v>
      </c>
      <c r="V94" s="32"/>
      <c r="W94" s="32"/>
      <c r="X94" s="32"/>
      <c r="Y94" s="32"/>
      <c r="Z94" s="32"/>
      <c r="AA94" s="32">
        <v>10</v>
      </c>
      <c r="AB94" s="32"/>
      <c r="AC94" s="32"/>
      <c r="AD94" s="32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>
        <v>10</v>
      </c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 t="shared" si="16"/>
        <v>40</v>
      </c>
      <c r="BQ94" s="1">
        <v>20</v>
      </c>
      <c r="BR94" s="17">
        <v>3</v>
      </c>
      <c r="BS94" s="17" t="s">
        <v>293</v>
      </c>
      <c r="BT94" s="1">
        <f t="shared" si="17"/>
        <v>1</v>
      </c>
      <c r="BU94" s="1" t="str">
        <f t="shared" si="18"/>
        <v/>
      </c>
      <c r="BV94" s="1" t="str">
        <f t="shared" si="19"/>
        <v/>
      </c>
      <c r="BW94" s="1" t="str">
        <f t="shared" si="20"/>
        <v/>
      </c>
      <c r="BX94" s="1" t="str">
        <f t="shared" si="21"/>
        <v/>
      </c>
      <c r="BY94" s="1" t="str">
        <f t="shared" si="22"/>
        <v/>
      </c>
      <c r="BZ94" s="1" t="str">
        <f t="shared" si="23"/>
        <v/>
      </c>
      <c r="CA94" s="1" t="str">
        <f t="shared" si="24"/>
        <v/>
      </c>
      <c r="CB94" s="1" t="str">
        <f t="shared" si="25"/>
        <v/>
      </c>
      <c r="CC94" s="1" t="str">
        <f t="shared" si="26"/>
        <v/>
      </c>
      <c r="CD94" s="1" t="str">
        <f t="shared" si="27"/>
        <v/>
      </c>
      <c r="CE94" s="1" t="str">
        <f t="shared" si="28"/>
        <v/>
      </c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8"/>
    </row>
    <row r="95" spans="1:97" ht="40.5" x14ac:dyDescent="0.15">
      <c r="A95" s="1"/>
      <c r="B95" s="1" t="s">
        <v>184</v>
      </c>
      <c r="C95" s="1" t="s">
        <v>178</v>
      </c>
      <c r="D95" s="1" t="s">
        <v>148</v>
      </c>
      <c r="E95" s="6"/>
      <c r="F95" s="6"/>
      <c r="G95" s="6"/>
      <c r="H95" s="6"/>
      <c r="I95" s="6"/>
      <c r="J95" s="6">
        <v>10</v>
      </c>
      <c r="K95" s="6"/>
      <c r="L95" s="6"/>
      <c r="M95" s="6"/>
      <c r="N95" s="6"/>
      <c r="O95" s="6"/>
      <c r="P95" s="32"/>
      <c r="Q95" s="32"/>
      <c r="R95" s="32"/>
      <c r="S95" s="32"/>
      <c r="T95" s="32"/>
      <c r="U95" s="32">
        <v>10</v>
      </c>
      <c r="V95" s="32"/>
      <c r="W95" s="32"/>
      <c r="X95" s="32"/>
      <c r="Y95" s="32"/>
      <c r="Z95" s="32"/>
      <c r="AA95" s="32">
        <v>10</v>
      </c>
      <c r="AB95" s="32"/>
      <c r="AC95" s="32"/>
      <c r="AD95" s="32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>
        <v>10</v>
      </c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 t="shared" si="16"/>
        <v>40</v>
      </c>
      <c r="BQ95" s="1">
        <v>20</v>
      </c>
      <c r="BR95" s="17">
        <v>3</v>
      </c>
      <c r="BS95" s="17" t="s">
        <v>294</v>
      </c>
      <c r="BT95" s="1">
        <f t="shared" si="17"/>
        <v>1</v>
      </c>
      <c r="BU95" s="1" t="str">
        <f t="shared" si="18"/>
        <v/>
      </c>
      <c r="BV95" s="1" t="str">
        <f t="shared" si="19"/>
        <v/>
      </c>
      <c r="BW95" s="1" t="str">
        <f t="shared" si="20"/>
        <v/>
      </c>
      <c r="BX95" s="1" t="str">
        <f t="shared" si="21"/>
        <v/>
      </c>
      <c r="BY95" s="1" t="str">
        <f t="shared" si="22"/>
        <v/>
      </c>
      <c r="BZ95" s="1" t="str">
        <f t="shared" si="23"/>
        <v/>
      </c>
      <c r="CA95" s="1" t="str">
        <f t="shared" si="24"/>
        <v/>
      </c>
      <c r="CB95" s="1" t="str">
        <f t="shared" si="25"/>
        <v/>
      </c>
      <c r="CC95" s="1" t="str">
        <f t="shared" si="26"/>
        <v/>
      </c>
      <c r="CD95" s="1" t="str">
        <f t="shared" si="27"/>
        <v/>
      </c>
      <c r="CE95" s="1" t="str">
        <f t="shared" si="28"/>
        <v/>
      </c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8"/>
    </row>
    <row r="96" spans="1:97" ht="40.5" x14ac:dyDescent="0.15">
      <c r="A96" s="19">
        <v>93</v>
      </c>
      <c r="B96" s="27" t="s">
        <v>88</v>
      </c>
      <c r="C96" s="27" t="s">
        <v>86</v>
      </c>
      <c r="D96" s="19" t="s">
        <v>1</v>
      </c>
      <c r="E96" s="20"/>
      <c r="F96" s="20">
        <v>20</v>
      </c>
      <c r="G96" s="20"/>
      <c r="H96" s="20"/>
      <c r="I96" s="20"/>
      <c r="J96" s="20"/>
      <c r="K96" s="20">
        <v>20</v>
      </c>
      <c r="L96" s="20"/>
      <c r="M96" s="20"/>
      <c r="N96" s="20">
        <v>20</v>
      </c>
      <c r="O96" s="20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19"/>
      <c r="AF96" s="19"/>
      <c r="AG96" s="19"/>
      <c r="AH96" s="19"/>
      <c r="AI96" s="19"/>
      <c r="AJ96" s="19"/>
      <c r="AK96" s="19"/>
      <c r="AL96" s="19"/>
      <c r="AM96" s="19"/>
      <c r="AN96" s="19"/>
      <c r="AO96" s="19"/>
      <c r="AP96" s="19"/>
      <c r="AQ96" s="21"/>
      <c r="AR96" s="21"/>
      <c r="AS96" s="21"/>
      <c r="AT96" s="21"/>
      <c r="AU96" s="21"/>
      <c r="AV96" s="21"/>
      <c r="AW96" s="22"/>
      <c r="AX96" s="22"/>
      <c r="AY96" s="22"/>
      <c r="AZ96" s="22"/>
      <c r="BA96" s="22"/>
      <c r="BB96" s="22"/>
      <c r="BC96" s="30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  <c r="BP96" s="1">
        <f t="shared" si="16"/>
        <v>60</v>
      </c>
      <c r="BQ96" s="19">
        <v>22</v>
      </c>
      <c r="BR96" s="23">
        <v>3</v>
      </c>
      <c r="BS96" s="23" t="s">
        <v>253</v>
      </c>
      <c r="BT96" s="1" t="str">
        <f t="shared" si="17"/>
        <v/>
      </c>
      <c r="BU96" s="1" t="str">
        <f t="shared" si="18"/>
        <v/>
      </c>
      <c r="BV96" s="1" t="str">
        <f t="shared" si="19"/>
        <v/>
      </c>
      <c r="BW96" s="1" t="str">
        <f t="shared" si="20"/>
        <v/>
      </c>
      <c r="BX96" s="1" t="str">
        <f t="shared" si="21"/>
        <v/>
      </c>
      <c r="BY96" s="1" t="str">
        <f t="shared" si="22"/>
        <v/>
      </c>
      <c r="BZ96" s="1" t="str">
        <f t="shared" si="23"/>
        <v/>
      </c>
      <c r="CA96" s="1" t="str">
        <f t="shared" si="24"/>
        <v/>
      </c>
      <c r="CB96" s="1" t="str">
        <f t="shared" si="25"/>
        <v/>
      </c>
      <c r="CC96" s="1" t="str">
        <f t="shared" si="26"/>
        <v/>
      </c>
      <c r="CD96" s="1" t="str">
        <f t="shared" si="27"/>
        <v/>
      </c>
      <c r="CE96" s="1" t="str">
        <f t="shared" si="28"/>
        <v/>
      </c>
      <c r="CF96" s="19">
        <f>COUNTIF(BT96:CE96, "&gt;0")</f>
        <v>0</v>
      </c>
      <c r="CG96" s="19" t="str">
        <f t="shared" ref="CG96:CR96" si="34">IF($CF96=1,BT96,"")</f>
        <v/>
      </c>
      <c r="CH96" s="19" t="str">
        <f t="shared" si="34"/>
        <v/>
      </c>
      <c r="CI96" s="19" t="str">
        <f t="shared" si="34"/>
        <v/>
      </c>
      <c r="CJ96" s="19" t="str">
        <f t="shared" si="34"/>
        <v/>
      </c>
      <c r="CK96" s="19" t="str">
        <f t="shared" si="34"/>
        <v/>
      </c>
      <c r="CL96" s="19" t="str">
        <f t="shared" si="34"/>
        <v/>
      </c>
      <c r="CM96" s="19" t="str">
        <f t="shared" si="34"/>
        <v/>
      </c>
      <c r="CN96" s="19" t="str">
        <f t="shared" si="34"/>
        <v/>
      </c>
      <c r="CO96" s="19" t="str">
        <f t="shared" si="34"/>
        <v/>
      </c>
      <c r="CP96" s="19" t="str">
        <f t="shared" si="34"/>
        <v/>
      </c>
      <c r="CQ96" s="19" t="str">
        <f t="shared" si="34"/>
        <v/>
      </c>
      <c r="CR96" s="19" t="str">
        <f t="shared" si="34"/>
        <v/>
      </c>
      <c r="CS96" s="24">
        <f>SUM(AE96:BO96)</f>
        <v>0</v>
      </c>
    </row>
    <row r="97" spans="1:97" ht="40.5" x14ac:dyDescent="0.15">
      <c r="A97" s="1"/>
      <c r="B97" s="1" t="s">
        <v>120</v>
      </c>
      <c r="C97" s="1" t="s">
        <v>117</v>
      </c>
      <c r="D97" s="1" t="s">
        <v>115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>
        <v>10</v>
      </c>
      <c r="AP97" s="1">
        <v>10</v>
      </c>
      <c r="AQ97" s="4"/>
      <c r="AR97" s="4"/>
      <c r="AS97" s="4">
        <v>5</v>
      </c>
      <c r="AT97" s="4"/>
      <c r="AU97" s="4"/>
      <c r="AV97" s="4"/>
      <c r="AW97" s="2"/>
      <c r="AX97" s="2">
        <v>5</v>
      </c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 t="shared" si="16"/>
        <v>30</v>
      </c>
      <c r="BQ97" s="1">
        <v>23</v>
      </c>
      <c r="BR97" s="17">
        <v>3</v>
      </c>
      <c r="BS97" s="17" t="s">
        <v>194</v>
      </c>
      <c r="BT97" s="1" t="str">
        <f t="shared" si="17"/>
        <v/>
      </c>
      <c r="BU97" s="1" t="str">
        <f t="shared" si="18"/>
        <v/>
      </c>
      <c r="BV97" s="1">
        <f t="shared" si="19"/>
        <v>3</v>
      </c>
      <c r="BW97" s="1" t="str">
        <f t="shared" si="20"/>
        <v/>
      </c>
      <c r="BX97" s="1" t="str">
        <f t="shared" si="21"/>
        <v/>
      </c>
      <c r="BY97" s="1" t="str">
        <f t="shared" si="22"/>
        <v/>
      </c>
      <c r="BZ97" s="1" t="str">
        <f t="shared" si="23"/>
        <v/>
      </c>
      <c r="CA97" s="1" t="str">
        <f t="shared" si="24"/>
        <v/>
      </c>
      <c r="CB97" s="1" t="str">
        <f t="shared" si="25"/>
        <v/>
      </c>
      <c r="CC97" s="1" t="str">
        <f t="shared" si="26"/>
        <v/>
      </c>
      <c r="CD97" s="1" t="str">
        <f t="shared" si="27"/>
        <v/>
      </c>
      <c r="CE97" s="1" t="str">
        <f t="shared" si="28"/>
        <v/>
      </c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8"/>
    </row>
    <row r="98" spans="1:97" ht="40.5" x14ac:dyDescent="0.15">
      <c r="A98" s="1"/>
      <c r="B98" s="1" t="s">
        <v>163</v>
      </c>
      <c r="C98" s="1" t="s">
        <v>164</v>
      </c>
      <c r="D98" s="1" t="s">
        <v>148</v>
      </c>
      <c r="E98" s="6">
        <v>10</v>
      </c>
      <c r="F98" s="6"/>
      <c r="G98" s="6"/>
      <c r="H98" s="6"/>
      <c r="I98" s="6"/>
      <c r="J98" s="6"/>
      <c r="K98" s="6"/>
      <c r="L98" s="6"/>
      <c r="M98" s="6"/>
      <c r="N98" s="6"/>
      <c r="O98" s="6"/>
      <c r="P98" s="32"/>
      <c r="Q98" s="32"/>
      <c r="R98" s="32">
        <v>10</v>
      </c>
      <c r="S98" s="32"/>
      <c r="T98" s="32"/>
      <c r="U98" s="32">
        <v>10</v>
      </c>
      <c r="V98" s="32"/>
      <c r="W98" s="32"/>
      <c r="X98" s="32"/>
      <c r="Y98" s="32"/>
      <c r="Z98" s="32"/>
      <c r="AA98" s="32"/>
      <c r="AB98" s="32"/>
      <c r="AC98" s="32"/>
      <c r="AD98" s="32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>
        <v>10</v>
      </c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 t="shared" si="16"/>
        <v>40</v>
      </c>
      <c r="BQ98" s="1">
        <v>24</v>
      </c>
      <c r="BR98" s="17">
        <v>3</v>
      </c>
      <c r="BS98" s="17" t="s">
        <v>301</v>
      </c>
      <c r="BT98" s="1" t="str">
        <f t="shared" si="17"/>
        <v/>
      </c>
      <c r="BU98" s="1" t="str">
        <f t="shared" si="18"/>
        <v/>
      </c>
      <c r="BV98" s="1" t="str">
        <f t="shared" si="19"/>
        <v/>
      </c>
      <c r="BW98" s="1" t="str">
        <f t="shared" si="20"/>
        <v/>
      </c>
      <c r="BX98" s="1">
        <f t="shared" si="21"/>
        <v>6</v>
      </c>
      <c r="BY98" s="1" t="str">
        <f t="shared" si="22"/>
        <v/>
      </c>
      <c r="BZ98" s="1" t="str">
        <f t="shared" si="23"/>
        <v/>
      </c>
      <c r="CA98" s="1" t="str">
        <f t="shared" si="24"/>
        <v/>
      </c>
      <c r="CB98" s="1" t="str">
        <f t="shared" si="25"/>
        <v/>
      </c>
      <c r="CC98" s="1" t="str">
        <f t="shared" si="26"/>
        <v/>
      </c>
      <c r="CD98" s="1" t="str">
        <f t="shared" si="27"/>
        <v/>
      </c>
      <c r="CE98" s="1" t="str">
        <f t="shared" si="28"/>
        <v/>
      </c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8"/>
    </row>
    <row r="99" spans="1:97" ht="40.5" x14ac:dyDescent="0.15">
      <c r="A99" s="1"/>
      <c r="B99" s="1" t="s">
        <v>171</v>
      </c>
      <c r="C99" s="1" t="s">
        <v>169</v>
      </c>
      <c r="D99" s="1" t="s">
        <v>148</v>
      </c>
      <c r="E99" s="6">
        <v>10</v>
      </c>
      <c r="F99" s="6"/>
      <c r="G99" s="6"/>
      <c r="H99" s="6"/>
      <c r="I99" s="6"/>
      <c r="J99" s="6"/>
      <c r="K99" s="6"/>
      <c r="L99" s="6"/>
      <c r="M99" s="6"/>
      <c r="N99" s="6"/>
      <c r="O99" s="6"/>
      <c r="P99" s="32"/>
      <c r="Q99" s="32"/>
      <c r="R99" s="32">
        <v>10</v>
      </c>
      <c r="S99" s="32"/>
      <c r="T99" s="32"/>
      <c r="U99" s="32">
        <v>10</v>
      </c>
      <c r="V99" s="32"/>
      <c r="W99" s="32"/>
      <c r="X99" s="32"/>
      <c r="Y99" s="32"/>
      <c r="Z99" s="32"/>
      <c r="AA99" s="32"/>
      <c r="AB99" s="32"/>
      <c r="AC99" s="32"/>
      <c r="AD99" s="32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>
        <v>10</v>
      </c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 t="shared" si="16"/>
        <v>40</v>
      </c>
      <c r="BQ99" s="1">
        <v>24</v>
      </c>
      <c r="BR99" s="17">
        <v>3</v>
      </c>
      <c r="BS99" s="17" t="s">
        <v>302</v>
      </c>
      <c r="BT99" s="1" t="str">
        <f t="shared" si="17"/>
        <v/>
      </c>
      <c r="BU99" s="1" t="str">
        <f t="shared" si="18"/>
        <v/>
      </c>
      <c r="BV99" s="1" t="str">
        <f t="shared" si="19"/>
        <v/>
      </c>
      <c r="BW99" s="1" t="str">
        <f t="shared" si="20"/>
        <v/>
      </c>
      <c r="BX99" s="1">
        <f t="shared" si="21"/>
        <v>6</v>
      </c>
      <c r="BY99" s="1" t="str">
        <f t="shared" si="22"/>
        <v/>
      </c>
      <c r="BZ99" s="1" t="str">
        <f t="shared" si="23"/>
        <v/>
      </c>
      <c r="CA99" s="1" t="str">
        <f t="shared" si="24"/>
        <v/>
      </c>
      <c r="CB99" s="1" t="str">
        <f t="shared" si="25"/>
        <v/>
      </c>
      <c r="CC99" s="1" t="str">
        <f t="shared" si="26"/>
        <v/>
      </c>
      <c r="CD99" s="1" t="str">
        <f t="shared" si="27"/>
        <v/>
      </c>
      <c r="CE99" s="1" t="str">
        <f t="shared" si="28"/>
        <v/>
      </c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8"/>
    </row>
    <row r="100" spans="1:97" ht="40.5" x14ac:dyDescent="0.15">
      <c r="A100" s="1"/>
      <c r="B100" s="1" t="s">
        <v>182</v>
      </c>
      <c r="C100" s="1" t="s">
        <v>178</v>
      </c>
      <c r="D100" s="1" t="s">
        <v>148</v>
      </c>
      <c r="E100" s="6">
        <v>10</v>
      </c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32"/>
      <c r="Q100" s="32"/>
      <c r="R100" s="32">
        <v>10</v>
      </c>
      <c r="S100" s="32"/>
      <c r="T100" s="32"/>
      <c r="U100" s="32">
        <v>10</v>
      </c>
      <c r="V100" s="32"/>
      <c r="W100" s="32"/>
      <c r="X100" s="32"/>
      <c r="Y100" s="32"/>
      <c r="Z100" s="32"/>
      <c r="AA100" s="32"/>
      <c r="AB100" s="32"/>
      <c r="AC100" s="32"/>
      <c r="AD100" s="32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>
        <v>10</v>
      </c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 t="shared" si="16"/>
        <v>40</v>
      </c>
      <c r="BQ100" s="1">
        <v>24</v>
      </c>
      <c r="BR100" s="17">
        <v>3</v>
      </c>
      <c r="BS100" s="17" t="s">
        <v>302</v>
      </c>
      <c r="BT100" s="1" t="str">
        <f t="shared" si="17"/>
        <v/>
      </c>
      <c r="BU100" s="1" t="str">
        <f t="shared" si="18"/>
        <v/>
      </c>
      <c r="BV100" s="1" t="str">
        <f t="shared" si="19"/>
        <v/>
      </c>
      <c r="BW100" s="1" t="str">
        <f t="shared" si="20"/>
        <v/>
      </c>
      <c r="BX100" s="1">
        <f t="shared" si="21"/>
        <v>6</v>
      </c>
      <c r="BY100" s="1" t="str">
        <f t="shared" si="22"/>
        <v/>
      </c>
      <c r="BZ100" s="1" t="str">
        <f t="shared" si="23"/>
        <v/>
      </c>
      <c r="CA100" s="1" t="str">
        <f t="shared" si="24"/>
        <v/>
      </c>
      <c r="CB100" s="1" t="str">
        <f t="shared" si="25"/>
        <v/>
      </c>
      <c r="CC100" s="1" t="str">
        <f t="shared" si="26"/>
        <v/>
      </c>
      <c r="CD100" s="1" t="str">
        <f t="shared" si="27"/>
        <v/>
      </c>
      <c r="CE100" s="1" t="str">
        <f t="shared" si="28"/>
        <v/>
      </c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8"/>
    </row>
    <row r="101" spans="1:97" ht="40.5" x14ac:dyDescent="0.15">
      <c r="A101" s="1"/>
      <c r="B101" s="1" t="s">
        <v>168</v>
      </c>
      <c r="C101" s="1" t="s">
        <v>169</v>
      </c>
      <c r="D101" s="1" t="s">
        <v>147</v>
      </c>
      <c r="E101" s="6"/>
      <c r="F101" s="6"/>
      <c r="G101" s="6"/>
      <c r="H101" s="6"/>
      <c r="I101" s="6"/>
      <c r="J101" s="6">
        <v>10</v>
      </c>
      <c r="K101" s="6"/>
      <c r="L101" s="6">
        <v>10</v>
      </c>
      <c r="M101" s="6">
        <v>10</v>
      </c>
      <c r="N101" s="6"/>
      <c r="O101" s="6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>
        <v>15</v>
      </c>
      <c r="AZ101" s="2">
        <v>15</v>
      </c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 t="shared" si="16"/>
        <v>60</v>
      </c>
      <c r="BQ101" s="1">
        <v>26</v>
      </c>
      <c r="BR101" s="17">
        <v>3</v>
      </c>
      <c r="BS101" s="17" t="s">
        <v>258</v>
      </c>
      <c r="BT101" s="1" t="str">
        <f t="shared" si="17"/>
        <v/>
      </c>
      <c r="BU101" s="1" t="str">
        <f t="shared" si="18"/>
        <v/>
      </c>
      <c r="BV101" s="1" t="str">
        <f t="shared" si="19"/>
        <v/>
      </c>
      <c r="BW101" s="1" t="str">
        <f t="shared" si="20"/>
        <v/>
      </c>
      <c r="BX101" s="1" t="str">
        <f t="shared" si="21"/>
        <v/>
      </c>
      <c r="BY101" s="1" t="str">
        <f t="shared" si="22"/>
        <v/>
      </c>
      <c r="BZ101" s="1" t="str">
        <f t="shared" si="23"/>
        <v/>
      </c>
      <c r="CA101" s="1" t="str">
        <f t="shared" si="24"/>
        <v/>
      </c>
      <c r="CB101" s="1">
        <f t="shared" si="25"/>
        <v>2</v>
      </c>
      <c r="CC101" s="1">
        <f t="shared" si="26"/>
        <v>15</v>
      </c>
      <c r="CD101" s="1" t="str">
        <f t="shared" si="27"/>
        <v/>
      </c>
      <c r="CE101" s="1" t="str">
        <f t="shared" si="28"/>
        <v/>
      </c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8"/>
    </row>
    <row r="102" spans="1:97" ht="40.5" x14ac:dyDescent="0.15">
      <c r="A102" s="1">
        <v>3</v>
      </c>
      <c r="B102" s="1" t="s">
        <v>11</v>
      </c>
      <c r="C102" s="1" t="s">
        <v>2</v>
      </c>
      <c r="D102" s="1" t="s">
        <v>12</v>
      </c>
      <c r="E102" s="6">
        <v>15</v>
      </c>
      <c r="F102" s="6"/>
      <c r="G102" s="6">
        <v>15</v>
      </c>
      <c r="H102" s="6"/>
      <c r="I102" s="6"/>
      <c r="J102" s="6"/>
      <c r="K102" s="6"/>
      <c r="L102" s="6"/>
      <c r="M102" s="6"/>
      <c r="N102" s="6"/>
      <c r="O102" s="6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>
        <v>15</v>
      </c>
      <c r="AS102" s="4"/>
      <c r="AT102" s="4"/>
      <c r="AU102" s="4"/>
      <c r="AV102" s="4"/>
      <c r="AW102" s="2"/>
      <c r="AX102" s="2"/>
      <c r="AY102" s="2"/>
      <c r="AZ102" s="2"/>
      <c r="BA102" s="2"/>
      <c r="BB102" s="2">
        <v>15</v>
      </c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 t="shared" si="16"/>
        <v>60</v>
      </c>
      <c r="BQ102" s="1">
        <v>27</v>
      </c>
      <c r="BR102" s="17">
        <v>3</v>
      </c>
      <c r="BS102" s="17" t="s">
        <v>279</v>
      </c>
      <c r="BT102" s="1" t="str">
        <f t="shared" si="17"/>
        <v/>
      </c>
      <c r="BU102" s="1">
        <f t="shared" si="18"/>
        <v>9</v>
      </c>
      <c r="BV102" s="1" t="str">
        <f t="shared" si="19"/>
        <v/>
      </c>
      <c r="BW102" s="1" t="str">
        <f t="shared" si="20"/>
        <v/>
      </c>
      <c r="BX102" s="1" t="str">
        <f t="shared" si="21"/>
        <v/>
      </c>
      <c r="BY102" s="1" t="str">
        <f t="shared" si="22"/>
        <v/>
      </c>
      <c r="BZ102" s="1" t="str">
        <f t="shared" si="23"/>
        <v/>
      </c>
      <c r="CA102" s="1" t="str">
        <f t="shared" si="24"/>
        <v/>
      </c>
      <c r="CB102" s="1" t="str">
        <f t="shared" si="25"/>
        <v/>
      </c>
      <c r="CC102" s="1" t="str">
        <f t="shared" si="26"/>
        <v/>
      </c>
      <c r="CD102" s="1" t="str">
        <f t="shared" si="27"/>
        <v/>
      </c>
      <c r="CE102" s="1" t="str">
        <f t="shared" si="28"/>
        <v/>
      </c>
      <c r="CF102" s="1">
        <f>COUNTIF(BT102:CE102, "&gt;0")</f>
        <v>1</v>
      </c>
      <c r="CG102" s="1" t="str">
        <f t="shared" ref="CG102:CR102" si="35">IF($CF102=1,BT102,"")</f>
        <v/>
      </c>
      <c r="CH102" s="1">
        <f t="shared" si="35"/>
        <v>9</v>
      </c>
      <c r="CI102" s="1" t="str">
        <f t="shared" si="35"/>
        <v/>
      </c>
      <c r="CJ102" s="1" t="str">
        <f t="shared" si="35"/>
        <v/>
      </c>
      <c r="CK102" s="1" t="str">
        <f t="shared" si="35"/>
        <v/>
      </c>
      <c r="CL102" s="1" t="str">
        <f t="shared" si="35"/>
        <v/>
      </c>
      <c r="CM102" s="1" t="str">
        <f t="shared" si="35"/>
        <v/>
      </c>
      <c r="CN102" s="1" t="str">
        <f t="shared" si="35"/>
        <v/>
      </c>
      <c r="CO102" s="1" t="str">
        <f t="shared" si="35"/>
        <v/>
      </c>
      <c r="CP102" s="1" t="str">
        <f t="shared" si="35"/>
        <v/>
      </c>
      <c r="CQ102" s="1" t="str">
        <f t="shared" si="35"/>
        <v/>
      </c>
      <c r="CR102" s="1" t="str">
        <f t="shared" si="35"/>
        <v/>
      </c>
      <c r="CS102" s="18">
        <f>SUM(AE102:BO102)</f>
        <v>30</v>
      </c>
    </row>
    <row r="103" spans="1:97" ht="40.5" x14ac:dyDescent="0.15">
      <c r="A103" s="1"/>
      <c r="B103" s="1" t="s">
        <v>211</v>
      </c>
      <c r="C103" s="1" t="s">
        <v>126</v>
      </c>
      <c r="D103" s="1" t="s">
        <v>114</v>
      </c>
      <c r="E103" s="6">
        <v>15</v>
      </c>
      <c r="F103" s="6"/>
      <c r="G103" s="6">
        <v>15</v>
      </c>
      <c r="H103" s="6"/>
      <c r="I103" s="6"/>
      <c r="J103" s="6"/>
      <c r="K103" s="6"/>
      <c r="L103" s="6"/>
      <c r="M103" s="6"/>
      <c r="N103" s="6"/>
      <c r="O103" s="6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>
        <v>15</v>
      </c>
      <c r="AS103" s="4"/>
      <c r="AT103" s="4"/>
      <c r="AU103" s="4"/>
      <c r="AV103" s="4"/>
      <c r="AW103" s="2"/>
      <c r="AX103" s="2"/>
      <c r="AY103" s="2"/>
      <c r="AZ103" s="2"/>
      <c r="BA103" s="2"/>
      <c r="BB103" s="2">
        <v>15</v>
      </c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 t="shared" si="16"/>
        <v>60</v>
      </c>
      <c r="BQ103" s="1">
        <v>27</v>
      </c>
      <c r="BR103" s="17">
        <v>3</v>
      </c>
      <c r="BS103" s="17" t="s">
        <v>279</v>
      </c>
      <c r="BT103" s="1" t="str">
        <f t="shared" si="17"/>
        <v/>
      </c>
      <c r="BU103" s="1">
        <f t="shared" si="18"/>
        <v>9</v>
      </c>
      <c r="BV103" s="1" t="str">
        <f t="shared" si="19"/>
        <v/>
      </c>
      <c r="BW103" s="1" t="str">
        <f t="shared" si="20"/>
        <v/>
      </c>
      <c r="BX103" s="1" t="str">
        <f t="shared" si="21"/>
        <v/>
      </c>
      <c r="BY103" s="1" t="str">
        <f t="shared" si="22"/>
        <v/>
      </c>
      <c r="BZ103" s="1" t="str">
        <f t="shared" si="23"/>
        <v/>
      </c>
      <c r="CA103" s="1" t="str">
        <f t="shared" si="24"/>
        <v/>
      </c>
      <c r="CB103" s="1" t="str">
        <f t="shared" si="25"/>
        <v/>
      </c>
      <c r="CC103" s="1" t="str">
        <f t="shared" si="26"/>
        <v/>
      </c>
      <c r="CD103" s="1" t="str">
        <f t="shared" si="27"/>
        <v/>
      </c>
      <c r="CE103" s="1" t="str">
        <f t="shared" si="28"/>
        <v/>
      </c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8"/>
    </row>
    <row r="104" spans="1:97" ht="40.5" x14ac:dyDescent="0.15">
      <c r="A104" s="1"/>
      <c r="B104" s="1" t="s">
        <v>213</v>
      </c>
      <c r="C104" s="1" t="s">
        <v>126</v>
      </c>
      <c r="D104" s="1" t="s">
        <v>114</v>
      </c>
      <c r="E104" s="6">
        <v>15</v>
      </c>
      <c r="F104" s="6"/>
      <c r="G104" s="6">
        <v>15</v>
      </c>
      <c r="H104" s="6"/>
      <c r="I104" s="6"/>
      <c r="J104" s="6"/>
      <c r="K104" s="6"/>
      <c r="L104" s="6"/>
      <c r="M104" s="6"/>
      <c r="N104" s="6"/>
      <c r="O104" s="6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  <c r="AD104" s="32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>
        <v>15</v>
      </c>
      <c r="AS104" s="4"/>
      <c r="AT104" s="4"/>
      <c r="AU104" s="4"/>
      <c r="AV104" s="4"/>
      <c r="AW104" s="2"/>
      <c r="AX104" s="2"/>
      <c r="AY104" s="2"/>
      <c r="AZ104" s="2"/>
      <c r="BA104" s="2"/>
      <c r="BB104" s="2">
        <v>15</v>
      </c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 t="shared" si="16"/>
        <v>60</v>
      </c>
      <c r="BQ104" s="1">
        <v>27</v>
      </c>
      <c r="BR104" s="17">
        <v>3</v>
      </c>
      <c r="BS104" s="17" t="s">
        <v>279</v>
      </c>
      <c r="BT104" s="1" t="str">
        <f t="shared" si="17"/>
        <v/>
      </c>
      <c r="BU104" s="1">
        <f t="shared" si="18"/>
        <v>9</v>
      </c>
      <c r="BV104" s="1" t="str">
        <f t="shared" si="19"/>
        <v/>
      </c>
      <c r="BW104" s="1" t="str">
        <f t="shared" si="20"/>
        <v/>
      </c>
      <c r="BX104" s="1" t="str">
        <f t="shared" si="21"/>
        <v/>
      </c>
      <c r="BY104" s="1" t="str">
        <f t="shared" si="22"/>
        <v/>
      </c>
      <c r="BZ104" s="1" t="str">
        <f t="shared" si="23"/>
        <v/>
      </c>
      <c r="CA104" s="1" t="str">
        <f t="shared" si="24"/>
        <v/>
      </c>
      <c r="CB104" s="1" t="str">
        <f t="shared" si="25"/>
        <v/>
      </c>
      <c r="CC104" s="1" t="str">
        <f t="shared" si="26"/>
        <v/>
      </c>
      <c r="CD104" s="1" t="str">
        <f t="shared" si="27"/>
        <v/>
      </c>
      <c r="CE104" s="1" t="str">
        <f t="shared" si="28"/>
        <v/>
      </c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8"/>
    </row>
    <row r="105" spans="1:97" ht="40.5" x14ac:dyDescent="0.15">
      <c r="A105" s="1"/>
      <c r="B105" s="1" t="s">
        <v>170</v>
      </c>
      <c r="C105" s="1" t="s">
        <v>169</v>
      </c>
      <c r="D105" s="1" t="s">
        <v>147</v>
      </c>
      <c r="E105" s="6">
        <v>15</v>
      </c>
      <c r="F105" s="6"/>
      <c r="G105" s="6"/>
      <c r="H105" s="6"/>
      <c r="I105" s="6"/>
      <c r="J105" s="6"/>
      <c r="K105" s="6"/>
      <c r="L105" s="6"/>
      <c r="M105" s="6">
        <v>15</v>
      </c>
      <c r="N105" s="6"/>
      <c r="O105" s="6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>
        <v>15</v>
      </c>
      <c r="AX105" s="2"/>
      <c r="AY105" s="2"/>
      <c r="AZ105" s="2"/>
      <c r="BA105" s="2">
        <v>15</v>
      </c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 t="shared" si="16"/>
        <v>60</v>
      </c>
      <c r="BQ105" s="1">
        <v>32</v>
      </c>
      <c r="BR105" s="17">
        <v>3</v>
      </c>
      <c r="BS105" s="17" t="s">
        <v>289</v>
      </c>
      <c r="BT105" s="1" t="str">
        <f t="shared" si="17"/>
        <v/>
      </c>
      <c r="BU105" s="1" t="str">
        <f t="shared" si="18"/>
        <v/>
      </c>
      <c r="BV105" s="1" t="str">
        <f t="shared" si="19"/>
        <v/>
      </c>
      <c r="BW105" s="1" t="str">
        <f t="shared" si="20"/>
        <v/>
      </c>
      <c r="BX105" s="1" t="str">
        <f t="shared" si="21"/>
        <v/>
      </c>
      <c r="BY105" s="1" t="str">
        <f t="shared" si="22"/>
        <v/>
      </c>
      <c r="BZ105" s="1" t="str">
        <f t="shared" si="23"/>
        <v/>
      </c>
      <c r="CA105" s="1" t="str">
        <f t="shared" si="24"/>
        <v/>
      </c>
      <c r="CB105" s="1" t="str">
        <f t="shared" si="25"/>
        <v/>
      </c>
      <c r="CC105" s="1" t="str">
        <f t="shared" si="26"/>
        <v/>
      </c>
      <c r="CD105" s="1">
        <f t="shared" si="27"/>
        <v>15</v>
      </c>
      <c r="CE105" s="1" t="str">
        <f t="shared" si="28"/>
        <v/>
      </c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8"/>
    </row>
    <row r="106" spans="1:97" ht="40.5" x14ac:dyDescent="0.15">
      <c r="A106" s="1">
        <v>14</v>
      </c>
      <c r="B106" s="1" t="s">
        <v>31</v>
      </c>
      <c r="C106" s="1" t="s">
        <v>32</v>
      </c>
      <c r="D106" s="1" t="s">
        <v>33</v>
      </c>
      <c r="E106" s="6"/>
      <c r="F106" s="6"/>
      <c r="G106" s="6">
        <v>15</v>
      </c>
      <c r="H106" s="6">
        <v>15</v>
      </c>
      <c r="I106" s="6"/>
      <c r="J106" s="6"/>
      <c r="K106" s="6"/>
      <c r="L106" s="6"/>
      <c r="M106" s="6"/>
      <c r="N106" s="6"/>
      <c r="O106" s="6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>
        <v>15</v>
      </c>
      <c r="AT106" s="4"/>
      <c r="AU106" s="4"/>
      <c r="AV106" s="4"/>
      <c r="AW106" s="2"/>
      <c r="AX106" s="2"/>
      <c r="AY106" s="2"/>
      <c r="AZ106" s="2"/>
      <c r="BA106" s="2"/>
      <c r="BB106" s="2">
        <v>15</v>
      </c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 t="shared" si="16"/>
        <v>60</v>
      </c>
      <c r="BQ106" s="1">
        <v>43</v>
      </c>
      <c r="BR106" s="17">
        <v>3</v>
      </c>
      <c r="BS106" s="17" t="s">
        <v>296</v>
      </c>
      <c r="BT106" s="1" t="str">
        <f t="shared" si="17"/>
        <v/>
      </c>
      <c r="BU106" s="1" t="str">
        <f t="shared" si="18"/>
        <v/>
      </c>
      <c r="BV106" s="1">
        <f t="shared" si="19"/>
        <v>13</v>
      </c>
      <c r="BW106" s="1" t="str">
        <f t="shared" si="20"/>
        <v/>
      </c>
      <c r="BX106" s="1" t="str">
        <f t="shared" si="21"/>
        <v/>
      </c>
      <c r="BY106" s="1" t="str">
        <f t="shared" si="22"/>
        <v/>
      </c>
      <c r="BZ106" s="1" t="str">
        <f t="shared" si="23"/>
        <v/>
      </c>
      <c r="CA106" s="1" t="str">
        <f t="shared" si="24"/>
        <v/>
      </c>
      <c r="CB106" s="1" t="str">
        <f t="shared" si="25"/>
        <v/>
      </c>
      <c r="CC106" s="1" t="str">
        <f t="shared" si="26"/>
        <v/>
      </c>
      <c r="CD106" s="1" t="str">
        <f t="shared" si="27"/>
        <v/>
      </c>
      <c r="CE106" s="1" t="str">
        <f t="shared" si="28"/>
        <v/>
      </c>
      <c r="CF106" s="1">
        <f>COUNTIF(BT106:CE106, "&gt;0")</f>
        <v>1</v>
      </c>
      <c r="CG106" s="1" t="str">
        <f t="shared" ref="CG106:CR106" si="36">IF($CF106=1,BT106,"")</f>
        <v/>
      </c>
      <c r="CH106" s="1" t="str">
        <f t="shared" si="36"/>
        <v/>
      </c>
      <c r="CI106" s="1">
        <f t="shared" si="36"/>
        <v>13</v>
      </c>
      <c r="CJ106" s="1" t="str">
        <f t="shared" si="36"/>
        <v/>
      </c>
      <c r="CK106" s="1" t="str">
        <f t="shared" si="36"/>
        <v/>
      </c>
      <c r="CL106" s="1" t="str">
        <f t="shared" si="36"/>
        <v/>
      </c>
      <c r="CM106" s="1" t="str">
        <f t="shared" si="36"/>
        <v/>
      </c>
      <c r="CN106" s="1" t="str">
        <f t="shared" si="36"/>
        <v/>
      </c>
      <c r="CO106" s="1" t="str">
        <f t="shared" si="36"/>
        <v/>
      </c>
      <c r="CP106" s="1" t="str">
        <f t="shared" si="36"/>
        <v/>
      </c>
      <c r="CQ106" s="1" t="str">
        <f t="shared" si="36"/>
        <v/>
      </c>
      <c r="CR106" s="1" t="str">
        <f t="shared" si="36"/>
        <v/>
      </c>
      <c r="CS106" s="18">
        <f>SUM(AE106:BO106)</f>
        <v>30</v>
      </c>
    </row>
    <row r="107" spans="1:97" ht="40.5" x14ac:dyDescent="0.15">
      <c r="A107" s="1"/>
      <c r="B107" s="1" t="s">
        <v>116</v>
      </c>
      <c r="C107" s="1" t="s">
        <v>117</v>
      </c>
      <c r="D107" s="1" t="s">
        <v>114</v>
      </c>
      <c r="E107" s="6"/>
      <c r="F107" s="6"/>
      <c r="G107" s="6">
        <v>15</v>
      </c>
      <c r="H107" s="6">
        <v>15</v>
      </c>
      <c r="I107" s="6"/>
      <c r="J107" s="6"/>
      <c r="K107" s="6"/>
      <c r="L107" s="6"/>
      <c r="M107" s="6"/>
      <c r="N107" s="6"/>
      <c r="O107" s="6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  <c r="AD107" s="32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>
        <v>15</v>
      </c>
      <c r="AT107" s="4"/>
      <c r="AU107" s="4"/>
      <c r="AV107" s="4"/>
      <c r="AW107" s="2"/>
      <c r="AX107" s="2"/>
      <c r="AY107" s="2"/>
      <c r="AZ107" s="2"/>
      <c r="BA107" s="2"/>
      <c r="BB107" s="2">
        <v>15</v>
      </c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 t="shared" si="16"/>
        <v>60</v>
      </c>
      <c r="BQ107" s="1">
        <v>43</v>
      </c>
      <c r="BR107" s="17">
        <v>3</v>
      </c>
      <c r="BS107" s="17" t="s">
        <v>297</v>
      </c>
      <c r="BT107" s="1" t="str">
        <f t="shared" si="17"/>
        <v/>
      </c>
      <c r="BU107" s="1" t="str">
        <f t="shared" si="18"/>
        <v/>
      </c>
      <c r="BV107" s="1">
        <f t="shared" si="19"/>
        <v>13</v>
      </c>
      <c r="BW107" s="1" t="str">
        <f t="shared" si="20"/>
        <v/>
      </c>
      <c r="BX107" s="1" t="str">
        <f t="shared" si="21"/>
        <v/>
      </c>
      <c r="BY107" s="1" t="str">
        <f t="shared" si="22"/>
        <v/>
      </c>
      <c r="BZ107" s="1" t="str">
        <f t="shared" si="23"/>
        <v/>
      </c>
      <c r="CA107" s="1" t="str">
        <f t="shared" si="24"/>
        <v/>
      </c>
      <c r="CB107" s="1" t="str">
        <f t="shared" si="25"/>
        <v/>
      </c>
      <c r="CC107" s="1" t="str">
        <f t="shared" si="26"/>
        <v/>
      </c>
      <c r="CD107" s="1" t="str">
        <f t="shared" si="27"/>
        <v/>
      </c>
      <c r="CE107" s="1" t="str">
        <f t="shared" si="28"/>
        <v/>
      </c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8"/>
    </row>
    <row r="108" spans="1:97" ht="40.5" x14ac:dyDescent="0.15">
      <c r="A108" s="1">
        <v>78</v>
      </c>
      <c r="B108" s="3" t="s">
        <v>71</v>
      </c>
      <c r="C108" s="3" t="s">
        <v>69</v>
      </c>
      <c r="D108" s="1" t="s">
        <v>1</v>
      </c>
      <c r="E108" s="6"/>
      <c r="F108" s="6"/>
      <c r="G108" s="6">
        <v>15</v>
      </c>
      <c r="H108" s="6">
        <v>15</v>
      </c>
      <c r="I108" s="6"/>
      <c r="J108" s="6"/>
      <c r="K108" s="6"/>
      <c r="L108" s="6"/>
      <c r="M108" s="6"/>
      <c r="N108" s="6"/>
      <c r="O108" s="6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  <c r="AD108" s="32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>
        <v>15</v>
      </c>
      <c r="BB108" s="2">
        <v>15</v>
      </c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 t="shared" si="16"/>
        <v>60</v>
      </c>
      <c r="BQ108" s="1">
        <v>45</v>
      </c>
      <c r="BR108" s="17">
        <v>3</v>
      </c>
      <c r="BS108" s="17" t="s">
        <v>290</v>
      </c>
      <c r="BT108" s="1" t="str">
        <f t="shared" si="17"/>
        <v/>
      </c>
      <c r="BU108" s="1" t="str">
        <f t="shared" si="18"/>
        <v/>
      </c>
      <c r="BV108" s="1" t="str">
        <f t="shared" si="19"/>
        <v/>
      </c>
      <c r="BW108" s="1" t="str">
        <f t="shared" si="20"/>
        <v/>
      </c>
      <c r="BX108" s="1" t="str">
        <f t="shared" si="21"/>
        <v/>
      </c>
      <c r="BY108" s="1" t="str">
        <f t="shared" si="22"/>
        <v/>
      </c>
      <c r="BZ108" s="1" t="str">
        <f t="shared" si="23"/>
        <v/>
      </c>
      <c r="CA108" s="1" t="str">
        <f t="shared" si="24"/>
        <v/>
      </c>
      <c r="CB108" s="1" t="str">
        <f t="shared" si="25"/>
        <v/>
      </c>
      <c r="CC108" s="1" t="str">
        <f t="shared" si="26"/>
        <v/>
      </c>
      <c r="CD108" s="1">
        <f t="shared" si="27"/>
        <v>15</v>
      </c>
      <c r="CE108" s="1" t="str">
        <f t="shared" si="28"/>
        <v/>
      </c>
      <c r="CF108" s="1">
        <f>COUNTIF(BT108:CE108, "&gt;0")</f>
        <v>1</v>
      </c>
      <c r="CG108" s="1" t="str">
        <f t="shared" ref="CG108:CR108" si="37">IF($CF108=1,BT108,"")</f>
        <v/>
      </c>
      <c r="CH108" s="1" t="str">
        <f t="shared" si="37"/>
        <v/>
      </c>
      <c r="CI108" s="1" t="str">
        <f t="shared" si="37"/>
        <v/>
      </c>
      <c r="CJ108" s="1" t="str">
        <f t="shared" si="37"/>
        <v/>
      </c>
      <c r="CK108" s="1" t="str">
        <f t="shared" si="37"/>
        <v/>
      </c>
      <c r="CL108" s="1" t="str">
        <f t="shared" si="37"/>
        <v/>
      </c>
      <c r="CM108" s="1" t="str">
        <f t="shared" si="37"/>
        <v/>
      </c>
      <c r="CN108" s="1" t="str">
        <f t="shared" si="37"/>
        <v/>
      </c>
      <c r="CO108" s="1" t="str">
        <f t="shared" si="37"/>
        <v/>
      </c>
      <c r="CP108" s="1" t="str">
        <f t="shared" si="37"/>
        <v/>
      </c>
      <c r="CQ108" s="1">
        <f t="shared" si="37"/>
        <v>15</v>
      </c>
      <c r="CR108" s="1" t="str">
        <f t="shared" si="37"/>
        <v/>
      </c>
      <c r="CS108" s="18">
        <f>SUM(AE108:BO108)</f>
        <v>30</v>
      </c>
    </row>
    <row r="109" spans="1:97" ht="40.5" x14ac:dyDescent="0.15">
      <c r="A109" s="1"/>
      <c r="B109" s="1" t="s">
        <v>136</v>
      </c>
      <c r="C109" s="1" t="s">
        <v>135</v>
      </c>
      <c r="D109" s="1" t="s">
        <v>114</v>
      </c>
      <c r="E109" s="6"/>
      <c r="F109" s="6"/>
      <c r="G109" s="6">
        <v>15</v>
      </c>
      <c r="H109" s="6">
        <v>15</v>
      </c>
      <c r="I109" s="6"/>
      <c r="J109" s="6"/>
      <c r="K109" s="6"/>
      <c r="L109" s="6"/>
      <c r="M109" s="6"/>
      <c r="N109" s="6"/>
      <c r="O109" s="6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/>
      <c r="AB109" s="32"/>
      <c r="AC109" s="32"/>
      <c r="AD109" s="32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>
        <v>15</v>
      </c>
      <c r="BB109" s="2">
        <v>15</v>
      </c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 t="shared" si="16"/>
        <v>60</v>
      </c>
      <c r="BQ109" s="1">
        <v>45</v>
      </c>
      <c r="BR109" s="17">
        <v>3</v>
      </c>
      <c r="BS109" s="17" t="s">
        <v>291</v>
      </c>
      <c r="BT109" s="1" t="str">
        <f t="shared" si="17"/>
        <v/>
      </c>
      <c r="BU109" s="1" t="str">
        <f t="shared" si="18"/>
        <v/>
      </c>
      <c r="BV109" s="1" t="str">
        <f t="shared" si="19"/>
        <v/>
      </c>
      <c r="BW109" s="1" t="str">
        <f t="shared" si="20"/>
        <v/>
      </c>
      <c r="BX109" s="1" t="str">
        <f t="shared" si="21"/>
        <v/>
      </c>
      <c r="BY109" s="1" t="str">
        <f t="shared" si="22"/>
        <v/>
      </c>
      <c r="BZ109" s="1" t="str">
        <f t="shared" si="23"/>
        <v/>
      </c>
      <c r="CA109" s="1" t="str">
        <f t="shared" si="24"/>
        <v/>
      </c>
      <c r="CB109" s="1" t="str">
        <f t="shared" si="25"/>
        <v/>
      </c>
      <c r="CC109" s="1" t="str">
        <f t="shared" si="26"/>
        <v/>
      </c>
      <c r="CD109" s="1">
        <f t="shared" si="27"/>
        <v>15</v>
      </c>
      <c r="CE109" s="1" t="str">
        <f t="shared" si="28"/>
        <v/>
      </c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8"/>
    </row>
    <row r="110" spans="1:97" ht="40.5" x14ac:dyDescent="0.15">
      <c r="A110" s="1"/>
      <c r="B110" s="1" t="s">
        <v>134</v>
      </c>
      <c r="C110" s="1" t="s">
        <v>135</v>
      </c>
      <c r="D110" s="1" t="s">
        <v>114</v>
      </c>
      <c r="E110" s="6"/>
      <c r="F110" s="6"/>
      <c r="G110" s="6">
        <v>20</v>
      </c>
      <c r="H110" s="6">
        <v>20</v>
      </c>
      <c r="I110" s="6"/>
      <c r="J110" s="6"/>
      <c r="K110" s="6"/>
      <c r="L110" s="6"/>
      <c r="M110" s="6"/>
      <c r="N110" s="6"/>
      <c r="O110" s="6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>
        <v>20</v>
      </c>
      <c r="BB110" s="2">
        <v>20</v>
      </c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 t="shared" si="16"/>
        <v>80</v>
      </c>
      <c r="BQ110" s="1">
        <v>60</v>
      </c>
      <c r="BR110" s="17">
        <v>3</v>
      </c>
      <c r="BS110" s="17" t="s">
        <v>298</v>
      </c>
      <c r="BT110" s="1" t="str">
        <f t="shared" si="17"/>
        <v/>
      </c>
      <c r="BU110" s="1" t="str">
        <f t="shared" si="18"/>
        <v/>
      </c>
      <c r="BV110" s="1" t="str">
        <f t="shared" si="19"/>
        <v/>
      </c>
      <c r="BW110" s="1" t="str">
        <f t="shared" si="20"/>
        <v/>
      </c>
      <c r="BX110" s="1" t="str">
        <f t="shared" si="21"/>
        <v/>
      </c>
      <c r="BY110" s="1" t="str">
        <f t="shared" si="22"/>
        <v/>
      </c>
      <c r="BZ110" s="1" t="str">
        <f t="shared" si="23"/>
        <v/>
      </c>
      <c r="CA110" s="1" t="str">
        <f t="shared" si="24"/>
        <v/>
      </c>
      <c r="CB110" s="1" t="str">
        <f t="shared" si="25"/>
        <v/>
      </c>
      <c r="CC110" s="1" t="str">
        <f t="shared" si="26"/>
        <v/>
      </c>
      <c r="CD110" s="1">
        <f t="shared" si="27"/>
        <v>20</v>
      </c>
      <c r="CE110" s="1" t="str">
        <f t="shared" si="28"/>
        <v/>
      </c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8"/>
    </row>
    <row r="111" spans="1:97" ht="40.5" x14ac:dyDescent="0.15">
      <c r="A111" s="1"/>
      <c r="B111" s="1" t="s">
        <v>116</v>
      </c>
      <c r="C111" s="1" t="s">
        <v>117</v>
      </c>
      <c r="D111" s="1" t="s">
        <v>118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/>
      <c r="AB111" s="32"/>
      <c r="AC111" s="32"/>
      <c r="AD111" s="32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>
        <v>40</v>
      </c>
      <c r="AW111" s="2">
        <v>40</v>
      </c>
      <c r="AX111" s="2"/>
      <c r="AY111" s="2"/>
      <c r="AZ111" s="2"/>
      <c r="BA111" s="2"/>
      <c r="BB111" s="2">
        <v>40</v>
      </c>
      <c r="BC111" s="14">
        <v>10</v>
      </c>
      <c r="BD111" s="1">
        <v>50</v>
      </c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 t="shared" si="16"/>
        <v>180</v>
      </c>
      <c r="BQ111" s="1">
        <v>64</v>
      </c>
      <c r="BR111" s="17">
        <v>3</v>
      </c>
      <c r="BS111" s="17" t="s">
        <v>304</v>
      </c>
      <c r="BT111" s="1" t="str">
        <f t="shared" si="17"/>
        <v/>
      </c>
      <c r="BU111" s="1" t="str">
        <f t="shared" si="18"/>
        <v/>
      </c>
      <c r="BV111" s="1" t="str">
        <f t="shared" si="19"/>
        <v/>
      </c>
      <c r="BW111" s="1" t="str">
        <f t="shared" si="20"/>
        <v/>
      </c>
      <c r="BX111" s="1" t="str">
        <f t="shared" si="21"/>
        <v/>
      </c>
      <c r="BY111" s="1">
        <f t="shared" si="22"/>
        <v>33</v>
      </c>
      <c r="BZ111" s="1">
        <f t="shared" si="23"/>
        <v>21</v>
      </c>
      <c r="CA111" s="1" t="str">
        <f t="shared" si="24"/>
        <v/>
      </c>
      <c r="CB111" s="1" t="str">
        <f t="shared" si="25"/>
        <v/>
      </c>
      <c r="CC111" s="1" t="str">
        <f t="shared" si="26"/>
        <v/>
      </c>
      <c r="CD111" s="1" t="str">
        <f t="shared" si="27"/>
        <v/>
      </c>
      <c r="CE111" s="1" t="str">
        <f t="shared" si="28"/>
        <v/>
      </c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8"/>
    </row>
    <row r="112" spans="1:97" ht="54" x14ac:dyDescent="0.15">
      <c r="A112" s="1"/>
      <c r="B112" s="1" t="s">
        <v>183</v>
      </c>
      <c r="C112" s="1" t="s">
        <v>178</v>
      </c>
      <c r="D112" s="1" t="s">
        <v>148</v>
      </c>
      <c r="E112" s="6"/>
      <c r="F112" s="6"/>
      <c r="G112" s="6">
        <v>5</v>
      </c>
      <c r="H112" s="6"/>
      <c r="I112" s="6"/>
      <c r="J112" s="6"/>
      <c r="K112" s="6"/>
      <c r="L112" s="6"/>
      <c r="M112" s="6"/>
      <c r="N112" s="6"/>
      <c r="O112" s="6"/>
      <c r="P112" s="32"/>
      <c r="Q112" s="32"/>
      <c r="R112" s="32"/>
      <c r="S112" s="32"/>
      <c r="T112" s="32"/>
      <c r="U112" s="32"/>
      <c r="V112" s="32">
        <v>5</v>
      </c>
      <c r="W112" s="32"/>
      <c r="X112" s="32"/>
      <c r="Y112" s="32">
        <v>5</v>
      </c>
      <c r="Z112" s="32"/>
      <c r="AA112" s="32"/>
      <c r="AB112" s="32"/>
      <c r="AC112" s="32">
        <v>5</v>
      </c>
      <c r="AD112" s="32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 t="shared" si="16"/>
        <v>20</v>
      </c>
      <c r="BQ112" s="1">
        <v>16</v>
      </c>
      <c r="BR112" s="17">
        <v>4</v>
      </c>
      <c r="BS112" s="17" t="s">
        <v>236</v>
      </c>
      <c r="BT112" s="1" t="str">
        <f t="shared" si="17"/>
        <v/>
      </c>
      <c r="BU112" s="1" t="str">
        <f t="shared" si="18"/>
        <v/>
      </c>
      <c r="BV112" s="1" t="str">
        <f t="shared" si="19"/>
        <v/>
      </c>
      <c r="BW112" s="1" t="str">
        <f t="shared" si="20"/>
        <v/>
      </c>
      <c r="BX112" s="1" t="str">
        <f t="shared" si="21"/>
        <v/>
      </c>
      <c r="BY112" s="1" t="str">
        <f t="shared" si="22"/>
        <v/>
      </c>
      <c r="BZ112" s="1" t="str">
        <f t="shared" si="23"/>
        <v/>
      </c>
      <c r="CA112" s="1" t="str">
        <f t="shared" si="24"/>
        <v/>
      </c>
      <c r="CB112" s="1" t="str">
        <f t="shared" si="25"/>
        <v/>
      </c>
      <c r="CC112" s="1" t="str">
        <f t="shared" si="26"/>
        <v/>
      </c>
      <c r="CD112" s="1" t="str">
        <f t="shared" si="27"/>
        <v/>
      </c>
      <c r="CE112" s="1" t="str">
        <f t="shared" si="28"/>
        <v/>
      </c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8"/>
    </row>
    <row r="113" spans="1:97" ht="54" x14ac:dyDescent="0.15">
      <c r="A113" s="1"/>
      <c r="B113" s="1" t="s">
        <v>180</v>
      </c>
      <c r="C113" s="1" t="s">
        <v>178</v>
      </c>
      <c r="D113" s="1" t="s">
        <v>147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32"/>
      <c r="Q113" s="32">
        <v>5</v>
      </c>
      <c r="R113" s="32"/>
      <c r="S113" s="32"/>
      <c r="T113" s="32"/>
      <c r="U113" s="32"/>
      <c r="V113" s="32">
        <v>10</v>
      </c>
      <c r="W113" s="32"/>
      <c r="X113" s="32"/>
      <c r="Y113" s="32"/>
      <c r="Z113" s="32">
        <v>5</v>
      </c>
      <c r="AA113" s="32"/>
      <c r="AB113" s="32">
        <v>10</v>
      </c>
      <c r="AC113" s="32"/>
      <c r="AD113" s="32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 t="shared" si="16"/>
        <v>30</v>
      </c>
      <c r="BQ113" s="1">
        <v>18</v>
      </c>
      <c r="BR113" s="17">
        <v>4</v>
      </c>
      <c r="BS113" s="17" t="s">
        <v>286</v>
      </c>
      <c r="BT113" s="1" t="str">
        <f t="shared" si="17"/>
        <v/>
      </c>
      <c r="BU113" s="1" t="str">
        <f t="shared" si="18"/>
        <v/>
      </c>
      <c r="BV113" s="1" t="str">
        <f t="shared" si="19"/>
        <v/>
      </c>
      <c r="BW113" s="1" t="str">
        <f t="shared" si="20"/>
        <v/>
      </c>
      <c r="BX113" s="1" t="str">
        <f t="shared" si="21"/>
        <v/>
      </c>
      <c r="BY113" s="1" t="str">
        <f t="shared" si="22"/>
        <v/>
      </c>
      <c r="BZ113" s="1" t="str">
        <f t="shared" si="23"/>
        <v/>
      </c>
      <c r="CA113" s="1" t="str">
        <f t="shared" si="24"/>
        <v/>
      </c>
      <c r="CB113" s="1" t="str">
        <f t="shared" si="25"/>
        <v/>
      </c>
      <c r="CC113" s="1" t="str">
        <f t="shared" si="26"/>
        <v/>
      </c>
      <c r="CD113" s="1" t="str">
        <f t="shared" si="27"/>
        <v/>
      </c>
      <c r="CE113" s="1" t="str">
        <f t="shared" si="28"/>
        <v/>
      </c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8"/>
    </row>
    <row r="114" spans="1:97" ht="54" x14ac:dyDescent="0.15">
      <c r="A114" s="1"/>
      <c r="B114" s="1" t="s">
        <v>166</v>
      </c>
      <c r="C114" s="1" t="s">
        <v>164</v>
      </c>
      <c r="D114" s="1" t="s">
        <v>148</v>
      </c>
      <c r="E114" s="6"/>
      <c r="F114" s="6"/>
      <c r="G114" s="6"/>
      <c r="H114" s="6">
        <v>7</v>
      </c>
      <c r="I114" s="6"/>
      <c r="J114" s="6"/>
      <c r="K114" s="6"/>
      <c r="L114" s="6"/>
      <c r="M114" s="6"/>
      <c r="N114" s="6"/>
      <c r="O114" s="6"/>
      <c r="P114" s="32"/>
      <c r="Q114" s="32">
        <v>7</v>
      </c>
      <c r="R114" s="32"/>
      <c r="S114" s="32"/>
      <c r="T114" s="32">
        <v>7</v>
      </c>
      <c r="U114" s="32"/>
      <c r="V114" s="32"/>
      <c r="W114" s="32"/>
      <c r="X114" s="32"/>
      <c r="Y114" s="32"/>
      <c r="Z114" s="32"/>
      <c r="AA114" s="32">
        <v>7</v>
      </c>
      <c r="AB114" s="32"/>
      <c r="AC114" s="32"/>
      <c r="AD114" s="32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 t="shared" si="16"/>
        <v>28</v>
      </c>
      <c r="BQ114" s="1">
        <v>21</v>
      </c>
      <c r="BR114" s="17">
        <v>4</v>
      </c>
      <c r="BS114" s="17" t="s">
        <v>299</v>
      </c>
      <c r="BT114" s="1" t="str">
        <f t="shared" si="17"/>
        <v/>
      </c>
      <c r="BU114" s="1" t="str">
        <f t="shared" si="18"/>
        <v/>
      </c>
      <c r="BV114" s="1" t="str">
        <f t="shared" si="19"/>
        <v/>
      </c>
      <c r="BW114" s="1" t="str">
        <f t="shared" si="20"/>
        <v/>
      </c>
      <c r="BX114" s="1" t="str">
        <f t="shared" si="21"/>
        <v/>
      </c>
      <c r="BY114" s="1" t="str">
        <f t="shared" si="22"/>
        <v/>
      </c>
      <c r="BZ114" s="1" t="str">
        <f t="shared" si="23"/>
        <v/>
      </c>
      <c r="CA114" s="1" t="str">
        <f t="shared" si="24"/>
        <v/>
      </c>
      <c r="CB114" s="1" t="str">
        <f t="shared" si="25"/>
        <v/>
      </c>
      <c r="CC114" s="1" t="str">
        <f t="shared" si="26"/>
        <v/>
      </c>
      <c r="CD114" s="1" t="str">
        <f t="shared" si="27"/>
        <v/>
      </c>
      <c r="CE114" s="1" t="str">
        <f t="shared" si="28"/>
        <v/>
      </c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8"/>
    </row>
    <row r="115" spans="1:97" ht="54" x14ac:dyDescent="0.15">
      <c r="A115" s="1"/>
      <c r="B115" s="1" t="s">
        <v>157</v>
      </c>
      <c r="C115" s="1" t="s">
        <v>145</v>
      </c>
      <c r="D115" s="1" t="s">
        <v>146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32">
        <v>10</v>
      </c>
      <c r="Q115" s="32"/>
      <c r="R115" s="32"/>
      <c r="S115" s="32">
        <v>10</v>
      </c>
      <c r="T115" s="32"/>
      <c r="U115" s="32"/>
      <c r="V115" s="32"/>
      <c r="W115" s="32">
        <v>5</v>
      </c>
      <c r="X115" s="32"/>
      <c r="Y115" s="32"/>
      <c r="Z115" s="32"/>
      <c r="AA115" s="32"/>
      <c r="AB115" s="32">
        <v>10</v>
      </c>
      <c r="AC115" s="32"/>
      <c r="AD115" s="32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 t="shared" si="16"/>
        <v>35</v>
      </c>
      <c r="BQ115" s="1">
        <v>22</v>
      </c>
      <c r="BR115" s="17">
        <v>4</v>
      </c>
      <c r="BS115" s="17" t="s">
        <v>260</v>
      </c>
      <c r="BT115" s="1" t="str">
        <f t="shared" si="17"/>
        <v/>
      </c>
      <c r="BU115" s="1" t="str">
        <f t="shared" si="18"/>
        <v/>
      </c>
      <c r="BV115" s="1" t="str">
        <f t="shared" si="19"/>
        <v/>
      </c>
      <c r="BW115" s="1" t="str">
        <f t="shared" si="20"/>
        <v/>
      </c>
      <c r="BX115" s="1" t="str">
        <f t="shared" si="21"/>
        <v/>
      </c>
      <c r="BY115" s="1" t="str">
        <f t="shared" si="22"/>
        <v/>
      </c>
      <c r="BZ115" s="1" t="str">
        <f t="shared" si="23"/>
        <v/>
      </c>
      <c r="CA115" s="1" t="str">
        <f t="shared" si="24"/>
        <v/>
      </c>
      <c r="CB115" s="1" t="str">
        <f t="shared" si="25"/>
        <v/>
      </c>
      <c r="CC115" s="1" t="str">
        <f t="shared" si="26"/>
        <v/>
      </c>
      <c r="CD115" s="1" t="str">
        <f t="shared" si="27"/>
        <v/>
      </c>
      <c r="CE115" s="1" t="str">
        <f t="shared" si="28"/>
        <v/>
      </c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8"/>
    </row>
    <row r="116" spans="1:97" ht="54" x14ac:dyDescent="0.15">
      <c r="A116" s="1"/>
      <c r="B116" s="1" t="s">
        <v>162</v>
      </c>
      <c r="C116" s="1" t="s">
        <v>145</v>
      </c>
      <c r="D116" s="1" t="s">
        <v>146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32">
        <v>10</v>
      </c>
      <c r="Q116" s="32"/>
      <c r="R116" s="32"/>
      <c r="S116" s="32">
        <v>10</v>
      </c>
      <c r="T116" s="32"/>
      <c r="U116" s="32"/>
      <c r="V116" s="32"/>
      <c r="W116" s="32">
        <v>5</v>
      </c>
      <c r="X116" s="32"/>
      <c r="Y116" s="32"/>
      <c r="Z116" s="32"/>
      <c r="AA116" s="32"/>
      <c r="AB116" s="32">
        <v>10</v>
      </c>
      <c r="AC116" s="32"/>
      <c r="AD116" s="32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 t="shared" si="16"/>
        <v>35</v>
      </c>
      <c r="BQ116" s="1">
        <v>22</v>
      </c>
      <c r="BR116" s="17">
        <v>4</v>
      </c>
      <c r="BS116" s="17" t="s">
        <v>260</v>
      </c>
      <c r="BT116" s="1" t="str">
        <f t="shared" si="17"/>
        <v/>
      </c>
      <c r="BU116" s="1" t="str">
        <f t="shared" si="18"/>
        <v/>
      </c>
      <c r="BV116" s="1" t="str">
        <f t="shared" si="19"/>
        <v/>
      </c>
      <c r="BW116" s="1" t="str">
        <f t="shared" si="20"/>
        <v/>
      </c>
      <c r="BX116" s="1" t="str">
        <f t="shared" si="21"/>
        <v/>
      </c>
      <c r="BY116" s="1" t="str">
        <f t="shared" si="22"/>
        <v/>
      </c>
      <c r="BZ116" s="1" t="str">
        <f t="shared" si="23"/>
        <v/>
      </c>
      <c r="CA116" s="1" t="str">
        <f t="shared" si="24"/>
        <v/>
      </c>
      <c r="CB116" s="1" t="str">
        <f t="shared" si="25"/>
        <v/>
      </c>
      <c r="CC116" s="1" t="str">
        <f t="shared" si="26"/>
        <v/>
      </c>
      <c r="CD116" s="1" t="str">
        <f t="shared" si="27"/>
        <v/>
      </c>
      <c r="CE116" s="1" t="str">
        <f t="shared" si="28"/>
        <v/>
      </c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8"/>
    </row>
    <row r="117" spans="1:97" ht="54" x14ac:dyDescent="0.15">
      <c r="A117" s="1"/>
      <c r="B117" s="1" t="s">
        <v>166</v>
      </c>
      <c r="C117" s="1" t="s">
        <v>164</v>
      </c>
      <c r="D117" s="1" t="s">
        <v>146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32">
        <v>10</v>
      </c>
      <c r="Q117" s="32"/>
      <c r="R117" s="32"/>
      <c r="S117" s="32">
        <v>10</v>
      </c>
      <c r="T117" s="32"/>
      <c r="U117" s="32"/>
      <c r="V117" s="32"/>
      <c r="W117" s="32">
        <v>5</v>
      </c>
      <c r="X117" s="32"/>
      <c r="Y117" s="32"/>
      <c r="Z117" s="32"/>
      <c r="AA117" s="32"/>
      <c r="AB117" s="32">
        <v>10</v>
      </c>
      <c r="AC117" s="32"/>
      <c r="AD117" s="32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 t="shared" si="16"/>
        <v>35</v>
      </c>
      <c r="BQ117" s="1">
        <v>22</v>
      </c>
      <c r="BR117" s="17">
        <v>4</v>
      </c>
      <c r="BS117" s="17" t="s">
        <v>261</v>
      </c>
      <c r="BT117" s="1" t="str">
        <f t="shared" si="17"/>
        <v/>
      </c>
      <c r="BU117" s="1" t="str">
        <f t="shared" si="18"/>
        <v/>
      </c>
      <c r="BV117" s="1" t="str">
        <f t="shared" si="19"/>
        <v/>
      </c>
      <c r="BW117" s="1" t="str">
        <f t="shared" si="20"/>
        <v/>
      </c>
      <c r="BX117" s="1" t="str">
        <f t="shared" si="21"/>
        <v/>
      </c>
      <c r="BY117" s="1" t="str">
        <f t="shared" si="22"/>
        <v/>
      </c>
      <c r="BZ117" s="1" t="str">
        <f t="shared" si="23"/>
        <v/>
      </c>
      <c r="CA117" s="1" t="str">
        <f t="shared" si="24"/>
        <v/>
      </c>
      <c r="CB117" s="1" t="str">
        <f t="shared" si="25"/>
        <v/>
      </c>
      <c r="CC117" s="1" t="str">
        <f t="shared" si="26"/>
        <v/>
      </c>
      <c r="CD117" s="1" t="str">
        <f t="shared" si="27"/>
        <v/>
      </c>
      <c r="CE117" s="1" t="str">
        <f t="shared" si="28"/>
        <v/>
      </c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8"/>
    </row>
    <row r="118" spans="1:97" ht="54" x14ac:dyDescent="0.15">
      <c r="A118" s="1"/>
      <c r="B118" s="1" t="s">
        <v>172</v>
      </c>
      <c r="C118" s="1" t="s">
        <v>169</v>
      </c>
      <c r="D118" s="1" t="s">
        <v>146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32">
        <v>10</v>
      </c>
      <c r="Q118" s="32"/>
      <c r="R118" s="32"/>
      <c r="S118" s="32">
        <v>10</v>
      </c>
      <c r="T118" s="32"/>
      <c r="U118" s="32"/>
      <c r="V118" s="32"/>
      <c r="W118" s="32">
        <v>5</v>
      </c>
      <c r="X118" s="32"/>
      <c r="Y118" s="32"/>
      <c r="Z118" s="32"/>
      <c r="AA118" s="32"/>
      <c r="AB118" s="32">
        <v>10</v>
      </c>
      <c r="AC118" s="32"/>
      <c r="AD118" s="32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 t="shared" si="16"/>
        <v>35</v>
      </c>
      <c r="BQ118" s="1">
        <v>22</v>
      </c>
      <c r="BR118" s="17">
        <v>4</v>
      </c>
      <c r="BS118" s="17" t="s">
        <v>260</v>
      </c>
      <c r="BT118" s="1" t="str">
        <f t="shared" si="17"/>
        <v/>
      </c>
      <c r="BU118" s="1" t="str">
        <f t="shared" si="18"/>
        <v/>
      </c>
      <c r="BV118" s="1" t="str">
        <f t="shared" si="19"/>
        <v/>
      </c>
      <c r="BW118" s="1" t="str">
        <f t="shared" si="20"/>
        <v/>
      </c>
      <c r="BX118" s="1" t="str">
        <f t="shared" si="21"/>
        <v/>
      </c>
      <c r="BY118" s="1" t="str">
        <f t="shared" si="22"/>
        <v/>
      </c>
      <c r="BZ118" s="1" t="str">
        <f t="shared" si="23"/>
        <v/>
      </c>
      <c r="CA118" s="1" t="str">
        <f t="shared" si="24"/>
        <v/>
      </c>
      <c r="CB118" s="1" t="str">
        <f t="shared" si="25"/>
        <v/>
      </c>
      <c r="CC118" s="1" t="str">
        <f t="shared" si="26"/>
        <v/>
      </c>
      <c r="CD118" s="1" t="str">
        <f t="shared" si="27"/>
        <v/>
      </c>
      <c r="CE118" s="1" t="str">
        <f t="shared" si="28"/>
        <v/>
      </c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8"/>
    </row>
    <row r="119" spans="1:97" ht="54" x14ac:dyDescent="0.15">
      <c r="A119" s="1"/>
      <c r="B119" s="1" t="s">
        <v>179</v>
      </c>
      <c r="C119" s="1" t="s">
        <v>178</v>
      </c>
      <c r="D119" s="1" t="s">
        <v>146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32">
        <v>10</v>
      </c>
      <c r="Q119" s="32"/>
      <c r="R119" s="32"/>
      <c r="S119" s="32">
        <v>10</v>
      </c>
      <c r="T119" s="32"/>
      <c r="U119" s="32"/>
      <c r="V119" s="32"/>
      <c r="W119" s="32">
        <v>5</v>
      </c>
      <c r="X119" s="32"/>
      <c r="Y119" s="32"/>
      <c r="Z119" s="32"/>
      <c r="AA119" s="32"/>
      <c r="AB119" s="32">
        <v>10</v>
      </c>
      <c r="AC119" s="32"/>
      <c r="AD119" s="32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 t="shared" si="16"/>
        <v>35</v>
      </c>
      <c r="BQ119" s="1">
        <v>22</v>
      </c>
      <c r="BR119" s="17">
        <v>4</v>
      </c>
      <c r="BS119" s="17" t="s">
        <v>262</v>
      </c>
      <c r="BT119" s="1" t="str">
        <f t="shared" si="17"/>
        <v/>
      </c>
      <c r="BU119" s="1" t="str">
        <f t="shared" si="18"/>
        <v/>
      </c>
      <c r="BV119" s="1" t="str">
        <f t="shared" si="19"/>
        <v/>
      </c>
      <c r="BW119" s="1" t="str">
        <f t="shared" si="20"/>
        <v/>
      </c>
      <c r="BX119" s="1" t="str">
        <f t="shared" si="21"/>
        <v/>
      </c>
      <c r="BY119" s="1" t="str">
        <f t="shared" si="22"/>
        <v/>
      </c>
      <c r="BZ119" s="1" t="str">
        <f t="shared" si="23"/>
        <v/>
      </c>
      <c r="CA119" s="1" t="str">
        <f t="shared" si="24"/>
        <v/>
      </c>
      <c r="CB119" s="1" t="str">
        <f t="shared" si="25"/>
        <v/>
      </c>
      <c r="CC119" s="1" t="str">
        <f t="shared" si="26"/>
        <v/>
      </c>
      <c r="CD119" s="1" t="str">
        <f t="shared" si="27"/>
        <v/>
      </c>
      <c r="CE119" s="1" t="str">
        <f t="shared" si="28"/>
        <v/>
      </c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8"/>
    </row>
    <row r="120" spans="1:97" ht="54" x14ac:dyDescent="0.15">
      <c r="A120" s="1"/>
      <c r="B120" s="1" t="s">
        <v>195</v>
      </c>
      <c r="C120" s="1" t="s">
        <v>135</v>
      </c>
      <c r="D120" s="1" t="s">
        <v>196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32">
        <v>10</v>
      </c>
      <c r="Q120" s="32"/>
      <c r="R120" s="32"/>
      <c r="S120" s="32">
        <v>10</v>
      </c>
      <c r="T120" s="32"/>
      <c r="U120" s="32"/>
      <c r="V120" s="32"/>
      <c r="W120" s="32">
        <v>5</v>
      </c>
      <c r="X120" s="32"/>
      <c r="Y120" s="32"/>
      <c r="Z120" s="32"/>
      <c r="AA120" s="32"/>
      <c r="AB120" s="32">
        <v>10</v>
      </c>
      <c r="AC120" s="32"/>
      <c r="AD120" s="32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>
        <f t="shared" si="16"/>
        <v>35</v>
      </c>
      <c r="BQ120" s="1">
        <v>22</v>
      </c>
      <c r="BR120" s="17">
        <v>4</v>
      </c>
      <c r="BS120" s="17" t="s">
        <v>261</v>
      </c>
      <c r="BT120" s="1" t="str">
        <f t="shared" si="17"/>
        <v/>
      </c>
      <c r="BU120" s="1" t="str">
        <f t="shared" si="18"/>
        <v/>
      </c>
      <c r="BV120" s="1" t="str">
        <f t="shared" si="19"/>
        <v/>
      </c>
      <c r="BW120" s="1" t="str">
        <f t="shared" si="20"/>
        <v/>
      </c>
      <c r="BX120" s="1" t="str">
        <f t="shared" si="21"/>
        <v/>
      </c>
      <c r="BY120" s="1" t="str">
        <f t="shared" si="22"/>
        <v/>
      </c>
      <c r="BZ120" s="1" t="str">
        <f t="shared" si="23"/>
        <v/>
      </c>
      <c r="CA120" s="1" t="str">
        <f t="shared" si="24"/>
        <v/>
      </c>
      <c r="CB120" s="1" t="str">
        <f t="shared" si="25"/>
        <v/>
      </c>
      <c r="CC120" s="1" t="str">
        <f t="shared" si="26"/>
        <v/>
      </c>
      <c r="CD120" s="1" t="str">
        <f t="shared" si="27"/>
        <v/>
      </c>
      <c r="CE120" s="1" t="str">
        <f t="shared" si="28"/>
        <v/>
      </c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8"/>
    </row>
    <row r="121" spans="1:97" ht="54" x14ac:dyDescent="0.15">
      <c r="A121" s="1"/>
      <c r="B121" s="1" t="s">
        <v>203</v>
      </c>
      <c r="C121" s="1" t="s">
        <v>145</v>
      </c>
      <c r="D121" s="1" t="s">
        <v>147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32"/>
      <c r="Q121" s="32"/>
      <c r="R121" s="32"/>
      <c r="S121" s="32"/>
      <c r="T121" s="32"/>
      <c r="U121" s="32"/>
      <c r="V121" s="32">
        <v>10</v>
      </c>
      <c r="W121" s="32"/>
      <c r="X121" s="32"/>
      <c r="Y121" s="32">
        <v>10</v>
      </c>
      <c r="Z121" s="32"/>
      <c r="AA121" s="32"/>
      <c r="AB121" s="32">
        <v>10</v>
      </c>
      <c r="AC121" s="32">
        <v>5</v>
      </c>
      <c r="AD121" s="32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>
        <f t="shared" si="16"/>
        <v>35</v>
      </c>
      <c r="BQ121" s="1">
        <v>23</v>
      </c>
      <c r="BR121" s="17">
        <v>4</v>
      </c>
      <c r="BS121" s="17" t="s">
        <v>259</v>
      </c>
      <c r="BT121" s="1" t="str">
        <f t="shared" si="17"/>
        <v/>
      </c>
      <c r="BU121" s="1" t="str">
        <f t="shared" si="18"/>
        <v/>
      </c>
      <c r="BV121" s="1" t="str">
        <f t="shared" si="19"/>
        <v/>
      </c>
      <c r="BW121" s="1" t="str">
        <f t="shared" si="20"/>
        <v/>
      </c>
      <c r="BX121" s="1" t="str">
        <f t="shared" si="21"/>
        <v/>
      </c>
      <c r="BY121" s="1" t="str">
        <f t="shared" si="22"/>
        <v/>
      </c>
      <c r="BZ121" s="1" t="str">
        <f t="shared" si="23"/>
        <v/>
      </c>
      <c r="CA121" s="1" t="str">
        <f t="shared" si="24"/>
        <v/>
      </c>
      <c r="CB121" s="1" t="str">
        <f t="shared" si="25"/>
        <v/>
      </c>
      <c r="CC121" s="1" t="str">
        <f t="shared" si="26"/>
        <v/>
      </c>
      <c r="CD121" s="1" t="str">
        <f t="shared" si="27"/>
        <v/>
      </c>
      <c r="CE121" s="1" t="str">
        <f t="shared" si="28"/>
        <v/>
      </c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8"/>
    </row>
    <row r="122" spans="1:97" ht="54" x14ac:dyDescent="0.15">
      <c r="A122" s="1"/>
      <c r="B122" s="1" t="s">
        <v>173</v>
      </c>
      <c r="C122" s="1" t="s">
        <v>175</v>
      </c>
      <c r="D122" s="1" t="s">
        <v>147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32"/>
      <c r="Q122" s="32"/>
      <c r="R122" s="32"/>
      <c r="S122" s="32"/>
      <c r="T122" s="32"/>
      <c r="U122" s="32"/>
      <c r="V122" s="32">
        <v>10</v>
      </c>
      <c r="W122" s="32"/>
      <c r="X122" s="32"/>
      <c r="Y122" s="32">
        <v>10</v>
      </c>
      <c r="Z122" s="32"/>
      <c r="AA122" s="32"/>
      <c r="AB122" s="32">
        <v>10</v>
      </c>
      <c r="AC122" s="32">
        <v>5</v>
      </c>
      <c r="AD122" s="32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>
        <f t="shared" si="16"/>
        <v>35</v>
      </c>
      <c r="BQ122" s="1">
        <v>23</v>
      </c>
      <c r="BR122" s="17">
        <v>4</v>
      </c>
      <c r="BS122" s="17" t="s">
        <v>259</v>
      </c>
      <c r="BT122" s="1" t="str">
        <f t="shared" si="17"/>
        <v/>
      </c>
      <c r="BU122" s="1" t="str">
        <f t="shared" si="18"/>
        <v/>
      </c>
      <c r="BV122" s="1" t="str">
        <f t="shared" si="19"/>
        <v/>
      </c>
      <c r="BW122" s="1" t="str">
        <f t="shared" si="20"/>
        <v/>
      </c>
      <c r="BX122" s="1" t="str">
        <f t="shared" si="21"/>
        <v/>
      </c>
      <c r="BY122" s="1" t="str">
        <f t="shared" si="22"/>
        <v/>
      </c>
      <c r="BZ122" s="1" t="str">
        <f t="shared" si="23"/>
        <v/>
      </c>
      <c r="CA122" s="1" t="str">
        <f t="shared" si="24"/>
        <v/>
      </c>
      <c r="CB122" s="1" t="str">
        <f t="shared" si="25"/>
        <v/>
      </c>
      <c r="CC122" s="1" t="str">
        <f t="shared" si="26"/>
        <v/>
      </c>
      <c r="CD122" s="1" t="str">
        <f t="shared" si="27"/>
        <v/>
      </c>
      <c r="CE122" s="1" t="str">
        <f t="shared" si="28"/>
        <v/>
      </c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8"/>
    </row>
    <row r="123" spans="1:97" ht="54" x14ac:dyDescent="0.15">
      <c r="A123" s="1"/>
      <c r="B123" s="1" t="s">
        <v>183</v>
      </c>
      <c r="C123" s="1" t="s">
        <v>178</v>
      </c>
      <c r="D123" s="1" t="s">
        <v>147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32"/>
      <c r="Q123" s="32"/>
      <c r="R123" s="32"/>
      <c r="S123" s="32"/>
      <c r="T123" s="32"/>
      <c r="U123" s="32"/>
      <c r="V123" s="32">
        <v>10</v>
      </c>
      <c r="W123" s="32"/>
      <c r="X123" s="32"/>
      <c r="Y123" s="32">
        <v>10</v>
      </c>
      <c r="Z123" s="32"/>
      <c r="AA123" s="32"/>
      <c r="AB123" s="32">
        <v>10</v>
      </c>
      <c r="AC123" s="32">
        <v>5</v>
      </c>
      <c r="AD123" s="32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>
        <f t="shared" si="16"/>
        <v>35</v>
      </c>
      <c r="BQ123" s="1">
        <v>23</v>
      </c>
      <c r="BR123" s="17">
        <v>4</v>
      </c>
      <c r="BS123" s="17" t="s">
        <v>263</v>
      </c>
      <c r="BT123" s="1" t="str">
        <f t="shared" si="17"/>
        <v/>
      </c>
      <c r="BU123" s="1" t="str">
        <f t="shared" si="18"/>
        <v/>
      </c>
      <c r="BV123" s="1" t="str">
        <f t="shared" si="19"/>
        <v/>
      </c>
      <c r="BW123" s="1" t="str">
        <f t="shared" si="20"/>
        <v/>
      </c>
      <c r="BX123" s="1" t="str">
        <f t="shared" si="21"/>
        <v/>
      </c>
      <c r="BY123" s="1" t="str">
        <f t="shared" si="22"/>
        <v/>
      </c>
      <c r="BZ123" s="1" t="str">
        <f t="shared" si="23"/>
        <v/>
      </c>
      <c r="CA123" s="1" t="str">
        <f t="shared" si="24"/>
        <v/>
      </c>
      <c r="CB123" s="1" t="str">
        <f t="shared" si="25"/>
        <v/>
      </c>
      <c r="CC123" s="1" t="str">
        <f t="shared" si="26"/>
        <v/>
      </c>
      <c r="CD123" s="1" t="str">
        <f t="shared" si="27"/>
        <v/>
      </c>
      <c r="CE123" s="1" t="str">
        <f t="shared" si="28"/>
        <v/>
      </c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8"/>
    </row>
    <row r="124" spans="1:97" ht="54" x14ac:dyDescent="0.15">
      <c r="A124" s="1"/>
      <c r="B124" s="1" t="s">
        <v>184</v>
      </c>
      <c r="C124" s="1" t="s">
        <v>178</v>
      </c>
      <c r="D124" s="1" t="s">
        <v>147</v>
      </c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32"/>
      <c r="Q124" s="32"/>
      <c r="R124" s="32"/>
      <c r="S124" s="32"/>
      <c r="T124" s="32"/>
      <c r="U124" s="32"/>
      <c r="V124" s="32">
        <v>10</v>
      </c>
      <c r="W124" s="32"/>
      <c r="X124" s="32"/>
      <c r="Y124" s="32">
        <v>10</v>
      </c>
      <c r="Z124" s="32"/>
      <c r="AA124" s="32"/>
      <c r="AB124" s="32">
        <v>10</v>
      </c>
      <c r="AC124" s="32">
        <v>5</v>
      </c>
      <c r="AD124" s="32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>
        <f t="shared" si="16"/>
        <v>35</v>
      </c>
      <c r="BQ124" s="1">
        <v>23</v>
      </c>
      <c r="BR124" s="17">
        <v>4</v>
      </c>
      <c r="BS124" s="17" t="s">
        <v>263</v>
      </c>
      <c r="BT124" s="1" t="str">
        <f t="shared" si="17"/>
        <v/>
      </c>
      <c r="BU124" s="1" t="str">
        <f t="shared" si="18"/>
        <v/>
      </c>
      <c r="BV124" s="1" t="str">
        <f t="shared" si="19"/>
        <v/>
      </c>
      <c r="BW124" s="1" t="str">
        <f t="shared" si="20"/>
        <v/>
      </c>
      <c r="BX124" s="1" t="str">
        <f t="shared" si="21"/>
        <v/>
      </c>
      <c r="BY124" s="1" t="str">
        <f t="shared" si="22"/>
        <v/>
      </c>
      <c r="BZ124" s="1" t="str">
        <f t="shared" si="23"/>
        <v/>
      </c>
      <c r="CA124" s="1" t="str">
        <f t="shared" si="24"/>
        <v/>
      </c>
      <c r="CB124" s="1" t="str">
        <f t="shared" si="25"/>
        <v/>
      </c>
      <c r="CC124" s="1" t="str">
        <f t="shared" si="26"/>
        <v/>
      </c>
      <c r="CD124" s="1" t="str">
        <f t="shared" si="27"/>
        <v/>
      </c>
      <c r="CE124" s="1" t="str">
        <f t="shared" si="28"/>
        <v/>
      </c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8"/>
    </row>
    <row r="125" spans="1:97" ht="54" x14ac:dyDescent="0.15">
      <c r="A125" s="1"/>
      <c r="B125" s="1" t="s">
        <v>174</v>
      </c>
      <c r="C125" s="1" t="s">
        <v>175</v>
      </c>
      <c r="D125" s="1" t="s">
        <v>146</v>
      </c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32">
        <v>10</v>
      </c>
      <c r="Q125" s="32"/>
      <c r="R125" s="32"/>
      <c r="S125" s="32">
        <v>10</v>
      </c>
      <c r="T125" s="32"/>
      <c r="U125" s="32"/>
      <c r="V125" s="32"/>
      <c r="W125" s="32"/>
      <c r="X125" s="32"/>
      <c r="Y125" s="32"/>
      <c r="Z125" s="32">
        <v>5</v>
      </c>
      <c r="AA125" s="32"/>
      <c r="AB125" s="32">
        <v>10</v>
      </c>
      <c r="AC125" s="32"/>
      <c r="AD125" s="32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>
        <f t="shared" si="16"/>
        <v>35</v>
      </c>
      <c r="BQ125" s="1">
        <v>23</v>
      </c>
      <c r="BR125" s="17">
        <v>4</v>
      </c>
      <c r="BS125" s="17" t="s">
        <v>267</v>
      </c>
      <c r="BT125" s="1" t="str">
        <f t="shared" si="17"/>
        <v/>
      </c>
      <c r="BU125" s="1" t="str">
        <f t="shared" si="18"/>
        <v/>
      </c>
      <c r="BV125" s="1" t="str">
        <f t="shared" si="19"/>
        <v/>
      </c>
      <c r="BW125" s="1" t="str">
        <f t="shared" si="20"/>
        <v/>
      </c>
      <c r="BX125" s="1" t="str">
        <f t="shared" si="21"/>
        <v/>
      </c>
      <c r="BY125" s="1" t="str">
        <f t="shared" si="22"/>
        <v/>
      </c>
      <c r="BZ125" s="1" t="str">
        <f t="shared" si="23"/>
        <v/>
      </c>
      <c r="CA125" s="1" t="str">
        <f t="shared" si="24"/>
        <v/>
      </c>
      <c r="CB125" s="1" t="str">
        <f t="shared" si="25"/>
        <v/>
      </c>
      <c r="CC125" s="1" t="str">
        <f t="shared" si="26"/>
        <v/>
      </c>
      <c r="CD125" s="1" t="str">
        <f t="shared" si="27"/>
        <v/>
      </c>
      <c r="CE125" s="1" t="str">
        <f t="shared" si="28"/>
        <v/>
      </c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8"/>
    </row>
    <row r="126" spans="1:97" ht="54" x14ac:dyDescent="0.15">
      <c r="A126" s="1"/>
      <c r="B126" s="1" t="s">
        <v>179</v>
      </c>
      <c r="C126" s="1" t="s">
        <v>178</v>
      </c>
      <c r="D126" s="1" t="s">
        <v>148</v>
      </c>
      <c r="E126" s="6"/>
      <c r="F126" s="6"/>
      <c r="G126" s="6">
        <v>10</v>
      </c>
      <c r="H126" s="6"/>
      <c r="I126" s="6"/>
      <c r="J126" s="6"/>
      <c r="K126" s="6"/>
      <c r="L126" s="6"/>
      <c r="M126" s="6"/>
      <c r="N126" s="6"/>
      <c r="O126" s="6"/>
      <c r="P126" s="32"/>
      <c r="Q126" s="32"/>
      <c r="R126" s="32"/>
      <c r="S126" s="32"/>
      <c r="T126" s="32"/>
      <c r="U126" s="32"/>
      <c r="V126" s="32"/>
      <c r="W126" s="32"/>
      <c r="X126" s="32">
        <v>10</v>
      </c>
      <c r="Y126" s="32"/>
      <c r="Z126" s="32"/>
      <c r="AA126" s="32"/>
      <c r="AB126" s="32"/>
      <c r="AC126" s="32"/>
      <c r="AD126" s="32">
        <v>10</v>
      </c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/>
      <c r="AV126" s="4">
        <v>10</v>
      </c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>
        <f t="shared" si="16"/>
        <v>40</v>
      </c>
      <c r="BQ126" s="1">
        <v>23</v>
      </c>
      <c r="BR126" s="17">
        <v>4</v>
      </c>
      <c r="BS126" s="17" t="s">
        <v>278</v>
      </c>
      <c r="BT126" s="1" t="str">
        <f t="shared" si="17"/>
        <v/>
      </c>
      <c r="BU126" s="1" t="str">
        <f t="shared" si="18"/>
        <v/>
      </c>
      <c r="BV126" s="1" t="str">
        <f t="shared" si="19"/>
        <v/>
      </c>
      <c r="BW126" s="1" t="str">
        <f t="shared" si="20"/>
        <v/>
      </c>
      <c r="BX126" s="1" t="str">
        <f t="shared" si="21"/>
        <v/>
      </c>
      <c r="BY126" s="1">
        <f t="shared" si="22"/>
        <v>3</v>
      </c>
      <c r="BZ126" s="1" t="str">
        <f t="shared" si="23"/>
        <v/>
      </c>
      <c r="CA126" s="1" t="str">
        <f t="shared" si="24"/>
        <v/>
      </c>
      <c r="CB126" s="1" t="str">
        <f t="shared" si="25"/>
        <v/>
      </c>
      <c r="CC126" s="1" t="str">
        <f t="shared" si="26"/>
        <v/>
      </c>
      <c r="CD126" s="1" t="str">
        <f t="shared" si="27"/>
        <v/>
      </c>
      <c r="CE126" s="1" t="str">
        <f t="shared" si="28"/>
        <v/>
      </c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8"/>
    </row>
    <row r="127" spans="1:97" ht="54" x14ac:dyDescent="0.15">
      <c r="A127" s="1"/>
      <c r="B127" s="1" t="s">
        <v>195</v>
      </c>
      <c r="C127" s="1" t="s">
        <v>135</v>
      </c>
      <c r="D127" s="1" t="s">
        <v>198</v>
      </c>
      <c r="E127" s="6"/>
      <c r="F127" s="6"/>
      <c r="G127" s="6">
        <v>10</v>
      </c>
      <c r="H127" s="6"/>
      <c r="I127" s="6"/>
      <c r="J127" s="6"/>
      <c r="K127" s="6"/>
      <c r="L127" s="6"/>
      <c r="M127" s="6"/>
      <c r="N127" s="6"/>
      <c r="O127" s="6"/>
      <c r="P127" s="32"/>
      <c r="Q127" s="32"/>
      <c r="R127" s="32"/>
      <c r="S127" s="32"/>
      <c r="T127" s="32"/>
      <c r="U127" s="32"/>
      <c r="V127" s="32"/>
      <c r="W127" s="32"/>
      <c r="X127" s="32">
        <v>10</v>
      </c>
      <c r="Y127" s="32"/>
      <c r="Z127" s="32"/>
      <c r="AA127" s="32"/>
      <c r="AB127" s="32"/>
      <c r="AC127" s="32"/>
      <c r="AD127" s="32">
        <v>10</v>
      </c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/>
      <c r="AU127" s="4"/>
      <c r="AV127" s="4">
        <v>10</v>
      </c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>
        <f t="shared" si="16"/>
        <v>40</v>
      </c>
      <c r="BQ127" s="1">
        <v>23</v>
      </c>
      <c r="BR127" s="17">
        <v>4</v>
      </c>
      <c r="BS127" s="17" t="s">
        <v>278</v>
      </c>
      <c r="BT127" s="1" t="str">
        <f t="shared" si="17"/>
        <v/>
      </c>
      <c r="BU127" s="1" t="str">
        <f t="shared" si="18"/>
        <v/>
      </c>
      <c r="BV127" s="1" t="str">
        <f t="shared" si="19"/>
        <v/>
      </c>
      <c r="BW127" s="1" t="str">
        <f t="shared" si="20"/>
        <v/>
      </c>
      <c r="BX127" s="1" t="str">
        <f t="shared" si="21"/>
        <v/>
      </c>
      <c r="BY127" s="1">
        <f t="shared" si="22"/>
        <v>3</v>
      </c>
      <c r="BZ127" s="1" t="str">
        <f t="shared" si="23"/>
        <v/>
      </c>
      <c r="CA127" s="1" t="str">
        <f t="shared" si="24"/>
        <v/>
      </c>
      <c r="CB127" s="1" t="str">
        <f t="shared" si="25"/>
        <v/>
      </c>
      <c r="CC127" s="1" t="str">
        <f t="shared" si="26"/>
        <v/>
      </c>
      <c r="CD127" s="1" t="str">
        <f t="shared" si="27"/>
        <v/>
      </c>
      <c r="CE127" s="1" t="str">
        <f t="shared" si="28"/>
        <v/>
      </c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8"/>
    </row>
    <row r="128" spans="1:97" ht="54" x14ac:dyDescent="0.15">
      <c r="A128" s="1"/>
      <c r="B128" s="1" t="s">
        <v>163</v>
      </c>
      <c r="C128" s="1" t="s">
        <v>164</v>
      </c>
      <c r="D128" s="1" t="s">
        <v>147</v>
      </c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32"/>
      <c r="Q128" s="32">
        <v>5</v>
      </c>
      <c r="R128" s="32"/>
      <c r="S128" s="32"/>
      <c r="T128" s="32"/>
      <c r="U128" s="32"/>
      <c r="V128" s="32">
        <v>10</v>
      </c>
      <c r="W128" s="32"/>
      <c r="X128" s="32"/>
      <c r="Y128" s="32">
        <v>10</v>
      </c>
      <c r="Z128" s="32"/>
      <c r="AA128" s="32"/>
      <c r="AB128" s="32">
        <v>10</v>
      </c>
      <c r="AC128" s="32"/>
      <c r="AD128" s="32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/>
      <c r="AU128" s="4"/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>
        <f t="shared" ref="BP128:BP148" si="38">SUM(E128:BO128)</f>
        <v>35</v>
      </c>
      <c r="BQ128" s="1">
        <v>24</v>
      </c>
      <c r="BR128" s="17">
        <v>4</v>
      </c>
      <c r="BS128" s="17" t="s">
        <v>266</v>
      </c>
      <c r="BT128" s="1" t="str">
        <f t="shared" si="17"/>
        <v/>
      </c>
      <c r="BU128" s="1" t="str">
        <f t="shared" si="18"/>
        <v/>
      </c>
      <c r="BV128" s="1" t="str">
        <f t="shared" si="19"/>
        <v/>
      </c>
      <c r="BW128" s="1" t="str">
        <f t="shared" si="20"/>
        <v/>
      </c>
      <c r="BX128" s="1" t="str">
        <f t="shared" si="21"/>
        <v/>
      </c>
      <c r="BY128" s="1" t="str">
        <f t="shared" si="22"/>
        <v/>
      </c>
      <c r="BZ128" s="1" t="str">
        <f t="shared" si="23"/>
        <v/>
      </c>
      <c r="CA128" s="1" t="str">
        <f t="shared" si="24"/>
        <v/>
      </c>
      <c r="CB128" s="1" t="str">
        <f t="shared" si="25"/>
        <v/>
      </c>
      <c r="CC128" s="1" t="str">
        <f t="shared" si="26"/>
        <v/>
      </c>
      <c r="CD128" s="1" t="str">
        <f t="shared" si="27"/>
        <v/>
      </c>
      <c r="CE128" s="1" t="str">
        <f t="shared" si="28"/>
        <v/>
      </c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8"/>
    </row>
    <row r="129" spans="1:97" ht="54" x14ac:dyDescent="0.15">
      <c r="A129" s="1"/>
      <c r="B129" s="1" t="s">
        <v>171</v>
      </c>
      <c r="C129" s="1" t="s">
        <v>169</v>
      </c>
      <c r="D129" s="1" t="s">
        <v>147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32"/>
      <c r="Q129" s="32">
        <v>5</v>
      </c>
      <c r="R129" s="32"/>
      <c r="S129" s="32"/>
      <c r="T129" s="32"/>
      <c r="U129" s="32"/>
      <c r="V129" s="32">
        <v>10</v>
      </c>
      <c r="W129" s="32"/>
      <c r="X129" s="32"/>
      <c r="Y129" s="32">
        <v>10</v>
      </c>
      <c r="Z129" s="32"/>
      <c r="AA129" s="32"/>
      <c r="AB129" s="32">
        <v>10</v>
      </c>
      <c r="AC129" s="32"/>
      <c r="AD129" s="32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>
        <f t="shared" si="38"/>
        <v>35</v>
      </c>
      <c r="BQ129" s="1">
        <v>24</v>
      </c>
      <c r="BR129" s="17">
        <v>4</v>
      </c>
      <c r="BS129" s="17" t="s">
        <v>266</v>
      </c>
      <c r="BT129" s="1" t="str">
        <f t="shared" si="17"/>
        <v/>
      </c>
      <c r="BU129" s="1" t="str">
        <f t="shared" si="18"/>
        <v/>
      </c>
      <c r="BV129" s="1" t="str">
        <f t="shared" si="19"/>
        <v/>
      </c>
      <c r="BW129" s="1" t="str">
        <f t="shared" si="20"/>
        <v/>
      </c>
      <c r="BX129" s="1" t="str">
        <f t="shared" si="21"/>
        <v/>
      </c>
      <c r="BY129" s="1" t="str">
        <f t="shared" si="22"/>
        <v/>
      </c>
      <c r="BZ129" s="1" t="str">
        <f t="shared" si="23"/>
        <v/>
      </c>
      <c r="CA129" s="1" t="str">
        <f t="shared" si="24"/>
        <v/>
      </c>
      <c r="CB129" s="1" t="str">
        <f t="shared" si="25"/>
        <v/>
      </c>
      <c r="CC129" s="1" t="str">
        <f t="shared" si="26"/>
        <v/>
      </c>
      <c r="CD129" s="1" t="str">
        <f t="shared" si="27"/>
        <v/>
      </c>
      <c r="CE129" s="1" t="str">
        <f t="shared" si="28"/>
        <v/>
      </c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8"/>
    </row>
    <row r="130" spans="1:97" ht="54" x14ac:dyDescent="0.15">
      <c r="A130" s="1"/>
      <c r="B130" s="1" t="s">
        <v>162</v>
      </c>
      <c r="C130" s="1" t="s">
        <v>145</v>
      </c>
      <c r="D130" s="1" t="s">
        <v>148</v>
      </c>
      <c r="E130" s="6"/>
      <c r="F130" s="6"/>
      <c r="G130" s="6"/>
      <c r="H130" s="6">
        <v>10</v>
      </c>
      <c r="I130" s="6"/>
      <c r="J130" s="6"/>
      <c r="K130" s="6"/>
      <c r="L130" s="6"/>
      <c r="M130" s="6"/>
      <c r="N130" s="6"/>
      <c r="O130" s="6"/>
      <c r="P130" s="32"/>
      <c r="Q130" s="32"/>
      <c r="R130" s="32">
        <v>10</v>
      </c>
      <c r="S130" s="32"/>
      <c r="T130" s="32"/>
      <c r="U130" s="32"/>
      <c r="V130" s="32"/>
      <c r="W130" s="32"/>
      <c r="X130" s="32">
        <v>10</v>
      </c>
      <c r="Y130" s="32"/>
      <c r="Z130" s="32"/>
      <c r="AA130" s="32"/>
      <c r="AB130" s="32"/>
      <c r="AC130" s="32"/>
      <c r="AD130" s="32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>
        <v>10</v>
      </c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>
        <f t="shared" si="38"/>
        <v>40</v>
      </c>
      <c r="BQ130" s="1">
        <v>26</v>
      </c>
      <c r="BR130" s="17">
        <v>4</v>
      </c>
      <c r="BS130" s="17" t="s">
        <v>292</v>
      </c>
      <c r="BT130" s="1" t="str">
        <f t="shared" ref="BT130:BT148" si="39">IF(AQ130&gt;AQ$150, AQ130-AQ$150,"")</f>
        <v/>
      </c>
      <c r="BU130" s="1">
        <f t="shared" ref="BU130:BU148" si="40">IF(AR130&gt;AR$150, AR130-AR$150,"")</f>
        <v>4</v>
      </c>
      <c r="BV130" s="1" t="str">
        <f t="shared" ref="BV130:BV148" si="41">IF(AS130&gt;AS$150, AS130-AS$150,"")</f>
        <v/>
      </c>
      <c r="BW130" s="1" t="str">
        <f t="shared" ref="BW130:BW148" si="42">IF(AT130&gt;AT$150, AT130-AT$150,"")</f>
        <v/>
      </c>
      <c r="BX130" s="1" t="str">
        <f t="shared" ref="BX130:BX148" si="43">IF(AU130&gt;AU$150, AU130-AU$150,"")</f>
        <v/>
      </c>
      <c r="BY130" s="1" t="str">
        <f t="shared" ref="BY130:BY148" si="44">IF(AV130&gt;AV$150, AV130-AV$150,"")</f>
        <v/>
      </c>
      <c r="BZ130" s="1" t="str">
        <f t="shared" ref="BZ130:BZ148" si="45">IF(AW130&gt;AW$150, AW130-AW$150,"")</f>
        <v/>
      </c>
      <c r="CA130" s="1" t="str">
        <f t="shared" ref="CA130:CA148" si="46">IF(AX130&gt;AX$150, AX130-AX$150,"")</f>
        <v/>
      </c>
      <c r="CB130" s="1" t="str">
        <f t="shared" ref="CB130:CB148" si="47">IF(AY130&gt;AY$150, AY130-AY$150,"")</f>
        <v/>
      </c>
      <c r="CC130" s="1" t="str">
        <f t="shared" ref="CC130:CC148" si="48">IF(AZ130&gt;AZ$150, AZ130-AZ$150,"")</f>
        <v/>
      </c>
      <c r="CD130" s="1" t="str">
        <f t="shared" ref="CD130:CD148" si="49">IF(BA130&gt;BA$150, BA130-BA$150,"")</f>
        <v/>
      </c>
      <c r="CE130" s="1" t="str">
        <f t="shared" ref="CE130:CE148" si="50">IF(BB130&gt;BB$150, BB130-BB$150,"")</f>
        <v/>
      </c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8"/>
    </row>
    <row r="131" spans="1:97" ht="54" x14ac:dyDescent="0.15">
      <c r="A131" s="1"/>
      <c r="B131" s="1" t="s">
        <v>157</v>
      </c>
      <c r="C131" s="1" t="s">
        <v>145</v>
      </c>
      <c r="D131" s="1" t="s">
        <v>148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>
        <v>10</v>
      </c>
      <c r="P131" s="32"/>
      <c r="Q131" s="32"/>
      <c r="R131" s="32">
        <v>10</v>
      </c>
      <c r="S131" s="32"/>
      <c r="T131" s="32"/>
      <c r="U131" s="32"/>
      <c r="V131" s="32"/>
      <c r="W131" s="32"/>
      <c r="X131" s="32">
        <v>10</v>
      </c>
      <c r="Y131" s="32"/>
      <c r="Z131" s="32"/>
      <c r="AA131" s="32"/>
      <c r="AB131" s="32"/>
      <c r="AC131" s="32"/>
      <c r="AD131" s="32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/>
      <c r="AS131" s="4">
        <v>10</v>
      </c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>
        <f t="shared" si="38"/>
        <v>40</v>
      </c>
      <c r="BQ131" s="1">
        <v>29</v>
      </c>
      <c r="BR131" s="17">
        <v>4</v>
      </c>
      <c r="BS131" s="17" t="s">
        <v>300</v>
      </c>
      <c r="BT131" s="1" t="str">
        <f t="shared" si="39"/>
        <v/>
      </c>
      <c r="BU131" s="1" t="str">
        <f t="shared" si="40"/>
        <v/>
      </c>
      <c r="BV131" s="1">
        <f t="shared" si="41"/>
        <v>8</v>
      </c>
      <c r="BW131" s="1" t="str">
        <f t="shared" si="42"/>
        <v/>
      </c>
      <c r="BX131" s="1" t="str">
        <f t="shared" si="43"/>
        <v/>
      </c>
      <c r="BY131" s="1" t="str">
        <f t="shared" si="44"/>
        <v/>
      </c>
      <c r="BZ131" s="1" t="str">
        <f t="shared" si="45"/>
        <v/>
      </c>
      <c r="CA131" s="1" t="str">
        <f t="shared" si="46"/>
        <v/>
      </c>
      <c r="CB131" s="1" t="str">
        <f t="shared" si="47"/>
        <v/>
      </c>
      <c r="CC131" s="1" t="str">
        <f t="shared" si="48"/>
        <v/>
      </c>
      <c r="CD131" s="1" t="str">
        <f t="shared" si="49"/>
        <v/>
      </c>
      <c r="CE131" s="1" t="str">
        <f t="shared" si="50"/>
        <v/>
      </c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8"/>
    </row>
    <row r="132" spans="1:97" ht="54" x14ac:dyDescent="0.15">
      <c r="A132" s="1"/>
      <c r="B132" s="1" t="s">
        <v>180</v>
      </c>
      <c r="C132" s="1" t="s">
        <v>178</v>
      </c>
      <c r="D132" s="1" t="s">
        <v>148</v>
      </c>
      <c r="E132" s="6"/>
      <c r="F132" s="6"/>
      <c r="G132" s="6"/>
      <c r="H132" s="6">
        <v>10</v>
      </c>
      <c r="I132" s="6"/>
      <c r="J132" s="6"/>
      <c r="K132" s="6"/>
      <c r="L132" s="6"/>
      <c r="M132" s="6"/>
      <c r="N132" s="6"/>
      <c r="O132" s="6"/>
      <c r="P132" s="32"/>
      <c r="Q132" s="32"/>
      <c r="R132" s="32">
        <v>10</v>
      </c>
      <c r="S132" s="32"/>
      <c r="T132" s="32"/>
      <c r="U132" s="32">
        <v>10</v>
      </c>
      <c r="V132" s="32"/>
      <c r="W132" s="32"/>
      <c r="X132" s="32"/>
      <c r="Y132" s="32"/>
      <c r="Z132" s="32"/>
      <c r="AA132" s="32"/>
      <c r="AB132" s="32"/>
      <c r="AC132" s="32"/>
      <c r="AD132" s="32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>
        <v>10</v>
      </c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>
        <f t="shared" si="38"/>
        <v>40</v>
      </c>
      <c r="BQ132" s="1">
        <v>34</v>
      </c>
      <c r="BR132" s="17">
        <v>4</v>
      </c>
      <c r="BS132" s="17" t="s">
        <v>303</v>
      </c>
      <c r="BT132" s="1" t="str">
        <f t="shared" si="39"/>
        <v/>
      </c>
      <c r="BU132" s="1" t="str">
        <f t="shared" si="40"/>
        <v/>
      </c>
      <c r="BV132" s="1" t="str">
        <f t="shared" si="41"/>
        <v/>
      </c>
      <c r="BW132" s="1" t="str">
        <f t="shared" si="42"/>
        <v/>
      </c>
      <c r="BX132" s="1">
        <f t="shared" si="43"/>
        <v>6</v>
      </c>
      <c r="BY132" s="1" t="str">
        <f t="shared" si="44"/>
        <v/>
      </c>
      <c r="BZ132" s="1" t="str">
        <f t="shared" si="45"/>
        <v/>
      </c>
      <c r="CA132" s="1" t="str">
        <f t="shared" si="46"/>
        <v/>
      </c>
      <c r="CB132" s="1" t="str">
        <f t="shared" si="47"/>
        <v/>
      </c>
      <c r="CC132" s="1" t="str">
        <f t="shared" si="48"/>
        <v/>
      </c>
      <c r="CD132" s="1" t="str">
        <f t="shared" si="49"/>
        <v/>
      </c>
      <c r="CE132" s="1" t="str">
        <f t="shared" si="50"/>
        <v/>
      </c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8"/>
    </row>
    <row r="133" spans="1:97" ht="54" x14ac:dyDescent="0.15">
      <c r="A133" s="1"/>
      <c r="B133" s="1" t="s">
        <v>163</v>
      </c>
      <c r="C133" s="1" t="s">
        <v>164</v>
      </c>
      <c r="D133" s="1" t="s">
        <v>146</v>
      </c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32">
        <v>10</v>
      </c>
      <c r="Q133" s="32"/>
      <c r="R133" s="32"/>
      <c r="S133" s="32">
        <v>10</v>
      </c>
      <c r="T133" s="32"/>
      <c r="U133" s="32"/>
      <c r="V133" s="32">
        <v>10</v>
      </c>
      <c r="W133" s="32"/>
      <c r="X133" s="32"/>
      <c r="Y133" s="32">
        <v>10</v>
      </c>
      <c r="Z133" s="32"/>
      <c r="AA133" s="32"/>
      <c r="AB133" s="32"/>
      <c r="AC133" s="32"/>
      <c r="AD133" s="32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/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>
        <f t="shared" si="38"/>
        <v>40</v>
      </c>
      <c r="BQ133" s="1">
        <v>35</v>
      </c>
      <c r="BR133" s="17">
        <v>4</v>
      </c>
      <c r="BS133" s="17" t="s">
        <v>224</v>
      </c>
      <c r="BT133" s="1" t="str">
        <f t="shared" si="39"/>
        <v/>
      </c>
      <c r="BU133" s="1" t="str">
        <f t="shared" si="40"/>
        <v/>
      </c>
      <c r="BV133" s="1" t="str">
        <f t="shared" si="41"/>
        <v/>
      </c>
      <c r="BW133" s="1" t="str">
        <f t="shared" si="42"/>
        <v/>
      </c>
      <c r="BX133" s="1" t="str">
        <f t="shared" si="43"/>
        <v/>
      </c>
      <c r="BY133" s="1" t="str">
        <f t="shared" si="44"/>
        <v/>
      </c>
      <c r="BZ133" s="1" t="str">
        <f t="shared" si="45"/>
        <v/>
      </c>
      <c r="CA133" s="1" t="str">
        <f t="shared" si="46"/>
        <v/>
      </c>
      <c r="CB133" s="1" t="str">
        <f t="shared" si="47"/>
        <v/>
      </c>
      <c r="CC133" s="1" t="str">
        <f t="shared" si="48"/>
        <v/>
      </c>
      <c r="CD133" s="1" t="str">
        <f t="shared" si="49"/>
        <v/>
      </c>
      <c r="CE133" s="1" t="str">
        <f t="shared" si="50"/>
        <v/>
      </c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8"/>
    </row>
    <row r="134" spans="1:97" ht="54" x14ac:dyDescent="0.15">
      <c r="A134" s="1"/>
      <c r="B134" s="1" t="s">
        <v>171</v>
      </c>
      <c r="C134" s="1" t="s">
        <v>169</v>
      </c>
      <c r="D134" s="1" t="s">
        <v>146</v>
      </c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32">
        <v>10</v>
      </c>
      <c r="Q134" s="32"/>
      <c r="R134" s="32"/>
      <c r="S134" s="32">
        <v>10</v>
      </c>
      <c r="T134" s="32"/>
      <c r="U134" s="32"/>
      <c r="V134" s="32">
        <v>10</v>
      </c>
      <c r="W134" s="32"/>
      <c r="X134" s="32"/>
      <c r="Y134" s="32">
        <v>10</v>
      </c>
      <c r="Z134" s="32"/>
      <c r="AA134" s="32"/>
      <c r="AB134" s="32"/>
      <c r="AC134" s="32"/>
      <c r="AD134" s="32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/>
      <c r="AS134" s="4"/>
      <c r="AT134" s="4"/>
      <c r="AU134" s="4"/>
      <c r="AV134" s="4"/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>
        <f t="shared" si="38"/>
        <v>40</v>
      </c>
      <c r="BQ134" s="1">
        <v>35</v>
      </c>
      <c r="BR134" s="17">
        <v>4</v>
      </c>
      <c r="BS134" s="17" t="s">
        <v>224</v>
      </c>
      <c r="BT134" s="1" t="str">
        <f t="shared" si="39"/>
        <v/>
      </c>
      <c r="BU134" s="1" t="str">
        <f t="shared" si="40"/>
        <v/>
      </c>
      <c r="BV134" s="1" t="str">
        <f t="shared" si="41"/>
        <v/>
      </c>
      <c r="BW134" s="1" t="str">
        <f t="shared" si="42"/>
        <v/>
      </c>
      <c r="BX134" s="1" t="str">
        <f t="shared" si="43"/>
        <v/>
      </c>
      <c r="BY134" s="1" t="str">
        <f t="shared" si="44"/>
        <v/>
      </c>
      <c r="BZ134" s="1" t="str">
        <f t="shared" si="45"/>
        <v/>
      </c>
      <c r="CA134" s="1" t="str">
        <f t="shared" si="46"/>
        <v/>
      </c>
      <c r="CB134" s="1" t="str">
        <f t="shared" si="47"/>
        <v/>
      </c>
      <c r="CC134" s="1" t="str">
        <f t="shared" si="48"/>
        <v/>
      </c>
      <c r="CD134" s="1" t="str">
        <f t="shared" si="49"/>
        <v/>
      </c>
      <c r="CE134" s="1" t="str">
        <f t="shared" si="50"/>
        <v/>
      </c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8"/>
    </row>
    <row r="135" spans="1:97" ht="54" x14ac:dyDescent="0.15">
      <c r="A135" s="1"/>
      <c r="B135" s="1" t="s">
        <v>173</v>
      </c>
      <c r="C135" s="1" t="s">
        <v>175</v>
      </c>
      <c r="D135" s="1" t="s">
        <v>146</v>
      </c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32">
        <v>10</v>
      </c>
      <c r="Q135" s="32"/>
      <c r="R135" s="32"/>
      <c r="S135" s="32">
        <v>10</v>
      </c>
      <c r="T135" s="32"/>
      <c r="U135" s="32"/>
      <c r="V135" s="32">
        <v>10</v>
      </c>
      <c r="W135" s="32"/>
      <c r="X135" s="32"/>
      <c r="Y135" s="32">
        <v>10</v>
      </c>
      <c r="Z135" s="32"/>
      <c r="AA135" s="32"/>
      <c r="AB135" s="32"/>
      <c r="AC135" s="32"/>
      <c r="AD135" s="32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/>
      <c r="AU135" s="4"/>
      <c r="AV135" s="4"/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>
        <f t="shared" si="38"/>
        <v>40</v>
      </c>
      <c r="BQ135" s="1">
        <v>35</v>
      </c>
      <c r="BR135" s="17">
        <v>4</v>
      </c>
      <c r="BS135" s="17" t="s">
        <v>224</v>
      </c>
      <c r="BT135" s="1" t="str">
        <f t="shared" si="39"/>
        <v/>
      </c>
      <c r="BU135" s="1" t="str">
        <f t="shared" si="40"/>
        <v/>
      </c>
      <c r="BV135" s="1" t="str">
        <f t="shared" si="41"/>
        <v/>
      </c>
      <c r="BW135" s="1" t="str">
        <f t="shared" si="42"/>
        <v/>
      </c>
      <c r="BX135" s="1" t="str">
        <f t="shared" si="43"/>
        <v/>
      </c>
      <c r="BY135" s="1" t="str">
        <f t="shared" si="44"/>
        <v/>
      </c>
      <c r="BZ135" s="1" t="str">
        <f t="shared" si="45"/>
        <v/>
      </c>
      <c r="CA135" s="1" t="str">
        <f t="shared" si="46"/>
        <v/>
      </c>
      <c r="CB135" s="1" t="str">
        <f t="shared" si="47"/>
        <v/>
      </c>
      <c r="CC135" s="1" t="str">
        <f t="shared" si="48"/>
        <v/>
      </c>
      <c r="CD135" s="1" t="str">
        <f t="shared" si="49"/>
        <v/>
      </c>
      <c r="CE135" s="1" t="str">
        <f t="shared" si="50"/>
        <v/>
      </c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8"/>
    </row>
    <row r="136" spans="1:97" ht="54" x14ac:dyDescent="0.15">
      <c r="A136" s="1"/>
      <c r="B136" s="1" t="s">
        <v>180</v>
      </c>
      <c r="C136" s="1" t="s">
        <v>178</v>
      </c>
      <c r="D136" s="1" t="s">
        <v>146</v>
      </c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32">
        <v>10</v>
      </c>
      <c r="Q136" s="32"/>
      <c r="R136" s="32"/>
      <c r="S136" s="32">
        <v>10</v>
      </c>
      <c r="T136" s="32"/>
      <c r="U136" s="32"/>
      <c r="V136" s="32">
        <v>10</v>
      </c>
      <c r="W136" s="32"/>
      <c r="X136" s="32"/>
      <c r="Y136" s="32">
        <v>10</v>
      </c>
      <c r="Z136" s="32"/>
      <c r="AA136" s="32"/>
      <c r="AB136" s="32"/>
      <c r="AC136" s="32"/>
      <c r="AD136" s="32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/>
      <c r="AR136" s="4"/>
      <c r="AS136" s="4"/>
      <c r="AT136" s="4"/>
      <c r="AU136" s="4"/>
      <c r="AV136" s="4"/>
      <c r="AW136" s="2"/>
      <c r="AX136" s="2"/>
      <c r="AY136" s="2"/>
      <c r="AZ136" s="2"/>
      <c r="BA136" s="2"/>
      <c r="BB136" s="2"/>
      <c r="BC136" s="14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>
        <f t="shared" si="38"/>
        <v>40</v>
      </c>
      <c r="BQ136" s="1">
        <v>35</v>
      </c>
      <c r="BR136" s="17">
        <v>4</v>
      </c>
      <c r="BS136" s="17" t="s">
        <v>224</v>
      </c>
      <c r="BT136" s="1" t="str">
        <f t="shared" si="39"/>
        <v/>
      </c>
      <c r="BU136" s="1" t="str">
        <f t="shared" si="40"/>
        <v/>
      </c>
      <c r="BV136" s="1" t="str">
        <f t="shared" si="41"/>
        <v/>
      </c>
      <c r="BW136" s="1" t="str">
        <f t="shared" si="42"/>
        <v/>
      </c>
      <c r="BX136" s="1" t="str">
        <f t="shared" si="43"/>
        <v/>
      </c>
      <c r="BY136" s="1" t="str">
        <f t="shared" si="44"/>
        <v/>
      </c>
      <c r="BZ136" s="1" t="str">
        <f t="shared" si="45"/>
        <v/>
      </c>
      <c r="CA136" s="1" t="str">
        <f t="shared" si="46"/>
        <v/>
      </c>
      <c r="CB136" s="1" t="str">
        <f t="shared" si="47"/>
        <v/>
      </c>
      <c r="CC136" s="1" t="str">
        <f t="shared" si="48"/>
        <v/>
      </c>
      <c r="CD136" s="1" t="str">
        <f t="shared" si="49"/>
        <v/>
      </c>
      <c r="CE136" s="1" t="str">
        <f t="shared" si="50"/>
        <v/>
      </c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8"/>
    </row>
    <row r="137" spans="1:97" ht="54" x14ac:dyDescent="0.15">
      <c r="A137" s="1"/>
      <c r="B137" s="1" t="s">
        <v>183</v>
      </c>
      <c r="C137" s="1" t="s">
        <v>178</v>
      </c>
      <c r="D137" s="1" t="s">
        <v>146</v>
      </c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32">
        <v>10</v>
      </c>
      <c r="Q137" s="32"/>
      <c r="R137" s="32"/>
      <c r="S137" s="32">
        <v>10</v>
      </c>
      <c r="T137" s="32"/>
      <c r="U137" s="32"/>
      <c r="V137" s="32">
        <v>10</v>
      </c>
      <c r="W137" s="32"/>
      <c r="X137" s="32"/>
      <c r="Y137" s="32">
        <v>10</v>
      </c>
      <c r="Z137" s="32"/>
      <c r="AA137" s="32"/>
      <c r="AB137" s="32"/>
      <c r="AC137" s="32"/>
      <c r="AD137" s="32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/>
      <c r="AR137" s="4"/>
      <c r="AS137" s="4"/>
      <c r="AT137" s="4"/>
      <c r="AU137" s="4"/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>
        <f t="shared" si="38"/>
        <v>40</v>
      </c>
      <c r="BQ137" s="1">
        <v>35</v>
      </c>
      <c r="BR137" s="17">
        <v>4</v>
      </c>
      <c r="BS137" s="17" t="s">
        <v>224</v>
      </c>
      <c r="BT137" s="1" t="str">
        <f t="shared" si="39"/>
        <v/>
      </c>
      <c r="BU137" s="1" t="str">
        <f t="shared" si="40"/>
        <v/>
      </c>
      <c r="BV137" s="1" t="str">
        <f t="shared" si="41"/>
        <v/>
      </c>
      <c r="BW137" s="1" t="str">
        <f t="shared" si="42"/>
        <v/>
      </c>
      <c r="BX137" s="1" t="str">
        <f t="shared" si="43"/>
        <v/>
      </c>
      <c r="BY137" s="1" t="str">
        <f t="shared" si="44"/>
        <v/>
      </c>
      <c r="BZ137" s="1" t="str">
        <f t="shared" si="45"/>
        <v/>
      </c>
      <c r="CA137" s="1" t="str">
        <f t="shared" si="46"/>
        <v/>
      </c>
      <c r="CB137" s="1" t="str">
        <f t="shared" si="47"/>
        <v/>
      </c>
      <c r="CC137" s="1" t="str">
        <f t="shared" si="48"/>
        <v/>
      </c>
      <c r="CD137" s="1" t="str">
        <f t="shared" si="49"/>
        <v/>
      </c>
      <c r="CE137" s="1" t="str">
        <f t="shared" si="50"/>
        <v/>
      </c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8"/>
    </row>
    <row r="138" spans="1:97" ht="54" x14ac:dyDescent="0.15">
      <c r="A138" s="1"/>
      <c r="B138" s="1" t="s">
        <v>184</v>
      </c>
      <c r="C138" s="1" t="s">
        <v>178</v>
      </c>
      <c r="D138" s="1" t="s">
        <v>146</v>
      </c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32">
        <v>10</v>
      </c>
      <c r="Q138" s="32"/>
      <c r="R138" s="32"/>
      <c r="S138" s="32">
        <v>10</v>
      </c>
      <c r="T138" s="32"/>
      <c r="U138" s="32"/>
      <c r="V138" s="32">
        <v>10</v>
      </c>
      <c r="W138" s="32"/>
      <c r="X138" s="32"/>
      <c r="Y138" s="32">
        <v>10</v>
      </c>
      <c r="Z138" s="32"/>
      <c r="AA138" s="32"/>
      <c r="AB138" s="32"/>
      <c r="AC138" s="32"/>
      <c r="AD138" s="32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4"/>
      <c r="AR138" s="4"/>
      <c r="AS138" s="4"/>
      <c r="AT138" s="4"/>
      <c r="AU138" s="4"/>
      <c r="AV138" s="4"/>
      <c r="AW138" s="2"/>
      <c r="AX138" s="2"/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>
        <f t="shared" si="38"/>
        <v>40</v>
      </c>
      <c r="BQ138" s="1">
        <v>35</v>
      </c>
      <c r="BR138" s="17">
        <v>4</v>
      </c>
      <c r="BS138" s="17" t="s">
        <v>224</v>
      </c>
      <c r="BT138" s="1" t="str">
        <f t="shared" si="39"/>
        <v/>
      </c>
      <c r="BU138" s="1" t="str">
        <f t="shared" si="40"/>
        <v/>
      </c>
      <c r="BV138" s="1" t="str">
        <f t="shared" si="41"/>
        <v/>
      </c>
      <c r="BW138" s="1" t="str">
        <f t="shared" si="42"/>
        <v/>
      </c>
      <c r="BX138" s="1" t="str">
        <f t="shared" si="43"/>
        <v/>
      </c>
      <c r="BY138" s="1" t="str">
        <f t="shared" si="44"/>
        <v/>
      </c>
      <c r="BZ138" s="1" t="str">
        <f t="shared" si="45"/>
        <v/>
      </c>
      <c r="CA138" s="1" t="str">
        <f t="shared" si="46"/>
        <v/>
      </c>
      <c r="CB138" s="1" t="str">
        <f t="shared" si="47"/>
        <v/>
      </c>
      <c r="CC138" s="1" t="str">
        <f t="shared" si="48"/>
        <v/>
      </c>
      <c r="CD138" s="1" t="str">
        <f t="shared" si="49"/>
        <v/>
      </c>
      <c r="CE138" s="1" t="str">
        <f t="shared" si="50"/>
        <v/>
      </c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8"/>
    </row>
    <row r="139" spans="1:97" ht="54" x14ac:dyDescent="0.15">
      <c r="A139" s="1">
        <v>54</v>
      </c>
      <c r="B139" s="1" t="s">
        <v>60</v>
      </c>
      <c r="C139" s="1" t="s">
        <v>61</v>
      </c>
      <c r="D139" s="1" t="s">
        <v>1</v>
      </c>
      <c r="E139" s="6"/>
      <c r="F139" s="6">
        <v>15</v>
      </c>
      <c r="G139" s="6"/>
      <c r="H139" s="6">
        <v>15</v>
      </c>
      <c r="I139" s="6"/>
      <c r="J139" s="6"/>
      <c r="K139" s="6"/>
      <c r="L139" s="6"/>
      <c r="M139" s="6"/>
      <c r="N139" s="6"/>
      <c r="O139" s="6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  <c r="AA139" s="32"/>
      <c r="AB139" s="32"/>
      <c r="AC139" s="32"/>
      <c r="AD139" s="32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/>
      <c r="AR139" s="4"/>
      <c r="AS139" s="4"/>
      <c r="AT139" s="4"/>
      <c r="AU139" s="4"/>
      <c r="AV139" s="4">
        <v>15</v>
      </c>
      <c r="AW139" s="2"/>
      <c r="AX139" s="2"/>
      <c r="AY139" s="2"/>
      <c r="AZ139" s="2"/>
      <c r="BA139" s="2">
        <v>15</v>
      </c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>
        <f t="shared" si="38"/>
        <v>60</v>
      </c>
      <c r="BQ139" s="1">
        <v>47</v>
      </c>
      <c r="BR139" s="17">
        <v>4</v>
      </c>
      <c r="BS139" s="17" t="s">
        <v>295</v>
      </c>
      <c r="BT139" s="1" t="str">
        <f t="shared" si="39"/>
        <v/>
      </c>
      <c r="BU139" s="1" t="str">
        <f t="shared" si="40"/>
        <v/>
      </c>
      <c r="BV139" s="1" t="str">
        <f t="shared" si="41"/>
        <v/>
      </c>
      <c r="BW139" s="1" t="str">
        <f t="shared" si="42"/>
        <v/>
      </c>
      <c r="BX139" s="1" t="str">
        <f t="shared" si="43"/>
        <v/>
      </c>
      <c r="BY139" s="1">
        <f t="shared" si="44"/>
        <v>8</v>
      </c>
      <c r="BZ139" s="1" t="str">
        <f t="shared" si="45"/>
        <v/>
      </c>
      <c r="CA139" s="1" t="str">
        <f t="shared" si="46"/>
        <v/>
      </c>
      <c r="CB139" s="1" t="str">
        <f t="shared" si="47"/>
        <v/>
      </c>
      <c r="CC139" s="1" t="str">
        <f t="shared" si="48"/>
        <v/>
      </c>
      <c r="CD139" s="1">
        <f t="shared" si="49"/>
        <v>15</v>
      </c>
      <c r="CE139" s="1" t="str">
        <f t="shared" si="50"/>
        <v/>
      </c>
      <c r="CF139" s="1">
        <f>COUNTIF(BT139:CE139, "&gt;0")</f>
        <v>2</v>
      </c>
      <c r="CG139" s="1" t="str">
        <f t="shared" ref="CG139:CR140" si="51">IF($CF139=1,BT139,"")</f>
        <v/>
      </c>
      <c r="CH139" s="1" t="str">
        <f t="shared" si="51"/>
        <v/>
      </c>
      <c r="CI139" s="1" t="str">
        <f t="shared" si="51"/>
        <v/>
      </c>
      <c r="CJ139" s="1" t="str">
        <f t="shared" si="51"/>
        <v/>
      </c>
      <c r="CK139" s="1" t="str">
        <f t="shared" si="51"/>
        <v/>
      </c>
      <c r="CL139" s="1" t="str">
        <f t="shared" si="51"/>
        <v/>
      </c>
      <c r="CM139" s="1" t="str">
        <f t="shared" si="51"/>
        <v/>
      </c>
      <c r="CN139" s="1" t="str">
        <f t="shared" si="51"/>
        <v/>
      </c>
      <c r="CO139" s="1" t="str">
        <f t="shared" si="51"/>
        <v/>
      </c>
      <c r="CP139" s="1" t="str">
        <f t="shared" si="51"/>
        <v/>
      </c>
      <c r="CQ139" s="1" t="str">
        <f t="shared" si="51"/>
        <v/>
      </c>
      <c r="CR139" s="1" t="str">
        <f t="shared" si="51"/>
        <v/>
      </c>
      <c r="CS139" s="18">
        <f>SUM(AE139:BO139)</f>
        <v>30</v>
      </c>
    </row>
    <row r="140" spans="1:97" ht="54" x14ac:dyDescent="0.15">
      <c r="A140" s="1">
        <v>65</v>
      </c>
      <c r="B140" s="3" t="s">
        <v>66</v>
      </c>
      <c r="C140" s="1" t="s">
        <v>61</v>
      </c>
      <c r="D140" s="1" t="s">
        <v>13</v>
      </c>
      <c r="E140" s="6"/>
      <c r="F140" s="6"/>
      <c r="G140" s="6">
        <v>10</v>
      </c>
      <c r="H140" s="6"/>
      <c r="I140" s="6"/>
      <c r="J140" s="6"/>
      <c r="K140" s="6"/>
      <c r="L140" s="6"/>
      <c r="M140" s="6"/>
      <c r="N140" s="6"/>
      <c r="O140" s="6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  <c r="AD140" s="32"/>
      <c r="AE140" s="1"/>
      <c r="AF140" s="1"/>
      <c r="AG140" s="1"/>
      <c r="AH140" s="1"/>
      <c r="AI140" s="1"/>
      <c r="AJ140" s="1"/>
      <c r="AK140" s="1"/>
      <c r="AL140" s="1"/>
      <c r="AM140" s="1"/>
      <c r="AN140" s="1">
        <v>25</v>
      </c>
      <c r="AO140" s="1"/>
      <c r="AP140" s="1"/>
      <c r="AQ140" s="4"/>
      <c r="AR140" s="4"/>
      <c r="AS140" s="4"/>
      <c r="AT140" s="4"/>
      <c r="AU140" s="4"/>
      <c r="AV140" s="4">
        <v>10</v>
      </c>
      <c r="AW140" s="2"/>
      <c r="AX140" s="2"/>
      <c r="AY140" s="2"/>
      <c r="AZ140" s="2">
        <v>10</v>
      </c>
      <c r="BA140" s="2"/>
      <c r="BB140" s="2"/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>
        <f t="shared" si="38"/>
        <v>55</v>
      </c>
      <c r="BQ140" s="1">
        <v>48</v>
      </c>
      <c r="BR140" s="17">
        <v>4</v>
      </c>
      <c r="BS140" s="17" t="s">
        <v>254</v>
      </c>
      <c r="BT140" s="1" t="str">
        <f t="shared" si="39"/>
        <v/>
      </c>
      <c r="BU140" s="1" t="str">
        <f t="shared" si="40"/>
        <v/>
      </c>
      <c r="BV140" s="1" t="str">
        <f t="shared" si="41"/>
        <v/>
      </c>
      <c r="BW140" s="1" t="str">
        <f t="shared" si="42"/>
        <v/>
      </c>
      <c r="BX140" s="1" t="str">
        <f t="shared" si="43"/>
        <v/>
      </c>
      <c r="BY140" s="1">
        <f t="shared" si="44"/>
        <v>3</v>
      </c>
      <c r="BZ140" s="1" t="str">
        <f t="shared" si="45"/>
        <v/>
      </c>
      <c r="CA140" s="1" t="str">
        <f t="shared" si="46"/>
        <v/>
      </c>
      <c r="CB140" s="1" t="str">
        <f t="shared" si="47"/>
        <v/>
      </c>
      <c r="CC140" s="1">
        <f t="shared" si="48"/>
        <v>10</v>
      </c>
      <c r="CD140" s="1" t="str">
        <f t="shared" si="49"/>
        <v/>
      </c>
      <c r="CE140" s="1" t="str">
        <f t="shared" si="50"/>
        <v/>
      </c>
      <c r="CF140" s="1">
        <f>COUNTIF(BT140:CE140, "&gt;0")</f>
        <v>2</v>
      </c>
      <c r="CG140" s="1" t="str">
        <f t="shared" si="51"/>
        <v/>
      </c>
      <c r="CH140" s="1" t="str">
        <f t="shared" si="51"/>
        <v/>
      </c>
      <c r="CI140" s="1" t="str">
        <f t="shared" si="51"/>
        <v/>
      </c>
      <c r="CJ140" s="1" t="str">
        <f t="shared" si="51"/>
        <v/>
      </c>
      <c r="CK140" s="1" t="str">
        <f t="shared" si="51"/>
        <v/>
      </c>
      <c r="CL140" s="1" t="str">
        <f t="shared" si="51"/>
        <v/>
      </c>
      <c r="CM140" s="1" t="str">
        <f t="shared" si="51"/>
        <v/>
      </c>
      <c r="CN140" s="1" t="str">
        <f t="shared" si="51"/>
        <v/>
      </c>
      <c r="CO140" s="1" t="str">
        <f t="shared" si="51"/>
        <v/>
      </c>
      <c r="CP140" s="1" t="str">
        <f t="shared" si="51"/>
        <v/>
      </c>
      <c r="CQ140" s="1" t="str">
        <f t="shared" si="51"/>
        <v/>
      </c>
      <c r="CR140" s="1" t="str">
        <f t="shared" si="51"/>
        <v/>
      </c>
      <c r="CS140" s="18">
        <f>SUM(AE140:BO140)</f>
        <v>45</v>
      </c>
    </row>
    <row r="141" spans="1:97" ht="54" x14ac:dyDescent="0.15">
      <c r="A141" s="1"/>
      <c r="B141" s="1" t="s">
        <v>201</v>
      </c>
      <c r="C141" s="1" t="s">
        <v>113</v>
      </c>
      <c r="D141" s="1" t="s">
        <v>115</v>
      </c>
      <c r="E141" s="6">
        <v>10</v>
      </c>
      <c r="F141" s="6"/>
      <c r="G141" s="6">
        <v>10</v>
      </c>
      <c r="H141" s="6"/>
      <c r="I141" s="6"/>
      <c r="J141" s="6"/>
      <c r="K141" s="6"/>
      <c r="L141" s="6"/>
      <c r="M141" s="6"/>
      <c r="N141" s="6"/>
      <c r="O141" s="6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  <c r="AD141" s="32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4"/>
      <c r="AR141" s="4"/>
      <c r="AS141" s="4"/>
      <c r="AT141" s="4">
        <v>15</v>
      </c>
      <c r="AU141" s="4"/>
      <c r="AV141" s="4"/>
      <c r="AW141" s="2"/>
      <c r="AX141" s="2"/>
      <c r="AY141" s="2"/>
      <c r="AZ141" s="2">
        <v>15</v>
      </c>
      <c r="BA141" s="2">
        <v>15</v>
      </c>
      <c r="BB141" s="2"/>
      <c r="BC141" s="14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>
        <f t="shared" si="38"/>
        <v>65</v>
      </c>
      <c r="BQ141" s="1">
        <v>48</v>
      </c>
      <c r="BR141" s="17">
        <v>4</v>
      </c>
      <c r="BS141" s="17" t="s">
        <v>257</v>
      </c>
      <c r="BT141" s="1" t="str">
        <f t="shared" si="39"/>
        <v/>
      </c>
      <c r="BU141" s="1" t="str">
        <f t="shared" si="40"/>
        <v/>
      </c>
      <c r="BV141" s="1" t="str">
        <f t="shared" si="41"/>
        <v/>
      </c>
      <c r="BW141" s="1">
        <f t="shared" si="42"/>
        <v>8</v>
      </c>
      <c r="BX141" s="1" t="str">
        <f t="shared" si="43"/>
        <v/>
      </c>
      <c r="BY141" s="1" t="str">
        <f t="shared" si="44"/>
        <v/>
      </c>
      <c r="BZ141" s="1" t="str">
        <f t="shared" si="45"/>
        <v/>
      </c>
      <c r="CA141" s="1" t="str">
        <f t="shared" si="46"/>
        <v/>
      </c>
      <c r="CB141" s="1" t="str">
        <f t="shared" si="47"/>
        <v/>
      </c>
      <c r="CC141" s="1">
        <f t="shared" si="48"/>
        <v>15</v>
      </c>
      <c r="CD141" s="1">
        <f t="shared" si="49"/>
        <v>15</v>
      </c>
      <c r="CE141" s="1" t="str">
        <f t="shared" si="50"/>
        <v/>
      </c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8"/>
    </row>
    <row r="142" spans="1:97" ht="54" x14ac:dyDescent="0.15">
      <c r="A142" s="1">
        <v>23</v>
      </c>
      <c r="B142" s="1" t="s">
        <v>109</v>
      </c>
      <c r="C142" s="1" t="s">
        <v>32</v>
      </c>
      <c r="D142" s="1" t="s">
        <v>40</v>
      </c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  <c r="AD142" s="32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4"/>
      <c r="AR142" s="4"/>
      <c r="AS142" s="4"/>
      <c r="AT142" s="4"/>
      <c r="AU142" s="4"/>
      <c r="AV142" s="4"/>
      <c r="AW142" s="2"/>
      <c r="AX142" s="2"/>
      <c r="AY142" s="2"/>
      <c r="AZ142" s="2"/>
      <c r="BA142" s="2"/>
      <c r="BB142" s="2"/>
      <c r="BC142" s="14"/>
      <c r="BD142" s="1"/>
      <c r="BE142" s="1"/>
      <c r="BF142" s="1"/>
      <c r="BG142" s="1"/>
      <c r="BH142" s="1"/>
      <c r="BI142" s="1"/>
      <c r="BJ142" s="1">
        <v>50</v>
      </c>
      <c r="BK142" s="1">
        <v>50</v>
      </c>
      <c r="BL142" s="1"/>
      <c r="BM142" s="1"/>
      <c r="BN142" s="1">
        <v>50</v>
      </c>
      <c r="BO142" s="1">
        <v>50</v>
      </c>
      <c r="BP142" s="1">
        <f t="shared" si="38"/>
        <v>200</v>
      </c>
      <c r="BQ142" s="1">
        <v>174</v>
      </c>
      <c r="BR142" s="17">
        <v>4</v>
      </c>
      <c r="BS142" s="17" t="s">
        <v>306</v>
      </c>
      <c r="BT142" s="1" t="str">
        <f t="shared" si="39"/>
        <v/>
      </c>
      <c r="BU142" s="1" t="str">
        <f t="shared" si="40"/>
        <v/>
      </c>
      <c r="BV142" s="1" t="str">
        <f t="shared" si="41"/>
        <v/>
      </c>
      <c r="BW142" s="1" t="str">
        <f t="shared" si="42"/>
        <v/>
      </c>
      <c r="BX142" s="1" t="str">
        <f t="shared" si="43"/>
        <v/>
      </c>
      <c r="BY142" s="1" t="str">
        <f t="shared" si="44"/>
        <v/>
      </c>
      <c r="BZ142" s="1" t="str">
        <f t="shared" si="45"/>
        <v/>
      </c>
      <c r="CA142" s="1" t="str">
        <f t="shared" si="46"/>
        <v/>
      </c>
      <c r="CB142" s="1" t="str">
        <f t="shared" si="47"/>
        <v/>
      </c>
      <c r="CC142" s="1" t="str">
        <f t="shared" si="48"/>
        <v/>
      </c>
      <c r="CD142" s="1" t="str">
        <f t="shared" si="49"/>
        <v/>
      </c>
      <c r="CE142" s="1" t="str">
        <f t="shared" si="50"/>
        <v/>
      </c>
      <c r="CF142" s="1">
        <f>COUNTIF(BT142:CE142, "&gt;0")</f>
        <v>0</v>
      </c>
      <c r="CG142" s="1" t="str">
        <f t="shared" ref="CG142:CR142" si="52">IF($CF142=1,BT142,"")</f>
        <v/>
      </c>
      <c r="CH142" s="1" t="str">
        <f t="shared" si="52"/>
        <v/>
      </c>
      <c r="CI142" s="1" t="str">
        <f t="shared" si="52"/>
        <v/>
      </c>
      <c r="CJ142" s="1" t="str">
        <f t="shared" si="52"/>
        <v/>
      </c>
      <c r="CK142" s="1" t="str">
        <f t="shared" si="52"/>
        <v/>
      </c>
      <c r="CL142" s="1" t="str">
        <f t="shared" si="52"/>
        <v/>
      </c>
      <c r="CM142" s="1" t="str">
        <f t="shared" si="52"/>
        <v/>
      </c>
      <c r="CN142" s="1" t="str">
        <f t="shared" si="52"/>
        <v/>
      </c>
      <c r="CO142" s="1" t="str">
        <f t="shared" si="52"/>
        <v/>
      </c>
      <c r="CP142" s="1" t="str">
        <f t="shared" si="52"/>
        <v/>
      </c>
      <c r="CQ142" s="1" t="str">
        <f t="shared" si="52"/>
        <v/>
      </c>
      <c r="CR142" s="1" t="str">
        <f t="shared" si="52"/>
        <v/>
      </c>
      <c r="CS142" s="18">
        <f>SUM(AE142:BO142)</f>
        <v>200</v>
      </c>
    </row>
    <row r="143" spans="1:97" ht="54" x14ac:dyDescent="0.15">
      <c r="A143" s="1"/>
      <c r="B143" s="1" t="s">
        <v>309</v>
      </c>
      <c r="C143" s="1" t="s">
        <v>126</v>
      </c>
      <c r="D143" s="1" t="s">
        <v>127</v>
      </c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32"/>
      <c r="AB143" s="32"/>
      <c r="AC143" s="32"/>
      <c r="AD143" s="32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4"/>
      <c r="AR143" s="4"/>
      <c r="AS143" s="4"/>
      <c r="AT143" s="4"/>
      <c r="AU143" s="4"/>
      <c r="AV143" s="4"/>
      <c r="AW143" s="2"/>
      <c r="AX143" s="2"/>
      <c r="AY143" s="2"/>
      <c r="AZ143" s="2"/>
      <c r="BA143" s="2"/>
      <c r="BB143" s="2"/>
      <c r="BC143" s="14"/>
      <c r="BD143" s="1"/>
      <c r="BE143" s="1"/>
      <c r="BF143" s="1"/>
      <c r="BG143" s="1"/>
      <c r="BH143" s="1"/>
      <c r="BI143" s="1"/>
      <c r="BJ143" s="1">
        <v>50</v>
      </c>
      <c r="BK143" s="1">
        <v>50</v>
      </c>
      <c r="BL143" s="1"/>
      <c r="BM143" s="1"/>
      <c r="BN143" s="1">
        <v>50</v>
      </c>
      <c r="BO143" s="1">
        <v>50</v>
      </c>
      <c r="BP143" s="1">
        <f t="shared" si="38"/>
        <v>200</v>
      </c>
      <c r="BQ143" s="1">
        <v>174</v>
      </c>
      <c r="BR143" s="17">
        <v>4</v>
      </c>
      <c r="BS143" s="17" t="s">
        <v>306</v>
      </c>
      <c r="BT143" s="1" t="str">
        <f t="shared" si="39"/>
        <v/>
      </c>
      <c r="BU143" s="1" t="str">
        <f t="shared" si="40"/>
        <v/>
      </c>
      <c r="BV143" s="1" t="str">
        <f t="shared" si="41"/>
        <v/>
      </c>
      <c r="BW143" s="1" t="str">
        <f t="shared" si="42"/>
        <v/>
      </c>
      <c r="BX143" s="1" t="str">
        <f t="shared" si="43"/>
        <v/>
      </c>
      <c r="BY143" s="1" t="str">
        <f t="shared" si="44"/>
        <v/>
      </c>
      <c r="BZ143" s="1" t="str">
        <f t="shared" si="45"/>
        <v/>
      </c>
      <c r="CA143" s="1" t="str">
        <f t="shared" si="46"/>
        <v/>
      </c>
      <c r="CB143" s="1" t="str">
        <f t="shared" si="47"/>
        <v/>
      </c>
      <c r="CC143" s="1" t="str">
        <f t="shared" si="48"/>
        <v/>
      </c>
      <c r="CD143" s="1" t="str">
        <f t="shared" si="49"/>
        <v/>
      </c>
      <c r="CE143" s="1" t="str">
        <f t="shared" si="50"/>
        <v/>
      </c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8"/>
    </row>
    <row r="144" spans="1:97" ht="54" x14ac:dyDescent="0.15">
      <c r="A144" s="1"/>
      <c r="B144" s="1" t="s">
        <v>214</v>
      </c>
      <c r="C144" s="1" t="s">
        <v>177</v>
      </c>
      <c r="D144" s="1" t="s">
        <v>40</v>
      </c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32"/>
      <c r="Q144" s="32"/>
      <c r="R144" s="32"/>
      <c r="S144" s="32"/>
      <c r="T144" s="32"/>
      <c r="U144" s="32"/>
      <c r="V144" s="32"/>
      <c r="W144" s="32"/>
      <c r="X144" s="32"/>
      <c r="Y144" s="32"/>
      <c r="Z144" s="32"/>
      <c r="AA144" s="32"/>
      <c r="AB144" s="32"/>
      <c r="AC144" s="32"/>
      <c r="AD144" s="32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4"/>
      <c r="AR144" s="4"/>
      <c r="AS144" s="4"/>
      <c r="AT144" s="4"/>
      <c r="AU144" s="4"/>
      <c r="AV144" s="4"/>
      <c r="AW144" s="2"/>
      <c r="AX144" s="2"/>
      <c r="AY144" s="2"/>
      <c r="AZ144" s="2"/>
      <c r="BA144" s="2"/>
      <c r="BB144" s="2"/>
      <c r="BC144" s="14"/>
      <c r="BD144" s="1"/>
      <c r="BE144" s="1"/>
      <c r="BF144" s="1"/>
      <c r="BG144" s="1"/>
      <c r="BH144" s="1"/>
      <c r="BI144" s="1"/>
      <c r="BJ144" s="1">
        <v>50</v>
      </c>
      <c r="BK144" s="1">
        <v>50</v>
      </c>
      <c r="BL144" s="1"/>
      <c r="BM144" s="1"/>
      <c r="BN144" s="1">
        <v>50</v>
      </c>
      <c r="BO144" s="1">
        <v>50</v>
      </c>
      <c r="BP144" s="1">
        <f t="shared" si="38"/>
        <v>200</v>
      </c>
      <c r="BQ144" s="1">
        <v>174</v>
      </c>
      <c r="BR144" s="17">
        <v>4</v>
      </c>
      <c r="BS144" s="17" t="s">
        <v>308</v>
      </c>
      <c r="BT144" s="1" t="str">
        <f t="shared" si="39"/>
        <v/>
      </c>
      <c r="BU144" s="1" t="str">
        <f t="shared" si="40"/>
        <v/>
      </c>
      <c r="BV144" s="1" t="str">
        <f t="shared" si="41"/>
        <v/>
      </c>
      <c r="BW144" s="1" t="str">
        <f t="shared" si="42"/>
        <v/>
      </c>
      <c r="BX144" s="1" t="str">
        <f t="shared" si="43"/>
        <v/>
      </c>
      <c r="BY144" s="1" t="str">
        <f t="shared" si="44"/>
        <v/>
      </c>
      <c r="BZ144" s="1" t="str">
        <f t="shared" si="45"/>
        <v/>
      </c>
      <c r="CA144" s="1" t="str">
        <f t="shared" si="46"/>
        <v/>
      </c>
      <c r="CB144" s="1" t="str">
        <f t="shared" si="47"/>
        <v/>
      </c>
      <c r="CC144" s="1" t="str">
        <f t="shared" si="48"/>
        <v/>
      </c>
      <c r="CD144" s="1" t="str">
        <f t="shared" si="49"/>
        <v/>
      </c>
      <c r="CE144" s="1" t="str">
        <f t="shared" si="50"/>
        <v/>
      </c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8"/>
    </row>
    <row r="145" spans="1:97" ht="54" x14ac:dyDescent="0.15">
      <c r="A145" s="1">
        <v>102</v>
      </c>
      <c r="B145" s="3" t="s">
        <v>107</v>
      </c>
      <c r="C145" s="3" t="s">
        <v>75</v>
      </c>
      <c r="D145" s="1" t="s">
        <v>40</v>
      </c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32"/>
      <c r="Q145" s="32"/>
      <c r="R145" s="32"/>
      <c r="S145" s="32"/>
      <c r="T145" s="32"/>
      <c r="U145" s="32"/>
      <c r="V145" s="32"/>
      <c r="W145" s="32"/>
      <c r="X145" s="32"/>
      <c r="Y145" s="32"/>
      <c r="Z145" s="32"/>
      <c r="AA145" s="32"/>
      <c r="AB145" s="32"/>
      <c r="AC145" s="32"/>
      <c r="AD145" s="32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4"/>
      <c r="AR145" s="4"/>
      <c r="AS145" s="4"/>
      <c r="AT145" s="4"/>
      <c r="AU145" s="4"/>
      <c r="AV145" s="4"/>
      <c r="AW145" s="2"/>
      <c r="AX145" s="2"/>
      <c r="AY145" s="2"/>
      <c r="AZ145" s="2"/>
      <c r="BA145" s="2"/>
      <c r="BB145" s="2"/>
      <c r="BC145" s="14"/>
      <c r="BD145" s="1"/>
      <c r="BE145" s="1"/>
      <c r="BF145" s="1"/>
      <c r="BG145" s="1"/>
      <c r="BH145" s="1"/>
      <c r="BI145" s="1"/>
      <c r="BJ145" s="1">
        <v>50</v>
      </c>
      <c r="BK145" s="1">
        <v>50</v>
      </c>
      <c r="BL145" s="1"/>
      <c r="BM145" s="1"/>
      <c r="BN145" s="1">
        <v>50</v>
      </c>
      <c r="BO145" s="1">
        <v>50</v>
      </c>
      <c r="BP145" s="1">
        <f t="shared" si="38"/>
        <v>200</v>
      </c>
      <c r="BQ145" s="1">
        <v>174</v>
      </c>
      <c r="BR145" s="17">
        <v>4</v>
      </c>
      <c r="BS145" s="17" t="s">
        <v>308</v>
      </c>
      <c r="BT145" s="1" t="str">
        <f t="shared" si="39"/>
        <v/>
      </c>
      <c r="BU145" s="1" t="str">
        <f t="shared" si="40"/>
        <v/>
      </c>
      <c r="BV145" s="1" t="str">
        <f t="shared" si="41"/>
        <v/>
      </c>
      <c r="BW145" s="1" t="str">
        <f t="shared" si="42"/>
        <v/>
      </c>
      <c r="BX145" s="1" t="str">
        <f t="shared" si="43"/>
        <v/>
      </c>
      <c r="BY145" s="1" t="str">
        <f t="shared" si="44"/>
        <v/>
      </c>
      <c r="BZ145" s="1" t="str">
        <f t="shared" si="45"/>
        <v/>
      </c>
      <c r="CA145" s="1" t="str">
        <f t="shared" si="46"/>
        <v/>
      </c>
      <c r="CB145" s="1" t="str">
        <f t="shared" si="47"/>
        <v/>
      </c>
      <c r="CC145" s="1" t="str">
        <f t="shared" si="48"/>
        <v/>
      </c>
      <c r="CD145" s="1" t="str">
        <f t="shared" si="49"/>
        <v/>
      </c>
      <c r="CE145" s="1" t="str">
        <f t="shared" si="50"/>
        <v/>
      </c>
      <c r="CF145" s="1">
        <f>COUNTIF(BT145:CE145, "&gt;0")</f>
        <v>0</v>
      </c>
      <c r="CG145" s="1" t="str">
        <f t="shared" ref="CG145:CR146" si="53">IF($CF145=1,BT145,"")</f>
        <v/>
      </c>
      <c r="CH145" s="1" t="str">
        <f t="shared" si="53"/>
        <v/>
      </c>
      <c r="CI145" s="1" t="str">
        <f t="shared" si="53"/>
        <v/>
      </c>
      <c r="CJ145" s="1" t="str">
        <f t="shared" si="53"/>
        <v/>
      </c>
      <c r="CK145" s="1" t="str">
        <f t="shared" si="53"/>
        <v/>
      </c>
      <c r="CL145" s="1" t="str">
        <f t="shared" si="53"/>
        <v/>
      </c>
      <c r="CM145" s="1" t="str">
        <f t="shared" si="53"/>
        <v/>
      </c>
      <c r="CN145" s="1" t="str">
        <f t="shared" si="53"/>
        <v/>
      </c>
      <c r="CO145" s="1" t="str">
        <f t="shared" si="53"/>
        <v/>
      </c>
      <c r="CP145" s="1" t="str">
        <f t="shared" si="53"/>
        <v/>
      </c>
      <c r="CQ145" s="1" t="str">
        <f t="shared" si="53"/>
        <v/>
      </c>
      <c r="CR145" s="1" t="str">
        <f t="shared" si="53"/>
        <v/>
      </c>
      <c r="CS145" s="18">
        <f>SUM(AE145:BO145)</f>
        <v>200</v>
      </c>
    </row>
    <row r="146" spans="1:97" ht="54" x14ac:dyDescent="0.15">
      <c r="A146" s="1">
        <v>85</v>
      </c>
      <c r="B146" s="3" t="s">
        <v>74</v>
      </c>
      <c r="C146" s="3" t="s">
        <v>69</v>
      </c>
      <c r="D146" s="1" t="s">
        <v>40</v>
      </c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32"/>
      <c r="Q146" s="32"/>
      <c r="R146" s="32"/>
      <c r="S146" s="32"/>
      <c r="T146" s="32"/>
      <c r="U146" s="32"/>
      <c r="V146" s="32"/>
      <c r="W146" s="32"/>
      <c r="X146" s="32"/>
      <c r="Y146" s="32"/>
      <c r="Z146" s="32"/>
      <c r="AA146" s="32"/>
      <c r="AB146" s="32"/>
      <c r="AC146" s="32"/>
      <c r="AD146" s="32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4"/>
      <c r="AR146" s="4"/>
      <c r="AS146" s="4"/>
      <c r="AT146" s="4"/>
      <c r="AU146" s="4"/>
      <c r="AV146" s="4"/>
      <c r="AW146" s="2"/>
      <c r="AX146" s="2"/>
      <c r="AY146" s="2"/>
      <c r="AZ146" s="2"/>
      <c r="BA146" s="2"/>
      <c r="BB146" s="2"/>
      <c r="BC146" s="14"/>
      <c r="BD146" s="1"/>
      <c r="BE146" s="1"/>
      <c r="BF146" s="1"/>
      <c r="BG146" s="1"/>
      <c r="BH146" s="1"/>
      <c r="BI146" s="1"/>
      <c r="BJ146" s="1"/>
      <c r="BK146" s="1"/>
      <c r="BL146" s="1">
        <v>50</v>
      </c>
      <c r="BM146" s="1">
        <v>50</v>
      </c>
      <c r="BN146" s="1">
        <v>50</v>
      </c>
      <c r="BO146" s="1">
        <v>50</v>
      </c>
      <c r="BP146" s="1">
        <f t="shared" si="38"/>
        <v>200</v>
      </c>
      <c r="BQ146" s="1">
        <v>175</v>
      </c>
      <c r="BR146" s="17">
        <v>4</v>
      </c>
      <c r="BS146" s="17" t="s">
        <v>305</v>
      </c>
      <c r="BT146" s="1" t="str">
        <f t="shared" si="39"/>
        <v/>
      </c>
      <c r="BU146" s="1" t="str">
        <f t="shared" si="40"/>
        <v/>
      </c>
      <c r="BV146" s="1" t="str">
        <f t="shared" si="41"/>
        <v/>
      </c>
      <c r="BW146" s="1" t="str">
        <f t="shared" si="42"/>
        <v/>
      </c>
      <c r="BX146" s="1" t="str">
        <f t="shared" si="43"/>
        <v/>
      </c>
      <c r="BY146" s="1" t="str">
        <f t="shared" si="44"/>
        <v/>
      </c>
      <c r="BZ146" s="1" t="str">
        <f t="shared" si="45"/>
        <v/>
      </c>
      <c r="CA146" s="1" t="str">
        <f t="shared" si="46"/>
        <v/>
      </c>
      <c r="CB146" s="1" t="str">
        <f t="shared" si="47"/>
        <v/>
      </c>
      <c r="CC146" s="1" t="str">
        <f t="shared" si="48"/>
        <v/>
      </c>
      <c r="CD146" s="1" t="str">
        <f t="shared" si="49"/>
        <v/>
      </c>
      <c r="CE146" s="1" t="str">
        <f t="shared" si="50"/>
        <v/>
      </c>
      <c r="CF146" s="1">
        <f>COUNTIF(BT146:CE146, "&gt;0")</f>
        <v>0</v>
      </c>
      <c r="CG146" s="1" t="str">
        <f t="shared" si="53"/>
        <v/>
      </c>
      <c r="CH146" s="1" t="str">
        <f t="shared" si="53"/>
        <v/>
      </c>
      <c r="CI146" s="1" t="str">
        <f t="shared" si="53"/>
        <v/>
      </c>
      <c r="CJ146" s="1" t="str">
        <f t="shared" si="53"/>
        <v/>
      </c>
      <c r="CK146" s="1" t="str">
        <f t="shared" si="53"/>
        <v/>
      </c>
      <c r="CL146" s="1" t="str">
        <f t="shared" si="53"/>
        <v/>
      </c>
      <c r="CM146" s="1" t="str">
        <f t="shared" si="53"/>
        <v/>
      </c>
      <c r="CN146" s="1" t="str">
        <f t="shared" si="53"/>
        <v/>
      </c>
      <c r="CO146" s="1" t="str">
        <f t="shared" si="53"/>
        <v/>
      </c>
      <c r="CP146" s="1" t="str">
        <f t="shared" si="53"/>
        <v/>
      </c>
      <c r="CQ146" s="1" t="str">
        <f t="shared" si="53"/>
        <v/>
      </c>
      <c r="CR146" s="1" t="str">
        <f t="shared" si="53"/>
        <v/>
      </c>
      <c r="CS146" s="18">
        <f>SUM(AE146:BO146)</f>
        <v>200</v>
      </c>
    </row>
    <row r="147" spans="1:97" ht="54" x14ac:dyDescent="0.15">
      <c r="A147" s="1"/>
      <c r="B147" s="1" t="s">
        <v>140</v>
      </c>
      <c r="C147" s="1" t="s">
        <v>135</v>
      </c>
      <c r="D147" s="1" t="s">
        <v>127</v>
      </c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32"/>
      <c r="Q147" s="32"/>
      <c r="R147" s="32"/>
      <c r="S147" s="32"/>
      <c r="T147" s="32"/>
      <c r="U147" s="32"/>
      <c r="V147" s="32"/>
      <c r="W147" s="32"/>
      <c r="X147" s="32"/>
      <c r="Y147" s="32"/>
      <c r="Z147" s="32"/>
      <c r="AA147" s="32"/>
      <c r="AB147" s="32"/>
      <c r="AC147" s="32"/>
      <c r="AD147" s="32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4"/>
      <c r="AR147" s="4"/>
      <c r="AS147" s="4"/>
      <c r="AT147" s="4"/>
      <c r="AU147" s="4"/>
      <c r="AV147" s="4"/>
      <c r="AW147" s="2"/>
      <c r="AX147" s="2"/>
      <c r="AY147" s="2"/>
      <c r="AZ147" s="2"/>
      <c r="BA147" s="2"/>
      <c r="BB147" s="2"/>
      <c r="BC147" s="14"/>
      <c r="BD147" s="1"/>
      <c r="BE147" s="1"/>
      <c r="BF147" s="1"/>
      <c r="BG147" s="1"/>
      <c r="BH147" s="1"/>
      <c r="BI147" s="1"/>
      <c r="BJ147" s="1"/>
      <c r="BK147" s="1"/>
      <c r="BL147" s="1">
        <v>50</v>
      </c>
      <c r="BM147" s="1">
        <v>50</v>
      </c>
      <c r="BN147" s="1">
        <v>50</v>
      </c>
      <c r="BO147" s="1">
        <v>50</v>
      </c>
      <c r="BP147" s="1">
        <f t="shared" si="38"/>
        <v>200</v>
      </c>
      <c r="BQ147" s="1">
        <v>175</v>
      </c>
      <c r="BR147" s="17">
        <v>4</v>
      </c>
      <c r="BS147" s="17" t="s">
        <v>307</v>
      </c>
      <c r="BT147" s="1" t="str">
        <f t="shared" si="39"/>
        <v/>
      </c>
      <c r="BU147" s="1" t="str">
        <f t="shared" si="40"/>
        <v/>
      </c>
      <c r="BV147" s="1" t="str">
        <f t="shared" si="41"/>
        <v/>
      </c>
      <c r="BW147" s="1" t="str">
        <f t="shared" si="42"/>
        <v/>
      </c>
      <c r="BX147" s="1" t="str">
        <f t="shared" si="43"/>
        <v/>
      </c>
      <c r="BY147" s="1" t="str">
        <f t="shared" si="44"/>
        <v/>
      </c>
      <c r="BZ147" s="1" t="str">
        <f t="shared" si="45"/>
        <v/>
      </c>
      <c r="CA147" s="1" t="str">
        <f t="shared" si="46"/>
        <v/>
      </c>
      <c r="CB147" s="1" t="str">
        <f t="shared" si="47"/>
        <v/>
      </c>
      <c r="CC147" s="1" t="str">
        <f t="shared" si="48"/>
        <v/>
      </c>
      <c r="CD147" s="1" t="str">
        <f t="shared" si="49"/>
        <v/>
      </c>
      <c r="CE147" s="1" t="str">
        <f t="shared" si="50"/>
        <v/>
      </c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8"/>
    </row>
    <row r="148" spans="1:97" ht="54" x14ac:dyDescent="0.15">
      <c r="A148" s="1"/>
      <c r="B148" s="1" t="s">
        <v>144</v>
      </c>
      <c r="C148" s="1" t="s">
        <v>135</v>
      </c>
      <c r="D148" s="1" t="s">
        <v>127</v>
      </c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  <c r="AA148" s="32"/>
      <c r="AB148" s="32"/>
      <c r="AC148" s="32"/>
      <c r="AD148" s="32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4"/>
      <c r="AR148" s="4"/>
      <c r="AS148" s="4"/>
      <c r="AT148" s="4"/>
      <c r="AU148" s="4"/>
      <c r="AV148" s="4"/>
      <c r="AW148" s="2"/>
      <c r="AX148" s="2"/>
      <c r="AY148" s="2"/>
      <c r="AZ148" s="2"/>
      <c r="BA148" s="2"/>
      <c r="BB148" s="2"/>
      <c r="BC148" s="14"/>
      <c r="BD148" s="1"/>
      <c r="BE148" s="1"/>
      <c r="BF148" s="1"/>
      <c r="BG148" s="1"/>
      <c r="BH148" s="1"/>
      <c r="BI148" s="1"/>
      <c r="BJ148" s="1"/>
      <c r="BK148" s="1"/>
      <c r="BL148" s="1">
        <v>50</v>
      </c>
      <c r="BM148" s="1">
        <v>50</v>
      </c>
      <c r="BN148" s="1">
        <v>50</v>
      </c>
      <c r="BO148" s="1">
        <v>50</v>
      </c>
      <c r="BP148" s="1">
        <f t="shared" si="38"/>
        <v>200</v>
      </c>
      <c r="BQ148" s="1">
        <v>175</v>
      </c>
      <c r="BR148" s="17">
        <v>4</v>
      </c>
      <c r="BS148" s="17" t="s">
        <v>307</v>
      </c>
      <c r="BT148" s="1" t="str">
        <f t="shared" si="39"/>
        <v/>
      </c>
      <c r="BU148" s="1" t="str">
        <f t="shared" si="40"/>
        <v/>
      </c>
      <c r="BV148" s="1" t="str">
        <f t="shared" si="41"/>
        <v/>
      </c>
      <c r="BW148" s="1" t="str">
        <f t="shared" si="42"/>
        <v/>
      </c>
      <c r="BX148" s="1" t="str">
        <f t="shared" si="43"/>
        <v/>
      </c>
      <c r="BY148" s="1" t="str">
        <f t="shared" si="44"/>
        <v/>
      </c>
      <c r="BZ148" s="1" t="str">
        <f t="shared" si="45"/>
        <v/>
      </c>
      <c r="CA148" s="1" t="str">
        <f t="shared" si="46"/>
        <v/>
      </c>
      <c r="CB148" s="1" t="str">
        <f t="shared" si="47"/>
        <v/>
      </c>
      <c r="CC148" s="1" t="str">
        <f t="shared" si="48"/>
        <v/>
      </c>
      <c r="CD148" s="1" t="str">
        <f t="shared" si="49"/>
        <v/>
      </c>
      <c r="CE148" s="1" t="str">
        <f t="shared" si="50"/>
        <v/>
      </c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8"/>
    </row>
    <row r="149" spans="1:97" x14ac:dyDescent="0.15">
      <c r="A149" s="1"/>
      <c r="B149" s="1" t="s">
        <v>77</v>
      </c>
      <c r="C149" s="1"/>
      <c r="D149" s="1"/>
      <c r="E149" s="6">
        <f>SUM(E2:E148)</f>
        <v>178</v>
      </c>
      <c r="F149" s="6">
        <f>SUM(F2:F148)</f>
        <v>89</v>
      </c>
      <c r="G149" s="6">
        <f>SUM(G2:G148)</f>
        <v>209</v>
      </c>
      <c r="H149" s="6">
        <f>SUM(H2:H148)</f>
        <v>184</v>
      </c>
      <c r="I149" s="6">
        <f>SUM(I2:I148)</f>
        <v>67</v>
      </c>
      <c r="J149" s="6">
        <f>SUM(J2:J148)</f>
        <v>81</v>
      </c>
      <c r="K149" s="6">
        <f>SUM(K2:K148)</f>
        <v>44</v>
      </c>
      <c r="L149" s="6">
        <f>SUM(L2:L148)</f>
        <v>88</v>
      </c>
      <c r="M149" s="6">
        <f>SUM(M2:M148)</f>
        <v>37</v>
      </c>
      <c r="N149" s="6">
        <f>SUM(N2:N148)</f>
        <v>32</v>
      </c>
      <c r="O149" s="6">
        <f>SUM(O2:O148)</f>
        <v>89</v>
      </c>
      <c r="P149" s="32">
        <f>SUM(P2:P148)</f>
        <v>130</v>
      </c>
      <c r="Q149" s="32">
        <f>SUM(Q2:Q148)</f>
        <v>76</v>
      </c>
      <c r="R149" s="32">
        <f>SUM(R2:R148)</f>
        <v>83</v>
      </c>
      <c r="S149" s="32">
        <f>SUM(S2:S148)</f>
        <v>130</v>
      </c>
      <c r="T149" s="32">
        <f>SUM(T2:T148)</f>
        <v>61</v>
      </c>
      <c r="U149" s="32">
        <f>SUM(U2:U148)</f>
        <v>62</v>
      </c>
      <c r="V149" s="32">
        <f>SUM(V2:V148)</f>
        <v>135</v>
      </c>
      <c r="W149" s="32">
        <f>SUM(W2:W148)</f>
        <v>35</v>
      </c>
      <c r="X149" s="32">
        <f>SUM(X2:X148)</f>
        <v>59</v>
      </c>
      <c r="Y149" s="32">
        <f>SUM(Y2:Y148)</f>
        <v>125</v>
      </c>
      <c r="Z149" s="32">
        <f>SUM(Z2:Z148)</f>
        <v>50</v>
      </c>
      <c r="AA149" s="32">
        <f>SUM(AA2:AA148)</f>
        <v>35</v>
      </c>
      <c r="AB149" s="32">
        <f>SUM(AB2:AB148)</f>
        <v>140</v>
      </c>
      <c r="AC149" s="32">
        <f>SUM(AC2:AC148)</f>
        <v>30</v>
      </c>
      <c r="AD149" s="32">
        <f>SUM(AD2:AD148)</f>
        <v>22</v>
      </c>
      <c r="AE149" s="1">
        <f>SUM(AE2:AE148)</f>
        <v>265</v>
      </c>
      <c r="AF149" s="1">
        <f>SUM(AF2:AF148)</f>
        <v>10</v>
      </c>
      <c r="AG149" s="1">
        <f>SUM(AG2:AG148)</f>
        <v>15</v>
      </c>
      <c r="AH149" s="1">
        <f>SUM(AH2:AH148)</f>
        <v>30</v>
      </c>
      <c r="AI149" s="1">
        <f>SUM(AI2:AI148)</f>
        <v>30</v>
      </c>
      <c r="AJ149" s="1">
        <f>SUM(AJ2:AJ148)</f>
        <v>5</v>
      </c>
      <c r="AK149" s="1">
        <f>SUM(AK2:AK148)</f>
        <v>0</v>
      </c>
      <c r="AL149" s="1">
        <f>SUM(AL2:AL148)</f>
        <v>0</v>
      </c>
      <c r="AM149" s="1">
        <f>SUM(AM2:AM148)</f>
        <v>20</v>
      </c>
      <c r="AN149" s="1">
        <f>SUM(AN2:AN148)</f>
        <v>50</v>
      </c>
      <c r="AO149" s="1">
        <f>SUM(AO2:AO148)</f>
        <v>25</v>
      </c>
      <c r="AP149" s="1">
        <f>SUM(AP2:AP148)</f>
        <v>26</v>
      </c>
      <c r="AQ149" s="4">
        <f>SUM(AQ2:AQ148)</f>
        <v>100</v>
      </c>
      <c r="AR149" s="4">
        <f>SUM(AR2:AR148)</f>
        <v>120</v>
      </c>
      <c r="AS149" s="4">
        <f>SUM(AS2:AS148)</f>
        <v>80</v>
      </c>
      <c r="AT149" s="4">
        <f>SUM(AT2:AT148)</f>
        <v>93</v>
      </c>
      <c r="AU149" s="4">
        <f>SUM(AU2:AU148)</f>
        <v>48</v>
      </c>
      <c r="AV149" s="4">
        <f>SUM(AV2:AV148)</f>
        <v>125</v>
      </c>
      <c r="AW149" s="2">
        <f>SUM(AW2:AW148)</f>
        <v>128</v>
      </c>
      <c r="AX149" s="2">
        <f>SUM(AX2:AX148)</f>
        <v>80</v>
      </c>
      <c r="AY149" s="2">
        <f>SUM(AY2:AY148)</f>
        <v>43</v>
      </c>
      <c r="AZ149" s="2">
        <f>SUM(AZ2:AZ148)</f>
        <v>75</v>
      </c>
      <c r="BA149" s="2">
        <f>SUM(BA2:BA148)</f>
        <v>195</v>
      </c>
      <c r="BB149" s="2">
        <f>SUM(BB2:BB148)</f>
        <v>375</v>
      </c>
      <c r="BC149" s="1">
        <f>SUM(BC2:BC148)</f>
        <v>10</v>
      </c>
      <c r="BD149" s="1">
        <f>SUM(BD2:BD148)</f>
        <v>150</v>
      </c>
      <c r="BE149" s="1">
        <f>SUM(BE2:BE148)</f>
        <v>100</v>
      </c>
      <c r="BF149" s="1">
        <f>SUM(BF2:BF148)</f>
        <v>120</v>
      </c>
      <c r="BG149" s="1">
        <f>SUM(BG2:BG148)</f>
        <v>120</v>
      </c>
      <c r="BH149" s="1">
        <f>SUM(BH2:BH148)</f>
        <v>110</v>
      </c>
      <c r="BI149" s="1">
        <f>SUM(BI2:BI148)</f>
        <v>90</v>
      </c>
      <c r="BJ149" s="1">
        <f>SUM(BJ2:BJ148)</f>
        <v>200</v>
      </c>
      <c r="BK149" s="1">
        <f>SUM(BK2:BK148)</f>
        <v>200</v>
      </c>
      <c r="BL149" s="1">
        <f>SUM(BL2:BL148)</f>
        <v>150</v>
      </c>
      <c r="BM149" s="1">
        <f>SUM(BM2:BM148)</f>
        <v>150</v>
      </c>
      <c r="BN149" s="1">
        <f>SUM(BN2:BN148)</f>
        <v>350</v>
      </c>
      <c r="BO149" s="1">
        <f>SUM(BO2:BO148)</f>
        <v>350</v>
      </c>
      <c r="BP149" s="1"/>
      <c r="BQ149" s="1"/>
      <c r="BR149" s="17"/>
      <c r="BS149" s="17"/>
      <c r="BT149" s="1">
        <f>MIN(BT2:BT148)</f>
        <v>1</v>
      </c>
      <c r="BU149" s="1">
        <f>MIN(BU2:BU148)</f>
        <v>4</v>
      </c>
      <c r="BV149" s="1">
        <f>MIN(BV2:BV148)</f>
        <v>3</v>
      </c>
      <c r="BW149" s="1">
        <f>MIN(BW2:BW148)</f>
        <v>1</v>
      </c>
      <c r="BX149" s="1">
        <f>MIN(BX2:BX148)</f>
        <v>4</v>
      </c>
      <c r="BY149" s="1">
        <f>MIN(BY2:BY148)</f>
        <v>3</v>
      </c>
      <c r="BZ149" s="1">
        <f>MIN(BZ2:BZ148)</f>
        <v>1</v>
      </c>
      <c r="CA149" s="1">
        <f>MIN(CA2:CA148)</f>
        <v>0</v>
      </c>
      <c r="CB149" s="1">
        <f>MIN(CB2:CB148)</f>
        <v>2</v>
      </c>
      <c r="CC149" s="1">
        <f>MIN(CC2:CC148)</f>
        <v>10</v>
      </c>
      <c r="CD149" s="1">
        <f>MIN(CD2:CD148)</f>
        <v>5</v>
      </c>
      <c r="CE149" s="1">
        <f>MIN(CE2:CE148)</f>
        <v>0</v>
      </c>
      <c r="CF149" s="1"/>
      <c r="CG149" s="1">
        <f>MIN(CG2:CG148)</f>
        <v>1</v>
      </c>
      <c r="CH149" s="1">
        <f>MIN(CH2:CH148)</f>
        <v>4</v>
      </c>
      <c r="CI149" s="1">
        <f>MIN(CI2:CI148)</f>
        <v>3</v>
      </c>
      <c r="CJ149" s="1">
        <f>MIN(CJ2:CJ148)</f>
        <v>0</v>
      </c>
      <c r="CK149" s="1">
        <f>MIN(CK2:CK148)</f>
        <v>4</v>
      </c>
      <c r="CL149" s="1">
        <f>MIN(CL2:CL148)</f>
        <v>3</v>
      </c>
      <c r="CM149" s="1">
        <f>MIN(CM2:CM148)</f>
        <v>0</v>
      </c>
      <c r="CN149" s="1">
        <f>MIN(CN2:CN148)</f>
        <v>0</v>
      </c>
      <c r="CO149" s="1">
        <f>MIN(CO2:CO148)</f>
        <v>0</v>
      </c>
      <c r="CP149" s="1">
        <f>MIN(CP2:CP148)</f>
        <v>15</v>
      </c>
      <c r="CQ149" s="1">
        <f>MIN(CQ2:CQ148)</f>
        <v>5</v>
      </c>
      <c r="CR149" s="1">
        <f>MIN(CR2:CR148)</f>
        <v>0</v>
      </c>
      <c r="CS149" s="18">
        <f>COUNTIF(CS2:CS148,"=0")</f>
        <v>5</v>
      </c>
    </row>
    <row r="150" spans="1:97" x14ac:dyDescent="0.15">
      <c r="A150" s="1"/>
      <c r="B150" s="3" t="s">
        <v>99</v>
      </c>
      <c r="C150" s="1"/>
      <c r="D150" s="1"/>
      <c r="E150" s="1">
        <v>12</v>
      </c>
      <c r="F150" s="1">
        <v>6</v>
      </c>
      <c r="G150" s="1">
        <v>0</v>
      </c>
      <c r="H150" s="1">
        <v>0</v>
      </c>
      <c r="I150" s="1">
        <v>28</v>
      </c>
      <c r="J150" s="1">
        <v>32</v>
      </c>
      <c r="K150" s="1">
        <v>14</v>
      </c>
      <c r="L150" s="1">
        <v>35</v>
      </c>
      <c r="M150" s="1">
        <v>1</v>
      </c>
      <c r="N150" s="1">
        <v>18</v>
      </c>
      <c r="O150" s="1">
        <v>1</v>
      </c>
      <c r="P150" s="14">
        <v>2</v>
      </c>
      <c r="Q150" s="14">
        <v>1</v>
      </c>
      <c r="R150" s="14">
        <v>2</v>
      </c>
      <c r="S150" s="14">
        <v>1</v>
      </c>
      <c r="T150" s="14">
        <v>5</v>
      </c>
      <c r="U150" s="14">
        <v>0</v>
      </c>
      <c r="V150" s="14">
        <v>2</v>
      </c>
      <c r="W150" s="14">
        <v>2</v>
      </c>
      <c r="X150" s="14">
        <v>6</v>
      </c>
      <c r="Y150" s="14">
        <v>0</v>
      </c>
      <c r="Z150" s="14">
        <v>1</v>
      </c>
      <c r="AA150" s="14">
        <v>1</v>
      </c>
      <c r="AB150" s="14">
        <v>8</v>
      </c>
      <c r="AC150" s="14">
        <v>2</v>
      </c>
      <c r="AD150" s="14">
        <v>4</v>
      </c>
      <c r="AE150" s="1">
        <v>4</v>
      </c>
      <c r="AF150" s="1">
        <v>0</v>
      </c>
      <c r="AG150" s="1">
        <v>0</v>
      </c>
      <c r="AH150" s="1">
        <v>0</v>
      </c>
      <c r="AI150" s="1">
        <v>0</v>
      </c>
      <c r="AJ150" s="1">
        <v>0</v>
      </c>
      <c r="AK150" s="1">
        <v>33</v>
      </c>
      <c r="AL150" s="1">
        <v>43</v>
      </c>
      <c r="AM150" s="1">
        <v>6</v>
      </c>
      <c r="AN150" s="1">
        <v>0</v>
      </c>
      <c r="AO150" s="1">
        <v>0</v>
      </c>
      <c r="AP150" s="1">
        <v>0</v>
      </c>
      <c r="AQ150" s="14">
        <v>9</v>
      </c>
      <c r="AR150" s="14">
        <v>6</v>
      </c>
      <c r="AS150" s="14">
        <v>2</v>
      </c>
      <c r="AT150" s="14">
        <v>7</v>
      </c>
      <c r="AU150" s="14">
        <v>4</v>
      </c>
      <c r="AV150" s="14">
        <v>7</v>
      </c>
      <c r="AW150" s="14">
        <v>19</v>
      </c>
      <c r="AX150" s="14">
        <v>25</v>
      </c>
      <c r="AY150" s="14">
        <v>13</v>
      </c>
      <c r="AZ150" s="14">
        <v>0</v>
      </c>
      <c r="BA150" s="14">
        <v>0</v>
      </c>
      <c r="BB150" s="14">
        <v>148</v>
      </c>
      <c r="BC150" s="14"/>
      <c r="BD150" s="1">
        <v>66</v>
      </c>
      <c r="BE150" s="1">
        <v>124</v>
      </c>
      <c r="BF150" s="1">
        <v>133</v>
      </c>
      <c r="BG150" s="1">
        <v>142</v>
      </c>
      <c r="BH150" s="1">
        <v>45</v>
      </c>
      <c r="BI150" s="1">
        <v>53</v>
      </c>
      <c r="BJ150" s="1">
        <v>13</v>
      </c>
      <c r="BK150" s="1">
        <v>13</v>
      </c>
      <c r="BL150" s="1">
        <v>25</v>
      </c>
      <c r="BM150" s="1"/>
      <c r="BN150" s="1"/>
      <c r="BO150" s="1"/>
      <c r="BP150" s="1"/>
      <c r="BQ150" s="1"/>
      <c r="BR150" s="17"/>
      <c r="BS150" s="17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34"/>
    </row>
    <row r="151" spans="1:97" x14ac:dyDescent="0.15">
      <c r="A151" s="1"/>
      <c r="B151" s="3" t="s">
        <v>106</v>
      </c>
      <c r="C151" s="1"/>
      <c r="D151" s="1"/>
      <c r="E151" s="1">
        <f t="shared" ref="E151:AJ151" si="54">E150-E149</f>
        <v>-166</v>
      </c>
      <c r="F151" s="1">
        <f t="shared" si="54"/>
        <v>-83</v>
      </c>
      <c r="G151" s="1">
        <f t="shared" si="54"/>
        <v>-209</v>
      </c>
      <c r="H151" s="1">
        <f t="shared" si="54"/>
        <v>-184</v>
      </c>
      <c r="I151" s="1">
        <f t="shared" si="54"/>
        <v>-39</v>
      </c>
      <c r="J151" s="1">
        <f t="shared" si="54"/>
        <v>-49</v>
      </c>
      <c r="K151" s="1">
        <f t="shared" si="54"/>
        <v>-30</v>
      </c>
      <c r="L151" s="1">
        <f t="shared" si="54"/>
        <v>-53</v>
      </c>
      <c r="M151" s="1">
        <f t="shared" si="54"/>
        <v>-36</v>
      </c>
      <c r="N151" s="1">
        <f t="shared" si="54"/>
        <v>-14</v>
      </c>
      <c r="O151" s="1">
        <f t="shared" si="54"/>
        <v>-88</v>
      </c>
      <c r="P151" s="1">
        <f t="shared" si="54"/>
        <v>-128</v>
      </c>
      <c r="Q151" s="1">
        <f t="shared" si="54"/>
        <v>-75</v>
      </c>
      <c r="R151" s="1">
        <f t="shared" si="54"/>
        <v>-81</v>
      </c>
      <c r="S151" s="1">
        <f t="shared" si="54"/>
        <v>-129</v>
      </c>
      <c r="T151" s="1">
        <f t="shared" si="54"/>
        <v>-56</v>
      </c>
      <c r="U151" s="1">
        <f t="shared" si="54"/>
        <v>-62</v>
      </c>
      <c r="V151" s="1">
        <f t="shared" si="54"/>
        <v>-133</v>
      </c>
      <c r="W151" s="1">
        <f t="shared" si="54"/>
        <v>-33</v>
      </c>
      <c r="X151" s="1">
        <f t="shared" si="54"/>
        <v>-53</v>
      </c>
      <c r="Y151" s="1">
        <f t="shared" si="54"/>
        <v>-125</v>
      </c>
      <c r="Z151" s="1">
        <f t="shared" si="54"/>
        <v>-49</v>
      </c>
      <c r="AA151" s="1">
        <f t="shared" si="54"/>
        <v>-34</v>
      </c>
      <c r="AB151" s="1">
        <f t="shared" si="54"/>
        <v>-132</v>
      </c>
      <c r="AC151" s="1">
        <f t="shared" si="54"/>
        <v>-28</v>
      </c>
      <c r="AD151" s="1">
        <f t="shared" si="54"/>
        <v>-18</v>
      </c>
      <c r="AE151" s="1">
        <f t="shared" si="54"/>
        <v>-261</v>
      </c>
      <c r="AF151" s="1">
        <f t="shared" si="54"/>
        <v>-10</v>
      </c>
      <c r="AG151" s="1">
        <f t="shared" si="54"/>
        <v>-15</v>
      </c>
      <c r="AH151" s="1">
        <f t="shared" si="54"/>
        <v>-30</v>
      </c>
      <c r="AI151" s="1">
        <f t="shared" si="54"/>
        <v>-30</v>
      </c>
      <c r="AJ151" s="1">
        <f t="shared" si="54"/>
        <v>-5</v>
      </c>
      <c r="AK151" s="1">
        <f t="shared" ref="AK151:BP151" si="55">AK150-AK149</f>
        <v>33</v>
      </c>
      <c r="AL151" s="1">
        <f t="shared" si="55"/>
        <v>43</v>
      </c>
      <c r="AM151" s="1">
        <f t="shared" si="55"/>
        <v>-14</v>
      </c>
      <c r="AN151" s="1">
        <f t="shared" si="55"/>
        <v>-50</v>
      </c>
      <c r="AO151" s="1">
        <f t="shared" si="55"/>
        <v>-25</v>
      </c>
      <c r="AP151" s="1">
        <f t="shared" si="55"/>
        <v>-26</v>
      </c>
      <c r="AQ151" s="1">
        <f t="shared" si="55"/>
        <v>-91</v>
      </c>
      <c r="AR151" s="1">
        <f t="shared" si="55"/>
        <v>-114</v>
      </c>
      <c r="AS151" s="1">
        <f t="shared" si="55"/>
        <v>-78</v>
      </c>
      <c r="AT151" s="1">
        <f t="shared" si="55"/>
        <v>-86</v>
      </c>
      <c r="AU151" s="1">
        <f t="shared" si="55"/>
        <v>-44</v>
      </c>
      <c r="AV151" s="1">
        <f t="shared" si="55"/>
        <v>-118</v>
      </c>
      <c r="AW151" s="1">
        <f t="shared" si="55"/>
        <v>-109</v>
      </c>
      <c r="AX151" s="1">
        <f t="shared" si="55"/>
        <v>-55</v>
      </c>
      <c r="AY151" s="1">
        <f t="shared" si="55"/>
        <v>-30</v>
      </c>
      <c r="AZ151" s="1">
        <f t="shared" si="55"/>
        <v>-75</v>
      </c>
      <c r="BA151" s="1">
        <f t="shared" si="55"/>
        <v>-195</v>
      </c>
      <c r="BB151" s="1">
        <f t="shared" si="55"/>
        <v>-227</v>
      </c>
      <c r="BC151" s="1">
        <f t="shared" si="55"/>
        <v>-10</v>
      </c>
      <c r="BD151" s="1">
        <f t="shared" si="55"/>
        <v>-84</v>
      </c>
      <c r="BE151" s="1">
        <f t="shared" si="55"/>
        <v>24</v>
      </c>
      <c r="BF151" s="1">
        <f t="shared" si="55"/>
        <v>13</v>
      </c>
      <c r="BG151" s="1">
        <f t="shared" si="55"/>
        <v>22</v>
      </c>
      <c r="BH151" s="1">
        <f t="shared" si="55"/>
        <v>-65</v>
      </c>
      <c r="BI151" s="1">
        <f t="shared" si="55"/>
        <v>-37</v>
      </c>
      <c r="BJ151" s="1">
        <f t="shared" si="55"/>
        <v>-187</v>
      </c>
      <c r="BK151" s="1">
        <f t="shared" si="55"/>
        <v>-187</v>
      </c>
      <c r="BL151" s="1">
        <f t="shared" si="55"/>
        <v>-125</v>
      </c>
      <c r="BM151" s="1">
        <f t="shared" si="55"/>
        <v>-150</v>
      </c>
      <c r="BN151" s="1">
        <f t="shared" si="55"/>
        <v>-350</v>
      </c>
      <c r="BO151" s="1">
        <f t="shared" si="55"/>
        <v>-350</v>
      </c>
      <c r="BP151" s="1"/>
      <c r="BQ151" s="1"/>
      <c r="BR151" s="17"/>
      <c r="BS151" s="17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34"/>
    </row>
  </sheetData>
  <autoFilter ref="A1:BP149"/>
  <sortState ref="A2:CS154">
    <sortCondition ref="BR2:BR154"/>
    <sortCondition ref="BQ2:BQ154"/>
  </sortState>
  <phoneticPr fontId="1" type="noConversion"/>
  <conditionalFormatting sqref="E40">
    <cfRule type="cellIs" dxfId="2" priority="4" operator="greaterThan">
      <formula>$E$150</formula>
    </cfRule>
  </conditionalFormatting>
  <conditionalFormatting sqref="E149">
    <cfRule type="cellIs" dxfId="1" priority="3" operator="greaterThan">
      <formula>$E$150</formula>
    </cfRule>
  </conditionalFormatting>
  <conditionalFormatting sqref="E151:BO15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8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153</xdr:row>
                    <xdr:rowOff>28575</xdr:rowOff>
                  </from>
                  <to>
                    <xdr:col>1</xdr:col>
                    <xdr:colOff>428625</xdr:colOff>
                    <xdr:row>154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"/>
  <sheetViews>
    <sheetView workbookViewId="0">
      <selection activeCell="D42" sqref="D42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96</v>
      </c>
      <c r="B1" s="5" t="s">
        <v>93</v>
      </c>
      <c r="C1" s="5" t="s">
        <v>97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62</v>
      </c>
      <c r="C3" s="1">
        <v>120</v>
      </c>
    </row>
    <row r="4" spans="1:3" x14ac:dyDescent="0.15">
      <c r="A4" s="1">
        <v>4</v>
      </c>
      <c r="B4" s="4" t="s">
        <v>63</v>
      </c>
      <c r="C4" s="1">
        <v>85</v>
      </c>
    </row>
    <row r="5" spans="1:3" x14ac:dyDescent="0.15">
      <c r="A5" s="1">
        <v>3</v>
      </c>
      <c r="B5" s="4" t="s">
        <v>50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34</v>
      </c>
      <c r="C10" s="1">
        <v>45</v>
      </c>
    </row>
    <row r="11" spans="1:3" x14ac:dyDescent="0.15">
      <c r="A11" s="1">
        <v>5</v>
      </c>
      <c r="B11" s="4" t="s">
        <v>70</v>
      </c>
      <c r="C11" s="1">
        <v>45</v>
      </c>
    </row>
    <row r="12" spans="1:3" x14ac:dyDescent="0.15">
      <c r="A12" s="1">
        <v>11</v>
      </c>
      <c r="B12" s="2" t="s">
        <v>51</v>
      </c>
      <c r="C12" s="1">
        <v>10</v>
      </c>
    </row>
    <row r="13" spans="1:3" x14ac:dyDescent="0.15">
      <c r="A13" s="1">
        <v>6</v>
      </c>
      <c r="B13" s="4" t="s">
        <v>76</v>
      </c>
      <c r="C13" s="1">
        <v>8</v>
      </c>
    </row>
    <row r="19" spans="7:18" x14ac:dyDescent="0.15">
      <c r="G19" s="10" t="s">
        <v>50</v>
      </c>
      <c r="H19" s="10" t="s">
        <v>5</v>
      </c>
      <c r="I19" s="10" t="s">
        <v>34</v>
      </c>
      <c r="J19" s="10" t="s">
        <v>70</v>
      </c>
      <c r="K19" s="10" t="s">
        <v>76</v>
      </c>
      <c r="L19" s="10" t="s">
        <v>63</v>
      </c>
      <c r="M19" s="11" t="s">
        <v>6</v>
      </c>
      <c r="N19" s="11" t="s">
        <v>7</v>
      </c>
      <c r="O19" s="11" t="s">
        <v>51</v>
      </c>
      <c r="P19" s="11" t="s">
        <v>9</v>
      </c>
      <c r="Q19" s="11" t="s">
        <v>62</v>
      </c>
      <c r="R19" s="11" t="s">
        <v>14</v>
      </c>
    </row>
    <row r="20" spans="7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103</v>
      </c>
      <c r="B1" s="8" t="s">
        <v>104</v>
      </c>
      <c r="C1" s="8" t="s">
        <v>105</v>
      </c>
    </row>
    <row r="2" spans="1:3" x14ac:dyDescent="0.15">
      <c r="A2" s="1">
        <v>5</v>
      </c>
      <c r="B2" s="10" t="s">
        <v>76</v>
      </c>
      <c r="C2" s="1">
        <v>0</v>
      </c>
    </row>
    <row r="3" spans="1:3" x14ac:dyDescent="0.15">
      <c r="A3" s="1">
        <v>9</v>
      </c>
      <c r="B3" s="11" t="s">
        <v>51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70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50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34</v>
      </c>
      <c r="C11" s="1">
        <v>5</v>
      </c>
    </row>
    <row r="12" spans="1:3" x14ac:dyDescent="0.15">
      <c r="A12" s="1">
        <v>11</v>
      </c>
      <c r="B12" s="11" t="s">
        <v>62</v>
      </c>
      <c r="C12" s="1">
        <v>5</v>
      </c>
    </row>
    <row r="13" spans="1:3" x14ac:dyDescent="0.15">
      <c r="A13" s="1">
        <v>6</v>
      </c>
      <c r="B13" s="10" t="s">
        <v>63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50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34</v>
      </c>
      <c r="C4">
        <v>0</v>
      </c>
    </row>
    <row r="5" spans="2:3" x14ac:dyDescent="0.15">
      <c r="B5" s="10" t="s">
        <v>76</v>
      </c>
      <c r="C5">
        <v>0</v>
      </c>
    </row>
    <row r="6" spans="2:3" x14ac:dyDescent="0.15">
      <c r="B6" s="11" t="s">
        <v>51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62</v>
      </c>
      <c r="C8">
        <v>0</v>
      </c>
    </row>
    <row r="9" spans="2:3" x14ac:dyDescent="0.15">
      <c r="B9" s="10" t="s">
        <v>70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63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2020-02-09T12:24:21Z</dcterms:modified>
</cp:coreProperties>
</file>