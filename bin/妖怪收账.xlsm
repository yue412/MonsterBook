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Sheet1!$A$1:$BP$144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3" i="1" l="1"/>
  <c r="BU3" i="1"/>
  <c r="BV3" i="1"/>
  <c r="BW3" i="1"/>
  <c r="BX3" i="1"/>
  <c r="BY3" i="1"/>
  <c r="BZ3" i="1"/>
  <c r="CA3" i="1"/>
  <c r="CB3" i="1"/>
  <c r="CC3" i="1"/>
  <c r="CD3" i="1"/>
  <c r="CE3" i="1"/>
  <c r="BT4" i="1"/>
  <c r="BU4" i="1"/>
  <c r="BV4" i="1"/>
  <c r="BW4" i="1"/>
  <c r="BX4" i="1"/>
  <c r="BY4" i="1"/>
  <c r="BZ4" i="1"/>
  <c r="CA4" i="1"/>
  <c r="CB4" i="1"/>
  <c r="CC4" i="1"/>
  <c r="CD4" i="1"/>
  <c r="CE4" i="1"/>
  <c r="BT5" i="1"/>
  <c r="BU5" i="1"/>
  <c r="BV5" i="1"/>
  <c r="BW5" i="1"/>
  <c r="BX5" i="1"/>
  <c r="BY5" i="1"/>
  <c r="BZ5" i="1"/>
  <c r="CA5" i="1"/>
  <c r="CB5" i="1"/>
  <c r="CC5" i="1"/>
  <c r="CD5" i="1"/>
  <c r="CE5" i="1"/>
  <c r="BT6" i="1"/>
  <c r="BU6" i="1"/>
  <c r="BV6" i="1"/>
  <c r="BW6" i="1"/>
  <c r="BX6" i="1"/>
  <c r="BY6" i="1"/>
  <c r="BZ6" i="1"/>
  <c r="CA6" i="1"/>
  <c r="CB6" i="1"/>
  <c r="CC6" i="1"/>
  <c r="CD6" i="1"/>
  <c r="CE6" i="1"/>
  <c r="BT7" i="1"/>
  <c r="BU7" i="1"/>
  <c r="BV7" i="1"/>
  <c r="BW7" i="1"/>
  <c r="BX7" i="1"/>
  <c r="BY7" i="1"/>
  <c r="BZ7" i="1"/>
  <c r="CA7" i="1"/>
  <c r="CB7" i="1"/>
  <c r="CC7" i="1"/>
  <c r="CD7" i="1"/>
  <c r="CE7" i="1"/>
  <c r="BT8" i="1"/>
  <c r="BU8" i="1"/>
  <c r="BV8" i="1"/>
  <c r="BW8" i="1"/>
  <c r="BX8" i="1"/>
  <c r="BY8" i="1"/>
  <c r="BZ8" i="1"/>
  <c r="CA8" i="1"/>
  <c r="CB8" i="1"/>
  <c r="CC8" i="1"/>
  <c r="CD8" i="1"/>
  <c r="CE8" i="1"/>
  <c r="BT9" i="1"/>
  <c r="BU9" i="1"/>
  <c r="BV9" i="1"/>
  <c r="BW9" i="1"/>
  <c r="BX9" i="1"/>
  <c r="BY9" i="1"/>
  <c r="BZ9" i="1"/>
  <c r="CA9" i="1"/>
  <c r="CB9" i="1"/>
  <c r="CC9" i="1"/>
  <c r="CD9" i="1"/>
  <c r="CE9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BT126" i="1"/>
  <c r="BU126" i="1"/>
  <c r="BV126" i="1"/>
  <c r="BW126" i="1"/>
  <c r="BX126" i="1"/>
  <c r="BY126" i="1"/>
  <c r="BZ126" i="1"/>
  <c r="CA126" i="1"/>
  <c r="CB126" i="1"/>
  <c r="CC126" i="1"/>
  <c r="CD126" i="1"/>
  <c r="CE126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BT129" i="1"/>
  <c r="BU129" i="1"/>
  <c r="BV129" i="1"/>
  <c r="BW129" i="1"/>
  <c r="BX129" i="1"/>
  <c r="BY129" i="1"/>
  <c r="BZ129" i="1"/>
  <c r="CA129" i="1"/>
  <c r="CB129" i="1"/>
  <c r="CC129" i="1"/>
  <c r="CD129" i="1"/>
  <c r="CE129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BT143" i="1"/>
  <c r="BU143" i="1"/>
  <c r="BV143" i="1"/>
  <c r="BW143" i="1"/>
  <c r="BX143" i="1"/>
  <c r="BY143" i="1"/>
  <c r="BZ143" i="1"/>
  <c r="CA143" i="1"/>
  <c r="CB143" i="1"/>
  <c r="CC143" i="1"/>
  <c r="CD143" i="1"/>
  <c r="CE143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BT138" i="1"/>
  <c r="BU138" i="1"/>
  <c r="BV138" i="1"/>
  <c r="BW138" i="1"/>
  <c r="BX138" i="1"/>
  <c r="BY138" i="1"/>
  <c r="BZ138" i="1"/>
  <c r="CA138" i="1"/>
  <c r="CB138" i="1"/>
  <c r="CC138" i="1"/>
  <c r="CD138" i="1"/>
  <c r="CE138" i="1"/>
  <c r="BT139" i="1"/>
  <c r="BU139" i="1"/>
  <c r="BV139" i="1"/>
  <c r="BW139" i="1"/>
  <c r="BX139" i="1"/>
  <c r="BY139" i="1"/>
  <c r="BZ139" i="1"/>
  <c r="CA139" i="1"/>
  <c r="CB139" i="1"/>
  <c r="CC139" i="1"/>
  <c r="CD139" i="1"/>
  <c r="CE139" i="1"/>
  <c r="BT140" i="1"/>
  <c r="BU140" i="1"/>
  <c r="BV140" i="1"/>
  <c r="BW140" i="1"/>
  <c r="BX140" i="1"/>
  <c r="BY140" i="1"/>
  <c r="BZ140" i="1"/>
  <c r="CA140" i="1"/>
  <c r="CB140" i="1"/>
  <c r="CC140" i="1"/>
  <c r="CD140" i="1"/>
  <c r="CE140" i="1"/>
  <c r="BT141" i="1"/>
  <c r="BU141" i="1"/>
  <c r="BV141" i="1"/>
  <c r="BW141" i="1"/>
  <c r="BX141" i="1"/>
  <c r="BY141" i="1"/>
  <c r="BZ141" i="1"/>
  <c r="CA141" i="1"/>
  <c r="CB141" i="1"/>
  <c r="CC141" i="1"/>
  <c r="CD141" i="1"/>
  <c r="CE141" i="1"/>
  <c r="BT142" i="1"/>
  <c r="BU142" i="1"/>
  <c r="BV142" i="1"/>
  <c r="BW142" i="1"/>
  <c r="BX142" i="1"/>
  <c r="BY142" i="1"/>
  <c r="BZ142" i="1"/>
  <c r="CA142" i="1"/>
  <c r="CB142" i="1"/>
  <c r="CC142" i="1"/>
  <c r="CD142" i="1"/>
  <c r="CE142" i="1"/>
  <c r="BP3" i="1"/>
  <c r="BP4" i="1"/>
  <c r="BP5" i="1"/>
  <c r="BP6" i="1"/>
  <c r="BP7" i="1"/>
  <c r="BP8" i="1"/>
  <c r="BP9" i="1"/>
  <c r="BP17" i="1"/>
  <c r="BP18" i="1"/>
  <c r="BP10" i="1"/>
  <c r="BP44" i="1"/>
  <c r="BP11" i="1"/>
  <c r="BP12" i="1"/>
  <c r="BP29" i="1"/>
  <c r="BP46" i="1"/>
  <c r="BP13" i="1"/>
  <c r="BP14" i="1"/>
  <c r="BP38" i="1"/>
  <c r="BP39" i="1"/>
  <c r="BP15" i="1"/>
  <c r="BP19" i="1"/>
  <c r="BP20" i="1"/>
  <c r="BP21" i="1"/>
  <c r="BP22" i="1"/>
  <c r="BP23" i="1"/>
  <c r="BP24" i="1"/>
  <c r="BP25" i="1"/>
  <c r="BP26" i="1"/>
  <c r="BP27" i="1"/>
  <c r="BP28" i="1"/>
  <c r="BP54" i="1"/>
  <c r="BP30" i="1"/>
  <c r="BP31" i="1"/>
  <c r="BP36" i="1"/>
  <c r="BP91" i="1"/>
  <c r="BP80" i="1"/>
  <c r="BP37" i="1"/>
  <c r="BP33" i="1"/>
  <c r="BP34" i="1"/>
  <c r="BP35" i="1"/>
  <c r="BP40" i="1"/>
  <c r="BP41" i="1"/>
  <c r="BP42" i="1"/>
  <c r="BP43" i="1"/>
  <c r="BP45" i="1"/>
  <c r="BP47" i="1"/>
  <c r="BP74" i="1"/>
  <c r="BP72" i="1"/>
  <c r="BP48" i="1"/>
  <c r="BP49" i="1"/>
  <c r="BP50" i="1"/>
  <c r="BP51" i="1"/>
  <c r="BP52" i="1"/>
  <c r="BP90" i="1"/>
  <c r="BP32" i="1"/>
  <c r="BP82" i="1"/>
  <c r="BP53" i="1"/>
  <c r="BP55" i="1"/>
  <c r="BP56" i="1"/>
  <c r="BP60" i="1"/>
  <c r="BP61" i="1"/>
  <c r="BP92" i="1"/>
  <c r="BP93" i="1"/>
  <c r="BP62" i="1"/>
  <c r="BP57" i="1"/>
  <c r="BP63" i="1"/>
  <c r="BP64" i="1"/>
  <c r="BP65" i="1"/>
  <c r="BP66" i="1"/>
  <c r="BP67" i="1"/>
  <c r="BP68" i="1"/>
  <c r="BP69" i="1"/>
  <c r="BP70" i="1"/>
  <c r="BP71" i="1"/>
  <c r="BP75" i="1"/>
  <c r="BP73" i="1"/>
  <c r="BP59" i="1"/>
  <c r="BP77" i="1"/>
  <c r="BP78" i="1"/>
  <c r="BP79" i="1"/>
  <c r="BP108" i="1"/>
  <c r="BP76" i="1"/>
  <c r="BP58" i="1"/>
  <c r="BP81" i="1"/>
  <c r="BP83" i="1"/>
  <c r="BP84" i="1"/>
  <c r="BP85" i="1"/>
  <c r="BP103" i="1"/>
  <c r="BP88" i="1"/>
  <c r="BP124" i="1"/>
  <c r="BP125" i="1"/>
  <c r="BP126" i="1"/>
  <c r="BP89" i="1"/>
  <c r="BP95" i="1"/>
  <c r="BP96" i="1"/>
  <c r="BP97" i="1"/>
  <c r="BP94" i="1"/>
  <c r="BP100" i="1"/>
  <c r="BP101" i="1"/>
  <c r="BP98" i="1"/>
  <c r="BP99" i="1"/>
  <c r="BP104" i="1"/>
  <c r="BP105" i="1"/>
  <c r="BP106" i="1"/>
  <c r="BP107" i="1"/>
  <c r="BP109" i="1"/>
  <c r="BP110" i="1"/>
  <c r="BP111" i="1"/>
  <c r="BP112" i="1"/>
  <c r="BP113" i="1"/>
  <c r="BP114" i="1"/>
  <c r="BP115" i="1"/>
  <c r="BP116" i="1"/>
  <c r="BP117" i="1"/>
  <c r="BP118" i="1"/>
  <c r="BP119" i="1"/>
  <c r="BP120" i="1"/>
  <c r="BP86" i="1"/>
  <c r="BP87" i="1"/>
  <c r="BP121" i="1"/>
  <c r="BP122" i="1"/>
  <c r="BP127" i="1"/>
  <c r="BP123" i="1"/>
  <c r="BP128" i="1"/>
  <c r="BP129" i="1"/>
  <c r="BP130" i="1"/>
  <c r="BP131" i="1"/>
  <c r="BP132" i="1"/>
  <c r="BP133" i="1"/>
  <c r="BP134" i="1"/>
  <c r="BP135" i="1"/>
  <c r="BP102" i="1"/>
  <c r="BP143" i="1"/>
  <c r="BP136" i="1"/>
  <c r="BP137" i="1"/>
  <c r="BP138" i="1"/>
  <c r="BP139" i="1"/>
  <c r="BP140" i="1"/>
  <c r="BP141" i="1"/>
  <c r="BP142" i="1"/>
  <c r="CF140" i="1" l="1"/>
  <c r="CF139" i="1"/>
  <c r="CF135" i="1"/>
  <c r="CF64" i="1"/>
  <c r="CF41" i="1"/>
  <c r="CF20" i="1"/>
  <c r="CF5" i="1"/>
  <c r="CF4" i="1"/>
  <c r="CF98" i="1"/>
  <c r="CF63" i="1"/>
  <c r="CF40" i="1"/>
  <c r="CF39" i="1"/>
  <c r="CF100" i="1"/>
  <c r="CF73" i="1"/>
  <c r="CF62" i="1"/>
  <c r="CF43" i="1"/>
  <c r="CF42" i="1"/>
  <c r="CF33" i="1"/>
  <c r="CF23" i="1"/>
  <c r="CF22" i="1"/>
  <c r="CF21" i="1"/>
  <c r="CF38" i="1"/>
  <c r="CF9" i="1"/>
  <c r="CF3" i="1"/>
  <c r="CF136" i="1"/>
  <c r="CF102" i="1"/>
  <c r="CF95" i="1"/>
  <c r="CF103" i="1"/>
  <c r="CF83" i="1"/>
  <c r="CF58" i="1"/>
  <c r="CF76" i="1"/>
  <c r="CF108" i="1"/>
  <c r="CF79" i="1"/>
  <c r="CF78" i="1"/>
  <c r="CF60" i="1"/>
  <c r="CF56" i="1"/>
  <c r="CF55" i="1"/>
  <c r="CF53" i="1"/>
  <c r="CF82" i="1"/>
  <c r="CF32" i="1"/>
  <c r="CF90" i="1"/>
  <c r="CF37" i="1"/>
  <c r="CF30" i="1"/>
  <c r="CF54" i="1"/>
  <c r="CF26" i="1"/>
  <c r="CF25" i="1"/>
  <c r="CF24" i="1"/>
  <c r="CF14" i="1"/>
  <c r="CF13" i="1"/>
  <c r="CF46" i="1"/>
  <c r="CF29" i="1"/>
  <c r="CF44" i="1"/>
  <c r="CS139" i="1"/>
  <c r="CM139" i="1" l="1"/>
  <c r="CO139" i="1" l="1"/>
  <c r="CK139" i="1"/>
  <c r="CI139" i="1"/>
  <c r="CN139" i="1"/>
  <c r="CP139" i="1"/>
  <c r="CJ139" i="1"/>
  <c r="CL139" i="1"/>
  <c r="CG139" i="1"/>
  <c r="CQ139" i="1"/>
  <c r="CH139" i="1"/>
  <c r="CR139" i="1"/>
  <c r="CS3" i="1"/>
  <c r="CS4" i="1"/>
  <c r="CS5" i="1"/>
  <c r="CS108" i="1"/>
  <c r="CS13" i="1"/>
  <c r="CS14" i="1"/>
  <c r="CS53" i="1"/>
  <c r="CS9" i="1"/>
  <c r="CS20" i="1"/>
  <c r="CS21" i="1"/>
  <c r="CS22" i="1"/>
  <c r="CS23" i="1"/>
  <c r="CS24" i="1"/>
  <c r="CS25" i="1"/>
  <c r="CS26" i="1"/>
  <c r="CS43" i="1"/>
  <c r="CS44" i="1"/>
  <c r="CS60" i="1"/>
  <c r="CS38" i="1"/>
  <c r="CS39" i="1"/>
  <c r="CS82" i="1"/>
  <c r="CS90" i="1"/>
  <c r="CS30" i="1"/>
  <c r="CS63" i="1"/>
  <c r="CS37" i="1"/>
  <c r="CS40" i="1"/>
  <c r="CS41" i="1"/>
  <c r="CS42" i="1"/>
  <c r="CS46" i="1"/>
  <c r="CS73" i="1"/>
  <c r="CS76" i="1"/>
  <c r="CS32" i="1"/>
  <c r="CS33" i="1"/>
  <c r="CS54" i="1"/>
  <c r="CS55" i="1"/>
  <c r="CS56" i="1"/>
  <c r="CS58" i="1"/>
  <c r="CS78" i="1"/>
  <c r="CS79" i="1"/>
  <c r="CS83" i="1"/>
  <c r="CS62" i="1"/>
  <c r="CS64" i="1"/>
  <c r="CS102" i="1"/>
  <c r="CS103" i="1"/>
  <c r="CS29" i="1"/>
  <c r="CS95" i="1"/>
  <c r="CS135" i="1"/>
  <c r="CS98" i="1"/>
  <c r="CS100" i="1"/>
  <c r="CS140" i="1"/>
  <c r="CS136" i="1"/>
  <c r="CS2" i="1"/>
  <c r="CS144" i="1" l="1"/>
  <c r="BU2" i="1"/>
  <c r="BV2" i="1"/>
  <c r="BW2" i="1"/>
  <c r="BX2" i="1"/>
  <c r="BY2" i="1"/>
  <c r="BZ2" i="1"/>
  <c r="CA2" i="1"/>
  <c r="CB2" i="1"/>
  <c r="CC2" i="1"/>
  <c r="CD2" i="1"/>
  <c r="CE2" i="1"/>
  <c r="BT2" i="1"/>
  <c r="CR53" i="1" l="1"/>
  <c r="CR21" i="1"/>
  <c r="CN20" i="1"/>
  <c r="CA144" i="1"/>
  <c r="CC144" i="1"/>
  <c r="BX144" i="1"/>
  <c r="BZ144" i="1"/>
  <c r="BV144" i="1"/>
  <c r="BU144" i="1"/>
  <c r="CD144" i="1"/>
  <c r="BY144" i="1"/>
  <c r="CB144" i="1"/>
  <c r="CE144" i="1"/>
  <c r="CK29" i="1"/>
  <c r="CM44" i="1"/>
  <c r="CI41" i="1"/>
  <c r="CJ33" i="1"/>
  <c r="CG64" i="1"/>
  <c r="CN5" i="1"/>
  <c r="CN4" i="1"/>
  <c r="CN3" i="1"/>
  <c r="CG136" i="1"/>
  <c r="CK95" i="1"/>
  <c r="CK135" i="1"/>
  <c r="CR103" i="1"/>
  <c r="CJ79" i="1"/>
  <c r="CH32" i="1"/>
  <c r="CQ60" i="1"/>
  <c r="CR82" i="1"/>
  <c r="CH38" i="1"/>
  <c r="CN76" i="1"/>
  <c r="CH43" i="1"/>
  <c r="CL40" i="1"/>
  <c r="CH63" i="1"/>
  <c r="CO9" i="1"/>
  <c r="CH25" i="1"/>
  <c r="CP24" i="1"/>
  <c r="CN23" i="1"/>
  <c r="CR22" i="1"/>
  <c r="CG73" i="1"/>
  <c r="CQ108" i="1"/>
  <c r="CN14" i="1"/>
  <c r="CI13" i="1"/>
  <c r="CR140" i="1"/>
  <c r="CJ90" i="1"/>
  <c r="CO100" i="1"/>
  <c r="CN102" i="1"/>
  <c r="CR78" i="1"/>
  <c r="CR58" i="1"/>
  <c r="CH30" i="1"/>
  <c r="CK39" i="1"/>
  <c r="CN56" i="1"/>
  <c r="CL55" i="1"/>
  <c r="CN83" i="1"/>
  <c r="CI54" i="1"/>
  <c r="CH46" i="1"/>
  <c r="CO42" i="1"/>
  <c r="CM37" i="1"/>
  <c r="CM26" i="1"/>
  <c r="CF2" i="1"/>
  <c r="CH2" i="1" s="1"/>
  <c r="CK62" i="1"/>
  <c r="CG98" i="1"/>
  <c r="BW144" i="1"/>
  <c r="BT144" i="1"/>
  <c r="BP2" i="1"/>
  <c r="CN25" i="1" l="1"/>
  <c r="CK25" i="1"/>
  <c r="CP4" i="1"/>
  <c r="CJ82" i="1"/>
  <c r="CI44" i="1"/>
  <c r="CJ5" i="1"/>
  <c r="CQ13" i="1"/>
  <c r="CH44" i="1"/>
  <c r="CP44" i="1"/>
  <c r="CG44" i="1"/>
  <c r="CR44" i="1"/>
  <c r="CN60" i="1"/>
  <c r="CK44" i="1"/>
  <c r="CI29" i="1"/>
  <c r="CP29" i="1"/>
  <c r="CQ29" i="1"/>
  <c r="CH29" i="1"/>
  <c r="CO29" i="1"/>
  <c r="CG29" i="1"/>
  <c r="CP9" i="1"/>
  <c r="CO58" i="1"/>
  <c r="CR55" i="1"/>
  <c r="CP25" i="1"/>
  <c r="CN13" i="1"/>
  <c r="CQ33" i="1"/>
  <c r="CJ4" i="1"/>
  <c r="CL4" i="1"/>
  <c r="CM29" i="1"/>
  <c r="CM55" i="1"/>
  <c r="CK22" i="1"/>
  <c r="CN103" i="1"/>
  <c r="CN33" i="1"/>
  <c r="CO103" i="1"/>
  <c r="CM33" i="1"/>
  <c r="CI33" i="1"/>
  <c r="CR33" i="1"/>
  <c r="CL43" i="1"/>
  <c r="CN2" i="1"/>
  <c r="CK33" i="1"/>
  <c r="CL95" i="1"/>
  <c r="CQ14" i="1"/>
  <c r="CI76" i="1"/>
  <c r="CQ95" i="1"/>
  <c r="CJ95" i="1"/>
  <c r="CH33" i="1"/>
  <c r="CP33" i="1"/>
  <c r="CH108" i="1"/>
  <c r="CG60" i="1"/>
  <c r="CG33" i="1"/>
  <c r="CO60" i="1"/>
  <c r="CO33" i="1"/>
  <c r="CR3" i="1"/>
  <c r="CL33" i="1"/>
  <c r="CI103" i="1"/>
  <c r="CO95" i="1"/>
  <c r="CQ103" i="1"/>
  <c r="CM22" i="1"/>
  <c r="CP108" i="1"/>
  <c r="CJ60" i="1"/>
  <c r="CR64" i="1"/>
  <c r="CQ64" i="1"/>
  <c r="CP64" i="1"/>
  <c r="CN64" i="1"/>
  <c r="CM64" i="1"/>
  <c r="CJ64" i="1"/>
  <c r="CJ41" i="1"/>
  <c r="CO64" i="1"/>
  <c r="CP37" i="1"/>
  <c r="CH64" i="1"/>
  <c r="CG37" i="1"/>
  <c r="CK64" i="1"/>
  <c r="CI64" i="1"/>
  <c r="CR40" i="1"/>
  <c r="CL79" i="1"/>
  <c r="CQ21" i="1"/>
  <c r="CQ79" i="1"/>
  <c r="CK40" i="1"/>
  <c r="CK90" i="1"/>
  <c r="CN21" i="1"/>
  <c r="CN58" i="1"/>
  <c r="CP21" i="1"/>
  <c r="CL90" i="1"/>
  <c r="CH21" i="1"/>
  <c r="CO90" i="1"/>
  <c r="CO21" i="1"/>
  <c r="CN79" i="1"/>
  <c r="CI90" i="1"/>
  <c r="CK21" i="1"/>
  <c r="CM79" i="1"/>
  <c r="CH90" i="1"/>
  <c r="CO79" i="1"/>
  <c r="CI79" i="1"/>
  <c r="CR90" i="1"/>
  <c r="CI21" i="1"/>
  <c r="CQ40" i="1"/>
  <c r="CH79" i="1"/>
  <c r="CQ90" i="1"/>
  <c r="CP40" i="1"/>
  <c r="CG79" i="1"/>
  <c r="CN90" i="1"/>
  <c r="CR2" i="1"/>
  <c r="CM83" i="1"/>
  <c r="CJ40" i="1"/>
  <c r="CM40" i="1"/>
  <c r="CR79" i="1"/>
  <c r="CI62" i="1"/>
  <c r="CJ21" i="1"/>
  <c r="CR13" i="1"/>
  <c r="CK140" i="1"/>
  <c r="CO108" i="1"/>
  <c r="CR60" i="1"/>
  <c r="CG25" i="1"/>
  <c r="CL103" i="1"/>
  <c r="CL13" i="1"/>
  <c r="CI9" i="1"/>
  <c r="CR54" i="1"/>
  <c r="CJ29" i="1"/>
  <c r="CM3" i="1"/>
  <c r="CJ44" i="1"/>
  <c r="CM2" i="1"/>
  <c r="CK100" i="1"/>
  <c r="CJ2" i="1"/>
  <c r="CM38" i="1"/>
  <c r="CP39" i="1"/>
  <c r="CQ78" i="1"/>
  <c r="CI3" i="1"/>
  <c r="CN44" i="1"/>
  <c r="CI2" i="1"/>
  <c r="CM140" i="1"/>
  <c r="CP58" i="1"/>
  <c r="CL78" i="1"/>
  <c r="CG3" i="1"/>
  <c r="CM54" i="1"/>
  <c r="CN108" i="1"/>
  <c r="CK76" i="1"/>
  <c r="CM60" i="1"/>
  <c r="CQ25" i="1"/>
  <c r="CR29" i="1"/>
  <c r="CH103" i="1"/>
  <c r="CP82" i="1"/>
  <c r="CM13" i="1"/>
  <c r="CI98" i="1"/>
  <c r="CO44" i="1"/>
  <c r="CN38" i="1"/>
  <c r="CL98" i="1"/>
  <c r="CL108" i="1"/>
  <c r="CQ76" i="1"/>
  <c r="CO98" i="1"/>
  <c r="CL60" i="1"/>
  <c r="CO54" i="1"/>
  <c r="CG32" i="1"/>
  <c r="CH4" i="1"/>
  <c r="CG13" i="1"/>
  <c r="CR98" i="1"/>
  <c r="CL44" i="1"/>
  <c r="CK108" i="1"/>
  <c r="CO76" i="1"/>
  <c r="CK60" i="1"/>
  <c r="CL54" i="1"/>
  <c r="CI25" i="1"/>
  <c r="CR32" i="1"/>
  <c r="CQ20" i="1"/>
  <c r="CN98" i="1"/>
  <c r="CH54" i="1"/>
  <c r="CI32" i="1"/>
  <c r="CK54" i="1"/>
  <c r="CO32" i="1"/>
  <c r="CO13" i="1"/>
  <c r="CP20" i="1"/>
  <c r="CM98" i="1"/>
  <c r="CN9" i="1"/>
  <c r="CN37" i="1"/>
  <c r="CL64" i="1"/>
  <c r="CL32" i="1"/>
  <c r="CM20" i="1"/>
  <c r="CJ98" i="1"/>
  <c r="CI37" i="1"/>
  <c r="CJ20" i="1"/>
  <c r="CQ100" i="1"/>
  <c r="CM63" i="1"/>
  <c r="CI20" i="1"/>
  <c r="CP100" i="1"/>
  <c r="CI63" i="1"/>
  <c r="CG20" i="1"/>
  <c r="CN100" i="1"/>
  <c r="CL20" i="1"/>
  <c r="CK98" i="1"/>
  <c r="CQ54" i="1"/>
  <c r="CJ100" i="1"/>
  <c r="CN32" i="1"/>
  <c r="CQ32" i="1"/>
  <c r="CK20" i="1"/>
  <c r="CN54" i="1"/>
  <c r="CG100" i="1"/>
  <c r="CP32" i="1"/>
  <c r="CJ32" i="1"/>
  <c r="CG54" i="1"/>
  <c r="CL100" i="1"/>
  <c r="CM32" i="1"/>
  <c r="CJ58" i="1"/>
  <c r="CQ4" i="1"/>
  <c r="CO3" i="1"/>
  <c r="CI135" i="1"/>
  <c r="CK13" i="1"/>
  <c r="CM9" i="1"/>
  <c r="CP76" i="1"/>
  <c r="CH37" i="1"/>
  <c r="CN136" i="1"/>
  <c r="CJ55" i="1"/>
  <c r="CM25" i="1"/>
  <c r="CL14" i="1"/>
  <c r="CQ38" i="1"/>
  <c r="CH58" i="1"/>
  <c r="CK78" i="1"/>
  <c r="CO22" i="1"/>
  <c r="CH13" i="1"/>
  <c r="CG140" i="1"/>
  <c r="CJ9" i="1"/>
  <c r="CG76" i="1"/>
  <c r="CQ37" i="1"/>
  <c r="CQ55" i="1"/>
  <c r="CJ25" i="1"/>
  <c r="CK14" i="1"/>
  <c r="CP38" i="1"/>
  <c r="CQ140" i="1"/>
  <c r="CJ53" i="1"/>
  <c r="CG58" i="1"/>
  <c r="CL22" i="1"/>
  <c r="CL140" i="1"/>
  <c r="CL2" i="1"/>
  <c r="CG9" i="1"/>
  <c r="CL76" i="1"/>
  <c r="CO37" i="1"/>
  <c r="CK55" i="1"/>
  <c r="CR25" i="1"/>
  <c r="CJ38" i="1"/>
  <c r="CN29" i="1"/>
  <c r="CP103" i="1"/>
  <c r="CI4" i="1"/>
  <c r="CQ3" i="1"/>
  <c r="CK23" i="1"/>
  <c r="CI38" i="1"/>
  <c r="CJ3" i="1"/>
  <c r="CJ37" i="1"/>
  <c r="CM58" i="1"/>
  <c r="CJ78" i="1"/>
  <c r="CL3" i="1"/>
  <c r="CQ22" i="1"/>
  <c r="CP13" i="1"/>
  <c r="CH41" i="1"/>
  <c r="CO140" i="1"/>
  <c r="CM108" i="1"/>
  <c r="CL9" i="1"/>
  <c r="CM76" i="1"/>
  <c r="CQ43" i="1"/>
  <c r="CP55" i="1"/>
  <c r="CK136" i="1"/>
  <c r="CO25" i="1"/>
  <c r="CQ2" i="1"/>
  <c r="CG38" i="1"/>
  <c r="CP140" i="1"/>
  <c r="CL29" i="1"/>
  <c r="CG39" i="1"/>
  <c r="CL58" i="1"/>
  <c r="CP78" i="1"/>
  <c r="CM4" i="1"/>
  <c r="CK3" i="1"/>
  <c r="CJ22" i="1"/>
  <c r="CJ13" i="1"/>
  <c r="CO41" i="1"/>
  <c r="CQ44" i="1"/>
  <c r="CP2" i="1"/>
  <c r="CI108" i="1"/>
  <c r="CK9" i="1"/>
  <c r="CJ76" i="1"/>
  <c r="CM43" i="1"/>
  <c r="CN55" i="1"/>
  <c r="CL25" i="1"/>
  <c r="CO2" i="1"/>
  <c r="CO38" i="1"/>
  <c r="CN140" i="1"/>
  <c r="CR39" i="1"/>
  <c r="CK58" i="1"/>
  <c r="CM78" i="1"/>
  <c r="CR4" i="1"/>
  <c r="CH3" i="1"/>
  <c r="CN22" i="1"/>
  <c r="CH76" i="1"/>
  <c r="CR76" i="1"/>
  <c r="CI55" i="1"/>
  <c r="CJ140" i="1"/>
  <c r="CI58" i="1"/>
  <c r="CJ103" i="1"/>
  <c r="CN78" i="1"/>
  <c r="CK4" i="1"/>
  <c r="CP3" i="1"/>
  <c r="CI22" i="1"/>
  <c r="CH55" i="1"/>
  <c r="CQ58" i="1"/>
  <c r="CO78" i="1"/>
  <c r="CP22" i="1"/>
  <c r="CG2" i="1"/>
  <c r="CI140" i="1"/>
  <c r="CK103" i="1"/>
  <c r="CI78" i="1"/>
  <c r="CR46" i="1"/>
  <c r="CR102" i="1"/>
  <c r="CO46" i="1"/>
  <c r="CO102" i="1"/>
  <c r="CL46" i="1"/>
  <c r="CL102" i="1"/>
  <c r="CI73" i="1"/>
  <c r="CK102" i="1"/>
  <c r="CH73" i="1"/>
  <c r="CP73" i="1"/>
  <c r="CH102" i="1"/>
  <c r="CR73" i="1"/>
  <c r="CM73" i="1"/>
  <c r="CM14" i="1"/>
  <c r="CO73" i="1"/>
  <c r="CP46" i="1"/>
  <c r="CQ42" i="1"/>
  <c r="CJ14" i="1"/>
  <c r="CL73" i="1"/>
  <c r="CM46" i="1"/>
  <c r="CJ42" i="1"/>
  <c r="CM42" i="1"/>
  <c r="CG14" i="1"/>
  <c r="CK73" i="1"/>
  <c r="CI83" i="1"/>
  <c r="CO62" i="1"/>
  <c r="CJ46" i="1"/>
  <c r="CQ102" i="1"/>
  <c r="CN73" i="1"/>
  <c r="CR14" i="1"/>
  <c r="CM23" i="1"/>
  <c r="CI46" i="1"/>
  <c r="CP102" i="1"/>
  <c r="CO14" i="1"/>
  <c r="CH83" i="1"/>
  <c r="CL21" i="1"/>
  <c r="CL23" i="1"/>
  <c r="CP63" i="1"/>
  <c r="CG46" i="1"/>
  <c r="CJ102" i="1"/>
  <c r="CJ30" i="1"/>
  <c r="CO53" i="1"/>
  <c r="CL41" i="1"/>
  <c r="CR30" i="1"/>
  <c r="CK43" i="1"/>
  <c r="CI42" i="1"/>
  <c r="CP95" i="1"/>
  <c r="CL53" i="1"/>
  <c r="CI39" i="1"/>
  <c r="CI5" i="1"/>
  <c r="CJ23" i="1"/>
  <c r="CO82" i="1"/>
  <c r="CK41" i="1"/>
  <c r="CO30" i="1"/>
  <c r="CG95" i="1"/>
  <c r="CG42" i="1"/>
  <c r="CN95" i="1"/>
  <c r="CK53" i="1"/>
  <c r="CJ39" i="1"/>
  <c r="CR5" i="1"/>
  <c r="CH23" i="1"/>
  <c r="CL82" i="1"/>
  <c r="CQ41" i="1"/>
  <c r="CL30" i="1"/>
  <c r="CL42" i="1"/>
  <c r="CM95" i="1"/>
  <c r="CQ39" i="1"/>
  <c r="CL5" i="1"/>
  <c r="CI23" i="1"/>
  <c r="CK82" i="1"/>
  <c r="CK30" i="1"/>
  <c r="CI136" i="1"/>
  <c r="CK42" i="1"/>
  <c r="CN39" i="1"/>
  <c r="CK5" i="1"/>
  <c r="CG23" i="1"/>
  <c r="CJ43" i="1"/>
  <c r="CH136" i="1"/>
  <c r="CM30" i="1"/>
  <c r="CM39" i="1"/>
  <c r="CH5" i="1"/>
  <c r="CR62" i="1"/>
  <c r="CR23" i="1"/>
  <c r="CM41" i="1"/>
  <c r="CI43" i="1"/>
  <c r="CR136" i="1"/>
  <c r="CN43" i="1"/>
  <c r="CQ53" i="1"/>
  <c r="CH39" i="1"/>
  <c r="CO23" i="1"/>
  <c r="CP41" i="1"/>
  <c r="CQ136" i="1"/>
  <c r="CM53" i="1"/>
  <c r="CQ82" i="1"/>
  <c r="CN41" i="1"/>
  <c r="CG43" i="1"/>
  <c r="CI95" i="1"/>
  <c r="CP43" i="1"/>
  <c r="CO136" i="1"/>
  <c r="CH53" i="1"/>
  <c r="CO39" i="1"/>
  <c r="CQ5" i="1"/>
  <c r="CP23" i="1"/>
  <c r="CJ24" i="1"/>
  <c r="CN82" i="1"/>
  <c r="CG41" i="1"/>
  <c r="CQ30" i="1"/>
  <c r="CR43" i="1"/>
  <c r="CP42" i="1"/>
  <c r="CH95" i="1"/>
  <c r="CP53" i="1"/>
  <c r="CL39" i="1"/>
  <c r="CP5" i="1"/>
  <c r="CQ23" i="1"/>
  <c r="CQ24" i="1"/>
  <c r="CM82" i="1"/>
  <c r="CR41" i="1"/>
  <c r="CP30" i="1"/>
  <c r="CO43" i="1"/>
  <c r="CN42" i="1"/>
  <c r="CR95" i="1"/>
  <c r="CL136" i="1"/>
  <c r="CI53" i="1"/>
  <c r="CM5" i="1"/>
  <c r="CI24" i="1"/>
  <c r="CI82" i="1"/>
  <c r="CJ26" i="1"/>
  <c r="CH20" i="1"/>
  <c r="CK46" i="1"/>
  <c r="CH98" i="1"/>
  <c r="CG90" i="1"/>
  <c r="CG40" i="1"/>
  <c r="CK79" i="1"/>
  <c r="CI14" i="1"/>
  <c r="CJ108" i="1"/>
  <c r="CH9" i="1"/>
  <c r="CN30" i="1"/>
  <c r="CP90" i="1"/>
  <c r="CR37" i="1"/>
  <c r="CM102" i="1"/>
  <c r="CP136" i="1"/>
  <c r="CH42" i="1"/>
  <c r="CG55" i="1"/>
  <c r="CP54" i="1"/>
  <c r="CI100" i="1"/>
  <c r="CK2" i="1"/>
  <c r="CQ73" i="1"/>
  <c r="CR38" i="1"/>
  <c r="CK32" i="1"/>
  <c r="CN53" i="1"/>
  <c r="CM103" i="1"/>
  <c r="CG5" i="1"/>
  <c r="CH26" i="1"/>
  <c r="CJ83" i="1"/>
  <c r="CH78" i="1"/>
  <c r="CH62" i="1"/>
  <c r="CG4" i="1"/>
  <c r="CM21" i="1"/>
  <c r="CH22" i="1"/>
  <c r="CN24" i="1"/>
  <c r="CN63" i="1"/>
  <c r="CH82" i="1"/>
  <c r="CH135" i="1"/>
  <c r="CI56" i="1"/>
  <c r="CN26" i="1"/>
  <c r="CR135" i="1"/>
  <c r="CH40" i="1"/>
  <c r="CR20" i="1"/>
  <c r="CH56" i="1"/>
  <c r="CQ98" i="1"/>
  <c r="CM100" i="1"/>
  <c r="CO40" i="1"/>
  <c r="CH14" i="1"/>
  <c r="CG108" i="1"/>
  <c r="CR9" i="1"/>
  <c r="CI30" i="1"/>
  <c r="CM90" i="1"/>
  <c r="CL37" i="1"/>
  <c r="CI60" i="1"/>
  <c r="CI102" i="1"/>
  <c r="CM136" i="1"/>
  <c r="CR42" i="1"/>
  <c r="CO55" i="1"/>
  <c r="CJ54" i="1"/>
  <c r="CR100" i="1"/>
  <c r="CN46" i="1"/>
  <c r="CP14" i="1"/>
  <c r="CJ73" i="1"/>
  <c r="CL38" i="1"/>
  <c r="CH140" i="1"/>
  <c r="CG53" i="1"/>
  <c r="CG103" i="1"/>
  <c r="CO5" i="1"/>
  <c r="CG26" i="1"/>
  <c r="CG83" i="1"/>
  <c r="CG78" i="1"/>
  <c r="CQ62" i="1"/>
  <c r="CO4" i="1"/>
  <c r="CG21" i="1"/>
  <c r="CG22" i="1"/>
  <c r="CG24" i="1"/>
  <c r="CG63" i="1"/>
  <c r="CG82" i="1"/>
  <c r="CQ135" i="1"/>
  <c r="CO20" i="1"/>
  <c r="CQ46" i="1"/>
  <c r="CQ56" i="1"/>
  <c r="CP98" i="1"/>
  <c r="CH100" i="1"/>
  <c r="CP79" i="1"/>
  <c r="CQ9" i="1"/>
  <c r="CR108" i="1"/>
  <c r="CG30" i="1"/>
  <c r="CK37" i="1"/>
  <c r="CG102" i="1"/>
  <c r="CJ136" i="1"/>
  <c r="CK38" i="1"/>
  <c r="CR26" i="1"/>
  <c r="CR83" i="1"/>
  <c r="CP62" i="1"/>
  <c r="CR24" i="1"/>
  <c r="CR63" i="1"/>
  <c r="CP135" i="1"/>
  <c r="CM56" i="1"/>
  <c r="CP56" i="1"/>
  <c r="CO26" i="1"/>
  <c r="CO83" i="1"/>
  <c r="CN62" i="1"/>
  <c r="CO24" i="1"/>
  <c r="CO63" i="1"/>
  <c r="CN135" i="1"/>
  <c r="CJ56" i="1"/>
  <c r="CL26" i="1"/>
  <c r="CL83" i="1"/>
  <c r="CM62" i="1"/>
  <c r="CL24" i="1"/>
  <c r="CL63" i="1"/>
  <c r="CM135" i="1"/>
  <c r="CG56" i="1"/>
  <c r="CK26" i="1"/>
  <c r="CK83" i="1"/>
  <c r="CJ62" i="1"/>
  <c r="CK24" i="1"/>
  <c r="CK63" i="1"/>
  <c r="CJ135" i="1"/>
  <c r="CH60" i="1"/>
  <c r="CP60" i="1"/>
  <c r="CR56" i="1"/>
  <c r="CQ26" i="1"/>
  <c r="CP83" i="1"/>
  <c r="CG62" i="1"/>
  <c r="CM24" i="1"/>
  <c r="CQ63" i="1"/>
  <c r="CG135" i="1"/>
  <c r="CO56" i="1"/>
  <c r="CP26" i="1"/>
  <c r="CO135" i="1"/>
  <c r="CL56" i="1"/>
  <c r="CI26" i="1"/>
  <c r="CQ83" i="1"/>
  <c r="CL62" i="1"/>
  <c r="CH24" i="1"/>
  <c r="CJ63" i="1"/>
  <c r="CL135" i="1"/>
  <c r="CI40" i="1"/>
  <c r="CN40" i="1"/>
  <c r="CK56" i="1"/>
  <c r="CR144" i="1" l="1"/>
  <c r="CN144" i="1"/>
  <c r="CJ144" i="1"/>
  <c r="CH144" i="1"/>
  <c r="CM144" i="1"/>
  <c r="CL144" i="1"/>
  <c r="CQ144" i="1"/>
  <c r="CG144" i="1"/>
  <c r="CK144" i="1"/>
  <c r="CP144" i="1"/>
  <c r="CO144" i="1"/>
  <c r="CI144" i="1"/>
  <c r="BM144" i="1" l="1"/>
  <c r="BM146" i="1" s="1"/>
  <c r="AM144" i="1"/>
  <c r="AM146" i="1" s="1"/>
  <c r="L144" i="1"/>
  <c r="L146" i="1" s="1"/>
  <c r="AY144" i="1"/>
  <c r="AY146" i="1" s="1"/>
  <c r="BK144" i="1"/>
  <c r="BK146" i="1" s="1"/>
  <c r="AJ144" i="1"/>
  <c r="AJ146" i="1" s="1"/>
  <c r="AW144" i="1"/>
  <c r="AW146" i="1" s="1"/>
  <c r="BH144" i="1"/>
  <c r="BH146" i="1" s="1"/>
  <c r="AU144" i="1"/>
  <c r="AU146" i="1" s="1"/>
  <c r="AH144" i="1"/>
  <c r="AH146" i="1" s="1"/>
  <c r="AL144" i="1"/>
  <c r="AL146" i="1" s="1"/>
  <c r="BD144" i="1"/>
  <c r="BD146" i="1" s="1"/>
  <c r="BA144" i="1"/>
  <c r="BA146" i="1" s="1"/>
  <c r="BL144" i="1"/>
  <c r="BL146" i="1" s="1"/>
  <c r="AZ144" i="1"/>
  <c r="AZ146" i="1" s="1"/>
  <c r="J144" i="1"/>
  <c r="J146" i="1" s="1"/>
  <c r="H144" i="1"/>
  <c r="H146" i="1" s="1"/>
  <c r="G144" i="1"/>
  <c r="G146" i="1" s="1"/>
  <c r="BG144" i="1"/>
  <c r="BG146" i="1" s="1"/>
  <c r="AQ144" i="1"/>
  <c r="AQ146" i="1" s="1"/>
  <c r="AE144" i="1"/>
  <c r="AE146" i="1" s="1"/>
  <c r="F144" i="1"/>
  <c r="F146" i="1" s="1"/>
  <c r="BB144" i="1"/>
  <c r="BB146" i="1" s="1"/>
  <c r="BJ144" i="1"/>
  <c r="BJ146" i="1" s="1"/>
  <c r="AX144" i="1"/>
  <c r="AX146" i="1" s="1"/>
  <c r="AI144" i="1"/>
  <c r="AI146" i="1" s="1"/>
  <c r="I144" i="1"/>
  <c r="I146" i="1" s="1"/>
  <c r="AG144" i="1"/>
  <c r="AG146" i="1" s="1"/>
  <c r="BE144" i="1"/>
  <c r="BE146" i="1" s="1"/>
  <c r="AF144" i="1"/>
  <c r="AF146" i="1" s="1"/>
  <c r="BF144" i="1"/>
  <c r="BF146" i="1" s="1"/>
  <c r="AS144" i="1"/>
  <c r="AS146" i="1" s="1"/>
  <c r="O144" i="1"/>
  <c r="O146" i="1" s="1"/>
  <c r="BO144" i="1"/>
  <c r="BO146" i="1" s="1"/>
  <c r="AR144" i="1"/>
  <c r="AR146" i="1" s="1"/>
  <c r="N144" i="1"/>
  <c r="N146" i="1" s="1"/>
  <c r="K144" i="1"/>
  <c r="K146" i="1" s="1"/>
  <c r="AK144" i="1"/>
  <c r="AK146" i="1" s="1"/>
  <c r="BI144" i="1"/>
  <c r="BI146" i="1" s="1"/>
  <c r="AT144" i="1"/>
  <c r="AT146" i="1" s="1"/>
  <c r="AV144" i="1"/>
  <c r="AV146" i="1" s="1"/>
  <c r="E144" i="1"/>
  <c r="E146" i="1" s="1"/>
  <c r="BN144" i="1"/>
  <c r="BN146" i="1" s="1"/>
  <c r="AN144" i="1"/>
  <c r="AN146" i="1" s="1"/>
  <c r="M144" i="1"/>
  <c r="M146" i="1" s="1"/>
  <c r="AP144" i="1"/>
  <c r="AP146" i="1" s="1"/>
  <c r="BC144" i="1"/>
  <c r="BC146" i="1" s="1"/>
  <c r="AO144" i="1"/>
  <c r="AO146" i="1" s="1"/>
  <c r="V144" i="1"/>
  <c r="V146" i="1" s="1"/>
  <c r="Y144" i="1"/>
  <c r="Y146" i="1" s="1"/>
  <c r="W144" i="1"/>
  <c r="W146" i="1" s="1"/>
  <c r="S144" i="1"/>
  <c r="S146" i="1" s="1"/>
  <c r="X144" i="1"/>
  <c r="X146" i="1" s="1"/>
  <c r="R144" i="1"/>
  <c r="R146" i="1" s="1"/>
  <c r="Z144" i="1"/>
  <c r="Z146" i="1" s="1"/>
  <c r="U144" i="1"/>
  <c r="U146" i="1" s="1"/>
  <c r="T144" i="1"/>
  <c r="T146" i="1" s="1"/>
  <c r="AC144" i="1"/>
  <c r="AC146" i="1" s="1"/>
  <c r="Q144" i="1"/>
  <c r="Q146" i="1" s="1"/>
  <c r="AB144" i="1"/>
  <c r="AB146" i="1" s="1"/>
  <c r="P144" i="1"/>
  <c r="P146" i="1" s="1"/>
  <c r="AA144" i="1"/>
  <c r="AA146" i="1" s="1"/>
  <c r="AD144" i="1"/>
  <c r="AD146" i="1" s="1"/>
</calcChain>
</file>

<file path=xl/sharedStrings.xml><?xml version="1.0" encoding="utf-8"?>
<sst xmlns="http://schemas.openxmlformats.org/spreadsheetml/2006/main" count="711" uniqueCount="321">
  <si>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</si>
  <si>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</si>
  <si>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</si>
  <si>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</si>
  <si>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</si>
  <si>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</si>
  <si>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</si>
  <si>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</si>
  <si>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</si>
  <si>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</si>
  <si>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</si>
  <si>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</si>
  <si>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</si>
  <si>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</si>
  <si>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</si>
  <si>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</si>
  <si>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</si>
  <si>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</si>
  <si>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</si>
  <si>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</si>
  <si>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</si>
  <si>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</si>
  <si>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</si>
  <si>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</si>
  <si>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</si>
  <si>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</si>
  <si>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</si>
  <si>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</si>
  <si>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</si>
  <si>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</si>
  <si>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</si>
  <si>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</si>
  <si>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</si>
  <si>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</si>
  <si>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</si>
  <si>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</si>
  <si>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</si>
  <si>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</si>
  <si>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</si>
  <si>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</si>
  <si>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</si>
  <si>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</si>
  <si>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</si>
  <si>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</si>
  <si>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</si>
  <si>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</si>
  <si>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</si>
  <si>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</si>
  <si>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</si>
  <si>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</si>
  <si>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</si>
  <si>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</si>
  <si>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</si>
  <si>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</si>
  <si>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</si>
  <si>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</si>
  <si>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</si>
  <si>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</si>
  <si>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</si>
  <si>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</si>
  <si>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</si>
  <si>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</si>
  <si>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</si>
  <si>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</si>
  <si>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</si>
  <si>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</si>
  <si>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</si>
  <si>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</si>
  <si>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</si>
  <si>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</si>
  <si>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</si>
  <si>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</si>
  <si>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</si>
  <si>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</si>
  <si>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</si>
  <si>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</si>
  <si>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</si>
  <si>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</si>
  <si>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</si>
  <si>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</si>
  <si>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</si>
  <si>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</si>
  <si>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</si>
  <si>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</si>
  <si>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</si>
  <si>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</si>
  <si>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</si>
  <si>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</si>
  <si>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</si>
  <si>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</si>
  <si>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</si>
  <si>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</si>
  <si>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</si>
  <si>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</si>
  <si>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</si>
  <si>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</si>
  <si>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</si>
  <si>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</si>
  <si>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</si>
  <si>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</si>
  <si>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</si>
  <si>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</si>
  <si>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</si>
  <si>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</si>
  <si>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</si>
  <si>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</si>
  <si>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碧水独角兽</t>
    <phoneticPr fontId="1" type="noConversion"/>
  </si>
  <si>
    <t>囚牛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</si>
  <si>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</si>
  <si>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</si>
  <si>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</si>
  <si>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</si>
  <si>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</si>
  <si>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</si>
  <si>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</si>
  <si>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</si>
  <si>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</si>
  <si>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</si>
  <si>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</si>
  <si>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</si>
  <si>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</si>
  <si>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</si>
  <si>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</si>
  <si>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</si>
  <si>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</si>
  <si>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火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</si>
  <si>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</si>
  <si>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</si>
  <si>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</si>
  <si>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</si>
  <si>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</si>
  <si>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</si>
  <si>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</si>
  <si>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</si>
  <si>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</si>
  <si>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</si>
  <si>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</si>
  <si>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</si>
  <si>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</si>
  <si>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</si>
  <si>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</si>
  <si>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</si>
  <si>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</si>
  <si>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</si>
  <si>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</si>
  <si>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</si>
  <si>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</si>
  <si>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</si>
  <si>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</si>
  <si>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</si>
  <si>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</si>
  <si>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</si>
  <si>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</si>
  <si>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</si>
  <si>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</si>
  <si>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</si>
  <si>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</si>
  <si>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</si>
  <si>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</si>
  <si>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</si>
  <si>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</si>
  <si>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</si>
  <si>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</si>
  <si>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</si>
  <si>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</si>
  <si>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成年</t>
    <phoneticPr fontId="1" type="noConversion"/>
  </si>
  <si>
    <t>敖钦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</si>
  <si>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</si>
  <si>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</si>
  <si>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</si>
  <si>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</si>
  <si>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</si>
  <si>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新兵盖尔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</si>
  <si>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</si>
  <si>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</si>
  <si>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</si>
  <si>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</si>
  <si>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小穗儿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</si>
  <si>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</si>
  <si>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</si>
  <si>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</si>
  <si>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</si>
  <si>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</si>
  <si>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</si>
  <si>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</si>
  <si>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</si>
  <si>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</si>
  <si>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</si>
  <si>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</si>
  <si>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</si>
  <si>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</si>
  <si>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</si>
  <si>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</si>
  <si>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</si>
  <si>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白鹿</t>
    <phoneticPr fontId="1" type="noConversion"/>
  </si>
  <si>
    <t>墓烛幽儿</t>
    <phoneticPr fontId="1" type="noConversion"/>
  </si>
  <si>
    <t>囚仔</t>
    <phoneticPr fontId="1" type="noConversion"/>
  </si>
  <si>
    <t>望仔</t>
    <phoneticPr fontId="1" type="noConversion"/>
  </si>
  <si>
    <t>瘾者</t>
    <phoneticPr fontId="1" type="noConversion"/>
  </si>
  <si>
    <t>葫芦侠</t>
    <phoneticPr fontId="1" type="noConversion"/>
  </si>
  <si>
    <t>葫芦侠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</si>
  <si>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</si>
  <si>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</si>
  <si>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</si>
  <si>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小诸葛</t>
  </si>
  <si>
    <t>星道士</t>
    <phoneticPr fontId="1" type="noConversion"/>
  </si>
  <si>
    <t>光</t>
    <phoneticPr fontId="1" type="noConversion"/>
  </si>
  <si>
    <t>成年</t>
    <phoneticPr fontId="1" type="noConversion"/>
  </si>
  <si>
    <t>糯米(2),</t>
    <phoneticPr fontId="1" type="noConversion"/>
  </si>
  <si>
    <t>太一之轮(3),</t>
    <phoneticPr fontId="1" type="noConversion"/>
  </si>
  <si>
    <t>螃蟹(5),</t>
    <phoneticPr fontId="1" type="noConversion"/>
  </si>
  <si>
    <t>仙丹(5),</t>
    <phoneticPr fontId="1" type="noConversion"/>
  </si>
  <si>
    <t>桂花酒(5),</t>
    <phoneticPr fontId="1" type="noConversion"/>
  </si>
  <si>
    <t>彗星(5),</t>
    <phoneticPr fontId="1" type="noConversion"/>
  </si>
  <si>
    <t>炼妖壶(4),_x000D_
仙丹(5),</t>
    <phoneticPr fontId="1" type="noConversion"/>
  </si>
  <si>
    <t>秘窟冰晶卵(6),</t>
    <phoneticPr fontId="1" type="noConversion"/>
  </si>
  <si>
    <t>龙灵不朽藤(8),</t>
    <phoneticPr fontId="1" type="noConversion"/>
  </si>
  <si>
    <t>金甲虫(45),</t>
    <phoneticPr fontId="1" type="noConversion"/>
  </si>
  <si>
    <t>金甲虫(195),</t>
    <phoneticPr fontId="1" type="noConversion"/>
  </si>
  <si>
    <t>糯米(5),_x000D_
粽叶(1),</t>
    <phoneticPr fontId="1" type="noConversion"/>
  </si>
  <si>
    <t>欠条中(4),_x000D_
筹码中(4),</t>
    <phoneticPr fontId="1" type="noConversion"/>
  </si>
  <si>
    <t>神农鼎(10),_x000D_
六方天运骰(3),</t>
    <phoneticPr fontId="1" type="noConversion"/>
  </si>
  <si>
    <t>金甲虫(10),_x000D_
魅力符文叉大(15),</t>
    <phoneticPr fontId="1" type="noConversion"/>
  </si>
  <si>
    <t>钱袋大(2),_x000D_
筹码大(1),_x000D_
庄家令牌中(3),</t>
    <phoneticPr fontId="1" type="noConversion"/>
  </si>
  <si>
    <t>欠条中(4),_x000D_
筹码中(4),_x000D_
筹码大(1),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</si>
  <si>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</si>
  <si>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</si>
  <si>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女娲石(6),_x000D_
神农鼎(6),_x000D_
龙灵不朽藤(8),</t>
    <phoneticPr fontId="1" type="noConversion"/>
  </si>
  <si>
    <t>钱袋大(10),_x000D_
筹码大(9),_x000D_
秘窟冰晶卵(1),</t>
    <phoneticPr fontId="1" type="noConversion"/>
  </si>
  <si>
    <t>糯米(10),_x000D_
粽叶(10),_x000D_
龙灵不朽藤(3),</t>
    <phoneticPr fontId="1" type="noConversion"/>
  </si>
  <si>
    <t>女娲石(15),_x000D_
神农鼎(15),_x000D_
龙灵不朽藤(13),</t>
    <phoneticPr fontId="1" type="noConversion"/>
  </si>
  <si>
    <t>欠条中(4),_x000D_
骰子小(8),_x000D_
筹码中(4),_x000D_
庄家令牌小(2),</t>
    <phoneticPr fontId="1" type="noConversion"/>
  </si>
  <si>
    <t>神农鼎(7),_x000D_
欠条中(6),_x000D_
钱袋中(2),_x000D_
筹码大(6),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</si>
  <si>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</si>
  <si>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</si>
  <si>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</si>
  <si>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</si>
  <si>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神农鼎(10),_x000D_
欠条大(8),_x000D_
钱袋大(10),_x000D_
月冕霓晴符(4),</t>
    <phoneticPr fontId="1" type="noConversion"/>
  </si>
  <si>
    <t>欠条小(8),_x000D_
钱袋小(9),_x000D_
骰子小(8),_x000D_
筹码小(10),</t>
    <phoneticPr fontId="1" type="noConversion"/>
  </si>
  <si>
    <t>超进阶素材土(37),_x000D_
超进阶素材木(37),_x000D_
超进阶素材光(50),_x000D_
超进阶素材暗(50),</t>
    <phoneticPr fontId="1" type="noConversion"/>
  </si>
  <si>
    <t>超进阶素材水(25),_x000D_
超进阶素材火(50),_x000D_
超进阶素材光(50),_x000D_
超进阶素材暗(50),</t>
    <phoneticPr fontId="1" type="noConversion"/>
  </si>
  <si>
    <t>乹毷</t>
    <phoneticPr fontId="1" type="noConversion"/>
  </si>
  <si>
    <t>新兵尼禄</t>
    <phoneticPr fontId="1" type="noConversion"/>
  </si>
  <si>
    <t>女娲石(2),</t>
    <phoneticPr fontId="1" type="noConversion"/>
  </si>
  <si>
    <t>轩辕剑(4),_x000D_
龙灵不朽藤(3),</t>
    <phoneticPr fontId="1" type="noConversion"/>
  </si>
  <si>
    <t>太一之轮(3),</t>
    <phoneticPr fontId="1" type="noConversion"/>
  </si>
  <si>
    <t>炼妖壶(4),</t>
    <phoneticPr fontId="1" type="noConversion"/>
  </si>
  <si>
    <t>炼妖壶(4),</t>
    <phoneticPr fontId="1" type="noConversion"/>
  </si>
  <si>
    <t>愚山乾坤石(9),</t>
    <phoneticPr fontId="1" type="noConversion"/>
  </si>
  <si>
    <t>愚山乾坤石(9),</t>
    <phoneticPr fontId="1" type="noConversion"/>
  </si>
  <si>
    <t>崆峒印(3),</t>
    <phoneticPr fontId="1" type="noConversion"/>
  </si>
  <si>
    <t>神农鼎(5),</t>
    <phoneticPr fontId="1" type="noConversion"/>
  </si>
  <si>
    <t>仙丹(5),</t>
    <phoneticPr fontId="1" type="noConversion"/>
  </si>
  <si>
    <t>桂花(5),</t>
    <phoneticPr fontId="1" type="noConversion"/>
  </si>
  <si>
    <t>彗星(5),</t>
    <phoneticPr fontId="1" type="noConversion"/>
  </si>
  <si>
    <t>东皇钟(18),_x000D_
盘古斧(6),_x000D_
昊天塔(3),</t>
    <phoneticPr fontId="1" type="noConversion"/>
  </si>
  <si>
    <t>金钗(8),</t>
    <phoneticPr fontId="1" type="noConversion"/>
  </si>
  <si>
    <t>幸运符文叉大(7),</t>
    <phoneticPr fontId="1" type="noConversion"/>
  </si>
  <si>
    <t>幸运符文叉大(7),</t>
    <phoneticPr fontId="1" type="noConversion"/>
  </si>
  <si>
    <t>彗星(15),</t>
    <phoneticPr fontId="1" type="noConversion"/>
  </si>
  <si>
    <t>太一之轮(4),_x000D_
秘窟冰晶卵(1),</t>
    <phoneticPr fontId="1" type="noConversion"/>
  </si>
  <si>
    <t>炼妖壶(5),_x000D_
秘窟冰晶卵(1),</t>
    <phoneticPr fontId="1" type="noConversion"/>
  </si>
  <si>
    <t>炼妖壶(5),</t>
    <phoneticPr fontId="1" type="noConversion"/>
  </si>
  <si>
    <t>神农鼎(6),_x000D_
六方天运骰(1),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</si>
  <si>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</si>
  <si>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</si>
  <si>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神农鼎(6),</t>
    <phoneticPr fontId="1" type="noConversion"/>
  </si>
  <si>
    <t>神农鼎(6),_x000D_
月冕霓晴符(2),</t>
    <phoneticPr fontId="1" type="noConversion"/>
  </si>
  <si>
    <t>东皇钟(4),_x000D_
神农鼎(6),_x000D_
愚山乾坤石(9),</t>
    <phoneticPr fontId="1" type="noConversion"/>
  </si>
  <si>
    <t>桂花(5),_x000D_
桂花酒(5),</t>
    <phoneticPr fontId="1" type="noConversion"/>
  </si>
  <si>
    <t>东皇钟(4),_x000D_
炼妖壶(5),_x000D_
龙灵不朽藤(8),</t>
    <phoneticPr fontId="1" type="noConversion"/>
  </si>
  <si>
    <t>东皇钟(8),_x000D_
炼妖壶(9),_x000D_
愚山乾坤石(9),</t>
    <phoneticPr fontId="1" type="noConversion"/>
  </si>
  <si>
    <t>六方天运骰(3),_x000D_
魅力符文叉大(10),</t>
    <phoneticPr fontId="1" type="noConversion"/>
  </si>
  <si>
    <t>太一之轮(4),_x000D_
幸运符文叉大(7),</t>
    <phoneticPr fontId="1" type="noConversion"/>
  </si>
  <si>
    <t>东皇钟(8),_x000D_
女娲石(10),_x000D_
愚山乾坤石(9),</t>
    <phoneticPr fontId="1" type="noConversion"/>
  </si>
  <si>
    <t>东皇钟(8),_x000D_
女娲石(10),_x000D_
愚山乾坤石(9),</t>
    <phoneticPr fontId="1" type="noConversion"/>
  </si>
  <si>
    <t>六方天运骰(13),_x000D_
力量符文叉大(1),</t>
    <phoneticPr fontId="1" type="noConversion"/>
  </si>
  <si>
    <t>太一之轮(13),_x000D_
幸运符文叉大(12),</t>
    <phoneticPr fontId="1" type="noConversion"/>
  </si>
  <si>
    <t>太一之轮(18),_x000D_
幸运符文叉大(17),</t>
    <phoneticPr fontId="1" type="noConversion"/>
  </si>
  <si>
    <t>神农鼎(6),_x000D_
轩辕剑(6),_x000D_
秘窟冰晶卵(1),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</si>
  <si>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</si>
  <si>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</si>
  <si>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</si>
  <si>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炼妖壶(5),_x000D_
太一之轮(4),_x000D_
六方天运骰(3),</t>
    <phoneticPr fontId="1" type="noConversion"/>
  </si>
  <si>
    <t>欠条中(6),_x000D_
欠条大(5),_x000D_
钱袋中(2),</t>
    <phoneticPr fontId="1" type="noConversion"/>
  </si>
  <si>
    <t>女娲石(5),_x000D_
神农鼎(5),_x000D_
幸运符文叉大(2),</t>
    <phoneticPr fontId="1" type="noConversion"/>
  </si>
  <si>
    <t>女娲石(6),_x000D_
神农鼎(6),</t>
    <phoneticPr fontId="1" type="noConversion"/>
  </si>
  <si>
    <t>欠条大(8),_x000D_
骰子大(4),_x000D_
六方天运骰(3),</t>
    <phoneticPr fontId="1" type="noConversion"/>
  </si>
  <si>
    <t>东皇钟(4),_x000D_
崆峒印(4),_x000D_
秘窟冰晶卵(1),_x000D_
魅力符文叉大(10),</t>
    <phoneticPr fontId="1" type="noConversion"/>
  </si>
  <si>
    <t>太一之轮(4),_x000D_
六方天运骰(3),_x000D_
幸运符文叉大(7),</t>
    <phoneticPr fontId="1" type="noConversion"/>
  </si>
  <si>
    <t>崆峒印(4),_x000D_
幸运符文叉大(7),</t>
    <phoneticPr fontId="1" type="noConversion"/>
  </si>
  <si>
    <t>太一之轮(3),_x000D_
糯米(5),_x000D_
粽叶(10),</t>
    <phoneticPr fontId="1" type="noConversion"/>
  </si>
  <si>
    <t>钱袋大(10),_x000D_
筹码大(9),_x000D_
秘窟冰晶卵(1),</t>
    <phoneticPr fontId="1" type="noConversion"/>
  </si>
  <si>
    <t>东皇钟(8),_x000D_
欠条大(8),_x000D_
钱袋大(10),_x000D_
月冕霓晴符(4),</t>
    <phoneticPr fontId="1" type="noConversion"/>
  </si>
  <si>
    <t>东皇钟(8),_x000D_
欠条大(8),_x000D_
钱袋大(10),_x000D_
月冕霓晴符(4),</t>
    <phoneticPr fontId="1" type="noConversion"/>
  </si>
  <si>
    <t>东皇钟(8),_x000D_
欠条大(8),_x000D_
钱袋大(10),_x000D_
月冕霓晴符(4),</t>
    <phoneticPr fontId="1" type="noConversion"/>
  </si>
  <si>
    <t>崆峒印(8),_x000D_
智慧符文叉大(2),_x000D_
魅力符文叉大(15),</t>
    <phoneticPr fontId="1" type="noConversion"/>
  </si>
  <si>
    <t>东皇钟(13),_x000D_
女娲石(15),_x000D_
愚山乾坤石(14),</t>
    <phoneticPr fontId="1" type="noConversion"/>
  </si>
  <si>
    <t>东皇钟(13),_x000D_
女娲石(15),_x000D_
愚山乾坤石(14),</t>
    <phoneticPr fontId="1" type="noConversion"/>
  </si>
  <si>
    <t>东皇钟(13),_x000D_
崆峒印(13),_x000D_
幸运符文叉大(12),</t>
    <phoneticPr fontId="1" type="noConversion"/>
  </si>
  <si>
    <t>炼妖壶(19),_x000D_
轩辕剑(20),_x000D_
伏羲琴(7),</t>
    <phoneticPr fontId="1" type="noConversion"/>
  </si>
  <si>
    <t>女娲石(15),_x000D_
神农鼎(15),_x000D_
龙灵不朽藤(13),</t>
    <phoneticPr fontId="1" type="noConversion"/>
  </si>
  <si>
    <t>女娲石(15),_x000D_
神农鼎(15),_x000D_
幸运符文叉大(12),</t>
    <phoneticPr fontId="1" type="noConversion"/>
  </si>
  <si>
    <t>女娲石(15),_x000D_
神农鼎(15),_x000D_
幸运符文叉大(12),</t>
    <phoneticPr fontId="1" type="noConversion"/>
  </si>
  <si>
    <t>女娲石(20),_x000D_
神农鼎(20),_x000D_
幸运符文叉大(17),</t>
    <phoneticPr fontId="1" type="noConversion"/>
  </si>
  <si>
    <t>赤焰十字星(30),_x000D_
力量符文叉大(21),_x000D_
逆鳞(10),</t>
    <phoneticPr fontId="1" type="noConversion"/>
  </si>
  <si>
    <t>女娲石(5),_x000D_
骰子小(3),_x000D_
筹码小(5),_x000D_
庄家令牌中(3),</t>
    <phoneticPr fontId="1" type="noConversion"/>
  </si>
  <si>
    <t>欠条小(8),_x000D_
钱袋小(9),_x000D_
骰子中(3),_x000D_
庄家令牌小(2),</t>
    <phoneticPr fontId="1" type="noConversion"/>
  </si>
  <si>
    <t>女娲石(10),_x000D_
骰子大(4),_x000D_
庄家令牌大(6),</t>
    <phoneticPr fontId="1" type="noConversion"/>
  </si>
  <si>
    <t>女娲石(10),_x000D_
骰子大(4),_x000D_
庄家令牌大(6),</t>
    <phoneticPr fontId="1" type="noConversion"/>
  </si>
  <si>
    <t>骰子小(8),_x000D_
筹码小(10),_x000D_
庄家令牌小(2),_x000D_
庄家令牌中(3),</t>
    <phoneticPr fontId="1" type="noConversion"/>
  </si>
  <si>
    <t>欠条中(4),_x000D_
骰子小(8),_x000D_
筹码小(10),_x000D_
庄家令牌小(2),</t>
    <phoneticPr fontId="1" type="noConversion"/>
  </si>
  <si>
    <t>神农鼎(10),_x000D_
欠条大(8),_x000D_
骰子大(4),_x000D_
愚山乾坤石(9),</t>
    <phoneticPr fontId="1" type="noConversion"/>
  </si>
  <si>
    <t>太一之轮(8),_x000D_
欠条大(8),_x000D_
骰子大(4),_x000D_
龙灵不朽藤(8),</t>
    <phoneticPr fontId="1" type="noConversion"/>
  </si>
  <si>
    <t>欠条小(8),_x000D_
钱袋小(9),_x000D_
骰子小(8),_x000D_
筹码小(10),</t>
    <phoneticPr fontId="1" type="noConversion"/>
  </si>
  <si>
    <t>女娲石(10),_x000D_
彗星(25),_x000D_
魅力符文叉大(10),</t>
    <phoneticPr fontId="1" type="noConversion"/>
  </si>
  <si>
    <t>东皇钟(8),_x000D_
女娲石(10),_x000D_
六方天运骰(8),_x000D_
魅力符文叉大(15),_x000D_
幸运符文叉大(12),</t>
    <phoneticPr fontId="1" type="noConversion"/>
  </si>
  <si>
    <t>炼妖壶(14),_x000D_
神农鼎(15),_x000D_
赤焰十字星(5),_x000D_
幸运符文叉大(12),</t>
    <phoneticPr fontId="1" type="noConversion"/>
  </si>
  <si>
    <t>超进阶素材土(37),_x000D_
超进阶素材木(37),_x000D_
超进阶素材光(50),_x000D_
超进阶素材暗(50),</t>
    <phoneticPr fontId="1" type="noConversion"/>
  </si>
  <si>
    <t>超进阶素材水(25),_x000D_
超进阶素材火(50),_x000D_
超进阶素材光(50),_x000D_
超进阶素材暗(50),</t>
    <phoneticPr fontId="1" type="noConversion"/>
  </si>
  <si>
    <t>秘窟冰晶卵(1),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</si>
</sst>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0" fillId="0" borderId="0" xfId="0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148</xdr:row>
          <xdr:rowOff>28575</xdr:rowOff>
        </xdr:from>
        <xdr:to>
          <xdr:col>1</xdr:col>
          <xdr:colOff>428625</xdr:colOff>
          <xdr:row>149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46"/>
  <sheetViews>
    <sheetView tabSelected="1" workbookViewId="0">
      <pane xSplit="2" ySplit="1" topLeftCell="BM5" activePane="bottomRight" state="frozen"/>
      <selection pane="topRight" activeCell="C1" sqref="C1"/>
      <selection pane="bottomLeft" activeCell="A3" sqref="A3"/>
      <selection pane="bottomRight" activeCell="BS10" sqref="BS10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89</v>
      </c>
      <c r="B1" s="8" t="s">
        <v>90</v>
      </c>
      <c r="C1" s="8" t="s">
        <v>92</v>
      </c>
      <c r="D1" s="8" t="s">
        <v>91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28</v>
      </c>
      <c r="J1" s="9" t="s">
        <v>86</v>
      </c>
      <c r="K1" s="9" t="s">
        <v>29</v>
      </c>
      <c r="L1" s="9" t="s">
        <v>52</v>
      </c>
      <c r="M1" s="9" t="s">
        <v>57</v>
      </c>
      <c r="N1" s="9" t="s">
        <v>62</v>
      </c>
      <c r="O1" s="9" t="s">
        <v>56</v>
      </c>
      <c r="P1" s="31" t="s">
        <v>132</v>
      </c>
      <c r="Q1" s="31" t="s">
        <v>144</v>
      </c>
      <c r="R1" s="31" t="s">
        <v>138</v>
      </c>
      <c r="S1" s="31" t="s">
        <v>133</v>
      </c>
      <c r="T1" s="31" t="s">
        <v>142</v>
      </c>
      <c r="U1" s="31" t="s">
        <v>148</v>
      </c>
      <c r="V1" s="31" t="s">
        <v>134</v>
      </c>
      <c r="W1" s="31" t="s">
        <v>141</v>
      </c>
      <c r="X1" s="31" t="s">
        <v>139</v>
      </c>
      <c r="Y1" s="31" t="s">
        <v>135</v>
      </c>
      <c r="Z1" s="31" t="s">
        <v>143</v>
      </c>
      <c r="AA1" s="31" t="s">
        <v>150</v>
      </c>
      <c r="AB1" s="31" t="s">
        <v>137</v>
      </c>
      <c r="AC1" s="31" t="s">
        <v>136</v>
      </c>
      <c r="AD1" s="31" t="s">
        <v>161</v>
      </c>
      <c r="AE1" s="8" t="s">
        <v>10</v>
      </c>
      <c r="AF1" s="8" t="s">
        <v>35</v>
      </c>
      <c r="AG1" s="8" t="s">
        <v>36</v>
      </c>
      <c r="AH1" s="8" t="s">
        <v>76</v>
      </c>
      <c r="AI1" s="8" t="s">
        <v>77</v>
      </c>
      <c r="AJ1" s="8" t="s">
        <v>79</v>
      </c>
      <c r="AK1" s="8" t="s">
        <v>80</v>
      </c>
      <c r="AL1" s="8" t="s">
        <v>82</v>
      </c>
      <c r="AM1" s="8" t="s">
        <v>63</v>
      </c>
      <c r="AN1" s="8" t="s">
        <v>65</v>
      </c>
      <c r="AO1" s="8" t="s">
        <v>119</v>
      </c>
      <c r="AP1" s="8" t="s">
        <v>120</v>
      </c>
      <c r="AQ1" s="10" t="s">
        <v>49</v>
      </c>
      <c r="AR1" s="10" t="s">
        <v>5</v>
      </c>
      <c r="AS1" s="10" t="s">
        <v>33</v>
      </c>
      <c r="AT1" s="10" t="s">
        <v>68</v>
      </c>
      <c r="AU1" s="10" t="s">
        <v>74</v>
      </c>
      <c r="AV1" s="10" t="s">
        <v>61</v>
      </c>
      <c r="AW1" s="11" t="s">
        <v>6</v>
      </c>
      <c r="AX1" s="11" t="s">
        <v>7</v>
      </c>
      <c r="AY1" s="11" t="s">
        <v>50</v>
      </c>
      <c r="AZ1" s="11" t="s">
        <v>9</v>
      </c>
      <c r="BA1" s="11" t="s">
        <v>60</v>
      </c>
      <c r="BB1" s="11" t="s">
        <v>14</v>
      </c>
      <c r="BC1" s="29" t="s">
        <v>116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40</v>
      </c>
      <c r="BK1" s="8" t="s">
        <v>41</v>
      </c>
      <c r="BL1" s="8" t="s">
        <v>42</v>
      </c>
      <c r="BM1" s="8" t="s">
        <v>43</v>
      </c>
      <c r="BN1" s="8" t="s">
        <v>44</v>
      </c>
      <c r="BO1" s="8" t="s">
        <v>45</v>
      </c>
      <c r="BP1" s="12" t="s">
        <v>97</v>
      </c>
      <c r="BQ1" s="8" t="s">
        <v>98</v>
      </c>
      <c r="BR1" s="16" t="s">
        <v>99</v>
      </c>
      <c r="BS1" s="16"/>
      <c r="BT1" s="10" t="s">
        <v>49</v>
      </c>
      <c r="BU1" s="10" t="s">
        <v>5</v>
      </c>
      <c r="BV1" s="10" t="s">
        <v>33</v>
      </c>
      <c r="BW1" s="10" t="s">
        <v>68</v>
      </c>
      <c r="BX1" s="10" t="s">
        <v>74</v>
      </c>
      <c r="BY1" s="10" t="s">
        <v>61</v>
      </c>
      <c r="BZ1" s="11" t="s">
        <v>6</v>
      </c>
      <c r="CA1" s="11" t="s">
        <v>7</v>
      </c>
      <c r="CB1" s="11" t="s">
        <v>50</v>
      </c>
      <c r="CC1" s="11" t="s">
        <v>9</v>
      </c>
      <c r="CD1" s="11" t="s">
        <v>60</v>
      </c>
      <c r="CE1" s="11" t="s">
        <v>14</v>
      </c>
      <c r="CF1" s="8"/>
      <c r="CG1" s="10" t="s">
        <v>49</v>
      </c>
      <c r="CH1" s="10" t="s">
        <v>5</v>
      </c>
      <c r="CI1" s="10" t="s">
        <v>33</v>
      </c>
      <c r="CJ1" s="10" t="s">
        <v>68</v>
      </c>
      <c r="CK1" s="10" t="s">
        <v>74</v>
      </c>
      <c r="CL1" s="10" t="s">
        <v>61</v>
      </c>
      <c r="CM1" s="11" t="s">
        <v>6</v>
      </c>
      <c r="CN1" s="11" t="s">
        <v>7</v>
      </c>
      <c r="CO1" s="11" t="s">
        <v>50</v>
      </c>
      <c r="CP1" s="11" t="s">
        <v>9</v>
      </c>
      <c r="CQ1" s="11" t="s">
        <v>60</v>
      </c>
      <c r="CR1" s="11" t="s">
        <v>14</v>
      </c>
      <c r="CS1" s="2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IF(AQ2&gt;AQ$145, AQ2-AQ$145,"")</f>
        <v/>
      </c>
      <c r="BU2" s="1" t="str">
        <f>IF(AR2&gt;AR$145, AR2-AR$145,"")</f>
        <v/>
      </c>
      <c r="BV2" s="1" t="str">
        <f>IF(AS2&gt;AS$145, AS2-AS$145,"")</f>
        <v/>
      </c>
      <c r="BW2" s="1" t="str">
        <f>IF(AT2&gt;AT$145, AT2-AT$145,"")</f>
        <v/>
      </c>
      <c r="BX2" s="1" t="str">
        <f>IF(AU2&gt;AU$145, AU2-AU$145,"")</f>
        <v/>
      </c>
      <c r="BY2" s="1" t="str">
        <f>IF(AV2&gt;AV$145, AV2-AV$145,"")</f>
        <v/>
      </c>
      <c r="BZ2" s="1" t="str">
        <f>IF(AW2&gt;AW$145, AW2-AW$145,"")</f>
        <v/>
      </c>
      <c r="CA2" s="1" t="str">
        <f>IF(AX2&gt;AX$145, AX2-AX$145,"")</f>
        <v/>
      </c>
      <c r="CB2" s="1" t="str">
        <f>IF(AY2&gt;AY$145, AY2-AY$145,"")</f>
        <v/>
      </c>
      <c r="CC2" s="1" t="str">
        <f>IF(AZ2&gt;AZ$145, AZ2-AZ$145,"")</f>
        <v/>
      </c>
      <c r="CD2" s="1" t="str">
        <f>IF(BA2&gt;BA$145, BA2-BA$145,"")</f>
        <v/>
      </c>
      <c r="CE2" s="1" t="str">
        <f>IF(BB2&gt;BB$145, BB2-BB$145,"")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18">
        <f>SUM(AE2:BO2)</f>
        <v>80</v>
      </c>
    </row>
    <row r="3" spans="1:97" x14ac:dyDescent="0.15">
      <c r="A3" s="1">
        <v>15</v>
      </c>
      <c r="B3" s="1" t="s">
        <v>30</v>
      </c>
      <c r="C3" s="1" t="s">
        <v>31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IF(AQ3&gt;AQ$145, AQ3-AQ$145,"")</f>
        <v/>
      </c>
      <c r="BU3" s="1" t="str">
        <f>IF(AR3&gt;AR$145, AR3-AR$145,"")</f>
        <v/>
      </c>
      <c r="BV3" s="1" t="str">
        <f>IF(AS3&gt;AS$145, AS3-AS$145,"")</f>
        <v/>
      </c>
      <c r="BW3" s="1" t="str">
        <f>IF(AT3&gt;AT$145, AT3-AT$145,"")</f>
        <v/>
      </c>
      <c r="BX3" s="1" t="str">
        <f>IF(AU3&gt;AU$145, AU3-AU$145,"")</f>
        <v/>
      </c>
      <c r="BY3" s="1" t="str">
        <f>IF(AV3&gt;AV$145, AV3-AV$145,"")</f>
        <v/>
      </c>
      <c r="BZ3" s="1" t="str">
        <f>IF(AW3&gt;AW$145, AW3-AW$145,"")</f>
        <v/>
      </c>
      <c r="CA3" s="1" t="str">
        <f>IF(AX3&gt;AX$145, AX3-AX$145,"")</f>
        <v/>
      </c>
      <c r="CB3" s="1" t="str">
        <f>IF(AY3&gt;AY$145, AY3-AY$145,"")</f>
        <v/>
      </c>
      <c r="CC3" s="1" t="str">
        <f>IF(AZ3&gt;AZ$145, AZ3-AZ$145,"")</f>
        <v/>
      </c>
      <c r="CD3" s="1" t="str">
        <f>IF(BA3&gt;BA$145, BA3-BA$145,"")</f>
        <v/>
      </c>
      <c r="CE3" s="1" t="str">
        <f>IF(BB3&gt;BB$145, BB3-BB$145,"")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18">
        <f>SUM(AE3:BO3)</f>
        <v>80</v>
      </c>
    </row>
    <row r="4" spans="1:97" x14ac:dyDescent="0.15">
      <c r="A4" s="1">
        <v>35</v>
      </c>
      <c r="B4" s="1" t="s">
        <v>47</v>
      </c>
      <c r="C4" s="1" t="s">
        <v>48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IF(AQ4&gt;AQ$145, AQ4-AQ$145,"")</f>
        <v/>
      </c>
      <c r="BU4" s="1" t="str">
        <f>IF(AR4&gt;AR$145, AR4-AR$145,"")</f>
        <v/>
      </c>
      <c r="BV4" s="1" t="str">
        <f>IF(AS4&gt;AS$145, AS4-AS$145,"")</f>
        <v/>
      </c>
      <c r="BW4" s="1" t="str">
        <f>IF(AT4&gt;AT$145, AT4-AT$145,"")</f>
        <v/>
      </c>
      <c r="BX4" s="1" t="str">
        <f>IF(AU4&gt;AU$145, AU4-AU$145,"")</f>
        <v/>
      </c>
      <c r="BY4" s="1" t="str">
        <f>IF(AV4&gt;AV$145, AV4-AV$145,"")</f>
        <v/>
      </c>
      <c r="BZ4" s="1" t="str">
        <f>IF(AW4&gt;AW$145, AW4-AW$145,"")</f>
        <v/>
      </c>
      <c r="CA4" s="1" t="str">
        <f>IF(AX4&gt;AX$145, AX4-AX$145,"")</f>
        <v/>
      </c>
      <c r="CB4" s="1" t="str">
        <f>IF(AY4&gt;AY$145, AY4-AY$145,"")</f>
        <v/>
      </c>
      <c r="CC4" s="1" t="str">
        <f>IF(AZ4&gt;AZ$145, AZ4-AZ$145,"")</f>
        <v/>
      </c>
      <c r="CD4" s="1" t="str">
        <f>IF(BA4&gt;BA$145, BA4-BA$145,"")</f>
        <v/>
      </c>
      <c r="CE4" s="1" t="str">
        <f>IF(BB4&gt;BB$145, BB4-BB$145,"")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18">
        <f>SUM(AE4:BO4)</f>
        <v>80</v>
      </c>
    </row>
    <row r="5" spans="1:97" x14ac:dyDescent="0.15">
      <c r="A5" s="1">
        <v>55</v>
      </c>
      <c r="B5" s="1" t="s">
        <v>58</v>
      </c>
      <c r="C5" s="1" t="s">
        <v>59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IF(AQ5&gt;AQ$145, AQ5-AQ$145,"")</f>
        <v/>
      </c>
      <c r="BU5" s="1" t="str">
        <f>IF(AR5&gt;AR$145, AR5-AR$145,"")</f>
        <v/>
      </c>
      <c r="BV5" s="1" t="str">
        <f>IF(AS5&gt;AS$145, AS5-AS$145,"")</f>
        <v/>
      </c>
      <c r="BW5" s="1" t="str">
        <f>IF(AT5&gt;AT$145, AT5-AT$145,"")</f>
        <v/>
      </c>
      <c r="BX5" s="1" t="str">
        <f>IF(AU5&gt;AU$145, AU5-AU$145,"")</f>
        <v/>
      </c>
      <c r="BY5" s="1" t="str">
        <f>IF(AV5&gt;AV$145, AV5-AV$145,"")</f>
        <v/>
      </c>
      <c r="BZ5" s="1" t="str">
        <f>IF(AW5&gt;AW$145, AW5-AW$145,"")</f>
        <v/>
      </c>
      <c r="CA5" s="1" t="str">
        <f>IF(AX5&gt;AX$145, AX5-AX$145,"")</f>
        <v/>
      </c>
      <c r="CB5" s="1" t="str">
        <f>IF(AY5&gt;AY$145, AY5-AY$145,"")</f>
        <v/>
      </c>
      <c r="CC5" s="1" t="str">
        <f>IF(AZ5&gt;AZ$145, AZ5-AZ$145,"")</f>
        <v/>
      </c>
      <c r="CD5" s="1" t="str">
        <f>IF(BA5&gt;BA$145, BA5-BA$145,"")</f>
        <v/>
      </c>
      <c r="CE5" s="1" t="str">
        <f>IF(BB5&gt;BB$145, BB5-BB$145,"")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18">
        <f>SUM(AE5:BO5)</f>
        <v>80</v>
      </c>
    </row>
    <row r="6" spans="1:97" s="25" customFormat="1" x14ac:dyDescent="0.15">
      <c r="A6" s="1"/>
      <c r="B6" s="1" t="s">
        <v>113</v>
      </c>
      <c r="C6" s="1" t="s">
        <v>114</v>
      </c>
      <c r="D6" s="1" t="s">
        <v>112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IF(AQ6&gt;AQ$145, AQ6-AQ$145,"")</f>
        <v/>
      </c>
      <c r="BU6" s="1" t="str">
        <f>IF(AR6&gt;AR$145, AR6-AR$145,"")</f>
        <v/>
      </c>
      <c r="BV6" s="1" t="str">
        <f>IF(AS6&gt;AS$145, AS6-AS$145,"")</f>
        <v/>
      </c>
      <c r="BW6" s="1" t="str">
        <f>IF(AT6&gt;AT$145, AT6-AT$145,"")</f>
        <v/>
      </c>
      <c r="BX6" s="1" t="str">
        <f>IF(AU6&gt;AU$145, AU6-AU$145,"")</f>
        <v/>
      </c>
      <c r="BY6" s="1" t="str">
        <f>IF(AV6&gt;AV$145, AV6-AV$145,"")</f>
        <v/>
      </c>
      <c r="BZ6" s="1" t="str">
        <f>IF(AW6&gt;AW$145, AW6-AW$145,"")</f>
        <v/>
      </c>
      <c r="CA6" s="1" t="str">
        <f>IF(AX6&gt;AX$145, AX6-AX$145,"")</f>
        <v/>
      </c>
      <c r="CB6" s="1" t="str">
        <f>IF(AY6&gt;AY$145, AY6-AY$145,"")</f>
        <v/>
      </c>
      <c r="CC6" s="1" t="str">
        <f>IF(AZ6&gt;AZ$145, AZ6-AZ$145,"")</f>
        <v/>
      </c>
      <c r="CD6" s="1" t="str">
        <f>IF(BA6&gt;BA$145, BA6-BA$145,"")</f>
        <v/>
      </c>
      <c r="CE6" s="1" t="str">
        <f>IF(BB6&gt;BB$145, BB6-BB$145,"")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8"/>
    </row>
    <row r="7" spans="1:97" s="25" customFormat="1" x14ac:dyDescent="0.15">
      <c r="A7" s="1"/>
      <c r="B7" s="1" t="s">
        <v>182</v>
      </c>
      <c r="C7" s="1" t="s">
        <v>122</v>
      </c>
      <c r="D7" s="1" t="s">
        <v>112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IF(AQ7&gt;AQ$145, AQ7-AQ$145,"")</f>
        <v/>
      </c>
      <c r="BU7" s="1" t="str">
        <f>IF(AR7&gt;AR$145, AR7-AR$145,"")</f>
        <v/>
      </c>
      <c r="BV7" s="1" t="str">
        <f>IF(AS7&gt;AS$145, AS7-AS$145,"")</f>
        <v/>
      </c>
      <c r="BW7" s="1" t="str">
        <f>IF(AT7&gt;AT$145, AT7-AT$145,"")</f>
        <v/>
      </c>
      <c r="BX7" s="1" t="str">
        <f>IF(AU7&gt;AU$145, AU7-AU$145,"")</f>
        <v/>
      </c>
      <c r="BY7" s="1" t="str">
        <f>IF(AV7&gt;AV$145, AV7-AV$145,"")</f>
        <v/>
      </c>
      <c r="BZ7" s="1" t="str">
        <f>IF(AW7&gt;AW$145, AW7-AW$145,"")</f>
        <v/>
      </c>
      <c r="CA7" s="1" t="str">
        <f>IF(AX7&gt;AX$145, AX7-AX$145,"")</f>
        <v/>
      </c>
      <c r="CB7" s="1" t="str">
        <f>IF(AY7&gt;AY$145, AY7-AY$145,"")</f>
        <v/>
      </c>
      <c r="CC7" s="1" t="str">
        <f>IF(AZ7&gt;AZ$145, AZ7-AZ$145,"")</f>
        <v/>
      </c>
      <c r="CD7" s="1" t="str">
        <f>IF(BA7&gt;BA$145, BA7-BA$145,"")</f>
        <v/>
      </c>
      <c r="CE7" s="1" t="str">
        <f>IF(BB7&gt;BB$145, BB7-BB$145,"")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8"/>
    </row>
    <row r="8" spans="1:97" x14ac:dyDescent="0.15">
      <c r="A8" s="1"/>
      <c r="B8" s="1" t="s">
        <v>190</v>
      </c>
      <c r="C8" s="1" t="s">
        <v>110</v>
      </c>
      <c r="D8" s="1" t="s">
        <v>112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IF(AQ8&gt;AQ$145, AQ8-AQ$145,"")</f>
        <v/>
      </c>
      <c r="BU8" s="1" t="str">
        <f>IF(AR8&gt;AR$145, AR8-AR$145,"")</f>
        <v/>
      </c>
      <c r="BV8" s="1" t="str">
        <f>IF(AS8&gt;AS$145, AS8-AS$145,"")</f>
        <v/>
      </c>
      <c r="BW8" s="1" t="str">
        <f>IF(AT8&gt;AT$145, AT8-AT$145,"")</f>
        <v/>
      </c>
      <c r="BX8" s="1" t="str">
        <f>IF(AU8&gt;AU$145, AU8-AU$145,"")</f>
        <v/>
      </c>
      <c r="BY8" s="1" t="str">
        <f>IF(AV8&gt;AV$145, AV8-AV$145,"")</f>
        <v/>
      </c>
      <c r="BZ8" s="1" t="str">
        <f>IF(AW8&gt;AW$145, AW8-AW$145,"")</f>
        <v/>
      </c>
      <c r="CA8" s="1" t="str">
        <f>IF(AX8&gt;AX$145, AX8-AX$145,"")</f>
        <v/>
      </c>
      <c r="CB8" s="1" t="str">
        <f>IF(AY8&gt;AY$145, AY8-AY$145,"")</f>
        <v/>
      </c>
      <c r="CC8" s="1" t="str">
        <f>IF(AZ8&gt;AZ$145, AZ8-AZ$145,"")</f>
        <v/>
      </c>
      <c r="CD8" s="1" t="str">
        <f>IF(BA8&gt;BA$145, BA8-BA$145,"")</f>
        <v/>
      </c>
      <c r="CE8" s="1" t="str">
        <f>IF(BB8&gt;BB$145, BB8-BB$145,"")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8"/>
    </row>
    <row r="9" spans="1:97" x14ac:dyDescent="0.15">
      <c r="A9" s="1">
        <v>91</v>
      </c>
      <c r="B9" s="3" t="s">
        <v>85</v>
      </c>
      <c r="C9" s="3" t="s">
        <v>84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1"/>
      <c r="AF9" s="1"/>
      <c r="AG9" s="1"/>
      <c r="AH9" s="1"/>
      <c r="AI9" s="1"/>
      <c r="AJ9" s="1"/>
      <c r="AK9" s="1"/>
      <c r="AL9" s="1"/>
      <c r="AM9" s="1">
        <v>5</v>
      </c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5</v>
      </c>
      <c r="BQ9" s="1">
        <v>0</v>
      </c>
      <c r="BR9" s="17">
        <v>0</v>
      </c>
      <c r="BS9" s="17"/>
      <c r="BT9" s="1" t="str">
        <f>IF(AQ9&gt;AQ$145, AQ9-AQ$145,"")</f>
        <v/>
      </c>
      <c r="BU9" s="1" t="str">
        <f>IF(AR9&gt;AR$145, AR9-AR$145,"")</f>
        <v/>
      </c>
      <c r="BV9" s="1" t="str">
        <f>IF(AS9&gt;AS$145, AS9-AS$145,"")</f>
        <v/>
      </c>
      <c r="BW9" s="1" t="str">
        <f>IF(AT9&gt;AT$145, AT9-AT$145,"")</f>
        <v/>
      </c>
      <c r="BX9" s="1" t="str">
        <f>IF(AU9&gt;AU$145, AU9-AU$145,"")</f>
        <v/>
      </c>
      <c r="BY9" s="1" t="str">
        <f>IF(AV9&gt;AV$145, AV9-AV$145,"")</f>
        <v/>
      </c>
      <c r="BZ9" s="1" t="str">
        <f>IF(AW9&gt;AW$145, AW9-AW$145,"")</f>
        <v/>
      </c>
      <c r="CA9" s="1" t="str">
        <f>IF(AX9&gt;AX$145, AX9-AX$145,"")</f>
        <v/>
      </c>
      <c r="CB9" s="1" t="str">
        <f>IF(AY9&gt;AY$145, AY9-AY$145,"")</f>
        <v/>
      </c>
      <c r="CC9" s="1" t="str">
        <f>IF(AZ9&gt;AZ$145, AZ9-AZ$145,"")</f>
        <v/>
      </c>
      <c r="CD9" s="1" t="str">
        <f>IF(BA9&gt;BA$145, BA9-BA$145,"")</f>
        <v/>
      </c>
      <c r="CE9" s="1" t="str">
        <f>IF(BB9&gt;BB$145, BB9-BB$145,"")</f>
        <v/>
      </c>
      <c r="CF9" s="1">
        <f>COUNTIF(BT9:CE9, "&gt;0")</f>
        <v>0</v>
      </c>
      <c r="CG9" s="1" t="str">
        <f>IF($CF9=1,BT9,"")</f>
        <v/>
      </c>
      <c r="CH9" s="1" t="str">
        <f>IF($CF9=1,BU9,"")</f>
        <v/>
      </c>
      <c r="CI9" s="1" t="str">
        <f>IF($CF9=1,BV9,"")</f>
        <v/>
      </c>
      <c r="CJ9" s="1" t="str">
        <f>IF($CF9=1,BW9,"")</f>
        <v/>
      </c>
      <c r="CK9" s="1" t="str">
        <f>IF($CF9=1,BX9,"")</f>
        <v/>
      </c>
      <c r="CL9" s="1" t="str">
        <f>IF($CF9=1,BY9,"")</f>
        <v/>
      </c>
      <c r="CM9" s="1" t="str">
        <f>IF($CF9=1,BZ9,"")</f>
        <v/>
      </c>
      <c r="CN9" s="1" t="str">
        <f>IF($CF9=1,CA9,"")</f>
        <v/>
      </c>
      <c r="CO9" s="1" t="str">
        <f>IF($CF9=1,CB9,"")</f>
        <v/>
      </c>
      <c r="CP9" s="1" t="str">
        <f>IF($CF9=1,CC9,"")</f>
        <v/>
      </c>
      <c r="CQ9" s="1" t="str">
        <f>IF($CF9=1,CD9,"")</f>
        <v/>
      </c>
      <c r="CR9" s="1" t="str">
        <f>IF($CF9=1,CE9,"")</f>
        <v/>
      </c>
      <c r="CS9" s="18">
        <f>SUM(AE9:BO9)</f>
        <v>5</v>
      </c>
    </row>
    <row r="10" spans="1:97" x14ac:dyDescent="0.15">
      <c r="A10" s="1"/>
      <c r="B10" s="1" t="s">
        <v>194</v>
      </c>
      <c r="C10" s="1" t="s">
        <v>110</v>
      </c>
      <c r="D10" s="1" t="s">
        <v>111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>
        <v>10</v>
      </c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>
        <v>10</v>
      </c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20</v>
      </c>
      <c r="BQ10" s="1">
        <v>1</v>
      </c>
      <c r="BR10" s="17">
        <v>1</v>
      </c>
      <c r="BS10" s="17" t="s">
        <v>320</v>
      </c>
      <c r="BT10" s="1">
        <f>IF(AQ10&gt;AQ$145, AQ10-AQ$145,"")</f>
        <v>1</v>
      </c>
      <c r="BU10" s="1" t="str">
        <f>IF(AR10&gt;AR$145, AR10-AR$145,"")</f>
        <v/>
      </c>
      <c r="BV10" s="1" t="str">
        <f>IF(AS10&gt;AS$145, AS10-AS$145,"")</f>
        <v/>
      </c>
      <c r="BW10" s="1" t="str">
        <f>IF(AT10&gt;AT$145, AT10-AT$145,"")</f>
        <v/>
      </c>
      <c r="BX10" s="1" t="str">
        <f>IF(AU10&gt;AU$145, AU10-AU$145,"")</f>
        <v/>
      </c>
      <c r="BY10" s="1" t="str">
        <f>IF(AV10&gt;AV$145, AV10-AV$145,"")</f>
        <v/>
      </c>
      <c r="BZ10" s="1" t="str">
        <f>IF(AW10&gt;AW$145, AW10-AW$145,"")</f>
        <v/>
      </c>
      <c r="CA10" s="1" t="str">
        <f>IF(AX10&gt;AX$145, AX10-AX$145,"")</f>
        <v/>
      </c>
      <c r="CB10" s="1" t="str">
        <f>IF(AY10&gt;AY$145, AY10-AY$145,"")</f>
        <v/>
      </c>
      <c r="CC10" s="1" t="str">
        <f>IF(AZ10&gt;AZ$145, AZ10-AZ$145,"")</f>
        <v/>
      </c>
      <c r="CD10" s="1" t="str">
        <f>IF(BA10&gt;BA$145, BA10-BA$145,"")</f>
        <v/>
      </c>
      <c r="CE10" s="1" t="str">
        <f>IF(BB10&gt;BB$145, BB10-BB$145,"")</f>
        <v/>
      </c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8"/>
    </row>
    <row r="11" spans="1:97" x14ac:dyDescent="0.15">
      <c r="A11" s="1"/>
      <c r="B11" s="1" t="s">
        <v>196</v>
      </c>
      <c r="C11" s="1" t="s">
        <v>125</v>
      </c>
      <c r="D11" s="1" t="s">
        <v>111</v>
      </c>
      <c r="E11" s="6"/>
      <c r="F11" s="6"/>
      <c r="G11" s="6">
        <v>2</v>
      </c>
      <c r="H11" s="6"/>
      <c r="I11" s="6"/>
      <c r="J11" s="6"/>
      <c r="K11" s="6"/>
      <c r="L11" s="6"/>
      <c r="M11" s="6"/>
      <c r="N11" s="6"/>
      <c r="O11" s="6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2</v>
      </c>
      <c r="BQ11" s="1">
        <v>2</v>
      </c>
      <c r="BR11" s="17">
        <v>1</v>
      </c>
      <c r="BS11" s="17" t="s">
        <v>243</v>
      </c>
      <c r="BT11" s="1" t="str">
        <f>IF(AQ11&gt;AQ$145, AQ11-AQ$145,"")</f>
        <v/>
      </c>
      <c r="BU11" s="1" t="str">
        <f>IF(AR11&gt;AR$145, AR11-AR$145,"")</f>
        <v/>
      </c>
      <c r="BV11" s="1" t="str">
        <f>IF(AS11&gt;AS$145, AS11-AS$145,"")</f>
        <v/>
      </c>
      <c r="BW11" s="1" t="str">
        <f>IF(AT11&gt;AT$145, AT11-AT$145,"")</f>
        <v/>
      </c>
      <c r="BX11" s="1" t="str">
        <f>IF(AU11&gt;AU$145, AU11-AU$145,"")</f>
        <v/>
      </c>
      <c r="BY11" s="1" t="str">
        <f>IF(AV11&gt;AV$145, AV11-AV$145,"")</f>
        <v/>
      </c>
      <c r="BZ11" s="1" t="str">
        <f>IF(AW11&gt;AW$145, AW11-AW$145,"")</f>
        <v/>
      </c>
      <c r="CA11" s="1" t="str">
        <f>IF(AX11&gt;AX$145, AX11-AX$145,"")</f>
        <v/>
      </c>
      <c r="CB11" s="1" t="str">
        <f>IF(AY11&gt;AY$145, AY11-AY$145,"")</f>
        <v/>
      </c>
      <c r="CC11" s="1" t="str">
        <f>IF(AZ11&gt;AZ$145, AZ11-AZ$145,"")</f>
        <v/>
      </c>
      <c r="CD11" s="1" t="str">
        <f>IF(BA11&gt;BA$145, BA11-BA$145,"")</f>
        <v/>
      </c>
      <c r="CE11" s="1" t="str">
        <f>IF(BB11&gt;BB$145, BB11-BB$145,"")</f>
        <v/>
      </c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8"/>
    </row>
    <row r="12" spans="1:97" s="25" customFormat="1" x14ac:dyDescent="0.15">
      <c r="A12" s="1"/>
      <c r="B12" s="1" t="s">
        <v>121</v>
      </c>
      <c r="C12" s="1" t="s">
        <v>114</v>
      </c>
      <c r="D12" s="1" t="s">
        <v>118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>
        <v>2</v>
      </c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2</v>
      </c>
      <c r="BQ12" s="1">
        <v>2</v>
      </c>
      <c r="BR12" s="17">
        <v>1</v>
      </c>
      <c r="BS12" s="17" t="s">
        <v>208</v>
      </c>
      <c r="BT12" s="1" t="str">
        <f>IF(AQ12&gt;AQ$145, AQ12-AQ$145,"")</f>
        <v/>
      </c>
      <c r="BU12" s="1" t="str">
        <f>IF(AR12&gt;AR$145, AR12-AR$145,"")</f>
        <v/>
      </c>
      <c r="BV12" s="1" t="str">
        <f>IF(AS12&gt;AS$145, AS12-AS$145,"")</f>
        <v/>
      </c>
      <c r="BW12" s="1" t="str">
        <f>IF(AT12&gt;AT$145, AT12-AT$145,"")</f>
        <v/>
      </c>
      <c r="BX12" s="1" t="str">
        <f>IF(AU12&gt;AU$145, AU12-AU$145,"")</f>
        <v/>
      </c>
      <c r="BY12" s="1" t="str">
        <f>IF(AV12&gt;AV$145, AV12-AV$145,"")</f>
        <v/>
      </c>
      <c r="BZ12" s="1" t="str">
        <f>IF(AW12&gt;AW$145, AW12-AW$145,"")</f>
        <v/>
      </c>
      <c r="CA12" s="1" t="str">
        <f>IF(AX12&gt;AX$145, AX12-AX$145,"")</f>
        <v/>
      </c>
      <c r="CB12" s="1" t="str">
        <f>IF(AY12&gt;AY$145, AY12-AY$145,"")</f>
        <v/>
      </c>
      <c r="CC12" s="1" t="str">
        <f>IF(AZ12&gt;AZ$145, AZ12-AZ$145,"")</f>
        <v/>
      </c>
      <c r="CD12" s="1" t="str">
        <f>IF(BA12&gt;BA$145, BA12-BA$145,"")</f>
        <v/>
      </c>
      <c r="CE12" s="1" t="str">
        <f>IF(BB12&gt;BB$145, BB12-BB$145,"")</f>
        <v/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8"/>
    </row>
    <row r="13" spans="1:97" x14ac:dyDescent="0.15">
      <c r="A13" s="19">
        <v>40</v>
      </c>
      <c r="B13" s="19" t="s">
        <v>54</v>
      </c>
      <c r="C13" s="19" t="s">
        <v>48</v>
      </c>
      <c r="D13" s="19" t="s">
        <v>55</v>
      </c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>
        <v>5</v>
      </c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1"/>
      <c r="AR13" s="21"/>
      <c r="AS13" s="21"/>
      <c r="AT13" s="21"/>
      <c r="AU13" s="21"/>
      <c r="AV13" s="21"/>
      <c r="AW13" s="22"/>
      <c r="AX13" s="22"/>
      <c r="AY13" s="22"/>
      <c r="AZ13" s="22"/>
      <c r="BA13" s="22"/>
      <c r="BB13" s="22"/>
      <c r="BC13" s="30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">
        <f>SUM(E13:BO13)</f>
        <v>5</v>
      </c>
      <c r="BQ13" s="19">
        <v>3</v>
      </c>
      <c r="BR13" s="23">
        <v>1</v>
      </c>
      <c r="BS13" s="23" t="s">
        <v>245</v>
      </c>
      <c r="BT13" s="1" t="str">
        <f>IF(AQ13&gt;AQ$145, AQ13-AQ$145,"")</f>
        <v/>
      </c>
      <c r="BU13" s="1" t="str">
        <f>IF(AR13&gt;AR$145, AR13-AR$145,"")</f>
        <v/>
      </c>
      <c r="BV13" s="1" t="str">
        <f>IF(AS13&gt;AS$145, AS13-AS$145,"")</f>
        <v/>
      </c>
      <c r="BW13" s="1" t="str">
        <f>IF(AT13&gt;AT$145, AT13-AT$145,"")</f>
        <v/>
      </c>
      <c r="BX13" s="1" t="str">
        <f>IF(AU13&gt;AU$145, AU13-AU$145,"")</f>
        <v/>
      </c>
      <c r="BY13" s="1" t="str">
        <f>IF(AV13&gt;AV$145, AV13-AV$145,"")</f>
        <v/>
      </c>
      <c r="BZ13" s="1" t="str">
        <f>IF(AW13&gt;AW$145, AW13-AW$145,"")</f>
        <v/>
      </c>
      <c r="CA13" s="1" t="str">
        <f>IF(AX13&gt;AX$145, AX13-AX$145,"")</f>
        <v/>
      </c>
      <c r="CB13" s="1" t="str">
        <f>IF(AY13&gt;AY$145, AY13-AY$145,"")</f>
        <v/>
      </c>
      <c r="CC13" s="1" t="str">
        <f>IF(AZ13&gt;AZ$145, AZ13-AZ$145,"")</f>
        <v/>
      </c>
      <c r="CD13" s="1" t="str">
        <f>IF(BA13&gt;BA$145, BA13-BA$145,"")</f>
        <v/>
      </c>
      <c r="CE13" s="1" t="str">
        <f>IF(BB13&gt;BB$145, BB13-BB$145,"")</f>
        <v/>
      </c>
      <c r="CF13" s="19">
        <f>COUNTIF(BT13:CE13, "&gt;0")</f>
        <v>0</v>
      </c>
      <c r="CG13" s="19" t="str">
        <f>IF($CF13=1,BT13,"")</f>
        <v/>
      </c>
      <c r="CH13" s="19" t="str">
        <f>IF($CF13=1,BU13,"")</f>
        <v/>
      </c>
      <c r="CI13" s="19" t="str">
        <f>IF($CF13=1,BV13,"")</f>
        <v/>
      </c>
      <c r="CJ13" s="19" t="str">
        <f>IF($CF13=1,BW13,"")</f>
        <v/>
      </c>
      <c r="CK13" s="19" t="str">
        <f>IF($CF13=1,BX13,"")</f>
        <v/>
      </c>
      <c r="CL13" s="19" t="str">
        <f>IF($CF13=1,BY13,"")</f>
        <v/>
      </c>
      <c r="CM13" s="19" t="str">
        <f>IF($CF13=1,BZ13,"")</f>
        <v/>
      </c>
      <c r="CN13" s="19" t="str">
        <f>IF($CF13=1,CA13,"")</f>
        <v/>
      </c>
      <c r="CO13" s="19" t="str">
        <f>IF($CF13=1,CB13,"")</f>
        <v/>
      </c>
      <c r="CP13" s="19" t="str">
        <f>IF($CF13=1,CC13,"")</f>
        <v/>
      </c>
      <c r="CQ13" s="19" t="str">
        <f>IF($CF13=1,CD13,"")</f>
        <v/>
      </c>
      <c r="CR13" s="19" t="str">
        <f>IF($CF13=1,CE13,"")</f>
        <v/>
      </c>
      <c r="CS13" s="24">
        <f>SUM(AE13:BO13)</f>
        <v>0</v>
      </c>
    </row>
    <row r="14" spans="1:97" x14ac:dyDescent="0.15">
      <c r="A14" s="19">
        <v>83</v>
      </c>
      <c r="B14" s="26" t="s">
        <v>72</v>
      </c>
      <c r="C14" s="26" t="s">
        <v>67</v>
      </c>
      <c r="D14" s="19" t="s">
        <v>1</v>
      </c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>
        <v>5</v>
      </c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1"/>
      <c r="AR14" s="21"/>
      <c r="AS14" s="21"/>
      <c r="AT14" s="21"/>
      <c r="AU14" s="21"/>
      <c r="AV14" s="21"/>
      <c r="AW14" s="22"/>
      <c r="AX14" s="22"/>
      <c r="AY14" s="22"/>
      <c r="AZ14" s="22"/>
      <c r="BA14" s="22"/>
      <c r="BB14" s="22"/>
      <c r="BC14" s="30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">
        <f>SUM(E14:BO14)</f>
        <v>5</v>
      </c>
      <c r="BQ14" s="19">
        <v>3</v>
      </c>
      <c r="BR14" s="23">
        <v>1</v>
      </c>
      <c r="BS14" s="23" t="s">
        <v>209</v>
      </c>
      <c r="BT14" s="1" t="str">
        <f>IF(AQ14&gt;AQ$145, AQ14-AQ$145,"")</f>
        <v/>
      </c>
      <c r="BU14" s="1" t="str">
        <f>IF(AR14&gt;AR$145, AR14-AR$145,"")</f>
        <v/>
      </c>
      <c r="BV14" s="1" t="str">
        <f>IF(AS14&gt;AS$145, AS14-AS$145,"")</f>
        <v/>
      </c>
      <c r="BW14" s="1" t="str">
        <f>IF(AT14&gt;AT$145, AT14-AT$145,"")</f>
        <v/>
      </c>
      <c r="BX14" s="1" t="str">
        <f>IF(AU14&gt;AU$145, AU14-AU$145,"")</f>
        <v/>
      </c>
      <c r="BY14" s="1" t="str">
        <f>IF(AV14&gt;AV$145, AV14-AV$145,"")</f>
        <v/>
      </c>
      <c r="BZ14" s="1" t="str">
        <f>IF(AW14&gt;AW$145, AW14-AW$145,"")</f>
        <v/>
      </c>
      <c r="CA14" s="1" t="str">
        <f>IF(AX14&gt;AX$145, AX14-AX$145,"")</f>
        <v/>
      </c>
      <c r="CB14" s="1" t="str">
        <f>IF(AY14&gt;AY$145, AY14-AY$145,"")</f>
        <v/>
      </c>
      <c r="CC14" s="1" t="str">
        <f>IF(AZ14&gt;AZ$145, AZ14-AZ$145,"")</f>
        <v/>
      </c>
      <c r="CD14" s="1" t="str">
        <f>IF(BA14&gt;BA$145, BA14-BA$145,"")</f>
        <v/>
      </c>
      <c r="CE14" s="1" t="str">
        <f>IF(BB14&gt;BB$145, BB14-BB$145,"")</f>
        <v/>
      </c>
      <c r="CF14" s="19">
        <f>COUNTIF(BT14:CE14, "&gt;0")</f>
        <v>0</v>
      </c>
      <c r="CG14" s="19" t="str">
        <f>IF($CF14=1,BT14,"")</f>
        <v/>
      </c>
      <c r="CH14" s="19" t="str">
        <f>IF($CF14=1,BU14,"")</f>
        <v/>
      </c>
      <c r="CI14" s="19" t="str">
        <f>IF($CF14=1,BV14,"")</f>
        <v/>
      </c>
      <c r="CJ14" s="19" t="str">
        <f>IF($CF14=1,BW14,"")</f>
        <v/>
      </c>
      <c r="CK14" s="19" t="str">
        <f>IF($CF14=1,BX14,"")</f>
        <v/>
      </c>
      <c r="CL14" s="19" t="str">
        <f>IF($CF14=1,BY14,"")</f>
        <v/>
      </c>
      <c r="CM14" s="19" t="str">
        <f>IF($CF14=1,BZ14,"")</f>
        <v/>
      </c>
      <c r="CN14" s="19" t="str">
        <f>IF($CF14=1,CA14,"")</f>
        <v/>
      </c>
      <c r="CO14" s="19" t="str">
        <f>IF($CF14=1,CB14,"")</f>
        <v/>
      </c>
      <c r="CP14" s="19" t="str">
        <f>IF($CF14=1,CC14,"")</f>
        <v/>
      </c>
      <c r="CQ14" s="19" t="str">
        <f>IF($CF14=1,CD14,"")</f>
        <v/>
      </c>
      <c r="CR14" s="19" t="str">
        <f>IF($CF14=1,CE14,"")</f>
        <v/>
      </c>
      <c r="CS14" s="24">
        <f>SUM(AE14:BO14)</f>
        <v>0</v>
      </c>
    </row>
    <row r="15" spans="1:97" x14ac:dyDescent="0.15">
      <c r="A15" s="1"/>
      <c r="B15" s="1" t="s">
        <v>198</v>
      </c>
      <c r="C15" s="1" t="s">
        <v>126</v>
      </c>
      <c r="D15" s="1" t="s">
        <v>111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>
        <v>5</v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5</v>
      </c>
      <c r="BQ15" s="1">
        <v>3</v>
      </c>
      <c r="BR15" s="17">
        <v>1</v>
      </c>
      <c r="BS15" s="17" t="s">
        <v>209</v>
      </c>
      <c r="BT15" s="1" t="str">
        <f>IF(AQ15&gt;AQ$145, AQ15-AQ$145,"")</f>
        <v/>
      </c>
      <c r="BU15" s="1" t="str">
        <f>IF(AR15&gt;AR$145, AR15-AR$145,"")</f>
        <v/>
      </c>
      <c r="BV15" s="1" t="str">
        <f>IF(AS15&gt;AS$145, AS15-AS$145,"")</f>
        <v/>
      </c>
      <c r="BW15" s="1" t="str">
        <f>IF(AT15&gt;AT$145, AT15-AT$145,"")</f>
        <v/>
      </c>
      <c r="BX15" s="1" t="str">
        <f>IF(AU15&gt;AU$145, AU15-AU$145,"")</f>
        <v/>
      </c>
      <c r="BY15" s="1" t="str">
        <f>IF(AV15&gt;AV$145, AV15-AV$145,"")</f>
        <v/>
      </c>
      <c r="BZ15" s="1" t="str">
        <f>IF(AW15&gt;AW$145, AW15-AW$145,"")</f>
        <v/>
      </c>
      <c r="CA15" s="1" t="str">
        <f>IF(AX15&gt;AX$145, AX15-AX$145,"")</f>
        <v/>
      </c>
      <c r="CB15" s="1" t="str">
        <f>IF(AY15&gt;AY$145, AY15-AY$145,"")</f>
        <v/>
      </c>
      <c r="CC15" s="1" t="str">
        <f>IF(AZ15&gt;AZ$145, AZ15-AZ$145,"")</f>
        <v/>
      </c>
      <c r="CD15" s="1" t="str">
        <f>IF(BA15&gt;BA$145, BA15-BA$145,"")</f>
        <v/>
      </c>
      <c r="CE15" s="1" t="str">
        <f>IF(BB15&gt;BB$145, BB15-BB$145,"")</f>
        <v/>
      </c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8"/>
    </row>
    <row r="16" spans="1:97" x14ac:dyDescent="0.15">
      <c r="A16" s="1"/>
      <c r="B16" s="1" t="s">
        <v>205</v>
      </c>
      <c r="C16" s="1" t="s">
        <v>206</v>
      </c>
      <c r="D16" s="1" t="s">
        <v>207</v>
      </c>
      <c r="E16" s="6"/>
      <c r="F16" s="6"/>
      <c r="G16" s="6"/>
      <c r="H16" s="6"/>
      <c r="I16" s="6"/>
      <c r="J16" s="6"/>
      <c r="K16" s="6"/>
      <c r="L16" s="6"/>
      <c r="M16" s="6">
        <v>5</v>
      </c>
      <c r="N16" s="6"/>
      <c r="O16" s="6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v>3</v>
      </c>
      <c r="BR16" s="17">
        <v>1</v>
      </c>
      <c r="BS16" s="17" t="s">
        <v>250</v>
      </c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8"/>
    </row>
    <row r="17" spans="1:97" x14ac:dyDescent="0.15">
      <c r="A17" s="1"/>
      <c r="B17" s="1" t="s">
        <v>200</v>
      </c>
      <c r="C17" s="1" t="s">
        <v>114</v>
      </c>
      <c r="D17" s="1" t="s">
        <v>111</v>
      </c>
      <c r="E17" s="6"/>
      <c r="F17" s="6">
        <v>5</v>
      </c>
      <c r="G17" s="6"/>
      <c r="H17" s="6"/>
      <c r="I17" s="6"/>
      <c r="J17" s="6"/>
      <c r="K17" s="6"/>
      <c r="L17" s="6"/>
      <c r="M17" s="6"/>
      <c r="N17" s="6"/>
      <c r="O17" s="6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5</v>
      </c>
      <c r="BQ17" s="1">
        <v>4</v>
      </c>
      <c r="BR17" s="17">
        <v>1</v>
      </c>
      <c r="BS17" s="17" t="s">
        <v>246</v>
      </c>
      <c r="BT17" s="1" t="str">
        <f>IF(AQ17&gt;AQ$145, AQ17-AQ$145,"")</f>
        <v/>
      </c>
      <c r="BU17" s="1" t="str">
        <f>IF(AR17&gt;AR$145, AR17-AR$145,"")</f>
        <v/>
      </c>
      <c r="BV17" s="1" t="str">
        <f>IF(AS17&gt;AS$145, AS17-AS$145,"")</f>
        <v/>
      </c>
      <c r="BW17" s="1" t="str">
        <f>IF(AT17&gt;AT$145, AT17-AT$145,"")</f>
        <v/>
      </c>
      <c r="BX17" s="1" t="str">
        <f>IF(AU17&gt;AU$145, AU17-AU$145,"")</f>
        <v/>
      </c>
      <c r="BY17" s="1" t="str">
        <f>IF(AV17&gt;AV$145, AV17-AV$145,"")</f>
        <v/>
      </c>
      <c r="BZ17" s="1" t="str">
        <f>IF(AW17&gt;AW$145, AW17-AW$145,"")</f>
        <v/>
      </c>
      <c r="CA17" s="1" t="str">
        <f>IF(AX17&gt;AX$145, AX17-AX$145,"")</f>
        <v/>
      </c>
      <c r="CB17" s="1" t="str">
        <f>IF(AY17&gt;AY$145, AY17-AY$145,"")</f>
        <v/>
      </c>
      <c r="CC17" s="1" t="str">
        <f>IF(AZ17&gt;AZ$145, AZ17-AZ$145,"")</f>
        <v/>
      </c>
      <c r="CD17" s="1" t="str">
        <f>IF(BA17&gt;BA$145, BA17-BA$145,"")</f>
        <v/>
      </c>
      <c r="CE17" s="1" t="str">
        <f>IF(BB17&gt;BB$145, BB17-BB$145,"")</f>
        <v/>
      </c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8"/>
    </row>
    <row r="18" spans="1:97" x14ac:dyDescent="0.15">
      <c r="A18" s="1"/>
      <c r="B18" s="1" t="s">
        <v>197</v>
      </c>
      <c r="C18" s="1" t="s">
        <v>126</v>
      </c>
      <c r="D18" s="1" t="s">
        <v>111</v>
      </c>
      <c r="E18" s="6"/>
      <c r="F18" s="6">
        <v>5</v>
      </c>
      <c r="G18" s="6"/>
      <c r="H18" s="6"/>
      <c r="I18" s="6"/>
      <c r="J18" s="6"/>
      <c r="K18" s="6"/>
      <c r="L18" s="6"/>
      <c r="M18" s="6"/>
      <c r="N18" s="6"/>
      <c r="O18" s="6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5</v>
      </c>
      <c r="BQ18" s="1">
        <v>4</v>
      </c>
      <c r="BR18" s="17">
        <v>1</v>
      </c>
      <c r="BS18" s="17" t="s">
        <v>247</v>
      </c>
      <c r="BT18" s="1" t="str">
        <f>IF(AQ18&gt;AQ$145, AQ18-AQ$145,"")</f>
        <v/>
      </c>
      <c r="BU18" s="1" t="str">
        <f>IF(AR18&gt;AR$145, AR18-AR$145,"")</f>
        <v/>
      </c>
      <c r="BV18" s="1" t="str">
        <f>IF(AS18&gt;AS$145, AS18-AS$145,"")</f>
        <v/>
      </c>
      <c r="BW18" s="1" t="str">
        <f>IF(AT18&gt;AT$145, AT18-AT$145,"")</f>
        <v/>
      </c>
      <c r="BX18" s="1" t="str">
        <f>IF(AU18&gt;AU$145, AU18-AU$145,"")</f>
        <v/>
      </c>
      <c r="BY18" s="1" t="str">
        <f>IF(AV18&gt;AV$145, AV18-AV$145,"")</f>
        <v/>
      </c>
      <c r="BZ18" s="1" t="str">
        <f>IF(AW18&gt;AW$145, AW18-AW$145,"")</f>
        <v/>
      </c>
      <c r="CA18" s="1" t="str">
        <f>IF(AX18&gt;AX$145, AX18-AX$145,"")</f>
        <v/>
      </c>
      <c r="CB18" s="1" t="str">
        <f>IF(AY18&gt;AY$145, AY18-AY$145,"")</f>
        <v/>
      </c>
      <c r="CC18" s="1" t="str">
        <f>IF(AZ18&gt;AZ$145, AZ18-AZ$145,"")</f>
        <v/>
      </c>
      <c r="CD18" s="1" t="str">
        <f>IF(BA18&gt;BA$145, BA18-BA$145,"")</f>
        <v/>
      </c>
      <c r="CE18" s="1" t="str">
        <f>IF(BB18&gt;BB$145, BB18-BB$145,"")</f>
        <v/>
      </c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8"/>
    </row>
    <row r="19" spans="1:97" x14ac:dyDescent="0.15">
      <c r="A19" s="1"/>
      <c r="B19" s="1" t="s">
        <v>204</v>
      </c>
      <c r="C19" s="1" t="s">
        <v>126</v>
      </c>
      <c r="D19" s="1" t="s">
        <v>111</v>
      </c>
      <c r="E19" s="6"/>
      <c r="F19" s="6"/>
      <c r="G19" s="6"/>
      <c r="H19" s="6">
        <v>5</v>
      </c>
      <c r="I19" s="6"/>
      <c r="J19" s="6"/>
      <c r="K19" s="6"/>
      <c r="L19" s="6"/>
      <c r="M19" s="6"/>
      <c r="N19" s="6"/>
      <c r="O19" s="6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5</v>
      </c>
      <c r="BQ19" s="1">
        <v>5</v>
      </c>
      <c r="BR19" s="17">
        <v>1</v>
      </c>
      <c r="BS19" s="17" t="s">
        <v>251</v>
      </c>
      <c r="BT19" s="1" t="str">
        <f>IF(AQ19&gt;AQ$145, AQ19-AQ$145,"")</f>
        <v/>
      </c>
      <c r="BU19" s="1" t="str">
        <f>IF(AR19&gt;AR$145, AR19-AR$145,"")</f>
        <v/>
      </c>
      <c r="BV19" s="1" t="str">
        <f>IF(AS19&gt;AS$145, AS19-AS$145,"")</f>
        <v/>
      </c>
      <c r="BW19" s="1" t="str">
        <f>IF(AT19&gt;AT$145, AT19-AT$145,"")</f>
        <v/>
      </c>
      <c r="BX19" s="1" t="str">
        <f>IF(AU19&gt;AU$145, AU19-AU$145,"")</f>
        <v/>
      </c>
      <c r="BY19" s="1" t="str">
        <f>IF(AV19&gt;AV$145, AV19-AV$145,"")</f>
        <v/>
      </c>
      <c r="BZ19" s="1" t="str">
        <f>IF(AW19&gt;AW$145, AW19-AW$145,"")</f>
        <v/>
      </c>
      <c r="CA19" s="1" t="str">
        <f>IF(AX19&gt;AX$145, AX19-AX$145,"")</f>
        <v/>
      </c>
      <c r="CB19" s="1" t="str">
        <f>IF(AY19&gt;AY$145, AY19-AY$145,"")</f>
        <v/>
      </c>
      <c r="CC19" s="1" t="str">
        <f>IF(AZ19&gt;AZ$145, AZ19-AZ$145,"")</f>
        <v/>
      </c>
      <c r="CD19" s="1" t="str">
        <f>IF(BA19&gt;BA$145, BA19-BA$145,"")</f>
        <v/>
      </c>
      <c r="CE19" s="1" t="str">
        <f>IF(BB19&gt;BB$145, BB19-BB$145,"")</f>
        <v/>
      </c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8"/>
    </row>
    <row r="20" spans="1:97" s="25" customFormat="1" x14ac:dyDescent="0.15">
      <c r="A20" s="1">
        <v>17</v>
      </c>
      <c r="B20" s="1" t="s">
        <v>34</v>
      </c>
      <c r="C20" s="1" t="s">
        <v>31</v>
      </c>
      <c r="D20" s="1" t="s">
        <v>24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1"/>
      <c r="AF20" s="1">
        <v>5</v>
      </c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5</v>
      </c>
      <c r="BQ20" s="1">
        <v>5</v>
      </c>
      <c r="BR20" s="17">
        <v>1</v>
      </c>
      <c r="BS20" s="17" t="s">
        <v>210</v>
      </c>
      <c r="BT20" s="1" t="str">
        <f>IF(AQ20&gt;AQ$145, AQ20-AQ$145,"")</f>
        <v/>
      </c>
      <c r="BU20" s="1" t="str">
        <f>IF(AR20&gt;AR$145, AR20-AR$145,"")</f>
        <v/>
      </c>
      <c r="BV20" s="1" t="str">
        <f>IF(AS20&gt;AS$145, AS20-AS$145,"")</f>
        <v/>
      </c>
      <c r="BW20" s="1" t="str">
        <f>IF(AT20&gt;AT$145, AT20-AT$145,"")</f>
        <v/>
      </c>
      <c r="BX20" s="1" t="str">
        <f>IF(AU20&gt;AU$145, AU20-AU$145,"")</f>
        <v/>
      </c>
      <c r="BY20" s="1" t="str">
        <f>IF(AV20&gt;AV$145, AV20-AV$145,"")</f>
        <v/>
      </c>
      <c r="BZ20" s="1" t="str">
        <f>IF(AW20&gt;AW$145, AW20-AW$145,"")</f>
        <v/>
      </c>
      <c r="CA20" s="1" t="str">
        <f>IF(AX20&gt;AX$145, AX20-AX$145,"")</f>
        <v/>
      </c>
      <c r="CB20" s="1" t="str">
        <f>IF(AY20&gt;AY$145, AY20-AY$145,"")</f>
        <v/>
      </c>
      <c r="CC20" s="1" t="str">
        <f>IF(AZ20&gt;AZ$145, AZ20-AZ$145,"")</f>
        <v/>
      </c>
      <c r="CD20" s="1" t="str">
        <f>IF(BA20&gt;BA$145, BA20-BA$145,"")</f>
        <v/>
      </c>
      <c r="CE20" s="1" t="str">
        <f>IF(BB20&gt;BB$145, BB20-BB$145,"")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18">
        <f>SUM(AE20:BO20)</f>
        <v>5</v>
      </c>
    </row>
    <row r="21" spans="1:97" x14ac:dyDescent="0.15">
      <c r="A21" s="1">
        <v>18</v>
      </c>
      <c r="B21" s="1" t="s">
        <v>34</v>
      </c>
      <c r="C21" s="1" t="s">
        <v>31</v>
      </c>
      <c r="D21" s="1" t="s">
        <v>25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1"/>
      <c r="AF21" s="1"/>
      <c r="AG21" s="1">
        <v>5</v>
      </c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5</v>
      </c>
      <c r="BQ21" s="1">
        <v>5</v>
      </c>
      <c r="BR21" s="17">
        <v>1</v>
      </c>
      <c r="BS21" s="17" t="s">
        <v>211</v>
      </c>
      <c r="BT21" s="1" t="str">
        <f>IF(AQ21&gt;AQ$145, AQ21-AQ$145,"")</f>
        <v/>
      </c>
      <c r="BU21" s="1" t="str">
        <f>IF(AR21&gt;AR$145, AR21-AR$145,"")</f>
        <v/>
      </c>
      <c r="BV21" s="1" t="str">
        <f>IF(AS21&gt;AS$145, AS21-AS$145,"")</f>
        <v/>
      </c>
      <c r="BW21" s="1" t="str">
        <f>IF(AT21&gt;AT$145, AT21-AT$145,"")</f>
        <v/>
      </c>
      <c r="BX21" s="1" t="str">
        <f>IF(AU21&gt;AU$145, AU21-AU$145,"")</f>
        <v/>
      </c>
      <c r="BY21" s="1" t="str">
        <f>IF(AV21&gt;AV$145, AV21-AV$145,"")</f>
        <v/>
      </c>
      <c r="BZ21" s="1" t="str">
        <f>IF(AW21&gt;AW$145, AW21-AW$145,"")</f>
        <v/>
      </c>
      <c r="CA21" s="1" t="str">
        <f>IF(AX21&gt;AX$145, AX21-AX$145,"")</f>
        <v/>
      </c>
      <c r="CB21" s="1" t="str">
        <f>IF(AY21&gt;AY$145, AY21-AY$145,"")</f>
        <v/>
      </c>
      <c r="CC21" s="1" t="str">
        <f>IF(AZ21&gt;AZ$145, AZ21-AZ$145,"")</f>
        <v/>
      </c>
      <c r="CD21" s="1" t="str">
        <f>IF(BA21&gt;BA$145, BA21-BA$145,"")</f>
        <v/>
      </c>
      <c r="CE21" s="1" t="str">
        <f>IF(BB21&gt;BB$145, BB21-BB$145,"")</f>
        <v/>
      </c>
      <c r="CF21" s="1">
        <f>COUNTIF(BT21:CE21, "&gt;0")</f>
        <v>0</v>
      </c>
      <c r="CG21" s="1" t="str">
        <f>IF($CF21=1,BT21,"")</f>
        <v/>
      </c>
      <c r="CH21" s="1" t="str">
        <f>IF($CF21=1,BU21,"")</f>
        <v/>
      </c>
      <c r="CI21" s="1" t="str">
        <f>IF($CF21=1,BV21,"")</f>
        <v/>
      </c>
      <c r="CJ21" s="1" t="str">
        <f>IF($CF21=1,BW21,"")</f>
        <v/>
      </c>
      <c r="CK21" s="1" t="str">
        <f>IF($CF21=1,BX21,"")</f>
        <v/>
      </c>
      <c r="CL21" s="1" t="str">
        <f>IF($CF21=1,BY21,"")</f>
        <v/>
      </c>
      <c r="CM21" s="1" t="str">
        <f>IF($CF21=1,BZ21,"")</f>
        <v/>
      </c>
      <c r="CN21" s="1" t="str">
        <f>IF($CF21=1,CA21,"")</f>
        <v/>
      </c>
      <c r="CO21" s="1" t="str">
        <f>IF($CF21=1,CB21,"")</f>
        <v/>
      </c>
      <c r="CP21" s="1" t="str">
        <f>IF($CF21=1,CC21,"")</f>
        <v/>
      </c>
      <c r="CQ21" s="1" t="str">
        <f>IF($CF21=1,CD21,"")</f>
        <v/>
      </c>
      <c r="CR21" s="1" t="str">
        <f>IF($CF21=1,CE21,"")</f>
        <v/>
      </c>
      <c r="CS21" s="18">
        <f>SUM(AE21:BO21)</f>
        <v>5</v>
      </c>
    </row>
    <row r="22" spans="1:97" x14ac:dyDescent="0.15">
      <c r="A22" s="1">
        <v>19</v>
      </c>
      <c r="B22" s="1" t="s">
        <v>37</v>
      </c>
      <c r="C22" s="1" t="s">
        <v>31</v>
      </c>
      <c r="D22" s="1" t="s">
        <v>24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1"/>
      <c r="AF22" s="1"/>
      <c r="AG22" s="1">
        <v>5</v>
      </c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5</v>
      </c>
      <c r="BQ22" s="1">
        <v>5</v>
      </c>
      <c r="BR22" s="17">
        <v>1</v>
      </c>
      <c r="BS22" s="17" t="s">
        <v>252</v>
      </c>
      <c r="BT22" s="1" t="str">
        <f>IF(AQ22&gt;AQ$145, AQ22-AQ$145,"")</f>
        <v/>
      </c>
      <c r="BU22" s="1" t="str">
        <f>IF(AR22&gt;AR$145, AR22-AR$145,"")</f>
        <v/>
      </c>
      <c r="BV22" s="1" t="str">
        <f>IF(AS22&gt;AS$145, AS22-AS$145,"")</f>
        <v/>
      </c>
      <c r="BW22" s="1" t="str">
        <f>IF(AT22&gt;AT$145, AT22-AT$145,"")</f>
        <v/>
      </c>
      <c r="BX22" s="1" t="str">
        <f>IF(AU22&gt;AU$145, AU22-AU$145,"")</f>
        <v/>
      </c>
      <c r="BY22" s="1" t="str">
        <f>IF(AV22&gt;AV$145, AV22-AV$145,"")</f>
        <v/>
      </c>
      <c r="BZ22" s="1" t="str">
        <f>IF(AW22&gt;AW$145, AW22-AW$145,"")</f>
        <v/>
      </c>
      <c r="CA22" s="1" t="str">
        <f>IF(AX22&gt;AX$145, AX22-AX$145,"")</f>
        <v/>
      </c>
      <c r="CB22" s="1" t="str">
        <f>IF(AY22&gt;AY$145, AY22-AY$145,"")</f>
        <v/>
      </c>
      <c r="CC22" s="1" t="str">
        <f>IF(AZ22&gt;AZ$145, AZ22-AZ$145,"")</f>
        <v/>
      </c>
      <c r="CD22" s="1" t="str">
        <f>IF(BA22&gt;BA$145, BA22-BA$145,"")</f>
        <v/>
      </c>
      <c r="CE22" s="1" t="str">
        <f>IF(BB22&gt;BB$145, BB22-BB$145,"")</f>
        <v/>
      </c>
      <c r="CF22" s="1">
        <f>COUNTIF(BT22:CE22, "&gt;0")</f>
        <v>0</v>
      </c>
      <c r="CG22" s="1" t="str">
        <f>IF($CF22=1,BT22,"")</f>
        <v/>
      </c>
      <c r="CH22" s="1" t="str">
        <f>IF($CF22=1,BU22,"")</f>
        <v/>
      </c>
      <c r="CI22" s="1" t="str">
        <f>IF($CF22=1,BV22,"")</f>
        <v/>
      </c>
      <c r="CJ22" s="1" t="str">
        <f>IF($CF22=1,BW22,"")</f>
        <v/>
      </c>
      <c r="CK22" s="1" t="str">
        <f>IF($CF22=1,BX22,"")</f>
        <v/>
      </c>
      <c r="CL22" s="1" t="str">
        <f>IF($CF22=1,BY22,"")</f>
        <v/>
      </c>
      <c r="CM22" s="1" t="str">
        <f>IF($CF22=1,BZ22,"")</f>
        <v/>
      </c>
      <c r="CN22" s="1" t="str">
        <f>IF($CF22=1,CA22,"")</f>
        <v/>
      </c>
      <c r="CO22" s="1" t="str">
        <f>IF($CF22=1,CB22,"")</f>
        <v/>
      </c>
      <c r="CP22" s="1" t="str">
        <f>IF($CF22=1,CC22,"")</f>
        <v/>
      </c>
      <c r="CQ22" s="1" t="str">
        <f>IF($CF22=1,CD22,"")</f>
        <v/>
      </c>
      <c r="CR22" s="1" t="str">
        <f>IF($CF22=1,CE22,"")</f>
        <v/>
      </c>
      <c r="CS22" s="18">
        <f>SUM(AE22:BO22)</f>
        <v>5</v>
      </c>
    </row>
    <row r="23" spans="1:97" x14ac:dyDescent="0.15">
      <c r="A23" s="1">
        <v>32</v>
      </c>
      <c r="B23" s="1" t="s">
        <v>81</v>
      </c>
      <c r="C23" s="1" t="s">
        <v>31</v>
      </c>
      <c r="D23" s="1" t="s">
        <v>24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1"/>
      <c r="AF23" s="1"/>
      <c r="AG23" s="1"/>
      <c r="AH23" s="1"/>
      <c r="AI23" s="1">
        <v>5</v>
      </c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5</v>
      </c>
      <c r="BQ23" s="1">
        <v>5</v>
      </c>
      <c r="BR23" s="17">
        <v>1</v>
      </c>
      <c r="BS23" s="17" t="s">
        <v>212</v>
      </c>
      <c r="BT23" s="1" t="str">
        <f>IF(AQ23&gt;AQ$145, AQ23-AQ$145,"")</f>
        <v/>
      </c>
      <c r="BU23" s="1" t="str">
        <f>IF(AR23&gt;AR$145, AR23-AR$145,"")</f>
        <v/>
      </c>
      <c r="BV23" s="1" t="str">
        <f>IF(AS23&gt;AS$145, AS23-AS$145,"")</f>
        <v/>
      </c>
      <c r="BW23" s="1" t="str">
        <f>IF(AT23&gt;AT$145, AT23-AT$145,"")</f>
        <v/>
      </c>
      <c r="BX23" s="1" t="str">
        <f>IF(AU23&gt;AU$145, AU23-AU$145,"")</f>
        <v/>
      </c>
      <c r="BY23" s="1" t="str">
        <f>IF(AV23&gt;AV$145, AV23-AV$145,"")</f>
        <v/>
      </c>
      <c r="BZ23" s="1" t="str">
        <f>IF(AW23&gt;AW$145, AW23-AW$145,"")</f>
        <v/>
      </c>
      <c r="CA23" s="1" t="str">
        <f>IF(AX23&gt;AX$145, AX23-AX$145,"")</f>
        <v/>
      </c>
      <c r="CB23" s="1" t="str">
        <f>IF(AY23&gt;AY$145, AY23-AY$145,"")</f>
        <v/>
      </c>
      <c r="CC23" s="1" t="str">
        <f>IF(AZ23&gt;AZ$145, AZ23-AZ$145,"")</f>
        <v/>
      </c>
      <c r="CD23" s="1" t="str">
        <f>IF(BA23&gt;BA$145, BA23-BA$145,"")</f>
        <v/>
      </c>
      <c r="CE23" s="1" t="str">
        <f>IF(BB23&gt;BB$145, BB23-BB$145,"")</f>
        <v/>
      </c>
      <c r="CF23" s="1">
        <f>COUNTIF(BT23:CE23, "&gt;0")</f>
        <v>0</v>
      </c>
      <c r="CG23" s="1" t="str">
        <f>IF($CF23=1,BT23,"")</f>
        <v/>
      </c>
      <c r="CH23" s="1" t="str">
        <f>IF($CF23=1,BU23,"")</f>
        <v/>
      </c>
      <c r="CI23" s="1" t="str">
        <f>IF($CF23=1,BV23,"")</f>
        <v/>
      </c>
      <c r="CJ23" s="1" t="str">
        <f>IF($CF23=1,BW23,"")</f>
        <v/>
      </c>
      <c r="CK23" s="1" t="str">
        <f>IF($CF23=1,BX23,"")</f>
        <v/>
      </c>
      <c r="CL23" s="1" t="str">
        <f>IF($CF23=1,BY23,"")</f>
        <v/>
      </c>
      <c r="CM23" s="1" t="str">
        <f>IF($CF23=1,BZ23,"")</f>
        <v/>
      </c>
      <c r="CN23" s="1" t="str">
        <f>IF($CF23=1,CA23,"")</f>
        <v/>
      </c>
      <c r="CO23" s="1" t="str">
        <f>IF($CF23=1,CB23,"")</f>
        <v/>
      </c>
      <c r="CP23" s="1" t="str">
        <f>IF($CF23=1,CC23,"")</f>
        <v/>
      </c>
      <c r="CQ23" s="1" t="str">
        <f>IF($CF23=1,CD23,"")</f>
        <v/>
      </c>
      <c r="CR23" s="1" t="str">
        <f>IF($CF23=1,CE23,"")</f>
        <v/>
      </c>
      <c r="CS23" s="18">
        <f>SUM(AE23:BO23)</f>
        <v>5</v>
      </c>
    </row>
    <row r="24" spans="1:97" x14ac:dyDescent="0.15">
      <c r="A24" s="1">
        <v>33</v>
      </c>
      <c r="B24" s="1" t="s">
        <v>81</v>
      </c>
      <c r="C24" s="1" t="s">
        <v>31</v>
      </c>
      <c r="D24" s="1" t="s">
        <v>1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1"/>
      <c r="AF24" s="1"/>
      <c r="AG24" s="1"/>
      <c r="AH24" s="1">
        <v>5</v>
      </c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5</v>
      </c>
      <c r="BQ24" s="1">
        <v>5</v>
      </c>
      <c r="BR24" s="17">
        <v>1</v>
      </c>
      <c r="BS24" s="17" t="s">
        <v>253</v>
      </c>
      <c r="BT24" s="1" t="str">
        <f>IF(AQ24&gt;AQ$145, AQ24-AQ$145,"")</f>
        <v/>
      </c>
      <c r="BU24" s="1" t="str">
        <f>IF(AR24&gt;AR$145, AR24-AR$145,"")</f>
        <v/>
      </c>
      <c r="BV24" s="1" t="str">
        <f>IF(AS24&gt;AS$145, AS24-AS$145,"")</f>
        <v/>
      </c>
      <c r="BW24" s="1" t="str">
        <f>IF(AT24&gt;AT$145, AT24-AT$145,"")</f>
        <v/>
      </c>
      <c r="BX24" s="1" t="str">
        <f>IF(AU24&gt;AU$145, AU24-AU$145,"")</f>
        <v/>
      </c>
      <c r="BY24" s="1" t="str">
        <f>IF(AV24&gt;AV$145, AV24-AV$145,"")</f>
        <v/>
      </c>
      <c r="BZ24" s="1" t="str">
        <f>IF(AW24&gt;AW$145, AW24-AW$145,"")</f>
        <v/>
      </c>
      <c r="CA24" s="1" t="str">
        <f>IF(AX24&gt;AX$145, AX24-AX$145,"")</f>
        <v/>
      </c>
      <c r="CB24" s="1" t="str">
        <f>IF(AY24&gt;AY$145, AY24-AY$145,"")</f>
        <v/>
      </c>
      <c r="CC24" s="1" t="str">
        <f>IF(AZ24&gt;AZ$145, AZ24-AZ$145,"")</f>
        <v/>
      </c>
      <c r="CD24" s="1" t="str">
        <f>IF(BA24&gt;BA$145, BA24-BA$145,"")</f>
        <v/>
      </c>
      <c r="CE24" s="1" t="str">
        <f>IF(BB24&gt;BB$145, BB24-BB$145,"")</f>
        <v/>
      </c>
      <c r="CF24" s="1">
        <f>COUNTIF(BT24:CE24, "&gt;0")</f>
        <v>0</v>
      </c>
      <c r="CG24" s="1" t="str">
        <f>IF($CF24=1,BT24,"")</f>
        <v/>
      </c>
      <c r="CH24" s="1" t="str">
        <f>IF($CF24=1,BU24,"")</f>
        <v/>
      </c>
      <c r="CI24" s="1" t="str">
        <f>IF($CF24=1,BV24,"")</f>
        <v/>
      </c>
      <c r="CJ24" s="1" t="str">
        <f>IF($CF24=1,BW24,"")</f>
        <v/>
      </c>
      <c r="CK24" s="1" t="str">
        <f>IF($CF24=1,BX24,"")</f>
        <v/>
      </c>
      <c r="CL24" s="1" t="str">
        <f>IF($CF24=1,BY24,"")</f>
        <v/>
      </c>
      <c r="CM24" s="1" t="str">
        <f>IF($CF24=1,BZ24,"")</f>
        <v/>
      </c>
      <c r="CN24" s="1" t="str">
        <f>IF($CF24=1,CA24,"")</f>
        <v/>
      </c>
      <c r="CO24" s="1" t="str">
        <f>IF($CF24=1,CB24,"")</f>
        <v/>
      </c>
      <c r="CP24" s="1" t="str">
        <f>IF($CF24=1,CC24,"")</f>
        <v/>
      </c>
      <c r="CQ24" s="1" t="str">
        <f>IF($CF24=1,CD24,"")</f>
        <v/>
      </c>
      <c r="CR24" s="1" t="str">
        <f>IF($CF24=1,CE24,"")</f>
        <v/>
      </c>
      <c r="CS24" s="18">
        <f>SUM(AE24:BO24)</f>
        <v>5</v>
      </c>
    </row>
    <row r="25" spans="1:97" x14ac:dyDescent="0.15">
      <c r="A25" s="1">
        <v>63</v>
      </c>
      <c r="B25" s="3" t="s">
        <v>64</v>
      </c>
      <c r="C25" s="1" t="s">
        <v>59</v>
      </c>
      <c r="D25" s="1" t="s">
        <v>24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1"/>
      <c r="AF25" s="1"/>
      <c r="AG25" s="1"/>
      <c r="AH25" s="1"/>
      <c r="AI25" s="1"/>
      <c r="AJ25" s="1"/>
      <c r="AK25" s="1"/>
      <c r="AL25" s="1"/>
      <c r="AM25" s="1"/>
      <c r="AN25" s="1">
        <v>5</v>
      </c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5</v>
      </c>
      <c r="BQ25" s="1">
        <v>5</v>
      </c>
      <c r="BR25" s="17">
        <v>1</v>
      </c>
      <c r="BS25" s="17" t="s">
        <v>254</v>
      </c>
      <c r="BT25" s="1" t="str">
        <f>IF(AQ25&gt;AQ$145, AQ25-AQ$145,"")</f>
        <v/>
      </c>
      <c r="BU25" s="1" t="str">
        <f>IF(AR25&gt;AR$145, AR25-AR$145,"")</f>
        <v/>
      </c>
      <c r="BV25" s="1" t="str">
        <f>IF(AS25&gt;AS$145, AS25-AS$145,"")</f>
        <v/>
      </c>
      <c r="BW25" s="1" t="str">
        <f>IF(AT25&gt;AT$145, AT25-AT$145,"")</f>
        <v/>
      </c>
      <c r="BX25" s="1" t="str">
        <f>IF(AU25&gt;AU$145, AU25-AU$145,"")</f>
        <v/>
      </c>
      <c r="BY25" s="1" t="str">
        <f>IF(AV25&gt;AV$145, AV25-AV$145,"")</f>
        <v/>
      </c>
      <c r="BZ25" s="1" t="str">
        <f>IF(AW25&gt;AW$145, AW25-AW$145,"")</f>
        <v/>
      </c>
      <c r="CA25" s="1" t="str">
        <f>IF(AX25&gt;AX$145, AX25-AX$145,"")</f>
        <v/>
      </c>
      <c r="CB25" s="1" t="str">
        <f>IF(AY25&gt;AY$145, AY25-AY$145,"")</f>
        <v/>
      </c>
      <c r="CC25" s="1" t="str">
        <f>IF(AZ25&gt;AZ$145, AZ25-AZ$145,"")</f>
        <v/>
      </c>
      <c r="CD25" s="1" t="str">
        <f>IF(BA25&gt;BA$145, BA25-BA$145,"")</f>
        <v/>
      </c>
      <c r="CE25" s="1" t="str">
        <f>IF(BB25&gt;BB$145, BB25-BB$145,"")</f>
        <v/>
      </c>
      <c r="CF25" s="1">
        <f>COUNTIF(BT25:CE25, "&gt;0")</f>
        <v>0</v>
      </c>
      <c r="CG25" s="1" t="str">
        <f>IF($CF25=1,BT25,"")</f>
        <v/>
      </c>
      <c r="CH25" s="1" t="str">
        <f>IF($CF25=1,BU25,"")</f>
        <v/>
      </c>
      <c r="CI25" s="1" t="str">
        <f>IF($CF25=1,BV25,"")</f>
        <v/>
      </c>
      <c r="CJ25" s="1" t="str">
        <f>IF($CF25=1,BW25,"")</f>
        <v/>
      </c>
      <c r="CK25" s="1" t="str">
        <f>IF($CF25=1,BX25,"")</f>
        <v/>
      </c>
      <c r="CL25" s="1" t="str">
        <f>IF($CF25=1,BY25,"")</f>
        <v/>
      </c>
      <c r="CM25" s="1" t="str">
        <f>IF($CF25=1,BZ25,"")</f>
        <v/>
      </c>
      <c r="CN25" s="1" t="str">
        <f>IF($CF25=1,CA25,"")</f>
        <v/>
      </c>
      <c r="CO25" s="1" t="str">
        <f>IF($CF25=1,CB25,"")</f>
        <v/>
      </c>
      <c r="CP25" s="1" t="str">
        <f>IF($CF25=1,CC25,"")</f>
        <v/>
      </c>
      <c r="CQ25" s="1" t="str">
        <f>IF($CF25=1,CD25,"")</f>
        <v/>
      </c>
      <c r="CR25" s="1" t="str">
        <f>IF($CF25=1,CE25,"")</f>
        <v/>
      </c>
      <c r="CS25" s="18">
        <f>SUM(AE25:BO25)</f>
        <v>5</v>
      </c>
    </row>
    <row r="26" spans="1:97" x14ac:dyDescent="0.15">
      <c r="A26" s="1">
        <v>90</v>
      </c>
      <c r="B26" s="3" t="s">
        <v>85</v>
      </c>
      <c r="C26" s="3" t="s">
        <v>84</v>
      </c>
      <c r="D26" s="1" t="s">
        <v>24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1"/>
      <c r="AF26" s="1"/>
      <c r="AG26" s="1"/>
      <c r="AH26" s="1"/>
      <c r="AI26" s="1"/>
      <c r="AJ26" s="1"/>
      <c r="AK26" s="1"/>
      <c r="AL26" s="1"/>
      <c r="AM26" s="1"/>
      <c r="AN26" s="1">
        <v>5</v>
      </c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5</v>
      </c>
      <c r="BQ26" s="1">
        <v>5</v>
      </c>
      <c r="BR26" s="17">
        <v>1</v>
      </c>
      <c r="BS26" s="17" t="s">
        <v>213</v>
      </c>
      <c r="BT26" s="1" t="str">
        <f>IF(AQ26&gt;AQ$145, AQ26-AQ$145,"")</f>
        <v/>
      </c>
      <c r="BU26" s="1" t="str">
        <f>IF(AR26&gt;AR$145, AR26-AR$145,"")</f>
        <v/>
      </c>
      <c r="BV26" s="1" t="str">
        <f>IF(AS26&gt;AS$145, AS26-AS$145,"")</f>
        <v/>
      </c>
      <c r="BW26" s="1" t="str">
        <f>IF(AT26&gt;AT$145, AT26-AT$145,"")</f>
        <v/>
      </c>
      <c r="BX26" s="1" t="str">
        <f>IF(AU26&gt;AU$145, AU26-AU$145,"")</f>
        <v/>
      </c>
      <c r="BY26" s="1" t="str">
        <f>IF(AV26&gt;AV$145, AV26-AV$145,"")</f>
        <v/>
      </c>
      <c r="BZ26" s="1" t="str">
        <f>IF(AW26&gt;AW$145, AW26-AW$145,"")</f>
        <v/>
      </c>
      <c r="CA26" s="1" t="str">
        <f>IF(AX26&gt;AX$145, AX26-AX$145,"")</f>
        <v/>
      </c>
      <c r="CB26" s="1" t="str">
        <f>IF(AY26&gt;AY$145, AY26-AY$145,"")</f>
        <v/>
      </c>
      <c r="CC26" s="1" t="str">
        <f>IF(AZ26&gt;AZ$145, AZ26-AZ$145,"")</f>
        <v/>
      </c>
      <c r="CD26" s="1" t="str">
        <f>IF(BA26&gt;BA$145, BA26-BA$145,"")</f>
        <v/>
      </c>
      <c r="CE26" s="1" t="str">
        <f>IF(BB26&gt;BB$145, BB26-BB$145,"")</f>
        <v/>
      </c>
      <c r="CF26" s="1">
        <f>COUNTIF(BT26:CE26, "&gt;0")</f>
        <v>0</v>
      </c>
      <c r="CG26" s="1" t="str">
        <f>IF($CF26=1,BT26,"")</f>
        <v/>
      </c>
      <c r="CH26" s="1" t="str">
        <f>IF($CF26=1,BU26,"")</f>
        <v/>
      </c>
      <c r="CI26" s="1" t="str">
        <f>IF($CF26=1,BV26,"")</f>
        <v/>
      </c>
      <c r="CJ26" s="1" t="str">
        <f>IF($CF26=1,BW26,"")</f>
        <v/>
      </c>
      <c r="CK26" s="1" t="str">
        <f>IF($CF26=1,BX26,"")</f>
        <v/>
      </c>
      <c r="CL26" s="1" t="str">
        <f>IF($CF26=1,BY26,"")</f>
        <v/>
      </c>
      <c r="CM26" s="1" t="str">
        <f>IF($CF26=1,BZ26,"")</f>
        <v/>
      </c>
      <c r="CN26" s="1" t="str">
        <f>IF($CF26=1,CA26,"")</f>
        <v/>
      </c>
      <c r="CO26" s="1" t="str">
        <f>IF($CF26=1,CB26,"")</f>
        <v/>
      </c>
      <c r="CP26" s="1" t="str">
        <f>IF($CF26=1,CC26,"")</f>
        <v/>
      </c>
      <c r="CQ26" s="1" t="str">
        <f>IF($CF26=1,CD26,"")</f>
        <v/>
      </c>
      <c r="CR26" s="1" t="str">
        <f>IF($CF26=1,CE26,"")</f>
        <v/>
      </c>
      <c r="CS26" s="18">
        <f>SUM(AE26:BO26)</f>
        <v>5</v>
      </c>
    </row>
    <row r="27" spans="1:97" x14ac:dyDescent="0.15">
      <c r="A27" s="1"/>
      <c r="B27" s="1" t="s">
        <v>124</v>
      </c>
      <c r="C27" s="1" t="s">
        <v>122</v>
      </c>
      <c r="D27" s="1" t="s">
        <v>118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1"/>
      <c r="AF27" s="1"/>
      <c r="AG27" s="1"/>
      <c r="AH27" s="1">
        <v>5</v>
      </c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5</v>
      </c>
      <c r="BQ27" s="1">
        <v>5</v>
      </c>
      <c r="BR27" s="17">
        <v>1</v>
      </c>
      <c r="BS27" s="17" t="s">
        <v>253</v>
      </c>
      <c r="BT27" s="1" t="str">
        <f>IF(AQ27&gt;AQ$145, AQ27-AQ$145,"")</f>
        <v/>
      </c>
      <c r="BU27" s="1" t="str">
        <f>IF(AR27&gt;AR$145, AR27-AR$145,"")</f>
        <v/>
      </c>
      <c r="BV27" s="1" t="str">
        <f>IF(AS27&gt;AS$145, AS27-AS$145,"")</f>
        <v/>
      </c>
      <c r="BW27" s="1" t="str">
        <f>IF(AT27&gt;AT$145, AT27-AT$145,"")</f>
        <v/>
      </c>
      <c r="BX27" s="1" t="str">
        <f>IF(AU27&gt;AU$145, AU27-AU$145,"")</f>
        <v/>
      </c>
      <c r="BY27" s="1" t="str">
        <f>IF(AV27&gt;AV$145, AV27-AV$145,"")</f>
        <v/>
      </c>
      <c r="BZ27" s="1" t="str">
        <f>IF(AW27&gt;AW$145, AW27-AW$145,"")</f>
        <v/>
      </c>
      <c r="CA27" s="1" t="str">
        <f>IF(AX27&gt;AX$145, AX27-AX$145,"")</f>
        <v/>
      </c>
      <c r="CB27" s="1" t="str">
        <f>IF(AY27&gt;AY$145, AY27-AY$145,"")</f>
        <v/>
      </c>
      <c r="CC27" s="1" t="str">
        <f>IF(AZ27&gt;AZ$145, AZ27-AZ$145,"")</f>
        <v/>
      </c>
      <c r="CD27" s="1" t="str">
        <f>IF(BA27&gt;BA$145, BA27-BA$145,"")</f>
        <v/>
      </c>
      <c r="CE27" s="1" t="str">
        <f>IF(BB27&gt;BB$145, BB27-BB$145,"")</f>
        <v/>
      </c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8"/>
    </row>
    <row r="28" spans="1:97" x14ac:dyDescent="0.15">
      <c r="A28" s="1"/>
      <c r="B28" s="1" t="s">
        <v>124</v>
      </c>
      <c r="C28" s="1" t="s">
        <v>122</v>
      </c>
      <c r="D28" s="1" t="s">
        <v>112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1"/>
      <c r="AF28" s="1"/>
      <c r="AG28" s="1"/>
      <c r="AH28" s="1"/>
      <c r="AI28" s="1">
        <v>5</v>
      </c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5</v>
      </c>
      <c r="BQ28" s="1">
        <v>5</v>
      </c>
      <c r="BR28" s="17">
        <v>1</v>
      </c>
      <c r="BS28" s="17" t="s">
        <v>212</v>
      </c>
      <c r="BT28" s="1" t="str">
        <f>IF(AQ28&gt;AQ$145, AQ28-AQ$145,"")</f>
        <v/>
      </c>
      <c r="BU28" s="1" t="str">
        <f>IF(AR28&gt;AR$145, AR28-AR$145,"")</f>
        <v/>
      </c>
      <c r="BV28" s="1" t="str">
        <f>IF(AS28&gt;AS$145, AS28-AS$145,"")</f>
        <v/>
      </c>
      <c r="BW28" s="1" t="str">
        <f>IF(AT28&gt;AT$145, AT28-AT$145,"")</f>
        <v/>
      </c>
      <c r="BX28" s="1" t="str">
        <f>IF(AU28&gt;AU$145, AU28-AU$145,"")</f>
        <v/>
      </c>
      <c r="BY28" s="1" t="str">
        <f>IF(AV28&gt;AV$145, AV28-AV$145,"")</f>
        <v/>
      </c>
      <c r="BZ28" s="1" t="str">
        <f>IF(AW28&gt;AW$145, AW28-AW$145,"")</f>
        <v/>
      </c>
      <c r="CA28" s="1" t="str">
        <f>IF(AX28&gt;AX$145, AX28-AX$145,"")</f>
        <v/>
      </c>
      <c r="CB28" s="1" t="str">
        <f>IF(AY28&gt;AY$145, AY28-AY$145,"")</f>
        <v/>
      </c>
      <c r="CC28" s="1" t="str">
        <f>IF(AZ28&gt;AZ$145, AZ28-AZ$145,"")</f>
        <v/>
      </c>
      <c r="CD28" s="1" t="str">
        <f>IF(BA28&gt;BA$145, BA28-BA$145,"")</f>
        <v/>
      </c>
      <c r="CE28" s="1" t="str">
        <f>IF(BB28&gt;BB$145, BB28-BB$145,"")</f>
        <v/>
      </c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8"/>
    </row>
    <row r="29" spans="1:97" x14ac:dyDescent="0.15">
      <c r="A29" s="1">
        <v>68</v>
      </c>
      <c r="B29" s="3" t="s">
        <v>107</v>
      </c>
      <c r="C29" s="1" t="s">
        <v>59</v>
      </c>
      <c r="D29" s="1" t="s">
        <v>13</v>
      </c>
      <c r="E29" s="6"/>
      <c r="F29" s="6">
        <v>6</v>
      </c>
      <c r="G29" s="6"/>
      <c r="H29" s="6"/>
      <c r="I29" s="6"/>
      <c r="J29" s="6"/>
      <c r="K29" s="6"/>
      <c r="L29" s="6"/>
      <c r="M29" s="6"/>
      <c r="N29" s="6">
        <v>6</v>
      </c>
      <c r="O29" s="6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>
        <v>10</v>
      </c>
      <c r="AW29" s="2"/>
      <c r="AX29" s="2"/>
      <c r="AY29" s="2"/>
      <c r="AZ29" s="2"/>
      <c r="BA29" s="2"/>
      <c r="BB29" s="2">
        <v>10</v>
      </c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32</v>
      </c>
      <c r="BQ29" s="1">
        <v>5</v>
      </c>
      <c r="BR29" s="17">
        <v>1</v>
      </c>
      <c r="BS29" s="17" t="s">
        <v>262</v>
      </c>
      <c r="BT29" s="1" t="str">
        <f>IF(AQ29&gt;AQ$145, AQ29-AQ$145,"")</f>
        <v/>
      </c>
      <c r="BU29" s="1" t="str">
        <f>IF(AR29&gt;AR$145, AR29-AR$145,"")</f>
        <v/>
      </c>
      <c r="BV29" s="1" t="str">
        <f>IF(AS29&gt;AS$145, AS29-AS$145,"")</f>
        <v/>
      </c>
      <c r="BW29" s="1" t="str">
        <f>IF(AT29&gt;AT$145, AT29-AT$145,"")</f>
        <v/>
      </c>
      <c r="BX29" s="1" t="str">
        <f>IF(AU29&gt;AU$145, AU29-AU$145,"")</f>
        <v/>
      </c>
      <c r="BY29" s="1" t="str">
        <f>IF(AV29&gt;AV$145, AV29-AV$145,"")</f>
        <v/>
      </c>
      <c r="BZ29" s="1" t="str">
        <f>IF(AW29&gt;AW$145, AW29-AW$145,"")</f>
        <v/>
      </c>
      <c r="CA29" s="1" t="str">
        <f>IF(AX29&gt;AX$145, AX29-AX$145,"")</f>
        <v/>
      </c>
      <c r="CB29" s="1" t="str">
        <f>IF(AY29&gt;AY$145, AY29-AY$145,"")</f>
        <v/>
      </c>
      <c r="CC29" s="1" t="str">
        <f>IF(AZ29&gt;AZ$145, AZ29-AZ$145,"")</f>
        <v/>
      </c>
      <c r="CD29" s="1" t="str">
        <f>IF(BA29&gt;BA$145, BA29-BA$145,"")</f>
        <v/>
      </c>
      <c r="CE29" s="1" t="str">
        <f>IF(BB29&gt;BB$145, BB29-BB$145,"")</f>
        <v/>
      </c>
      <c r="CF29" s="1">
        <f>COUNTIF(BT29:CE29, "&gt;0")</f>
        <v>0</v>
      </c>
      <c r="CG29" s="1" t="str">
        <f>IF($CF29=1,BT29,"")</f>
        <v/>
      </c>
      <c r="CH29" s="1" t="str">
        <f>IF($CF29=1,BU29,"")</f>
        <v/>
      </c>
      <c r="CI29" s="1" t="str">
        <f>IF($CF29=1,BV29,"")</f>
        <v/>
      </c>
      <c r="CJ29" s="1" t="str">
        <f>IF($CF29=1,BW29,"")</f>
        <v/>
      </c>
      <c r="CK29" s="1" t="str">
        <f>IF($CF29=1,BX29,"")</f>
        <v/>
      </c>
      <c r="CL29" s="1" t="str">
        <f>IF($CF29=1,BY29,"")</f>
        <v/>
      </c>
      <c r="CM29" s="1" t="str">
        <f>IF($CF29=1,BZ29,"")</f>
        <v/>
      </c>
      <c r="CN29" s="1" t="str">
        <f>IF($CF29=1,CA29,"")</f>
        <v/>
      </c>
      <c r="CO29" s="1" t="str">
        <f>IF($CF29=1,CB29,"")</f>
        <v/>
      </c>
      <c r="CP29" s="1" t="str">
        <f>IF($CF29=1,CC29,"")</f>
        <v/>
      </c>
      <c r="CQ29" s="1" t="str">
        <f>IF($CF29=1,CD29,"")</f>
        <v/>
      </c>
      <c r="CR29" s="1" t="str">
        <f>IF($CF29=1,CE29,"")</f>
        <v/>
      </c>
      <c r="CS29" s="18">
        <f>SUM(AE29:BO29)</f>
        <v>20</v>
      </c>
    </row>
    <row r="30" spans="1:97" x14ac:dyDescent="0.15">
      <c r="A30" s="1">
        <v>34</v>
      </c>
      <c r="B30" s="1" t="s">
        <v>47</v>
      </c>
      <c r="C30" s="1" t="s">
        <v>48</v>
      </c>
      <c r="D30" s="1" t="s">
        <v>25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>
        <v>15</v>
      </c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>
        <v>15</v>
      </c>
      <c r="BC30" s="14"/>
      <c r="BD30" s="1"/>
      <c r="BE30" s="1"/>
      <c r="BF30" s="1"/>
      <c r="BG30" s="1"/>
      <c r="BH30" s="1">
        <v>15</v>
      </c>
      <c r="BI30" s="1">
        <v>15</v>
      </c>
      <c r="BJ30" s="1"/>
      <c r="BK30" s="1"/>
      <c r="BL30" s="1"/>
      <c r="BM30" s="1"/>
      <c r="BN30" s="1"/>
      <c r="BO30" s="1"/>
      <c r="BP30" s="1">
        <f>SUM(E30:BO30)</f>
        <v>60</v>
      </c>
      <c r="BQ30" s="1">
        <v>6</v>
      </c>
      <c r="BR30" s="17">
        <v>1</v>
      </c>
      <c r="BS30" s="17" t="s">
        <v>215</v>
      </c>
      <c r="BT30" s="1">
        <f>IF(AQ30&gt;AQ$145, AQ30-AQ$145,"")</f>
        <v>6</v>
      </c>
      <c r="BU30" s="1" t="str">
        <f>IF(AR30&gt;AR$145, AR30-AR$145,"")</f>
        <v/>
      </c>
      <c r="BV30" s="1" t="str">
        <f>IF(AS30&gt;AS$145, AS30-AS$145,"")</f>
        <v/>
      </c>
      <c r="BW30" s="1" t="str">
        <f>IF(AT30&gt;AT$145, AT30-AT$145,"")</f>
        <v/>
      </c>
      <c r="BX30" s="1" t="str">
        <f>IF(AU30&gt;AU$145, AU30-AU$145,"")</f>
        <v/>
      </c>
      <c r="BY30" s="1" t="str">
        <f>IF(AV30&gt;AV$145, AV30-AV$145,"")</f>
        <v/>
      </c>
      <c r="BZ30" s="1" t="str">
        <f>IF(AW30&gt;AW$145, AW30-AW$145,"")</f>
        <v/>
      </c>
      <c r="CA30" s="1" t="str">
        <f>IF(AX30&gt;AX$145, AX30-AX$145,"")</f>
        <v/>
      </c>
      <c r="CB30" s="1" t="str">
        <f>IF(AY30&gt;AY$145, AY30-AY$145,"")</f>
        <v/>
      </c>
      <c r="CC30" s="1" t="str">
        <f>IF(AZ30&gt;AZ$145, AZ30-AZ$145,"")</f>
        <v/>
      </c>
      <c r="CD30" s="1" t="str">
        <f>IF(BA30&gt;BA$145, BA30-BA$145,"")</f>
        <v/>
      </c>
      <c r="CE30" s="1" t="str">
        <f>IF(BB30&gt;BB$145, BB30-BB$145,"")</f>
        <v/>
      </c>
      <c r="CF30" s="1">
        <f>COUNTIF(BT30:CE30, "&gt;0")</f>
        <v>1</v>
      </c>
      <c r="CG30" s="1">
        <f>IF($CF30=1,BT30,"")</f>
        <v>6</v>
      </c>
      <c r="CH30" s="1" t="str">
        <f>IF($CF30=1,BU30,"")</f>
        <v/>
      </c>
      <c r="CI30" s="1" t="str">
        <f>IF($CF30=1,BV30,"")</f>
        <v/>
      </c>
      <c r="CJ30" s="1" t="str">
        <f>IF($CF30=1,BW30,"")</f>
        <v/>
      </c>
      <c r="CK30" s="1" t="str">
        <f>IF($CF30=1,BX30,"")</f>
        <v/>
      </c>
      <c r="CL30" s="1" t="str">
        <f>IF($CF30=1,BY30,"")</f>
        <v/>
      </c>
      <c r="CM30" s="1" t="str">
        <f>IF($CF30=1,BZ30,"")</f>
        <v/>
      </c>
      <c r="CN30" s="1" t="str">
        <f>IF($CF30=1,CA30,"")</f>
        <v/>
      </c>
      <c r="CO30" s="1" t="str">
        <f>IF($CF30=1,CB30,"")</f>
        <v/>
      </c>
      <c r="CP30" s="1" t="str">
        <f>IF($CF30=1,CC30,"")</f>
        <v/>
      </c>
      <c r="CQ30" s="1" t="str">
        <f>IF($CF30=1,CD30,"")</f>
        <v/>
      </c>
      <c r="CR30" s="1" t="str">
        <f>IF($CF30=1,CE30,"")</f>
        <v/>
      </c>
      <c r="CS30" s="18">
        <f>SUM(AE30:BO30)</f>
        <v>60</v>
      </c>
    </row>
    <row r="31" spans="1:97" x14ac:dyDescent="0.15">
      <c r="A31" s="1"/>
      <c r="B31" s="1" t="s">
        <v>191</v>
      </c>
      <c r="C31" s="1" t="s">
        <v>110</v>
      </c>
      <c r="D31" s="1" t="s">
        <v>111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>
        <v>15</v>
      </c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>
        <v>15</v>
      </c>
      <c r="BC31" s="14"/>
      <c r="BD31" s="1"/>
      <c r="BE31" s="1"/>
      <c r="BF31" s="1"/>
      <c r="BG31" s="1"/>
      <c r="BH31" s="1">
        <v>15</v>
      </c>
      <c r="BI31" s="1">
        <v>15</v>
      </c>
      <c r="BJ31" s="1"/>
      <c r="BK31" s="1"/>
      <c r="BL31" s="1"/>
      <c r="BM31" s="1"/>
      <c r="BN31" s="1"/>
      <c r="BO31" s="1"/>
      <c r="BP31" s="1">
        <f>SUM(E31:BO31)</f>
        <v>60</v>
      </c>
      <c r="BQ31" s="1">
        <v>6</v>
      </c>
      <c r="BR31" s="17">
        <v>1</v>
      </c>
      <c r="BS31" s="17" t="s">
        <v>215</v>
      </c>
      <c r="BT31" s="1">
        <f>IF(AQ31&gt;AQ$145, AQ31-AQ$145,"")</f>
        <v>6</v>
      </c>
      <c r="BU31" s="1" t="str">
        <f>IF(AR31&gt;AR$145, AR31-AR$145,"")</f>
        <v/>
      </c>
      <c r="BV31" s="1" t="str">
        <f>IF(AS31&gt;AS$145, AS31-AS$145,"")</f>
        <v/>
      </c>
      <c r="BW31" s="1" t="str">
        <f>IF(AT31&gt;AT$145, AT31-AT$145,"")</f>
        <v/>
      </c>
      <c r="BX31" s="1" t="str">
        <f>IF(AU31&gt;AU$145, AU31-AU$145,"")</f>
        <v/>
      </c>
      <c r="BY31" s="1" t="str">
        <f>IF(AV31&gt;AV$145, AV31-AV$145,"")</f>
        <v/>
      </c>
      <c r="BZ31" s="1" t="str">
        <f>IF(AW31&gt;AW$145, AW31-AW$145,"")</f>
        <v/>
      </c>
      <c r="CA31" s="1" t="str">
        <f>IF(AX31&gt;AX$145, AX31-AX$145,"")</f>
        <v/>
      </c>
      <c r="CB31" s="1" t="str">
        <f>IF(AY31&gt;AY$145, AY31-AY$145,"")</f>
        <v/>
      </c>
      <c r="CC31" s="1" t="str">
        <f>IF(AZ31&gt;AZ$145, AZ31-AZ$145,"")</f>
        <v/>
      </c>
      <c r="CD31" s="1" t="str">
        <f>IF(BA31&gt;BA$145, BA31-BA$145,"")</f>
        <v/>
      </c>
      <c r="CE31" s="1" t="str">
        <f>IF(BB31&gt;BB$145, BB31-BB$145,"")</f>
        <v/>
      </c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8"/>
    </row>
    <row r="32" spans="1:97" x14ac:dyDescent="0.15">
      <c r="A32" s="1">
        <v>69</v>
      </c>
      <c r="B32" s="3" t="s">
        <v>66</v>
      </c>
      <c r="C32" s="1" t="s">
        <v>59</v>
      </c>
      <c r="D32" s="1" t="s">
        <v>13</v>
      </c>
      <c r="E32" s="6"/>
      <c r="F32" s="6"/>
      <c r="G32" s="6"/>
      <c r="H32" s="6">
        <v>6</v>
      </c>
      <c r="I32" s="6">
        <v>6</v>
      </c>
      <c r="J32" s="6"/>
      <c r="K32" s="6"/>
      <c r="L32" s="6"/>
      <c r="M32" s="6"/>
      <c r="N32" s="6"/>
      <c r="O32" s="6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>
        <v>10</v>
      </c>
      <c r="AW32" s="2"/>
      <c r="AX32" s="2">
        <v>10</v>
      </c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32</v>
      </c>
      <c r="BQ32" s="1">
        <v>6</v>
      </c>
      <c r="BR32" s="17">
        <v>1</v>
      </c>
      <c r="BS32" s="17" t="s">
        <v>266</v>
      </c>
      <c r="BT32" s="1" t="str">
        <f>IF(AQ32&gt;AQ$145, AQ32-AQ$145,"")</f>
        <v/>
      </c>
      <c r="BU32" s="1" t="str">
        <f>IF(AR32&gt;AR$145, AR32-AR$145,"")</f>
        <v/>
      </c>
      <c r="BV32" s="1" t="str">
        <f>IF(AS32&gt;AS$145, AS32-AS$145,"")</f>
        <v/>
      </c>
      <c r="BW32" s="1" t="str">
        <f>IF(AT32&gt;AT$145, AT32-AT$145,"")</f>
        <v/>
      </c>
      <c r="BX32" s="1" t="str">
        <f>IF(AU32&gt;AU$145, AU32-AU$145,"")</f>
        <v/>
      </c>
      <c r="BY32" s="1" t="str">
        <f>IF(AV32&gt;AV$145, AV32-AV$145,"")</f>
        <v/>
      </c>
      <c r="BZ32" s="1" t="str">
        <f>IF(AW32&gt;AW$145, AW32-AW$145,"")</f>
        <v/>
      </c>
      <c r="CA32" s="1" t="str">
        <f>IF(AX32&gt;AX$145, AX32-AX$145,"")</f>
        <v/>
      </c>
      <c r="CB32" s="1" t="str">
        <f>IF(AY32&gt;AY$145, AY32-AY$145,"")</f>
        <v/>
      </c>
      <c r="CC32" s="1" t="str">
        <f>IF(AZ32&gt;AZ$145, AZ32-AZ$145,"")</f>
        <v/>
      </c>
      <c r="CD32" s="1" t="str">
        <f>IF(BA32&gt;BA$145, BA32-BA$145,"")</f>
        <v/>
      </c>
      <c r="CE32" s="1" t="str">
        <f>IF(BB32&gt;BB$145, BB32-BB$145,"")</f>
        <v/>
      </c>
      <c r="CF32" s="1">
        <f>COUNTIF(BT32:CE32, "&gt;0")</f>
        <v>0</v>
      </c>
      <c r="CG32" s="1" t="str">
        <f>IF($CF32=1,BT32,"")</f>
        <v/>
      </c>
      <c r="CH32" s="1" t="str">
        <f>IF($CF32=1,BU32,"")</f>
        <v/>
      </c>
      <c r="CI32" s="1" t="str">
        <f>IF($CF32=1,BV32,"")</f>
        <v/>
      </c>
      <c r="CJ32" s="1" t="str">
        <f>IF($CF32=1,BW32,"")</f>
        <v/>
      </c>
      <c r="CK32" s="1" t="str">
        <f>IF($CF32=1,BX32,"")</f>
        <v/>
      </c>
      <c r="CL32" s="1" t="str">
        <f>IF($CF32=1,BY32,"")</f>
        <v/>
      </c>
      <c r="CM32" s="1" t="str">
        <f>IF($CF32=1,BZ32,"")</f>
        <v/>
      </c>
      <c r="CN32" s="1" t="str">
        <f>IF($CF32=1,CA32,"")</f>
        <v/>
      </c>
      <c r="CO32" s="1" t="str">
        <f>IF($CF32=1,CB32,"")</f>
        <v/>
      </c>
      <c r="CP32" s="1" t="str">
        <f>IF($CF32=1,CC32,"")</f>
        <v/>
      </c>
      <c r="CQ32" s="1" t="str">
        <f>IF($CF32=1,CD32,"")</f>
        <v/>
      </c>
      <c r="CR32" s="1" t="str">
        <f>IF($CF32=1,CE32,"")</f>
        <v/>
      </c>
      <c r="CS32" s="18">
        <f>SUM(AE32:BO32)</f>
        <v>20</v>
      </c>
    </row>
    <row r="33" spans="1:97" s="25" customFormat="1" x14ac:dyDescent="0.15">
      <c r="A33" s="1">
        <v>94</v>
      </c>
      <c r="B33" s="3" t="s">
        <v>87</v>
      </c>
      <c r="C33" s="3" t="s">
        <v>73</v>
      </c>
      <c r="D33" s="1" t="s">
        <v>1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>
        <v>10</v>
      </c>
      <c r="BB33" s="2">
        <v>10</v>
      </c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20</v>
      </c>
      <c r="BQ33" s="1">
        <v>7</v>
      </c>
      <c r="BR33" s="17">
        <v>1</v>
      </c>
      <c r="BS33" s="17" t="s">
        <v>257</v>
      </c>
      <c r="BT33" s="1" t="str">
        <f>IF(AQ33&gt;AQ$145, AQ33-AQ$145,"")</f>
        <v/>
      </c>
      <c r="BU33" s="1" t="str">
        <f>IF(AR33&gt;AR$145, AR33-AR$145,"")</f>
        <v/>
      </c>
      <c r="BV33" s="1" t="str">
        <f>IF(AS33&gt;AS$145, AS33-AS$145,"")</f>
        <v/>
      </c>
      <c r="BW33" s="1" t="str">
        <f>IF(AT33&gt;AT$145, AT33-AT$145,"")</f>
        <v/>
      </c>
      <c r="BX33" s="1" t="str">
        <f>IF(AU33&gt;AU$145, AU33-AU$145,"")</f>
        <v/>
      </c>
      <c r="BY33" s="1" t="str">
        <f>IF(AV33&gt;AV$145, AV33-AV$145,"")</f>
        <v/>
      </c>
      <c r="BZ33" s="1" t="str">
        <f>IF(AW33&gt;AW$145, AW33-AW$145,"")</f>
        <v/>
      </c>
      <c r="CA33" s="1" t="str">
        <f>IF(AX33&gt;AX$145, AX33-AX$145,"")</f>
        <v/>
      </c>
      <c r="CB33" s="1" t="str">
        <f>IF(AY33&gt;AY$145, AY33-AY$145,"")</f>
        <v/>
      </c>
      <c r="CC33" s="1" t="str">
        <f>IF(AZ33&gt;AZ$145, AZ33-AZ$145,"")</f>
        <v/>
      </c>
      <c r="CD33" s="1">
        <f>IF(BA33&gt;BA$145, BA33-BA$145,"")</f>
        <v>7</v>
      </c>
      <c r="CE33" s="1" t="str">
        <f>IF(BB33&gt;BB$145, BB33-BB$145,"")</f>
        <v/>
      </c>
      <c r="CF33" s="1">
        <f>COUNTIF(BT33:CE33, "&gt;0")</f>
        <v>1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>
        <f>IF($CF33=1,CD33,"")</f>
        <v>7</v>
      </c>
      <c r="CR33" s="1" t="str">
        <f>IF($CF33=1,CE33,"")</f>
        <v/>
      </c>
      <c r="CS33" s="18">
        <f>SUM(AE33:BO33)</f>
        <v>20</v>
      </c>
    </row>
    <row r="34" spans="1:97" x14ac:dyDescent="0.15">
      <c r="A34" s="1"/>
      <c r="B34" s="1" t="s">
        <v>241</v>
      </c>
      <c r="C34" s="1" t="s">
        <v>126</v>
      </c>
      <c r="D34" s="1" t="s">
        <v>111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>
        <v>10</v>
      </c>
      <c r="BB34" s="2">
        <v>10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20</v>
      </c>
      <c r="BQ34" s="1">
        <v>7</v>
      </c>
      <c r="BR34" s="17">
        <v>1</v>
      </c>
      <c r="BS34" s="17" t="s">
        <v>257</v>
      </c>
      <c r="BT34" s="1" t="str">
        <f>IF(AQ34&gt;AQ$145, AQ34-AQ$145,"")</f>
        <v/>
      </c>
      <c r="BU34" s="1" t="str">
        <f>IF(AR34&gt;AR$145, AR34-AR$145,"")</f>
        <v/>
      </c>
      <c r="BV34" s="1" t="str">
        <f>IF(AS34&gt;AS$145, AS34-AS$145,"")</f>
        <v/>
      </c>
      <c r="BW34" s="1" t="str">
        <f>IF(AT34&gt;AT$145, AT34-AT$145,"")</f>
        <v/>
      </c>
      <c r="BX34" s="1" t="str">
        <f>IF(AU34&gt;AU$145, AU34-AU$145,"")</f>
        <v/>
      </c>
      <c r="BY34" s="1" t="str">
        <f>IF(AV34&gt;AV$145, AV34-AV$145,"")</f>
        <v/>
      </c>
      <c r="BZ34" s="1" t="str">
        <f>IF(AW34&gt;AW$145, AW34-AW$145,"")</f>
        <v/>
      </c>
      <c r="CA34" s="1" t="str">
        <f>IF(AX34&gt;AX$145, AX34-AX$145,"")</f>
        <v/>
      </c>
      <c r="CB34" s="1" t="str">
        <f>IF(AY34&gt;AY$145, AY34-AY$145,"")</f>
        <v/>
      </c>
      <c r="CC34" s="1" t="str">
        <f>IF(AZ34&gt;AZ$145, AZ34-AZ$145,"")</f>
        <v/>
      </c>
      <c r="CD34" s="1">
        <f>IF(BA34&gt;BA$145, BA34-BA$145,"")</f>
        <v>7</v>
      </c>
      <c r="CE34" s="1" t="str">
        <f>IF(BB34&gt;BB$145, BB34-BB$145,"")</f>
        <v/>
      </c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8"/>
    </row>
    <row r="35" spans="1:97" x14ac:dyDescent="0.15">
      <c r="A35" s="1"/>
      <c r="B35" s="1" t="s">
        <v>195</v>
      </c>
      <c r="C35" s="1" t="s">
        <v>156</v>
      </c>
      <c r="D35" s="1" t="s">
        <v>130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>
        <v>10</v>
      </c>
      <c r="BB35" s="2">
        <v>10</v>
      </c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20</v>
      </c>
      <c r="BQ35" s="1">
        <v>7</v>
      </c>
      <c r="BR35" s="17">
        <v>1</v>
      </c>
      <c r="BS35" s="17" t="s">
        <v>258</v>
      </c>
      <c r="BT35" s="1" t="str">
        <f>IF(AQ35&gt;AQ$145, AQ35-AQ$145,"")</f>
        <v/>
      </c>
      <c r="BU35" s="1" t="str">
        <f>IF(AR35&gt;AR$145, AR35-AR$145,"")</f>
        <v/>
      </c>
      <c r="BV35" s="1" t="str">
        <f>IF(AS35&gt;AS$145, AS35-AS$145,"")</f>
        <v/>
      </c>
      <c r="BW35" s="1" t="str">
        <f>IF(AT35&gt;AT$145, AT35-AT$145,"")</f>
        <v/>
      </c>
      <c r="BX35" s="1" t="str">
        <f>IF(AU35&gt;AU$145, AU35-AU$145,"")</f>
        <v/>
      </c>
      <c r="BY35" s="1" t="str">
        <f>IF(AV35&gt;AV$145, AV35-AV$145,"")</f>
        <v/>
      </c>
      <c r="BZ35" s="1" t="str">
        <f>IF(AW35&gt;AW$145, AW35-AW$145,"")</f>
        <v/>
      </c>
      <c r="CA35" s="1" t="str">
        <f>IF(AX35&gt;AX$145, AX35-AX$145,"")</f>
        <v/>
      </c>
      <c r="CB35" s="1" t="str">
        <f>IF(AY35&gt;AY$145, AY35-AY$145,"")</f>
        <v/>
      </c>
      <c r="CC35" s="1" t="str">
        <f>IF(AZ35&gt;AZ$145, AZ35-AZ$145,"")</f>
        <v/>
      </c>
      <c r="CD35" s="1">
        <f>IF(BA35&gt;BA$145, BA35-BA$145,"")</f>
        <v>7</v>
      </c>
      <c r="CE35" s="1" t="str">
        <f>IF(BB35&gt;BB$145, BB35-BB$145,"")</f>
        <v/>
      </c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8"/>
    </row>
    <row r="36" spans="1:97" x14ac:dyDescent="0.15">
      <c r="A36" s="1"/>
      <c r="B36" s="1" t="s">
        <v>177</v>
      </c>
      <c r="C36" s="1" t="s">
        <v>114</v>
      </c>
      <c r="D36" s="1" t="s">
        <v>111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>
        <v>10</v>
      </c>
      <c r="AT36" s="4"/>
      <c r="AU36" s="4"/>
      <c r="AV36" s="4"/>
      <c r="AW36" s="2"/>
      <c r="AX36" s="2"/>
      <c r="AY36" s="2"/>
      <c r="AZ36" s="2"/>
      <c r="BA36" s="2"/>
      <c r="BB36" s="2">
        <v>10</v>
      </c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20</v>
      </c>
      <c r="BQ36" s="1">
        <v>8</v>
      </c>
      <c r="BR36" s="17">
        <v>1</v>
      </c>
      <c r="BS36" s="17" t="s">
        <v>216</v>
      </c>
      <c r="BT36" s="1" t="str">
        <f>IF(AQ36&gt;AQ$145, AQ36-AQ$145,"")</f>
        <v/>
      </c>
      <c r="BU36" s="1" t="str">
        <f>IF(AR36&gt;AR$145, AR36-AR$145,"")</f>
        <v/>
      </c>
      <c r="BV36" s="1">
        <f>IF(AS36&gt;AS$145, AS36-AS$145,"")</f>
        <v>8</v>
      </c>
      <c r="BW36" s="1" t="str">
        <f>IF(AT36&gt;AT$145, AT36-AT$145,"")</f>
        <v/>
      </c>
      <c r="BX36" s="1" t="str">
        <f>IF(AU36&gt;AU$145, AU36-AU$145,"")</f>
        <v/>
      </c>
      <c r="BY36" s="1" t="str">
        <f>IF(AV36&gt;AV$145, AV36-AV$145,"")</f>
        <v/>
      </c>
      <c r="BZ36" s="1" t="str">
        <f>IF(AW36&gt;AW$145, AW36-AW$145,"")</f>
        <v/>
      </c>
      <c r="CA36" s="1" t="str">
        <f>IF(AX36&gt;AX$145, AX36-AX$145,"")</f>
        <v/>
      </c>
      <c r="CB36" s="1" t="str">
        <f>IF(AY36&gt;AY$145, AY36-AY$145,"")</f>
        <v/>
      </c>
      <c r="CC36" s="1" t="str">
        <f>IF(AZ36&gt;AZ$145, AZ36-AZ$145,"")</f>
        <v/>
      </c>
      <c r="CD36" s="1" t="str">
        <f>IF(BA36&gt;BA$145, BA36-BA$145,"")</f>
        <v/>
      </c>
      <c r="CE36" s="1" t="str">
        <f>IF(BB36&gt;BB$145, BB36-BB$145,"")</f>
        <v/>
      </c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8"/>
    </row>
    <row r="37" spans="1:97" x14ac:dyDescent="0.15">
      <c r="A37" s="1">
        <v>62</v>
      </c>
      <c r="B37" s="1" t="s">
        <v>108</v>
      </c>
      <c r="C37" s="1" t="s">
        <v>59</v>
      </c>
      <c r="D37" s="1" t="s">
        <v>1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1"/>
      <c r="AF37" s="1"/>
      <c r="AG37" s="1"/>
      <c r="AH37" s="1"/>
      <c r="AI37" s="1"/>
      <c r="AJ37" s="1"/>
      <c r="AK37" s="1"/>
      <c r="AL37" s="1"/>
      <c r="AM37" s="1">
        <v>15</v>
      </c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15</v>
      </c>
      <c r="BQ37" s="1">
        <v>8</v>
      </c>
      <c r="BR37" s="17">
        <v>1</v>
      </c>
      <c r="BS37" s="17" t="s">
        <v>256</v>
      </c>
      <c r="BT37" s="1" t="str">
        <f>IF(AQ37&gt;AQ$145, AQ37-AQ$145,"")</f>
        <v/>
      </c>
      <c r="BU37" s="1" t="str">
        <f>IF(AR37&gt;AR$145, AR37-AR$145,"")</f>
        <v/>
      </c>
      <c r="BV37" s="1" t="str">
        <f>IF(AS37&gt;AS$145, AS37-AS$145,"")</f>
        <v/>
      </c>
      <c r="BW37" s="1" t="str">
        <f>IF(AT37&gt;AT$145, AT37-AT$145,"")</f>
        <v/>
      </c>
      <c r="BX37" s="1" t="str">
        <f>IF(AU37&gt;AU$145, AU37-AU$145,"")</f>
        <v/>
      </c>
      <c r="BY37" s="1" t="str">
        <f>IF(AV37&gt;AV$145, AV37-AV$145,"")</f>
        <v/>
      </c>
      <c r="BZ37" s="1" t="str">
        <f>IF(AW37&gt;AW$145, AW37-AW$145,"")</f>
        <v/>
      </c>
      <c r="CA37" s="1" t="str">
        <f>IF(AX37&gt;AX$145, AX37-AX$145,"")</f>
        <v/>
      </c>
      <c r="CB37" s="1" t="str">
        <f>IF(AY37&gt;AY$145, AY37-AY$145,"")</f>
        <v/>
      </c>
      <c r="CC37" s="1" t="str">
        <f>IF(AZ37&gt;AZ$145, AZ37-AZ$145,"")</f>
        <v/>
      </c>
      <c r="CD37" s="1" t="str">
        <f>IF(BA37&gt;BA$145, BA37-BA$145,"")</f>
        <v/>
      </c>
      <c r="CE37" s="1" t="str">
        <f>IF(BB37&gt;BB$145, BB37-BB$145,"")</f>
        <v/>
      </c>
      <c r="CF37" s="1">
        <f>COUNTIF(BT37:CE37, "&gt;0")</f>
        <v>0</v>
      </c>
      <c r="CG37" s="1" t="str">
        <f>IF($CF37=1,BT37,"")</f>
        <v/>
      </c>
      <c r="CH37" s="1" t="str">
        <f>IF($CF37=1,BU37,"")</f>
        <v/>
      </c>
      <c r="CI37" s="1" t="str">
        <f>IF($CF37=1,BV37,"")</f>
        <v/>
      </c>
      <c r="CJ37" s="1" t="str">
        <f>IF($CF37=1,BW37,"")</f>
        <v/>
      </c>
      <c r="CK37" s="1" t="str">
        <f>IF($CF37=1,BX37,"")</f>
        <v/>
      </c>
      <c r="CL37" s="1" t="str">
        <f>IF($CF37=1,BY37,"")</f>
        <v/>
      </c>
      <c r="CM37" s="1" t="str">
        <f>IF($CF37=1,BZ37,"")</f>
        <v/>
      </c>
      <c r="CN37" s="1" t="str">
        <f>IF($CF37=1,CA37,"")</f>
        <v/>
      </c>
      <c r="CO37" s="1" t="str">
        <f>IF($CF37=1,CB37,"")</f>
        <v/>
      </c>
      <c r="CP37" s="1" t="str">
        <f>IF($CF37=1,CC37,"")</f>
        <v/>
      </c>
      <c r="CQ37" s="1" t="str">
        <f>IF($CF37=1,CD37,"")</f>
        <v/>
      </c>
      <c r="CR37" s="1" t="str">
        <f>IF($CF37=1,CE37,"")</f>
        <v/>
      </c>
      <c r="CS37" s="18">
        <f>SUM(AE37:BO37)</f>
        <v>15</v>
      </c>
    </row>
    <row r="38" spans="1:97" x14ac:dyDescent="0.15">
      <c r="A38" s="1">
        <v>5</v>
      </c>
      <c r="B38" s="1" t="s">
        <v>22</v>
      </c>
      <c r="C38" s="1" t="s">
        <v>2</v>
      </c>
      <c r="D38" s="1" t="s">
        <v>12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>
        <v>10</v>
      </c>
      <c r="AS38" s="4"/>
      <c r="AT38" s="4"/>
      <c r="AU38" s="4"/>
      <c r="AV38" s="4"/>
      <c r="AW38" s="2"/>
      <c r="AX38" s="2"/>
      <c r="AY38" s="2"/>
      <c r="AZ38" s="2"/>
      <c r="BA38" s="2"/>
      <c r="BB38" s="2">
        <v>10</v>
      </c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20</v>
      </c>
      <c r="BQ38" s="1">
        <v>9</v>
      </c>
      <c r="BR38" s="17">
        <v>1</v>
      </c>
      <c r="BS38" s="17" t="s">
        <v>248</v>
      </c>
      <c r="BT38" s="1" t="str">
        <f>IF(AQ38&gt;AQ$145, AQ38-AQ$145,"")</f>
        <v/>
      </c>
      <c r="BU38" s="1">
        <f>IF(AR38&gt;AR$145, AR38-AR$145,"")</f>
        <v>9</v>
      </c>
      <c r="BV38" s="1" t="str">
        <f>IF(AS38&gt;AS$145, AS38-AS$145,"")</f>
        <v/>
      </c>
      <c r="BW38" s="1" t="str">
        <f>IF(AT38&gt;AT$145, AT38-AT$145,"")</f>
        <v/>
      </c>
      <c r="BX38" s="1" t="str">
        <f>IF(AU38&gt;AU$145, AU38-AU$145,"")</f>
        <v/>
      </c>
      <c r="BY38" s="1" t="str">
        <f>IF(AV38&gt;AV$145, AV38-AV$145,"")</f>
        <v/>
      </c>
      <c r="BZ38" s="1" t="str">
        <f>IF(AW38&gt;AW$145, AW38-AW$145,"")</f>
        <v/>
      </c>
      <c r="CA38" s="1" t="str">
        <f>IF(AX38&gt;AX$145, AX38-AX$145,"")</f>
        <v/>
      </c>
      <c r="CB38" s="1" t="str">
        <f>IF(AY38&gt;AY$145, AY38-AY$145,"")</f>
        <v/>
      </c>
      <c r="CC38" s="1" t="str">
        <f>IF(AZ38&gt;AZ$145, AZ38-AZ$145,"")</f>
        <v/>
      </c>
      <c r="CD38" s="1" t="str">
        <f>IF(BA38&gt;BA$145, BA38-BA$145,"")</f>
        <v/>
      </c>
      <c r="CE38" s="1" t="str">
        <f>IF(BB38&gt;BB$145, BB38-BB$145,"")</f>
        <v/>
      </c>
      <c r="CF38" s="1">
        <f>COUNTIF(BT38:CE38, "&gt;0")</f>
        <v>1</v>
      </c>
      <c r="CG38" s="1" t="str">
        <f>IF($CF38=1,BT38,"")</f>
        <v/>
      </c>
      <c r="CH38" s="1">
        <f>IF($CF38=1,BU38,"")</f>
        <v>9</v>
      </c>
      <c r="CI38" s="1" t="str">
        <f>IF($CF38=1,BV38,"")</f>
        <v/>
      </c>
      <c r="CJ38" s="1" t="str">
        <f>IF($CF38=1,BW38,"")</f>
        <v/>
      </c>
      <c r="CK38" s="1" t="str">
        <f>IF($CF38=1,BX38,"")</f>
        <v/>
      </c>
      <c r="CL38" s="1" t="str">
        <f>IF($CF38=1,BY38,"")</f>
        <v/>
      </c>
      <c r="CM38" s="1" t="str">
        <f>IF($CF38=1,BZ38,"")</f>
        <v/>
      </c>
      <c r="CN38" s="1" t="str">
        <f>IF($CF38=1,CA38,"")</f>
        <v/>
      </c>
      <c r="CO38" s="1" t="str">
        <f>IF($CF38=1,CB38,"")</f>
        <v/>
      </c>
      <c r="CP38" s="1" t="str">
        <f>IF($CF38=1,CC38,"")</f>
        <v/>
      </c>
      <c r="CQ38" s="1" t="str">
        <f>IF($CF38=1,CD38,"")</f>
        <v/>
      </c>
      <c r="CR38" s="1" t="str">
        <f>IF($CF38=1,CE38,"")</f>
        <v/>
      </c>
      <c r="CS38" s="18">
        <f>SUM(AE38:BO38)</f>
        <v>20</v>
      </c>
    </row>
    <row r="39" spans="1:97" x14ac:dyDescent="0.15">
      <c r="A39" s="1">
        <v>6</v>
      </c>
      <c r="B39" s="1" t="s">
        <v>53</v>
      </c>
      <c r="C39" s="1" t="s">
        <v>2</v>
      </c>
      <c r="D39" s="1" t="s">
        <v>23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>
        <v>10</v>
      </c>
      <c r="AS39" s="4"/>
      <c r="AT39" s="4"/>
      <c r="AU39" s="4"/>
      <c r="AV39" s="4"/>
      <c r="AW39" s="2"/>
      <c r="AX39" s="2"/>
      <c r="AY39" s="2"/>
      <c r="AZ39" s="2"/>
      <c r="BA39" s="2"/>
      <c r="BB39" s="2">
        <v>10</v>
      </c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20</v>
      </c>
      <c r="BQ39" s="1">
        <v>9</v>
      </c>
      <c r="BR39" s="17">
        <v>1</v>
      </c>
      <c r="BS39" s="17" t="s">
        <v>249</v>
      </c>
      <c r="BT39" s="1" t="str">
        <f>IF(AQ39&gt;AQ$145, AQ39-AQ$145,"")</f>
        <v/>
      </c>
      <c r="BU39" s="1">
        <f>IF(AR39&gt;AR$145, AR39-AR$145,"")</f>
        <v>9</v>
      </c>
      <c r="BV39" s="1" t="str">
        <f>IF(AS39&gt;AS$145, AS39-AS$145,"")</f>
        <v/>
      </c>
      <c r="BW39" s="1" t="str">
        <f>IF(AT39&gt;AT$145, AT39-AT$145,"")</f>
        <v/>
      </c>
      <c r="BX39" s="1" t="str">
        <f>IF(AU39&gt;AU$145, AU39-AU$145,"")</f>
        <v/>
      </c>
      <c r="BY39" s="1" t="str">
        <f>IF(AV39&gt;AV$145, AV39-AV$145,"")</f>
        <v/>
      </c>
      <c r="BZ39" s="1" t="str">
        <f>IF(AW39&gt;AW$145, AW39-AW$145,"")</f>
        <v/>
      </c>
      <c r="CA39" s="1" t="str">
        <f>IF(AX39&gt;AX$145, AX39-AX$145,"")</f>
        <v/>
      </c>
      <c r="CB39" s="1" t="str">
        <f>IF(AY39&gt;AY$145, AY39-AY$145,"")</f>
        <v/>
      </c>
      <c r="CC39" s="1" t="str">
        <f>IF(AZ39&gt;AZ$145, AZ39-AZ$145,"")</f>
        <v/>
      </c>
      <c r="CD39" s="1" t="str">
        <f>IF(BA39&gt;BA$145, BA39-BA$145,"")</f>
        <v/>
      </c>
      <c r="CE39" s="1" t="str">
        <f>IF(BB39&gt;BB$145, BB39-BB$145,"")</f>
        <v/>
      </c>
      <c r="CF39" s="1">
        <f>COUNTIF(BT39:CE39, "&gt;0")</f>
        <v>1</v>
      </c>
      <c r="CG39" s="1" t="str">
        <f>IF($CF39=1,BT39,"")</f>
        <v/>
      </c>
      <c r="CH39" s="1">
        <f>IF($CF39=1,BU39,"")</f>
        <v>9</v>
      </c>
      <c r="CI39" s="1" t="str">
        <f>IF($CF39=1,BV39,"")</f>
        <v/>
      </c>
      <c r="CJ39" s="1" t="str">
        <f>IF($CF39=1,BW39,"")</f>
        <v/>
      </c>
      <c r="CK39" s="1" t="str">
        <f>IF($CF39=1,BX39,"")</f>
        <v/>
      </c>
      <c r="CL39" s="1" t="str">
        <f>IF($CF39=1,BY39,"")</f>
        <v/>
      </c>
      <c r="CM39" s="1" t="str">
        <f>IF($CF39=1,BZ39,"")</f>
        <v/>
      </c>
      <c r="CN39" s="1" t="str">
        <f>IF($CF39=1,CA39,"")</f>
        <v/>
      </c>
      <c r="CO39" s="1" t="str">
        <f>IF($CF39=1,CB39,"")</f>
        <v/>
      </c>
      <c r="CP39" s="1" t="str">
        <f>IF($CF39=1,CC39,"")</f>
        <v/>
      </c>
      <c r="CQ39" s="1" t="str">
        <f>IF($CF39=1,CD39,"")</f>
        <v/>
      </c>
      <c r="CR39" s="1" t="str">
        <f>IF($CF39=1,CE39,"")</f>
        <v/>
      </c>
      <c r="CS39" s="18">
        <f>SUM(AE39:BO39)</f>
        <v>20</v>
      </c>
    </row>
    <row r="40" spans="1:97" x14ac:dyDescent="0.15">
      <c r="A40" s="1">
        <v>64</v>
      </c>
      <c r="B40" s="3" t="s">
        <v>64</v>
      </c>
      <c r="C40" s="1" t="s">
        <v>59</v>
      </c>
      <c r="D40" s="1" t="s">
        <v>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1"/>
      <c r="AF40" s="1"/>
      <c r="AG40" s="1"/>
      <c r="AH40" s="1"/>
      <c r="AI40" s="1"/>
      <c r="AJ40" s="1"/>
      <c r="AK40" s="1"/>
      <c r="AL40" s="1"/>
      <c r="AM40" s="1"/>
      <c r="AN40" s="1">
        <v>15</v>
      </c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15</v>
      </c>
      <c r="BQ40" s="1">
        <v>15</v>
      </c>
      <c r="BR40" s="17">
        <v>1</v>
      </c>
      <c r="BS40" s="17" t="s">
        <v>259</v>
      </c>
      <c r="BT40" s="1" t="str">
        <f>IF(AQ40&gt;AQ$145, AQ40-AQ$145,"")</f>
        <v/>
      </c>
      <c r="BU40" s="1" t="str">
        <f>IF(AR40&gt;AR$145, AR40-AR$145,"")</f>
        <v/>
      </c>
      <c r="BV40" s="1" t="str">
        <f>IF(AS40&gt;AS$145, AS40-AS$145,"")</f>
        <v/>
      </c>
      <c r="BW40" s="1" t="str">
        <f>IF(AT40&gt;AT$145, AT40-AT$145,"")</f>
        <v/>
      </c>
      <c r="BX40" s="1" t="str">
        <f>IF(AU40&gt;AU$145, AU40-AU$145,"")</f>
        <v/>
      </c>
      <c r="BY40" s="1" t="str">
        <f>IF(AV40&gt;AV$145, AV40-AV$145,"")</f>
        <v/>
      </c>
      <c r="BZ40" s="1" t="str">
        <f>IF(AW40&gt;AW$145, AW40-AW$145,"")</f>
        <v/>
      </c>
      <c r="CA40" s="1" t="str">
        <f>IF(AX40&gt;AX$145, AX40-AX$145,"")</f>
        <v/>
      </c>
      <c r="CB40" s="1" t="str">
        <f>IF(AY40&gt;AY$145, AY40-AY$145,"")</f>
        <v/>
      </c>
      <c r="CC40" s="1" t="str">
        <f>IF(AZ40&gt;AZ$145, AZ40-AZ$145,"")</f>
        <v/>
      </c>
      <c r="CD40" s="1" t="str">
        <f>IF(BA40&gt;BA$145, BA40-BA$145,"")</f>
        <v/>
      </c>
      <c r="CE40" s="1" t="str">
        <f>IF(BB40&gt;BB$145, BB40-BB$145,"")</f>
        <v/>
      </c>
      <c r="CF40" s="1">
        <f>COUNTIF(BT40:CE40, "&gt;0")</f>
        <v>0</v>
      </c>
      <c r="CG40" s="1" t="str">
        <f>IF($CF40=1,BT40,"")</f>
        <v/>
      </c>
      <c r="CH40" s="1" t="str">
        <f>IF($CF40=1,BU40,"")</f>
        <v/>
      </c>
      <c r="CI40" s="1" t="str">
        <f>IF($CF40=1,BV40,"")</f>
        <v/>
      </c>
      <c r="CJ40" s="1" t="str">
        <f>IF($CF40=1,BW40,"")</f>
        <v/>
      </c>
      <c r="CK40" s="1" t="str">
        <f>IF($CF40=1,BX40,"")</f>
        <v/>
      </c>
      <c r="CL40" s="1" t="str">
        <f>IF($CF40=1,BY40,"")</f>
        <v/>
      </c>
      <c r="CM40" s="1" t="str">
        <f>IF($CF40=1,BZ40,"")</f>
        <v/>
      </c>
      <c r="CN40" s="1" t="str">
        <f>IF($CF40=1,CA40,"")</f>
        <v/>
      </c>
      <c r="CO40" s="1" t="str">
        <f>IF($CF40=1,CB40,"")</f>
        <v/>
      </c>
      <c r="CP40" s="1" t="str">
        <f>IF($CF40=1,CC40,"")</f>
        <v/>
      </c>
      <c r="CQ40" s="1" t="str">
        <f>IF($CF40=1,CD40,"")</f>
        <v/>
      </c>
      <c r="CR40" s="1" t="str">
        <f>IF($CF40=1,CE40,"")</f>
        <v/>
      </c>
      <c r="CS40" s="18">
        <f>SUM(AE40:BO40)</f>
        <v>15</v>
      </c>
    </row>
    <row r="41" spans="1:97" x14ac:dyDescent="0.15">
      <c r="A41" s="1">
        <v>98</v>
      </c>
      <c r="B41" s="3" t="s">
        <v>178</v>
      </c>
      <c r="C41" s="3" t="s">
        <v>73</v>
      </c>
      <c r="D41" s="1" t="s">
        <v>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1">
        <v>50</v>
      </c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50</v>
      </c>
      <c r="BQ41" s="1">
        <v>45</v>
      </c>
      <c r="BR41" s="17">
        <v>1</v>
      </c>
      <c r="BS41" s="17" t="s">
        <v>217</v>
      </c>
      <c r="BT41" s="1" t="str">
        <f>IF(AQ41&gt;AQ$145, AQ41-AQ$145,"")</f>
        <v/>
      </c>
      <c r="BU41" s="1" t="str">
        <f>IF(AR41&gt;AR$145, AR41-AR$145,"")</f>
        <v/>
      </c>
      <c r="BV41" s="1" t="str">
        <f>IF(AS41&gt;AS$145, AS41-AS$145,"")</f>
        <v/>
      </c>
      <c r="BW41" s="1" t="str">
        <f>IF(AT41&gt;AT$145, AT41-AT$145,"")</f>
        <v/>
      </c>
      <c r="BX41" s="1" t="str">
        <f>IF(AU41&gt;AU$145, AU41-AU$145,"")</f>
        <v/>
      </c>
      <c r="BY41" s="1" t="str">
        <f>IF(AV41&gt;AV$145, AV41-AV$145,"")</f>
        <v/>
      </c>
      <c r="BZ41" s="1" t="str">
        <f>IF(AW41&gt;AW$145, AW41-AW$145,"")</f>
        <v/>
      </c>
      <c r="CA41" s="1" t="str">
        <f>IF(AX41&gt;AX$145, AX41-AX$145,"")</f>
        <v/>
      </c>
      <c r="CB41" s="1" t="str">
        <f>IF(AY41&gt;AY$145, AY41-AY$145,"")</f>
        <v/>
      </c>
      <c r="CC41" s="1" t="str">
        <f>IF(AZ41&gt;AZ$145, AZ41-AZ$145,"")</f>
        <v/>
      </c>
      <c r="CD41" s="1" t="str">
        <f>IF(BA41&gt;BA$145, BA41-BA$145,"")</f>
        <v/>
      </c>
      <c r="CE41" s="1" t="str">
        <f>IF(BB41&gt;BB$145, BB41-BB$145,"")</f>
        <v/>
      </c>
      <c r="CF41" s="1">
        <f>COUNTIF(BT41:CE41, "&gt;0")</f>
        <v>0</v>
      </c>
      <c r="CG41" s="1" t="str">
        <f>IF($CF41=1,BT41,"")</f>
        <v/>
      </c>
      <c r="CH41" s="1" t="str">
        <f>IF($CF41=1,BU41,"")</f>
        <v/>
      </c>
      <c r="CI41" s="1" t="str">
        <f>IF($CF41=1,BV41,"")</f>
        <v/>
      </c>
      <c r="CJ41" s="1" t="str">
        <f>IF($CF41=1,BW41,"")</f>
        <v/>
      </c>
      <c r="CK41" s="1" t="str">
        <f>IF($CF41=1,BX41,"")</f>
        <v/>
      </c>
      <c r="CL41" s="1" t="str">
        <f>IF($CF41=1,BY41,"")</f>
        <v/>
      </c>
      <c r="CM41" s="1" t="str">
        <f>IF($CF41=1,BZ41,"")</f>
        <v/>
      </c>
      <c r="CN41" s="1" t="str">
        <f>IF($CF41=1,CA41,"")</f>
        <v/>
      </c>
      <c r="CO41" s="1" t="str">
        <f>IF($CF41=1,CB41,"")</f>
        <v/>
      </c>
      <c r="CP41" s="1" t="str">
        <f>IF($CF41=1,CC41,"")</f>
        <v/>
      </c>
      <c r="CQ41" s="1" t="str">
        <f>IF($CF41=1,CD41,"")</f>
        <v/>
      </c>
      <c r="CR41" s="1" t="str">
        <f>IF($CF41=1,CE41,"")</f>
        <v/>
      </c>
      <c r="CS41" s="18">
        <f>SUM(AE41:BO41)</f>
        <v>50</v>
      </c>
    </row>
    <row r="42" spans="1:97" x14ac:dyDescent="0.15">
      <c r="A42" s="1">
        <v>99</v>
      </c>
      <c r="B42" s="3" t="s">
        <v>178</v>
      </c>
      <c r="C42" s="3" t="s">
        <v>73</v>
      </c>
      <c r="D42" s="1" t="s">
        <v>13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1">
        <v>200</v>
      </c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200</v>
      </c>
      <c r="BQ42" s="1">
        <v>195</v>
      </c>
      <c r="BR42" s="17">
        <v>1</v>
      </c>
      <c r="BS42" s="17" t="s">
        <v>218</v>
      </c>
      <c r="BT42" s="1" t="str">
        <f>IF(AQ42&gt;AQ$145, AQ42-AQ$145,"")</f>
        <v/>
      </c>
      <c r="BU42" s="1" t="str">
        <f>IF(AR42&gt;AR$145, AR42-AR$145,"")</f>
        <v/>
      </c>
      <c r="BV42" s="1" t="str">
        <f>IF(AS42&gt;AS$145, AS42-AS$145,"")</f>
        <v/>
      </c>
      <c r="BW42" s="1" t="str">
        <f>IF(AT42&gt;AT$145, AT42-AT$145,"")</f>
        <v/>
      </c>
      <c r="BX42" s="1" t="str">
        <f>IF(AU42&gt;AU$145, AU42-AU$145,"")</f>
        <v/>
      </c>
      <c r="BY42" s="1" t="str">
        <f>IF(AV42&gt;AV$145, AV42-AV$145,"")</f>
        <v/>
      </c>
      <c r="BZ42" s="1" t="str">
        <f>IF(AW42&gt;AW$145, AW42-AW$145,"")</f>
        <v/>
      </c>
      <c r="CA42" s="1" t="str">
        <f>IF(AX42&gt;AX$145, AX42-AX$145,"")</f>
        <v/>
      </c>
      <c r="CB42" s="1" t="str">
        <f>IF(AY42&gt;AY$145, AY42-AY$145,"")</f>
        <v/>
      </c>
      <c r="CC42" s="1" t="str">
        <f>IF(AZ42&gt;AZ$145, AZ42-AZ$145,"")</f>
        <v/>
      </c>
      <c r="CD42" s="1" t="str">
        <f>IF(BA42&gt;BA$145, BA42-BA$145,"")</f>
        <v/>
      </c>
      <c r="CE42" s="1" t="str">
        <f>IF(BB42&gt;BB$145, BB42-BB$145,"")</f>
        <v/>
      </c>
      <c r="CF42" s="1">
        <f>COUNTIF(BT42:CE42, "&gt;0")</f>
        <v>0</v>
      </c>
      <c r="CG42" s="1" t="str">
        <f>IF($CF42=1,BT42,"")</f>
        <v/>
      </c>
      <c r="CH42" s="1" t="str">
        <f>IF($CF42=1,BU42,"")</f>
        <v/>
      </c>
      <c r="CI42" s="1" t="str">
        <f>IF($CF42=1,BV42,"")</f>
        <v/>
      </c>
      <c r="CJ42" s="1" t="str">
        <f>IF($CF42=1,BW42,"")</f>
        <v/>
      </c>
      <c r="CK42" s="1" t="str">
        <f>IF($CF42=1,BX42,"")</f>
        <v/>
      </c>
      <c r="CL42" s="1" t="str">
        <f>IF($CF42=1,BY42,"")</f>
        <v/>
      </c>
      <c r="CM42" s="1" t="str">
        <f>IF($CF42=1,BZ42,"")</f>
        <v/>
      </c>
      <c r="CN42" s="1" t="str">
        <f>IF($CF42=1,CA42,"")</f>
        <v/>
      </c>
      <c r="CO42" s="1" t="str">
        <f>IF($CF42=1,CB42,"")</f>
        <v/>
      </c>
      <c r="CP42" s="1" t="str">
        <f>IF($CF42=1,CC42,"")</f>
        <v/>
      </c>
      <c r="CQ42" s="1" t="str">
        <f>IF($CF42=1,CD42,"")</f>
        <v/>
      </c>
      <c r="CR42" s="1" t="str">
        <f>IF($CF42=1,CE42,"")</f>
        <v/>
      </c>
      <c r="CS42" s="18">
        <f>SUM(AE42:BO42)</f>
        <v>200</v>
      </c>
    </row>
    <row r="43" spans="1:97" ht="27" x14ac:dyDescent="0.15">
      <c r="A43" s="1">
        <v>41</v>
      </c>
      <c r="B43" s="1" t="s">
        <v>54</v>
      </c>
      <c r="C43" s="1" t="s">
        <v>48</v>
      </c>
      <c r="D43" s="1" t="s">
        <v>13</v>
      </c>
      <c r="E43" s="6"/>
      <c r="F43" s="6"/>
      <c r="G43" s="6"/>
      <c r="H43" s="6"/>
      <c r="I43" s="6"/>
      <c r="J43" s="6"/>
      <c r="K43" s="6"/>
      <c r="L43" s="6">
        <v>6</v>
      </c>
      <c r="M43" s="6"/>
      <c r="N43" s="6"/>
      <c r="O43" s="6">
        <v>6</v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>
        <v>10</v>
      </c>
      <c r="AR43" s="4"/>
      <c r="AS43" s="4"/>
      <c r="AT43" s="4"/>
      <c r="AU43" s="4"/>
      <c r="AV43" s="4"/>
      <c r="AW43" s="2"/>
      <c r="AX43" s="2">
        <v>10</v>
      </c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32</v>
      </c>
      <c r="BQ43" s="1">
        <v>5</v>
      </c>
      <c r="BR43" s="17">
        <v>2</v>
      </c>
      <c r="BS43" s="17" t="s">
        <v>260</v>
      </c>
      <c r="BT43" s="1">
        <f>IF(AQ43&gt;AQ$145, AQ43-AQ$145,"")</f>
        <v>1</v>
      </c>
      <c r="BU43" s="1" t="str">
        <f>IF(AR43&gt;AR$145, AR43-AR$145,"")</f>
        <v/>
      </c>
      <c r="BV43" s="1" t="str">
        <f>IF(AS43&gt;AS$145, AS43-AS$145,"")</f>
        <v/>
      </c>
      <c r="BW43" s="1" t="str">
        <f>IF(AT43&gt;AT$145, AT43-AT$145,"")</f>
        <v/>
      </c>
      <c r="BX43" s="1" t="str">
        <f>IF(AU43&gt;AU$145, AU43-AU$145,"")</f>
        <v/>
      </c>
      <c r="BY43" s="1" t="str">
        <f>IF(AV43&gt;AV$145, AV43-AV$145,"")</f>
        <v/>
      </c>
      <c r="BZ43" s="1" t="str">
        <f>IF(AW43&gt;AW$145, AW43-AW$145,"")</f>
        <v/>
      </c>
      <c r="CA43" s="1" t="str">
        <f>IF(AX43&gt;AX$145, AX43-AX$145,"")</f>
        <v/>
      </c>
      <c r="CB43" s="1" t="str">
        <f>IF(AY43&gt;AY$145, AY43-AY$145,"")</f>
        <v/>
      </c>
      <c r="CC43" s="1" t="str">
        <f>IF(AZ43&gt;AZ$145, AZ43-AZ$145,"")</f>
        <v/>
      </c>
      <c r="CD43" s="1" t="str">
        <f>IF(BA43&gt;BA$145, BA43-BA$145,"")</f>
        <v/>
      </c>
      <c r="CE43" s="1" t="str">
        <f>IF(BB43&gt;BB$145, BB43-BB$145,"")</f>
        <v/>
      </c>
      <c r="CF43" s="1">
        <f>COUNTIF(BT43:CE43, "&gt;0")</f>
        <v>1</v>
      </c>
      <c r="CG43" s="1">
        <f>IF($CF43=1,BT43,"")</f>
        <v>1</v>
      </c>
      <c r="CH43" s="1" t="str">
        <f>IF($CF43=1,BU43,"")</f>
        <v/>
      </c>
      <c r="CI43" s="1" t="str">
        <f>IF($CF43=1,BV43,"")</f>
        <v/>
      </c>
      <c r="CJ43" s="1" t="str">
        <f>IF($CF43=1,BW43,"")</f>
        <v/>
      </c>
      <c r="CK43" s="1" t="str">
        <f>IF($CF43=1,BX43,"")</f>
        <v/>
      </c>
      <c r="CL43" s="1" t="str">
        <f>IF($CF43=1,BY43,"")</f>
        <v/>
      </c>
      <c r="CM43" s="1" t="str">
        <f>IF($CF43=1,BZ43,"")</f>
        <v/>
      </c>
      <c r="CN43" s="1" t="str">
        <f>IF($CF43=1,CA43,"")</f>
        <v/>
      </c>
      <c r="CO43" s="1" t="str">
        <f>IF($CF43=1,CB43,"")</f>
        <v/>
      </c>
      <c r="CP43" s="1" t="str">
        <f>IF($CF43=1,CC43,"")</f>
        <v/>
      </c>
      <c r="CQ43" s="1" t="str">
        <f>IF($CF43=1,CD43,"")</f>
        <v/>
      </c>
      <c r="CR43" s="1" t="str">
        <f>IF($CF43=1,CE43,"")</f>
        <v/>
      </c>
      <c r="CS43" s="18">
        <f>SUM(AE43:BO43)</f>
        <v>20</v>
      </c>
    </row>
    <row r="44" spans="1:97" ht="27" x14ac:dyDescent="0.15">
      <c r="A44" s="1">
        <v>39</v>
      </c>
      <c r="B44" s="1" t="s">
        <v>51</v>
      </c>
      <c r="C44" s="1" t="s">
        <v>48</v>
      </c>
      <c r="D44" s="1" t="s">
        <v>26</v>
      </c>
      <c r="E44" s="6"/>
      <c r="F44" s="6">
        <v>6</v>
      </c>
      <c r="G44" s="6"/>
      <c r="H44" s="6"/>
      <c r="I44" s="6"/>
      <c r="J44" s="6"/>
      <c r="K44" s="6"/>
      <c r="L44" s="6">
        <v>6</v>
      </c>
      <c r="M44" s="6"/>
      <c r="N44" s="6"/>
      <c r="O44" s="6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>
        <v>10</v>
      </c>
      <c r="AR44" s="4"/>
      <c r="AS44" s="4"/>
      <c r="AT44" s="4"/>
      <c r="AU44" s="4"/>
      <c r="AV44" s="4"/>
      <c r="AW44" s="2"/>
      <c r="AX44" s="2">
        <v>10</v>
      </c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32</v>
      </c>
      <c r="BQ44" s="1">
        <v>6</v>
      </c>
      <c r="BR44" s="17">
        <v>2</v>
      </c>
      <c r="BS44" s="17" t="s">
        <v>261</v>
      </c>
      <c r="BT44" s="1">
        <f>IF(AQ44&gt;AQ$145, AQ44-AQ$145,"")</f>
        <v>1</v>
      </c>
      <c r="BU44" s="1" t="str">
        <f>IF(AR44&gt;AR$145, AR44-AR$145,"")</f>
        <v/>
      </c>
      <c r="BV44" s="1" t="str">
        <f>IF(AS44&gt;AS$145, AS44-AS$145,"")</f>
        <v/>
      </c>
      <c r="BW44" s="1" t="str">
        <f>IF(AT44&gt;AT$145, AT44-AT$145,"")</f>
        <v/>
      </c>
      <c r="BX44" s="1" t="str">
        <f>IF(AU44&gt;AU$145, AU44-AU$145,"")</f>
        <v/>
      </c>
      <c r="BY44" s="1" t="str">
        <f>IF(AV44&gt;AV$145, AV44-AV$145,"")</f>
        <v/>
      </c>
      <c r="BZ44" s="1" t="str">
        <f>IF(AW44&gt;AW$145, AW44-AW$145,"")</f>
        <v/>
      </c>
      <c r="CA44" s="1" t="str">
        <f>IF(AX44&gt;AX$145, AX44-AX$145,"")</f>
        <v/>
      </c>
      <c r="CB44" s="1" t="str">
        <f>IF(AY44&gt;AY$145, AY44-AY$145,"")</f>
        <v/>
      </c>
      <c r="CC44" s="1" t="str">
        <f>IF(AZ44&gt;AZ$145, AZ44-AZ$145,"")</f>
        <v/>
      </c>
      <c r="CD44" s="1" t="str">
        <f>IF(BA44&gt;BA$145, BA44-BA$145,"")</f>
        <v/>
      </c>
      <c r="CE44" s="1" t="str">
        <f>IF(BB44&gt;BB$145, BB44-BB$145,"")</f>
        <v/>
      </c>
      <c r="CF44" s="1">
        <f>COUNTIF(BT44:CE44, "&gt;0")</f>
        <v>1</v>
      </c>
      <c r="CG44" s="1">
        <f>IF($CF44=1,BT44,"")</f>
        <v>1</v>
      </c>
      <c r="CH44" s="1" t="str">
        <f>IF($CF44=1,BU44,"")</f>
        <v/>
      </c>
      <c r="CI44" s="1" t="str">
        <f>IF($CF44=1,BV44,"")</f>
        <v/>
      </c>
      <c r="CJ44" s="1" t="str">
        <f>IF($CF44=1,BW44,"")</f>
        <v/>
      </c>
      <c r="CK44" s="1" t="str">
        <f>IF($CF44=1,BX44,"")</f>
        <v/>
      </c>
      <c r="CL44" s="1" t="str">
        <f>IF($CF44=1,BY44,"")</f>
        <v/>
      </c>
      <c r="CM44" s="1" t="str">
        <f>IF($CF44=1,BZ44,"")</f>
        <v/>
      </c>
      <c r="CN44" s="1" t="str">
        <f>IF($CF44=1,CA44,"")</f>
        <v/>
      </c>
      <c r="CO44" s="1" t="str">
        <f>IF($CF44=1,CB44,"")</f>
        <v/>
      </c>
      <c r="CP44" s="1" t="str">
        <f>IF($CF44=1,CC44,"")</f>
        <v/>
      </c>
      <c r="CQ44" s="1" t="str">
        <f>IF($CF44=1,CD44,"")</f>
        <v/>
      </c>
      <c r="CR44" s="1" t="str">
        <f>IF($CF44=1,CE44,"")</f>
        <v/>
      </c>
      <c r="CS44" s="18">
        <f>SUM(AE44:BO44)</f>
        <v>20</v>
      </c>
    </row>
    <row r="45" spans="1:97" ht="27" x14ac:dyDescent="0.15">
      <c r="A45" s="1"/>
      <c r="B45" s="1" t="s">
        <v>121</v>
      </c>
      <c r="C45" s="1" t="s">
        <v>114</v>
      </c>
      <c r="D45" s="1" t="s">
        <v>111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>
        <v>5</v>
      </c>
      <c r="AP45" s="1">
        <v>1</v>
      </c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6</v>
      </c>
      <c r="BQ45" s="1">
        <v>6</v>
      </c>
      <c r="BR45" s="17">
        <v>2</v>
      </c>
      <c r="BS45" s="17" t="s">
        <v>219</v>
      </c>
      <c r="BT45" s="1" t="str">
        <f>IF(AQ45&gt;AQ$145, AQ45-AQ$145,"")</f>
        <v/>
      </c>
      <c r="BU45" s="1" t="str">
        <f>IF(AR45&gt;AR$145, AR45-AR$145,"")</f>
        <v/>
      </c>
      <c r="BV45" s="1" t="str">
        <f>IF(AS45&gt;AS$145, AS45-AS$145,"")</f>
        <v/>
      </c>
      <c r="BW45" s="1" t="str">
        <f>IF(AT45&gt;AT$145, AT45-AT$145,"")</f>
        <v/>
      </c>
      <c r="BX45" s="1" t="str">
        <f>IF(AU45&gt;AU$145, AU45-AU$145,"")</f>
        <v/>
      </c>
      <c r="BY45" s="1" t="str">
        <f>IF(AV45&gt;AV$145, AV45-AV$145,"")</f>
        <v/>
      </c>
      <c r="BZ45" s="1" t="str">
        <f>IF(AW45&gt;AW$145, AW45-AW$145,"")</f>
        <v/>
      </c>
      <c r="CA45" s="1" t="str">
        <f>IF(AX45&gt;AX$145, AX45-AX$145,"")</f>
        <v/>
      </c>
      <c r="CB45" s="1" t="str">
        <f>IF(AY45&gt;AY$145, AY45-AY$145,"")</f>
        <v/>
      </c>
      <c r="CC45" s="1" t="str">
        <f>IF(AZ45&gt;AZ$145, AZ45-AZ$145,"")</f>
        <v/>
      </c>
      <c r="CD45" s="1" t="str">
        <f>IF(BA45&gt;BA$145, BA45-BA$145,"")</f>
        <v/>
      </c>
      <c r="CE45" s="1" t="str">
        <f>IF(BB45&gt;BB$145, BB45-BB$145,"")</f>
        <v/>
      </c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8"/>
    </row>
    <row r="46" spans="1:97" ht="27" x14ac:dyDescent="0.15">
      <c r="A46" s="1">
        <v>24</v>
      </c>
      <c r="B46" s="1" t="s">
        <v>46</v>
      </c>
      <c r="C46" s="1" t="s">
        <v>31</v>
      </c>
      <c r="D46" s="1" t="s">
        <v>26</v>
      </c>
      <c r="E46" s="6"/>
      <c r="F46" s="6"/>
      <c r="G46" s="6"/>
      <c r="H46" s="6"/>
      <c r="I46" s="6">
        <v>4</v>
      </c>
      <c r="J46" s="6"/>
      <c r="K46" s="6">
        <v>4</v>
      </c>
      <c r="L46" s="6"/>
      <c r="M46" s="6"/>
      <c r="N46" s="6"/>
      <c r="O46" s="6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>
        <v>5</v>
      </c>
      <c r="AT46" s="4"/>
      <c r="AU46" s="4"/>
      <c r="AV46" s="4"/>
      <c r="AW46" s="2">
        <v>5</v>
      </c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18</v>
      </c>
      <c r="BQ46" s="1">
        <v>7</v>
      </c>
      <c r="BR46" s="17">
        <v>2</v>
      </c>
      <c r="BS46" s="17" t="s">
        <v>244</v>
      </c>
      <c r="BT46" s="1" t="str">
        <f>IF(AQ46&gt;AQ$145, AQ46-AQ$145,"")</f>
        <v/>
      </c>
      <c r="BU46" s="1" t="str">
        <f>IF(AR46&gt;AR$145, AR46-AR$145,"")</f>
        <v/>
      </c>
      <c r="BV46" s="1">
        <f>IF(AS46&gt;AS$145, AS46-AS$145,"")</f>
        <v>3</v>
      </c>
      <c r="BW46" s="1" t="str">
        <f>IF(AT46&gt;AT$145, AT46-AT$145,"")</f>
        <v/>
      </c>
      <c r="BX46" s="1" t="str">
        <f>IF(AU46&gt;AU$145, AU46-AU$145,"")</f>
        <v/>
      </c>
      <c r="BY46" s="1" t="str">
        <f>IF(AV46&gt;AV$145, AV46-AV$145,"")</f>
        <v/>
      </c>
      <c r="BZ46" s="1" t="str">
        <f>IF(AW46&gt;AW$145, AW46-AW$145,"")</f>
        <v/>
      </c>
      <c r="CA46" s="1" t="str">
        <f>IF(AX46&gt;AX$145, AX46-AX$145,"")</f>
        <v/>
      </c>
      <c r="CB46" s="1" t="str">
        <f>IF(AY46&gt;AY$145, AY46-AY$145,"")</f>
        <v/>
      </c>
      <c r="CC46" s="1" t="str">
        <f>IF(AZ46&gt;AZ$145, AZ46-AZ$145,"")</f>
        <v/>
      </c>
      <c r="CD46" s="1" t="str">
        <f>IF(BA46&gt;BA$145, BA46-BA$145,"")</f>
        <v/>
      </c>
      <c r="CE46" s="1" t="str">
        <f>IF(BB46&gt;BB$145, BB46-BB$145,"")</f>
        <v/>
      </c>
      <c r="CF46" s="1">
        <f>COUNTIF(BT46:CE46, "&gt;0")</f>
        <v>1</v>
      </c>
      <c r="CG46" s="1" t="str">
        <f>IF($CF46=1,BT46,"")</f>
        <v/>
      </c>
      <c r="CH46" s="1" t="str">
        <f>IF($CF46=1,BU46,"")</f>
        <v/>
      </c>
      <c r="CI46" s="1">
        <f>IF($CF46=1,BV46,"")</f>
        <v>3</v>
      </c>
      <c r="CJ46" s="1" t="str">
        <f>IF($CF46=1,BW46,"")</f>
        <v/>
      </c>
      <c r="CK46" s="1" t="str">
        <f>IF($CF46=1,BX46,"")</f>
        <v/>
      </c>
      <c r="CL46" s="1" t="str">
        <f>IF($CF46=1,BY46,"")</f>
        <v/>
      </c>
      <c r="CM46" s="1" t="str">
        <f>IF($CF46=1,BZ46,"")</f>
        <v/>
      </c>
      <c r="CN46" s="1" t="str">
        <f>IF($CF46=1,CA46,"")</f>
        <v/>
      </c>
      <c r="CO46" s="1" t="str">
        <f>IF($CF46=1,CB46,"")</f>
        <v/>
      </c>
      <c r="CP46" s="1" t="str">
        <f>IF($CF46=1,CC46,"")</f>
        <v/>
      </c>
      <c r="CQ46" s="1" t="str">
        <f>IF($CF46=1,CD46,"")</f>
        <v/>
      </c>
      <c r="CR46" s="1" t="str">
        <f>IF($CF46=1,CE46,"")</f>
        <v/>
      </c>
      <c r="CS46" s="18">
        <f>SUM(AE46:BO46)</f>
        <v>10</v>
      </c>
    </row>
    <row r="47" spans="1:97" ht="27" x14ac:dyDescent="0.15">
      <c r="A47" s="1"/>
      <c r="B47" s="1" t="s">
        <v>204</v>
      </c>
      <c r="C47" s="1" t="s">
        <v>126</v>
      </c>
      <c r="D47" s="1" t="s">
        <v>112</v>
      </c>
      <c r="E47" s="6"/>
      <c r="F47" s="6"/>
      <c r="G47" s="6"/>
      <c r="H47" s="6">
        <v>6</v>
      </c>
      <c r="I47" s="6"/>
      <c r="J47" s="6">
        <v>6</v>
      </c>
      <c r="K47" s="6"/>
      <c r="L47" s="6"/>
      <c r="M47" s="6"/>
      <c r="N47" s="6"/>
      <c r="O47" s="6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>
        <v>8</v>
      </c>
      <c r="AU47" s="4"/>
      <c r="AV47" s="4"/>
      <c r="AW47" s="2"/>
      <c r="AX47" s="2"/>
      <c r="AY47" s="2">
        <v>8</v>
      </c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28</v>
      </c>
      <c r="BQ47" s="1">
        <v>7</v>
      </c>
      <c r="BR47" s="17">
        <v>2</v>
      </c>
      <c r="BS47" s="17" t="s">
        <v>263</v>
      </c>
      <c r="BT47" s="1" t="str">
        <f>IF(AQ47&gt;AQ$145, AQ47-AQ$145,"")</f>
        <v/>
      </c>
      <c r="BU47" s="1" t="str">
        <f>IF(AR47&gt;AR$145, AR47-AR$145,"")</f>
        <v/>
      </c>
      <c r="BV47" s="1" t="str">
        <f>IF(AS47&gt;AS$145, AS47-AS$145,"")</f>
        <v/>
      </c>
      <c r="BW47" s="1">
        <f>IF(AT47&gt;AT$145, AT47-AT$145,"")</f>
        <v>1</v>
      </c>
      <c r="BX47" s="1" t="str">
        <f>IF(AU47&gt;AU$145, AU47-AU$145,"")</f>
        <v/>
      </c>
      <c r="BY47" s="1" t="str">
        <f>IF(AV47&gt;AV$145, AV47-AV$145,"")</f>
        <v/>
      </c>
      <c r="BZ47" s="1" t="str">
        <f>IF(AW47&gt;AW$145, AW47-AW$145,"")</f>
        <v/>
      </c>
      <c r="CA47" s="1" t="str">
        <f>IF(AX47&gt;AX$145, AX47-AX$145,"")</f>
        <v/>
      </c>
      <c r="CB47" s="1" t="str">
        <f>IF(AY47&gt;AY$145, AY47-AY$145,"")</f>
        <v/>
      </c>
      <c r="CC47" s="1" t="str">
        <f>IF(AZ47&gt;AZ$145, AZ47-AZ$145,"")</f>
        <v/>
      </c>
      <c r="CD47" s="1" t="str">
        <f>IF(BA47&gt;BA$145, BA47-BA$145,"")</f>
        <v/>
      </c>
      <c r="CE47" s="1" t="str">
        <f>IF(BB47&gt;BB$145, BB47-BB$145,"")</f>
        <v/>
      </c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8"/>
    </row>
    <row r="48" spans="1:97" ht="27" x14ac:dyDescent="0.15">
      <c r="A48" s="1"/>
      <c r="B48" s="1" t="s">
        <v>117</v>
      </c>
      <c r="C48" s="1" t="s">
        <v>114</v>
      </c>
      <c r="D48" s="1" t="s">
        <v>118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>
        <v>3</v>
      </c>
      <c r="AP48" s="1">
        <v>5</v>
      </c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8</v>
      </c>
      <c r="BQ48" s="1">
        <v>8</v>
      </c>
      <c r="BR48" s="17">
        <v>2</v>
      </c>
      <c r="BS48" s="17" t="s">
        <v>264</v>
      </c>
      <c r="BT48" s="1" t="str">
        <f>IF(AQ48&gt;AQ$145, AQ48-AQ$145,"")</f>
        <v/>
      </c>
      <c r="BU48" s="1" t="str">
        <f>IF(AR48&gt;AR$145, AR48-AR$145,"")</f>
        <v/>
      </c>
      <c r="BV48" s="1" t="str">
        <f>IF(AS48&gt;AS$145, AS48-AS$145,"")</f>
        <v/>
      </c>
      <c r="BW48" s="1" t="str">
        <f>IF(AT48&gt;AT$145, AT48-AT$145,"")</f>
        <v/>
      </c>
      <c r="BX48" s="1" t="str">
        <f>IF(AU48&gt;AU$145, AU48-AU$145,"")</f>
        <v/>
      </c>
      <c r="BY48" s="1" t="str">
        <f>IF(AV48&gt;AV$145, AV48-AV$145,"")</f>
        <v/>
      </c>
      <c r="BZ48" s="1" t="str">
        <f>IF(AW48&gt;AW$145, AW48-AW$145,"")</f>
        <v/>
      </c>
      <c r="CA48" s="1" t="str">
        <f>IF(AX48&gt;AX$145, AX48-AX$145,"")</f>
        <v/>
      </c>
      <c r="CB48" s="1" t="str">
        <f>IF(AY48&gt;AY$145, AY48-AY$145,"")</f>
        <v/>
      </c>
      <c r="CC48" s="1" t="str">
        <f>IF(AZ48&gt;AZ$145, AZ48-AZ$145,"")</f>
        <v/>
      </c>
      <c r="CD48" s="1" t="str">
        <f>IF(BA48&gt;BA$145, BA48-BA$145,"")</f>
        <v/>
      </c>
      <c r="CE48" s="1" t="str">
        <f>IF(BB48&gt;BB$145, BB48-BB$145,"")</f>
        <v/>
      </c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8"/>
    </row>
    <row r="49" spans="1:97" ht="27" x14ac:dyDescent="0.15">
      <c r="A49" s="1"/>
      <c r="B49" s="1" t="s">
        <v>140</v>
      </c>
      <c r="C49" s="1" t="s">
        <v>128</v>
      </c>
      <c r="D49" s="1" t="s">
        <v>130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32"/>
      <c r="Q49" s="32">
        <v>5</v>
      </c>
      <c r="R49" s="32">
        <v>2</v>
      </c>
      <c r="S49" s="32"/>
      <c r="T49" s="32">
        <v>5</v>
      </c>
      <c r="U49" s="32"/>
      <c r="V49" s="32"/>
      <c r="W49" s="32"/>
      <c r="X49" s="32"/>
      <c r="Y49" s="32"/>
      <c r="Z49" s="32">
        <v>5</v>
      </c>
      <c r="AA49" s="32"/>
      <c r="AB49" s="32"/>
      <c r="AC49" s="32"/>
      <c r="AD49" s="32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17</v>
      </c>
      <c r="BQ49" s="1">
        <v>8</v>
      </c>
      <c r="BR49" s="17">
        <v>2</v>
      </c>
      <c r="BS49" s="17" t="s">
        <v>265</v>
      </c>
      <c r="BT49" s="1" t="str">
        <f>IF(AQ49&gt;AQ$145, AQ49-AQ$145,"")</f>
        <v/>
      </c>
      <c r="BU49" s="1" t="str">
        <f>IF(AR49&gt;AR$145, AR49-AR$145,"")</f>
        <v/>
      </c>
      <c r="BV49" s="1" t="str">
        <f>IF(AS49&gt;AS$145, AS49-AS$145,"")</f>
        <v/>
      </c>
      <c r="BW49" s="1" t="str">
        <f>IF(AT49&gt;AT$145, AT49-AT$145,"")</f>
        <v/>
      </c>
      <c r="BX49" s="1" t="str">
        <f>IF(AU49&gt;AU$145, AU49-AU$145,"")</f>
        <v/>
      </c>
      <c r="BY49" s="1" t="str">
        <f>IF(AV49&gt;AV$145, AV49-AV$145,"")</f>
        <v/>
      </c>
      <c r="BZ49" s="1" t="str">
        <f>IF(AW49&gt;AW$145, AW49-AW$145,"")</f>
        <v/>
      </c>
      <c r="CA49" s="1" t="str">
        <f>IF(AX49&gt;AX$145, AX49-AX$145,"")</f>
        <v/>
      </c>
      <c r="CB49" s="1" t="str">
        <f>IF(AY49&gt;AY$145, AY49-AY$145,"")</f>
        <v/>
      </c>
      <c r="CC49" s="1" t="str">
        <f>IF(AZ49&gt;AZ$145, AZ49-AZ$145,"")</f>
        <v/>
      </c>
      <c r="CD49" s="1" t="str">
        <f>IF(BA49&gt;BA$145, BA49-BA$145,"")</f>
        <v/>
      </c>
      <c r="CE49" s="1" t="str">
        <f>IF(BB49&gt;BB$145, BB49-BB$145,"")</f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8"/>
    </row>
    <row r="50" spans="1:97" ht="27" x14ac:dyDescent="0.15">
      <c r="A50" s="1"/>
      <c r="B50" s="1" t="s">
        <v>145</v>
      </c>
      <c r="C50" s="1" t="s">
        <v>128</v>
      </c>
      <c r="D50" s="1" t="s">
        <v>130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32"/>
      <c r="Q50" s="32">
        <v>5</v>
      </c>
      <c r="R50" s="32">
        <v>2</v>
      </c>
      <c r="S50" s="32"/>
      <c r="T50" s="32">
        <v>5</v>
      </c>
      <c r="U50" s="32"/>
      <c r="V50" s="32"/>
      <c r="W50" s="32"/>
      <c r="X50" s="32"/>
      <c r="Y50" s="32"/>
      <c r="Z50" s="32">
        <v>5</v>
      </c>
      <c r="AA50" s="32"/>
      <c r="AB50" s="32"/>
      <c r="AC50" s="32"/>
      <c r="AD50" s="32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17</v>
      </c>
      <c r="BQ50" s="1">
        <v>8</v>
      </c>
      <c r="BR50" s="17">
        <v>2</v>
      </c>
      <c r="BS50" s="17" t="s">
        <v>220</v>
      </c>
      <c r="BT50" s="1" t="str">
        <f>IF(AQ50&gt;AQ$145, AQ50-AQ$145,"")</f>
        <v/>
      </c>
      <c r="BU50" s="1" t="str">
        <f>IF(AR50&gt;AR$145, AR50-AR$145,"")</f>
        <v/>
      </c>
      <c r="BV50" s="1" t="str">
        <f>IF(AS50&gt;AS$145, AS50-AS$145,"")</f>
        <v/>
      </c>
      <c r="BW50" s="1" t="str">
        <f>IF(AT50&gt;AT$145, AT50-AT$145,"")</f>
        <v/>
      </c>
      <c r="BX50" s="1" t="str">
        <f>IF(AU50&gt;AU$145, AU50-AU$145,"")</f>
        <v/>
      </c>
      <c r="BY50" s="1" t="str">
        <f>IF(AV50&gt;AV$145, AV50-AV$145,"")</f>
        <v/>
      </c>
      <c r="BZ50" s="1" t="str">
        <f>IF(AW50&gt;AW$145, AW50-AW$145,"")</f>
        <v/>
      </c>
      <c r="CA50" s="1" t="str">
        <f>IF(AX50&gt;AX$145, AX50-AX$145,"")</f>
        <v/>
      </c>
      <c r="CB50" s="1" t="str">
        <f>IF(AY50&gt;AY$145, AY50-AY$145,"")</f>
        <v/>
      </c>
      <c r="CC50" s="1" t="str">
        <f>IF(AZ50&gt;AZ$145, AZ50-AZ$145,"")</f>
        <v/>
      </c>
      <c r="CD50" s="1" t="str">
        <f>IF(BA50&gt;BA$145, BA50-BA$145,"")</f>
        <v/>
      </c>
      <c r="CE50" s="1" t="str">
        <f>IF(BB50&gt;BB$145, BB50-BB$145,"")</f>
        <v/>
      </c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8"/>
    </row>
    <row r="51" spans="1:97" ht="27" x14ac:dyDescent="0.15">
      <c r="A51" s="1"/>
      <c r="B51" s="1" t="s">
        <v>153</v>
      </c>
      <c r="C51" s="1" t="s">
        <v>151</v>
      </c>
      <c r="D51" s="1" t="s">
        <v>130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32"/>
      <c r="Q51" s="32">
        <v>5</v>
      </c>
      <c r="R51" s="32">
        <v>2</v>
      </c>
      <c r="S51" s="32"/>
      <c r="T51" s="32">
        <v>5</v>
      </c>
      <c r="U51" s="32"/>
      <c r="V51" s="32"/>
      <c r="W51" s="32"/>
      <c r="X51" s="32"/>
      <c r="Y51" s="32"/>
      <c r="Z51" s="32">
        <v>5</v>
      </c>
      <c r="AA51" s="32"/>
      <c r="AB51" s="32"/>
      <c r="AC51" s="32"/>
      <c r="AD51" s="32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17</v>
      </c>
      <c r="BQ51" s="1">
        <v>8</v>
      </c>
      <c r="BR51" s="17">
        <v>2</v>
      </c>
      <c r="BS51" s="17" t="s">
        <v>265</v>
      </c>
      <c r="BT51" s="1" t="str">
        <f>IF(AQ51&gt;AQ$145, AQ51-AQ$145,"")</f>
        <v/>
      </c>
      <c r="BU51" s="1" t="str">
        <f>IF(AR51&gt;AR$145, AR51-AR$145,"")</f>
        <v/>
      </c>
      <c r="BV51" s="1" t="str">
        <f>IF(AS51&gt;AS$145, AS51-AS$145,"")</f>
        <v/>
      </c>
      <c r="BW51" s="1" t="str">
        <f>IF(AT51&gt;AT$145, AT51-AT$145,"")</f>
        <v/>
      </c>
      <c r="BX51" s="1" t="str">
        <f>IF(AU51&gt;AU$145, AU51-AU$145,"")</f>
        <v/>
      </c>
      <c r="BY51" s="1" t="str">
        <f>IF(AV51&gt;AV$145, AV51-AV$145,"")</f>
        <v/>
      </c>
      <c r="BZ51" s="1" t="str">
        <f>IF(AW51&gt;AW$145, AW51-AW$145,"")</f>
        <v/>
      </c>
      <c r="CA51" s="1" t="str">
        <f>IF(AX51&gt;AX$145, AX51-AX$145,"")</f>
        <v/>
      </c>
      <c r="CB51" s="1" t="str">
        <f>IF(AY51&gt;AY$145, AY51-AY$145,"")</f>
        <v/>
      </c>
      <c r="CC51" s="1" t="str">
        <f>IF(AZ51&gt;AZ$145, AZ51-AZ$145,"")</f>
        <v/>
      </c>
      <c r="CD51" s="1" t="str">
        <f>IF(BA51&gt;BA$145, BA51-BA$145,"")</f>
        <v/>
      </c>
      <c r="CE51" s="1" t="str">
        <f>IF(BB51&gt;BB$145, BB51-BB$145,"")</f>
        <v/>
      </c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8"/>
    </row>
    <row r="52" spans="1:97" ht="27" x14ac:dyDescent="0.15">
      <c r="A52" s="1"/>
      <c r="B52" s="1" t="s">
        <v>155</v>
      </c>
      <c r="C52" s="1" t="s">
        <v>156</v>
      </c>
      <c r="D52" s="1" t="s">
        <v>130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32"/>
      <c r="Q52" s="32">
        <v>5</v>
      </c>
      <c r="R52" s="32"/>
      <c r="S52" s="32"/>
      <c r="T52" s="32">
        <v>5</v>
      </c>
      <c r="U52" s="32"/>
      <c r="V52" s="32"/>
      <c r="W52" s="32"/>
      <c r="X52" s="32">
        <v>2</v>
      </c>
      <c r="Y52" s="32"/>
      <c r="Z52" s="32">
        <v>5</v>
      </c>
      <c r="AA52" s="32"/>
      <c r="AB52" s="32"/>
      <c r="AC52" s="32"/>
      <c r="AD52" s="32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17</v>
      </c>
      <c r="BQ52" s="1">
        <v>8</v>
      </c>
      <c r="BR52" s="17">
        <v>2</v>
      </c>
      <c r="BS52" s="17" t="s">
        <v>265</v>
      </c>
      <c r="BT52" s="1" t="str">
        <f>IF(AQ52&gt;AQ$145, AQ52-AQ$145,"")</f>
        <v/>
      </c>
      <c r="BU52" s="1" t="str">
        <f>IF(AR52&gt;AR$145, AR52-AR$145,"")</f>
        <v/>
      </c>
      <c r="BV52" s="1" t="str">
        <f>IF(AS52&gt;AS$145, AS52-AS$145,"")</f>
        <v/>
      </c>
      <c r="BW52" s="1" t="str">
        <f>IF(AT52&gt;AT$145, AT52-AT$145,"")</f>
        <v/>
      </c>
      <c r="BX52" s="1" t="str">
        <f>IF(AU52&gt;AU$145, AU52-AU$145,"")</f>
        <v/>
      </c>
      <c r="BY52" s="1" t="str">
        <f>IF(AV52&gt;AV$145, AV52-AV$145,"")</f>
        <v/>
      </c>
      <c r="BZ52" s="1" t="str">
        <f>IF(AW52&gt;AW$145, AW52-AW$145,"")</f>
        <v/>
      </c>
      <c r="CA52" s="1" t="str">
        <f>IF(AX52&gt;AX$145, AX52-AX$145,"")</f>
        <v/>
      </c>
      <c r="CB52" s="1" t="str">
        <f>IF(AY52&gt;AY$145, AY52-AY$145,"")</f>
        <v/>
      </c>
      <c r="CC52" s="1" t="str">
        <f>IF(AZ52&gt;AZ$145, AZ52-AZ$145,"")</f>
        <v/>
      </c>
      <c r="CD52" s="1" t="str">
        <f>IF(BA52&gt;BA$145, BA52-BA$145,"")</f>
        <v/>
      </c>
      <c r="CE52" s="1" t="str">
        <f>IF(BB52&gt;BB$145, BB52-BB$145,"")</f>
        <v/>
      </c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8"/>
    </row>
    <row r="53" spans="1:97" ht="27" x14ac:dyDescent="0.15">
      <c r="A53" s="1">
        <v>101</v>
      </c>
      <c r="B53" s="3" t="s">
        <v>105</v>
      </c>
      <c r="C53" s="3" t="s">
        <v>73</v>
      </c>
      <c r="D53" s="1" t="s">
        <v>13</v>
      </c>
      <c r="E53" s="6"/>
      <c r="F53" s="6"/>
      <c r="G53" s="6"/>
      <c r="H53" s="6">
        <v>6</v>
      </c>
      <c r="I53" s="6">
        <v>6</v>
      </c>
      <c r="J53" s="6"/>
      <c r="K53" s="6"/>
      <c r="L53" s="6"/>
      <c r="M53" s="6"/>
      <c r="N53" s="6"/>
      <c r="O53" s="6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>
        <v>8</v>
      </c>
      <c r="AV53" s="4"/>
      <c r="AW53" s="2">
        <v>8</v>
      </c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28</v>
      </c>
      <c r="BQ53" s="1">
        <v>8</v>
      </c>
      <c r="BR53" s="17">
        <v>2</v>
      </c>
      <c r="BS53" s="17" t="s">
        <v>267</v>
      </c>
      <c r="BT53" s="1" t="str">
        <f>IF(AQ53&gt;AQ$145, AQ53-AQ$145,"")</f>
        <v/>
      </c>
      <c r="BU53" s="1" t="str">
        <f>IF(AR53&gt;AR$145, AR53-AR$145,"")</f>
        <v/>
      </c>
      <c r="BV53" s="1" t="str">
        <f>IF(AS53&gt;AS$145, AS53-AS$145,"")</f>
        <v/>
      </c>
      <c r="BW53" s="1" t="str">
        <f>IF(AT53&gt;AT$145, AT53-AT$145,"")</f>
        <v/>
      </c>
      <c r="BX53" s="1">
        <f>IF(AU53&gt;AU$145, AU53-AU$145,"")</f>
        <v>2</v>
      </c>
      <c r="BY53" s="1" t="str">
        <f>IF(AV53&gt;AV$145, AV53-AV$145,"")</f>
        <v/>
      </c>
      <c r="BZ53" s="1" t="str">
        <f>IF(AW53&gt;AW$145, AW53-AW$145,"")</f>
        <v/>
      </c>
      <c r="CA53" s="1" t="str">
        <f>IF(AX53&gt;AX$145, AX53-AX$145,"")</f>
        <v/>
      </c>
      <c r="CB53" s="1" t="str">
        <f>IF(AY53&gt;AY$145, AY53-AY$145,"")</f>
        <v/>
      </c>
      <c r="CC53" s="1" t="str">
        <f>IF(AZ53&gt;AZ$145, AZ53-AZ$145,"")</f>
        <v/>
      </c>
      <c r="CD53" s="1" t="str">
        <f>IF(BA53&gt;BA$145, BA53-BA$145,"")</f>
        <v/>
      </c>
      <c r="CE53" s="1" t="str">
        <f>IF(BB53&gt;BB$145, BB53-BB$145,"")</f>
        <v/>
      </c>
      <c r="CF53" s="1">
        <f>COUNTIF(BT53:CE53, "&gt;0")</f>
        <v>1</v>
      </c>
      <c r="CG53" s="1" t="str">
        <f>IF($CF53=1,BT53,"")</f>
        <v/>
      </c>
      <c r="CH53" s="1" t="str">
        <f>IF($CF53=1,BU53,"")</f>
        <v/>
      </c>
      <c r="CI53" s="1" t="str">
        <f>IF($CF53=1,BV53,"")</f>
        <v/>
      </c>
      <c r="CJ53" s="1" t="str">
        <f>IF($CF53=1,BW53,"")</f>
        <v/>
      </c>
      <c r="CK53" s="1">
        <f>IF($CF53=1,BX53,"")</f>
        <v>2</v>
      </c>
      <c r="CL53" s="1" t="str">
        <f>IF($CF53=1,BY53,"")</f>
        <v/>
      </c>
      <c r="CM53" s="1" t="str">
        <f>IF($CF53=1,BZ53,"")</f>
        <v/>
      </c>
      <c r="CN53" s="1" t="str">
        <f>IF($CF53=1,CA53,"")</f>
        <v/>
      </c>
      <c r="CO53" s="1" t="str">
        <f>IF($CF53=1,CB53,"")</f>
        <v/>
      </c>
      <c r="CP53" s="1" t="str">
        <f>IF($CF53=1,CC53,"")</f>
        <v/>
      </c>
      <c r="CQ53" s="1" t="str">
        <f>IF($CF53=1,CD53,"")</f>
        <v/>
      </c>
      <c r="CR53" s="1" t="str">
        <f>IF($CF53=1,CE53,"")</f>
        <v/>
      </c>
      <c r="CS53" s="18">
        <f>SUM(AE53:BO53)</f>
        <v>16</v>
      </c>
    </row>
    <row r="54" spans="1:97" ht="27" x14ac:dyDescent="0.15">
      <c r="A54" s="1">
        <v>20</v>
      </c>
      <c r="B54" s="1" t="s">
        <v>37</v>
      </c>
      <c r="C54" s="1" t="s">
        <v>31</v>
      </c>
      <c r="D54" s="1" t="s">
        <v>25</v>
      </c>
      <c r="E54" s="6"/>
      <c r="F54" s="6">
        <v>5</v>
      </c>
      <c r="G54" s="6"/>
      <c r="H54" s="6"/>
      <c r="I54" s="6"/>
      <c r="J54" s="6"/>
      <c r="K54" s="6"/>
      <c r="L54" s="6"/>
      <c r="M54" s="6"/>
      <c r="N54" s="6"/>
      <c r="O54" s="6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1"/>
      <c r="AF54" s="1"/>
      <c r="AG54" s="1">
        <v>5</v>
      </c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10</v>
      </c>
      <c r="BQ54" s="1">
        <v>9</v>
      </c>
      <c r="BR54" s="17">
        <v>2</v>
      </c>
      <c r="BS54" s="17" t="s">
        <v>214</v>
      </c>
      <c r="BT54" s="1" t="str">
        <f>IF(AQ54&gt;AQ$145, AQ54-AQ$145,"")</f>
        <v/>
      </c>
      <c r="BU54" s="1" t="str">
        <f>IF(AR54&gt;AR$145, AR54-AR$145,"")</f>
        <v/>
      </c>
      <c r="BV54" s="1" t="str">
        <f>IF(AS54&gt;AS$145, AS54-AS$145,"")</f>
        <v/>
      </c>
      <c r="BW54" s="1" t="str">
        <f>IF(AT54&gt;AT$145, AT54-AT$145,"")</f>
        <v/>
      </c>
      <c r="BX54" s="1" t="str">
        <f>IF(AU54&gt;AU$145, AU54-AU$145,"")</f>
        <v/>
      </c>
      <c r="BY54" s="1" t="str">
        <f>IF(AV54&gt;AV$145, AV54-AV$145,"")</f>
        <v/>
      </c>
      <c r="BZ54" s="1" t="str">
        <f>IF(AW54&gt;AW$145, AW54-AW$145,"")</f>
        <v/>
      </c>
      <c r="CA54" s="1" t="str">
        <f>IF(AX54&gt;AX$145, AX54-AX$145,"")</f>
        <v/>
      </c>
      <c r="CB54" s="1" t="str">
        <f>IF(AY54&gt;AY$145, AY54-AY$145,"")</f>
        <v/>
      </c>
      <c r="CC54" s="1" t="str">
        <f>IF(AZ54&gt;AZ$145, AZ54-AZ$145,"")</f>
        <v/>
      </c>
      <c r="CD54" s="1" t="str">
        <f>IF(BA54&gt;BA$145, BA54-BA$145,"")</f>
        <v/>
      </c>
      <c r="CE54" s="1" t="str">
        <f>IF(BB54&gt;BB$145, BB54-BB$145,"")</f>
        <v/>
      </c>
      <c r="CF54" s="1">
        <f>COUNTIF(BT54:CE54, "&gt;0")</f>
        <v>0</v>
      </c>
      <c r="CG54" s="1" t="str">
        <f>IF($CF54=1,BT54,"")</f>
        <v/>
      </c>
      <c r="CH54" s="1" t="str">
        <f>IF($CF54=1,BU54,"")</f>
        <v/>
      </c>
      <c r="CI54" s="1" t="str">
        <f>IF($CF54=1,BV54,"")</f>
        <v/>
      </c>
      <c r="CJ54" s="1" t="str">
        <f>IF($CF54=1,BW54,"")</f>
        <v/>
      </c>
      <c r="CK54" s="1" t="str">
        <f>IF($CF54=1,BX54,"")</f>
        <v/>
      </c>
      <c r="CL54" s="1" t="str">
        <f>IF($CF54=1,BY54,"")</f>
        <v/>
      </c>
      <c r="CM54" s="1" t="str">
        <f>IF($CF54=1,BZ54,"")</f>
        <v/>
      </c>
      <c r="CN54" s="1" t="str">
        <f>IF($CF54=1,CA54,"")</f>
        <v/>
      </c>
      <c r="CO54" s="1" t="str">
        <f>IF($CF54=1,CB54,"")</f>
        <v/>
      </c>
      <c r="CP54" s="1" t="str">
        <f>IF($CF54=1,CC54,"")</f>
        <v/>
      </c>
      <c r="CQ54" s="1" t="str">
        <f>IF($CF54=1,CD54,"")</f>
        <v/>
      </c>
      <c r="CR54" s="1" t="str">
        <f>IF($CF54=1,CE54,"")</f>
        <v/>
      </c>
      <c r="CS54" s="18">
        <f>SUM(AE54:BO54)</f>
        <v>5</v>
      </c>
    </row>
    <row r="55" spans="1:97" ht="27" x14ac:dyDescent="0.15">
      <c r="A55" s="1">
        <v>27</v>
      </c>
      <c r="B55" s="1" t="s">
        <v>78</v>
      </c>
      <c r="C55" s="1" t="s">
        <v>31</v>
      </c>
      <c r="D55" s="1" t="s">
        <v>24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1"/>
      <c r="AF55" s="1"/>
      <c r="AG55" s="1"/>
      <c r="AH55" s="1">
        <v>5</v>
      </c>
      <c r="AI55" s="1">
        <v>5</v>
      </c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10</v>
      </c>
      <c r="BQ55" s="1">
        <v>10</v>
      </c>
      <c r="BR55" s="17">
        <v>2</v>
      </c>
      <c r="BS55" s="17" t="s">
        <v>269</v>
      </c>
      <c r="BT55" s="1" t="str">
        <f>IF(AQ55&gt;AQ$145, AQ55-AQ$145,"")</f>
        <v/>
      </c>
      <c r="BU55" s="1" t="str">
        <f>IF(AR55&gt;AR$145, AR55-AR$145,"")</f>
        <v/>
      </c>
      <c r="BV55" s="1" t="str">
        <f>IF(AS55&gt;AS$145, AS55-AS$145,"")</f>
        <v/>
      </c>
      <c r="BW55" s="1" t="str">
        <f>IF(AT55&gt;AT$145, AT55-AT$145,"")</f>
        <v/>
      </c>
      <c r="BX55" s="1" t="str">
        <f>IF(AU55&gt;AU$145, AU55-AU$145,"")</f>
        <v/>
      </c>
      <c r="BY55" s="1" t="str">
        <f>IF(AV55&gt;AV$145, AV55-AV$145,"")</f>
        <v/>
      </c>
      <c r="BZ55" s="1" t="str">
        <f>IF(AW55&gt;AW$145, AW55-AW$145,"")</f>
        <v/>
      </c>
      <c r="CA55" s="1" t="str">
        <f>IF(AX55&gt;AX$145, AX55-AX$145,"")</f>
        <v/>
      </c>
      <c r="CB55" s="1" t="str">
        <f>IF(AY55&gt;AY$145, AY55-AY$145,"")</f>
        <v/>
      </c>
      <c r="CC55" s="1" t="str">
        <f>IF(AZ55&gt;AZ$145, AZ55-AZ$145,"")</f>
        <v/>
      </c>
      <c r="CD55" s="1" t="str">
        <f>IF(BA55&gt;BA$145, BA55-BA$145,"")</f>
        <v/>
      </c>
      <c r="CE55" s="1" t="str">
        <f>IF(BB55&gt;BB$145, BB55-BB$145,"")</f>
        <v/>
      </c>
      <c r="CF55" s="1">
        <f>COUNTIF(BT55:CE55, "&gt;0")</f>
        <v>0</v>
      </c>
      <c r="CG55" s="1" t="str">
        <f>IF($CF55=1,BT55,"")</f>
        <v/>
      </c>
      <c r="CH55" s="1" t="str">
        <f>IF($CF55=1,BU55,"")</f>
        <v/>
      </c>
      <c r="CI55" s="1" t="str">
        <f>IF($CF55=1,BV55,"")</f>
        <v/>
      </c>
      <c r="CJ55" s="1" t="str">
        <f>IF($CF55=1,BW55,"")</f>
        <v/>
      </c>
      <c r="CK55" s="1" t="str">
        <f>IF($CF55=1,BX55,"")</f>
        <v/>
      </c>
      <c r="CL55" s="1" t="str">
        <f>IF($CF55=1,BY55,"")</f>
        <v/>
      </c>
      <c r="CM55" s="1" t="str">
        <f>IF($CF55=1,BZ55,"")</f>
        <v/>
      </c>
      <c r="CN55" s="1" t="str">
        <f>IF($CF55=1,CA55,"")</f>
        <v/>
      </c>
      <c r="CO55" s="1" t="str">
        <f>IF($CF55=1,CB55,"")</f>
        <v/>
      </c>
      <c r="CP55" s="1" t="str">
        <f>IF($CF55=1,CC55,"")</f>
        <v/>
      </c>
      <c r="CQ55" s="1" t="str">
        <f>IF($CF55=1,CD55,"")</f>
        <v/>
      </c>
      <c r="CR55" s="1" t="str">
        <f>IF($CF55=1,CE55,"")</f>
        <v/>
      </c>
      <c r="CS55" s="18">
        <f>SUM(AE55:BO55)</f>
        <v>10</v>
      </c>
    </row>
    <row r="56" spans="1:97" ht="27" x14ac:dyDescent="0.15">
      <c r="A56" s="1">
        <v>88</v>
      </c>
      <c r="B56" s="3" t="s">
        <v>83</v>
      </c>
      <c r="C56" s="3" t="s">
        <v>84</v>
      </c>
      <c r="D56" s="1" t="s">
        <v>24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1"/>
      <c r="AF56" s="1"/>
      <c r="AG56" s="1"/>
      <c r="AH56" s="1">
        <v>5</v>
      </c>
      <c r="AI56" s="1">
        <v>5</v>
      </c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10</v>
      </c>
      <c r="BQ56" s="1">
        <v>10</v>
      </c>
      <c r="BR56" s="17">
        <v>2</v>
      </c>
      <c r="BS56" s="17" t="s">
        <v>269</v>
      </c>
      <c r="BT56" s="1" t="str">
        <f>IF(AQ56&gt;AQ$145, AQ56-AQ$145,"")</f>
        <v/>
      </c>
      <c r="BU56" s="1" t="str">
        <f>IF(AR56&gt;AR$145, AR56-AR$145,"")</f>
        <v/>
      </c>
      <c r="BV56" s="1" t="str">
        <f>IF(AS56&gt;AS$145, AS56-AS$145,"")</f>
        <v/>
      </c>
      <c r="BW56" s="1" t="str">
        <f>IF(AT56&gt;AT$145, AT56-AT$145,"")</f>
        <v/>
      </c>
      <c r="BX56" s="1" t="str">
        <f>IF(AU56&gt;AU$145, AU56-AU$145,"")</f>
        <v/>
      </c>
      <c r="BY56" s="1" t="str">
        <f>IF(AV56&gt;AV$145, AV56-AV$145,"")</f>
        <v/>
      </c>
      <c r="BZ56" s="1" t="str">
        <f>IF(AW56&gt;AW$145, AW56-AW$145,"")</f>
        <v/>
      </c>
      <c r="CA56" s="1" t="str">
        <f>IF(AX56&gt;AX$145, AX56-AX$145,"")</f>
        <v/>
      </c>
      <c r="CB56" s="1" t="str">
        <f>IF(AY56&gt;AY$145, AY56-AY$145,"")</f>
        <v/>
      </c>
      <c r="CC56" s="1" t="str">
        <f>IF(AZ56&gt;AZ$145, AZ56-AZ$145,"")</f>
        <v/>
      </c>
      <c r="CD56" s="1" t="str">
        <f>IF(BA56&gt;BA$145, BA56-BA$145,"")</f>
        <v/>
      </c>
      <c r="CE56" s="1" t="str">
        <f>IF(BB56&gt;BB$145, BB56-BB$145,"")</f>
        <v/>
      </c>
      <c r="CF56" s="1">
        <f>COUNTIF(BT56:CE56, "&gt;0")</f>
        <v>0</v>
      </c>
      <c r="CG56" s="1" t="str">
        <f>IF($CF56=1,BT56,"")</f>
        <v/>
      </c>
      <c r="CH56" s="1" t="str">
        <f>IF($CF56=1,BU56,"")</f>
        <v/>
      </c>
      <c r="CI56" s="1" t="str">
        <f>IF($CF56=1,BV56,"")</f>
        <v/>
      </c>
      <c r="CJ56" s="1" t="str">
        <f>IF($CF56=1,BW56,"")</f>
        <v/>
      </c>
      <c r="CK56" s="1" t="str">
        <f>IF($CF56=1,BX56,"")</f>
        <v/>
      </c>
      <c r="CL56" s="1" t="str">
        <f>IF($CF56=1,BY56,"")</f>
        <v/>
      </c>
      <c r="CM56" s="1" t="str">
        <f>IF($CF56=1,BZ56,"")</f>
        <v/>
      </c>
      <c r="CN56" s="1" t="str">
        <f>IF($CF56=1,CA56,"")</f>
        <v/>
      </c>
      <c r="CO56" s="1" t="str">
        <f>IF($CF56=1,CB56,"")</f>
        <v/>
      </c>
      <c r="CP56" s="1" t="str">
        <f>IF($CF56=1,CC56,"")</f>
        <v/>
      </c>
      <c r="CQ56" s="1" t="str">
        <f>IF($CF56=1,CD56,"")</f>
        <v/>
      </c>
      <c r="CR56" s="1" t="str">
        <f>IF($CF56=1,CE56,"")</f>
        <v/>
      </c>
      <c r="CS56" s="18">
        <f>SUM(AE56:BO56)</f>
        <v>10</v>
      </c>
    </row>
    <row r="57" spans="1:97" ht="27" x14ac:dyDescent="0.15">
      <c r="A57" s="1"/>
      <c r="B57" s="1" t="s">
        <v>179</v>
      </c>
      <c r="C57" s="1" t="s">
        <v>158</v>
      </c>
      <c r="D57" s="1" t="s">
        <v>131</v>
      </c>
      <c r="E57" s="6"/>
      <c r="F57" s="6"/>
      <c r="G57" s="6"/>
      <c r="H57" s="6"/>
      <c r="I57" s="6"/>
      <c r="J57" s="6"/>
      <c r="K57" s="6"/>
      <c r="L57" s="6">
        <v>6</v>
      </c>
      <c r="M57" s="6"/>
      <c r="N57" s="6"/>
      <c r="O57" s="6">
        <v>6</v>
      </c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>
        <v>10</v>
      </c>
      <c r="BB57" s="2">
        <v>10</v>
      </c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32</v>
      </c>
      <c r="BQ57" s="1">
        <v>11</v>
      </c>
      <c r="BR57" s="17">
        <v>2</v>
      </c>
      <c r="BS57" s="17" t="s">
        <v>273</v>
      </c>
      <c r="BT57" s="1" t="str">
        <f>IF(AQ57&gt;AQ$145, AQ57-AQ$145,"")</f>
        <v/>
      </c>
      <c r="BU57" s="1" t="str">
        <f>IF(AR57&gt;AR$145, AR57-AR$145,"")</f>
        <v/>
      </c>
      <c r="BV57" s="1" t="str">
        <f>IF(AS57&gt;AS$145, AS57-AS$145,"")</f>
        <v/>
      </c>
      <c r="BW57" s="1" t="str">
        <f>IF(AT57&gt;AT$145, AT57-AT$145,"")</f>
        <v/>
      </c>
      <c r="BX57" s="1" t="str">
        <f>IF(AU57&gt;AU$145, AU57-AU$145,"")</f>
        <v/>
      </c>
      <c r="BY57" s="1" t="str">
        <f>IF(AV57&gt;AV$145, AV57-AV$145,"")</f>
        <v/>
      </c>
      <c r="BZ57" s="1" t="str">
        <f>IF(AW57&gt;AW$145, AW57-AW$145,"")</f>
        <v/>
      </c>
      <c r="CA57" s="1" t="str">
        <f>IF(AX57&gt;AX$145, AX57-AX$145,"")</f>
        <v/>
      </c>
      <c r="CB57" s="1" t="str">
        <f>IF(AY57&gt;AY$145, AY57-AY$145,"")</f>
        <v/>
      </c>
      <c r="CC57" s="1" t="str">
        <f>IF(AZ57&gt;AZ$145, AZ57-AZ$145,"")</f>
        <v/>
      </c>
      <c r="CD57" s="1">
        <f>IF(BA57&gt;BA$145, BA57-BA$145,"")</f>
        <v>7</v>
      </c>
      <c r="CE57" s="1" t="str">
        <f>IF(BB57&gt;BB$145, BB57-BB$145,"")</f>
        <v/>
      </c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8"/>
    </row>
    <row r="58" spans="1:97" ht="27" x14ac:dyDescent="0.15">
      <c r="A58" s="1">
        <v>72</v>
      </c>
      <c r="B58" s="3" t="s">
        <v>95</v>
      </c>
      <c r="C58" s="1" t="s">
        <v>59</v>
      </c>
      <c r="D58" s="1" t="s">
        <v>13</v>
      </c>
      <c r="E58" s="6"/>
      <c r="F58" s="6"/>
      <c r="G58" s="6"/>
      <c r="H58" s="6"/>
      <c r="I58" s="6"/>
      <c r="J58" s="6"/>
      <c r="K58" s="6"/>
      <c r="L58" s="6">
        <v>6</v>
      </c>
      <c r="M58" s="6">
        <v>6</v>
      </c>
      <c r="N58" s="6"/>
      <c r="O58" s="6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>
        <v>10</v>
      </c>
      <c r="AW58" s="2"/>
      <c r="AX58" s="2"/>
      <c r="AY58" s="2"/>
      <c r="AZ58" s="2"/>
      <c r="BA58" s="2">
        <v>10</v>
      </c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32</v>
      </c>
      <c r="BQ58" s="1">
        <v>11</v>
      </c>
      <c r="BR58" s="17">
        <v>2</v>
      </c>
      <c r="BS58" s="17" t="s">
        <v>290</v>
      </c>
      <c r="BT58" s="1" t="str">
        <f>IF(AQ58&gt;AQ$145, AQ58-AQ$145,"")</f>
        <v/>
      </c>
      <c r="BU58" s="1" t="str">
        <f>IF(AR58&gt;AR$145, AR58-AR$145,"")</f>
        <v/>
      </c>
      <c r="BV58" s="1" t="str">
        <f>IF(AS58&gt;AS$145, AS58-AS$145,"")</f>
        <v/>
      </c>
      <c r="BW58" s="1" t="str">
        <f>IF(AT58&gt;AT$145, AT58-AT$145,"")</f>
        <v/>
      </c>
      <c r="BX58" s="1" t="str">
        <f>IF(AU58&gt;AU$145, AU58-AU$145,"")</f>
        <v/>
      </c>
      <c r="BY58" s="1" t="str">
        <f>IF(AV58&gt;AV$145, AV58-AV$145,"")</f>
        <v/>
      </c>
      <c r="BZ58" s="1" t="str">
        <f>IF(AW58&gt;AW$145, AW58-AW$145,"")</f>
        <v/>
      </c>
      <c r="CA58" s="1" t="str">
        <f>IF(AX58&gt;AX$145, AX58-AX$145,"")</f>
        <v/>
      </c>
      <c r="CB58" s="1" t="str">
        <f>IF(AY58&gt;AY$145, AY58-AY$145,"")</f>
        <v/>
      </c>
      <c r="CC58" s="1" t="str">
        <f>IF(AZ58&gt;AZ$145, AZ58-AZ$145,"")</f>
        <v/>
      </c>
      <c r="CD58" s="1">
        <f>IF(BA58&gt;BA$145, BA58-BA$145,"")</f>
        <v>7</v>
      </c>
      <c r="CE58" s="1" t="str">
        <f>IF(BB58&gt;BB$145, BB58-BB$145,"")</f>
        <v/>
      </c>
      <c r="CF58" s="1">
        <f>COUNTIF(BT58:CE58, "&gt;0")</f>
        <v>1</v>
      </c>
      <c r="CG58" s="1" t="str">
        <f>IF($CF58=1,BT58,"")</f>
        <v/>
      </c>
      <c r="CH58" s="1" t="str">
        <f>IF($CF58=1,BU58,"")</f>
        <v/>
      </c>
      <c r="CI58" s="1" t="str">
        <f>IF($CF58=1,BV58,"")</f>
        <v/>
      </c>
      <c r="CJ58" s="1" t="str">
        <f>IF($CF58=1,BW58,"")</f>
        <v/>
      </c>
      <c r="CK58" s="1" t="str">
        <f>IF($CF58=1,BX58,"")</f>
        <v/>
      </c>
      <c r="CL58" s="1" t="str">
        <f>IF($CF58=1,BY58,"")</f>
        <v/>
      </c>
      <c r="CM58" s="1" t="str">
        <f>IF($CF58=1,BZ58,"")</f>
        <v/>
      </c>
      <c r="CN58" s="1" t="str">
        <f>IF($CF58=1,CA58,"")</f>
        <v/>
      </c>
      <c r="CO58" s="1" t="str">
        <f>IF($CF58=1,CB58,"")</f>
        <v/>
      </c>
      <c r="CP58" s="1" t="str">
        <f>IF($CF58=1,CC58,"")</f>
        <v/>
      </c>
      <c r="CQ58" s="1">
        <f>IF($CF58=1,CD58,"")</f>
        <v>7</v>
      </c>
      <c r="CR58" s="1" t="str">
        <f>IF($CF58=1,CE58,"")</f>
        <v/>
      </c>
      <c r="CS58" s="18">
        <f>SUM(AE58:BO58)</f>
        <v>20</v>
      </c>
    </row>
    <row r="59" spans="1:97" ht="27" x14ac:dyDescent="0.15">
      <c r="A59" s="1"/>
      <c r="B59" s="1" t="s">
        <v>166</v>
      </c>
      <c r="C59" s="1" t="s">
        <v>125</v>
      </c>
      <c r="D59" s="1" t="s">
        <v>112</v>
      </c>
      <c r="E59" s="6"/>
      <c r="F59" s="6"/>
      <c r="G59" s="6">
        <v>6</v>
      </c>
      <c r="H59" s="6">
        <v>6</v>
      </c>
      <c r="I59" s="6"/>
      <c r="J59" s="6"/>
      <c r="K59" s="6"/>
      <c r="L59" s="6"/>
      <c r="M59" s="6"/>
      <c r="N59" s="6"/>
      <c r="O59" s="6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>
        <v>10</v>
      </c>
      <c r="AW59" s="2">
        <v>10</v>
      </c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32</v>
      </c>
      <c r="BQ59" s="1">
        <v>12</v>
      </c>
      <c r="BR59" s="17">
        <v>2</v>
      </c>
      <c r="BS59" s="17" t="s">
        <v>286</v>
      </c>
      <c r="BT59" s="1" t="str">
        <f>IF(AQ59&gt;AQ$145, AQ59-AQ$145,"")</f>
        <v/>
      </c>
      <c r="BU59" s="1" t="str">
        <f>IF(AR59&gt;AR$145, AR59-AR$145,"")</f>
        <v/>
      </c>
      <c r="BV59" s="1" t="str">
        <f>IF(AS59&gt;AS$145, AS59-AS$145,"")</f>
        <v/>
      </c>
      <c r="BW59" s="1" t="str">
        <f>IF(AT59&gt;AT$145, AT59-AT$145,"")</f>
        <v/>
      </c>
      <c r="BX59" s="1" t="str">
        <f>IF(AU59&gt;AU$145, AU59-AU$145,"")</f>
        <v/>
      </c>
      <c r="BY59" s="1" t="str">
        <f>IF(AV59&gt;AV$145, AV59-AV$145,"")</f>
        <v/>
      </c>
      <c r="BZ59" s="1" t="str">
        <f>IF(AW59&gt;AW$145, AW59-AW$145,"")</f>
        <v/>
      </c>
      <c r="CA59" s="1" t="str">
        <f>IF(AX59&gt;AX$145, AX59-AX$145,"")</f>
        <v/>
      </c>
      <c r="CB59" s="1" t="str">
        <f>IF(AY59&gt;AY$145, AY59-AY$145,"")</f>
        <v/>
      </c>
      <c r="CC59" s="1" t="str">
        <f>IF(AZ59&gt;AZ$145, AZ59-AZ$145,"")</f>
        <v/>
      </c>
      <c r="CD59" s="1" t="str">
        <f>IF(BA59&gt;BA$145, BA59-BA$145,"")</f>
        <v/>
      </c>
      <c r="CE59" s="1" t="str">
        <f>IF(BB59&gt;BB$145, BB59-BB$145,"")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8"/>
    </row>
    <row r="60" spans="1:97" ht="27" x14ac:dyDescent="0.15">
      <c r="A60" s="1">
        <v>82</v>
      </c>
      <c r="B60" s="3" t="s">
        <v>71</v>
      </c>
      <c r="C60" s="3" t="s">
        <v>67</v>
      </c>
      <c r="D60" s="1" t="s">
        <v>13</v>
      </c>
      <c r="E60" s="6"/>
      <c r="F60" s="6"/>
      <c r="G60" s="6"/>
      <c r="H60" s="6"/>
      <c r="I60" s="6"/>
      <c r="J60" s="6"/>
      <c r="K60" s="6"/>
      <c r="L60" s="6">
        <v>6</v>
      </c>
      <c r="M60" s="6"/>
      <c r="N60" s="6">
        <v>6</v>
      </c>
      <c r="O60" s="6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>
        <v>10</v>
      </c>
      <c r="AU60" s="4"/>
      <c r="AV60" s="4"/>
      <c r="AW60" s="2"/>
      <c r="AX60" s="2"/>
      <c r="AY60" s="2"/>
      <c r="AZ60" s="2">
        <v>10</v>
      </c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32</v>
      </c>
      <c r="BQ60" s="1">
        <v>13</v>
      </c>
      <c r="BR60" s="17">
        <v>2</v>
      </c>
      <c r="BS60" s="17" t="s">
        <v>272</v>
      </c>
      <c r="BT60" s="1" t="str">
        <f>IF(AQ60&gt;AQ$145, AQ60-AQ$145,"")</f>
        <v/>
      </c>
      <c r="BU60" s="1" t="str">
        <f>IF(AR60&gt;AR$145, AR60-AR$145,"")</f>
        <v/>
      </c>
      <c r="BV60" s="1" t="str">
        <f>IF(AS60&gt;AS$145, AS60-AS$145,"")</f>
        <v/>
      </c>
      <c r="BW60" s="1">
        <f>IF(AT60&gt;AT$145, AT60-AT$145,"")</f>
        <v>3</v>
      </c>
      <c r="BX60" s="1" t="str">
        <f>IF(AU60&gt;AU$145, AU60-AU$145,"")</f>
        <v/>
      </c>
      <c r="BY60" s="1" t="str">
        <f>IF(AV60&gt;AV$145, AV60-AV$145,"")</f>
        <v/>
      </c>
      <c r="BZ60" s="1" t="str">
        <f>IF(AW60&gt;AW$145, AW60-AW$145,"")</f>
        <v/>
      </c>
      <c r="CA60" s="1" t="str">
        <f>IF(AX60&gt;AX$145, AX60-AX$145,"")</f>
        <v/>
      </c>
      <c r="CB60" s="1" t="str">
        <f>IF(AY60&gt;AY$145, AY60-AY$145,"")</f>
        <v/>
      </c>
      <c r="CC60" s="1">
        <f>IF(AZ60&gt;AZ$145, AZ60-AZ$145,"")</f>
        <v>10</v>
      </c>
      <c r="CD60" s="1" t="str">
        <f>IF(BA60&gt;BA$145, BA60-BA$145,"")</f>
        <v/>
      </c>
      <c r="CE60" s="1" t="str">
        <f>IF(BB60&gt;BB$145, BB60-BB$145,"")</f>
        <v/>
      </c>
      <c r="CF60" s="1">
        <f>COUNTIF(BT60:CE60, "&gt;0")</f>
        <v>2</v>
      </c>
      <c r="CG60" s="1" t="str">
        <f>IF($CF60=1,BT60,"")</f>
        <v/>
      </c>
      <c r="CH60" s="1" t="str">
        <f>IF($CF60=1,BU60,"")</f>
        <v/>
      </c>
      <c r="CI60" s="1" t="str">
        <f>IF($CF60=1,BV60,"")</f>
        <v/>
      </c>
      <c r="CJ60" s="1" t="str">
        <f>IF($CF60=1,BW60,"")</f>
        <v/>
      </c>
      <c r="CK60" s="1" t="str">
        <f>IF($CF60=1,BX60,"")</f>
        <v/>
      </c>
      <c r="CL60" s="1" t="str">
        <f>IF($CF60=1,BY60,"")</f>
        <v/>
      </c>
      <c r="CM60" s="1" t="str">
        <f>IF($CF60=1,BZ60,"")</f>
        <v/>
      </c>
      <c r="CN60" s="1" t="str">
        <f>IF($CF60=1,CA60,"")</f>
        <v/>
      </c>
      <c r="CO60" s="1" t="str">
        <f>IF($CF60=1,CB60,"")</f>
        <v/>
      </c>
      <c r="CP60" s="1" t="str">
        <f>IF($CF60=1,CC60,"")</f>
        <v/>
      </c>
      <c r="CQ60" s="1" t="str">
        <f>IF($CF60=1,CD60,"")</f>
        <v/>
      </c>
      <c r="CR60" s="1" t="str">
        <f>IF($CF60=1,CE60,"")</f>
        <v/>
      </c>
      <c r="CS60" s="18">
        <f>SUM(AE60:BO60)</f>
        <v>20</v>
      </c>
    </row>
    <row r="61" spans="1:97" ht="27" x14ac:dyDescent="0.15">
      <c r="A61" s="1"/>
      <c r="B61" s="1" t="s">
        <v>202</v>
      </c>
      <c r="C61" s="1" t="s">
        <v>126</v>
      </c>
      <c r="D61" s="1" t="s">
        <v>112</v>
      </c>
      <c r="E61" s="6"/>
      <c r="F61" s="6"/>
      <c r="G61" s="6"/>
      <c r="H61" s="6">
        <v>10</v>
      </c>
      <c r="I61" s="6"/>
      <c r="J61" s="6">
        <v>10</v>
      </c>
      <c r="K61" s="6"/>
      <c r="L61" s="6"/>
      <c r="M61" s="6"/>
      <c r="N61" s="6"/>
      <c r="O61" s="6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>
        <v>10</v>
      </c>
      <c r="AU61" s="4"/>
      <c r="AV61" s="4"/>
      <c r="AW61" s="2"/>
      <c r="AX61" s="2"/>
      <c r="AY61" s="2">
        <v>10</v>
      </c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40</v>
      </c>
      <c r="BQ61" s="1">
        <v>13</v>
      </c>
      <c r="BR61" s="17">
        <v>2</v>
      </c>
      <c r="BS61" s="17" t="s">
        <v>221</v>
      </c>
      <c r="BT61" s="1" t="str">
        <f>IF(AQ61&gt;AQ$145, AQ61-AQ$145,"")</f>
        <v/>
      </c>
      <c r="BU61" s="1" t="str">
        <f>IF(AR61&gt;AR$145, AR61-AR$145,"")</f>
        <v/>
      </c>
      <c r="BV61" s="1" t="str">
        <f>IF(AS61&gt;AS$145, AS61-AS$145,"")</f>
        <v/>
      </c>
      <c r="BW61" s="1">
        <f>IF(AT61&gt;AT$145, AT61-AT$145,"")</f>
        <v>3</v>
      </c>
      <c r="BX61" s="1" t="str">
        <f>IF(AU61&gt;AU$145, AU61-AU$145,"")</f>
        <v/>
      </c>
      <c r="BY61" s="1" t="str">
        <f>IF(AV61&gt;AV$145, AV61-AV$145,"")</f>
        <v/>
      </c>
      <c r="BZ61" s="1" t="str">
        <f>IF(AW61&gt;AW$145, AW61-AW$145,"")</f>
        <v/>
      </c>
      <c r="CA61" s="1" t="str">
        <f>IF(AX61&gt;AX$145, AX61-AX$145,"")</f>
        <v/>
      </c>
      <c r="CB61" s="1" t="str">
        <f>IF(AY61&gt;AY$145, AY61-AY$145,"")</f>
        <v/>
      </c>
      <c r="CC61" s="1" t="str">
        <f>IF(AZ61&gt;AZ$145, AZ61-AZ$145,"")</f>
        <v/>
      </c>
      <c r="CD61" s="1" t="str">
        <f>IF(BA61&gt;BA$145, BA61-BA$145,"")</f>
        <v/>
      </c>
      <c r="CE61" s="1" t="str">
        <f>IF(BB61&gt;BB$145, BB61-BB$145,"")</f>
        <v/>
      </c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8"/>
    </row>
    <row r="62" spans="1:97" ht="27" x14ac:dyDescent="0.15">
      <c r="A62" s="1">
        <v>77</v>
      </c>
      <c r="B62" s="3" t="s">
        <v>175</v>
      </c>
      <c r="C62" s="3" t="s">
        <v>67</v>
      </c>
      <c r="D62" s="1" t="s">
        <v>13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>
        <v>20</v>
      </c>
      <c r="AU62" s="4"/>
      <c r="AV62" s="4"/>
      <c r="AW62" s="2">
        <v>20</v>
      </c>
      <c r="AX62" s="2">
        <v>20</v>
      </c>
      <c r="AY62" s="2"/>
      <c r="AZ62" s="2"/>
      <c r="BA62" s="2"/>
      <c r="BB62" s="2">
        <v>10</v>
      </c>
      <c r="BC62" s="14"/>
      <c r="BD62" s="1"/>
      <c r="BE62" s="1"/>
      <c r="BF62" s="1"/>
      <c r="BG62" s="1"/>
      <c r="BH62" s="1">
        <v>20</v>
      </c>
      <c r="BI62" s="1"/>
      <c r="BJ62" s="1"/>
      <c r="BK62" s="1"/>
      <c r="BL62" s="1"/>
      <c r="BM62" s="1"/>
      <c r="BN62" s="1"/>
      <c r="BO62" s="1"/>
      <c r="BP62" s="1">
        <f>SUM(E62:BO62)</f>
        <v>90</v>
      </c>
      <c r="BQ62" s="1">
        <v>14</v>
      </c>
      <c r="BR62" s="17">
        <v>2</v>
      </c>
      <c r="BS62" s="17" t="s">
        <v>276</v>
      </c>
      <c r="BT62" s="1" t="str">
        <f>IF(AQ62&gt;AQ$145, AQ62-AQ$145,"")</f>
        <v/>
      </c>
      <c r="BU62" s="1" t="str">
        <f>IF(AR62&gt;AR$145, AR62-AR$145,"")</f>
        <v/>
      </c>
      <c r="BV62" s="1" t="str">
        <f>IF(AS62&gt;AS$145, AS62-AS$145,"")</f>
        <v/>
      </c>
      <c r="BW62" s="1">
        <f>IF(AT62&gt;AT$145, AT62-AT$145,"")</f>
        <v>13</v>
      </c>
      <c r="BX62" s="1" t="str">
        <f>IF(AU62&gt;AU$145, AU62-AU$145,"")</f>
        <v/>
      </c>
      <c r="BY62" s="1" t="str">
        <f>IF(AV62&gt;AV$145, AV62-AV$145,"")</f>
        <v/>
      </c>
      <c r="BZ62" s="1">
        <f>IF(AW62&gt;AW$145, AW62-AW$145,"")</f>
        <v>1</v>
      </c>
      <c r="CA62" s="1" t="str">
        <f>IF(AX62&gt;AX$145, AX62-AX$145,"")</f>
        <v/>
      </c>
      <c r="CB62" s="1" t="str">
        <f>IF(AY62&gt;AY$145, AY62-AY$145,"")</f>
        <v/>
      </c>
      <c r="CC62" s="1" t="str">
        <f>IF(AZ62&gt;AZ$145, AZ62-AZ$145,"")</f>
        <v/>
      </c>
      <c r="CD62" s="1" t="str">
        <f>IF(BA62&gt;BA$145, BA62-BA$145,"")</f>
        <v/>
      </c>
      <c r="CE62" s="1" t="str">
        <f>IF(BB62&gt;BB$145, BB62-BB$145,"")</f>
        <v/>
      </c>
      <c r="CF62" s="1">
        <f>COUNTIF(BT62:CE62, "&gt;0")</f>
        <v>2</v>
      </c>
      <c r="CG62" s="1" t="str">
        <f>IF($CF62=1,BT62,"")</f>
        <v/>
      </c>
      <c r="CH62" s="1" t="str">
        <f>IF($CF62=1,BU62,"")</f>
        <v/>
      </c>
      <c r="CI62" s="1" t="str">
        <f>IF($CF62=1,BV62,"")</f>
        <v/>
      </c>
      <c r="CJ62" s="1" t="str">
        <f>IF($CF62=1,BW62,"")</f>
        <v/>
      </c>
      <c r="CK62" s="1" t="str">
        <f>IF($CF62=1,BX62,"")</f>
        <v/>
      </c>
      <c r="CL62" s="1" t="str">
        <f>IF($CF62=1,BY62,"")</f>
        <v/>
      </c>
      <c r="CM62" s="1" t="str">
        <f>IF($CF62=1,BZ62,"")</f>
        <v/>
      </c>
      <c r="CN62" s="1" t="str">
        <f>IF($CF62=1,CA62,"")</f>
        <v/>
      </c>
      <c r="CO62" s="1" t="str">
        <f>IF($CF62=1,CB62,"")</f>
        <v/>
      </c>
      <c r="CP62" s="1" t="str">
        <f>IF($CF62=1,CC62,"")</f>
        <v/>
      </c>
      <c r="CQ62" s="1" t="str">
        <f>IF($CF62=1,CD62,"")</f>
        <v/>
      </c>
      <c r="CR62" s="1" t="str">
        <f>IF($CF62=1,CE62,"")</f>
        <v/>
      </c>
      <c r="CS62" s="18">
        <f>SUM(AE62:BO62)</f>
        <v>90</v>
      </c>
    </row>
    <row r="63" spans="1:97" ht="27" x14ac:dyDescent="0.15">
      <c r="A63" s="1">
        <v>2</v>
      </c>
      <c r="B63" s="1" t="s">
        <v>8</v>
      </c>
      <c r="C63" s="1" t="s">
        <v>2</v>
      </c>
      <c r="D63" s="1" t="s">
        <v>1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1">
        <v>15</v>
      </c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>
        <v>15</v>
      </c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30</v>
      </c>
      <c r="BQ63" s="1">
        <v>25</v>
      </c>
      <c r="BR63" s="17">
        <v>2</v>
      </c>
      <c r="BS63" s="17" t="s">
        <v>222</v>
      </c>
      <c r="BT63" s="1" t="str">
        <f>IF(AQ63&gt;AQ$145, AQ63-AQ$145,"")</f>
        <v/>
      </c>
      <c r="BU63" s="1" t="str">
        <f>IF(AR63&gt;AR$145, AR63-AR$145,"")</f>
        <v/>
      </c>
      <c r="BV63" s="1" t="str">
        <f>IF(AS63&gt;AS$145, AS63-AS$145,"")</f>
        <v/>
      </c>
      <c r="BW63" s="1" t="str">
        <f>IF(AT63&gt;AT$145, AT63-AT$145,"")</f>
        <v/>
      </c>
      <c r="BX63" s="1" t="str">
        <f>IF(AU63&gt;AU$145, AU63-AU$145,"")</f>
        <v/>
      </c>
      <c r="BY63" s="1" t="str">
        <f>IF(AV63&gt;AV$145, AV63-AV$145,"")</f>
        <v/>
      </c>
      <c r="BZ63" s="1" t="str">
        <f>IF(AW63&gt;AW$145, AW63-AW$145,"")</f>
        <v/>
      </c>
      <c r="CA63" s="1" t="str">
        <f>IF(AX63&gt;AX$145, AX63-AX$145,"")</f>
        <v/>
      </c>
      <c r="CB63" s="1" t="str">
        <f>IF(AY63&gt;AY$145, AY63-AY$145,"")</f>
        <v/>
      </c>
      <c r="CC63" s="1">
        <f>IF(AZ63&gt;AZ$145, AZ63-AZ$145,"")</f>
        <v>15</v>
      </c>
      <c r="CD63" s="1" t="str">
        <f>IF(BA63&gt;BA$145, BA63-BA$145,"")</f>
        <v/>
      </c>
      <c r="CE63" s="1" t="str">
        <f>IF(BB63&gt;BB$145, BB63-BB$145,"")</f>
        <v/>
      </c>
      <c r="CF63" s="1">
        <f>COUNTIF(BT63:CE63, "&gt;0")</f>
        <v>1</v>
      </c>
      <c r="CG63" s="1" t="str">
        <f>IF($CF63=1,BT63,"")</f>
        <v/>
      </c>
      <c r="CH63" s="1" t="str">
        <f>IF($CF63=1,BU63,"")</f>
        <v/>
      </c>
      <c r="CI63" s="1" t="str">
        <f>IF($CF63=1,BV63,"")</f>
        <v/>
      </c>
      <c r="CJ63" s="1" t="str">
        <f>IF($CF63=1,BW63,"")</f>
        <v/>
      </c>
      <c r="CK63" s="1" t="str">
        <f>IF($CF63=1,BX63,"")</f>
        <v/>
      </c>
      <c r="CL63" s="1" t="str">
        <f>IF($CF63=1,BY63,"")</f>
        <v/>
      </c>
      <c r="CM63" s="1" t="str">
        <f>IF($CF63=1,BZ63,"")</f>
        <v/>
      </c>
      <c r="CN63" s="1" t="str">
        <f>IF($CF63=1,CA63,"")</f>
        <v/>
      </c>
      <c r="CO63" s="1" t="str">
        <f>IF($CF63=1,CB63,"")</f>
        <v/>
      </c>
      <c r="CP63" s="1">
        <f>IF($CF63=1,CC63,"")</f>
        <v>15</v>
      </c>
      <c r="CQ63" s="1" t="str">
        <f>IF($CF63=1,CD63,"")</f>
        <v/>
      </c>
      <c r="CR63" s="1" t="str">
        <f>IF($CF63=1,CE63,"")</f>
        <v/>
      </c>
      <c r="CS63" s="18">
        <f>SUM(AE63:BO63)</f>
        <v>30</v>
      </c>
    </row>
    <row r="64" spans="1:97" ht="27" x14ac:dyDescent="0.15">
      <c r="A64" s="1">
        <v>95</v>
      </c>
      <c r="B64" s="3" t="s">
        <v>88</v>
      </c>
      <c r="C64" s="3" t="s">
        <v>73</v>
      </c>
      <c r="D64" s="1" t="s">
        <v>1</v>
      </c>
      <c r="E64" s="6"/>
      <c r="F64" s="6"/>
      <c r="G64" s="6"/>
      <c r="H64" s="6"/>
      <c r="I64" s="6"/>
      <c r="J64" s="6"/>
      <c r="K64" s="6"/>
      <c r="L64" s="6">
        <v>15</v>
      </c>
      <c r="M64" s="6"/>
      <c r="N64" s="6"/>
      <c r="O64" s="6">
        <v>15</v>
      </c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>
        <v>15</v>
      </c>
      <c r="BB64" s="2">
        <v>15</v>
      </c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60</v>
      </c>
      <c r="BQ64" s="1">
        <v>25</v>
      </c>
      <c r="BR64" s="17">
        <v>2</v>
      </c>
      <c r="BS64" s="17" t="s">
        <v>277</v>
      </c>
      <c r="BT64" s="1" t="str">
        <f>IF(AQ64&gt;AQ$145, AQ64-AQ$145,"")</f>
        <v/>
      </c>
      <c r="BU64" s="1" t="str">
        <f>IF(AR64&gt;AR$145, AR64-AR$145,"")</f>
        <v/>
      </c>
      <c r="BV64" s="1" t="str">
        <f>IF(AS64&gt;AS$145, AS64-AS$145,"")</f>
        <v/>
      </c>
      <c r="BW64" s="1" t="str">
        <f>IF(AT64&gt;AT$145, AT64-AT$145,"")</f>
        <v/>
      </c>
      <c r="BX64" s="1" t="str">
        <f>IF(AU64&gt;AU$145, AU64-AU$145,"")</f>
        <v/>
      </c>
      <c r="BY64" s="1" t="str">
        <f>IF(AV64&gt;AV$145, AV64-AV$145,"")</f>
        <v/>
      </c>
      <c r="BZ64" s="1" t="str">
        <f>IF(AW64&gt;AW$145, AW64-AW$145,"")</f>
        <v/>
      </c>
      <c r="CA64" s="1" t="str">
        <f>IF(AX64&gt;AX$145, AX64-AX$145,"")</f>
        <v/>
      </c>
      <c r="CB64" s="1" t="str">
        <f>IF(AY64&gt;AY$145, AY64-AY$145,"")</f>
        <v/>
      </c>
      <c r="CC64" s="1" t="str">
        <f>IF(AZ64&gt;AZ$145, AZ64-AZ$145,"")</f>
        <v/>
      </c>
      <c r="CD64" s="1">
        <f>IF(BA64&gt;BA$145, BA64-BA$145,"")</f>
        <v>12</v>
      </c>
      <c r="CE64" s="1" t="str">
        <f>IF(BB64&gt;BB$145, BB64-BB$145,"")</f>
        <v/>
      </c>
      <c r="CF64" s="1">
        <f>COUNTIF(BT64:CE64, "&gt;0")</f>
        <v>1</v>
      </c>
      <c r="CG64" s="1" t="str">
        <f>IF($CF64=1,BT64,"")</f>
        <v/>
      </c>
      <c r="CH64" s="1" t="str">
        <f>IF($CF64=1,BU64,"")</f>
        <v/>
      </c>
      <c r="CI64" s="1" t="str">
        <f>IF($CF64=1,BV64,"")</f>
        <v/>
      </c>
      <c r="CJ64" s="1" t="str">
        <f>IF($CF64=1,BW64,"")</f>
        <v/>
      </c>
      <c r="CK64" s="1" t="str">
        <f>IF($CF64=1,BX64,"")</f>
        <v/>
      </c>
      <c r="CL64" s="1" t="str">
        <f>IF($CF64=1,BY64,"")</f>
        <v/>
      </c>
      <c r="CM64" s="1" t="str">
        <f>IF($CF64=1,BZ64,"")</f>
        <v/>
      </c>
      <c r="CN64" s="1" t="str">
        <f>IF($CF64=1,CA64,"")</f>
        <v/>
      </c>
      <c r="CO64" s="1" t="str">
        <f>IF($CF64=1,CB64,"")</f>
        <v/>
      </c>
      <c r="CP64" s="1" t="str">
        <f>IF($CF64=1,CC64,"")</f>
        <v/>
      </c>
      <c r="CQ64" s="1">
        <f>IF($CF64=1,CD64,"")</f>
        <v>12</v>
      </c>
      <c r="CR64" s="1" t="str">
        <f>IF($CF64=1,CE64,"")</f>
        <v/>
      </c>
      <c r="CS64" s="18">
        <f>SUM(AE64:BO64)</f>
        <v>30</v>
      </c>
    </row>
    <row r="65" spans="1:97" ht="27" x14ac:dyDescent="0.15">
      <c r="A65" s="1"/>
      <c r="B65" s="1" t="s">
        <v>176</v>
      </c>
      <c r="C65" s="1" t="s">
        <v>127</v>
      </c>
      <c r="D65" s="1" t="s">
        <v>111</v>
      </c>
      <c r="E65" s="6"/>
      <c r="F65" s="6"/>
      <c r="G65" s="6"/>
      <c r="H65" s="6"/>
      <c r="I65" s="6"/>
      <c r="J65" s="6"/>
      <c r="K65" s="6"/>
      <c r="L65" s="6">
        <v>20</v>
      </c>
      <c r="M65" s="6"/>
      <c r="N65" s="6"/>
      <c r="O65" s="6">
        <v>20</v>
      </c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>
        <v>20</v>
      </c>
      <c r="BB65" s="2">
        <v>20</v>
      </c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80</v>
      </c>
      <c r="BQ65" s="1">
        <v>35</v>
      </c>
      <c r="BR65" s="17">
        <v>2</v>
      </c>
      <c r="BS65" s="17" t="s">
        <v>278</v>
      </c>
      <c r="BT65" s="1" t="str">
        <f>IF(AQ65&gt;AQ$145, AQ65-AQ$145,"")</f>
        <v/>
      </c>
      <c r="BU65" s="1" t="str">
        <f>IF(AR65&gt;AR$145, AR65-AR$145,"")</f>
        <v/>
      </c>
      <c r="BV65" s="1" t="str">
        <f>IF(AS65&gt;AS$145, AS65-AS$145,"")</f>
        <v/>
      </c>
      <c r="BW65" s="1" t="str">
        <f>IF(AT65&gt;AT$145, AT65-AT$145,"")</f>
        <v/>
      </c>
      <c r="BX65" s="1" t="str">
        <f>IF(AU65&gt;AU$145, AU65-AU$145,"")</f>
        <v/>
      </c>
      <c r="BY65" s="1" t="str">
        <f>IF(AV65&gt;AV$145, AV65-AV$145,"")</f>
        <v/>
      </c>
      <c r="BZ65" s="1" t="str">
        <f>IF(AW65&gt;AW$145, AW65-AW$145,"")</f>
        <v/>
      </c>
      <c r="CA65" s="1" t="str">
        <f>IF(AX65&gt;AX$145, AX65-AX$145,"")</f>
        <v/>
      </c>
      <c r="CB65" s="1" t="str">
        <f>IF(AY65&gt;AY$145, AY65-AY$145,"")</f>
        <v/>
      </c>
      <c r="CC65" s="1" t="str">
        <f>IF(AZ65&gt;AZ$145, AZ65-AZ$145,"")</f>
        <v/>
      </c>
      <c r="CD65" s="1">
        <f>IF(BA65&gt;BA$145, BA65-BA$145,"")</f>
        <v>17</v>
      </c>
      <c r="CE65" s="1" t="str">
        <f>IF(BB65&gt;BB$145, BB65-BB$145,"")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8"/>
    </row>
    <row r="66" spans="1:97" ht="40.5" x14ac:dyDescent="0.15">
      <c r="A66" s="1"/>
      <c r="B66" s="1" t="s">
        <v>162</v>
      </c>
      <c r="C66" s="1" t="s">
        <v>158</v>
      </c>
      <c r="D66" s="1" t="s">
        <v>130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32"/>
      <c r="Q66" s="32"/>
      <c r="R66" s="32"/>
      <c r="S66" s="32"/>
      <c r="T66" s="32"/>
      <c r="U66" s="32">
        <v>2</v>
      </c>
      <c r="V66" s="32"/>
      <c r="W66" s="32"/>
      <c r="X66" s="32"/>
      <c r="Y66" s="32"/>
      <c r="Z66" s="32"/>
      <c r="AA66" s="32">
        <v>2</v>
      </c>
      <c r="AB66" s="32"/>
      <c r="AC66" s="32">
        <v>5</v>
      </c>
      <c r="AD66" s="32">
        <v>2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11</v>
      </c>
      <c r="BQ66" s="1">
        <v>6</v>
      </c>
      <c r="BR66" s="17">
        <v>3</v>
      </c>
      <c r="BS66" s="17" t="s">
        <v>223</v>
      </c>
      <c r="BT66" s="1" t="str">
        <f>IF(AQ66&gt;AQ$145, AQ66-AQ$145,"")</f>
        <v/>
      </c>
      <c r="BU66" s="1" t="str">
        <f>IF(AR66&gt;AR$145, AR66-AR$145,"")</f>
        <v/>
      </c>
      <c r="BV66" s="1" t="str">
        <f>IF(AS66&gt;AS$145, AS66-AS$145,"")</f>
        <v/>
      </c>
      <c r="BW66" s="1" t="str">
        <f>IF(AT66&gt;AT$145, AT66-AT$145,"")</f>
        <v/>
      </c>
      <c r="BX66" s="1" t="str">
        <f>IF(AU66&gt;AU$145, AU66-AU$145,"")</f>
        <v/>
      </c>
      <c r="BY66" s="1" t="str">
        <f>IF(AV66&gt;AV$145, AV66-AV$145,"")</f>
        <v/>
      </c>
      <c r="BZ66" s="1" t="str">
        <f>IF(AW66&gt;AW$145, AW66-AW$145,"")</f>
        <v/>
      </c>
      <c r="CA66" s="1" t="str">
        <f>IF(AX66&gt;AX$145, AX66-AX$145,"")</f>
        <v/>
      </c>
      <c r="CB66" s="1" t="str">
        <f>IF(AY66&gt;AY$145, AY66-AY$145,"")</f>
        <v/>
      </c>
      <c r="CC66" s="1" t="str">
        <f>IF(AZ66&gt;AZ$145, AZ66-AZ$145,"")</f>
        <v/>
      </c>
      <c r="CD66" s="1" t="str">
        <f>IF(BA66&gt;BA$145, BA66-BA$145,"")</f>
        <v/>
      </c>
      <c r="CE66" s="1" t="str">
        <f>IF(BB66&gt;BB$145, BB66-BB$145,"")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8"/>
    </row>
    <row r="67" spans="1:97" ht="40.5" x14ac:dyDescent="0.15">
      <c r="A67" s="1"/>
      <c r="B67" s="1" t="s">
        <v>155</v>
      </c>
      <c r="C67" s="1" t="s">
        <v>156</v>
      </c>
      <c r="D67" s="1" t="s">
        <v>131</v>
      </c>
      <c r="E67" s="6"/>
      <c r="F67" s="6"/>
      <c r="G67" s="6"/>
      <c r="H67" s="6"/>
      <c r="I67" s="6"/>
      <c r="J67" s="6"/>
      <c r="K67" s="6"/>
      <c r="L67" s="6">
        <v>7</v>
      </c>
      <c r="M67" s="6"/>
      <c r="N67" s="6"/>
      <c r="O67" s="6"/>
      <c r="P67" s="32"/>
      <c r="Q67" s="32">
        <v>7</v>
      </c>
      <c r="R67" s="32"/>
      <c r="S67" s="32"/>
      <c r="T67" s="32">
        <v>7</v>
      </c>
      <c r="U67" s="32"/>
      <c r="V67" s="32"/>
      <c r="W67" s="32"/>
      <c r="X67" s="32">
        <v>7</v>
      </c>
      <c r="Y67" s="32"/>
      <c r="Z67" s="32"/>
      <c r="AA67" s="32"/>
      <c r="AB67" s="32"/>
      <c r="AC67" s="32"/>
      <c r="AD67" s="32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28</v>
      </c>
      <c r="BQ67" s="1">
        <v>9</v>
      </c>
      <c r="BR67" s="17">
        <v>3</v>
      </c>
      <c r="BS67" s="17" t="s">
        <v>280</v>
      </c>
      <c r="BT67" s="1" t="str">
        <f>IF(AQ67&gt;AQ$145, AQ67-AQ$145,"")</f>
        <v/>
      </c>
      <c r="BU67" s="1" t="str">
        <f>IF(AR67&gt;AR$145, AR67-AR$145,"")</f>
        <v/>
      </c>
      <c r="BV67" s="1" t="str">
        <f>IF(AS67&gt;AS$145, AS67-AS$145,"")</f>
        <v/>
      </c>
      <c r="BW67" s="1" t="str">
        <f>IF(AT67&gt;AT$145, AT67-AT$145,"")</f>
        <v/>
      </c>
      <c r="BX67" s="1" t="str">
        <f>IF(AU67&gt;AU$145, AU67-AU$145,"")</f>
        <v/>
      </c>
      <c r="BY67" s="1" t="str">
        <f>IF(AV67&gt;AV$145, AV67-AV$145,"")</f>
        <v/>
      </c>
      <c r="BZ67" s="1" t="str">
        <f>IF(AW67&gt;AW$145, AW67-AW$145,"")</f>
        <v/>
      </c>
      <c r="CA67" s="1" t="str">
        <f>IF(AX67&gt;AX$145, AX67-AX$145,"")</f>
        <v/>
      </c>
      <c r="CB67" s="1" t="str">
        <f>IF(AY67&gt;AY$145, AY67-AY$145,"")</f>
        <v/>
      </c>
      <c r="CC67" s="1" t="str">
        <f>IF(AZ67&gt;AZ$145, AZ67-AZ$145,"")</f>
        <v/>
      </c>
      <c r="CD67" s="1" t="str">
        <f>IF(BA67&gt;BA$145, BA67-BA$145,"")</f>
        <v/>
      </c>
      <c r="CE67" s="1" t="str">
        <f>IF(BB67&gt;BB$145, BB67-BB$145,"")</f>
        <v/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8"/>
    </row>
    <row r="68" spans="1:97" ht="40.5" x14ac:dyDescent="0.15">
      <c r="A68" s="1"/>
      <c r="B68" s="1" t="s">
        <v>149</v>
      </c>
      <c r="C68" s="1" t="s">
        <v>147</v>
      </c>
      <c r="D68" s="1" t="s">
        <v>130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32"/>
      <c r="Q68" s="32">
        <v>5</v>
      </c>
      <c r="R68" s="32"/>
      <c r="S68" s="32"/>
      <c r="T68" s="32">
        <v>5</v>
      </c>
      <c r="U68" s="32"/>
      <c r="V68" s="32"/>
      <c r="W68" s="32"/>
      <c r="X68" s="32"/>
      <c r="Y68" s="32"/>
      <c r="Z68" s="32">
        <v>5</v>
      </c>
      <c r="AA68" s="32">
        <v>2</v>
      </c>
      <c r="AB68" s="32"/>
      <c r="AC68" s="32"/>
      <c r="AD68" s="32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17</v>
      </c>
      <c r="BQ68" s="1">
        <v>9</v>
      </c>
      <c r="BR68" s="17">
        <v>3</v>
      </c>
      <c r="BS68" s="17" t="s">
        <v>281</v>
      </c>
      <c r="BT68" s="1" t="str">
        <f>IF(AQ68&gt;AQ$145, AQ68-AQ$145,"")</f>
        <v/>
      </c>
      <c r="BU68" s="1" t="str">
        <f>IF(AR68&gt;AR$145, AR68-AR$145,"")</f>
        <v/>
      </c>
      <c r="BV68" s="1" t="str">
        <f>IF(AS68&gt;AS$145, AS68-AS$145,"")</f>
        <v/>
      </c>
      <c r="BW68" s="1" t="str">
        <f>IF(AT68&gt;AT$145, AT68-AT$145,"")</f>
        <v/>
      </c>
      <c r="BX68" s="1" t="str">
        <f>IF(AU68&gt;AU$145, AU68-AU$145,"")</f>
        <v/>
      </c>
      <c r="BY68" s="1" t="str">
        <f>IF(AV68&gt;AV$145, AV68-AV$145,"")</f>
        <v/>
      </c>
      <c r="BZ68" s="1" t="str">
        <f>IF(AW68&gt;AW$145, AW68-AW$145,"")</f>
        <v/>
      </c>
      <c r="CA68" s="1" t="str">
        <f>IF(AX68&gt;AX$145, AX68-AX$145,"")</f>
        <v/>
      </c>
      <c r="CB68" s="1" t="str">
        <f>IF(AY68&gt;AY$145, AY68-AY$145,"")</f>
        <v/>
      </c>
      <c r="CC68" s="1" t="str">
        <f>IF(AZ68&gt;AZ$145, AZ68-AZ$145,"")</f>
        <v/>
      </c>
      <c r="CD68" s="1" t="str">
        <f>IF(BA68&gt;BA$145, BA68-BA$145,"")</f>
        <v/>
      </c>
      <c r="CE68" s="1" t="str">
        <f>IF(BB68&gt;BB$145, BB68-BB$145,"")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8"/>
    </row>
    <row r="69" spans="1:97" ht="40.5" x14ac:dyDescent="0.15">
      <c r="A69" s="1"/>
      <c r="B69" s="1" t="s">
        <v>159</v>
      </c>
      <c r="C69" s="1" t="s">
        <v>158</v>
      </c>
      <c r="D69" s="1" t="s">
        <v>130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32"/>
      <c r="Q69" s="32">
        <v>5</v>
      </c>
      <c r="R69" s="32"/>
      <c r="S69" s="32"/>
      <c r="T69" s="32">
        <v>5</v>
      </c>
      <c r="U69" s="32"/>
      <c r="V69" s="32"/>
      <c r="W69" s="32"/>
      <c r="X69" s="32"/>
      <c r="Y69" s="32"/>
      <c r="Z69" s="32">
        <v>5</v>
      </c>
      <c r="AA69" s="32">
        <v>2</v>
      </c>
      <c r="AB69" s="32"/>
      <c r="AC69" s="32"/>
      <c r="AD69" s="32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17</v>
      </c>
      <c r="BQ69" s="1">
        <v>9</v>
      </c>
      <c r="BR69" s="17">
        <v>3</v>
      </c>
      <c r="BS69" s="17" t="s">
        <v>224</v>
      </c>
      <c r="BT69" s="1" t="str">
        <f>IF(AQ69&gt;AQ$145, AQ69-AQ$145,"")</f>
        <v/>
      </c>
      <c r="BU69" s="1" t="str">
        <f>IF(AR69&gt;AR$145, AR69-AR$145,"")</f>
        <v/>
      </c>
      <c r="BV69" s="1" t="str">
        <f>IF(AS69&gt;AS$145, AS69-AS$145,"")</f>
        <v/>
      </c>
      <c r="BW69" s="1" t="str">
        <f>IF(AT69&gt;AT$145, AT69-AT$145,"")</f>
        <v/>
      </c>
      <c r="BX69" s="1" t="str">
        <f>IF(AU69&gt;AU$145, AU69-AU$145,"")</f>
        <v/>
      </c>
      <c r="BY69" s="1" t="str">
        <f>IF(AV69&gt;AV$145, AV69-AV$145,"")</f>
        <v/>
      </c>
      <c r="BZ69" s="1" t="str">
        <f>IF(AW69&gt;AW$145, AW69-AW$145,"")</f>
        <v/>
      </c>
      <c r="CA69" s="1" t="str">
        <f>IF(AX69&gt;AX$145, AX69-AX$145,"")</f>
        <v/>
      </c>
      <c r="CB69" s="1" t="str">
        <f>IF(AY69&gt;AY$145, AY69-AY$145,"")</f>
        <v/>
      </c>
      <c r="CC69" s="1" t="str">
        <f>IF(AZ69&gt;AZ$145, AZ69-AZ$145,"")</f>
        <v/>
      </c>
      <c r="CD69" s="1" t="str">
        <f>IF(BA69&gt;BA$145, BA69-BA$145,"")</f>
        <v/>
      </c>
      <c r="CE69" s="1" t="str">
        <f>IF(BB69&gt;BB$145, BB69-BB$145,"")</f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8"/>
    </row>
    <row r="70" spans="1:97" ht="40.5" x14ac:dyDescent="0.15">
      <c r="A70" s="1"/>
      <c r="B70" s="1" t="s">
        <v>167</v>
      </c>
      <c r="C70" s="1" t="s">
        <v>126</v>
      </c>
      <c r="D70" s="1" t="s">
        <v>169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32"/>
      <c r="Q70" s="32">
        <v>5</v>
      </c>
      <c r="R70" s="32"/>
      <c r="S70" s="32"/>
      <c r="T70" s="32">
        <v>5</v>
      </c>
      <c r="U70" s="32"/>
      <c r="V70" s="32"/>
      <c r="W70" s="32"/>
      <c r="X70" s="32"/>
      <c r="Y70" s="32"/>
      <c r="Z70" s="32">
        <v>5</v>
      </c>
      <c r="AA70" s="32">
        <v>2</v>
      </c>
      <c r="AB70" s="32"/>
      <c r="AC70" s="32"/>
      <c r="AD70" s="32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17</v>
      </c>
      <c r="BQ70" s="1">
        <v>9</v>
      </c>
      <c r="BR70" s="17">
        <v>3</v>
      </c>
      <c r="BS70" s="17" t="s">
        <v>224</v>
      </c>
      <c r="BT70" s="1" t="str">
        <f>IF(AQ70&gt;AQ$145, AQ70-AQ$145,"")</f>
        <v/>
      </c>
      <c r="BU70" s="1" t="str">
        <f>IF(AR70&gt;AR$145, AR70-AR$145,"")</f>
        <v/>
      </c>
      <c r="BV70" s="1" t="str">
        <f>IF(AS70&gt;AS$145, AS70-AS$145,"")</f>
        <v/>
      </c>
      <c r="BW70" s="1" t="str">
        <f>IF(AT70&gt;AT$145, AT70-AT$145,"")</f>
        <v/>
      </c>
      <c r="BX70" s="1" t="str">
        <f>IF(AU70&gt;AU$145, AU70-AU$145,"")</f>
        <v/>
      </c>
      <c r="BY70" s="1" t="str">
        <f>IF(AV70&gt;AV$145, AV70-AV$145,"")</f>
        <v/>
      </c>
      <c r="BZ70" s="1" t="str">
        <f>IF(AW70&gt;AW$145, AW70-AW$145,"")</f>
        <v/>
      </c>
      <c r="CA70" s="1" t="str">
        <f>IF(AX70&gt;AX$145, AX70-AX$145,"")</f>
        <v/>
      </c>
      <c r="CB70" s="1" t="str">
        <f>IF(AY70&gt;AY$145, AY70-AY$145,"")</f>
        <v/>
      </c>
      <c r="CC70" s="1" t="str">
        <f>IF(AZ70&gt;AZ$145, AZ70-AZ$145,"")</f>
        <v/>
      </c>
      <c r="CD70" s="1" t="str">
        <f>IF(BA70&gt;BA$145, BA70-BA$145,"")</f>
        <v/>
      </c>
      <c r="CE70" s="1" t="str">
        <f>IF(BB70&gt;BB$145, BB70-BB$145,"")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8"/>
    </row>
    <row r="71" spans="1:97" ht="40.5" x14ac:dyDescent="0.15">
      <c r="A71" s="1"/>
      <c r="B71" s="1" t="s">
        <v>162</v>
      </c>
      <c r="C71" s="1" t="s">
        <v>158</v>
      </c>
      <c r="D71" s="1" t="s">
        <v>129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32"/>
      <c r="Q71" s="32">
        <v>5</v>
      </c>
      <c r="R71" s="32"/>
      <c r="S71" s="32"/>
      <c r="T71" s="32">
        <v>5</v>
      </c>
      <c r="U71" s="32"/>
      <c r="V71" s="32"/>
      <c r="W71" s="32">
        <v>5</v>
      </c>
      <c r="X71" s="32"/>
      <c r="Y71" s="32"/>
      <c r="Z71" s="32">
        <v>5</v>
      </c>
      <c r="AA71" s="32"/>
      <c r="AB71" s="32"/>
      <c r="AC71" s="32"/>
      <c r="AD71" s="32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20</v>
      </c>
      <c r="BQ71" s="1">
        <v>11</v>
      </c>
      <c r="BR71" s="17">
        <v>3</v>
      </c>
      <c r="BS71" s="17" t="s">
        <v>282</v>
      </c>
      <c r="BT71" s="1" t="str">
        <f>IF(AQ71&gt;AQ$145, AQ71-AQ$145,"")</f>
        <v/>
      </c>
      <c r="BU71" s="1" t="str">
        <f>IF(AR71&gt;AR$145, AR71-AR$145,"")</f>
        <v/>
      </c>
      <c r="BV71" s="1" t="str">
        <f>IF(AS71&gt;AS$145, AS71-AS$145,"")</f>
        <v/>
      </c>
      <c r="BW71" s="1" t="str">
        <f>IF(AT71&gt;AT$145, AT71-AT$145,"")</f>
        <v/>
      </c>
      <c r="BX71" s="1" t="str">
        <f>IF(AU71&gt;AU$145, AU71-AU$145,"")</f>
        <v/>
      </c>
      <c r="BY71" s="1" t="str">
        <f>IF(AV71&gt;AV$145, AV71-AV$145,"")</f>
        <v/>
      </c>
      <c r="BZ71" s="1" t="str">
        <f>IF(AW71&gt;AW$145, AW71-AW$145,"")</f>
        <v/>
      </c>
      <c r="CA71" s="1" t="str">
        <f>IF(AX71&gt;AX$145, AX71-AX$145,"")</f>
        <v/>
      </c>
      <c r="CB71" s="1" t="str">
        <f>IF(AY71&gt;AY$145, AY71-AY$145,"")</f>
        <v/>
      </c>
      <c r="CC71" s="1" t="str">
        <f>IF(AZ71&gt;AZ$145, AZ71-AZ$145,"")</f>
        <v/>
      </c>
      <c r="CD71" s="1" t="str">
        <f>IF(BA71&gt;BA$145, BA71-BA$145,"")</f>
        <v/>
      </c>
      <c r="CE71" s="1" t="str">
        <f>IF(BB71&gt;BB$145, BB71-BB$145,"")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8"/>
    </row>
    <row r="72" spans="1:97" ht="40.5" x14ac:dyDescent="0.15">
      <c r="A72" s="1"/>
      <c r="B72" s="1" t="s">
        <v>198</v>
      </c>
      <c r="C72" s="1" t="s">
        <v>126</v>
      </c>
      <c r="D72" s="1" t="s">
        <v>112</v>
      </c>
      <c r="E72" s="6"/>
      <c r="F72" s="6">
        <v>6</v>
      </c>
      <c r="G72" s="6"/>
      <c r="H72" s="6"/>
      <c r="I72" s="6"/>
      <c r="J72" s="6"/>
      <c r="K72" s="6"/>
      <c r="L72" s="6"/>
      <c r="M72" s="6"/>
      <c r="N72" s="6"/>
      <c r="O72" s="6">
        <v>6</v>
      </c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>
        <v>10</v>
      </c>
      <c r="AU72" s="4"/>
      <c r="AV72" s="4"/>
      <c r="AW72" s="2"/>
      <c r="AX72" s="2"/>
      <c r="AY72" s="2">
        <v>10</v>
      </c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32</v>
      </c>
      <c r="BQ72" s="1">
        <v>12</v>
      </c>
      <c r="BR72" s="17">
        <v>3</v>
      </c>
      <c r="BS72" s="17" t="s">
        <v>283</v>
      </c>
      <c r="BT72" s="1" t="str">
        <f>IF(AQ72&gt;AQ$145, AQ72-AQ$145,"")</f>
        <v/>
      </c>
      <c r="BU72" s="1" t="str">
        <f>IF(AR72&gt;AR$145, AR72-AR$145,"")</f>
        <v/>
      </c>
      <c r="BV72" s="1" t="str">
        <f>IF(AS72&gt;AS$145, AS72-AS$145,"")</f>
        <v/>
      </c>
      <c r="BW72" s="1">
        <f>IF(AT72&gt;AT$145, AT72-AT$145,"")</f>
        <v>3</v>
      </c>
      <c r="BX72" s="1" t="str">
        <f>IF(AU72&gt;AU$145, AU72-AU$145,"")</f>
        <v/>
      </c>
      <c r="BY72" s="1" t="str">
        <f>IF(AV72&gt;AV$145, AV72-AV$145,"")</f>
        <v/>
      </c>
      <c r="BZ72" s="1" t="str">
        <f>IF(AW72&gt;AW$145, AW72-AW$145,"")</f>
        <v/>
      </c>
      <c r="CA72" s="1" t="str">
        <f>IF(AX72&gt;AX$145, AX72-AX$145,"")</f>
        <v/>
      </c>
      <c r="CB72" s="1" t="str">
        <f>IF(AY72&gt;AY$145, AY72-AY$145,"")</f>
        <v/>
      </c>
      <c r="CC72" s="1" t="str">
        <f>IF(AZ72&gt;AZ$145, AZ72-AZ$145,"")</f>
        <v/>
      </c>
      <c r="CD72" s="1" t="str">
        <f>IF(BA72&gt;BA$145, BA72-BA$145,"")</f>
        <v/>
      </c>
      <c r="CE72" s="1" t="str">
        <f>IF(BB72&gt;BB$145, BB72-BB$145,"")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8"/>
    </row>
    <row r="73" spans="1:97" ht="40.5" x14ac:dyDescent="0.15">
      <c r="A73" s="1">
        <v>84</v>
      </c>
      <c r="B73" s="3" t="s">
        <v>72</v>
      </c>
      <c r="C73" s="3" t="s">
        <v>67</v>
      </c>
      <c r="D73" s="1" t="s">
        <v>13</v>
      </c>
      <c r="E73" s="6"/>
      <c r="F73" s="6"/>
      <c r="G73" s="6">
        <v>5</v>
      </c>
      <c r="H73" s="6">
        <v>5</v>
      </c>
      <c r="I73" s="6"/>
      <c r="J73" s="6"/>
      <c r="K73" s="6"/>
      <c r="L73" s="6"/>
      <c r="M73" s="6"/>
      <c r="N73" s="6"/>
      <c r="O73" s="6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>
        <v>5</v>
      </c>
      <c r="BB73" s="2">
        <v>5</v>
      </c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20</v>
      </c>
      <c r="BQ73" s="1">
        <v>12</v>
      </c>
      <c r="BR73" s="17">
        <v>3</v>
      </c>
      <c r="BS73" s="17" t="s">
        <v>285</v>
      </c>
      <c r="BT73" s="1" t="str">
        <f>IF(AQ73&gt;AQ$145, AQ73-AQ$145,"")</f>
        <v/>
      </c>
      <c r="BU73" s="1" t="str">
        <f>IF(AR73&gt;AR$145, AR73-AR$145,"")</f>
        <v/>
      </c>
      <c r="BV73" s="1" t="str">
        <f>IF(AS73&gt;AS$145, AS73-AS$145,"")</f>
        <v/>
      </c>
      <c r="BW73" s="1" t="str">
        <f>IF(AT73&gt;AT$145, AT73-AT$145,"")</f>
        <v/>
      </c>
      <c r="BX73" s="1" t="str">
        <f>IF(AU73&gt;AU$145, AU73-AU$145,"")</f>
        <v/>
      </c>
      <c r="BY73" s="1" t="str">
        <f>IF(AV73&gt;AV$145, AV73-AV$145,"")</f>
        <v/>
      </c>
      <c r="BZ73" s="1" t="str">
        <f>IF(AW73&gt;AW$145, AW73-AW$145,"")</f>
        <v/>
      </c>
      <c r="CA73" s="1" t="str">
        <f>IF(AX73&gt;AX$145, AX73-AX$145,"")</f>
        <v/>
      </c>
      <c r="CB73" s="1" t="str">
        <f>IF(AY73&gt;AY$145, AY73-AY$145,"")</f>
        <v/>
      </c>
      <c r="CC73" s="1" t="str">
        <f>IF(AZ73&gt;AZ$145, AZ73-AZ$145,"")</f>
        <v/>
      </c>
      <c r="CD73" s="1">
        <f>IF(BA73&gt;BA$145, BA73-BA$145,"")</f>
        <v>2</v>
      </c>
      <c r="CE73" s="1" t="str">
        <f>IF(BB73&gt;BB$145, BB73-BB$145,"")</f>
        <v/>
      </c>
      <c r="CF73" s="1">
        <f>COUNTIF(BT73:CE73, "&gt;0")</f>
        <v>1</v>
      </c>
      <c r="CG73" s="1" t="str">
        <f>IF($CF73=1,BT73,"")</f>
        <v/>
      </c>
      <c r="CH73" s="1" t="str">
        <f>IF($CF73=1,BU73,"")</f>
        <v/>
      </c>
      <c r="CI73" s="1" t="str">
        <f>IF($CF73=1,BV73,"")</f>
        <v/>
      </c>
      <c r="CJ73" s="1" t="str">
        <f>IF($CF73=1,BW73,"")</f>
        <v/>
      </c>
      <c r="CK73" s="1" t="str">
        <f>IF($CF73=1,BX73,"")</f>
        <v/>
      </c>
      <c r="CL73" s="1" t="str">
        <f>IF($CF73=1,BY73,"")</f>
        <v/>
      </c>
      <c r="CM73" s="1" t="str">
        <f>IF($CF73=1,BZ73,"")</f>
        <v/>
      </c>
      <c r="CN73" s="1" t="str">
        <f>IF($CF73=1,CA73,"")</f>
        <v/>
      </c>
      <c r="CO73" s="1" t="str">
        <f>IF($CF73=1,CB73,"")</f>
        <v/>
      </c>
      <c r="CP73" s="1" t="str">
        <f>IF($CF73=1,CC73,"")</f>
        <v/>
      </c>
      <c r="CQ73" s="1">
        <f>IF($CF73=1,CD73,"")</f>
        <v>2</v>
      </c>
      <c r="CR73" s="1" t="str">
        <f>IF($CF73=1,CE73,"")</f>
        <v/>
      </c>
      <c r="CS73" s="18">
        <f>SUM(AE73:BO73)</f>
        <v>10</v>
      </c>
    </row>
    <row r="74" spans="1:97" ht="40.5" x14ac:dyDescent="0.15">
      <c r="A74" s="1"/>
      <c r="B74" s="1" t="s">
        <v>201</v>
      </c>
      <c r="C74" s="1" t="s">
        <v>110</v>
      </c>
      <c r="D74" s="1" t="s">
        <v>112</v>
      </c>
      <c r="E74" s="6"/>
      <c r="F74" s="6"/>
      <c r="G74" s="6"/>
      <c r="H74" s="6">
        <v>6</v>
      </c>
      <c r="I74" s="6"/>
      <c r="J74" s="6"/>
      <c r="K74" s="6">
        <v>6</v>
      </c>
      <c r="L74" s="6"/>
      <c r="M74" s="6"/>
      <c r="N74" s="6"/>
      <c r="O74" s="6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>
        <v>10</v>
      </c>
      <c r="AR74" s="4"/>
      <c r="AS74" s="4"/>
      <c r="AT74" s="4"/>
      <c r="AU74" s="4"/>
      <c r="AV74" s="4"/>
      <c r="AW74" s="2">
        <v>10</v>
      </c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32</v>
      </c>
      <c r="BQ74" s="1">
        <v>13</v>
      </c>
      <c r="BR74" s="17">
        <v>3</v>
      </c>
      <c r="BS74" s="17" t="s">
        <v>279</v>
      </c>
      <c r="BT74" s="1">
        <f>IF(AQ74&gt;AQ$145, AQ74-AQ$145,"")</f>
        <v>1</v>
      </c>
      <c r="BU74" s="1" t="str">
        <f>IF(AR74&gt;AR$145, AR74-AR$145,"")</f>
        <v/>
      </c>
      <c r="BV74" s="1" t="str">
        <f>IF(AS74&gt;AS$145, AS74-AS$145,"")</f>
        <v/>
      </c>
      <c r="BW74" s="1" t="str">
        <f>IF(AT74&gt;AT$145, AT74-AT$145,"")</f>
        <v/>
      </c>
      <c r="BX74" s="1" t="str">
        <f>IF(AU74&gt;AU$145, AU74-AU$145,"")</f>
        <v/>
      </c>
      <c r="BY74" s="1" t="str">
        <f>IF(AV74&gt;AV$145, AV74-AV$145,"")</f>
        <v/>
      </c>
      <c r="BZ74" s="1" t="str">
        <f>IF(AW74&gt;AW$145, AW74-AW$145,"")</f>
        <v/>
      </c>
      <c r="CA74" s="1" t="str">
        <f>IF(AX74&gt;AX$145, AX74-AX$145,"")</f>
        <v/>
      </c>
      <c r="CB74" s="1" t="str">
        <f>IF(AY74&gt;AY$145, AY74-AY$145,"")</f>
        <v/>
      </c>
      <c r="CC74" s="1" t="str">
        <f>IF(AZ74&gt;AZ$145, AZ74-AZ$145,"")</f>
        <v/>
      </c>
      <c r="CD74" s="1" t="str">
        <f>IF(BA74&gt;BA$145, BA74-BA$145,"")</f>
        <v/>
      </c>
      <c r="CE74" s="1" t="str">
        <f>IF(BB74&gt;BB$145, BB74-BB$145,"")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8"/>
    </row>
    <row r="75" spans="1:97" ht="40.5" x14ac:dyDescent="0.15">
      <c r="A75" s="1"/>
      <c r="B75" s="1" t="s">
        <v>153</v>
      </c>
      <c r="C75" s="1" t="s">
        <v>151</v>
      </c>
      <c r="D75" s="1" t="s">
        <v>131</v>
      </c>
      <c r="E75" s="6"/>
      <c r="F75" s="6"/>
      <c r="G75" s="6"/>
      <c r="H75" s="6"/>
      <c r="I75" s="6">
        <v>7</v>
      </c>
      <c r="J75" s="6"/>
      <c r="K75" s="6"/>
      <c r="L75" s="6"/>
      <c r="M75" s="6"/>
      <c r="N75" s="6"/>
      <c r="O75" s="6"/>
      <c r="P75" s="32"/>
      <c r="Q75" s="32">
        <v>7</v>
      </c>
      <c r="R75" s="32">
        <v>7</v>
      </c>
      <c r="S75" s="32"/>
      <c r="T75" s="32">
        <v>7</v>
      </c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28</v>
      </c>
      <c r="BQ75" s="1">
        <v>13</v>
      </c>
      <c r="BR75" s="17">
        <v>3</v>
      </c>
      <c r="BS75" s="17" t="s">
        <v>284</v>
      </c>
      <c r="BT75" s="1" t="str">
        <f>IF(AQ75&gt;AQ$145, AQ75-AQ$145,"")</f>
        <v/>
      </c>
      <c r="BU75" s="1" t="str">
        <f>IF(AR75&gt;AR$145, AR75-AR$145,"")</f>
        <v/>
      </c>
      <c r="BV75" s="1" t="str">
        <f>IF(AS75&gt;AS$145, AS75-AS$145,"")</f>
        <v/>
      </c>
      <c r="BW75" s="1" t="str">
        <f>IF(AT75&gt;AT$145, AT75-AT$145,"")</f>
        <v/>
      </c>
      <c r="BX75" s="1" t="str">
        <f>IF(AU75&gt;AU$145, AU75-AU$145,"")</f>
        <v/>
      </c>
      <c r="BY75" s="1" t="str">
        <f>IF(AV75&gt;AV$145, AV75-AV$145,"")</f>
        <v/>
      </c>
      <c r="BZ75" s="1" t="str">
        <f>IF(AW75&gt;AW$145, AW75-AW$145,"")</f>
        <v/>
      </c>
      <c r="CA75" s="1" t="str">
        <f>IF(AX75&gt;AX$145, AX75-AX$145,"")</f>
        <v/>
      </c>
      <c r="CB75" s="1" t="str">
        <f>IF(AY75&gt;AY$145, AY75-AY$145,"")</f>
        <v/>
      </c>
      <c r="CC75" s="1" t="str">
        <f>IF(AZ75&gt;AZ$145, AZ75-AZ$145,"")</f>
        <v/>
      </c>
      <c r="CD75" s="1" t="str">
        <f>IF(BA75&gt;BA$145, BA75-BA$145,"")</f>
        <v/>
      </c>
      <c r="CE75" s="1" t="str">
        <f>IF(BB75&gt;BB$145, BB75-BB$145,"")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8"/>
    </row>
    <row r="76" spans="1:97" ht="40.5" x14ac:dyDescent="0.15">
      <c r="A76" s="1">
        <v>81</v>
      </c>
      <c r="B76" s="3" t="s">
        <v>70</v>
      </c>
      <c r="C76" s="3" t="s">
        <v>67</v>
      </c>
      <c r="D76" s="1" t="s">
        <v>13</v>
      </c>
      <c r="E76" s="6"/>
      <c r="F76" s="6"/>
      <c r="G76" s="6"/>
      <c r="H76" s="6"/>
      <c r="I76" s="6"/>
      <c r="J76" s="6"/>
      <c r="K76" s="6"/>
      <c r="L76" s="6">
        <v>6</v>
      </c>
      <c r="M76" s="6"/>
      <c r="N76" s="6"/>
      <c r="O76" s="6">
        <v>6</v>
      </c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>
        <v>10</v>
      </c>
      <c r="AU76" s="4"/>
      <c r="AV76" s="4"/>
      <c r="AW76" s="2"/>
      <c r="AX76" s="2"/>
      <c r="AY76" s="2"/>
      <c r="AZ76" s="2"/>
      <c r="BA76" s="2">
        <v>10</v>
      </c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32</v>
      </c>
      <c r="BQ76" s="1">
        <v>14</v>
      </c>
      <c r="BR76" s="17">
        <v>3</v>
      </c>
      <c r="BS76" s="17" t="s">
        <v>289</v>
      </c>
      <c r="BT76" s="1" t="str">
        <f>IF(AQ76&gt;AQ$145, AQ76-AQ$145,"")</f>
        <v/>
      </c>
      <c r="BU76" s="1" t="str">
        <f>IF(AR76&gt;AR$145, AR76-AR$145,"")</f>
        <v/>
      </c>
      <c r="BV76" s="1" t="str">
        <f>IF(AS76&gt;AS$145, AS76-AS$145,"")</f>
        <v/>
      </c>
      <c r="BW76" s="1">
        <f>IF(AT76&gt;AT$145, AT76-AT$145,"")</f>
        <v>3</v>
      </c>
      <c r="BX76" s="1" t="str">
        <f>IF(AU76&gt;AU$145, AU76-AU$145,"")</f>
        <v/>
      </c>
      <c r="BY76" s="1" t="str">
        <f>IF(AV76&gt;AV$145, AV76-AV$145,"")</f>
        <v/>
      </c>
      <c r="BZ76" s="1" t="str">
        <f>IF(AW76&gt;AW$145, AW76-AW$145,"")</f>
        <v/>
      </c>
      <c r="CA76" s="1" t="str">
        <f>IF(AX76&gt;AX$145, AX76-AX$145,"")</f>
        <v/>
      </c>
      <c r="CB76" s="1" t="str">
        <f>IF(AY76&gt;AY$145, AY76-AY$145,"")</f>
        <v/>
      </c>
      <c r="CC76" s="1" t="str">
        <f>IF(AZ76&gt;AZ$145, AZ76-AZ$145,"")</f>
        <v/>
      </c>
      <c r="CD76" s="1">
        <f>IF(BA76&gt;BA$145, BA76-BA$145,"")</f>
        <v>7</v>
      </c>
      <c r="CE76" s="1" t="str">
        <f>IF(BB76&gt;BB$145, BB76-BB$145,"")</f>
        <v/>
      </c>
      <c r="CF76" s="1">
        <f>COUNTIF(BT76:CE76, "&gt;0")</f>
        <v>2</v>
      </c>
      <c r="CG76" s="1" t="str">
        <f>IF($CF76=1,BT76,"")</f>
        <v/>
      </c>
      <c r="CH76" s="1" t="str">
        <f>IF($CF76=1,BU76,"")</f>
        <v/>
      </c>
      <c r="CI76" s="1" t="str">
        <f>IF($CF76=1,BV76,"")</f>
        <v/>
      </c>
      <c r="CJ76" s="1" t="str">
        <f>IF($CF76=1,BW76,"")</f>
        <v/>
      </c>
      <c r="CK76" s="1" t="str">
        <f>IF($CF76=1,BX76,"")</f>
        <v/>
      </c>
      <c r="CL76" s="1" t="str">
        <f>IF($CF76=1,BY76,"")</f>
        <v/>
      </c>
      <c r="CM76" s="1" t="str">
        <f>IF($CF76=1,BZ76,"")</f>
        <v/>
      </c>
      <c r="CN76" s="1" t="str">
        <f>IF($CF76=1,CA76,"")</f>
        <v/>
      </c>
      <c r="CO76" s="1" t="str">
        <f>IF($CF76=1,CB76,"")</f>
        <v/>
      </c>
      <c r="CP76" s="1" t="str">
        <f>IF($CF76=1,CC76,"")</f>
        <v/>
      </c>
      <c r="CQ76" s="1" t="str">
        <f>IF($CF76=1,CD76,"")</f>
        <v/>
      </c>
      <c r="CR76" s="1" t="str">
        <f>IF($CF76=1,CE76,"")</f>
        <v/>
      </c>
      <c r="CS76" s="18">
        <f>SUM(AE76:BO76)</f>
        <v>20</v>
      </c>
    </row>
    <row r="77" spans="1:97" ht="40.5" x14ac:dyDescent="0.15">
      <c r="A77" s="1"/>
      <c r="B77" s="1" t="s">
        <v>174</v>
      </c>
      <c r="C77" s="1" t="s">
        <v>128</v>
      </c>
      <c r="D77" s="1" t="s">
        <v>131</v>
      </c>
      <c r="E77" s="6"/>
      <c r="F77" s="6"/>
      <c r="G77" s="6"/>
      <c r="H77" s="6"/>
      <c r="I77" s="6">
        <v>10</v>
      </c>
      <c r="J77" s="6"/>
      <c r="K77" s="6"/>
      <c r="L77" s="6"/>
      <c r="M77" s="6"/>
      <c r="N77" s="6"/>
      <c r="O77" s="6"/>
      <c r="P77" s="32"/>
      <c r="Q77" s="32"/>
      <c r="R77" s="32">
        <v>10</v>
      </c>
      <c r="S77" s="32"/>
      <c r="T77" s="32"/>
      <c r="U77" s="32"/>
      <c r="V77" s="32"/>
      <c r="W77" s="32"/>
      <c r="X77" s="32">
        <v>10</v>
      </c>
      <c r="Y77" s="32"/>
      <c r="Z77" s="32"/>
      <c r="AA77" s="32"/>
      <c r="AB77" s="32"/>
      <c r="AC77" s="32"/>
      <c r="AD77" s="32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>
        <v>10</v>
      </c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40</v>
      </c>
      <c r="BQ77" s="1">
        <v>15</v>
      </c>
      <c r="BR77" s="17">
        <v>3</v>
      </c>
      <c r="BS77" s="17" t="s">
        <v>287</v>
      </c>
      <c r="BT77" s="1" t="str">
        <f>IF(AQ77&gt;AQ$145, AQ77-AQ$145,"")</f>
        <v/>
      </c>
      <c r="BU77" s="1" t="str">
        <f>IF(AR77&gt;AR$145, AR77-AR$145,"")</f>
        <v/>
      </c>
      <c r="BV77" s="1" t="str">
        <f>IF(AS77&gt;AS$145, AS77-AS$145,"")</f>
        <v/>
      </c>
      <c r="BW77" s="1">
        <f>IF(AT77&gt;AT$145, AT77-AT$145,"")</f>
        <v>3</v>
      </c>
      <c r="BX77" s="1" t="str">
        <f>IF(AU77&gt;AU$145, AU77-AU$145,"")</f>
        <v/>
      </c>
      <c r="BY77" s="1" t="str">
        <f>IF(AV77&gt;AV$145, AV77-AV$145,"")</f>
        <v/>
      </c>
      <c r="BZ77" s="1" t="str">
        <f>IF(AW77&gt;AW$145, AW77-AW$145,"")</f>
        <v/>
      </c>
      <c r="CA77" s="1" t="str">
        <f>IF(AX77&gt;AX$145, AX77-AX$145,"")</f>
        <v/>
      </c>
      <c r="CB77" s="1" t="str">
        <f>IF(AY77&gt;AY$145, AY77-AY$145,"")</f>
        <v/>
      </c>
      <c r="CC77" s="1" t="str">
        <f>IF(AZ77&gt;AZ$145, AZ77-AZ$145,"")</f>
        <v/>
      </c>
      <c r="CD77" s="1" t="str">
        <f>IF(BA77&gt;BA$145, BA77-BA$145,"")</f>
        <v/>
      </c>
      <c r="CE77" s="1" t="str">
        <f>IF(BB77&gt;BB$145, BB77-BB$145,"")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8"/>
    </row>
    <row r="78" spans="1:97" ht="40.5" x14ac:dyDescent="0.15">
      <c r="A78" s="1">
        <v>28</v>
      </c>
      <c r="B78" s="1" t="s">
        <v>78</v>
      </c>
      <c r="C78" s="1" t="s">
        <v>31</v>
      </c>
      <c r="D78" s="1" t="s">
        <v>1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1"/>
      <c r="AF78" s="1"/>
      <c r="AG78" s="1"/>
      <c r="AH78" s="1">
        <v>5</v>
      </c>
      <c r="AI78" s="1">
        <v>5</v>
      </c>
      <c r="AJ78" s="1">
        <v>5</v>
      </c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15</v>
      </c>
      <c r="BQ78" s="1">
        <v>15</v>
      </c>
      <c r="BR78" s="17">
        <v>3</v>
      </c>
      <c r="BS78" s="17" t="s">
        <v>225</v>
      </c>
      <c r="BT78" s="1" t="str">
        <f>IF(AQ78&gt;AQ$145, AQ78-AQ$145,"")</f>
        <v/>
      </c>
      <c r="BU78" s="1" t="str">
        <f>IF(AR78&gt;AR$145, AR78-AR$145,"")</f>
        <v/>
      </c>
      <c r="BV78" s="1" t="str">
        <f>IF(AS78&gt;AS$145, AS78-AS$145,"")</f>
        <v/>
      </c>
      <c r="BW78" s="1" t="str">
        <f>IF(AT78&gt;AT$145, AT78-AT$145,"")</f>
        <v/>
      </c>
      <c r="BX78" s="1" t="str">
        <f>IF(AU78&gt;AU$145, AU78-AU$145,"")</f>
        <v/>
      </c>
      <c r="BY78" s="1" t="str">
        <f>IF(AV78&gt;AV$145, AV78-AV$145,"")</f>
        <v/>
      </c>
      <c r="BZ78" s="1" t="str">
        <f>IF(AW78&gt;AW$145, AW78-AW$145,"")</f>
        <v/>
      </c>
      <c r="CA78" s="1" t="str">
        <f>IF(AX78&gt;AX$145, AX78-AX$145,"")</f>
        <v/>
      </c>
      <c r="CB78" s="1" t="str">
        <f>IF(AY78&gt;AY$145, AY78-AY$145,"")</f>
        <v/>
      </c>
      <c r="CC78" s="1" t="str">
        <f>IF(AZ78&gt;AZ$145, AZ78-AZ$145,"")</f>
        <v/>
      </c>
      <c r="CD78" s="1" t="str">
        <f>IF(BA78&gt;BA$145, BA78-BA$145,"")</f>
        <v/>
      </c>
      <c r="CE78" s="1" t="str">
        <f>IF(BB78&gt;BB$145, BB78-BB$145,"")</f>
        <v/>
      </c>
      <c r="CF78" s="1">
        <f>COUNTIF(BT78:CE78, "&gt;0")</f>
        <v>0</v>
      </c>
      <c r="CG78" s="1" t="str">
        <f>IF($CF78=1,BT78,"")</f>
        <v/>
      </c>
      <c r="CH78" s="1" t="str">
        <f>IF($CF78=1,BU78,"")</f>
        <v/>
      </c>
      <c r="CI78" s="1" t="str">
        <f>IF($CF78=1,BV78,"")</f>
        <v/>
      </c>
      <c r="CJ78" s="1" t="str">
        <f>IF($CF78=1,BW78,"")</f>
        <v/>
      </c>
      <c r="CK78" s="1" t="str">
        <f>IF($CF78=1,BX78,"")</f>
        <v/>
      </c>
      <c r="CL78" s="1" t="str">
        <f>IF($CF78=1,BY78,"")</f>
        <v/>
      </c>
      <c r="CM78" s="1" t="str">
        <f>IF($CF78=1,BZ78,"")</f>
        <v/>
      </c>
      <c r="CN78" s="1" t="str">
        <f>IF($CF78=1,CA78,"")</f>
        <v/>
      </c>
      <c r="CO78" s="1" t="str">
        <f>IF($CF78=1,CB78,"")</f>
        <v/>
      </c>
      <c r="CP78" s="1" t="str">
        <f>IF($CF78=1,CC78,"")</f>
        <v/>
      </c>
      <c r="CQ78" s="1" t="str">
        <f>IF($CF78=1,CD78,"")</f>
        <v/>
      </c>
      <c r="CR78" s="1" t="str">
        <f>IF($CF78=1,CE78,"")</f>
        <v/>
      </c>
      <c r="CS78" s="18">
        <f>SUM(AE78:BO78)</f>
        <v>15</v>
      </c>
    </row>
    <row r="79" spans="1:97" ht="40.5" x14ac:dyDescent="0.15">
      <c r="A79" s="1">
        <v>89</v>
      </c>
      <c r="B79" s="3" t="s">
        <v>83</v>
      </c>
      <c r="C79" s="3" t="s">
        <v>84</v>
      </c>
      <c r="D79" s="1" t="s">
        <v>1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1"/>
      <c r="AF79" s="1">
        <v>5</v>
      </c>
      <c r="AG79" s="1"/>
      <c r="AH79" s="1">
        <v>5</v>
      </c>
      <c r="AI79" s="1">
        <v>5</v>
      </c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15</v>
      </c>
      <c r="BQ79" s="1">
        <v>15</v>
      </c>
      <c r="BR79" s="17">
        <v>3</v>
      </c>
      <c r="BS79" s="17" t="s">
        <v>226</v>
      </c>
      <c r="BT79" s="1" t="str">
        <f>IF(AQ79&gt;AQ$145, AQ79-AQ$145,"")</f>
        <v/>
      </c>
      <c r="BU79" s="1" t="str">
        <f>IF(AR79&gt;AR$145, AR79-AR$145,"")</f>
        <v/>
      </c>
      <c r="BV79" s="1" t="str">
        <f>IF(AS79&gt;AS$145, AS79-AS$145,"")</f>
        <v/>
      </c>
      <c r="BW79" s="1" t="str">
        <f>IF(AT79&gt;AT$145, AT79-AT$145,"")</f>
        <v/>
      </c>
      <c r="BX79" s="1" t="str">
        <f>IF(AU79&gt;AU$145, AU79-AU$145,"")</f>
        <v/>
      </c>
      <c r="BY79" s="1" t="str">
        <f>IF(AV79&gt;AV$145, AV79-AV$145,"")</f>
        <v/>
      </c>
      <c r="BZ79" s="1" t="str">
        <f>IF(AW79&gt;AW$145, AW79-AW$145,"")</f>
        <v/>
      </c>
      <c r="CA79" s="1" t="str">
        <f>IF(AX79&gt;AX$145, AX79-AX$145,"")</f>
        <v/>
      </c>
      <c r="CB79" s="1" t="str">
        <f>IF(AY79&gt;AY$145, AY79-AY$145,"")</f>
        <v/>
      </c>
      <c r="CC79" s="1" t="str">
        <f>IF(AZ79&gt;AZ$145, AZ79-AZ$145,"")</f>
        <v/>
      </c>
      <c r="CD79" s="1" t="str">
        <f>IF(BA79&gt;BA$145, BA79-BA$145,"")</f>
        <v/>
      </c>
      <c r="CE79" s="1" t="str">
        <f>IF(BB79&gt;BB$145, BB79-BB$145,"")</f>
        <v/>
      </c>
      <c r="CF79" s="1">
        <f>COUNTIF(BT79:CE79, "&gt;0")</f>
        <v>0</v>
      </c>
      <c r="CG79" s="1" t="str">
        <f>IF($CF79=1,BT79,"")</f>
        <v/>
      </c>
      <c r="CH79" s="1" t="str">
        <f>IF($CF79=1,BU79,"")</f>
        <v/>
      </c>
      <c r="CI79" s="1" t="str">
        <f>IF($CF79=1,BV79,"")</f>
        <v/>
      </c>
      <c r="CJ79" s="1" t="str">
        <f>IF($CF79=1,BW79,"")</f>
        <v/>
      </c>
      <c r="CK79" s="1" t="str">
        <f>IF($CF79=1,BX79,"")</f>
        <v/>
      </c>
      <c r="CL79" s="1" t="str">
        <f>IF($CF79=1,BY79,"")</f>
        <v/>
      </c>
      <c r="CM79" s="1" t="str">
        <f>IF($CF79=1,BZ79,"")</f>
        <v/>
      </c>
      <c r="CN79" s="1" t="str">
        <f>IF($CF79=1,CA79,"")</f>
        <v/>
      </c>
      <c r="CO79" s="1" t="str">
        <f>IF($CF79=1,CB79,"")</f>
        <v/>
      </c>
      <c r="CP79" s="1" t="str">
        <f>IF($CF79=1,CC79,"")</f>
        <v/>
      </c>
      <c r="CQ79" s="1" t="str">
        <f>IF($CF79=1,CD79,"")</f>
        <v/>
      </c>
      <c r="CR79" s="1" t="str">
        <f>IF($CF79=1,CE79,"")</f>
        <v/>
      </c>
      <c r="CS79" s="18">
        <f>SUM(AE79:BO79)</f>
        <v>15</v>
      </c>
    </row>
    <row r="80" spans="1:97" ht="40.5" x14ac:dyDescent="0.15">
      <c r="A80" s="1"/>
      <c r="B80" s="1" t="s">
        <v>199</v>
      </c>
      <c r="C80" s="1" t="s">
        <v>114</v>
      </c>
      <c r="D80" s="1" t="s">
        <v>112</v>
      </c>
      <c r="E80" s="6">
        <v>6</v>
      </c>
      <c r="F80" s="6">
        <v>6</v>
      </c>
      <c r="G80" s="6"/>
      <c r="H80" s="6"/>
      <c r="I80" s="6"/>
      <c r="J80" s="6"/>
      <c r="K80" s="6"/>
      <c r="L80" s="6"/>
      <c r="M80" s="6"/>
      <c r="N80" s="6"/>
      <c r="O80" s="6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>
        <v>10</v>
      </c>
      <c r="AT80" s="4"/>
      <c r="AU80" s="4"/>
      <c r="AV80" s="4"/>
      <c r="AW80" s="2"/>
      <c r="AX80" s="2">
        <v>10</v>
      </c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32</v>
      </c>
      <c r="BQ80" s="1">
        <v>17</v>
      </c>
      <c r="BR80" s="17">
        <v>3</v>
      </c>
      <c r="BS80" s="17" t="s">
        <v>270</v>
      </c>
      <c r="BT80" s="1" t="str">
        <f>IF(AQ80&gt;AQ$145, AQ80-AQ$145,"")</f>
        <v/>
      </c>
      <c r="BU80" s="1" t="str">
        <f>IF(AR80&gt;AR$145, AR80-AR$145,"")</f>
        <v/>
      </c>
      <c r="BV80" s="1">
        <f>IF(AS80&gt;AS$145, AS80-AS$145,"")</f>
        <v>8</v>
      </c>
      <c r="BW80" s="1" t="str">
        <f>IF(AT80&gt;AT$145, AT80-AT$145,"")</f>
        <v/>
      </c>
      <c r="BX80" s="1" t="str">
        <f>IF(AU80&gt;AU$145, AU80-AU$145,"")</f>
        <v/>
      </c>
      <c r="BY80" s="1" t="str">
        <f>IF(AV80&gt;AV$145, AV80-AV$145,"")</f>
        <v/>
      </c>
      <c r="BZ80" s="1" t="str">
        <f>IF(AW80&gt;AW$145, AW80-AW$145,"")</f>
        <v/>
      </c>
      <c r="CA80" s="1" t="str">
        <f>IF(AX80&gt;AX$145, AX80-AX$145,"")</f>
        <v/>
      </c>
      <c r="CB80" s="1" t="str">
        <f>IF(AY80&gt;AY$145, AY80-AY$145,"")</f>
        <v/>
      </c>
      <c r="CC80" s="1" t="str">
        <f>IF(AZ80&gt;AZ$145, AZ80-AZ$145,"")</f>
        <v/>
      </c>
      <c r="CD80" s="1" t="str">
        <f>IF(BA80&gt;BA$145, BA80-BA$145,"")</f>
        <v/>
      </c>
      <c r="CE80" s="1" t="str">
        <f>IF(BB80&gt;BB$145, BB80-BB$145,"")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8"/>
    </row>
    <row r="81" spans="1:97" ht="40.5" x14ac:dyDescent="0.15">
      <c r="A81" s="1"/>
      <c r="B81" s="1" t="s">
        <v>117</v>
      </c>
      <c r="C81" s="1" t="s">
        <v>114</v>
      </c>
      <c r="D81" s="1" t="s">
        <v>111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>
        <v>5</v>
      </c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>
        <v>5</v>
      </c>
      <c r="AP81" s="1">
        <v>10</v>
      </c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20</v>
      </c>
      <c r="BQ81" s="1">
        <v>18</v>
      </c>
      <c r="BR81" s="17">
        <v>3</v>
      </c>
      <c r="BS81" s="17" t="s">
        <v>291</v>
      </c>
      <c r="BT81" s="1" t="str">
        <f>IF(AQ81&gt;AQ$145, AQ81-AQ$145,"")</f>
        <v/>
      </c>
      <c r="BU81" s="1" t="str">
        <f>IF(AR81&gt;AR$145, AR81-AR$145,"")</f>
        <v/>
      </c>
      <c r="BV81" s="1" t="str">
        <f>IF(AS81&gt;AS$145, AS81-AS$145,"")</f>
        <v/>
      </c>
      <c r="BW81" s="1" t="str">
        <f>IF(AT81&gt;AT$145, AT81-AT$145,"")</f>
        <v/>
      </c>
      <c r="BX81" s="1" t="str">
        <f>IF(AU81&gt;AU$145, AU81-AU$145,"")</f>
        <v/>
      </c>
      <c r="BY81" s="1" t="str">
        <f>IF(AV81&gt;AV$145, AV81-AV$145,"")</f>
        <v/>
      </c>
      <c r="BZ81" s="1" t="str">
        <f>IF(AW81&gt;AW$145, AW81-AW$145,"")</f>
        <v/>
      </c>
      <c r="CA81" s="1" t="str">
        <f>IF(AX81&gt;AX$145, AX81-AX$145,"")</f>
        <v/>
      </c>
      <c r="CB81" s="1" t="str">
        <f>IF(AY81&gt;AY$145, AY81-AY$145,"")</f>
        <v/>
      </c>
      <c r="CC81" s="1" t="str">
        <f>IF(AZ81&gt;AZ$145, AZ81-AZ$145,"")</f>
        <v/>
      </c>
      <c r="CD81" s="1" t="str">
        <f>IF(BA81&gt;BA$145, BA81-BA$145,"")</f>
        <v/>
      </c>
      <c r="CE81" s="1" t="str">
        <f>IF(BB81&gt;BB$145, BB81-BB$145,"")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8"/>
    </row>
    <row r="82" spans="1:97" ht="40.5" x14ac:dyDescent="0.15">
      <c r="A82" s="1">
        <v>8</v>
      </c>
      <c r="B82" s="1" t="s">
        <v>180</v>
      </c>
      <c r="C82" s="1" t="s">
        <v>2</v>
      </c>
      <c r="D82" s="1" t="s">
        <v>26</v>
      </c>
      <c r="E82" s="6">
        <v>6</v>
      </c>
      <c r="F82" s="6"/>
      <c r="G82" s="6"/>
      <c r="H82" s="6">
        <v>6</v>
      </c>
      <c r="I82" s="6"/>
      <c r="J82" s="6"/>
      <c r="K82" s="6"/>
      <c r="L82" s="6"/>
      <c r="M82" s="6"/>
      <c r="N82" s="6"/>
      <c r="O82" s="6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>
        <v>10</v>
      </c>
      <c r="AS82" s="4"/>
      <c r="AT82" s="4"/>
      <c r="AU82" s="4"/>
      <c r="AV82" s="4"/>
      <c r="AW82" s="2"/>
      <c r="AX82" s="2"/>
      <c r="AY82" s="2"/>
      <c r="AZ82" s="2"/>
      <c r="BA82" s="2"/>
      <c r="BB82" s="2">
        <v>10</v>
      </c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32</v>
      </c>
      <c r="BQ82" s="1">
        <v>19</v>
      </c>
      <c r="BR82" s="17">
        <v>3</v>
      </c>
      <c r="BS82" s="17" t="s">
        <v>268</v>
      </c>
      <c r="BT82" s="1" t="str">
        <f>IF(AQ82&gt;AQ$145, AQ82-AQ$145,"")</f>
        <v/>
      </c>
      <c r="BU82" s="1">
        <f>IF(AR82&gt;AR$145, AR82-AR$145,"")</f>
        <v>9</v>
      </c>
      <c r="BV82" s="1" t="str">
        <f>IF(AS82&gt;AS$145, AS82-AS$145,"")</f>
        <v/>
      </c>
      <c r="BW82" s="1" t="str">
        <f>IF(AT82&gt;AT$145, AT82-AT$145,"")</f>
        <v/>
      </c>
      <c r="BX82" s="1" t="str">
        <f>IF(AU82&gt;AU$145, AU82-AU$145,"")</f>
        <v/>
      </c>
      <c r="BY82" s="1" t="str">
        <f>IF(AV82&gt;AV$145, AV82-AV$145,"")</f>
        <v/>
      </c>
      <c r="BZ82" s="1" t="str">
        <f>IF(AW82&gt;AW$145, AW82-AW$145,"")</f>
        <v/>
      </c>
      <c r="CA82" s="1" t="str">
        <f>IF(AX82&gt;AX$145, AX82-AX$145,"")</f>
        <v/>
      </c>
      <c r="CB82" s="1" t="str">
        <f>IF(AY82&gt;AY$145, AY82-AY$145,"")</f>
        <v/>
      </c>
      <c r="CC82" s="1" t="str">
        <f>IF(AZ82&gt;AZ$145, AZ82-AZ$145,"")</f>
        <v/>
      </c>
      <c r="CD82" s="1" t="str">
        <f>IF(BA82&gt;BA$145, BA82-BA$145,"")</f>
        <v/>
      </c>
      <c r="CE82" s="1" t="str">
        <f>IF(BB82&gt;BB$145, BB82-BB$145,"")</f>
        <v/>
      </c>
      <c r="CF82" s="1">
        <f>COUNTIF(BT82:CE82, "&gt;0")</f>
        <v>1</v>
      </c>
      <c r="CG82" s="1" t="str">
        <f>IF($CF82=1,BT82,"")</f>
        <v/>
      </c>
      <c r="CH82" s="1">
        <f>IF($CF82=1,BU82,"")</f>
        <v>9</v>
      </c>
      <c r="CI82" s="1" t="str">
        <f>IF($CF82=1,BV82,"")</f>
        <v/>
      </c>
      <c r="CJ82" s="1" t="str">
        <f>IF($CF82=1,BW82,"")</f>
        <v/>
      </c>
      <c r="CK82" s="1" t="str">
        <f>IF($CF82=1,BX82,"")</f>
        <v/>
      </c>
      <c r="CL82" s="1" t="str">
        <f>IF($CF82=1,BY82,"")</f>
        <v/>
      </c>
      <c r="CM82" s="1" t="str">
        <f>IF($CF82=1,BZ82,"")</f>
        <v/>
      </c>
      <c r="CN82" s="1" t="str">
        <f>IF($CF82=1,CA82,"")</f>
        <v/>
      </c>
      <c r="CO82" s="1" t="str">
        <f>IF($CF82=1,CB82,"")</f>
        <v/>
      </c>
      <c r="CP82" s="1" t="str">
        <f>IF($CF82=1,CC82,"")</f>
        <v/>
      </c>
      <c r="CQ82" s="1" t="str">
        <f>IF($CF82=1,CD82,"")</f>
        <v/>
      </c>
      <c r="CR82" s="1" t="str">
        <f>IF($CF82=1,CE82,"")</f>
        <v/>
      </c>
      <c r="CS82" s="18">
        <f>SUM(AE82:BO82)</f>
        <v>20</v>
      </c>
    </row>
    <row r="83" spans="1:97" ht="40.5" x14ac:dyDescent="0.15">
      <c r="A83" s="1">
        <v>21</v>
      </c>
      <c r="B83" s="1" t="s">
        <v>38</v>
      </c>
      <c r="C83" s="1" t="s">
        <v>31</v>
      </c>
      <c r="D83" s="1" t="s">
        <v>26</v>
      </c>
      <c r="E83" s="6"/>
      <c r="F83" s="6"/>
      <c r="G83" s="6">
        <v>6</v>
      </c>
      <c r="H83" s="6">
        <v>6</v>
      </c>
      <c r="I83" s="6"/>
      <c r="J83" s="6"/>
      <c r="K83" s="6"/>
      <c r="L83" s="6"/>
      <c r="M83" s="6"/>
      <c r="N83" s="6"/>
      <c r="O83" s="6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>
        <v>10</v>
      </c>
      <c r="AT83" s="4"/>
      <c r="AU83" s="4"/>
      <c r="AV83" s="4"/>
      <c r="AW83" s="2"/>
      <c r="AX83" s="2"/>
      <c r="AY83" s="2"/>
      <c r="AZ83" s="2"/>
      <c r="BA83" s="2"/>
      <c r="BB83" s="2">
        <v>10</v>
      </c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32</v>
      </c>
      <c r="BQ83" s="1">
        <v>20</v>
      </c>
      <c r="BR83" s="17">
        <v>3</v>
      </c>
      <c r="BS83" s="17" t="s">
        <v>227</v>
      </c>
      <c r="BT83" s="1" t="str">
        <f>IF(AQ83&gt;AQ$145, AQ83-AQ$145,"")</f>
        <v/>
      </c>
      <c r="BU83" s="1" t="str">
        <f>IF(AR83&gt;AR$145, AR83-AR$145,"")</f>
        <v/>
      </c>
      <c r="BV83" s="1">
        <f>IF(AS83&gt;AS$145, AS83-AS$145,"")</f>
        <v>8</v>
      </c>
      <c r="BW83" s="1" t="str">
        <f>IF(AT83&gt;AT$145, AT83-AT$145,"")</f>
        <v/>
      </c>
      <c r="BX83" s="1" t="str">
        <f>IF(AU83&gt;AU$145, AU83-AU$145,"")</f>
        <v/>
      </c>
      <c r="BY83" s="1" t="str">
        <f>IF(AV83&gt;AV$145, AV83-AV$145,"")</f>
        <v/>
      </c>
      <c r="BZ83" s="1" t="str">
        <f>IF(AW83&gt;AW$145, AW83-AW$145,"")</f>
        <v/>
      </c>
      <c r="CA83" s="1" t="str">
        <f>IF(AX83&gt;AX$145, AX83-AX$145,"")</f>
        <v/>
      </c>
      <c r="CB83" s="1" t="str">
        <f>IF(AY83&gt;AY$145, AY83-AY$145,"")</f>
        <v/>
      </c>
      <c r="CC83" s="1" t="str">
        <f>IF(AZ83&gt;AZ$145, AZ83-AZ$145,"")</f>
        <v/>
      </c>
      <c r="CD83" s="1" t="str">
        <f>IF(BA83&gt;BA$145, BA83-BA$145,"")</f>
        <v/>
      </c>
      <c r="CE83" s="1" t="str">
        <f>IF(BB83&gt;BB$145, BB83-BB$145,"")</f>
        <v/>
      </c>
      <c r="CF83" s="1">
        <f>COUNTIF(BT83:CE83, "&gt;0")</f>
        <v>1</v>
      </c>
      <c r="CG83" s="1" t="str">
        <f>IF($CF83=1,BT83,"")</f>
        <v/>
      </c>
      <c r="CH83" s="1" t="str">
        <f>IF($CF83=1,BU83,"")</f>
        <v/>
      </c>
      <c r="CI83" s="1">
        <f>IF($CF83=1,BV83,"")</f>
        <v>8</v>
      </c>
      <c r="CJ83" s="1" t="str">
        <f>IF($CF83=1,BW83,"")</f>
        <v/>
      </c>
      <c r="CK83" s="1" t="str">
        <f>IF($CF83=1,BX83,"")</f>
        <v/>
      </c>
      <c r="CL83" s="1" t="str">
        <f>IF($CF83=1,BY83,"")</f>
        <v/>
      </c>
      <c r="CM83" s="1" t="str">
        <f>IF($CF83=1,BZ83,"")</f>
        <v/>
      </c>
      <c r="CN83" s="1" t="str">
        <f>IF($CF83=1,CA83,"")</f>
        <v/>
      </c>
      <c r="CO83" s="1" t="str">
        <f>IF($CF83=1,CB83,"")</f>
        <v/>
      </c>
      <c r="CP83" s="1" t="str">
        <f>IF($CF83=1,CC83,"")</f>
        <v/>
      </c>
      <c r="CQ83" s="1" t="str">
        <f>IF($CF83=1,CD83,"")</f>
        <v/>
      </c>
      <c r="CR83" s="1" t="str">
        <f>IF($CF83=1,CE83,"")</f>
        <v/>
      </c>
      <c r="CS83" s="18">
        <f>SUM(AE83:BO83)</f>
        <v>20</v>
      </c>
    </row>
    <row r="84" spans="1:97" ht="40.5" x14ac:dyDescent="0.15">
      <c r="A84" s="1"/>
      <c r="B84" s="1" t="s">
        <v>154</v>
      </c>
      <c r="C84" s="1" t="s">
        <v>156</v>
      </c>
      <c r="D84" s="1" t="s">
        <v>131</v>
      </c>
      <c r="E84" s="6"/>
      <c r="F84" s="6"/>
      <c r="G84" s="6"/>
      <c r="H84" s="6"/>
      <c r="I84" s="6"/>
      <c r="J84" s="6">
        <v>10</v>
      </c>
      <c r="K84" s="6"/>
      <c r="L84" s="6"/>
      <c r="M84" s="6"/>
      <c r="N84" s="6"/>
      <c r="O84" s="6"/>
      <c r="P84" s="32"/>
      <c r="Q84" s="32"/>
      <c r="R84" s="32"/>
      <c r="S84" s="32"/>
      <c r="T84" s="32"/>
      <c r="U84" s="32">
        <v>10</v>
      </c>
      <c r="V84" s="32"/>
      <c r="W84" s="32"/>
      <c r="X84" s="32"/>
      <c r="Y84" s="32"/>
      <c r="Z84" s="32"/>
      <c r="AA84" s="32">
        <v>10</v>
      </c>
      <c r="AB84" s="32"/>
      <c r="AC84" s="32"/>
      <c r="AD84" s="32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>
        <v>10</v>
      </c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40</v>
      </c>
      <c r="BQ84" s="1">
        <v>20</v>
      </c>
      <c r="BR84" s="17">
        <v>3</v>
      </c>
      <c r="BS84" s="17" t="s">
        <v>228</v>
      </c>
      <c r="BT84" s="1">
        <f>IF(AQ84&gt;AQ$145, AQ84-AQ$145,"")</f>
        <v>1</v>
      </c>
      <c r="BU84" s="1" t="str">
        <f>IF(AR84&gt;AR$145, AR84-AR$145,"")</f>
        <v/>
      </c>
      <c r="BV84" s="1" t="str">
        <f>IF(AS84&gt;AS$145, AS84-AS$145,"")</f>
        <v/>
      </c>
      <c r="BW84" s="1" t="str">
        <f>IF(AT84&gt;AT$145, AT84-AT$145,"")</f>
        <v/>
      </c>
      <c r="BX84" s="1" t="str">
        <f>IF(AU84&gt;AU$145, AU84-AU$145,"")</f>
        <v/>
      </c>
      <c r="BY84" s="1" t="str">
        <f>IF(AV84&gt;AV$145, AV84-AV$145,"")</f>
        <v/>
      </c>
      <c r="BZ84" s="1" t="str">
        <f>IF(AW84&gt;AW$145, AW84-AW$145,"")</f>
        <v/>
      </c>
      <c r="CA84" s="1" t="str">
        <f>IF(AX84&gt;AX$145, AX84-AX$145,"")</f>
        <v/>
      </c>
      <c r="CB84" s="1" t="str">
        <f>IF(AY84&gt;AY$145, AY84-AY$145,"")</f>
        <v/>
      </c>
      <c r="CC84" s="1" t="str">
        <f>IF(AZ84&gt;AZ$145, AZ84-AZ$145,"")</f>
        <v/>
      </c>
      <c r="CD84" s="1" t="str">
        <f>IF(BA84&gt;BA$145, BA84-BA$145,"")</f>
        <v/>
      </c>
      <c r="CE84" s="1" t="str">
        <f>IF(BB84&gt;BB$145, BB84-BB$145,"")</f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8"/>
    </row>
    <row r="85" spans="1:97" ht="40.5" x14ac:dyDescent="0.15">
      <c r="A85" s="1"/>
      <c r="B85" s="1" t="s">
        <v>164</v>
      </c>
      <c r="C85" s="1" t="s">
        <v>158</v>
      </c>
      <c r="D85" s="1" t="s">
        <v>131</v>
      </c>
      <c r="E85" s="6"/>
      <c r="F85" s="6"/>
      <c r="G85" s="6"/>
      <c r="H85" s="6"/>
      <c r="I85" s="6"/>
      <c r="J85" s="6">
        <v>10</v>
      </c>
      <c r="K85" s="6"/>
      <c r="L85" s="6"/>
      <c r="M85" s="6"/>
      <c r="N85" s="6"/>
      <c r="O85" s="6"/>
      <c r="P85" s="32"/>
      <c r="Q85" s="32"/>
      <c r="R85" s="32"/>
      <c r="S85" s="32"/>
      <c r="T85" s="32"/>
      <c r="U85" s="32">
        <v>10</v>
      </c>
      <c r="V85" s="32"/>
      <c r="W85" s="32"/>
      <c r="X85" s="32"/>
      <c r="Y85" s="32"/>
      <c r="Z85" s="32"/>
      <c r="AA85" s="32">
        <v>10</v>
      </c>
      <c r="AB85" s="32"/>
      <c r="AC85" s="32"/>
      <c r="AD85" s="32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>
        <v>10</v>
      </c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40</v>
      </c>
      <c r="BQ85" s="1">
        <v>20</v>
      </c>
      <c r="BR85" s="17">
        <v>3</v>
      </c>
      <c r="BS85" s="17" t="s">
        <v>292</v>
      </c>
      <c r="BT85" s="1">
        <f>IF(AQ85&gt;AQ$145, AQ85-AQ$145,"")</f>
        <v>1</v>
      </c>
      <c r="BU85" s="1" t="str">
        <f>IF(AR85&gt;AR$145, AR85-AR$145,"")</f>
        <v/>
      </c>
      <c r="BV85" s="1" t="str">
        <f>IF(AS85&gt;AS$145, AS85-AS$145,"")</f>
        <v/>
      </c>
      <c r="BW85" s="1" t="str">
        <f>IF(AT85&gt;AT$145, AT85-AT$145,"")</f>
        <v/>
      </c>
      <c r="BX85" s="1" t="str">
        <f>IF(AU85&gt;AU$145, AU85-AU$145,"")</f>
        <v/>
      </c>
      <c r="BY85" s="1" t="str">
        <f>IF(AV85&gt;AV$145, AV85-AV$145,"")</f>
        <v/>
      </c>
      <c r="BZ85" s="1" t="str">
        <f>IF(AW85&gt;AW$145, AW85-AW$145,"")</f>
        <v/>
      </c>
      <c r="CA85" s="1" t="str">
        <f>IF(AX85&gt;AX$145, AX85-AX$145,"")</f>
        <v/>
      </c>
      <c r="CB85" s="1" t="str">
        <f>IF(AY85&gt;AY$145, AY85-AY$145,"")</f>
        <v/>
      </c>
      <c r="CC85" s="1" t="str">
        <f>IF(AZ85&gt;AZ$145, AZ85-AZ$145,"")</f>
        <v/>
      </c>
      <c r="CD85" s="1" t="str">
        <f>IF(BA85&gt;BA$145, BA85-BA$145,"")</f>
        <v/>
      </c>
      <c r="CE85" s="1" t="str">
        <f>IF(BB85&gt;BB$145, BB85-BB$145,"")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8"/>
    </row>
    <row r="86" spans="1:97" ht="40.5" x14ac:dyDescent="0.15">
      <c r="A86" s="1"/>
      <c r="B86" s="1" t="s">
        <v>159</v>
      </c>
      <c r="C86" s="1" t="s">
        <v>158</v>
      </c>
      <c r="D86" s="1" t="s">
        <v>131</v>
      </c>
      <c r="E86" s="6"/>
      <c r="F86" s="6"/>
      <c r="G86" s="6">
        <v>10</v>
      </c>
      <c r="H86" s="6"/>
      <c r="I86" s="6"/>
      <c r="J86" s="6"/>
      <c r="K86" s="6"/>
      <c r="L86" s="6"/>
      <c r="M86" s="6"/>
      <c r="N86" s="6"/>
      <c r="O86" s="6"/>
      <c r="P86" s="32"/>
      <c r="Q86" s="32"/>
      <c r="R86" s="32"/>
      <c r="S86" s="32"/>
      <c r="T86" s="32"/>
      <c r="U86" s="32"/>
      <c r="V86" s="32"/>
      <c r="W86" s="32"/>
      <c r="X86" s="32">
        <v>10</v>
      </c>
      <c r="Y86" s="32"/>
      <c r="Z86" s="32"/>
      <c r="AA86" s="32"/>
      <c r="AB86" s="32"/>
      <c r="AC86" s="32"/>
      <c r="AD86" s="32">
        <v>10</v>
      </c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>
        <v>10</v>
      </c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40</v>
      </c>
      <c r="BQ86" s="1">
        <v>20</v>
      </c>
      <c r="BR86" s="17">
        <v>3</v>
      </c>
      <c r="BS86" s="17" t="s">
        <v>308</v>
      </c>
      <c r="BT86" s="1" t="str">
        <f>IF(AQ86&gt;AQ$145, AQ86-AQ$145,"")</f>
        <v/>
      </c>
      <c r="BU86" s="1" t="str">
        <f>IF(AR86&gt;AR$145, AR86-AR$145,"")</f>
        <v/>
      </c>
      <c r="BV86" s="1" t="str">
        <f>IF(AS86&gt;AS$145, AS86-AS$145,"")</f>
        <v/>
      </c>
      <c r="BW86" s="1" t="str">
        <f>IF(AT86&gt;AT$145, AT86-AT$145,"")</f>
        <v/>
      </c>
      <c r="BX86" s="1" t="str">
        <f>IF(AU86&gt;AU$145, AU86-AU$145,"")</f>
        <v/>
      </c>
      <c r="BY86" s="1" t="str">
        <f>IF(AV86&gt;AV$145, AV86-AV$145,"")</f>
        <v/>
      </c>
      <c r="BZ86" s="1" t="str">
        <f>IF(AW86&gt;AW$145, AW86-AW$145,"")</f>
        <v/>
      </c>
      <c r="CA86" s="1" t="str">
        <f>IF(AX86&gt;AX$145, AX86-AX$145,"")</f>
        <v/>
      </c>
      <c r="CB86" s="1" t="str">
        <f>IF(AY86&gt;AY$145, AY86-AY$145,"")</f>
        <v/>
      </c>
      <c r="CC86" s="1" t="str">
        <f>IF(AZ86&gt;AZ$145, AZ86-AZ$145,"")</f>
        <v/>
      </c>
      <c r="CD86" s="1" t="str">
        <f>IF(BA86&gt;BA$145, BA86-BA$145,"")</f>
        <v/>
      </c>
      <c r="CE86" s="1" t="str">
        <f>IF(BB86&gt;BB$145, BB86-BB$145,"")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8"/>
    </row>
    <row r="87" spans="1:97" ht="40.5" x14ac:dyDescent="0.15">
      <c r="A87" s="1"/>
      <c r="B87" s="1" t="s">
        <v>167</v>
      </c>
      <c r="C87" s="1" t="s">
        <v>126</v>
      </c>
      <c r="D87" s="1" t="s">
        <v>170</v>
      </c>
      <c r="E87" s="6"/>
      <c r="F87" s="6"/>
      <c r="G87" s="6">
        <v>10</v>
      </c>
      <c r="H87" s="6"/>
      <c r="I87" s="6"/>
      <c r="J87" s="6"/>
      <c r="K87" s="6"/>
      <c r="L87" s="6"/>
      <c r="M87" s="6"/>
      <c r="N87" s="6"/>
      <c r="O87" s="6"/>
      <c r="P87" s="32"/>
      <c r="Q87" s="32"/>
      <c r="R87" s="32"/>
      <c r="S87" s="32"/>
      <c r="T87" s="32"/>
      <c r="U87" s="32"/>
      <c r="V87" s="32"/>
      <c r="W87" s="32"/>
      <c r="X87" s="32">
        <v>10</v>
      </c>
      <c r="Y87" s="32"/>
      <c r="Z87" s="32"/>
      <c r="AA87" s="32"/>
      <c r="AB87" s="32"/>
      <c r="AC87" s="32"/>
      <c r="AD87" s="32">
        <v>10</v>
      </c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>
        <v>10</v>
      </c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40</v>
      </c>
      <c r="BQ87" s="1">
        <v>20</v>
      </c>
      <c r="BR87" s="17">
        <v>3</v>
      </c>
      <c r="BS87" s="17" t="s">
        <v>309</v>
      </c>
      <c r="BT87" s="1" t="str">
        <f>IF(AQ87&gt;AQ$145, AQ87-AQ$145,"")</f>
        <v/>
      </c>
      <c r="BU87" s="1" t="str">
        <f>IF(AR87&gt;AR$145, AR87-AR$145,"")</f>
        <v/>
      </c>
      <c r="BV87" s="1" t="str">
        <f>IF(AS87&gt;AS$145, AS87-AS$145,"")</f>
        <v/>
      </c>
      <c r="BW87" s="1" t="str">
        <f>IF(AT87&gt;AT$145, AT87-AT$145,"")</f>
        <v/>
      </c>
      <c r="BX87" s="1" t="str">
        <f>IF(AU87&gt;AU$145, AU87-AU$145,"")</f>
        <v/>
      </c>
      <c r="BY87" s="1" t="str">
        <f>IF(AV87&gt;AV$145, AV87-AV$145,"")</f>
        <v/>
      </c>
      <c r="BZ87" s="1" t="str">
        <f>IF(AW87&gt;AW$145, AW87-AW$145,"")</f>
        <v/>
      </c>
      <c r="CA87" s="1" t="str">
        <f>IF(AX87&gt;AX$145, AX87-AX$145,"")</f>
        <v/>
      </c>
      <c r="CB87" s="1" t="str">
        <f>IF(AY87&gt;AY$145, AY87-AY$145,"")</f>
        <v/>
      </c>
      <c r="CC87" s="1" t="str">
        <f>IF(AZ87&gt;AZ$145, AZ87-AZ$145,"")</f>
        <v/>
      </c>
      <c r="CD87" s="1" t="str">
        <f>IF(BA87&gt;BA$145, BA87-BA$145,"")</f>
        <v/>
      </c>
      <c r="CE87" s="1" t="str">
        <f>IF(BB87&gt;BB$145, BB87-BB$145,"")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8"/>
    </row>
    <row r="88" spans="1:97" ht="40.5" x14ac:dyDescent="0.15">
      <c r="A88" s="1"/>
      <c r="B88" s="1" t="s">
        <v>117</v>
      </c>
      <c r="C88" s="1" t="s">
        <v>114</v>
      </c>
      <c r="D88" s="1" t="s">
        <v>112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>
        <v>10</v>
      </c>
      <c r="AP88" s="1">
        <v>10</v>
      </c>
      <c r="AQ88" s="4"/>
      <c r="AR88" s="4"/>
      <c r="AS88" s="4">
        <v>5</v>
      </c>
      <c r="AT88" s="4"/>
      <c r="AU88" s="4"/>
      <c r="AV88" s="4"/>
      <c r="AW88" s="2"/>
      <c r="AX88" s="2">
        <v>5</v>
      </c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30</v>
      </c>
      <c r="BQ88" s="1">
        <v>23</v>
      </c>
      <c r="BR88" s="17">
        <v>3</v>
      </c>
      <c r="BS88" s="17" t="s">
        <v>229</v>
      </c>
      <c r="BT88" s="1" t="str">
        <f>IF(AQ88&gt;AQ$145, AQ88-AQ$145,"")</f>
        <v/>
      </c>
      <c r="BU88" s="1" t="str">
        <f>IF(AR88&gt;AR$145, AR88-AR$145,"")</f>
        <v/>
      </c>
      <c r="BV88" s="1">
        <f>IF(AS88&gt;AS$145, AS88-AS$145,"")</f>
        <v>3</v>
      </c>
      <c r="BW88" s="1" t="str">
        <f>IF(AT88&gt;AT$145, AT88-AT$145,"")</f>
        <v/>
      </c>
      <c r="BX88" s="1" t="str">
        <f>IF(AU88&gt;AU$145, AU88-AU$145,"")</f>
        <v/>
      </c>
      <c r="BY88" s="1" t="str">
        <f>IF(AV88&gt;AV$145, AV88-AV$145,"")</f>
        <v/>
      </c>
      <c r="BZ88" s="1" t="str">
        <f>IF(AW88&gt;AW$145, AW88-AW$145,"")</f>
        <v/>
      </c>
      <c r="CA88" s="1" t="str">
        <f>IF(AX88&gt;AX$145, AX88-AX$145,"")</f>
        <v/>
      </c>
      <c r="CB88" s="1" t="str">
        <f>IF(AY88&gt;AY$145, AY88-AY$145,"")</f>
        <v/>
      </c>
      <c r="CC88" s="1" t="str">
        <f>IF(AZ88&gt;AZ$145, AZ88-AZ$145,"")</f>
        <v/>
      </c>
      <c r="CD88" s="1" t="str">
        <f>IF(BA88&gt;BA$145, BA88-BA$145,"")</f>
        <v/>
      </c>
      <c r="CE88" s="1" t="str">
        <f>IF(BB88&gt;BB$145, BB88-BB$145,"")</f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8"/>
    </row>
    <row r="89" spans="1:97" ht="40.5" x14ac:dyDescent="0.15">
      <c r="A89" s="1"/>
      <c r="B89" s="1" t="s">
        <v>188</v>
      </c>
      <c r="C89" s="1" t="s">
        <v>151</v>
      </c>
      <c r="D89" s="1" t="s">
        <v>130</v>
      </c>
      <c r="E89" s="6"/>
      <c r="F89" s="6"/>
      <c r="G89" s="6"/>
      <c r="H89" s="6"/>
      <c r="I89" s="6"/>
      <c r="J89" s="6">
        <v>10</v>
      </c>
      <c r="K89" s="6"/>
      <c r="L89" s="6">
        <v>10</v>
      </c>
      <c r="M89" s="6">
        <v>10</v>
      </c>
      <c r="N89" s="6"/>
      <c r="O89" s="6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>
        <v>15</v>
      </c>
      <c r="AZ89" s="2">
        <v>15</v>
      </c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60</v>
      </c>
      <c r="BQ89" s="1">
        <v>25</v>
      </c>
      <c r="BR89" s="17">
        <v>3</v>
      </c>
      <c r="BS89" s="17" t="s">
        <v>296</v>
      </c>
      <c r="BT89" s="1" t="str">
        <f>IF(AQ89&gt;AQ$145, AQ89-AQ$145,"")</f>
        <v/>
      </c>
      <c r="BU89" s="1" t="str">
        <f>IF(AR89&gt;AR$145, AR89-AR$145,"")</f>
        <v/>
      </c>
      <c r="BV89" s="1" t="str">
        <f>IF(AS89&gt;AS$145, AS89-AS$145,"")</f>
        <v/>
      </c>
      <c r="BW89" s="1" t="str">
        <f>IF(AT89&gt;AT$145, AT89-AT$145,"")</f>
        <v/>
      </c>
      <c r="BX89" s="1" t="str">
        <f>IF(AU89&gt;AU$145, AU89-AU$145,"")</f>
        <v/>
      </c>
      <c r="BY89" s="1" t="str">
        <f>IF(AV89&gt;AV$145, AV89-AV$145,"")</f>
        <v/>
      </c>
      <c r="BZ89" s="1" t="str">
        <f>IF(AW89&gt;AW$145, AW89-AW$145,"")</f>
        <v/>
      </c>
      <c r="CA89" s="1" t="str">
        <f>IF(AX89&gt;AX$145, AX89-AX$145,"")</f>
        <v/>
      </c>
      <c r="CB89" s="1">
        <f>IF(AY89&gt;AY$145, AY89-AY$145,"")</f>
        <v>2</v>
      </c>
      <c r="CC89" s="1">
        <f>IF(AZ89&gt;AZ$145, AZ89-AZ$145,"")</f>
        <v>15</v>
      </c>
      <c r="CD89" s="1" t="str">
        <f>IF(BA89&gt;BA$145, BA89-BA$145,"")</f>
        <v/>
      </c>
      <c r="CE89" s="1" t="str">
        <f>IF(BB89&gt;BB$145, BB89-BB$145,"")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8"/>
    </row>
    <row r="90" spans="1:97" ht="40.5" x14ac:dyDescent="0.15">
      <c r="A90" s="1">
        <v>1</v>
      </c>
      <c r="B90" s="1" t="s">
        <v>0</v>
      </c>
      <c r="C90" s="1" t="s">
        <v>2</v>
      </c>
      <c r="D90" s="1" t="s">
        <v>1</v>
      </c>
      <c r="E90" s="6">
        <v>10</v>
      </c>
      <c r="F90" s="6">
        <v>10</v>
      </c>
      <c r="G90" s="6"/>
      <c r="H90" s="6"/>
      <c r="I90" s="6"/>
      <c r="J90" s="6"/>
      <c r="K90" s="6"/>
      <c r="L90" s="6"/>
      <c r="M90" s="6"/>
      <c r="N90" s="6"/>
      <c r="O90" s="6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>
        <v>10</v>
      </c>
      <c r="AS90" s="4"/>
      <c r="AT90" s="4"/>
      <c r="AU90" s="4"/>
      <c r="AV90" s="4"/>
      <c r="AW90" s="2">
        <v>15</v>
      </c>
      <c r="AX90" s="2">
        <v>15</v>
      </c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60</v>
      </c>
      <c r="BQ90" s="1">
        <v>26</v>
      </c>
      <c r="BR90" s="17">
        <v>3</v>
      </c>
      <c r="BS90" s="17" t="s">
        <v>271</v>
      </c>
      <c r="BT90" s="1" t="str">
        <f>IF(AQ90&gt;AQ$145, AQ90-AQ$145,"")</f>
        <v/>
      </c>
      <c r="BU90" s="1">
        <f>IF(AR90&gt;AR$145, AR90-AR$145,"")</f>
        <v>9</v>
      </c>
      <c r="BV90" s="1" t="str">
        <f>IF(AS90&gt;AS$145, AS90-AS$145,"")</f>
        <v/>
      </c>
      <c r="BW90" s="1" t="str">
        <f>IF(AT90&gt;AT$145, AT90-AT$145,"")</f>
        <v/>
      </c>
      <c r="BX90" s="1" t="str">
        <f>IF(AU90&gt;AU$145, AU90-AU$145,"")</f>
        <v/>
      </c>
      <c r="BY90" s="1" t="str">
        <f>IF(AV90&gt;AV$145, AV90-AV$145,"")</f>
        <v/>
      </c>
      <c r="BZ90" s="1" t="str">
        <f>IF(AW90&gt;AW$145, AW90-AW$145,"")</f>
        <v/>
      </c>
      <c r="CA90" s="1" t="str">
        <f>IF(AX90&gt;AX$145, AX90-AX$145,"")</f>
        <v/>
      </c>
      <c r="CB90" s="1" t="str">
        <f>IF(AY90&gt;AY$145, AY90-AY$145,"")</f>
        <v/>
      </c>
      <c r="CC90" s="1" t="str">
        <f>IF(AZ90&gt;AZ$145, AZ90-AZ$145,"")</f>
        <v/>
      </c>
      <c r="CD90" s="1" t="str">
        <f>IF(BA90&gt;BA$145, BA90-BA$145,"")</f>
        <v/>
      </c>
      <c r="CE90" s="1" t="str">
        <f>IF(BB90&gt;BB$145, BB90-BB$145,"")</f>
        <v/>
      </c>
      <c r="CF90" s="1">
        <f>COUNTIF(BT90:CE90, "&gt;0")</f>
        <v>1</v>
      </c>
      <c r="CG90" s="1" t="str">
        <f>IF($CF90=1,BT90,"")</f>
        <v/>
      </c>
      <c r="CH90" s="1">
        <f>IF($CF90=1,BU90,"")</f>
        <v>9</v>
      </c>
      <c r="CI90" s="1" t="str">
        <f>IF($CF90=1,BV90,"")</f>
        <v/>
      </c>
      <c r="CJ90" s="1" t="str">
        <f>IF($CF90=1,BW90,"")</f>
        <v/>
      </c>
      <c r="CK90" s="1" t="str">
        <f>IF($CF90=1,BX90,"")</f>
        <v/>
      </c>
      <c r="CL90" s="1" t="str">
        <f>IF($CF90=1,BY90,"")</f>
        <v/>
      </c>
      <c r="CM90" s="1" t="str">
        <f>IF($CF90=1,BZ90,"")</f>
        <v/>
      </c>
      <c r="CN90" s="1" t="str">
        <f>IF($CF90=1,CA90,"")</f>
        <v/>
      </c>
      <c r="CO90" s="1" t="str">
        <f>IF($CF90=1,CB90,"")</f>
        <v/>
      </c>
      <c r="CP90" s="1" t="str">
        <f>IF($CF90=1,CC90,"")</f>
        <v/>
      </c>
      <c r="CQ90" s="1" t="str">
        <f>IF($CF90=1,CD90,"")</f>
        <v/>
      </c>
      <c r="CR90" s="1" t="str">
        <f>IF($CF90=1,CE90,"")</f>
        <v/>
      </c>
      <c r="CS90" s="18">
        <f>SUM(AE90:BO90)</f>
        <v>40</v>
      </c>
    </row>
    <row r="91" spans="1:97" ht="40.5" x14ac:dyDescent="0.15">
      <c r="A91" s="1"/>
      <c r="B91" s="1" t="s">
        <v>172</v>
      </c>
      <c r="C91" s="1" t="s">
        <v>31</v>
      </c>
      <c r="D91" s="1" t="s">
        <v>165</v>
      </c>
      <c r="E91" s="6">
        <v>20</v>
      </c>
      <c r="F91" s="6"/>
      <c r="G91" s="6"/>
      <c r="H91" s="6"/>
      <c r="I91" s="6">
        <v>20</v>
      </c>
      <c r="J91" s="6">
        <v>20</v>
      </c>
      <c r="K91" s="6"/>
      <c r="L91" s="6"/>
      <c r="M91" s="6"/>
      <c r="N91" s="6"/>
      <c r="O91" s="6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60</v>
      </c>
      <c r="BQ91" s="1">
        <v>27</v>
      </c>
      <c r="BR91" s="17">
        <v>3</v>
      </c>
      <c r="BS91" s="17" t="s">
        <v>255</v>
      </c>
      <c r="BT91" s="1" t="str">
        <f>IF(AQ91&gt;AQ$145, AQ91-AQ$145,"")</f>
        <v/>
      </c>
      <c r="BU91" s="1" t="str">
        <f>IF(AR91&gt;AR$145, AR91-AR$145,"")</f>
        <v/>
      </c>
      <c r="BV91" s="1" t="str">
        <f>IF(AS91&gt;AS$145, AS91-AS$145,"")</f>
        <v/>
      </c>
      <c r="BW91" s="1" t="str">
        <f>IF(AT91&gt;AT$145, AT91-AT$145,"")</f>
        <v/>
      </c>
      <c r="BX91" s="1" t="str">
        <f>IF(AU91&gt;AU$145, AU91-AU$145,"")</f>
        <v/>
      </c>
      <c r="BY91" s="1" t="str">
        <f>IF(AV91&gt;AV$145, AV91-AV$145,"")</f>
        <v/>
      </c>
      <c r="BZ91" s="1" t="str">
        <f>IF(AW91&gt;AW$145, AW91-AW$145,"")</f>
        <v/>
      </c>
      <c r="CA91" s="1" t="str">
        <f>IF(AX91&gt;AX$145, AX91-AX$145,"")</f>
        <v/>
      </c>
      <c r="CB91" s="1" t="str">
        <f>IF(AY91&gt;AY$145, AY91-AY$145,"")</f>
        <v/>
      </c>
      <c r="CC91" s="1" t="str">
        <f>IF(AZ91&gt;AZ$145, AZ91-AZ$145,"")</f>
        <v/>
      </c>
      <c r="CD91" s="1" t="str">
        <f>IF(BA91&gt;BA$145, BA91-BA$145,"")</f>
        <v/>
      </c>
      <c r="CE91" s="1" t="str">
        <f>IF(BB91&gt;BB$145, BB91-BB$145,"")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8"/>
    </row>
    <row r="92" spans="1:97" ht="40.5" x14ac:dyDescent="0.15">
      <c r="A92" s="1"/>
      <c r="B92" s="1" t="s">
        <v>187</v>
      </c>
      <c r="C92" s="1" t="s">
        <v>122</v>
      </c>
      <c r="D92" s="1" t="s">
        <v>112</v>
      </c>
      <c r="E92" s="6">
        <v>10</v>
      </c>
      <c r="F92" s="6"/>
      <c r="G92" s="6">
        <v>10</v>
      </c>
      <c r="H92" s="6"/>
      <c r="I92" s="6"/>
      <c r="J92" s="6"/>
      <c r="K92" s="6"/>
      <c r="L92" s="6"/>
      <c r="M92" s="6"/>
      <c r="N92" s="6"/>
      <c r="O92" s="6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>
        <v>10</v>
      </c>
      <c r="AS92" s="4"/>
      <c r="AT92" s="4"/>
      <c r="AU92" s="4"/>
      <c r="AV92" s="4"/>
      <c r="AW92" s="2"/>
      <c r="AX92" s="2"/>
      <c r="AY92" s="2"/>
      <c r="AZ92" s="2"/>
      <c r="BA92" s="2"/>
      <c r="BB92" s="2">
        <v>10</v>
      </c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27</v>
      </c>
      <c r="BR92" s="17">
        <v>3</v>
      </c>
      <c r="BS92" s="17" t="s">
        <v>274</v>
      </c>
      <c r="BT92" s="1" t="str">
        <f>IF(AQ92&gt;AQ$145, AQ92-AQ$145,"")</f>
        <v/>
      </c>
      <c r="BU92" s="1">
        <f>IF(AR92&gt;AR$145, AR92-AR$145,"")</f>
        <v>9</v>
      </c>
      <c r="BV92" s="1" t="str">
        <f>IF(AS92&gt;AS$145, AS92-AS$145,"")</f>
        <v/>
      </c>
      <c r="BW92" s="1" t="str">
        <f>IF(AT92&gt;AT$145, AT92-AT$145,"")</f>
        <v/>
      </c>
      <c r="BX92" s="1" t="str">
        <f>IF(AU92&gt;AU$145, AU92-AU$145,"")</f>
        <v/>
      </c>
      <c r="BY92" s="1" t="str">
        <f>IF(AV92&gt;AV$145, AV92-AV$145,"")</f>
        <v/>
      </c>
      <c r="BZ92" s="1" t="str">
        <f>IF(AW92&gt;AW$145, AW92-AW$145,"")</f>
        <v/>
      </c>
      <c r="CA92" s="1" t="str">
        <f>IF(AX92&gt;AX$145, AX92-AX$145,"")</f>
        <v/>
      </c>
      <c r="CB92" s="1" t="str">
        <f>IF(AY92&gt;AY$145, AY92-AY$145,"")</f>
        <v/>
      </c>
      <c r="CC92" s="1" t="str">
        <f>IF(AZ92&gt;AZ$145, AZ92-AZ$145,"")</f>
        <v/>
      </c>
      <c r="CD92" s="1" t="str">
        <f>IF(BA92&gt;BA$145, BA92-BA$145,"")</f>
        <v/>
      </c>
      <c r="CE92" s="1" t="str">
        <f>IF(BB92&gt;BB$145, BB92-BB$145,"")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8"/>
    </row>
    <row r="93" spans="1:97" ht="40.5" x14ac:dyDescent="0.15">
      <c r="A93" s="1"/>
      <c r="B93" s="1" t="s">
        <v>185</v>
      </c>
      <c r="C93" s="1" t="s">
        <v>157</v>
      </c>
      <c r="D93" s="1" t="s">
        <v>131</v>
      </c>
      <c r="E93" s="6">
        <v>10</v>
      </c>
      <c r="F93" s="6"/>
      <c r="G93" s="6">
        <v>10</v>
      </c>
      <c r="H93" s="6"/>
      <c r="I93" s="6"/>
      <c r="J93" s="6"/>
      <c r="K93" s="6"/>
      <c r="L93" s="6"/>
      <c r="M93" s="6"/>
      <c r="N93" s="6"/>
      <c r="O93" s="6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>
        <v>10</v>
      </c>
      <c r="AS93" s="4"/>
      <c r="AT93" s="4"/>
      <c r="AU93" s="4"/>
      <c r="AV93" s="4"/>
      <c r="AW93" s="2"/>
      <c r="AX93" s="2"/>
      <c r="AY93" s="2"/>
      <c r="AZ93" s="2"/>
      <c r="BA93" s="2"/>
      <c r="BB93" s="2">
        <v>10</v>
      </c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40</v>
      </c>
      <c r="BQ93" s="1">
        <v>27</v>
      </c>
      <c r="BR93" s="17">
        <v>3</v>
      </c>
      <c r="BS93" s="17" t="s">
        <v>275</v>
      </c>
      <c r="BT93" s="1" t="str">
        <f>IF(AQ93&gt;AQ$145, AQ93-AQ$145,"")</f>
        <v/>
      </c>
      <c r="BU93" s="1">
        <f>IF(AR93&gt;AR$145, AR93-AR$145,"")</f>
        <v>9</v>
      </c>
      <c r="BV93" s="1" t="str">
        <f>IF(AS93&gt;AS$145, AS93-AS$145,"")</f>
        <v/>
      </c>
      <c r="BW93" s="1" t="str">
        <f>IF(AT93&gt;AT$145, AT93-AT$145,"")</f>
        <v/>
      </c>
      <c r="BX93" s="1" t="str">
        <f>IF(AU93&gt;AU$145, AU93-AU$145,"")</f>
        <v/>
      </c>
      <c r="BY93" s="1" t="str">
        <f>IF(AV93&gt;AV$145, AV93-AV$145,"")</f>
        <v/>
      </c>
      <c r="BZ93" s="1" t="str">
        <f>IF(AW93&gt;AW$145, AW93-AW$145,"")</f>
        <v/>
      </c>
      <c r="CA93" s="1" t="str">
        <f>IF(AX93&gt;AX$145, AX93-AX$145,"")</f>
        <v/>
      </c>
      <c r="CB93" s="1" t="str">
        <f>IF(AY93&gt;AY$145, AY93-AY$145,"")</f>
        <v/>
      </c>
      <c r="CC93" s="1" t="str">
        <f>IF(AZ93&gt;AZ$145, AZ93-AZ$145,"")</f>
        <v/>
      </c>
      <c r="CD93" s="1" t="str">
        <f>IF(BA93&gt;BA$145, BA93-BA$145,"")</f>
        <v/>
      </c>
      <c r="CE93" s="1" t="str">
        <f>IF(BB93&gt;BB$145, BB93-BB$145,"")</f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8"/>
    </row>
    <row r="94" spans="1:97" ht="40.5" x14ac:dyDescent="0.15">
      <c r="A94" s="1"/>
      <c r="B94" s="1" t="s">
        <v>189</v>
      </c>
      <c r="C94" s="1" t="s">
        <v>151</v>
      </c>
      <c r="D94" s="1" t="s">
        <v>130</v>
      </c>
      <c r="E94" s="6">
        <v>15</v>
      </c>
      <c r="F94" s="6"/>
      <c r="G94" s="6"/>
      <c r="H94" s="6"/>
      <c r="I94" s="6"/>
      <c r="J94" s="6"/>
      <c r="K94" s="6"/>
      <c r="L94" s="6"/>
      <c r="M94" s="6">
        <v>15</v>
      </c>
      <c r="N94" s="6"/>
      <c r="O94" s="6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>
        <v>15</v>
      </c>
      <c r="AX94" s="2"/>
      <c r="AY94" s="2"/>
      <c r="AZ94" s="2"/>
      <c r="BA94" s="2">
        <v>15</v>
      </c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60</v>
      </c>
      <c r="BQ94" s="1">
        <v>38</v>
      </c>
      <c r="BR94" s="17">
        <v>3</v>
      </c>
      <c r="BS94" s="17" t="s">
        <v>299</v>
      </c>
      <c r="BT94" s="1" t="str">
        <f>IF(AQ94&gt;AQ$145, AQ94-AQ$145,"")</f>
        <v/>
      </c>
      <c r="BU94" s="1" t="str">
        <f>IF(AR94&gt;AR$145, AR94-AR$145,"")</f>
        <v/>
      </c>
      <c r="BV94" s="1" t="str">
        <f>IF(AS94&gt;AS$145, AS94-AS$145,"")</f>
        <v/>
      </c>
      <c r="BW94" s="1" t="str">
        <f>IF(AT94&gt;AT$145, AT94-AT$145,"")</f>
        <v/>
      </c>
      <c r="BX94" s="1" t="str">
        <f>IF(AU94&gt;AU$145, AU94-AU$145,"")</f>
        <v/>
      </c>
      <c r="BY94" s="1" t="str">
        <f>IF(AV94&gt;AV$145, AV94-AV$145,"")</f>
        <v/>
      </c>
      <c r="BZ94" s="1" t="str">
        <f>IF(AW94&gt;AW$145, AW94-AW$145,"")</f>
        <v/>
      </c>
      <c r="CA94" s="1" t="str">
        <f>IF(AX94&gt;AX$145, AX94-AX$145,"")</f>
        <v/>
      </c>
      <c r="CB94" s="1" t="str">
        <f>IF(AY94&gt;AY$145, AY94-AY$145,"")</f>
        <v/>
      </c>
      <c r="CC94" s="1" t="str">
        <f>IF(AZ94&gt;AZ$145, AZ94-AZ$145,"")</f>
        <v/>
      </c>
      <c r="CD94" s="1">
        <f>IF(BA94&gt;BA$145, BA94-BA$145,"")</f>
        <v>12</v>
      </c>
      <c r="CE94" s="1" t="str">
        <f>IF(BB94&gt;BB$145, BB94-BB$145,"")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8"/>
    </row>
    <row r="95" spans="1:97" ht="40.5" x14ac:dyDescent="0.15">
      <c r="A95" s="1">
        <v>3</v>
      </c>
      <c r="B95" s="1" t="s">
        <v>11</v>
      </c>
      <c r="C95" s="1" t="s">
        <v>2</v>
      </c>
      <c r="D95" s="1" t="s">
        <v>12</v>
      </c>
      <c r="E95" s="6">
        <v>15</v>
      </c>
      <c r="F95" s="6"/>
      <c r="G95" s="6">
        <v>15</v>
      </c>
      <c r="H95" s="6"/>
      <c r="I95" s="6"/>
      <c r="J95" s="6"/>
      <c r="K95" s="6"/>
      <c r="L95" s="6"/>
      <c r="M95" s="6"/>
      <c r="N95" s="6"/>
      <c r="O95" s="6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>
        <v>15</v>
      </c>
      <c r="AS95" s="4"/>
      <c r="AT95" s="4"/>
      <c r="AU95" s="4"/>
      <c r="AV95" s="4"/>
      <c r="AW95" s="2"/>
      <c r="AX95" s="2"/>
      <c r="AY95" s="2"/>
      <c r="AZ95" s="2"/>
      <c r="BA95" s="2"/>
      <c r="BB95" s="2">
        <v>15</v>
      </c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60</v>
      </c>
      <c r="BQ95" s="1">
        <v>42</v>
      </c>
      <c r="BR95" s="17">
        <v>3</v>
      </c>
      <c r="BS95" s="17" t="s">
        <v>297</v>
      </c>
      <c r="BT95" s="1" t="str">
        <f>IF(AQ95&gt;AQ$145, AQ95-AQ$145,"")</f>
        <v/>
      </c>
      <c r="BU95" s="1">
        <f>IF(AR95&gt;AR$145, AR95-AR$145,"")</f>
        <v>14</v>
      </c>
      <c r="BV95" s="1" t="str">
        <f>IF(AS95&gt;AS$145, AS95-AS$145,"")</f>
        <v/>
      </c>
      <c r="BW95" s="1" t="str">
        <f>IF(AT95&gt;AT$145, AT95-AT$145,"")</f>
        <v/>
      </c>
      <c r="BX95" s="1" t="str">
        <f>IF(AU95&gt;AU$145, AU95-AU$145,"")</f>
        <v/>
      </c>
      <c r="BY95" s="1" t="str">
        <f>IF(AV95&gt;AV$145, AV95-AV$145,"")</f>
        <v/>
      </c>
      <c r="BZ95" s="1" t="str">
        <f>IF(AW95&gt;AW$145, AW95-AW$145,"")</f>
        <v/>
      </c>
      <c r="CA95" s="1" t="str">
        <f>IF(AX95&gt;AX$145, AX95-AX$145,"")</f>
        <v/>
      </c>
      <c r="CB95" s="1" t="str">
        <f>IF(AY95&gt;AY$145, AY95-AY$145,"")</f>
        <v/>
      </c>
      <c r="CC95" s="1" t="str">
        <f>IF(AZ95&gt;AZ$145, AZ95-AZ$145,"")</f>
        <v/>
      </c>
      <c r="CD95" s="1" t="str">
        <f>IF(BA95&gt;BA$145, BA95-BA$145,"")</f>
        <v/>
      </c>
      <c r="CE95" s="1" t="str">
        <f>IF(BB95&gt;BB$145, BB95-BB$145,"")</f>
        <v/>
      </c>
      <c r="CF95" s="1">
        <f>COUNTIF(BT95:CE95, "&gt;0")</f>
        <v>1</v>
      </c>
      <c r="CG95" s="1" t="str">
        <f>IF($CF95=1,BT95,"")</f>
        <v/>
      </c>
      <c r="CH95" s="1">
        <f>IF($CF95=1,BU95,"")</f>
        <v>14</v>
      </c>
      <c r="CI95" s="1" t="str">
        <f>IF($CF95=1,BV95,"")</f>
        <v/>
      </c>
      <c r="CJ95" s="1" t="str">
        <f>IF($CF95=1,BW95,"")</f>
        <v/>
      </c>
      <c r="CK95" s="1" t="str">
        <f>IF($CF95=1,BX95,"")</f>
        <v/>
      </c>
      <c r="CL95" s="1" t="str">
        <f>IF($CF95=1,BY95,"")</f>
        <v/>
      </c>
      <c r="CM95" s="1" t="str">
        <f>IF($CF95=1,BZ95,"")</f>
        <v/>
      </c>
      <c r="CN95" s="1" t="str">
        <f>IF($CF95=1,CA95,"")</f>
        <v/>
      </c>
      <c r="CO95" s="1" t="str">
        <f>IF($CF95=1,CB95,"")</f>
        <v/>
      </c>
      <c r="CP95" s="1" t="str">
        <f>IF($CF95=1,CC95,"")</f>
        <v/>
      </c>
      <c r="CQ95" s="1" t="str">
        <f>IF($CF95=1,CD95,"")</f>
        <v/>
      </c>
      <c r="CR95" s="1" t="str">
        <f>IF($CF95=1,CE95,"")</f>
        <v/>
      </c>
      <c r="CS95" s="18">
        <f>SUM(AE95:BO95)</f>
        <v>30</v>
      </c>
    </row>
    <row r="96" spans="1:97" ht="40.5" x14ac:dyDescent="0.15">
      <c r="A96" s="1"/>
      <c r="B96" s="1" t="s">
        <v>181</v>
      </c>
      <c r="C96" s="1" t="s">
        <v>122</v>
      </c>
      <c r="D96" s="1" t="s">
        <v>111</v>
      </c>
      <c r="E96" s="6">
        <v>15</v>
      </c>
      <c r="F96" s="6"/>
      <c r="G96" s="6">
        <v>15</v>
      </c>
      <c r="H96" s="6"/>
      <c r="I96" s="6"/>
      <c r="J96" s="6"/>
      <c r="K96" s="6"/>
      <c r="L96" s="6"/>
      <c r="M96" s="6"/>
      <c r="N96" s="6"/>
      <c r="O96" s="6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>
        <v>15</v>
      </c>
      <c r="AS96" s="4"/>
      <c r="AT96" s="4"/>
      <c r="AU96" s="4"/>
      <c r="AV96" s="4"/>
      <c r="AW96" s="2"/>
      <c r="AX96" s="2"/>
      <c r="AY96" s="2"/>
      <c r="AZ96" s="2"/>
      <c r="BA96" s="2"/>
      <c r="BB96" s="2">
        <v>15</v>
      </c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60</v>
      </c>
      <c r="BQ96" s="1">
        <v>42</v>
      </c>
      <c r="BR96" s="17">
        <v>3</v>
      </c>
      <c r="BS96" s="17" t="s">
        <v>298</v>
      </c>
      <c r="BT96" s="1" t="str">
        <f>IF(AQ96&gt;AQ$145, AQ96-AQ$145,"")</f>
        <v/>
      </c>
      <c r="BU96" s="1">
        <f>IF(AR96&gt;AR$145, AR96-AR$145,"")</f>
        <v>14</v>
      </c>
      <c r="BV96" s="1" t="str">
        <f>IF(AS96&gt;AS$145, AS96-AS$145,"")</f>
        <v/>
      </c>
      <c r="BW96" s="1" t="str">
        <f>IF(AT96&gt;AT$145, AT96-AT$145,"")</f>
        <v/>
      </c>
      <c r="BX96" s="1" t="str">
        <f>IF(AU96&gt;AU$145, AU96-AU$145,"")</f>
        <v/>
      </c>
      <c r="BY96" s="1" t="str">
        <f>IF(AV96&gt;AV$145, AV96-AV$145,"")</f>
        <v/>
      </c>
      <c r="BZ96" s="1" t="str">
        <f>IF(AW96&gt;AW$145, AW96-AW$145,"")</f>
        <v/>
      </c>
      <c r="CA96" s="1" t="str">
        <f>IF(AX96&gt;AX$145, AX96-AX$145,"")</f>
        <v/>
      </c>
      <c r="CB96" s="1" t="str">
        <f>IF(AY96&gt;AY$145, AY96-AY$145,"")</f>
        <v/>
      </c>
      <c r="CC96" s="1" t="str">
        <f>IF(AZ96&gt;AZ$145, AZ96-AZ$145,"")</f>
        <v/>
      </c>
      <c r="CD96" s="1" t="str">
        <f>IF(BA96&gt;BA$145, BA96-BA$145,"")</f>
        <v/>
      </c>
      <c r="CE96" s="1" t="str">
        <f>IF(BB96&gt;BB$145, BB96-BB$145,"")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8"/>
    </row>
    <row r="97" spans="1:97" ht="40.5" x14ac:dyDescent="0.15">
      <c r="A97" s="1"/>
      <c r="B97" s="1" t="s">
        <v>183</v>
      </c>
      <c r="C97" s="1" t="s">
        <v>122</v>
      </c>
      <c r="D97" s="1" t="s">
        <v>111</v>
      </c>
      <c r="E97" s="6">
        <v>15</v>
      </c>
      <c r="F97" s="6"/>
      <c r="G97" s="6">
        <v>15</v>
      </c>
      <c r="H97" s="6"/>
      <c r="I97" s="6"/>
      <c r="J97" s="6"/>
      <c r="K97" s="6"/>
      <c r="L97" s="6"/>
      <c r="M97" s="6"/>
      <c r="N97" s="6"/>
      <c r="O97" s="6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>
        <v>15</v>
      </c>
      <c r="AS97" s="4"/>
      <c r="AT97" s="4"/>
      <c r="AU97" s="4"/>
      <c r="AV97" s="4"/>
      <c r="AW97" s="2"/>
      <c r="AX97" s="2"/>
      <c r="AY97" s="2"/>
      <c r="AZ97" s="2"/>
      <c r="BA97" s="2"/>
      <c r="BB97" s="2">
        <v>15</v>
      </c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60</v>
      </c>
      <c r="BQ97" s="1">
        <v>42</v>
      </c>
      <c r="BR97" s="17">
        <v>3</v>
      </c>
      <c r="BS97" s="17" t="s">
        <v>297</v>
      </c>
      <c r="BT97" s="1" t="str">
        <f>IF(AQ97&gt;AQ$145, AQ97-AQ$145,"")</f>
        <v/>
      </c>
      <c r="BU97" s="1">
        <f>IF(AR97&gt;AR$145, AR97-AR$145,"")</f>
        <v>14</v>
      </c>
      <c r="BV97" s="1" t="str">
        <f>IF(AS97&gt;AS$145, AS97-AS$145,"")</f>
        <v/>
      </c>
      <c r="BW97" s="1" t="str">
        <f>IF(AT97&gt;AT$145, AT97-AT$145,"")</f>
        <v/>
      </c>
      <c r="BX97" s="1" t="str">
        <f>IF(AU97&gt;AU$145, AU97-AU$145,"")</f>
        <v/>
      </c>
      <c r="BY97" s="1" t="str">
        <f>IF(AV97&gt;AV$145, AV97-AV$145,"")</f>
        <v/>
      </c>
      <c r="BZ97" s="1" t="str">
        <f>IF(AW97&gt;AW$145, AW97-AW$145,"")</f>
        <v/>
      </c>
      <c r="CA97" s="1" t="str">
        <f>IF(AX97&gt;AX$145, AX97-AX$145,"")</f>
        <v/>
      </c>
      <c r="CB97" s="1" t="str">
        <f>IF(AY97&gt;AY$145, AY97-AY$145,"")</f>
        <v/>
      </c>
      <c r="CC97" s="1" t="str">
        <f>IF(AZ97&gt;AZ$145, AZ97-AZ$145,"")</f>
        <v/>
      </c>
      <c r="CD97" s="1" t="str">
        <f>IF(BA97&gt;BA$145, BA97-BA$145,"")</f>
        <v/>
      </c>
      <c r="CE97" s="1" t="str">
        <f>IF(BB97&gt;BB$145, BB97-BB$145,"")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8"/>
    </row>
    <row r="98" spans="1:97" ht="40.5" x14ac:dyDescent="0.15">
      <c r="A98" s="1">
        <v>78</v>
      </c>
      <c r="B98" s="3" t="s">
        <v>69</v>
      </c>
      <c r="C98" s="3" t="s">
        <v>67</v>
      </c>
      <c r="D98" s="1" t="s">
        <v>1</v>
      </c>
      <c r="E98" s="6"/>
      <c r="F98" s="6"/>
      <c r="G98" s="6">
        <v>15</v>
      </c>
      <c r="H98" s="6">
        <v>15</v>
      </c>
      <c r="I98" s="6"/>
      <c r="J98" s="6"/>
      <c r="K98" s="6"/>
      <c r="L98" s="6"/>
      <c r="M98" s="6"/>
      <c r="N98" s="6"/>
      <c r="O98" s="6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>
        <v>15</v>
      </c>
      <c r="BB98" s="2">
        <v>15</v>
      </c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60</v>
      </c>
      <c r="BQ98" s="1">
        <v>42</v>
      </c>
      <c r="BR98" s="17">
        <v>3</v>
      </c>
      <c r="BS98" s="17" t="s">
        <v>302</v>
      </c>
      <c r="BT98" s="1" t="str">
        <f>IF(AQ98&gt;AQ$145, AQ98-AQ$145,"")</f>
        <v/>
      </c>
      <c r="BU98" s="1" t="str">
        <f>IF(AR98&gt;AR$145, AR98-AR$145,"")</f>
        <v/>
      </c>
      <c r="BV98" s="1" t="str">
        <f>IF(AS98&gt;AS$145, AS98-AS$145,"")</f>
        <v/>
      </c>
      <c r="BW98" s="1" t="str">
        <f>IF(AT98&gt;AT$145, AT98-AT$145,"")</f>
        <v/>
      </c>
      <c r="BX98" s="1" t="str">
        <f>IF(AU98&gt;AU$145, AU98-AU$145,"")</f>
        <v/>
      </c>
      <c r="BY98" s="1" t="str">
        <f>IF(AV98&gt;AV$145, AV98-AV$145,"")</f>
        <v/>
      </c>
      <c r="BZ98" s="1" t="str">
        <f>IF(AW98&gt;AW$145, AW98-AW$145,"")</f>
        <v/>
      </c>
      <c r="CA98" s="1" t="str">
        <f>IF(AX98&gt;AX$145, AX98-AX$145,"")</f>
        <v/>
      </c>
      <c r="CB98" s="1" t="str">
        <f>IF(AY98&gt;AY$145, AY98-AY$145,"")</f>
        <v/>
      </c>
      <c r="CC98" s="1" t="str">
        <f>IF(AZ98&gt;AZ$145, AZ98-AZ$145,"")</f>
        <v/>
      </c>
      <c r="CD98" s="1">
        <f>IF(BA98&gt;BA$145, BA98-BA$145,"")</f>
        <v>12</v>
      </c>
      <c r="CE98" s="1" t="str">
        <f>IF(BB98&gt;BB$145, BB98-BB$145,"")</f>
        <v/>
      </c>
      <c r="CF98" s="1">
        <f>COUNTIF(BT98:CE98, "&gt;0")</f>
        <v>1</v>
      </c>
      <c r="CG98" s="1" t="str">
        <f>IF($CF98=1,BT98,"")</f>
        <v/>
      </c>
      <c r="CH98" s="1" t="str">
        <f>IF($CF98=1,BU98,"")</f>
        <v/>
      </c>
      <c r="CI98" s="1" t="str">
        <f>IF($CF98=1,BV98,"")</f>
        <v/>
      </c>
      <c r="CJ98" s="1" t="str">
        <f>IF($CF98=1,BW98,"")</f>
        <v/>
      </c>
      <c r="CK98" s="1" t="str">
        <f>IF($CF98=1,BX98,"")</f>
        <v/>
      </c>
      <c r="CL98" s="1" t="str">
        <f>IF($CF98=1,BY98,"")</f>
        <v/>
      </c>
      <c r="CM98" s="1" t="str">
        <f>IF($CF98=1,BZ98,"")</f>
        <v/>
      </c>
      <c r="CN98" s="1" t="str">
        <f>IF($CF98=1,CA98,"")</f>
        <v/>
      </c>
      <c r="CO98" s="1" t="str">
        <f>IF($CF98=1,CB98,"")</f>
        <v/>
      </c>
      <c r="CP98" s="1" t="str">
        <f>IF($CF98=1,CC98,"")</f>
        <v/>
      </c>
      <c r="CQ98" s="1">
        <f>IF($CF98=1,CD98,"")</f>
        <v>12</v>
      </c>
      <c r="CR98" s="1" t="str">
        <f>IF($CF98=1,CE98,"")</f>
        <v/>
      </c>
      <c r="CS98" s="18">
        <f>SUM(AE98:BO98)</f>
        <v>30</v>
      </c>
    </row>
    <row r="99" spans="1:97" ht="40.5" x14ac:dyDescent="0.15">
      <c r="A99" s="1"/>
      <c r="B99" s="1" t="s">
        <v>193</v>
      </c>
      <c r="C99" s="1" t="s">
        <v>126</v>
      </c>
      <c r="D99" s="1" t="s">
        <v>111</v>
      </c>
      <c r="E99" s="6"/>
      <c r="F99" s="6"/>
      <c r="G99" s="6">
        <v>15</v>
      </c>
      <c r="H99" s="6">
        <v>15</v>
      </c>
      <c r="I99" s="6"/>
      <c r="J99" s="6"/>
      <c r="K99" s="6"/>
      <c r="L99" s="6"/>
      <c r="M99" s="6"/>
      <c r="N99" s="6"/>
      <c r="O99" s="6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>
        <v>15</v>
      </c>
      <c r="BB99" s="2">
        <v>15</v>
      </c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60</v>
      </c>
      <c r="BQ99" s="1">
        <v>42</v>
      </c>
      <c r="BR99" s="17">
        <v>3</v>
      </c>
      <c r="BS99" s="17" t="s">
        <v>303</v>
      </c>
      <c r="BT99" s="1" t="str">
        <f>IF(AQ99&gt;AQ$145, AQ99-AQ$145,"")</f>
        <v/>
      </c>
      <c r="BU99" s="1" t="str">
        <f>IF(AR99&gt;AR$145, AR99-AR$145,"")</f>
        <v/>
      </c>
      <c r="BV99" s="1" t="str">
        <f>IF(AS99&gt;AS$145, AS99-AS$145,"")</f>
        <v/>
      </c>
      <c r="BW99" s="1" t="str">
        <f>IF(AT99&gt;AT$145, AT99-AT$145,"")</f>
        <v/>
      </c>
      <c r="BX99" s="1" t="str">
        <f>IF(AU99&gt;AU$145, AU99-AU$145,"")</f>
        <v/>
      </c>
      <c r="BY99" s="1" t="str">
        <f>IF(AV99&gt;AV$145, AV99-AV$145,"")</f>
        <v/>
      </c>
      <c r="BZ99" s="1" t="str">
        <f>IF(AW99&gt;AW$145, AW99-AW$145,"")</f>
        <v/>
      </c>
      <c r="CA99" s="1" t="str">
        <f>IF(AX99&gt;AX$145, AX99-AX$145,"")</f>
        <v/>
      </c>
      <c r="CB99" s="1" t="str">
        <f>IF(AY99&gt;AY$145, AY99-AY$145,"")</f>
        <v/>
      </c>
      <c r="CC99" s="1" t="str">
        <f>IF(AZ99&gt;AZ$145, AZ99-AZ$145,"")</f>
        <v/>
      </c>
      <c r="CD99" s="1">
        <f>IF(BA99&gt;BA$145, BA99-BA$145,"")</f>
        <v>12</v>
      </c>
      <c r="CE99" s="1" t="str">
        <f>IF(BB99&gt;BB$145, BB99-BB$145,"")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8"/>
    </row>
    <row r="100" spans="1:97" ht="40.5" x14ac:dyDescent="0.15">
      <c r="A100" s="1">
        <v>14</v>
      </c>
      <c r="B100" s="1" t="s">
        <v>30</v>
      </c>
      <c r="C100" s="1" t="s">
        <v>31</v>
      </c>
      <c r="D100" s="1" t="s">
        <v>32</v>
      </c>
      <c r="E100" s="6"/>
      <c r="F100" s="6"/>
      <c r="G100" s="6">
        <v>15</v>
      </c>
      <c r="H100" s="6">
        <v>15</v>
      </c>
      <c r="I100" s="6"/>
      <c r="J100" s="6"/>
      <c r="K100" s="6"/>
      <c r="L100" s="6"/>
      <c r="M100" s="6"/>
      <c r="N100" s="6"/>
      <c r="O100" s="6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>
        <v>15</v>
      </c>
      <c r="AT100" s="4"/>
      <c r="AU100" s="4"/>
      <c r="AV100" s="4"/>
      <c r="AW100" s="2"/>
      <c r="AX100" s="2"/>
      <c r="AY100" s="2"/>
      <c r="AZ100" s="2"/>
      <c r="BA100" s="2"/>
      <c r="BB100" s="2">
        <v>15</v>
      </c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60</v>
      </c>
      <c r="BQ100" s="1">
        <v>43</v>
      </c>
      <c r="BR100" s="17">
        <v>3</v>
      </c>
      <c r="BS100" s="17" t="s">
        <v>301</v>
      </c>
      <c r="BT100" s="1" t="str">
        <f>IF(AQ100&gt;AQ$145, AQ100-AQ$145,"")</f>
        <v/>
      </c>
      <c r="BU100" s="1" t="str">
        <f>IF(AR100&gt;AR$145, AR100-AR$145,"")</f>
        <v/>
      </c>
      <c r="BV100" s="1">
        <f>IF(AS100&gt;AS$145, AS100-AS$145,"")</f>
        <v>13</v>
      </c>
      <c r="BW100" s="1" t="str">
        <f>IF(AT100&gt;AT$145, AT100-AT$145,"")</f>
        <v/>
      </c>
      <c r="BX100" s="1" t="str">
        <f>IF(AU100&gt;AU$145, AU100-AU$145,"")</f>
        <v/>
      </c>
      <c r="BY100" s="1" t="str">
        <f>IF(AV100&gt;AV$145, AV100-AV$145,"")</f>
        <v/>
      </c>
      <c r="BZ100" s="1" t="str">
        <f>IF(AW100&gt;AW$145, AW100-AW$145,"")</f>
        <v/>
      </c>
      <c r="CA100" s="1" t="str">
        <f>IF(AX100&gt;AX$145, AX100-AX$145,"")</f>
        <v/>
      </c>
      <c r="CB100" s="1" t="str">
        <f>IF(AY100&gt;AY$145, AY100-AY$145,"")</f>
        <v/>
      </c>
      <c r="CC100" s="1" t="str">
        <f>IF(AZ100&gt;AZ$145, AZ100-AZ$145,"")</f>
        <v/>
      </c>
      <c r="CD100" s="1" t="str">
        <f>IF(BA100&gt;BA$145, BA100-BA$145,"")</f>
        <v/>
      </c>
      <c r="CE100" s="1" t="str">
        <f>IF(BB100&gt;BB$145, BB100-BB$145,"")</f>
        <v/>
      </c>
      <c r="CF100" s="1">
        <f>COUNTIF(BT100:CE100, "&gt;0")</f>
        <v>1</v>
      </c>
      <c r="CG100" s="1" t="str">
        <f>IF($CF100=1,BT100,"")</f>
        <v/>
      </c>
      <c r="CH100" s="1" t="str">
        <f>IF($CF100=1,BU100,"")</f>
        <v/>
      </c>
      <c r="CI100" s="1">
        <f>IF($CF100=1,BV100,"")</f>
        <v>13</v>
      </c>
      <c r="CJ100" s="1" t="str">
        <f>IF($CF100=1,BW100,"")</f>
        <v/>
      </c>
      <c r="CK100" s="1" t="str">
        <f>IF($CF100=1,BX100,"")</f>
        <v/>
      </c>
      <c r="CL100" s="1" t="str">
        <f>IF($CF100=1,BY100,"")</f>
        <v/>
      </c>
      <c r="CM100" s="1" t="str">
        <f>IF($CF100=1,BZ100,"")</f>
        <v/>
      </c>
      <c r="CN100" s="1" t="str">
        <f>IF($CF100=1,CA100,"")</f>
        <v/>
      </c>
      <c r="CO100" s="1" t="str">
        <f>IF($CF100=1,CB100,"")</f>
        <v/>
      </c>
      <c r="CP100" s="1" t="str">
        <f>IF($CF100=1,CC100,"")</f>
        <v/>
      </c>
      <c r="CQ100" s="1" t="str">
        <f>IF($CF100=1,CD100,"")</f>
        <v/>
      </c>
      <c r="CR100" s="1" t="str">
        <f>IF($CF100=1,CE100,"")</f>
        <v/>
      </c>
      <c r="CS100" s="18">
        <f>SUM(AE100:BO100)</f>
        <v>30</v>
      </c>
    </row>
    <row r="101" spans="1:97" ht="40.5" x14ac:dyDescent="0.15">
      <c r="A101" s="1"/>
      <c r="B101" s="1" t="s">
        <v>113</v>
      </c>
      <c r="C101" s="1" t="s">
        <v>114</v>
      </c>
      <c r="D101" s="1" t="s">
        <v>111</v>
      </c>
      <c r="E101" s="6"/>
      <c r="F101" s="6"/>
      <c r="G101" s="6">
        <v>15</v>
      </c>
      <c r="H101" s="6">
        <v>15</v>
      </c>
      <c r="I101" s="6"/>
      <c r="J101" s="6"/>
      <c r="K101" s="6"/>
      <c r="L101" s="6"/>
      <c r="M101" s="6"/>
      <c r="N101" s="6"/>
      <c r="O101" s="6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>
        <v>15</v>
      </c>
      <c r="AT101" s="4"/>
      <c r="AU101" s="4"/>
      <c r="AV101" s="4"/>
      <c r="AW101" s="2"/>
      <c r="AX101" s="2"/>
      <c r="AY101" s="2"/>
      <c r="AZ101" s="2"/>
      <c r="BA101" s="2"/>
      <c r="BB101" s="2">
        <v>15</v>
      </c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60</v>
      </c>
      <c r="BQ101" s="1">
        <v>43</v>
      </c>
      <c r="BR101" s="17">
        <v>3</v>
      </c>
      <c r="BS101" s="17" t="s">
        <v>230</v>
      </c>
      <c r="BT101" s="1" t="str">
        <f>IF(AQ101&gt;AQ$145, AQ101-AQ$145,"")</f>
        <v/>
      </c>
      <c r="BU101" s="1" t="str">
        <f>IF(AR101&gt;AR$145, AR101-AR$145,"")</f>
        <v/>
      </c>
      <c r="BV101" s="1">
        <f>IF(AS101&gt;AS$145, AS101-AS$145,"")</f>
        <v>13</v>
      </c>
      <c r="BW101" s="1" t="str">
        <f>IF(AT101&gt;AT$145, AT101-AT$145,"")</f>
        <v/>
      </c>
      <c r="BX101" s="1" t="str">
        <f>IF(AU101&gt;AU$145, AU101-AU$145,"")</f>
        <v/>
      </c>
      <c r="BY101" s="1" t="str">
        <f>IF(AV101&gt;AV$145, AV101-AV$145,"")</f>
        <v/>
      </c>
      <c r="BZ101" s="1" t="str">
        <f>IF(AW101&gt;AW$145, AW101-AW$145,"")</f>
        <v/>
      </c>
      <c r="CA101" s="1" t="str">
        <f>IF(AX101&gt;AX$145, AX101-AX$145,"")</f>
        <v/>
      </c>
      <c r="CB101" s="1" t="str">
        <f>IF(AY101&gt;AY$145, AY101-AY$145,"")</f>
        <v/>
      </c>
      <c r="CC101" s="1" t="str">
        <f>IF(AZ101&gt;AZ$145, AZ101-AZ$145,"")</f>
        <v/>
      </c>
      <c r="CD101" s="1" t="str">
        <f>IF(BA101&gt;BA$145, BA101-BA$145,"")</f>
        <v/>
      </c>
      <c r="CE101" s="1" t="str">
        <f>IF(BB101&gt;BB$145, BB101-BB$145,"")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8"/>
    </row>
    <row r="102" spans="1:97" ht="40.5" x14ac:dyDescent="0.15">
      <c r="A102" s="1">
        <v>65</v>
      </c>
      <c r="B102" s="3" t="s">
        <v>64</v>
      </c>
      <c r="C102" s="1" t="s">
        <v>59</v>
      </c>
      <c r="D102" s="1" t="s">
        <v>13</v>
      </c>
      <c r="E102" s="6"/>
      <c r="F102" s="6"/>
      <c r="G102" s="6">
        <v>10</v>
      </c>
      <c r="H102" s="6"/>
      <c r="I102" s="6"/>
      <c r="J102" s="6"/>
      <c r="K102" s="6"/>
      <c r="L102" s="6"/>
      <c r="M102" s="6"/>
      <c r="N102" s="6"/>
      <c r="O102" s="6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1"/>
      <c r="AF102" s="1"/>
      <c r="AG102" s="1"/>
      <c r="AH102" s="1"/>
      <c r="AI102" s="1"/>
      <c r="AJ102" s="1"/>
      <c r="AK102" s="1"/>
      <c r="AL102" s="1"/>
      <c r="AM102" s="1"/>
      <c r="AN102" s="1">
        <v>25</v>
      </c>
      <c r="AO102" s="1"/>
      <c r="AP102" s="1"/>
      <c r="AQ102" s="4"/>
      <c r="AR102" s="4"/>
      <c r="AS102" s="4"/>
      <c r="AT102" s="4"/>
      <c r="AU102" s="4"/>
      <c r="AV102" s="4">
        <v>10</v>
      </c>
      <c r="AW102" s="2"/>
      <c r="AX102" s="2"/>
      <c r="AY102" s="2"/>
      <c r="AZ102" s="2">
        <v>10</v>
      </c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55</v>
      </c>
      <c r="BQ102" s="1">
        <v>45</v>
      </c>
      <c r="BR102" s="17">
        <v>3</v>
      </c>
      <c r="BS102" s="17" t="s">
        <v>315</v>
      </c>
      <c r="BT102" s="1" t="str">
        <f>IF(AQ102&gt;AQ$145, AQ102-AQ$145,"")</f>
        <v/>
      </c>
      <c r="BU102" s="1" t="str">
        <f>IF(AR102&gt;AR$145, AR102-AR$145,"")</f>
        <v/>
      </c>
      <c r="BV102" s="1" t="str">
        <f>IF(AS102&gt;AS$145, AS102-AS$145,"")</f>
        <v/>
      </c>
      <c r="BW102" s="1" t="str">
        <f>IF(AT102&gt;AT$145, AT102-AT$145,"")</f>
        <v/>
      </c>
      <c r="BX102" s="1" t="str">
        <f>IF(AU102&gt;AU$145, AU102-AU$145,"")</f>
        <v/>
      </c>
      <c r="BY102" s="1" t="str">
        <f>IF(AV102&gt;AV$145, AV102-AV$145,"")</f>
        <v/>
      </c>
      <c r="BZ102" s="1" t="str">
        <f>IF(AW102&gt;AW$145, AW102-AW$145,"")</f>
        <v/>
      </c>
      <c r="CA102" s="1" t="str">
        <f>IF(AX102&gt;AX$145, AX102-AX$145,"")</f>
        <v/>
      </c>
      <c r="CB102" s="1" t="str">
        <f>IF(AY102&gt;AY$145, AY102-AY$145,"")</f>
        <v/>
      </c>
      <c r="CC102" s="1">
        <f>IF(AZ102&gt;AZ$145, AZ102-AZ$145,"")</f>
        <v>10</v>
      </c>
      <c r="CD102" s="1" t="str">
        <f>IF(BA102&gt;BA$145, BA102-BA$145,"")</f>
        <v/>
      </c>
      <c r="CE102" s="1" t="str">
        <f>IF(BB102&gt;BB$145, BB102-BB$145,"")</f>
        <v/>
      </c>
      <c r="CF102" s="1">
        <f>COUNTIF(BT102:CE102, "&gt;0")</f>
        <v>1</v>
      </c>
      <c r="CG102" s="1" t="str">
        <f>IF($CF102=1,BT102,"")</f>
        <v/>
      </c>
      <c r="CH102" s="1" t="str">
        <f>IF($CF102=1,BU102,"")</f>
        <v/>
      </c>
      <c r="CI102" s="1" t="str">
        <f>IF($CF102=1,BV102,"")</f>
        <v/>
      </c>
      <c r="CJ102" s="1" t="str">
        <f>IF($CF102=1,BW102,"")</f>
        <v/>
      </c>
      <c r="CK102" s="1" t="str">
        <f>IF($CF102=1,BX102,"")</f>
        <v/>
      </c>
      <c r="CL102" s="1" t="str">
        <f>IF($CF102=1,BY102,"")</f>
        <v/>
      </c>
      <c r="CM102" s="1" t="str">
        <f>IF($CF102=1,BZ102,"")</f>
        <v/>
      </c>
      <c r="CN102" s="1" t="str">
        <f>IF($CF102=1,CA102,"")</f>
        <v/>
      </c>
      <c r="CO102" s="1" t="str">
        <f>IF($CF102=1,CB102,"")</f>
        <v/>
      </c>
      <c r="CP102" s="1">
        <f>IF($CF102=1,CC102,"")</f>
        <v>10</v>
      </c>
      <c r="CQ102" s="1" t="str">
        <f>IF($CF102=1,CD102,"")</f>
        <v/>
      </c>
      <c r="CR102" s="1" t="str">
        <f>IF($CF102=1,CE102,"")</f>
        <v/>
      </c>
      <c r="CS102" s="18">
        <f>SUM(AE102:BO102)</f>
        <v>45</v>
      </c>
    </row>
    <row r="103" spans="1:97" ht="40.5" x14ac:dyDescent="0.15">
      <c r="A103" s="19">
        <v>93</v>
      </c>
      <c r="B103" s="27" t="s">
        <v>242</v>
      </c>
      <c r="C103" s="27" t="s">
        <v>84</v>
      </c>
      <c r="D103" s="19" t="s">
        <v>1</v>
      </c>
      <c r="E103" s="20"/>
      <c r="F103" s="20">
        <v>20</v>
      </c>
      <c r="G103" s="20"/>
      <c r="H103" s="20"/>
      <c r="I103" s="20"/>
      <c r="J103" s="20"/>
      <c r="K103" s="20">
        <v>20</v>
      </c>
      <c r="L103" s="20"/>
      <c r="M103" s="20"/>
      <c r="N103" s="20">
        <v>20</v>
      </c>
      <c r="O103" s="20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21"/>
      <c r="AR103" s="21"/>
      <c r="AS103" s="21"/>
      <c r="AT103" s="21"/>
      <c r="AU103" s="21"/>
      <c r="AV103" s="21"/>
      <c r="AW103" s="22"/>
      <c r="AX103" s="22"/>
      <c r="AY103" s="22"/>
      <c r="AZ103" s="22"/>
      <c r="BA103" s="22"/>
      <c r="BB103" s="22"/>
      <c r="BC103" s="30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  <c r="BO103" s="19"/>
      <c r="BP103" s="1">
        <f>SUM(E103:BO103)</f>
        <v>60</v>
      </c>
      <c r="BQ103" s="19">
        <v>46</v>
      </c>
      <c r="BR103" s="23">
        <v>3</v>
      </c>
      <c r="BS103" s="23" t="s">
        <v>300</v>
      </c>
      <c r="BT103" s="1" t="str">
        <f>IF(AQ103&gt;AQ$145, AQ103-AQ$145,"")</f>
        <v/>
      </c>
      <c r="BU103" s="1" t="str">
        <f>IF(AR103&gt;AR$145, AR103-AR$145,"")</f>
        <v/>
      </c>
      <c r="BV103" s="1" t="str">
        <f>IF(AS103&gt;AS$145, AS103-AS$145,"")</f>
        <v/>
      </c>
      <c r="BW103" s="1" t="str">
        <f>IF(AT103&gt;AT$145, AT103-AT$145,"")</f>
        <v/>
      </c>
      <c r="BX103" s="1" t="str">
        <f>IF(AU103&gt;AU$145, AU103-AU$145,"")</f>
        <v/>
      </c>
      <c r="BY103" s="1" t="str">
        <f>IF(AV103&gt;AV$145, AV103-AV$145,"")</f>
        <v/>
      </c>
      <c r="BZ103" s="1" t="str">
        <f>IF(AW103&gt;AW$145, AW103-AW$145,"")</f>
        <v/>
      </c>
      <c r="CA103" s="1" t="str">
        <f>IF(AX103&gt;AX$145, AX103-AX$145,"")</f>
        <v/>
      </c>
      <c r="CB103" s="1" t="str">
        <f>IF(AY103&gt;AY$145, AY103-AY$145,"")</f>
        <v/>
      </c>
      <c r="CC103" s="1" t="str">
        <f>IF(AZ103&gt;AZ$145, AZ103-AZ$145,"")</f>
        <v/>
      </c>
      <c r="CD103" s="1" t="str">
        <f>IF(BA103&gt;BA$145, BA103-BA$145,"")</f>
        <v/>
      </c>
      <c r="CE103" s="1" t="str">
        <f>IF(BB103&gt;BB$145, BB103-BB$145,"")</f>
        <v/>
      </c>
      <c r="CF103" s="19">
        <f>COUNTIF(BT103:CE103, "&gt;0")</f>
        <v>0</v>
      </c>
      <c r="CG103" s="19" t="str">
        <f>IF($CF103=1,BT103,"")</f>
        <v/>
      </c>
      <c r="CH103" s="19" t="str">
        <f>IF($CF103=1,BU103,"")</f>
        <v/>
      </c>
      <c r="CI103" s="19" t="str">
        <f>IF($CF103=1,BV103,"")</f>
        <v/>
      </c>
      <c r="CJ103" s="19" t="str">
        <f>IF($CF103=1,BW103,"")</f>
        <v/>
      </c>
      <c r="CK103" s="19" t="str">
        <f>IF($CF103=1,BX103,"")</f>
        <v/>
      </c>
      <c r="CL103" s="19" t="str">
        <f>IF($CF103=1,BY103,"")</f>
        <v/>
      </c>
      <c r="CM103" s="19" t="str">
        <f>IF($CF103=1,BZ103,"")</f>
        <v/>
      </c>
      <c r="CN103" s="19" t="str">
        <f>IF($CF103=1,CA103,"")</f>
        <v/>
      </c>
      <c r="CO103" s="19" t="str">
        <f>IF($CF103=1,CB103,"")</f>
        <v/>
      </c>
      <c r="CP103" s="19" t="str">
        <f>IF($CF103=1,CC103,"")</f>
        <v/>
      </c>
      <c r="CQ103" s="19" t="str">
        <f>IF($CF103=1,CD103,"")</f>
        <v/>
      </c>
      <c r="CR103" s="19" t="str">
        <f>IF($CF103=1,CE103,"")</f>
        <v/>
      </c>
      <c r="CS103" s="24">
        <f>SUM(AE103:BO103)</f>
        <v>0</v>
      </c>
    </row>
    <row r="104" spans="1:97" ht="40.5" x14ac:dyDescent="0.15">
      <c r="A104" s="1"/>
      <c r="B104" s="1" t="s">
        <v>192</v>
      </c>
      <c r="C104" s="1" t="s">
        <v>126</v>
      </c>
      <c r="D104" s="1" t="s">
        <v>111</v>
      </c>
      <c r="E104" s="6"/>
      <c r="F104" s="6"/>
      <c r="G104" s="6">
        <v>20</v>
      </c>
      <c r="H104" s="6">
        <v>20</v>
      </c>
      <c r="I104" s="6"/>
      <c r="J104" s="6"/>
      <c r="K104" s="6"/>
      <c r="L104" s="6"/>
      <c r="M104" s="6"/>
      <c r="N104" s="6"/>
      <c r="O104" s="6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>
        <v>20</v>
      </c>
      <c r="BB104" s="2">
        <v>20</v>
      </c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80</v>
      </c>
      <c r="BQ104" s="1">
        <v>57</v>
      </c>
      <c r="BR104" s="17">
        <v>3</v>
      </c>
      <c r="BS104" s="17" t="s">
        <v>304</v>
      </c>
      <c r="BT104" s="1" t="str">
        <f>IF(AQ104&gt;AQ$145, AQ104-AQ$145,"")</f>
        <v/>
      </c>
      <c r="BU104" s="1" t="str">
        <f>IF(AR104&gt;AR$145, AR104-AR$145,"")</f>
        <v/>
      </c>
      <c r="BV104" s="1" t="str">
        <f>IF(AS104&gt;AS$145, AS104-AS$145,"")</f>
        <v/>
      </c>
      <c r="BW104" s="1" t="str">
        <f>IF(AT104&gt;AT$145, AT104-AT$145,"")</f>
        <v/>
      </c>
      <c r="BX104" s="1" t="str">
        <f>IF(AU104&gt;AU$145, AU104-AU$145,"")</f>
        <v/>
      </c>
      <c r="BY104" s="1" t="str">
        <f>IF(AV104&gt;AV$145, AV104-AV$145,"")</f>
        <v/>
      </c>
      <c r="BZ104" s="1" t="str">
        <f>IF(AW104&gt;AW$145, AW104-AW$145,"")</f>
        <v/>
      </c>
      <c r="CA104" s="1" t="str">
        <f>IF(AX104&gt;AX$145, AX104-AX$145,"")</f>
        <v/>
      </c>
      <c r="CB104" s="1" t="str">
        <f>IF(AY104&gt;AY$145, AY104-AY$145,"")</f>
        <v/>
      </c>
      <c r="CC104" s="1" t="str">
        <f>IF(AZ104&gt;AZ$145, AZ104-AZ$145,"")</f>
        <v/>
      </c>
      <c r="CD104" s="1">
        <f>IF(BA104&gt;BA$145, BA104-BA$145,"")</f>
        <v>17</v>
      </c>
      <c r="CE104" s="1" t="str">
        <f>IF(BB104&gt;BB$145, BB104-BB$145,"")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8"/>
    </row>
    <row r="105" spans="1:97" ht="40.5" x14ac:dyDescent="0.15">
      <c r="A105" s="1"/>
      <c r="B105" s="1" t="s">
        <v>113</v>
      </c>
      <c r="C105" s="1" t="s">
        <v>114</v>
      </c>
      <c r="D105" s="1" t="s">
        <v>115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>
        <v>40</v>
      </c>
      <c r="AW105" s="2">
        <v>40</v>
      </c>
      <c r="AX105" s="2"/>
      <c r="AY105" s="2"/>
      <c r="AZ105" s="2"/>
      <c r="BA105" s="2"/>
      <c r="BB105" s="2">
        <v>40</v>
      </c>
      <c r="BC105" s="14">
        <v>10</v>
      </c>
      <c r="BD105" s="1">
        <v>50</v>
      </c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180</v>
      </c>
      <c r="BQ105" s="1">
        <v>61</v>
      </c>
      <c r="BR105" s="17">
        <v>3</v>
      </c>
      <c r="BS105" s="17" t="s">
        <v>305</v>
      </c>
      <c r="BT105" s="1" t="str">
        <f>IF(AQ105&gt;AQ$145, AQ105-AQ$145,"")</f>
        <v/>
      </c>
      <c r="BU105" s="1" t="str">
        <f>IF(AR105&gt;AR$145, AR105-AR$145,"")</f>
        <v/>
      </c>
      <c r="BV105" s="1" t="str">
        <f>IF(AS105&gt;AS$145, AS105-AS$145,"")</f>
        <v/>
      </c>
      <c r="BW105" s="1" t="str">
        <f>IF(AT105&gt;AT$145, AT105-AT$145,"")</f>
        <v/>
      </c>
      <c r="BX105" s="1" t="str">
        <f>IF(AU105&gt;AU$145, AU105-AU$145,"")</f>
        <v/>
      </c>
      <c r="BY105" s="1">
        <f>IF(AV105&gt;AV$145, AV105-AV$145,"")</f>
        <v>30</v>
      </c>
      <c r="BZ105" s="1">
        <f>IF(AW105&gt;AW$145, AW105-AW$145,"")</f>
        <v>21</v>
      </c>
      <c r="CA105" s="1" t="str">
        <f>IF(AX105&gt;AX$145, AX105-AX$145,"")</f>
        <v/>
      </c>
      <c r="CB105" s="1" t="str">
        <f>IF(AY105&gt;AY$145, AY105-AY$145,"")</f>
        <v/>
      </c>
      <c r="CC105" s="1" t="str">
        <f>IF(AZ105&gt;AZ$145, AZ105-AZ$145,"")</f>
        <v/>
      </c>
      <c r="CD105" s="1" t="str">
        <f>IF(BA105&gt;BA$145, BA105-BA$145,"")</f>
        <v/>
      </c>
      <c r="CE105" s="1" t="str">
        <f>IF(BB105&gt;BB$145, BB105-BB$145,"")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8"/>
    </row>
    <row r="106" spans="1:97" ht="54" x14ac:dyDescent="0.15">
      <c r="A106" s="1"/>
      <c r="B106" s="1" t="s">
        <v>163</v>
      </c>
      <c r="C106" s="1" t="s">
        <v>158</v>
      </c>
      <c r="D106" s="1" t="s">
        <v>131</v>
      </c>
      <c r="E106" s="6"/>
      <c r="F106" s="6"/>
      <c r="G106" s="6">
        <v>5</v>
      </c>
      <c r="H106" s="6"/>
      <c r="I106" s="6"/>
      <c r="J106" s="6"/>
      <c r="K106" s="6"/>
      <c r="L106" s="6"/>
      <c r="M106" s="6"/>
      <c r="N106" s="6"/>
      <c r="O106" s="6"/>
      <c r="P106" s="32"/>
      <c r="Q106" s="32"/>
      <c r="R106" s="32"/>
      <c r="S106" s="32"/>
      <c r="T106" s="32"/>
      <c r="U106" s="32"/>
      <c r="V106" s="32">
        <v>5</v>
      </c>
      <c r="W106" s="32"/>
      <c r="X106" s="32"/>
      <c r="Y106" s="32">
        <v>5</v>
      </c>
      <c r="Z106" s="32"/>
      <c r="AA106" s="32"/>
      <c r="AB106" s="32"/>
      <c r="AC106" s="32">
        <v>5</v>
      </c>
      <c r="AD106" s="32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20</v>
      </c>
      <c r="BQ106" s="1">
        <v>16</v>
      </c>
      <c r="BR106" s="17">
        <v>4</v>
      </c>
      <c r="BS106" s="17" t="s">
        <v>306</v>
      </c>
      <c r="BT106" s="1" t="str">
        <f>IF(AQ106&gt;AQ$145, AQ106-AQ$145,"")</f>
        <v/>
      </c>
      <c r="BU106" s="1" t="str">
        <f>IF(AR106&gt;AR$145, AR106-AR$145,"")</f>
        <v/>
      </c>
      <c r="BV106" s="1" t="str">
        <f>IF(AS106&gt;AS$145, AS106-AS$145,"")</f>
        <v/>
      </c>
      <c r="BW106" s="1" t="str">
        <f>IF(AT106&gt;AT$145, AT106-AT$145,"")</f>
        <v/>
      </c>
      <c r="BX106" s="1" t="str">
        <f>IF(AU106&gt;AU$145, AU106-AU$145,"")</f>
        <v/>
      </c>
      <c r="BY106" s="1" t="str">
        <f>IF(AV106&gt;AV$145, AV106-AV$145,"")</f>
        <v/>
      </c>
      <c r="BZ106" s="1" t="str">
        <f>IF(AW106&gt;AW$145, AW106-AW$145,"")</f>
        <v/>
      </c>
      <c r="CA106" s="1" t="str">
        <f>IF(AX106&gt;AX$145, AX106-AX$145,"")</f>
        <v/>
      </c>
      <c r="CB106" s="1" t="str">
        <f>IF(AY106&gt;AY$145, AY106-AY$145,"")</f>
        <v/>
      </c>
      <c r="CC106" s="1" t="str">
        <f>IF(AZ106&gt;AZ$145, AZ106-AZ$145,"")</f>
        <v/>
      </c>
      <c r="CD106" s="1" t="str">
        <f>IF(BA106&gt;BA$145, BA106-BA$145,"")</f>
        <v/>
      </c>
      <c r="CE106" s="1" t="str">
        <f>IF(BB106&gt;BB$145, BB106-BB$145,"")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8"/>
    </row>
    <row r="107" spans="1:97" ht="54" x14ac:dyDescent="0.15">
      <c r="A107" s="1"/>
      <c r="B107" s="1" t="s">
        <v>160</v>
      </c>
      <c r="C107" s="1" t="s">
        <v>158</v>
      </c>
      <c r="D107" s="1" t="s">
        <v>130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32"/>
      <c r="Q107" s="32">
        <v>5</v>
      </c>
      <c r="R107" s="32"/>
      <c r="S107" s="32"/>
      <c r="T107" s="32"/>
      <c r="U107" s="32"/>
      <c r="V107" s="32">
        <v>10</v>
      </c>
      <c r="W107" s="32"/>
      <c r="X107" s="32"/>
      <c r="Y107" s="32"/>
      <c r="Z107" s="32">
        <v>5</v>
      </c>
      <c r="AA107" s="32"/>
      <c r="AB107" s="32">
        <v>10</v>
      </c>
      <c r="AC107" s="32"/>
      <c r="AD107" s="32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30</v>
      </c>
      <c r="BQ107" s="1">
        <v>18</v>
      </c>
      <c r="BR107" s="17">
        <v>4</v>
      </c>
      <c r="BS107" s="17" t="s">
        <v>231</v>
      </c>
      <c r="BT107" s="1" t="str">
        <f>IF(AQ107&gt;AQ$145, AQ107-AQ$145,"")</f>
        <v/>
      </c>
      <c r="BU107" s="1" t="str">
        <f>IF(AR107&gt;AR$145, AR107-AR$145,"")</f>
        <v/>
      </c>
      <c r="BV107" s="1" t="str">
        <f>IF(AS107&gt;AS$145, AS107-AS$145,"")</f>
        <v/>
      </c>
      <c r="BW107" s="1" t="str">
        <f>IF(AT107&gt;AT$145, AT107-AT$145,"")</f>
        <v/>
      </c>
      <c r="BX107" s="1" t="str">
        <f>IF(AU107&gt;AU$145, AU107-AU$145,"")</f>
        <v/>
      </c>
      <c r="BY107" s="1" t="str">
        <f>IF(AV107&gt;AV$145, AV107-AV$145,"")</f>
        <v/>
      </c>
      <c r="BZ107" s="1" t="str">
        <f>IF(AW107&gt;AW$145, AW107-AW$145,"")</f>
        <v/>
      </c>
      <c r="CA107" s="1" t="str">
        <f>IF(AX107&gt;AX$145, AX107-AX$145,"")</f>
        <v/>
      </c>
      <c r="CB107" s="1" t="str">
        <f>IF(AY107&gt;AY$145, AY107-AY$145,"")</f>
        <v/>
      </c>
      <c r="CC107" s="1" t="str">
        <f>IF(AZ107&gt;AZ$145, AZ107-AZ$145,"")</f>
        <v/>
      </c>
      <c r="CD107" s="1" t="str">
        <f>IF(BA107&gt;BA$145, BA107-BA$145,"")</f>
        <v/>
      </c>
      <c r="CE107" s="1" t="str">
        <f>IF(BB107&gt;BB$145, BB107-BB$145,"")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8"/>
    </row>
    <row r="108" spans="1:97" ht="54" x14ac:dyDescent="0.15">
      <c r="A108" s="1">
        <v>45</v>
      </c>
      <c r="B108" s="1" t="s">
        <v>109</v>
      </c>
      <c r="C108" s="1" t="s">
        <v>48</v>
      </c>
      <c r="D108" s="1" t="s">
        <v>13</v>
      </c>
      <c r="E108" s="6">
        <v>6</v>
      </c>
      <c r="F108" s="6"/>
      <c r="G108" s="6"/>
      <c r="H108" s="6"/>
      <c r="I108" s="6"/>
      <c r="J108" s="6"/>
      <c r="K108" s="6"/>
      <c r="L108" s="6"/>
      <c r="M108" s="6">
        <v>6</v>
      </c>
      <c r="N108" s="6"/>
      <c r="O108" s="6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>
        <v>10</v>
      </c>
      <c r="AR108" s="4"/>
      <c r="AS108" s="4"/>
      <c r="AT108" s="4"/>
      <c r="AU108" s="4"/>
      <c r="AV108" s="4"/>
      <c r="AW108" s="2"/>
      <c r="AX108" s="2"/>
      <c r="AY108" s="2"/>
      <c r="AZ108" s="2">
        <v>10</v>
      </c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32</v>
      </c>
      <c r="BQ108" s="1">
        <v>19</v>
      </c>
      <c r="BR108" s="17">
        <v>4</v>
      </c>
      <c r="BS108" s="17" t="s">
        <v>288</v>
      </c>
      <c r="BT108" s="1">
        <f>IF(AQ108&gt;AQ$145, AQ108-AQ$145,"")</f>
        <v>1</v>
      </c>
      <c r="BU108" s="1" t="str">
        <f>IF(AR108&gt;AR$145, AR108-AR$145,"")</f>
        <v/>
      </c>
      <c r="BV108" s="1" t="str">
        <f>IF(AS108&gt;AS$145, AS108-AS$145,"")</f>
        <v/>
      </c>
      <c r="BW108" s="1" t="str">
        <f>IF(AT108&gt;AT$145, AT108-AT$145,"")</f>
        <v/>
      </c>
      <c r="BX108" s="1" t="str">
        <f>IF(AU108&gt;AU$145, AU108-AU$145,"")</f>
        <v/>
      </c>
      <c r="BY108" s="1" t="str">
        <f>IF(AV108&gt;AV$145, AV108-AV$145,"")</f>
        <v/>
      </c>
      <c r="BZ108" s="1" t="str">
        <f>IF(AW108&gt;AW$145, AW108-AW$145,"")</f>
        <v/>
      </c>
      <c r="CA108" s="1" t="str">
        <f>IF(AX108&gt;AX$145, AX108-AX$145,"")</f>
        <v/>
      </c>
      <c r="CB108" s="1" t="str">
        <f>IF(AY108&gt;AY$145, AY108-AY$145,"")</f>
        <v/>
      </c>
      <c r="CC108" s="1">
        <f>IF(AZ108&gt;AZ$145, AZ108-AZ$145,"")</f>
        <v>10</v>
      </c>
      <c r="CD108" s="1" t="str">
        <f>IF(BA108&gt;BA$145, BA108-BA$145,"")</f>
        <v/>
      </c>
      <c r="CE108" s="1" t="str">
        <f>IF(BB108&gt;BB$145, BB108-BB$145,"")</f>
        <v/>
      </c>
      <c r="CF108" s="1">
        <f>COUNTIF(BT108:CE108, "&gt;0")</f>
        <v>2</v>
      </c>
      <c r="CG108" s="1" t="str">
        <f>IF($CF108=1,BT108,"")</f>
        <v/>
      </c>
      <c r="CH108" s="1" t="str">
        <f>IF($CF108=1,BU108,"")</f>
        <v/>
      </c>
      <c r="CI108" s="1" t="str">
        <f>IF($CF108=1,BV108,"")</f>
        <v/>
      </c>
      <c r="CJ108" s="1" t="str">
        <f>IF($CF108=1,BW108,"")</f>
        <v/>
      </c>
      <c r="CK108" s="1" t="str">
        <f>IF($CF108=1,BX108,"")</f>
        <v/>
      </c>
      <c r="CL108" s="1" t="str">
        <f>IF($CF108=1,BY108,"")</f>
        <v/>
      </c>
      <c r="CM108" s="1" t="str">
        <f>IF($CF108=1,BZ108,"")</f>
        <v/>
      </c>
      <c r="CN108" s="1" t="str">
        <f>IF($CF108=1,CA108,"")</f>
        <v/>
      </c>
      <c r="CO108" s="1" t="str">
        <f>IF($CF108=1,CB108,"")</f>
        <v/>
      </c>
      <c r="CP108" s="1" t="str">
        <f>IF($CF108=1,CC108,"")</f>
        <v/>
      </c>
      <c r="CQ108" s="1" t="str">
        <f>IF($CF108=1,CD108,"")</f>
        <v/>
      </c>
      <c r="CR108" s="1" t="str">
        <f>IF($CF108=1,CE108,"")</f>
        <v/>
      </c>
      <c r="CS108" s="18">
        <f>SUM(AE108:BO108)</f>
        <v>20</v>
      </c>
    </row>
    <row r="109" spans="1:97" ht="54" x14ac:dyDescent="0.15">
      <c r="A109" s="1"/>
      <c r="B109" s="1" t="s">
        <v>149</v>
      </c>
      <c r="C109" s="1" t="s">
        <v>147</v>
      </c>
      <c r="D109" s="1" t="s">
        <v>131</v>
      </c>
      <c r="E109" s="6"/>
      <c r="F109" s="6"/>
      <c r="G109" s="6"/>
      <c r="H109" s="6">
        <v>7</v>
      </c>
      <c r="I109" s="6"/>
      <c r="J109" s="6"/>
      <c r="K109" s="6"/>
      <c r="L109" s="6"/>
      <c r="M109" s="6"/>
      <c r="N109" s="6"/>
      <c r="O109" s="6"/>
      <c r="P109" s="32"/>
      <c r="Q109" s="32">
        <v>7</v>
      </c>
      <c r="R109" s="32"/>
      <c r="S109" s="32"/>
      <c r="T109" s="32">
        <v>7</v>
      </c>
      <c r="U109" s="32"/>
      <c r="V109" s="32"/>
      <c r="W109" s="32"/>
      <c r="X109" s="32"/>
      <c r="Y109" s="32"/>
      <c r="Z109" s="32"/>
      <c r="AA109" s="32">
        <v>7</v>
      </c>
      <c r="AB109" s="32"/>
      <c r="AC109" s="32"/>
      <c r="AD109" s="32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28</v>
      </c>
      <c r="BQ109" s="1">
        <v>21</v>
      </c>
      <c r="BR109" s="17">
        <v>4</v>
      </c>
      <c r="BS109" s="17" t="s">
        <v>232</v>
      </c>
      <c r="BT109" s="1" t="str">
        <f>IF(AQ109&gt;AQ$145, AQ109-AQ$145,"")</f>
        <v/>
      </c>
      <c r="BU109" s="1" t="str">
        <f>IF(AR109&gt;AR$145, AR109-AR$145,"")</f>
        <v/>
      </c>
      <c r="BV109" s="1" t="str">
        <f>IF(AS109&gt;AS$145, AS109-AS$145,"")</f>
        <v/>
      </c>
      <c r="BW109" s="1" t="str">
        <f>IF(AT109&gt;AT$145, AT109-AT$145,"")</f>
        <v/>
      </c>
      <c r="BX109" s="1" t="str">
        <f>IF(AU109&gt;AU$145, AU109-AU$145,"")</f>
        <v/>
      </c>
      <c r="BY109" s="1" t="str">
        <f>IF(AV109&gt;AV$145, AV109-AV$145,"")</f>
        <v/>
      </c>
      <c r="BZ109" s="1" t="str">
        <f>IF(AW109&gt;AW$145, AW109-AW$145,"")</f>
        <v/>
      </c>
      <c r="CA109" s="1" t="str">
        <f>IF(AX109&gt;AX$145, AX109-AX$145,"")</f>
        <v/>
      </c>
      <c r="CB109" s="1" t="str">
        <f>IF(AY109&gt;AY$145, AY109-AY$145,"")</f>
        <v/>
      </c>
      <c r="CC109" s="1" t="str">
        <f>IF(AZ109&gt;AZ$145, AZ109-AZ$145,"")</f>
        <v/>
      </c>
      <c r="CD109" s="1" t="str">
        <f>IF(BA109&gt;BA$145, BA109-BA$145,"")</f>
        <v/>
      </c>
      <c r="CE109" s="1" t="str">
        <f>IF(BB109&gt;BB$145, BB109-BB$145,"")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8"/>
    </row>
    <row r="110" spans="1:97" ht="54" x14ac:dyDescent="0.15">
      <c r="A110" s="1"/>
      <c r="B110" s="1" t="s">
        <v>140</v>
      </c>
      <c r="C110" s="1" t="s">
        <v>128</v>
      </c>
      <c r="D110" s="1" t="s">
        <v>129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32">
        <v>10</v>
      </c>
      <c r="Q110" s="32"/>
      <c r="R110" s="32"/>
      <c r="S110" s="32">
        <v>10</v>
      </c>
      <c r="T110" s="32"/>
      <c r="U110" s="32"/>
      <c r="V110" s="32"/>
      <c r="W110" s="32">
        <v>5</v>
      </c>
      <c r="X110" s="32"/>
      <c r="Y110" s="32"/>
      <c r="Z110" s="32"/>
      <c r="AA110" s="32"/>
      <c r="AB110" s="32">
        <v>10</v>
      </c>
      <c r="AC110" s="32"/>
      <c r="AD110" s="32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35</v>
      </c>
      <c r="BQ110" s="1">
        <v>22</v>
      </c>
      <c r="BR110" s="17">
        <v>4</v>
      </c>
      <c r="BS110" s="17" t="s">
        <v>233</v>
      </c>
      <c r="BT110" s="1" t="str">
        <f>IF(AQ110&gt;AQ$145, AQ110-AQ$145,"")</f>
        <v/>
      </c>
      <c r="BU110" s="1" t="str">
        <f>IF(AR110&gt;AR$145, AR110-AR$145,"")</f>
        <v/>
      </c>
      <c r="BV110" s="1" t="str">
        <f>IF(AS110&gt;AS$145, AS110-AS$145,"")</f>
        <v/>
      </c>
      <c r="BW110" s="1" t="str">
        <f>IF(AT110&gt;AT$145, AT110-AT$145,"")</f>
        <v/>
      </c>
      <c r="BX110" s="1" t="str">
        <f>IF(AU110&gt;AU$145, AU110-AU$145,"")</f>
        <v/>
      </c>
      <c r="BY110" s="1" t="str">
        <f>IF(AV110&gt;AV$145, AV110-AV$145,"")</f>
        <v/>
      </c>
      <c r="BZ110" s="1" t="str">
        <f>IF(AW110&gt;AW$145, AW110-AW$145,"")</f>
        <v/>
      </c>
      <c r="CA110" s="1" t="str">
        <f>IF(AX110&gt;AX$145, AX110-AX$145,"")</f>
        <v/>
      </c>
      <c r="CB110" s="1" t="str">
        <f>IF(AY110&gt;AY$145, AY110-AY$145,"")</f>
        <v/>
      </c>
      <c r="CC110" s="1" t="str">
        <f>IF(AZ110&gt;AZ$145, AZ110-AZ$145,"")</f>
        <v/>
      </c>
      <c r="CD110" s="1" t="str">
        <f>IF(BA110&gt;BA$145, BA110-BA$145,"")</f>
        <v/>
      </c>
      <c r="CE110" s="1" t="str">
        <f>IF(BB110&gt;BB$145, BB110-BB$145,"")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8"/>
    </row>
    <row r="111" spans="1:97" ht="54" x14ac:dyDescent="0.15">
      <c r="A111" s="1"/>
      <c r="B111" s="1" t="s">
        <v>145</v>
      </c>
      <c r="C111" s="1" t="s">
        <v>128</v>
      </c>
      <c r="D111" s="1" t="s">
        <v>129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32">
        <v>10</v>
      </c>
      <c r="Q111" s="32"/>
      <c r="R111" s="32"/>
      <c r="S111" s="32">
        <v>10</v>
      </c>
      <c r="T111" s="32"/>
      <c r="U111" s="32"/>
      <c r="V111" s="32"/>
      <c r="W111" s="32">
        <v>5</v>
      </c>
      <c r="X111" s="32"/>
      <c r="Y111" s="32"/>
      <c r="Z111" s="32"/>
      <c r="AA111" s="32"/>
      <c r="AB111" s="32">
        <v>10</v>
      </c>
      <c r="AC111" s="32"/>
      <c r="AD111" s="32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35</v>
      </c>
      <c r="BQ111" s="1">
        <v>22</v>
      </c>
      <c r="BR111" s="17">
        <v>4</v>
      </c>
      <c r="BS111" s="17" t="s">
        <v>233</v>
      </c>
      <c r="BT111" s="1" t="str">
        <f>IF(AQ111&gt;AQ$145, AQ111-AQ$145,"")</f>
        <v/>
      </c>
      <c r="BU111" s="1" t="str">
        <f>IF(AR111&gt;AR$145, AR111-AR$145,"")</f>
        <v/>
      </c>
      <c r="BV111" s="1" t="str">
        <f>IF(AS111&gt;AS$145, AS111-AS$145,"")</f>
        <v/>
      </c>
      <c r="BW111" s="1" t="str">
        <f>IF(AT111&gt;AT$145, AT111-AT$145,"")</f>
        <v/>
      </c>
      <c r="BX111" s="1" t="str">
        <f>IF(AU111&gt;AU$145, AU111-AU$145,"")</f>
        <v/>
      </c>
      <c r="BY111" s="1" t="str">
        <f>IF(AV111&gt;AV$145, AV111-AV$145,"")</f>
        <v/>
      </c>
      <c r="BZ111" s="1" t="str">
        <f>IF(AW111&gt;AW$145, AW111-AW$145,"")</f>
        <v/>
      </c>
      <c r="CA111" s="1" t="str">
        <f>IF(AX111&gt;AX$145, AX111-AX$145,"")</f>
        <v/>
      </c>
      <c r="CB111" s="1" t="str">
        <f>IF(AY111&gt;AY$145, AY111-AY$145,"")</f>
        <v/>
      </c>
      <c r="CC111" s="1" t="str">
        <f>IF(AZ111&gt;AZ$145, AZ111-AZ$145,"")</f>
        <v/>
      </c>
      <c r="CD111" s="1" t="str">
        <f>IF(BA111&gt;BA$145, BA111-BA$145,"")</f>
        <v/>
      </c>
      <c r="CE111" s="1" t="str">
        <f>IF(BB111&gt;BB$145, BB111-BB$145,"")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8"/>
    </row>
    <row r="112" spans="1:97" ht="54" x14ac:dyDescent="0.15">
      <c r="A112" s="1"/>
      <c r="B112" s="1" t="s">
        <v>149</v>
      </c>
      <c r="C112" s="1" t="s">
        <v>147</v>
      </c>
      <c r="D112" s="1" t="s">
        <v>129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32">
        <v>10</v>
      </c>
      <c r="Q112" s="32"/>
      <c r="R112" s="32"/>
      <c r="S112" s="32">
        <v>10</v>
      </c>
      <c r="T112" s="32"/>
      <c r="U112" s="32"/>
      <c r="V112" s="32"/>
      <c r="W112" s="32">
        <v>5</v>
      </c>
      <c r="X112" s="32"/>
      <c r="Y112" s="32"/>
      <c r="Z112" s="32"/>
      <c r="AA112" s="32"/>
      <c r="AB112" s="32">
        <v>10</v>
      </c>
      <c r="AC112" s="32"/>
      <c r="AD112" s="32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35</v>
      </c>
      <c r="BQ112" s="1">
        <v>22</v>
      </c>
      <c r="BR112" s="17">
        <v>4</v>
      </c>
      <c r="BS112" s="17" t="s">
        <v>307</v>
      </c>
      <c r="BT112" s="1" t="str">
        <f>IF(AQ112&gt;AQ$145, AQ112-AQ$145,"")</f>
        <v/>
      </c>
      <c r="BU112" s="1" t="str">
        <f>IF(AR112&gt;AR$145, AR112-AR$145,"")</f>
        <v/>
      </c>
      <c r="BV112" s="1" t="str">
        <f>IF(AS112&gt;AS$145, AS112-AS$145,"")</f>
        <v/>
      </c>
      <c r="BW112" s="1" t="str">
        <f>IF(AT112&gt;AT$145, AT112-AT$145,"")</f>
        <v/>
      </c>
      <c r="BX112" s="1" t="str">
        <f>IF(AU112&gt;AU$145, AU112-AU$145,"")</f>
        <v/>
      </c>
      <c r="BY112" s="1" t="str">
        <f>IF(AV112&gt;AV$145, AV112-AV$145,"")</f>
        <v/>
      </c>
      <c r="BZ112" s="1" t="str">
        <f>IF(AW112&gt;AW$145, AW112-AW$145,"")</f>
        <v/>
      </c>
      <c r="CA112" s="1" t="str">
        <f>IF(AX112&gt;AX$145, AX112-AX$145,"")</f>
        <v/>
      </c>
      <c r="CB112" s="1" t="str">
        <f>IF(AY112&gt;AY$145, AY112-AY$145,"")</f>
        <v/>
      </c>
      <c r="CC112" s="1" t="str">
        <f>IF(AZ112&gt;AZ$145, AZ112-AZ$145,"")</f>
        <v/>
      </c>
      <c r="CD112" s="1" t="str">
        <f>IF(BA112&gt;BA$145, BA112-BA$145,"")</f>
        <v/>
      </c>
      <c r="CE112" s="1" t="str">
        <f>IF(BB112&gt;BB$145, BB112-BB$145,"")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8"/>
    </row>
    <row r="113" spans="1:97" ht="54" x14ac:dyDescent="0.15">
      <c r="A113" s="1"/>
      <c r="B113" s="1" t="s">
        <v>153</v>
      </c>
      <c r="C113" s="1" t="s">
        <v>151</v>
      </c>
      <c r="D113" s="1" t="s">
        <v>129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32">
        <v>10</v>
      </c>
      <c r="Q113" s="32"/>
      <c r="R113" s="32"/>
      <c r="S113" s="32">
        <v>10</v>
      </c>
      <c r="T113" s="32"/>
      <c r="U113" s="32"/>
      <c r="V113" s="32"/>
      <c r="W113" s="32">
        <v>5</v>
      </c>
      <c r="X113" s="32"/>
      <c r="Y113" s="32"/>
      <c r="Z113" s="32"/>
      <c r="AA113" s="32"/>
      <c r="AB113" s="32">
        <v>10</v>
      </c>
      <c r="AC113" s="32"/>
      <c r="AD113" s="32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35</v>
      </c>
      <c r="BQ113" s="1">
        <v>22</v>
      </c>
      <c r="BR113" s="17">
        <v>4</v>
      </c>
      <c r="BS113" s="17" t="s">
        <v>307</v>
      </c>
      <c r="BT113" s="1" t="str">
        <f>IF(AQ113&gt;AQ$145, AQ113-AQ$145,"")</f>
        <v/>
      </c>
      <c r="BU113" s="1" t="str">
        <f>IF(AR113&gt;AR$145, AR113-AR$145,"")</f>
        <v/>
      </c>
      <c r="BV113" s="1" t="str">
        <f>IF(AS113&gt;AS$145, AS113-AS$145,"")</f>
        <v/>
      </c>
      <c r="BW113" s="1" t="str">
        <f>IF(AT113&gt;AT$145, AT113-AT$145,"")</f>
        <v/>
      </c>
      <c r="BX113" s="1" t="str">
        <f>IF(AU113&gt;AU$145, AU113-AU$145,"")</f>
        <v/>
      </c>
      <c r="BY113" s="1" t="str">
        <f>IF(AV113&gt;AV$145, AV113-AV$145,"")</f>
        <v/>
      </c>
      <c r="BZ113" s="1" t="str">
        <f>IF(AW113&gt;AW$145, AW113-AW$145,"")</f>
        <v/>
      </c>
      <c r="CA113" s="1" t="str">
        <f>IF(AX113&gt;AX$145, AX113-AX$145,"")</f>
        <v/>
      </c>
      <c r="CB113" s="1" t="str">
        <f>IF(AY113&gt;AY$145, AY113-AY$145,"")</f>
        <v/>
      </c>
      <c r="CC113" s="1" t="str">
        <f>IF(AZ113&gt;AZ$145, AZ113-AZ$145,"")</f>
        <v/>
      </c>
      <c r="CD113" s="1" t="str">
        <f>IF(BA113&gt;BA$145, BA113-BA$145,"")</f>
        <v/>
      </c>
      <c r="CE113" s="1" t="str">
        <f>IF(BB113&gt;BB$145, BB113-BB$145,"")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8"/>
    </row>
    <row r="114" spans="1:97" ht="54" x14ac:dyDescent="0.15">
      <c r="A114" s="1"/>
      <c r="B114" s="1" t="s">
        <v>159</v>
      </c>
      <c r="C114" s="1" t="s">
        <v>158</v>
      </c>
      <c r="D114" s="1" t="s">
        <v>129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32">
        <v>10</v>
      </c>
      <c r="Q114" s="32"/>
      <c r="R114" s="32"/>
      <c r="S114" s="32">
        <v>10</v>
      </c>
      <c r="T114" s="32"/>
      <c r="U114" s="32"/>
      <c r="V114" s="32"/>
      <c r="W114" s="32">
        <v>5</v>
      </c>
      <c r="X114" s="32"/>
      <c r="Y114" s="32"/>
      <c r="Z114" s="32"/>
      <c r="AA114" s="32"/>
      <c r="AB114" s="32">
        <v>10</v>
      </c>
      <c r="AC114" s="32"/>
      <c r="AD114" s="32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35</v>
      </c>
      <c r="BQ114" s="1">
        <v>22</v>
      </c>
      <c r="BR114" s="17">
        <v>4</v>
      </c>
      <c r="BS114" s="17" t="s">
        <v>233</v>
      </c>
      <c r="BT114" s="1" t="str">
        <f>IF(AQ114&gt;AQ$145, AQ114-AQ$145,"")</f>
        <v/>
      </c>
      <c r="BU114" s="1" t="str">
        <f>IF(AR114&gt;AR$145, AR114-AR$145,"")</f>
        <v/>
      </c>
      <c r="BV114" s="1" t="str">
        <f>IF(AS114&gt;AS$145, AS114-AS$145,"")</f>
        <v/>
      </c>
      <c r="BW114" s="1" t="str">
        <f>IF(AT114&gt;AT$145, AT114-AT$145,"")</f>
        <v/>
      </c>
      <c r="BX114" s="1" t="str">
        <f>IF(AU114&gt;AU$145, AU114-AU$145,"")</f>
        <v/>
      </c>
      <c r="BY114" s="1" t="str">
        <f>IF(AV114&gt;AV$145, AV114-AV$145,"")</f>
        <v/>
      </c>
      <c r="BZ114" s="1" t="str">
        <f>IF(AW114&gt;AW$145, AW114-AW$145,"")</f>
        <v/>
      </c>
      <c r="CA114" s="1" t="str">
        <f>IF(AX114&gt;AX$145, AX114-AX$145,"")</f>
        <v/>
      </c>
      <c r="CB114" s="1" t="str">
        <f>IF(AY114&gt;AY$145, AY114-AY$145,"")</f>
        <v/>
      </c>
      <c r="CC114" s="1" t="str">
        <f>IF(AZ114&gt;AZ$145, AZ114-AZ$145,"")</f>
        <v/>
      </c>
      <c r="CD114" s="1" t="str">
        <f>IF(BA114&gt;BA$145, BA114-BA$145,"")</f>
        <v/>
      </c>
      <c r="CE114" s="1" t="str">
        <f>IF(BB114&gt;BB$145, BB114-BB$145,"")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8"/>
    </row>
    <row r="115" spans="1:97" ht="54" x14ac:dyDescent="0.15">
      <c r="A115" s="1"/>
      <c r="B115" s="1" t="s">
        <v>167</v>
      </c>
      <c r="C115" s="1" t="s">
        <v>126</v>
      </c>
      <c r="D115" s="1" t="s">
        <v>168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32">
        <v>10</v>
      </c>
      <c r="Q115" s="32"/>
      <c r="R115" s="32"/>
      <c r="S115" s="32">
        <v>10</v>
      </c>
      <c r="T115" s="32"/>
      <c r="U115" s="32"/>
      <c r="V115" s="32"/>
      <c r="W115" s="32">
        <v>5</v>
      </c>
      <c r="X115" s="32"/>
      <c r="Y115" s="32"/>
      <c r="Z115" s="32"/>
      <c r="AA115" s="32"/>
      <c r="AB115" s="32">
        <v>10</v>
      </c>
      <c r="AC115" s="32"/>
      <c r="AD115" s="32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35</v>
      </c>
      <c r="BQ115" s="1">
        <v>22</v>
      </c>
      <c r="BR115" s="17">
        <v>4</v>
      </c>
      <c r="BS115" s="17" t="s">
        <v>307</v>
      </c>
      <c r="BT115" s="1" t="str">
        <f>IF(AQ115&gt;AQ$145, AQ115-AQ$145,"")</f>
        <v/>
      </c>
      <c r="BU115" s="1" t="str">
        <f>IF(AR115&gt;AR$145, AR115-AR$145,"")</f>
        <v/>
      </c>
      <c r="BV115" s="1" t="str">
        <f>IF(AS115&gt;AS$145, AS115-AS$145,"")</f>
        <v/>
      </c>
      <c r="BW115" s="1" t="str">
        <f>IF(AT115&gt;AT$145, AT115-AT$145,"")</f>
        <v/>
      </c>
      <c r="BX115" s="1" t="str">
        <f>IF(AU115&gt;AU$145, AU115-AU$145,"")</f>
        <v/>
      </c>
      <c r="BY115" s="1" t="str">
        <f>IF(AV115&gt;AV$145, AV115-AV$145,"")</f>
        <v/>
      </c>
      <c r="BZ115" s="1" t="str">
        <f>IF(AW115&gt;AW$145, AW115-AW$145,"")</f>
        <v/>
      </c>
      <c r="CA115" s="1" t="str">
        <f>IF(AX115&gt;AX$145, AX115-AX$145,"")</f>
        <v/>
      </c>
      <c r="CB115" s="1" t="str">
        <f>IF(AY115&gt;AY$145, AY115-AY$145,"")</f>
        <v/>
      </c>
      <c r="CC115" s="1" t="str">
        <f>IF(AZ115&gt;AZ$145, AZ115-AZ$145,"")</f>
        <v/>
      </c>
      <c r="CD115" s="1" t="str">
        <f>IF(BA115&gt;BA$145, BA115-BA$145,"")</f>
        <v/>
      </c>
      <c r="CE115" s="1" t="str">
        <f>IF(BB115&gt;BB$145, BB115-BB$145,"")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8"/>
    </row>
    <row r="116" spans="1:97" ht="54" x14ac:dyDescent="0.15">
      <c r="A116" s="1"/>
      <c r="B116" s="1" t="s">
        <v>173</v>
      </c>
      <c r="C116" s="1" t="s">
        <v>128</v>
      </c>
      <c r="D116" s="1" t="s">
        <v>130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32"/>
      <c r="Q116" s="32"/>
      <c r="R116" s="32"/>
      <c r="S116" s="32"/>
      <c r="T116" s="32"/>
      <c r="U116" s="32"/>
      <c r="V116" s="32">
        <v>10</v>
      </c>
      <c r="W116" s="32"/>
      <c r="X116" s="32"/>
      <c r="Y116" s="32">
        <v>10</v>
      </c>
      <c r="Z116" s="32"/>
      <c r="AA116" s="32"/>
      <c r="AB116" s="32">
        <v>10</v>
      </c>
      <c r="AC116" s="32">
        <v>5</v>
      </c>
      <c r="AD116" s="32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35</v>
      </c>
      <c r="BQ116" s="1">
        <v>23</v>
      </c>
      <c r="BR116" s="17">
        <v>4</v>
      </c>
      <c r="BS116" s="17" t="s">
        <v>234</v>
      </c>
      <c r="BT116" s="1" t="str">
        <f>IF(AQ116&gt;AQ$145, AQ116-AQ$145,"")</f>
        <v/>
      </c>
      <c r="BU116" s="1" t="str">
        <f>IF(AR116&gt;AR$145, AR116-AR$145,"")</f>
        <v/>
      </c>
      <c r="BV116" s="1" t="str">
        <f>IF(AS116&gt;AS$145, AS116-AS$145,"")</f>
        <v/>
      </c>
      <c r="BW116" s="1" t="str">
        <f>IF(AT116&gt;AT$145, AT116-AT$145,"")</f>
        <v/>
      </c>
      <c r="BX116" s="1" t="str">
        <f>IF(AU116&gt;AU$145, AU116-AU$145,"")</f>
        <v/>
      </c>
      <c r="BY116" s="1" t="str">
        <f>IF(AV116&gt;AV$145, AV116-AV$145,"")</f>
        <v/>
      </c>
      <c r="BZ116" s="1" t="str">
        <f>IF(AW116&gt;AW$145, AW116-AW$145,"")</f>
        <v/>
      </c>
      <c r="CA116" s="1" t="str">
        <f>IF(AX116&gt;AX$145, AX116-AX$145,"")</f>
        <v/>
      </c>
      <c r="CB116" s="1" t="str">
        <f>IF(AY116&gt;AY$145, AY116-AY$145,"")</f>
        <v/>
      </c>
      <c r="CC116" s="1" t="str">
        <f>IF(AZ116&gt;AZ$145, AZ116-AZ$145,"")</f>
        <v/>
      </c>
      <c r="CD116" s="1" t="str">
        <f>IF(BA116&gt;BA$145, BA116-BA$145,"")</f>
        <v/>
      </c>
      <c r="CE116" s="1" t="str">
        <f>IF(BB116&gt;BB$145, BB116-BB$145,"")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8"/>
    </row>
    <row r="117" spans="1:97" ht="54" x14ac:dyDescent="0.15">
      <c r="A117" s="1"/>
      <c r="B117" s="1" t="s">
        <v>154</v>
      </c>
      <c r="C117" s="1" t="s">
        <v>156</v>
      </c>
      <c r="D117" s="1" t="s">
        <v>130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32"/>
      <c r="Q117" s="32"/>
      <c r="R117" s="32"/>
      <c r="S117" s="32"/>
      <c r="T117" s="32"/>
      <c r="U117" s="32"/>
      <c r="V117" s="32">
        <v>10</v>
      </c>
      <c r="W117" s="32"/>
      <c r="X117" s="32"/>
      <c r="Y117" s="32">
        <v>10</v>
      </c>
      <c r="Z117" s="32"/>
      <c r="AA117" s="32"/>
      <c r="AB117" s="32">
        <v>10</v>
      </c>
      <c r="AC117" s="32">
        <v>5</v>
      </c>
      <c r="AD117" s="32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35</v>
      </c>
      <c r="BQ117" s="1">
        <v>23</v>
      </c>
      <c r="BR117" s="17">
        <v>4</v>
      </c>
      <c r="BS117" s="17" t="s">
        <v>310</v>
      </c>
      <c r="BT117" s="1" t="str">
        <f>IF(AQ117&gt;AQ$145, AQ117-AQ$145,"")</f>
        <v/>
      </c>
      <c r="BU117" s="1" t="str">
        <f>IF(AR117&gt;AR$145, AR117-AR$145,"")</f>
        <v/>
      </c>
      <c r="BV117" s="1" t="str">
        <f>IF(AS117&gt;AS$145, AS117-AS$145,"")</f>
        <v/>
      </c>
      <c r="BW117" s="1" t="str">
        <f>IF(AT117&gt;AT$145, AT117-AT$145,"")</f>
        <v/>
      </c>
      <c r="BX117" s="1" t="str">
        <f>IF(AU117&gt;AU$145, AU117-AU$145,"")</f>
        <v/>
      </c>
      <c r="BY117" s="1" t="str">
        <f>IF(AV117&gt;AV$145, AV117-AV$145,"")</f>
        <v/>
      </c>
      <c r="BZ117" s="1" t="str">
        <f>IF(AW117&gt;AW$145, AW117-AW$145,"")</f>
        <v/>
      </c>
      <c r="CA117" s="1" t="str">
        <f>IF(AX117&gt;AX$145, AX117-AX$145,"")</f>
        <v/>
      </c>
      <c r="CB117" s="1" t="str">
        <f>IF(AY117&gt;AY$145, AY117-AY$145,"")</f>
        <v/>
      </c>
      <c r="CC117" s="1" t="str">
        <f>IF(AZ117&gt;AZ$145, AZ117-AZ$145,"")</f>
        <v/>
      </c>
      <c r="CD117" s="1" t="str">
        <f>IF(BA117&gt;BA$145, BA117-BA$145,"")</f>
        <v/>
      </c>
      <c r="CE117" s="1" t="str">
        <f>IF(BB117&gt;BB$145, BB117-BB$145,"")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8"/>
    </row>
    <row r="118" spans="1:97" ht="54" x14ac:dyDescent="0.15">
      <c r="A118" s="1"/>
      <c r="B118" s="1" t="s">
        <v>163</v>
      </c>
      <c r="C118" s="1" t="s">
        <v>158</v>
      </c>
      <c r="D118" s="1" t="s">
        <v>130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32"/>
      <c r="Q118" s="32"/>
      <c r="R118" s="32"/>
      <c r="S118" s="32"/>
      <c r="T118" s="32"/>
      <c r="U118" s="32"/>
      <c r="V118" s="32">
        <v>10</v>
      </c>
      <c r="W118" s="32"/>
      <c r="X118" s="32"/>
      <c r="Y118" s="32">
        <v>10</v>
      </c>
      <c r="Z118" s="32"/>
      <c r="AA118" s="32"/>
      <c r="AB118" s="32">
        <v>10</v>
      </c>
      <c r="AC118" s="32">
        <v>5</v>
      </c>
      <c r="AD118" s="32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35</v>
      </c>
      <c r="BQ118" s="1">
        <v>23</v>
      </c>
      <c r="BR118" s="17">
        <v>4</v>
      </c>
      <c r="BS118" s="17" t="s">
        <v>234</v>
      </c>
      <c r="BT118" s="1" t="str">
        <f>IF(AQ118&gt;AQ$145, AQ118-AQ$145,"")</f>
        <v/>
      </c>
      <c r="BU118" s="1" t="str">
        <f>IF(AR118&gt;AR$145, AR118-AR$145,"")</f>
        <v/>
      </c>
      <c r="BV118" s="1" t="str">
        <f>IF(AS118&gt;AS$145, AS118-AS$145,"")</f>
        <v/>
      </c>
      <c r="BW118" s="1" t="str">
        <f>IF(AT118&gt;AT$145, AT118-AT$145,"")</f>
        <v/>
      </c>
      <c r="BX118" s="1" t="str">
        <f>IF(AU118&gt;AU$145, AU118-AU$145,"")</f>
        <v/>
      </c>
      <c r="BY118" s="1" t="str">
        <f>IF(AV118&gt;AV$145, AV118-AV$145,"")</f>
        <v/>
      </c>
      <c r="BZ118" s="1" t="str">
        <f>IF(AW118&gt;AW$145, AW118-AW$145,"")</f>
        <v/>
      </c>
      <c r="CA118" s="1" t="str">
        <f>IF(AX118&gt;AX$145, AX118-AX$145,"")</f>
        <v/>
      </c>
      <c r="CB118" s="1" t="str">
        <f>IF(AY118&gt;AY$145, AY118-AY$145,"")</f>
        <v/>
      </c>
      <c r="CC118" s="1" t="str">
        <f>IF(AZ118&gt;AZ$145, AZ118-AZ$145,"")</f>
        <v/>
      </c>
      <c r="CD118" s="1" t="str">
        <f>IF(BA118&gt;BA$145, BA118-BA$145,"")</f>
        <v/>
      </c>
      <c r="CE118" s="1" t="str">
        <f>IF(BB118&gt;BB$145, BB118-BB$145,"")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8"/>
    </row>
    <row r="119" spans="1:97" ht="54" x14ac:dyDescent="0.15">
      <c r="A119" s="1"/>
      <c r="B119" s="1" t="s">
        <v>164</v>
      </c>
      <c r="C119" s="1" t="s">
        <v>158</v>
      </c>
      <c r="D119" s="1" t="s">
        <v>130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32"/>
      <c r="Q119" s="32"/>
      <c r="R119" s="32"/>
      <c r="S119" s="32"/>
      <c r="T119" s="32"/>
      <c r="U119" s="32"/>
      <c r="V119" s="32">
        <v>10</v>
      </c>
      <c r="W119" s="32"/>
      <c r="X119" s="32"/>
      <c r="Y119" s="32">
        <v>10</v>
      </c>
      <c r="Z119" s="32"/>
      <c r="AA119" s="32"/>
      <c r="AB119" s="32">
        <v>10</v>
      </c>
      <c r="AC119" s="32">
        <v>5</v>
      </c>
      <c r="AD119" s="32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35</v>
      </c>
      <c r="BQ119" s="1">
        <v>23</v>
      </c>
      <c r="BR119" s="17">
        <v>4</v>
      </c>
      <c r="BS119" s="17" t="s">
        <v>310</v>
      </c>
      <c r="BT119" s="1" t="str">
        <f>IF(AQ119&gt;AQ$145, AQ119-AQ$145,"")</f>
        <v/>
      </c>
      <c r="BU119" s="1" t="str">
        <f>IF(AR119&gt;AR$145, AR119-AR$145,"")</f>
        <v/>
      </c>
      <c r="BV119" s="1" t="str">
        <f>IF(AS119&gt;AS$145, AS119-AS$145,"")</f>
        <v/>
      </c>
      <c r="BW119" s="1" t="str">
        <f>IF(AT119&gt;AT$145, AT119-AT$145,"")</f>
        <v/>
      </c>
      <c r="BX119" s="1" t="str">
        <f>IF(AU119&gt;AU$145, AU119-AU$145,"")</f>
        <v/>
      </c>
      <c r="BY119" s="1" t="str">
        <f>IF(AV119&gt;AV$145, AV119-AV$145,"")</f>
        <v/>
      </c>
      <c r="BZ119" s="1" t="str">
        <f>IF(AW119&gt;AW$145, AW119-AW$145,"")</f>
        <v/>
      </c>
      <c r="CA119" s="1" t="str">
        <f>IF(AX119&gt;AX$145, AX119-AX$145,"")</f>
        <v/>
      </c>
      <c r="CB119" s="1" t="str">
        <f>IF(AY119&gt;AY$145, AY119-AY$145,"")</f>
        <v/>
      </c>
      <c r="CC119" s="1" t="str">
        <f>IF(AZ119&gt;AZ$145, AZ119-AZ$145,"")</f>
        <v/>
      </c>
      <c r="CD119" s="1" t="str">
        <f>IF(BA119&gt;BA$145, BA119-BA$145,"")</f>
        <v/>
      </c>
      <c r="CE119" s="1" t="str">
        <f>IF(BB119&gt;BB$145, BB119-BB$145,"")</f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8"/>
    </row>
    <row r="120" spans="1:97" ht="54" x14ac:dyDescent="0.15">
      <c r="A120" s="1"/>
      <c r="B120" s="1" t="s">
        <v>155</v>
      </c>
      <c r="C120" s="1" t="s">
        <v>156</v>
      </c>
      <c r="D120" s="1" t="s">
        <v>129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32">
        <v>10</v>
      </c>
      <c r="Q120" s="32"/>
      <c r="R120" s="32"/>
      <c r="S120" s="32">
        <v>10</v>
      </c>
      <c r="T120" s="32"/>
      <c r="U120" s="32"/>
      <c r="V120" s="32"/>
      <c r="W120" s="32"/>
      <c r="X120" s="32"/>
      <c r="Y120" s="32"/>
      <c r="Z120" s="32">
        <v>5</v>
      </c>
      <c r="AA120" s="32"/>
      <c r="AB120" s="32">
        <v>10</v>
      </c>
      <c r="AC120" s="32"/>
      <c r="AD120" s="32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35</v>
      </c>
      <c r="BQ120" s="1">
        <v>23</v>
      </c>
      <c r="BR120" s="17">
        <v>4</v>
      </c>
      <c r="BS120" s="17" t="s">
        <v>235</v>
      </c>
      <c r="BT120" s="1" t="str">
        <f>IF(AQ120&gt;AQ$145, AQ120-AQ$145,"")</f>
        <v/>
      </c>
      <c r="BU120" s="1" t="str">
        <f>IF(AR120&gt;AR$145, AR120-AR$145,"")</f>
        <v/>
      </c>
      <c r="BV120" s="1" t="str">
        <f>IF(AS120&gt;AS$145, AS120-AS$145,"")</f>
        <v/>
      </c>
      <c r="BW120" s="1" t="str">
        <f>IF(AT120&gt;AT$145, AT120-AT$145,"")</f>
        <v/>
      </c>
      <c r="BX120" s="1" t="str">
        <f>IF(AU120&gt;AU$145, AU120-AU$145,"")</f>
        <v/>
      </c>
      <c r="BY120" s="1" t="str">
        <f>IF(AV120&gt;AV$145, AV120-AV$145,"")</f>
        <v/>
      </c>
      <c r="BZ120" s="1" t="str">
        <f>IF(AW120&gt;AW$145, AW120-AW$145,"")</f>
        <v/>
      </c>
      <c r="CA120" s="1" t="str">
        <f>IF(AX120&gt;AX$145, AX120-AX$145,"")</f>
        <v/>
      </c>
      <c r="CB120" s="1" t="str">
        <f>IF(AY120&gt;AY$145, AY120-AY$145,"")</f>
        <v/>
      </c>
      <c r="CC120" s="1" t="str">
        <f>IF(AZ120&gt;AZ$145, AZ120-AZ$145,"")</f>
        <v/>
      </c>
      <c r="CD120" s="1" t="str">
        <f>IF(BA120&gt;BA$145, BA120-BA$145,"")</f>
        <v/>
      </c>
      <c r="CE120" s="1" t="str">
        <f>IF(BB120&gt;BB$145, BB120-BB$145,"")</f>
        <v/>
      </c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8"/>
    </row>
    <row r="121" spans="1:97" ht="54" x14ac:dyDescent="0.15">
      <c r="A121" s="1"/>
      <c r="B121" s="1" t="s">
        <v>146</v>
      </c>
      <c r="C121" s="1" t="s">
        <v>147</v>
      </c>
      <c r="D121" s="1" t="s">
        <v>130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32"/>
      <c r="Q121" s="32">
        <v>5</v>
      </c>
      <c r="R121" s="32"/>
      <c r="S121" s="32"/>
      <c r="T121" s="32"/>
      <c r="U121" s="32"/>
      <c r="V121" s="32">
        <v>10</v>
      </c>
      <c r="W121" s="32"/>
      <c r="X121" s="32"/>
      <c r="Y121" s="32">
        <v>10</v>
      </c>
      <c r="Z121" s="32"/>
      <c r="AA121" s="32"/>
      <c r="AB121" s="32">
        <v>10</v>
      </c>
      <c r="AC121" s="32"/>
      <c r="AD121" s="32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35</v>
      </c>
      <c r="BQ121" s="1">
        <v>24</v>
      </c>
      <c r="BR121" s="17">
        <v>4</v>
      </c>
      <c r="BS121" s="17" t="s">
        <v>236</v>
      </c>
      <c r="BT121" s="1" t="str">
        <f>IF(AQ121&gt;AQ$145, AQ121-AQ$145,"")</f>
        <v/>
      </c>
      <c r="BU121" s="1" t="str">
        <f>IF(AR121&gt;AR$145, AR121-AR$145,"")</f>
        <v/>
      </c>
      <c r="BV121" s="1" t="str">
        <f>IF(AS121&gt;AS$145, AS121-AS$145,"")</f>
        <v/>
      </c>
      <c r="BW121" s="1" t="str">
        <f>IF(AT121&gt;AT$145, AT121-AT$145,"")</f>
        <v/>
      </c>
      <c r="BX121" s="1" t="str">
        <f>IF(AU121&gt;AU$145, AU121-AU$145,"")</f>
        <v/>
      </c>
      <c r="BY121" s="1" t="str">
        <f>IF(AV121&gt;AV$145, AV121-AV$145,"")</f>
        <v/>
      </c>
      <c r="BZ121" s="1" t="str">
        <f>IF(AW121&gt;AW$145, AW121-AW$145,"")</f>
        <v/>
      </c>
      <c r="CA121" s="1" t="str">
        <f>IF(AX121&gt;AX$145, AX121-AX$145,"")</f>
        <v/>
      </c>
      <c r="CB121" s="1" t="str">
        <f>IF(AY121&gt;AY$145, AY121-AY$145,"")</f>
        <v/>
      </c>
      <c r="CC121" s="1" t="str">
        <f>IF(AZ121&gt;AZ$145, AZ121-AZ$145,"")</f>
        <v/>
      </c>
      <c r="CD121" s="1" t="str">
        <f>IF(BA121&gt;BA$145, BA121-BA$145,"")</f>
        <v/>
      </c>
      <c r="CE121" s="1" t="str">
        <f>IF(BB121&gt;BB$145, BB121-BB$145,"")</f>
        <v/>
      </c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8"/>
    </row>
    <row r="122" spans="1:97" ht="54" x14ac:dyDescent="0.15">
      <c r="A122" s="1"/>
      <c r="B122" s="1" t="s">
        <v>152</v>
      </c>
      <c r="C122" s="1" t="s">
        <v>151</v>
      </c>
      <c r="D122" s="1" t="s">
        <v>130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32"/>
      <c r="Q122" s="32">
        <v>5</v>
      </c>
      <c r="R122" s="32"/>
      <c r="S122" s="32"/>
      <c r="T122" s="32"/>
      <c r="U122" s="32"/>
      <c r="V122" s="32">
        <v>10</v>
      </c>
      <c r="W122" s="32"/>
      <c r="X122" s="32"/>
      <c r="Y122" s="32">
        <v>10</v>
      </c>
      <c r="Z122" s="32"/>
      <c r="AA122" s="32"/>
      <c r="AB122" s="32">
        <v>10</v>
      </c>
      <c r="AC122" s="32"/>
      <c r="AD122" s="32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35</v>
      </c>
      <c r="BQ122" s="1">
        <v>24</v>
      </c>
      <c r="BR122" s="17">
        <v>4</v>
      </c>
      <c r="BS122" s="17" t="s">
        <v>311</v>
      </c>
      <c r="BT122" s="1" t="str">
        <f>IF(AQ122&gt;AQ$145, AQ122-AQ$145,"")</f>
        <v/>
      </c>
      <c r="BU122" s="1" t="str">
        <f>IF(AR122&gt;AR$145, AR122-AR$145,"")</f>
        <v/>
      </c>
      <c r="BV122" s="1" t="str">
        <f>IF(AS122&gt;AS$145, AS122-AS$145,"")</f>
        <v/>
      </c>
      <c r="BW122" s="1" t="str">
        <f>IF(AT122&gt;AT$145, AT122-AT$145,"")</f>
        <v/>
      </c>
      <c r="BX122" s="1" t="str">
        <f>IF(AU122&gt;AU$145, AU122-AU$145,"")</f>
        <v/>
      </c>
      <c r="BY122" s="1" t="str">
        <f>IF(AV122&gt;AV$145, AV122-AV$145,"")</f>
        <v/>
      </c>
      <c r="BZ122" s="1" t="str">
        <f>IF(AW122&gt;AW$145, AW122-AW$145,"")</f>
        <v/>
      </c>
      <c r="CA122" s="1" t="str">
        <f>IF(AX122&gt;AX$145, AX122-AX$145,"")</f>
        <v/>
      </c>
      <c r="CB122" s="1" t="str">
        <f>IF(AY122&gt;AY$145, AY122-AY$145,"")</f>
        <v/>
      </c>
      <c r="CC122" s="1" t="str">
        <f>IF(AZ122&gt;AZ$145, AZ122-AZ$145,"")</f>
        <v/>
      </c>
      <c r="CD122" s="1" t="str">
        <f>IF(BA122&gt;BA$145, BA122-BA$145,"")</f>
        <v/>
      </c>
      <c r="CE122" s="1" t="str">
        <f>IF(BB122&gt;BB$145, BB122-BB$145,"")</f>
        <v/>
      </c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8"/>
    </row>
    <row r="123" spans="1:97" ht="54" x14ac:dyDescent="0.15">
      <c r="A123" s="1"/>
      <c r="B123" s="1" t="s">
        <v>140</v>
      </c>
      <c r="C123" s="1" t="s">
        <v>128</v>
      </c>
      <c r="D123" s="1" t="s">
        <v>131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>
        <v>10</v>
      </c>
      <c r="P123" s="32"/>
      <c r="Q123" s="32"/>
      <c r="R123" s="32">
        <v>10</v>
      </c>
      <c r="S123" s="32"/>
      <c r="T123" s="32"/>
      <c r="U123" s="32"/>
      <c r="V123" s="32"/>
      <c r="W123" s="32"/>
      <c r="X123" s="32">
        <v>10</v>
      </c>
      <c r="Y123" s="32"/>
      <c r="Z123" s="32"/>
      <c r="AA123" s="32"/>
      <c r="AB123" s="32"/>
      <c r="AC123" s="32"/>
      <c r="AD123" s="32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>
        <v>10</v>
      </c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40</v>
      </c>
      <c r="BQ123" s="1">
        <v>28</v>
      </c>
      <c r="BR123" s="17">
        <v>4</v>
      </c>
      <c r="BS123" s="17" t="s">
        <v>313</v>
      </c>
      <c r="BT123" s="1" t="str">
        <f>IF(AQ123&gt;AQ$145, AQ123-AQ$145,"")</f>
        <v/>
      </c>
      <c r="BU123" s="1" t="str">
        <f>IF(AR123&gt;AR$145, AR123-AR$145,"")</f>
        <v/>
      </c>
      <c r="BV123" s="1">
        <f>IF(AS123&gt;AS$145, AS123-AS$145,"")</f>
        <v>8</v>
      </c>
      <c r="BW123" s="1" t="str">
        <f>IF(AT123&gt;AT$145, AT123-AT$145,"")</f>
        <v/>
      </c>
      <c r="BX123" s="1" t="str">
        <f>IF(AU123&gt;AU$145, AU123-AU$145,"")</f>
        <v/>
      </c>
      <c r="BY123" s="1" t="str">
        <f>IF(AV123&gt;AV$145, AV123-AV$145,"")</f>
        <v/>
      </c>
      <c r="BZ123" s="1" t="str">
        <f>IF(AW123&gt;AW$145, AW123-AW$145,"")</f>
        <v/>
      </c>
      <c r="CA123" s="1" t="str">
        <f>IF(AX123&gt;AX$145, AX123-AX$145,"")</f>
        <v/>
      </c>
      <c r="CB123" s="1" t="str">
        <f>IF(AY123&gt;AY$145, AY123-AY$145,"")</f>
        <v/>
      </c>
      <c r="CC123" s="1" t="str">
        <f>IF(AZ123&gt;AZ$145, AZ123-AZ$145,"")</f>
        <v/>
      </c>
      <c r="CD123" s="1" t="str">
        <f>IF(BA123&gt;BA$145, BA123-BA$145,"")</f>
        <v/>
      </c>
      <c r="CE123" s="1" t="str">
        <f>IF(BB123&gt;BB$145, BB123-BB$145,"")</f>
        <v/>
      </c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8"/>
    </row>
    <row r="124" spans="1:97" ht="54" x14ac:dyDescent="0.15">
      <c r="A124" s="1"/>
      <c r="B124" s="1" t="s">
        <v>146</v>
      </c>
      <c r="C124" s="1" t="s">
        <v>147</v>
      </c>
      <c r="D124" s="1" t="s">
        <v>131</v>
      </c>
      <c r="E124" s="6">
        <v>10</v>
      </c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32"/>
      <c r="Q124" s="32"/>
      <c r="R124" s="32">
        <v>10</v>
      </c>
      <c r="S124" s="32"/>
      <c r="T124" s="32"/>
      <c r="U124" s="32">
        <v>10</v>
      </c>
      <c r="V124" s="32"/>
      <c r="W124" s="32"/>
      <c r="X124" s="32"/>
      <c r="Y124" s="32"/>
      <c r="Z124" s="32"/>
      <c r="AA124" s="32"/>
      <c r="AB124" s="32"/>
      <c r="AC124" s="32"/>
      <c r="AD124" s="32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>
        <v>10</v>
      </c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40</v>
      </c>
      <c r="BQ124" s="1">
        <v>30</v>
      </c>
      <c r="BR124" s="17">
        <v>4</v>
      </c>
      <c r="BS124" s="17" t="s">
        <v>293</v>
      </c>
      <c r="BT124" s="1" t="str">
        <f>IF(AQ124&gt;AQ$145, AQ124-AQ$145,"")</f>
        <v/>
      </c>
      <c r="BU124" s="1" t="str">
        <f>IF(AR124&gt;AR$145, AR124-AR$145,"")</f>
        <v/>
      </c>
      <c r="BV124" s="1" t="str">
        <f>IF(AS124&gt;AS$145, AS124-AS$145,"")</f>
        <v/>
      </c>
      <c r="BW124" s="1" t="str">
        <f>IF(AT124&gt;AT$145, AT124-AT$145,"")</f>
        <v/>
      </c>
      <c r="BX124" s="1">
        <f>IF(AU124&gt;AU$145, AU124-AU$145,"")</f>
        <v>4</v>
      </c>
      <c r="BY124" s="1" t="str">
        <f>IF(AV124&gt;AV$145, AV124-AV$145,"")</f>
        <v/>
      </c>
      <c r="BZ124" s="1" t="str">
        <f>IF(AW124&gt;AW$145, AW124-AW$145,"")</f>
        <v/>
      </c>
      <c r="CA124" s="1" t="str">
        <f>IF(AX124&gt;AX$145, AX124-AX$145,"")</f>
        <v/>
      </c>
      <c r="CB124" s="1" t="str">
        <f>IF(AY124&gt;AY$145, AY124-AY$145,"")</f>
        <v/>
      </c>
      <c r="CC124" s="1" t="str">
        <f>IF(AZ124&gt;AZ$145, AZ124-AZ$145,"")</f>
        <v/>
      </c>
      <c r="CD124" s="1" t="str">
        <f>IF(BA124&gt;BA$145, BA124-BA$145,"")</f>
        <v/>
      </c>
      <c r="CE124" s="1" t="str">
        <f>IF(BB124&gt;BB$145, BB124-BB$145,"")</f>
        <v/>
      </c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8"/>
    </row>
    <row r="125" spans="1:97" ht="54" x14ac:dyDescent="0.15">
      <c r="A125" s="1"/>
      <c r="B125" s="1" t="s">
        <v>152</v>
      </c>
      <c r="C125" s="1" t="s">
        <v>151</v>
      </c>
      <c r="D125" s="1" t="s">
        <v>131</v>
      </c>
      <c r="E125" s="6">
        <v>10</v>
      </c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32"/>
      <c r="Q125" s="32"/>
      <c r="R125" s="32">
        <v>10</v>
      </c>
      <c r="S125" s="32"/>
      <c r="T125" s="32"/>
      <c r="U125" s="32">
        <v>10</v>
      </c>
      <c r="V125" s="32"/>
      <c r="W125" s="32"/>
      <c r="X125" s="32"/>
      <c r="Y125" s="32"/>
      <c r="Z125" s="32"/>
      <c r="AA125" s="32"/>
      <c r="AB125" s="32"/>
      <c r="AC125" s="32"/>
      <c r="AD125" s="32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>
        <v>10</v>
      </c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40</v>
      </c>
      <c r="BQ125" s="1">
        <v>30</v>
      </c>
      <c r="BR125" s="17">
        <v>4</v>
      </c>
      <c r="BS125" s="17" t="s">
        <v>294</v>
      </c>
      <c r="BT125" s="1" t="str">
        <f>IF(AQ125&gt;AQ$145, AQ125-AQ$145,"")</f>
        <v/>
      </c>
      <c r="BU125" s="1" t="str">
        <f>IF(AR125&gt;AR$145, AR125-AR$145,"")</f>
        <v/>
      </c>
      <c r="BV125" s="1" t="str">
        <f>IF(AS125&gt;AS$145, AS125-AS$145,"")</f>
        <v/>
      </c>
      <c r="BW125" s="1" t="str">
        <f>IF(AT125&gt;AT$145, AT125-AT$145,"")</f>
        <v/>
      </c>
      <c r="BX125" s="1">
        <f>IF(AU125&gt;AU$145, AU125-AU$145,"")</f>
        <v>4</v>
      </c>
      <c r="BY125" s="1" t="str">
        <f>IF(AV125&gt;AV$145, AV125-AV$145,"")</f>
        <v/>
      </c>
      <c r="BZ125" s="1" t="str">
        <f>IF(AW125&gt;AW$145, AW125-AW$145,"")</f>
        <v/>
      </c>
      <c r="CA125" s="1" t="str">
        <f>IF(AX125&gt;AX$145, AX125-AX$145,"")</f>
        <v/>
      </c>
      <c r="CB125" s="1" t="str">
        <f>IF(AY125&gt;AY$145, AY125-AY$145,"")</f>
        <v/>
      </c>
      <c r="CC125" s="1" t="str">
        <f>IF(AZ125&gt;AZ$145, AZ125-AZ$145,"")</f>
        <v/>
      </c>
      <c r="CD125" s="1" t="str">
        <f>IF(BA125&gt;BA$145, BA125-BA$145,"")</f>
        <v/>
      </c>
      <c r="CE125" s="1" t="str">
        <f>IF(BB125&gt;BB$145, BB125-BB$145,"")</f>
        <v/>
      </c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8"/>
    </row>
    <row r="126" spans="1:97" ht="54" x14ac:dyDescent="0.15">
      <c r="A126" s="1"/>
      <c r="B126" s="1" t="s">
        <v>162</v>
      </c>
      <c r="C126" s="1" t="s">
        <v>158</v>
      </c>
      <c r="D126" s="1" t="s">
        <v>131</v>
      </c>
      <c r="E126" s="6">
        <v>10</v>
      </c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32"/>
      <c r="Q126" s="32"/>
      <c r="R126" s="32">
        <v>10</v>
      </c>
      <c r="S126" s="32"/>
      <c r="T126" s="32"/>
      <c r="U126" s="32">
        <v>10</v>
      </c>
      <c r="V126" s="32"/>
      <c r="W126" s="32"/>
      <c r="X126" s="32"/>
      <c r="Y126" s="32"/>
      <c r="Z126" s="32"/>
      <c r="AA126" s="32"/>
      <c r="AB126" s="32"/>
      <c r="AC126" s="32"/>
      <c r="AD126" s="32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>
        <v>10</v>
      </c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40</v>
      </c>
      <c r="BQ126" s="1">
        <v>30</v>
      </c>
      <c r="BR126" s="17">
        <v>4</v>
      </c>
      <c r="BS126" s="17" t="s">
        <v>295</v>
      </c>
      <c r="BT126" s="1" t="str">
        <f>IF(AQ126&gt;AQ$145, AQ126-AQ$145,"")</f>
        <v/>
      </c>
      <c r="BU126" s="1" t="str">
        <f>IF(AR126&gt;AR$145, AR126-AR$145,"")</f>
        <v/>
      </c>
      <c r="BV126" s="1" t="str">
        <f>IF(AS126&gt;AS$145, AS126-AS$145,"")</f>
        <v/>
      </c>
      <c r="BW126" s="1" t="str">
        <f>IF(AT126&gt;AT$145, AT126-AT$145,"")</f>
        <v/>
      </c>
      <c r="BX126" s="1">
        <f>IF(AU126&gt;AU$145, AU126-AU$145,"")</f>
        <v>4</v>
      </c>
      <c r="BY126" s="1" t="str">
        <f>IF(AV126&gt;AV$145, AV126-AV$145,"")</f>
        <v/>
      </c>
      <c r="BZ126" s="1" t="str">
        <f>IF(AW126&gt;AW$145, AW126-AW$145,"")</f>
        <v/>
      </c>
      <c r="CA126" s="1" t="str">
        <f>IF(AX126&gt;AX$145, AX126-AX$145,"")</f>
        <v/>
      </c>
      <c r="CB126" s="1" t="str">
        <f>IF(AY126&gt;AY$145, AY126-AY$145,"")</f>
        <v/>
      </c>
      <c r="CC126" s="1" t="str">
        <f>IF(AZ126&gt;AZ$145, AZ126-AZ$145,"")</f>
        <v/>
      </c>
      <c r="CD126" s="1" t="str">
        <f>IF(BA126&gt;BA$145, BA126-BA$145,"")</f>
        <v/>
      </c>
      <c r="CE126" s="1" t="str">
        <f>IF(BB126&gt;BB$145, BB126-BB$145,"")</f>
        <v/>
      </c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8"/>
    </row>
    <row r="127" spans="1:97" ht="54" x14ac:dyDescent="0.15">
      <c r="A127" s="1"/>
      <c r="B127" s="1" t="s">
        <v>145</v>
      </c>
      <c r="C127" s="1" t="s">
        <v>128</v>
      </c>
      <c r="D127" s="1" t="s">
        <v>131</v>
      </c>
      <c r="E127" s="6"/>
      <c r="F127" s="6"/>
      <c r="G127" s="6"/>
      <c r="H127" s="6">
        <v>10</v>
      </c>
      <c r="I127" s="6"/>
      <c r="J127" s="6"/>
      <c r="K127" s="6"/>
      <c r="L127" s="6"/>
      <c r="M127" s="6"/>
      <c r="N127" s="6"/>
      <c r="O127" s="6"/>
      <c r="P127" s="32"/>
      <c r="Q127" s="32"/>
      <c r="R127" s="32">
        <v>10</v>
      </c>
      <c r="S127" s="32"/>
      <c r="T127" s="32"/>
      <c r="U127" s="32"/>
      <c r="V127" s="32"/>
      <c r="W127" s="32"/>
      <c r="X127" s="32">
        <v>10</v>
      </c>
      <c r="Y127" s="32"/>
      <c r="Z127" s="32"/>
      <c r="AA127" s="32"/>
      <c r="AB127" s="32"/>
      <c r="AC127" s="32"/>
      <c r="AD127" s="32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>
        <v>10</v>
      </c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40</v>
      </c>
      <c r="BQ127" s="1">
        <v>31</v>
      </c>
      <c r="BR127" s="17">
        <v>4</v>
      </c>
      <c r="BS127" s="17" t="s">
        <v>312</v>
      </c>
      <c r="BT127" s="1" t="str">
        <f>IF(AQ127&gt;AQ$145, AQ127-AQ$145,"")</f>
        <v/>
      </c>
      <c r="BU127" s="1">
        <f>IF(AR127&gt;AR$145, AR127-AR$145,"")</f>
        <v>9</v>
      </c>
      <c r="BV127" s="1" t="str">
        <f>IF(AS127&gt;AS$145, AS127-AS$145,"")</f>
        <v/>
      </c>
      <c r="BW127" s="1" t="str">
        <f>IF(AT127&gt;AT$145, AT127-AT$145,"")</f>
        <v/>
      </c>
      <c r="BX127" s="1" t="str">
        <f>IF(AU127&gt;AU$145, AU127-AU$145,"")</f>
        <v/>
      </c>
      <c r="BY127" s="1" t="str">
        <f>IF(AV127&gt;AV$145, AV127-AV$145,"")</f>
        <v/>
      </c>
      <c r="BZ127" s="1" t="str">
        <f>IF(AW127&gt;AW$145, AW127-AW$145,"")</f>
        <v/>
      </c>
      <c r="CA127" s="1" t="str">
        <f>IF(AX127&gt;AX$145, AX127-AX$145,"")</f>
        <v/>
      </c>
      <c r="CB127" s="1" t="str">
        <f>IF(AY127&gt;AY$145, AY127-AY$145,"")</f>
        <v/>
      </c>
      <c r="CC127" s="1" t="str">
        <f>IF(AZ127&gt;AZ$145, AZ127-AZ$145,"")</f>
        <v/>
      </c>
      <c r="CD127" s="1" t="str">
        <f>IF(BA127&gt;BA$145, BA127-BA$145,"")</f>
        <v/>
      </c>
      <c r="CE127" s="1" t="str">
        <f>IF(BB127&gt;BB$145, BB127-BB$145,"")</f>
        <v/>
      </c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8"/>
    </row>
    <row r="128" spans="1:97" ht="54" x14ac:dyDescent="0.15">
      <c r="A128" s="1"/>
      <c r="B128" s="1" t="s">
        <v>160</v>
      </c>
      <c r="C128" s="1" t="s">
        <v>158</v>
      </c>
      <c r="D128" s="1" t="s">
        <v>131</v>
      </c>
      <c r="E128" s="6"/>
      <c r="F128" s="6"/>
      <c r="G128" s="6"/>
      <c r="H128" s="6">
        <v>10</v>
      </c>
      <c r="I128" s="6"/>
      <c r="J128" s="6"/>
      <c r="K128" s="6"/>
      <c r="L128" s="6"/>
      <c r="M128" s="6"/>
      <c r="N128" s="6"/>
      <c r="O128" s="6"/>
      <c r="P128" s="32"/>
      <c r="Q128" s="32"/>
      <c r="R128" s="32">
        <v>10</v>
      </c>
      <c r="S128" s="32"/>
      <c r="T128" s="32"/>
      <c r="U128" s="32">
        <v>10</v>
      </c>
      <c r="V128" s="32"/>
      <c r="W128" s="32"/>
      <c r="X128" s="32"/>
      <c r="Y128" s="32"/>
      <c r="Z128" s="32"/>
      <c r="AA128" s="32"/>
      <c r="AB128" s="32"/>
      <c r="AC128" s="32"/>
      <c r="AD128" s="32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>
        <v>10</v>
      </c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40</v>
      </c>
      <c r="BQ128" s="1">
        <v>32</v>
      </c>
      <c r="BR128" s="17">
        <v>4</v>
      </c>
      <c r="BS128" s="17" t="s">
        <v>237</v>
      </c>
      <c r="BT128" s="1" t="str">
        <f>IF(AQ128&gt;AQ$145, AQ128-AQ$145,"")</f>
        <v/>
      </c>
      <c r="BU128" s="1" t="str">
        <f>IF(AR128&gt;AR$145, AR128-AR$145,"")</f>
        <v/>
      </c>
      <c r="BV128" s="1" t="str">
        <f>IF(AS128&gt;AS$145, AS128-AS$145,"")</f>
        <v/>
      </c>
      <c r="BW128" s="1" t="str">
        <f>IF(AT128&gt;AT$145, AT128-AT$145,"")</f>
        <v/>
      </c>
      <c r="BX128" s="1">
        <f>IF(AU128&gt;AU$145, AU128-AU$145,"")</f>
        <v>4</v>
      </c>
      <c r="BY128" s="1" t="str">
        <f>IF(AV128&gt;AV$145, AV128-AV$145,"")</f>
        <v/>
      </c>
      <c r="BZ128" s="1" t="str">
        <f>IF(AW128&gt;AW$145, AW128-AW$145,"")</f>
        <v/>
      </c>
      <c r="CA128" s="1" t="str">
        <f>IF(AX128&gt;AX$145, AX128-AX$145,"")</f>
        <v/>
      </c>
      <c r="CB128" s="1" t="str">
        <f>IF(AY128&gt;AY$145, AY128-AY$145,"")</f>
        <v/>
      </c>
      <c r="CC128" s="1" t="str">
        <f>IF(AZ128&gt;AZ$145, AZ128-AZ$145,"")</f>
        <v/>
      </c>
      <c r="CD128" s="1" t="str">
        <f>IF(BA128&gt;BA$145, BA128-BA$145,"")</f>
        <v/>
      </c>
      <c r="CE128" s="1" t="str">
        <f>IF(BB128&gt;BB$145, BB128-BB$145,"")</f>
        <v/>
      </c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8"/>
    </row>
    <row r="129" spans="1:97" ht="54" x14ac:dyDescent="0.15">
      <c r="A129" s="1"/>
      <c r="B129" s="1" t="s">
        <v>146</v>
      </c>
      <c r="C129" s="1" t="s">
        <v>147</v>
      </c>
      <c r="D129" s="1" t="s">
        <v>129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32">
        <v>10</v>
      </c>
      <c r="Q129" s="32"/>
      <c r="R129" s="32"/>
      <c r="S129" s="32">
        <v>10</v>
      </c>
      <c r="T129" s="32"/>
      <c r="U129" s="32"/>
      <c r="V129" s="32">
        <v>10</v>
      </c>
      <c r="W129" s="32"/>
      <c r="X129" s="32"/>
      <c r="Y129" s="32">
        <v>10</v>
      </c>
      <c r="Z129" s="32"/>
      <c r="AA129" s="32"/>
      <c r="AB129" s="32"/>
      <c r="AC129" s="32"/>
      <c r="AD129" s="32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>SUM(E129:BO129)</f>
        <v>40</v>
      </c>
      <c r="BQ129" s="1">
        <v>35</v>
      </c>
      <c r="BR129" s="17">
        <v>4</v>
      </c>
      <c r="BS129" s="17" t="s">
        <v>314</v>
      </c>
      <c r="BT129" s="1" t="str">
        <f>IF(AQ129&gt;AQ$145, AQ129-AQ$145,"")</f>
        <v/>
      </c>
      <c r="BU129" s="1" t="str">
        <f>IF(AR129&gt;AR$145, AR129-AR$145,"")</f>
        <v/>
      </c>
      <c r="BV129" s="1" t="str">
        <f>IF(AS129&gt;AS$145, AS129-AS$145,"")</f>
        <v/>
      </c>
      <c r="BW129" s="1" t="str">
        <f>IF(AT129&gt;AT$145, AT129-AT$145,"")</f>
        <v/>
      </c>
      <c r="BX129" s="1" t="str">
        <f>IF(AU129&gt;AU$145, AU129-AU$145,"")</f>
        <v/>
      </c>
      <c r="BY129" s="1" t="str">
        <f>IF(AV129&gt;AV$145, AV129-AV$145,"")</f>
        <v/>
      </c>
      <c r="BZ129" s="1" t="str">
        <f>IF(AW129&gt;AW$145, AW129-AW$145,"")</f>
        <v/>
      </c>
      <c r="CA129" s="1" t="str">
        <f>IF(AX129&gt;AX$145, AX129-AX$145,"")</f>
        <v/>
      </c>
      <c r="CB129" s="1" t="str">
        <f>IF(AY129&gt;AY$145, AY129-AY$145,"")</f>
        <v/>
      </c>
      <c r="CC129" s="1" t="str">
        <f>IF(AZ129&gt;AZ$145, AZ129-AZ$145,"")</f>
        <v/>
      </c>
      <c r="CD129" s="1" t="str">
        <f>IF(BA129&gt;BA$145, BA129-BA$145,"")</f>
        <v/>
      </c>
      <c r="CE129" s="1" t="str">
        <f>IF(BB129&gt;BB$145, BB129-BB$145,"")</f>
        <v/>
      </c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8"/>
    </row>
    <row r="130" spans="1:97" ht="54" x14ac:dyDescent="0.15">
      <c r="A130" s="1"/>
      <c r="B130" s="1" t="s">
        <v>152</v>
      </c>
      <c r="C130" s="1" t="s">
        <v>151</v>
      </c>
      <c r="D130" s="1" t="s">
        <v>129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32">
        <v>10</v>
      </c>
      <c r="Q130" s="32"/>
      <c r="R130" s="32"/>
      <c r="S130" s="32">
        <v>10</v>
      </c>
      <c r="T130" s="32"/>
      <c r="U130" s="32"/>
      <c r="V130" s="32">
        <v>10</v>
      </c>
      <c r="W130" s="32"/>
      <c r="X130" s="32"/>
      <c r="Y130" s="32">
        <v>10</v>
      </c>
      <c r="Z130" s="32"/>
      <c r="AA130" s="32"/>
      <c r="AB130" s="32"/>
      <c r="AC130" s="32"/>
      <c r="AD130" s="32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>SUM(E130:BO130)</f>
        <v>40</v>
      </c>
      <c r="BQ130" s="1">
        <v>35</v>
      </c>
      <c r="BR130" s="17">
        <v>4</v>
      </c>
      <c r="BS130" s="17" t="s">
        <v>314</v>
      </c>
      <c r="BT130" s="1" t="str">
        <f>IF(AQ130&gt;AQ$145, AQ130-AQ$145,"")</f>
        <v/>
      </c>
      <c r="BU130" s="1" t="str">
        <f>IF(AR130&gt;AR$145, AR130-AR$145,"")</f>
        <v/>
      </c>
      <c r="BV130" s="1" t="str">
        <f>IF(AS130&gt;AS$145, AS130-AS$145,"")</f>
        <v/>
      </c>
      <c r="BW130" s="1" t="str">
        <f>IF(AT130&gt;AT$145, AT130-AT$145,"")</f>
        <v/>
      </c>
      <c r="BX130" s="1" t="str">
        <f>IF(AU130&gt;AU$145, AU130-AU$145,"")</f>
        <v/>
      </c>
      <c r="BY130" s="1" t="str">
        <f>IF(AV130&gt;AV$145, AV130-AV$145,"")</f>
        <v/>
      </c>
      <c r="BZ130" s="1" t="str">
        <f>IF(AW130&gt;AW$145, AW130-AW$145,"")</f>
        <v/>
      </c>
      <c r="CA130" s="1" t="str">
        <f>IF(AX130&gt;AX$145, AX130-AX$145,"")</f>
        <v/>
      </c>
      <c r="CB130" s="1" t="str">
        <f>IF(AY130&gt;AY$145, AY130-AY$145,"")</f>
        <v/>
      </c>
      <c r="CC130" s="1" t="str">
        <f>IF(AZ130&gt;AZ$145, AZ130-AZ$145,"")</f>
        <v/>
      </c>
      <c r="CD130" s="1" t="str">
        <f>IF(BA130&gt;BA$145, BA130-BA$145,"")</f>
        <v/>
      </c>
      <c r="CE130" s="1" t="str">
        <f>IF(BB130&gt;BB$145, BB130-BB$145,"")</f>
        <v/>
      </c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8"/>
    </row>
    <row r="131" spans="1:97" ht="54" x14ac:dyDescent="0.15">
      <c r="A131" s="1"/>
      <c r="B131" s="1" t="s">
        <v>154</v>
      </c>
      <c r="C131" s="1" t="s">
        <v>156</v>
      </c>
      <c r="D131" s="1" t="s">
        <v>129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32">
        <v>10</v>
      </c>
      <c r="Q131" s="32"/>
      <c r="R131" s="32"/>
      <c r="S131" s="32">
        <v>10</v>
      </c>
      <c r="T131" s="32"/>
      <c r="U131" s="32"/>
      <c r="V131" s="32">
        <v>10</v>
      </c>
      <c r="W131" s="32"/>
      <c r="X131" s="32"/>
      <c r="Y131" s="32">
        <v>10</v>
      </c>
      <c r="Z131" s="32"/>
      <c r="AA131" s="32"/>
      <c r="AB131" s="32"/>
      <c r="AC131" s="32"/>
      <c r="AD131" s="32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40</v>
      </c>
      <c r="BQ131" s="1">
        <v>35</v>
      </c>
      <c r="BR131" s="17">
        <v>4</v>
      </c>
      <c r="BS131" s="17" t="s">
        <v>238</v>
      </c>
      <c r="BT131" s="1" t="str">
        <f>IF(AQ131&gt;AQ$145, AQ131-AQ$145,"")</f>
        <v/>
      </c>
      <c r="BU131" s="1" t="str">
        <f>IF(AR131&gt;AR$145, AR131-AR$145,"")</f>
        <v/>
      </c>
      <c r="BV131" s="1" t="str">
        <f>IF(AS131&gt;AS$145, AS131-AS$145,"")</f>
        <v/>
      </c>
      <c r="BW131" s="1" t="str">
        <f>IF(AT131&gt;AT$145, AT131-AT$145,"")</f>
        <v/>
      </c>
      <c r="BX131" s="1" t="str">
        <f>IF(AU131&gt;AU$145, AU131-AU$145,"")</f>
        <v/>
      </c>
      <c r="BY131" s="1" t="str">
        <f>IF(AV131&gt;AV$145, AV131-AV$145,"")</f>
        <v/>
      </c>
      <c r="BZ131" s="1" t="str">
        <f>IF(AW131&gt;AW$145, AW131-AW$145,"")</f>
        <v/>
      </c>
      <c r="CA131" s="1" t="str">
        <f>IF(AX131&gt;AX$145, AX131-AX$145,"")</f>
        <v/>
      </c>
      <c r="CB131" s="1" t="str">
        <f>IF(AY131&gt;AY$145, AY131-AY$145,"")</f>
        <v/>
      </c>
      <c r="CC131" s="1" t="str">
        <f>IF(AZ131&gt;AZ$145, AZ131-AZ$145,"")</f>
        <v/>
      </c>
      <c r="CD131" s="1" t="str">
        <f>IF(BA131&gt;BA$145, BA131-BA$145,"")</f>
        <v/>
      </c>
      <c r="CE131" s="1" t="str">
        <f>IF(BB131&gt;BB$145, BB131-BB$145,"")</f>
        <v/>
      </c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8"/>
    </row>
    <row r="132" spans="1:97" ht="54" x14ac:dyDescent="0.15">
      <c r="A132" s="1"/>
      <c r="B132" s="1" t="s">
        <v>160</v>
      </c>
      <c r="C132" s="1" t="s">
        <v>158</v>
      </c>
      <c r="D132" s="1" t="s">
        <v>129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32">
        <v>10</v>
      </c>
      <c r="Q132" s="32"/>
      <c r="R132" s="32"/>
      <c r="S132" s="32">
        <v>10</v>
      </c>
      <c r="T132" s="32"/>
      <c r="U132" s="32"/>
      <c r="V132" s="32">
        <v>10</v>
      </c>
      <c r="W132" s="32"/>
      <c r="X132" s="32"/>
      <c r="Y132" s="32">
        <v>10</v>
      </c>
      <c r="Z132" s="32"/>
      <c r="AA132" s="32"/>
      <c r="AB132" s="32"/>
      <c r="AC132" s="32"/>
      <c r="AD132" s="32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>SUM(E132:BO132)</f>
        <v>40</v>
      </c>
      <c r="BQ132" s="1">
        <v>35</v>
      </c>
      <c r="BR132" s="17">
        <v>4</v>
      </c>
      <c r="BS132" s="17" t="s">
        <v>238</v>
      </c>
      <c r="BT132" s="1" t="str">
        <f>IF(AQ132&gt;AQ$145, AQ132-AQ$145,"")</f>
        <v/>
      </c>
      <c r="BU132" s="1" t="str">
        <f>IF(AR132&gt;AR$145, AR132-AR$145,"")</f>
        <v/>
      </c>
      <c r="BV132" s="1" t="str">
        <f>IF(AS132&gt;AS$145, AS132-AS$145,"")</f>
        <v/>
      </c>
      <c r="BW132" s="1" t="str">
        <f>IF(AT132&gt;AT$145, AT132-AT$145,"")</f>
        <v/>
      </c>
      <c r="BX132" s="1" t="str">
        <f>IF(AU132&gt;AU$145, AU132-AU$145,"")</f>
        <v/>
      </c>
      <c r="BY132" s="1" t="str">
        <f>IF(AV132&gt;AV$145, AV132-AV$145,"")</f>
        <v/>
      </c>
      <c r="BZ132" s="1" t="str">
        <f>IF(AW132&gt;AW$145, AW132-AW$145,"")</f>
        <v/>
      </c>
      <c r="CA132" s="1" t="str">
        <f>IF(AX132&gt;AX$145, AX132-AX$145,"")</f>
        <v/>
      </c>
      <c r="CB132" s="1" t="str">
        <f>IF(AY132&gt;AY$145, AY132-AY$145,"")</f>
        <v/>
      </c>
      <c r="CC132" s="1" t="str">
        <f>IF(AZ132&gt;AZ$145, AZ132-AZ$145,"")</f>
        <v/>
      </c>
      <c r="CD132" s="1" t="str">
        <f>IF(BA132&gt;BA$145, BA132-BA$145,"")</f>
        <v/>
      </c>
      <c r="CE132" s="1" t="str">
        <f>IF(BB132&gt;BB$145, BB132-BB$145,"")</f>
        <v/>
      </c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8"/>
    </row>
    <row r="133" spans="1:97" ht="54" x14ac:dyDescent="0.15">
      <c r="A133" s="1"/>
      <c r="B133" s="1" t="s">
        <v>163</v>
      </c>
      <c r="C133" s="1" t="s">
        <v>158</v>
      </c>
      <c r="D133" s="1" t="s">
        <v>129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32">
        <v>10</v>
      </c>
      <c r="Q133" s="32"/>
      <c r="R133" s="32"/>
      <c r="S133" s="32">
        <v>10</v>
      </c>
      <c r="T133" s="32"/>
      <c r="U133" s="32"/>
      <c r="V133" s="32">
        <v>10</v>
      </c>
      <c r="W133" s="32"/>
      <c r="X133" s="32"/>
      <c r="Y133" s="32">
        <v>10</v>
      </c>
      <c r="Z133" s="32"/>
      <c r="AA133" s="32"/>
      <c r="AB133" s="32"/>
      <c r="AC133" s="32"/>
      <c r="AD133" s="32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40</v>
      </c>
      <c r="BQ133" s="1">
        <v>35</v>
      </c>
      <c r="BR133" s="17">
        <v>4</v>
      </c>
      <c r="BS133" s="17" t="s">
        <v>238</v>
      </c>
      <c r="BT133" s="1" t="str">
        <f>IF(AQ133&gt;AQ$145, AQ133-AQ$145,"")</f>
        <v/>
      </c>
      <c r="BU133" s="1" t="str">
        <f>IF(AR133&gt;AR$145, AR133-AR$145,"")</f>
        <v/>
      </c>
      <c r="BV133" s="1" t="str">
        <f>IF(AS133&gt;AS$145, AS133-AS$145,"")</f>
        <v/>
      </c>
      <c r="BW133" s="1" t="str">
        <f>IF(AT133&gt;AT$145, AT133-AT$145,"")</f>
        <v/>
      </c>
      <c r="BX133" s="1" t="str">
        <f>IF(AU133&gt;AU$145, AU133-AU$145,"")</f>
        <v/>
      </c>
      <c r="BY133" s="1" t="str">
        <f>IF(AV133&gt;AV$145, AV133-AV$145,"")</f>
        <v/>
      </c>
      <c r="BZ133" s="1" t="str">
        <f>IF(AW133&gt;AW$145, AW133-AW$145,"")</f>
        <v/>
      </c>
      <c r="CA133" s="1" t="str">
        <f>IF(AX133&gt;AX$145, AX133-AX$145,"")</f>
        <v/>
      </c>
      <c r="CB133" s="1" t="str">
        <f>IF(AY133&gt;AY$145, AY133-AY$145,"")</f>
        <v/>
      </c>
      <c r="CC133" s="1" t="str">
        <f>IF(AZ133&gt;AZ$145, AZ133-AZ$145,"")</f>
        <v/>
      </c>
      <c r="CD133" s="1" t="str">
        <f>IF(BA133&gt;BA$145, BA133-BA$145,"")</f>
        <v/>
      </c>
      <c r="CE133" s="1" t="str">
        <f>IF(BB133&gt;BB$145, BB133-BB$145,"")</f>
        <v/>
      </c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8"/>
    </row>
    <row r="134" spans="1:97" ht="54" x14ac:dyDescent="0.15">
      <c r="A134" s="1"/>
      <c r="B134" s="1" t="s">
        <v>164</v>
      </c>
      <c r="C134" s="1" t="s">
        <v>158</v>
      </c>
      <c r="D134" s="1" t="s">
        <v>129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32">
        <v>10</v>
      </c>
      <c r="Q134" s="32"/>
      <c r="R134" s="32"/>
      <c r="S134" s="32">
        <v>10</v>
      </c>
      <c r="T134" s="32"/>
      <c r="U134" s="32"/>
      <c r="V134" s="32">
        <v>10</v>
      </c>
      <c r="W134" s="32"/>
      <c r="X134" s="32"/>
      <c r="Y134" s="32">
        <v>10</v>
      </c>
      <c r="Z134" s="32"/>
      <c r="AA134" s="32"/>
      <c r="AB134" s="32"/>
      <c r="AC134" s="32"/>
      <c r="AD134" s="32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40</v>
      </c>
      <c r="BQ134" s="1">
        <v>35</v>
      </c>
      <c r="BR134" s="17">
        <v>4</v>
      </c>
      <c r="BS134" s="17" t="s">
        <v>238</v>
      </c>
      <c r="BT134" s="1" t="str">
        <f>IF(AQ134&gt;AQ$145, AQ134-AQ$145,"")</f>
        <v/>
      </c>
      <c r="BU134" s="1" t="str">
        <f>IF(AR134&gt;AR$145, AR134-AR$145,"")</f>
        <v/>
      </c>
      <c r="BV134" s="1" t="str">
        <f>IF(AS134&gt;AS$145, AS134-AS$145,"")</f>
        <v/>
      </c>
      <c r="BW134" s="1" t="str">
        <f>IF(AT134&gt;AT$145, AT134-AT$145,"")</f>
        <v/>
      </c>
      <c r="BX134" s="1" t="str">
        <f>IF(AU134&gt;AU$145, AU134-AU$145,"")</f>
        <v/>
      </c>
      <c r="BY134" s="1" t="str">
        <f>IF(AV134&gt;AV$145, AV134-AV$145,"")</f>
        <v/>
      </c>
      <c r="BZ134" s="1" t="str">
        <f>IF(AW134&gt;AW$145, AW134-AW$145,"")</f>
        <v/>
      </c>
      <c r="CA134" s="1" t="str">
        <f>IF(AX134&gt;AX$145, AX134-AX$145,"")</f>
        <v/>
      </c>
      <c r="CB134" s="1" t="str">
        <f>IF(AY134&gt;AY$145, AY134-AY$145,"")</f>
        <v/>
      </c>
      <c r="CC134" s="1" t="str">
        <f>IF(AZ134&gt;AZ$145, AZ134-AZ$145,"")</f>
        <v/>
      </c>
      <c r="CD134" s="1" t="str">
        <f>IF(BA134&gt;BA$145, BA134-BA$145,"")</f>
        <v/>
      </c>
      <c r="CE134" s="1" t="str">
        <f>IF(BB134&gt;BB$145, BB134-BB$145,"")</f>
        <v/>
      </c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8"/>
    </row>
    <row r="135" spans="1:97" ht="54" x14ac:dyDescent="0.15">
      <c r="A135" s="1">
        <v>54</v>
      </c>
      <c r="B135" s="1" t="s">
        <v>58</v>
      </c>
      <c r="C135" s="1" t="s">
        <v>59</v>
      </c>
      <c r="D135" s="1" t="s">
        <v>1</v>
      </c>
      <c r="E135" s="6"/>
      <c r="F135" s="6">
        <v>15</v>
      </c>
      <c r="G135" s="6"/>
      <c r="H135" s="6">
        <v>15</v>
      </c>
      <c r="I135" s="6"/>
      <c r="J135" s="6"/>
      <c r="K135" s="6"/>
      <c r="L135" s="6"/>
      <c r="M135" s="6"/>
      <c r="N135" s="6"/>
      <c r="O135" s="6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>
        <v>15</v>
      </c>
      <c r="AW135" s="2"/>
      <c r="AX135" s="2"/>
      <c r="AY135" s="2"/>
      <c r="AZ135" s="2"/>
      <c r="BA135" s="2">
        <v>15</v>
      </c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60</v>
      </c>
      <c r="BQ135" s="1">
        <v>46</v>
      </c>
      <c r="BR135" s="17">
        <v>4</v>
      </c>
      <c r="BS135" s="17" t="s">
        <v>317</v>
      </c>
      <c r="BT135" s="1" t="str">
        <f>IF(AQ135&gt;AQ$145, AQ135-AQ$145,"")</f>
        <v/>
      </c>
      <c r="BU135" s="1" t="str">
        <f>IF(AR135&gt;AR$145, AR135-AR$145,"")</f>
        <v/>
      </c>
      <c r="BV135" s="1" t="str">
        <f>IF(AS135&gt;AS$145, AS135-AS$145,"")</f>
        <v/>
      </c>
      <c r="BW135" s="1" t="str">
        <f>IF(AT135&gt;AT$145, AT135-AT$145,"")</f>
        <v/>
      </c>
      <c r="BX135" s="1" t="str">
        <f>IF(AU135&gt;AU$145, AU135-AU$145,"")</f>
        <v/>
      </c>
      <c r="BY135" s="1">
        <f>IF(AV135&gt;AV$145, AV135-AV$145,"")</f>
        <v>5</v>
      </c>
      <c r="BZ135" s="1" t="str">
        <f>IF(AW135&gt;AW$145, AW135-AW$145,"")</f>
        <v/>
      </c>
      <c r="CA135" s="1" t="str">
        <f>IF(AX135&gt;AX$145, AX135-AX$145,"")</f>
        <v/>
      </c>
      <c r="CB135" s="1" t="str">
        <f>IF(AY135&gt;AY$145, AY135-AY$145,"")</f>
        <v/>
      </c>
      <c r="CC135" s="1" t="str">
        <f>IF(AZ135&gt;AZ$145, AZ135-AZ$145,"")</f>
        <v/>
      </c>
      <c r="CD135" s="1">
        <f>IF(BA135&gt;BA$145, BA135-BA$145,"")</f>
        <v>12</v>
      </c>
      <c r="CE135" s="1" t="str">
        <f>IF(BB135&gt;BB$145, BB135-BB$145,"")</f>
        <v/>
      </c>
      <c r="CF135" s="1">
        <f>COUNTIF(BT135:CE135, "&gt;0")</f>
        <v>2</v>
      </c>
      <c r="CG135" s="1" t="str">
        <f>IF($CF135=1,BT135,"")</f>
        <v/>
      </c>
      <c r="CH135" s="1" t="str">
        <f>IF($CF135=1,BU135,"")</f>
        <v/>
      </c>
      <c r="CI135" s="1" t="str">
        <f>IF($CF135=1,BV135,"")</f>
        <v/>
      </c>
      <c r="CJ135" s="1" t="str">
        <f>IF($CF135=1,BW135,"")</f>
        <v/>
      </c>
      <c r="CK135" s="1" t="str">
        <f>IF($CF135=1,BX135,"")</f>
        <v/>
      </c>
      <c r="CL135" s="1" t="str">
        <f>IF($CF135=1,BY135,"")</f>
        <v/>
      </c>
      <c r="CM135" s="1" t="str">
        <f>IF($CF135=1,BZ135,"")</f>
        <v/>
      </c>
      <c r="CN135" s="1" t="str">
        <f>IF($CF135=1,CA135,"")</f>
        <v/>
      </c>
      <c r="CO135" s="1" t="str">
        <f>IF($CF135=1,CB135,"")</f>
        <v/>
      </c>
      <c r="CP135" s="1" t="str">
        <f>IF($CF135=1,CC135,"")</f>
        <v/>
      </c>
      <c r="CQ135" s="1" t="str">
        <f>IF($CF135=1,CD135,"")</f>
        <v/>
      </c>
      <c r="CR135" s="1" t="str">
        <f>IF($CF135=1,CE135,"")</f>
        <v/>
      </c>
      <c r="CS135" s="18">
        <f>SUM(AE135:BO135)</f>
        <v>30</v>
      </c>
    </row>
    <row r="136" spans="1:97" ht="54" x14ac:dyDescent="0.15">
      <c r="A136" s="1">
        <v>23</v>
      </c>
      <c r="B136" s="1" t="s">
        <v>106</v>
      </c>
      <c r="C136" s="1" t="s">
        <v>31</v>
      </c>
      <c r="D136" s="1" t="s">
        <v>39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>
        <v>50</v>
      </c>
      <c r="BK136" s="1">
        <v>50</v>
      </c>
      <c r="BL136" s="1"/>
      <c r="BM136" s="1"/>
      <c r="BN136" s="1">
        <v>50</v>
      </c>
      <c r="BO136" s="1">
        <v>50</v>
      </c>
      <c r="BP136" s="1">
        <f>SUM(E136:BO136)</f>
        <v>200</v>
      </c>
      <c r="BQ136" s="1">
        <v>174</v>
      </c>
      <c r="BR136" s="17">
        <v>4</v>
      </c>
      <c r="BS136" s="17" t="s">
        <v>239</v>
      </c>
      <c r="BT136" s="1" t="str">
        <f>IF(AQ136&gt;AQ$145, AQ136-AQ$145,"")</f>
        <v/>
      </c>
      <c r="BU136" s="1" t="str">
        <f>IF(AR136&gt;AR$145, AR136-AR$145,"")</f>
        <v/>
      </c>
      <c r="BV136" s="1" t="str">
        <f>IF(AS136&gt;AS$145, AS136-AS$145,"")</f>
        <v/>
      </c>
      <c r="BW136" s="1" t="str">
        <f>IF(AT136&gt;AT$145, AT136-AT$145,"")</f>
        <v/>
      </c>
      <c r="BX136" s="1" t="str">
        <f>IF(AU136&gt;AU$145, AU136-AU$145,"")</f>
        <v/>
      </c>
      <c r="BY136" s="1" t="str">
        <f>IF(AV136&gt;AV$145, AV136-AV$145,"")</f>
        <v/>
      </c>
      <c r="BZ136" s="1" t="str">
        <f>IF(AW136&gt;AW$145, AW136-AW$145,"")</f>
        <v/>
      </c>
      <c r="CA136" s="1" t="str">
        <f>IF(AX136&gt;AX$145, AX136-AX$145,"")</f>
        <v/>
      </c>
      <c r="CB136" s="1" t="str">
        <f>IF(AY136&gt;AY$145, AY136-AY$145,"")</f>
        <v/>
      </c>
      <c r="CC136" s="1" t="str">
        <f>IF(AZ136&gt;AZ$145, AZ136-AZ$145,"")</f>
        <v/>
      </c>
      <c r="CD136" s="1" t="str">
        <f>IF(BA136&gt;BA$145, BA136-BA$145,"")</f>
        <v/>
      </c>
      <c r="CE136" s="1" t="str">
        <f>IF(BB136&gt;BB$145, BB136-BB$145,"")</f>
        <v/>
      </c>
      <c r="CF136" s="1">
        <f>COUNTIF(BT136:CE136, "&gt;0")</f>
        <v>0</v>
      </c>
      <c r="CG136" s="1" t="str">
        <f>IF($CF136=1,BT136,"")</f>
        <v/>
      </c>
      <c r="CH136" s="1" t="str">
        <f>IF($CF136=1,BU136,"")</f>
        <v/>
      </c>
      <c r="CI136" s="1" t="str">
        <f>IF($CF136=1,BV136,"")</f>
        <v/>
      </c>
      <c r="CJ136" s="1" t="str">
        <f>IF($CF136=1,BW136,"")</f>
        <v/>
      </c>
      <c r="CK136" s="1" t="str">
        <f>IF($CF136=1,BX136,"")</f>
        <v/>
      </c>
      <c r="CL136" s="1" t="str">
        <f>IF($CF136=1,BY136,"")</f>
        <v/>
      </c>
      <c r="CM136" s="1" t="str">
        <f>IF($CF136=1,BZ136,"")</f>
        <v/>
      </c>
      <c r="CN136" s="1" t="str">
        <f>IF($CF136=1,CA136,"")</f>
        <v/>
      </c>
      <c r="CO136" s="1" t="str">
        <f>IF($CF136=1,CB136,"")</f>
        <v/>
      </c>
      <c r="CP136" s="1" t="str">
        <f>IF($CF136=1,CC136,"")</f>
        <v/>
      </c>
      <c r="CQ136" s="1" t="str">
        <f>IF($CF136=1,CD136,"")</f>
        <v/>
      </c>
      <c r="CR136" s="1" t="str">
        <f>IF($CF136=1,CE136,"")</f>
        <v/>
      </c>
      <c r="CS136" s="18">
        <f>SUM(AE136:BO136)</f>
        <v>200</v>
      </c>
    </row>
    <row r="137" spans="1:97" ht="54" x14ac:dyDescent="0.15">
      <c r="A137" s="1"/>
      <c r="B137" s="1" t="s">
        <v>186</v>
      </c>
      <c r="C137" s="1" t="s">
        <v>122</v>
      </c>
      <c r="D137" s="1" t="s">
        <v>123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>
        <v>50</v>
      </c>
      <c r="BK137" s="1">
        <v>50</v>
      </c>
      <c r="BL137" s="1"/>
      <c r="BM137" s="1"/>
      <c r="BN137" s="1">
        <v>50</v>
      </c>
      <c r="BO137" s="1">
        <v>50</v>
      </c>
      <c r="BP137" s="1">
        <f>SUM(E137:BO137)</f>
        <v>200</v>
      </c>
      <c r="BQ137" s="1">
        <v>174</v>
      </c>
      <c r="BR137" s="17">
        <v>4</v>
      </c>
      <c r="BS137" s="17" t="s">
        <v>239</v>
      </c>
      <c r="BT137" s="1" t="str">
        <f>IF(AQ137&gt;AQ$145, AQ137-AQ$145,"")</f>
        <v/>
      </c>
      <c r="BU137" s="1" t="str">
        <f>IF(AR137&gt;AR$145, AR137-AR$145,"")</f>
        <v/>
      </c>
      <c r="BV137" s="1" t="str">
        <f>IF(AS137&gt;AS$145, AS137-AS$145,"")</f>
        <v/>
      </c>
      <c r="BW137" s="1" t="str">
        <f>IF(AT137&gt;AT$145, AT137-AT$145,"")</f>
        <v/>
      </c>
      <c r="BX137" s="1" t="str">
        <f>IF(AU137&gt;AU$145, AU137-AU$145,"")</f>
        <v/>
      </c>
      <c r="BY137" s="1" t="str">
        <f>IF(AV137&gt;AV$145, AV137-AV$145,"")</f>
        <v/>
      </c>
      <c r="BZ137" s="1" t="str">
        <f>IF(AW137&gt;AW$145, AW137-AW$145,"")</f>
        <v/>
      </c>
      <c r="CA137" s="1" t="str">
        <f>IF(AX137&gt;AX$145, AX137-AX$145,"")</f>
        <v/>
      </c>
      <c r="CB137" s="1" t="str">
        <f>IF(AY137&gt;AY$145, AY137-AY$145,"")</f>
        <v/>
      </c>
      <c r="CC137" s="1" t="str">
        <f>IF(AZ137&gt;AZ$145, AZ137-AZ$145,"")</f>
        <v/>
      </c>
      <c r="CD137" s="1" t="str">
        <f>IF(BA137&gt;BA$145, BA137-BA$145,"")</f>
        <v/>
      </c>
      <c r="CE137" s="1" t="str">
        <f>IF(BB137&gt;BB$145, BB137-BB$145,"")</f>
        <v/>
      </c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8"/>
    </row>
    <row r="138" spans="1:97" ht="54" x14ac:dyDescent="0.15">
      <c r="A138" s="1"/>
      <c r="B138" s="1" t="s">
        <v>184</v>
      </c>
      <c r="C138" s="1" t="s">
        <v>157</v>
      </c>
      <c r="D138" s="1" t="s">
        <v>39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>
        <v>50</v>
      </c>
      <c r="BK138" s="1">
        <v>50</v>
      </c>
      <c r="BL138" s="1"/>
      <c r="BM138" s="1"/>
      <c r="BN138" s="1">
        <v>50</v>
      </c>
      <c r="BO138" s="1">
        <v>50</v>
      </c>
      <c r="BP138" s="1">
        <f>SUM(E138:BO138)</f>
        <v>200</v>
      </c>
      <c r="BQ138" s="1">
        <v>174</v>
      </c>
      <c r="BR138" s="17">
        <v>4</v>
      </c>
      <c r="BS138" s="17" t="s">
        <v>318</v>
      </c>
      <c r="BT138" s="1" t="str">
        <f>IF(AQ138&gt;AQ$145, AQ138-AQ$145,"")</f>
        <v/>
      </c>
      <c r="BU138" s="1" t="str">
        <f>IF(AR138&gt;AR$145, AR138-AR$145,"")</f>
        <v/>
      </c>
      <c r="BV138" s="1" t="str">
        <f>IF(AS138&gt;AS$145, AS138-AS$145,"")</f>
        <v/>
      </c>
      <c r="BW138" s="1" t="str">
        <f>IF(AT138&gt;AT$145, AT138-AT$145,"")</f>
        <v/>
      </c>
      <c r="BX138" s="1" t="str">
        <f>IF(AU138&gt;AU$145, AU138-AU$145,"")</f>
        <v/>
      </c>
      <c r="BY138" s="1" t="str">
        <f>IF(AV138&gt;AV$145, AV138-AV$145,"")</f>
        <v/>
      </c>
      <c r="BZ138" s="1" t="str">
        <f>IF(AW138&gt;AW$145, AW138-AW$145,"")</f>
        <v/>
      </c>
      <c r="CA138" s="1" t="str">
        <f>IF(AX138&gt;AX$145, AX138-AX$145,"")</f>
        <v/>
      </c>
      <c r="CB138" s="1" t="str">
        <f>IF(AY138&gt;AY$145, AY138-AY$145,"")</f>
        <v/>
      </c>
      <c r="CC138" s="1" t="str">
        <f>IF(AZ138&gt;AZ$145, AZ138-AZ$145,"")</f>
        <v/>
      </c>
      <c r="CD138" s="1" t="str">
        <f>IF(BA138&gt;BA$145, BA138-BA$145,"")</f>
        <v/>
      </c>
      <c r="CE138" s="1" t="str">
        <f>IF(BB138&gt;BB$145, BB138-BB$145,"")</f>
        <v/>
      </c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8"/>
    </row>
    <row r="139" spans="1:97" ht="54" x14ac:dyDescent="0.15">
      <c r="A139" s="1">
        <v>102</v>
      </c>
      <c r="B139" s="3" t="s">
        <v>104</v>
      </c>
      <c r="C139" s="3" t="s">
        <v>73</v>
      </c>
      <c r="D139" s="1" t="s">
        <v>39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>
        <v>50</v>
      </c>
      <c r="BK139" s="1">
        <v>50</v>
      </c>
      <c r="BL139" s="1"/>
      <c r="BM139" s="1"/>
      <c r="BN139" s="1">
        <v>50</v>
      </c>
      <c r="BO139" s="1">
        <v>50</v>
      </c>
      <c r="BP139" s="1">
        <f>SUM(E139:BO139)</f>
        <v>200</v>
      </c>
      <c r="BQ139" s="1">
        <v>174</v>
      </c>
      <c r="BR139" s="17">
        <v>4</v>
      </c>
      <c r="BS139" s="17" t="s">
        <v>318</v>
      </c>
      <c r="BT139" s="1" t="str">
        <f>IF(AQ139&gt;AQ$145, AQ139-AQ$145,"")</f>
        <v/>
      </c>
      <c r="BU139" s="1" t="str">
        <f>IF(AR139&gt;AR$145, AR139-AR$145,"")</f>
        <v/>
      </c>
      <c r="BV139" s="1" t="str">
        <f>IF(AS139&gt;AS$145, AS139-AS$145,"")</f>
        <v/>
      </c>
      <c r="BW139" s="1" t="str">
        <f>IF(AT139&gt;AT$145, AT139-AT$145,"")</f>
        <v/>
      </c>
      <c r="BX139" s="1" t="str">
        <f>IF(AU139&gt;AU$145, AU139-AU$145,"")</f>
        <v/>
      </c>
      <c r="BY139" s="1" t="str">
        <f>IF(AV139&gt;AV$145, AV139-AV$145,"")</f>
        <v/>
      </c>
      <c r="BZ139" s="1" t="str">
        <f>IF(AW139&gt;AW$145, AW139-AW$145,"")</f>
        <v/>
      </c>
      <c r="CA139" s="1" t="str">
        <f>IF(AX139&gt;AX$145, AX139-AX$145,"")</f>
        <v/>
      </c>
      <c r="CB139" s="1" t="str">
        <f>IF(AY139&gt;AY$145, AY139-AY$145,"")</f>
        <v/>
      </c>
      <c r="CC139" s="1" t="str">
        <f>IF(AZ139&gt;AZ$145, AZ139-AZ$145,"")</f>
        <v/>
      </c>
      <c r="CD139" s="1" t="str">
        <f>IF(BA139&gt;BA$145, BA139-BA$145,"")</f>
        <v/>
      </c>
      <c r="CE139" s="1" t="str">
        <f>IF(BB139&gt;BB$145, BB139-BB$145,"")</f>
        <v/>
      </c>
      <c r="CF139" s="1">
        <f>COUNTIF(BT139:CE139, "&gt;0")</f>
        <v>0</v>
      </c>
      <c r="CG139" s="1" t="str">
        <f>IF($CF139=1,BT139,"")</f>
        <v/>
      </c>
      <c r="CH139" s="1" t="str">
        <f>IF($CF139=1,BU139,"")</f>
        <v/>
      </c>
      <c r="CI139" s="1" t="str">
        <f>IF($CF139=1,BV139,"")</f>
        <v/>
      </c>
      <c r="CJ139" s="1" t="str">
        <f>IF($CF139=1,BW139,"")</f>
        <v/>
      </c>
      <c r="CK139" s="1" t="str">
        <f>IF($CF139=1,BX139,"")</f>
        <v/>
      </c>
      <c r="CL139" s="1" t="str">
        <f>IF($CF139=1,BY139,"")</f>
        <v/>
      </c>
      <c r="CM139" s="1" t="str">
        <f>IF($CF139=1,BZ139,"")</f>
        <v/>
      </c>
      <c r="CN139" s="1" t="str">
        <f>IF($CF139=1,CA139,"")</f>
        <v/>
      </c>
      <c r="CO139" s="1" t="str">
        <f>IF($CF139=1,CB139,"")</f>
        <v/>
      </c>
      <c r="CP139" s="1" t="str">
        <f>IF($CF139=1,CC139,"")</f>
        <v/>
      </c>
      <c r="CQ139" s="1" t="str">
        <f>IF($CF139=1,CD139,"")</f>
        <v/>
      </c>
      <c r="CR139" s="1" t="str">
        <f>IF($CF139=1,CE139,"")</f>
        <v/>
      </c>
      <c r="CS139" s="18">
        <f>SUM(AE139:BO139)</f>
        <v>200</v>
      </c>
    </row>
    <row r="140" spans="1:97" ht="54" x14ac:dyDescent="0.15">
      <c r="A140" s="1">
        <v>85</v>
      </c>
      <c r="B140" s="3" t="s">
        <v>72</v>
      </c>
      <c r="C140" s="3" t="s">
        <v>67</v>
      </c>
      <c r="D140" s="1" t="s">
        <v>39</v>
      </c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>
        <v>50</v>
      </c>
      <c r="BM140" s="1">
        <v>50</v>
      </c>
      <c r="BN140" s="1">
        <v>50</v>
      </c>
      <c r="BO140" s="1">
        <v>50</v>
      </c>
      <c r="BP140" s="1">
        <f>SUM(E140:BO140)</f>
        <v>200</v>
      </c>
      <c r="BQ140" s="1">
        <v>175</v>
      </c>
      <c r="BR140" s="17">
        <v>4</v>
      </c>
      <c r="BS140" s="17" t="s">
        <v>240</v>
      </c>
      <c r="BT140" s="1" t="str">
        <f>IF(AQ140&gt;AQ$145, AQ140-AQ$145,"")</f>
        <v/>
      </c>
      <c r="BU140" s="1" t="str">
        <f>IF(AR140&gt;AR$145, AR140-AR$145,"")</f>
        <v/>
      </c>
      <c r="BV140" s="1" t="str">
        <f>IF(AS140&gt;AS$145, AS140-AS$145,"")</f>
        <v/>
      </c>
      <c r="BW140" s="1" t="str">
        <f>IF(AT140&gt;AT$145, AT140-AT$145,"")</f>
        <v/>
      </c>
      <c r="BX140" s="1" t="str">
        <f>IF(AU140&gt;AU$145, AU140-AU$145,"")</f>
        <v/>
      </c>
      <c r="BY140" s="1" t="str">
        <f>IF(AV140&gt;AV$145, AV140-AV$145,"")</f>
        <v/>
      </c>
      <c r="BZ140" s="1" t="str">
        <f>IF(AW140&gt;AW$145, AW140-AW$145,"")</f>
        <v/>
      </c>
      <c r="CA140" s="1" t="str">
        <f>IF(AX140&gt;AX$145, AX140-AX$145,"")</f>
        <v/>
      </c>
      <c r="CB140" s="1" t="str">
        <f>IF(AY140&gt;AY$145, AY140-AY$145,"")</f>
        <v/>
      </c>
      <c r="CC140" s="1" t="str">
        <f>IF(AZ140&gt;AZ$145, AZ140-AZ$145,"")</f>
        <v/>
      </c>
      <c r="CD140" s="1" t="str">
        <f>IF(BA140&gt;BA$145, BA140-BA$145,"")</f>
        <v/>
      </c>
      <c r="CE140" s="1" t="str">
        <f>IF(BB140&gt;BB$145, BB140-BB$145,"")</f>
        <v/>
      </c>
      <c r="CF140" s="1">
        <f>COUNTIF(BT140:CE140, "&gt;0")</f>
        <v>0</v>
      </c>
      <c r="CG140" s="1" t="str">
        <f>IF($CF140=1,BT140,"")</f>
        <v/>
      </c>
      <c r="CH140" s="1" t="str">
        <f>IF($CF140=1,BU140,"")</f>
        <v/>
      </c>
      <c r="CI140" s="1" t="str">
        <f>IF($CF140=1,BV140,"")</f>
        <v/>
      </c>
      <c r="CJ140" s="1" t="str">
        <f>IF($CF140=1,BW140,"")</f>
        <v/>
      </c>
      <c r="CK140" s="1" t="str">
        <f>IF($CF140=1,BX140,"")</f>
        <v/>
      </c>
      <c r="CL140" s="1" t="str">
        <f>IF($CF140=1,BY140,"")</f>
        <v/>
      </c>
      <c r="CM140" s="1" t="str">
        <f>IF($CF140=1,BZ140,"")</f>
        <v/>
      </c>
      <c r="CN140" s="1" t="str">
        <f>IF($CF140=1,CA140,"")</f>
        <v/>
      </c>
      <c r="CO140" s="1" t="str">
        <f>IF($CF140=1,CB140,"")</f>
        <v/>
      </c>
      <c r="CP140" s="1" t="str">
        <f>IF($CF140=1,CC140,"")</f>
        <v/>
      </c>
      <c r="CQ140" s="1" t="str">
        <f>IF($CF140=1,CD140,"")</f>
        <v/>
      </c>
      <c r="CR140" s="1" t="str">
        <f>IF($CF140=1,CE140,"")</f>
        <v/>
      </c>
      <c r="CS140" s="18">
        <f>SUM(AE140:BO140)</f>
        <v>200</v>
      </c>
    </row>
    <row r="141" spans="1:97" ht="54" x14ac:dyDescent="0.15">
      <c r="A141" s="1"/>
      <c r="B141" s="1" t="s">
        <v>203</v>
      </c>
      <c r="C141" s="1" t="s">
        <v>126</v>
      </c>
      <c r="D141" s="1" t="s">
        <v>123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>
        <v>50</v>
      </c>
      <c r="BM141" s="1">
        <v>50</v>
      </c>
      <c r="BN141" s="1">
        <v>50</v>
      </c>
      <c r="BO141" s="1">
        <v>50</v>
      </c>
      <c r="BP141" s="1">
        <f>SUM(E141:BO141)</f>
        <v>200</v>
      </c>
      <c r="BQ141" s="1">
        <v>175</v>
      </c>
      <c r="BR141" s="17">
        <v>4</v>
      </c>
      <c r="BS141" s="17" t="s">
        <v>319</v>
      </c>
      <c r="BT141" s="1" t="str">
        <f>IF(AQ141&gt;AQ$145, AQ141-AQ$145,"")</f>
        <v/>
      </c>
      <c r="BU141" s="1" t="str">
        <f>IF(AR141&gt;AR$145, AR141-AR$145,"")</f>
        <v/>
      </c>
      <c r="BV141" s="1" t="str">
        <f>IF(AS141&gt;AS$145, AS141-AS$145,"")</f>
        <v/>
      </c>
      <c r="BW141" s="1" t="str">
        <f>IF(AT141&gt;AT$145, AT141-AT$145,"")</f>
        <v/>
      </c>
      <c r="BX141" s="1" t="str">
        <f>IF(AU141&gt;AU$145, AU141-AU$145,"")</f>
        <v/>
      </c>
      <c r="BY141" s="1" t="str">
        <f>IF(AV141&gt;AV$145, AV141-AV$145,"")</f>
        <v/>
      </c>
      <c r="BZ141" s="1" t="str">
        <f>IF(AW141&gt;AW$145, AW141-AW$145,"")</f>
        <v/>
      </c>
      <c r="CA141" s="1" t="str">
        <f>IF(AX141&gt;AX$145, AX141-AX$145,"")</f>
        <v/>
      </c>
      <c r="CB141" s="1" t="str">
        <f>IF(AY141&gt;AY$145, AY141-AY$145,"")</f>
        <v/>
      </c>
      <c r="CC141" s="1" t="str">
        <f>IF(AZ141&gt;AZ$145, AZ141-AZ$145,"")</f>
        <v/>
      </c>
      <c r="CD141" s="1" t="str">
        <f>IF(BA141&gt;BA$145, BA141-BA$145,"")</f>
        <v/>
      </c>
      <c r="CE141" s="1" t="str">
        <f>IF(BB141&gt;BB$145, BB141-BB$145,"")</f>
        <v/>
      </c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8"/>
    </row>
    <row r="142" spans="1:97" ht="54" x14ac:dyDescent="0.15">
      <c r="A142" s="1"/>
      <c r="B142" s="1" t="s">
        <v>204</v>
      </c>
      <c r="C142" s="1" t="s">
        <v>126</v>
      </c>
      <c r="D142" s="1" t="s">
        <v>123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>
        <v>50</v>
      </c>
      <c r="BM142" s="1">
        <v>50</v>
      </c>
      <c r="BN142" s="1">
        <v>50</v>
      </c>
      <c r="BO142" s="1">
        <v>50</v>
      </c>
      <c r="BP142" s="1">
        <f>SUM(E142:BO142)</f>
        <v>200</v>
      </c>
      <c r="BQ142" s="1">
        <v>175</v>
      </c>
      <c r="BR142" s="17">
        <v>4</v>
      </c>
      <c r="BS142" s="17" t="s">
        <v>319</v>
      </c>
      <c r="BT142" s="1" t="str">
        <f>IF(AQ142&gt;AQ$145, AQ142-AQ$145,"")</f>
        <v/>
      </c>
      <c r="BU142" s="1" t="str">
        <f>IF(AR142&gt;AR$145, AR142-AR$145,"")</f>
        <v/>
      </c>
      <c r="BV142" s="1" t="str">
        <f>IF(AS142&gt;AS$145, AS142-AS$145,"")</f>
        <v/>
      </c>
      <c r="BW142" s="1" t="str">
        <f>IF(AT142&gt;AT$145, AT142-AT$145,"")</f>
        <v/>
      </c>
      <c r="BX142" s="1" t="str">
        <f>IF(AU142&gt;AU$145, AU142-AU$145,"")</f>
        <v/>
      </c>
      <c r="BY142" s="1" t="str">
        <f>IF(AV142&gt;AV$145, AV142-AV$145,"")</f>
        <v/>
      </c>
      <c r="BZ142" s="1" t="str">
        <f>IF(AW142&gt;AW$145, AW142-AW$145,"")</f>
        <v/>
      </c>
      <c r="CA142" s="1" t="str">
        <f>IF(AX142&gt;AX$145, AX142-AX$145,"")</f>
        <v/>
      </c>
      <c r="CB142" s="1" t="str">
        <f>IF(AY142&gt;AY$145, AY142-AY$145,"")</f>
        <v/>
      </c>
      <c r="CC142" s="1" t="str">
        <f>IF(AZ142&gt;AZ$145, AZ142-AZ$145,"")</f>
        <v/>
      </c>
      <c r="CD142" s="1" t="str">
        <f>IF(BA142&gt;BA$145, BA142-BA$145,"")</f>
        <v/>
      </c>
      <c r="CE142" s="1" t="str">
        <f>IF(BB142&gt;BB$145, BB142-BB$145,"")</f>
        <v/>
      </c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8"/>
    </row>
    <row r="143" spans="1:97" ht="67.5" x14ac:dyDescent="0.15">
      <c r="A143" s="1"/>
      <c r="B143" s="1" t="s">
        <v>171</v>
      </c>
      <c r="C143" s="1" t="s">
        <v>110</v>
      </c>
      <c r="D143" s="1" t="s">
        <v>112</v>
      </c>
      <c r="E143" s="6">
        <v>10</v>
      </c>
      <c r="F143" s="6"/>
      <c r="G143" s="6">
        <v>10</v>
      </c>
      <c r="H143" s="6"/>
      <c r="I143" s="6"/>
      <c r="J143" s="6"/>
      <c r="K143" s="6"/>
      <c r="L143" s="6"/>
      <c r="M143" s="6"/>
      <c r="N143" s="6"/>
      <c r="O143" s="6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>
        <v>15</v>
      </c>
      <c r="AU143" s="4"/>
      <c r="AV143" s="4"/>
      <c r="AW143" s="2"/>
      <c r="AX143" s="2"/>
      <c r="AY143" s="2"/>
      <c r="AZ143" s="2">
        <v>15</v>
      </c>
      <c r="BA143" s="2">
        <v>15</v>
      </c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>
        <f>SUM(E143:BO143)</f>
        <v>65</v>
      </c>
      <c r="BQ143" s="1">
        <v>53</v>
      </c>
      <c r="BR143" s="17">
        <v>5</v>
      </c>
      <c r="BS143" s="17" t="s">
        <v>316</v>
      </c>
      <c r="BT143" s="1" t="str">
        <f>IF(AQ143&gt;AQ$145, AQ143-AQ$145,"")</f>
        <v/>
      </c>
      <c r="BU143" s="1" t="str">
        <f>IF(AR143&gt;AR$145, AR143-AR$145,"")</f>
        <v/>
      </c>
      <c r="BV143" s="1" t="str">
        <f>IF(AS143&gt;AS$145, AS143-AS$145,"")</f>
        <v/>
      </c>
      <c r="BW143" s="1">
        <f>IF(AT143&gt;AT$145, AT143-AT$145,"")</f>
        <v>8</v>
      </c>
      <c r="BX143" s="1" t="str">
        <f>IF(AU143&gt;AU$145, AU143-AU$145,"")</f>
        <v/>
      </c>
      <c r="BY143" s="1" t="str">
        <f>IF(AV143&gt;AV$145, AV143-AV$145,"")</f>
        <v/>
      </c>
      <c r="BZ143" s="1" t="str">
        <f>IF(AW143&gt;AW$145, AW143-AW$145,"")</f>
        <v/>
      </c>
      <c r="CA143" s="1" t="str">
        <f>IF(AX143&gt;AX$145, AX143-AX$145,"")</f>
        <v/>
      </c>
      <c r="CB143" s="1" t="str">
        <f>IF(AY143&gt;AY$145, AY143-AY$145,"")</f>
        <v/>
      </c>
      <c r="CC143" s="1">
        <f>IF(AZ143&gt;AZ$145, AZ143-AZ$145,"")</f>
        <v>15</v>
      </c>
      <c r="CD143" s="1">
        <f>IF(BA143&gt;BA$145, BA143-BA$145,"")</f>
        <v>12</v>
      </c>
      <c r="CE143" s="1" t="str">
        <f>IF(BB143&gt;BB$145, BB143-BB$145,"")</f>
        <v/>
      </c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8"/>
    </row>
    <row r="144" spans="1:97" x14ac:dyDescent="0.15">
      <c r="A144" s="1"/>
      <c r="B144" s="1" t="s">
        <v>75</v>
      </c>
      <c r="C144" s="1"/>
      <c r="D144" s="1"/>
      <c r="E144" s="6">
        <f>SUM(E2:E143)</f>
        <v>168</v>
      </c>
      <c r="F144" s="6">
        <f>SUM(F2:F143)</f>
        <v>84</v>
      </c>
      <c r="G144" s="6">
        <f>SUM(G2:G143)</f>
        <v>209</v>
      </c>
      <c r="H144" s="6">
        <f>SUM(H2:H143)</f>
        <v>184</v>
      </c>
      <c r="I144" s="6">
        <f>SUM(I2:I143)</f>
        <v>53</v>
      </c>
      <c r="J144" s="6">
        <f>SUM(J2:J143)</f>
        <v>66</v>
      </c>
      <c r="K144" s="6">
        <f>SUM(K2:K143)</f>
        <v>30</v>
      </c>
      <c r="L144" s="6">
        <f>SUM(L2:L143)</f>
        <v>88</v>
      </c>
      <c r="M144" s="6">
        <f>SUM(M2:M143)</f>
        <v>42</v>
      </c>
      <c r="N144" s="6">
        <f>SUM(N2:N143)</f>
        <v>32</v>
      </c>
      <c r="O144" s="6">
        <f>SUM(O2:O143)</f>
        <v>89</v>
      </c>
      <c r="P144" s="32">
        <f>SUM(P2:P143)</f>
        <v>130</v>
      </c>
      <c r="Q144" s="32">
        <f>SUM(Q2:Q143)</f>
        <v>76</v>
      </c>
      <c r="R144" s="32">
        <f>SUM(R2:R143)</f>
        <v>83</v>
      </c>
      <c r="S144" s="32">
        <f>SUM(S2:S143)</f>
        <v>130</v>
      </c>
      <c r="T144" s="32">
        <f>SUM(T2:T143)</f>
        <v>61</v>
      </c>
      <c r="U144" s="32">
        <f>SUM(U2:U143)</f>
        <v>62</v>
      </c>
      <c r="V144" s="32">
        <f>SUM(V2:V143)</f>
        <v>135</v>
      </c>
      <c r="W144" s="32">
        <f>SUM(W2:W143)</f>
        <v>35</v>
      </c>
      <c r="X144" s="32">
        <f>SUM(X2:X143)</f>
        <v>59</v>
      </c>
      <c r="Y144" s="32">
        <f>SUM(Y2:Y143)</f>
        <v>125</v>
      </c>
      <c r="Z144" s="32">
        <f>SUM(Z2:Z143)</f>
        <v>50</v>
      </c>
      <c r="AA144" s="32">
        <f>SUM(AA2:AA143)</f>
        <v>35</v>
      </c>
      <c r="AB144" s="32">
        <f>SUM(AB2:AB143)</f>
        <v>140</v>
      </c>
      <c r="AC144" s="32">
        <f>SUM(AC2:AC143)</f>
        <v>30</v>
      </c>
      <c r="AD144" s="32">
        <f>SUM(AD2:AD143)</f>
        <v>22</v>
      </c>
      <c r="AE144" s="1">
        <f>SUM(AE2:AE143)</f>
        <v>265</v>
      </c>
      <c r="AF144" s="1">
        <f>SUM(AF2:AF143)</f>
        <v>10</v>
      </c>
      <c r="AG144" s="1">
        <f>SUM(AG2:AG143)</f>
        <v>15</v>
      </c>
      <c r="AH144" s="1">
        <f>SUM(AH2:AH143)</f>
        <v>30</v>
      </c>
      <c r="AI144" s="1">
        <f>SUM(AI2:AI143)</f>
        <v>30</v>
      </c>
      <c r="AJ144" s="1">
        <f>SUM(AJ2:AJ143)</f>
        <v>5</v>
      </c>
      <c r="AK144" s="1">
        <f>SUM(AK2:AK143)</f>
        <v>0</v>
      </c>
      <c r="AL144" s="1">
        <f>SUM(AL2:AL143)</f>
        <v>0</v>
      </c>
      <c r="AM144" s="1">
        <f>SUM(AM2:AM143)</f>
        <v>20</v>
      </c>
      <c r="AN144" s="1">
        <f>SUM(AN2:AN143)</f>
        <v>50</v>
      </c>
      <c r="AO144" s="1">
        <f>SUM(AO2:AO143)</f>
        <v>25</v>
      </c>
      <c r="AP144" s="1">
        <f>SUM(AP2:AP143)</f>
        <v>26</v>
      </c>
      <c r="AQ144" s="4">
        <f>SUM(AQ2:AQ143)</f>
        <v>100</v>
      </c>
      <c r="AR144" s="4">
        <f>SUM(AR2:AR143)</f>
        <v>115</v>
      </c>
      <c r="AS144" s="4">
        <f>SUM(AS2:AS143)</f>
        <v>80</v>
      </c>
      <c r="AT144" s="4">
        <f>SUM(AT2:AT143)</f>
        <v>93</v>
      </c>
      <c r="AU144" s="4">
        <f>SUM(AU2:AU143)</f>
        <v>48</v>
      </c>
      <c r="AV144" s="4">
        <f>SUM(AV2:AV143)</f>
        <v>125</v>
      </c>
      <c r="AW144" s="2">
        <f>SUM(AW2:AW143)</f>
        <v>123</v>
      </c>
      <c r="AX144" s="2">
        <f>SUM(AX2:AX143)</f>
        <v>80</v>
      </c>
      <c r="AY144" s="2">
        <f>SUM(AY2:AY143)</f>
        <v>43</v>
      </c>
      <c r="AZ144" s="2">
        <f>SUM(AZ2:AZ143)</f>
        <v>75</v>
      </c>
      <c r="BA144" s="2">
        <f>SUM(BA2:BA143)</f>
        <v>195</v>
      </c>
      <c r="BB144" s="2">
        <f>SUM(BB2:BB143)</f>
        <v>375</v>
      </c>
      <c r="BC144" s="1">
        <f>SUM(BC2:BC143)</f>
        <v>10</v>
      </c>
      <c r="BD144" s="1">
        <f>SUM(BD2:BD143)</f>
        <v>150</v>
      </c>
      <c r="BE144" s="1">
        <f>SUM(BE2:BE143)</f>
        <v>100</v>
      </c>
      <c r="BF144" s="1">
        <f>SUM(BF2:BF143)</f>
        <v>120</v>
      </c>
      <c r="BG144" s="1">
        <f>SUM(BG2:BG143)</f>
        <v>120</v>
      </c>
      <c r="BH144" s="1">
        <f>SUM(BH2:BH143)</f>
        <v>110</v>
      </c>
      <c r="BI144" s="1">
        <f>SUM(BI2:BI143)</f>
        <v>90</v>
      </c>
      <c r="BJ144" s="1">
        <f>SUM(BJ2:BJ143)</f>
        <v>200</v>
      </c>
      <c r="BK144" s="1">
        <f>SUM(BK2:BK143)</f>
        <v>200</v>
      </c>
      <c r="BL144" s="1">
        <f>SUM(BL2:BL143)</f>
        <v>150</v>
      </c>
      <c r="BM144" s="1">
        <f>SUM(BM2:BM143)</f>
        <v>150</v>
      </c>
      <c r="BN144" s="1">
        <f>SUM(BN2:BN143)</f>
        <v>350</v>
      </c>
      <c r="BO144" s="1">
        <f>SUM(BO2:BO143)</f>
        <v>350</v>
      </c>
      <c r="BP144" s="1"/>
      <c r="BQ144" s="1"/>
      <c r="BR144" s="17"/>
      <c r="BS144" s="17"/>
      <c r="BT144" s="1">
        <f>MIN(BT2:BT143)</f>
        <v>1</v>
      </c>
      <c r="BU144" s="1">
        <f>MIN(BU2:BU143)</f>
        <v>9</v>
      </c>
      <c r="BV144" s="1">
        <f>MIN(BV2:BV143)</f>
        <v>3</v>
      </c>
      <c r="BW144" s="1">
        <f>MIN(BW2:BW143)</f>
        <v>1</v>
      </c>
      <c r="BX144" s="1">
        <f>MIN(BX2:BX143)</f>
        <v>2</v>
      </c>
      <c r="BY144" s="1">
        <f>MIN(BY2:BY143)</f>
        <v>5</v>
      </c>
      <c r="BZ144" s="1">
        <f>MIN(BZ2:BZ143)</f>
        <v>1</v>
      </c>
      <c r="CA144" s="1">
        <f>MIN(CA2:CA143)</f>
        <v>0</v>
      </c>
      <c r="CB144" s="1">
        <f>MIN(CB2:CB143)</f>
        <v>2</v>
      </c>
      <c r="CC144" s="1">
        <f>MIN(CC2:CC143)</f>
        <v>10</v>
      </c>
      <c r="CD144" s="1">
        <f>MIN(CD2:CD143)</f>
        <v>2</v>
      </c>
      <c r="CE144" s="1">
        <f>MIN(CE2:CE143)</f>
        <v>0</v>
      </c>
      <c r="CF144" s="1"/>
      <c r="CG144" s="1">
        <f>MIN(CG2:CG143)</f>
        <v>1</v>
      </c>
      <c r="CH144" s="1">
        <f>MIN(CH2:CH143)</f>
        <v>9</v>
      </c>
      <c r="CI144" s="1">
        <f>MIN(CI2:CI143)</f>
        <v>3</v>
      </c>
      <c r="CJ144" s="1">
        <f>MIN(CJ2:CJ143)</f>
        <v>0</v>
      </c>
      <c r="CK144" s="1">
        <f>MIN(CK2:CK143)</f>
        <v>2</v>
      </c>
      <c r="CL144" s="1">
        <f>MIN(CL2:CL143)</f>
        <v>0</v>
      </c>
      <c r="CM144" s="1">
        <f>MIN(CM2:CM143)</f>
        <v>0</v>
      </c>
      <c r="CN144" s="1">
        <f>MIN(CN2:CN143)</f>
        <v>0</v>
      </c>
      <c r="CO144" s="1">
        <f>MIN(CO2:CO143)</f>
        <v>0</v>
      </c>
      <c r="CP144" s="1">
        <f>MIN(CP2:CP143)</f>
        <v>10</v>
      </c>
      <c r="CQ144" s="1">
        <f>MIN(CQ2:CQ143)</f>
        <v>2</v>
      </c>
      <c r="CR144" s="1">
        <f>MIN(CR2:CR143)</f>
        <v>0</v>
      </c>
      <c r="CS144" s="18">
        <f>COUNTIF(CS2:CS143,"=0")</f>
        <v>3</v>
      </c>
    </row>
    <row r="145" spans="1:97" x14ac:dyDescent="0.15">
      <c r="A145" s="1"/>
      <c r="B145" s="3" t="s">
        <v>96</v>
      </c>
      <c r="C145" s="1"/>
      <c r="D145" s="1"/>
      <c r="E145" s="1">
        <v>2</v>
      </c>
      <c r="F145" s="1">
        <v>1</v>
      </c>
      <c r="G145" s="1">
        <v>0</v>
      </c>
      <c r="H145" s="1">
        <v>0</v>
      </c>
      <c r="I145" s="1">
        <v>14</v>
      </c>
      <c r="J145" s="1">
        <v>17</v>
      </c>
      <c r="K145" s="1">
        <v>0</v>
      </c>
      <c r="L145" s="1">
        <v>35</v>
      </c>
      <c r="M145" s="1">
        <v>2</v>
      </c>
      <c r="N145" s="1">
        <v>13</v>
      </c>
      <c r="O145" s="1">
        <v>2</v>
      </c>
      <c r="P145" s="14">
        <v>2</v>
      </c>
      <c r="Q145" s="14">
        <v>1</v>
      </c>
      <c r="R145" s="14">
        <v>2</v>
      </c>
      <c r="S145" s="14">
        <v>1</v>
      </c>
      <c r="T145" s="14">
        <v>5</v>
      </c>
      <c r="U145" s="14">
        <v>0</v>
      </c>
      <c r="V145" s="14">
        <v>2</v>
      </c>
      <c r="W145" s="14">
        <v>2</v>
      </c>
      <c r="X145" s="14">
        <v>6</v>
      </c>
      <c r="Y145" s="14">
        <v>0</v>
      </c>
      <c r="Z145" s="14">
        <v>1</v>
      </c>
      <c r="AA145" s="14">
        <v>1</v>
      </c>
      <c r="AB145" s="14">
        <v>8</v>
      </c>
      <c r="AC145" s="14">
        <v>2</v>
      </c>
      <c r="AD145" s="14">
        <v>4</v>
      </c>
      <c r="AE145" s="1">
        <v>5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33</v>
      </c>
      <c r="AL145" s="1">
        <v>43</v>
      </c>
      <c r="AM145" s="1">
        <v>7</v>
      </c>
      <c r="AN145" s="1">
        <v>0</v>
      </c>
      <c r="AO145" s="1">
        <v>0</v>
      </c>
      <c r="AP145" s="1">
        <v>0</v>
      </c>
      <c r="AQ145" s="14">
        <v>9</v>
      </c>
      <c r="AR145" s="14">
        <v>1</v>
      </c>
      <c r="AS145" s="14">
        <v>2</v>
      </c>
      <c r="AT145" s="14">
        <v>7</v>
      </c>
      <c r="AU145" s="14">
        <v>6</v>
      </c>
      <c r="AV145" s="14">
        <v>10</v>
      </c>
      <c r="AW145" s="14">
        <v>19</v>
      </c>
      <c r="AX145" s="14">
        <v>25</v>
      </c>
      <c r="AY145" s="14">
        <v>13</v>
      </c>
      <c r="AZ145" s="14">
        <v>0</v>
      </c>
      <c r="BA145" s="14">
        <v>3</v>
      </c>
      <c r="BB145" s="14">
        <v>150</v>
      </c>
      <c r="BC145" s="14"/>
      <c r="BD145" s="1">
        <v>66</v>
      </c>
      <c r="BE145" s="1">
        <v>124</v>
      </c>
      <c r="BF145" s="1">
        <v>133</v>
      </c>
      <c r="BG145" s="1">
        <v>142</v>
      </c>
      <c r="BH145" s="1">
        <v>45</v>
      </c>
      <c r="BI145" s="1">
        <v>53</v>
      </c>
      <c r="BJ145" s="1">
        <v>13</v>
      </c>
      <c r="BK145" s="1">
        <v>13</v>
      </c>
      <c r="BL145" s="1">
        <v>25</v>
      </c>
      <c r="BM145" s="1"/>
      <c r="BN145" s="1"/>
      <c r="BO145" s="1"/>
      <c r="BP145" s="1"/>
      <c r="BQ145" s="1"/>
      <c r="BR145" s="17"/>
      <c r="BS145" s="17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34"/>
    </row>
    <row r="146" spans="1:97" x14ac:dyDescent="0.15">
      <c r="A146" s="1"/>
      <c r="B146" s="3" t="s">
        <v>103</v>
      </c>
      <c r="C146" s="1"/>
      <c r="D146" s="1"/>
      <c r="E146" s="1">
        <f>E145-E144</f>
        <v>-166</v>
      </c>
      <c r="F146" s="1">
        <f>F145-F144</f>
        <v>-83</v>
      </c>
      <c r="G146" s="1">
        <f>G145-G144</f>
        <v>-209</v>
      </c>
      <c r="H146" s="1">
        <f>H145-H144</f>
        <v>-184</v>
      </c>
      <c r="I146" s="1">
        <f>I145-I144</f>
        <v>-39</v>
      </c>
      <c r="J146" s="1">
        <f>J145-J144</f>
        <v>-49</v>
      </c>
      <c r="K146" s="1">
        <f>K145-K144</f>
        <v>-30</v>
      </c>
      <c r="L146" s="1">
        <f>L145-L144</f>
        <v>-53</v>
      </c>
      <c r="M146" s="1">
        <f>M145-M144</f>
        <v>-40</v>
      </c>
      <c r="N146" s="1">
        <f>N145-N144</f>
        <v>-19</v>
      </c>
      <c r="O146" s="1">
        <f>O145-O144</f>
        <v>-87</v>
      </c>
      <c r="P146" s="1">
        <f>P145-P144</f>
        <v>-128</v>
      </c>
      <c r="Q146" s="1">
        <f>Q145-Q144</f>
        <v>-75</v>
      </c>
      <c r="R146" s="1">
        <f>R145-R144</f>
        <v>-81</v>
      </c>
      <c r="S146" s="1">
        <f>S145-S144</f>
        <v>-129</v>
      </c>
      <c r="T146" s="1">
        <f>T145-T144</f>
        <v>-56</v>
      </c>
      <c r="U146" s="1">
        <f>U145-U144</f>
        <v>-62</v>
      </c>
      <c r="V146" s="1">
        <f>V145-V144</f>
        <v>-133</v>
      </c>
      <c r="W146" s="1">
        <f>W145-W144</f>
        <v>-33</v>
      </c>
      <c r="X146" s="1">
        <f>X145-X144</f>
        <v>-53</v>
      </c>
      <c r="Y146" s="1">
        <f>Y145-Y144</f>
        <v>-125</v>
      </c>
      <c r="Z146" s="1">
        <f>Z145-Z144</f>
        <v>-49</v>
      </c>
      <c r="AA146" s="1">
        <f>AA145-AA144</f>
        <v>-34</v>
      </c>
      <c r="AB146" s="1">
        <f>AB145-AB144</f>
        <v>-132</v>
      </c>
      <c r="AC146" s="1">
        <f>AC145-AC144</f>
        <v>-28</v>
      </c>
      <c r="AD146" s="1">
        <f>AD145-AD144</f>
        <v>-18</v>
      </c>
      <c r="AE146" s="1">
        <f>AE145-AE144</f>
        <v>-260</v>
      </c>
      <c r="AF146" s="1">
        <f>AF145-AF144</f>
        <v>-10</v>
      </c>
      <c r="AG146" s="1">
        <f>AG145-AG144</f>
        <v>-15</v>
      </c>
      <c r="AH146" s="1">
        <f>AH145-AH144</f>
        <v>-30</v>
      </c>
      <c r="AI146" s="1">
        <f>AI145-AI144</f>
        <v>-30</v>
      </c>
      <c r="AJ146" s="1">
        <f>AJ145-AJ144</f>
        <v>-5</v>
      </c>
      <c r="AK146" s="1">
        <f>AK145-AK144</f>
        <v>33</v>
      </c>
      <c r="AL146" s="1">
        <f>AL145-AL144</f>
        <v>43</v>
      </c>
      <c r="AM146" s="1">
        <f>AM145-AM144</f>
        <v>-13</v>
      </c>
      <c r="AN146" s="1">
        <f>AN145-AN144</f>
        <v>-50</v>
      </c>
      <c r="AO146" s="1">
        <f>AO145-AO144</f>
        <v>-25</v>
      </c>
      <c r="AP146" s="1">
        <f>AP145-AP144</f>
        <v>-26</v>
      </c>
      <c r="AQ146" s="1">
        <f>AQ145-AQ144</f>
        <v>-91</v>
      </c>
      <c r="AR146" s="1">
        <f>AR145-AR144</f>
        <v>-114</v>
      </c>
      <c r="AS146" s="1">
        <f>AS145-AS144</f>
        <v>-78</v>
      </c>
      <c r="AT146" s="1">
        <f>AT145-AT144</f>
        <v>-86</v>
      </c>
      <c r="AU146" s="1">
        <f>AU145-AU144</f>
        <v>-42</v>
      </c>
      <c r="AV146" s="1">
        <f>AV145-AV144</f>
        <v>-115</v>
      </c>
      <c r="AW146" s="1">
        <f>AW145-AW144</f>
        <v>-104</v>
      </c>
      <c r="AX146" s="1">
        <f>AX145-AX144</f>
        <v>-55</v>
      </c>
      <c r="AY146" s="1">
        <f>AY145-AY144</f>
        <v>-30</v>
      </c>
      <c r="AZ146" s="1">
        <f>AZ145-AZ144</f>
        <v>-75</v>
      </c>
      <c r="BA146" s="1">
        <f>BA145-BA144</f>
        <v>-192</v>
      </c>
      <c r="BB146" s="1">
        <f>BB145-BB144</f>
        <v>-225</v>
      </c>
      <c r="BC146" s="1">
        <f>BC145-BC144</f>
        <v>-10</v>
      </c>
      <c r="BD146" s="1">
        <f>BD145-BD144</f>
        <v>-84</v>
      </c>
      <c r="BE146" s="1">
        <f>BE145-BE144</f>
        <v>24</v>
      </c>
      <c r="BF146" s="1">
        <f>BF145-BF144</f>
        <v>13</v>
      </c>
      <c r="BG146" s="1">
        <f>BG145-BG144</f>
        <v>22</v>
      </c>
      <c r="BH146" s="1">
        <f>BH145-BH144</f>
        <v>-65</v>
      </c>
      <c r="BI146" s="1">
        <f>BI145-BI144</f>
        <v>-37</v>
      </c>
      <c r="BJ146" s="1">
        <f>BJ145-BJ144</f>
        <v>-187</v>
      </c>
      <c r="BK146" s="1">
        <f>BK145-BK144</f>
        <v>-187</v>
      </c>
      <c r="BL146" s="1">
        <f>BL145-BL144</f>
        <v>-125</v>
      </c>
      <c r="BM146" s="1">
        <f>BM145-BM144</f>
        <v>-150</v>
      </c>
      <c r="BN146" s="1">
        <f>BN145-BN144</f>
        <v>-350</v>
      </c>
      <c r="BO146" s="1">
        <f>BO145-BO144</f>
        <v>-350</v>
      </c>
      <c r="BP146" s="1"/>
      <c r="BQ146" s="1"/>
      <c r="BR146" s="17"/>
      <c r="BS146" s="17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34"/>
    </row>
  </sheetData>
  <autoFilter ref="A1:BP144"/>
  <sortState ref="A2:CS146">
    <sortCondition ref="BR2:BR146"/>
    <sortCondition ref="BQ2:BQ146"/>
  </sortState>
  <phoneticPr fontId="1" type="noConversion"/>
  <conditionalFormatting sqref="E34">
    <cfRule type="cellIs" dxfId="2" priority="4" operator="greaterThan">
      <formula>$E$145</formula>
    </cfRule>
  </conditionalFormatting>
  <conditionalFormatting sqref="E144">
    <cfRule type="cellIs" dxfId="1" priority="3" operator="greaterThan">
      <formula>$E$145</formula>
    </cfRule>
  </conditionalFormatting>
  <conditionalFormatting sqref="E146:BO14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8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148</xdr:row>
                    <xdr:rowOff>28575</xdr:rowOff>
                  </from>
                  <to>
                    <xdr:col>1</xdr:col>
                    <xdr:colOff>428625</xdr:colOff>
                    <xdr:row>149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93</v>
      </c>
      <c r="B1" s="5" t="s">
        <v>90</v>
      </c>
      <c r="C1" s="5" t="s">
        <v>94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60</v>
      </c>
      <c r="C3" s="1">
        <v>120</v>
      </c>
    </row>
    <row r="4" spans="1:3" x14ac:dyDescent="0.15">
      <c r="A4" s="1">
        <v>4</v>
      </c>
      <c r="B4" s="4" t="s">
        <v>61</v>
      </c>
      <c r="C4" s="1">
        <v>85</v>
      </c>
    </row>
    <row r="5" spans="1:3" x14ac:dyDescent="0.15">
      <c r="A5" s="1">
        <v>3</v>
      </c>
      <c r="B5" s="4" t="s">
        <v>49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33</v>
      </c>
      <c r="C10" s="1">
        <v>45</v>
      </c>
    </row>
    <row r="11" spans="1:3" x14ac:dyDescent="0.15">
      <c r="A11" s="1">
        <v>5</v>
      </c>
      <c r="B11" s="4" t="s">
        <v>68</v>
      </c>
      <c r="C11" s="1">
        <v>45</v>
      </c>
    </row>
    <row r="12" spans="1:3" x14ac:dyDescent="0.15">
      <c r="A12" s="1">
        <v>11</v>
      </c>
      <c r="B12" s="2" t="s">
        <v>50</v>
      </c>
      <c r="C12" s="1">
        <v>10</v>
      </c>
    </row>
    <row r="13" spans="1:3" x14ac:dyDescent="0.15">
      <c r="A13" s="1">
        <v>6</v>
      </c>
      <c r="B13" s="4" t="s">
        <v>74</v>
      </c>
      <c r="C13" s="1">
        <v>8</v>
      </c>
    </row>
    <row r="19" spans="7:18" x14ac:dyDescent="0.15">
      <c r="G19" s="10" t="s">
        <v>49</v>
      </c>
      <c r="H19" s="10" t="s">
        <v>5</v>
      </c>
      <c r="I19" s="10" t="s">
        <v>33</v>
      </c>
      <c r="J19" s="10" t="s">
        <v>68</v>
      </c>
      <c r="K19" s="10" t="s">
        <v>74</v>
      </c>
      <c r="L19" s="10" t="s">
        <v>61</v>
      </c>
      <c r="M19" s="11" t="s">
        <v>6</v>
      </c>
      <c r="N19" s="11" t="s">
        <v>7</v>
      </c>
      <c r="O19" s="11" t="s">
        <v>50</v>
      </c>
      <c r="P19" s="11" t="s">
        <v>9</v>
      </c>
      <c r="Q19" s="11" t="s">
        <v>60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100</v>
      </c>
      <c r="B1" s="8" t="s">
        <v>101</v>
      </c>
      <c r="C1" s="8" t="s">
        <v>102</v>
      </c>
    </row>
    <row r="2" spans="1:3" x14ac:dyDescent="0.15">
      <c r="A2" s="1">
        <v>5</v>
      </c>
      <c r="B2" s="10" t="s">
        <v>74</v>
      </c>
      <c r="C2" s="1">
        <v>0</v>
      </c>
    </row>
    <row r="3" spans="1:3" x14ac:dyDescent="0.15">
      <c r="A3" s="1">
        <v>9</v>
      </c>
      <c r="B3" s="11" t="s">
        <v>50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68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49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33</v>
      </c>
      <c r="C11" s="1">
        <v>5</v>
      </c>
    </row>
    <row r="12" spans="1:3" x14ac:dyDescent="0.15">
      <c r="A12" s="1">
        <v>11</v>
      </c>
      <c r="B12" s="11" t="s">
        <v>60</v>
      </c>
      <c r="C12" s="1">
        <v>5</v>
      </c>
    </row>
    <row r="13" spans="1:3" x14ac:dyDescent="0.15">
      <c r="A13" s="1">
        <v>6</v>
      </c>
      <c r="B13" s="10" t="s">
        <v>61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49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33</v>
      </c>
      <c r="C4">
        <v>0</v>
      </c>
    </row>
    <row r="5" spans="2:3" x14ac:dyDescent="0.15">
      <c r="B5" s="10" t="s">
        <v>74</v>
      </c>
      <c r="C5">
        <v>0</v>
      </c>
    </row>
    <row r="6" spans="2:3" x14ac:dyDescent="0.15">
      <c r="B6" s="11" t="s">
        <v>50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60</v>
      </c>
      <c r="C8">
        <v>0</v>
      </c>
    </row>
    <row r="9" spans="2:3" x14ac:dyDescent="0.15">
      <c r="B9" s="10" t="s">
        <v>68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61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2020-02-14T12:25:05Z</dcterms:modified>
</cp:coreProperties>
</file>