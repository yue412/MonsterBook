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1" i="1" l="1"/>
  <c r="AD163" i="1" s="1"/>
  <c r="BP160" i="1" l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S160" i="1"/>
  <c r="P161" i="1"/>
  <c r="P163" i="1" s="1"/>
  <c r="Q161" i="1"/>
  <c r="Q163" i="1" s="1"/>
  <c r="R161" i="1"/>
  <c r="R163" i="1" s="1"/>
  <c r="S161" i="1"/>
  <c r="S163" i="1" s="1"/>
  <c r="T161" i="1"/>
  <c r="T163" i="1" s="1"/>
  <c r="U161" i="1"/>
  <c r="U163" i="1" s="1"/>
  <c r="V161" i="1"/>
  <c r="V163" i="1" s="1"/>
  <c r="W161" i="1"/>
  <c r="W163" i="1" s="1"/>
  <c r="X161" i="1"/>
  <c r="X163" i="1" s="1"/>
  <c r="Y161" i="1"/>
  <c r="Y163" i="1" s="1"/>
  <c r="Z161" i="1"/>
  <c r="Z163" i="1" s="1"/>
  <c r="AA161" i="1"/>
  <c r="AA163" i="1" s="1"/>
  <c r="AB161" i="1"/>
  <c r="AB163" i="1" s="1"/>
  <c r="AC161" i="1"/>
  <c r="AC163" i="1" s="1"/>
  <c r="CF160" i="1" l="1"/>
  <c r="CM160" i="1" s="1"/>
  <c r="AO161" i="1"/>
  <c r="AO163" i="1" s="1"/>
  <c r="AP161" i="1"/>
  <c r="AP163" i="1" s="1"/>
  <c r="BC161" i="1"/>
  <c r="BC163" i="1" s="1"/>
  <c r="CO160" i="1" l="1"/>
  <c r="CK160" i="1"/>
  <c r="CI160" i="1"/>
  <c r="CN160" i="1"/>
  <c r="CP160" i="1"/>
  <c r="CJ160" i="1"/>
  <c r="CL160" i="1"/>
  <c r="CG160" i="1"/>
  <c r="CQ160" i="1"/>
  <c r="CH160" i="1"/>
  <c r="CR160" i="1"/>
  <c r="CS3" i="1"/>
  <c r="CS4" i="1"/>
  <c r="CS5" i="1"/>
  <c r="CS66" i="1"/>
  <c r="CS6" i="1"/>
  <c r="CS7" i="1"/>
  <c r="CS8" i="1"/>
  <c r="CS51" i="1"/>
  <c r="CS108" i="1"/>
  <c r="CS45" i="1"/>
  <c r="CS68" i="1"/>
  <c r="CS69" i="1"/>
  <c r="CS70" i="1"/>
  <c r="CS71" i="1"/>
  <c r="CS72" i="1"/>
  <c r="CS73" i="1"/>
  <c r="CS74" i="1"/>
  <c r="CS65" i="1"/>
  <c r="CS106" i="1"/>
  <c r="CS12" i="1"/>
  <c r="CS16" i="1"/>
  <c r="CS17" i="1"/>
  <c r="CS56" i="1"/>
  <c r="CS46" i="1"/>
  <c r="CS44" i="1"/>
  <c r="CS114" i="1"/>
  <c r="CS79" i="1"/>
  <c r="CS64" i="1"/>
  <c r="CS81" i="1"/>
  <c r="CS83" i="1"/>
  <c r="CS20" i="1"/>
  <c r="CS86" i="1"/>
  <c r="CS87" i="1"/>
  <c r="CS9" i="1"/>
  <c r="CS63" i="1"/>
  <c r="CS47" i="1"/>
  <c r="CS10" i="1"/>
  <c r="CS13" i="1"/>
  <c r="CS55" i="1"/>
  <c r="CS18" i="1"/>
  <c r="CS19" i="1"/>
  <c r="CS107" i="1"/>
  <c r="CS116" i="1"/>
  <c r="CS117" i="1"/>
  <c r="CS11" i="1"/>
  <c r="CS14" i="1"/>
  <c r="CS134" i="1"/>
  <c r="CS135" i="1"/>
  <c r="CS122" i="1"/>
  <c r="CS101" i="1"/>
  <c r="CS15" i="1"/>
  <c r="CS115" i="1"/>
  <c r="CS85" i="1"/>
  <c r="CS84" i="1"/>
  <c r="CS60" i="1"/>
  <c r="CS119" i="1"/>
  <c r="CS143" i="1"/>
  <c r="CS137" i="1"/>
  <c r="CS144" i="1"/>
  <c r="CS154" i="1"/>
  <c r="CS155" i="1"/>
  <c r="CS2" i="1"/>
  <c r="CS161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6" i="1"/>
  <c r="BU6" i="1"/>
  <c r="BV6" i="1"/>
  <c r="BW6" i="1"/>
  <c r="BX6" i="1"/>
  <c r="BY6" i="1"/>
  <c r="BZ6" i="1"/>
  <c r="CA6" i="1"/>
  <c r="CB6" i="1"/>
  <c r="CC6" i="1"/>
  <c r="CD6" i="1"/>
  <c r="CE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BU2" i="1"/>
  <c r="BV2" i="1"/>
  <c r="BW2" i="1"/>
  <c r="BX2" i="1"/>
  <c r="BY2" i="1"/>
  <c r="BZ2" i="1"/>
  <c r="CA2" i="1"/>
  <c r="CB2" i="1"/>
  <c r="CC2" i="1"/>
  <c r="CD2" i="1"/>
  <c r="CE2" i="1"/>
  <c r="BT2" i="1"/>
  <c r="CF108" i="1" l="1"/>
  <c r="CR108" i="1" s="1"/>
  <c r="CF69" i="1"/>
  <c r="CR69" i="1" s="1"/>
  <c r="CF68" i="1"/>
  <c r="CN68" i="1" s="1"/>
  <c r="CF51" i="1"/>
  <c r="CH51" i="1" s="1"/>
  <c r="CA161" i="1"/>
  <c r="CC161" i="1"/>
  <c r="BX161" i="1"/>
  <c r="BZ161" i="1"/>
  <c r="BV161" i="1"/>
  <c r="BU161" i="1"/>
  <c r="CD161" i="1"/>
  <c r="BY161" i="1"/>
  <c r="CB161" i="1"/>
  <c r="CE161" i="1"/>
  <c r="CF60" i="1"/>
  <c r="CK60" i="1" s="1"/>
  <c r="CF106" i="1"/>
  <c r="CM106" i="1" s="1"/>
  <c r="CF86" i="1"/>
  <c r="CI86" i="1" s="1"/>
  <c r="CF18" i="1"/>
  <c r="CJ18" i="1" s="1"/>
  <c r="CF115" i="1"/>
  <c r="CG115" i="1" s="1"/>
  <c r="CF5" i="1"/>
  <c r="CN5" i="1" s="1"/>
  <c r="CF4" i="1"/>
  <c r="CN4" i="1" s="1"/>
  <c r="CF3" i="1"/>
  <c r="CN3" i="1" s="1"/>
  <c r="CF155" i="1"/>
  <c r="CG155" i="1" s="1"/>
  <c r="CF119" i="1"/>
  <c r="CK119" i="1" s="1"/>
  <c r="CF143" i="1"/>
  <c r="CK143" i="1" s="1"/>
  <c r="CF84" i="1"/>
  <c r="CR84" i="1" s="1"/>
  <c r="CF135" i="1"/>
  <c r="CJ135" i="1" s="1"/>
  <c r="CF55" i="1"/>
  <c r="CH55" i="1" s="1"/>
  <c r="CF11" i="1"/>
  <c r="CR11" i="1" s="1"/>
  <c r="CF12" i="1"/>
  <c r="CQ12" i="1" s="1"/>
  <c r="CF56" i="1"/>
  <c r="CR56" i="1" s="1"/>
  <c r="CF16" i="1"/>
  <c r="CH16" i="1" s="1"/>
  <c r="CF10" i="1"/>
  <c r="CN10" i="1" s="1"/>
  <c r="CF65" i="1"/>
  <c r="CH65" i="1" s="1"/>
  <c r="CF13" i="1"/>
  <c r="CN13" i="1" s="1"/>
  <c r="CF83" i="1"/>
  <c r="CL83" i="1" s="1"/>
  <c r="CF64" i="1"/>
  <c r="CH64" i="1" s="1"/>
  <c r="CF20" i="1"/>
  <c r="CK20" i="1" s="1"/>
  <c r="CF46" i="1"/>
  <c r="CO46" i="1" s="1"/>
  <c r="CF45" i="1"/>
  <c r="CO45" i="1" s="1"/>
  <c r="CF73" i="1"/>
  <c r="CH73" i="1" s="1"/>
  <c r="CF72" i="1"/>
  <c r="CP72" i="1" s="1"/>
  <c r="CF71" i="1"/>
  <c r="CN71" i="1" s="1"/>
  <c r="CF70" i="1"/>
  <c r="CR70" i="1" s="1"/>
  <c r="CF47" i="1"/>
  <c r="CG47" i="1" s="1"/>
  <c r="CF66" i="1"/>
  <c r="CQ66" i="1" s="1"/>
  <c r="CF6" i="1"/>
  <c r="CL6" i="1" s="1"/>
  <c r="CF19" i="1"/>
  <c r="CJ19" i="1" s="1"/>
  <c r="CF8" i="1"/>
  <c r="CN8" i="1" s="1"/>
  <c r="CF7" i="1"/>
  <c r="CI7" i="1" s="1"/>
  <c r="CF154" i="1"/>
  <c r="CR154" i="1" s="1"/>
  <c r="CF114" i="1"/>
  <c r="CJ114" i="1" s="1"/>
  <c r="CF144" i="1"/>
  <c r="CO144" i="1" s="1"/>
  <c r="CF85" i="1"/>
  <c r="CN85" i="1" s="1"/>
  <c r="CF15" i="1"/>
  <c r="CK15" i="1" s="1"/>
  <c r="CF134" i="1"/>
  <c r="CR134" i="1" s="1"/>
  <c r="CF9" i="1"/>
  <c r="CP9" i="1" s="1"/>
  <c r="CF14" i="1"/>
  <c r="CR14" i="1" s="1"/>
  <c r="CF79" i="1"/>
  <c r="CH79" i="1" s="1"/>
  <c r="CF17" i="1"/>
  <c r="CK17" i="1" s="1"/>
  <c r="CF117" i="1"/>
  <c r="CN117" i="1" s="1"/>
  <c r="CF116" i="1"/>
  <c r="CL116" i="1" s="1"/>
  <c r="CF122" i="1"/>
  <c r="CN122" i="1" s="1"/>
  <c r="CF107" i="1"/>
  <c r="CI107" i="1" s="1"/>
  <c r="CF63" i="1"/>
  <c r="CH63" i="1" s="1"/>
  <c r="CF87" i="1"/>
  <c r="CO87" i="1" s="1"/>
  <c r="CF81" i="1"/>
  <c r="CM81" i="1" s="1"/>
  <c r="CF44" i="1"/>
  <c r="CR44" i="1" s="1"/>
  <c r="CF74" i="1"/>
  <c r="CM74" i="1" s="1"/>
  <c r="CF2" i="1"/>
  <c r="CH2" i="1" s="1"/>
  <c r="CF101" i="1"/>
  <c r="CK101" i="1" s="1"/>
  <c r="CF137" i="1"/>
  <c r="CG137" i="1" s="1"/>
  <c r="BW161" i="1"/>
  <c r="BT161" i="1"/>
  <c r="BP56" i="1"/>
  <c r="BP9" i="1"/>
  <c r="BP11" i="1"/>
  <c r="BP144" i="1"/>
  <c r="BP3" i="1"/>
  <c r="BP68" i="1"/>
  <c r="BP69" i="1"/>
  <c r="BP70" i="1"/>
  <c r="BP107" i="1"/>
  <c r="BP122" i="1"/>
  <c r="BP155" i="1"/>
  <c r="BP63" i="1"/>
  <c r="BP116" i="1"/>
  <c r="BP134" i="1"/>
  <c r="BP71" i="1"/>
  <c r="BP72" i="1"/>
  <c r="BP79" i="1"/>
  <c r="BP4" i="1"/>
  <c r="BP51" i="1"/>
  <c r="BP106" i="1"/>
  <c r="BP7" i="1"/>
  <c r="BP65" i="1"/>
  <c r="BP66" i="1"/>
  <c r="BP143" i="1"/>
  <c r="BP5" i="1"/>
  <c r="BP15" i="1"/>
  <c r="BP13" i="1"/>
  <c r="BP81" i="1"/>
  <c r="BP73" i="1"/>
  <c r="BP83" i="1"/>
  <c r="BP85" i="1"/>
  <c r="BP60" i="1"/>
  <c r="BP55" i="1"/>
  <c r="BP14" i="1"/>
  <c r="BP20" i="1"/>
  <c r="BP101" i="1"/>
  <c r="BP137" i="1"/>
  <c r="BP10" i="1"/>
  <c r="BP12" i="1"/>
  <c r="BP8" i="1"/>
  <c r="BP47" i="1"/>
  <c r="BP154" i="1"/>
  <c r="BP117" i="1"/>
  <c r="BP135" i="1"/>
  <c r="BP74" i="1"/>
  <c r="BP45" i="1"/>
  <c r="BP46" i="1"/>
  <c r="BP84" i="1"/>
  <c r="BP18" i="1"/>
  <c r="BP115" i="1"/>
  <c r="BP19" i="1"/>
  <c r="BP44" i="1"/>
  <c r="BP86" i="1"/>
  <c r="BP87" i="1"/>
  <c r="J161" i="1"/>
  <c r="J163" i="1" s="1"/>
  <c r="K161" i="1"/>
  <c r="K163" i="1" s="1"/>
  <c r="L161" i="1"/>
  <c r="L163" i="1" s="1"/>
  <c r="M161" i="1"/>
  <c r="M163" i="1" s="1"/>
  <c r="N161" i="1"/>
  <c r="N163" i="1" s="1"/>
  <c r="O161" i="1"/>
  <c r="O163" i="1" s="1"/>
  <c r="AE161" i="1"/>
  <c r="AE163" i="1" s="1"/>
  <c r="AF161" i="1"/>
  <c r="AF163" i="1" s="1"/>
  <c r="AG161" i="1"/>
  <c r="AG163" i="1" s="1"/>
  <c r="AH161" i="1"/>
  <c r="AH163" i="1" s="1"/>
  <c r="AI161" i="1"/>
  <c r="AI163" i="1" s="1"/>
  <c r="AJ161" i="1"/>
  <c r="AJ163" i="1" s="1"/>
  <c r="AK161" i="1"/>
  <c r="AK163" i="1" s="1"/>
  <c r="AL161" i="1"/>
  <c r="AL163" i="1" s="1"/>
  <c r="AM161" i="1"/>
  <c r="AM163" i="1" s="1"/>
  <c r="AN161" i="1"/>
  <c r="AN163" i="1" s="1"/>
  <c r="AR161" i="1"/>
  <c r="AR163" i="1" s="1"/>
  <c r="AS161" i="1"/>
  <c r="AS163" i="1" s="1"/>
  <c r="AQ161" i="1"/>
  <c r="AQ163" i="1" s="1"/>
  <c r="AV161" i="1"/>
  <c r="AV163" i="1" s="1"/>
  <c r="AT161" i="1"/>
  <c r="AT163" i="1" s="1"/>
  <c r="AU161" i="1"/>
  <c r="AU163" i="1" s="1"/>
  <c r="BP64" i="1"/>
  <c r="BP119" i="1"/>
  <c r="BP2" i="1"/>
  <c r="BP16" i="1"/>
  <c r="BP17" i="1"/>
  <c r="BP6" i="1"/>
  <c r="BP108" i="1"/>
  <c r="BP114" i="1"/>
  <c r="BF161" i="1"/>
  <c r="BF163" i="1" s="1"/>
  <c r="BG161" i="1"/>
  <c r="BG163" i="1" s="1"/>
  <c r="BE161" i="1"/>
  <c r="BE163" i="1" s="1"/>
  <c r="BD161" i="1"/>
  <c r="BD163" i="1" s="1"/>
  <c r="BH161" i="1"/>
  <c r="BH163" i="1" s="1"/>
  <c r="BI161" i="1"/>
  <c r="BI163" i="1" s="1"/>
  <c r="BJ161" i="1"/>
  <c r="BJ163" i="1" s="1"/>
  <c r="BK161" i="1"/>
  <c r="BK163" i="1" s="1"/>
  <c r="BL161" i="1"/>
  <c r="BL163" i="1" s="1"/>
  <c r="BM161" i="1"/>
  <c r="BM163" i="1" s="1"/>
  <c r="BN161" i="1"/>
  <c r="BN163" i="1" s="1"/>
  <c r="BO161" i="1"/>
  <c r="BO163" i="1" s="1"/>
  <c r="F161" i="1"/>
  <c r="F163" i="1" s="1"/>
  <c r="G161" i="1"/>
  <c r="G163" i="1" s="1"/>
  <c r="H161" i="1"/>
  <c r="H163" i="1" s="1"/>
  <c r="I161" i="1"/>
  <c r="I163" i="1" s="1"/>
  <c r="AW161" i="1"/>
  <c r="AW163" i="1" s="1"/>
  <c r="AX161" i="1"/>
  <c r="AX163" i="1" s="1"/>
  <c r="AZ161" i="1"/>
  <c r="AZ163" i="1" s="1"/>
  <c r="BB161" i="1"/>
  <c r="BB163" i="1" s="1"/>
  <c r="AY161" i="1"/>
  <c r="AY163" i="1" s="1"/>
  <c r="BA161" i="1"/>
  <c r="BA163" i="1" s="1"/>
  <c r="E161" i="1"/>
  <c r="E163" i="1" s="1"/>
  <c r="CO51" i="1" l="1"/>
  <c r="CN73" i="1"/>
  <c r="CH19" i="1"/>
  <c r="CK73" i="1"/>
  <c r="CP4" i="1"/>
  <c r="CP6" i="1"/>
  <c r="CJ56" i="1"/>
  <c r="CI106" i="1"/>
  <c r="CJ5" i="1"/>
  <c r="CQ7" i="1"/>
  <c r="CG51" i="1"/>
  <c r="CM19" i="1"/>
  <c r="CH106" i="1"/>
  <c r="CP106" i="1"/>
  <c r="CG106" i="1"/>
  <c r="CR106" i="1"/>
  <c r="CN12" i="1"/>
  <c r="CK106" i="1"/>
  <c r="CI60" i="1"/>
  <c r="CP60" i="1"/>
  <c r="CQ60" i="1"/>
  <c r="CH60" i="1"/>
  <c r="CL19" i="1"/>
  <c r="CO60" i="1"/>
  <c r="CQ19" i="1"/>
  <c r="CG60" i="1"/>
  <c r="CP45" i="1"/>
  <c r="CO14" i="1"/>
  <c r="CR116" i="1"/>
  <c r="CP73" i="1"/>
  <c r="CN7" i="1"/>
  <c r="CI19" i="1"/>
  <c r="CQ18" i="1"/>
  <c r="CJ4" i="1"/>
  <c r="CL4" i="1"/>
  <c r="CM60" i="1"/>
  <c r="CM116" i="1"/>
  <c r="CK70" i="1"/>
  <c r="CN84" i="1"/>
  <c r="CN18" i="1"/>
  <c r="CO84" i="1"/>
  <c r="CM18" i="1"/>
  <c r="CI18" i="1"/>
  <c r="CR18" i="1"/>
  <c r="CL65" i="1"/>
  <c r="CN2" i="1"/>
  <c r="CK18" i="1"/>
  <c r="CL119" i="1"/>
  <c r="CQ8" i="1"/>
  <c r="CI10" i="1"/>
  <c r="CQ119" i="1"/>
  <c r="CJ119" i="1"/>
  <c r="CH18" i="1"/>
  <c r="CP18" i="1"/>
  <c r="CL13" i="1"/>
  <c r="CH66" i="1"/>
  <c r="CG12" i="1"/>
  <c r="CG18" i="1"/>
  <c r="CO12" i="1"/>
  <c r="CR51" i="1"/>
  <c r="CO18" i="1"/>
  <c r="CG13" i="1"/>
  <c r="CL51" i="1"/>
  <c r="CR3" i="1"/>
  <c r="CJ13" i="1"/>
  <c r="CL18" i="1"/>
  <c r="CR13" i="1"/>
  <c r="CI84" i="1"/>
  <c r="CO13" i="1"/>
  <c r="CO119" i="1"/>
  <c r="CQ84" i="1"/>
  <c r="CM70" i="1"/>
  <c r="CP66" i="1"/>
  <c r="CJ12" i="1"/>
  <c r="CR115" i="1"/>
  <c r="CQ115" i="1"/>
  <c r="CP115" i="1"/>
  <c r="CM46" i="1"/>
  <c r="CN115" i="1"/>
  <c r="CM115" i="1"/>
  <c r="CJ115" i="1"/>
  <c r="CJ86" i="1"/>
  <c r="CO115" i="1"/>
  <c r="CP81" i="1"/>
  <c r="CH115" i="1"/>
  <c r="CG81" i="1"/>
  <c r="CK115" i="1"/>
  <c r="CI115" i="1"/>
  <c r="CR19" i="1"/>
  <c r="CR83" i="1"/>
  <c r="CL135" i="1"/>
  <c r="CQ69" i="1"/>
  <c r="CQ135" i="1"/>
  <c r="CK83" i="1"/>
  <c r="CK114" i="1"/>
  <c r="CN69" i="1"/>
  <c r="CN14" i="1"/>
  <c r="CP69" i="1"/>
  <c r="CL114" i="1"/>
  <c r="CH69" i="1"/>
  <c r="CO114" i="1"/>
  <c r="CO69" i="1"/>
  <c r="CN135" i="1"/>
  <c r="CI114" i="1"/>
  <c r="CK69" i="1"/>
  <c r="CM135" i="1"/>
  <c r="CH114" i="1"/>
  <c r="CO135" i="1"/>
  <c r="CI135" i="1"/>
  <c r="CR114" i="1"/>
  <c r="CI69" i="1"/>
  <c r="CQ83" i="1"/>
  <c r="CH135" i="1"/>
  <c r="CQ114" i="1"/>
  <c r="CP83" i="1"/>
  <c r="CG135" i="1"/>
  <c r="CN114" i="1"/>
  <c r="CR15" i="1"/>
  <c r="CO6" i="1"/>
  <c r="CR2" i="1"/>
  <c r="CM122" i="1"/>
  <c r="CJ83" i="1"/>
  <c r="CM83" i="1"/>
  <c r="CR135" i="1"/>
  <c r="CI101" i="1"/>
  <c r="CJ69" i="1"/>
  <c r="CR7" i="1"/>
  <c r="CO19" i="1"/>
  <c r="CK154" i="1"/>
  <c r="CO66" i="1"/>
  <c r="CR12" i="1"/>
  <c r="CG73" i="1"/>
  <c r="CP46" i="1"/>
  <c r="CL84" i="1"/>
  <c r="CL7" i="1"/>
  <c r="CI45" i="1"/>
  <c r="CR107" i="1"/>
  <c r="CJ60" i="1"/>
  <c r="CL46" i="1"/>
  <c r="CM3" i="1"/>
  <c r="CJ106" i="1"/>
  <c r="CM2" i="1"/>
  <c r="CH13" i="1"/>
  <c r="CK144" i="1"/>
  <c r="CJ2" i="1"/>
  <c r="CM16" i="1"/>
  <c r="CP17" i="1"/>
  <c r="CQ134" i="1"/>
  <c r="CI3" i="1"/>
  <c r="CN106" i="1"/>
  <c r="CP13" i="1"/>
  <c r="CJ51" i="1"/>
  <c r="CI2" i="1"/>
  <c r="CM154" i="1"/>
  <c r="CP14" i="1"/>
  <c r="CL134" i="1"/>
  <c r="CG3" i="1"/>
  <c r="CM107" i="1"/>
  <c r="CG19" i="1"/>
  <c r="CM51" i="1"/>
  <c r="CN66" i="1"/>
  <c r="CK10" i="1"/>
  <c r="CM12" i="1"/>
  <c r="CQ73" i="1"/>
  <c r="CR60" i="1"/>
  <c r="CH84" i="1"/>
  <c r="CP56" i="1"/>
  <c r="CM7" i="1"/>
  <c r="CI137" i="1"/>
  <c r="CO106" i="1"/>
  <c r="CN16" i="1"/>
  <c r="CL137" i="1"/>
  <c r="CL66" i="1"/>
  <c r="CQ10" i="1"/>
  <c r="CO137" i="1"/>
  <c r="CL12" i="1"/>
  <c r="CM6" i="1"/>
  <c r="CO107" i="1"/>
  <c r="CI51" i="1"/>
  <c r="CG55" i="1"/>
  <c r="CH4" i="1"/>
  <c r="CG7" i="1"/>
  <c r="CR137" i="1"/>
  <c r="CL106" i="1"/>
  <c r="CK66" i="1"/>
  <c r="CO10" i="1"/>
  <c r="CK12" i="1"/>
  <c r="CG6" i="1"/>
  <c r="CL107" i="1"/>
  <c r="CQ51" i="1"/>
  <c r="CI73" i="1"/>
  <c r="CR55" i="1"/>
  <c r="CQ68" i="1"/>
  <c r="CN137" i="1"/>
  <c r="CH107" i="1"/>
  <c r="CI55" i="1"/>
  <c r="CK107" i="1"/>
  <c r="CO55" i="1"/>
  <c r="CO7" i="1"/>
  <c r="CP68" i="1"/>
  <c r="CM137" i="1"/>
  <c r="CN19" i="1"/>
  <c r="CN45" i="1"/>
  <c r="CN81" i="1"/>
  <c r="CL115" i="1"/>
  <c r="CK6" i="1"/>
  <c r="CR9" i="1"/>
  <c r="CL55" i="1"/>
  <c r="CM68" i="1"/>
  <c r="CJ137" i="1"/>
  <c r="CI81" i="1"/>
  <c r="CK9" i="1"/>
  <c r="CJ68" i="1"/>
  <c r="CQ144" i="1"/>
  <c r="CM64" i="1"/>
  <c r="CI68" i="1"/>
  <c r="CP144" i="1"/>
  <c r="CI64" i="1"/>
  <c r="CG68" i="1"/>
  <c r="CN144" i="1"/>
  <c r="CL68" i="1"/>
  <c r="CK137" i="1"/>
  <c r="CQ107" i="1"/>
  <c r="CJ144" i="1"/>
  <c r="CN55" i="1"/>
  <c r="CQ55" i="1"/>
  <c r="CK68" i="1"/>
  <c r="CN107" i="1"/>
  <c r="CG144" i="1"/>
  <c r="CP55" i="1"/>
  <c r="CJ55" i="1"/>
  <c r="CG107" i="1"/>
  <c r="CL144" i="1"/>
  <c r="CM55" i="1"/>
  <c r="CJ14" i="1"/>
  <c r="CQ4" i="1"/>
  <c r="CO3" i="1"/>
  <c r="CI143" i="1"/>
  <c r="CK7" i="1"/>
  <c r="CK19" i="1"/>
  <c r="CM45" i="1"/>
  <c r="CP10" i="1"/>
  <c r="CH81" i="1"/>
  <c r="CN155" i="1"/>
  <c r="CJ116" i="1"/>
  <c r="CM73" i="1"/>
  <c r="CN9" i="1"/>
  <c r="CL8" i="1"/>
  <c r="CQ16" i="1"/>
  <c r="CH14" i="1"/>
  <c r="CK134" i="1"/>
  <c r="CO70" i="1"/>
  <c r="CH7" i="1"/>
  <c r="CG154" i="1"/>
  <c r="CJ45" i="1"/>
  <c r="CG10" i="1"/>
  <c r="CQ81" i="1"/>
  <c r="CQ116" i="1"/>
  <c r="CJ73" i="1"/>
  <c r="CH9" i="1"/>
  <c r="CK8" i="1"/>
  <c r="CP16" i="1"/>
  <c r="CQ154" i="1"/>
  <c r="CJ108" i="1"/>
  <c r="CG14" i="1"/>
  <c r="CL70" i="1"/>
  <c r="CL154" i="1"/>
  <c r="CL2" i="1"/>
  <c r="CG45" i="1"/>
  <c r="CL10" i="1"/>
  <c r="CO81" i="1"/>
  <c r="CK116" i="1"/>
  <c r="CR73" i="1"/>
  <c r="CO9" i="1"/>
  <c r="CJ16" i="1"/>
  <c r="CN60" i="1"/>
  <c r="CP84" i="1"/>
  <c r="CI4" i="1"/>
  <c r="CQ3" i="1"/>
  <c r="CK71" i="1"/>
  <c r="CQ6" i="1"/>
  <c r="CL9" i="1"/>
  <c r="CI16" i="1"/>
  <c r="CJ3" i="1"/>
  <c r="CQ44" i="1"/>
  <c r="CG44" i="1"/>
  <c r="CJ81" i="1"/>
  <c r="CM14" i="1"/>
  <c r="CJ134" i="1"/>
  <c r="CL3" i="1"/>
  <c r="CQ70" i="1"/>
  <c r="CP7" i="1"/>
  <c r="CH86" i="1"/>
  <c r="CO154" i="1"/>
  <c r="CM66" i="1"/>
  <c r="CL45" i="1"/>
  <c r="CM10" i="1"/>
  <c r="CQ65" i="1"/>
  <c r="CM9" i="1"/>
  <c r="CP116" i="1"/>
  <c r="CK155" i="1"/>
  <c r="CN6" i="1"/>
  <c r="CO73" i="1"/>
  <c r="CJ9" i="1"/>
  <c r="CQ2" i="1"/>
  <c r="CG16" i="1"/>
  <c r="CP154" i="1"/>
  <c r="CL60" i="1"/>
  <c r="CG17" i="1"/>
  <c r="CL14" i="1"/>
  <c r="CP134" i="1"/>
  <c r="CM4" i="1"/>
  <c r="CK3" i="1"/>
  <c r="CJ70" i="1"/>
  <c r="CM44" i="1"/>
  <c r="CJ7" i="1"/>
  <c r="CO86" i="1"/>
  <c r="CQ106" i="1"/>
  <c r="CP19" i="1"/>
  <c r="CP2" i="1"/>
  <c r="CI66" i="1"/>
  <c r="CK45" i="1"/>
  <c r="CJ10" i="1"/>
  <c r="CM65" i="1"/>
  <c r="CN116" i="1"/>
  <c r="CJ6" i="1"/>
  <c r="CL73" i="1"/>
  <c r="CI9" i="1"/>
  <c r="CO2" i="1"/>
  <c r="CO16" i="1"/>
  <c r="CN154" i="1"/>
  <c r="CR17" i="1"/>
  <c r="CK14" i="1"/>
  <c r="CM134" i="1"/>
  <c r="CR4" i="1"/>
  <c r="CH3" i="1"/>
  <c r="CN70" i="1"/>
  <c r="CJ44" i="1"/>
  <c r="CH10" i="1"/>
  <c r="CQ13" i="1"/>
  <c r="CR10" i="1"/>
  <c r="CI116" i="1"/>
  <c r="CR6" i="1"/>
  <c r="CQ9" i="1"/>
  <c r="CJ154" i="1"/>
  <c r="CI14" i="1"/>
  <c r="CJ84" i="1"/>
  <c r="CN134" i="1"/>
  <c r="CK4" i="1"/>
  <c r="CP3" i="1"/>
  <c r="CI70" i="1"/>
  <c r="CO44" i="1"/>
  <c r="CH116" i="1"/>
  <c r="CG9" i="1"/>
  <c r="CQ14" i="1"/>
  <c r="CO134" i="1"/>
  <c r="CP70" i="1"/>
  <c r="CL44" i="1"/>
  <c r="CK44" i="1"/>
  <c r="CP44" i="1"/>
  <c r="CG2" i="1"/>
  <c r="CI154" i="1"/>
  <c r="CK84" i="1"/>
  <c r="CI134" i="1"/>
  <c r="CI44" i="1"/>
  <c r="CR63" i="1"/>
  <c r="CR85" i="1"/>
  <c r="CO63" i="1"/>
  <c r="CO85" i="1"/>
  <c r="CL63" i="1"/>
  <c r="CP20" i="1"/>
  <c r="CL85" i="1"/>
  <c r="CI47" i="1"/>
  <c r="CK85" i="1"/>
  <c r="CH47" i="1"/>
  <c r="CQ11" i="1"/>
  <c r="CP47" i="1"/>
  <c r="CM11" i="1"/>
  <c r="CH85" i="1"/>
  <c r="CN20" i="1"/>
  <c r="CJ20" i="1"/>
  <c r="CR47" i="1"/>
  <c r="CJ11" i="1"/>
  <c r="CI20" i="1"/>
  <c r="CM47" i="1"/>
  <c r="CL15" i="1"/>
  <c r="CM8" i="1"/>
  <c r="CO47" i="1"/>
  <c r="CH11" i="1"/>
  <c r="CP63" i="1"/>
  <c r="CQ20" i="1"/>
  <c r="CQ87" i="1"/>
  <c r="CJ8" i="1"/>
  <c r="CL47" i="1"/>
  <c r="CP11" i="1"/>
  <c r="CM63" i="1"/>
  <c r="CM20" i="1"/>
  <c r="CJ87" i="1"/>
  <c r="CM87" i="1"/>
  <c r="CG8" i="1"/>
  <c r="CK47" i="1"/>
  <c r="CI122" i="1"/>
  <c r="CO101" i="1"/>
  <c r="CI11" i="1"/>
  <c r="CJ63" i="1"/>
  <c r="CH20" i="1"/>
  <c r="CG20" i="1"/>
  <c r="CQ85" i="1"/>
  <c r="CN47" i="1"/>
  <c r="CR8" i="1"/>
  <c r="CM71" i="1"/>
  <c r="CO11" i="1"/>
  <c r="CI63" i="1"/>
  <c r="CR20" i="1"/>
  <c r="CP85" i="1"/>
  <c r="CO8" i="1"/>
  <c r="CH122" i="1"/>
  <c r="CL69" i="1"/>
  <c r="CL71" i="1"/>
  <c r="CP64" i="1"/>
  <c r="CL11" i="1"/>
  <c r="CG63" i="1"/>
  <c r="CL20" i="1"/>
  <c r="CJ85" i="1"/>
  <c r="CK11" i="1"/>
  <c r="CJ79" i="1"/>
  <c r="CO108" i="1"/>
  <c r="CL86" i="1"/>
  <c r="CR79" i="1"/>
  <c r="CK65" i="1"/>
  <c r="CI87" i="1"/>
  <c r="CI15" i="1"/>
  <c r="CP119" i="1"/>
  <c r="CK46" i="1"/>
  <c r="CL108" i="1"/>
  <c r="CI17" i="1"/>
  <c r="CI5" i="1"/>
  <c r="CJ71" i="1"/>
  <c r="CO56" i="1"/>
  <c r="CK86" i="1"/>
  <c r="CO79" i="1"/>
  <c r="CG119" i="1"/>
  <c r="CG87" i="1"/>
  <c r="CH15" i="1"/>
  <c r="CN119" i="1"/>
  <c r="CK108" i="1"/>
  <c r="CJ17" i="1"/>
  <c r="CR5" i="1"/>
  <c r="CH71" i="1"/>
  <c r="CL56" i="1"/>
  <c r="CQ86" i="1"/>
  <c r="CL79" i="1"/>
  <c r="CL87" i="1"/>
  <c r="CQ15" i="1"/>
  <c r="CM119" i="1"/>
  <c r="CQ17" i="1"/>
  <c r="CL5" i="1"/>
  <c r="CI71" i="1"/>
  <c r="CK56" i="1"/>
  <c r="CN15" i="1"/>
  <c r="CK79" i="1"/>
  <c r="CI155" i="1"/>
  <c r="CK87" i="1"/>
  <c r="CP15" i="1"/>
  <c r="CN17" i="1"/>
  <c r="CK5" i="1"/>
  <c r="CG71" i="1"/>
  <c r="CJ65" i="1"/>
  <c r="CH155" i="1"/>
  <c r="CJ15" i="1"/>
  <c r="CM79" i="1"/>
  <c r="CM17" i="1"/>
  <c r="CH5" i="1"/>
  <c r="CR101" i="1"/>
  <c r="CR71" i="1"/>
  <c r="CM86" i="1"/>
  <c r="CI65" i="1"/>
  <c r="CR155" i="1"/>
  <c r="CG15" i="1"/>
  <c r="CN65" i="1"/>
  <c r="CQ46" i="1"/>
  <c r="CQ108" i="1"/>
  <c r="CH17" i="1"/>
  <c r="CO71" i="1"/>
  <c r="CN44" i="1"/>
  <c r="CP86" i="1"/>
  <c r="CQ155" i="1"/>
  <c r="CM108" i="1"/>
  <c r="CQ56" i="1"/>
  <c r="CN86" i="1"/>
  <c r="CM15" i="1"/>
  <c r="CG65" i="1"/>
  <c r="CI119" i="1"/>
  <c r="CP65" i="1"/>
  <c r="CO155" i="1"/>
  <c r="CJ46" i="1"/>
  <c r="CH108" i="1"/>
  <c r="CO17" i="1"/>
  <c r="CQ5" i="1"/>
  <c r="CP71" i="1"/>
  <c r="CJ72" i="1"/>
  <c r="CH44" i="1"/>
  <c r="CN56" i="1"/>
  <c r="CG86" i="1"/>
  <c r="CQ79" i="1"/>
  <c r="CR65" i="1"/>
  <c r="CP87" i="1"/>
  <c r="CH119" i="1"/>
  <c r="CI46" i="1"/>
  <c r="CP108" i="1"/>
  <c r="CL17" i="1"/>
  <c r="CP5" i="1"/>
  <c r="CQ71" i="1"/>
  <c r="CQ72" i="1"/>
  <c r="CM56" i="1"/>
  <c r="CR86" i="1"/>
  <c r="CP79" i="1"/>
  <c r="CO65" i="1"/>
  <c r="CN46" i="1"/>
  <c r="CN87" i="1"/>
  <c r="CR119" i="1"/>
  <c r="CL155" i="1"/>
  <c r="CG46" i="1"/>
  <c r="CI108" i="1"/>
  <c r="CM5" i="1"/>
  <c r="CI72" i="1"/>
  <c r="CI56" i="1"/>
  <c r="CJ74" i="1"/>
  <c r="CH68" i="1"/>
  <c r="CK63" i="1"/>
  <c r="CH137" i="1"/>
  <c r="CG114" i="1"/>
  <c r="CG83" i="1"/>
  <c r="CK135" i="1"/>
  <c r="CI8" i="1"/>
  <c r="CJ66" i="1"/>
  <c r="CH45" i="1"/>
  <c r="CO20" i="1"/>
  <c r="CK13" i="1"/>
  <c r="CN79" i="1"/>
  <c r="CP114" i="1"/>
  <c r="CR81" i="1"/>
  <c r="CM85" i="1"/>
  <c r="CP155" i="1"/>
  <c r="CH87" i="1"/>
  <c r="CG116" i="1"/>
  <c r="CO15" i="1"/>
  <c r="CM13" i="1"/>
  <c r="CP107" i="1"/>
  <c r="CI144" i="1"/>
  <c r="CN51" i="1"/>
  <c r="CK2" i="1"/>
  <c r="CQ47" i="1"/>
  <c r="CH46" i="1"/>
  <c r="CR16" i="1"/>
  <c r="CK55" i="1"/>
  <c r="CN108" i="1"/>
  <c r="CM84" i="1"/>
  <c r="CG5" i="1"/>
  <c r="CH74" i="1"/>
  <c r="CJ122" i="1"/>
  <c r="CH134" i="1"/>
  <c r="CH101" i="1"/>
  <c r="CG4" i="1"/>
  <c r="CM69" i="1"/>
  <c r="CH70" i="1"/>
  <c r="CN72" i="1"/>
  <c r="CN64" i="1"/>
  <c r="CH56" i="1"/>
  <c r="CN11" i="1"/>
  <c r="CH143" i="1"/>
  <c r="CI117" i="1"/>
  <c r="CN74" i="1"/>
  <c r="CR143" i="1"/>
  <c r="CH83" i="1"/>
  <c r="CR68" i="1"/>
  <c r="CH117" i="1"/>
  <c r="CQ137" i="1"/>
  <c r="CM144" i="1"/>
  <c r="CO83" i="1"/>
  <c r="CH8" i="1"/>
  <c r="CG66" i="1"/>
  <c r="CR45" i="1"/>
  <c r="CI79" i="1"/>
  <c r="CM114" i="1"/>
  <c r="CL81" i="1"/>
  <c r="CI12" i="1"/>
  <c r="CI85" i="1"/>
  <c r="CM155" i="1"/>
  <c r="CR87" i="1"/>
  <c r="CO116" i="1"/>
  <c r="CJ107" i="1"/>
  <c r="CR144" i="1"/>
  <c r="CK51" i="1"/>
  <c r="CN63" i="1"/>
  <c r="CP8" i="1"/>
  <c r="CJ47" i="1"/>
  <c r="CR46" i="1"/>
  <c r="CL16" i="1"/>
  <c r="CH154" i="1"/>
  <c r="CG108" i="1"/>
  <c r="CG84" i="1"/>
  <c r="CO5" i="1"/>
  <c r="CG74" i="1"/>
  <c r="CG122" i="1"/>
  <c r="CG134" i="1"/>
  <c r="CQ101" i="1"/>
  <c r="CO4" i="1"/>
  <c r="CG69" i="1"/>
  <c r="CG70" i="1"/>
  <c r="CG72" i="1"/>
  <c r="CG64" i="1"/>
  <c r="CG56" i="1"/>
  <c r="CG11" i="1"/>
  <c r="CQ143" i="1"/>
  <c r="CO68" i="1"/>
  <c r="CQ63" i="1"/>
  <c r="CQ117" i="1"/>
  <c r="CP137" i="1"/>
  <c r="CH144" i="1"/>
  <c r="CP51" i="1"/>
  <c r="CP135" i="1"/>
  <c r="CQ45" i="1"/>
  <c r="CR66" i="1"/>
  <c r="CI13" i="1"/>
  <c r="CG79" i="1"/>
  <c r="CK81" i="1"/>
  <c r="CG85" i="1"/>
  <c r="CJ155" i="1"/>
  <c r="CK16" i="1"/>
  <c r="CR74" i="1"/>
  <c r="CR122" i="1"/>
  <c r="CP101" i="1"/>
  <c r="CR72" i="1"/>
  <c r="CR64" i="1"/>
  <c r="CP143" i="1"/>
  <c r="CM117" i="1"/>
  <c r="CP117" i="1"/>
  <c r="CO74" i="1"/>
  <c r="CO122" i="1"/>
  <c r="CN101" i="1"/>
  <c r="CO72" i="1"/>
  <c r="CO64" i="1"/>
  <c r="CN143" i="1"/>
  <c r="CI6" i="1"/>
  <c r="CH6" i="1"/>
  <c r="CJ117" i="1"/>
  <c r="CL74" i="1"/>
  <c r="CL122" i="1"/>
  <c r="CM101" i="1"/>
  <c r="CL72" i="1"/>
  <c r="CL64" i="1"/>
  <c r="CM143" i="1"/>
  <c r="CG117" i="1"/>
  <c r="CK74" i="1"/>
  <c r="CK122" i="1"/>
  <c r="CJ101" i="1"/>
  <c r="CK72" i="1"/>
  <c r="CK64" i="1"/>
  <c r="CJ143" i="1"/>
  <c r="CH12" i="1"/>
  <c r="CP12" i="1"/>
  <c r="CR117" i="1"/>
  <c r="CQ74" i="1"/>
  <c r="CP122" i="1"/>
  <c r="CG101" i="1"/>
  <c r="CM72" i="1"/>
  <c r="CQ64" i="1"/>
  <c r="CG143" i="1"/>
  <c r="CO117" i="1"/>
  <c r="CP74" i="1"/>
  <c r="CO143" i="1"/>
  <c r="CL117" i="1"/>
  <c r="CI74" i="1"/>
  <c r="CQ122" i="1"/>
  <c r="CL101" i="1"/>
  <c r="CH72" i="1"/>
  <c r="CJ64" i="1"/>
  <c r="CL143" i="1"/>
  <c r="CI83" i="1"/>
  <c r="CN83" i="1"/>
  <c r="CK117" i="1"/>
  <c r="CR161" i="1" l="1"/>
  <c r="CN161" i="1"/>
  <c r="CJ161" i="1"/>
  <c r="CH161" i="1"/>
  <c r="CM161" i="1"/>
  <c r="CL161" i="1"/>
  <c r="CQ161" i="1"/>
  <c r="CG161" i="1"/>
  <c r="CK161" i="1"/>
  <c r="CP161" i="1"/>
  <c r="CO161" i="1"/>
  <c r="CI161" i="1"/>
</calcChain>
</file>

<file path=xl/sharedStrings.xml><?xml version="1.0" encoding="utf-8"?>
<sst xmlns="http://schemas.openxmlformats.org/spreadsheetml/2006/main" count="744" uniqueCount="283">
  <si>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</si>
  <si>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</si>
  <si>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</si>
  <si>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</si>
  <si>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</si>
  <si>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</si>
  <si>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</si>
  <si>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</si>
  <si>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</si>
  <si>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</si>
  <si>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</si>
  <si>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</si>
  <si>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</si>
  <si>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</si>
  <si>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</si>
  <si>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</si>
  <si>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</si>
  <si>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</si>
  <si>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</si>
  <si>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</si>
  <si>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</si>
  <si>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</si>
  <si>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</si>
  <si>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</si>
  <si>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</si>
  <si>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</si>
  <si>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</si>
  <si>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</si>
  <si>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</si>
  <si>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</si>
  <si>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</si>
  <si>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</si>
  <si>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</si>
  <si>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</si>
  <si>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</si>
  <si>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</si>
  <si>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</si>
  <si>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</si>
  <si>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</si>
  <si>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</si>
  <si>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</si>
  <si>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</si>
  <si>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</si>
  <si>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</si>
  <si>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</si>
  <si>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</si>
  <si>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</si>
  <si>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</si>
  <si>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</si>
  <si>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</si>
  <si>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</si>
  <si>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</si>
  <si>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</si>
  <si>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</si>
  <si>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</si>
  <si>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</si>
  <si>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</si>
  <si>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</si>
  <si>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</si>
  <si>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</si>
  <si>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</si>
  <si>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</si>
  <si>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</si>
  <si>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</si>
  <si>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</si>
  <si>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</si>
  <si>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</si>
  <si>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</si>
  <si>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</si>
  <si>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</si>
  <si>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</si>
  <si>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</si>
  <si>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</si>
  <si>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</si>
  <si>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</si>
  <si>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</si>
  <si>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</si>
  <si>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</si>
  <si>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</si>
  <si>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</si>
  <si>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</si>
  <si>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</si>
  <si>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</si>
  <si>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</si>
  <si>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</si>
  <si>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</si>
  <si>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</si>
  <si>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</si>
  <si>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</si>
  <si>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</si>
  <si>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</si>
  <si>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</si>
  <si>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</si>
  <si>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</si>
  <si>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</si>
  <si>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</si>
  <si>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</si>
  <si>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</si>
  <si>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</si>
  <si>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</si>
  <si>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</si>
  <si>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</si>
  <si>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</si>
  <si>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</si>
  <si>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</si>
  <si>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</si>
  <si>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</si>
  <si>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</si>
  <si>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</si>
  <si>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</si>
  <si>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</si>
  <si>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</si>
  <si>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</si>
  <si>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</si>
  <si>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</si>
  <si>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</si>
  <si>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</si>
  <si>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</si>
  <si>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</si>
  <si>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</si>
  <si>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</si>
  <si>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</si>
  <si>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</si>
  <si>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</si>
  <si>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</si>
  <si>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</si>
  <si>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</si>
  <si>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</si>
  <si>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</si>
  <si>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</si>
  <si>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</si>
  <si>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</si>
  <si>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</si>
  <si>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</si>
  <si>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</si>
  <si>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</si>
  <si>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</si>
  <si>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</si>
  <si>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</si>
  <si>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</si>
  <si>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</si>
  <si>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</si>
  <si>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</si>
  <si>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</si>
  <si>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</si>
  <si>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</si>
  <si>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</si>
  <si>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</si>
  <si>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</si>
  <si>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</si>
  <si>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</si>
  <si>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</si>
  <si>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</si>
  <si>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</si>
  <si>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</si>
  <si>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</si>
  <si>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</si>
  <si>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</si>
  <si>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</si>
  <si>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</si>
  <si>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</si>
  <si>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</si>
  <si>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</si>
  <si>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</si>
  <si>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</si>
  <si>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</si>
  <si>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</si>
  <si>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</si>
  <si>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</si>
  <si>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</si>
  <si>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</si>
  <si>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</si>
  <si>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</si>
  <si>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</si>
  <si>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</si>
  <si>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</si>
  <si>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</si>
  <si>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</si>
  <si>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</si>
  <si>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</si>
  <si>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</si>
  <si>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</si>
  <si>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</si>
  <si>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</si>
  <si>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</si>
  <si>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</si>
  <si>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</si>
  <si>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</si>
  <si>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</si>
  <si>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</si>
  <si>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</si>
  <si>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</si>
  <si>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</si>
  <si>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</si>
  <si>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</si>
  <si>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</si>
  <si>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</si>
  <si>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</si>
  <si>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</si>
  <si>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</si>
  <si>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</si>
  <si>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</si>
  <si>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</si>
  <si>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</si>
  <si>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神农鼎(2),</t>
  </si>
  <si>
    <t>梅花4</t>
    <phoneticPr fontId="1" type="noConversion"/>
  </si>
  <si>
    <t>青年</t>
    <phoneticPr fontId="1" type="noConversion"/>
  </si>
  <si>
    <t>成年</t>
    <phoneticPr fontId="1" type="noConversion"/>
  </si>
  <si>
    <t>敖钦</t>
    <phoneticPr fontId="1" type="noConversion"/>
  </si>
  <si>
    <t>糖无极</t>
    <phoneticPr fontId="1" type="noConversion"/>
  </si>
  <si>
    <t>神农鼎(3),_x000D_
月冕霓晴符(5),</t>
  </si>
  <si>
    <t>东皇钟(2),</t>
  </si>
  <si>
    <t>神农鼎(3),</t>
  </si>
  <si>
    <t>太一之轮(7),_x000D_
幸运符文叉大(3),</t>
  </si>
  <si>
    <t>东皇钟(2),_x000D_
幸运符文叉大(3),</t>
  </si>
  <si>
    <t>秘窟冰晶卵(4),</t>
  </si>
  <si>
    <t>神农鼎(3),_x000D_
秘窟冰晶卵(4),</t>
  </si>
  <si>
    <t>秘窟冰晶卵(9),</t>
  </si>
  <si>
    <t>东皇钟(7),_x000D_
女娲石(4),</t>
    <phoneticPr fontId="1" type="noConversion"/>
  </si>
  <si>
    <t>炼妖壶(2),</t>
    <phoneticPr fontId="1" type="noConversion"/>
  </si>
  <si>
    <t>神农鼎(7),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</si>
  <si>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</si>
  <si>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</si>
  <si>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</si>
  <si>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</si>
  <si>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炼妖壶(3),_x000D_
秘窟冰晶卵(4),</t>
    <phoneticPr fontId="1" type="noConversion"/>
  </si>
  <si>
    <t>庄家令牌中(3),</t>
    <phoneticPr fontId="1" type="noConversion"/>
  </si>
  <si>
    <t>龙灵不朽藤(3),</t>
    <phoneticPr fontId="1" type="noConversion"/>
  </si>
  <si>
    <t>金钗(1),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</si>
  <si>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</si>
  <si>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</si>
  <si>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</si>
  <si>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</si>
  <si>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</si>
  <si>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</si>
  <si>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东皇钟(2),_x000D_
炼妖壶(7),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</si>
  <si>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</si>
  <si>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</si>
  <si>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</si>
  <si>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</si>
  <si>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</si>
  <si>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炼妖壶(17),</t>
    <phoneticPr fontId="1" type="noConversion"/>
  </si>
  <si>
    <t>彗星(25),</t>
    <phoneticPr fontId="1" type="noConversion"/>
  </si>
  <si>
    <t>金甲虫(38),</t>
    <phoneticPr fontId="1" type="noConversion"/>
  </si>
  <si>
    <t>金甲虫(188),</t>
    <phoneticPr fontId="1" type="noConversion"/>
  </si>
  <si>
    <t>东皇钟(7),_x000D_
崆峒印(8),_x000D_
幸运符文叉大(3),</t>
    <phoneticPr fontId="1" type="noConversion"/>
  </si>
  <si>
    <t>庄家令牌小(2),_x000D_
庄家令牌中(3),</t>
    <phoneticPr fontId="1" type="noConversion"/>
  </si>
  <si>
    <t>骰子中(3),_x000D_
庄家令牌小(2),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</si>
  <si>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</si>
  <si>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</si>
  <si>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欠条中(4),_x000D_
庄家令牌小(2),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</si>
  <si>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</si>
  <si>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</si>
  <si>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</si>
  <si>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</si>
  <si>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</si>
  <si>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</si>
  <si>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欠条大(8),_x000D_
骰子大(4),</t>
    <phoneticPr fontId="1" type="noConversion"/>
  </si>
  <si>
    <t>炼妖壶(3),_x000D_
龙灵不朽藤(8),</t>
    <phoneticPr fontId="1" type="noConversion"/>
  </si>
  <si>
    <t>女娲石(9),_x000D_
神农鼎(17),_x000D_
幸运符文叉大(8),</t>
    <phoneticPr fontId="1" type="noConversion"/>
  </si>
  <si>
    <t>糯米(5),_x000D_
粽叶(10),</t>
    <phoneticPr fontId="1" type="noConversion"/>
  </si>
  <si>
    <t>东皇钟(2),_x000D_
欠条大(8),_x000D_
钱袋大(10),_x000D_
月冕霓晴符(7),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</si>
  <si>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</si>
  <si>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</si>
  <si>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</si>
  <si>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</si>
  <si>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</si>
  <si>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</si>
  <si>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</si>
  <si>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</si>
  <si>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</si>
  <si>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神农鼎(4),_x000D_
欠条中(6),_x000D_
钱袋中(2),_x000D_
筹码大(6),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</si>
  <si>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</si>
  <si>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</si>
  <si>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</si>
  <si>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</si>
  <si>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</si>
  <si>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</si>
  <si>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</si>
  <si>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</si>
  <si>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</si>
  <si>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崆峒印(3),_x000D_
太一之轮(2),</t>
  </si>
  <si>
    <t>东皇钟(12),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</si>
</sst>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165</xdr:row>
          <xdr:rowOff>28575</xdr:rowOff>
        </xdr:from>
        <xdr:to>
          <xdr:col>1</xdr:col>
          <xdr:colOff>428625</xdr:colOff>
          <xdr:row>166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3"/>
  <sheetViews>
    <sheetView tabSelected="1" workbookViewId="0">
      <pane xSplit="2" ySplit="1" topLeftCell="BN140" activePane="bottomRight" state="frozen"/>
      <selection pane="topRight" activeCell="C1" sqref="C1"/>
      <selection pane="bottomLeft" activeCell="A3" sqref="A3"/>
      <selection pane="bottomRight" activeCell="BQ7" sqref="BQ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165</v>
      </c>
      <c r="Q1" s="31" t="s">
        <v>177</v>
      </c>
      <c r="R1" s="31" t="s">
        <v>171</v>
      </c>
      <c r="S1" s="31" t="s">
        <v>166</v>
      </c>
      <c r="T1" s="31" t="s">
        <v>175</v>
      </c>
      <c r="U1" s="31" t="s">
        <v>181</v>
      </c>
      <c r="V1" s="31" t="s">
        <v>167</v>
      </c>
      <c r="W1" s="31" t="s">
        <v>174</v>
      </c>
      <c r="X1" s="31" t="s">
        <v>172</v>
      </c>
      <c r="Y1" s="31" t="s">
        <v>168</v>
      </c>
      <c r="Z1" s="31" t="s">
        <v>176</v>
      </c>
      <c r="AA1" s="31" t="s">
        <v>183</v>
      </c>
      <c r="AB1" s="31" t="s">
        <v>170</v>
      </c>
      <c r="AC1" s="31" t="s">
        <v>169</v>
      </c>
      <c r="AD1" s="31" t="s">
        <v>199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132</v>
      </c>
      <c r="AP1" s="8" t="s">
        <v>133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128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IF(AQ2&gt;AQ$162, AQ2-AQ$162,"")</f>
        <v/>
      </c>
      <c r="BU2" s="1" t="str">
        <f>IF(AR2&gt;AR$162, AR2-AR$162,"")</f>
        <v/>
      </c>
      <c r="BV2" s="1" t="str">
        <f>IF(AS2&gt;AS$162, AS2-AS$162,"")</f>
        <v/>
      </c>
      <c r="BW2" s="1" t="str">
        <f>IF(AT2&gt;AT$162, AT2-AT$162,"")</f>
        <v/>
      </c>
      <c r="BX2" s="1" t="str">
        <f>IF(AU2&gt;AU$162, AU2-AU$162,"")</f>
        <v/>
      </c>
      <c r="BY2" s="1" t="str">
        <f>IF(AV2&gt;AV$162, AV2-AV$162,"")</f>
        <v/>
      </c>
      <c r="BZ2" s="1" t="str">
        <f>IF(AW2&gt;AW$162, AW2-AW$162,"")</f>
        <v/>
      </c>
      <c r="CA2" s="1" t="str">
        <f>IF(AX2&gt;AX$162, AX2-AX$162,"")</f>
        <v/>
      </c>
      <c r="CB2" s="1" t="str">
        <f>IF(AY2&gt;AY$162, AY2-AY$162,"")</f>
        <v/>
      </c>
      <c r="CC2" s="1" t="str">
        <f>IF(AZ2&gt;AZ$162, AZ2-AZ$162,"")</f>
        <v/>
      </c>
      <c r="CD2" s="1" t="str">
        <f>IF(BA2&gt;BA$162, BA2-BA$162,"")</f>
        <v/>
      </c>
      <c r="CE2" s="1" t="str">
        <f>IF(BB2&gt;BB$162, BB2-BB$162,"")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IF(AQ3&gt;AQ$162, AQ3-AQ$162,"")</f>
        <v/>
      </c>
      <c r="BU3" s="1" t="str">
        <f>IF(AR3&gt;AR$162, AR3-AR$162,"")</f>
        <v/>
      </c>
      <c r="BV3" s="1" t="str">
        <f>IF(AS3&gt;AS$162, AS3-AS$162,"")</f>
        <v/>
      </c>
      <c r="BW3" s="1" t="str">
        <f>IF(AT3&gt;AT$162, AT3-AT$162,"")</f>
        <v/>
      </c>
      <c r="BX3" s="1" t="str">
        <f>IF(AU3&gt;AU$162, AU3-AU$162,"")</f>
        <v/>
      </c>
      <c r="BY3" s="1" t="str">
        <f>IF(AV3&gt;AV$162, AV3-AV$162,"")</f>
        <v/>
      </c>
      <c r="BZ3" s="1" t="str">
        <f>IF(AW3&gt;AW$162, AW3-AW$162,"")</f>
        <v/>
      </c>
      <c r="CA3" s="1" t="str">
        <f>IF(AX3&gt;AX$162, AX3-AX$162,"")</f>
        <v/>
      </c>
      <c r="CB3" s="1" t="str">
        <f>IF(AY3&gt;AY$162, AY3-AY$162,"")</f>
        <v/>
      </c>
      <c r="CC3" s="1" t="str">
        <f>IF(AZ3&gt;AZ$162, AZ3-AZ$162,"")</f>
        <v/>
      </c>
      <c r="CD3" s="1" t="str">
        <f>IF(BA3&gt;BA$162, BA3-BA$162,"")</f>
        <v/>
      </c>
      <c r="CE3" s="1" t="str">
        <f>IF(BB3&gt;BB$162, BB3-BB$162,"")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IF(AQ4&gt;AQ$162, AQ4-AQ$162,"")</f>
        <v/>
      </c>
      <c r="BU4" s="1" t="str">
        <f>IF(AR4&gt;AR$162, AR4-AR$162,"")</f>
        <v/>
      </c>
      <c r="BV4" s="1" t="str">
        <f>IF(AS4&gt;AS$162, AS4-AS$162,"")</f>
        <v/>
      </c>
      <c r="BW4" s="1" t="str">
        <f>IF(AT4&gt;AT$162, AT4-AT$162,"")</f>
        <v/>
      </c>
      <c r="BX4" s="1" t="str">
        <f>IF(AU4&gt;AU$162, AU4-AU$162,"")</f>
        <v/>
      </c>
      <c r="BY4" s="1" t="str">
        <f>IF(AV4&gt;AV$162, AV4-AV$162,"")</f>
        <v/>
      </c>
      <c r="BZ4" s="1" t="str">
        <f>IF(AW4&gt;AW$162, AW4-AW$162,"")</f>
        <v/>
      </c>
      <c r="CA4" s="1" t="str">
        <f>IF(AX4&gt;AX$162, AX4-AX$162,"")</f>
        <v/>
      </c>
      <c r="CB4" s="1" t="str">
        <f>IF(AY4&gt;AY$162, AY4-AY$162,"")</f>
        <v/>
      </c>
      <c r="CC4" s="1" t="str">
        <f>IF(AZ4&gt;AZ$162, AZ4-AZ$162,"")</f>
        <v/>
      </c>
      <c r="CD4" s="1" t="str">
        <f>IF(BA4&gt;BA$162, BA4-BA$162,"")</f>
        <v/>
      </c>
      <c r="CE4" s="1" t="str">
        <f>IF(BB4&gt;BB$162, BB4-BB$162,"")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IF(AQ5&gt;AQ$162, AQ5-AQ$162,"")</f>
        <v/>
      </c>
      <c r="BU5" s="1" t="str">
        <f>IF(AR5&gt;AR$162, AR5-AR$162,"")</f>
        <v/>
      </c>
      <c r="BV5" s="1" t="str">
        <f>IF(AS5&gt;AS$162, AS5-AS$162,"")</f>
        <v/>
      </c>
      <c r="BW5" s="1" t="str">
        <f>IF(AT5&gt;AT$162, AT5-AT$162,"")</f>
        <v/>
      </c>
      <c r="BX5" s="1" t="str">
        <f>IF(AU5&gt;AU$162, AU5-AU$162,"")</f>
        <v/>
      </c>
      <c r="BY5" s="1" t="str">
        <f>IF(AV5&gt;AV$162, AV5-AV$162,"")</f>
        <v/>
      </c>
      <c r="BZ5" s="1" t="str">
        <f>IF(AW5&gt;AW$162, AW5-AW$162,"")</f>
        <v/>
      </c>
      <c r="CA5" s="1" t="str">
        <f>IF(AX5&gt;AX$162, AX5-AX$162,"")</f>
        <v/>
      </c>
      <c r="CB5" s="1" t="str">
        <f>IF(AY5&gt;AY$162, AY5-AY$162,"")</f>
        <v/>
      </c>
      <c r="CC5" s="1" t="str">
        <f>IF(AZ5&gt;AZ$162, AZ5-AZ$162,"")</f>
        <v/>
      </c>
      <c r="CD5" s="1" t="str">
        <f>IF(BA5&gt;BA$162, BA5-BA$162,"")</f>
        <v/>
      </c>
      <c r="CE5" s="1" t="str">
        <f>IF(BB5&gt;BB$162, BB5-BB$162,"")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>SUM(E6:BO6)</f>
        <v>5</v>
      </c>
      <c r="BQ6" s="19">
        <v>0</v>
      </c>
      <c r="BR6" s="23">
        <v>0</v>
      </c>
      <c r="BS6" s="23"/>
      <c r="BT6" s="19" t="str">
        <f>IF(AQ6&gt;AQ$162, AQ6-AQ$162,"")</f>
        <v/>
      </c>
      <c r="BU6" s="19" t="str">
        <f>IF(AR6&gt;AR$162, AR6-AR$162,"")</f>
        <v/>
      </c>
      <c r="BV6" s="19" t="str">
        <f>IF(AS6&gt;AS$162, AS6-AS$162,"")</f>
        <v/>
      </c>
      <c r="BW6" s="19" t="str">
        <f>IF(AT6&gt;AT$162, AT6-AT$162,"")</f>
        <v/>
      </c>
      <c r="BX6" s="19" t="str">
        <f>IF(AU6&gt;AU$162, AU6-AU$162,"")</f>
        <v/>
      </c>
      <c r="BY6" s="19" t="str">
        <f>IF(AV6&gt;AV$162, AV6-AV$162,"")</f>
        <v/>
      </c>
      <c r="BZ6" s="19" t="str">
        <f>IF(AW6&gt;AW$162, AW6-AW$162,"")</f>
        <v/>
      </c>
      <c r="CA6" s="19" t="str">
        <f>IF(AX6&gt;AX$162, AX6-AX$162,"")</f>
        <v/>
      </c>
      <c r="CB6" s="19" t="str">
        <f>IF(AY6&gt;AY$162, AY6-AY$162,"")</f>
        <v/>
      </c>
      <c r="CC6" s="19" t="str">
        <f>IF(AZ6&gt;AZ$162, AZ6-AZ$162,"")</f>
        <v/>
      </c>
      <c r="CD6" s="19" t="str">
        <f>IF(BA6&gt;BA$162, BA6-BA$162,"")</f>
        <v/>
      </c>
      <c r="CE6" s="19" t="str">
        <f>IF(BB6&gt;BB$162, BB6-BB$162,"")</f>
        <v/>
      </c>
      <c r="CF6" s="19">
        <f>COUNTIF(BT6:CE6, "&gt;0")</f>
        <v>0</v>
      </c>
      <c r="CG6" s="19" t="str">
        <f>IF($CF6=1,BT6,"")</f>
        <v/>
      </c>
      <c r="CH6" s="19" t="str">
        <f>IF($CF6=1,BU6,"")</f>
        <v/>
      </c>
      <c r="CI6" s="19" t="str">
        <f>IF($CF6=1,BV6,"")</f>
        <v/>
      </c>
      <c r="CJ6" s="19" t="str">
        <f>IF($CF6=1,BW6,"")</f>
        <v/>
      </c>
      <c r="CK6" s="19" t="str">
        <f>IF($CF6=1,BX6,"")</f>
        <v/>
      </c>
      <c r="CL6" s="19" t="str">
        <f>IF($CF6=1,BY6,"")</f>
        <v/>
      </c>
      <c r="CM6" s="19" t="str">
        <f>IF($CF6=1,BZ6,"")</f>
        <v/>
      </c>
      <c r="CN6" s="19" t="str">
        <f>IF($CF6=1,CA6,"")</f>
        <v/>
      </c>
      <c r="CO6" s="19" t="str">
        <f>IF($CF6=1,CB6,"")</f>
        <v/>
      </c>
      <c r="CP6" s="19" t="str">
        <f>IF($CF6=1,CC6,"")</f>
        <v/>
      </c>
      <c r="CQ6" s="19" t="str">
        <f>IF($CF6=1,CD6,"")</f>
        <v/>
      </c>
      <c r="CR6" s="19" t="str">
        <f>IF($CF6=1,CE6,"")</f>
        <v/>
      </c>
      <c r="CS6" s="24">
        <f>SUM(AE6:BO6)</f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>SUM(E7:BO7)</f>
        <v>5</v>
      </c>
      <c r="BQ7" s="19">
        <v>0</v>
      </c>
      <c r="BR7" s="23">
        <v>0</v>
      </c>
      <c r="BS7" s="23"/>
      <c r="BT7" s="19" t="str">
        <f>IF(AQ7&gt;AQ$162, AQ7-AQ$162,"")</f>
        <v/>
      </c>
      <c r="BU7" s="19" t="str">
        <f>IF(AR7&gt;AR$162, AR7-AR$162,"")</f>
        <v/>
      </c>
      <c r="BV7" s="19" t="str">
        <f>IF(AS7&gt;AS$162, AS7-AS$162,"")</f>
        <v/>
      </c>
      <c r="BW7" s="19" t="str">
        <f>IF(AT7&gt;AT$162, AT7-AT$162,"")</f>
        <v/>
      </c>
      <c r="BX7" s="19" t="str">
        <f>IF(AU7&gt;AU$162, AU7-AU$162,"")</f>
        <v/>
      </c>
      <c r="BY7" s="19" t="str">
        <f>IF(AV7&gt;AV$162, AV7-AV$162,"")</f>
        <v/>
      </c>
      <c r="BZ7" s="19" t="str">
        <f>IF(AW7&gt;AW$162, AW7-AW$162,"")</f>
        <v/>
      </c>
      <c r="CA7" s="19" t="str">
        <f>IF(AX7&gt;AX$162, AX7-AX$162,"")</f>
        <v/>
      </c>
      <c r="CB7" s="19" t="str">
        <f>IF(AY7&gt;AY$162, AY7-AY$162,"")</f>
        <v/>
      </c>
      <c r="CC7" s="19" t="str">
        <f>IF(AZ7&gt;AZ$162, AZ7-AZ$162,"")</f>
        <v/>
      </c>
      <c r="CD7" s="19" t="str">
        <f>IF(BA7&gt;BA$162, BA7-BA$162,"")</f>
        <v/>
      </c>
      <c r="CE7" s="19" t="str">
        <f>IF(BB7&gt;BB$162, BB7-BB$162,"")</f>
        <v/>
      </c>
      <c r="CF7" s="19">
        <f>COUNTIF(BT7:CE7, "&gt;0")</f>
        <v>0</v>
      </c>
      <c r="CG7" s="19" t="str">
        <f>IF($CF7=1,BT7,"")</f>
        <v/>
      </c>
      <c r="CH7" s="19" t="str">
        <f>IF($CF7=1,BU7,"")</f>
        <v/>
      </c>
      <c r="CI7" s="19" t="str">
        <f>IF($CF7=1,BV7,"")</f>
        <v/>
      </c>
      <c r="CJ7" s="19" t="str">
        <f>IF($CF7=1,BW7,"")</f>
        <v/>
      </c>
      <c r="CK7" s="19" t="str">
        <f>IF($CF7=1,BX7,"")</f>
        <v/>
      </c>
      <c r="CL7" s="19" t="str">
        <f>IF($CF7=1,BY7,"")</f>
        <v/>
      </c>
      <c r="CM7" s="19" t="str">
        <f>IF($CF7=1,BZ7,"")</f>
        <v/>
      </c>
      <c r="CN7" s="19" t="str">
        <f>IF($CF7=1,CA7,"")</f>
        <v/>
      </c>
      <c r="CO7" s="19" t="str">
        <f>IF($CF7=1,CB7,"")</f>
        <v/>
      </c>
      <c r="CP7" s="19" t="str">
        <f>IF($CF7=1,CC7,"")</f>
        <v/>
      </c>
      <c r="CQ7" s="19" t="str">
        <f>IF($CF7=1,CD7,"")</f>
        <v/>
      </c>
      <c r="CR7" s="19" t="str">
        <f>IF($CF7=1,CE7,"")</f>
        <v/>
      </c>
      <c r="CS7" s="24">
        <f>SUM(AE7:BO7)</f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>SUM(E8:BO8)</f>
        <v>5</v>
      </c>
      <c r="BQ8" s="19">
        <v>0</v>
      </c>
      <c r="BR8" s="23">
        <v>0</v>
      </c>
      <c r="BS8" s="23"/>
      <c r="BT8" s="19" t="str">
        <f>IF(AQ8&gt;AQ$162, AQ8-AQ$162,"")</f>
        <v/>
      </c>
      <c r="BU8" s="19" t="str">
        <f>IF(AR8&gt;AR$162, AR8-AR$162,"")</f>
        <v/>
      </c>
      <c r="BV8" s="19" t="str">
        <f>IF(AS8&gt;AS$162, AS8-AS$162,"")</f>
        <v/>
      </c>
      <c r="BW8" s="19" t="str">
        <f>IF(AT8&gt;AT$162, AT8-AT$162,"")</f>
        <v/>
      </c>
      <c r="BX8" s="19" t="str">
        <f>IF(AU8&gt;AU$162, AU8-AU$162,"")</f>
        <v/>
      </c>
      <c r="BY8" s="19" t="str">
        <f>IF(AV8&gt;AV$162, AV8-AV$162,"")</f>
        <v/>
      </c>
      <c r="BZ8" s="19" t="str">
        <f>IF(AW8&gt;AW$162, AW8-AW$162,"")</f>
        <v/>
      </c>
      <c r="CA8" s="19" t="str">
        <f>IF(AX8&gt;AX$162, AX8-AX$162,"")</f>
        <v/>
      </c>
      <c r="CB8" s="19" t="str">
        <f>IF(AY8&gt;AY$162, AY8-AY$162,"")</f>
        <v/>
      </c>
      <c r="CC8" s="19" t="str">
        <f>IF(AZ8&gt;AZ$162, AZ8-AZ$162,"")</f>
        <v/>
      </c>
      <c r="CD8" s="19" t="str">
        <f>IF(BA8&gt;BA$162, BA8-BA$162,"")</f>
        <v/>
      </c>
      <c r="CE8" s="19" t="str">
        <f>IF(BB8&gt;BB$162, BB8-BB$162,"")</f>
        <v/>
      </c>
      <c r="CF8" s="19">
        <f>COUNTIF(BT8:CE8, "&gt;0")</f>
        <v>0</v>
      </c>
      <c r="CG8" s="19" t="str">
        <f>IF($CF8=1,BT8,"")</f>
        <v/>
      </c>
      <c r="CH8" s="19" t="str">
        <f>IF($CF8=1,BU8,"")</f>
        <v/>
      </c>
      <c r="CI8" s="19" t="str">
        <f>IF($CF8=1,BV8,"")</f>
        <v/>
      </c>
      <c r="CJ8" s="19" t="str">
        <f>IF($CF8=1,BW8,"")</f>
        <v/>
      </c>
      <c r="CK8" s="19" t="str">
        <f>IF($CF8=1,BX8,"")</f>
        <v/>
      </c>
      <c r="CL8" s="19" t="str">
        <f>IF($CF8=1,BY8,"")</f>
        <v/>
      </c>
      <c r="CM8" s="19" t="str">
        <f>IF($CF8=1,BZ8,"")</f>
        <v/>
      </c>
      <c r="CN8" s="19" t="str">
        <f>IF($CF8=1,CA8,"")</f>
        <v/>
      </c>
      <c r="CO8" s="19" t="str">
        <f>IF($CF8=1,CB8,"")</f>
        <v/>
      </c>
      <c r="CP8" s="19" t="str">
        <f>IF($CF8=1,CC8,"")</f>
        <v/>
      </c>
      <c r="CQ8" s="19" t="str">
        <f>IF($CF8=1,CD8,"")</f>
        <v/>
      </c>
      <c r="CR8" s="19" t="str">
        <f>IF($CF8=1,CE8,"")</f>
        <v/>
      </c>
      <c r="CS8" s="24">
        <f>SUM(AE8:BO8)</f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18</v>
      </c>
      <c r="BQ9" s="1">
        <v>0</v>
      </c>
      <c r="BR9" s="17">
        <v>0</v>
      </c>
      <c r="BS9" s="17"/>
      <c r="BT9" s="1" t="str">
        <f>IF(AQ9&gt;AQ$162, AQ9-AQ$162,"")</f>
        <v/>
      </c>
      <c r="BU9" s="1" t="str">
        <f>IF(AR9&gt;AR$162, AR9-AR$162,"")</f>
        <v/>
      </c>
      <c r="BV9" s="1" t="str">
        <f>IF(AS9&gt;AS$162, AS9-AS$162,"")</f>
        <v/>
      </c>
      <c r="BW9" s="1" t="str">
        <f>IF(AT9&gt;AT$162, AT9-AT$162,"")</f>
        <v/>
      </c>
      <c r="BX9" s="1" t="str">
        <f>IF(AU9&gt;AU$162, AU9-AU$162,"")</f>
        <v/>
      </c>
      <c r="BY9" s="1" t="str">
        <f>IF(AV9&gt;AV$162, AV9-AV$162,"")</f>
        <v/>
      </c>
      <c r="BZ9" s="1" t="str">
        <f>IF(AW9&gt;AW$162, AW9-AW$162,"")</f>
        <v/>
      </c>
      <c r="CA9" s="1" t="str">
        <f>IF(AX9&gt;AX$162, AX9-AX$162,"")</f>
        <v/>
      </c>
      <c r="CB9" s="1" t="str">
        <f>IF(AY9&gt;AY$162, AY9-AY$162,"")</f>
        <v/>
      </c>
      <c r="CC9" s="1" t="str">
        <f>IF(AZ9&gt;AZ$162, AZ9-AZ$162,"")</f>
        <v/>
      </c>
      <c r="CD9" s="1" t="str">
        <f>IF(BA9&gt;BA$162, BA9-BA$162,"")</f>
        <v/>
      </c>
      <c r="CE9" s="1" t="str">
        <f>IF(BB9&gt;BB$162, BB9-BB$162,"")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10</v>
      </c>
    </row>
    <row r="10" spans="1:97" s="25" customFormat="1" x14ac:dyDescent="0.15">
      <c r="A10" s="1">
        <v>81</v>
      </c>
      <c r="B10" s="3" t="s">
        <v>74</v>
      </c>
      <c r="C10" s="3" t="s">
        <v>71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32</v>
      </c>
      <c r="BQ10" s="1">
        <v>0</v>
      </c>
      <c r="BR10" s="17">
        <v>0</v>
      </c>
      <c r="BS10" s="17"/>
      <c r="BT10" s="1" t="str">
        <f>IF(AQ10&gt;AQ$162, AQ10-AQ$162,"")</f>
        <v/>
      </c>
      <c r="BU10" s="1" t="str">
        <f>IF(AR10&gt;AR$162, AR10-AR$162,"")</f>
        <v/>
      </c>
      <c r="BV10" s="1" t="str">
        <f>IF(AS10&gt;AS$162, AS10-AS$162,"")</f>
        <v/>
      </c>
      <c r="BW10" s="1" t="str">
        <f>IF(AT10&gt;AT$162, AT10-AT$162,"")</f>
        <v/>
      </c>
      <c r="BX10" s="1" t="str">
        <f>IF(AU10&gt;AU$162, AU10-AU$162,"")</f>
        <v/>
      </c>
      <c r="BY10" s="1" t="str">
        <f>IF(AV10&gt;AV$162, AV10-AV$162,"")</f>
        <v/>
      </c>
      <c r="BZ10" s="1" t="str">
        <f>IF(AW10&gt;AW$162, AW10-AW$162,"")</f>
        <v/>
      </c>
      <c r="CA10" s="1" t="str">
        <f>IF(AX10&gt;AX$162, AX10-AX$162,"")</f>
        <v/>
      </c>
      <c r="CB10" s="1" t="str">
        <f>IF(AY10&gt;AY$162, AY10-AY$162,"")</f>
        <v/>
      </c>
      <c r="CC10" s="1" t="str">
        <f>IF(AZ10&gt;AZ$162, AZ10-AZ$162,"")</f>
        <v/>
      </c>
      <c r="CD10" s="1" t="str">
        <f>IF(BA10&gt;BA$162, BA10-BA$162,"")</f>
        <v/>
      </c>
      <c r="CE10" s="1" t="str">
        <f>IF(BB10&gt;BB$162, BB10-BB$162,"")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18">
        <f>SUM(AE10:BO10)</f>
        <v>20</v>
      </c>
    </row>
    <row r="11" spans="1:97" x14ac:dyDescent="0.15">
      <c r="A11" s="19">
        <v>13</v>
      </c>
      <c r="B11" s="19" t="s">
        <v>118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>SUM(E11:BO11)</f>
        <v>0</v>
      </c>
      <c r="BQ11" s="19">
        <v>0</v>
      </c>
      <c r="BR11" s="23">
        <v>0</v>
      </c>
      <c r="BS11" s="23"/>
      <c r="BT11" s="19" t="str">
        <f>IF(AQ11&gt;AQ$162, AQ11-AQ$162,"")</f>
        <v/>
      </c>
      <c r="BU11" s="19" t="str">
        <f>IF(AR11&gt;AR$162, AR11-AR$162,"")</f>
        <v/>
      </c>
      <c r="BV11" s="19" t="str">
        <f>IF(AS11&gt;AS$162, AS11-AS$162,"")</f>
        <v/>
      </c>
      <c r="BW11" s="19" t="str">
        <f>IF(AT11&gt;AT$162, AT11-AT$162,"")</f>
        <v/>
      </c>
      <c r="BX11" s="19" t="str">
        <f>IF(AU11&gt;AU$162, AU11-AU$162,"")</f>
        <v/>
      </c>
      <c r="BY11" s="19" t="str">
        <f>IF(AV11&gt;AV$162, AV11-AV$162,"")</f>
        <v/>
      </c>
      <c r="BZ11" s="19" t="str">
        <f>IF(AW11&gt;AW$162, AW11-AW$162,"")</f>
        <v/>
      </c>
      <c r="CA11" s="19" t="str">
        <f>IF(AX11&gt;AX$162, AX11-AX$162,"")</f>
        <v/>
      </c>
      <c r="CB11" s="19" t="str">
        <f>IF(AY11&gt;AY$162, AY11-AY$162,"")</f>
        <v/>
      </c>
      <c r="CC11" s="19" t="str">
        <f>IF(AZ11&gt;AZ$162, AZ11-AZ$162,"")</f>
        <v/>
      </c>
      <c r="CD11" s="19" t="str">
        <f>IF(BA11&gt;BA$162, BA11-BA$162,"")</f>
        <v/>
      </c>
      <c r="CE11" s="19" t="str">
        <f>IF(BB11&gt;BB$162, BB11-BB$162,"")</f>
        <v/>
      </c>
      <c r="CF11" s="19">
        <f>COUNTIF(BT11:CE11, "&gt;0")</f>
        <v>0</v>
      </c>
      <c r="CG11" s="19" t="str">
        <f>IF($CF11=1,BT11,"")</f>
        <v/>
      </c>
      <c r="CH11" s="19" t="str">
        <f>IF($CF11=1,BU11,"")</f>
        <v/>
      </c>
      <c r="CI11" s="19" t="str">
        <f>IF($CF11=1,BV11,"")</f>
        <v/>
      </c>
      <c r="CJ11" s="19" t="str">
        <f>IF($CF11=1,BW11,"")</f>
        <v/>
      </c>
      <c r="CK11" s="19" t="str">
        <f>IF($CF11=1,BX11,"")</f>
        <v/>
      </c>
      <c r="CL11" s="19" t="str">
        <f>IF($CF11=1,BY11,"")</f>
        <v/>
      </c>
      <c r="CM11" s="19" t="str">
        <f>IF($CF11=1,BZ11,"")</f>
        <v/>
      </c>
      <c r="CN11" s="19" t="str">
        <f>IF($CF11=1,CA11,"")</f>
        <v/>
      </c>
      <c r="CO11" s="19" t="str">
        <f>IF($CF11=1,CB11,"")</f>
        <v/>
      </c>
      <c r="CP11" s="19" t="str">
        <f>IF($CF11=1,CC11,"")</f>
        <v/>
      </c>
      <c r="CQ11" s="19" t="str">
        <f>IF($CF11=1,CD11,"")</f>
        <v/>
      </c>
      <c r="CR11" s="19" t="str">
        <f>IF($CF11=1,CE11,"")</f>
        <v/>
      </c>
      <c r="CS11" s="24">
        <f>SUM(AE11:BO11)</f>
        <v>0</v>
      </c>
    </row>
    <row r="12" spans="1:97" x14ac:dyDescent="0.15">
      <c r="A12" s="1">
        <v>82</v>
      </c>
      <c r="B12" s="3" t="s">
        <v>75</v>
      </c>
      <c r="C12" s="3" t="s">
        <v>71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IF(AQ12&gt;AQ$162, AQ12-AQ$162,"")</f>
        <v/>
      </c>
      <c r="BU12" s="1" t="str">
        <f>IF(AR12&gt;AR$162, AR12-AR$162,"")</f>
        <v/>
      </c>
      <c r="BV12" s="1" t="str">
        <f>IF(AS12&gt;AS$162, AS12-AS$162,"")</f>
        <v/>
      </c>
      <c r="BW12" s="1" t="str">
        <f>IF(AT12&gt;AT$162, AT12-AT$162,"")</f>
        <v/>
      </c>
      <c r="BX12" s="1" t="str">
        <f>IF(AU12&gt;AU$162, AU12-AU$162,"")</f>
        <v/>
      </c>
      <c r="BY12" s="1" t="str">
        <f>IF(AV12&gt;AV$162, AV12-AV$162,"")</f>
        <v/>
      </c>
      <c r="BZ12" s="1" t="str">
        <f>IF(AW12&gt;AW$162, AW12-AW$162,"")</f>
        <v/>
      </c>
      <c r="CA12" s="1" t="str">
        <f>IF(AX12&gt;AX$162, AX12-AX$162,"")</f>
        <v/>
      </c>
      <c r="CB12" s="1" t="str">
        <f>IF(AY12&gt;AY$162, AY12-AY$162,"")</f>
        <v/>
      </c>
      <c r="CC12" s="1" t="str">
        <f>IF(AZ12&gt;AZ$162, AZ12-AZ$162,"")</f>
        <v/>
      </c>
      <c r="CD12" s="1" t="str">
        <f>IF(BA12&gt;BA$162, BA12-BA$162,"")</f>
        <v/>
      </c>
      <c r="CE12" s="1" t="str">
        <f>IF(BB12&gt;BB$162, BB12-BB$162,"")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18">
        <f>SUM(AE12:BO12)</f>
        <v>20</v>
      </c>
    </row>
    <row r="13" spans="1:97" x14ac:dyDescent="0.15">
      <c r="A13" s="19">
        <v>60</v>
      </c>
      <c r="B13" s="19" t="s">
        <v>113</v>
      </c>
      <c r="C13" s="19" t="s">
        <v>62</v>
      </c>
      <c r="D13" s="19" t="s">
        <v>1</v>
      </c>
      <c r="E13" s="20"/>
      <c r="F13" s="20"/>
      <c r="G13" s="20"/>
      <c r="H13" s="20"/>
      <c r="I13" s="20"/>
      <c r="J13" s="20"/>
      <c r="K13" s="20">
        <v>5</v>
      </c>
      <c r="L13" s="20"/>
      <c r="M13" s="20"/>
      <c r="N13" s="20"/>
      <c r="O13" s="20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1"/>
      <c r="AR13" s="21"/>
      <c r="AS13" s="21"/>
      <c r="AT13" s="21"/>
      <c r="AU13" s="21"/>
      <c r="AV13" s="21"/>
      <c r="AW13" s="22"/>
      <c r="AX13" s="22"/>
      <c r="AY13" s="22"/>
      <c r="AZ13" s="22"/>
      <c r="BA13" s="22"/>
      <c r="BB13" s="22"/>
      <c r="BC13" s="30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>
        <f>SUM(E13:BO13)</f>
        <v>5</v>
      </c>
      <c r="BQ13" s="19">
        <v>0</v>
      </c>
      <c r="BR13" s="23">
        <v>0</v>
      </c>
      <c r="BS13" s="23"/>
      <c r="BT13" s="19" t="str">
        <f>IF(AQ13&gt;AQ$162, AQ13-AQ$162,"")</f>
        <v/>
      </c>
      <c r="BU13" s="19" t="str">
        <f>IF(AR13&gt;AR$162, AR13-AR$162,"")</f>
        <v/>
      </c>
      <c r="BV13" s="19" t="str">
        <f>IF(AS13&gt;AS$162, AS13-AS$162,"")</f>
        <v/>
      </c>
      <c r="BW13" s="19" t="str">
        <f>IF(AT13&gt;AT$162, AT13-AT$162,"")</f>
        <v/>
      </c>
      <c r="BX13" s="19" t="str">
        <f>IF(AU13&gt;AU$162, AU13-AU$162,"")</f>
        <v/>
      </c>
      <c r="BY13" s="19" t="str">
        <f>IF(AV13&gt;AV$162, AV13-AV$162,"")</f>
        <v/>
      </c>
      <c r="BZ13" s="19" t="str">
        <f>IF(AW13&gt;AW$162, AW13-AW$162,"")</f>
        <v/>
      </c>
      <c r="CA13" s="19" t="str">
        <f>IF(AX13&gt;AX$162, AX13-AX$162,"")</f>
        <v/>
      </c>
      <c r="CB13" s="19" t="str">
        <f>IF(AY13&gt;AY$162, AY13-AY$162,"")</f>
        <v/>
      </c>
      <c r="CC13" s="19" t="str">
        <f>IF(AZ13&gt;AZ$162, AZ13-AZ$162,"")</f>
        <v/>
      </c>
      <c r="CD13" s="19" t="str">
        <f>IF(BA13&gt;BA$162, BA13-BA$162,"")</f>
        <v/>
      </c>
      <c r="CE13" s="19" t="str">
        <f>IF(BB13&gt;BB$162, BB13-BB$162,"")</f>
        <v/>
      </c>
      <c r="CF13" s="19">
        <f>COUNTIF(BT13:CE13, "&gt;0")</f>
        <v>0</v>
      </c>
      <c r="CG13" s="19" t="str">
        <f>IF($CF13=1,BT13,"")</f>
        <v/>
      </c>
      <c r="CH13" s="19" t="str">
        <f>IF($CF13=1,BU13,"")</f>
        <v/>
      </c>
      <c r="CI13" s="19" t="str">
        <f>IF($CF13=1,BV13,"")</f>
        <v/>
      </c>
      <c r="CJ13" s="19" t="str">
        <f>IF($CF13=1,BW13,"")</f>
        <v/>
      </c>
      <c r="CK13" s="19" t="str">
        <f>IF($CF13=1,BX13,"")</f>
        <v/>
      </c>
      <c r="CL13" s="19" t="str">
        <f>IF($CF13=1,BY13,"")</f>
        <v/>
      </c>
      <c r="CM13" s="19" t="str">
        <f>IF($CF13=1,BZ13,"")</f>
        <v/>
      </c>
      <c r="CN13" s="19" t="str">
        <f>IF($CF13=1,CA13,"")</f>
        <v/>
      </c>
      <c r="CO13" s="19" t="str">
        <f>IF($CF13=1,CB13,"")</f>
        <v/>
      </c>
      <c r="CP13" s="19" t="str">
        <f>IF($CF13=1,CC13,"")</f>
        <v/>
      </c>
      <c r="CQ13" s="19" t="str">
        <f>IF($CF13=1,CD13,"")</f>
        <v/>
      </c>
      <c r="CR13" s="19" t="str">
        <f>IF($CF13=1,CE13,"")</f>
        <v/>
      </c>
      <c r="CS13" s="24">
        <f>SUM(AE13:BO13)</f>
        <v>0</v>
      </c>
    </row>
    <row r="14" spans="1:97" x14ac:dyDescent="0.15">
      <c r="A14" s="1">
        <v>72</v>
      </c>
      <c r="B14" s="3" t="s">
        <v>102</v>
      </c>
      <c r="C14" s="1" t="s">
        <v>62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>
        <v>6</v>
      </c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0</v>
      </c>
      <c r="BR14" s="17">
        <v>0</v>
      </c>
      <c r="BS14" s="17"/>
      <c r="BT14" s="1" t="str">
        <f>IF(AQ14&gt;AQ$162, AQ14-AQ$162,"")</f>
        <v/>
      </c>
      <c r="BU14" s="1" t="str">
        <f>IF(AR14&gt;AR$162, AR14-AR$162,"")</f>
        <v/>
      </c>
      <c r="BV14" s="1" t="str">
        <f>IF(AS14&gt;AS$162, AS14-AS$162,"")</f>
        <v/>
      </c>
      <c r="BW14" s="1" t="str">
        <f>IF(AT14&gt;AT$162, AT14-AT$162,"")</f>
        <v/>
      </c>
      <c r="BX14" s="1" t="str">
        <f>IF(AU14&gt;AU$162, AU14-AU$162,"")</f>
        <v/>
      </c>
      <c r="BY14" s="1" t="str">
        <f>IF(AV14&gt;AV$162, AV14-AV$162,"")</f>
        <v/>
      </c>
      <c r="BZ14" s="1" t="str">
        <f>IF(AW14&gt;AW$162, AW14-AW$162,"")</f>
        <v/>
      </c>
      <c r="CA14" s="1" t="str">
        <f>IF(AX14&gt;AX$162, AX14-AX$162,"")</f>
        <v/>
      </c>
      <c r="CB14" s="1" t="str">
        <f>IF(AY14&gt;AY$162, AY14-AY$162,"")</f>
        <v/>
      </c>
      <c r="CC14" s="1" t="str">
        <f>IF(AZ14&gt;AZ$162, AZ14-AZ$162,"")</f>
        <v/>
      </c>
      <c r="CD14" s="1" t="str">
        <f>IF(BA14&gt;BA$162, BA14-BA$162,"")</f>
        <v/>
      </c>
      <c r="CE14" s="1" t="str">
        <f>IF(BB14&gt;BB$162, BB14-BB$162,"")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18">
        <f>SUM(AE14:BO14)</f>
        <v>20</v>
      </c>
    </row>
    <row r="15" spans="1:97" x14ac:dyDescent="0.15">
      <c r="A15" s="1">
        <v>58</v>
      </c>
      <c r="B15" s="1" t="s">
        <v>65</v>
      </c>
      <c r="C15" s="1" t="s">
        <v>62</v>
      </c>
      <c r="D15" s="1" t="s">
        <v>13</v>
      </c>
      <c r="E15" s="6"/>
      <c r="F15" s="6"/>
      <c r="G15" s="6">
        <v>10</v>
      </c>
      <c r="H15" s="6"/>
      <c r="I15" s="6"/>
      <c r="J15" s="6"/>
      <c r="K15" s="6"/>
      <c r="L15" s="6"/>
      <c r="M15" s="6"/>
      <c r="N15" s="6">
        <v>10</v>
      </c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>
        <v>10</v>
      </c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 s="1" t="str">
        <f>IF(AQ15&gt;AQ$162, AQ15-AQ$162,"")</f>
        <v/>
      </c>
      <c r="BU15" s="1" t="str">
        <f>IF(AR15&gt;AR$162, AR15-AR$162,"")</f>
        <v/>
      </c>
      <c r="BV15" s="1" t="str">
        <f>IF(AS15&gt;AS$162, AS15-AS$162,"")</f>
        <v/>
      </c>
      <c r="BW15" s="1" t="str">
        <f>IF(AT15&gt;AT$162, AT15-AT$162,"")</f>
        <v/>
      </c>
      <c r="BX15" s="1" t="str">
        <f>IF(AU15&gt;AU$162, AU15-AU$162,"")</f>
        <v/>
      </c>
      <c r="BY15" s="1" t="str">
        <f>IF(AV15&gt;AV$162, AV15-AV$162,"")</f>
        <v/>
      </c>
      <c r="BZ15" s="1" t="str">
        <f>IF(AW15&gt;AW$162, AW15-AW$162,"")</f>
        <v/>
      </c>
      <c r="CA15" s="1" t="str">
        <f>IF(AX15&gt;AX$162, AX15-AX$162,"")</f>
        <v/>
      </c>
      <c r="CB15" s="1" t="str">
        <f>IF(AY15&gt;AY$162, AY15-AY$162,"")</f>
        <v/>
      </c>
      <c r="CC15" s="1" t="str">
        <f>IF(AZ15&gt;AZ$162, AZ15-AZ$162,"")</f>
        <v/>
      </c>
      <c r="CD15" s="1" t="str">
        <f>IF(BA15&gt;BA$162, BA15-BA$162,"")</f>
        <v/>
      </c>
      <c r="CE15" s="1" t="str">
        <f>IF(BB15&gt;BB$162, BB15-BB$162,"")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18">
        <f>SUM(AE15:BO15)</f>
        <v>20</v>
      </c>
    </row>
    <row r="16" spans="1:97" x14ac:dyDescent="0.15">
      <c r="A16" s="1">
        <v>5</v>
      </c>
      <c r="B16" s="1" t="s">
        <v>22</v>
      </c>
      <c r="C16" s="1" t="s">
        <v>2</v>
      </c>
      <c r="D16" s="1" t="s">
        <v>12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>
        <v>10</v>
      </c>
      <c r="AS16" s="4"/>
      <c r="AT16" s="4"/>
      <c r="AU16" s="4"/>
      <c r="AV16" s="4"/>
      <c r="AW16" s="2"/>
      <c r="AX16" s="2"/>
      <c r="AY16" s="2"/>
      <c r="AZ16" s="2"/>
      <c r="BA16" s="2"/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20</v>
      </c>
      <c r="BQ16" s="1">
        <v>0</v>
      </c>
      <c r="BR16" s="17">
        <v>0</v>
      </c>
      <c r="BS16" s="17"/>
      <c r="BT16" s="1" t="str">
        <f>IF(AQ16&gt;AQ$162, AQ16-AQ$162,"")</f>
        <v/>
      </c>
      <c r="BU16" s="1" t="str">
        <f>IF(AR16&gt;AR$162, AR16-AR$162,"")</f>
        <v/>
      </c>
      <c r="BV16" s="1" t="str">
        <f>IF(AS16&gt;AS$162, AS16-AS$162,"")</f>
        <v/>
      </c>
      <c r="BW16" s="1" t="str">
        <f>IF(AT16&gt;AT$162, AT16-AT$162,"")</f>
        <v/>
      </c>
      <c r="BX16" s="1" t="str">
        <f>IF(AU16&gt;AU$162, AU16-AU$162,"")</f>
        <v/>
      </c>
      <c r="BY16" s="1" t="str">
        <f>IF(AV16&gt;AV$162, AV16-AV$162,"")</f>
        <v/>
      </c>
      <c r="BZ16" s="1" t="str">
        <f>IF(AW16&gt;AW$162, AW16-AW$162,"")</f>
        <v/>
      </c>
      <c r="CA16" s="1" t="str">
        <f>IF(AX16&gt;AX$162, AX16-AX$162,"")</f>
        <v/>
      </c>
      <c r="CB16" s="1" t="str">
        <f>IF(AY16&gt;AY$162, AY16-AY$162,"")</f>
        <v/>
      </c>
      <c r="CC16" s="1" t="str">
        <f>IF(AZ16&gt;AZ$162, AZ16-AZ$162,"")</f>
        <v/>
      </c>
      <c r="CD16" s="1" t="str">
        <f>IF(BA16&gt;BA$162, BA16-BA$162,"")</f>
        <v/>
      </c>
      <c r="CE16" s="1" t="str">
        <f>IF(BB16&gt;BB$162, BB16-BB$162,"")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18">
        <f>SUM(AE16:BO16)</f>
        <v>20</v>
      </c>
    </row>
    <row r="17" spans="1:97" x14ac:dyDescent="0.15">
      <c r="A17" s="1">
        <v>6</v>
      </c>
      <c r="B17" s="1" t="s">
        <v>55</v>
      </c>
      <c r="C17" s="1" t="s">
        <v>2</v>
      </c>
      <c r="D17" s="1" t="s">
        <v>23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0</v>
      </c>
      <c r="BR17" s="17">
        <v>0</v>
      </c>
      <c r="BS17" s="17"/>
      <c r="BT17" s="1" t="str">
        <f>IF(AQ17&gt;AQ$162, AQ17-AQ$162,"")</f>
        <v/>
      </c>
      <c r="BU17" s="1" t="str">
        <f>IF(AR17&gt;AR$162, AR17-AR$162,"")</f>
        <v/>
      </c>
      <c r="BV17" s="1" t="str">
        <f>IF(AS17&gt;AS$162, AS17-AS$162,"")</f>
        <v/>
      </c>
      <c r="BW17" s="1" t="str">
        <f>IF(AT17&gt;AT$162, AT17-AT$162,"")</f>
        <v/>
      </c>
      <c r="BX17" s="1" t="str">
        <f>IF(AU17&gt;AU$162, AU17-AU$162,"")</f>
        <v/>
      </c>
      <c r="BY17" s="1" t="str">
        <f>IF(AV17&gt;AV$162, AV17-AV$162,"")</f>
        <v/>
      </c>
      <c r="BZ17" s="1" t="str">
        <f>IF(AW17&gt;AW$162, AW17-AW$162,"")</f>
        <v/>
      </c>
      <c r="CA17" s="1" t="str">
        <f>IF(AX17&gt;AX$162, AX17-AX$162,"")</f>
        <v/>
      </c>
      <c r="CB17" s="1" t="str">
        <f>IF(AY17&gt;AY$162, AY17-AY$162,"")</f>
        <v/>
      </c>
      <c r="CC17" s="1" t="str">
        <f>IF(AZ17&gt;AZ$162, AZ17-AZ$162,"")</f>
        <v/>
      </c>
      <c r="CD17" s="1" t="str">
        <f>IF(BA17&gt;BA$162, BA17-BA$162,"")</f>
        <v/>
      </c>
      <c r="CE17" s="1" t="str">
        <f>IF(BB17&gt;BB$162, BB17-BB$162,"")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18">
        <f>SUM(AE17:BO17)</f>
        <v>20</v>
      </c>
    </row>
    <row r="18" spans="1:97" x14ac:dyDescent="0.15">
      <c r="A18" s="1">
        <v>94</v>
      </c>
      <c r="B18" s="3" t="s">
        <v>94</v>
      </c>
      <c r="C18" s="3" t="s">
        <v>78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20</v>
      </c>
      <c r="BQ18" s="1">
        <v>0</v>
      </c>
      <c r="BR18" s="17">
        <v>0</v>
      </c>
      <c r="BS18" s="17"/>
      <c r="BT18" s="1" t="str">
        <f>IF(AQ18&gt;AQ$162, AQ18-AQ$162,"")</f>
        <v/>
      </c>
      <c r="BU18" s="1" t="str">
        <f>IF(AR18&gt;AR$162, AR18-AR$162,"")</f>
        <v/>
      </c>
      <c r="BV18" s="1" t="str">
        <f>IF(AS18&gt;AS$162, AS18-AS$162,"")</f>
        <v/>
      </c>
      <c r="BW18" s="1" t="str">
        <f>IF(AT18&gt;AT$162, AT18-AT$162,"")</f>
        <v/>
      </c>
      <c r="BX18" s="1" t="str">
        <f>IF(AU18&gt;AU$162, AU18-AU$162,"")</f>
        <v/>
      </c>
      <c r="BY18" s="1" t="str">
        <f>IF(AV18&gt;AV$162, AV18-AV$162,"")</f>
        <v/>
      </c>
      <c r="BZ18" s="1" t="str">
        <f>IF(AW18&gt;AW$162, AW18-AW$162,"")</f>
        <v/>
      </c>
      <c r="CA18" s="1" t="str">
        <f>IF(AX18&gt;AX$162, AX18-AX$162,"")</f>
        <v/>
      </c>
      <c r="CB18" s="1" t="str">
        <f>IF(AY18&gt;AY$162, AY18-AY$162,"")</f>
        <v/>
      </c>
      <c r="CC18" s="1" t="str">
        <f>IF(AZ18&gt;AZ$162, AZ18-AZ$162,"")</f>
        <v/>
      </c>
      <c r="CD18" s="1" t="str">
        <f>IF(BA18&gt;BA$162, BA18-BA$162,"")</f>
        <v/>
      </c>
      <c r="CE18" s="1" t="str">
        <f>IF(BB18&gt;BB$162, BB18-BB$162,"")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18">
        <f>SUM(AE18:BO18)</f>
        <v>20</v>
      </c>
    </row>
    <row r="19" spans="1:97" x14ac:dyDescent="0.15">
      <c r="A19" s="1">
        <v>96</v>
      </c>
      <c r="B19" s="3" t="s">
        <v>77</v>
      </c>
      <c r="C19" s="3" t="s">
        <v>78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>
        <v>10</v>
      </c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20</v>
      </c>
      <c r="BQ19" s="1">
        <v>0</v>
      </c>
      <c r="BR19" s="17">
        <v>0</v>
      </c>
      <c r="BS19" s="17"/>
      <c r="BT19" s="1" t="str">
        <f>IF(AQ19&gt;AQ$162, AQ19-AQ$162,"")</f>
        <v/>
      </c>
      <c r="BU19" s="1" t="str">
        <f>IF(AR19&gt;AR$162, AR19-AR$162,"")</f>
        <v/>
      </c>
      <c r="BV19" s="1" t="str">
        <f>IF(AS19&gt;AS$162, AS19-AS$162,"")</f>
        <v/>
      </c>
      <c r="BW19" s="1" t="str">
        <f>IF(AT19&gt;AT$162, AT19-AT$162,"")</f>
        <v/>
      </c>
      <c r="BX19" s="1" t="str">
        <f>IF(AU19&gt;AU$162, AU19-AU$162,"")</f>
        <v/>
      </c>
      <c r="BY19" s="1" t="str">
        <f>IF(AV19&gt;AV$162, AV19-AV$162,"")</f>
        <v/>
      </c>
      <c r="BZ19" s="1" t="str">
        <f>IF(AW19&gt;AW$162, AW19-AW$162,"")</f>
        <v/>
      </c>
      <c r="CA19" s="1" t="str">
        <f>IF(AX19&gt;AX$162, AX19-AX$162,"")</f>
        <v/>
      </c>
      <c r="CB19" s="1" t="str">
        <f>IF(AY19&gt;AY$162, AY19-AY$162,"")</f>
        <v/>
      </c>
      <c r="CC19" s="1" t="str">
        <f>IF(AZ19&gt;AZ$162, AZ19-AZ$162,"")</f>
        <v/>
      </c>
      <c r="CD19" s="1" t="str">
        <f>IF(BA19&gt;BA$162, BA19-BA$162,"")</f>
        <v/>
      </c>
      <c r="CE19" s="1" t="str">
        <f>IF(BB19&gt;BB$162, BB19-BB$162,"")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18">
        <f>SUM(AE19:BO19)</f>
        <v>20</v>
      </c>
    </row>
    <row r="20" spans="1:97" x14ac:dyDescent="0.15">
      <c r="A20" s="1">
        <v>76</v>
      </c>
      <c r="B20" s="3" t="s">
        <v>115</v>
      </c>
      <c r="C20" s="3" t="s">
        <v>71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>
        <v>10</v>
      </c>
      <c r="BI20" s="1"/>
      <c r="BJ20" s="1"/>
      <c r="BK20" s="1"/>
      <c r="BL20" s="1"/>
      <c r="BM20" s="1"/>
      <c r="BN20" s="1"/>
      <c r="BO20" s="1"/>
      <c r="BP20" s="1">
        <f>SUM(E20:BO20)</f>
        <v>10</v>
      </c>
      <c r="BQ20" s="1">
        <v>0</v>
      </c>
      <c r="BR20" s="17">
        <v>0</v>
      </c>
      <c r="BS20" s="17"/>
      <c r="BT20" s="1" t="str">
        <f>IF(AQ20&gt;AQ$162, AQ20-AQ$162,"")</f>
        <v/>
      </c>
      <c r="BU20" s="1" t="str">
        <f>IF(AR20&gt;AR$162, AR20-AR$162,"")</f>
        <v/>
      </c>
      <c r="BV20" s="1" t="str">
        <f>IF(AS20&gt;AS$162, AS20-AS$162,"")</f>
        <v/>
      </c>
      <c r="BW20" s="1" t="str">
        <f>IF(AT20&gt;AT$162, AT20-AT$162,"")</f>
        <v/>
      </c>
      <c r="BX20" s="1" t="str">
        <f>IF(AU20&gt;AU$162, AU20-AU$162,"")</f>
        <v/>
      </c>
      <c r="BY20" s="1" t="str">
        <f>IF(AV20&gt;AV$162, AV20-AV$162,"")</f>
        <v/>
      </c>
      <c r="BZ20" s="1" t="str">
        <f>IF(AW20&gt;AW$162, AW20-AW$162,"")</f>
        <v/>
      </c>
      <c r="CA20" s="1" t="str">
        <f>IF(AX20&gt;AX$162, AX20-AX$162,"")</f>
        <v/>
      </c>
      <c r="CB20" s="1" t="str">
        <f>IF(AY20&gt;AY$162, AY20-AY$162,"")</f>
        <v/>
      </c>
      <c r="CC20" s="1" t="str">
        <f>IF(AZ20&gt;AZ$162, AZ20-AZ$162,"")</f>
        <v/>
      </c>
      <c r="CD20" s="1" t="str">
        <f>IF(BA20&gt;BA$162, BA20-BA$162,"")</f>
        <v/>
      </c>
      <c r="CE20" s="1" t="str">
        <f>IF(BB20&gt;BB$162, BB20-BB$162,"")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10</v>
      </c>
    </row>
    <row r="21" spans="1:97" x14ac:dyDescent="0.15">
      <c r="A21" s="1"/>
      <c r="B21" s="1" t="s">
        <v>121</v>
      </c>
      <c r="C21" s="1" t="s">
        <v>122</v>
      </c>
      <c r="D21" s="1" t="s">
        <v>123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125</v>
      </c>
      <c r="C22" s="1" t="s">
        <v>126</v>
      </c>
      <c r="D22" s="1" t="s">
        <v>124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>
        <v>20</v>
      </c>
      <c r="BE22" s="1">
        <v>20</v>
      </c>
      <c r="BF22" s="1">
        <v>20</v>
      </c>
      <c r="BG22" s="1">
        <v>20</v>
      </c>
      <c r="BH22" s="1"/>
      <c r="BI22" s="1"/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136</v>
      </c>
      <c r="C23" s="1" t="s">
        <v>137</v>
      </c>
      <c r="D23" s="1" t="s">
        <v>124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>
        <v>20</v>
      </c>
      <c r="BG23" s="1">
        <v>20</v>
      </c>
      <c r="BH23" s="1">
        <v>20</v>
      </c>
      <c r="BI23" s="1">
        <v>20</v>
      </c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139</v>
      </c>
      <c r="C24" s="1" t="s">
        <v>137</v>
      </c>
      <c r="D24" s="1" t="s">
        <v>123</v>
      </c>
      <c r="E24" s="6"/>
      <c r="F24" s="6"/>
      <c r="G24" s="6"/>
      <c r="H24" s="6"/>
      <c r="I24" s="6"/>
      <c r="J24" s="6"/>
      <c r="K24" s="6"/>
      <c r="L24" s="6"/>
      <c r="M24" s="6"/>
      <c r="N24" s="6">
        <v>5</v>
      </c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142</v>
      </c>
      <c r="C25" s="1" t="s">
        <v>122</v>
      </c>
      <c r="D25" s="1" t="s">
        <v>124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>
        <v>20</v>
      </c>
      <c r="BE25" s="1">
        <v>20</v>
      </c>
      <c r="BF25" s="1">
        <v>20</v>
      </c>
      <c r="BG25" s="1">
        <v>20</v>
      </c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/>
      <c r="B26" s="1" t="s">
        <v>144</v>
      </c>
      <c r="C26" s="1" t="s">
        <v>122</v>
      </c>
      <c r="D26" s="1" t="s">
        <v>123</v>
      </c>
      <c r="E26" s="6"/>
      <c r="F26" s="6"/>
      <c r="G26" s="6"/>
      <c r="H26" s="6"/>
      <c r="I26" s="6"/>
      <c r="J26" s="6"/>
      <c r="K26" s="6">
        <v>5</v>
      </c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s="25" customFormat="1" x14ac:dyDescent="0.15">
      <c r="A27" s="1"/>
      <c r="B27" s="1" t="s">
        <v>145</v>
      </c>
      <c r="C27" s="1" t="s">
        <v>146</v>
      </c>
      <c r="D27" s="1" t="s">
        <v>123</v>
      </c>
      <c r="E27" s="6"/>
      <c r="F27" s="6"/>
      <c r="G27" s="6">
        <v>2</v>
      </c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147</v>
      </c>
      <c r="C28" s="1" t="s">
        <v>146</v>
      </c>
      <c r="D28" s="1" t="s">
        <v>123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151</v>
      </c>
      <c r="C29" s="1" t="s">
        <v>149</v>
      </c>
      <c r="D29" s="1" t="s">
        <v>123</v>
      </c>
      <c r="E29" s="6"/>
      <c r="F29" s="6"/>
      <c r="G29" s="6"/>
      <c r="H29" s="6"/>
      <c r="I29" s="6"/>
      <c r="J29" s="6">
        <v>5</v>
      </c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153</v>
      </c>
      <c r="C30" s="1" t="s">
        <v>149</v>
      </c>
      <c r="D30" s="1" t="s">
        <v>123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>
        <v>5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154</v>
      </c>
      <c r="C31" s="1" t="s">
        <v>149</v>
      </c>
      <c r="D31" s="1" t="s">
        <v>123</v>
      </c>
      <c r="E31" s="6"/>
      <c r="F31" s="6"/>
      <c r="G31" s="6"/>
      <c r="H31" s="6"/>
      <c r="I31" s="6"/>
      <c r="J31" s="6"/>
      <c r="K31" s="6">
        <v>5</v>
      </c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156</v>
      </c>
      <c r="C32" s="1" t="s">
        <v>149</v>
      </c>
      <c r="D32" s="1" t="s">
        <v>123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192</v>
      </c>
      <c r="C33" s="1" t="s">
        <v>191</v>
      </c>
      <c r="D33" s="1" t="s">
        <v>163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10</v>
      </c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193</v>
      </c>
      <c r="C34" s="1" t="s">
        <v>194</v>
      </c>
      <c r="D34" s="1" t="s">
        <v>163</v>
      </c>
      <c r="E34" s="6"/>
      <c r="F34" s="6"/>
      <c r="G34" s="6"/>
      <c r="H34" s="6"/>
      <c r="I34" s="6"/>
      <c r="J34" s="6">
        <v>5</v>
      </c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195</v>
      </c>
      <c r="C35" s="1" t="s">
        <v>196</v>
      </c>
      <c r="D35" s="1" t="s">
        <v>164</v>
      </c>
      <c r="E35" s="6"/>
      <c r="F35" s="6"/>
      <c r="G35" s="6"/>
      <c r="H35" s="6"/>
      <c r="I35" s="6"/>
      <c r="J35" s="6"/>
      <c r="K35" s="6"/>
      <c r="L35" s="6">
        <v>6</v>
      </c>
      <c r="M35" s="6"/>
      <c r="N35" s="6"/>
      <c r="O35" s="6">
        <v>6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202</v>
      </c>
      <c r="C36" s="1" t="s">
        <v>196</v>
      </c>
      <c r="D36" s="1" t="s">
        <v>163</v>
      </c>
      <c r="E36" s="6"/>
      <c r="F36" s="6"/>
      <c r="G36" s="6"/>
      <c r="H36" s="6"/>
      <c r="I36" s="6"/>
      <c r="J36" s="6"/>
      <c r="K36" s="6">
        <v>5</v>
      </c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160</v>
      </c>
      <c r="C37" s="1" t="s">
        <v>161</v>
      </c>
      <c r="D37" s="1" t="s">
        <v>162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s="25" customFormat="1" x14ac:dyDescent="0.15">
      <c r="A38" s="1"/>
      <c r="B38" s="1" t="s">
        <v>179</v>
      </c>
      <c r="C38" s="1" t="s">
        <v>180</v>
      </c>
      <c r="D38" s="1" t="s">
        <v>162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187</v>
      </c>
      <c r="C39" s="1" t="s">
        <v>185</v>
      </c>
      <c r="D39" s="1" t="s">
        <v>162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>
        <v>10</v>
      </c>
      <c r="Q39" s="32"/>
      <c r="R39" s="32"/>
      <c r="S39" s="32">
        <v>10</v>
      </c>
      <c r="T39" s="32"/>
      <c r="U39" s="32"/>
      <c r="V39" s="32">
        <v>10</v>
      </c>
      <c r="W39" s="32"/>
      <c r="X39" s="32"/>
      <c r="Y39" s="32">
        <v>10</v>
      </c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/>
      <c r="B40" s="1" t="s">
        <v>189</v>
      </c>
      <c r="C40" s="1" t="s">
        <v>191</v>
      </c>
      <c r="D40" s="1" t="s">
        <v>162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>
        <v>10</v>
      </c>
      <c r="Q40" s="32"/>
      <c r="R40" s="32"/>
      <c r="S40" s="32">
        <v>10</v>
      </c>
      <c r="T40" s="32"/>
      <c r="U40" s="32"/>
      <c r="V40" s="32">
        <v>10</v>
      </c>
      <c r="W40" s="32"/>
      <c r="X40" s="32"/>
      <c r="Y40" s="32">
        <v>10</v>
      </c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198</v>
      </c>
      <c r="C41" s="1" t="s">
        <v>196</v>
      </c>
      <c r="D41" s="1" t="s">
        <v>162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>
        <v>10</v>
      </c>
      <c r="Q41" s="32"/>
      <c r="R41" s="32"/>
      <c r="S41" s="32">
        <v>10</v>
      </c>
      <c r="T41" s="32"/>
      <c r="U41" s="32"/>
      <c r="V41" s="32">
        <v>10</v>
      </c>
      <c r="W41" s="32"/>
      <c r="X41" s="32"/>
      <c r="Y41" s="32">
        <v>10</v>
      </c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201</v>
      </c>
      <c r="C42" s="1" t="s">
        <v>196</v>
      </c>
      <c r="D42" s="1" t="s">
        <v>162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>
        <v>10</v>
      </c>
      <c r="Q42" s="32"/>
      <c r="R42" s="32"/>
      <c r="S42" s="32">
        <v>10</v>
      </c>
      <c r="T42" s="32"/>
      <c r="U42" s="32"/>
      <c r="V42" s="32">
        <v>10</v>
      </c>
      <c r="W42" s="32"/>
      <c r="X42" s="32"/>
      <c r="Y42" s="32">
        <v>10</v>
      </c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203</v>
      </c>
      <c r="C43" s="1" t="s">
        <v>196</v>
      </c>
      <c r="D43" s="1" t="s">
        <v>162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>
        <v>10</v>
      </c>
      <c r="Q43" s="32"/>
      <c r="R43" s="32"/>
      <c r="S43" s="32">
        <v>10</v>
      </c>
      <c r="T43" s="32"/>
      <c r="U43" s="32"/>
      <c r="V43" s="32">
        <v>10</v>
      </c>
      <c r="W43" s="32"/>
      <c r="X43" s="32"/>
      <c r="Y43" s="32">
        <v>10</v>
      </c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0</v>
      </c>
      <c r="BR43" s="17">
        <v>0</v>
      </c>
      <c r="BS43" s="17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>
        <v>97</v>
      </c>
      <c r="B44" s="3" t="s">
        <v>79</v>
      </c>
      <c r="C44" s="3" t="s">
        <v>78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>
        <v>10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10</v>
      </c>
      <c r="BQ44" s="1">
        <v>0</v>
      </c>
      <c r="BR44" s="17">
        <v>0</v>
      </c>
      <c r="BS44" s="17"/>
      <c r="BT44" s="1" t="str">
        <f>IF(AQ44&gt;AQ$162, AQ44-AQ$162,"")</f>
        <v/>
      </c>
      <c r="BU44" s="1" t="str">
        <f>IF(AR44&gt;AR$162, AR44-AR$162,"")</f>
        <v/>
      </c>
      <c r="BV44" s="1" t="str">
        <f>IF(AS44&gt;AS$162, AS44-AS$162,"")</f>
        <v/>
      </c>
      <c r="BW44" s="1" t="str">
        <f>IF(AT44&gt;AT$162, AT44-AT$162,"")</f>
        <v/>
      </c>
      <c r="BX44" s="1" t="str">
        <f>IF(AU44&gt;AU$162, AU44-AU$162,"")</f>
        <v/>
      </c>
      <c r="BY44" s="1" t="str">
        <f>IF(AV44&gt;AV$162, AV44-AV$162,"")</f>
        <v/>
      </c>
      <c r="BZ44" s="1" t="str">
        <f>IF(AW44&gt;AW$162, AW44-AW$162,"")</f>
        <v/>
      </c>
      <c r="CA44" s="1" t="str">
        <f>IF(AX44&gt;AX$162, AX44-AX$162,"")</f>
        <v/>
      </c>
      <c r="CB44" s="1" t="str">
        <f>IF(AY44&gt;AY$162, AY44-AY$162,"")</f>
        <v/>
      </c>
      <c r="CC44" s="1" t="str">
        <f>IF(AZ44&gt;AZ$162, AZ44-AZ$162,"")</f>
        <v/>
      </c>
      <c r="CD44" s="1" t="str">
        <f>IF(BA44&gt;BA$162, BA44-BA$162,"")</f>
        <v/>
      </c>
      <c r="CE44" s="1" t="str">
        <f>IF(BB44&gt;BB$162, BB44-BB$162,"")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10</v>
      </c>
    </row>
    <row r="45" spans="1:97" x14ac:dyDescent="0.15">
      <c r="A45" s="1">
        <v>91</v>
      </c>
      <c r="B45" s="3" t="s">
        <v>91</v>
      </c>
      <c r="C45" s="3" t="s">
        <v>90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>
        <v>5</v>
      </c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5</v>
      </c>
      <c r="BQ45" s="1">
        <v>1</v>
      </c>
      <c r="BR45" s="17">
        <v>1</v>
      </c>
      <c r="BS45" s="17" t="s">
        <v>228</v>
      </c>
      <c r="BT45" s="1" t="str">
        <f>IF(AQ45&gt;AQ$162, AQ45-AQ$162,"")</f>
        <v/>
      </c>
      <c r="BU45" s="1" t="str">
        <f>IF(AR45&gt;AR$162, AR45-AR$162,"")</f>
        <v/>
      </c>
      <c r="BV45" s="1" t="str">
        <f>IF(AS45&gt;AS$162, AS45-AS$162,"")</f>
        <v/>
      </c>
      <c r="BW45" s="1" t="str">
        <f>IF(AT45&gt;AT$162, AT45-AT$162,"")</f>
        <v/>
      </c>
      <c r="BX45" s="1" t="str">
        <f>IF(AU45&gt;AU$162, AU45-AU$162,"")</f>
        <v/>
      </c>
      <c r="BY45" s="1" t="str">
        <f>IF(AV45&gt;AV$162, AV45-AV$162,"")</f>
        <v/>
      </c>
      <c r="BZ45" s="1" t="str">
        <f>IF(AW45&gt;AW$162, AW45-AW$162,"")</f>
        <v/>
      </c>
      <c r="CA45" s="1" t="str">
        <f>IF(AX45&gt;AX$162, AX45-AX$162,"")</f>
        <v/>
      </c>
      <c r="CB45" s="1" t="str">
        <f>IF(AY45&gt;AY$162, AY45-AY$162,"")</f>
        <v/>
      </c>
      <c r="CC45" s="1" t="str">
        <f>IF(AZ45&gt;AZ$162, AZ45-AZ$162,"")</f>
        <v/>
      </c>
      <c r="CD45" s="1" t="str">
        <f>IF(BA45&gt;BA$162, BA45-BA$162,"")</f>
        <v/>
      </c>
      <c r="CE45" s="1" t="str">
        <f>IF(BB45&gt;BB$162, BB45-BB$162,"")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18">
        <f>SUM(AE45:BO45)</f>
        <v>5</v>
      </c>
    </row>
    <row r="46" spans="1:97" x14ac:dyDescent="0.15">
      <c r="A46" s="19">
        <v>92</v>
      </c>
      <c r="B46" s="27" t="s">
        <v>92</v>
      </c>
      <c r="C46" s="27" t="s">
        <v>90</v>
      </c>
      <c r="D46" s="19" t="s">
        <v>24</v>
      </c>
      <c r="E46" s="20">
        <v>10</v>
      </c>
      <c r="F46" s="20"/>
      <c r="G46" s="20"/>
      <c r="H46" s="20"/>
      <c r="I46" s="20">
        <v>10</v>
      </c>
      <c r="J46" s="20">
        <v>10</v>
      </c>
      <c r="K46" s="20"/>
      <c r="L46" s="20"/>
      <c r="M46" s="20"/>
      <c r="N46" s="20"/>
      <c r="O46" s="20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21"/>
      <c r="AR46" s="21"/>
      <c r="AS46" s="21"/>
      <c r="AT46" s="21"/>
      <c r="AU46" s="21"/>
      <c r="AV46" s="21"/>
      <c r="AW46" s="22"/>
      <c r="AX46" s="22"/>
      <c r="AY46" s="22"/>
      <c r="AZ46" s="22"/>
      <c r="BA46" s="22"/>
      <c r="BB46" s="22"/>
      <c r="BC46" s="30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>
        <f>SUM(E46:BO46)</f>
        <v>30</v>
      </c>
      <c r="BQ46" s="19">
        <v>2</v>
      </c>
      <c r="BR46" s="23">
        <v>1</v>
      </c>
      <c r="BS46" s="23" t="s">
        <v>211</v>
      </c>
      <c r="BT46" s="19" t="str">
        <f>IF(AQ46&gt;AQ$162, AQ46-AQ$162,"")</f>
        <v/>
      </c>
      <c r="BU46" s="19" t="str">
        <f>IF(AR46&gt;AR$162, AR46-AR$162,"")</f>
        <v/>
      </c>
      <c r="BV46" s="19" t="str">
        <f>IF(AS46&gt;AS$162, AS46-AS$162,"")</f>
        <v/>
      </c>
      <c r="BW46" s="19" t="str">
        <f>IF(AT46&gt;AT$162, AT46-AT$162,"")</f>
        <v/>
      </c>
      <c r="BX46" s="19" t="str">
        <f>IF(AU46&gt;AU$162, AU46-AU$162,"")</f>
        <v/>
      </c>
      <c r="BY46" s="19" t="str">
        <f>IF(AV46&gt;AV$162, AV46-AV$162,"")</f>
        <v/>
      </c>
      <c r="BZ46" s="19" t="str">
        <f>IF(AW46&gt;AW$162, AW46-AW$162,"")</f>
        <v/>
      </c>
      <c r="CA46" s="19" t="str">
        <f>IF(AX46&gt;AX$162, AX46-AX$162,"")</f>
        <v/>
      </c>
      <c r="CB46" s="19" t="str">
        <f>IF(AY46&gt;AY$162, AY46-AY$162,"")</f>
        <v/>
      </c>
      <c r="CC46" s="19" t="str">
        <f>IF(AZ46&gt;AZ$162, AZ46-AZ$162,"")</f>
        <v/>
      </c>
      <c r="CD46" s="19" t="str">
        <f>IF(BA46&gt;BA$162, BA46-BA$162,"")</f>
        <v/>
      </c>
      <c r="CE46" s="19" t="str">
        <f>IF(BB46&gt;BB$162, BB46-BB$162,"")</f>
        <v/>
      </c>
      <c r="CF46" s="19">
        <f>COUNTIF(BT46:CE46, "&gt;0")</f>
        <v>0</v>
      </c>
      <c r="CG46" s="19" t="str">
        <f>IF($CF46=1,BT46,"")</f>
        <v/>
      </c>
      <c r="CH46" s="19" t="str">
        <f>IF($CF46=1,BU46,"")</f>
        <v/>
      </c>
      <c r="CI46" s="19" t="str">
        <f>IF($CF46=1,BV46,"")</f>
        <v/>
      </c>
      <c r="CJ46" s="19" t="str">
        <f>IF($CF46=1,BW46,"")</f>
        <v/>
      </c>
      <c r="CK46" s="19" t="str">
        <f>IF($CF46=1,BX46,"")</f>
        <v/>
      </c>
      <c r="CL46" s="19" t="str">
        <f>IF($CF46=1,BY46,"")</f>
        <v/>
      </c>
      <c r="CM46" s="19" t="str">
        <f>IF($CF46=1,BZ46,"")</f>
        <v/>
      </c>
      <c r="CN46" s="19" t="str">
        <f>IF($CF46=1,CA46,"")</f>
        <v/>
      </c>
      <c r="CO46" s="19" t="str">
        <f>IF($CF46=1,CB46,"")</f>
        <v/>
      </c>
      <c r="CP46" s="19" t="str">
        <f>IF($CF46=1,CC46,"")</f>
        <v/>
      </c>
      <c r="CQ46" s="19" t="str">
        <f>IF($CF46=1,CD46,"")</f>
        <v/>
      </c>
      <c r="CR46" s="19" t="str">
        <f>IF($CF46=1,CE46,"")</f>
        <v/>
      </c>
      <c r="CS46" s="24">
        <f>SUM(AE46:BO46)</f>
        <v>0</v>
      </c>
    </row>
    <row r="47" spans="1:97" x14ac:dyDescent="0.15">
      <c r="A47" s="1">
        <v>84</v>
      </c>
      <c r="B47" s="3" t="s">
        <v>76</v>
      </c>
      <c r="C47" s="3" t="s">
        <v>71</v>
      </c>
      <c r="D47" s="1" t="s">
        <v>13</v>
      </c>
      <c r="E47" s="6"/>
      <c r="F47" s="6"/>
      <c r="G47" s="6">
        <v>5</v>
      </c>
      <c r="H47" s="6">
        <v>5</v>
      </c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5</v>
      </c>
      <c r="BB47" s="2">
        <v>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</v>
      </c>
      <c r="BQ47" s="1">
        <v>2</v>
      </c>
      <c r="BR47" s="17">
        <v>1</v>
      </c>
      <c r="BS47" s="17" t="s">
        <v>204</v>
      </c>
      <c r="BT47" s="1" t="str">
        <f>IF(AQ47&gt;AQ$162, AQ47-AQ$162,"")</f>
        <v/>
      </c>
      <c r="BU47" s="1" t="str">
        <f>IF(AR47&gt;AR$162, AR47-AR$162,"")</f>
        <v/>
      </c>
      <c r="BV47" s="1" t="str">
        <f>IF(AS47&gt;AS$162, AS47-AS$162,"")</f>
        <v/>
      </c>
      <c r="BW47" s="1" t="str">
        <f>IF(AT47&gt;AT$162, AT47-AT$162,"")</f>
        <v/>
      </c>
      <c r="BX47" s="1" t="str">
        <f>IF(AU47&gt;AU$162, AU47-AU$162,"")</f>
        <v/>
      </c>
      <c r="BY47" s="1" t="str">
        <f>IF(AV47&gt;AV$162, AV47-AV$162,"")</f>
        <v/>
      </c>
      <c r="BZ47" s="1" t="str">
        <f>IF(AW47&gt;AW$162, AW47-AW$162,"")</f>
        <v/>
      </c>
      <c r="CA47" s="1" t="str">
        <f>IF(AX47&gt;AX$162, AX47-AX$162,"")</f>
        <v/>
      </c>
      <c r="CB47" s="1" t="str">
        <f>IF(AY47&gt;AY$162, AY47-AY$162,"")</f>
        <v/>
      </c>
      <c r="CC47" s="1" t="str">
        <f>IF(AZ47&gt;AZ$162, AZ47-AZ$162,"")</f>
        <v/>
      </c>
      <c r="CD47" s="1" t="str">
        <f>IF(BA47&gt;BA$162, BA47-BA$162,"")</f>
        <v/>
      </c>
      <c r="CE47" s="1" t="str">
        <f>IF(BB47&gt;BB$162, BB47-BB$162,"")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18">
        <f>SUM(AE47:BO47)</f>
        <v>10</v>
      </c>
    </row>
    <row r="48" spans="1:97" x14ac:dyDescent="0.15">
      <c r="A48" s="1"/>
      <c r="B48" s="1" t="s">
        <v>139</v>
      </c>
      <c r="C48" s="1" t="s">
        <v>137</v>
      </c>
      <c r="D48" s="1" t="s">
        <v>124</v>
      </c>
      <c r="E48" s="6">
        <v>10</v>
      </c>
      <c r="F48" s="6"/>
      <c r="G48" s="6">
        <v>10</v>
      </c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211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155</v>
      </c>
      <c r="C49" s="1" t="s">
        <v>149</v>
      </c>
      <c r="D49" s="1" t="s">
        <v>123</v>
      </c>
      <c r="E49" s="6"/>
      <c r="F49" s="6"/>
      <c r="G49" s="6"/>
      <c r="H49" s="6">
        <v>5</v>
      </c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204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193</v>
      </c>
      <c r="C50" s="1" t="s">
        <v>194</v>
      </c>
      <c r="D50" s="1" t="s">
        <v>164</v>
      </c>
      <c r="E50" s="6">
        <v>10</v>
      </c>
      <c r="F50" s="6"/>
      <c r="G50" s="6">
        <v>10</v>
      </c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2</v>
      </c>
      <c r="BR50" s="17">
        <v>1</v>
      </c>
      <c r="BS50" s="17" t="s">
        <v>211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9">
        <v>37</v>
      </c>
      <c r="B51" s="19" t="s">
        <v>52</v>
      </c>
      <c r="C51" s="19" t="s">
        <v>49</v>
      </c>
      <c r="D51" s="19" t="s">
        <v>25</v>
      </c>
      <c r="E51" s="20"/>
      <c r="F51" s="20">
        <v>5</v>
      </c>
      <c r="G51" s="20"/>
      <c r="H51" s="20"/>
      <c r="I51" s="20"/>
      <c r="J51" s="20"/>
      <c r="K51" s="20"/>
      <c r="L51" s="20"/>
      <c r="M51" s="20"/>
      <c r="N51" s="20"/>
      <c r="O51" s="20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21"/>
      <c r="AR51" s="21"/>
      <c r="AS51" s="21"/>
      <c r="AT51" s="21"/>
      <c r="AU51" s="21"/>
      <c r="AV51" s="21"/>
      <c r="AW51" s="22"/>
      <c r="AX51" s="22"/>
      <c r="AY51" s="22"/>
      <c r="AZ51" s="22"/>
      <c r="BA51" s="22"/>
      <c r="BB51" s="22"/>
      <c r="BC51" s="30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>
        <f>SUM(E51:BO51)</f>
        <v>5</v>
      </c>
      <c r="BQ51" s="19">
        <v>2</v>
      </c>
      <c r="BR51" s="23">
        <v>1</v>
      </c>
      <c r="BS51" s="23" t="s">
        <v>219</v>
      </c>
      <c r="BT51" s="19" t="str">
        <f>IF(AQ51&gt;AQ$162, AQ51-AQ$162,"")</f>
        <v/>
      </c>
      <c r="BU51" s="19" t="str">
        <f>IF(AR51&gt;AR$162, AR51-AR$162,"")</f>
        <v/>
      </c>
      <c r="BV51" s="19" t="str">
        <f>IF(AS51&gt;AS$162, AS51-AS$162,"")</f>
        <v/>
      </c>
      <c r="BW51" s="19" t="str">
        <f>IF(AT51&gt;AT$162, AT51-AT$162,"")</f>
        <v/>
      </c>
      <c r="BX51" s="19" t="str">
        <f>IF(AU51&gt;AU$162, AU51-AU$162,"")</f>
        <v/>
      </c>
      <c r="BY51" s="19" t="str">
        <f>IF(AV51&gt;AV$162, AV51-AV$162,"")</f>
        <v/>
      </c>
      <c r="BZ51" s="19" t="str">
        <f>IF(AW51&gt;AW$162, AW51-AW$162,"")</f>
        <v/>
      </c>
      <c r="CA51" s="19" t="str">
        <f>IF(AX51&gt;AX$162, AX51-AX$162,"")</f>
        <v/>
      </c>
      <c r="CB51" s="19" t="str">
        <f>IF(AY51&gt;AY$162, AY51-AY$162,"")</f>
        <v/>
      </c>
      <c r="CC51" s="19" t="str">
        <f>IF(AZ51&gt;AZ$162, AZ51-AZ$162,"")</f>
        <v/>
      </c>
      <c r="CD51" s="19" t="str">
        <f>IF(BA51&gt;BA$162, BA51-BA$162,"")</f>
        <v/>
      </c>
      <c r="CE51" s="19" t="str">
        <f>IF(BB51&gt;BB$162, BB51-BB$162,"")</f>
        <v/>
      </c>
      <c r="CF51" s="19">
        <f>COUNTIF(BT51:CE51, "&gt;0")</f>
        <v>0</v>
      </c>
      <c r="CG51" s="19" t="str">
        <f>IF($CF51=1,BT51,"")</f>
        <v/>
      </c>
      <c r="CH51" s="19" t="str">
        <f>IF($CF51=1,BU51,"")</f>
        <v/>
      </c>
      <c r="CI51" s="19" t="str">
        <f>IF($CF51=1,BV51,"")</f>
        <v/>
      </c>
      <c r="CJ51" s="19" t="str">
        <f>IF($CF51=1,BW51,"")</f>
        <v/>
      </c>
      <c r="CK51" s="19" t="str">
        <f>IF($CF51=1,BX51,"")</f>
        <v/>
      </c>
      <c r="CL51" s="19" t="str">
        <f>IF($CF51=1,BY51,"")</f>
        <v/>
      </c>
      <c r="CM51" s="19" t="str">
        <f>IF($CF51=1,BZ51,"")</f>
        <v/>
      </c>
      <c r="CN51" s="19" t="str">
        <f>IF($CF51=1,CA51,"")</f>
        <v/>
      </c>
      <c r="CO51" s="19" t="str">
        <f>IF($CF51=1,CB51,"")</f>
        <v/>
      </c>
      <c r="CP51" s="19" t="str">
        <f>IF($CF51=1,CC51,"")</f>
        <v/>
      </c>
      <c r="CQ51" s="19" t="str">
        <f>IF($CF51=1,CD51,"")</f>
        <v/>
      </c>
      <c r="CR51" s="19" t="str">
        <f>IF($CF51=1,CE51,"")</f>
        <v/>
      </c>
      <c r="CS51" s="24">
        <f>SUM(AE51:BO51)</f>
        <v>0</v>
      </c>
    </row>
    <row r="52" spans="1:97" s="25" customFormat="1" x14ac:dyDescent="0.15">
      <c r="A52" s="1"/>
      <c r="B52" s="1" t="s">
        <v>134</v>
      </c>
      <c r="C52" s="1" t="s">
        <v>126</v>
      </c>
      <c r="D52" s="1" t="s">
        <v>123</v>
      </c>
      <c r="E52" s="6"/>
      <c r="F52" s="6">
        <v>5</v>
      </c>
      <c r="G52" s="6"/>
      <c r="H52" s="6"/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2</v>
      </c>
      <c r="BR52" s="17">
        <v>1</v>
      </c>
      <c r="BS52" s="17" t="s">
        <v>219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152</v>
      </c>
      <c r="C53" s="1" t="s">
        <v>149</v>
      </c>
      <c r="D53" s="1" t="s">
        <v>123</v>
      </c>
      <c r="E53" s="6"/>
      <c r="F53" s="6">
        <v>5</v>
      </c>
      <c r="G53" s="6"/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2</v>
      </c>
      <c r="BR53" s="17">
        <v>1</v>
      </c>
      <c r="BS53" s="17" t="s">
        <v>219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/>
      <c r="B54" s="1" t="s">
        <v>135</v>
      </c>
      <c r="C54" s="1" t="s">
        <v>126</v>
      </c>
      <c r="D54" s="1" t="s">
        <v>131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2</v>
      </c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v>2</v>
      </c>
      <c r="BR54" s="17">
        <v>1</v>
      </c>
      <c r="BS54" s="17" t="s">
        <v>221</v>
      </c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x14ac:dyDescent="0.15">
      <c r="A55" s="1">
        <v>69</v>
      </c>
      <c r="B55" s="3" t="s">
        <v>70</v>
      </c>
      <c r="C55" s="1" t="s">
        <v>62</v>
      </c>
      <c r="D55" s="1" t="s">
        <v>13</v>
      </c>
      <c r="E55" s="6"/>
      <c r="F55" s="6"/>
      <c r="G55" s="6"/>
      <c r="H55" s="6">
        <v>6</v>
      </c>
      <c r="I55" s="6">
        <v>6</v>
      </c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3</v>
      </c>
      <c r="BR55" s="17">
        <v>1</v>
      </c>
      <c r="BS55" s="17" t="s">
        <v>212</v>
      </c>
      <c r="BT55" s="1" t="str">
        <f>IF(AQ55&gt;AQ$162, AQ55-AQ$162,"")</f>
        <v/>
      </c>
      <c r="BU55" s="1" t="str">
        <f>IF(AR55&gt;AR$162, AR55-AR$162,"")</f>
        <v/>
      </c>
      <c r="BV55" s="1" t="str">
        <f>IF(AS55&gt;AS$162, AS55-AS$162,"")</f>
        <v/>
      </c>
      <c r="BW55" s="1" t="str">
        <f>IF(AT55&gt;AT$162, AT55-AT$162,"")</f>
        <v/>
      </c>
      <c r="BX55" s="1" t="str">
        <f>IF(AU55&gt;AU$162, AU55-AU$162,"")</f>
        <v/>
      </c>
      <c r="BY55" s="1" t="str">
        <f>IF(AV55&gt;AV$162, AV55-AV$162,"")</f>
        <v/>
      </c>
      <c r="BZ55" s="1" t="str">
        <f>IF(AW55&gt;AW$162, AW55-AW$162,"")</f>
        <v/>
      </c>
      <c r="CA55" s="1" t="str">
        <f>IF(AX55&gt;AX$162, AX55-AX$162,"")</f>
        <v/>
      </c>
      <c r="CB55" s="1" t="str">
        <f>IF(AY55&gt;AY$162, AY55-AY$162,"")</f>
        <v/>
      </c>
      <c r="CC55" s="1" t="str">
        <f>IF(AZ55&gt;AZ$162, AZ55-AZ$162,"")</f>
        <v/>
      </c>
      <c r="CD55" s="1" t="str">
        <f>IF(BA55&gt;BA$162, BA55-BA$162,"")</f>
        <v/>
      </c>
      <c r="CE55" s="1" t="str">
        <f>IF(BB55&gt;BB$162, BB55-BB$162,"")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20</v>
      </c>
    </row>
    <row r="56" spans="1:97" x14ac:dyDescent="0.15">
      <c r="A56" s="1">
        <v>8</v>
      </c>
      <c r="B56" s="1" t="s">
        <v>56</v>
      </c>
      <c r="C56" s="1" t="s">
        <v>2</v>
      </c>
      <c r="D56" s="1" t="s">
        <v>26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3</v>
      </c>
      <c r="BR56" s="17">
        <v>1</v>
      </c>
      <c r="BS56" s="17" t="s">
        <v>212</v>
      </c>
      <c r="BT56" s="1" t="str">
        <f>IF(AQ56&gt;AQ$162, AQ56-AQ$162,"")</f>
        <v/>
      </c>
      <c r="BU56" s="1" t="str">
        <f>IF(AR56&gt;AR$162, AR56-AR$162,"")</f>
        <v/>
      </c>
      <c r="BV56" s="1" t="str">
        <f>IF(AS56&gt;AS$162, AS56-AS$162,"")</f>
        <v/>
      </c>
      <c r="BW56" s="1" t="str">
        <f>IF(AT56&gt;AT$162, AT56-AT$162,"")</f>
        <v/>
      </c>
      <c r="BX56" s="1" t="str">
        <f>IF(AU56&gt;AU$162, AU56-AU$162,"")</f>
        <v/>
      </c>
      <c r="BY56" s="1" t="str">
        <f>IF(AV56&gt;AV$162, AV56-AV$162,"")</f>
        <v/>
      </c>
      <c r="BZ56" s="1" t="str">
        <f>IF(AW56&gt;AW$162, AW56-AW$162,"")</f>
        <v/>
      </c>
      <c r="CA56" s="1" t="str">
        <f>IF(AX56&gt;AX$162, AX56-AX$162,"")</f>
        <v/>
      </c>
      <c r="CB56" s="1" t="str">
        <f>IF(AY56&gt;AY$162, AY56-AY$162,"")</f>
        <v/>
      </c>
      <c r="CC56" s="1" t="str">
        <f>IF(AZ56&gt;AZ$162, AZ56-AZ$162,"")</f>
        <v/>
      </c>
      <c r="CD56" s="1" t="str">
        <f>IF(BA56&gt;BA$162, BA56-BA$162,"")</f>
        <v/>
      </c>
      <c r="CE56" s="1" t="str">
        <f>IF(BB56&gt;BB$162, BB56-BB$162,"")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20</v>
      </c>
    </row>
    <row r="57" spans="1:97" x14ac:dyDescent="0.15">
      <c r="A57" s="1"/>
      <c r="B57" s="1" t="s">
        <v>208</v>
      </c>
      <c r="C57" s="1" t="s">
        <v>146</v>
      </c>
      <c r="D57" s="1" t="s">
        <v>124</v>
      </c>
      <c r="E57" s="6"/>
      <c r="F57" s="6"/>
      <c r="G57" s="6">
        <v>6</v>
      </c>
      <c r="H57" s="6">
        <v>6</v>
      </c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>
        <v>10</v>
      </c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3</v>
      </c>
      <c r="BR57" s="17">
        <v>1</v>
      </c>
      <c r="BS57" s="17" t="s">
        <v>212</v>
      </c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/>
      <c r="B58" s="1" t="s">
        <v>209</v>
      </c>
      <c r="C58" s="1" t="s">
        <v>149</v>
      </c>
      <c r="D58" s="1" t="s">
        <v>124</v>
      </c>
      <c r="E58" s="6"/>
      <c r="F58" s="6"/>
      <c r="G58" s="6"/>
      <c r="H58" s="6">
        <v>6</v>
      </c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10</v>
      </c>
      <c r="AU58" s="4"/>
      <c r="AV58" s="4"/>
      <c r="AW58" s="2"/>
      <c r="AX58" s="2"/>
      <c r="AY58" s="2"/>
      <c r="AZ58" s="2">
        <v>6</v>
      </c>
      <c r="BA58" s="2">
        <v>6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3</v>
      </c>
      <c r="BR58" s="17">
        <v>1</v>
      </c>
      <c r="BS58" s="17" t="s">
        <v>212</v>
      </c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/>
      <c r="B59" s="1" t="s">
        <v>155</v>
      </c>
      <c r="C59" s="1" t="s">
        <v>149</v>
      </c>
      <c r="D59" s="1" t="s">
        <v>124</v>
      </c>
      <c r="E59" s="6"/>
      <c r="F59" s="6"/>
      <c r="G59" s="6"/>
      <c r="H59" s="6">
        <v>6</v>
      </c>
      <c r="I59" s="6"/>
      <c r="J59" s="6">
        <v>6</v>
      </c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8</v>
      </c>
      <c r="AU59" s="4"/>
      <c r="AV59" s="4"/>
      <c r="AW59" s="2"/>
      <c r="AX59" s="2"/>
      <c r="AY59" s="2">
        <v>8</v>
      </c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v>3</v>
      </c>
      <c r="BR59" s="17">
        <v>1</v>
      </c>
      <c r="BS59" s="17" t="s">
        <v>212</v>
      </c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x14ac:dyDescent="0.15">
      <c r="A60" s="1">
        <v>68</v>
      </c>
      <c r="B60" s="3" t="s">
        <v>117</v>
      </c>
      <c r="C60" s="1" t="s">
        <v>62</v>
      </c>
      <c r="D60" s="1" t="s">
        <v>13</v>
      </c>
      <c r="E60" s="6"/>
      <c r="F60" s="6">
        <v>6</v>
      </c>
      <c r="G60" s="6"/>
      <c r="H60" s="6"/>
      <c r="I60" s="6"/>
      <c r="J60" s="6"/>
      <c r="K60" s="6"/>
      <c r="L60" s="6"/>
      <c r="M60" s="6"/>
      <c r="N60" s="6">
        <v>6</v>
      </c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/>
      <c r="BB60" s="2">
        <v>10</v>
      </c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3</v>
      </c>
      <c r="BR60" s="17">
        <v>1</v>
      </c>
      <c r="BS60" s="17" t="s">
        <v>223</v>
      </c>
      <c r="BT60" s="1" t="str">
        <f>IF(AQ60&gt;AQ$162, AQ60-AQ$162,"")</f>
        <v/>
      </c>
      <c r="BU60" s="1" t="str">
        <f>IF(AR60&gt;AR$162, AR60-AR$162,"")</f>
        <v/>
      </c>
      <c r="BV60" s="1" t="str">
        <f>IF(AS60&gt;AS$162, AS60-AS$162,"")</f>
        <v/>
      </c>
      <c r="BW60" s="1" t="str">
        <f>IF(AT60&gt;AT$162, AT60-AT$162,"")</f>
        <v/>
      </c>
      <c r="BX60" s="1" t="str">
        <f>IF(AU60&gt;AU$162, AU60-AU$162,"")</f>
        <v/>
      </c>
      <c r="BY60" s="1" t="str">
        <f>IF(AV60&gt;AV$162, AV60-AV$162,"")</f>
        <v/>
      </c>
      <c r="BZ60" s="1" t="str">
        <f>IF(AW60&gt;AW$162, AW60-AW$162,"")</f>
        <v/>
      </c>
      <c r="CA60" s="1" t="str">
        <f>IF(AX60&gt;AX$162, AX60-AX$162,"")</f>
        <v/>
      </c>
      <c r="CB60" s="1" t="str">
        <f>IF(AY60&gt;AY$162, AY60-AY$162,"")</f>
        <v/>
      </c>
      <c r="CC60" s="1" t="str">
        <f>IF(AZ60&gt;AZ$162, AZ60-AZ$162,"")</f>
        <v/>
      </c>
      <c r="CD60" s="1" t="str">
        <f>IF(BA60&gt;BA$162, BA60-BA$162,"")</f>
        <v/>
      </c>
      <c r="CE60" s="1" t="str">
        <f>IF(BB60&gt;BB$162, BB60-BB$162,"")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18">
        <f>SUM(AE60:BO60)</f>
        <v>20</v>
      </c>
    </row>
    <row r="61" spans="1:97" x14ac:dyDescent="0.15">
      <c r="A61" s="1"/>
      <c r="B61" s="1" t="s">
        <v>153</v>
      </c>
      <c r="C61" s="1" t="s">
        <v>149</v>
      </c>
      <c r="D61" s="1" t="s">
        <v>124</v>
      </c>
      <c r="E61" s="6"/>
      <c r="F61" s="6">
        <v>6</v>
      </c>
      <c r="G61" s="6"/>
      <c r="H61" s="6"/>
      <c r="I61" s="6"/>
      <c r="J61" s="6"/>
      <c r="K61" s="6"/>
      <c r="L61" s="6"/>
      <c r="M61" s="6"/>
      <c r="N61" s="6"/>
      <c r="O61" s="6">
        <v>6</v>
      </c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>
        <v>10</v>
      </c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3</v>
      </c>
      <c r="BR61" s="17">
        <v>1</v>
      </c>
      <c r="BS61" s="17" t="s">
        <v>223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/>
      <c r="B62" s="1" t="s">
        <v>201</v>
      </c>
      <c r="C62" s="1" t="s">
        <v>196</v>
      </c>
      <c r="D62" s="1" t="s">
        <v>164</v>
      </c>
      <c r="E62" s="6"/>
      <c r="F62" s="6"/>
      <c r="G62" s="6">
        <v>5</v>
      </c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>
        <v>5</v>
      </c>
      <c r="W62" s="32"/>
      <c r="X62" s="32"/>
      <c r="Y62" s="32">
        <v>5</v>
      </c>
      <c r="Z62" s="32"/>
      <c r="AA62" s="32"/>
      <c r="AB62" s="32"/>
      <c r="AC62" s="32">
        <v>5</v>
      </c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v>3</v>
      </c>
      <c r="BR62" s="17">
        <v>1</v>
      </c>
      <c r="BS62" s="17" t="s">
        <v>226</v>
      </c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x14ac:dyDescent="0.15">
      <c r="A63" s="1">
        <v>24</v>
      </c>
      <c r="B63" s="1" t="s">
        <v>47</v>
      </c>
      <c r="C63" s="1" t="s">
        <v>32</v>
      </c>
      <c r="D63" s="1" t="s">
        <v>26</v>
      </c>
      <c r="E63" s="6"/>
      <c r="F63" s="6"/>
      <c r="G63" s="6"/>
      <c r="H63" s="6"/>
      <c r="I63" s="6">
        <v>4</v>
      </c>
      <c r="J63" s="6"/>
      <c r="K63" s="6">
        <v>4</v>
      </c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5</v>
      </c>
      <c r="AT63" s="4"/>
      <c r="AU63" s="4"/>
      <c r="AV63" s="4"/>
      <c r="AW63" s="2">
        <v>5</v>
      </c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18</v>
      </c>
      <c r="BQ63" s="1">
        <v>3</v>
      </c>
      <c r="BR63" s="17">
        <v>1</v>
      </c>
      <c r="BS63" s="17" t="s">
        <v>227</v>
      </c>
      <c r="BT63" s="1" t="str">
        <f>IF(AQ63&gt;AQ$162, AQ63-AQ$162,"")</f>
        <v/>
      </c>
      <c r="BU63" s="1" t="str">
        <f>IF(AR63&gt;AR$162, AR63-AR$162,"")</f>
        <v/>
      </c>
      <c r="BV63" s="1">
        <f>IF(AS63&gt;AS$162, AS63-AS$162,"")</f>
        <v>3</v>
      </c>
      <c r="BW63" s="1" t="str">
        <f>IF(AT63&gt;AT$162, AT63-AT$162,"")</f>
        <v/>
      </c>
      <c r="BX63" s="1" t="str">
        <f>IF(AU63&gt;AU$162, AU63-AU$162,"")</f>
        <v/>
      </c>
      <c r="BY63" s="1" t="str">
        <f>IF(AV63&gt;AV$162, AV63-AV$162,"")</f>
        <v/>
      </c>
      <c r="BZ63" s="1" t="str">
        <f>IF(AW63&gt;AW$162, AW63-AW$162,"")</f>
        <v/>
      </c>
      <c r="CA63" s="1" t="str">
        <f>IF(AX63&gt;AX$162, AX63-AX$162,"")</f>
        <v/>
      </c>
      <c r="CB63" s="1" t="str">
        <f>IF(AY63&gt;AY$162, AY63-AY$162,"")</f>
        <v/>
      </c>
      <c r="CC63" s="1" t="str">
        <f>IF(AZ63&gt;AZ$162, AZ63-AZ$162,"")</f>
        <v/>
      </c>
      <c r="CD63" s="1" t="str">
        <f>IF(BA63&gt;BA$162, BA63-BA$162,"")</f>
        <v/>
      </c>
      <c r="CE63" s="1" t="str">
        <f>IF(BB63&gt;BB$162, BB63-BB$162,"")</f>
        <v/>
      </c>
      <c r="CF63" s="1">
        <f>COUNTIF(BT63:CE63, "&gt;0")</f>
        <v>1</v>
      </c>
      <c r="CG63" s="1" t="str">
        <f>IF($CF63=1,BT63,"")</f>
        <v/>
      </c>
      <c r="CH63" s="1" t="str">
        <f>IF($CF63=1,BU63,"")</f>
        <v/>
      </c>
      <c r="CI63" s="1">
        <f>IF($CF63=1,BV63,"")</f>
        <v>3</v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18">
        <f>SUM(AE63:BO63)</f>
        <v>10</v>
      </c>
    </row>
    <row r="64" spans="1:97" x14ac:dyDescent="0.15">
      <c r="A64" s="1">
        <v>2</v>
      </c>
      <c r="B64" s="1" t="s">
        <v>8</v>
      </c>
      <c r="C64" s="1" t="s">
        <v>2</v>
      </c>
      <c r="D64" s="1" t="s">
        <v>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>
        <v>15</v>
      </c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>
        <v>15</v>
      </c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30</v>
      </c>
      <c r="BQ64" s="1">
        <v>3</v>
      </c>
      <c r="BR64" s="17">
        <v>1</v>
      </c>
      <c r="BS64" s="17" t="s">
        <v>238</v>
      </c>
      <c r="BT64" s="1" t="str">
        <f>IF(AQ64&gt;AQ$162, AQ64-AQ$162,"")</f>
        <v/>
      </c>
      <c r="BU64" s="1" t="str">
        <f>IF(AR64&gt;AR$162, AR64-AR$162,"")</f>
        <v/>
      </c>
      <c r="BV64" s="1" t="str">
        <f>IF(AS64&gt;AS$162, AS64-AS$162,"")</f>
        <v/>
      </c>
      <c r="BW64" s="1" t="str">
        <f>IF(AT64&gt;AT$162, AT64-AT$162,"")</f>
        <v/>
      </c>
      <c r="BX64" s="1" t="str">
        <f>IF(AU64&gt;AU$162, AU64-AU$162,"")</f>
        <v/>
      </c>
      <c r="BY64" s="1" t="str">
        <f>IF(AV64&gt;AV$162, AV64-AV$162,"")</f>
        <v/>
      </c>
      <c r="BZ64" s="1" t="str">
        <f>IF(AW64&gt;AW$162, AW64-AW$162,"")</f>
        <v/>
      </c>
      <c r="CA64" s="1" t="str">
        <f>IF(AX64&gt;AX$162, AX64-AX$162,"")</f>
        <v/>
      </c>
      <c r="CB64" s="1" t="str">
        <f>IF(AY64&gt;AY$162, AY64-AY$162,"")</f>
        <v/>
      </c>
      <c r="CC64" s="1" t="str">
        <f>IF(AZ64&gt;AZ$162, AZ64-AZ$162,"")</f>
        <v/>
      </c>
      <c r="CD64" s="1" t="str">
        <f>IF(BA64&gt;BA$162, BA64-BA$162,"")</f>
        <v/>
      </c>
      <c r="CE64" s="1" t="str">
        <f>IF(BB64&gt;BB$162, BB64-BB$162,"")</f>
        <v/>
      </c>
      <c r="CF64" s="1">
        <f>COUNTIF(BT64:CE64, "&gt;0")</f>
        <v>0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18">
        <f>SUM(AE64:BO64)</f>
        <v>30</v>
      </c>
    </row>
    <row r="65" spans="1:97" x14ac:dyDescent="0.15">
      <c r="A65" s="1">
        <v>41</v>
      </c>
      <c r="B65" s="1" t="s">
        <v>57</v>
      </c>
      <c r="C65" s="1" t="s">
        <v>49</v>
      </c>
      <c r="D65" s="1" t="s">
        <v>13</v>
      </c>
      <c r="E65" s="6"/>
      <c r="F65" s="6"/>
      <c r="G65" s="6"/>
      <c r="H65" s="6"/>
      <c r="I65" s="6"/>
      <c r="J65" s="6"/>
      <c r="K65" s="6"/>
      <c r="L65" s="6">
        <v>6</v>
      </c>
      <c r="M65" s="6"/>
      <c r="N65" s="6"/>
      <c r="O65" s="6">
        <v>6</v>
      </c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>
        <v>10</v>
      </c>
      <c r="AR65" s="4"/>
      <c r="AS65" s="4"/>
      <c r="AT65" s="4"/>
      <c r="AU65" s="4"/>
      <c r="AV65" s="4"/>
      <c r="AW65" s="2"/>
      <c r="AX65" s="2">
        <v>10</v>
      </c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32</v>
      </c>
      <c r="BQ65" s="1">
        <v>4</v>
      </c>
      <c r="BR65" s="17">
        <v>1</v>
      </c>
      <c r="BS65" s="17" t="s">
        <v>215</v>
      </c>
      <c r="BT65" s="1">
        <f>IF(AQ65&gt;AQ$162, AQ65-AQ$162,"")</f>
        <v>4</v>
      </c>
      <c r="BU65" s="1" t="str">
        <f>IF(AR65&gt;AR$162, AR65-AR$162,"")</f>
        <v/>
      </c>
      <c r="BV65" s="1" t="str">
        <f>IF(AS65&gt;AS$162, AS65-AS$162,"")</f>
        <v/>
      </c>
      <c r="BW65" s="1" t="str">
        <f>IF(AT65&gt;AT$162, AT65-AT$162,"")</f>
        <v/>
      </c>
      <c r="BX65" s="1" t="str">
        <f>IF(AU65&gt;AU$162, AU65-AU$162,"")</f>
        <v/>
      </c>
      <c r="BY65" s="1" t="str">
        <f>IF(AV65&gt;AV$162, AV65-AV$162,"")</f>
        <v/>
      </c>
      <c r="BZ65" s="1" t="str">
        <f>IF(AW65&gt;AW$162, AW65-AW$162,"")</f>
        <v/>
      </c>
      <c r="CA65" s="1" t="str">
        <f>IF(AX65&gt;AX$162, AX65-AX$162,"")</f>
        <v/>
      </c>
      <c r="CB65" s="1" t="str">
        <f>IF(AY65&gt;AY$162, AY65-AY$162,"")</f>
        <v/>
      </c>
      <c r="CC65" s="1" t="str">
        <f>IF(AZ65&gt;AZ$162, AZ65-AZ$162,"")</f>
        <v/>
      </c>
      <c r="CD65" s="1" t="str">
        <f>IF(BA65&gt;BA$162, BA65-BA$162,"")</f>
        <v/>
      </c>
      <c r="CE65" s="1" t="str">
        <f>IF(BB65&gt;BB$162, BB65-BB$162,"")</f>
        <v/>
      </c>
      <c r="CF65" s="1">
        <f>COUNTIF(BT65:CE65, "&gt;0")</f>
        <v>1</v>
      </c>
      <c r="CG65" s="1">
        <f>IF($CF65=1,BT65,"")</f>
        <v>4</v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18">
        <f>SUM(AE65:BO65)</f>
        <v>20</v>
      </c>
    </row>
    <row r="66" spans="1:97" x14ac:dyDescent="0.15">
      <c r="A66" s="1">
        <v>45</v>
      </c>
      <c r="B66" s="1" t="s">
        <v>120</v>
      </c>
      <c r="C66" s="1" t="s">
        <v>49</v>
      </c>
      <c r="D66" s="1" t="s">
        <v>13</v>
      </c>
      <c r="E66" s="6">
        <v>6</v>
      </c>
      <c r="F66" s="6"/>
      <c r="G66" s="6"/>
      <c r="H66" s="6"/>
      <c r="I66" s="6"/>
      <c r="J66" s="6"/>
      <c r="K66" s="6"/>
      <c r="L66" s="6"/>
      <c r="M66" s="6">
        <v>6</v>
      </c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>
        <v>10</v>
      </c>
      <c r="AR66" s="4"/>
      <c r="AS66" s="4"/>
      <c r="AT66" s="4"/>
      <c r="AU66" s="4"/>
      <c r="AV66" s="4"/>
      <c r="AW66" s="2"/>
      <c r="AX66" s="2"/>
      <c r="AY66" s="2"/>
      <c r="AZ66" s="2">
        <v>10</v>
      </c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32</v>
      </c>
      <c r="BQ66" s="1">
        <v>4</v>
      </c>
      <c r="BR66" s="17">
        <v>1</v>
      </c>
      <c r="BS66" s="17" t="s">
        <v>215</v>
      </c>
      <c r="BT66" s="1">
        <f>IF(AQ66&gt;AQ$162, AQ66-AQ$162,"")</f>
        <v>4</v>
      </c>
      <c r="BU66" s="1" t="str">
        <f>IF(AR66&gt;AR$162, AR66-AR$162,"")</f>
        <v/>
      </c>
      <c r="BV66" s="1" t="str">
        <f>IF(AS66&gt;AS$162, AS66-AS$162,"")</f>
        <v/>
      </c>
      <c r="BW66" s="1" t="str">
        <f>IF(AT66&gt;AT$162, AT66-AT$162,"")</f>
        <v/>
      </c>
      <c r="BX66" s="1" t="str">
        <f>IF(AU66&gt;AU$162, AU66-AU$162,"")</f>
        <v/>
      </c>
      <c r="BY66" s="1" t="str">
        <f>IF(AV66&gt;AV$162, AV66-AV$162,"")</f>
        <v/>
      </c>
      <c r="BZ66" s="1" t="str">
        <f>IF(AW66&gt;AW$162, AW66-AW$162,"")</f>
        <v/>
      </c>
      <c r="CA66" s="1" t="str">
        <f>IF(AX66&gt;AX$162, AX66-AX$162,"")</f>
        <v/>
      </c>
      <c r="CB66" s="1" t="str">
        <f>IF(AY66&gt;AY$162, AY66-AY$162,"")</f>
        <v/>
      </c>
      <c r="CC66" s="1" t="str">
        <f>IF(AZ66&gt;AZ$162, AZ66-AZ$162,"")</f>
        <v/>
      </c>
      <c r="CD66" s="1" t="str">
        <f>IF(BA66&gt;BA$162, BA66-BA$162,"")</f>
        <v/>
      </c>
      <c r="CE66" s="1" t="str">
        <f>IF(BB66&gt;BB$162, BB66-BB$162,"")</f>
        <v/>
      </c>
      <c r="CF66" s="1">
        <f>COUNTIF(BT66:CE66, "&gt;0")</f>
        <v>1</v>
      </c>
      <c r="CG66" s="1">
        <f>IF($CF66=1,BT66,"")</f>
        <v>4</v>
      </c>
      <c r="CH66" s="1" t="str">
        <f>IF($CF66=1,BU66,"")</f>
        <v/>
      </c>
      <c r="CI66" s="1" t="str">
        <f>IF($CF66=1,BV66,"")</f>
        <v/>
      </c>
      <c r="CJ66" s="1" t="str">
        <f>IF($CF66=1,BW66,"")</f>
        <v/>
      </c>
      <c r="CK66" s="1" t="str">
        <f>IF($CF66=1,BX66,"")</f>
        <v/>
      </c>
      <c r="CL66" s="1" t="str">
        <f>IF($CF66=1,BY66,"")</f>
        <v/>
      </c>
      <c r="CM66" s="1" t="str">
        <f>IF($CF66=1,BZ66,"")</f>
        <v/>
      </c>
      <c r="CN66" s="1" t="str">
        <f>IF($CF66=1,CA66,"")</f>
        <v/>
      </c>
      <c r="CO66" s="1" t="str">
        <f>IF($CF66=1,CB66,"")</f>
        <v/>
      </c>
      <c r="CP66" s="1" t="str">
        <f>IF($CF66=1,CC66,"")</f>
        <v/>
      </c>
      <c r="CQ66" s="1" t="str">
        <f>IF($CF66=1,CD66,"")</f>
        <v/>
      </c>
      <c r="CR66" s="1" t="str">
        <f>IF($CF66=1,CE66,"")</f>
        <v/>
      </c>
      <c r="CS66" s="18">
        <f>SUM(AE66:BO66)</f>
        <v>20</v>
      </c>
    </row>
    <row r="67" spans="1:97" x14ac:dyDescent="0.15">
      <c r="A67" s="1"/>
      <c r="B67" s="1" t="s">
        <v>143</v>
      </c>
      <c r="C67" s="1" t="s">
        <v>122</v>
      </c>
      <c r="D67" s="1" t="s">
        <v>123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>
        <v>10</v>
      </c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>
        <v>10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v>4</v>
      </c>
      <c r="BR67" s="17">
        <v>1</v>
      </c>
      <c r="BS67" s="17" t="s">
        <v>215</v>
      </c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x14ac:dyDescent="0.15">
      <c r="A68" s="1">
        <v>17</v>
      </c>
      <c r="B68" s="1" t="s">
        <v>35</v>
      </c>
      <c r="C68" s="1" t="s">
        <v>32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>
        <v>5</v>
      </c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5</v>
      </c>
      <c r="BQ68" s="1">
        <v>5</v>
      </c>
      <c r="BR68" s="17">
        <v>1</v>
      </c>
      <c r="BS68" s="17" t="s">
        <v>229</v>
      </c>
      <c r="BT68" s="1" t="str">
        <f>IF(AQ68&gt;AQ$162, AQ68-AQ$162,"")</f>
        <v/>
      </c>
      <c r="BU68" s="1" t="str">
        <f>IF(AR68&gt;AR$162, AR68-AR$162,"")</f>
        <v/>
      </c>
      <c r="BV68" s="1" t="str">
        <f>IF(AS68&gt;AS$162, AS68-AS$162,"")</f>
        <v/>
      </c>
      <c r="BW68" s="1" t="str">
        <f>IF(AT68&gt;AT$162, AT68-AT$162,"")</f>
        <v/>
      </c>
      <c r="BX68" s="1" t="str">
        <f>IF(AU68&gt;AU$162, AU68-AU$162,"")</f>
        <v/>
      </c>
      <c r="BY68" s="1" t="str">
        <f>IF(AV68&gt;AV$162, AV68-AV$162,"")</f>
        <v/>
      </c>
      <c r="BZ68" s="1" t="str">
        <f>IF(AW68&gt;AW$162, AW68-AW$162,"")</f>
        <v/>
      </c>
      <c r="CA68" s="1" t="str">
        <f>IF(AX68&gt;AX$162, AX68-AX$162,"")</f>
        <v/>
      </c>
      <c r="CB68" s="1" t="str">
        <f>IF(AY68&gt;AY$162, AY68-AY$162,"")</f>
        <v/>
      </c>
      <c r="CC68" s="1" t="str">
        <f>IF(AZ68&gt;AZ$162, AZ68-AZ$162,"")</f>
        <v/>
      </c>
      <c r="CD68" s="1" t="str">
        <f>IF(BA68&gt;BA$162, BA68-BA$162,"")</f>
        <v/>
      </c>
      <c r="CE68" s="1" t="str">
        <f>IF(BB68&gt;BB$162, BB68-BB$162,"")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18">
        <f>SUM(AE68:BO68)</f>
        <v>5</v>
      </c>
    </row>
    <row r="69" spans="1:97" x14ac:dyDescent="0.15">
      <c r="A69" s="1">
        <v>18</v>
      </c>
      <c r="B69" s="1" t="s">
        <v>35</v>
      </c>
      <c r="C69" s="1" t="s">
        <v>32</v>
      </c>
      <c r="D69" s="1" t="s">
        <v>25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>
        <v>5</v>
      </c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5</v>
      </c>
      <c r="BQ69" s="1">
        <v>5</v>
      </c>
      <c r="BR69" s="17">
        <v>1</v>
      </c>
      <c r="BS69" s="17" t="s">
        <v>230</v>
      </c>
      <c r="BT69" s="1" t="str">
        <f>IF(AQ69&gt;AQ$162, AQ69-AQ$162,"")</f>
        <v/>
      </c>
      <c r="BU69" s="1" t="str">
        <f>IF(AR69&gt;AR$162, AR69-AR$162,"")</f>
        <v/>
      </c>
      <c r="BV69" s="1" t="str">
        <f>IF(AS69&gt;AS$162, AS69-AS$162,"")</f>
        <v/>
      </c>
      <c r="BW69" s="1" t="str">
        <f>IF(AT69&gt;AT$162, AT69-AT$162,"")</f>
        <v/>
      </c>
      <c r="BX69" s="1" t="str">
        <f>IF(AU69&gt;AU$162, AU69-AU$162,"")</f>
        <v/>
      </c>
      <c r="BY69" s="1" t="str">
        <f>IF(AV69&gt;AV$162, AV69-AV$162,"")</f>
        <v/>
      </c>
      <c r="BZ69" s="1" t="str">
        <f>IF(AW69&gt;AW$162, AW69-AW$162,"")</f>
        <v/>
      </c>
      <c r="CA69" s="1" t="str">
        <f>IF(AX69&gt;AX$162, AX69-AX$162,"")</f>
        <v/>
      </c>
      <c r="CB69" s="1" t="str">
        <f>IF(AY69&gt;AY$162, AY69-AY$162,"")</f>
        <v/>
      </c>
      <c r="CC69" s="1" t="str">
        <f>IF(AZ69&gt;AZ$162, AZ69-AZ$162,"")</f>
        <v/>
      </c>
      <c r="CD69" s="1" t="str">
        <f>IF(BA69&gt;BA$162, BA69-BA$162,"")</f>
        <v/>
      </c>
      <c r="CE69" s="1" t="str">
        <f>IF(BB69&gt;BB$162, BB69-BB$162,"")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18">
        <f>SUM(AE69:BO69)</f>
        <v>5</v>
      </c>
    </row>
    <row r="70" spans="1:97" x14ac:dyDescent="0.15">
      <c r="A70" s="1">
        <v>19</v>
      </c>
      <c r="B70" s="1" t="s">
        <v>38</v>
      </c>
      <c r="C70" s="1" t="s">
        <v>32</v>
      </c>
      <c r="D70" s="1" t="s">
        <v>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>
        <v>5</v>
      </c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5</v>
      </c>
      <c r="BQ70" s="1">
        <v>5</v>
      </c>
      <c r="BR70" s="17">
        <v>1</v>
      </c>
      <c r="BS70" s="17" t="s">
        <v>230</v>
      </c>
      <c r="BT70" s="1" t="str">
        <f>IF(AQ70&gt;AQ$162, AQ70-AQ$162,"")</f>
        <v/>
      </c>
      <c r="BU70" s="1" t="str">
        <f>IF(AR70&gt;AR$162, AR70-AR$162,"")</f>
        <v/>
      </c>
      <c r="BV70" s="1" t="str">
        <f>IF(AS70&gt;AS$162, AS70-AS$162,"")</f>
        <v/>
      </c>
      <c r="BW70" s="1" t="str">
        <f>IF(AT70&gt;AT$162, AT70-AT$162,"")</f>
        <v/>
      </c>
      <c r="BX70" s="1" t="str">
        <f>IF(AU70&gt;AU$162, AU70-AU$162,"")</f>
        <v/>
      </c>
      <c r="BY70" s="1" t="str">
        <f>IF(AV70&gt;AV$162, AV70-AV$162,"")</f>
        <v/>
      </c>
      <c r="BZ70" s="1" t="str">
        <f>IF(AW70&gt;AW$162, AW70-AW$162,"")</f>
        <v/>
      </c>
      <c r="CA70" s="1" t="str">
        <f>IF(AX70&gt;AX$162, AX70-AX$162,"")</f>
        <v/>
      </c>
      <c r="CB70" s="1" t="str">
        <f>IF(AY70&gt;AY$162, AY70-AY$162,"")</f>
        <v/>
      </c>
      <c r="CC70" s="1" t="str">
        <f>IF(AZ70&gt;AZ$162, AZ70-AZ$162,"")</f>
        <v/>
      </c>
      <c r="CD70" s="1" t="str">
        <f>IF(BA70&gt;BA$162, BA70-BA$162,"")</f>
        <v/>
      </c>
      <c r="CE70" s="1" t="str">
        <f>IF(BB70&gt;BB$162, BB70-BB$162,"")</f>
        <v/>
      </c>
      <c r="CF70" s="1">
        <f>COUNTIF(BT70:CE70, "&gt;0")</f>
        <v>0</v>
      </c>
      <c r="CG70" s="1" t="str">
        <f>IF($CF70=1,BT70,"")</f>
        <v/>
      </c>
      <c r="CH70" s="1" t="str">
        <f>IF($CF70=1,BU70,"")</f>
        <v/>
      </c>
      <c r="CI70" s="1" t="str">
        <f>IF($CF70=1,BV70,"")</f>
        <v/>
      </c>
      <c r="CJ70" s="1" t="str">
        <f>IF($CF70=1,BW70,"")</f>
        <v/>
      </c>
      <c r="CK70" s="1" t="str">
        <f>IF($CF70=1,BX70,"")</f>
        <v/>
      </c>
      <c r="CL70" s="1" t="str">
        <f>IF($CF70=1,BY70,"")</f>
        <v/>
      </c>
      <c r="CM70" s="1" t="str">
        <f>IF($CF70=1,BZ70,"")</f>
        <v/>
      </c>
      <c r="CN70" s="1" t="str">
        <f>IF($CF70=1,CA70,"")</f>
        <v/>
      </c>
      <c r="CO70" s="1" t="str">
        <f>IF($CF70=1,CB70,"")</f>
        <v/>
      </c>
      <c r="CP70" s="1" t="str">
        <f>IF($CF70=1,CC70,"")</f>
        <v/>
      </c>
      <c r="CQ70" s="1" t="str">
        <f>IF($CF70=1,CD70,"")</f>
        <v/>
      </c>
      <c r="CR70" s="1" t="str">
        <f>IF($CF70=1,CE70,"")</f>
        <v/>
      </c>
      <c r="CS70" s="18">
        <f>SUM(AE70:BO70)</f>
        <v>5</v>
      </c>
    </row>
    <row r="71" spans="1:97" x14ac:dyDescent="0.15">
      <c r="A71" s="1">
        <v>32</v>
      </c>
      <c r="B71" s="1" t="s">
        <v>87</v>
      </c>
      <c r="C71" s="1" t="s">
        <v>32</v>
      </c>
      <c r="D71" s="1" t="s">
        <v>24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>
        <v>5</v>
      </c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5</v>
      </c>
      <c r="BQ71" s="1">
        <v>5</v>
      </c>
      <c r="BR71" s="17">
        <v>1</v>
      </c>
      <c r="BS71" s="17" t="s">
        <v>231</v>
      </c>
      <c r="BT71" s="1" t="str">
        <f>IF(AQ71&gt;AQ$162, AQ71-AQ$162,"")</f>
        <v/>
      </c>
      <c r="BU71" s="1" t="str">
        <f>IF(AR71&gt;AR$162, AR71-AR$162,"")</f>
        <v/>
      </c>
      <c r="BV71" s="1" t="str">
        <f>IF(AS71&gt;AS$162, AS71-AS$162,"")</f>
        <v/>
      </c>
      <c r="BW71" s="1" t="str">
        <f>IF(AT71&gt;AT$162, AT71-AT$162,"")</f>
        <v/>
      </c>
      <c r="BX71" s="1" t="str">
        <f>IF(AU71&gt;AU$162, AU71-AU$162,"")</f>
        <v/>
      </c>
      <c r="BY71" s="1" t="str">
        <f>IF(AV71&gt;AV$162, AV71-AV$162,"")</f>
        <v/>
      </c>
      <c r="BZ71" s="1" t="str">
        <f>IF(AW71&gt;AW$162, AW71-AW$162,"")</f>
        <v/>
      </c>
      <c r="CA71" s="1" t="str">
        <f>IF(AX71&gt;AX$162, AX71-AX$162,"")</f>
        <v/>
      </c>
      <c r="CB71" s="1" t="str">
        <f>IF(AY71&gt;AY$162, AY71-AY$162,"")</f>
        <v/>
      </c>
      <c r="CC71" s="1" t="str">
        <f>IF(AZ71&gt;AZ$162, AZ71-AZ$162,"")</f>
        <v/>
      </c>
      <c r="CD71" s="1" t="str">
        <f>IF(BA71&gt;BA$162, BA71-BA$162,"")</f>
        <v/>
      </c>
      <c r="CE71" s="1" t="str">
        <f>IF(BB71&gt;BB$162, BB71-BB$162,"")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18">
        <f>SUM(AE71:BO71)</f>
        <v>5</v>
      </c>
    </row>
    <row r="72" spans="1:97" x14ac:dyDescent="0.15">
      <c r="A72" s="1">
        <v>33</v>
      </c>
      <c r="B72" s="1" t="s">
        <v>87</v>
      </c>
      <c r="C72" s="1" t="s">
        <v>32</v>
      </c>
      <c r="D72" s="1" t="s">
        <v>1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>
        <v>5</v>
      </c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5</v>
      </c>
      <c r="BQ72" s="1">
        <v>5</v>
      </c>
      <c r="BR72" s="17">
        <v>1</v>
      </c>
      <c r="BS72" s="17" t="s">
        <v>232</v>
      </c>
      <c r="BT72" s="1" t="str">
        <f>IF(AQ72&gt;AQ$162, AQ72-AQ$162,"")</f>
        <v/>
      </c>
      <c r="BU72" s="1" t="str">
        <f>IF(AR72&gt;AR$162, AR72-AR$162,"")</f>
        <v/>
      </c>
      <c r="BV72" s="1" t="str">
        <f>IF(AS72&gt;AS$162, AS72-AS$162,"")</f>
        <v/>
      </c>
      <c r="BW72" s="1" t="str">
        <f>IF(AT72&gt;AT$162, AT72-AT$162,"")</f>
        <v/>
      </c>
      <c r="BX72" s="1" t="str">
        <f>IF(AU72&gt;AU$162, AU72-AU$162,"")</f>
        <v/>
      </c>
      <c r="BY72" s="1" t="str">
        <f>IF(AV72&gt;AV$162, AV72-AV$162,"")</f>
        <v/>
      </c>
      <c r="BZ72" s="1" t="str">
        <f>IF(AW72&gt;AW$162, AW72-AW$162,"")</f>
        <v/>
      </c>
      <c r="CA72" s="1" t="str">
        <f>IF(AX72&gt;AX$162, AX72-AX$162,"")</f>
        <v/>
      </c>
      <c r="CB72" s="1" t="str">
        <f>IF(AY72&gt;AY$162, AY72-AY$162,"")</f>
        <v/>
      </c>
      <c r="CC72" s="1" t="str">
        <f>IF(AZ72&gt;AZ$162, AZ72-AZ$162,"")</f>
        <v/>
      </c>
      <c r="CD72" s="1" t="str">
        <f>IF(BA72&gt;BA$162, BA72-BA$162,"")</f>
        <v/>
      </c>
      <c r="CE72" s="1" t="str">
        <f>IF(BB72&gt;BB$162, BB72-BB$162,"")</f>
        <v/>
      </c>
      <c r="CF72" s="1">
        <f>COUNTIF(BT72:CE72, "&gt;0")</f>
        <v>0</v>
      </c>
      <c r="CG72" s="1" t="str">
        <f>IF($CF72=1,BT72,"")</f>
        <v/>
      </c>
      <c r="CH72" s="1" t="str">
        <f>IF($CF72=1,BU72,"")</f>
        <v/>
      </c>
      <c r="CI72" s="1" t="str">
        <f>IF($CF72=1,BV72,"")</f>
        <v/>
      </c>
      <c r="CJ72" s="1" t="str">
        <f>IF($CF72=1,BW72,"")</f>
        <v/>
      </c>
      <c r="CK72" s="1" t="str">
        <f>IF($CF72=1,BX72,"")</f>
        <v/>
      </c>
      <c r="CL72" s="1" t="str">
        <f>IF($CF72=1,BY72,"")</f>
        <v/>
      </c>
      <c r="CM72" s="1" t="str">
        <f>IF($CF72=1,BZ72,"")</f>
        <v/>
      </c>
      <c r="CN72" s="1" t="str">
        <f>IF($CF72=1,CA72,"")</f>
        <v/>
      </c>
      <c r="CO72" s="1" t="str">
        <f>IF($CF72=1,CB72,"")</f>
        <v/>
      </c>
      <c r="CP72" s="1" t="str">
        <f>IF($CF72=1,CC72,"")</f>
        <v/>
      </c>
      <c r="CQ72" s="1" t="str">
        <f>IF($CF72=1,CD72,"")</f>
        <v/>
      </c>
      <c r="CR72" s="1" t="str">
        <f>IF($CF72=1,CE72,"")</f>
        <v/>
      </c>
      <c r="CS72" s="18">
        <f>SUM(AE72:BO72)</f>
        <v>5</v>
      </c>
    </row>
    <row r="73" spans="1:97" x14ac:dyDescent="0.15">
      <c r="A73" s="1">
        <v>63</v>
      </c>
      <c r="B73" s="3" t="s">
        <v>68</v>
      </c>
      <c r="C73" s="1" t="s">
        <v>62</v>
      </c>
      <c r="D73" s="1" t="s">
        <v>24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>
        <v>5</v>
      </c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5</v>
      </c>
      <c r="BQ73" s="1">
        <v>5</v>
      </c>
      <c r="BR73" s="17">
        <v>1</v>
      </c>
      <c r="BS73" s="17" t="s">
        <v>233</v>
      </c>
      <c r="BT73" s="1" t="str">
        <f>IF(AQ73&gt;AQ$162, AQ73-AQ$162,"")</f>
        <v/>
      </c>
      <c r="BU73" s="1" t="str">
        <f>IF(AR73&gt;AR$162, AR73-AR$162,"")</f>
        <v/>
      </c>
      <c r="BV73" s="1" t="str">
        <f>IF(AS73&gt;AS$162, AS73-AS$162,"")</f>
        <v/>
      </c>
      <c r="BW73" s="1" t="str">
        <f>IF(AT73&gt;AT$162, AT73-AT$162,"")</f>
        <v/>
      </c>
      <c r="BX73" s="1" t="str">
        <f>IF(AU73&gt;AU$162, AU73-AU$162,"")</f>
        <v/>
      </c>
      <c r="BY73" s="1" t="str">
        <f>IF(AV73&gt;AV$162, AV73-AV$162,"")</f>
        <v/>
      </c>
      <c r="BZ73" s="1" t="str">
        <f>IF(AW73&gt;AW$162, AW73-AW$162,"")</f>
        <v/>
      </c>
      <c r="CA73" s="1" t="str">
        <f>IF(AX73&gt;AX$162, AX73-AX$162,"")</f>
        <v/>
      </c>
      <c r="CB73" s="1" t="str">
        <f>IF(AY73&gt;AY$162, AY73-AY$162,"")</f>
        <v/>
      </c>
      <c r="CC73" s="1" t="str">
        <f>IF(AZ73&gt;AZ$162, AZ73-AZ$162,"")</f>
        <v/>
      </c>
      <c r="CD73" s="1" t="str">
        <f>IF(BA73&gt;BA$162, BA73-BA$162,"")</f>
        <v/>
      </c>
      <c r="CE73" s="1" t="str">
        <f>IF(BB73&gt;BB$162, BB73-BB$162,"")</f>
        <v/>
      </c>
      <c r="CF73" s="1">
        <f>COUNTIF(BT73:CE73, "&gt;0")</f>
        <v>0</v>
      </c>
      <c r="CG73" s="1" t="str">
        <f>IF($CF73=1,BT73,"")</f>
        <v/>
      </c>
      <c r="CH73" s="1" t="str">
        <f>IF($CF73=1,BU73,"")</f>
        <v/>
      </c>
      <c r="CI73" s="1" t="str">
        <f>IF($CF73=1,BV73,"")</f>
        <v/>
      </c>
      <c r="CJ73" s="1" t="str">
        <f>IF($CF73=1,BW73,"")</f>
        <v/>
      </c>
      <c r="CK73" s="1" t="str">
        <f>IF($CF73=1,BX73,"")</f>
        <v/>
      </c>
      <c r="CL73" s="1" t="str">
        <f>IF($CF73=1,BY73,"")</f>
        <v/>
      </c>
      <c r="CM73" s="1" t="str">
        <f>IF($CF73=1,BZ73,"")</f>
        <v/>
      </c>
      <c r="CN73" s="1" t="str">
        <f>IF($CF73=1,CA73,"")</f>
        <v/>
      </c>
      <c r="CO73" s="1" t="str">
        <f>IF($CF73=1,CB73,"")</f>
        <v/>
      </c>
      <c r="CP73" s="1" t="str">
        <f>IF($CF73=1,CC73,"")</f>
        <v/>
      </c>
      <c r="CQ73" s="1" t="str">
        <f>IF($CF73=1,CD73,"")</f>
        <v/>
      </c>
      <c r="CR73" s="1" t="str">
        <f>IF($CF73=1,CE73,"")</f>
        <v/>
      </c>
      <c r="CS73" s="18">
        <f>SUM(AE73:BO73)</f>
        <v>5</v>
      </c>
    </row>
    <row r="74" spans="1:97" x14ac:dyDescent="0.15">
      <c r="A74" s="1">
        <v>90</v>
      </c>
      <c r="B74" s="3" t="s">
        <v>91</v>
      </c>
      <c r="C74" s="3" t="s">
        <v>90</v>
      </c>
      <c r="D74" s="1" t="s">
        <v>24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>
        <v>5</v>
      </c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5</v>
      </c>
      <c r="BQ74" s="1">
        <v>5</v>
      </c>
      <c r="BR74" s="17">
        <v>1</v>
      </c>
      <c r="BS74" s="17" t="s">
        <v>233</v>
      </c>
      <c r="BT74" s="1" t="str">
        <f>IF(AQ74&gt;AQ$162, AQ74-AQ$162,"")</f>
        <v/>
      </c>
      <c r="BU74" s="1" t="str">
        <f>IF(AR74&gt;AR$162, AR74-AR$162,"")</f>
        <v/>
      </c>
      <c r="BV74" s="1" t="str">
        <f>IF(AS74&gt;AS$162, AS74-AS$162,"")</f>
        <v/>
      </c>
      <c r="BW74" s="1" t="str">
        <f>IF(AT74&gt;AT$162, AT74-AT$162,"")</f>
        <v/>
      </c>
      <c r="BX74" s="1" t="str">
        <f>IF(AU74&gt;AU$162, AU74-AU$162,"")</f>
        <v/>
      </c>
      <c r="BY74" s="1" t="str">
        <f>IF(AV74&gt;AV$162, AV74-AV$162,"")</f>
        <v/>
      </c>
      <c r="BZ74" s="1" t="str">
        <f>IF(AW74&gt;AW$162, AW74-AW$162,"")</f>
        <v/>
      </c>
      <c r="CA74" s="1" t="str">
        <f>IF(AX74&gt;AX$162, AX74-AX$162,"")</f>
        <v/>
      </c>
      <c r="CB74" s="1" t="str">
        <f>IF(AY74&gt;AY$162, AY74-AY$162,"")</f>
        <v/>
      </c>
      <c r="CC74" s="1" t="str">
        <f>IF(AZ74&gt;AZ$162, AZ74-AZ$162,"")</f>
        <v/>
      </c>
      <c r="CD74" s="1" t="str">
        <f>IF(BA74&gt;BA$162, BA74-BA$162,"")</f>
        <v/>
      </c>
      <c r="CE74" s="1" t="str">
        <f>IF(BB74&gt;BB$162, BB74-BB$162,"")</f>
        <v/>
      </c>
      <c r="CF74" s="1">
        <f>COUNTIF(BT74:CE74, "&gt;0")</f>
        <v>0</v>
      </c>
      <c r="CG74" s="1" t="str">
        <f>IF($CF74=1,BT74,"")</f>
        <v/>
      </c>
      <c r="CH74" s="1" t="str">
        <f>IF($CF74=1,BU74,"")</f>
        <v/>
      </c>
      <c r="CI74" s="1" t="str">
        <f>IF($CF74=1,BV74,"")</f>
        <v/>
      </c>
      <c r="CJ74" s="1" t="str">
        <f>IF($CF74=1,BW74,"")</f>
        <v/>
      </c>
      <c r="CK74" s="1" t="str">
        <f>IF($CF74=1,BX74,"")</f>
        <v/>
      </c>
      <c r="CL74" s="1" t="str">
        <f>IF($CF74=1,BY74,"")</f>
        <v/>
      </c>
      <c r="CM74" s="1" t="str">
        <f>IF($CF74=1,BZ74,"")</f>
        <v/>
      </c>
      <c r="CN74" s="1" t="str">
        <f>IF($CF74=1,CA74,"")</f>
        <v/>
      </c>
      <c r="CO74" s="1" t="str">
        <f>IF($CF74=1,CB74,"")</f>
        <v/>
      </c>
      <c r="CP74" s="1" t="str">
        <f>IF($CF74=1,CC74,"")</f>
        <v/>
      </c>
      <c r="CQ74" s="1" t="str">
        <f>IF($CF74=1,CD74,"")</f>
        <v/>
      </c>
      <c r="CR74" s="1" t="str">
        <f>IF($CF74=1,CE74,"")</f>
        <v/>
      </c>
      <c r="CS74" s="18">
        <f>SUM(AE74:BO74)</f>
        <v>5</v>
      </c>
    </row>
    <row r="75" spans="1:97" x14ac:dyDescent="0.15">
      <c r="A75" s="1"/>
      <c r="B75" s="1" t="s">
        <v>141</v>
      </c>
      <c r="C75" s="1" t="s">
        <v>137</v>
      </c>
      <c r="D75" s="1" t="s">
        <v>131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>
        <v>5</v>
      </c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5</v>
      </c>
      <c r="BR75" s="17">
        <v>1</v>
      </c>
      <c r="BS75" s="17" t="s">
        <v>232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/>
      <c r="B76" s="1" t="s">
        <v>141</v>
      </c>
      <c r="C76" s="1" t="s">
        <v>137</v>
      </c>
      <c r="D76" s="1" t="s">
        <v>124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>
        <v>5</v>
      </c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5</v>
      </c>
      <c r="BR76" s="17">
        <v>1</v>
      </c>
      <c r="BS76" s="17" t="s">
        <v>231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/>
      <c r="B77" s="1" t="s">
        <v>154</v>
      </c>
      <c r="C77" s="1" t="s">
        <v>149</v>
      </c>
      <c r="D77" s="1" t="s">
        <v>124</v>
      </c>
      <c r="E77" s="6"/>
      <c r="F77" s="6"/>
      <c r="G77" s="6"/>
      <c r="H77" s="6">
        <v>10</v>
      </c>
      <c r="I77" s="6"/>
      <c r="J77" s="6">
        <v>10</v>
      </c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>
        <v>10</v>
      </c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v>7</v>
      </c>
      <c r="BR77" s="17">
        <v>1</v>
      </c>
      <c r="BS77" s="17" t="s">
        <v>220</v>
      </c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x14ac:dyDescent="0.15">
      <c r="A78" s="1"/>
      <c r="B78" s="1" t="s">
        <v>129</v>
      </c>
      <c r="C78" s="1" t="s">
        <v>126</v>
      </c>
      <c r="D78" s="1" t="s">
        <v>123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>
        <v>10</v>
      </c>
      <c r="AT78" s="4"/>
      <c r="AU78" s="4"/>
      <c r="AV78" s="4"/>
      <c r="AW78" s="2"/>
      <c r="AX78" s="2"/>
      <c r="AY78" s="2"/>
      <c r="AZ78" s="2"/>
      <c r="BA78" s="2"/>
      <c r="BB78" s="2">
        <v>10</v>
      </c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v>8</v>
      </c>
      <c r="BR78" s="17">
        <v>1</v>
      </c>
      <c r="BS78" s="17" t="s">
        <v>237</v>
      </c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x14ac:dyDescent="0.15">
      <c r="A79" s="1">
        <v>34</v>
      </c>
      <c r="B79" s="1" t="s">
        <v>48</v>
      </c>
      <c r="C79" s="1" t="s">
        <v>49</v>
      </c>
      <c r="D79" s="1" t="s">
        <v>25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15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>
        <v>15</v>
      </c>
      <c r="BC79" s="14"/>
      <c r="BD79" s="1"/>
      <c r="BE79" s="1"/>
      <c r="BF79" s="1"/>
      <c r="BG79" s="1"/>
      <c r="BH79" s="1">
        <v>15</v>
      </c>
      <c r="BI79" s="1">
        <v>15</v>
      </c>
      <c r="BJ79" s="1"/>
      <c r="BK79" s="1"/>
      <c r="BL79" s="1"/>
      <c r="BM79" s="1"/>
      <c r="BN79" s="1"/>
      <c r="BO79" s="1"/>
      <c r="BP79" s="1">
        <f>SUM(E79:BO79)</f>
        <v>60</v>
      </c>
      <c r="BQ79" s="1">
        <v>9</v>
      </c>
      <c r="BR79" s="17">
        <v>1</v>
      </c>
      <c r="BS79" s="17" t="s">
        <v>217</v>
      </c>
      <c r="BT79" s="1">
        <f>IF(AQ79&gt;AQ$162, AQ79-AQ$162,"")</f>
        <v>9</v>
      </c>
      <c r="BU79" s="1" t="str">
        <f>IF(AR79&gt;AR$162, AR79-AR$162,"")</f>
        <v/>
      </c>
      <c r="BV79" s="1" t="str">
        <f>IF(AS79&gt;AS$162, AS79-AS$162,"")</f>
        <v/>
      </c>
      <c r="BW79" s="1" t="str">
        <f>IF(AT79&gt;AT$162, AT79-AT$162,"")</f>
        <v/>
      </c>
      <c r="BX79" s="1" t="str">
        <f>IF(AU79&gt;AU$162, AU79-AU$162,"")</f>
        <v/>
      </c>
      <c r="BY79" s="1" t="str">
        <f>IF(AV79&gt;AV$162, AV79-AV$162,"")</f>
        <v/>
      </c>
      <c r="BZ79" s="1" t="str">
        <f>IF(AW79&gt;AW$162, AW79-AW$162,"")</f>
        <v/>
      </c>
      <c r="CA79" s="1" t="str">
        <f>IF(AX79&gt;AX$162, AX79-AX$162,"")</f>
        <v/>
      </c>
      <c r="CB79" s="1" t="str">
        <f>IF(AY79&gt;AY$162, AY79-AY$162,"")</f>
        <v/>
      </c>
      <c r="CC79" s="1" t="str">
        <f>IF(AZ79&gt;AZ$162, AZ79-AZ$162,"")</f>
        <v/>
      </c>
      <c r="CD79" s="1" t="str">
        <f>IF(BA79&gt;BA$162, BA79-BA$162,"")</f>
        <v/>
      </c>
      <c r="CE79" s="1" t="str">
        <f>IF(BB79&gt;BB$162, BB79-BB$162,"")</f>
        <v/>
      </c>
      <c r="CF79" s="1">
        <f>COUNTIF(BT79:CE79, "&gt;0")</f>
        <v>1</v>
      </c>
      <c r="CG79" s="1">
        <f>IF($CF79=1,BT79,"")</f>
        <v>9</v>
      </c>
      <c r="CH79" s="1" t="str">
        <f>IF($CF79=1,BU79,"")</f>
        <v/>
      </c>
      <c r="CI79" s="1" t="str">
        <f>IF($CF79=1,BV79,"")</f>
        <v/>
      </c>
      <c r="CJ79" s="1" t="str">
        <f>IF($CF79=1,BW79,"")</f>
        <v/>
      </c>
      <c r="CK79" s="1" t="str">
        <f>IF($CF79=1,BX79,"")</f>
        <v/>
      </c>
      <c r="CL79" s="1" t="str">
        <f>IF($CF79=1,BY79,"")</f>
        <v/>
      </c>
      <c r="CM79" s="1" t="str">
        <f>IF($CF79=1,BZ79,"")</f>
        <v/>
      </c>
      <c r="CN79" s="1" t="str">
        <f>IF($CF79=1,CA79,"")</f>
        <v/>
      </c>
      <c r="CO79" s="1" t="str">
        <f>IF($CF79=1,CB79,"")</f>
        <v/>
      </c>
      <c r="CP79" s="1" t="str">
        <f>IF($CF79=1,CC79,"")</f>
        <v/>
      </c>
      <c r="CQ79" s="1" t="str">
        <f>IF($CF79=1,CD79,"")</f>
        <v/>
      </c>
      <c r="CR79" s="1" t="str">
        <f>IF($CF79=1,CE79,"")</f>
        <v/>
      </c>
      <c r="CS79" s="18">
        <f>SUM(AE79:BO79)</f>
        <v>60</v>
      </c>
    </row>
    <row r="80" spans="1:97" x14ac:dyDescent="0.15">
      <c r="A80" s="1"/>
      <c r="B80" s="1" t="s">
        <v>142</v>
      </c>
      <c r="C80" s="1" t="s">
        <v>122</v>
      </c>
      <c r="D80" s="1" t="s">
        <v>123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15</v>
      </c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>
        <v>15</v>
      </c>
      <c r="BC80" s="14"/>
      <c r="BD80" s="1"/>
      <c r="BE80" s="1"/>
      <c r="BF80" s="1"/>
      <c r="BG80" s="1"/>
      <c r="BH80" s="1">
        <v>15</v>
      </c>
      <c r="BI80" s="1">
        <v>15</v>
      </c>
      <c r="BJ80" s="1"/>
      <c r="BK80" s="1"/>
      <c r="BL80" s="1"/>
      <c r="BM80" s="1"/>
      <c r="BN80" s="1"/>
      <c r="BO80" s="1"/>
      <c r="BP80" s="1"/>
      <c r="BQ80" s="1">
        <v>9</v>
      </c>
      <c r="BR80" s="17">
        <v>1</v>
      </c>
      <c r="BS80" s="17" t="s">
        <v>217</v>
      </c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x14ac:dyDescent="0.15">
      <c r="A81" s="1">
        <v>62</v>
      </c>
      <c r="B81" s="1" t="s">
        <v>119</v>
      </c>
      <c r="C81" s="1" t="s">
        <v>62</v>
      </c>
      <c r="D81" s="1" t="s">
        <v>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>
        <v>15</v>
      </c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15</v>
      </c>
      <c r="BQ81" s="1">
        <v>11</v>
      </c>
      <c r="BR81" s="17">
        <v>1</v>
      </c>
      <c r="BS81" s="17" t="s">
        <v>239</v>
      </c>
      <c r="BT81" s="1" t="str">
        <f>IF(AQ81&gt;AQ$162, AQ81-AQ$162,"")</f>
        <v/>
      </c>
      <c r="BU81" s="1" t="str">
        <f>IF(AR81&gt;AR$162, AR81-AR$162,"")</f>
        <v/>
      </c>
      <c r="BV81" s="1" t="str">
        <f>IF(AS81&gt;AS$162, AS81-AS$162,"")</f>
        <v/>
      </c>
      <c r="BW81" s="1" t="str">
        <f>IF(AT81&gt;AT$162, AT81-AT$162,"")</f>
        <v/>
      </c>
      <c r="BX81" s="1" t="str">
        <f>IF(AU81&gt;AU$162, AU81-AU$162,"")</f>
        <v/>
      </c>
      <c r="BY81" s="1" t="str">
        <f>IF(AV81&gt;AV$162, AV81-AV$162,"")</f>
        <v/>
      </c>
      <c r="BZ81" s="1" t="str">
        <f>IF(AW81&gt;AW$162, AW81-AW$162,"")</f>
        <v/>
      </c>
      <c r="CA81" s="1" t="str">
        <f>IF(AX81&gt;AX$162, AX81-AX$162,"")</f>
        <v/>
      </c>
      <c r="CB81" s="1" t="str">
        <f>IF(AY81&gt;AY$162, AY81-AY$162,"")</f>
        <v/>
      </c>
      <c r="CC81" s="1" t="str">
        <f>IF(AZ81&gt;AZ$162, AZ81-AZ$162,"")</f>
        <v/>
      </c>
      <c r="CD81" s="1" t="str">
        <f>IF(BA81&gt;BA$162, BA81-BA$162,"")</f>
        <v/>
      </c>
      <c r="CE81" s="1" t="str">
        <f>IF(BB81&gt;BB$162, BB81-BB$162,"")</f>
        <v/>
      </c>
      <c r="CF81" s="1">
        <f>COUNTIF(BT81:CE81, "&gt;0")</f>
        <v>0</v>
      </c>
      <c r="CG81" s="1" t="str">
        <f>IF($CF81=1,BT81,"")</f>
        <v/>
      </c>
      <c r="CH81" s="1" t="str">
        <f>IF($CF81=1,BU81,"")</f>
        <v/>
      </c>
      <c r="CI81" s="1" t="str">
        <f>IF($CF81=1,BV81,"")</f>
        <v/>
      </c>
      <c r="CJ81" s="1" t="str">
        <f>IF($CF81=1,BW81,"")</f>
        <v/>
      </c>
      <c r="CK81" s="1" t="str">
        <f>IF($CF81=1,BX81,"")</f>
        <v/>
      </c>
      <c r="CL81" s="1" t="str">
        <f>IF($CF81=1,BY81,"")</f>
        <v/>
      </c>
      <c r="CM81" s="1" t="str">
        <f>IF($CF81=1,BZ81,"")</f>
        <v/>
      </c>
      <c r="CN81" s="1" t="str">
        <f>IF($CF81=1,CA81,"")</f>
        <v/>
      </c>
      <c r="CO81" s="1" t="str">
        <f>IF($CF81=1,CB81,"")</f>
        <v/>
      </c>
      <c r="CP81" s="1" t="str">
        <f>IF($CF81=1,CC81,"")</f>
        <v/>
      </c>
      <c r="CQ81" s="1" t="str">
        <f>IF($CF81=1,CD81,"")</f>
        <v/>
      </c>
      <c r="CR81" s="1" t="str">
        <f>IF($CF81=1,CE81,"")</f>
        <v/>
      </c>
      <c r="CS81" s="18">
        <f>SUM(AE81:BO81)</f>
        <v>15</v>
      </c>
    </row>
    <row r="82" spans="1:97" x14ac:dyDescent="0.15">
      <c r="A82" s="1"/>
      <c r="B82" s="1" t="s">
        <v>205</v>
      </c>
      <c r="C82" s="1" t="s">
        <v>32</v>
      </c>
      <c r="D82" s="1" t="s">
        <v>207</v>
      </c>
      <c r="E82" s="6">
        <v>20</v>
      </c>
      <c r="F82" s="6"/>
      <c r="G82" s="6"/>
      <c r="H82" s="6"/>
      <c r="I82" s="6">
        <v>20</v>
      </c>
      <c r="J82" s="6">
        <v>20</v>
      </c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v>12</v>
      </c>
      <c r="BR82" s="17">
        <v>1</v>
      </c>
      <c r="BS82" s="17" t="s">
        <v>282</v>
      </c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x14ac:dyDescent="0.15">
      <c r="A83" s="1">
        <v>64</v>
      </c>
      <c r="B83" s="3" t="s">
        <v>68</v>
      </c>
      <c r="C83" s="1" t="s">
        <v>62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>
        <v>15</v>
      </c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15</v>
      </c>
      <c r="BQ83" s="1">
        <v>15</v>
      </c>
      <c r="BR83" s="17">
        <v>1</v>
      </c>
      <c r="BS83" s="17" t="s">
        <v>240</v>
      </c>
      <c r="BT83" s="1" t="str">
        <f>IF(AQ83&gt;AQ$162, AQ83-AQ$162,"")</f>
        <v/>
      </c>
      <c r="BU83" s="1" t="str">
        <f>IF(AR83&gt;AR$162, AR83-AR$162,"")</f>
        <v/>
      </c>
      <c r="BV83" s="1" t="str">
        <f>IF(AS83&gt;AS$162, AS83-AS$162,"")</f>
        <v/>
      </c>
      <c r="BW83" s="1" t="str">
        <f>IF(AT83&gt;AT$162, AT83-AT$162,"")</f>
        <v/>
      </c>
      <c r="BX83" s="1" t="str">
        <f>IF(AU83&gt;AU$162, AU83-AU$162,"")</f>
        <v/>
      </c>
      <c r="BY83" s="1" t="str">
        <f>IF(AV83&gt;AV$162, AV83-AV$162,"")</f>
        <v/>
      </c>
      <c r="BZ83" s="1" t="str">
        <f>IF(AW83&gt;AW$162, AW83-AW$162,"")</f>
        <v/>
      </c>
      <c r="CA83" s="1" t="str">
        <f>IF(AX83&gt;AX$162, AX83-AX$162,"")</f>
        <v/>
      </c>
      <c r="CB83" s="1" t="str">
        <f>IF(AY83&gt;AY$162, AY83-AY$162,"")</f>
        <v/>
      </c>
      <c r="CC83" s="1" t="str">
        <f>IF(AZ83&gt;AZ$162, AZ83-AZ$162,"")</f>
        <v/>
      </c>
      <c r="CD83" s="1" t="str">
        <f>IF(BA83&gt;BA$162, BA83-BA$162,"")</f>
        <v/>
      </c>
      <c r="CE83" s="1" t="str">
        <f>IF(BB83&gt;BB$162, BB83-BB$162,"")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18">
        <f>SUM(AE83:BO83)</f>
        <v>15</v>
      </c>
    </row>
    <row r="84" spans="1:97" x14ac:dyDescent="0.15">
      <c r="A84" s="19">
        <v>93</v>
      </c>
      <c r="B84" s="27" t="s">
        <v>92</v>
      </c>
      <c r="C84" s="27" t="s">
        <v>90</v>
      </c>
      <c r="D84" s="19" t="s">
        <v>1</v>
      </c>
      <c r="E84" s="20"/>
      <c r="F84" s="20">
        <v>20</v>
      </c>
      <c r="G84" s="20"/>
      <c r="H84" s="20"/>
      <c r="I84" s="20"/>
      <c r="J84" s="20"/>
      <c r="K84" s="20">
        <v>20</v>
      </c>
      <c r="L84" s="20"/>
      <c r="M84" s="20"/>
      <c r="N84" s="20">
        <v>20</v>
      </c>
      <c r="O84" s="20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1"/>
      <c r="AR84" s="21"/>
      <c r="AS84" s="21"/>
      <c r="AT84" s="21"/>
      <c r="AU84" s="21"/>
      <c r="AV84" s="21"/>
      <c r="AW84" s="22"/>
      <c r="AX84" s="22"/>
      <c r="AY84" s="22"/>
      <c r="AZ84" s="22"/>
      <c r="BA84" s="22"/>
      <c r="BB84" s="22"/>
      <c r="BC84" s="30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>
        <f>SUM(E84:BO84)</f>
        <v>60</v>
      </c>
      <c r="BQ84" s="19">
        <v>17</v>
      </c>
      <c r="BR84" s="23">
        <v>1</v>
      </c>
      <c r="BS84" s="23" t="s">
        <v>241</v>
      </c>
      <c r="BT84" s="19" t="str">
        <f>IF(AQ84&gt;AQ$162, AQ84-AQ$162,"")</f>
        <v/>
      </c>
      <c r="BU84" s="19" t="str">
        <f>IF(AR84&gt;AR$162, AR84-AR$162,"")</f>
        <v/>
      </c>
      <c r="BV84" s="19" t="str">
        <f>IF(AS84&gt;AS$162, AS84-AS$162,"")</f>
        <v/>
      </c>
      <c r="BW84" s="19" t="str">
        <f>IF(AT84&gt;AT$162, AT84-AT$162,"")</f>
        <v/>
      </c>
      <c r="BX84" s="19" t="str">
        <f>IF(AU84&gt;AU$162, AU84-AU$162,"")</f>
        <v/>
      </c>
      <c r="BY84" s="19" t="str">
        <f>IF(AV84&gt;AV$162, AV84-AV$162,"")</f>
        <v/>
      </c>
      <c r="BZ84" s="19" t="str">
        <f>IF(AW84&gt;AW$162, AW84-AW$162,"")</f>
        <v/>
      </c>
      <c r="CA84" s="19" t="str">
        <f>IF(AX84&gt;AX$162, AX84-AX$162,"")</f>
        <v/>
      </c>
      <c r="CB84" s="19" t="str">
        <f>IF(AY84&gt;AY$162, AY84-AY$162,"")</f>
        <v/>
      </c>
      <c r="CC84" s="19" t="str">
        <f>IF(AZ84&gt;AZ$162, AZ84-AZ$162,"")</f>
        <v/>
      </c>
      <c r="CD84" s="19" t="str">
        <f>IF(BA84&gt;BA$162, BA84-BA$162,"")</f>
        <v/>
      </c>
      <c r="CE84" s="19" t="str">
        <f>IF(BB84&gt;BB$162, BB84-BB$162,"")</f>
        <v/>
      </c>
      <c r="CF84" s="19">
        <f>COUNTIF(BT84:CE84, "&gt;0")</f>
        <v>0</v>
      </c>
      <c r="CG84" s="19" t="str">
        <f>IF($CF84=1,BT84,"")</f>
        <v/>
      </c>
      <c r="CH84" s="19" t="str">
        <f>IF($CF84=1,BU84,"")</f>
        <v/>
      </c>
      <c r="CI84" s="19" t="str">
        <f>IF($CF84=1,BV84,"")</f>
        <v/>
      </c>
      <c r="CJ84" s="19" t="str">
        <f>IF($CF84=1,BW84,"")</f>
        <v/>
      </c>
      <c r="CK84" s="19" t="str">
        <f>IF($CF84=1,BX84,"")</f>
        <v/>
      </c>
      <c r="CL84" s="19" t="str">
        <f>IF($CF84=1,BY84,"")</f>
        <v/>
      </c>
      <c r="CM84" s="19" t="str">
        <f>IF($CF84=1,BZ84,"")</f>
        <v/>
      </c>
      <c r="CN84" s="19" t="str">
        <f>IF($CF84=1,CA84,"")</f>
        <v/>
      </c>
      <c r="CO84" s="19" t="str">
        <f>IF($CF84=1,CB84,"")</f>
        <v/>
      </c>
      <c r="CP84" s="19" t="str">
        <f>IF($CF84=1,CC84,"")</f>
        <v/>
      </c>
      <c r="CQ84" s="19" t="str">
        <f>IF($CF84=1,CD84,"")</f>
        <v/>
      </c>
      <c r="CR84" s="19" t="str">
        <f>IF($CF84=1,CE84,"")</f>
        <v/>
      </c>
      <c r="CS84" s="24">
        <f>SUM(AE84:BO84)</f>
        <v>0</v>
      </c>
    </row>
    <row r="85" spans="1:97" x14ac:dyDescent="0.15">
      <c r="A85" s="1">
        <v>65</v>
      </c>
      <c r="B85" s="3" t="s">
        <v>68</v>
      </c>
      <c r="C85" s="1" t="s">
        <v>62</v>
      </c>
      <c r="D85" s="1" t="s">
        <v>13</v>
      </c>
      <c r="E85" s="6"/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>
        <v>25</v>
      </c>
      <c r="AO85" s="1"/>
      <c r="AP85" s="1"/>
      <c r="AQ85" s="4"/>
      <c r="AR85" s="4"/>
      <c r="AS85" s="4"/>
      <c r="AT85" s="4"/>
      <c r="AU85" s="4"/>
      <c r="AV85" s="4">
        <v>10</v>
      </c>
      <c r="AW85" s="2"/>
      <c r="AX85" s="2"/>
      <c r="AY85" s="2"/>
      <c r="AZ85" s="2">
        <v>10</v>
      </c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55</v>
      </c>
      <c r="BQ85" s="1">
        <v>25</v>
      </c>
      <c r="BR85" s="17">
        <v>1</v>
      </c>
      <c r="BS85" s="17" t="s">
        <v>242</v>
      </c>
      <c r="BT85" s="1" t="str">
        <f>IF(AQ85&gt;AQ$162, AQ85-AQ$162,"")</f>
        <v/>
      </c>
      <c r="BU85" s="1" t="str">
        <f>IF(AR85&gt;AR$162, AR85-AR$162,"")</f>
        <v/>
      </c>
      <c r="BV85" s="1" t="str">
        <f>IF(AS85&gt;AS$162, AS85-AS$162,"")</f>
        <v/>
      </c>
      <c r="BW85" s="1" t="str">
        <f>IF(AT85&gt;AT$162, AT85-AT$162,"")</f>
        <v/>
      </c>
      <c r="BX85" s="1" t="str">
        <f>IF(AU85&gt;AU$162, AU85-AU$162,"")</f>
        <v/>
      </c>
      <c r="BY85" s="1" t="str">
        <f>IF(AV85&gt;AV$162, AV85-AV$162,"")</f>
        <v/>
      </c>
      <c r="BZ85" s="1" t="str">
        <f>IF(AW85&gt;AW$162, AW85-AW$162,"")</f>
        <v/>
      </c>
      <c r="CA85" s="1" t="str">
        <f>IF(AX85&gt;AX$162, AX85-AX$162,"")</f>
        <v/>
      </c>
      <c r="CB85" s="1" t="str">
        <f>IF(AY85&gt;AY$162, AY85-AY$162,"")</f>
        <v/>
      </c>
      <c r="CC85" s="1" t="str">
        <f>IF(AZ85&gt;AZ$162, AZ85-AZ$162,"")</f>
        <v/>
      </c>
      <c r="CD85" s="1" t="str">
        <f>IF(BA85&gt;BA$162, BA85-BA$162,"")</f>
        <v/>
      </c>
      <c r="CE85" s="1" t="str">
        <f>IF(BB85&gt;BB$162, BB85-BB$162,"")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18">
        <f>SUM(AE85:BO85)</f>
        <v>45</v>
      </c>
    </row>
    <row r="86" spans="1:97" x14ac:dyDescent="0.15">
      <c r="A86" s="1">
        <v>98</v>
      </c>
      <c r="B86" s="3" t="s">
        <v>79</v>
      </c>
      <c r="C86" s="3" t="s">
        <v>78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>
        <v>50</v>
      </c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50</v>
      </c>
      <c r="BQ86" s="1">
        <v>38</v>
      </c>
      <c r="BR86" s="17">
        <v>1</v>
      </c>
      <c r="BS86" s="17" t="s">
        <v>243</v>
      </c>
      <c r="BT86" s="1" t="str">
        <f>IF(AQ86&gt;AQ$162, AQ86-AQ$162,"")</f>
        <v/>
      </c>
      <c r="BU86" s="1" t="str">
        <f>IF(AR86&gt;AR$162, AR86-AR$162,"")</f>
        <v/>
      </c>
      <c r="BV86" s="1" t="str">
        <f>IF(AS86&gt;AS$162, AS86-AS$162,"")</f>
        <v/>
      </c>
      <c r="BW86" s="1" t="str">
        <f>IF(AT86&gt;AT$162, AT86-AT$162,"")</f>
        <v/>
      </c>
      <c r="BX86" s="1" t="str">
        <f>IF(AU86&gt;AU$162, AU86-AU$162,"")</f>
        <v/>
      </c>
      <c r="BY86" s="1" t="str">
        <f>IF(AV86&gt;AV$162, AV86-AV$162,"")</f>
        <v/>
      </c>
      <c r="BZ86" s="1" t="str">
        <f>IF(AW86&gt;AW$162, AW86-AW$162,"")</f>
        <v/>
      </c>
      <c r="CA86" s="1" t="str">
        <f>IF(AX86&gt;AX$162, AX86-AX$162,"")</f>
        <v/>
      </c>
      <c r="CB86" s="1" t="str">
        <f>IF(AY86&gt;AY$162, AY86-AY$162,"")</f>
        <v/>
      </c>
      <c r="CC86" s="1" t="str">
        <f>IF(AZ86&gt;AZ$162, AZ86-AZ$162,"")</f>
        <v/>
      </c>
      <c r="CD86" s="1" t="str">
        <f>IF(BA86&gt;BA$162, BA86-BA$162,"")</f>
        <v/>
      </c>
      <c r="CE86" s="1" t="str">
        <f>IF(BB86&gt;BB$162, BB86-BB$162,"")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18">
        <f>SUM(AE86:BO86)</f>
        <v>50</v>
      </c>
    </row>
    <row r="87" spans="1:97" x14ac:dyDescent="0.15">
      <c r="A87" s="1">
        <v>99</v>
      </c>
      <c r="B87" s="3" t="s">
        <v>79</v>
      </c>
      <c r="C87" s="3" t="s">
        <v>78</v>
      </c>
      <c r="D87" s="1" t="s">
        <v>13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>
        <v>200</v>
      </c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200</v>
      </c>
      <c r="BQ87" s="1">
        <v>188</v>
      </c>
      <c r="BR87" s="17">
        <v>1</v>
      </c>
      <c r="BS87" s="17" t="s">
        <v>244</v>
      </c>
      <c r="BT87" s="1" t="str">
        <f>IF(AQ87&gt;AQ$162, AQ87-AQ$162,"")</f>
        <v/>
      </c>
      <c r="BU87" s="1" t="str">
        <f>IF(AR87&gt;AR$162, AR87-AR$162,"")</f>
        <v/>
      </c>
      <c r="BV87" s="1" t="str">
        <f>IF(AS87&gt;AS$162, AS87-AS$162,"")</f>
        <v/>
      </c>
      <c r="BW87" s="1" t="str">
        <f>IF(AT87&gt;AT$162, AT87-AT$162,"")</f>
        <v/>
      </c>
      <c r="BX87" s="1" t="str">
        <f>IF(AU87&gt;AU$162, AU87-AU$162,"")</f>
        <v/>
      </c>
      <c r="BY87" s="1" t="str">
        <f>IF(AV87&gt;AV$162, AV87-AV$162,"")</f>
        <v/>
      </c>
      <c r="BZ87" s="1" t="str">
        <f>IF(AW87&gt;AW$162, AW87-AW$162,"")</f>
        <v/>
      </c>
      <c r="CA87" s="1" t="str">
        <f>IF(AX87&gt;AX$162, AX87-AX$162,"")</f>
        <v/>
      </c>
      <c r="CB87" s="1" t="str">
        <f>IF(AY87&gt;AY$162, AY87-AY$162,"")</f>
        <v/>
      </c>
      <c r="CC87" s="1" t="str">
        <f>IF(AZ87&gt;AZ$162, AZ87-AZ$162,"")</f>
        <v/>
      </c>
      <c r="CD87" s="1" t="str">
        <f>IF(BA87&gt;BA$162, BA87-BA$162,"")</f>
        <v/>
      </c>
      <c r="CE87" s="1" t="str">
        <f>IF(BB87&gt;BB$162, BB87-BB$162,"")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18">
        <f>SUM(AE87:BO87)</f>
        <v>200</v>
      </c>
    </row>
    <row r="88" spans="1:97" ht="27" x14ac:dyDescent="0.15">
      <c r="A88" s="1"/>
      <c r="B88" s="1" t="s">
        <v>121</v>
      </c>
      <c r="C88" s="1" t="s">
        <v>122</v>
      </c>
      <c r="D88" s="1" t="s">
        <v>124</v>
      </c>
      <c r="E88" s="6">
        <v>10</v>
      </c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>
        <v>15</v>
      </c>
      <c r="AU88" s="4"/>
      <c r="AV88" s="4"/>
      <c r="AW88" s="2"/>
      <c r="AX88" s="2"/>
      <c r="AY88" s="2"/>
      <c r="AZ88" s="2">
        <v>15</v>
      </c>
      <c r="BA88" s="2">
        <v>15</v>
      </c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214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184</v>
      </c>
      <c r="C89" s="1" t="s">
        <v>185</v>
      </c>
      <c r="D89" s="1" t="s">
        <v>163</v>
      </c>
      <c r="E89" s="6"/>
      <c r="F89" s="6"/>
      <c r="G89" s="6"/>
      <c r="H89" s="6"/>
      <c r="I89" s="6"/>
      <c r="J89" s="6">
        <v>10</v>
      </c>
      <c r="K89" s="6"/>
      <c r="L89" s="6">
        <v>10</v>
      </c>
      <c r="M89" s="6">
        <v>10</v>
      </c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>
        <v>15</v>
      </c>
      <c r="AZ89" s="2">
        <v>15</v>
      </c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222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160</v>
      </c>
      <c r="C90" s="1" t="s">
        <v>161</v>
      </c>
      <c r="D90" s="1" t="s">
        <v>163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>
        <v>10</v>
      </c>
      <c r="W90" s="32"/>
      <c r="X90" s="32"/>
      <c r="Y90" s="32">
        <v>10</v>
      </c>
      <c r="Z90" s="32"/>
      <c r="AA90" s="32"/>
      <c r="AB90" s="32">
        <v>10</v>
      </c>
      <c r="AC90" s="32">
        <v>5</v>
      </c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246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173</v>
      </c>
      <c r="C91" s="1" t="s">
        <v>161</v>
      </c>
      <c r="D91" s="1" t="s">
        <v>162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>
        <v>10</v>
      </c>
      <c r="Q91" s="32"/>
      <c r="R91" s="32"/>
      <c r="S91" s="32">
        <v>10</v>
      </c>
      <c r="T91" s="32"/>
      <c r="U91" s="32"/>
      <c r="V91" s="32"/>
      <c r="W91" s="32">
        <v>5</v>
      </c>
      <c r="X91" s="32"/>
      <c r="Y91" s="32"/>
      <c r="Z91" s="32"/>
      <c r="AA91" s="32"/>
      <c r="AB91" s="32">
        <v>10</v>
      </c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247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178</v>
      </c>
      <c r="C92" s="1" t="s">
        <v>161</v>
      </c>
      <c r="D92" s="1" t="s">
        <v>162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>
        <v>10</v>
      </c>
      <c r="Q92" s="32"/>
      <c r="R92" s="32"/>
      <c r="S92" s="32">
        <v>10</v>
      </c>
      <c r="T92" s="32"/>
      <c r="U92" s="32"/>
      <c r="V92" s="32"/>
      <c r="W92" s="32">
        <v>5</v>
      </c>
      <c r="X92" s="32"/>
      <c r="Y92" s="32"/>
      <c r="Z92" s="32"/>
      <c r="AA92" s="32"/>
      <c r="AB92" s="32">
        <v>10</v>
      </c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247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182</v>
      </c>
      <c r="C93" s="1" t="s">
        <v>180</v>
      </c>
      <c r="D93" s="1" t="s">
        <v>162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>
        <v>10</v>
      </c>
      <c r="Q93" s="32"/>
      <c r="R93" s="32"/>
      <c r="S93" s="32">
        <v>10</v>
      </c>
      <c r="T93" s="32"/>
      <c r="U93" s="32"/>
      <c r="V93" s="32"/>
      <c r="W93" s="32">
        <v>5</v>
      </c>
      <c r="X93" s="32"/>
      <c r="Y93" s="32"/>
      <c r="Z93" s="32"/>
      <c r="AA93" s="32"/>
      <c r="AB93" s="32">
        <v>10</v>
      </c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247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188</v>
      </c>
      <c r="C94" s="1" t="s">
        <v>185</v>
      </c>
      <c r="D94" s="1" t="s">
        <v>162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>
        <v>10</v>
      </c>
      <c r="Q94" s="32"/>
      <c r="R94" s="32"/>
      <c r="S94" s="32">
        <v>10</v>
      </c>
      <c r="T94" s="32"/>
      <c r="U94" s="32"/>
      <c r="V94" s="32"/>
      <c r="W94" s="32">
        <v>5</v>
      </c>
      <c r="X94" s="32"/>
      <c r="Y94" s="32"/>
      <c r="Z94" s="32"/>
      <c r="AA94" s="32"/>
      <c r="AB94" s="32">
        <v>10</v>
      </c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5</v>
      </c>
      <c r="BR94" s="17">
        <v>2</v>
      </c>
      <c r="BS94" s="17" t="s">
        <v>247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/>
      <c r="B95" s="1" t="s">
        <v>189</v>
      </c>
      <c r="C95" s="1" t="s">
        <v>191</v>
      </c>
      <c r="D95" s="1" t="s">
        <v>163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>
        <v>10</v>
      </c>
      <c r="W95" s="32"/>
      <c r="X95" s="32"/>
      <c r="Y95" s="32">
        <v>10</v>
      </c>
      <c r="Z95" s="32"/>
      <c r="AA95" s="32"/>
      <c r="AB95" s="32">
        <v>10</v>
      </c>
      <c r="AC95" s="32">
        <v>5</v>
      </c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5</v>
      </c>
      <c r="BR95" s="17">
        <v>2</v>
      </c>
      <c r="BS95" s="17" t="s">
        <v>246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27" x14ac:dyDescent="0.15">
      <c r="A96" s="1"/>
      <c r="B96" s="1" t="s">
        <v>197</v>
      </c>
      <c r="C96" s="1" t="s">
        <v>196</v>
      </c>
      <c r="D96" s="1" t="s">
        <v>162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>
        <v>10</v>
      </c>
      <c r="Q96" s="32"/>
      <c r="R96" s="32"/>
      <c r="S96" s="32">
        <v>10</v>
      </c>
      <c r="T96" s="32"/>
      <c r="U96" s="32"/>
      <c r="V96" s="32"/>
      <c r="W96" s="32">
        <v>5</v>
      </c>
      <c r="X96" s="32"/>
      <c r="Y96" s="32"/>
      <c r="Z96" s="32"/>
      <c r="AA96" s="32"/>
      <c r="AB96" s="32">
        <v>10</v>
      </c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5</v>
      </c>
      <c r="BR96" s="17">
        <v>2</v>
      </c>
      <c r="BS96" s="17" t="s">
        <v>247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201</v>
      </c>
      <c r="C97" s="1" t="s">
        <v>196</v>
      </c>
      <c r="D97" s="1" t="s">
        <v>163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>
        <v>10</v>
      </c>
      <c r="W97" s="32"/>
      <c r="X97" s="32"/>
      <c r="Y97" s="32">
        <v>10</v>
      </c>
      <c r="Z97" s="32"/>
      <c r="AA97" s="32"/>
      <c r="AB97" s="32">
        <v>10</v>
      </c>
      <c r="AC97" s="32">
        <v>5</v>
      </c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5</v>
      </c>
      <c r="BR97" s="17">
        <v>2</v>
      </c>
      <c r="BS97" s="17" t="s">
        <v>246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203</v>
      </c>
      <c r="C98" s="1" t="s">
        <v>196</v>
      </c>
      <c r="D98" s="1" t="s">
        <v>163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>
        <v>10</v>
      </c>
      <c r="W98" s="32"/>
      <c r="X98" s="32"/>
      <c r="Y98" s="32">
        <v>10</v>
      </c>
      <c r="Z98" s="32"/>
      <c r="AA98" s="32"/>
      <c r="AB98" s="32">
        <v>10</v>
      </c>
      <c r="AC98" s="32">
        <v>5</v>
      </c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5</v>
      </c>
      <c r="BR98" s="17">
        <v>2</v>
      </c>
      <c r="BS98" s="17" t="s">
        <v>246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205</v>
      </c>
      <c r="C99" s="1" t="s">
        <v>32</v>
      </c>
      <c r="D99" s="1" t="s">
        <v>206</v>
      </c>
      <c r="E99" s="6"/>
      <c r="F99" s="6"/>
      <c r="G99" s="6"/>
      <c r="H99" s="6"/>
      <c r="I99" s="6"/>
      <c r="J99" s="6"/>
      <c r="K99" s="6"/>
      <c r="L99" s="6">
        <v>10</v>
      </c>
      <c r="M99" s="6">
        <v>10</v>
      </c>
      <c r="N99" s="6"/>
      <c r="O99" s="6">
        <v>10</v>
      </c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5</v>
      </c>
      <c r="BR99" s="17">
        <v>2</v>
      </c>
      <c r="BS99" s="17" t="s">
        <v>281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/>
      <c r="B100" s="1" t="s">
        <v>135</v>
      </c>
      <c r="C100" s="1" t="s">
        <v>126</v>
      </c>
      <c r="D100" s="1" t="s">
        <v>123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v>6</v>
      </c>
      <c r="BR100" s="17">
        <v>2</v>
      </c>
      <c r="BS100" s="17" t="s">
        <v>248</v>
      </c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27" x14ac:dyDescent="0.15">
      <c r="A101" s="1">
        <v>77</v>
      </c>
      <c r="B101" s="3" t="s">
        <v>116</v>
      </c>
      <c r="C101" s="3" t="s">
        <v>71</v>
      </c>
      <c r="D101" s="1" t="s">
        <v>13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20</v>
      </c>
      <c r="AU101" s="4"/>
      <c r="AV101" s="4"/>
      <c r="AW101" s="2">
        <v>20</v>
      </c>
      <c r="AX101" s="2">
        <v>20</v>
      </c>
      <c r="AY101" s="2"/>
      <c r="AZ101" s="2"/>
      <c r="BA101" s="2"/>
      <c r="BB101" s="2">
        <v>10</v>
      </c>
      <c r="BC101" s="14"/>
      <c r="BD101" s="1"/>
      <c r="BE101" s="1"/>
      <c r="BF101" s="1"/>
      <c r="BG101" s="1"/>
      <c r="BH101" s="1">
        <v>20</v>
      </c>
      <c r="BI101" s="1"/>
      <c r="BJ101" s="1"/>
      <c r="BK101" s="1"/>
      <c r="BL101" s="1"/>
      <c r="BM101" s="1"/>
      <c r="BN101" s="1"/>
      <c r="BO101" s="1"/>
      <c r="BP101" s="1">
        <f>SUM(E101:BO101)</f>
        <v>90</v>
      </c>
      <c r="BQ101" s="1">
        <v>6</v>
      </c>
      <c r="BR101" s="17">
        <v>2</v>
      </c>
      <c r="BS101" s="17" t="s">
        <v>249</v>
      </c>
      <c r="BT101" s="1" t="str">
        <f>IF(AQ101&gt;AQ$162, AQ101-AQ$162,"")</f>
        <v/>
      </c>
      <c r="BU101" s="1" t="str">
        <f>IF(AR101&gt;AR$162, AR101-AR$162,"")</f>
        <v/>
      </c>
      <c r="BV101" s="1" t="str">
        <f>IF(AS101&gt;AS$162, AS101-AS$162,"")</f>
        <v/>
      </c>
      <c r="BW101" s="1">
        <f>IF(AT101&gt;AT$162, AT101-AT$162,"")</f>
        <v>5</v>
      </c>
      <c r="BX101" s="1" t="str">
        <f>IF(AU101&gt;AU$162, AU101-AU$162,"")</f>
        <v/>
      </c>
      <c r="BY101" s="1" t="str">
        <f>IF(AV101&gt;AV$162, AV101-AV$162,"")</f>
        <v/>
      </c>
      <c r="BZ101" s="1">
        <f>IF(AW101&gt;AW$162, AW101-AW$162,"")</f>
        <v>1</v>
      </c>
      <c r="CA101" s="1" t="str">
        <f>IF(AX101&gt;AX$162, AX101-AX$162,"")</f>
        <v/>
      </c>
      <c r="CB101" s="1" t="str">
        <f>IF(AY101&gt;AY$162, AY101-AY$162,"")</f>
        <v/>
      </c>
      <c r="CC101" s="1" t="str">
        <f>IF(AZ101&gt;AZ$162, AZ101-AZ$162,"")</f>
        <v/>
      </c>
      <c r="CD101" s="1" t="str">
        <f>IF(BA101&gt;BA$162, BA101-BA$162,"")</f>
        <v/>
      </c>
      <c r="CE101" s="1" t="str">
        <f>IF(BB101&gt;BB$162, BB101-BB$162,"")</f>
        <v/>
      </c>
      <c r="CF101" s="1">
        <f>COUNTIF(BT101:CE101, "&gt;0")</f>
        <v>2</v>
      </c>
      <c r="CG101" s="1" t="str">
        <f>IF($CF101=1,BT101,"")</f>
        <v/>
      </c>
      <c r="CH101" s="1" t="str">
        <f>IF($CF101=1,BU101,"")</f>
        <v/>
      </c>
      <c r="CI101" s="1" t="str">
        <f>IF($CF101=1,BV101,"")</f>
        <v/>
      </c>
      <c r="CJ101" s="1" t="str">
        <f>IF($CF101=1,BW101,"")</f>
        <v/>
      </c>
      <c r="CK101" s="1" t="str">
        <f>IF($CF101=1,BX101,"")</f>
        <v/>
      </c>
      <c r="CL101" s="1" t="str">
        <f>IF($CF101=1,BY101,"")</f>
        <v/>
      </c>
      <c r="CM101" s="1" t="str">
        <f>IF($CF101=1,BZ101,"")</f>
        <v/>
      </c>
      <c r="CN101" s="1" t="str">
        <f>IF($CF101=1,CA101,"")</f>
        <v/>
      </c>
      <c r="CO101" s="1" t="str">
        <f>IF($CF101=1,CB101,"")</f>
        <v/>
      </c>
      <c r="CP101" s="1" t="str">
        <f>IF($CF101=1,CC101,"")</f>
        <v/>
      </c>
      <c r="CQ101" s="1" t="str">
        <f>IF($CF101=1,CD101,"")</f>
        <v/>
      </c>
      <c r="CR101" s="1" t="str">
        <f>IF($CF101=1,CE101,"")</f>
        <v/>
      </c>
      <c r="CS101" s="18">
        <f>SUM(AE101:BO101)</f>
        <v>90</v>
      </c>
    </row>
    <row r="102" spans="1:97" ht="27" x14ac:dyDescent="0.15">
      <c r="A102" s="1"/>
      <c r="B102" s="1" t="s">
        <v>179</v>
      </c>
      <c r="C102" s="1" t="s">
        <v>180</v>
      </c>
      <c r="D102" s="1" t="s">
        <v>163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32"/>
      <c r="Q102" s="32">
        <v>5</v>
      </c>
      <c r="R102" s="32"/>
      <c r="S102" s="32"/>
      <c r="T102" s="32"/>
      <c r="U102" s="32"/>
      <c r="V102" s="32">
        <v>10</v>
      </c>
      <c r="W102" s="32"/>
      <c r="X102" s="32"/>
      <c r="Y102" s="32">
        <v>10</v>
      </c>
      <c r="Z102" s="32"/>
      <c r="AA102" s="32"/>
      <c r="AB102" s="32">
        <v>10</v>
      </c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v>6</v>
      </c>
      <c r="BR102" s="17">
        <v>2</v>
      </c>
      <c r="BS102" s="17" t="s">
        <v>250</v>
      </c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27" x14ac:dyDescent="0.15">
      <c r="A103" s="1"/>
      <c r="B103" s="1" t="s">
        <v>187</v>
      </c>
      <c r="C103" s="1" t="s">
        <v>185</v>
      </c>
      <c r="D103" s="1" t="s">
        <v>163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/>
      <c r="Q103" s="32">
        <v>5</v>
      </c>
      <c r="R103" s="32"/>
      <c r="S103" s="32"/>
      <c r="T103" s="32"/>
      <c r="U103" s="32"/>
      <c r="V103" s="32">
        <v>10</v>
      </c>
      <c r="W103" s="32"/>
      <c r="X103" s="32"/>
      <c r="Y103" s="32">
        <v>10</v>
      </c>
      <c r="Z103" s="32"/>
      <c r="AA103" s="32"/>
      <c r="AB103" s="32">
        <v>10</v>
      </c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6</v>
      </c>
      <c r="BR103" s="17">
        <v>2</v>
      </c>
      <c r="BS103" s="17" t="s">
        <v>250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190</v>
      </c>
      <c r="C104" s="1" t="s">
        <v>191</v>
      </c>
      <c r="D104" s="1" t="s">
        <v>162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>
        <v>10</v>
      </c>
      <c r="Q104" s="32"/>
      <c r="R104" s="32"/>
      <c r="S104" s="32">
        <v>10</v>
      </c>
      <c r="T104" s="32"/>
      <c r="U104" s="32"/>
      <c r="V104" s="32"/>
      <c r="W104" s="32"/>
      <c r="X104" s="32"/>
      <c r="Y104" s="32"/>
      <c r="Z104" s="32">
        <v>5</v>
      </c>
      <c r="AA104" s="32"/>
      <c r="AB104" s="32">
        <v>10</v>
      </c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6</v>
      </c>
      <c r="BR104" s="17">
        <v>2</v>
      </c>
      <c r="BS104" s="17" t="s">
        <v>251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144</v>
      </c>
      <c r="C105" s="1" t="s">
        <v>122</v>
      </c>
      <c r="D105" s="1" t="s">
        <v>124</v>
      </c>
      <c r="E105" s="6"/>
      <c r="F105" s="6"/>
      <c r="G105" s="6"/>
      <c r="H105" s="6">
        <v>6</v>
      </c>
      <c r="I105" s="6"/>
      <c r="J105" s="6"/>
      <c r="K105" s="6">
        <v>6</v>
      </c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>
        <v>10</v>
      </c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7</v>
      </c>
      <c r="BR105" s="17">
        <v>2</v>
      </c>
      <c r="BS105" s="17" t="s">
        <v>216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>
        <v>39</v>
      </c>
      <c r="B106" s="1" t="s">
        <v>53</v>
      </c>
      <c r="C106" s="1" t="s">
        <v>49</v>
      </c>
      <c r="D106" s="1" t="s">
        <v>26</v>
      </c>
      <c r="E106" s="6"/>
      <c r="F106" s="6">
        <v>6</v>
      </c>
      <c r="G106" s="6"/>
      <c r="H106" s="6"/>
      <c r="I106" s="6"/>
      <c r="J106" s="6"/>
      <c r="K106" s="6"/>
      <c r="L106" s="6">
        <v>6</v>
      </c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>
        <v>10</v>
      </c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32</v>
      </c>
      <c r="BQ106" s="1">
        <v>7</v>
      </c>
      <c r="BR106" s="17">
        <v>2</v>
      </c>
      <c r="BS106" s="17" t="s">
        <v>225</v>
      </c>
      <c r="BT106" s="1">
        <f>IF(AQ106&gt;AQ$162, AQ106-AQ$162,"")</f>
        <v>4</v>
      </c>
      <c r="BU106" s="1" t="str">
        <f>IF(AR106&gt;AR$162, AR106-AR$162,"")</f>
        <v/>
      </c>
      <c r="BV106" s="1" t="str">
        <f>IF(AS106&gt;AS$162, AS106-AS$162,"")</f>
        <v/>
      </c>
      <c r="BW106" s="1" t="str">
        <f>IF(AT106&gt;AT$162, AT106-AT$162,"")</f>
        <v/>
      </c>
      <c r="BX106" s="1" t="str">
        <f>IF(AU106&gt;AU$162, AU106-AU$162,"")</f>
        <v/>
      </c>
      <c r="BY106" s="1" t="str">
        <f>IF(AV106&gt;AV$162, AV106-AV$162,"")</f>
        <v/>
      </c>
      <c r="BZ106" s="1" t="str">
        <f>IF(AW106&gt;AW$162, AW106-AW$162,"")</f>
        <v/>
      </c>
      <c r="CA106" s="1" t="str">
        <f>IF(AX106&gt;AX$162, AX106-AX$162,"")</f>
        <v/>
      </c>
      <c r="CB106" s="1" t="str">
        <f>IF(AY106&gt;AY$162, AY106-AY$162,"")</f>
        <v/>
      </c>
      <c r="CC106" s="1" t="str">
        <f>IF(AZ106&gt;AZ$162, AZ106-AZ$162,"")</f>
        <v/>
      </c>
      <c r="CD106" s="1" t="str">
        <f>IF(BA106&gt;BA$162, BA106-BA$162,"")</f>
        <v/>
      </c>
      <c r="CE106" s="1" t="str">
        <f>IF(BB106&gt;BB$162, BB106-BB$162,"")</f>
        <v/>
      </c>
      <c r="CF106" s="1">
        <f>COUNTIF(BT106:CE106, "&gt;0")</f>
        <v>1</v>
      </c>
      <c r="CG106" s="1">
        <f>IF($CF106=1,BT106,"")</f>
        <v>4</v>
      </c>
      <c r="CH106" s="1" t="str">
        <f>IF($CF106=1,BU106,"")</f>
        <v/>
      </c>
      <c r="CI106" s="1" t="str">
        <f>IF($CF106=1,BV106,"")</f>
        <v/>
      </c>
      <c r="CJ106" s="1" t="str">
        <f>IF($CF106=1,BW106,"")</f>
        <v/>
      </c>
      <c r="CK106" s="1" t="str">
        <f>IF($CF106=1,BX106,"")</f>
        <v/>
      </c>
      <c r="CL106" s="1" t="str">
        <f>IF($CF106=1,BY106,"")</f>
        <v/>
      </c>
      <c r="CM106" s="1" t="str">
        <f>IF($CF106=1,BZ106,"")</f>
        <v/>
      </c>
      <c r="CN106" s="1" t="str">
        <f>IF($CF106=1,CA106,"")</f>
        <v/>
      </c>
      <c r="CO106" s="1" t="str">
        <f>IF($CF106=1,CB106,"")</f>
        <v/>
      </c>
      <c r="CP106" s="1" t="str">
        <f>IF($CF106=1,CC106,"")</f>
        <v/>
      </c>
      <c r="CQ106" s="1" t="str">
        <f>IF($CF106=1,CD106,"")</f>
        <v/>
      </c>
      <c r="CR106" s="1" t="str">
        <f>IF($CF106=1,CE106,"")</f>
        <v/>
      </c>
      <c r="CS106" s="18">
        <f>SUM(AE106:BO106)</f>
        <v>20</v>
      </c>
    </row>
    <row r="107" spans="1:97" ht="27" x14ac:dyDescent="0.15">
      <c r="A107" s="1">
        <v>20</v>
      </c>
      <c r="B107" s="1" t="s">
        <v>38</v>
      </c>
      <c r="C107" s="1" t="s">
        <v>32</v>
      </c>
      <c r="D107" s="1" t="s">
        <v>25</v>
      </c>
      <c r="E107" s="6"/>
      <c r="F107" s="6">
        <v>5</v>
      </c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>
        <v>5</v>
      </c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10</v>
      </c>
      <c r="BQ107" s="1">
        <v>7</v>
      </c>
      <c r="BR107" s="17">
        <v>2</v>
      </c>
      <c r="BS107" s="17" t="s">
        <v>252</v>
      </c>
      <c r="BT107" s="1" t="str">
        <f>IF(AQ107&gt;AQ$162, AQ107-AQ$162,"")</f>
        <v/>
      </c>
      <c r="BU107" s="1" t="str">
        <f>IF(AR107&gt;AR$162, AR107-AR$162,"")</f>
        <v/>
      </c>
      <c r="BV107" s="1" t="str">
        <f>IF(AS107&gt;AS$162, AS107-AS$162,"")</f>
        <v/>
      </c>
      <c r="BW107" s="1" t="str">
        <f>IF(AT107&gt;AT$162, AT107-AT$162,"")</f>
        <v/>
      </c>
      <c r="BX107" s="1" t="str">
        <f>IF(AU107&gt;AU$162, AU107-AU$162,"")</f>
        <v/>
      </c>
      <c r="BY107" s="1" t="str">
        <f>IF(AV107&gt;AV$162, AV107-AV$162,"")</f>
        <v/>
      </c>
      <c r="BZ107" s="1" t="str">
        <f>IF(AW107&gt;AW$162, AW107-AW$162,"")</f>
        <v/>
      </c>
      <c r="CA107" s="1" t="str">
        <f>IF(AX107&gt;AX$162, AX107-AX$162,"")</f>
        <v/>
      </c>
      <c r="CB107" s="1" t="str">
        <f>IF(AY107&gt;AY$162, AY107-AY$162,"")</f>
        <v/>
      </c>
      <c r="CC107" s="1" t="str">
        <f>IF(AZ107&gt;AZ$162, AZ107-AZ$162,"")</f>
        <v/>
      </c>
      <c r="CD107" s="1" t="str">
        <f>IF(BA107&gt;BA$162, BA107-BA$162,"")</f>
        <v/>
      </c>
      <c r="CE107" s="1" t="str">
        <f>IF(BB107&gt;BB$162, BB107-BB$162,"")</f>
        <v/>
      </c>
      <c r="CF107" s="1">
        <f>COUNTIF(BT107:CE107, "&gt;0")</f>
        <v>0</v>
      </c>
      <c r="CG107" s="1" t="str">
        <f>IF($CF107=1,BT107,"")</f>
        <v/>
      </c>
      <c r="CH107" s="1" t="str">
        <f>IF($CF107=1,BU107,"")</f>
        <v/>
      </c>
      <c r="CI107" s="1" t="str">
        <f>IF($CF107=1,BV107,"")</f>
        <v/>
      </c>
      <c r="CJ107" s="1" t="str">
        <f>IF($CF107=1,BW107,"")</f>
        <v/>
      </c>
      <c r="CK107" s="1" t="str">
        <f>IF($CF107=1,BX107,"")</f>
        <v/>
      </c>
      <c r="CL107" s="1" t="str">
        <f>IF($CF107=1,BY107,"")</f>
        <v/>
      </c>
      <c r="CM107" s="1" t="str">
        <f>IF($CF107=1,BZ107,"")</f>
        <v/>
      </c>
      <c r="CN107" s="1" t="str">
        <f>IF($CF107=1,CA107,"")</f>
        <v/>
      </c>
      <c r="CO107" s="1" t="str">
        <f>IF($CF107=1,CB107,"")</f>
        <v/>
      </c>
      <c r="CP107" s="1" t="str">
        <f>IF($CF107=1,CC107,"")</f>
        <v/>
      </c>
      <c r="CQ107" s="1" t="str">
        <f>IF($CF107=1,CD107,"")</f>
        <v/>
      </c>
      <c r="CR107" s="1" t="str">
        <f>IF($CF107=1,CE107,"")</f>
        <v/>
      </c>
      <c r="CS107" s="18">
        <f>SUM(AE107:BO107)</f>
        <v>5</v>
      </c>
    </row>
    <row r="108" spans="1:97" ht="27" x14ac:dyDescent="0.15">
      <c r="A108" s="1">
        <v>101</v>
      </c>
      <c r="B108" s="3" t="s">
        <v>112</v>
      </c>
      <c r="C108" s="3" t="s">
        <v>78</v>
      </c>
      <c r="D108" s="1" t="s">
        <v>13</v>
      </c>
      <c r="E108" s="6"/>
      <c r="F108" s="6"/>
      <c r="G108" s="6"/>
      <c r="H108" s="6">
        <v>6</v>
      </c>
      <c r="I108" s="6">
        <v>6</v>
      </c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>
        <v>8</v>
      </c>
      <c r="AV108" s="4"/>
      <c r="AW108" s="2">
        <v>8</v>
      </c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28</v>
      </c>
      <c r="BQ108" s="1">
        <v>8</v>
      </c>
      <c r="BR108" s="17">
        <v>2</v>
      </c>
      <c r="BS108" s="17" t="s">
        <v>210</v>
      </c>
      <c r="BT108" s="1" t="str">
        <f>IF(AQ108&gt;AQ$162, AQ108-AQ$162,"")</f>
        <v/>
      </c>
      <c r="BU108" s="1" t="str">
        <f>IF(AR108&gt;AR$162, AR108-AR$162,"")</f>
        <v/>
      </c>
      <c r="BV108" s="1" t="str">
        <f>IF(AS108&gt;AS$162, AS108-AS$162,"")</f>
        <v/>
      </c>
      <c r="BW108" s="1" t="str">
        <f>IF(AT108&gt;AT$162, AT108-AT$162,"")</f>
        <v/>
      </c>
      <c r="BX108" s="1">
        <f>IF(AU108&gt;AU$162, AU108-AU$162,"")</f>
        <v>5</v>
      </c>
      <c r="BY108" s="1" t="str">
        <f>IF(AV108&gt;AV$162, AV108-AV$162,"")</f>
        <v/>
      </c>
      <c r="BZ108" s="1" t="str">
        <f>IF(AW108&gt;AW$162, AW108-AW$162,"")</f>
        <v/>
      </c>
      <c r="CA108" s="1" t="str">
        <f>IF(AX108&gt;AX$162, AX108-AX$162,"")</f>
        <v/>
      </c>
      <c r="CB108" s="1" t="str">
        <f>IF(AY108&gt;AY$162, AY108-AY$162,"")</f>
        <v/>
      </c>
      <c r="CC108" s="1" t="str">
        <f>IF(AZ108&gt;AZ$162, AZ108-AZ$162,"")</f>
        <v/>
      </c>
      <c r="CD108" s="1" t="str">
        <f>IF(BA108&gt;BA$162, BA108-BA$162,"")</f>
        <v/>
      </c>
      <c r="CE108" s="1" t="str">
        <f>IF(BB108&gt;BB$162, BB108-BB$162,"")</f>
        <v/>
      </c>
      <c r="CF108" s="1">
        <f>COUNTIF(BT108:CE108, "&gt;0")</f>
        <v>1</v>
      </c>
      <c r="CG108" s="1" t="str">
        <f>IF($CF108=1,BT108,"")</f>
        <v/>
      </c>
      <c r="CH108" s="1" t="str">
        <f>IF($CF108=1,BU108,"")</f>
        <v/>
      </c>
      <c r="CI108" s="1" t="str">
        <f>IF($CF108=1,BV108,"")</f>
        <v/>
      </c>
      <c r="CJ108" s="1" t="str">
        <f>IF($CF108=1,BW108,"")</f>
        <v/>
      </c>
      <c r="CK108" s="1">
        <f>IF($CF108=1,BX108,"")</f>
        <v>5</v>
      </c>
      <c r="CL108" s="1" t="str">
        <f>IF($CF108=1,BY108,"")</f>
        <v/>
      </c>
      <c r="CM108" s="1" t="str">
        <f>IF($CF108=1,BZ108,"")</f>
        <v/>
      </c>
      <c r="CN108" s="1" t="str">
        <f>IF($CF108=1,CA108,"")</f>
        <v/>
      </c>
      <c r="CO108" s="1" t="str">
        <f>IF($CF108=1,CB108,"")</f>
        <v/>
      </c>
      <c r="CP108" s="1" t="str">
        <f>IF($CF108=1,CC108,"")</f>
        <v/>
      </c>
      <c r="CQ108" s="1" t="str">
        <f>IF($CF108=1,CD108,"")</f>
        <v/>
      </c>
      <c r="CR108" s="1" t="str">
        <f>IF($CF108=1,CE108,"")</f>
        <v/>
      </c>
      <c r="CS108" s="18">
        <f>SUM(AE108:BO108)</f>
        <v>16</v>
      </c>
    </row>
    <row r="109" spans="1:97" ht="27" x14ac:dyDescent="0.15">
      <c r="A109" s="1"/>
      <c r="B109" s="1" t="s">
        <v>130</v>
      </c>
      <c r="C109" s="1" t="s">
        <v>126</v>
      </c>
      <c r="D109" s="1" t="s">
        <v>131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>
        <v>3</v>
      </c>
      <c r="AP109" s="1">
        <v>5</v>
      </c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8</v>
      </c>
      <c r="BR109" s="17">
        <v>2</v>
      </c>
      <c r="BS109" s="17" t="s">
        <v>253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173</v>
      </c>
      <c r="C110" s="1" t="s">
        <v>161</v>
      </c>
      <c r="D110" s="1" t="s">
        <v>163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>
        <v>5</v>
      </c>
      <c r="R110" s="32">
        <v>2</v>
      </c>
      <c r="S110" s="32"/>
      <c r="T110" s="32">
        <v>5</v>
      </c>
      <c r="U110" s="32"/>
      <c r="V110" s="32"/>
      <c r="W110" s="32"/>
      <c r="X110" s="32"/>
      <c r="Y110" s="32"/>
      <c r="Z110" s="32">
        <v>5</v>
      </c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8</v>
      </c>
      <c r="BR110" s="17">
        <v>2</v>
      </c>
      <c r="BS110" s="17" t="s">
        <v>254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178</v>
      </c>
      <c r="C111" s="1" t="s">
        <v>161</v>
      </c>
      <c r="D111" s="1" t="s">
        <v>163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>
        <v>5</v>
      </c>
      <c r="R111" s="32">
        <v>2</v>
      </c>
      <c r="S111" s="32"/>
      <c r="T111" s="32">
        <v>5</v>
      </c>
      <c r="U111" s="32"/>
      <c r="V111" s="32"/>
      <c r="W111" s="32"/>
      <c r="X111" s="32"/>
      <c r="Y111" s="32"/>
      <c r="Z111" s="32">
        <v>5</v>
      </c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8</v>
      </c>
      <c r="BR111" s="17">
        <v>2</v>
      </c>
      <c r="BS111" s="17" t="s">
        <v>254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188</v>
      </c>
      <c r="C112" s="1" t="s">
        <v>185</v>
      </c>
      <c r="D112" s="1" t="s">
        <v>163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>
        <v>5</v>
      </c>
      <c r="R112" s="32">
        <v>2</v>
      </c>
      <c r="S112" s="32"/>
      <c r="T112" s="32">
        <v>5</v>
      </c>
      <c r="U112" s="32"/>
      <c r="V112" s="32"/>
      <c r="W112" s="32"/>
      <c r="X112" s="32"/>
      <c r="Y112" s="32"/>
      <c r="Z112" s="32">
        <v>5</v>
      </c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8</v>
      </c>
      <c r="BR112" s="17">
        <v>2</v>
      </c>
      <c r="BS112" s="17" t="s">
        <v>254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190</v>
      </c>
      <c r="C113" s="1" t="s">
        <v>191</v>
      </c>
      <c r="D113" s="1" t="s">
        <v>163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>
        <v>5</v>
      </c>
      <c r="R113" s="32"/>
      <c r="S113" s="32"/>
      <c r="T113" s="32">
        <v>5</v>
      </c>
      <c r="U113" s="32"/>
      <c r="V113" s="32"/>
      <c r="W113" s="32"/>
      <c r="X113" s="32">
        <v>2</v>
      </c>
      <c r="Y113" s="32"/>
      <c r="Z113" s="32">
        <v>5</v>
      </c>
      <c r="AA113" s="32"/>
      <c r="AB113" s="32"/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8</v>
      </c>
      <c r="BR113" s="17">
        <v>2</v>
      </c>
      <c r="BS113" s="17" t="s">
        <v>254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>
        <v>1</v>
      </c>
      <c r="B114" s="1" t="s">
        <v>0</v>
      </c>
      <c r="C114" s="1" t="s">
        <v>2</v>
      </c>
      <c r="D114" s="1" t="s">
        <v>1</v>
      </c>
      <c r="E114" s="6">
        <v>10</v>
      </c>
      <c r="F114" s="6">
        <v>10</v>
      </c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>
        <v>10</v>
      </c>
      <c r="AS114" s="4"/>
      <c r="AT114" s="4"/>
      <c r="AU114" s="4"/>
      <c r="AV114" s="4"/>
      <c r="AW114" s="2">
        <v>15</v>
      </c>
      <c r="AX114" s="2">
        <v>15</v>
      </c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9</v>
      </c>
      <c r="BR114" s="17">
        <v>2</v>
      </c>
      <c r="BS114" s="17" t="s">
        <v>235</v>
      </c>
      <c r="BT114" s="1" t="str">
        <f>IF(AQ114&gt;AQ$162, AQ114-AQ$162,"")</f>
        <v/>
      </c>
      <c r="BU114" s="1" t="str">
        <f>IF(AR114&gt;AR$162, AR114-AR$162,"")</f>
        <v/>
      </c>
      <c r="BV114" s="1" t="str">
        <f>IF(AS114&gt;AS$162, AS114-AS$162,"")</f>
        <v/>
      </c>
      <c r="BW114" s="1" t="str">
        <f>IF(AT114&gt;AT$162, AT114-AT$162,"")</f>
        <v/>
      </c>
      <c r="BX114" s="1" t="str">
        <f>IF(AU114&gt;AU$162, AU114-AU$162,"")</f>
        <v/>
      </c>
      <c r="BY114" s="1" t="str">
        <f>IF(AV114&gt;AV$162, AV114-AV$162,"")</f>
        <v/>
      </c>
      <c r="BZ114" s="1" t="str">
        <f>IF(AW114&gt;AW$162, AW114-AW$162,"")</f>
        <v/>
      </c>
      <c r="CA114" s="1" t="str">
        <f>IF(AX114&gt;AX$162, AX114-AX$162,"")</f>
        <v/>
      </c>
      <c r="CB114" s="1" t="str">
        <f>IF(AY114&gt;AY$162, AY114-AY$162,"")</f>
        <v/>
      </c>
      <c r="CC114" s="1" t="str">
        <f>IF(AZ114&gt;AZ$162, AZ114-AZ$162,"")</f>
        <v/>
      </c>
      <c r="CD114" s="1" t="str">
        <f>IF(BA114&gt;BA$162, BA114-BA$162,"")</f>
        <v/>
      </c>
      <c r="CE114" s="1" t="str">
        <f>IF(BB114&gt;BB$162, BB114-BB$162,"")</f>
        <v/>
      </c>
      <c r="CF114" s="1">
        <f>COUNTIF(BT114:CE114, "&gt;0")</f>
        <v>0</v>
      </c>
      <c r="CG114" s="1" t="str">
        <f>IF($CF114=1,BT114,"")</f>
        <v/>
      </c>
      <c r="CH114" s="1" t="str">
        <f>IF($CF114=1,BU114,"")</f>
        <v/>
      </c>
      <c r="CI114" s="1" t="str">
        <f>IF($CF114=1,BV114,"")</f>
        <v/>
      </c>
      <c r="CJ114" s="1" t="str">
        <f>IF($CF114=1,BW114,"")</f>
        <v/>
      </c>
      <c r="CK114" s="1" t="str">
        <f>IF($CF114=1,BX114,"")</f>
        <v/>
      </c>
      <c r="CL114" s="1" t="str">
        <f>IF($CF114=1,BY114,"")</f>
        <v/>
      </c>
      <c r="CM114" s="1" t="str">
        <f>IF($CF114=1,BZ114,"")</f>
        <v/>
      </c>
      <c r="CN114" s="1" t="str">
        <f>IF($CF114=1,CA114,"")</f>
        <v/>
      </c>
      <c r="CO114" s="1" t="str">
        <f>IF($CF114=1,CB114,"")</f>
        <v/>
      </c>
      <c r="CP114" s="1" t="str">
        <f>IF($CF114=1,CC114,"")</f>
        <v/>
      </c>
      <c r="CQ114" s="1" t="str">
        <f>IF($CF114=1,CD114,"")</f>
        <v/>
      </c>
      <c r="CR114" s="1" t="str">
        <f>IF($CF114=1,CE114,"")</f>
        <v/>
      </c>
      <c r="CS114" s="18">
        <f>SUM(AE114:BO114)</f>
        <v>40</v>
      </c>
    </row>
    <row r="115" spans="1:97" ht="27" x14ac:dyDescent="0.15">
      <c r="A115" s="1">
        <v>95</v>
      </c>
      <c r="B115" s="3" t="s">
        <v>95</v>
      </c>
      <c r="C115" s="3" t="s">
        <v>78</v>
      </c>
      <c r="D115" s="1" t="s">
        <v>1</v>
      </c>
      <c r="E115" s="6"/>
      <c r="F115" s="6"/>
      <c r="G115" s="6"/>
      <c r="H115" s="6"/>
      <c r="I115" s="6"/>
      <c r="J115" s="6"/>
      <c r="K115" s="6"/>
      <c r="L115" s="6">
        <v>15</v>
      </c>
      <c r="M115" s="6"/>
      <c r="N115" s="6"/>
      <c r="O115" s="6">
        <v>15</v>
      </c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>
        <v>15</v>
      </c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60</v>
      </c>
      <c r="BQ115" s="1">
        <v>10</v>
      </c>
      <c r="BR115" s="17">
        <v>2</v>
      </c>
      <c r="BS115" s="17" t="s">
        <v>213</v>
      </c>
      <c r="BT115" s="1" t="str">
        <f>IF(AQ115&gt;AQ$162, AQ115-AQ$162,"")</f>
        <v/>
      </c>
      <c r="BU115" s="1" t="str">
        <f>IF(AR115&gt;AR$162, AR115-AR$162,"")</f>
        <v/>
      </c>
      <c r="BV115" s="1" t="str">
        <f>IF(AS115&gt;AS$162, AS115-AS$162,"")</f>
        <v/>
      </c>
      <c r="BW115" s="1" t="str">
        <f>IF(AT115&gt;AT$162, AT115-AT$162,"")</f>
        <v/>
      </c>
      <c r="BX115" s="1" t="str">
        <f>IF(AU115&gt;AU$162, AU115-AU$162,"")</f>
        <v/>
      </c>
      <c r="BY115" s="1" t="str">
        <f>IF(AV115&gt;AV$162, AV115-AV$162,"")</f>
        <v/>
      </c>
      <c r="BZ115" s="1" t="str">
        <f>IF(AW115&gt;AW$162, AW115-AW$162,"")</f>
        <v/>
      </c>
      <c r="CA115" s="1" t="str">
        <f>IF(AX115&gt;AX$162, AX115-AX$162,"")</f>
        <v/>
      </c>
      <c r="CB115" s="1" t="str">
        <f>IF(AY115&gt;AY$162, AY115-AY$162,"")</f>
        <v/>
      </c>
      <c r="CC115" s="1" t="str">
        <f>IF(AZ115&gt;AZ$162, AZ115-AZ$162,"")</f>
        <v/>
      </c>
      <c r="CD115" s="1">
        <f>IF(BA115&gt;BA$162, BA115-BA$162,"")</f>
        <v>3</v>
      </c>
      <c r="CE115" s="1" t="str">
        <f>IF(BB115&gt;BB$162, BB115-BB$162,"")</f>
        <v/>
      </c>
      <c r="CF115" s="1">
        <f>COUNTIF(BT115:CE115, "&gt;0")</f>
        <v>1</v>
      </c>
      <c r="CG115" s="1" t="str">
        <f>IF($CF115=1,BT115,"")</f>
        <v/>
      </c>
      <c r="CH115" s="1" t="str">
        <f>IF($CF115=1,BU115,"")</f>
        <v/>
      </c>
      <c r="CI115" s="1" t="str">
        <f>IF($CF115=1,BV115,"")</f>
        <v/>
      </c>
      <c r="CJ115" s="1" t="str">
        <f>IF($CF115=1,BW115,"")</f>
        <v/>
      </c>
      <c r="CK115" s="1" t="str">
        <f>IF($CF115=1,BX115,"")</f>
        <v/>
      </c>
      <c r="CL115" s="1" t="str">
        <f>IF($CF115=1,BY115,"")</f>
        <v/>
      </c>
      <c r="CM115" s="1" t="str">
        <f>IF($CF115=1,BZ115,"")</f>
        <v/>
      </c>
      <c r="CN115" s="1" t="str">
        <f>IF($CF115=1,CA115,"")</f>
        <v/>
      </c>
      <c r="CO115" s="1" t="str">
        <f>IF($CF115=1,CB115,"")</f>
        <v/>
      </c>
      <c r="CP115" s="1" t="str">
        <f>IF($CF115=1,CC115,"")</f>
        <v/>
      </c>
      <c r="CQ115" s="1">
        <f>IF($CF115=1,CD115,"")</f>
        <v>3</v>
      </c>
      <c r="CR115" s="1" t="str">
        <f>IF($CF115=1,CE115,"")</f>
        <v/>
      </c>
      <c r="CS115" s="18">
        <f>SUM(AE115:BO115)</f>
        <v>30</v>
      </c>
    </row>
    <row r="116" spans="1:97" ht="27" x14ac:dyDescent="0.15">
      <c r="A116" s="1">
        <v>27</v>
      </c>
      <c r="B116" s="1" t="s">
        <v>84</v>
      </c>
      <c r="C116" s="1" t="s">
        <v>32</v>
      </c>
      <c r="D116" s="1" t="s">
        <v>24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>
        <v>5</v>
      </c>
      <c r="AI116" s="1">
        <v>5</v>
      </c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10</v>
      </c>
      <c r="BQ116" s="1">
        <v>10</v>
      </c>
      <c r="BR116" s="17">
        <v>2</v>
      </c>
      <c r="BS116" s="17" t="s">
        <v>255</v>
      </c>
      <c r="BT116" s="1" t="str">
        <f>IF(AQ116&gt;AQ$162, AQ116-AQ$162,"")</f>
        <v/>
      </c>
      <c r="BU116" s="1" t="str">
        <f>IF(AR116&gt;AR$162, AR116-AR$162,"")</f>
        <v/>
      </c>
      <c r="BV116" s="1" t="str">
        <f>IF(AS116&gt;AS$162, AS116-AS$162,"")</f>
        <v/>
      </c>
      <c r="BW116" s="1" t="str">
        <f>IF(AT116&gt;AT$162, AT116-AT$162,"")</f>
        <v/>
      </c>
      <c r="BX116" s="1" t="str">
        <f>IF(AU116&gt;AU$162, AU116-AU$162,"")</f>
        <v/>
      </c>
      <c r="BY116" s="1" t="str">
        <f>IF(AV116&gt;AV$162, AV116-AV$162,"")</f>
        <v/>
      </c>
      <c r="BZ116" s="1" t="str">
        <f>IF(AW116&gt;AW$162, AW116-AW$162,"")</f>
        <v/>
      </c>
      <c r="CA116" s="1" t="str">
        <f>IF(AX116&gt;AX$162, AX116-AX$162,"")</f>
        <v/>
      </c>
      <c r="CB116" s="1" t="str">
        <f>IF(AY116&gt;AY$162, AY116-AY$162,"")</f>
        <v/>
      </c>
      <c r="CC116" s="1" t="str">
        <f>IF(AZ116&gt;AZ$162, AZ116-AZ$162,"")</f>
        <v/>
      </c>
      <c r="CD116" s="1" t="str">
        <f>IF(BA116&gt;BA$162, BA116-BA$162,"")</f>
        <v/>
      </c>
      <c r="CE116" s="1" t="str">
        <f>IF(BB116&gt;BB$162, BB116-BB$162,"")</f>
        <v/>
      </c>
      <c r="CF116" s="1">
        <f>COUNTIF(BT116:CE116, "&gt;0")</f>
        <v>0</v>
      </c>
      <c r="CG116" s="1" t="str">
        <f>IF($CF116=1,BT116,"")</f>
        <v/>
      </c>
      <c r="CH116" s="1" t="str">
        <f>IF($CF116=1,BU116,"")</f>
        <v/>
      </c>
      <c r="CI116" s="1" t="str">
        <f>IF($CF116=1,BV116,"")</f>
        <v/>
      </c>
      <c r="CJ116" s="1" t="str">
        <f>IF($CF116=1,BW116,"")</f>
        <v/>
      </c>
      <c r="CK116" s="1" t="str">
        <f>IF($CF116=1,BX116,"")</f>
        <v/>
      </c>
      <c r="CL116" s="1" t="str">
        <f>IF($CF116=1,BY116,"")</f>
        <v/>
      </c>
      <c r="CM116" s="1" t="str">
        <f>IF($CF116=1,BZ116,"")</f>
        <v/>
      </c>
      <c r="CN116" s="1" t="str">
        <f>IF($CF116=1,CA116,"")</f>
        <v/>
      </c>
      <c r="CO116" s="1" t="str">
        <f>IF($CF116=1,CB116,"")</f>
        <v/>
      </c>
      <c r="CP116" s="1" t="str">
        <f>IF($CF116=1,CC116,"")</f>
        <v/>
      </c>
      <c r="CQ116" s="1" t="str">
        <f>IF($CF116=1,CD116,"")</f>
        <v/>
      </c>
      <c r="CR116" s="1" t="str">
        <f>IF($CF116=1,CE116,"")</f>
        <v/>
      </c>
      <c r="CS116" s="18">
        <f>SUM(AE116:BO116)</f>
        <v>10</v>
      </c>
    </row>
    <row r="117" spans="1:97" ht="27" x14ac:dyDescent="0.15">
      <c r="A117" s="1">
        <v>88</v>
      </c>
      <c r="B117" s="3" t="s">
        <v>89</v>
      </c>
      <c r="C117" s="3" t="s">
        <v>90</v>
      </c>
      <c r="D117" s="1" t="s">
        <v>24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>
        <v>5</v>
      </c>
      <c r="AI117" s="1">
        <v>5</v>
      </c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10</v>
      </c>
      <c r="BQ117" s="1">
        <v>10</v>
      </c>
      <c r="BR117" s="17">
        <v>2</v>
      </c>
      <c r="BS117" s="17" t="s">
        <v>255</v>
      </c>
      <c r="BT117" s="1" t="str">
        <f>IF(AQ117&gt;AQ$162, AQ117-AQ$162,"")</f>
        <v/>
      </c>
      <c r="BU117" s="1" t="str">
        <f>IF(AR117&gt;AR$162, AR117-AR$162,"")</f>
        <v/>
      </c>
      <c r="BV117" s="1" t="str">
        <f>IF(AS117&gt;AS$162, AS117-AS$162,"")</f>
        <v/>
      </c>
      <c r="BW117" s="1" t="str">
        <f>IF(AT117&gt;AT$162, AT117-AT$162,"")</f>
        <v/>
      </c>
      <c r="BX117" s="1" t="str">
        <f>IF(AU117&gt;AU$162, AU117-AU$162,"")</f>
        <v/>
      </c>
      <c r="BY117" s="1" t="str">
        <f>IF(AV117&gt;AV$162, AV117-AV$162,"")</f>
        <v/>
      </c>
      <c r="BZ117" s="1" t="str">
        <f>IF(AW117&gt;AW$162, AW117-AW$162,"")</f>
        <v/>
      </c>
      <c r="CA117" s="1" t="str">
        <f>IF(AX117&gt;AX$162, AX117-AX$162,"")</f>
        <v/>
      </c>
      <c r="CB117" s="1" t="str">
        <f>IF(AY117&gt;AY$162, AY117-AY$162,"")</f>
        <v/>
      </c>
      <c r="CC117" s="1" t="str">
        <f>IF(AZ117&gt;AZ$162, AZ117-AZ$162,"")</f>
        <v/>
      </c>
      <c r="CD117" s="1" t="str">
        <f>IF(BA117&gt;BA$162, BA117-BA$162,"")</f>
        <v/>
      </c>
      <c r="CE117" s="1" t="str">
        <f>IF(BB117&gt;BB$162, BB117-BB$162,"")</f>
        <v/>
      </c>
      <c r="CF117" s="1">
        <f>COUNTIF(BT117:CE117, "&gt;0")</f>
        <v>0</v>
      </c>
      <c r="CG117" s="1" t="str">
        <f>IF($CF117=1,BT117,"")</f>
        <v/>
      </c>
      <c r="CH117" s="1" t="str">
        <f>IF($CF117=1,BU117,"")</f>
        <v/>
      </c>
      <c r="CI117" s="1" t="str">
        <f>IF($CF117=1,BV117,"")</f>
        <v/>
      </c>
      <c r="CJ117" s="1" t="str">
        <f>IF($CF117=1,BW117,"")</f>
        <v/>
      </c>
      <c r="CK117" s="1" t="str">
        <f>IF($CF117=1,BX117,"")</f>
        <v/>
      </c>
      <c r="CL117" s="1" t="str">
        <f>IF($CF117=1,BY117,"")</f>
        <v/>
      </c>
      <c r="CM117" s="1" t="str">
        <f>IF($CF117=1,BZ117,"")</f>
        <v/>
      </c>
      <c r="CN117" s="1" t="str">
        <f>IF($CF117=1,CA117,"")</f>
        <v/>
      </c>
      <c r="CO117" s="1" t="str">
        <f>IF($CF117=1,CB117,"")</f>
        <v/>
      </c>
      <c r="CP117" s="1" t="str">
        <f>IF($CF117=1,CC117,"")</f>
        <v/>
      </c>
      <c r="CQ117" s="1" t="str">
        <f>IF($CF117=1,CD117,"")</f>
        <v/>
      </c>
      <c r="CR117" s="1" t="str">
        <f>IF($CF117=1,CE117,"")</f>
        <v/>
      </c>
      <c r="CS117" s="18">
        <f>SUM(AE117:BO117)</f>
        <v>10</v>
      </c>
    </row>
    <row r="118" spans="1:97" ht="27" x14ac:dyDescent="0.15">
      <c r="A118" s="1"/>
      <c r="B118" s="1" t="s">
        <v>197</v>
      </c>
      <c r="C118" s="1" t="s">
        <v>196</v>
      </c>
      <c r="D118" s="1" t="s">
        <v>164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>
        <v>10</v>
      </c>
      <c r="Y118" s="32"/>
      <c r="Z118" s="32"/>
      <c r="AA118" s="32"/>
      <c r="AB118" s="32"/>
      <c r="AC118" s="32"/>
      <c r="AD118" s="32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10</v>
      </c>
      <c r="BR118" s="17">
        <v>2</v>
      </c>
      <c r="BS118" s="17" t="s">
        <v>256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>
        <v>3</v>
      </c>
      <c r="B119" s="1" t="s">
        <v>11</v>
      </c>
      <c r="C119" s="1" t="s">
        <v>2</v>
      </c>
      <c r="D119" s="1" t="s">
        <v>12</v>
      </c>
      <c r="E119" s="6">
        <v>15</v>
      </c>
      <c r="F119" s="6"/>
      <c r="G119" s="6">
        <v>15</v>
      </c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>
        <v>15</v>
      </c>
      <c r="AS119" s="4"/>
      <c r="AT119" s="4"/>
      <c r="AU119" s="4"/>
      <c r="AV119" s="4"/>
      <c r="AW119" s="2"/>
      <c r="AX119" s="2"/>
      <c r="AY119" s="2"/>
      <c r="AZ119" s="2"/>
      <c r="BA119" s="2"/>
      <c r="BB119" s="2">
        <v>15</v>
      </c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60</v>
      </c>
      <c r="BQ119" s="1">
        <v>11</v>
      </c>
      <c r="BR119" s="17">
        <v>2</v>
      </c>
      <c r="BS119" s="17" t="s">
        <v>218</v>
      </c>
      <c r="BT119" s="1" t="str">
        <f>IF(AQ119&gt;AQ$162, AQ119-AQ$162,"")</f>
        <v/>
      </c>
      <c r="BU119" s="1" t="str">
        <f>IF(AR119&gt;AR$162, AR119-AR$162,"")</f>
        <v/>
      </c>
      <c r="BV119" s="1" t="str">
        <f>IF(AS119&gt;AS$162, AS119-AS$162,"")</f>
        <v/>
      </c>
      <c r="BW119" s="1" t="str">
        <f>IF(AT119&gt;AT$162, AT119-AT$162,"")</f>
        <v/>
      </c>
      <c r="BX119" s="1" t="str">
        <f>IF(AU119&gt;AU$162, AU119-AU$162,"")</f>
        <v/>
      </c>
      <c r="BY119" s="1" t="str">
        <f>IF(AV119&gt;AV$162, AV119-AV$162,"")</f>
        <v/>
      </c>
      <c r="BZ119" s="1" t="str">
        <f>IF(AW119&gt;AW$162, AW119-AW$162,"")</f>
        <v/>
      </c>
      <c r="CA119" s="1" t="str">
        <f>IF(AX119&gt;AX$162, AX119-AX$162,"")</f>
        <v/>
      </c>
      <c r="CB119" s="1" t="str">
        <f>IF(AY119&gt;AY$162, AY119-AY$162,"")</f>
        <v/>
      </c>
      <c r="CC119" s="1" t="str">
        <f>IF(AZ119&gt;AZ$162, AZ119-AZ$162,"")</f>
        <v/>
      </c>
      <c r="CD119" s="1" t="str">
        <f>IF(BA119&gt;BA$162, BA119-BA$162,"")</f>
        <v/>
      </c>
      <c r="CE119" s="1" t="str">
        <f>IF(BB119&gt;BB$162, BB119-BB$162,"")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18">
        <f>SUM(AE119:BO119)</f>
        <v>30</v>
      </c>
    </row>
    <row r="120" spans="1:97" ht="27" x14ac:dyDescent="0.15">
      <c r="A120" s="1"/>
      <c r="B120" s="1" t="s">
        <v>136</v>
      </c>
      <c r="C120" s="1" t="s">
        <v>137</v>
      </c>
      <c r="D120" s="1" t="s">
        <v>123</v>
      </c>
      <c r="E120" s="6">
        <v>15</v>
      </c>
      <c r="F120" s="6"/>
      <c r="G120" s="6">
        <v>15</v>
      </c>
      <c r="H120" s="6"/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>
        <v>15</v>
      </c>
      <c r="AS120" s="4"/>
      <c r="AT120" s="4"/>
      <c r="AU120" s="4"/>
      <c r="AV120" s="4"/>
      <c r="AW120" s="2"/>
      <c r="AX120" s="2"/>
      <c r="AY120" s="2"/>
      <c r="AZ120" s="2"/>
      <c r="BA120" s="2"/>
      <c r="BB120" s="2">
        <v>15</v>
      </c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11</v>
      </c>
      <c r="BR120" s="17">
        <v>2</v>
      </c>
      <c r="BS120" s="17" t="s">
        <v>218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138</v>
      </c>
      <c r="C121" s="1" t="s">
        <v>137</v>
      </c>
      <c r="D121" s="1" t="s">
        <v>123</v>
      </c>
      <c r="E121" s="6">
        <v>15</v>
      </c>
      <c r="F121" s="6"/>
      <c r="G121" s="6">
        <v>15</v>
      </c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>
        <v>15</v>
      </c>
      <c r="AS121" s="4"/>
      <c r="AT121" s="4"/>
      <c r="AU121" s="4"/>
      <c r="AV121" s="4"/>
      <c r="AW121" s="2"/>
      <c r="AX121" s="2"/>
      <c r="AY121" s="2"/>
      <c r="AZ121" s="2"/>
      <c r="BA121" s="2"/>
      <c r="BB121" s="2">
        <v>15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11</v>
      </c>
      <c r="BR121" s="17">
        <v>2</v>
      </c>
      <c r="BS121" s="17" t="s">
        <v>218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>
        <v>21</v>
      </c>
      <c r="B122" s="1" t="s">
        <v>39</v>
      </c>
      <c r="C122" s="1" t="s">
        <v>32</v>
      </c>
      <c r="D122" s="1" t="s">
        <v>26</v>
      </c>
      <c r="E122" s="6"/>
      <c r="F122" s="6"/>
      <c r="G122" s="6">
        <v>6</v>
      </c>
      <c r="H122" s="6">
        <v>6</v>
      </c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>
        <v>10</v>
      </c>
      <c r="AT122" s="4"/>
      <c r="AU122" s="4"/>
      <c r="AV122" s="4"/>
      <c r="AW122" s="2"/>
      <c r="AX122" s="2"/>
      <c r="AY122" s="2"/>
      <c r="AZ122" s="2"/>
      <c r="BA122" s="2"/>
      <c r="BB122" s="2">
        <v>10</v>
      </c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32</v>
      </c>
      <c r="BQ122" s="1">
        <v>11</v>
      </c>
      <c r="BR122" s="17">
        <v>2</v>
      </c>
      <c r="BS122" s="17" t="s">
        <v>236</v>
      </c>
      <c r="BT122" s="1" t="str">
        <f>IF(AQ122&gt;AQ$162, AQ122-AQ$162,"")</f>
        <v/>
      </c>
      <c r="BU122" s="1" t="str">
        <f>IF(AR122&gt;AR$162, AR122-AR$162,"")</f>
        <v/>
      </c>
      <c r="BV122" s="1">
        <f>IF(AS122&gt;AS$162, AS122-AS$162,"")</f>
        <v>8</v>
      </c>
      <c r="BW122" s="1" t="str">
        <f>IF(AT122&gt;AT$162, AT122-AT$162,"")</f>
        <v/>
      </c>
      <c r="BX122" s="1" t="str">
        <f>IF(AU122&gt;AU$162, AU122-AU$162,"")</f>
        <v/>
      </c>
      <c r="BY122" s="1" t="str">
        <f>IF(AV122&gt;AV$162, AV122-AV$162,"")</f>
        <v/>
      </c>
      <c r="BZ122" s="1" t="str">
        <f>IF(AW122&gt;AW$162, AW122-AW$162,"")</f>
        <v/>
      </c>
      <c r="CA122" s="1" t="str">
        <f>IF(AX122&gt;AX$162, AX122-AX$162,"")</f>
        <v/>
      </c>
      <c r="CB122" s="1" t="str">
        <f>IF(AY122&gt;AY$162, AY122-AY$162,"")</f>
        <v/>
      </c>
      <c r="CC122" s="1" t="str">
        <f>IF(AZ122&gt;AZ$162, AZ122-AZ$162,"")</f>
        <v/>
      </c>
      <c r="CD122" s="1" t="str">
        <f>IF(BA122&gt;BA$162, BA122-BA$162,"")</f>
        <v/>
      </c>
      <c r="CE122" s="1" t="str">
        <f>IF(BB122&gt;BB$162, BB122-BB$162,"")</f>
        <v/>
      </c>
      <c r="CF122" s="1">
        <f>COUNTIF(BT122:CE122, "&gt;0")</f>
        <v>1</v>
      </c>
      <c r="CG122" s="1" t="str">
        <f>IF($CF122=1,BT122,"")</f>
        <v/>
      </c>
      <c r="CH122" s="1" t="str">
        <f>IF($CF122=1,BU122,"")</f>
        <v/>
      </c>
      <c r="CI122" s="1">
        <f>IF($CF122=1,BV122,"")</f>
        <v>8</v>
      </c>
      <c r="CJ122" s="1" t="str">
        <f>IF($CF122=1,BW122,"")</f>
        <v/>
      </c>
      <c r="CK122" s="1" t="str">
        <f>IF($CF122=1,BX122,"")</f>
        <v/>
      </c>
      <c r="CL122" s="1" t="str">
        <f>IF($CF122=1,BY122,"")</f>
        <v/>
      </c>
      <c r="CM122" s="1" t="str">
        <f>IF($CF122=1,BZ122,"")</f>
        <v/>
      </c>
      <c r="CN122" s="1" t="str">
        <f>IF($CF122=1,CA122,"")</f>
        <v/>
      </c>
      <c r="CO122" s="1" t="str">
        <f>IF($CF122=1,CB122,"")</f>
        <v/>
      </c>
      <c r="CP122" s="1" t="str">
        <f>IF($CF122=1,CC122,"")</f>
        <v/>
      </c>
      <c r="CQ122" s="1" t="str">
        <f>IF($CF122=1,CD122,"")</f>
        <v/>
      </c>
      <c r="CR122" s="1" t="str">
        <f>IF($CF122=1,CE122,"")</f>
        <v/>
      </c>
      <c r="CS122" s="18">
        <f>SUM(AE122:BO122)</f>
        <v>20</v>
      </c>
    </row>
    <row r="123" spans="1:97" ht="27" x14ac:dyDescent="0.15">
      <c r="A123" s="1"/>
      <c r="B123" s="1" t="s">
        <v>134</v>
      </c>
      <c r="C123" s="1" t="s">
        <v>126</v>
      </c>
      <c r="D123" s="1" t="s">
        <v>124</v>
      </c>
      <c r="E123" s="6">
        <v>6</v>
      </c>
      <c r="F123" s="6">
        <v>6</v>
      </c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>
        <v>10</v>
      </c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11</v>
      </c>
      <c r="BR123" s="17">
        <v>2</v>
      </c>
      <c r="BS123" s="17" t="s">
        <v>258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27" x14ac:dyDescent="0.15">
      <c r="A124" s="1"/>
      <c r="B124" s="1" t="s">
        <v>160</v>
      </c>
      <c r="C124" s="1" t="s">
        <v>161</v>
      </c>
      <c r="D124" s="1" t="s">
        <v>164</v>
      </c>
      <c r="E124" s="6"/>
      <c r="F124" s="6"/>
      <c r="G124" s="6"/>
      <c r="H124" s="6"/>
      <c r="I124" s="6">
        <v>10</v>
      </c>
      <c r="J124" s="6"/>
      <c r="K124" s="6"/>
      <c r="L124" s="6"/>
      <c r="M124" s="6"/>
      <c r="N124" s="6"/>
      <c r="O124" s="6"/>
      <c r="P124" s="32"/>
      <c r="Q124" s="32"/>
      <c r="R124" s="32">
        <v>10</v>
      </c>
      <c r="S124" s="32"/>
      <c r="T124" s="32"/>
      <c r="U124" s="32"/>
      <c r="V124" s="32"/>
      <c r="W124" s="32"/>
      <c r="X124" s="32">
        <v>10</v>
      </c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10</v>
      </c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12</v>
      </c>
      <c r="BR124" s="17">
        <v>2</v>
      </c>
      <c r="BS124" s="17" t="s">
        <v>257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27" x14ac:dyDescent="0.15">
      <c r="A125" s="1"/>
      <c r="B125" s="1" t="s">
        <v>130</v>
      </c>
      <c r="C125" s="1" t="s">
        <v>126</v>
      </c>
      <c r="D125" s="1" t="s">
        <v>123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>
        <v>5</v>
      </c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>
        <v>5</v>
      </c>
      <c r="AP125" s="1">
        <v>10</v>
      </c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15</v>
      </c>
      <c r="BR125" s="17">
        <v>2</v>
      </c>
      <c r="BS125" s="17" t="s">
        <v>260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27" x14ac:dyDescent="0.15">
      <c r="A126" s="1"/>
      <c r="B126" s="1" t="s">
        <v>157</v>
      </c>
      <c r="C126" s="1" t="s">
        <v>158</v>
      </c>
      <c r="D126" s="1" t="s">
        <v>123</v>
      </c>
      <c r="E126" s="6"/>
      <c r="F126" s="6"/>
      <c r="G126" s="6"/>
      <c r="H126" s="6"/>
      <c r="I126" s="6"/>
      <c r="J126" s="6"/>
      <c r="K126" s="6"/>
      <c r="L126" s="6">
        <v>20</v>
      </c>
      <c r="M126" s="6"/>
      <c r="N126" s="6"/>
      <c r="O126" s="6">
        <v>20</v>
      </c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>
        <v>20</v>
      </c>
      <c r="BB126" s="2">
        <v>20</v>
      </c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20</v>
      </c>
      <c r="BR126" s="17">
        <v>2</v>
      </c>
      <c r="BS126" s="17" t="s">
        <v>224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200</v>
      </c>
      <c r="C127" s="1" t="s">
        <v>196</v>
      </c>
      <c r="D127" s="1" t="s">
        <v>163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>
        <v>2</v>
      </c>
      <c r="V127" s="32"/>
      <c r="W127" s="32"/>
      <c r="X127" s="32"/>
      <c r="Y127" s="32"/>
      <c r="Z127" s="32"/>
      <c r="AA127" s="32">
        <v>2</v>
      </c>
      <c r="AB127" s="32"/>
      <c r="AC127" s="32">
        <v>5</v>
      </c>
      <c r="AD127" s="32">
        <v>2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6</v>
      </c>
      <c r="BR127" s="17">
        <v>3</v>
      </c>
      <c r="BS127" s="17" t="s">
        <v>264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190</v>
      </c>
      <c r="C128" s="1" t="s">
        <v>191</v>
      </c>
      <c r="D128" s="1" t="s">
        <v>164</v>
      </c>
      <c r="E128" s="6"/>
      <c r="F128" s="6"/>
      <c r="G128" s="6"/>
      <c r="H128" s="6"/>
      <c r="I128" s="6"/>
      <c r="J128" s="6"/>
      <c r="K128" s="6"/>
      <c r="L128" s="6">
        <v>7</v>
      </c>
      <c r="M128" s="6"/>
      <c r="N128" s="6"/>
      <c r="O128" s="6"/>
      <c r="P128" s="32"/>
      <c r="Q128" s="32">
        <v>7</v>
      </c>
      <c r="R128" s="32"/>
      <c r="S128" s="32"/>
      <c r="T128" s="32">
        <v>7</v>
      </c>
      <c r="U128" s="32"/>
      <c r="V128" s="32"/>
      <c r="W128" s="32"/>
      <c r="X128" s="32">
        <v>7</v>
      </c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9</v>
      </c>
      <c r="BR128" s="17">
        <v>3</v>
      </c>
      <c r="BS128" s="17" t="s">
        <v>265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182</v>
      </c>
      <c r="C129" s="1" t="s">
        <v>180</v>
      </c>
      <c r="D129" s="1" t="s">
        <v>163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>
        <v>5</v>
      </c>
      <c r="U129" s="32"/>
      <c r="V129" s="32"/>
      <c r="W129" s="32"/>
      <c r="X129" s="32"/>
      <c r="Y129" s="32"/>
      <c r="Z129" s="32">
        <v>5</v>
      </c>
      <c r="AA129" s="32">
        <v>2</v>
      </c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9</v>
      </c>
      <c r="BR129" s="17">
        <v>3</v>
      </c>
      <c r="BS129" s="17" t="s">
        <v>266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/>
      <c r="B130" s="1" t="s">
        <v>197</v>
      </c>
      <c r="C130" s="1" t="s">
        <v>196</v>
      </c>
      <c r="D130" s="1" t="s">
        <v>163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>
        <v>5</v>
      </c>
      <c r="R130" s="32"/>
      <c r="S130" s="32"/>
      <c r="T130" s="32">
        <v>5</v>
      </c>
      <c r="U130" s="32"/>
      <c r="V130" s="32"/>
      <c r="W130" s="32"/>
      <c r="X130" s="32"/>
      <c r="Y130" s="32"/>
      <c r="Z130" s="32">
        <v>5</v>
      </c>
      <c r="AA130" s="32">
        <v>2</v>
      </c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9</v>
      </c>
      <c r="BR130" s="17">
        <v>3</v>
      </c>
      <c r="BS130" s="17" t="s">
        <v>266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40.5" x14ac:dyDescent="0.15">
      <c r="A131" s="1"/>
      <c r="B131" s="1" t="s">
        <v>198</v>
      </c>
      <c r="C131" s="1" t="s">
        <v>196</v>
      </c>
      <c r="D131" s="1" t="s">
        <v>163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>
        <v>5</v>
      </c>
      <c r="R131" s="32"/>
      <c r="S131" s="32"/>
      <c r="T131" s="32"/>
      <c r="U131" s="32"/>
      <c r="V131" s="32">
        <v>10</v>
      </c>
      <c r="W131" s="32"/>
      <c r="X131" s="32"/>
      <c r="Y131" s="32"/>
      <c r="Z131" s="32">
        <v>5</v>
      </c>
      <c r="AA131" s="32"/>
      <c r="AB131" s="32">
        <v>10</v>
      </c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10</v>
      </c>
      <c r="BR131" s="17">
        <v>3</v>
      </c>
      <c r="BS131" s="17" t="s">
        <v>267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40.5" x14ac:dyDescent="0.15">
      <c r="A132" s="1"/>
      <c r="B132" s="1" t="s">
        <v>200</v>
      </c>
      <c r="C132" s="1" t="s">
        <v>196</v>
      </c>
      <c r="D132" s="1" t="s">
        <v>162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>
        <v>5</v>
      </c>
      <c r="R132" s="32"/>
      <c r="S132" s="32"/>
      <c r="T132" s="32">
        <v>5</v>
      </c>
      <c r="U132" s="32"/>
      <c r="V132" s="32"/>
      <c r="W132" s="32">
        <v>5</v>
      </c>
      <c r="X132" s="32"/>
      <c r="Y132" s="32"/>
      <c r="Z132" s="32">
        <v>5</v>
      </c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11</v>
      </c>
      <c r="BR132" s="17">
        <v>3</v>
      </c>
      <c r="BS132" s="17" t="s">
        <v>268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/>
      <c r="B133" s="1" t="s">
        <v>188</v>
      </c>
      <c r="C133" s="1" t="s">
        <v>185</v>
      </c>
      <c r="D133" s="1" t="s">
        <v>164</v>
      </c>
      <c r="E133" s="6"/>
      <c r="F133" s="6"/>
      <c r="G133" s="6"/>
      <c r="H133" s="6"/>
      <c r="I133" s="6">
        <v>7</v>
      </c>
      <c r="J133" s="6"/>
      <c r="K133" s="6"/>
      <c r="L133" s="6"/>
      <c r="M133" s="6"/>
      <c r="N133" s="6"/>
      <c r="O133" s="6"/>
      <c r="P133" s="32"/>
      <c r="Q133" s="32">
        <v>7</v>
      </c>
      <c r="R133" s="32">
        <v>7</v>
      </c>
      <c r="S133" s="32"/>
      <c r="T133" s="32">
        <v>7</v>
      </c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13</v>
      </c>
      <c r="BR133" s="17">
        <v>3</v>
      </c>
      <c r="BS133" s="17" t="s">
        <v>269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40.5" x14ac:dyDescent="0.15">
      <c r="A134" s="1">
        <v>28</v>
      </c>
      <c r="B134" s="1" t="s">
        <v>84</v>
      </c>
      <c r="C134" s="1" t="s">
        <v>32</v>
      </c>
      <c r="D134" s="1" t="s">
        <v>1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>
        <v>5</v>
      </c>
      <c r="AI134" s="1">
        <v>5</v>
      </c>
      <c r="AJ134" s="1">
        <v>5</v>
      </c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15</v>
      </c>
      <c r="BQ134" s="1">
        <v>15</v>
      </c>
      <c r="BR134" s="17">
        <v>3</v>
      </c>
      <c r="BS134" s="17" t="s">
        <v>272</v>
      </c>
      <c r="BT134" s="1" t="str">
        <f>IF(AQ134&gt;AQ$162, AQ134-AQ$162,"")</f>
        <v/>
      </c>
      <c r="BU134" s="1" t="str">
        <f>IF(AR134&gt;AR$162, AR134-AR$162,"")</f>
        <v/>
      </c>
      <c r="BV134" s="1" t="str">
        <f>IF(AS134&gt;AS$162, AS134-AS$162,"")</f>
        <v/>
      </c>
      <c r="BW134" s="1" t="str">
        <f>IF(AT134&gt;AT$162, AT134-AT$162,"")</f>
        <v/>
      </c>
      <c r="BX134" s="1" t="str">
        <f>IF(AU134&gt;AU$162, AU134-AU$162,"")</f>
        <v/>
      </c>
      <c r="BY134" s="1" t="str">
        <f>IF(AV134&gt;AV$162, AV134-AV$162,"")</f>
        <v/>
      </c>
      <c r="BZ134" s="1" t="str">
        <f>IF(AW134&gt;AW$162, AW134-AW$162,"")</f>
        <v/>
      </c>
      <c r="CA134" s="1" t="str">
        <f>IF(AX134&gt;AX$162, AX134-AX$162,"")</f>
        <v/>
      </c>
      <c r="CB134" s="1" t="str">
        <f>IF(AY134&gt;AY$162, AY134-AY$162,"")</f>
        <v/>
      </c>
      <c r="CC134" s="1" t="str">
        <f>IF(AZ134&gt;AZ$162, AZ134-AZ$162,"")</f>
        <v/>
      </c>
      <c r="CD134" s="1" t="str">
        <f>IF(BA134&gt;BA$162, BA134-BA$162,"")</f>
        <v/>
      </c>
      <c r="CE134" s="1" t="str">
        <f>IF(BB134&gt;BB$162, BB134-BB$162,"")</f>
        <v/>
      </c>
      <c r="CF134" s="1">
        <f>COUNTIF(BT134:CE134, "&gt;0")</f>
        <v>0</v>
      </c>
      <c r="CG134" s="1" t="str">
        <f>IF($CF134=1,BT134,"")</f>
        <v/>
      </c>
      <c r="CH134" s="1" t="str">
        <f>IF($CF134=1,BU134,"")</f>
        <v/>
      </c>
      <c r="CI134" s="1" t="str">
        <f>IF($CF134=1,BV134,"")</f>
        <v/>
      </c>
      <c r="CJ134" s="1" t="str">
        <f>IF($CF134=1,BW134,"")</f>
        <v/>
      </c>
      <c r="CK134" s="1" t="str">
        <f>IF($CF134=1,BX134,"")</f>
        <v/>
      </c>
      <c r="CL134" s="1" t="str">
        <f>IF($CF134=1,BY134,"")</f>
        <v/>
      </c>
      <c r="CM134" s="1" t="str">
        <f>IF($CF134=1,BZ134,"")</f>
        <v/>
      </c>
      <c r="CN134" s="1" t="str">
        <f>IF($CF134=1,CA134,"")</f>
        <v/>
      </c>
      <c r="CO134" s="1" t="str">
        <f>IF($CF134=1,CB134,"")</f>
        <v/>
      </c>
      <c r="CP134" s="1" t="str">
        <f>IF($CF134=1,CC134,"")</f>
        <v/>
      </c>
      <c r="CQ134" s="1" t="str">
        <f>IF($CF134=1,CD134,"")</f>
        <v/>
      </c>
      <c r="CR134" s="1" t="str">
        <f>IF($CF134=1,CE134,"")</f>
        <v/>
      </c>
      <c r="CS134" s="18">
        <f>SUM(AE134:BO134)</f>
        <v>15</v>
      </c>
    </row>
    <row r="135" spans="1:97" ht="40.5" x14ac:dyDescent="0.15">
      <c r="A135" s="1">
        <v>89</v>
      </c>
      <c r="B135" s="3" t="s">
        <v>89</v>
      </c>
      <c r="C135" s="3" t="s">
        <v>90</v>
      </c>
      <c r="D135" s="1" t="s">
        <v>1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>
        <v>5</v>
      </c>
      <c r="AG135" s="1"/>
      <c r="AH135" s="1">
        <v>5</v>
      </c>
      <c r="AI135" s="1">
        <v>5</v>
      </c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15</v>
      </c>
      <c r="BQ135" s="1">
        <v>15</v>
      </c>
      <c r="BR135" s="17">
        <v>3</v>
      </c>
      <c r="BS135" s="17" t="s">
        <v>273</v>
      </c>
      <c r="BT135" s="1" t="str">
        <f>IF(AQ135&gt;AQ$162, AQ135-AQ$162,"")</f>
        <v/>
      </c>
      <c r="BU135" s="1" t="str">
        <f>IF(AR135&gt;AR$162, AR135-AR$162,"")</f>
        <v/>
      </c>
      <c r="BV135" s="1" t="str">
        <f>IF(AS135&gt;AS$162, AS135-AS$162,"")</f>
        <v/>
      </c>
      <c r="BW135" s="1" t="str">
        <f>IF(AT135&gt;AT$162, AT135-AT$162,"")</f>
        <v/>
      </c>
      <c r="BX135" s="1" t="str">
        <f>IF(AU135&gt;AU$162, AU135-AU$162,"")</f>
        <v/>
      </c>
      <c r="BY135" s="1" t="str">
        <f>IF(AV135&gt;AV$162, AV135-AV$162,"")</f>
        <v/>
      </c>
      <c r="BZ135" s="1" t="str">
        <f>IF(AW135&gt;AW$162, AW135-AW$162,"")</f>
        <v/>
      </c>
      <c r="CA135" s="1" t="str">
        <f>IF(AX135&gt;AX$162, AX135-AX$162,"")</f>
        <v/>
      </c>
      <c r="CB135" s="1" t="str">
        <f>IF(AY135&gt;AY$162, AY135-AY$162,"")</f>
        <v/>
      </c>
      <c r="CC135" s="1" t="str">
        <f>IF(AZ135&gt;AZ$162, AZ135-AZ$162,"")</f>
        <v/>
      </c>
      <c r="CD135" s="1" t="str">
        <f>IF(BA135&gt;BA$162, BA135-BA$162,"")</f>
        <v/>
      </c>
      <c r="CE135" s="1" t="str">
        <f>IF(BB135&gt;BB$162, BB135-BB$162,"")</f>
        <v/>
      </c>
      <c r="CF135" s="1">
        <f>COUNTIF(BT135:CE135, "&gt;0")</f>
        <v>0</v>
      </c>
      <c r="CG135" s="1" t="str">
        <f>IF($CF135=1,BT135,"")</f>
        <v/>
      </c>
      <c r="CH135" s="1" t="str">
        <f>IF($CF135=1,BU135,"")</f>
        <v/>
      </c>
      <c r="CI135" s="1" t="str">
        <f>IF($CF135=1,BV135,"")</f>
        <v/>
      </c>
      <c r="CJ135" s="1" t="str">
        <f>IF($CF135=1,BW135,"")</f>
        <v/>
      </c>
      <c r="CK135" s="1" t="str">
        <f>IF($CF135=1,BX135,"")</f>
        <v/>
      </c>
      <c r="CL135" s="1" t="str">
        <f>IF($CF135=1,BY135,"")</f>
        <v/>
      </c>
      <c r="CM135" s="1" t="str">
        <f>IF($CF135=1,BZ135,"")</f>
        <v/>
      </c>
      <c r="CN135" s="1" t="str">
        <f>IF($CF135=1,CA135,"")</f>
        <v/>
      </c>
      <c r="CO135" s="1" t="str">
        <f>IF($CF135=1,CB135,"")</f>
        <v/>
      </c>
      <c r="CP135" s="1" t="str">
        <f>IF($CF135=1,CC135,"")</f>
        <v/>
      </c>
      <c r="CQ135" s="1" t="str">
        <f>IF($CF135=1,CD135,"")</f>
        <v/>
      </c>
      <c r="CR135" s="1" t="str">
        <f>IF($CF135=1,CE135,"")</f>
        <v/>
      </c>
      <c r="CS135" s="18">
        <f>SUM(AE135:BO135)</f>
        <v>15</v>
      </c>
    </row>
    <row r="136" spans="1:97" ht="40.5" x14ac:dyDescent="0.15">
      <c r="A136" s="1"/>
      <c r="B136" s="1" t="s">
        <v>186</v>
      </c>
      <c r="C136" s="1" t="s">
        <v>185</v>
      </c>
      <c r="D136" s="1" t="s">
        <v>163</v>
      </c>
      <c r="E136" s="6">
        <v>15</v>
      </c>
      <c r="F136" s="6"/>
      <c r="G136" s="6"/>
      <c r="H136" s="6"/>
      <c r="I136" s="6"/>
      <c r="J136" s="6"/>
      <c r="K136" s="6"/>
      <c r="L136" s="6"/>
      <c r="M136" s="6">
        <v>15</v>
      </c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>
        <v>15</v>
      </c>
      <c r="AX136" s="2"/>
      <c r="AY136" s="2"/>
      <c r="AZ136" s="2"/>
      <c r="BA136" s="2">
        <v>15</v>
      </c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18</v>
      </c>
      <c r="BR136" s="17">
        <v>3</v>
      </c>
      <c r="BS136" s="17" t="s">
        <v>245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40.5" x14ac:dyDescent="0.15">
      <c r="A137" s="1">
        <v>78</v>
      </c>
      <c r="B137" s="3" t="s">
        <v>73</v>
      </c>
      <c r="C137" s="3" t="s">
        <v>71</v>
      </c>
      <c r="D137" s="1" t="s">
        <v>1</v>
      </c>
      <c r="E137" s="6"/>
      <c r="F137" s="6"/>
      <c r="G137" s="6">
        <v>15</v>
      </c>
      <c r="H137" s="6">
        <v>15</v>
      </c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>
        <v>15</v>
      </c>
      <c r="BB137" s="2">
        <v>15</v>
      </c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60</v>
      </c>
      <c r="BQ137" s="1">
        <v>19</v>
      </c>
      <c r="BR137" s="17">
        <v>3</v>
      </c>
      <c r="BS137" s="17" t="s">
        <v>234</v>
      </c>
      <c r="BT137" s="1" t="str">
        <f>IF(AQ137&gt;AQ$162, AQ137-AQ$162,"")</f>
        <v/>
      </c>
      <c r="BU137" s="1" t="str">
        <f>IF(AR137&gt;AR$162, AR137-AR$162,"")</f>
        <v/>
      </c>
      <c r="BV137" s="1" t="str">
        <f>IF(AS137&gt;AS$162, AS137-AS$162,"")</f>
        <v/>
      </c>
      <c r="BW137" s="1" t="str">
        <f>IF(AT137&gt;AT$162, AT137-AT$162,"")</f>
        <v/>
      </c>
      <c r="BX137" s="1" t="str">
        <f>IF(AU137&gt;AU$162, AU137-AU$162,"")</f>
        <v/>
      </c>
      <c r="BY137" s="1" t="str">
        <f>IF(AV137&gt;AV$162, AV137-AV$162,"")</f>
        <v/>
      </c>
      <c r="BZ137" s="1" t="str">
        <f>IF(AW137&gt;AW$162, AW137-AW$162,"")</f>
        <v/>
      </c>
      <c r="CA137" s="1" t="str">
        <f>IF(AX137&gt;AX$162, AX137-AX$162,"")</f>
        <v/>
      </c>
      <c r="CB137" s="1" t="str">
        <f>IF(AY137&gt;AY$162, AY137-AY$162,"")</f>
        <v/>
      </c>
      <c r="CC137" s="1" t="str">
        <f>IF(AZ137&gt;AZ$162, AZ137-AZ$162,"")</f>
        <v/>
      </c>
      <c r="CD137" s="1">
        <f>IF(BA137&gt;BA$162, BA137-BA$162,"")</f>
        <v>3</v>
      </c>
      <c r="CE137" s="1" t="str">
        <f>IF(BB137&gt;BB$162, BB137-BB$162,"")</f>
        <v/>
      </c>
      <c r="CF137" s="1">
        <f>COUNTIF(BT137:CE137, "&gt;0")</f>
        <v>1</v>
      </c>
      <c r="CG137" s="1" t="str">
        <f>IF($CF137=1,BT137,"")</f>
        <v/>
      </c>
      <c r="CH137" s="1" t="str">
        <f>IF($CF137=1,BU137,"")</f>
        <v/>
      </c>
      <c r="CI137" s="1" t="str">
        <f>IF($CF137=1,BV137,"")</f>
        <v/>
      </c>
      <c r="CJ137" s="1" t="str">
        <f>IF($CF137=1,BW137,"")</f>
        <v/>
      </c>
      <c r="CK137" s="1" t="str">
        <f>IF($CF137=1,BX137,"")</f>
        <v/>
      </c>
      <c r="CL137" s="1" t="str">
        <f>IF($CF137=1,BY137,"")</f>
        <v/>
      </c>
      <c r="CM137" s="1" t="str">
        <f>IF($CF137=1,BZ137,"")</f>
        <v/>
      </c>
      <c r="CN137" s="1" t="str">
        <f>IF($CF137=1,CA137,"")</f>
        <v/>
      </c>
      <c r="CO137" s="1" t="str">
        <f>IF($CF137=1,CB137,"")</f>
        <v/>
      </c>
      <c r="CP137" s="1" t="str">
        <f>IF($CF137=1,CC137,"")</f>
        <v/>
      </c>
      <c r="CQ137" s="1">
        <f>IF($CF137=1,CD137,"")</f>
        <v>3</v>
      </c>
      <c r="CR137" s="1" t="str">
        <f>IF($CF137=1,CE137,"")</f>
        <v/>
      </c>
      <c r="CS137" s="18">
        <f>SUM(AE137:BO137)</f>
        <v>30</v>
      </c>
    </row>
    <row r="138" spans="1:97" ht="40.5" x14ac:dyDescent="0.15">
      <c r="A138" s="1"/>
      <c r="B138" s="1" t="s">
        <v>150</v>
      </c>
      <c r="C138" s="1" t="s">
        <v>149</v>
      </c>
      <c r="D138" s="1" t="s">
        <v>123</v>
      </c>
      <c r="E138" s="6"/>
      <c r="F138" s="6"/>
      <c r="G138" s="6">
        <v>15</v>
      </c>
      <c r="H138" s="6">
        <v>15</v>
      </c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>
        <v>15</v>
      </c>
      <c r="BB138" s="2">
        <v>15</v>
      </c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19</v>
      </c>
      <c r="BR138" s="17">
        <v>3</v>
      </c>
      <c r="BS138" s="17" t="s">
        <v>234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/>
      <c r="B139" s="1" t="s">
        <v>178</v>
      </c>
      <c r="C139" s="1" t="s">
        <v>161</v>
      </c>
      <c r="D139" s="1" t="s">
        <v>164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32"/>
      <c r="Q139" s="32"/>
      <c r="R139" s="32">
        <v>10</v>
      </c>
      <c r="S139" s="32"/>
      <c r="T139" s="32"/>
      <c r="U139" s="32"/>
      <c r="V139" s="32"/>
      <c r="W139" s="32"/>
      <c r="X139" s="32">
        <v>10</v>
      </c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19</v>
      </c>
      <c r="BR139" s="17">
        <v>3</v>
      </c>
      <c r="BS139" s="17" t="s">
        <v>270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/>
      <c r="B140" s="1" t="s">
        <v>189</v>
      </c>
      <c r="C140" s="1" t="s">
        <v>191</v>
      </c>
      <c r="D140" s="1" t="s">
        <v>164</v>
      </c>
      <c r="E140" s="6"/>
      <c r="F140" s="6"/>
      <c r="G140" s="6"/>
      <c r="H140" s="6"/>
      <c r="I140" s="6"/>
      <c r="J140" s="6">
        <v>10</v>
      </c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>
        <v>10</v>
      </c>
      <c r="V140" s="32"/>
      <c r="W140" s="32"/>
      <c r="X140" s="32"/>
      <c r="Y140" s="32"/>
      <c r="Z140" s="32"/>
      <c r="AA140" s="32">
        <v>10</v>
      </c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>
        <v>10</v>
      </c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23</v>
      </c>
      <c r="BR140" s="17">
        <v>3</v>
      </c>
      <c r="BS140" s="17" t="s">
        <v>262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203</v>
      </c>
      <c r="C141" s="1" t="s">
        <v>196</v>
      </c>
      <c r="D141" s="1" t="s">
        <v>164</v>
      </c>
      <c r="E141" s="6"/>
      <c r="F141" s="6"/>
      <c r="G141" s="6"/>
      <c r="H141" s="6"/>
      <c r="I141" s="6"/>
      <c r="J141" s="6">
        <v>10</v>
      </c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>
        <v>10</v>
      </c>
      <c r="V141" s="32"/>
      <c r="W141" s="32"/>
      <c r="X141" s="32"/>
      <c r="Y141" s="32"/>
      <c r="Z141" s="32"/>
      <c r="AA141" s="32">
        <v>10</v>
      </c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>
        <v>10</v>
      </c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23</v>
      </c>
      <c r="BR141" s="17">
        <v>3</v>
      </c>
      <c r="BS141" s="17" t="s">
        <v>262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130</v>
      </c>
      <c r="C142" s="1" t="s">
        <v>126</v>
      </c>
      <c r="D142" s="1" t="s">
        <v>124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>
        <v>10</v>
      </c>
      <c r="AP142" s="1">
        <v>10</v>
      </c>
      <c r="AQ142" s="4"/>
      <c r="AR142" s="4"/>
      <c r="AS142" s="4">
        <v>5</v>
      </c>
      <c r="AT142" s="4"/>
      <c r="AU142" s="4"/>
      <c r="AV142" s="4"/>
      <c r="AW142" s="2"/>
      <c r="AX142" s="2">
        <v>5</v>
      </c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23</v>
      </c>
      <c r="BR142" s="17">
        <v>3</v>
      </c>
      <c r="BS142" s="17" t="s">
        <v>277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>
        <v>54</v>
      </c>
      <c r="B143" s="1" t="s">
        <v>61</v>
      </c>
      <c r="C143" s="1" t="s">
        <v>62</v>
      </c>
      <c r="D143" s="1" t="s">
        <v>1</v>
      </c>
      <c r="E143" s="6"/>
      <c r="F143" s="6">
        <v>15</v>
      </c>
      <c r="G143" s="6"/>
      <c r="H143" s="6">
        <v>15</v>
      </c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>
        <v>15</v>
      </c>
      <c r="AW143" s="2"/>
      <c r="AX143" s="2"/>
      <c r="AY143" s="2"/>
      <c r="AZ143" s="2"/>
      <c r="BA143" s="2">
        <v>15</v>
      </c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60</v>
      </c>
      <c r="BQ143" s="1">
        <v>27</v>
      </c>
      <c r="BR143" s="17">
        <v>3</v>
      </c>
      <c r="BS143" s="17" t="s">
        <v>274</v>
      </c>
      <c r="BT143" s="1" t="str">
        <f>IF(AQ143&gt;AQ$162, AQ143-AQ$162,"")</f>
        <v/>
      </c>
      <c r="BU143" s="1" t="str">
        <f>IF(AR143&gt;AR$162, AR143-AR$162,"")</f>
        <v/>
      </c>
      <c r="BV143" s="1" t="str">
        <f>IF(AS143&gt;AS$162, AS143-AS$162,"")</f>
        <v/>
      </c>
      <c r="BW143" s="1" t="str">
        <f>IF(AT143&gt;AT$162, AT143-AT$162,"")</f>
        <v/>
      </c>
      <c r="BX143" s="1" t="str">
        <f>IF(AU143&gt;AU$162, AU143-AU$162,"")</f>
        <v/>
      </c>
      <c r="BY143" s="1" t="str">
        <f>IF(AV143&gt;AV$162, AV143-AV$162,"")</f>
        <v/>
      </c>
      <c r="BZ143" s="1" t="str">
        <f>IF(AW143&gt;AW$162, AW143-AW$162,"")</f>
        <v/>
      </c>
      <c r="CA143" s="1" t="str">
        <f>IF(AX143&gt;AX$162, AX143-AX$162,"")</f>
        <v/>
      </c>
      <c r="CB143" s="1" t="str">
        <f>IF(AY143&gt;AY$162, AY143-AY$162,"")</f>
        <v/>
      </c>
      <c r="CC143" s="1" t="str">
        <f>IF(AZ143&gt;AZ$162, AZ143-AZ$162,"")</f>
        <v/>
      </c>
      <c r="CD143" s="1">
        <f>IF(BA143&gt;BA$162, BA143-BA$162,"")</f>
        <v>3</v>
      </c>
      <c r="CE143" s="1" t="str">
        <f>IF(BB143&gt;BB$162, BB143-BB$162,"")</f>
        <v/>
      </c>
      <c r="CF143" s="1">
        <f>COUNTIF(BT143:CE143, "&gt;0")</f>
        <v>1</v>
      </c>
      <c r="CG143" s="1" t="str">
        <f>IF($CF143=1,BT143,"")</f>
        <v/>
      </c>
      <c r="CH143" s="1" t="str">
        <f>IF($CF143=1,BU143,"")</f>
        <v/>
      </c>
      <c r="CI143" s="1" t="str">
        <f>IF($CF143=1,BV143,"")</f>
        <v/>
      </c>
      <c r="CJ143" s="1" t="str">
        <f>IF($CF143=1,BW143,"")</f>
        <v/>
      </c>
      <c r="CK143" s="1" t="str">
        <f>IF($CF143=1,BX143,"")</f>
        <v/>
      </c>
      <c r="CL143" s="1" t="str">
        <f>IF($CF143=1,BY143,"")</f>
        <v/>
      </c>
      <c r="CM143" s="1" t="str">
        <f>IF($CF143=1,BZ143,"")</f>
        <v/>
      </c>
      <c r="CN143" s="1" t="str">
        <f>IF($CF143=1,CA143,"")</f>
        <v/>
      </c>
      <c r="CO143" s="1" t="str">
        <f>IF($CF143=1,CB143,"")</f>
        <v/>
      </c>
      <c r="CP143" s="1" t="str">
        <f>IF($CF143=1,CC143,"")</f>
        <v/>
      </c>
      <c r="CQ143" s="1">
        <f>IF($CF143=1,CD143,"")</f>
        <v>3</v>
      </c>
      <c r="CR143" s="1" t="str">
        <f>IF($CF143=1,CE143,"")</f>
        <v/>
      </c>
      <c r="CS143" s="18">
        <f>SUM(AE143:BO143)</f>
        <v>30</v>
      </c>
    </row>
    <row r="144" spans="1:97" ht="40.5" x14ac:dyDescent="0.15">
      <c r="A144" s="1">
        <v>14</v>
      </c>
      <c r="B144" s="1" t="s">
        <v>31</v>
      </c>
      <c r="C144" s="1" t="s">
        <v>32</v>
      </c>
      <c r="D144" s="1" t="s">
        <v>33</v>
      </c>
      <c r="E144" s="6"/>
      <c r="F144" s="6"/>
      <c r="G144" s="6">
        <v>15</v>
      </c>
      <c r="H144" s="6">
        <v>15</v>
      </c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15</v>
      </c>
      <c r="AT144" s="4"/>
      <c r="AU144" s="4"/>
      <c r="AV144" s="4"/>
      <c r="AW144" s="2"/>
      <c r="AX144" s="2"/>
      <c r="AY144" s="2"/>
      <c r="AZ144" s="2"/>
      <c r="BA144" s="2"/>
      <c r="BB144" s="2">
        <v>15</v>
      </c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60</v>
      </c>
      <c r="BQ144" s="1">
        <v>29</v>
      </c>
      <c r="BR144" s="17">
        <v>3</v>
      </c>
      <c r="BS144" s="17" t="s">
        <v>263</v>
      </c>
      <c r="BT144" s="1" t="str">
        <f>IF(AQ144&gt;AQ$162, AQ144-AQ$162,"")</f>
        <v/>
      </c>
      <c r="BU144" s="1" t="str">
        <f>IF(AR144&gt;AR$162, AR144-AR$162,"")</f>
        <v/>
      </c>
      <c r="BV144" s="1">
        <f>IF(AS144&gt;AS$162, AS144-AS$162,"")</f>
        <v>13</v>
      </c>
      <c r="BW144" s="1" t="str">
        <f>IF(AT144&gt;AT$162, AT144-AT$162,"")</f>
        <v/>
      </c>
      <c r="BX144" s="1" t="str">
        <f>IF(AU144&gt;AU$162, AU144-AU$162,"")</f>
        <v/>
      </c>
      <c r="BY144" s="1" t="str">
        <f>IF(AV144&gt;AV$162, AV144-AV$162,"")</f>
        <v/>
      </c>
      <c r="BZ144" s="1" t="str">
        <f>IF(AW144&gt;AW$162, AW144-AW$162,"")</f>
        <v/>
      </c>
      <c r="CA144" s="1" t="str">
        <f>IF(AX144&gt;AX$162, AX144-AX$162,"")</f>
        <v/>
      </c>
      <c r="CB144" s="1" t="str">
        <f>IF(AY144&gt;AY$162, AY144-AY$162,"")</f>
        <v/>
      </c>
      <c r="CC144" s="1" t="str">
        <f>IF(AZ144&gt;AZ$162, AZ144-AZ$162,"")</f>
        <v/>
      </c>
      <c r="CD144" s="1" t="str">
        <f>IF(BA144&gt;BA$162, BA144-BA$162,"")</f>
        <v/>
      </c>
      <c r="CE144" s="1" t="str">
        <f>IF(BB144&gt;BB$162, BB144-BB$162,"")</f>
        <v/>
      </c>
      <c r="CF144" s="1">
        <f>COUNTIF(BT144:CE144, "&gt;0")</f>
        <v>1</v>
      </c>
      <c r="CG144" s="1" t="str">
        <f>IF($CF144=1,BT144,"")</f>
        <v/>
      </c>
      <c r="CH144" s="1" t="str">
        <f>IF($CF144=1,BU144,"")</f>
        <v/>
      </c>
      <c r="CI144" s="1">
        <f>IF($CF144=1,BV144,"")</f>
        <v>13</v>
      </c>
      <c r="CJ144" s="1" t="str">
        <f>IF($CF144=1,BW144,"")</f>
        <v/>
      </c>
      <c r="CK144" s="1" t="str">
        <f>IF($CF144=1,BX144,"")</f>
        <v/>
      </c>
      <c r="CL144" s="1" t="str">
        <f>IF($CF144=1,BY144,"")</f>
        <v/>
      </c>
      <c r="CM144" s="1" t="str">
        <f>IF($CF144=1,BZ144,"")</f>
        <v/>
      </c>
      <c r="CN144" s="1" t="str">
        <f>IF($CF144=1,CA144,"")</f>
        <v/>
      </c>
      <c r="CO144" s="1" t="str">
        <f>IF($CF144=1,CB144,"")</f>
        <v/>
      </c>
      <c r="CP144" s="1" t="str">
        <f>IF($CF144=1,CC144,"")</f>
        <v/>
      </c>
      <c r="CQ144" s="1" t="str">
        <f>IF($CF144=1,CD144,"")</f>
        <v/>
      </c>
      <c r="CR144" s="1" t="str">
        <f>IF($CF144=1,CE144,"")</f>
        <v/>
      </c>
      <c r="CS144" s="18">
        <f>SUM(AE144:BO144)</f>
        <v>30</v>
      </c>
    </row>
    <row r="145" spans="1:97" ht="40.5" x14ac:dyDescent="0.15">
      <c r="A145" s="1"/>
      <c r="B145" s="1" t="s">
        <v>125</v>
      </c>
      <c r="C145" s="1" t="s">
        <v>126</v>
      </c>
      <c r="D145" s="1" t="s">
        <v>123</v>
      </c>
      <c r="E145" s="6"/>
      <c r="F145" s="6"/>
      <c r="G145" s="6">
        <v>15</v>
      </c>
      <c r="H145" s="6">
        <v>15</v>
      </c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>
        <v>15</v>
      </c>
      <c r="AT145" s="4"/>
      <c r="AU145" s="4"/>
      <c r="AV145" s="4"/>
      <c r="AW145" s="2"/>
      <c r="AX145" s="2"/>
      <c r="AY145" s="2"/>
      <c r="AZ145" s="2"/>
      <c r="BA145" s="2"/>
      <c r="BB145" s="2">
        <v>15</v>
      </c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29</v>
      </c>
      <c r="BR145" s="17">
        <v>3</v>
      </c>
      <c r="BS145" s="17" t="s">
        <v>263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40.5" x14ac:dyDescent="0.15">
      <c r="A146" s="1"/>
      <c r="B146" s="1" t="s">
        <v>148</v>
      </c>
      <c r="C146" s="1" t="s">
        <v>149</v>
      </c>
      <c r="D146" s="1" t="s">
        <v>123</v>
      </c>
      <c r="E146" s="6"/>
      <c r="F146" s="6"/>
      <c r="G146" s="6">
        <v>20</v>
      </c>
      <c r="H146" s="6">
        <v>20</v>
      </c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>
        <v>20</v>
      </c>
      <c r="BB146" s="2">
        <v>20</v>
      </c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34</v>
      </c>
      <c r="BR146" s="17">
        <v>3</v>
      </c>
      <c r="BS146" s="17" t="s">
        <v>259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54" x14ac:dyDescent="0.15">
      <c r="A147" s="1"/>
      <c r="B147" s="1" t="s">
        <v>182</v>
      </c>
      <c r="C147" s="1" t="s">
        <v>180</v>
      </c>
      <c r="D147" s="1" t="s">
        <v>164</v>
      </c>
      <c r="E147" s="6"/>
      <c r="F147" s="6"/>
      <c r="G147" s="6"/>
      <c r="H147" s="6">
        <v>7</v>
      </c>
      <c r="I147" s="6"/>
      <c r="J147" s="6"/>
      <c r="K147" s="6"/>
      <c r="L147" s="6"/>
      <c r="M147" s="6"/>
      <c r="N147" s="6"/>
      <c r="O147" s="6"/>
      <c r="P147" s="32"/>
      <c r="Q147" s="32">
        <v>7</v>
      </c>
      <c r="R147" s="32"/>
      <c r="S147" s="32"/>
      <c r="T147" s="32">
        <v>7</v>
      </c>
      <c r="U147" s="32"/>
      <c r="V147" s="32"/>
      <c r="W147" s="32"/>
      <c r="X147" s="32"/>
      <c r="Y147" s="32"/>
      <c r="Z147" s="32"/>
      <c r="AA147" s="32">
        <v>7</v>
      </c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18</v>
      </c>
      <c r="BR147" s="17">
        <v>4</v>
      </c>
      <c r="BS147" s="17" t="s">
        <v>271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173</v>
      </c>
      <c r="C148" s="1" t="s">
        <v>161</v>
      </c>
      <c r="D148" s="1" t="s">
        <v>164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>
        <v>10</v>
      </c>
      <c r="P148" s="32"/>
      <c r="Q148" s="32"/>
      <c r="R148" s="32">
        <v>10</v>
      </c>
      <c r="S148" s="32"/>
      <c r="T148" s="32"/>
      <c r="U148" s="32"/>
      <c r="V148" s="32"/>
      <c r="W148" s="32"/>
      <c r="X148" s="32">
        <v>10</v>
      </c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>
        <v>10</v>
      </c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22</v>
      </c>
      <c r="BR148" s="17">
        <v>4</v>
      </c>
      <c r="BS148" s="17" t="s">
        <v>276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179</v>
      </c>
      <c r="C149" s="1" t="s">
        <v>180</v>
      </c>
      <c r="D149" s="1" t="s">
        <v>164</v>
      </c>
      <c r="E149" s="6">
        <v>10</v>
      </c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32"/>
      <c r="Q149" s="32"/>
      <c r="R149" s="32">
        <v>10</v>
      </c>
      <c r="S149" s="32"/>
      <c r="T149" s="32"/>
      <c r="U149" s="32">
        <v>10</v>
      </c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>
        <v>10</v>
      </c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27</v>
      </c>
      <c r="BR149" s="17">
        <v>4</v>
      </c>
      <c r="BS149" s="17" t="s">
        <v>261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/>
      <c r="B150" s="1" t="s">
        <v>187</v>
      </c>
      <c r="C150" s="1" t="s">
        <v>185</v>
      </c>
      <c r="D150" s="1" t="s">
        <v>164</v>
      </c>
      <c r="E150" s="6">
        <v>10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>
        <v>10</v>
      </c>
      <c r="S150" s="32"/>
      <c r="T150" s="32"/>
      <c r="U150" s="32">
        <v>10</v>
      </c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>
        <v>10</v>
      </c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27</v>
      </c>
      <c r="BR150" s="17">
        <v>4</v>
      </c>
      <c r="BS150" s="17" t="s">
        <v>261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54" x14ac:dyDescent="0.15">
      <c r="A151" s="1"/>
      <c r="B151" s="1" t="s">
        <v>200</v>
      </c>
      <c r="C151" s="1" t="s">
        <v>196</v>
      </c>
      <c r="D151" s="1" t="s">
        <v>164</v>
      </c>
      <c r="E151" s="6">
        <v>10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>
        <v>10</v>
      </c>
      <c r="S151" s="32"/>
      <c r="T151" s="32"/>
      <c r="U151" s="32">
        <v>10</v>
      </c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>
        <v>10</v>
      </c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27</v>
      </c>
      <c r="BR151" s="17">
        <v>4</v>
      </c>
      <c r="BS151" s="17" t="s">
        <v>261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54" x14ac:dyDescent="0.15">
      <c r="A152" s="1"/>
      <c r="B152" s="1" t="s">
        <v>198</v>
      </c>
      <c r="C152" s="1" t="s">
        <v>196</v>
      </c>
      <c r="D152" s="1" t="s">
        <v>164</v>
      </c>
      <c r="E152" s="6"/>
      <c r="F152" s="6"/>
      <c r="G152" s="6"/>
      <c r="H152" s="6">
        <v>10</v>
      </c>
      <c r="I152" s="6"/>
      <c r="J152" s="6"/>
      <c r="K152" s="6"/>
      <c r="L152" s="6"/>
      <c r="M152" s="6"/>
      <c r="N152" s="6"/>
      <c r="O152" s="6"/>
      <c r="P152" s="32"/>
      <c r="Q152" s="32"/>
      <c r="R152" s="32">
        <v>10</v>
      </c>
      <c r="S152" s="32"/>
      <c r="T152" s="32"/>
      <c r="U152" s="32">
        <v>10</v>
      </c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>
        <v>10</v>
      </c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32</v>
      </c>
      <c r="BR152" s="17">
        <v>4</v>
      </c>
      <c r="BS152" s="17" t="s">
        <v>275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125</v>
      </c>
      <c r="C153" s="1" t="s">
        <v>126</v>
      </c>
      <c r="D153" s="1" t="s">
        <v>127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>
        <v>40</v>
      </c>
      <c r="AW153" s="2">
        <v>40</v>
      </c>
      <c r="AX153" s="2"/>
      <c r="AY153" s="2"/>
      <c r="AZ153" s="2"/>
      <c r="BA153" s="2"/>
      <c r="BB153" s="2">
        <v>40</v>
      </c>
      <c r="BC153" s="14">
        <v>10</v>
      </c>
      <c r="BD153" s="1">
        <v>50</v>
      </c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v>58</v>
      </c>
      <c r="BR153" s="17">
        <v>4</v>
      </c>
      <c r="BS153" s="17" t="s">
        <v>278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>
        <v>85</v>
      </c>
      <c r="B154" s="3" t="s">
        <v>76</v>
      </c>
      <c r="C154" s="3" t="s">
        <v>71</v>
      </c>
      <c r="D154" s="1" t="s">
        <v>40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>
        <f>SUM(E154:BO154)</f>
        <v>200</v>
      </c>
      <c r="BQ154" s="1">
        <v>195</v>
      </c>
      <c r="BR154" s="17">
        <v>4</v>
      </c>
      <c r="BS154" s="17" t="s">
        <v>279</v>
      </c>
      <c r="BT154" s="1" t="str">
        <f>IF(AQ154&gt;AQ$162, AQ154-AQ$162,"")</f>
        <v/>
      </c>
      <c r="BU154" s="1" t="str">
        <f>IF(AR154&gt;AR$162, AR154-AR$162,"")</f>
        <v/>
      </c>
      <c r="BV154" s="1" t="str">
        <f>IF(AS154&gt;AS$162, AS154-AS$162,"")</f>
        <v/>
      </c>
      <c r="BW154" s="1" t="str">
        <f>IF(AT154&gt;AT$162, AT154-AT$162,"")</f>
        <v/>
      </c>
      <c r="BX154" s="1" t="str">
        <f>IF(AU154&gt;AU$162, AU154-AU$162,"")</f>
        <v/>
      </c>
      <c r="BY154" s="1" t="str">
        <f>IF(AV154&gt;AV$162, AV154-AV$162,"")</f>
        <v/>
      </c>
      <c r="BZ154" s="1" t="str">
        <f>IF(AW154&gt;AW$162, AW154-AW$162,"")</f>
        <v/>
      </c>
      <c r="CA154" s="1" t="str">
        <f>IF(AX154&gt;AX$162, AX154-AX$162,"")</f>
        <v/>
      </c>
      <c r="CB154" s="1" t="str">
        <f>IF(AY154&gt;AY$162, AY154-AY$162,"")</f>
        <v/>
      </c>
      <c r="CC154" s="1" t="str">
        <f>IF(AZ154&gt;AZ$162, AZ154-AZ$162,"")</f>
        <v/>
      </c>
      <c r="CD154" s="1" t="str">
        <f>IF(BA154&gt;BA$162, BA154-BA$162,"")</f>
        <v/>
      </c>
      <c r="CE154" s="1" t="str">
        <f>IF(BB154&gt;BB$162, BB154-BB$162,"")</f>
        <v/>
      </c>
      <c r="CF154" s="1">
        <f>COUNTIF(BT154:CE154, "&gt;0")</f>
        <v>0</v>
      </c>
      <c r="CG154" s="1" t="str">
        <f>IF($CF154=1,BT154,"")</f>
        <v/>
      </c>
      <c r="CH154" s="1" t="str">
        <f>IF($CF154=1,BU154,"")</f>
        <v/>
      </c>
      <c r="CI154" s="1" t="str">
        <f>IF($CF154=1,BV154,"")</f>
        <v/>
      </c>
      <c r="CJ154" s="1" t="str">
        <f>IF($CF154=1,BW154,"")</f>
        <v/>
      </c>
      <c r="CK154" s="1" t="str">
        <f>IF($CF154=1,BX154,"")</f>
        <v/>
      </c>
      <c r="CL154" s="1" t="str">
        <f>IF($CF154=1,BY154,"")</f>
        <v/>
      </c>
      <c r="CM154" s="1" t="str">
        <f>IF($CF154=1,BZ154,"")</f>
        <v/>
      </c>
      <c r="CN154" s="1" t="str">
        <f>IF($CF154=1,CA154,"")</f>
        <v/>
      </c>
      <c r="CO154" s="1" t="str">
        <f>IF($CF154=1,CB154,"")</f>
        <v/>
      </c>
      <c r="CP154" s="1" t="str">
        <f>IF($CF154=1,CC154,"")</f>
        <v/>
      </c>
      <c r="CQ154" s="1" t="str">
        <f>IF($CF154=1,CD154,"")</f>
        <v/>
      </c>
      <c r="CR154" s="1" t="str">
        <f>IF($CF154=1,CE154,"")</f>
        <v/>
      </c>
      <c r="CS154" s="18">
        <f>SUM(AE154:BO154)</f>
        <v>200</v>
      </c>
    </row>
    <row r="155" spans="1:97" ht="54" x14ac:dyDescent="0.15">
      <c r="A155" s="1">
        <v>23</v>
      </c>
      <c r="B155" s="1" t="s">
        <v>114</v>
      </c>
      <c r="C155" s="1" t="s">
        <v>32</v>
      </c>
      <c r="D155" s="1" t="s">
        <v>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>
        <f>SUM(E155:BO155)</f>
        <v>200</v>
      </c>
      <c r="BQ155" s="1">
        <v>195</v>
      </c>
      <c r="BR155" s="17">
        <v>4</v>
      </c>
      <c r="BS155" s="17" t="s">
        <v>280</v>
      </c>
      <c r="BT155" s="1" t="str">
        <f>IF(AQ155&gt;AQ$162, AQ155-AQ$162,"")</f>
        <v/>
      </c>
      <c r="BU155" s="1" t="str">
        <f>IF(AR155&gt;AR$162, AR155-AR$162,"")</f>
        <v/>
      </c>
      <c r="BV155" s="1" t="str">
        <f>IF(AS155&gt;AS$162, AS155-AS$162,"")</f>
        <v/>
      </c>
      <c r="BW155" s="1" t="str">
        <f>IF(AT155&gt;AT$162, AT155-AT$162,"")</f>
        <v/>
      </c>
      <c r="BX155" s="1" t="str">
        <f>IF(AU155&gt;AU$162, AU155-AU$162,"")</f>
        <v/>
      </c>
      <c r="BY155" s="1" t="str">
        <f>IF(AV155&gt;AV$162, AV155-AV$162,"")</f>
        <v/>
      </c>
      <c r="BZ155" s="1" t="str">
        <f>IF(AW155&gt;AW$162, AW155-AW$162,"")</f>
        <v/>
      </c>
      <c r="CA155" s="1" t="str">
        <f>IF(AX155&gt;AX$162, AX155-AX$162,"")</f>
        <v/>
      </c>
      <c r="CB155" s="1" t="str">
        <f>IF(AY155&gt;AY$162, AY155-AY$162,"")</f>
        <v/>
      </c>
      <c r="CC155" s="1" t="str">
        <f>IF(AZ155&gt;AZ$162, AZ155-AZ$162,"")</f>
        <v/>
      </c>
      <c r="CD155" s="1" t="str">
        <f>IF(BA155&gt;BA$162, BA155-BA$162,"")</f>
        <v/>
      </c>
      <c r="CE155" s="1" t="str">
        <f>IF(BB155&gt;BB$162, BB155-BB$162,"")</f>
        <v/>
      </c>
      <c r="CF155" s="1">
        <f>COUNTIF(BT155:CE155, "&gt;0")</f>
        <v>0</v>
      </c>
      <c r="CG155" s="1" t="str">
        <f>IF($CF155=1,BT155,"")</f>
        <v/>
      </c>
      <c r="CH155" s="1" t="str">
        <f>IF($CF155=1,BU155,"")</f>
        <v/>
      </c>
      <c r="CI155" s="1" t="str">
        <f>IF($CF155=1,BV155,"")</f>
        <v/>
      </c>
      <c r="CJ155" s="1" t="str">
        <f>IF($CF155=1,BW155,"")</f>
        <v/>
      </c>
      <c r="CK155" s="1" t="str">
        <f>IF($CF155=1,BX155,"")</f>
        <v/>
      </c>
      <c r="CL155" s="1" t="str">
        <f>IF($CF155=1,BY155,"")</f>
        <v/>
      </c>
      <c r="CM155" s="1" t="str">
        <f>IF($CF155=1,BZ155,"")</f>
        <v/>
      </c>
      <c r="CN155" s="1" t="str">
        <f>IF($CF155=1,CA155,"")</f>
        <v/>
      </c>
      <c r="CO155" s="1" t="str">
        <f>IF($CF155=1,CB155,"")</f>
        <v/>
      </c>
      <c r="CP155" s="1" t="str">
        <f>IF($CF155=1,CC155,"")</f>
        <v/>
      </c>
      <c r="CQ155" s="1" t="str">
        <f>IF($CF155=1,CD155,"")</f>
        <v/>
      </c>
      <c r="CR155" s="1" t="str">
        <f>IF($CF155=1,CE155,"")</f>
        <v/>
      </c>
      <c r="CS155" s="18">
        <f>SUM(AE155:BO155)</f>
        <v>200</v>
      </c>
    </row>
    <row r="156" spans="1:97" ht="54" x14ac:dyDescent="0.15">
      <c r="A156" s="1"/>
      <c r="B156" s="1" t="s">
        <v>139</v>
      </c>
      <c r="C156" s="1" t="s">
        <v>137</v>
      </c>
      <c r="D156" s="1" t="s">
        <v>140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/>
      <c r="BQ156" s="1">
        <v>195</v>
      </c>
      <c r="BR156" s="17">
        <v>4</v>
      </c>
      <c r="BS156" s="17" t="s">
        <v>280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/>
      <c r="B157" s="1" t="s">
        <v>154</v>
      </c>
      <c r="C157" s="1" t="s">
        <v>149</v>
      </c>
      <c r="D157" s="1" t="s">
        <v>140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>
        <v>50</v>
      </c>
      <c r="BM157" s="1">
        <v>50</v>
      </c>
      <c r="BN157" s="1">
        <v>50</v>
      </c>
      <c r="BO157" s="1">
        <v>50</v>
      </c>
      <c r="BP157" s="1"/>
      <c r="BQ157" s="1">
        <v>195</v>
      </c>
      <c r="BR157" s="17">
        <v>4</v>
      </c>
      <c r="BS157" s="17" t="s">
        <v>279</v>
      </c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8"/>
    </row>
    <row r="158" spans="1:97" ht="54" x14ac:dyDescent="0.15">
      <c r="A158" s="1"/>
      <c r="B158" s="1" t="s">
        <v>159</v>
      </c>
      <c r="C158" s="1" t="s">
        <v>149</v>
      </c>
      <c r="D158" s="1" t="s">
        <v>140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>
        <v>50</v>
      </c>
      <c r="BM158" s="1">
        <v>50</v>
      </c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279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ht="54" x14ac:dyDescent="0.15">
      <c r="A159" s="1"/>
      <c r="B159" s="1" t="s">
        <v>193</v>
      </c>
      <c r="C159" s="1" t="s">
        <v>194</v>
      </c>
      <c r="D159" s="1" t="s">
        <v>40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/>
      <c r="BQ159" s="1">
        <v>195</v>
      </c>
      <c r="BR159" s="17">
        <v>4</v>
      </c>
      <c r="BS159" s="17" t="s">
        <v>280</v>
      </c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ht="54" x14ac:dyDescent="0.15">
      <c r="A160" s="1">
        <v>102</v>
      </c>
      <c r="B160" s="3" t="s">
        <v>111</v>
      </c>
      <c r="C160" s="3" t="s">
        <v>78</v>
      </c>
      <c r="D160" s="1" t="s">
        <v>40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>
        <v>50</v>
      </c>
      <c r="BK160" s="1">
        <v>50</v>
      </c>
      <c r="BL160" s="1"/>
      <c r="BM160" s="1"/>
      <c r="BN160" s="1">
        <v>50</v>
      </c>
      <c r="BO160" s="1">
        <v>50</v>
      </c>
      <c r="BP160" s="1">
        <f>SUM(E160:BO160)</f>
        <v>200</v>
      </c>
      <c r="BQ160" s="1">
        <v>195</v>
      </c>
      <c r="BR160" s="17">
        <v>4</v>
      </c>
      <c r="BS160" s="17" t="s">
        <v>280</v>
      </c>
      <c r="BT160" s="1" t="str">
        <f>IF(AQ160&gt;AQ$162, AQ160-AQ$162,"")</f>
        <v/>
      </c>
      <c r="BU160" s="1" t="str">
        <f>IF(AR160&gt;AR$162, AR160-AR$162,"")</f>
        <v/>
      </c>
      <c r="BV160" s="1" t="str">
        <f>IF(AS160&gt;AS$162, AS160-AS$162,"")</f>
        <v/>
      </c>
      <c r="BW160" s="1" t="str">
        <f>IF(AT160&gt;AT$162, AT160-AT$162,"")</f>
        <v/>
      </c>
      <c r="BX160" s="1" t="str">
        <f>IF(AU160&gt;AU$162, AU160-AU$162,"")</f>
        <v/>
      </c>
      <c r="BY160" s="1" t="str">
        <f>IF(AV160&gt;AV$162, AV160-AV$162,"")</f>
        <v/>
      </c>
      <c r="BZ160" s="1" t="str">
        <f>IF(AW160&gt;AW$162, AW160-AW$162,"")</f>
        <v/>
      </c>
      <c r="CA160" s="1" t="str">
        <f>IF(AX160&gt;AX$162, AX160-AX$162,"")</f>
        <v/>
      </c>
      <c r="CB160" s="1" t="str">
        <f>IF(AY160&gt;AY$162, AY160-AY$162,"")</f>
        <v/>
      </c>
      <c r="CC160" s="1" t="str">
        <f>IF(AZ160&gt;AZ$162, AZ160-AZ$162,"")</f>
        <v/>
      </c>
      <c r="CD160" s="1" t="str">
        <f>IF(BA160&gt;BA$162, BA160-BA$162,"")</f>
        <v/>
      </c>
      <c r="CE160" s="1" t="str">
        <f>IF(BB160&gt;BB$162, BB160-BB$162,"")</f>
        <v/>
      </c>
      <c r="CF160" s="1">
        <f>COUNTIF(BT160:CE160, "&gt;0")</f>
        <v>0</v>
      </c>
      <c r="CG160" s="1" t="str">
        <f>IF($CF160=1,BT160,"")</f>
        <v/>
      </c>
      <c r="CH160" s="1" t="str">
        <f>IF($CF160=1,BU160,"")</f>
        <v/>
      </c>
      <c r="CI160" s="1" t="str">
        <f>IF($CF160=1,BV160,"")</f>
        <v/>
      </c>
      <c r="CJ160" s="1" t="str">
        <f>IF($CF160=1,BW160,"")</f>
        <v/>
      </c>
      <c r="CK160" s="1" t="str">
        <f>IF($CF160=1,BX160,"")</f>
        <v/>
      </c>
      <c r="CL160" s="1" t="str">
        <f>IF($CF160=1,BY160,"")</f>
        <v/>
      </c>
      <c r="CM160" s="1" t="str">
        <f>IF($CF160=1,BZ160,"")</f>
        <v/>
      </c>
      <c r="CN160" s="1" t="str">
        <f>IF($CF160=1,CA160,"")</f>
        <v/>
      </c>
      <c r="CO160" s="1" t="str">
        <f>IF($CF160=1,CB160,"")</f>
        <v/>
      </c>
      <c r="CP160" s="1" t="str">
        <f>IF($CF160=1,CC160,"")</f>
        <v/>
      </c>
      <c r="CQ160" s="1" t="str">
        <f>IF($CF160=1,CD160,"")</f>
        <v/>
      </c>
      <c r="CR160" s="1" t="str">
        <f>IF($CF160=1,CE160,"")</f>
        <v/>
      </c>
      <c r="CS160" s="18">
        <f>SUM(AE160:BO160)</f>
        <v>200</v>
      </c>
    </row>
    <row r="161" spans="1:97" x14ac:dyDescent="0.15">
      <c r="A161" s="1"/>
      <c r="B161" s="1" t="s">
        <v>81</v>
      </c>
      <c r="C161" s="1"/>
      <c r="D161" s="1"/>
      <c r="E161" s="6">
        <f>SUM(E2:E160)</f>
        <v>178</v>
      </c>
      <c r="F161" s="6">
        <f>SUM(F2:F160)</f>
        <v>89</v>
      </c>
      <c r="G161" s="6">
        <f>SUM(G2:G160)</f>
        <v>214</v>
      </c>
      <c r="H161" s="6">
        <f>SUM(H2:H160)</f>
        <v>190</v>
      </c>
      <c r="I161" s="6">
        <f>SUM(I2:I160)</f>
        <v>67</v>
      </c>
      <c r="J161" s="6">
        <f>SUM(J2:J160)</f>
        <v>86</v>
      </c>
      <c r="K161" s="6">
        <f>SUM(K2:K160)</f>
        <v>54</v>
      </c>
      <c r="L161" s="6">
        <f>SUM(L2:L160)</f>
        <v>98</v>
      </c>
      <c r="M161" s="6">
        <f>SUM(M2:M160)</f>
        <v>47</v>
      </c>
      <c r="N161" s="6">
        <f>SUM(N2:N160)</f>
        <v>47</v>
      </c>
      <c r="O161" s="6">
        <f>SUM(O2:O160)</f>
        <v>99</v>
      </c>
      <c r="P161" s="32">
        <f>SUM(P2:P160)</f>
        <v>130</v>
      </c>
      <c r="Q161" s="32">
        <f>SUM(Q2:Q160)</f>
        <v>71</v>
      </c>
      <c r="R161" s="32">
        <f>SUM(R2:R160)</f>
        <v>83</v>
      </c>
      <c r="S161" s="32">
        <f>SUM(S2:S160)</f>
        <v>130</v>
      </c>
      <c r="T161" s="32">
        <f>SUM(T2:T160)</f>
        <v>56</v>
      </c>
      <c r="U161" s="32">
        <f>SUM(U2:U160)</f>
        <v>62</v>
      </c>
      <c r="V161" s="32">
        <f>SUM(V2:V160)</f>
        <v>145</v>
      </c>
      <c r="W161" s="32">
        <f>SUM(W2:W160)</f>
        <v>30</v>
      </c>
      <c r="X161" s="32">
        <f>SUM(X2:X160)</f>
        <v>49</v>
      </c>
      <c r="Y161" s="32">
        <f>SUM(Y2:Y160)</f>
        <v>135</v>
      </c>
      <c r="Z161" s="32">
        <f>SUM(Z2:Z160)</f>
        <v>45</v>
      </c>
      <c r="AA161" s="32">
        <f>SUM(AA2:AA160)</f>
        <v>33</v>
      </c>
      <c r="AB161" s="32">
        <f>SUM(AB2:AB160)</f>
        <v>130</v>
      </c>
      <c r="AC161" s="32">
        <f>SUM(AC2:AC160)</f>
        <v>30</v>
      </c>
      <c r="AD161" s="32">
        <f>SUM(AD2:AD160)</f>
        <v>12</v>
      </c>
      <c r="AE161" s="1">
        <f>SUM(AE2:AE160)</f>
        <v>275</v>
      </c>
      <c r="AF161" s="1">
        <f>SUM(AF2:AF160)</f>
        <v>10</v>
      </c>
      <c r="AG161" s="1">
        <f>SUM(AG2:AG160)</f>
        <v>15</v>
      </c>
      <c r="AH161" s="1">
        <f>SUM(AH2:AH160)</f>
        <v>30</v>
      </c>
      <c r="AI161" s="1">
        <f>SUM(AI2:AI160)</f>
        <v>30</v>
      </c>
      <c r="AJ161" s="1">
        <f>SUM(AJ2:AJ160)</f>
        <v>5</v>
      </c>
      <c r="AK161" s="1">
        <f>SUM(AK2:AK160)</f>
        <v>0</v>
      </c>
      <c r="AL161" s="1">
        <f>SUM(AL2:AL160)</f>
        <v>0</v>
      </c>
      <c r="AM161" s="1">
        <f>SUM(AM2:AM160)</f>
        <v>20</v>
      </c>
      <c r="AN161" s="1">
        <f>SUM(AN2:AN160)</f>
        <v>50</v>
      </c>
      <c r="AO161" s="1">
        <f>SUM(AO2:AO160)</f>
        <v>25</v>
      </c>
      <c r="AP161" s="1">
        <f>SUM(AP2:AP160)</f>
        <v>26</v>
      </c>
      <c r="AQ161" s="4">
        <f>SUM(AQ2:AQ160)</f>
        <v>100</v>
      </c>
      <c r="AR161" s="4">
        <f>SUM(AR2:AR160)</f>
        <v>130</v>
      </c>
      <c r="AS161" s="4">
        <f>SUM(AS2:AS160)</f>
        <v>80</v>
      </c>
      <c r="AT161" s="4">
        <f>SUM(AT2:AT160)</f>
        <v>103</v>
      </c>
      <c r="AU161" s="4">
        <f>SUM(AU2:AU160)</f>
        <v>48</v>
      </c>
      <c r="AV161" s="4">
        <f>SUM(AV2:AV160)</f>
        <v>125</v>
      </c>
      <c r="AW161" s="2">
        <f>SUM(AW2:AW160)</f>
        <v>128</v>
      </c>
      <c r="AX161" s="2">
        <f>SUM(AX2:AX160)</f>
        <v>80</v>
      </c>
      <c r="AY161" s="2">
        <f>SUM(AY2:AY160)</f>
        <v>43</v>
      </c>
      <c r="AZ161" s="2">
        <f>SUM(AZ2:AZ160)</f>
        <v>91</v>
      </c>
      <c r="BA161" s="2">
        <f>SUM(BA2:BA160)</f>
        <v>211</v>
      </c>
      <c r="BB161" s="2">
        <f>SUM(BB2:BB160)</f>
        <v>385</v>
      </c>
      <c r="BC161" s="1">
        <f>SUM(BC2:BC160)</f>
        <v>10</v>
      </c>
      <c r="BD161" s="1">
        <f>SUM(BD2:BD160)</f>
        <v>150</v>
      </c>
      <c r="BE161" s="1">
        <f>SUM(BE2:BE160)</f>
        <v>100</v>
      </c>
      <c r="BF161" s="1">
        <f>SUM(BF2:BF160)</f>
        <v>120</v>
      </c>
      <c r="BG161" s="1">
        <f>SUM(BG2:BG160)</f>
        <v>120</v>
      </c>
      <c r="BH161" s="1">
        <f>SUM(BH2:BH160)</f>
        <v>120</v>
      </c>
      <c r="BI161" s="1">
        <f>SUM(BI2:BI160)</f>
        <v>90</v>
      </c>
      <c r="BJ161" s="1">
        <f>SUM(BJ2:BJ160)</f>
        <v>200</v>
      </c>
      <c r="BK161" s="1">
        <f>SUM(BK2:BK160)</f>
        <v>200</v>
      </c>
      <c r="BL161" s="1">
        <f>SUM(BL2:BL160)</f>
        <v>150</v>
      </c>
      <c r="BM161" s="1">
        <f>SUM(BM2:BM160)</f>
        <v>150</v>
      </c>
      <c r="BN161" s="1">
        <f>SUM(BN2:BN160)</f>
        <v>350</v>
      </c>
      <c r="BO161" s="1">
        <f>SUM(BO2:BO160)</f>
        <v>350</v>
      </c>
      <c r="BP161" s="1"/>
      <c r="BQ161" s="1"/>
      <c r="BR161" s="17"/>
      <c r="BS161" s="17"/>
      <c r="BT161" s="1">
        <f>MIN(BT2:BT160)</f>
        <v>4</v>
      </c>
      <c r="BU161" s="1">
        <f>MIN(BU2:BU160)</f>
        <v>0</v>
      </c>
      <c r="BV161" s="1">
        <f>MIN(BV2:BV160)</f>
        <v>3</v>
      </c>
      <c r="BW161" s="1">
        <f>MIN(BW2:BW160)</f>
        <v>5</v>
      </c>
      <c r="BX161" s="1">
        <f>MIN(BX2:BX160)</f>
        <v>5</v>
      </c>
      <c r="BY161" s="1">
        <f>MIN(BY2:BY160)</f>
        <v>0</v>
      </c>
      <c r="BZ161" s="1">
        <f>MIN(BZ2:BZ160)</f>
        <v>1</v>
      </c>
      <c r="CA161" s="1">
        <f>MIN(CA2:CA160)</f>
        <v>0</v>
      </c>
      <c r="CB161" s="1">
        <f>MIN(CB2:CB160)</f>
        <v>0</v>
      </c>
      <c r="CC161" s="1">
        <f>MIN(CC2:CC160)</f>
        <v>0</v>
      </c>
      <c r="CD161" s="1">
        <f>MIN(CD2:CD160)</f>
        <v>3</v>
      </c>
      <c r="CE161" s="1">
        <f>MIN(CE2:CE160)</f>
        <v>0</v>
      </c>
      <c r="CF161" s="1"/>
      <c r="CG161" s="1">
        <f>MIN(CG2:CG160)</f>
        <v>4</v>
      </c>
      <c r="CH161" s="1">
        <f>MIN(CH2:CH160)</f>
        <v>0</v>
      </c>
      <c r="CI161" s="1">
        <f>MIN(CI2:CI160)</f>
        <v>3</v>
      </c>
      <c r="CJ161" s="1">
        <f>MIN(CJ2:CJ160)</f>
        <v>0</v>
      </c>
      <c r="CK161" s="1">
        <f>MIN(CK2:CK160)</f>
        <v>5</v>
      </c>
      <c r="CL161" s="1">
        <f>MIN(CL2:CL160)</f>
        <v>0</v>
      </c>
      <c r="CM161" s="1">
        <f>MIN(CM2:CM160)</f>
        <v>0</v>
      </c>
      <c r="CN161" s="1">
        <f>MIN(CN2:CN160)</f>
        <v>0</v>
      </c>
      <c r="CO161" s="1">
        <f>MIN(CO2:CO160)</f>
        <v>0</v>
      </c>
      <c r="CP161" s="1">
        <f>MIN(CP2:CP160)</f>
        <v>0</v>
      </c>
      <c r="CQ161" s="1">
        <f>MIN(CQ2:CQ160)</f>
        <v>3</v>
      </c>
      <c r="CR161" s="1">
        <f>MIN(CR2:CR160)</f>
        <v>0</v>
      </c>
      <c r="CS161" s="18">
        <f>COUNTIF(CS2:CS160,"=0")</f>
        <v>8</v>
      </c>
    </row>
    <row r="162" spans="1:97" x14ac:dyDescent="0.15">
      <c r="A162" s="1"/>
      <c r="B162" s="3" t="s">
        <v>103</v>
      </c>
      <c r="C162" s="1"/>
      <c r="D162" s="1"/>
      <c r="E162" s="1">
        <v>8</v>
      </c>
      <c r="F162" s="1">
        <v>3</v>
      </c>
      <c r="G162" s="1">
        <v>11</v>
      </c>
      <c r="H162" s="1">
        <v>3</v>
      </c>
      <c r="I162" s="1">
        <v>26</v>
      </c>
      <c r="J162" s="1">
        <v>35</v>
      </c>
      <c r="K162" s="1">
        <v>22</v>
      </c>
      <c r="L162" s="1">
        <v>43</v>
      </c>
      <c r="M162" s="1">
        <v>7</v>
      </c>
      <c r="N162" s="1">
        <v>25</v>
      </c>
      <c r="O162" s="1">
        <v>8</v>
      </c>
      <c r="P162" s="14">
        <v>12</v>
      </c>
      <c r="Q162" s="14">
        <v>1</v>
      </c>
      <c r="R162" s="14">
        <v>2</v>
      </c>
      <c r="S162" s="14">
        <v>11</v>
      </c>
      <c r="T162" s="14">
        <v>5</v>
      </c>
      <c r="U162" s="14">
        <v>0</v>
      </c>
      <c r="V162" s="14">
        <v>12</v>
      </c>
      <c r="W162" s="14">
        <v>2</v>
      </c>
      <c r="X162" s="14">
        <v>6</v>
      </c>
      <c r="Y162" s="14">
        <v>10</v>
      </c>
      <c r="Z162" s="14">
        <v>1</v>
      </c>
      <c r="AA162" s="14">
        <v>1</v>
      </c>
      <c r="AB162" s="14">
        <v>8</v>
      </c>
      <c r="AC162" s="14">
        <v>2</v>
      </c>
      <c r="AD162" s="14">
        <v>4</v>
      </c>
      <c r="AE162" s="1">
        <v>12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33</v>
      </c>
      <c r="AL162" s="1">
        <v>43</v>
      </c>
      <c r="AM162" s="1">
        <v>4</v>
      </c>
      <c r="AN162" s="1">
        <v>0</v>
      </c>
      <c r="AO162" s="1">
        <v>0</v>
      </c>
      <c r="AP162" s="1">
        <v>0</v>
      </c>
      <c r="AQ162" s="14">
        <v>6</v>
      </c>
      <c r="AR162" s="14">
        <v>16</v>
      </c>
      <c r="AS162" s="14">
        <v>2</v>
      </c>
      <c r="AT162" s="14">
        <v>15</v>
      </c>
      <c r="AU162" s="14">
        <v>3</v>
      </c>
      <c r="AV162" s="14">
        <v>15</v>
      </c>
      <c r="AW162" s="14">
        <v>19</v>
      </c>
      <c r="AX162" s="14">
        <v>25</v>
      </c>
      <c r="AY162" s="14">
        <v>13</v>
      </c>
      <c r="AZ162" s="14">
        <v>16</v>
      </c>
      <c r="BA162" s="14">
        <v>12</v>
      </c>
      <c r="BB162" s="14">
        <v>158</v>
      </c>
      <c r="BC162" s="14"/>
      <c r="BD162" s="1">
        <v>48</v>
      </c>
      <c r="BE162" s="1">
        <v>48</v>
      </c>
      <c r="BF162" s="1">
        <v>81</v>
      </c>
      <c r="BG162" s="1">
        <v>90</v>
      </c>
      <c r="BH162" s="1">
        <v>48</v>
      </c>
      <c r="BI162" s="1">
        <v>44</v>
      </c>
      <c r="BJ162" s="1">
        <v>5</v>
      </c>
      <c r="BK162" s="1"/>
      <c r="BL162" s="1">
        <v>5</v>
      </c>
      <c r="BM162" s="1"/>
      <c r="BN162" s="1"/>
      <c r="BO162" s="1"/>
      <c r="BP162" s="1"/>
      <c r="BQ162" s="1"/>
      <c r="BR162" s="17"/>
      <c r="BS162" s="17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</row>
    <row r="163" spans="1:97" x14ac:dyDescent="0.15">
      <c r="A163" s="1"/>
      <c r="B163" s="3" t="s">
        <v>110</v>
      </c>
      <c r="C163" s="1"/>
      <c r="D163" s="1"/>
      <c r="E163" s="1">
        <f>E162-E161</f>
        <v>-170</v>
      </c>
      <c r="F163" s="1">
        <f>F162-F161</f>
        <v>-86</v>
      </c>
      <c r="G163" s="1">
        <f>G162-G161</f>
        <v>-203</v>
      </c>
      <c r="H163" s="1">
        <f>H162-H161</f>
        <v>-187</v>
      </c>
      <c r="I163" s="1">
        <f>I162-I161</f>
        <v>-41</v>
      </c>
      <c r="J163" s="1">
        <f>J162-J161</f>
        <v>-51</v>
      </c>
      <c r="K163" s="1">
        <f>K162-K161</f>
        <v>-32</v>
      </c>
      <c r="L163" s="1">
        <f>L162-L161</f>
        <v>-55</v>
      </c>
      <c r="M163" s="1">
        <f>M162-M161</f>
        <v>-40</v>
      </c>
      <c r="N163" s="1">
        <f>N162-N161</f>
        <v>-22</v>
      </c>
      <c r="O163" s="1">
        <f>O162-O161</f>
        <v>-91</v>
      </c>
      <c r="P163" s="1">
        <f>P162-P161</f>
        <v>-118</v>
      </c>
      <c r="Q163" s="1">
        <f>Q162-Q161</f>
        <v>-70</v>
      </c>
      <c r="R163" s="1">
        <f>R162-R161</f>
        <v>-81</v>
      </c>
      <c r="S163" s="1">
        <f>S162-S161</f>
        <v>-119</v>
      </c>
      <c r="T163" s="1">
        <f>T162-T161</f>
        <v>-51</v>
      </c>
      <c r="U163" s="1">
        <f>U162-U161</f>
        <v>-62</v>
      </c>
      <c r="V163" s="1">
        <f>V162-V161</f>
        <v>-133</v>
      </c>
      <c r="W163" s="1">
        <f>W162-W161</f>
        <v>-28</v>
      </c>
      <c r="X163" s="1">
        <f>X162-X161</f>
        <v>-43</v>
      </c>
      <c r="Y163" s="1">
        <f>Y162-Y161</f>
        <v>-125</v>
      </c>
      <c r="Z163" s="1">
        <f>Z162-Z161</f>
        <v>-44</v>
      </c>
      <c r="AA163" s="1">
        <f>AA162-AA161</f>
        <v>-32</v>
      </c>
      <c r="AB163" s="1">
        <f>AB162-AB161</f>
        <v>-122</v>
      </c>
      <c r="AC163" s="1">
        <f>AC162-AC161</f>
        <v>-28</v>
      </c>
      <c r="AD163" s="1">
        <f>AD162-AD161</f>
        <v>-8</v>
      </c>
      <c r="AE163" s="1">
        <f>AE162-AE161</f>
        <v>-263</v>
      </c>
      <c r="AF163" s="1">
        <f>AF162-AF161</f>
        <v>-10</v>
      </c>
      <c r="AG163" s="1">
        <f>AG162-AG161</f>
        <v>-15</v>
      </c>
      <c r="AH163" s="1">
        <f>AH162-AH161</f>
        <v>-30</v>
      </c>
      <c r="AI163" s="1">
        <f>AI162-AI161</f>
        <v>-30</v>
      </c>
      <c r="AJ163" s="1">
        <f>AJ162-AJ161</f>
        <v>-5</v>
      </c>
      <c r="AK163" s="1">
        <f>AK162-AK161</f>
        <v>33</v>
      </c>
      <c r="AL163" s="1">
        <f>AL162-AL161</f>
        <v>43</v>
      </c>
      <c r="AM163" s="1">
        <f>AM162-AM161</f>
        <v>-16</v>
      </c>
      <c r="AN163" s="1">
        <f>AN162-AN161</f>
        <v>-50</v>
      </c>
      <c r="AO163" s="1">
        <f>AO162-AO161</f>
        <v>-25</v>
      </c>
      <c r="AP163" s="1">
        <f>AP162-AP161</f>
        <v>-26</v>
      </c>
      <c r="AQ163" s="1">
        <f>AQ162-AQ161</f>
        <v>-94</v>
      </c>
      <c r="AR163" s="1">
        <f>AR162-AR161</f>
        <v>-114</v>
      </c>
      <c r="AS163" s="1">
        <f>AS162-AS161</f>
        <v>-78</v>
      </c>
      <c r="AT163" s="1">
        <f>AT162-AT161</f>
        <v>-88</v>
      </c>
      <c r="AU163" s="1">
        <f>AU162-AU161</f>
        <v>-45</v>
      </c>
      <c r="AV163" s="1">
        <f>AV162-AV161</f>
        <v>-110</v>
      </c>
      <c r="AW163" s="1">
        <f>AW162-AW161</f>
        <v>-109</v>
      </c>
      <c r="AX163" s="1">
        <f>AX162-AX161</f>
        <v>-55</v>
      </c>
      <c r="AY163" s="1">
        <f>AY162-AY161</f>
        <v>-30</v>
      </c>
      <c r="AZ163" s="1">
        <f>AZ162-AZ161</f>
        <v>-75</v>
      </c>
      <c r="BA163" s="1">
        <f>BA162-BA161</f>
        <v>-199</v>
      </c>
      <c r="BB163" s="1">
        <f>BB162-BB161</f>
        <v>-227</v>
      </c>
      <c r="BC163" s="1">
        <f>BC162-BC161</f>
        <v>-10</v>
      </c>
      <c r="BD163" s="1">
        <f>BD162-BD161</f>
        <v>-102</v>
      </c>
      <c r="BE163" s="1">
        <f>BE162-BE161</f>
        <v>-52</v>
      </c>
      <c r="BF163" s="1">
        <f>BF162-BF161</f>
        <v>-39</v>
      </c>
      <c r="BG163" s="1">
        <f>BG162-BG161</f>
        <v>-30</v>
      </c>
      <c r="BH163" s="1">
        <f>BH162-BH161</f>
        <v>-72</v>
      </c>
      <c r="BI163" s="1">
        <f>BI162-BI161</f>
        <v>-46</v>
      </c>
      <c r="BJ163" s="1">
        <f>BJ162-BJ161</f>
        <v>-195</v>
      </c>
      <c r="BK163" s="1">
        <f>BK162-BK161</f>
        <v>-200</v>
      </c>
      <c r="BL163" s="1">
        <f>BL162-BL161</f>
        <v>-145</v>
      </c>
      <c r="BM163" s="1">
        <f>BM162-BM161</f>
        <v>-150</v>
      </c>
      <c r="BN163" s="1">
        <f>BN162-BN161</f>
        <v>-350</v>
      </c>
      <c r="BO163" s="1">
        <f>BO162-BO161</f>
        <v>-350</v>
      </c>
      <c r="BP163" s="1"/>
      <c r="BQ163" s="1"/>
      <c r="BR163" s="17"/>
      <c r="BS163" s="17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</row>
  </sheetData>
  <autoFilter ref="A1:BP161"/>
  <sortState ref="A2:CS163">
    <sortCondition ref="BR2:BR163"/>
    <sortCondition ref="BQ2:BQ163"/>
  </sortState>
  <phoneticPr fontId="1" type="noConversion"/>
  <conditionalFormatting sqref="E53">
    <cfRule type="cellIs" dxfId="2" priority="4" operator="greaterThan">
      <formula>$E$162</formula>
    </cfRule>
  </conditionalFormatting>
  <conditionalFormatting sqref="E161">
    <cfRule type="cellIs" dxfId="1" priority="3" operator="greaterThan">
      <formula>$E$162</formula>
    </cfRule>
  </conditionalFormatting>
  <conditionalFormatting sqref="E163:BO1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165</xdr:row>
                    <xdr:rowOff>28575</xdr:rowOff>
                  </from>
                  <to>
                    <xdr:col>1</xdr:col>
                    <xdr:colOff>428625</xdr:colOff>
                    <xdr:row>166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2020-02-01T06:59:15Z</dcterms:modified>
</cp:coreProperties>
</file>