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7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Sheet1!$A$1:$BP$115</definedName>
    <definedName name="_xlnm._FilterDatabase" localSheetId="1" hidden="1">'Sheet1 (2)'!$A$1:$BP$7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12" i="7" l="1"/>
  <c r="BO14" i="7" s="1"/>
  <c r="BN12" i="7"/>
  <c r="BN14" i="7" s="1"/>
  <c r="BM12" i="7"/>
  <c r="BM14" i="7" s="1"/>
  <c r="BL12" i="7"/>
  <c r="BL14" i="7" s="1"/>
  <c r="BK12" i="7"/>
  <c r="BK14" i="7" s="1"/>
  <c r="BJ12" i="7"/>
  <c r="BJ14" i="7" s="1"/>
  <c r="BI12" i="7"/>
  <c r="BI14" i="7" s="1"/>
  <c r="BH12" i="7"/>
  <c r="BH14" i="7" s="1"/>
  <c r="BG12" i="7"/>
  <c r="BG14" i="7" s="1"/>
  <c r="BF12" i="7"/>
  <c r="BF14" i="7" s="1"/>
  <c r="BE12" i="7"/>
  <c r="BE14" i="7" s="1"/>
  <c r="BD12" i="7"/>
  <c r="BD14" i="7" s="1"/>
  <c r="BC12" i="7"/>
  <c r="BC14" i="7" s="1"/>
  <c r="BB12" i="7"/>
  <c r="BB14" i="7" s="1"/>
  <c r="BA12" i="7"/>
  <c r="BA14" i="7" s="1"/>
  <c r="AZ12" i="7"/>
  <c r="AZ14" i="7" s="1"/>
  <c r="AY12" i="7"/>
  <c r="AY14" i="7" s="1"/>
  <c r="AX12" i="7"/>
  <c r="AX14" i="7" s="1"/>
  <c r="AW12" i="7"/>
  <c r="AW14" i="7" s="1"/>
  <c r="AV12" i="7"/>
  <c r="AV14" i="7" s="1"/>
  <c r="AU12" i="7"/>
  <c r="AU14" i="7" s="1"/>
  <c r="AT12" i="7"/>
  <c r="AT14" i="7" s="1"/>
  <c r="AS12" i="7"/>
  <c r="AS14" i="7" s="1"/>
  <c r="AR12" i="7"/>
  <c r="AR14" i="7" s="1"/>
  <c r="AQ12" i="7"/>
  <c r="AQ14" i="7" s="1"/>
  <c r="AP12" i="7"/>
  <c r="AP14" i="7" s="1"/>
  <c r="AO12" i="7"/>
  <c r="AO14" i="7" s="1"/>
  <c r="AN12" i="7"/>
  <c r="AN14" i="7" s="1"/>
  <c r="AM12" i="7"/>
  <c r="AM14" i="7" s="1"/>
  <c r="AL12" i="7"/>
  <c r="AL14" i="7" s="1"/>
  <c r="AK12" i="7"/>
  <c r="AK14" i="7" s="1"/>
  <c r="AJ12" i="7"/>
  <c r="AJ14" i="7" s="1"/>
  <c r="AI12" i="7"/>
  <c r="AI14" i="7" s="1"/>
  <c r="AH12" i="7"/>
  <c r="AH14" i="7" s="1"/>
  <c r="AG12" i="7"/>
  <c r="AG14" i="7" s="1"/>
  <c r="AF12" i="7"/>
  <c r="AF14" i="7" s="1"/>
  <c r="AE12" i="7"/>
  <c r="AE14" i="7" s="1"/>
  <c r="AD12" i="7"/>
  <c r="AD14" i="7" s="1"/>
  <c r="AC12" i="7"/>
  <c r="AC14" i="7" s="1"/>
  <c r="AB12" i="7"/>
  <c r="AB14" i="7" s="1"/>
  <c r="AA12" i="7"/>
  <c r="AA14" i="7" s="1"/>
  <c r="Z12" i="7"/>
  <c r="Z14" i="7" s="1"/>
  <c r="Y12" i="7"/>
  <c r="Y14" i="7" s="1"/>
  <c r="X12" i="7"/>
  <c r="X14" i="7" s="1"/>
  <c r="W12" i="7"/>
  <c r="W14" i="7" s="1"/>
  <c r="V12" i="7"/>
  <c r="V14" i="7" s="1"/>
  <c r="U12" i="7"/>
  <c r="U14" i="7" s="1"/>
  <c r="T12" i="7"/>
  <c r="T14" i="7" s="1"/>
  <c r="S12" i="7"/>
  <c r="S14" i="7" s="1"/>
  <c r="R12" i="7"/>
  <c r="R14" i="7" s="1"/>
  <c r="Q12" i="7"/>
  <c r="Q14" i="7" s="1"/>
  <c r="P12" i="7"/>
  <c r="P14" i="7" s="1"/>
  <c r="O12" i="7"/>
  <c r="O14" i="7" s="1"/>
  <c r="N12" i="7"/>
  <c r="N14" i="7" s="1"/>
  <c r="M12" i="7"/>
  <c r="M14" i="7" s="1"/>
  <c r="L12" i="7"/>
  <c r="L14" i="7" s="1"/>
  <c r="K12" i="7"/>
  <c r="K14" i="7" s="1"/>
  <c r="J12" i="7"/>
  <c r="J14" i="7" s="1"/>
  <c r="I12" i="7"/>
  <c r="I14" i="7" s="1"/>
  <c r="H12" i="7"/>
  <c r="H14" i="7" s="1"/>
  <c r="G12" i="7"/>
  <c r="G14" i="7" s="1"/>
  <c r="F12" i="7"/>
  <c r="F14" i="7" s="1"/>
  <c r="E12" i="7"/>
  <c r="E14" i="7" s="1"/>
  <c r="BO11" i="7"/>
  <c r="BO13" i="7" s="1"/>
  <c r="BN11" i="7"/>
  <c r="BN13" i="7" s="1"/>
  <c r="BM11" i="7"/>
  <c r="BM13" i="7" s="1"/>
  <c r="BL11" i="7"/>
  <c r="BL13" i="7" s="1"/>
  <c r="BK11" i="7"/>
  <c r="BK13" i="7" s="1"/>
  <c r="BJ11" i="7"/>
  <c r="BJ13" i="7" s="1"/>
  <c r="BI11" i="7"/>
  <c r="BI13" i="7" s="1"/>
  <c r="BH11" i="7"/>
  <c r="BH13" i="7" s="1"/>
  <c r="BG11" i="7"/>
  <c r="BG13" i="7" s="1"/>
  <c r="BF11" i="7"/>
  <c r="BF13" i="7" s="1"/>
  <c r="BE11" i="7"/>
  <c r="BE13" i="7" s="1"/>
  <c r="BD11" i="7"/>
  <c r="BD13" i="7" s="1"/>
  <c r="BC11" i="7"/>
  <c r="BC13" i="7" s="1"/>
  <c r="BB11" i="7"/>
  <c r="BB13" i="7" s="1"/>
  <c r="BA11" i="7"/>
  <c r="BA13" i="7" s="1"/>
  <c r="AZ11" i="7"/>
  <c r="AZ13" i="7" s="1"/>
  <c r="AY11" i="7"/>
  <c r="AY13" i="7" s="1"/>
  <c r="AX11" i="7"/>
  <c r="AX13" i="7" s="1"/>
  <c r="AW11" i="7"/>
  <c r="AW13" i="7" s="1"/>
  <c r="AV11" i="7"/>
  <c r="AV13" i="7" s="1"/>
  <c r="AU11" i="7"/>
  <c r="AU13" i="7" s="1"/>
  <c r="AT11" i="7"/>
  <c r="AT13" i="7" s="1"/>
  <c r="AS11" i="7"/>
  <c r="AS13" i="7" s="1"/>
  <c r="AR11" i="7"/>
  <c r="AR13" i="7" s="1"/>
  <c r="AQ11" i="7"/>
  <c r="AQ13" i="7" s="1"/>
  <c r="AP11" i="7"/>
  <c r="AP13" i="7" s="1"/>
  <c r="AO11" i="7"/>
  <c r="AO13" i="7" s="1"/>
  <c r="AN11" i="7"/>
  <c r="AN13" i="7" s="1"/>
  <c r="AM11" i="7"/>
  <c r="AM13" i="7" s="1"/>
  <c r="AL11" i="7"/>
  <c r="AL13" i="7" s="1"/>
  <c r="AK11" i="7"/>
  <c r="AK13" i="7" s="1"/>
  <c r="AJ11" i="7"/>
  <c r="AJ13" i="7" s="1"/>
  <c r="AI11" i="7"/>
  <c r="AI13" i="7" s="1"/>
  <c r="AH11" i="7"/>
  <c r="AH13" i="7" s="1"/>
  <c r="AG11" i="7"/>
  <c r="AG13" i="7" s="1"/>
  <c r="AF11" i="7"/>
  <c r="AF13" i="7" s="1"/>
  <c r="AE11" i="7"/>
  <c r="AE13" i="7" s="1"/>
  <c r="AD11" i="7"/>
  <c r="AD13" i="7" s="1"/>
  <c r="AC11" i="7"/>
  <c r="AC13" i="7" s="1"/>
  <c r="AB11" i="7"/>
  <c r="AB13" i="7" s="1"/>
  <c r="AA11" i="7"/>
  <c r="AA13" i="7" s="1"/>
  <c r="Z11" i="7"/>
  <c r="Z13" i="7" s="1"/>
  <c r="Y11" i="7"/>
  <c r="Y13" i="7" s="1"/>
  <c r="X11" i="7"/>
  <c r="X13" i="7" s="1"/>
  <c r="W11" i="7"/>
  <c r="W13" i="7" s="1"/>
  <c r="V11" i="7"/>
  <c r="V13" i="7" s="1"/>
  <c r="U11" i="7"/>
  <c r="U13" i="7" s="1"/>
  <c r="T11" i="7"/>
  <c r="T13" i="7" s="1"/>
  <c r="S11" i="7"/>
  <c r="S13" i="7" s="1"/>
  <c r="R11" i="7"/>
  <c r="R13" i="7" s="1"/>
  <c r="Q11" i="7"/>
  <c r="Q13" i="7" s="1"/>
  <c r="P11" i="7"/>
  <c r="P13" i="7" s="1"/>
  <c r="O11" i="7"/>
  <c r="O13" i="7" s="1"/>
  <c r="N11" i="7"/>
  <c r="N13" i="7" s="1"/>
  <c r="M11" i="7"/>
  <c r="M13" i="7" s="1"/>
  <c r="L11" i="7"/>
  <c r="L13" i="7" s="1"/>
  <c r="K11" i="7"/>
  <c r="K13" i="7" s="1"/>
  <c r="J11" i="7"/>
  <c r="J13" i="7" s="1"/>
  <c r="I11" i="7"/>
  <c r="I13" i="7" s="1"/>
  <c r="H11" i="7"/>
  <c r="H13" i="7" s="1"/>
  <c r="G11" i="7"/>
  <c r="G13" i="7" s="1"/>
  <c r="F11" i="7"/>
  <c r="F13" i="7" s="1"/>
  <c r="E11" i="7"/>
  <c r="E13" i="7" s="1"/>
  <c r="BO8" i="7"/>
  <c r="BO10" i="7" s="1"/>
  <c r="BN8" i="7"/>
  <c r="BN10" i="7" s="1"/>
  <c r="BM8" i="7"/>
  <c r="BM10" i="7" s="1"/>
  <c r="BL8" i="7"/>
  <c r="BL10" i="7" s="1"/>
  <c r="BK8" i="7"/>
  <c r="BK10" i="7" s="1"/>
  <c r="BJ8" i="7"/>
  <c r="BJ10" i="7" s="1"/>
  <c r="BI8" i="7"/>
  <c r="BI10" i="7" s="1"/>
  <c r="BH8" i="7"/>
  <c r="BH10" i="7" s="1"/>
  <c r="BG8" i="7"/>
  <c r="BG10" i="7" s="1"/>
  <c r="BF8" i="7"/>
  <c r="BF10" i="7" s="1"/>
  <c r="BE8" i="7"/>
  <c r="BE10" i="7" s="1"/>
  <c r="BD8" i="7"/>
  <c r="BD10" i="7" s="1"/>
  <c r="BC8" i="7"/>
  <c r="BC10" i="7" s="1"/>
  <c r="BB8" i="7"/>
  <c r="BB10" i="7" s="1"/>
  <c r="BA8" i="7"/>
  <c r="BA10" i="7" s="1"/>
  <c r="AZ8" i="7"/>
  <c r="AZ10" i="7" s="1"/>
  <c r="AY8" i="7"/>
  <c r="AY10" i="7" s="1"/>
  <c r="AX8" i="7"/>
  <c r="AX10" i="7" s="1"/>
  <c r="AW8" i="7"/>
  <c r="AW10" i="7" s="1"/>
  <c r="AV8" i="7"/>
  <c r="AU8" i="7"/>
  <c r="AU10" i="7" s="1"/>
  <c r="AT8" i="7"/>
  <c r="AT10" i="7" s="1"/>
  <c r="AS8" i="7"/>
  <c r="AS10" i="7" s="1"/>
  <c r="AR8" i="7"/>
  <c r="AR10" i="7" s="1"/>
  <c r="AQ8" i="7"/>
  <c r="AQ10" i="7" s="1"/>
  <c r="AP8" i="7"/>
  <c r="AP10" i="7" s="1"/>
  <c r="AO8" i="7"/>
  <c r="AO10" i="7" s="1"/>
  <c r="AN8" i="7"/>
  <c r="AN10" i="7" s="1"/>
  <c r="AM8" i="7"/>
  <c r="AM10" i="7" s="1"/>
  <c r="AL8" i="7"/>
  <c r="AL10" i="7" s="1"/>
  <c r="AK8" i="7"/>
  <c r="AK10" i="7" s="1"/>
  <c r="AJ8" i="7"/>
  <c r="AJ10" i="7" s="1"/>
  <c r="AI8" i="7"/>
  <c r="AI10" i="7" s="1"/>
  <c r="AH8" i="7"/>
  <c r="AH10" i="7" s="1"/>
  <c r="AG8" i="7"/>
  <c r="AG10" i="7" s="1"/>
  <c r="AF8" i="7"/>
  <c r="AF10" i="7" s="1"/>
  <c r="AE8" i="7"/>
  <c r="AE10" i="7" s="1"/>
  <c r="AD8" i="7"/>
  <c r="AD10" i="7" s="1"/>
  <c r="AC8" i="7"/>
  <c r="AC10" i="7" s="1"/>
  <c r="AB8" i="7"/>
  <c r="AB10" i="7" s="1"/>
  <c r="AA8" i="7"/>
  <c r="AA10" i="7" s="1"/>
  <c r="Z8" i="7"/>
  <c r="Z10" i="7" s="1"/>
  <c r="Y8" i="7"/>
  <c r="Y10" i="7" s="1"/>
  <c r="X8" i="7"/>
  <c r="X10" i="7" s="1"/>
  <c r="W8" i="7"/>
  <c r="W10" i="7" s="1"/>
  <c r="V8" i="7"/>
  <c r="V10" i="7" s="1"/>
  <c r="U8" i="7"/>
  <c r="U10" i="7" s="1"/>
  <c r="T8" i="7"/>
  <c r="T10" i="7" s="1"/>
  <c r="S8" i="7"/>
  <c r="S10" i="7" s="1"/>
  <c r="R8" i="7"/>
  <c r="R10" i="7" s="1"/>
  <c r="Q8" i="7"/>
  <c r="Q10" i="7" s="1"/>
  <c r="P8" i="7"/>
  <c r="P10" i="7" s="1"/>
  <c r="O8" i="7"/>
  <c r="O10" i="7" s="1"/>
  <c r="N8" i="7"/>
  <c r="N10" i="7" s="1"/>
  <c r="M8" i="7"/>
  <c r="M10" i="7" s="1"/>
  <c r="L8" i="7"/>
  <c r="L10" i="7" s="1"/>
  <c r="K8" i="7"/>
  <c r="K10" i="7" s="1"/>
  <c r="J8" i="7"/>
  <c r="J10" i="7" s="1"/>
  <c r="I8" i="7"/>
  <c r="I10" i="7" s="1"/>
  <c r="H8" i="7"/>
  <c r="H10" i="7" s="1"/>
  <c r="G8" i="7"/>
  <c r="G10" i="7" s="1"/>
  <c r="F8" i="7"/>
  <c r="F10" i="7" s="1"/>
  <c r="E8" i="7"/>
  <c r="E10" i="7" s="1"/>
  <c r="CD7" i="7"/>
  <c r="BP7" i="7"/>
  <c r="CD6" i="7"/>
  <c r="BP6" i="7"/>
  <c r="CS5" i="7"/>
  <c r="CD5" i="7"/>
  <c r="BP5" i="7"/>
  <c r="CS4" i="7"/>
  <c r="CD4" i="7"/>
  <c r="BT4" i="7"/>
  <c r="BP4" i="7"/>
  <c r="CS3" i="7"/>
  <c r="CD3" i="7"/>
  <c r="BP3" i="7"/>
  <c r="CS2" i="7"/>
  <c r="BZ2" i="7"/>
  <c r="BP2" i="7"/>
  <c r="CA3" i="7" l="1"/>
  <c r="BV4" i="7"/>
  <c r="CD2" i="7"/>
  <c r="BW4" i="7"/>
  <c r="BX7" i="7"/>
  <c r="BW2" i="7"/>
  <c r="BV3" i="7"/>
  <c r="BV6" i="7"/>
  <c r="BW3" i="7"/>
  <c r="BV5" i="7"/>
  <c r="BV2" i="7"/>
  <c r="BX3" i="7"/>
  <c r="BW5" i="7"/>
  <c r="BX2" i="7"/>
  <c r="CE6" i="7"/>
  <c r="BW7" i="7"/>
  <c r="BX5" i="7"/>
  <c r="CA7" i="7"/>
  <c r="BW6" i="7"/>
  <c r="CE3" i="7"/>
  <c r="CC2" i="7"/>
  <c r="CA5" i="7"/>
  <c r="CE2" i="7"/>
  <c r="CE5" i="7"/>
  <c r="CC7" i="7"/>
  <c r="CE7" i="7"/>
  <c r="CA4" i="7"/>
  <c r="CE4" i="7"/>
  <c r="CC6" i="7"/>
  <c r="CA2" i="7"/>
  <c r="BX6" i="7"/>
  <c r="BT5" i="7"/>
  <c r="BZ6" i="7"/>
  <c r="CA6" i="7"/>
  <c r="BT3" i="7"/>
  <c r="BT2" i="7"/>
  <c r="BU3" i="7"/>
  <c r="BX4" i="7"/>
  <c r="BV7" i="7"/>
  <c r="CB5" i="7"/>
  <c r="CS8" i="7"/>
  <c r="CB3" i="7"/>
  <c r="CB2" i="7"/>
  <c r="CB7" i="7"/>
  <c r="CB4" i="7"/>
  <c r="CB6" i="7"/>
  <c r="CC3" i="7"/>
  <c r="CC4" i="7"/>
  <c r="CC5" i="7"/>
  <c r="BT6" i="7"/>
  <c r="BZ7" i="7"/>
  <c r="BZ3" i="7"/>
  <c r="BZ4" i="7"/>
  <c r="BZ5" i="7"/>
  <c r="BU4" i="7"/>
  <c r="BU5" i="7"/>
  <c r="BU6" i="7"/>
  <c r="BU2" i="7"/>
  <c r="BT7" i="7"/>
  <c r="BU7" i="7"/>
  <c r="BY5" i="7"/>
  <c r="AV10" i="7"/>
  <c r="BY6" i="7"/>
  <c r="BY7" i="7"/>
  <c r="BY2" i="7"/>
  <c r="BY3" i="7"/>
  <c r="BY4" i="7"/>
  <c r="BP14" i="1"/>
  <c r="BT8" i="7" l="1"/>
  <c r="BW8" i="7"/>
  <c r="BX8" i="7"/>
  <c r="BU8" i="7"/>
  <c r="CF3" i="7"/>
  <c r="CJ3" i="7" s="1"/>
  <c r="BZ8" i="7"/>
  <c r="CD8" i="7"/>
  <c r="CE8" i="7"/>
  <c r="CF5" i="7"/>
  <c r="CP5" i="7" s="1"/>
  <c r="CA8" i="7"/>
  <c r="CF4" i="7"/>
  <c r="CL4" i="7" s="1"/>
  <c r="CC8" i="7"/>
  <c r="CF2" i="7"/>
  <c r="CN2" i="7" s="1"/>
  <c r="CB8" i="7"/>
  <c r="BV8" i="7"/>
  <c r="CR2" i="7"/>
  <c r="BY8" i="7"/>
  <c r="BP52" i="1"/>
  <c r="BP21" i="1"/>
  <c r="BP30" i="1"/>
  <c r="CG3" i="7" l="1"/>
  <c r="CI3" i="7"/>
  <c r="CK3" i="7"/>
  <c r="CQ2" i="7"/>
  <c r="CP2" i="7"/>
  <c r="CL3" i="7"/>
  <c r="CN3" i="7"/>
  <c r="CL5" i="7"/>
  <c r="CO3" i="7"/>
  <c r="CP3" i="7"/>
  <c r="CQ3" i="7"/>
  <c r="CR3" i="7"/>
  <c r="CO4" i="7"/>
  <c r="CP4" i="7"/>
  <c r="CM3" i="7"/>
  <c r="CQ4" i="7"/>
  <c r="CR4" i="7"/>
  <c r="CG4" i="7"/>
  <c r="CH4" i="7"/>
  <c r="CH3" i="7"/>
  <c r="CM4" i="7"/>
  <c r="CN4" i="7"/>
  <c r="CI4" i="7"/>
  <c r="CJ4" i="7"/>
  <c r="CK4" i="7"/>
  <c r="CH2" i="7"/>
  <c r="CG5" i="7"/>
  <c r="CO5" i="7"/>
  <c r="CI5" i="7"/>
  <c r="CQ5" i="7"/>
  <c r="CJ5" i="7"/>
  <c r="CR5" i="7"/>
  <c r="CK5" i="7"/>
  <c r="CM5" i="7"/>
  <c r="CN5" i="7"/>
  <c r="CH5" i="7"/>
  <c r="CO2" i="7"/>
  <c r="CJ2" i="7"/>
  <c r="CG2" i="7"/>
  <c r="CK2" i="7"/>
  <c r="CI2" i="7"/>
  <c r="CL2" i="7"/>
  <c r="CM2" i="7"/>
  <c r="BC119" i="1"/>
  <c r="BC121" i="1" s="1"/>
  <c r="BD119" i="1"/>
  <c r="BD121" i="1" s="1"/>
  <c r="BE119" i="1"/>
  <c r="BE121" i="1" s="1"/>
  <c r="BF119" i="1"/>
  <c r="BF121" i="1" s="1"/>
  <c r="BG119" i="1"/>
  <c r="BG121" i="1" s="1"/>
  <c r="BH119" i="1"/>
  <c r="BH121" i="1" s="1"/>
  <c r="BI119" i="1"/>
  <c r="BI121" i="1" s="1"/>
  <c r="BJ119" i="1"/>
  <c r="BJ121" i="1" s="1"/>
  <c r="BK119" i="1"/>
  <c r="BK121" i="1" s="1"/>
  <c r="BL119" i="1"/>
  <c r="BL121" i="1" s="1"/>
  <c r="BM119" i="1"/>
  <c r="BM121" i="1" s="1"/>
  <c r="BN119" i="1"/>
  <c r="BN121" i="1" s="1"/>
  <c r="BO119" i="1"/>
  <c r="BO121" i="1" s="1"/>
  <c r="BC120" i="1"/>
  <c r="BC122" i="1" s="1"/>
  <c r="BD120" i="1"/>
  <c r="BD122" i="1" s="1"/>
  <c r="BE120" i="1"/>
  <c r="BE122" i="1" s="1"/>
  <c r="BF120" i="1"/>
  <c r="BF122" i="1" s="1"/>
  <c r="BG120" i="1"/>
  <c r="BG122" i="1" s="1"/>
  <c r="BH120" i="1"/>
  <c r="BH122" i="1" s="1"/>
  <c r="BI120" i="1"/>
  <c r="BI122" i="1" s="1"/>
  <c r="BJ120" i="1"/>
  <c r="BJ122" i="1" s="1"/>
  <c r="BK120" i="1"/>
  <c r="BK122" i="1" s="1"/>
  <c r="BL120" i="1"/>
  <c r="BL122" i="1" s="1"/>
  <c r="BM120" i="1"/>
  <c r="BM122" i="1" s="1"/>
  <c r="BN120" i="1"/>
  <c r="BN122" i="1" s="1"/>
  <c r="BO120" i="1"/>
  <c r="BO122" i="1" s="1"/>
  <c r="BA119" i="1"/>
  <c r="BA121" i="1" s="1"/>
  <c r="BB119" i="1"/>
  <c r="BB121" i="1" s="1"/>
  <c r="BA120" i="1"/>
  <c r="BA122" i="1" s="1"/>
  <c r="BB120" i="1"/>
  <c r="BB122" i="1" s="1"/>
  <c r="AQ119" i="1"/>
  <c r="AQ121" i="1" s="1"/>
  <c r="AR119" i="1"/>
  <c r="AR121" i="1" s="1"/>
  <c r="AS119" i="1"/>
  <c r="AS121" i="1" s="1"/>
  <c r="AT119" i="1"/>
  <c r="AT121" i="1" s="1"/>
  <c r="AU119" i="1"/>
  <c r="AU121" i="1" s="1"/>
  <c r="AV119" i="1"/>
  <c r="AV121" i="1" s="1"/>
  <c r="AW119" i="1"/>
  <c r="AW121" i="1" s="1"/>
  <c r="AX119" i="1"/>
  <c r="AX121" i="1" s="1"/>
  <c r="AY119" i="1"/>
  <c r="AY121" i="1" s="1"/>
  <c r="AZ119" i="1"/>
  <c r="AZ121" i="1" s="1"/>
  <c r="AQ120" i="1"/>
  <c r="AQ122" i="1" s="1"/>
  <c r="AR120" i="1"/>
  <c r="AR122" i="1" s="1"/>
  <c r="AS120" i="1"/>
  <c r="AS122" i="1" s="1"/>
  <c r="AT120" i="1"/>
  <c r="AT122" i="1" s="1"/>
  <c r="AU120" i="1"/>
  <c r="AU122" i="1" s="1"/>
  <c r="AV120" i="1"/>
  <c r="AV122" i="1" s="1"/>
  <c r="AW120" i="1"/>
  <c r="AW122" i="1" s="1"/>
  <c r="AX120" i="1"/>
  <c r="AX122" i="1" s="1"/>
  <c r="AY120" i="1"/>
  <c r="AY122" i="1" s="1"/>
  <c r="AZ120" i="1"/>
  <c r="AZ122" i="1" s="1"/>
  <c r="AI119" i="1"/>
  <c r="AI121" i="1" s="1"/>
  <c r="AJ119" i="1"/>
  <c r="AJ121" i="1" s="1"/>
  <c r="AK119" i="1"/>
  <c r="AK121" i="1" s="1"/>
  <c r="AL119" i="1"/>
  <c r="AL121" i="1" s="1"/>
  <c r="AM119" i="1"/>
  <c r="AM121" i="1" s="1"/>
  <c r="AN119" i="1"/>
  <c r="AN121" i="1" s="1"/>
  <c r="AO119" i="1"/>
  <c r="AO121" i="1" s="1"/>
  <c r="AP119" i="1"/>
  <c r="AP121" i="1" s="1"/>
  <c r="AI120" i="1"/>
  <c r="AI122" i="1" s="1"/>
  <c r="AJ120" i="1"/>
  <c r="AJ122" i="1" s="1"/>
  <c r="AK120" i="1"/>
  <c r="AK122" i="1" s="1"/>
  <c r="AL120" i="1"/>
  <c r="AL122" i="1" s="1"/>
  <c r="AM120" i="1"/>
  <c r="AM122" i="1" s="1"/>
  <c r="AN120" i="1"/>
  <c r="AN122" i="1" s="1"/>
  <c r="AO120" i="1"/>
  <c r="AO122" i="1" s="1"/>
  <c r="AP120" i="1"/>
  <c r="AP122" i="1" s="1"/>
  <c r="AC119" i="1"/>
  <c r="AC121" i="1" s="1"/>
  <c r="AD119" i="1"/>
  <c r="AD121" i="1" s="1"/>
  <c r="AE119" i="1"/>
  <c r="AE121" i="1" s="1"/>
  <c r="AF119" i="1"/>
  <c r="AF121" i="1" s="1"/>
  <c r="AG119" i="1"/>
  <c r="AG121" i="1" s="1"/>
  <c r="AH119" i="1"/>
  <c r="AH121" i="1" s="1"/>
  <c r="AC120" i="1"/>
  <c r="AC122" i="1" s="1"/>
  <c r="AD120" i="1"/>
  <c r="AD122" i="1" s="1"/>
  <c r="AE120" i="1"/>
  <c r="AE122" i="1" s="1"/>
  <c r="AF120" i="1"/>
  <c r="AF122" i="1" s="1"/>
  <c r="AG120" i="1"/>
  <c r="AG122" i="1" s="1"/>
  <c r="AH120" i="1"/>
  <c r="AH122" i="1" s="1"/>
  <c r="W119" i="1"/>
  <c r="W121" i="1" s="1"/>
  <c r="X119" i="1"/>
  <c r="X121" i="1" s="1"/>
  <c r="Y119" i="1"/>
  <c r="Y121" i="1" s="1"/>
  <c r="Z119" i="1"/>
  <c r="Z121" i="1" s="1"/>
  <c r="AA119" i="1"/>
  <c r="AA121" i="1" s="1"/>
  <c r="AB119" i="1"/>
  <c r="AB121" i="1" s="1"/>
  <c r="W120" i="1"/>
  <c r="W122" i="1" s="1"/>
  <c r="X120" i="1"/>
  <c r="X122" i="1" s="1"/>
  <c r="Y120" i="1"/>
  <c r="Y122" i="1" s="1"/>
  <c r="Z120" i="1"/>
  <c r="Z122" i="1" s="1"/>
  <c r="AA120" i="1"/>
  <c r="AA122" i="1" s="1"/>
  <c r="AB120" i="1"/>
  <c r="AB122" i="1" s="1"/>
  <c r="P119" i="1"/>
  <c r="P121" i="1" s="1"/>
  <c r="Q119" i="1"/>
  <c r="Q121" i="1" s="1"/>
  <c r="R119" i="1"/>
  <c r="R121" i="1" s="1"/>
  <c r="S119" i="1"/>
  <c r="S121" i="1" s="1"/>
  <c r="T119" i="1"/>
  <c r="T121" i="1" s="1"/>
  <c r="U119" i="1"/>
  <c r="U121" i="1" s="1"/>
  <c r="V119" i="1"/>
  <c r="V121" i="1" s="1"/>
  <c r="P120" i="1"/>
  <c r="P122" i="1" s="1"/>
  <c r="Q120" i="1"/>
  <c r="Q122" i="1" s="1"/>
  <c r="R120" i="1"/>
  <c r="R122" i="1" s="1"/>
  <c r="S120" i="1"/>
  <c r="S122" i="1" s="1"/>
  <c r="T120" i="1"/>
  <c r="T122" i="1" s="1"/>
  <c r="U120" i="1"/>
  <c r="U122" i="1" s="1"/>
  <c r="V120" i="1"/>
  <c r="V122" i="1" s="1"/>
  <c r="G119" i="1"/>
  <c r="G121" i="1" s="1"/>
  <c r="H119" i="1"/>
  <c r="H121" i="1" s="1"/>
  <c r="I119" i="1"/>
  <c r="I121" i="1" s="1"/>
  <c r="J119" i="1"/>
  <c r="J121" i="1" s="1"/>
  <c r="K119" i="1"/>
  <c r="K121" i="1" s="1"/>
  <c r="L119" i="1"/>
  <c r="L121" i="1" s="1"/>
  <c r="M119" i="1"/>
  <c r="M121" i="1" s="1"/>
  <c r="N119" i="1"/>
  <c r="N121" i="1" s="1"/>
  <c r="O119" i="1"/>
  <c r="O121" i="1" s="1"/>
  <c r="G120" i="1"/>
  <c r="G122" i="1" s="1"/>
  <c r="H120" i="1"/>
  <c r="H122" i="1" s="1"/>
  <c r="I120" i="1"/>
  <c r="I122" i="1" s="1"/>
  <c r="J120" i="1"/>
  <c r="J122" i="1" s="1"/>
  <c r="K120" i="1"/>
  <c r="K122" i="1" s="1"/>
  <c r="L120" i="1"/>
  <c r="L122" i="1" s="1"/>
  <c r="M120" i="1"/>
  <c r="M122" i="1" s="1"/>
  <c r="N120" i="1"/>
  <c r="N122" i="1" s="1"/>
  <c r="O120" i="1"/>
  <c r="O122" i="1" s="1"/>
  <c r="F119" i="1"/>
  <c r="F121" i="1" s="1"/>
  <c r="F120" i="1"/>
  <c r="F122" i="1" s="1"/>
  <c r="E120" i="1"/>
  <c r="E122" i="1" s="1"/>
  <c r="E119" i="1"/>
  <c r="E121" i="1" s="1"/>
  <c r="CQ8" i="7" l="1"/>
  <c r="CG8" i="7"/>
  <c r="CN8" i="7"/>
  <c r="CH8" i="7"/>
  <c r="CO8" i="7"/>
  <c r="CM8" i="7"/>
  <c r="CP8" i="7"/>
  <c r="CJ8" i="7"/>
  <c r="CI8" i="7"/>
  <c r="CR8" i="7"/>
  <c r="CK8" i="7"/>
  <c r="CL8" i="7"/>
  <c r="BP3" i="1"/>
  <c r="BP4" i="1"/>
  <c r="BP5" i="1"/>
  <c r="BP6" i="1"/>
  <c r="BP7" i="1"/>
  <c r="BP10" i="1"/>
  <c r="BP31" i="1"/>
  <c r="BP22" i="1"/>
  <c r="BP33" i="1"/>
  <c r="BP23" i="1"/>
  <c r="BP34" i="1"/>
  <c r="BP35" i="1"/>
  <c r="BP36" i="1"/>
  <c r="BP37" i="1"/>
  <c r="BP38" i="1"/>
  <c r="BP39" i="1"/>
  <c r="BP24" i="1"/>
  <c r="BP46" i="1"/>
  <c r="BP12" i="1"/>
  <c r="BP13" i="1"/>
  <c r="BP47" i="1"/>
  <c r="BP48" i="1"/>
  <c r="BP49" i="1"/>
  <c r="BP51" i="1"/>
  <c r="BP32" i="1"/>
  <c r="BP9" i="1"/>
  <c r="BP54" i="1"/>
  <c r="BP55" i="1"/>
  <c r="BP56" i="1"/>
  <c r="BP57" i="1"/>
  <c r="BP58" i="1"/>
  <c r="BP20" i="1"/>
  <c r="BP60" i="1"/>
  <c r="BP61" i="1"/>
  <c r="BP8" i="1"/>
  <c r="BP18" i="1"/>
  <c r="BP19" i="1"/>
  <c r="BP64" i="1"/>
  <c r="BP15" i="1"/>
  <c r="BP25" i="1"/>
  <c r="BP44" i="1"/>
  <c r="BP80" i="1"/>
  <c r="BP81" i="1"/>
  <c r="BP82" i="1"/>
  <c r="BP83" i="1"/>
  <c r="BP84" i="1"/>
  <c r="BP85" i="1"/>
  <c r="BP87" i="1"/>
  <c r="BP11" i="1"/>
  <c r="BP65" i="1"/>
  <c r="BP89" i="1"/>
  <c r="BP90" i="1"/>
  <c r="BP50" i="1"/>
  <c r="BP16" i="1"/>
  <c r="BP17" i="1"/>
  <c r="BP68" i="1"/>
  <c r="BP91" i="1"/>
  <c r="BP92" i="1"/>
  <c r="BP73" i="1"/>
  <c r="BP69" i="1"/>
  <c r="BP70" i="1"/>
  <c r="BP71" i="1"/>
  <c r="BP43" i="1"/>
  <c r="BP40" i="1"/>
  <c r="BP41" i="1"/>
  <c r="BP42" i="1"/>
  <c r="BP53" i="1"/>
  <c r="BP26" i="1"/>
  <c r="BP27" i="1"/>
  <c r="BP28" i="1"/>
  <c r="BP45" i="1"/>
  <c r="BP75" i="1"/>
  <c r="BP86" i="1"/>
  <c r="BP96" i="1"/>
  <c r="BP88" i="1"/>
  <c r="BP97" i="1"/>
  <c r="BP98" i="1"/>
  <c r="BP99" i="1"/>
  <c r="BP100" i="1"/>
  <c r="BP101" i="1"/>
  <c r="BP102" i="1"/>
  <c r="BP103" i="1"/>
  <c r="BP104" i="1"/>
  <c r="BP105" i="1"/>
  <c r="BP106" i="1"/>
  <c r="BP107" i="1"/>
  <c r="BP62" i="1"/>
  <c r="BP63" i="1"/>
  <c r="BP108" i="1"/>
  <c r="BP109" i="1"/>
  <c r="BP67" i="1"/>
  <c r="BP66" i="1"/>
  <c r="BP72" i="1"/>
  <c r="BP110" i="1"/>
  <c r="BP111" i="1"/>
  <c r="BP112" i="1"/>
  <c r="BP113" i="1"/>
  <c r="BP114" i="1"/>
  <c r="BP115" i="1"/>
  <c r="BP29" i="1"/>
  <c r="BP74" i="1"/>
  <c r="BP59" i="1"/>
  <c r="BP76" i="1"/>
  <c r="BP77" i="1"/>
  <c r="BP78" i="1"/>
  <c r="BP79" i="1"/>
  <c r="BP93" i="1"/>
  <c r="BP94" i="1"/>
  <c r="BP95" i="1"/>
  <c r="CS79" i="1" l="1"/>
  <c r="CS3" i="1" l="1"/>
  <c r="CS4" i="1"/>
  <c r="CS50" i="1"/>
  <c r="CS10" i="1"/>
  <c r="CS33" i="1"/>
  <c r="CS23" i="1"/>
  <c r="CS34" i="1"/>
  <c r="CS35" i="1"/>
  <c r="CS36" i="1"/>
  <c r="CS37" i="1"/>
  <c r="CS31" i="1"/>
  <c r="CS20" i="1"/>
  <c r="CS47" i="1"/>
  <c r="CS48" i="1"/>
  <c r="CS49" i="1"/>
  <c r="CS11" i="1"/>
  <c r="CS16" i="1"/>
  <c r="CS24" i="1"/>
  <c r="CS60" i="1"/>
  <c r="CS61" i="1"/>
  <c r="CS17" i="1"/>
  <c r="CS89" i="1"/>
  <c r="CS90" i="1"/>
  <c r="CS64" i="1"/>
  <c r="CS25" i="1"/>
  <c r="CS74" i="1"/>
  <c r="CS40" i="1"/>
  <c r="CS29" i="1"/>
  <c r="CS26" i="1"/>
  <c r="CS93" i="1"/>
  <c r="CS76" i="1"/>
  <c r="CS2" i="1"/>
  <c r="CS116" i="1" l="1"/>
  <c r="BP2" i="1" l="1"/>
  <c r="BM116" i="1" l="1"/>
  <c r="BM118" i="1" s="1"/>
  <c r="AM116" i="1"/>
  <c r="AM118" i="1" s="1"/>
  <c r="L116" i="1"/>
  <c r="L118" i="1" s="1"/>
  <c r="AY116" i="1"/>
  <c r="BK116" i="1"/>
  <c r="BK118" i="1" s="1"/>
  <c r="AJ116" i="1"/>
  <c r="AJ118" i="1" s="1"/>
  <c r="AW116" i="1"/>
  <c r="BH116" i="1"/>
  <c r="BH118" i="1" s="1"/>
  <c r="AU116" i="1"/>
  <c r="AH116" i="1"/>
  <c r="AH118" i="1" s="1"/>
  <c r="AL116" i="1"/>
  <c r="AL118" i="1" s="1"/>
  <c r="BD116" i="1"/>
  <c r="BD118" i="1" s="1"/>
  <c r="BA116" i="1"/>
  <c r="BL116" i="1"/>
  <c r="BL118" i="1" s="1"/>
  <c r="AZ116" i="1"/>
  <c r="J116" i="1"/>
  <c r="J118" i="1" s="1"/>
  <c r="H116" i="1"/>
  <c r="H118" i="1" s="1"/>
  <c r="G116" i="1"/>
  <c r="G118" i="1" s="1"/>
  <c r="BG116" i="1"/>
  <c r="BG118" i="1" s="1"/>
  <c r="AQ116" i="1"/>
  <c r="AE116" i="1"/>
  <c r="AE118" i="1" s="1"/>
  <c r="F116" i="1"/>
  <c r="F118" i="1" s="1"/>
  <c r="BB116" i="1"/>
  <c r="BJ116" i="1"/>
  <c r="BJ118" i="1" s="1"/>
  <c r="AX116" i="1"/>
  <c r="AI116" i="1"/>
  <c r="AI118" i="1" s="1"/>
  <c r="I116" i="1"/>
  <c r="I118" i="1" s="1"/>
  <c r="AG116" i="1"/>
  <c r="AG118" i="1" s="1"/>
  <c r="BE116" i="1"/>
  <c r="BE118" i="1" s="1"/>
  <c r="AF116" i="1"/>
  <c r="AF118" i="1" s="1"/>
  <c r="BF116" i="1"/>
  <c r="BF118" i="1" s="1"/>
  <c r="AS116" i="1"/>
  <c r="O116" i="1"/>
  <c r="O118" i="1" s="1"/>
  <c r="BO116" i="1"/>
  <c r="BO118" i="1" s="1"/>
  <c r="AR116" i="1"/>
  <c r="N116" i="1"/>
  <c r="N118" i="1" s="1"/>
  <c r="K116" i="1"/>
  <c r="K118" i="1" s="1"/>
  <c r="AK116" i="1"/>
  <c r="AK118" i="1" s="1"/>
  <c r="BI116" i="1"/>
  <c r="BI118" i="1" s="1"/>
  <c r="AT116" i="1"/>
  <c r="AV116" i="1"/>
  <c r="E116" i="1"/>
  <c r="E118" i="1" s="1"/>
  <c r="BN116" i="1"/>
  <c r="BN118" i="1" s="1"/>
  <c r="AN116" i="1"/>
  <c r="AN118" i="1" s="1"/>
  <c r="M116" i="1"/>
  <c r="M118" i="1" s="1"/>
  <c r="AP116" i="1"/>
  <c r="AP118" i="1" s="1"/>
  <c r="BC116" i="1"/>
  <c r="BC118" i="1" s="1"/>
  <c r="AO116" i="1"/>
  <c r="AO118" i="1" s="1"/>
  <c r="V116" i="1"/>
  <c r="V118" i="1" s="1"/>
  <c r="Y116" i="1"/>
  <c r="Y118" i="1" s="1"/>
  <c r="W116" i="1"/>
  <c r="W118" i="1" s="1"/>
  <c r="S116" i="1"/>
  <c r="S118" i="1" s="1"/>
  <c r="X116" i="1"/>
  <c r="X118" i="1" s="1"/>
  <c r="R116" i="1"/>
  <c r="R118" i="1" s="1"/>
  <c r="Z116" i="1"/>
  <c r="Z118" i="1" s="1"/>
  <c r="U116" i="1"/>
  <c r="U118" i="1" s="1"/>
  <c r="T116" i="1"/>
  <c r="T118" i="1" s="1"/>
  <c r="AC116" i="1"/>
  <c r="AC118" i="1" s="1"/>
  <c r="Q116" i="1"/>
  <c r="Q118" i="1" s="1"/>
  <c r="AB116" i="1"/>
  <c r="AB118" i="1" s="1"/>
  <c r="P116" i="1"/>
  <c r="P118" i="1" s="1"/>
  <c r="AA116" i="1"/>
  <c r="AA118" i="1" s="1"/>
  <c r="AD116" i="1"/>
  <c r="AD118" i="1" s="1"/>
  <c r="AR118" i="1" l="1"/>
  <c r="BU31" i="1"/>
  <c r="BU38" i="1"/>
  <c r="BU48" i="1"/>
  <c r="BU89" i="1"/>
  <c r="BU4" i="1"/>
  <c r="BU12" i="1"/>
  <c r="BU54" i="1"/>
  <c r="BU8" i="1"/>
  <c r="BU84" i="1"/>
  <c r="BU70" i="1"/>
  <c r="BU53" i="1"/>
  <c r="BU26" i="1"/>
  <c r="BU27" i="1"/>
  <c r="BU28" i="1"/>
  <c r="BU45" i="1"/>
  <c r="BU75" i="1"/>
  <c r="BU86" i="1"/>
  <c r="BU96" i="1"/>
  <c r="BU88" i="1"/>
  <c r="BU97" i="1"/>
  <c r="BU98" i="1"/>
  <c r="BU99" i="1"/>
  <c r="BU100" i="1"/>
  <c r="BU101" i="1"/>
  <c r="BU102" i="1"/>
  <c r="BU103" i="1"/>
  <c r="BU104" i="1"/>
  <c r="BU105" i="1"/>
  <c r="BU106" i="1"/>
  <c r="BU107" i="1"/>
  <c r="BU62" i="1"/>
  <c r="BU63" i="1"/>
  <c r="BU108" i="1"/>
  <c r="BU109" i="1"/>
  <c r="BU67" i="1"/>
  <c r="BU66" i="1"/>
  <c r="BU72" i="1"/>
  <c r="BU110" i="1"/>
  <c r="BU111" i="1"/>
  <c r="BU112" i="1"/>
  <c r="BU113" i="1"/>
  <c r="BU24" i="1"/>
  <c r="BU20" i="1"/>
  <c r="BU44" i="1"/>
  <c r="BU50" i="1"/>
  <c r="BU10" i="1"/>
  <c r="BU37" i="1"/>
  <c r="BU47" i="1"/>
  <c r="BU58" i="1"/>
  <c r="BU15" i="1"/>
  <c r="BU65" i="1"/>
  <c r="BU73" i="1"/>
  <c r="BU41" i="1"/>
  <c r="BU23" i="1"/>
  <c r="BU9" i="1"/>
  <c r="BU83" i="1"/>
  <c r="BU22" i="1"/>
  <c r="BU39" i="1"/>
  <c r="BU49" i="1"/>
  <c r="BU25" i="1"/>
  <c r="BU90" i="1"/>
  <c r="BU40" i="1"/>
  <c r="BU5" i="1"/>
  <c r="BU34" i="1"/>
  <c r="BU55" i="1"/>
  <c r="BU18" i="1"/>
  <c r="BU85" i="1"/>
  <c r="BU6" i="1"/>
  <c r="BU33" i="1"/>
  <c r="BU57" i="1"/>
  <c r="BU16" i="1"/>
  <c r="BU3" i="1"/>
  <c r="BU36" i="1"/>
  <c r="BU81" i="1"/>
  <c r="BU74" i="1"/>
  <c r="BU76" i="1"/>
  <c r="BU78" i="1"/>
  <c r="BU95" i="1"/>
  <c r="BU7" i="1"/>
  <c r="BU51" i="1"/>
  <c r="BU42" i="1"/>
  <c r="BU115" i="1"/>
  <c r="BU59" i="1"/>
  <c r="BU77" i="1"/>
  <c r="BU94" i="1"/>
  <c r="BU17" i="1"/>
  <c r="BU69" i="1"/>
  <c r="BU43" i="1"/>
  <c r="BU93" i="1"/>
  <c r="BU92" i="1"/>
  <c r="BU29" i="1"/>
  <c r="BU79" i="1"/>
  <c r="BU60" i="1"/>
  <c r="BU114" i="1"/>
  <c r="BU87" i="1"/>
  <c r="BU68" i="1"/>
  <c r="BU46" i="1"/>
  <c r="BU19" i="1"/>
  <c r="BU82" i="1"/>
  <c r="BU56" i="1"/>
  <c r="BU61" i="1"/>
  <c r="BU32" i="1"/>
  <c r="BU11" i="1"/>
  <c r="BU35" i="1"/>
  <c r="BU64" i="1"/>
  <c r="BU91" i="1"/>
  <c r="BU71" i="1"/>
  <c r="BU13" i="1"/>
  <c r="BU80" i="1"/>
  <c r="BU2" i="1"/>
  <c r="AU118" i="1"/>
  <c r="BX3" i="1"/>
  <c r="BX4" i="1"/>
  <c r="BX5" i="1"/>
  <c r="BX6" i="1"/>
  <c r="BX7" i="1"/>
  <c r="BX10" i="1"/>
  <c r="BX31" i="1"/>
  <c r="BX22" i="1"/>
  <c r="BX33" i="1"/>
  <c r="BX23" i="1"/>
  <c r="BX34" i="1"/>
  <c r="BX35" i="1"/>
  <c r="BX36" i="1"/>
  <c r="BX37" i="1"/>
  <c r="BX38" i="1"/>
  <c r="BX39" i="1"/>
  <c r="BX24" i="1"/>
  <c r="BX46" i="1"/>
  <c r="BX12" i="1"/>
  <c r="BX13" i="1"/>
  <c r="BX47" i="1"/>
  <c r="BX48" i="1"/>
  <c r="BX49" i="1"/>
  <c r="BX51" i="1"/>
  <c r="BX32" i="1"/>
  <c r="BX9" i="1"/>
  <c r="BX54" i="1"/>
  <c r="BX55" i="1"/>
  <c r="BX56" i="1"/>
  <c r="BX57" i="1"/>
  <c r="BX58" i="1"/>
  <c r="BX20" i="1"/>
  <c r="BX60" i="1"/>
  <c r="BX61" i="1"/>
  <c r="BX8" i="1"/>
  <c r="BX18" i="1"/>
  <c r="BX19" i="1"/>
  <c r="BX64" i="1"/>
  <c r="BX15" i="1"/>
  <c r="BX25" i="1"/>
  <c r="BX44" i="1"/>
  <c r="BX80" i="1"/>
  <c r="BX81" i="1"/>
  <c r="BX82" i="1"/>
  <c r="BX83" i="1"/>
  <c r="BX84" i="1"/>
  <c r="BX85" i="1"/>
  <c r="BX87" i="1"/>
  <c r="BX11" i="1"/>
  <c r="BX65" i="1"/>
  <c r="BX89" i="1"/>
  <c r="BX90" i="1"/>
  <c r="BX50" i="1"/>
  <c r="BX16" i="1"/>
  <c r="BX17" i="1"/>
  <c r="BX68" i="1"/>
  <c r="BX92" i="1"/>
  <c r="BX71" i="1"/>
  <c r="BX91" i="1"/>
  <c r="BX69" i="1"/>
  <c r="BX42" i="1"/>
  <c r="BX73" i="1"/>
  <c r="BX41" i="1"/>
  <c r="BX45" i="1"/>
  <c r="BX104" i="1"/>
  <c r="BX106" i="1"/>
  <c r="BX102" i="1"/>
  <c r="BX62" i="1"/>
  <c r="BX109" i="1"/>
  <c r="BX112" i="1"/>
  <c r="BX96" i="1"/>
  <c r="BX72" i="1"/>
  <c r="BX75" i="1"/>
  <c r="BX105" i="1"/>
  <c r="BX26" i="1"/>
  <c r="BX100" i="1"/>
  <c r="BX43" i="1"/>
  <c r="BX98" i="1"/>
  <c r="BX28" i="1"/>
  <c r="BX103" i="1"/>
  <c r="BX107" i="1"/>
  <c r="BX108" i="1"/>
  <c r="BX88" i="1"/>
  <c r="BX115" i="1"/>
  <c r="BX29" i="1"/>
  <c r="BX74" i="1"/>
  <c r="BX59" i="1"/>
  <c r="BX76" i="1"/>
  <c r="BX77" i="1"/>
  <c r="BX78" i="1"/>
  <c r="BX79" i="1"/>
  <c r="BX93" i="1"/>
  <c r="BX94" i="1"/>
  <c r="BX95" i="1"/>
  <c r="BX110" i="1"/>
  <c r="BX70" i="1"/>
  <c r="BX40" i="1"/>
  <c r="BX27" i="1"/>
  <c r="BX101" i="1"/>
  <c r="BX114" i="1"/>
  <c r="BX99" i="1"/>
  <c r="BX63" i="1"/>
  <c r="BX113" i="1"/>
  <c r="BX86" i="1"/>
  <c r="BX53" i="1"/>
  <c r="BX67" i="1"/>
  <c r="BX97" i="1"/>
  <c r="BX66" i="1"/>
  <c r="BX111" i="1"/>
  <c r="BX2" i="1"/>
  <c r="BB118" i="1"/>
  <c r="CE22" i="1"/>
  <c r="CE39" i="1"/>
  <c r="CE49" i="1"/>
  <c r="CE25" i="1"/>
  <c r="CE90" i="1"/>
  <c r="CE5" i="1"/>
  <c r="CE34" i="1"/>
  <c r="CE55" i="1"/>
  <c r="CE18" i="1"/>
  <c r="CE85" i="1"/>
  <c r="CE73" i="1"/>
  <c r="CE41" i="1"/>
  <c r="CE51" i="1"/>
  <c r="CE80" i="1"/>
  <c r="CE16" i="1"/>
  <c r="CE31" i="1"/>
  <c r="CE38" i="1"/>
  <c r="CE48" i="1"/>
  <c r="CE89" i="1"/>
  <c r="CE68" i="1"/>
  <c r="CE92" i="1"/>
  <c r="CE43" i="1"/>
  <c r="CE4" i="1"/>
  <c r="CE12" i="1"/>
  <c r="CE54" i="1"/>
  <c r="CE8" i="1"/>
  <c r="CE84" i="1"/>
  <c r="CE24" i="1"/>
  <c r="CE20" i="1"/>
  <c r="CE44" i="1"/>
  <c r="CE50" i="1"/>
  <c r="CE71" i="1"/>
  <c r="CE6" i="1"/>
  <c r="CE35" i="1"/>
  <c r="CE56" i="1"/>
  <c r="CE19" i="1"/>
  <c r="CE87" i="1"/>
  <c r="CE32" i="1"/>
  <c r="CE11" i="1"/>
  <c r="CE40" i="1"/>
  <c r="CE27" i="1"/>
  <c r="CE107" i="1"/>
  <c r="CE108" i="1"/>
  <c r="CE33" i="1"/>
  <c r="CE57" i="1"/>
  <c r="CE53" i="1"/>
  <c r="CE99" i="1"/>
  <c r="CE104" i="1"/>
  <c r="CE114" i="1"/>
  <c r="CE115" i="1"/>
  <c r="CE29" i="1"/>
  <c r="CE59" i="1"/>
  <c r="CE76" i="1"/>
  <c r="CE78" i="1"/>
  <c r="CE79" i="1"/>
  <c r="CE94" i="1"/>
  <c r="CE95" i="1"/>
  <c r="CE17" i="1"/>
  <c r="CE102" i="1"/>
  <c r="CE106" i="1"/>
  <c r="CE113" i="1"/>
  <c r="CE3" i="1"/>
  <c r="CE13" i="1"/>
  <c r="CE9" i="1"/>
  <c r="CE65" i="1"/>
  <c r="CE91" i="1"/>
  <c r="CE45" i="1"/>
  <c r="CE74" i="1"/>
  <c r="CE77" i="1"/>
  <c r="CE93" i="1"/>
  <c r="CE23" i="1"/>
  <c r="CE36" i="1"/>
  <c r="CE15" i="1"/>
  <c r="CE97" i="1"/>
  <c r="CE63" i="1"/>
  <c r="CE67" i="1"/>
  <c r="CE110" i="1"/>
  <c r="CE7" i="1"/>
  <c r="CE58" i="1"/>
  <c r="CE47" i="1"/>
  <c r="CE81" i="1"/>
  <c r="CE96" i="1"/>
  <c r="CE37" i="1"/>
  <c r="CE60" i="1"/>
  <c r="CE10" i="1"/>
  <c r="CE69" i="1"/>
  <c r="CE75" i="1"/>
  <c r="CE62" i="1"/>
  <c r="CE109" i="1"/>
  <c r="CE72" i="1"/>
  <c r="CE112" i="1"/>
  <c r="CE70" i="1"/>
  <c r="CE88" i="1"/>
  <c r="CE66" i="1"/>
  <c r="CE46" i="1"/>
  <c r="CE42" i="1"/>
  <c r="CE98" i="1"/>
  <c r="CE101" i="1"/>
  <c r="CE82" i="1"/>
  <c r="CE28" i="1"/>
  <c r="CE103" i="1"/>
  <c r="CE105" i="1"/>
  <c r="CE61" i="1"/>
  <c r="CE111" i="1"/>
  <c r="CE83" i="1"/>
  <c r="CE100" i="1"/>
  <c r="CE86" i="1"/>
  <c r="CE26" i="1"/>
  <c r="CE64" i="1"/>
  <c r="CE2" i="1"/>
  <c r="AS118" i="1"/>
  <c r="BV3" i="1"/>
  <c r="BV33" i="1"/>
  <c r="BV32" i="1"/>
  <c r="BV61" i="1"/>
  <c r="BV82" i="1"/>
  <c r="BV68" i="1"/>
  <c r="BV92" i="1"/>
  <c r="BV71" i="1"/>
  <c r="BV31" i="1"/>
  <c r="BV38" i="1"/>
  <c r="BV48" i="1"/>
  <c r="BV89" i="1"/>
  <c r="BV4" i="1"/>
  <c r="BV12" i="1"/>
  <c r="BV54" i="1"/>
  <c r="BV8" i="1"/>
  <c r="BV84" i="1"/>
  <c r="BV70" i="1"/>
  <c r="BV53" i="1"/>
  <c r="BV26" i="1"/>
  <c r="BV27" i="1"/>
  <c r="BV28" i="1"/>
  <c r="BV45" i="1"/>
  <c r="BV75" i="1"/>
  <c r="BV86" i="1"/>
  <c r="BV96" i="1"/>
  <c r="BV88" i="1"/>
  <c r="BV97" i="1"/>
  <c r="BV98" i="1"/>
  <c r="BV99" i="1"/>
  <c r="BV100" i="1"/>
  <c r="BV101" i="1"/>
  <c r="BV102" i="1"/>
  <c r="BV103" i="1"/>
  <c r="BV104" i="1"/>
  <c r="BV105" i="1"/>
  <c r="BV106" i="1"/>
  <c r="BV107" i="1"/>
  <c r="BV46" i="1"/>
  <c r="BV60" i="1"/>
  <c r="BV81" i="1"/>
  <c r="BV17" i="1"/>
  <c r="BV10" i="1"/>
  <c r="BV37" i="1"/>
  <c r="BV47" i="1"/>
  <c r="BV58" i="1"/>
  <c r="BV15" i="1"/>
  <c r="BV65" i="1"/>
  <c r="BV73" i="1"/>
  <c r="BV41" i="1"/>
  <c r="BV23" i="1"/>
  <c r="BV9" i="1"/>
  <c r="BV83" i="1"/>
  <c r="BV22" i="1"/>
  <c r="BV39" i="1"/>
  <c r="BV49" i="1"/>
  <c r="BV25" i="1"/>
  <c r="BV90" i="1"/>
  <c r="BV40" i="1"/>
  <c r="BV35" i="1"/>
  <c r="BV20" i="1"/>
  <c r="BV64" i="1"/>
  <c r="BV24" i="1"/>
  <c r="BV13" i="1"/>
  <c r="BV80" i="1"/>
  <c r="BV91" i="1"/>
  <c r="BV69" i="1"/>
  <c r="BV43" i="1"/>
  <c r="BV108" i="1"/>
  <c r="BV111" i="1"/>
  <c r="BV36" i="1"/>
  <c r="BV66" i="1"/>
  <c r="BV7" i="1"/>
  <c r="BV51" i="1"/>
  <c r="BV85" i="1"/>
  <c r="BV18" i="1"/>
  <c r="BV55" i="1"/>
  <c r="BV42" i="1"/>
  <c r="BV115" i="1"/>
  <c r="BV29" i="1"/>
  <c r="BV74" i="1"/>
  <c r="BV59" i="1"/>
  <c r="BV76" i="1"/>
  <c r="BV77" i="1"/>
  <c r="BV78" i="1"/>
  <c r="BV79" i="1"/>
  <c r="BV93" i="1"/>
  <c r="BV94" i="1"/>
  <c r="BV95" i="1"/>
  <c r="BV34" i="1"/>
  <c r="BV87" i="1"/>
  <c r="BV44" i="1"/>
  <c r="BV5" i="1"/>
  <c r="BV19" i="1"/>
  <c r="BV63" i="1"/>
  <c r="BV67" i="1"/>
  <c r="BV110" i="1"/>
  <c r="BV113" i="1"/>
  <c r="BV56" i="1"/>
  <c r="BV50" i="1"/>
  <c r="BV11" i="1"/>
  <c r="BV6" i="1"/>
  <c r="BV57" i="1"/>
  <c r="BV16" i="1"/>
  <c r="BV72" i="1"/>
  <c r="BV112" i="1"/>
  <c r="BV62" i="1"/>
  <c r="BV114" i="1"/>
  <c r="BV109" i="1"/>
  <c r="BV2" i="1"/>
  <c r="AW118" i="1"/>
  <c r="BZ51" i="1"/>
  <c r="BZ80" i="1"/>
  <c r="BZ16" i="1"/>
  <c r="BZ7" i="1"/>
  <c r="BZ36" i="1"/>
  <c r="BZ13" i="1"/>
  <c r="BZ57" i="1"/>
  <c r="BZ64" i="1"/>
  <c r="BZ11" i="1"/>
  <c r="BZ43" i="1"/>
  <c r="BZ3" i="1"/>
  <c r="BZ33" i="1"/>
  <c r="BZ32" i="1"/>
  <c r="BZ61" i="1"/>
  <c r="BZ82" i="1"/>
  <c r="BZ24" i="1"/>
  <c r="BZ20" i="1"/>
  <c r="BZ44" i="1"/>
  <c r="BZ50" i="1"/>
  <c r="BZ70" i="1"/>
  <c r="BZ6" i="1"/>
  <c r="BZ35" i="1"/>
  <c r="BZ56" i="1"/>
  <c r="BZ19" i="1"/>
  <c r="BZ87" i="1"/>
  <c r="BZ53" i="1"/>
  <c r="BZ26" i="1"/>
  <c r="BZ27" i="1"/>
  <c r="BZ28" i="1"/>
  <c r="BZ45" i="1"/>
  <c r="BZ75" i="1"/>
  <c r="BZ86" i="1"/>
  <c r="BZ96" i="1"/>
  <c r="BZ88" i="1"/>
  <c r="BZ97" i="1"/>
  <c r="BZ98" i="1"/>
  <c r="BZ99" i="1"/>
  <c r="BZ100" i="1"/>
  <c r="BZ101" i="1"/>
  <c r="BZ102" i="1"/>
  <c r="BZ103" i="1"/>
  <c r="BZ104" i="1"/>
  <c r="BZ105" i="1"/>
  <c r="BZ106" i="1"/>
  <c r="BZ107" i="1"/>
  <c r="BZ62" i="1"/>
  <c r="BZ63" i="1"/>
  <c r="BZ108" i="1"/>
  <c r="BZ109" i="1"/>
  <c r="BZ67" i="1"/>
  <c r="BZ66" i="1"/>
  <c r="BZ72" i="1"/>
  <c r="BZ110" i="1"/>
  <c r="BZ111" i="1"/>
  <c r="BZ112" i="1"/>
  <c r="BZ46" i="1"/>
  <c r="BZ60" i="1"/>
  <c r="BZ81" i="1"/>
  <c r="BZ17" i="1"/>
  <c r="BZ91" i="1"/>
  <c r="BZ69" i="1"/>
  <c r="BZ42" i="1"/>
  <c r="BZ10" i="1"/>
  <c r="BZ37" i="1"/>
  <c r="BZ47" i="1"/>
  <c r="BZ58" i="1"/>
  <c r="BZ15" i="1"/>
  <c r="BZ65" i="1"/>
  <c r="BZ39" i="1"/>
  <c r="BZ71" i="1"/>
  <c r="BZ41" i="1"/>
  <c r="BZ23" i="1"/>
  <c r="BZ84" i="1"/>
  <c r="BZ89" i="1"/>
  <c r="BZ8" i="1"/>
  <c r="BZ54" i="1"/>
  <c r="BZ12" i="1"/>
  <c r="BZ85" i="1"/>
  <c r="BZ92" i="1"/>
  <c r="BZ18" i="1"/>
  <c r="BZ4" i="1"/>
  <c r="BZ48" i="1"/>
  <c r="BZ55" i="1"/>
  <c r="BZ90" i="1"/>
  <c r="BZ68" i="1"/>
  <c r="BZ38" i="1"/>
  <c r="BZ25" i="1"/>
  <c r="BZ83" i="1"/>
  <c r="BZ40" i="1"/>
  <c r="BZ113" i="1"/>
  <c r="BZ31" i="1"/>
  <c r="BZ34" i="1"/>
  <c r="BZ114" i="1"/>
  <c r="BZ115" i="1"/>
  <c r="BZ29" i="1"/>
  <c r="BZ74" i="1"/>
  <c r="BZ59" i="1"/>
  <c r="BZ76" i="1"/>
  <c r="BZ77" i="1"/>
  <c r="BZ78" i="1"/>
  <c r="BZ79" i="1"/>
  <c r="BZ93" i="1"/>
  <c r="BZ94" i="1"/>
  <c r="BZ95" i="1"/>
  <c r="BZ5" i="1"/>
  <c r="BZ49" i="1"/>
  <c r="BZ22" i="1"/>
  <c r="BZ73" i="1"/>
  <c r="BZ9" i="1"/>
  <c r="BZ2" i="1"/>
  <c r="AT118" i="1"/>
  <c r="BW3" i="1"/>
  <c r="BW4" i="1"/>
  <c r="BW5" i="1"/>
  <c r="BW6" i="1"/>
  <c r="BW7" i="1"/>
  <c r="BW10" i="1"/>
  <c r="BW31" i="1"/>
  <c r="BW22" i="1"/>
  <c r="BW33" i="1"/>
  <c r="BW23" i="1"/>
  <c r="BW34" i="1"/>
  <c r="BW35" i="1"/>
  <c r="BW36" i="1"/>
  <c r="BW37" i="1"/>
  <c r="BW38" i="1"/>
  <c r="BW39" i="1"/>
  <c r="BW24" i="1"/>
  <c r="BW46" i="1"/>
  <c r="BW12" i="1"/>
  <c r="BW13" i="1"/>
  <c r="BW47" i="1"/>
  <c r="BW48" i="1"/>
  <c r="BW49" i="1"/>
  <c r="BW51" i="1"/>
  <c r="BW32" i="1"/>
  <c r="BW9" i="1"/>
  <c r="BW54" i="1"/>
  <c r="BW55" i="1"/>
  <c r="BW56" i="1"/>
  <c r="BW57" i="1"/>
  <c r="BW58" i="1"/>
  <c r="BW20" i="1"/>
  <c r="BW60" i="1"/>
  <c r="BW61" i="1"/>
  <c r="BW8" i="1"/>
  <c r="BW18" i="1"/>
  <c r="BW19" i="1"/>
  <c r="BW64" i="1"/>
  <c r="BW15" i="1"/>
  <c r="BW25" i="1"/>
  <c r="BW44" i="1"/>
  <c r="BW80" i="1"/>
  <c r="BW81" i="1"/>
  <c r="BW82" i="1"/>
  <c r="BW83" i="1"/>
  <c r="BW84" i="1"/>
  <c r="BW85" i="1"/>
  <c r="BW87" i="1"/>
  <c r="BW11" i="1"/>
  <c r="BW65" i="1"/>
  <c r="BW89" i="1"/>
  <c r="BW90" i="1"/>
  <c r="BW50" i="1"/>
  <c r="BW16" i="1"/>
  <c r="BW17" i="1"/>
  <c r="BW68" i="1"/>
  <c r="BW91" i="1"/>
  <c r="BW92" i="1"/>
  <c r="BW73" i="1"/>
  <c r="BW69" i="1"/>
  <c r="BW70" i="1"/>
  <c r="BW71" i="1"/>
  <c r="BW43" i="1"/>
  <c r="BW40" i="1"/>
  <c r="BW41" i="1"/>
  <c r="BW42" i="1"/>
  <c r="BW97" i="1"/>
  <c r="BW96" i="1"/>
  <c r="BW62" i="1"/>
  <c r="BW109" i="1"/>
  <c r="BW72" i="1"/>
  <c r="BW112" i="1"/>
  <c r="BW100" i="1"/>
  <c r="BW26" i="1"/>
  <c r="BW98" i="1"/>
  <c r="BW75" i="1"/>
  <c r="BW105" i="1"/>
  <c r="BW28" i="1"/>
  <c r="BW103" i="1"/>
  <c r="BW107" i="1"/>
  <c r="BW108" i="1"/>
  <c r="BW66" i="1"/>
  <c r="BW111" i="1"/>
  <c r="BW88" i="1"/>
  <c r="BW27" i="1"/>
  <c r="BW101" i="1"/>
  <c r="BW114" i="1"/>
  <c r="BW86" i="1"/>
  <c r="BW45" i="1"/>
  <c r="BW104" i="1"/>
  <c r="BW53" i="1"/>
  <c r="BW99" i="1"/>
  <c r="BW63" i="1"/>
  <c r="BW67" i="1"/>
  <c r="BW110" i="1"/>
  <c r="BW113" i="1"/>
  <c r="BW106" i="1"/>
  <c r="BW95" i="1"/>
  <c r="BW115" i="1"/>
  <c r="BW29" i="1"/>
  <c r="BW79" i="1"/>
  <c r="BW76" i="1"/>
  <c r="BW74" i="1"/>
  <c r="BW93" i="1"/>
  <c r="BW102" i="1"/>
  <c r="BW59" i="1"/>
  <c r="BW94" i="1"/>
  <c r="BW77" i="1"/>
  <c r="BW78" i="1"/>
  <c r="BW2" i="1"/>
  <c r="AY118" i="1"/>
  <c r="CB3" i="1"/>
  <c r="CB4" i="1"/>
  <c r="CB5" i="1"/>
  <c r="CB6" i="1"/>
  <c r="CB7" i="1"/>
  <c r="CB10" i="1"/>
  <c r="CB31" i="1"/>
  <c r="CB22" i="1"/>
  <c r="CB33" i="1"/>
  <c r="CB23" i="1"/>
  <c r="CB34" i="1"/>
  <c r="CB35" i="1"/>
  <c r="CB36" i="1"/>
  <c r="CB37" i="1"/>
  <c r="CB38" i="1"/>
  <c r="CB39" i="1"/>
  <c r="CB24" i="1"/>
  <c r="CB46" i="1"/>
  <c r="CB12" i="1"/>
  <c r="CB13" i="1"/>
  <c r="CB47" i="1"/>
  <c r="CB48" i="1"/>
  <c r="CB49" i="1"/>
  <c r="CB51" i="1"/>
  <c r="CB32" i="1"/>
  <c r="CB9" i="1"/>
  <c r="CB54" i="1"/>
  <c r="CB55" i="1"/>
  <c r="CB56" i="1"/>
  <c r="CB57" i="1"/>
  <c r="CB58" i="1"/>
  <c r="CB20" i="1"/>
  <c r="CB60" i="1"/>
  <c r="CB61" i="1"/>
  <c r="CB8" i="1"/>
  <c r="CB18" i="1"/>
  <c r="CB19" i="1"/>
  <c r="CB64" i="1"/>
  <c r="CB15" i="1"/>
  <c r="CB25" i="1"/>
  <c r="CB44" i="1"/>
  <c r="CB80" i="1"/>
  <c r="CB81" i="1"/>
  <c r="CB82" i="1"/>
  <c r="CB83" i="1"/>
  <c r="CB84" i="1"/>
  <c r="CB85" i="1"/>
  <c r="CB87" i="1"/>
  <c r="CB11" i="1"/>
  <c r="CB65" i="1"/>
  <c r="CB89" i="1"/>
  <c r="CB90" i="1"/>
  <c r="CB50" i="1"/>
  <c r="CB16" i="1"/>
  <c r="CB17" i="1"/>
  <c r="CB68" i="1"/>
  <c r="CB91" i="1"/>
  <c r="CB92" i="1"/>
  <c r="CB73" i="1"/>
  <c r="CB69" i="1"/>
  <c r="CB70" i="1"/>
  <c r="CB71" i="1"/>
  <c r="CB43" i="1"/>
  <c r="CB40" i="1"/>
  <c r="CB41" i="1"/>
  <c r="CB42" i="1"/>
  <c r="CB53" i="1"/>
  <c r="CB26" i="1"/>
  <c r="CB27" i="1"/>
  <c r="CB28" i="1"/>
  <c r="CB45" i="1"/>
  <c r="CB75" i="1"/>
  <c r="CB86" i="1"/>
  <c r="CB96" i="1"/>
  <c r="CB88" i="1"/>
  <c r="CB97" i="1"/>
  <c r="CB98" i="1"/>
  <c r="CB99" i="1"/>
  <c r="CB100" i="1"/>
  <c r="CB101" i="1"/>
  <c r="CB102" i="1"/>
  <c r="CB103" i="1"/>
  <c r="CB104" i="1"/>
  <c r="CB114" i="1"/>
  <c r="CB76" i="1"/>
  <c r="CB93" i="1"/>
  <c r="CB106" i="1"/>
  <c r="CB113" i="1"/>
  <c r="CB62" i="1"/>
  <c r="CB112" i="1"/>
  <c r="CB109" i="1"/>
  <c r="CB72" i="1"/>
  <c r="CB115" i="1"/>
  <c r="CB74" i="1"/>
  <c r="CB77" i="1"/>
  <c r="CB94" i="1"/>
  <c r="CB107" i="1"/>
  <c r="CB108" i="1"/>
  <c r="CB66" i="1"/>
  <c r="CB111" i="1"/>
  <c r="CB29" i="1"/>
  <c r="CB78" i="1"/>
  <c r="CB95" i="1"/>
  <c r="CB59" i="1"/>
  <c r="CB79" i="1"/>
  <c r="CB67" i="1"/>
  <c r="CB110" i="1"/>
  <c r="CB105" i="1"/>
  <c r="CB63" i="1"/>
  <c r="CB2" i="1"/>
  <c r="AZ118" i="1"/>
  <c r="CC3" i="1"/>
  <c r="CC4" i="1"/>
  <c r="CC5" i="1"/>
  <c r="CC6" i="1"/>
  <c r="CC7" i="1"/>
  <c r="CC10" i="1"/>
  <c r="CC31" i="1"/>
  <c r="CC22" i="1"/>
  <c r="CC33" i="1"/>
  <c r="CC23" i="1"/>
  <c r="CC34" i="1"/>
  <c r="CC35" i="1"/>
  <c r="CC36" i="1"/>
  <c r="CC37" i="1"/>
  <c r="CC38" i="1"/>
  <c r="CC39" i="1"/>
  <c r="CC24" i="1"/>
  <c r="CC46" i="1"/>
  <c r="CC12" i="1"/>
  <c r="CC13" i="1"/>
  <c r="CC47" i="1"/>
  <c r="CC48" i="1"/>
  <c r="CC49" i="1"/>
  <c r="CC51" i="1"/>
  <c r="CC32" i="1"/>
  <c r="CC9" i="1"/>
  <c r="CC54" i="1"/>
  <c r="CC55" i="1"/>
  <c r="CC56" i="1"/>
  <c r="CC57" i="1"/>
  <c r="CC58" i="1"/>
  <c r="CC20" i="1"/>
  <c r="CC60" i="1"/>
  <c r="CC61" i="1"/>
  <c r="CC8" i="1"/>
  <c r="CC18" i="1"/>
  <c r="CC19" i="1"/>
  <c r="CC64" i="1"/>
  <c r="CC15" i="1"/>
  <c r="CC25" i="1"/>
  <c r="CC44" i="1"/>
  <c r="CC80" i="1"/>
  <c r="CC81" i="1"/>
  <c r="CC82" i="1"/>
  <c r="CC83" i="1"/>
  <c r="CC84" i="1"/>
  <c r="CC85" i="1"/>
  <c r="CC87" i="1"/>
  <c r="CC11" i="1"/>
  <c r="CC65" i="1"/>
  <c r="CC89" i="1"/>
  <c r="CC90" i="1"/>
  <c r="CC50" i="1"/>
  <c r="CC16" i="1"/>
  <c r="CC17" i="1"/>
  <c r="CC68" i="1"/>
  <c r="CC91" i="1"/>
  <c r="CC92" i="1"/>
  <c r="CC40" i="1"/>
  <c r="CC71" i="1"/>
  <c r="CC70" i="1"/>
  <c r="CC53" i="1"/>
  <c r="CC97" i="1"/>
  <c r="CC63" i="1"/>
  <c r="CC67" i="1"/>
  <c r="CC110" i="1"/>
  <c r="CC73" i="1"/>
  <c r="CC102" i="1"/>
  <c r="CC106" i="1"/>
  <c r="CC113" i="1"/>
  <c r="CC41" i="1"/>
  <c r="CC96" i="1"/>
  <c r="CC26" i="1"/>
  <c r="CC100" i="1"/>
  <c r="CC69" i="1"/>
  <c r="CC75" i="1"/>
  <c r="CC62" i="1"/>
  <c r="CC109" i="1"/>
  <c r="CC72" i="1"/>
  <c r="CC112" i="1"/>
  <c r="CC43" i="1"/>
  <c r="CC42" i="1"/>
  <c r="CC28" i="1"/>
  <c r="CC103" i="1"/>
  <c r="CC105" i="1"/>
  <c r="CC88" i="1"/>
  <c r="CC27" i="1"/>
  <c r="CC101" i="1"/>
  <c r="CC107" i="1"/>
  <c r="CC108" i="1"/>
  <c r="CC66" i="1"/>
  <c r="CC111" i="1"/>
  <c r="CC86" i="1"/>
  <c r="CC99" i="1"/>
  <c r="CC115" i="1"/>
  <c r="CC78" i="1"/>
  <c r="CC98" i="1"/>
  <c r="CC29" i="1"/>
  <c r="CC79" i="1"/>
  <c r="CC74" i="1"/>
  <c r="CC104" i="1"/>
  <c r="CC59" i="1"/>
  <c r="CC93" i="1"/>
  <c r="CC94" i="1"/>
  <c r="CC76" i="1"/>
  <c r="CC95" i="1"/>
  <c r="CC45" i="1"/>
  <c r="CC114" i="1"/>
  <c r="CC77" i="1"/>
  <c r="CC2" i="1"/>
  <c r="AV118" i="1"/>
  <c r="BY7" i="1"/>
  <c r="BY36" i="1"/>
  <c r="BY13" i="1"/>
  <c r="BY57" i="1"/>
  <c r="BY64" i="1"/>
  <c r="BY11" i="1"/>
  <c r="BY43" i="1"/>
  <c r="BY3" i="1"/>
  <c r="BY33" i="1"/>
  <c r="BY32" i="1"/>
  <c r="BY61" i="1"/>
  <c r="BY82" i="1"/>
  <c r="BY31" i="1"/>
  <c r="BY38" i="1"/>
  <c r="BY48" i="1"/>
  <c r="BY89" i="1"/>
  <c r="BY68" i="1"/>
  <c r="BY92" i="1"/>
  <c r="BY71" i="1"/>
  <c r="BY6" i="1"/>
  <c r="BY35" i="1"/>
  <c r="BY56" i="1"/>
  <c r="BY19" i="1"/>
  <c r="BY87" i="1"/>
  <c r="BY53" i="1"/>
  <c r="BY26" i="1"/>
  <c r="BY27" i="1"/>
  <c r="BY28" i="1"/>
  <c r="BY45" i="1"/>
  <c r="BY75" i="1"/>
  <c r="BY86" i="1"/>
  <c r="BY96" i="1"/>
  <c r="BY88" i="1"/>
  <c r="BY97" i="1"/>
  <c r="BY98" i="1"/>
  <c r="BY99" i="1"/>
  <c r="BY100" i="1"/>
  <c r="BY101" i="1"/>
  <c r="BY102" i="1"/>
  <c r="BY103" i="1"/>
  <c r="BY104" i="1"/>
  <c r="BY105" i="1"/>
  <c r="BY106" i="1"/>
  <c r="BY107" i="1"/>
  <c r="BY62" i="1"/>
  <c r="BY63" i="1"/>
  <c r="BY108" i="1"/>
  <c r="BY109" i="1"/>
  <c r="BY67" i="1"/>
  <c r="BY66" i="1"/>
  <c r="BY72" i="1"/>
  <c r="BY110" i="1"/>
  <c r="BY111" i="1"/>
  <c r="BY112" i="1"/>
  <c r="BY113" i="1"/>
  <c r="BY114" i="1"/>
  <c r="BY46" i="1"/>
  <c r="BY60" i="1"/>
  <c r="BY81" i="1"/>
  <c r="BY17" i="1"/>
  <c r="BY91" i="1"/>
  <c r="BY69" i="1"/>
  <c r="BY42" i="1"/>
  <c r="BY10" i="1"/>
  <c r="BY37" i="1"/>
  <c r="BY47" i="1"/>
  <c r="BY58" i="1"/>
  <c r="BY15" i="1"/>
  <c r="BY65" i="1"/>
  <c r="BY23" i="1"/>
  <c r="BY9" i="1"/>
  <c r="BY83" i="1"/>
  <c r="BY73" i="1"/>
  <c r="BY41" i="1"/>
  <c r="BY22" i="1"/>
  <c r="BY44" i="1"/>
  <c r="BY84" i="1"/>
  <c r="BY16" i="1"/>
  <c r="BY24" i="1"/>
  <c r="BY8" i="1"/>
  <c r="BY80" i="1"/>
  <c r="BY54" i="1"/>
  <c r="BY12" i="1"/>
  <c r="BY51" i="1"/>
  <c r="BY85" i="1"/>
  <c r="BY18" i="1"/>
  <c r="BY4" i="1"/>
  <c r="BY55" i="1"/>
  <c r="BY90" i="1"/>
  <c r="BY25" i="1"/>
  <c r="BY50" i="1"/>
  <c r="BY34" i="1"/>
  <c r="BY115" i="1"/>
  <c r="BY29" i="1"/>
  <c r="BY74" i="1"/>
  <c r="BY59" i="1"/>
  <c r="BY76" i="1"/>
  <c r="BY77" i="1"/>
  <c r="BY78" i="1"/>
  <c r="BY79" i="1"/>
  <c r="BY93" i="1"/>
  <c r="BY94" i="1"/>
  <c r="BY95" i="1"/>
  <c r="BY5" i="1"/>
  <c r="BY49" i="1"/>
  <c r="BY70" i="1"/>
  <c r="BY40" i="1"/>
  <c r="BY39" i="1"/>
  <c r="BY20" i="1"/>
  <c r="BY2" i="1"/>
  <c r="AQ118" i="1"/>
  <c r="BT4" i="1"/>
  <c r="BT12" i="1"/>
  <c r="BT54" i="1"/>
  <c r="BT8" i="1"/>
  <c r="BT84" i="1"/>
  <c r="BT70" i="1"/>
  <c r="BT53" i="1"/>
  <c r="BT26" i="1"/>
  <c r="BT27" i="1"/>
  <c r="BT28" i="1"/>
  <c r="BT45" i="1"/>
  <c r="BT75" i="1"/>
  <c r="BT86" i="1"/>
  <c r="BT96" i="1"/>
  <c r="BT88" i="1"/>
  <c r="BT97" i="1"/>
  <c r="BT98" i="1"/>
  <c r="BT99" i="1"/>
  <c r="BT100" i="1"/>
  <c r="BT101" i="1"/>
  <c r="BT102" i="1"/>
  <c r="BT103" i="1"/>
  <c r="BT104" i="1"/>
  <c r="BT105" i="1"/>
  <c r="BT106" i="1"/>
  <c r="BT107" i="1"/>
  <c r="BT62" i="1"/>
  <c r="BT63" i="1"/>
  <c r="BT108" i="1"/>
  <c r="BT109" i="1"/>
  <c r="BT67" i="1"/>
  <c r="BT66" i="1"/>
  <c r="BT72" i="1"/>
  <c r="BT110" i="1"/>
  <c r="BT111" i="1"/>
  <c r="BT112" i="1"/>
  <c r="BT113" i="1"/>
  <c r="BT114" i="1"/>
  <c r="BT24" i="1"/>
  <c r="BT20" i="1"/>
  <c r="BT44" i="1"/>
  <c r="BT50" i="1"/>
  <c r="BT6" i="1"/>
  <c r="BT35" i="1"/>
  <c r="BT56" i="1"/>
  <c r="BT19" i="1"/>
  <c r="BT87" i="1"/>
  <c r="BT91" i="1"/>
  <c r="BT69" i="1"/>
  <c r="BT42" i="1"/>
  <c r="BT23" i="1"/>
  <c r="BT9" i="1"/>
  <c r="BT83" i="1"/>
  <c r="BT22" i="1"/>
  <c r="BT39" i="1"/>
  <c r="BT49" i="1"/>
  <c r="BT25" i="1"/>
  <c r="BT90" i="1"/>
  <c r="BT40" i="1"/>
  <c r="BT5" i="1"/>
  <c r="BT34" i="1"/>
  <c r="BT55" i="1"/>
  <c r="BT18" i="1"/>
  <c r="BT85" i="1"/>
  <c r="BT51" i="1"/>
  <c r="BT80" i="1"/>
  <c r="BT16" i="1"/>
  <c r="BT43" i="1"/>
  <c r="BT3" i="1"/>
  <c r="BT13" i="1"/>
  <c r="BT73" i="1"/>
  <c r="BT71" i="1"/>
  <c r="BT7" i="1"/>
  <c r="BT15" i="1"/>
  <c r="BT37" i="1"/>
  <c r="BT58" i="1"/>
  <c r="BT17" i="1"/>
  <c r="BT47" i="1"/>
  <c r="BT81" i="1"/>
  <c r="BT89" i="1"/>
  <c r="BT92" i="1"/>
  <c r="BT115" i="1"/>
  <c r="BT29" i="1"/>
  <c r="BT74" i="1"/>
  <c r="BT59" i="1"/>
  <c r="BT76" i="1"/>
  <c r="BT77" i="1"/>
  <c r="BT78" i="1"/>
  <c r="BT79" i="1"/>
  <c r="BT93" i="1"/>
  <c r="BT94" i="1"/>
  <c r="BT95" i="1"/>
  <c r="BT60" i="1"/>
  <c r="BT10" i="1"/>
  <c r="BT68" i="1"/>
  <c r="BT46" i="1"/>
  <c r="BT48" i="1"/>
  <c r="BT82" i="1"/>
  <c r="BT38" i="1"/>
  <c r="BT61" i="1"/>
  <c r="BT33" i="1"/>
  <c r="BT31" i="1"/>
  <c r="BT32" i="1"/>
  <c r="BT11" i="1"/>
  <c r="BT57" i="1"/>
  <c r="BT64" i="1"/>
  <c r="BT65" i="1"/>
  <c r="BT36" i="1"/>
  <c r="BT41" i="1"/>
  <c r="BT2" i="1"/>
  <c r="AX118" i="1"/>
  <c r="CA5" i="1"/>
  <c r="CA34" i="1"/>
  <c r="CA55" i="1"/>
  <c r="CA18" i="1"/>
  <c r="CA85" i="1"/>
  <c r="CA40" i="1"/>
  <c r="CA51" i="1"/>
  <c r="CA80" i="1"/>
  <c r="CA16" i="1"/>
  <c r="CA7" i="1"/>
  <c r="CA36" i="1"/>
  <c r="CA13" i="1"/>
  <c r="CA57" i="1"/>
  <c r="CA64" i="1"/>
  <c r="CA11" i="1"/>
  <c r="CA43" i="1"/>
  <c r="CA4" i="1"/>
  <c r="CA12" i="1"/>
  <c r="CA54" i="1"/>
  <c r="CA8" i="1"/>
  <c r="CA84" i="1"/>
  <c r="CA24" i="1"/>
  <c r="CA20" i="1"/>
  <c r="CA44" i="1"/>
  <c r="CA50" i="1"/>
  <c r="CA70" i="1"/>
  <c r="CA6" i="1"/>
  <c r="CA35" i="1"/>
  <c r="CA56" i="1"/>
  <c r="CA19" i="1"/>
  <c r="CA87" i="1"/>
  <c r="CA53" i="1"/>
  <c r="CA26" i="1"/>
  <c r="CA27" i="1"/>
  <c r="CA28" i="1"/>
  <c r="CA45" i="1"/>
  <c r="CA75" i="1"/>
  <c r="CA86" i="1"/>
  <c r="CA96" i="1"/>
  <c r="CA88" i="1"/>
  <c r="CA97" i="1"/>
  <c r="CA98" i="1"/>
  <c r="CA99" i="1"/>
  <c r="CA100" i="1"/>
  <c r="CA101" i="1"/>
  <c r="CA102" i="1"/>
  <c r="CA103" i="1"/>
  <c r="CA104" i="1"/>
  <c r="CA46" i="1"/>
  <c r="CA60" i="1"/>
  <c r="CA81" i="1"/>
  <c r="CA17" i="1"/>
  <c r="CA91" i="1"/>
  <c r="CA69" i="1"/>
  <c r="CA42" i="1"/>
  <c r="CA49" i="1"/>
  <c r="CA83" i="1"/>
  <c r="CA63" i="1"/>
  <c r="CA110" i="1"/>
  <c r="CA39" i="1"/>
  <c r="CA3" i="1"/>
  <c r="CA22" i="1"/>
  <c r="CA9" i="1"/>
  <c r="CA65" i="1"/>
  <c r="CA73" i="1"/>
  <c r="CA15" i="1"/>
  <c r="CA71" i="1"/>
  <c r="CA41" i="1"/>
  <c r="CA23" i="1"/>
  <c r="CA58" i="1"/>
  <c r="CA62" i="1"/>
  <c r="CA109" i="1"/>
  <c r="CA72" i="1"/>
  <c r="CA112" i="1"/>
  <c r="CA47" i="1"/>
  <c r="CA37" i="1"/>
  <c r="CA89" i="1"/>
  <c r="CA105" i="1"/>
  <c r="CA10" i="1"/>
  <c r="CA92" i="1"/>
  <c r="CA107" i="1"/>
  <c r="CA108" i="1"/>
  <c r="CA66" i="1"/>
  <c r="CA111" i="1"/>
  <c r="CA114" i="1"/>
  <c r="CA74" i="1"/>
  <c r="CA76" i="1"/>
  <c r="CA79" i="1"/>
  <c r="CA95" i="1"/>
  <c r="CA48" i="1"/>
  <c r="CA82" i="1"/>
  <c r="CA90" i="1"/>
  <c r="CA68" i="1"/>
  <c r="CA31" i="1"/>
  <c r="CA29" i="1"/>
  <c r="CA77" i="1"/>
  <c r="CA93" i="1"/>
  <c r="CA67" i="1"/>
  <c r="CA38" i="1"/>
  <c r="CA61" i="1"/>
  <c r="CA25" i="1"/>
  <c r="CA32" i="1"/>
  <c r="CA115" i="1"/>
  <c r="CA59" i="1"/>
  <c r="CA78" i="1"/>
  <c r="CA94" i="1"/>
  <c r="CA33" i="1"/>
  <c r="CA106" i="1"/>
  <c r="CA113" i="1"/>
  <c r="CA2" i="1"/>
  <c r="BA118" i="1"/>
  <c r="CD3" i="1"/>
  <c r="CD4" i="1"/>
  <c r="CD5" i="1"/>
  <c r="CD6" i="1"/>
  <c r="CD7" i="1"/>
  <c r="CD10" i="1"/>
  <c r="CD31" i="1"/>
  <c r="CD22" i="1"/>
  <c r="CD33" i="1"/>
  <c r="CD23" i="1"/>
  <c r="CD34" i="1"/>
  <c r="CD35" i="1"/>
  <c r="CD36" i="1"/>
  <c r="CD37" i="1"/>
  <c r="CD38" i="1"/>
  <c r="CD39" i="1"/>
  <c r="CD24" i="1"/>
  <c r="CD46" i="1"/>
  <c r="CD12" i="1"/>
  <c r="CD13" i="1"/>
  <c r="CD47" i="1"/>
  <c r="CD48" i="1"/>
  <c r="CD49" i="1"/>
  <c r="CD51" i="1"/>
  <c r="CD32" i="1"/>
  <c r="CD9" i="1"/>
  <c r="CD54" i="1"/>
  <c r="CD55" i="1"/>
  <c r="CD56" i="1"/>
  <c r="CD57" i="1"/>
  <c r="CD58" i="1"/>
  <c r="CD20" i="1"/>
  <c r="CD60" i="1"/>
  <c r="CD61" i="1"/>
  <c r="CD8" i="1"/>
  <c r="CD18" i="1"/>
  <c r="CD19" i="1"/>
  <c r="CD64" i="1"/>
  <c r="CD15" i="1"/>
  <c r="CD25" i="1"/>
  <c r="CD44" i="1"/>
  <c r="CD80" i="1"/>
  <c r="CD81" i="1"/>
  <c r="CD82" i="1"/>
  <c r="CD83" i="1"/>
  <c r="CD84" i="1"/>
  <c r="CD85" i="1"/>
  <c r="CD87" i="1"/>
  <c r="CD11" i="1"/>
  <c r="CD65" i="1"/>
  <c r="CD89" i="1"/>
  <c r="CD90" i="1"/>
  <c r="CD50" i="1"/>
  <c r="CD16" i="1"/>
  <c r="CD17" i="1"/>
  <c r="CD68" i="1"/>
  <c r="CD91" i="1"/>
  <c r="CD92" i="1"/>
  <c r="CD73" i="1"/>
  <c r="CD41" i="1"/>
  <c r="CD40" i="1"/>
  <c r="CD71" i="1"/>
  <c r="CD70" i="1"/>
  <c r="CD45" i="1"/>
  <c r="CD104" i="1"/>
  <c r="CD114" i="1"/>
  <c r="CD115" i="1"/>
  <c r="CD29" i="1"/>
  <c r="CD74" i="1"/>
  <c r="CD59" i="1"/>
  <c r="CD76" i="1"/>
  <c r="CD77" i="1"/>
  <c r="CD78" i="1"/>
  <c r="CD79" i="1"/>
  <c r="CD93" i="1"/>
  <c r="CD94" i="1"/>
  <c r="CD95" i="1"/>
  <c r="CD67" i="1"/>
  <c r="CD110" i="1"/>
  <c r="CD96" i="1"/>
  <c r="CD75" i="1"/>
  <c r="CD97" i="1"/>
  <c r="CD63" i="1"/>
  <c r="CD102" i="1"/>
  <c r="CD106" i="1"/>
  <c r="CD113" i="1"/>
  <c r="CD26" i="1"/>
  <c r="CD100" i="1"/>
  <c r="CD69" i="1"/>
  <c r="CD62" i="1"/>
  <c r="CD43" i="1"/>
  <c r="CD42" i="1"/>
  <c r="CD98" i="1"/>
  <c r="CD27" i="1"/>
  <c r="CD101" i="1"/>
  <c r="CD107" i="1"/>
  <c r="CD108" i="1"/>
  <c r="CD86" i="1"/>
  <c r="CD28" i="1"/>
  <c r="CD103" i="1"/>
  <c r="CD105" i="1"/>
  <c r="CD66" i="1"/>
  <c r="CD88" i="1"/>
  <c r="CD111" i="1"/>
  <c r="CD99" i="1"/>
  <c r="CD72" i="1"/>
  <c r="CD53" i="1"/>
  <c r="CD112" i="1"/>
  <c r="CD109" i="1"/>
  <c r="CD2" i="1"/>
  <c r="CF36" i="1" l="1"/>
  <c r="CH36" i="1" s="1"/>
  <c r="CF79" i="1"/>
  <c r="CF17" i="1"/>
  <c r="CF20" i="1"/>
  <c r="CF48" i="1"/>
  <c r="CF90" i="1"/>
  <c r="BZ116" i="1"/>
  <c r="BV116" i="1"/>
  <c r="CF64" i="1"/>
  <c r="CF37" i="1"/>
  <c r="CF25" i="1"/>
  <c r="CF24" i="1"/>
  <c r="CF76" i="1"/>
  <c r="BW116" i="1"/>
  <c r="CF49" i="1"/>
  <c r="CB116" i="1"/>
  <c r="CF11" i="1"/>
  <c r="CF74" i="1"/>
  <c r="CC116" i="1"/>
  <c r="CA116" i="1"/>
  <c r="CF10" i="1"/>
  <c r="CF29" i="1"/>
  <c r="CF31" i="1"/>
  <c r="CF4" i="1"/>
  <c r="CF33" i="1"/>
  <c r="CF60" i="1"/>
  <c r="CF3" i="1"/>
  <c r="BT116" i="1"/>
  <c r="CF34" i="1"/>
  <c r="CF35" i="1"/>
  <c r="CE116" i="1"/>
  <c r="CD116" i="1"/>
  <c r="CF61" i="1"/>
  <c r="CF89" i="1"/>
  <c r="CF2" i="1"/>
  <c r="CF16" i="1"/>
  <c r="CF40" i="1"/>
  <c r="CF50" i="1"/>
  <c r="BU116" i="1"/>
  <c r="CF93" i="1"/>
  <c r="CF47" i="1"/>
  <c r="CF23" i="1"/>
  <c r="CF26" i="1"/>
  <c r="BY116" i="1"/>
  <c r="BX116" i="1"/>
  <c r="CL36" i="1" l="1"/>
  <c r="CG36" i="1"/>
  <c r="CQ36" i="1"/>
  <c r="CP36" i="1"/>
  <c r="CM36" i="1"/>
  <c r="CI36" i="1"/>
  <c r="CR36" i="1"/>
  <c r="CJ36" i="1"/>
  <c r="CO36" i="1"/>
  <c r="CK36" i="1"/>
  <c r="CN36" i="1"/>
  <c r="CN4" i="1"/>
  <c r="CM4" i="1"/>
  <c r="CR4" i="1"/>
  <c r="CI4" i="1"/>
  <c r="CK4" i="1"/>
  <c r="CJ4" i="1"/>
  <c r="CL4" i="1"/>
  <c r="CP4" i="1"/>
  <c r="CQ4" i="1"/>
  <c r="CG4" i="1"/>
  <c r="CH4" i="1"/>
  <c r="CO4" i="1"/>
  <c r="CK64" i="1"/>
  <c r="CQ64" i="1"/>
  <c r="CM64" i="1"/>
  <c r="CL64" i="1"/>
  <c r="CG64" i="1"/>
  <c r="CP64" i="1"/>
  <c r="CJ64" i="1"/>
  <c r="CI64" i="1"/>
  <c r="CN64" i="1"/>
  <c r="CO64" i="1"/>
  <c r="CR64" i="1"/>
  <c r="CH64" i="1"/>
  <c r="CO26" i="1"/>
  <c r="CJ26" i="1"/>
  <c r="CI26" i="1"/>
  <c r="CH26" i="1"/>
  <c r="CR26" i="1"/>
  <c r="CQ26" i="1"/>
  <c r="CM26" i="1"/>
  <c r="CP26" i="1"/>
  <c r="CG26" i="1"/>
  <c r="CK26" i="1"/>
  <c r="CN26" i="1"/>
  <c r="CL26" i="1"/>
  <c r="CR89" i="1"/>
  <c r="CG89" i="1"/>
  <c r="CI89" i="1"/>
  <c r="CN89" i="1"/>
  <c r="CL89" i="1"/>
  <c r="CJ89" i="1"/>
  <c r="CM89" i="1"/>
  <c r="CH89" i="1"/>
  <c r="CO89" i="1"/>
  <c r="CQ89" i="1"/>
  <c r="CK89" i="1"/>
  <c r="CP89" i="1"/>
  <c r="CO49" i="1"/>
  <c r="CR49" i="1"/>
  <c r="CN49" i="1"/>
  <c r="CQ49" i="1"/>
  <c r="CK49" i="1"/>
  <c r="CP49" i="1"/>
  <c r="CH49" i="1"/>
  <c r="CJ49" i="1"/>
  <c r="CM49" i="1"/>
  <c r="CL49" i="1"/>
  <c r="CG49" i="1"/>
  <c r="CI49" i="1"/>
  <c r="CR23" i="1"/>
  <c r="CK23" i="1"/>
  <c r="CM23" i="1"/>
  <c r="CL23" i="1"/>
  <c r="CN23" i="1"/>
  <c r="CG23" i="1"/>
  <c r="CP23" i="1"/>
  <c r="CI23" i="1"/>
  <c r="CH23" i="1"/>
  <c r="CJ23" i="1"/>
  <c r="CO23" i="1"/>
  <c r="CQ23" i="1"/>
  <c r="CN61" i="1"/>
  <c r="CH61" i="1"/>
  <c r="CR61" i="1"/>
  <c r="CJ61" i="1"/>
  <c r="CL61" i="1"/>
  <c r="CM61" i="1"/>
  <c r="CP61" i="1"/>
  <c r="CG61" i="1"/>
  <c r="CO61" i="1"/>
  <c r="CK61" i="1"/>
  <c r="CI61" i="1"/>
  <c r="CQ61" i="1"/>
  <c r="CL47" i="1"/>
  <c r="CG47" i="1"/>
  <c r="CI47" i="1"/>
  <c r="CK47" i="1"/>
  <c r="CN47" i="1"/>
  <c r="CO47" i="1"/>
  <c r="CJ47" i="1"/>
  <c r="CM47" i="1"/>
  <c r="CQ47" i="1"/>
  <c r="CR47" i="1"/>
  <c r="CH47" i="1"/>
  <c r="CP47" i="1"/>
  <c r="CM31" i="1"/>
  <c r="CN31" i="1"/>
  <c r="CL31" i="1"/>
  <c r="CI31" i="1"/>
  <c r="CO31" i="1"/>
  <c r="CQ31" i="1"/>
  <c r="CJ31" i="1"/>
  <c r="CH31" i="1"/>
  <c r="CP31" i="1"/>
  <c r="CG31" i="1"/>
  <c r="CR31" i="1"/>
  <c r="CK31" i="1"/>
  <c r="CJ90" i="1"/>
  <c r="CQ90" i="1"/>
  <c r="CP90" i="1"/>
  <c r="CM90" i="1"/>
  <c r="CK90" i="1"/>
  <c r="CO90" i="1"/>
  <c r="CI90" i="1"/>
  <c r="CR90" i="1"/>
  <c r="CH90" i="1"/>
  <c r="CL90" i="1"/>
  <c r="CN90" i="1"/>
  <c r="CG90" i="1"/>
  <c r="CR93" i="1"/>
  <c r="CL93" i="1"/>
  <c r="CJ93" i="1"/>
  <c r="CI93" i="1"/>
  <c r="CG93" i="1"/>
  <c r="CN93" i="1"/>
  <c r="CH93" i="1"/>
  <c r="CM93" i="1"/>
  <c r="CP93" i="1"/>
  <c r="CK93" i="1"/>
  <c r="CQ93" i="1"/>
  <c r="CO93" i="1"/>
  <c r="CP35" i="1"/>
  <c r="CR35" i="1"/>
  <c r="CM35" i="1"/>
  <c r="CK35" i="1"/>
  <c r="CL35" i="1"/>
  <c r="CQ35" i="1"/>
  <c r="CO35" i="1"/>
  <c r="CN35" i="1"/>
  <c r="CH35" i="1"/>
  <c r="CG35" i="1"/>
  <c r="CI35" i="1"/>
  <c r="CJ35" i="1"/>
  <c r="CI48" i="1"/>
  <c r="CN48" i="1"/>
  <c r="CM48" i="1"/>
  <c r="CJ48" i="1"/>
  <c r="CO48" i="1"/>
  <c r="CQ48" i="1"/>
  <c r="CR48" i="1"/>
  <c r="CK48" i="1"/>
  <c r="CH48" i="1"/>
  <c r="CL48" i="1"/>
  <c r="CP48" i="1"/>
  <c r="CG48" i="1"/>
  <c r="CK29" i="1"/>
  <c r="CJ29" i="1"/>
  <c r="CO29" i="1"/>
  <c r="CM29" i="1"/>
  <c r="CR29" i="1"/>
  <c r="CI29" i="1"/>
  <c r="CP29" i="1"/>
  <c r="CN29" i="1"/>
  <c r="CL29" i="1"/>
  <c r="CG29" i="1"/>
  <c r="CH29" i="1"/>
  <c r="CQ29" i="1"/>
  <c r="CR20" i="1"/>
  <c r="CP20" i="1"/>
  <c r="CN20" i="1"/>
  <c r="CJ20" i="1"/>
  <c r="CL20" i="1"/>
  <c r="CH20" i="1"/>
  <c r="CO20" i="1"/>
  <c r="CI20" i="1"/>
  <c r="CG20" i="1"/>
  <c r="CM20" i="1"/>
  <c r="CK20" i="1"/>
  <c r="CQ20" i="1"/>
  <c r="CN34" i="1"/>
  <c r="CK34" i="1"/>
  <c r="CR34" i="1"/>
  <c r="CH34" i="1"/>
  <c r="CG34" i="1"/>
  <c r="CL34" i="1"/>
  <c r="CJ34" i="1"/>
  <c r="CO34" i="1"/>
  <c r="CQ34" i="1"/>
  <c r="CP34" i="1"/>
  <c r="CI34" i="1"/>
  <c r="CM34" i="1"/>
  <c r="CO10" i="1"/>
  <c r="CR10" i="1"/>
  <c r="CI10" i="1"/>
  <c r="CJ10" i="1"/>
  <c r="CG10" i="1"/>
  <c r="CQ10" i="1"/>
  <c r="CM10" i="1"/>
  <c r="CH10" i="1"/>
  <c r="CP10" i="1"/>
  <c r="CN10" i="1"/>
  <c r="CK10" i="1"/>
  <c r="CL10" i="1"/>
  <c r="CG76" i="1"/>
  <c r="CI76" i="1"/>
  <c r="CM76" i="1"/>
  <c r="CK76" i="1"/>
  <c r="CR76" i="1"/>
  <c r="CL76" i="1"/>
  <c r="CQ76" i="1"/>
  <c r="CO76" i="1"/>
  <c r="CP76" i="1"/>
  <c r="CN76" i="1"/>
  <c r="CH76" i="1"/>
  <c r="CJ76" i="1"/>
  <c r="CQ50" i="1"/>
  <c r="CR50" i="1"/>
  <c r="CG50" i="1"/>
  <c r="CJ50" i="1"/>
  <c r="CK50" i="1"/>
  <c r="CP50" i="1"/>
  <c r="CI50" i="1"/>
  <c r="CH50" i="1"/>
  <c r="CL50" i="1"/>
  <c r="CN50" i="1"/>
  <c r="CO50" i="1"/>
  <c r="CM50" i="1"/>
  <c r="CI24" i="1"/>
  <c r="CH24" i="1"/>
  <c r="CR24" i="1"/>
  <c r="CK24" i="1"/>
  <c r="CJ24" i="1"/>
  <c r="CP24" i="1"/>
  <c r="CN24" i="1"/>
  <c r="CM24" i="1"/>
  <c r="CL24" i="1"/>
  <c r="CG24" i="1"/>
  <c r="CO24" i="1"/>
  <c r="CQ24" i="1"/>
  <c r="CK40" i="1"/>
  <c r="CP40" i="1"/>
  <c r="CL40" i="1"/>
  <c r="CI40" i="1"/>
  <c r="CR40" i="1"/>
  <c r="CQ40" i="1"/>
  <c r="CO40" i="1"/>
  <c r="CH40" i="1"/>
  <c r="CJ40" i="1"/>
  <c r="CM40" i="1"/>
  <c r="CG40" i="1"/>
  <c r="CN40" i="1"/>
  <c r="CN3" i="1"/>
  <c r="CR3" i="1"/>
  <c r="CI3" i="1"/>
  <c r="CO3" i="1"/>
  <c r="CK3" i="1"/>
  <c r="CJ3" i="1"/>
  <c r="CM3" i="1"/>
  <c r="CP3" i="1"/>
  <c r="CG3" i="1"/>
  <c r="CL3" i="1"/>
  <c r="CH3" i="1"/>
  <c r="CQ3" i="1"/>
  <c r="CG25" i="1"/>
  <c r="CM25" i="1"/>
  <c r="CJ25" i="1"/>
  <c r="CO25" i="1"/>
  <c r="CH25" i="1"/>
  <c r="CK25" i="1"/>
  <c r="CR25" i="1"/>
  <c r="CI25" i="1"/>
  <c r="CL25" i="1"/>
  <c r="CQ25" i="1"/>
  <c r="CP25" i="1"/>
  <c r="CN25" i="1"/>
  <c r="CN16" i="1"/>
  <c r="CM16" i="1"/>
  <c r="CI16" i="1"/>
  <c r="CG16" i="1"/>
  <c r="CL16" i="1"/>
  <c r="CP16" i="1"/>
  <c r="CO16" i="1"/>
  <c r="CQ16" i="1"/>
  <c r="CJ16" i="1"/>
  <c r="CK16" i="1"/>
  <c r="CH16" i="1"/>
  <c r="CR16" i="1"/>
  <c r="CL60" i="1"/>
  <c r="CO60" i="1"/>
  <c r="CM60" i="1"/>
  <c r="CP60" i="1"/>
  <c r="CQ60" i="1"/>
  <c r="CK60" i="1"/>
  <c r="CG60" i="1"/>
  <c r="CJ60" i="1"/>
  <c r="CH60" i="1"/>
  <c r="CR60" i="1"/>
  <c r="CN60" i="1"/>
  <c r="CI60" i="1"/>
  <c r="CN74" i="1"/>
  <c r="CP74" i="1"/>
  <c r="CR74" i="1"/>
  <c r="CI74" i="1"/>
  <c r="CO74" i="1"/>
  <c r="CL74" i="1"/>
  <c r="CJ74" i="1"/>
  <c r="CG74" i="1"/>
  <c r="CK74" i="1"/>
  <c r="CM74" i="1"/>
  <c r="CQ74" i="1"/>
  <c r="CH74" i="1"/>
  <c r="CR17" i="1"/>
  <c r="CI17" i="1"/>
  <c r="CN17" i="1"/>
  <c r="CP17" i="1"/>
  <c r="CM17" i="1"/>
  <c r="CK17" i="1"/>
  <c r="CO17" i="1"/>
  <c r="CQ17" i="1"/>
  <c r="CH17" i="1"/>
  <c r="CG17" i="1"/>
  <c r="CL17" i="1"/>
  <c r="CJ17" i="1"/>
  <c r="CH2" i="1"/>
  <c r="CO2" i="1"/>
  <c r="CR2" i="1"/>
  <c r="CL2" i="1"/>
  <c r="CK2" i="1"/>
  <c r="CI2" i="1"/>
  <c r="CQ2" i="1"/>
  <c r="CP2" i="1"/>
  <c r="CM2" i="1"/>
  <c r="CJ2" i="1"/>
  <c r="CN2" i="1"/>
  <c r="CG2" i="1"/>
  <c r="CN33" i="1"/>
  <c r="CH33" i="1"/>
  <c r="CJ33" i="1"/>
  <c r="CK33" i="1"/>
  <c r="CP33" i="1"/>
  <c r="CI33" i="1"/>
  <c r="CG33" i="1"/>
  <c r="CO33" i="1"/>
  <c r="CL33" i="1"/>
  <c r="CR33" i="1"/>
  <c r="CQ33" i="1"/>
  <c r="CM33" i="1"/>
  <c r="CG11" i="1"/>
  <c r="CM11" i="1"/>
  <c r="CO11" i="1"/>
  <c r="CQ11" i="1"/>
  <c r="CJ11" i="1"/>
  <c r="CL11" i="1"/>
  <c r="CI11" i="1"/>
  <c r="CK11" i="1"/>
  <c r="CH11" i="1"/>
  <c r="CP11" i="1"/>
  <c r="CN11" i="1"/>
  <c r="CR11" i="1"/>
  <c r="CM37" i="1"/>
  <c r="CL37" i="1"/>
  <c r="CH37" i="1"/>
  <c r="CI37" i="1"/>
  <c r="CR37" i="1"/>
  <c r="CQ37" i="1"/>
  <c r="CO37" i="1"/>
  <c r="CK37" i="1"/>
  <c r="CN37" i="1"/>
  <c r="CJ37" i="1"/>
  <c r="CP37" i="1"/>
  <c r="CG37" i="1"/>
  <c r="CM79" i="1"/>
  <c r="CN79" i="1"/>
  <c r="CP79" i="1"/>
  <c r="CL79" i="1"/>
  <c r="CG79" i="1"/>
  <c r="CR79" i="1"/>
  <c r="CK79" i="1"/>
  <c r="CJ79" i="1"/>
  <c r="CQ79" i="1"/>
  <c r="CH79" i="1"/>
  <c r="CO79" i="1"/>
  <c r="CI79" i="1"/>
  <c r="CQ116" i="1" l="1"/>
  <c r="CH116" i="1"/>
  <c r="CL116" i="1"/>
  <c r="CG116" i="1"/>
  <c r="CP116" i="1"/>
  <c r="CM116" i="1"/>
  <c r="CJ116" i="1"/>
  <c r="CK116" i="1"/>
  <c r="CO116" i="1"/>
  <c r="CI116" i="1"/>
  <c r="CR116" i="1"/>
  <c r="CN116" i="1"/>
</calcChain>
</file>

<file path=xl/sharedStrings.xml><?xml version="1.0" encoding="utf-8"?>
<sst xmlns="http://schemas.openxmlformats.org/spreadsheetml/2006/main" count="740" uniqueCount="270">
  <si>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</si>
  <si>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</si>
  <si>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</si>
  <si>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</si>
  <si>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</si>
  <si>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</si>
  <si>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</si>
  <si>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</si>
  <si>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</si>
  <si>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</si>
  <si>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</si>
  <si>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</si>
  <si>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</si>
  <si>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</si>
  <si>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</si>
  <si>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</si>
  <si>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</si>
  <si>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</si>
  <si>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</si>
  <si>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</si>
  <si>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</si>
  <si>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</si>
  <si>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</si>
  <si>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</si>
  <si>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</si>
  <si>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</si>
  <si>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</si>
  <si>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</si>
  <si>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</si>
  <si>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</si>
  <si>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</si>
  <si>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</si>
  <si>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</si>
  <si>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</si>
  <si>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</si>
  <si>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</si>
  <si>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</si>
  <si>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</si>
  <si>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</si>
  <si>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</si>
  <si>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</si>
  <si>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</si>
  <si>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</si>
  <si>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</si>
  <si>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</si>
  <si>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</si>
  <si>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</si>
  <si>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</si>
  <si>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</si>
  <si>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</si>
  <si>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</si>
  <si>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</si>
  <si>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</si>
  <si>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</si>
  <si>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</si>
  <si>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</si>
  <si>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</si>
  <si>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</si>
  <si>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</si>
  <si>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</si>
  <si>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</si>
  <si>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</si>
  <si>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</si>
  <si>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</si>
  <si>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</si>
  <si>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</si>
  <si>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</si>
  <si>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</si>
  <si>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</si>
  <si>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</si>
  <si>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</si>
  <si>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</si>
  <si>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</si>
  <si>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</si>
  <si>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</si>
  <si>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</si>
  <si>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</si>
  <si>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</si>
  <si>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</si>
  <si>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</si>
  <si>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</si>
  <si>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</si>
  <si>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</si>
  <si>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</si>
  <si>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</si>
  <si>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</si>
  <si>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</si>
  <si>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</si>
  <si>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</si>
  <si>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</si>
  <si>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</si>
  <si>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</si>
  <si>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</si>
  <si>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</si>
  <si>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</si>
  <si>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</si>
  <si>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</si>
  <si>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</si>
  <si>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</si>
  <si>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</si>
  <si>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</si>
  <si>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</si>
  <si>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</si>
  <si>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</si>
  <si>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</si>
  <si>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</si>
  <si>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</si>
  <si>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</si>
  <si>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</si>
  <si>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</si>
  <si>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</si>
  <si>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</si>
  <si>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</si>
  <si>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</si>
  <si>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</si>
  <si>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</si>
  <si>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</si>
  <si>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</si>
  <si>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</si>
  <si>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</si>
  <si>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</si>
  <si>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</si>
  <si>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</si>
  <si>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</si>
  <si>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</si>
  <si>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</si>
  <si>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</si>
  <si>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</si>
  <si>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</si>
  <si>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</si>
  <si>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</si>
  <si>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</si>
  <si>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</si>
  <si>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</si>
  <si>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</si>
  <si>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</si>
  <si>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</si>
  <si>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</si>
  <si>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</si>
  <si>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</si>
  <si>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</si>
  <si>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</si>
  <si>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</si>
  <si>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</si>
  <si>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</si>
  <si>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</si>
  <si>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</si>
  <si>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</si>
  <si>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</si>
  <si>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</si>
  <si>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</si>
  <si>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</si>
  <si>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</si>
  <si>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</si>
  <si>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</si>
  <si>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</si>
  <si>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</si>
  <si>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</si>
  <si>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</si>
  <si>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</si>
  <si>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</si>
  <si>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</si>
  <si>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</si>
  <si>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</si>
  <si>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</si>
  <si>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</si>
  <si>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</si>
  <si>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</si>
  <si>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</si>
  <si>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</si>
  <si>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</si>
  <si>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</si>
  <si>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</si>
  <si>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</si>
  <si>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</si>
  <si>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</si>
  <si>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</si>
  <si>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</si>
  <si>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</si>
  <si>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</si>
  <si>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</si>
  <si>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</si>
  <si>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</si>
  <si>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</si>
  <si>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</si>
  <si>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</si>
  <si>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</si>
  <si>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</si>
  <si>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</si>
  <si>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</si>
  <si>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</si>
  <si>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</si>
  <si>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</si>
  <si>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</si>
  <si>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</si>
  <si>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</si>
  <si>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</si>
  <si>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</si>
  <si>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欠条中(4),_x000D_
筹码中(4),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</si>
  <si>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</si>
  <si>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</si>
  <si>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</si>
  <si>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皇天</t>
    <phoneticPr fontId="1" type="noConversion"/>
  </si>
  <si>
    <t>桂花(5),_x000D_
桂花酒(5),</t>
    <phoneticPr fontId="1" type="noConversion"/>
  </si>
  <si>
    <t>欠条小(8),_x000D_
钱袋小(9),_x000D_
骰子中(3),_x000D_
庄家令牌小(2),</t>
    <phoneticPr fontId="1" type="noConversion"/>
  </si>
  <si>
    <t>欠条中(6),_x000D_
欠条大(5),_x000D_
钱袋中(2),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</si>
  <si>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</si>
  <si>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</si>
  <si>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仙丹(3),</t>
    <phoneticPr fontId="1" type="noConversion"/>
  </si>
  <si>
    <t>力量符文叉大(12),</t>
    <phoneticPr fontId="1" type="noConversion"/>
  </si>
  <si>
    <t>愚山乾坤石(14),</t>
    <phoneticPr fontId="1" type="noConversion"/>
  </si>
  <si>
    <t>神农鼎(1),_x000D_
幸运符文叉大(8),</t>
    <phoneticPr fontId="1" type="noConversion"/>
  </si>
  <si>
    <t>欠条大(8),_x000D_
钱袋大(10),</t>
    <phoneticPr fontId="1" type="noConversion"/>
  </si>
  <si>
    <t>骰子小(8),_x000D_
筹码小(10),_x000D_
庄家令牌小(2),_x000D_
庄家令牌中(3),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</si>
  <si>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</si>
  <si>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</si>
  <si>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</si>
  <si>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彗星(15),</t>
    <phoneticPr fontId="1" type="noConversion"/>
  </si>
  <si>
    <t>欠条大(8),_x000D_
骰子大(4),</t>
    <phoneticPr fontId="1" type="noConversion"/>
  </si>
  <si>
    <t>螃蟹(5),</t>
    <phoneticPr fontId="1" type="noConversion"/>
  </si>
  <si>
    <t>愚山乾坤石(5),</t>
    <phoneticPr fontId="1" type="noConversion"/>
  </si>
  <si>
    <t>金甲虫(196),</t>
    <phoneticPr fontId="1" type="noConversion"/>
  </si>
  <si>
    <t>糯米(10),_x000D_
粽叶(10),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</si>
  <si>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</si>
  <si>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</si>
  <si>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</si>
  <si>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</si>
  <si>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</si>
  <si>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</si>
  <si>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</si>
  <si>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超进阶素材火(42),_x000D_
超进阶素材光(45),_x000D_
超进阶素材暗(45),</t>
    <phoneticPr fontId="1" type="noConversion"/>
  </si>
  <si>
    <t>欠条中(4),_x000D_
骰子小(8),_x000D_
筹码中(4),_x000D_
庄家令牌小(2),</t>
    <phoneticPr fontId="1" type="noConversion"/>
  </si>
  <si>
    <t>欠条小(8),_x000D_
钱袋小(9),_x000D_
筹码中(4),_x000D_
庄家令牌小(2),</t>
    <phoneticPr fontId="1" type="noConversion"/>
  </si>
  <si>
    <t>超进阶素材光(45),_x000D_
超进阶素材暗(45),</t>
    <phoneticPr fontId="1" type="noConversion"/>
  </si>
  <si>
    <t>糯米(2),</t>
    <phoneticPr fontId="1" type="noConversion"/>
  </si>
  <si>
    <t>糯米(3),</t>
    <phoneticPr fontId="1" type="noConversion"/>
  </si>
  <si>
    <t>仙丹(2),</t>
    <phoneticPr fontId="1" type="noConversion"/>
  </si>
  <si>
    <t>仙丹(2),</t>
    <phoneticPr fontId="1" type="noConversion"/>
  </si>
  <si>
    <t>桂花(5),</t>
    <phoneticPr fontId="1" type="noConversion"/>
  </si>
  <si>
    <t>秘窟冰晶卵(4),</t>
    <phoneticPr fontId="1" type="noConversion"/>
  </si>
  <si>
    <t>幸运符文叉大(2),</t>
    <phoneticPr fontId="1" type="noConversion"/>
  </si>
  <si>
    <t>愚山乾坤石(5),</t>
    <phoneticPr fontId="1" type="noConversion"/>
  </si>
  <si>
    <t>秘窟冰晶卵(9),</t>
    <phoneticPr fontId="1" type="noConversion"/>
  </si>
  <si>
    <t>幸运符文叉大(7),</t>
    <phoneticPr fontId="1" type="noConversion"/>
  </si>
  <si>
    <t>魅力符文叉大(6),</t>
    <phoneticPr fontId="1" type="noConversion"/>
  </si>
  <si>
    <t>金甲虫(46),</t>
    <phoneticPr fontId="1" type="noConversion"/>
  </si>
  <si>
    <t>糯米(5),_x000D_
粽叶(1),</t>
    <phoneticPr fontId="1" type="noConversion"/>
  </si>
  <si>
    <t>龙灵不朽藤(2),</t>
    <phoneticPr fontId="1" type="noConversion"/>
  </si>
  <si>
    <t>龙灵不朽藤(2),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</si>
  <si>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</si>
  <si>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</si>
  <si>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</si>
  <si>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骰子大(4),_x000D_
庄家令牌大(6),</t>
    <phoneticPr fontId="1" type="noConversion"/>
  </si>
  <si>
    <t>欠条大(8),_x000D_
骰子大(4),</t>
    <phoneticPr fontId="1" type="noConversion"/>
  </si>
  <si>
    <t>力量符文叉大(5),_x000D_
幸运符文叉大(2),</t>
    <phoneticPr fontId="1" type="noConversion"/>
  </si>
  <si>
    <t>魅力符文叉大(1),</t>
    <phoneticPr fontId="1" type="noConversion"/>
  </si>
  <si>
    <t>秘窟冰晶卵(4),_x000D_
魅力符文叉大(1),</t>
    <phoneticPr fontId="1" type="noConversion"/>
  </si>
  <si>
    <t>糯米(5),_x000D_
粽叶(10),</t>
    <phoneticPr fontId="1" type="noConversion"/>
  </si>
  <si>
    <t>六方天运骰(1),_x000D_
力量符文叉大(10),</t>
    <phoneticPr fontId="1" type="noConversion"/>
  </si>
  <si>
    <t>幸运符文叉大(7),</t>
    <phoneticPr fontId="1" type="noConversion"/>
  </si>
  <si>
    <t>魅力符文叉大(6),_x000D_
幸运符文叉大(2),</t>
    <phoneticPr fontId="1" type="noConversion"/>
  </si>
  <si>
    <t>彗星(25),_x000D_
魅力符文叉大(1),</t>
    <phoneticPr fontId="1" type="noConversion"/>
  </si>
  <si>
    <t>赤焰十字星(20),_x000D_
力量符文叉大(30),</t>
    <phoneticPr fontId="1" type="noConversion"/>
  </si>
  <si>
    <t>欠条中(4),_x000D_
筹码中(4),_x000D_
筹码大(1),</t>
    <phoneticPr fontId="1" type="noConversion"/>
  </si>
  <si>
    <t>欠条中(6),_x000D_
钱袋中(2),_x000D_
筹码大(6),</t>
    <phoneticPr fontId="1" type="noConversion"/>
  </si>
  <si>
    <t>钱袋大(10),_x000D_
筹码大(9),_x000D_
秘窟冰晶卵(4),</t>
    <phoneticPr fontId="1" type="noConversion"/>
  </si>
  <si>
    <t>超进阶素材火(42),_x000D_
超进阶素材光(45),_x000D_
超进阶素材暗(45),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</si>
  <si>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</si>
  <si>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</si>
  <si>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骰子小(8),_x000D_
筹码小(10),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</si>
</sst>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122</xdr:row>
          <xdr:rowOff>28575</xdr:rowOff>
        </xdr:from>
        <xdr:to>
          <xdr:col>1</xdr:col>
          <xdr:colOff>428625</xdr:colOff>
          <xdr:row>123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</xdr:row>
          <xdr:rowOff>28575</xdr:rowOff>
        </xdr:from>
        <xdr:to>
          <xdr:col>1</xdr:col>
          <xdr:colOff>428625</xdr:colOff>
          <xdr:row>15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2"/>
  <sheetViews>
    <sheetView tabSelected="1" workbookViewId="0">
      <pane xSplit="2" ySplit="1" topLeftCell="BM26" activePane="bottomRight" state="frozen"/>
      <selection pane="topRight" activeCell="C1" sqref="C1"/>
      <selection pane="bottomLeft" activeCell="A3" sqref="A3"/>
      <selection pane="bottomRight" activeCell="A44" sqref="A44:XFD4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73</v>
      </c>
      <c r="B1" s="8" t="s">
        <v>74</v>
      </c>
      <c r="C1" s="8" t="s">
        <v>76</v>
      </c>
      <c r="D1" s="8" t="s">
        <v>75</v>
      </c>
      <c r="E1" s="9" t="s">
        <v>2</v>
      </c>
      <c r="F1" s="9" t="s">
        <v>3</v>
      </c>
      <c r="G1" s="9" t="s">
        <v>13</v>
      </c>
      <c r="H1" s="9" t="s">
        <v>23</v>
      </c>
      <c r="I1" s="9" t="s">
        <v>24</v>
      </c>
      <c r="J1" s="9" t="s">
        <v>71</v>
      </c>
      <c r="K1" s="9" t="s">
        <v>25</v>
      </c>
      <c r="L1" s="9" t="s">
        <v>44</v>
      </c>
      <c r="M1" s="9" t="s">
        <v>46</v>
      </c>
      <c r="N1" s="9" t="s">
        <v>51</v>
      </c>
      <c r="O1" s="9" t="s">
        <v>45</v>
      </c>
      <c r="P1" s="27" t="s">
        <v>111</v>
      </c>
      <c r="Q1" s="27" t="s">
        <v>123</v>
      </c>
      <c r="R1" s="27" t="s">
        <v>117</v>
      </c>
      <c r="S1" s="27" t="s">
        <v>112</v>
      </c>
      <c r="T1" s="27" t="s">
        <v>121</v>
      </c>
      <c r="U1" s="27" t="s">
        <v>127</v>
      </c>
      <c r="V1" s="27" t="s">
        <v>113</v>
      </c>
      <c r="W1" s="27" t="s">
        <v>120</v>
      </c>
      <c r="X1" s="27" t="s">
        <v>118</v>
      </c>
      <c r="Y1" s="27" t="s">
        <v>114</v>
      </c>
      <c r="Z1" s="27" t="s">
        <v>122</v>
      </c>
      <c r="AA1" s="27" t="s">
        <v>129</v>
      </c>
      <c r="AB1" s="27" t="s">
        <v>116</v>
      </c>
      <c r="AC1" s="27" t="s">
        <v>115</v>
      </c>
      <c r="AD1" s="27" t="s">
        <v>140</v>
      </c>
      <c r="AE1" s="8" t="s">
        <v>8</v>
      </c>
      <c r="AF1" s="8" t="s">
        <v>31</v>
      </c>
      <c r="AG1" s="8" t="s">
        <v>32</v>
      </c>
      <c r="AH1" s="8" t="s">
        <v>61</v>
      </c>
      <c r="AI1" s="8" t="s">
        <v>62</v>
      </c>
      <c r="AJ1" s="8" t="s">
        <v>64</v>
      </c>
      <c r="AK1" s="8" t="s">
        <v>65</v>
      </c>
      <c r="AL1" s="8" t="s">
        <v>67</v>
      </c>
      <c r="AM1" s="8" t="s">
        <v>52</v>
      </c>
      <c r="AN1" s="8" t="s">
        <v>54</v>
      </c>
      <c r="AO1" s="8" t="s">
        <v>99</v>
      </c>
      <c r="AP1" s="8" t="s">
        <v>100</v>
      </c>
      <c r="AQ1" s="10" t="s">
        <v>41</v>
      </c>
      <c r="AR1" s="10" t="s">
        <v>4</v>
      </c>
      <c r="AS1" s="10" t="s">
        <v>29</v>
      </c>
      <c r="AT1" s="10" t="s">
        <v>56</v>
      </c>
      <c r="AU1" s="10" t="s">
        <v>59</v>
      </c>
      <c r="AV1" s="10" t="s">
        <v>50</v>
      </c>
      <c r="AW1" s="11" t="s">
        <v>5</v>
      </c>
      <c r="AX1" s="11" t="s">
        <v>6</v>
      </c>
      <c r="AY1" s="11" t="s">
        <v>42</v>
      </c>
      <c r="AZ1" s="11" t="s">
        <v>7</v>
      </c>
      <c r="BA1" s="11" t="s">
        <v>49</v>
      </c>
      <c r="BB1" s="11" t="s">
        <v>12</v>
      </c>
      <c r="BC1" s="25" t="s">
        <v>96</v>
      </c>
      <c r="BD1" s="8" t="s">
        <v>17</v>
      </c>
      <c r="BE1" s="8" t="s">
        <v>16</v>
      </c>
      <c r="BF1" s="8" t="s">
        <v>14</v>
      </c>
      <c r="BG1" s="8" t="s">
        <v>15</v>
      </c>
      <c r="BH1" s="8" t="s">
        <v>18</v>
      </c>
      <c r="BI1" s="8" t="s">
        <v>19</v>
      </c>
      <c r="BJ1" s="8" t="s">
        <v>34</v>
      </c>
      <c r="BK1" s="8" t="s">
        <v>35</v>
      </c>
      <c r="BL1" s="8" t="s">
        <v>36</v>
      </c>
      <c r="BM1" s="8" t="s">
        <v>37</v>
      </c>
      <c r="BN1" s="8" t="s">
        <v>38</v>
      </c>
      <c r="BO1" s="8" t="s">
        <v>39</v>
      </c>
      <c r="BP1" s="12" t="s">
        <v>81</v>
      </c>
      <c r="BQ1" s="8" t="s">
        <v>82</v>
      </c>
      <c r="BR1" s="16" t="s">
        <v>83</v>
      </c>
      <c r="BS1" s="16"/>
      <c r="BT1" s="10" t="s">
        <v>41</v>
      </c>
      <c r="BU1" s="10" t="s">
        <v>4</v>
      </c>
      <c r="BV1" s="10" t="s">
        <v>29</v>
      </c>
      <c r="BW1" s="10" t="s">
        <v>56</v>
      </c>
      <c r="BX1" s="10" t="s">
        <v>59</v>
      </c>
      <c r="BY1" s="10" t="s">
        <v>50</v>
      </c>
      <c r="BZ1" s="11" t="s">
        <v>5</v>
      </c>
      <c r="CA1" s="11" t="s">
        <v>6</v>
      </c>
      <c r="CB1" s="11" t="s">
        <v>42</v>
      </c>
      <c r="CC1" s="11" t="s">
        <v>7</v>
      </c>
      <c r="CD1" s="11" t="s">
        <v>49</v>
      </c>
      <c r="CE1" s="11" t="s">
        <v>12</v>
      </c>
      <c r="CF1" s="8"/>
      <c r="CG1" s="10" t="s">
        <v>41</v>
      </c>
      <c r="CH1" s="10" t="s">
        <v>4</v>
      </c>
      <c r="CI1" s="10" t="s">
        <v>29</v>
      </c>
      <c r="CJ1" s="10" t="s">
        <v>56</v>
      </c>
      <c r="CK1" s="10" t="s">
        <v>59</v>
      </c>
      <c r="CL1" s="10" t="s">
        <v>50</v>
      </c>
      <c r="CM1" s="11" t="s">
        <v>5</v>
      </c>
      <c r="CN1" s="11" t="s">
        <v>6</v>
      </c>
      <c r="CO1" s="11" t="s">
        <v>42</v>
      </c>
      <c r="CP1" s="11" t="s">
        <v>7</v>
      </c>
      <c r="CQ1" s="11" t="s">
        <v>49</v>
      </c>
      <c r="CR1" s="11" t="s">
        <v>12</v>
      </c>
      <c r="CS1" s="8"/>
    </row>
    <row r="2" spans="1:97" s="48" customFormat="1" x14ac:dyDescent="0.15">
      <c r="A2" s="40">
        <v>4</v>
      </c>
      <c r="B2" s="40" t="s">
        <v>9</v>
      </c>
      <c r="C2" s="40" t="s">
        <v>1</v>
      </c>
      <c r="D2" s="40" t="s">
        <v>11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IF(AQ2&gt;AQ$116, AQ2-AQ$116,"")</f>
        <v/>
      </c>
      <c r="BU2" s="40" t="str">
        <f>IF(AR2&gt;AR$116, AR2-AR$116,"")</f>
        <v/>
      </c>
      <c r="BV2" s="40" t="str">
        <f>IF(AS2&gt;AS$116, AS2-AS$116,"")</f>
        <v/>
      </c>
      <c r="BW2" s="40" t="str">
        <f>IF(AT2&gt;AT$116, AT2-AT$116,"")</f>
        <v/>
      </c>
      <c r="BX2" s="40" t="str">
        <f>IF(AU2&gt;AU$116, AU2-AU$116,"")</f>
        <v/>
      </c>
      <c r="BY2" s="40" t="str">
        <f>IF(AV2&gt;AV$116, AV2-AV$116,"")</f>
        <v/>
      </c>
      <c r="BZ2" s="40" t="str">
        <f>IF(AW2&gt;AW$116, AW2-AW$116,"")</f>
        <v/>
      </c>
      <c r="CA2" s="40" t="str">
        <f>IF(AX2&gt;AX$116, AX2-AX$116,"")</f>
        <v/>
      </c>
      <c r="CB2" s="40" t="str">
        <f>IF(AY2&gt;AY$116, AY2-AY$116,"")</f>
        <v/>
      </c>
      <c r="CC2" s="40" t="str">
        <f>IF(AZ2&gt;AZ$116, AZ2-AZ$116,"")</f>
        <v/>
      </c>
      <c r="CD2" s="40" t="str">
        <f>IF(BA2&gt;BA$116, BA2-BA$116,"")</f>
        <v/>
      </c>
      <c r="CE2" s="40" t="str">
        <f>IF(BB2&gt;BB$116, BB2-BB$116,"")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x14ac:dyDescent="0.15">
      <c r="A3" s="1">
        <v>15</v>
      </c>
      <c r="B3" s="1" t="s">
        <v>26</v>
      </c>
      <c r="C3" s="1" t="s">
        <v>27</v>
      </c>
      <c r="D3" s="1" t="s">
        <v>22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IF(AQ3&gt;AQ$116, AQ3-AQ$116,"")</f>
        <v/>
      </c>
      <c r="BU3" s="1" t="str">
        <f>IF(AR3&gt;AR$116, AR3-AR$116,"")</f>
        <v/>
      </c>
      <c r="BV3" s="1" t="str">
        <f>IF(AS3&gt;AS$116, AS3-AS$116,"")</f>
        <v/>
      </c>
      <c r="BW3" s="1" t="str">
        <f>IF(AT3&gt;AT$116, AT3-AT$116,"")</f>
        <v/>
      </c>
      <c r="BX3" s="1" t="str">
        <f>IF(AU3&gt;AU$116, AU3-AU$116,"")</f>
        <v/>
      </c>
      <c r="BY3" s="1" t="str">
        <f>IF(AV3&gt;AV$116, AV3-AV$116,"")</f>
        <v/>
      </c>
      <c r="BZ3" s="1" t="str">
        <f>IF(AW3&gt;AW$116, AW3-AW$116,"")</f>
        <v/>
      </c>
      <c r="CA3" s="1" t="str">
        <f>IF(AX3&gt;AX$116, AX3-AX$116,"")</f>
        <v/>
      </c>
      <c r="CB3" s="1" t="str">
        <f>IF(AY3&gt;AY$116, AY3-AY$116,"")</f>
        <v/>
      </c>
      <c r="CC3" s="1" t="str">
        <f>IF(AZ3&gt;AZ$116, AZ3-AZ$116,"")</f>
        <v/>
      </c>
      <c r="CD3" s="1" t="str">
        <f>IF(BA3&gt;BA$116, BA3-BA$116,"")</f>
        <v/>
      </c>
      <c r="CE3" s="1" t="str">
        <f>IF(BB3&gt;BB$116, BB3-BB$116,"")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55</v>
      </c>
      <c r="B4" s="1" t="s">
        <v>47</v>
      </c>
      <c r="C4" s="1" t="s">
        <v>48</v>
      </c>
      <c r="D4" s="1" t="s">
        <v>11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/>
      <c r="BG4" s="1"/>
      <c r="BH4" s="1">
        <v>20</v>
      </c>
      <c r="BI4" s="1">
        <v>20</v>
      </c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IF(AQ4&gt;AQ$116, AQ4-AQ$116,"")</f>
        <v/>
      </c>
      <c r="BU4" s="1" t="str">
        <f>IF(AR4&gt;AR$116, AR4-AR$116,"")</f>
        <v/>
      </c>
      <c r="BV4" s="1" t="str">
        <f>IF(AS4&gt;AS$116, AS4-AS$116,"")</f>
        <v/>
      </c>
      <c r="BW4" s="1" t="str">
        <f>IF(AT4&gt;AT$116, AT4-AT$116,"")</f>
        <v/>
      </c>
      <c r="BX4" s="1" t="str">
        <f>IF(AU4&gt;AU$116, AU4-AU$116,"")</f>
        <v/>
      </c>
      <c r="BY4" s="1" t="str">
        <f>IF(AV4&gt;AV$116, AV4-AV$116,"")</f>
        <v/>
      </c>
      <c r="BZ4" s="1" t="str">
        <f>IF(AW4&gt;AW$116, AW4-AW$116,"")</f>
        <v/>
      </c>
      <c r="CA4" s="1" t="str">
        <f>IF(AX4&gt;AX$116, AX4-AX$116,"")</f>
        <v/>
      </c>
      <c r="CB4" s="1" t="str">
        <f>IF(AY4&gt;AY$116, AY4-AY$116,"")</f>
        <v/>
      </c>
      <c r="CC4" s="1" t="str">
        <f>IF(AZ4&gt;AZ$116, AZ4-AZ$116,"")</f>
        <v/>
      </c>
      <c r="CD4" s="1" t="str">
        <f>IF(BA4&gt;BA$116, BA4-BA$116,"")</f>
        <v/>
      </c>
      <c r="CE4" s="1" t="str">
        <f>IF(BB4&gt;BB$116, BB4-BB$116,"")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s="23" customFormat="1" x14ac:dyDescent="0.15">
      <c r="A5" s="1"/>
      <c r="B5" s="1" t="s">
        <v>93</v>
      </c>
      <c r="C5" s="1" t="s">
        <v>94</v>
      </c>
      <c r="D5" s="1" t="s">
        <v>92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>
        <v>20</v>
      </c>
      <c r="BG5" s="1">
        <v>20</v>
      </c>
      <c r="BH5" s="1"/>
      <c r="BI5" s="1"/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IF(AQ5&gt;AQ$116, AQ5-AQ$116,"")</f>
        <v/>
      </c>
      <c r="BU5" s="1" t="str">
        <f>IF(AR5&gt;AR$116, AR5-AR$116,"")</f>
        <v/>
      </c>
      <c r="BV5" s="1" t="str">
        <f>IF(AS5&gt;AS$116, AS5-AS$116,"")</f>
        <v/>
      </c>
      <c r="BW5" s="1" t="str">
        <f>IF(AT5&gt;AT$116, AT5-AT$116,"")</f>
        <v/>
      </c>
      <c r="BX5" s="1" t="str">
        <f>IF(AU5&gt;AU$116, AU5-AU$116,"")</f>
        <v/>
      </c>
      <c r="BY5" s="1" t="str">
        <f>IF(AV5&gt;AV$116, AV5-AV$116,"")</f>
        <v/>
      </c>
      <c r="BZ5" s="1" t="str">
        <f>IF(AW5&gt;AW$116, AW5-AW$116,"")</f>
        <v/>
      </c>
      <c r="CA5" s="1" t="str">
        <f>IF(AX5&gt;AX$116, AX5-AX$116,"")</f>
        <v/>
      </c>
      <c r="CB5" s="1" t="str">
        <f>IF(AY5&gt;AY$116, AY5-AY$116,"")</f>
        <v/>
      </c>
      <c r="CC5" s="1" t="str">
        <f>IF(AZ5&gt;AZ$116, AZ5-AZ$116,"")</f>
        <v/>
      </c>
      <c r="CD5" s="1" t="str">
        <f>IF(BA5&gt;BA$116, BA5-BA$116,"")</f>
        <v/>
      </c>
      <c r="CE5" s="1" t="str">
        <f>IF(BB5&gt;BB$116, BB5-BB$116,"")</f>
        <v/>
      </c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3"/>
    </row>
    <row r="6" spans="1:97" s="23" customFormat="1" x14ac:dyDescent="0.15">
      <c r="A6" s="1"/>
      <c r="B6" s="1" t="s">
        <v>157</v>
      </c>
      <c r="C6" s="1" t="s">
        <v>102</v>
      </c>
      <c r="D6" s="1" t="s">
        <v>92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>
        <v>20</v>
      </c>
      <c r="BG6" s="1">
        <v>20</v>
      </c>
      <c r="BH6" s="1">
        <v>20</v>
      </c>
      <c r="BI6" s="1">
        <v>20</v>
      </c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IF(AQ6&gt;AQ$116, AQ6-AQ$116,"")</f>
        <v/>
      </c>
      <c r="BU6" s="1" t="str">
        <f>IF(AR6&gt;AR$116, AR6-AR$116,"")</f>
        <v/>
      </c>
      <c r="BV6" s="1" t="str">
        <f>IF(AS6&gt;AS$116, AS6-AS$116,"")</f>
        <v/>
      </c>
      <c r="BW6" s="1" t="str">
        <f>IF(AT6&gt;AT$116, AT6-AT$116,"")</f>
        <v/>
      </c>
      <c r="BX6" s="1" t="str">
        <f>IF(AU6&gt;AU$116, AU6-AU$116,"")</f>
        <v/>
      </c>
      <c r="BY6" s="1" t="str">
        <f>IF(AV6&gt;AV$116, AV6-AV$116,"")</f>
        <v/>
      </c>
      <c r="BZ6" s="1" t="str">
        <f>IF(AW6&gt;AW$116, AW6-AW$116,"")</f>
        <v/>
      </c>
      <c r="CA6" s="1" t="str">
        <f>IF(AX6&gt;AX$116, AX6-AX$116,"")</f>
        <v/>
      </c>
      <c r="CB6" s="1" t="str">
        <f>IF(AY6&gt;AY$116, AY6-AY$116,"")</f>
        <v/>
      </c>
      <c r="CC6" s="1" t="str">
        <f>IF(AZ6&gt;AZ$116, AZ6-AZ$116,"")</f>
        <v/>
      </c>
      <c r="CD6" s="1" t="str">
        <f>IF(BA6&gt;BA$116, BA6-BA$116,"")</f>
        <v/>
      </c>
      <c r="CE6" s="1" t="str">
        <f>IF(BB6&gt;BB$116, BB6-BB$116,"")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x14ac:dyDescent="0.15">
      <c r="A7" s="1"/>
      <c r="B7" s="1" t="s">
        <v>165</v>
      </c>
      <c r="C7" s="1" t="s">
        <v>90</v>
      </c>
      <c r="D7" s="1" t="s">
        <v>92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>
        <v>20</v>
      </c>
      <c r="BE7" s="1">
        <v>20</v>
      </c>
      <c r="BF7" s="1">
        <v>20</v>
      </c>
      <c r="BG7" s="1">
        <v>20</v>
      </c>
      <c r="BH7" s="1"/>
      <c r="BI7" s="1"/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IF(AQ7&gt;AQ$116, AQ7-AQ$116,"")</f>
        <v/>
      </c>
      <c r="BU7" s="1" t="str">
        <f>IF(AR7&gt;AR$116, AR7-AR$116,"")</f>
        <v/>
      </c>
      <c r="BV7" s="1" t="str">
        <f>IF(AS7&gt;AS$116, AS7-AS$116,"")</f>
        <v/>
      </c>
      <c r="BW7" s="1" t="str">
        <f>IF(AT7&gt;AT$116, AT7-AT$116,"")</f>
        <v/>
      </c>
      <c r="BX7" s="1" t="str">
        <f>IF(AU7&gt;AU$116, AU7-AU$116,"")</f>
        <v/>
      </c>
      <c r="BY7" s="1" t="str">
        <f>IF(AV7&gt;AV$116, AV7-AV$116,"")</f>
        <v/>
      </c>
      <c r="BZ7" s="1" t="str">
        <f>IF(AW7&gt;AW$116, AW7-AW$116,"")</f>
        <v/>
      </c>
      <c r="CA7" s="1" t="str">
        <f>IF(AX7&gt;AX$116, AX7-AX$116,"")</f>
        <v/>
      </c>
      <c r="CB7" s="1" t="str">
        <f>IF(AY7&gt;AY$116, AY7-AY$116,"")</f>
        <v/>
      </c>
      <c r="CC7" s="1" t="str">
        <f>IF(AZ7&gt;AZ$116, AZ7-AZ$116,"")</f>
        <v/>
      </c>
      <c r="CD7" s="1" t="str">
        <f>IF(BA7&gt;BA$116, BA7-BA$116,"")</f>
        <v/>
      </c>
      <c r="CE7" s="1" t="str">
        <f>IF(BB7&gt;BB$116, BB7-BB$116,"")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s="39" customFormat="1" x14ac:dyDescent="0.15">
      <c r="A8" s="1"/>
      <c r="B8" s="1" t="s">
        <v>170</v>
      </c>
      <c r="C8" s="1" t="s">
        <v>105</v>
      </c>
      <c r="D8" s="1" t="s">
        <v>92</v>
      </c>
      <c r="E8" s="6"/>
      <c r="F8" s="6"/>
      <c r="G8" s="6"/>
      <c r="H8" s="6">
        <v>10</v>
      </c>
      <c r="I8" s="6"/>
      <c r="J8" s="6">
        <v>10</v>
      </c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>
        <v>10</v>
      </c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 s="1" t="str">
        <f>IF(AQ8&gt;AQ$116, AQ8-AQ$116,"")</f>
        <v/>
      </c>
      <c r="BU8" s="1" t="str">
        <f>IF(AR8&gt;AR$116, AR8-AR$116,"")</f>
        <v/>
      </c>
      <c r="BV8" s="1" t="str">
        <f>IF(AS8&gt;AS$116, AS8-AS$116,"")</f>
        <v/>
      </c>
      <c r="BW8" s="1" t="str">
        <f>IF(AT8&gt;AT$116, AT8-AT$116,"")</f>
        <v/>
      </c>
      <c r="BX8" s="1" t="str">
        <f>IF(AU8&gt;AU$116, AU8-AU$116,"")</f>
        <v/>
      </c>
      <c r="BY8" s="1" t="str">
        <f>IF(AV8&gt;AV$116, AV8-AV$116,"")</f>
        <v/>
      </c>
      <c r="BZ8" s="1" t="str">
        <f>IF(AW8&gt;AW$116, AW8-AW$116,"")</f>
        <v/>
      </c>
      <c r="CA8" s="1" t="str">
        <f>IF(AX8&gt;AX$116, AX8-AX$116,"")</f>
        <v/>
      </c>
      <c r="CB8" s="1" t="str">
        <f>IF(AY8&gt;AY$116, AY8-AY$116,"")</f>
        <v/>
      </c>
      <c r="CC8" s="1" t="str">
        <f>IF(AZ8&gt;AZ$116, AZ8-AZ$116,"")</f>
        <v/>
      </c>
      <c r="CD8" s="1" t="str">
        <f>IF(BA8&gt;BA$116, BA8-BA$116,"")</f>
        <v/>
      </c>
      <c r="CE8" s="1" t="str">
        <f>IF(BB8&gt;BB$116, BB8-BB$116,"")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/>
      <c r="B9" s="1" t="s">
        <v>191</v>
      </c>
      <c r="C9" s="1" t="s">
        <v>105</v>
      </c>
      <c r="D9" s="1" t="s">
        <v>92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 s="1" t="str">
        <f>IF(AQ9&gt;AQ$116, AQ9-AQ$116,"")</f>
        <v/>
      </c>
      <c r="BU9" s="1" t="str">
        <f>IF(AR9&gt;AR$116, AR9-AR$116,"")</f>
        <v/>
      </c>
      <c r="BV9" s="1" t="str">
        <f>IF(AS9&gt;AS$116, AS9-AS$116,"")</f>
        <v/>
      </c>
      <c r="BW9" s="1" t="str">
        <f>IF(AT9&gt;AT$116, AT9-AT$116,"")</f>
        <v/>
      </c>
      <c r="BX9" s="1" t="str">
        <f>IF(AU9&gt;AU$116, AU9-AU$116,"")</f>
        <v/>
      </c>
      <c r="BY9" s="1" t="str">
        <f>IF(AV9&gt;AV$116, AV9-AV$116,"")</f>
        <v/>
      </c>
      <c r="BZ9" s="1" t="str">
        <f>IF(AW9&gt;AW$116, AW9-AW$116,"")</f>
        <v/>
      </c>
      <c r="CA9" s="1" t="str">
        <f>IF(AX9&gt;AX$116, AX9-AX$116,"")</f>
        <v/>
      </c>
      <c r="CB9" s="1" t="str">
        <f>IF(AY9&gt;AY$116, AY9-AY$116,"")</f>
        <v/>
      </c>
      <c r="CC9" s="1" t="str">
        <f>IF(AZ9&gt;AZ$116, AZ9-AZ$116,"")</f>
        <v/>
      </c>
      <c r="CD9" s="1" t="str">
        <f>IF(BA9&gt;BA$116, BA9-BA$116,"")</f>
        <v/>
      </c>
      <c r="CE9" s="1" t="str">
        <f>IF(BB9&gt;BB$116, BB9-BB$116,"")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3"/>
    </row>
    <row r="10" spans="1:97" x14ac:dyDescent="0.15">
      <c r="A10" s="1">
        <v>91</v>
      </c>
      <c r="B10" s="3" t="s">
        <v>70</v>
      </c>
      <c r="C10" s="3" t="s">
        <v>69</v>
      </c>
      <c r="D10" s="1" t="s"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>
        <v>5</v>
      </c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5</v>
      </c>
      <c r="BQ10" s="1">
        <v>0</v>
      </c>
      <c r="BR10" s="17">
        <v>0</v>
      </c>
      <c r="BS10" s="17"/>
      <c r="BT10" s="1" t="str">
        <f>IF(AQ10&gt;AQ$116, AQ10-AQ$116,"")</f>
        <v/>
      </c>
      <c r="BU10" s="1" t="str">
        <f>IF(AR10&gt;AR$116, AR10-AR$116,"")</f>
        <v/>
      </c>
      <c r="BV10" s="1" t="str">
        <f>IF(AS10&gt;AS$116, AS10-AS$116,"")</f>
        <v/>
      </c>
      <c r="BW10" s="1" t="str">
        <f>IF(AT10&gt;AT$116, AT10-AT$116,"")</f>
        <v/>
      </c>
      <c r="BX10" s="1" t="str">
        <f>IF(AU10&gt;AU$116, AU10-AU$116,"")</f>
        <v/>
      </c>
      <c r="BY10" s="1" t="str">
        <f>IF(AV10&gt;AV$116, AV10-AV$116,"")</f>
        <v/>
      </c>
      <c r="BZ10" s="1" t="str">
        <f>IF(AW10&gt;AW$116, AW10-AW$116,"")</f>
        <v/>
      </c>
      <c r="CA10" s="1" t="str">
        <f>IF(AX10&gt;AX$116, AX10-AX$116,"")</f>
        <v/>
      </c>
      <c r="CB10" s="1" t="str">
        <f>IF(AY10&gt;AY$116, AY10-AY$116,"")</f>
        <v/>
      </c>
      <c r="CC10" s="1" t="str">
        <f>IF(AZ10&gt;AZ$116, AZ10-AZ$116,"")</f>
        <v/>
      </c>
      <c r="CD10" s="1" t="str">
        <f>IF(BA10&gt;BA$116, BA10-BA$116,"")</f>
        <v/>
      </c>
      <c r="CE10" s="1" t="str">
        <f>IF(BB10&gt;BB$116, BB10-BB$116,"")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5</v>
      </c>
    </row>
    <row r="11" spans="1:97" s="23" customFormat="1" x14ac:dyDescent="0.15">
      <c r="A11" s="31">
        <v>84</v>
      </c>
      <c r="B11" s="32" t="s">
        <v>174</v>
      </c>
      <c r="C11" s="32" t="s">
        <v>55</v>
      </c>
      <c r="D11" s="31" t="s">
        <v>11</v>
      </c>
      <c r="E11" s="33"/>
      <c r="F11" s="33"/>
      <c r="G11" s="33">
        <v>5</v>
      </c>
      <c r="H11" s="33">
        <v>5</v>
      </c>
      <c r="I11" s="33"/>
      <c r="J11" s="33"/>
      <c r="K11" s="33"/>
      <c r="L11" s="33"/>
      <c r="M11" s="33"/>
      <c r="N11" s="33"/>
      <c r="O11" s="33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5"/>
      <c r="AR11" s="35"/>
      <c r="AS11" s="35"/>
      <c r="AT11" s="35"/>
      <c r="AU11" s="35"/>
      <c r="AV11" s="35"/>
      <c r="AW11" s="36"/>
      <c r="AX11" s="36"/>
      <c r="AY11" s="36"/>
      <c r="AZ11" s="36"/>
      <c r="BA11" s="36">
        <v>5</v>
      </c>
      <c r="BB11" s="36">
        <v>5</v>
      </c>
      <c r="BC11" s="37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>
        <f>SUM(E11:BO11)</f>
        <v>20</v>
      </c>
      <c r="BQ11" s="31">
        <v>0</v>
      </c>
      <c r="BR11" s="38">
        <v>0</v>
      </c>
      <c r="BS11" s="38"/>
      <c r="BT11" s="31" t="str">
        <f>IF(AQ11&gt;AQ$116, AQ11-AQ$116,"")</f>
        <v/>
      </c>
      <c r="BU11" s="31" t="str">
        <f>IF(AR11&gt;AR$116, AR11-AR$116,"")</f>
        <v/>
      </c>
      <c r="BV11" s="31" t="str">
        <f>IF(AS11&gt;AS$116, AS11-AS$116,"")</f>
        <v/>
      </c>
      <c r="BW11" s="31" t="str">
        <f>IF(AT11&gt;AT$116, AT11-AT$116,"")</f>
        <v/>
      </c>
      <c r="BX11" s="31" t="str">
        <f>IF(AU11&gt;AU$116, AU11-AU$116,"")</f>
        <v/>
      </c>
      <c r="BY11" s="31" t="str">
        <f>IF(AV11&gt;AV$116, AV11-AV$116,"")</f>
        <v/>
      </c>
      <c r="BZ11" s="31" t="str">
        <f>IF(AW11&gt;AW$116, AW11-AW$116,"")</f>
        <v/>
      </c>
      <c r="CA11" s="31" t="str">
        <f>IF(AX11&gt;AX$116, AX11-AX$116,"")</f>
        <v/>
      </c>
      <c r="CB11" s="31" t="str">
        <f>IF(AY11&gt;AY$116, AY11-AY$116,"")</f>
        <v/>
      </c>
      <c r="CC11" s="31" t="str">
        <f>IF(AZ11&gt;AZ$116, AZ11-AZ$116,"")</f>
        <v/>
      </c>
      <c r="CD11" s="31" t="str">
        <f>IF(BA11&gt;BA$116, BA11-BA$116,"")</f>
        <v/>
      </c>
      <c r="CE11" s="31" t="str">
        <f>IF(BB11&gt;BB$116, BB11-BB$116,"")</f>
        <v/>
      </c>
      <c r="CF11" s="31">
        <f>COUNTIF(BT11:CE11, "&gt;0")</f>
        <v>0</v>
      </c>
      <c r="CG11" s="31" t="str">
        <f>IF($CF11=1,BT11,"")</f>
        <v/>
      </c>
      <c r="CH11" s="31" t="str">
        <f>IF($CF11=1,BU11,"")</f>
        <v/>
      </c>
      <c r="CI11" s="31" t="str">
        <f>IF($CF11=1,BV11,"")</f>
        <v/>
      </c>
      <c r="CJ11" s="31" t="str">
        <f>IF($CF11=1,BW11,"")</f>
        <v/>
      </c>
      <c r="CK11" s="31" t="str">
        <f>IF($CF11=1,BX11,"")</f>
        <v/>
      </c>
      <c r="CL11" s="31" t="str">
        <f>IF($CF11=1,BY11,"")</f>
        <v/>
      </c>
      <c r="CM11" s="31" t="str">
        <f>IF($CF11=1,BZ11,"")</f>
        <v/>
      </c>
      <c r="CN11" s="31" t="str">
        <f>IF($CF11=1,CA11,"")</f>
        <v/>
      </c>
      <c r="CO11" s="31" t="str">
        <f>IF($CF11=1,CB11,"")</f>
        <v/>
      </c>
      <c r="CP11" s="31" t="str">
        <f>IF($CF11=1,CC11,"")</f>
        <v/>
      </c>
      <c r="CQ11" s="31" t="str">
        <f>IF($CF11=1,CD11,"")</f>
        <v/>
      </c>
      <c r="CR11" s="31" t="str">
        <f>IF($CF11=1,CE11,"")</f>
        <v/>
      </c>
      <c r="CS11" s="32">
        <f>SUM(AE11:BO11)</f>
        <v>10</v>
      </c>
    </row>
    <row r="12" spans="1:97" x14ac:dyDescent="0.15">
      <c r="A12" s="1"/>
      <c r="B12" s="1" t="s">
        <v>173</v>
      </c>
      <c r="C12" s="1" t="s">
        <v>94</v>
      </c>
      <c r="D12" s="1" t="s">
        <v>92</v>
      </c>
      <c r="E12" s="6">
        <v>6</v>
      </c>
      <c r="F12" s="6">
        <v>6</v>
      </c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>
        <v>10</v>
      </c>
      <c r="AT12" s="4"/>
      <c r="AU12" s="4"/>
      <c r="AV12" s="4"/>
      <c r="AW12" s="2"/>
      <c r="AX12" s="2">
        <v>10</v>
      </c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 s="1" t="str">
        <f>IF(AQ12&gt;AQ$116, AQ12-AQ$116,"")</f>
        <v/>
      </c>
      <c r="BU12" s="1" t="str">
        <f>IF(AR12&gt;AR$116, AR12-AR$116,"")</f>
        <v/>
      </c>
      <c r="BV12" s="1" t="str">
        <f>IF(AS12&gt;AS$116, AS12-AS$116,"")</f>
        <v/>
      </c>
      <c r="BW12" s="1" t="str">
        <f>IF(AT12&gt;AT$116, AT12-AT$116,"")</f>
        <v/>
      </c>
      <c r="BX12" s="1" t="str">
        <f>IF(AU12&gt;AU$116, AU12-AU$116,"")</f>
        <v/>
      </c>
      <c r="BY12" s="1" t="str">
        <f>IF(AV12&gt;AV$116, AV12-AV$116,"")</f>
        <v/>
      </c>
      <c r="BZ12" s="1" t="str">
        <f>IF(AW12&gt;AW$116, AW12-AW$116,"")</f>
        <v/>
      </c>
      <c r="CA12" s="1" t="str">
        <f>IF(AX12&gt;AX$116, AX12-AX$116,"")</f>
        <v/>
      </c>
      <c r="CB12" s="1" t="str">
        <f>IF(AY12&gt;AY$116, AY12-AY$116,"")</f>
        <v/>
      </c>
      <c r="CC12" s="1" t="str">
        <f>IF(AZ12&gt;AZ$116, AZ12-AZ$116,"")</f>
        <v/>
      </c>
      <c r="CD12" s="1" t="str">
        <f>IF(BA12&gt;BA$116, BA12-BA$116,"")</f>
        <v/>
      </c>
      <c r="CE12" s="1" t="str">
        <f>IF(BB12&gt;BB$116, BB12-BB$116,"")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x14ac:dyDescent="0.15">
      <c r="A13" s="1"/>
      <c r="B13" s="1" t="s">
        <v>172</v>
      </c>
      <c r="C13" s="1" t="s">
        <v>105</v>
      </c>
      <c r="D13" s="1" t="s">
        <v>91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>
        <v>10</v>
      </c>
      <c r="BB13" s="2">
        <v>10</v>
      </c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20</v>
      </c>
      <c r="BQ13" s="1">
        <v>0</v>
      </c>
      <c r="BR13" s="17">
        <v>0</v>
      </c>
      <c r="BS13" s="17"/>
      <c r="BT13" s="1" t="str">
        <f>IF(AQ13&gt;AQ$116, AQ13-AQ$116,"")</f>
        <v/>
      </c>
      <c r="BU13" s="1" t="str">
        <f>IF(AR13&gt;AR$116, AR13-AR$116,"")</f>
        <v/>
      </c>
      <c r="BV13" s="1" t="str">
        <f>IF(AS13&gt;AS$116, AS13-AS$116,"")</f>
        <v/>
      </c>
      <c r="BW13" s="1" t="str">
        <f>IF(AT13&gt;AT$116, AT13-AT$116,"")</f>
        <v/>
      </c>
      <c r="BX13" s="1" t="str">
        <f>IF(AU13&gt;AU$116, AU13-AU$116,"")</f>
        <v/>
      </c>
      <c r="BY13" s="1" t="str">
        <f>IF(AV13&gt;AV$116, AV13-AV$116,"")</f>
        <v/>
      </c>
      <c r="BZ13" s="1" t="str">
        <f>IF(AW13&gt;AW$116, AW13-AW$116,"")</f>
        <v/>
      </c>
      <c r="CA13" s="1" t="str">
        <f>IF(AX13&gt;AX$116, AX13-AX$116,"")</f>
        <v/>
      </c>
      <c r="CB13" s="1" t="str">
        <f>IF(AY13&gt;AY$116, AY13-AY$116,"")</f>
        <v/>
      </c>
      <c r="CC13" s="1" t="str">
        <f>IF(AZ13&gt;AZ$116, AZ13-AZ$116,"")</f>
        <v/>
      </c>
      <c r="CD13" s="1" t="str">
        <f>IF(BA13&gt;BA$116, BA13-BA$116,"")</f>
        <v/>
      </c>
      <c r="CE13" s="1" t="str">
        <f>IF(BB13&gt;BB$116, BB13-BB$116,"")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3"/>
    </row>
    <row r="14" spans="1:97" x14ac:dyDescent="0.15">
      <c r="A14" s="1"/>
      <c r="B14" s="1" t="s">
        <v>199</v>
      </c>
      <c r="C14" s="1" t="s">
        <v>200</v>
      </c>
      <c r="D14" s="1" t="s">
        <v>201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>
        <v>15</v>
      </c>
      <c r="AV14" s="4"/>
      <c r="AW14" s="2"/>
      <c r="AX14" s="2"/>
      <c r="AY14" s="2">
        <v>15</v>
      </c>
      <c r="AZ14" s="2"/>
      <c r="BA14" s="2">
        <v>10</v>
      </c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40</v>
      </c>
      <c r="BQ14" s="1">
        <v>0</v>
      </c>
      <c r="BR14" s="17">
        <v>0</v>
      </c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3"/>
    </row>
    <row r="15" spans="1:97" s="23" customFormat="1" x14ac:dyDescent="0.15">
      <c r="A15" s="1"/>
      <c r="B15" s="1" t="s">
        <v>154</v>
      </c>
      <c r="C15" s="1" t="s">
        <v>137</v>
      </c>
      <c r="D15" s="1" t="s">
        <v>110</v>
      </c>
      <c r="E15" s="6"/>
      <c r="F15" s="6"/>
      <c r="G15" s="6"/>
      <c r="H15" s="6"/>
      <c r="I15" s="6"/>
      <c r="J15" s="6"/>
      <c r="K15" s="6"/>
      <c r="L15" s="6">
        <v>6</v>
      </c>
      <c r="M15" s="6"/>
      <c r="N15" s="6"/>
      <c r="O15" s="6">
        <v>6</v>
      </c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>
        <v>10</v>
      </c>
      <c r="BB15" s="2">
        <v>10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32</v>
      </c>
      <c r="BQ15" s="1">
        <v>0</v>
      </c>
      <c r="BR15" s="17">
        <v>0</v>
      </c>
      <c r="BS15" s="17"/>
      <c r="BT15" s="1" t="str">
        <f>IF(AQ15&gt;AQ$116, AQ15-AQ$116,"")</f>
        <v/>
      </c>
      <c r="BU15" s="1" t="str">
        <f>IF(AR15&gt;AR$116, AR15-AR$116,"")</f>
        <v/>
      </c>
      <c r="BV15" s="1" t="str">
        <f>IF(AS15&gt;AS$116, AS15-AS$116,"")</f>
        <v/>
      </c>
      <c r="BW15" s="1" t="str">
        <f>IF(AT15&gt;AT$116, AT15-AT$116,"")</f>
        <v/>
      </c>
      <c r="BX15" s="1" t="str">
        <f>IF(AU15&gt;AU$116, AU15-AU$116,"")</f>
        <v/>
      </c>
      <c r="BY15" s="1" t="str">
        <f>IF(AV15&gt;AV$116, AV15-AV$116,"")</f>
        <v/>
      </c>
      <c r="BZ15" s="1" t="str">
        <f>IF(AW15&gt;AW$116, AW15-AW$116,"")</f>
        <v/>
      </c>
      <c r="CA15" s="1" t="str">
        <f>IF(AX15&gt;AX$116, AX15-AX$116,"")</f>
        <v/>
      </c>
      <c r="CB15" s="1" t="str">
        <f>IF(AY15&gt;AY$116, AY15-AY$116,"")</f>
        <v/>
      </c>
      <c r="CC15" s="1" t="str">
        <f>IF(AZ15&gt;AZ$116, AZ15-AZ$116,"")</f>
        <v/>
      </c>
      <c r="CD15" s="1" t="str">
        <f>IF(BA15&gt;BA$116, BA15-BA$116,"")</f>
        <v/>
      </c>
      <c r="CE15" s="1" t="str">
        <f>IF(BB15&gt;BB$116, BB15-BB$116,"")</f>
        <v/>
      </c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3"/>
    </row>
    <row r="16" spans="1:97" s="49" customFormat="1" x14ac:dyDescent="0.15">
      <c r="A16" s="1">
        <v>81</v>
      </c>
      <c r="B16" s="3" t="s">
        <v>57</v>
      </c>
      <c r="C16" s="3" t="s">
        <v>55</v>
      </c>
      <c r="D16" s="1" t="s">
        <v>11</v>
      </c>
      <c r="E16" s="6"/>
      <c r="F16" s="6"/>
      <c r="G16" s="6"/>
      <c r="H16" s="6"/>
      <c r="I16" s="6"/>
      <c r="J16" s="6"/>
      <c r="K16" s="6"/>
      <c r="L16" s="6">
        <v>6</v>
      </c>
      <c r="M16" s="6"/>
      <c r="N16" s="6"/>
      <c r="O16" s="6">
        <v>6</v>
      </c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>
        <v>10</v>
      </c>
      <c r="AU16" s="4"/>
      <c r="AV16" s="4"/>
      <c r="AW16" s="2"/>
      <c r="AX16" s="2"/>
      <c r="AY16" s="2"/>
      <c r="AZ16" s="2"/>
      <c r="BA16" s="2">
        <v>10</v>
      </c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32</v>
      </c>
      <c r="BQ16" s="1">
        <v>0</v>
      </c>
      <c r="BR16" s="17">
        <v>0</v>
      </c>
      <c r="BS16" s="17"/>
      <c r="BT16" s="1" t="str">
        <f>IF(AQ16&gt;AQ$116, AQ16-AQ$116,"")</f>
        <v/>
      </c>
      <c r="BU16" s="1" t="str">
        <f>IF(AR16&gt;AR$116, AR16-AR$116,"")</f>
        <v/>
      </c>
      <c r="BV16" s="1" t="str">
        <f>IF(AS16&gt;AS$116, AS16-AS$116,"")</f>
        <v/>
      </c>
      <c r="BW16" s="1" t="str">
        <f>IF(AT16&gt;AT$116, AT16-AT$116,"")</f>
        <v/>
      </c>
      <c r="BX16" s="1" t="str">
        <f>IF(AU16&gt;AU$116, AU16-AU$116,"")</f>
        <v/>
      </c>
      <c r="BY16" s="1" t="str">
        <f>IF(AV16&gt;AV$116, AV16-AV$116,"")</f>
        <v/>
      </c>
      <c r="BZ16" s="1" t="str">
        <f>IF(AW16&gt;AW$116, AW16-AW$116,"")</f>
        <v/>
      </c>
      <c r="CA16" s="1" t="str">
        <f>IF(AX16&gt;AX$116, AX16-AX$116,"")</f>
        <v/>
      </c>
      <c r="CB16" s="1" t="str">
        <f>IF(AY16&gt;AY$116, AY16-AY$116,"")</f>
        <v/>
      </c>
      <c r="CC16" s="1" t="str">
        <f>IF(AZ16&gt;AZ$116, AZ16-AZ$116,"")</f>
        <v/>
      </c>
      <c r="CD16" s="1" t="str">
        <f>IF(BA16&gt;BA$116, BA16-BA$116,"")</f>
        <v/>
      </c>
      <c r="CE16" s="1" t="str">
        <f>IF(BB16&gt;BB$116, BB16-BB$116,"")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20</v>
      </c>
    </row>
    <row r="17" spans="1:97" x14ac:dyDescent="0.15">
      <c r="A17" s="1">
        <v>72</v>
      </c>
      <c r="B17" s="3" t="s">
        <v>79</v>
      </c>
      <c r="C17" s="1" t="s">
        <v>48</v>
      </c>
      <c r="D17" s="1" t="s">
        <v>11</v>
      </c>
      <c r="E17" s="6"/>
      <c r="F17" s="6"/>
      <c r="G17" s="6"/>
      <c r="H17" s="6"/>
      <c r="I17" s="6"/>
      <c r="J17" s="6"/>
      <c r="K17" s="6"/>
      <c r="L17" s="6">
        <v>6</v>
      </c>
      <c r="M17" s="6">
        <v>6</v>
      </c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/>
      <c r="AY17" s="2"/>
      <c r="AZ17" s="2"/>
      <c r="BA17" s="2">
        <v>10</v>
      </c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32</v>
      </c>
      <c r="BQ17" s="1">
        <v>0</v>
      </c>
      <c r="BR17" s="17">
        <v>0</v>
      </c>
      <c r="BS17" s="17"/>
      <c r="BT17" s="1" t="str">
        <f>IF(AQ17&gt;AQ$116, AQ17-AQ$116,"")</f>
        <v/>
      </c>
      <c r="BU17" s="1" t="str">
        <f>IF(AR17&gt;AR$116, AR17-AR$116,"")</f>
        <v/>
      </c>
      <c r="BV17" s="1" t="str">
        <f>IF(AS17&gt;AS$116, AS17-AS$116,"")</f>
        <v/>
      </c>
      <c r="BW17" s="1" t="str">
        <f>IF(AT17&gt;AT$116, AT17-AT$116,"")</f>
        <v/>
      </c>
      <c r="BX17" s="1" t="str">
        <f>IF(AU17&gt;AU$116, AU17-AU$116,"")</f>
        <v/>
      </c>
      <c r="BY17" s="1" t="str">
        <f>IF(AV17&gt;AV$116, AV17-AV$116,"")</f>
        <v/>
      </c>
      <c r="BZ17" s="1" t="str">
        <f>IF(AW17&gt;AW$116, AW17-AW$116,"")</f>
        <v/>
      </c>
      <c r="CA17" s="1" t="str">
        <f>IF(AX17&gt;AX$116, AX17-AX$116,"")</f>
        <v/>
      </c>
      <c r="CB17" s="1" t="str">
        <f>IF(AY17&gt;AY$116, AY17-AY$116,"")</f>
        <v/>
      </c>
      <c r="CC17" s="1" t="str">
        <f>IF(AZ17&gt;AZ$116, AZ17-AZ$116,"")</f>
        <v/>
      </c>
      <c r="CD17" s="1" t="str">
        <f>IF(BA17&gt;BA$116, BA17-BA$116,"")</f>
        <v/>
      </c>
      <c r="CE17" s="1" t="str">
        <f>IF(BB17&gt;BB$116, BB17-BB$116,"")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20</v>
      </c>
    </row>
    <row r="18" spans="1:97" x14ac:dyDescent="0.15">
      <c r="A18" s="1"/>
      <c r="B18" s="1" t="s">
        <v>162</v>
      </c>
      <c r="C18" s="1" t="s">
        <v>102</v>
      </c>
      <c r="D18" s="1" t="s">
        <v>92</v>
      </c>
      <c r="E18" s="6">
        <v>10</v>
      </c>
      <c r="F18" s="6"/>
      <c r="G18" s="6">
        <v>10</v>
      </c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>
        <v>10</v>
      </c>
      <c r="AS18" s="4"/>
      <c r="AT18" s="4"/>
      <c r="AU18" s="4"/>
      <c r="AV18" s="4"/>
      <c r="AW18" s="2"/>
      <c r="AX18" s="2"/>
      <c r="AY18" s="2"/>
      <c r="AZ18" s="2"/>
      <c r="BA18" s="2"/>
      <c r="BB18" s="2">
        <v>10</v>
      </c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40</v>
      </c>
      <c r="BQ18" s="1">
        <v>0</v>
      </c>
      <c r="BR18" s="17">
        <v>0</v>
      </c>
      <c r="BS18" s="17"/>
      <c r="BT18" s="1" t="str">
        <f>IF(AQ18&gt;AQ$116, AQ18-AQ$116,"")</f>
        <v/>
      </c>
      <c r="BU18" s="1" t="str">
        <f>IF(AR18&gt;AR$116, AR18-AR$116,"")</f>
        <v/>
      </c>
      <c r="BV18" s="1" t="str">
        <f>IF(AS18&gt;AS$116, AS18-AS$116,"")</f>
        <v/>
      </c>
      <c r="BW18" s="1" t="str">
        <f>IF(AT18&gt;AT$116, AT18-AT$116,"")</f>
        <v/>
      </c>
      <c r="BX18" s="1" t="str">
        <f>IF(AU18&gt;AU$116, AU18-AU$116,"")</f>
        <v/>
      </c>
      <c r="BY18" s="1" t="str">
        <f>IF(AV18&gt;AV$116, AV18-AV$116,"")</f>
        <v/>
      </c>
      <c r="BZ18" s="1" t="str">
        <f>IF(AW18&gt;AW$116, AW18-AW$116,"")</f>
        <v/>
      </c>
      <c r="CA18" s="1" t="str">
        <f>IF(AX18&gt;AX$116, AX18-AX$116,"")</f>
        <v/>
      </c>
      <c r="CB18" s="1" t="str">
        <f>IF(AY18&gt;AY$116, AY18-AY$116,"")</f>
        <v/>
      </c>
      <c r="CC18" s="1" t="str">
        <f>IF(AZ18&gt;AZ$116, AZ18-AZ$116,"")</f>
        <v/>
      </c>
      <c r="CD18" s="1" t="str">
        <f>IF(BA18&gt;BA$116, BA18-BA$116,"")</f>
        <v/>
      </c>
      <c r="CE18" s="1" t="str">
        <f>IF(BB18&gt;BB$116, BB18-BB$116,"")</f>
        <v/>
      </c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3"/>
    </row>
    <row r="19" spans="1:97" x14ac:dyDescent="0.15">
      <c r="A19" s="1"/>
      <c r="B19" s="1" t="s">
        <v>160</v>
      </c>
      <c r="C19" s="1" t="s">
        <v>136</v>
      </c>
      <c r="D19" s="1" t="s">
        <v>110</v>
      </c>
      <c r="E19" s="6">
        <v>10</v>
      </c>
      <c r="F19" s="6"/>
      <c r="G19" s="6">
        <v>10</v>
      </c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>
        <v>10</v>
      </c>
      <c r="AS19" s="4"/>
      <c r="AT19" s="4"/>
      <c r="AU19" s="4"/>
      <c r="AV19" s="4"/>
      <c r="AW19" s="2"/>
      <c r="AX19" s="2"/>
      <c r="AY19" s="2"/>
      <c r="AZ19" s="2"/>
      <c r="BA19" s="2"/>
      <c r="BB19" s="2">
        <v>10</v>
      </c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40</v>
      </c>
      <c r="BQ19" s="1">
        <v>0</v>
      </c>
      <c r="BR19" s="17">
        <v>0</v>
      </c>
      <c r="BS19" s="17"/>
      <c r="BT19" s="1" t="str">
        <f>IF(AQ19&gt;AQ$116, AQ19-AQ$116,"")</f>
        <v/>
      </c>
      <c r="BU19" s="1" t="str">
        <f>IF(AR19&gt;AR$116, AR19-AR$116,"")</f>
        <v/>
      </c>
      <c r="BV19" s="1" t="str">
        <f>IF(AS19&gt;AS$116, AS19-AS$116,"")</f>
        <v/>
      </c>
      <c r="BW19" s="1" t="str">
        <f>IF(AT19&gt;AT$116, AT19-AT$116,"")</f>
        <v/>
      </c>
      <c r="BX19" s="1" t="str">
        <f>IF(AU19&gt;AU$116, AU19-AU$116,"")</f>
        <v/>
      </c>
      <c r="BY19" s="1" t="str">
        <f>IF(AV19&gt;AV$116, AV19-AV$116,"")</f>
        <v/>
      </c>
      <c r="BZ19" s="1" t="str">
        <f>IF(AW19&gt;AW$116, AW19-AW$116,"")</f>
        <v/>
      </c>
      <c r="CA19" s="1" t="str">
        <f>IF(AX19&gt;AX$116, AX19-AX$116,"")</f>
        <v/>
      </c>
      <c r="CB19" s="1" t="str">
        <f>IF(AY19&gt;AY$116, AY19-AY$116,"")</f>
        <v/>
      </c>
      <c r="CC19" s="1" t="str">
        <f>IF(AZ19&gt;AZ$116, AZ19-AZ$116,"")</f>
        <v/>
      </c>
      <c r="CD19" s="1" t="str">
        <f>IF(BA19&gt;BA$116, BA19-BA$116,"")</f>
        <v/>
      </c>
      <c r="CE19" s="1" t="str">
        <f>IF(BB19&gt;BB$116, BB19-BB$116,"")</f>
        <v/>
      </c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3"/>
    </row>
    <row r="20" spans="1:97" x14ac:dyDescent="0.15">
      <c r="A20" s="1">
        <v>8</v>
      </c>
      <c r="B20" s="1" t="s">
        <v>155</v>
      </c>
      <c r="C20" s="1" t="s">
        <v>1</v>
      </c>
      <c r="D20" s="1" t="s">
        <v>22</v>
      </c>
      <c r="E20" s="6">
        <v>6</v>
      </c>
      <c r="F20" s="6"/>
      <c r="G20" s="6"/>
      <c r="H20" s="6">
        <v>6</v>
      </c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>
        <v>10</v>
      </c>
      <c r="AS20" s="4"/>
      <c r="AT20" s="4"/>
      <c r="AU20" s="4"/>
      <c r="AV20" s="4"/>
      <c r="AW20" s="2"/>
      <c r="AX20" s="2"/>
      <c r="AY20" s="2"/>
      <c r="AZ20" s="2"/>
      <c r="BA20" s="2"/>
      <c r="BB20" s="2">
        <v>10</v>
      </c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32</v>
      </c>
      <c r="BQ20" s="1">
        <v>0</v>
      </c>
      <c r="BR20" s="17">
        <v>0</v>
      </c>
      <c r="BS20" s="17"/>
      <c r="BT20" s="1" t="str">
        <f>IF(AQ20&gt;AQ$116, AQ20-AQ$116,"")</f>
        <v/>
      </c>
      <c r="BU20" s="1" t="str">
        <f>IF(AR20&gt;AR$116, AR20-AR$116,"")</f>
        <v/>
      </c>
      <c r="BV20" s="1" t="str">
        <f>IF(AS20&gt;AS$116, AS20-AS$116,"")</f>
        <v/>
      </c>
      <c r="BW20" s="1" t="str">
        <f>IF(AT20&gt;AT$116, AT20-AT$116,"")</f>
        <v/>
      </c>
      <c r="BX20" s="1" t="str">
        <f>IF(AU20&gt;AU$116, AU20-AU$116,"")</f>
        <v/>
      </c>
      <c r="BY20" s="1" t="str">
        <f>IF(AV20&gt;AV$116, AV20-AV$116,"")</f>
        <v/>
      </c>
      <c r="BZ20" s="1" t="str">
        <f>IF(AW20&gt;AW$116, AW20-AW$116,"")</f>
        <v/>
      </c>
      <c r="CA20" s="1" t="str">
        <f>IF(AX20&gt;AX$116, AX20-AX$116,"")</f>
        <v/>
      </c>
      <c r="CB20" s="1" t="str">
        <f>IF(AY20&gt;AY$116, AY20-AY$116,"")</f>
        <v/>
      </c>
      <c r="CC20" s="1" t="str">
        <f>IF(AZ20&gt;AZ$116, AZ20-AZ$116,"")</f>
        <v/>
      </c>
      <c r="CD20" s="1" t="str">
        <f>IF(BA20&gt;BA$116, BA20-BA$116,"")</f>
        <v/>
      </c>
      <c r="CE20" s="1" t="str">
        <f>IF(BB20&gt;BB$116, BB20-BB$116,"")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20</v>
      </c>
    </row>
    <row r="21" spans="1:97" x14ac:dyDescent="0.15">
      <c r="A21" s="1"/>
      <c r="B21" s="1" t="s">
        <v>197</v>
      </c>
      <c r="C21" s="1" t="s">
        <v>1</v>
      </c>
      <c r="D21" s="1" t="s">
        <v>196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>
        <v>10</v>
      </c>
      <c r="AS21" s="4"/>
      <c r="AT21" s="4"/>
      <c r="AU21" s="4"/>
      <c r="AV21" s="4"/>
      <c r="AW21" s="2"/>
      <c r="AX21" s="2"/>
      <c r="AY21" s="2"/>
      <c r="AZ21" s="2">
        <v>10</v>
      </c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20</v>
      </c>
      <c r="BQ21" s="1">
        <v>1</v>
      </c>
      <c r="BR21" s="17">
        <v>1</v>
      </c>
      <c r="BS21" s="17" t="s">
        <v>255</v>
      </c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3"/>
    </row>
    <row r="22" spans="1:97" x14ac:dyDescent="0.15">
      <c r="A22" s="18"/>
      <c r="B22" s="18" t="s">
        <v>101</v>
      </c>
      <c r="C22" s="18" t="s">
        <v>94</v>
      </c>
      <c r="D22" s="18" t="s">
        <v>98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>
        <v>2</v>
      </c>
      <c r="AP22" s="18"/>
      <c r="AQ22" s="20"/>
      <c r="AR22" s="20"/>
      <c r="AS22" s="20"/>
      <c r="AT22" s="20"/>
      <c r="AU22" s="20"/>
      <c r="AV22" s="20"/>
      <c r="AW22" s="21"/>
      <c r="AX22" s="21"/>
      <c r="AY22" s="21"/>
      <c r="AZ22" s="21"/>
      <c r="BA22" s="21"/>
      <c r="BB22" s="21"/>
      <c r="BC22" s="26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>
        <f>SUM(E22:BO22)</f>
        <v>2</v>
      </c>
      <c r="BQ22" s="18">
        <v>2</v>
      </c>
      <c r="BR22" s="22">
        <v>1</v>
      </c>
      <c r="BS22" s="22" t="s">
        <v>234</v>
      </c>
      <c r="BT22" s="18" t="str">
        <f>IF(AQ22&gt;AQ$116, AQ22-AQ$116,"")</f>
        <v/>
      </c>
      <c r="BU22" s="18" t="str">
        <f>IF(AR22&gt;AR$116, AR22-AR$116,"")</f>
        <v/>
      </c>
      <c r="BV22" s="18" t="str">
        <f>IF(AS22&gt;AS$116, AS22-AS$116,"")</f>
        <v/>
      </c>
      <c r="BW22" s="18" t="str">
        <f>IF(AT22&gt;AT$116, AT22-AT$116,"")</f>
        <v/>
      </c>
      <c r="BX22" s="18" t="str">
        <f>IF(AU22&gt;AU$116, AU22-AU$116,"")</f>
        <v/>
      </c>
      <c r="BY22" s="18" t="str">
        <f>IF(AV22&gt;AV$116, AV22-AV$116,"")</f>
        <v/>
      </c>
      <c r="BZ22" s="18" t="str">
        <f>IF(AW22&gt;AW$116, AW22-AW$116,"")</f>
        <v/>
      </c>
      <c r="CA22" s="18" t="str">
        <f>IF(AX22&gt;AX$116, AX22-AX$116,"")</f>
        <v/>
      </c>
      <c r="CB22" s="18" t="str">
        <f>IF(AY22&gt;AY$116, AY22-AY$116,"")</f>
        <v/>
      </c>
      <c r="CC22" s="18" t="str">
        <f>IF(AZ22&gt;AZ$116, AZ22-AZ$116,"")</f>
        <v/>
      </c>
      <c r="CD22" s="18" t="str">
        <f>IF(BA22&gt;BA$116, BA22-BA$116,"")</f>
        <v/>
      </c>
      <c r="CE22" s="18" t="str">
        <f>IF(BB22&gt;BB$116, BB22-BB$116,"")</f>
        <v/>
      </c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30"/>
    </row>
    <row r="23" spans="1:97" x14ac:dyDescent="0.15">
      <c r="A23" s="1">
        <v>18</v>
      </c>
      <c r="B23" s="1" t="s">
        <v>30</v>
      </c>
      <c r="C23" s="1" t="s">
        <v>27</v>
      </c>
      <c r="D23" s="1" t="s">
        <v>21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>
        <v>5</v>
      </c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5</v>
      </c>
      <c r="BQ23" s="1">
        <v>2</v>
      </c>
      <c r="BR23" s="17">
        <v>1</v>
      </c>
      <c r="BS23" s="17" t="s">
        <v>236</v>
      </c>
      <c r="BT23" s="1" t="str">
        <f>IF(AQ23&gt;AQ$116, AQ23-AQ$116,"")</f>
        <v/>
      </c>
      <c r="BU23" s="1" t="str">
        <f>IF(AR23&gt;AR$116, AR23-AR$116,"")</f>
        <v/>
      </c>
      <c r="BV23" s="1" t="str">
        <f>IF(AS23&gt;AS$116, AS23-AS$116,"")</f>
        <v/>
      </c>
      <c r="BW23" s="1" t="str">
        <f>IF(AT23&gt;AT$116, AT23-AT$116,"")</f>
        <v/>
      </c>
      <c r="BX23" s="1" t="str">
        <f>IF(AU23&gt;AU$116, AU23-AU$116,"")</f>
        <v/>
      </c>
      <c r="BY23" s="1" t="str">
        <f>IF(AV23&gt;AV$116, AV23-AV$116,"")</f>
        <v/>
      </c>
      <c r="BZ23" s="1" t="str">
        <f>IF(AW23&gt;AW$116, AW23-AW$116,"")</f>
        <v/>
      </c>
      <c r="CA23" s="1" t="str">
        <f>IF(AX23&gt;AX$116, AX23-AX$116,"")</f>
        <v/>
      </c>
      <c r="CB23" s="1" t="str">
        <f>IF(AY23&gt;AY$116, AY23-AY$116,"")</f>
        <v/>
      </c>
      <c r="CC23" s="1" t="str">
        <f>IF(AZ23&gt;AZ$116, AZ23-AZ$116,"")</f>
        <v/>
      </c>
      <c r="CD23" s="1" t="str">
        <f>IF(BA23&gt;BA$116, BA23-BA$116,"")</f>
        <v/>
      </c>
      <c r="CE23" s="1" t="str">
        <f>IF(BB23&gt;BB$116, BB23-BB$116,"")</f>
        <v/>
      </c>
      <c r="CF23" s="1">
        <f>COUNTIF(BT23:CE23, "&gt;0")</f>
        <v>0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 t="str">
        <f>IF($CF23=1,BY23,"")</f>
        <v/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3">
        <f>SUM(AE23:BO23)</f>
        <v>5</v>
      </c>
    </row>
    <row r="24" spans="1:97" x14ac:dyDescent="0.15">
      <c r="A24" s="40">
        <v>20</v>
      </c>
      <c r="B24" s="40" t="s">
        <v>202</v>
      </c>
      <c r="C24" s="40" t="s">
        <v>27</v>
      </c>
      <c r="D24" s="40" t="s">
        <v>21</v>
      </c>
      <c r="E24" s="41"/>
      <c r="F24" s="41">
        <v>5</v>
      </c>
      <c r="G24" s="41"/>
      <c r="H24" s="41"/>
      <c r="I24" s="41"/>
      <c r="J24" s="41"/>
      <c r="K24" s="41"/>
      <c r="L24" s="41"/>
      <c r="M24" s="41"/>
      <c r="N24" s="41"/>
      <c r="O24" s="41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0"/>
      <c r="AF24" s="40"/>
      <c r="AG24" s="40">
        <v>5</v>
      </c>
      <c r="AH24" s="40"/>
      <c r="AI24" s="40"/>
      <c r="AJ24" s="40"/>
      <c r="AK24" s="40"/>
      <c r="AL24" s="40"/>
      <c r="AM24" s="40"/>
      <c r="AN24" s="40"/>
      <c r="AO24" s="40"/>
      <c r="AP24" s="40"/>
      <c r="AQ24" s="43"/>
      <c r="AR24" s="43"/>
      <c r="AS24" s="43"/>
      <c r="AT24" s="43"/>
      <c r="AU24" s="43"/>
      <c r="AV24" s="43"/>
      <c r="AW24" s="44"/>
      <c r="AX24" s="44"/>
      <c r="AY24" s="44"/>
      <c r="AZ24" s="44"/>
      <c r="BA24" s="44"/>
      <c r="BB24" s="44"/>
      <c r="BC24" s="45"/>
      <c r="BD24" s="40"/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>
        <f>SUM(E24:BO24)</f>
        <v>10</v>
      </c>
      <c r="BQ24" s="40">
        <v>2</v>
      </c>
      <c r="BR24" s="46">
        <v>1</v>
      </c>
      <c r="BS24" s="46" t="s">
        <v>237</v>
      </c>
      <c r="BT24" s="40" t="str">
        <f>IF(AQ24&gt;AQ$116, AQ24-AQ$116,"")</f>
        <v/>
      </c>
      <c r="BU24" s="40" t="str">
        <f>IF(AR24&gt;AR$116, AR24-AR$116,"")</f>
        <v/>
      </c>
      <c r="BV24" s="40" t="str">
        <f>IF(AS24&gt;AS$116, AS24-AS$116,"")</f>
        <v/>
      </c>
      <c r="BW24" s="40" t="str">
        <f>IF(AT24&gt;AT$116, AT24-AT$116,"")</f>
        <v/>
      </c>
      <c r="BX24" s="40" t="str">
        <f>IF(AU24&gt;AU$116, AU24-AU$116,"")</f>
        <v/>
      </c>
      <c r="BY24" s="40" t="str">
        <f>IF(AV24&gt;AV$116, AV24-AV$116,"")</f>
        <v/>
      </c>
      <c r="BZ24" s="40" t="str">
        <f>IF(AW24&gt;AW$116, AW24-AW$116,"")</f>
        <v/>
      </c>
      <c r="CA24" s="40" t="str">
        <f>IF(AX24&gt;AX$116, AX24-AX$116,"")</f>
        <v/>
      </c>
      <c r="CB24" s="40" t="str">
        <f>IF(AY24&gt;AY$116, AY24-AY$116,"")</f>
        <v/>
      </c>
      <c r="CC24" s="40" t="str">
        <f>IF(AZ24&gt;AZ$116, AZ24-AZ$116,"")</f>
        <v/>
      </c>
      <c r="CD24" s="40" t="str">
        <f>IF(BA24&gt;BA$116, BA24-BA$116,"")</f>
        <v/>
      </c>
      <c r="CE24" s="40" t="str">
        <f>IF(BB24&gt;BB$116, BB24-BB$116,"")</f>
        <v/>
      </c>
      <c r="CF24" s="40">
        <f>COUNTIF(BT24:CE24, "&gt;0")</f>
        <v>0</v>
      </c>
      <c r="CG24" s="40" t="str">
        <f>IF($CF24=1,BT24,"")</f>
        <v/>
      </c>
      <c r="CH24" s="40" t="str">
        <f>IF($CF24=1,BU24,"")</f>
        <v/>
      </c>
      <c r="CI24" s="40" t="str">
        <f>IF($CF24=1,BV24,"")</f>
        <v/>
      </c>
      <c r="CJ24" s="40" t="str">
        <f>IF($CF24=1,BW24,"")</f>
        <v/>
      </c>
      <c r="CK24" s="40" t="str">
        <f>IF($CF24=1,BX24,"")</f>
        <v/>
      </c>
      <c r="CL24" s="40" t="str">
        <f>IF($CF24=1,BY24,"")</f>
        <v/>
      </c>
      <c r="CM24" s="40" t="str">
        <f>IF($CF24=1,BZ24,"")</f>
        <v/>
      </c>
      <c r="CN24" s="40" t="str">
        <f>IF($CF24=1,CA24,"")</f>
        <v/>
      </c>
      <c r="CO24" s="40" t="str">
        <f>IF($CF24=1,CB24,"")</f>
        <v/>
      </c>
      <c r="CP24" s="40" t="str">
        <f>IF($CF24=1,CC24,"")</f>
        <v/>
      </c>
      <c r="CQ24" s="40" t="str">
        <f>IF($CF24=1,CD24,"")</f>
        <v/>
      </c>
      <c r="CR24" s="40" t="str">
        <f>IF($CF24=1,CE24,"")</f>
        <v/>
      </c>
      <c r="CS24" s="47">
        <f>SUM(AE24:BO24)</f>
        <v>5</v>
      </c>
    </row>
    <row r="25" spans="1:97" x14ac:dyDescent="0.15">
      <c r="A25" s="1">
        <v>95</v>
      </c>
      <c r="B25" s="3" t="s">
        <v>72</v>
      </c>
      <c r="C25" s="3" t="s">
        <v>58</v>
      </c>
      <c r="D25" s="1" t="s">
        <v>0</v>
      </c>
      <c r="E25" s="6"/>
      <c r="F25" s="6"/>
      <c r="G25" s="6"/>
      <c r="H25" s="6"/>
      <c r="I25" s="6"/>
      <c r="J25" s="6"/>
      <c r="K25" s="6"/>
      <c r="L25" s="6">
        <v>15</v>
      </c>
      <c r="M25" s="6"/>
      <c r="N25" s="6"/>
      <c r="O25" s="6">
        <v>15</v>
      </c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>
        <v>15</v>
      </c>
      <c r="BB25" s="2">
        <v>15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60</v>
      </c>
      <c r="BQ25" s="1">
        <v>2</v>
      </c>
      <c r="BR25" s="17">
        <v>1</v>
      </c>
      <c r="BS25" s="17" t="s">
        <v>240</v>
      </c>
      <c r="BT25" s="1" t="str">
        <f>IF(AQ25&gt;AQ$116, AQ25-AQ$116,"")</f>
        <v/>
      </c>
      <c r="BU25" s="1" t="str">
        <f>IF(AR25&gt;AR$116, AR25-AR$116,"")</f>
        <v/>
      </c>
      <c r="BV25" s="1" t="str">
        <f>IF(AS25&gt;AS$116, AS25-AS$116,"")</f>
        <v/>
      </c>
      <c r="BW25" s="1" t="str">
        <f>IF(AT25&gt;AT$116, AT25-AT$116,"")</f>
        <v/>
      </c>
      <c r="BX25" s="1" t="str">
        <f>IF(AU25&gt;AU$116, AU25-AU$116,"")</f>
        <v/>
      </c>
      <c r="BY25" s="1" t="str">
        <f>IF(AV25&gt;AV$116, AV25-AV$116,"")</f>
        <v/>
      </c>
      <c r="BZ25" s="1" t="str">
        <f>IF(AW25&gt;AW$116, AW25-AW$116,"")</f>
        <v/>
      </c>
      <c r="CA25" s="1" t="str">
        <f>IF(AX25&gt;AX$116, AX25-AX$116,"")</f>
        <v/>
      </c>
      <c r="CB25" s="1" t="str">
        <f>IF(AY25&gt;AY$116, AY25-AY$116,"")</f>
        <v/>
      </c>
      <c r="CC25" s="1" t="str">
        <f>IF(AZ25&gt;AZ$116, AZ25-AZ$116,"")</f>
        <v/>
      </c>
      <c r="CD25" s="1" t="str">
        <f>IF(BA25&gt;BA$116, BA25-BA$116,"")</f>
        <v/>
      </c>
      <c r="CE25" s="1" t="str">
        <f>IF(BB25&gt;BB$116, BB25-BB$116,"")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3">
        <f>SUM(AE25:BO25)</f>
        <v>30</v>
      </c>
    </row>
    <row r="26" spans="1:97" x14ac:dyDescent="0.15">
      <c r="A26" s="1">
        <v>14</v>
      </c>
      <c r="B26" s="1" t="s">
        <v>26</v>
      </c>
      <c r="C26" s="1" t="s">
        <v>27</v>
      </c>
      <c r="D26" s="1" t="s">
        <v>28</v>
      </c>
      <c r="E26" s="6"/>
      <c r="F26" s="6"/>
      <c r="G26" s="6">
        <v>15</v>
      </c>
      <c r="H26" s="6">
        <v>15</v>
      </c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>
        <v>15</v>
      </c>
      <c r="AT26" s="4"/>
      <c r="AU26" s="4"/>
      <c r="AV26" s="4"/>
      <c r="AW26" s="2"/>
      <c r="AX26" s="2"/>
      <c r="AY26" s="2"/>
      <c r="AZ26" s="2"/>
      <c r="BA26" s="2"/>
      <c r="BB26" s="2">
        <v>15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60</v>
      </c>
      <c r="BQ26" s="1">
        <v>2</v>
      </c>
      <c r="BR26" s="17">
        <v>1</v>
      </c>
      <c r="BS26" s="17" t="s">
        <v>247</v>
      </c>
      <c r="BT26" s="1" t="str">
        <f>IF(AQ26&gt;AQ$116, AQ26-AQ$116,"")</f>
        <v/>
      </c>
      <c r="BU26" s="1" t="str">
        <f>IF(AR26&gt;AR$116, AR26-AR$116,"")</f>
        <v/>
      </c>
      <c r="BV26" s="1" t="str">
        <f>IF(AS26&gt;AS$116, AS26-AS$116,"")</f>
        <v/>
      </c>
      <c r="BW26" s="1" t="str">
        <f>IF(AT26&gt;AT$116, AT26-AT$116,"")</f>
        <v/>
      </c>
      <c r="BX26" s="1" t="str">
        <f>IF(AU26&gt;AU$116, AU26-AU$116,"")</f>
        <v/>
      </c>
      <c r="BY26" s="1" t="str">
        <f>IF(AV26&gt;AV$116, AV26-AV$116,"")</f>
        <v/>
      </c>
      <c r="BZ26" s="1" t="str">
        <f>IF(AW26&gt;AW$116, AW26-AW$116,"")</f>
        <v/>
      </c>
      <c r="CA26" s="1" t="str">
        <f>IF(AX26&gt;AX$116, AX26-AX$116,"")</f>
        <v/>
      </c>
      <c r="CB26" s="1" t="str">
        <f>IF(AY26&gt;AY$116, AY26-AY$116,"")</f>
        <v/>
      </c>
      <c r="CC26" s="1" t="str">
        <f>IF(AZ26&gt;AZ$116, AZ26-AZ$116,"")</f>
        <v/>
      </c>
      <c r="CD26" s="1" t="str">
        <f>IF(BA26&gt;BA$116, BA26-BA$116,"")</f>
        <v/>
      </c>
      <c r="CE26" s="1" t="str">
        <f>IF(BB26&gt;BB$116, BB26-BB$116,"")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3">
        <f>SUM(AE26:BO26)</f>
        <v>30</v>
      </c>
    </row>
    <row r="27" spans="1:97" x14ac:dyDescent="0.15">
      <c r="A27" s="1"/>
      <c r="B27" s="1" t="s">
        <v>93</v>
      </c>
      <c r="C27" s="1" t="s">
        <v>94</v>
      </c>
      <c r="D27" s="1" t="s">
        <v>91</v>
      </c>
      <c r="E27" s="6"/>
      <c r="F27" s="6"/>
      <c r="G27" s="6">
        <v>15</v>
      </c>
      <c r="H27" s="6">
        <v>15</v>
      </c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>
        <v>15</v>
      </c>
      <c r="AT27" s="4"/>
      <c r="AU27" s="4"/>
      <c r="AV27" s="4"/>
      <c r="AW27" s="2"/>
      <c r="AX27" s="2"/>
      <c r="AY27" s="2"/>
      <c r="AZ27" s="2"/>
      <c r="BA27" s="2"/>
      <c r="BB27" s="2">
        <v>15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60</v>
      </c>
      <c r="BQ27" s="1">
        <v>2</v>
      </c>
      <c r="BR27" s="17">
        <v>1</v>
      </c>
      <c r="BS27" s="17" t="s">
        <v>248</v>
      </c>
      <c r="BT27" s="1" t="str">
        <f>IF(AQ27&gt;AQ$116, AQ27-AQ$116,"")</f>
        <v/>
      </c>
      <c r="BU27" s="1" t="str">
        <f>IF(AR27&gt;AR$116, AR27-AR$116,"")</f>
        <v/>
      </c>
      <c r="BV27" s="1" t="str">
        <f>IF(AS27&gt;AS$116, AS27-AS$116,"")</f>
        <v/>
      </c>
      <c r="BW27" s="1" t="str">
        <f>IF(AT27&gt;AT$116, AT27-AT$116,"")</f>
        <v/>
      </c>
      <c r="BX27" s="1" t="str">
        <f>IF(AU27&gt;AU$116, AU27-AU$116,"")</f>
        <v/>
      </c>
      <c r="BY27" s="1" t="str">
        <f>IF(AV27&gt;AV$116, AV27-AV$116,"")</f>
        <v/>
      </c>
      <c r="BZ27" s="1" t="str">
        <f>IF(AW27&gt;AW$116, AW27-AW$116,"")</f>
        <v/>
      </c>
      <c r="CA27" s="1" t="str">
        <f>IF(AX27&gt;AX$116, AX27-AX$116,"")</f>
        <v/>
      </c>
      <c r="CB27" s="1" t="str">
        <f>IF(AY27&gt;AY$116, AY27-AY$116,"")</f>
        <v/>
      </c>
      <c r="CC27" s="1" t="str">
        <f>IF(AZ27&gt;AZ$116, AZ27-AZ$116,"")</f>
        <v/>
      </c>
      <c r="CD27" s="1" t="str">
        <f>IF(BA27&gt;BA$116, BA27-BA$116,"")</f>
        <v/>
      </c>
      <c r="CE27" s="1" t="str">
        <f>IF(BB27&gt;BB$116, BB27-BB$116,"")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40"/>
      <c r="B28" s="40" t="s">
        <v>168</v>
      </c>
      <c r="C28" s="40" t="s">
        <v>105</v>
      </c>
      <c r="D28" s="40" t="s">
        <v>91</v>
      </c>
      <c r="E28" s="41"/>
      <c r="F28" s="41"/>
      <c r="G28" s="41">
        <v>15</v>
      </c>
      <c r="H28" s="41">
        <v>15</v>
      </c>
      <c r="I28" s="41"/>
      <c r="J28" s="41"/>
      <c r="K28" s="41"/>
      <c r="L28" s="41"/>
      <c r="M28" s="41"/>
      <c r="N28" s="41"/>
      <c r="O28" s="41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3"/>
      <c r="AR28" s="43"/>
      <c r="AS28" s="43"/>
      <c r="AT28" s="43"/>
      <c r="AU28" s="43"/>
      <c r="AV28" s="43"/>
      <c r="AW28" s="44"/>
      <c r="AX28" s="44"/>
      <c r="AY28" s="44"/>
      <c r="AZ28" s="44"/>
      <c r="BA28" s="44">
        <v>15</v>
      </c>
      <c r="BB28" s="44">
        <v>15</v>
      </c>
      <c r="BC28" s="45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>
        <f>SUM(E28:BO28)</f>
        <v>60</v>
      </c>
      <c r="BQ28" s="40">
        <v>2</v>
      </c>
      <c r="BR28" s="46">
        <v>1</v>
      </c>
      <c r="BS28" s="46" t="s">
        <v>240</v>
      </c>
      <c r="BT28" s="40" t="str">
        <f>IF(AQ28&gt;AQ$116, AQ28-AQ$116,"")</f>
        <v/>
      </c>
      <c r="BU28" s="40" t="str">
        <f>IF(AR28&gt;AR$116, AR28-AR$116,"")</f>
        <v/>
      </c>
      <c r="BV28" s="40" t="str">
        <f>IF(AS28&gt;AS$116, AS28-AS$116,"")</f>
        <v/>
      </c>
      <c r="BW28" s="40" t="str">
        <f>IF(AT28&gt;AT$116, AT28-AT$116,"")</f>
        <v/>
      </c>
      <c r="BX28" s="40" t="str">
        <f>IF(AU28&gt;AU$116, AU28-AU$116,"")</f>
        <v/>
      </c>
      <c r="BY28" s="40" t="str">
        <f>IF(AV28&gt;AV$116, AV28-AV$116,"")</f>
        <v/>
      </c>
      <c r="BZ28" s="40" t="str">
        <f>IF(AW28&gt;AW$116, AW28-AW$116,"")</f>
        <v/>
      </c>
      <c r="CA28" s="40" t="str">
        <f>IF(AX28&gt;AX$116, AX28-AX$116,"")</f>
        <v/>
      </c>
      <c r="CB28" s="40" t="str">
        <f>IF(AY28&gt;AY$116, AY28-AY$116,"")</f>
        <v/>
      </c>
      <c r="CC28" s="40" t="str">
        <f>IF(AZ28&gt;AZ$116, AZ28-AZ$116,"")</f>
        <v/>
      </c>
      <c r="CD28" s="40" t="str">
        <f>IF(BA28&gt;BA$116, BA28-BA$116,"")</f>
        <v/>
      </c>
      <c r="CE28" s="40" t="str">
        <f>IF(BB28&gt;BB$116, BB28-BB$116,"")</f>
        <v/>
      </c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7"/>
    </row>
    <row r="29" spans="1:97" x14ac:dyDescent="0.15">
      <c r="A29" s="1">
        <v>54</v>
      </c>
      <c r="B29" s="1" t="s">
        <v>47</v>
      </c>
      <c r="C29" s="1" t="s">
        <v>48</v>
      </c>
      <c r="D29" s="1" t="s">
        <v>0</v>
      </c>
      <c r="E29" s="6"/>
      <c r="F29" s="6">
        <v>15</v>
      </c>
      <c r="G29" s="6"/>
      <c r="H29" s="6">
        <v>15</v>
      </c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>
        <v>15</v>
      </c>
      <c r="AW29" s="2"/>
      <c r="AX29" s="2"/>
      <c r="AY29" s="2"/>
      <c r="AZ29" s="2"/>
      <c r="BA29" s="2">
        <v>15</v>
      </c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60</v>
      </c>
      <c r="BQ29" s="1">
        <v>2</v>
      </c>
      <c r="BR29" s="17">
        <v>1</v>
      </c>
      <c r="BS29" s="17" t="s">
        <v>240</v>
      </c>
      <c r="BT29" s="1" t="str">
        <f>IF(AQ29&gt;AQ$116, AQ29-AQ$116,"")</f>
        <v/>
      </c>
      <c r="BU29" s="1" t="str">
        <f>IF(AR29&gt;AR$116, AR29-AR$116,"")</f>
        <v/>
      </c>
      <c r="BV29" s="1" t="str">
        <f>IF(AS29&gt;AS$116, AS29-AS$116,"")</f>
        <v/>
      </c>
      <c r="BW29" s="1" t="str">
        <f>IF(AT29&gt;AT$116, AT29-AT$116,"")</f>
        <v/>
      </c>
      <c r="BX29" s="1" t="str">
        <f>IF(AU29&gt;AU$116, AU29-AU$116,"")</f>
        <v/>
      </c>
      <c r="BY29" s="1" t="str">
        <f>IF(AV29&gt;AV$116, AV29-AV$116,"")</f>
        <v/>
      </c>
      <c r="BZ29" s="1" t="str">
        <f>IF(AW29&gt;AW$116, AW29-AW$116,"")</f>
        <v/>
      </c>
      <c r="CA29" s="1" t="str">
        <f>IF(AX29&gt;AX$116, AX29-AX$116,"")</f>
        <v/>
      </c>
      <c r="CB29" s="1" t="str">
        <f>IF(AY29&gt;AY$116, AY29-AY$116,"")</f>
        <v/>
      </c>
      <c r="CC29" s="1" t="str">
        <f>IF(AZ29&gt;AZ$116, AZ29-AZ$116,"")</f>
        <v/>
      </c>
      <c r="CD29" s="1" t="str">
        <f>IF(BA29&gt;BA$116, BA29-BA$116,"")</f>
        <v/>
      </c>
      <c r="CE29" s="1" t="str">
        <f>IF(BB29&gt;BB$116, BB29-BB$116,"")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3">
        <f>SUM(AE29:BO29)</f>
        <v>30</v>
      </c>
    </row>
    <row r="30" spans="1:97" x14ac:dyDescent="0.15">
      <c r="A30" s="18"/>
      <c r="B30" s="18" t="s">
        <v>194</v>
      </c>
      <c r="C30" s="18" t="s">
        <v>27</v>
      </c>
      <c r="D30" s="18" t="s">
        <v>195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>
        <v>3</v>
      </c>
      <c r="AP30" s="18"/>
      <c r="AQ30" s="20"/>
      <c r="AR30" s="20"/>
      <c r="AS30" s="20"/>
      <c r="AT30" s="20"/>
      <c r="AU30" s="20"/>
      <c r="AV30" s="20"/>
      <c r="AW30" s="21"/>
      <c r="AX30" s="21"/>
      <c r="AY30" s="21"/>
      <c r="AZ30" s="21"/>
      <c r="BA30" s="21"/>
      <c r="BB30" s="21"/>
      <c r="BC30" s="26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>
        <f>SUM(E30:BO30)</f>
        <v>3</v>
      </c>
      <c r="BQ30" s="18">
        <v>3</v>
      </c>
      <c r="BR30" s="22">
        <v>1</v>
      </c>
      <c r="BS30" s="22" t="s">
        <v>235</v>
      </c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30"/>
    </row>
    <row r="31" spans="1:97" x14ac:dyDescent="0.15">
      <c r="A31" s="1">
        <v>39</v>
      </c>
      <c r="B31" s="1" t="s">
        <v>43</v>
      </c>
      <c r="C31" s="1" t="s">
        <v>40</v>
      </c>
      <c r="D31" s="1" t="s">
        <v>22</v>
      </c>
      <c r="E31" s="6"/>
      <c r="F31" s="6">
        <v>6</v>
      </c>
      <c r="G31" s="6"/>
      <c r="H31" s="6"/>
      <c r="I31" s="6"/>
      <c r="J31" s="6"/>
      <c r="K31" s="6"/>
      <c r="L31" s="6">
        <v>6</v>
      </c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>
        <v>10</v>
      </c>
      <c r="AR31" s="4"/>
      <c r="AS31" s="4"/>
      <c r="AT31" s="4"/>
      <c r="AU31" s="4"/>
      <c r="AV31" s="4"/>
      <c r="AW31" s="2"/>
      <c r="AX31" s="2">
        <v>10</v>
      </c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32</v>
      </c>
      <c r="BQ31" s="1">
        <v>4</v>
      </c>
      <c r="BR31" s="17">
        <v>1</v>
      </c>
      <c r="BS31" s="17" t="s">
        <v>239</v>
      </c>
      <c r="BT31" s="1" t="str">
        <f>IF(AQ31&gt;AQ$116, AQ31-AQ$116,"")</f>
        <v/>
      </c>
      <c r="BU31" s="1" t="str">
        <f>IF(AR31&gt;AR$116, AR31-AR$116,"")</f>
        <v/>
      </c>
      <c r="BV31" s="1" t="str">
        <f>IF(AS31&gt;AS$116, AS31-AS$116,"")</f>
        <v/>
      </c>
      <c r="BW31" s="1" t="str">
        <f>IF(AT31&gt;AT$116, AT31-AT$116,"")</f>
        <v/>
      </c>
      <c r="BX31" s="1" t="str">
        <f>IF(AU31&gt;AU$116, AU31-AU$116,"")</f>
        <v/>
      </c>
      <c r="BY31" s="1" t="str">
        <f>IF(AV31&gt;AV$116, AV31-AV$116,"")</f>
        <v/>
      </c>
      <c r="BZ31" s="1" t="str">
        <f>IF(AW31&gt;AW$116, AW31-AW$116,"")</f>
        <v/>
      </c>
      <c r="CA31" s="1" t="str">
        <f>IF(AX31&gt;AX$116, AX31-AX$116,"")</f>
        <v/>
      </c>
      <c r="CB31" s="1" t="str">
        <f>IF(AY31&gt;AY$116, AY31-AY$116,"")</f>
        <v/>
      </c>
      <c r="CC31" s="1" t="str">
        <f>IF(AZ31&gt;AZ$116, AZ31-AZ$116,"")</f>
        <v/>
      </c>
      <c r="CD31" s="1" t="str">
        <f>IF(BA31&gt;BA$116, BA31-BA$116,"")</f>
        <v/>
      </c>
      <c r="CE31" s="1" t="str">
        <f>IF(BB31&gt;BB$116, BB31-BB$116,"")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20</v>
      </c>
    </row>
    <row r="32" spans="1:97" x14ac:dyDescent="0.15">
      <c r="A32" s="1"/>
      <c r="B32" s="1" t="s">
        <v>169</v>
      </c>
      <c r="C32" s="1" t="s">
        <v>90</v>
      </c>
      <c r="D32" s="1" t="s">
        <v>92</v>
      </c>
      <c r="E32" s="6"/>
      <c r="F32" s="6"/>
      <c r="G32" s="6"/>
      <c r="H32" s="6">
        <v>6</v>
      </c>
      <c r="I32" s="6"/>
      <c r="J32" s="6"/>
      <c r="K32" s="6">
        <v>6</v>
      </c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>
        <v>10</v>
      </c>
      <c r="AR32" s="4"/>
      <c r="AS32" s="4"/>
      <c r="AT32" s="4"/>
      <c r="AU32" s="4"/>
      <c r="AV32" s="4"/>
      <c r="AW32" s="2">
        <v>10</v>
      </c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32</v>
      </c>
      <c r="BQ32" s="1">
        <v>4</v>
      </c>
      <c r="BR32" s="17">
        <v>1</v>
      </c>
      <c r="BS32" s="17" t="s">
        <v>239</v>
      </c>
      <c r="BT32" s="1" t="str">
        <f>IF(AQ32&gt;AQ$116, AQ32-AQ$116,"")</f>
        <v/>
      </c>
      <c r="BU32" s="1" t="str">
        <f>IF(AR32&gt;AR$116, AR32-AR$116,"")</f>
        <v/>
      </c>
      <c r="BV32" s="1" t="str">
        <f>IF(AS32&gt;AS$116, AS32-AS$116,"")</f>
        <v/>
      </c>
      <c r="BW32" s="1" t="str">
        <f>IF(AT32&gt;AT$116, AT32-AT$116,"")</f>
        <v/>
      </c>
      <c r="BX32" s="1" t="str">
        <f>IF(AU32&gt;AU$116, AU32-AU$116,"")</f>
        <v/>
      </c>
      <c r="BY32" s="1" t="str">
        <f>IF(AV32&gt;AV$116, AV32-AV$116,"")</f>
        <v/>
      </c>
      <c r="BZ32" s="1" t="str">
        <f>IF(AW32&gt;AW$116, AW32-AW$116,"")</f>
        <v/>
      </c>
      <c r="CA32" s="1" t="str">
        <f>IF(AX32&gt;AX$116, AX32-AX$116,"")</f>
        <v/>
      </c>
      <c r="CB32" s="1" t="str">
        <f>IF(AY32&gt;AY$116, AY32-AY$116,"")</f>
        <v/>
      </c>
      <c r="CC32" s="1" t="str">
        <f>IF(AZ32&gt;AZ$116, AZ32-AZ$116,"")</f>
        <v/>
      </c>
      <c r="CD32" s="1" t="str">
        <f>IF(BA32&gt;BA$116, BA32-BA$116,"")</f>
        <v/>
      </c>
      <c r="CE32" s="1" t="str">
        <f>IF(BB32&gt;BB$116, BB32-BB$116,"")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8">
        <v>17</v>
      </c>
      <c r="B33" s="18" t="s">
        <v>30</v>
      </c>
      <c r="C33" s="18" t="s">
        <v>27</v>
      </c>
      <c r="D33" s="18" t="s">
        <v>20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>
        <v>5</v>
      </c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>
        <f>SUM(E33:BO33)</f>
        <v>5</v>
      </c>
      <c r="BQ33" s="18">
        <v>5</v>
      </c>
      <c r="BR33" s="22">
        <v>1</v>
      </c>
      <c r="BS33" s="22" t="s">
        <v>219</v>
      </c>
      <c r="BT33" s="18" t="str">
        <f>IF(AQ33&gt;AQ$116, AQ33-AQ$116,"")</f>
        <v/>
      </c>
      <c r="BU33" s="18" t="str">
        <f>IF(AR33&gt;AR$116, AR33-AR$116,"")</f>
        <v/>
      </c>
      <c r="BV33" s="18" t="str">
        <f>IF(AS33&gt;AS$116, AS33-AS$116,"")</f>
        <v/>
      </c>
      <c r="BW33" s="18" t="str">
        <f>IF(AT33&gt;AT$116, AT33-AT$116,"")</f>
        <v/>
      </c>
      <c r="BX33" s="18" t="str">
        <f>IF(AU33&gt;AU$116, AU33-AU$116,"")</f>
        <v/>
      </c>
      <c r="BY33" s="18" t="str">
        <f>IF(AV33&gt;AV$116, AV33-AV$116,"")</f>
        <v/>
      </c>
      <c r="BZ33" s="18" t="str">
        <f>IF(AW33&gt;AW$116, AW33-AW$116,"")</f>
        <v/>
      </c>
      <c r="CA33" s="18" t="str">
        <f>IF(AX33&gt;AX$116, AX33-AX$116,"")</f>
        <v/>
      </c>
      <c r="CB33" s="18" t="str">
        <f>IF(AY33&gt;AY$116, AY33-AY$116,"")</f>
        <v/>
      </c>
      <c r="CC33" s="18" t="str">
        <f>IF(AZ33&gt;AZ$116, AZ33-AZ$116,"")</f>
        <v/>
      </c>
      <c r="CD33" s="18" t="str">
        <f>IF(BA33&gt;BA$116, BA33-BA$116,"")</f>
        <v/>
      </c>
      <c r="CE33" s="18" t="str">
        <f>IF(BB33&gt;BB$116, BB33-BB$116,"")</f>
        <v/>
      </c>
      <c r="CF33" s="18">
        <f>COUNTIF(BT33:CE33, "&gt;0")</f>
        <v>0</v>
      </c>
      <c r="CG33" s="18" t="str">
        <f>IF($CF33=1,BT33,"")</f>
        <v/>
      </c>
      <c r="CH33" s="18" t="str">
        <f>IF($CF33=1,BU33,"")</f>
        <v/>
      </c>
      <c r="CI33" s="18" t="str">
        <f>IF($CF33=1,BV33,"")</f>
        <v/>
      </c>
      <c r="CJ33" s="18" t="str">
        <f>IF($CF33=1,BW33,"")</f>
        <v/>
      </c>
      <c r="CK33" s="18" t="str">
        <f>IF($CF33=1,BX33,"")</f>
        <v/>
      </c>
      <c r="CL33" s="18" t="str">
        <f>IF($CF33=1,BY33,"")</f>
        <v/>
      </c>
      <c r="CM33" s="18" t="str">
        <f>IF($CF33=1,BZ33,"")</f>
        <v/>
      </c>
      <c r="CN33" s="18" t="str">
        <f>IF($CF33=1,CA33,"")</f>
        <v/>
      </c>
      <c r="CO33" s="18" t="str">
        <f>IF($CF33=1,CB33,"")</f>
        <v/>
      </c>
      <c r="CP33" s="18" t="str">
        <f>IF($CF33=1,CC33,"")</f>
        <v/>
      </c>
      <c r="CQ33" s="18" t="str">
        <f>IF($CF33=1,CD33,"")</f>
        <v/>
      </c>
      <c r="CR33" s="18" t="str">
        <f>IF($CF33=1,CE33,"")</f>
        <v/>
      </c>
      <c r="CS33" s="30">
        <f>SUM(AE33:BO33)</f>
        <v>5</v>
      </c>
    </row>
    <row r="34" spans="1:97" x14ac:dyDescent="0.15">
      <c r="A34" s="18">
        <v>32</v>
      </c>
      <c r="B34" s="18" t="s">
        <v>66</v>
      </c>
      <c r="C34" s="18" t="s">
        <v>27</v>
      </c>
      <c r="D34" s="18" t="s">
        <v>20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/>
      <c r="AI34" s="18">
        <v>5</v>
      </c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>
        <f>SUM(E34:BO34)</f>
        <v>5</v>
      </c>
      <c r="BQ34" s="18">
        <v>5</v>
      </c>
      <c r="BR34" s="22">
        <v>1</v>
      </c>
      <c r="BS34" s="22" t="s">
        <v>214</v>
      </c>
      <c r="BT34" s="18" t="str">
        <f>IF(AQ34&gt;AQ$116, AQ34-AQ$116,"")</f>
        <v/>
      </c>
      <c r="BU34" s="18" t="str">
        <f>IF(AR34&gt;AR$116, AR34-AR$116,"")</f>
        <v/>
      </c>
      <c r="BV34" s="18" t="str">
        <f>IF(AS34&gt;AS$116, AS34-AS$116,"")</f>
        <v/>
      </c>
      <c r="BW34" s="18" t="str">
        <f>IF(AT34&gt;AT$116, AT34-AT$116,"")</f>
        <v/>
      </c>
      <c r="BX34" s="18" t="str">
        <f>IF(AU34&gt;AU$116, AU34-AU$116,"")</f>
        <v/>
      </c>
      <c r="BY34" s="18" t="str">
        <f>IF(AV34&gt;AV$116, AV34-AV$116,"")</f>
        <v/>
      </c>
      <c r="BZ34" s="18" t="str">
        <f>IF(AW34&gt;AW$116, AW34-AW$116,"")</f>
        <v/>
      </c>
      <c r="CA34" s="18" t="str">
        <f>IF(AX34&gt;AX$116, AX34-AX$116,"")</f>
        <v/>
      </c>
      <c r="CB34" s="18" t="str">
        <f>IF(AY34&gt;AY$116, AY34-AY$116,"")</f>
        <v/>
      </c>
      <c r="CC34" s="18" t="str">
        <f>IF(AZ34&gt;AZ$116, AZ34-AZ$116,"")</f>
        <v/>
      </c>
      <c r="CD34" s="18" t="str">
        <f>IF(BA34&gt;BA$116, BA34-BA$116,"")</f>
        <v/>
      </c>
      <c r="CE34" s="18" t="str">
        <f>IF(BB34&gt;BB$116, BB34-BB$116,"")</f>
        <v/>
      </c>
      <c r="CF34" s="18">
        <f>COUNTIF(BT34:CE34, "&gt;0")</f>
        <v>0</v>
      </c>
      <c r="CG34" s="18" t="str">
        <f>IF($CF34=1,BT34,"")</f>
        <v/>
      </c>
      <c r="CH34" s="18" t="str">
        <f>IF($CF34=1,BU34,"")</f>
        <v/>
      </c>
      <c r="CI34" s="18" t="str">
        <f>IF($CF34=1,BV34,"")</f>
        <v/>
      </c>
      <c r="CJ34" s="18" t="str">
        <f>IF($CF34=1,BW34,"")</f>
        <v/>
      </c>
      <c r="CK34" s="18" t="str">
        <f>IF($CF34=1,BX34,"")</f>
        <v/>
      </c>
      <c r="CL34" s="18" t="str">
        <f>IF($CF34=1,BY34,"")</f>
        <v/>
      </c>
      <c r="CM34" s="18" t="str">
        <f>IF($CF34=1,BZ34,"")</f>
        <v/>
      </c>
      <c r="CN34" s="18" t="str">
        <f>IF($CF34=1,CA34,"")</f>
        <v/>
      </c>
      <c r="CO34" s="18" t="str">
        <f>IF($CF34=1,CB34,"")</f>
        <v/>
      </c>
      <c r="CP34" s="18" t="str">
        <f>IF($CF34=1,CC34,"")</f>
        <v/>
      </c>
      <c r="CQ34" s="18" t="str">
        <f>IF($CF34=1,CD34,"")</f>
        <v/>
      </c>
      <c r="CR34" s="18" t="str">
        <f>IF($CF34=1,CE34,"")</f>
        <v/>
      </c>
      <c r="CS34" s="30">
        <f>SUM(AE34:BO34)</f>
        <v>5</v>
      </c>
    </row>
    <row r="35" spans="1:97" s="23" customFormat="1" x14ac:dyDescent="0.15">
      <c r="A35" s="18">
        <v>33</v>
      </c>
      <c r="B35" s="18" t="s">
        <v>66</v>
      </c>
      <c r="C35" s="18" t="s">
        <v>27</v>
      </c>
      <c r="D35" s="18" t="s">
        <v>0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>
        <v>5</v>
      </c>
      <c r="AI35" s="18"/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>
        <f>SUM(E35:BO35)</f>
        <v>5</v>
      </c>
      <c r="BQ35" s="18">
        <v>5</v>
      </c>
      <c r="BR35" s="22">
        <v>1</v>
      </c>
      <c r="BS35" s="22" t="s">
        <v>238</v>
      </c>
      <c r="BT35" s="18" t="str">
        <f>IF(AQ35&gt;AQ$116, AQ35-AQ$116,"")</f>
        <v/>
      </c>
      <c r="BU35" s="18" t="str">
        <f>IF(AR35&gt;AR$116, AR35-AR$116,"")</f>
        <v/>
      </c>
      <c r="BV35" s="18" t="str">
        <f>IF(AS35&gt;AS$116, AS35-AS$116,"")</f>
        <v/>
      </c>
      <c r="BW35" s="18" t="str">
        <f>IF(AT35&gt;AT$116, AT35-AT$116,"")</f>
        <v/>
      </c>
      <c r="BX35" s="18" t="str">
        <f>IF(AU35&gt;AU$116, AU35-AU$116,"")</f>
        <v/>
      </c>
      <c r="BY35" s="18" t="str">
        <f>IF(AV35&gt;AV$116, AV35-AV$116,"")</f>
        <v/>
      </c>
      <c r="BZ35" s="18" t="str">
        <f>IF(AW35&gt;AW$116, AW35-AW$116,"")</f>
        <v/>
      </c>
      <c r="CA35" s="18" t="str">
        <f>IF(AX35&gt;AX$116, AX35-AX$116,"")</f>
        <v/>
      </c>
      <c r="CB35" s="18" t="str">
        <f>IF(AY35&gt;AY$116, AY35-AY$116,"")</f>
        <v/>
      </c>
      <c r="CC35" s="18" t="str">
        <f>IF(AZ35&gt;AZ$116, AZ35-AZ$116,"")</f>
        <v/>
      </c>
      <c r="CD35" s="18" t="str">
        <f>IF(BA35&gt;BA$116, BA35-BA$116,"")</f>
        <v/>
      </c>
      <c r="CE35" s="18" t="str">
        <f>IF(BB35&gt;BB$116, BB35-BB$116,"")</f>
        <v/>
      </c>
      <c r="CF35" s="18">
        <f>COUNTIF(BT35:CE35, "&gt;0")</f>
        <v>0</v>
      </c>
      <c r="CG35" s="18" t="str">
        <f>IF($CF35=1,BT35,"")</f>
        <v/>
      </c>
      <c r="CH35" s="18" t="str">
        <f>IF($CF35=1,BU35,"")</f>
        <v/>
      </c>
      <c r="CI35" s="18" t="str">
        <f>IF($CF35=1,BV35,"")</f>
        <v/>
      </c>
      <c r="CJ35" s="18" t="str">
        <f>IF($CF35=1,BW35,"")</f>
        <v/>
      </c>
      <c r="CK35" s="18" t="str">
        <f>IF($CF35=1,BX35,"")</f>
        <v/>
      </c>
      <c r="CL35" s="18" t="str">
        <f>IF($CF35=1,BY35,"")</f>
        <v/>
      </c>
      <c r="CM35" s="18" t="str">
        <f>IF($CF35=1,BZ35,"")</f>
        <v/>
      </c>
      <c r="CN35" s="18" t="str">
        <f>IF($CF35=1,CA35,"")</f>
        <v/>
      </c>
      <c r="CO35" s="18" t="str">
        <f>IF($CF35=1,CB35,"")</f>
        <v/>
      </c>
      <c r="CP35" s="18" t="str">
        <f>IF($CF35=1,CC35,"")</f>
        <v/>
      </c>
      <c r="CQ35" s="18" t="str">
        <f>IF($CF35=1,CD35,"")</f>
        <v/>
      </c>
      <c r="CR35" s="18" t="str">
        <f>IF($CF35=1,CE35,"")</f>
        <v/>
      </c>
      <c r="CS35" s="30">
        <f>SUM(AE35:BO35)</f>
        <v>5</v>
      </c>
    </row>
    <row r="36" spans="1:97" x14ac:dyDescent="0.15">
      <c r="A36" s="18">
        <v>63</v>
      </c>
      <c r="B36" s="30" t="s">
        <v>53</v>
      </c>
      <c r="C36" s="18" t="s">
        <v>48</v>
      </c>
      <c r="D36" s="18" t="s">
        <v>20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18"/>
      <c r="AF36" s="18"/>
      <c r="AG36" s="18"/>
      <c r="AH36" s="18"/>
      <c r="AI36" s="18"/>
      <c r="AJ36" s="18"/>
      <c r="AK36" s="18"/>
      <c r="AL36" s="18"/>
      <c r="AM36" s="18"/>
      <c r="AN36" s="18">
        <v>5</v>
      </c>
      <c r="AO36" s="18"/>
      <c r="AP36" s="18"/>
      <c r="AQ36" s="20"/>
      <c r="AR36" s="20"/>
      <c r="AS36" s="20"/>
      <c r="AT36" s="20"/>
      <c r="AU36" s="20"/>
      <c r="AV36" s="20"/>
      <c r="AW36" s="21"/>
      <c r="AX36" s="21"/>
      <c r="AY36" s="21"/>
      <c r="AZ36" s="21"/>
      <c r="BA36" s="21"/>
      <c r="BB36" s="21"/>
      <c r="BC36" s="26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>
        <f>SUM(E36:BO36)</f>
        <v>5</v>
      </c>
      <c r="BQ36" s="18">
        <v>5</v>
      </c>
      <c r="BR36" s="22">
        <v>1</v>
      </c>
      <c r="BS36" s="22" t="s">
        <v>216</v>
      </c>
      <c r="BT36" s="18" t="str">
        <f>IF(AQ36&gt;AQ$116, AQ36-AQ$116,"")</f>
        <v/>
      </c>
      <c r="BU36" s="18" t="str">
        <f>IF(AR36&gt;AR$116, AR36-AR$116,"")</f>
        <v/>
      </c>
      <c r="BV36" s="18" t="str">
        <f>IF(AS36&gt;AS$116, AS36-AS$116,"")</f>
        <v/>
      </c>
      <c r="BW36" s="18" t="str">
        <f>IF(AT36&gt;AT$116, AT36-AT$116,"")</f>
        <v/>
      </c>
      <c r="BX36" s="18" t="str">
        <f>IF(AU36&gt;AU$116, AU36-AU$116,"")</f>
        <v/>
      </c>
      <c r="BY36" s="18" t="str">
        <f>IF(AV36&gt;AV$116, AV36-AV$116,"")</f>
        <v/>
      </c>
      <c r="BZ36" s="18" t="str">
        <f>IF(AW36&gt;AW$116, AW36-AW$116,"")</f>
        <v/>
      </c>
      <c r="CA36" s="18" t="str">
        <f>IF(AX36&gt;AX$116, AX36-AX$116,"")</f>
        <v/>
      </c>
      <c r="CB36" s="18" t="str">
        <f>IF(AY36&gt;AY$116, AY36-AY$116,"")</f>
        <v/>
      </c>
      <c r="CC36" s="18" t="str">
        <f>IF(AZ36&gt;AZ$116, AZ36-AZ$116,"")</f>
        <v/>
      </c>
      <c r="CD36" s="18" t="str">
        <f>IF(BA36&gt;BA$116, BA36-BA$116,"")</f>
        <v/>
      </c>
      <c r="CE36" s="18" t="str">
        <f>IF(BB36&gt;BB$116, BB36-BB$116,"")</f>
        <v/>
      </c>
      <c r="CF36" s="18">
        <f>COUNTIF(BT36:CE36, "&gt;0")</f>
        <v>0</v>
      </c>
      <c r="CG36" s="18" t="str">
        <f>IF($CF36=1,BT36,"")</f>
        <v/>
      </c>
      <c r="CH36" s="18" t="str">
        <f>IF($CF36=1,BU36,"")</f>
        <v/>
      </c>
      <c r="CI36" s="18" t="str">
        <f>IF($CF36=1,BV36,"")</f>
        <v/>
      </c>
      <c r="CJ36" s="18" t="str">
        <f>IF($CF36=1,BW36,"")</f>
        <v/>
      </c>
      <c r="CK36" s="18" t="str">
        <f>IF($CF36=1,BX36,"")</f>
        <v/>
      </c>
      <c r="CL36" s="18" t="str">
        <f>IF($CF36=1,BY36,"")</f>
        <v/>
      </c>
      <c r="CM36" s="18" t="str">
        <f>IF($CF36=1,BZ36,"")</f>
        <v/>
      </c>
      <c r="CN36" s="18" t="str">
        <f>IF($CF36=1,CA36,"")</f>
        <v/>
      </c>
      <c r="CO36" s="18" t="str">
        <f>IF($CF36=1,CB36,"")</f>
        <v/>
      </c>
      <c r="CP36" s="18" t="str">
        <f>IF($CF36=1,CC36,"")</f>
        <v/>
      </c>
      <c r="CQ36" s="18" t="str">
        <f>IF($CF36=1,CD36,"")</f>
        <v/>
      </c>
      <c r="CR36" s="18" t="str">
        <f>IF($CF36=1,CE36,"")</f>
        <v/>
      </c>
      <c r="CS36" s="30">
        <f>SUM(AE36:BO36)</f>
        <v>5</v>
      </c>
    </row>
    <row r="37" spans="1:97" x14ac:dyDescent="0.15">
      <c r="A37" s="18">
        <v>90</v>
      </c>
      <c r="B37" s="30" t="s">
        <v>70</v>
      </c>
      <c r="C37" s="30" t="s">
        <v>69</v>
      </c>
      <c r="D37" s="18" t="s">
        <v>20</v>
      </c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18"/>
      <c r="AF37" s="18"/>
      <c r="AG37" s="18"/>
      <c r="AH37" s="18"/>
      <c r="AI37" s="18"/>
      <c r="AJ37" s="18"/>
      <c r="AK37" s="18"/>
      <c r="AL37" s="18"/>
      <c r="AM37" s="18"/>
      <c r="AN37" s="18">
        <v>5</v>
      </c>
      <c r="AO37" s="18"/>
      <c r="AP37" s="18"/>
      <c r="AQ37" s="20"/>
      <c r="AR37" s="20"/>
      <c r="AS37" s="20"/>
      <c r="AT37" s="20"/>
      <c r="AU37" s="20"/>
      <c r="AV37" s="20"/>
      <c r="AW37" s="21"/>
      <c r="AX37" s="21"/>
      <c r="AY37" s="21"/>
      <c r="AZ37" s="21"/>
      <c r="BA37" s="21"/>
      <c r="BB37" s="21"/>
      <c r="BC37" s="26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>
        <f>SUM(E37:BO37)</f>
        <v>5</v>
      </c>
      <c r="BQ37" s="18">
        <v>5</v>
      </c>
      <c r="BR37" s="22">
        <v>1</v>
      </c>
      <c r="BS37" s="22" t="s">
        <v>216</v>
      </c>
      <c r="BT37" s="18" t="str">
        <f>IF(AQ37&gt;AQ$116, AQ37-AQ$116,"")</f>
        <v/>
      </c>
      <c r="BU37" s="18" t="str">
        <f>IF(AR37&gt;AR$116, AR37-AR$116,"")</f>
        <v/>
      </c>
      <c r="BV37" s="18" t="str">
        <f>IF(AS37&gt;AS$116, AS37-AS$116,"")</f>
        <v/>
      </c>
      <c r="BW37" s="18" t="str">
        <f>IF(AT37&gt;AT$116, AT37-AT$116,"")</f>
        <v/>
      </c>
      <c r="BX37" s="18" t="str">
        <f>IF(AU37&gt;AU$116, AU37-AU$116,"")</f>
        <v/>
      </c>
      <c r="BY37" s="18" t="str">
        <f>IF(AV37&gt;AV$116, AV37-AV$116,"")</f>
        <v/>
      </c>
      <c r="BZ37" s="18" t="str">
        <f>IF(AW37&gt;AW$116, AW37-AW$116,"")</f>
        <v/>
      </c>
      <c r="CA37" s="18" t="str">
        <f>IF(AX37&gt;AX$116, AX37-AX$116,"")</f>
        <v/>
      </c>
      <c r="CB37" s="18" t="str">
        <f>IF(AY37&gt;AY$116, AY37-AY$116,"")</f>
        <v/>
      </c>
      <c r="CC37" s="18" t="str">
        <f>IF(AZ37&gt;AZ$116, AZ37-AZ$116,"")</f>
        <v/>
      </c>
      <c r="CD37" s="18" t="str">
        <f>IF(BA37&gt;BA$116, BA37-BA$116,"")</f>
        <v/>
      </c>
      <c r="CE37" s="18" t="str">
        <f>IF(BB37&gt;BB$116, BB37-BB$116,"")</f>
        <v/>
      </c>
      <c r="CF37" s="18">
        <f>COUNTIF(BT37:CE37, "&gt;0")</f>
        <v>0</v>
      </c>
      <c r="CG37" s="18" t="str">
        <f>IF($CF37=1,BT37,"")</f>
        <v/>
      </c>
      <c r="CH37" s="18" t="str">
        <f>IF($CF37=1,BU37,"")</f>
        <v/>
      </c>
      <c r="CI37" s="18" t="str">
        <f>IF($CF37=1,BV37,"")</f>
        <v/>
      </c>
      <c r="CJ37" s="18" t="str">
        <f>IF($CF37=1,BW37,"")</f>
        <v/>
      </c>
      <c r="CK37" s="18" t="str">
        <f>IF($CF37=1,BX37,"")</f>
        <v/>
      </c>
      <c r="CL37" s="18" t="str">
        <f>IF($CF37=1,BY37,"")</f>
        <v/>
      </c>
      <c r="CM37" s="18" t="str">
        <f>IF($CF37=1,BZ37,"")</f>
        <v/>
      </c>
      <c r="CN37" s="18" t="str">
        <f>IF($CF37=1,CA37,"")</f>
        <v/>
      </c>
      <c r="CO37" s="18" t="str">
        <f>IF($CF37=1,CB37,"")</f>
        <v/>
      </c>
      <c r="CP37" s="18" t="str">
        <f>IF($CF37=1,CC37,"")</f>
        <v/>
      </c>
      <c r="CQ37" s="18" t="str">
        <f>IF($CF37=1,CD37,"")</f>
        <v/>
      </c>
      <c r="CR37" s="18" t="str">
        <f>IF($CF37=1,CE37,"")</f>
        <v/>
      </c>
      <c r="CS37" s="30">
        <f>SUM(AE37:BO37)</f>
        <v>5</v>
      </c>
    </row>
    <row r="38" spans="1:97" x14ac:dyDescent="0.15">
      <c r="A38" s="18"/>
      <c r="B38" s="18" t="s">
        <v>104</v>
      </c>
      <c r="C38" s="18" t="s">
        <v>102</v>
      </c>
      <c r="D38" s="18" t="s">
        <v>98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18"/>
      <c r="AF38" s="18"/>
      <c r="AG38" s="18"/>
      <c r="AH38" s="18">
        <v>5</v>
      </c>
      <c r="AI38" s="18"/>
      <c r="AJ38" s="18"/>
      <c r="AK38" s="18"/>
      <c r="AL38" s="18"/>
      <c r="AM38" s="18"/>
      <c r="AN38" s="18"/>
      <c r="AO38" s="18"/>
      <c r="AP38" s="18"/>
      <c r="AQ38" s="20"/>
      <c r="AR38" s="20"/>
      <c r="AS38" s="20"/>
      <c r="AT38" s="20"/>
      <c r="AU38" s="20"/>
      <c r="AV38" s="20"/>
      <c r="AW38" s="21"/>
      <c r="AX38" s="21"/>
      <c r="AY38" s="21"/>
      <c r="AZ38" s="21"/>
      <c r="BA38" s="21"/>
      <c r="BB38" s="21"/>
      <c r="BC38" s="26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>
        <f>SUM(E38:BO38)</f>
        <v>5</v>
      </c>
      <c r="BQ38" s="18">
        <v>5</v>
      </c>
      <c r="BR38" s="22">
        <v>1</v>
      </c>
      <c r="BS38" s="22" t="s">
        <v>215</v>
      </c>
      <c r="BT38" s="18" t="str">
        <f>IF(AQ38&gt;AQ$116, AQ38-AQ$116,"")</f>
        <v/>
      </c>
      <c r="BU38" s="18" t="str">
        <f>IF(AR38&gt;AR$116, AR38-AR$116,"")</f>
        <v/>
      </c>
      <c r="BV38" s="18" t="str">
        <f>IF(AS38&gt;AS$116, AS38-AS$116,"")</f>
        <v/>
      </c>
      <c r="BW38" s="18" t="str">
        <f>IF(AT38&gt;AT$116, AT38-AT$116,"")</f>
        <v/>
      </c>
      <c r="BX38" s="18" t="str">
        <f>IF(AU38&gt;AU$116, AU38-AU$116,"")</f>
        <v/>
      </c>
      <c r="BY38" s="18" t="str">
        <f>IF(AV38&gt;AV$116, AV38-AV$116,"")</f>
        <v/>
      </c>
      <c r="BZ38" s="18" t="str">
        <f>IF(AW38&gt;AW$116, AW38-AW$116,"")</f>
        <v/>
      </c>
      <c r="CA38" s="18" t="str">
        <f>IF(AX38&gt;AX$116, AX38-AX$116,"")</f>
        <v/>
      </c>
      <c r="CB38" s="18" t="str">
        <f>IF(AY38&gt;AY$116, AY38-AY$116,"")</f>
        <v/>
      </c>
      <c r="CC38" s="18" t="str">
        <f>IF(AZ38&gt;AZ$116, AZ38-AZ$116,"")</f>
        <v/>
      </c>
      <c r="CD38" s="18" t="str">
        <f>IF(BA38&gt;BA$116, BA38-BA$116,"")</f>
        <v/>
      </c>
      <c r="CE38" s="18" t="str">
        <f>IF(BB38&gt;BB$116, BB38-BB$116,"")</f>
        <v/>
      </c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30"/>
    </row>
    <row r="39" spans="1:97" x14ac:dyDescent="0.15">
      <c r="A39" s="18"/>
      <c r="B39" s="18" t="s">
        <v>104</v>
      </c>
      <c r="C39" s="18" t="s">
        <v>102</v>
      </c>
      <c r="D39" s="18" t="s">
        <v>92</v>
      </c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18"/>
      <c r="AF39" s="18"/>
      <c r="AG39" s="18"/>
      <c r="AH39" s="18"/>
      <c r="AI39" s="18">
        <v>5</v>
      </c>
      <c r="AJ39" s="18"/>
      <c r="AK39" s="18"/>
      <c r="AL39" s="18"/>
      <c r="AM39" s="18"/>
      <c r="AN39" s="18"/>
      <c r="AO39" s="18"/>
      <c r="AP39" s="18"/>
      <c r="AQ39" s="20"/>
      <c r="AR39" s="20"/>
      <c r="AS39" s="20"/>
      <c r="AT39" s="20"/>
      <c r="AU39" s="20"/>
      <c r="AV39" s="20"/>
      <c r="AW39" s="21"/>
      <c r="AX39" s="21"/>
      <c r="AY39" s="21"/>
      <c r="AZ39" s="21"/>
      <c r="BA39" s="21"/>
      <c r="BB39" s="21"/>
      <c r="BC39" s="26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>
        <f>SUM(E39:BO39)</f>
        <v>5</v>
      </c>
      <c r="BQ39" s="18">
        <v>5</v>
      </c>
      <c r="BR39" s="22">
        <v>1</v>
      </c>
      <c r="BS39" s="22" t="s">
        <v>214</v>
      </c>
      <c r="BT39" s="18" t="str">
        <f>IF(AQ39&gt;AQ$116, AQ39-AQ$116,"")</f>
        <v/>
      </c>
      <c r="BU39" s="18" t="str">
        <f>IF(AR39&gt;AR$116, AR39-AR$116,"")</f>
        <v/>
      </c>
      <c r="BV39" s="18" t="str">
        <f>IF(AS39&gt;AS$116, AS39-AS$116,"")</f>
        <v/>
      </c>
      <c r="BW39" s="18" t="str">
        <f>IF(AT39&gt;AT$116, AT39-AT$116,"")</f>
        <v/>
      </c>
      <c r="BX39" s="18" t="str">
        <f>IF(AU39&gt;AU$116, AU39-AU$116,"")</f>
        <v/>
      </c>
      <c r="BY39" s="18" t="str">
        <f>IF(AV39&gt;AV$116, AV39-AV$116,"")</f>
        <v/>
      </c>
      <c r="BZ39" s="18" t="str">
        <f>IF(AW39&gt;AW$116, AW39-AW$116,"")</f>
        <v/>
      </c>
      <c r="CA39" s="18" t="str">
        <f>IF(AX39&gt;AX$116, AX39-AX$116,"")</f>
        <v/>
      </c>
      <c r="CB39" s="18" t="str">
        <f>IF(AY39&gt;AY$116, AY39-AY$116,"")</f>
        <v/>
      </c>
      <c r="CC39" s="18" t="str">
        <f>IF(AZ39&gt;AZ$116, AZ39-AZ$116,"")</f>
        <v/>
      </c>
      <c r="CD39" s="18" t="str">
        <f>IF(BA39&gt;BA$116, BA39-BA$116,"")</f>
        <v/>
      </c>
      <c r="CE39" s="18" t="str">
        <f>IF(BB39&gt;BB$116, BB39-BB$116,"")</f>
        <v/>
      </c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30"/>
    </row>
    <row r="40" spans="1:97" s="48" customFormat="1" x14ac:dyDescent="0.15">
      <c r="A40" s="40">
        <v>3</v>
      </c>
      <c r="B40" s="40" t="s">
        <v>9</v>
      </c>
      <c r="C40" s="40" t="s">
        <v>1</v>
      </c>
      <c r="D40" s="40" t="s">
        <v>10</v>
      </c>
      <c r="E40" s="41">
        <v>15</v>
      </c>
      <c r="F40" s="41"/>
      <c r="G40" s="41">
        <v>15</v>
      </c>
      <c r="H40" s="41"/>
      <c r="I40" s="41"/>
      <c r="J40" s="41"/>
      <c r="K40" s="41"/>
      <c r="L40" s="41"/>
      <c r="M40" s="41"/>
      <c r="N40" s="41"/>
      <c r="O40" s="41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3"/>
      <c r="AR40" s="43">
        <v>15</v>
      </c>
      <c r="AS40" s="43"/>
      <c r="AT40" s="43"/>
      <c r="AU40" s="43"/>
      <c r="AV40" s="43"/>
      <c r="AW40" s="44"/>
      <c r="AX40" s="44"/>
      <c r="AY40" s="44"/>
      <c r="AZ40" s="44"/>
      <c r="BA40" s="44"/>
      <c r="BB40" s="44">
        <v>15</v>
      </c>
      <c r="BC40" s="45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>
        <f>SUM(E40:BO40)</f>
        <v>60</v>
      </c>
      <c r="BQ40" s="40">
        <v>5</v>
      </c>
      <c r="BR40" s="46">
        <v>1</v>
      </c>
      <c r="BS40" s="46" t="s">
        <v>220</v>
      </c>
      <c r="BT40" s="40" t="str">
        <f>IF(AQ40&gt;AQ$116, AQ40-AQ$116,"")</f>
        <v/>
      </c>
      <c r="BU40" s="40" t="str">
        <f>IF(AR40&gt;AR$116, AR40-AR$116,"")</f>
        <v/>
      </c>
      <c r="BV40" s="40" t="str">
        <f>IF(AS40&gt;AS$116, AS40-AS$116,"")</f>
        <v/>
      </c>
      <c r="BW40" s="40" t="str">
        <f>IF(AT40&gt;AT$116, AT40-AT$116,"")</f>
        <v/>
      </c>
      <c r="BX40" s="40" t="str">
        <f>IF(AU40&gt;AU$116, AU40-AU$116,"")</f>
        <v/>
      </c>
      <c r="BY40" s="40" t="str">
        <f>IF(AV40&gt;AV$116, AV40-AV$116,"")</f>
        <v/>
      </c>
      <c r="BZ40" s="40" t="str">
        <f>IF(AW40&gt;AW$116, AW40-AW$116,"")</f>
        <v/>
      </c>
      <c r="CA40" s="40" t="str">
        <f>IF(AX40&gt;AX$116, AX40-AX$116,"")</f>
        <v/>
      </c>
      <c r="CB40" s="40" t="str">
        <f>IF(AY40&gt;AY$116, AY40-AY$116,"")</f>
        <v/>
      </c>
      <c r="CC40" s="40" t="str">
        <f>IF(AZ40&gt;AZ$116, AZ40-AZ$116,"")</f>
        <v/>
      </c>
      <c r="CD40" s="40" t="str">
        <f>IF(BA40&gt;BA$116, BA40-BA$116,"")</f>
        <v/>
      </c>
      <c r="CE40" s="40" t="str">
        <f>IF(BB40&gt;BB$116, BB40-BB$116,"")</f>
        <v/>
      </c>
      <c r="CF40" s="40">
        <f>COUNTIF(BT40:CE40, "&gt;0")</f>
        <v>0</v>
      </c>
      <c r="CG40" s="40" t="str">
        <f>IF($CF40=1,BT40,"")</f>
        <v/>
      </c>
      <c r="CH40" s="40" t="str">
        <f>IF($CF40=1,BU40,"")</f>
        <v/>
      </c>
      <c r="CI40" s="40" t="str">
        <f>IF($CF40=1,BV40,"")</f>
        <v/>
      </c>
      <c r="CJ40" s="40" t="str">
        <f>IF($CF40=1,BW40,"")</f>
        <v/>
      </c>
      <c r="CK40" s="40" t="str">
        <f>IF($CF40=1,BX40,"")</f>
        <v/>
      </c>
      <c r="CL40" s="40" t="str">
        <f>IF($CF40=1,BY40,"")</f>
        <v/>
      </c>
      <c r="CM40" s="40" t="str">
        <f>IF($CF40=1,BZ40,"")</f>
        <v/>
      </c>
      <c r="CN40" s="40" t="str">
        <f>IF($CF40=1,CA40,"")</f>
        <v/>
      </c>
      <c r="CO40" s="40" t="str">
        <f>IF($CF40=1,CB40,"")</f>
        <v/>
      </c>
      <c r="CP40" s="40" t="str">
        <f>IF($CF40=1,CC40,"")</f>
        <v/>
      </c>
      <c r="CQ40" s="40" t="str">
        <f>IF($CF40=1,CD40,"")</f>
        <v/>
      </c>
      <c r="CR40" s="40" t="str">
        <f>IF($CF40=1,CE40,"")</f>
        <v/>
      </c>
      <c r="CS40" s="47">
        <f>SUM(AE40:BO40)</f>
        <v>30</v>
      </c>
    </row>
    <row r="41" spans="1:97" x14ac:dyDescent="0.15">
      <c r="A41" s="1"/>
      <c r="B41" s="1" t="s">
        <v>156</v>
      </c>
      <c r="C41" s="1" t="s">
        <v>102</v>
      </c>
      <c r="D41" s="1" t="s">
        <v>91</v>
      </c>
      <c r="E41" s="6">
        <v>15</v>
      </c>
      <c r="F41" s="6"/>
      <c r="G41" s="6">
        <v>15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15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5</v>
      </c>
      <c r="BR41" s="17">
        <v>1</v>
      </c>
      <c r="BS41" s="17" t="s">
        <v>220</v>
      </c>
      <c r="BT41" s="1" t="str">
        <f>IF(AQ41&gt;AQ$116, AQ41-AQ$116,"")</f>
        <v/>
      </c>
      <c r="BU41" s="1" t="str">
        <f>IF(AR41&gt;AR$116, AR41-AR$116,"")</f>
        <v/>
      </c>
      <c r="BV41" s="1" t="str">
        <f>IF(AS41&gt;AS$116, AS41-AS$116,"")</f>
        <v/>
      </c>
      <c r="BW41" s="1" t="str">
        <f>IF(AT41&gt;AT$116, AT41-AT$116,"")</f>
        <v/>
      </c>
      <c r="BX41" s="1" t="str">
        <f>IF(AU41&gt;AU$116, AU41-AU$116,"")</f>
        <v/>
      </c>
      <c r="BY41" s="1" t="str">
        <f>IF(AV41&gt;AV$116, AV41-AV$116,"")</f>
        <v/>
      </c>
      <c r="BZ41" s="1" t="str">
        <f>IF(AW41&gt;AW$116, AW41-AW$116,"")</f>
        <v/>
      </c>
      <c r="CA41" s="1" t="str">
        <f>IF(AX41&gt;AX$116, AX41-AX$116,"")</f>
        <v/>
      </c>
      <c r="CB41" s="1" t="str">
        <f>IF(AY41&gt;AY$116, AY41-AY$116,"")</f>
        <v/>
      </c>
      <c r="CC41" s="1" t="str">
        <f>IF(AZ41&gt;AZ$116, AZ41-AZ$116,"")</f>
        <v/>
      </c>
      <c r="CD41" s="1" t="str">
        <f>IF(BA41&gt;BA$116, BA41-BA$116,"")</f>
        <v/>
      </c>
      <c r="CE41" s="1" t="str">
        <f>IF(BB41&gt;BB$116, BB41-BB$116,"")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s="48" customFormat="1" x14ac:dyDescent="0.15">
      <c r="A42" s="40"/>
      <c r="B42" s="40" t="s">
        <v>158</v>
      </c>
      <c r="C42" s="40" t="s">
        <v>102</v>
      </c>
      <c r="D42" s="40" t="s">
        <v>91</v>
      </c>
      <c r="E42" s="41">
        <v>15</v>
      </c>
      <c r="F42" s="41"/>
      <c r="G42" s="41">
        <v>15</v>
      </c>
      <c r="H42" s="41"/>
      <c r="I42" s="41"/>
      <c r="J42" s="41"/>
      <c r="K42" s="41"/>
      <c r="L42" s="41"/>
      <c r="M42" s="41"/>
      <c r="N42" s="41"/>
      <c r="O42" s="41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3"/>
      <c r="AR42" s="43">
        <v>15</v>
      </c>
      <c r="AS42" s="43"/>
      <c r="AT42" s="43"/>
      <c r="AU42" s="43"/>
      <c r="AV42" s="43"/>
      <c r="AW42" s="44"/>
      <c r="AX42" s="44"/>
      <c r="AY42" s="44"/>
      <c r="AZ42" s="44"/>
      <c r="BA42" s="44"/>
      <c r="BB42" s="44">
        <v>15</v>
      </c>
      <c r="BC42" s="45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>
        <f>SUM(E42:BO42)</f>
        <v>60</v>
      </c>
      <c r="BQ42" s="40">
        <v>5</v>
      </c>
      <c r="BR42" s="46">
        <v>1</v>
      </c>
      <c r="BS42" s="46" t="s">
        <v>241</v>
      </c>
      <c r="BT42" s="40" t="str">
        <f>IF(AQ42&gt;AQ$116, AQ42-AQ$116,"")</f>
        <v/>
      </c>
      <c r="BU42" s="40" t="str">
        <f>IF(AR42&gt;AR$116, AR42-AR$116,"")</f>
        <v/>
      </c>
      <c r="BV42" s="40" t="str">
        <f>IF(AS42&gt;AS$116, AS42-AS$116,"")</f>
        <v/>
      </c>
      <c r="BW42" s="40" t="str">
        <f>IF(AT42&gt;AT$116, AT42-AT$116,"")</f>
        <v/>
      </c>
      <c r="BX42" s="40" t="str">
        <f>IF(AU42&gt;AU$116, AU42-AU$116,"")</f>
        <v/>
      </c>
      <c r="BY42" s="40" t="str">
        <f>IF(AV42&gt;AV$116, AV42-AV$116,"")</f>
        <v/>
      </c>
      <c r="BZ42" s="40" t="str">
        <f>IF(AW42&gt;AW$116, AW42-AW$116,"")</f>
        <v/>
      </c>
      <c r="CA42" s="40" t="str">
        <f>IF(AX42&gt;AX$116, AX42-AX$116,"")</f>
        <v/>
      </c>
      <c r="CB42" s="40" t="str">
        <f>IF(AY42&gt;AY$116, AY42-AY$116,"")</f>
        <v/>
      </c>
      <c r="CC42" s="40" t="str">
        <f>IF(AZ42&gt;AZ$116, AZ42-AZ$116,"")</f>
        <v/>
      </c>
      <c r="CD42" s="40" t="str">
        <f>IF(BA42&gt;BA$116, BA42-BA$116,"")</f>
        <v/>
      </c>
      <c r="CE42" s="40" t="str">
        <f>IF(BB42&gt;BB$116, BB42-BB$116,"")</f>
        <v/>
      </c>
      <c r="CF42" s="40"/>
      <c r="CG42" s="40"/>
      <c r="CH42" s="40"/>
      <c r="CI42" s="40"/>
      <c r="CJ42" s="40"/>
      <c r="CK42" s="40"/>
      <c r="CL42" s="40"/>
      <c r="CM42" s="40"/>
      <c r="CN42" s="40"/>
      <c r="CO42" s="40"/>
      <c r="CP42" s="40"/>
      <c r="CQ42" s="40"/>
      <c r="CR42" s="40"/>
      <c r="CS42" s="47"/>
    </row>
    <row r="43" spans="1:97" x14ac:dyDescent="0.15">
      <c r="A43" s="1"/>
      <c r="B43" s="1" t="s">
        <v>163</v>
      </c>
      <c r="C43" s="1" t="s">
        <v>130</v>
      </c>
      <c r="D43" s="1" t="s">
        <v>109</v>
      </c>
      <c r="E43" s="6"/>
      <c r="F43" s="6"/>
      <c r="G43" s="6"/>
      <c r="H43" s="6"/>
      <c r="I43" s="6"/>
      <c r="J43" s="6">
        <v>10</v>
      </c>
      <c r="K43" s="6"/>
      <c r="L43" s="6">
        <v>10</v>
      </c>
      <c r="M43" s="6">
        <v>10</v>
      </c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>
        <v>15</v>
      </c>
      <c r="AZ43" s="2">
        <v>15</v>
      </c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60</v>
      </c>
      <c r="BQ43" s="1">
        <v>6</v>
      </c>
      <c r="BR43" s="17">
        <v>1</v>
      </c>
      <c r="BS43" s="17" t="s">
        <v>244</v>
      </c>
      <c r="BT43" s="1" t="str">
        <f>IF(AQ43&gt;AQ$116, AQ43-AQ$116,"")</f>
        <v/>
      </c>
      <c r="BU43" s="1" t="str">
        <f>IF(AR43&gt;AR$116, AR43-AR$116,"")</f>
        <v/>
      </c>
      <c r="BV43" s="1" t="str">
        <f>IF(AS43&gt;AS$116, AS43-AS$116,"")</f>
        <v/>
      </c>
      <c r="BW43" s="1" t="str">
        <f>IF(AT43&gt;AT$116, AT43-AT$116,"")</f>
        <v/>
      </c>
      <c r="BX43" s="1" t="str">
        <f>IF(AU43&gt;AU$116, AU43-AU$116,"")</f>
        <v/>
      </c>
      <c r="BY43" s="1" t="str">
        <f>IF(AV43&gt;AV$116, AV43-AV$116,"")</f>
        <v/>
      </c>
      <c r="BZ43" s="1" t="str">
        <f>IF(AW43&gt;AW$116, AW43-AW$116,"")</f>
        <v/>
      </c>
      <c r="CA43" s="1" t="str">
        <f>IF(AX43&gt;AX$116, AX43-AX$116,"")</f>
        <v/>
      </c>
      <c r="CB43" s="1" t="str">
        <f>IF(AY43&gt;AY$116, AY43-AY$116,"")</f>
        <v/>
      </c>
      <c r="CC43" s="1" t="str">
        <f>IF(AZ43&gt;AZ$116, AZ43-AZ$116,"")</f>
        <v/>
      </c>
      <c r="CD43" s="1" t="str">
        <f>IF(BA43&gt;BA$116, BA43-BA$116,"")</f>
        <v/>
      </c>
      <c r="CE43" s="1" t="str">
        <f>IF(BB43&gt;BB$116, BB43-BB$116,"")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x14ac:dyDescent="0.15">
      <c r="A44" s="1"/>
      <c r="B44" s="1" t="s">
        <v>152</v>
      </c>
      <c r="C44" s="1" t="s">
        <v>106</v>
      </c>
      <c r="D44" s="1" t="s">
        <v>91</v>
      </c>
      <c r="E44" s="6"/>
      <c r="F44" s="6"/>
      <c r="G44" s="6"/>
      <c r="H44" s="6"/>
      <c r="I44" s="6"/>
      <c r="J44" s="6"/>
      <c r="K44" s="6"/>
      <c r="L44" s="6">
        <v>20</v>
      </c>
      <c r="M44" s="6"/>
      <c r="N44" s="6"/>
      <c r="O44" s="6">
        <v>20</v>
      </c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>
        <v>20</v>
      </c>
      <c r="BB44" s="2">
        <v>20</v>
      </c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80</v>
      </c>
      <c r="BQ44" s="1">
        <v>7</v>
      </c>
      <c r="BR44" s="17">
        <v>1</v>
      </c>
      <c r="BS44" s="17" t="s">
        <v>243</v>
      </c>
      <c r="BT44" s="1" t="str">
        <f>IF(AQ44&gt;AQ$116, AQ44-AQ$116,"")</f>
        <v/>
      </c>
      <c r="BU44" s="1" t="str">
        <f>IF(AR44&gt;AR$116, AR44-AR$116,"")</f>
        <v/>
      </c>
      <c r="BV44" s="1" t="str">
        <f>IF(AS44&gt;AS$116, AS44-AS$116,"")</f>
        <v/>
      </c>
      <c r="BW44" s="1" t="str">
        <f>IF(AT44&gt;AT$116, AT44-AT$116,"")</f>
        <v/>
      </c>
      <c r="BX44" s="1" t="str">
        <f>IF(AU44&gt;AU$116, AU44-AU$116,"")</f>
        <v/>
      </c>
      <c r="BY44" s="1" t="str">
        <f>IF(AV44&gt;AV$116, AV44-AV$116,"")</f>
        <v/>
      </c>
      <c r="BZ44" s="1" t="str">
        <f>IF(AW44&gt;AW$116, AW44-AW$116,"")</f>
        <v/>
      </c>
      <c r="CA44" s="1" t="str">
        <f>IF(AX44&gt;AX$116, AX44-AX$116,"")</f>
        <v/>
      </c>
      <c r="CB44" s="1" t="str">
        <f>IF(AY44&gt;AY$116, AY44-AY$116,"")</f>
        <v/>
      </c>
      <c r="CC44" s="1" t="str">
        <f>IF(AZ44&gt;AZ$116, AZ44-AZ$116,"")</f>
        <v/>
      </c>
      <c r="CD44" s="1" t="str">
        <f>IF(BA44&gt;BA$116, BA44-BA$116,"")</f>
        <v/>
      </c>
      <c r="CE44" s="1" t="str">
        <f>IF(BB44&gt;BB$116, BB44-BB$116,"")</f>
        <v/>
      </c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x14ac:dyDescent="0.15">
      <c r="A45" s="1"/>
      <c r="B45" s="1" t="s">
        <v>167</v>
      </c>
      <c r="C45" s="1" t="s">
        <v>105</v>
      </c>
      <c r="D45" s="1" t="s">
        <v>91</v>
      </c>
      <c r="E45" s="6"/>
      <c r="F45" s="6"/>
      <c r="G45" s="6">
        <v>20</v>
      </c>
      <c r="H45" s="6">
        <v>20</v>
      </c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20</v>
      </c>
      <c r="BB45" s="2">
        <v>20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80</v>
      </c>
      <c r="BQ45" s="1">
        <v>7</v>
      </c>
      <c r="BR45" s="17">
        <v>1</v>
      </c>
      <c r="BS45" s="17" t="s">
        <v>259</v>
      </c>
      <c r="BT45" s="1" t="str">
        <f>IF(AQ45&gt;AQ$116, AQ45-AQ$116,"")</f>
        <v/>
      </c>
      <c r="BU45" s="1" t="str">
        <f>IF(AR45&gt;AR$116, AR45-AR$116,"")</f>
        <v/>
      </c>
      <c r="BV45" s="1" t="str">
        <f>IF(AS45&gt;AS$116, AS45-AS$116,"")</f>
        <v/>
      </c>
      <c r="BW45" s="1" t="str">
        <f>IF(AT45&gt;AT$116, AT45-AT$116,"")</f>
        <v/>
      </c>
      <c r="BX45" s="1" t="str">
        <f>IF(AU45&gt;AU$116, AU45-AU$116,"")</f>
        <v/>
      </c>
      <c r="BY45" s="1" t="str">
        <f>IF(AV45&gt;AV$116, AV45-AV$116,"")</f>
        <v/>
      </c>
      <c r="BZ45" s="1" t="str">
        <f>IF(AW45&gt;AW$116, AW45-AW$116,"")</f>
        <v/>
      </c>
      <c r="CA45" s="1" t="str">
        <f>IF(AX45&gt;AX$116, AX45-AX$116,"")</f>
        <v/>
      </c>
      <c r="CB45" s="1" t="str">
        <f>IF(AY45&gt;AY$116, AY45-AY$116,"")</f>
        <v/>
      </c>
      <c r="CC45" s="1" t="str">
        <f>IF(AZ45&gt;AZ$116, AZ45-AZ$116,"")</f>
        <v/>
      </c>
      <c r="CD45" s="1" t="str">
        <f>IF(BA45&gt;BA$116, BA45-BA$116,"")</f>
        <v/>
      </c>
      <c r="CE45" s="1" t="str">
        <f>IF(BB45&gt;BB$116, BB45-BB$116,"")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x14ac:dyDescent="0.15">
      <c r="A46" s="1"/>
      <c r="B46" s="1" t="s">
        <v>166</v>
      </c>
      <c r="C46" s="1" t="s">
        <v>90</v>
      </c>
      <c r="D46" s="1" t="s">
        <v>91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>
        <v>15</v>
      </c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>
        <v>15</v>
      </c>
      <c r="BC46" s="14"/>
      <c r="BD46" s="1"/>
      <c r="BE46" s="1"/>
      <c r="BF46" s="1"/>
      <c r="BG46" s="1"/>
      <c r="BH46" s="1">
        <v>15</v>
      </c>
      <c r="BI46" s="1">
        <v>15</v>
      </c>
      <c r="BJ46" s="1"/>
      <c r="BK46" s="1"/>
      <c r="BL46" s="1"/>
      <c r="BM46" s="1"/>
      <c r="BN46" s="1"/>
      <c r="BO46" s="1"/>
      <c r="BP46" s="1">
        <f>SUM(E46:BO46)</f>
        <v>60</v>
      </c>
      <c r="BQ46" s="1">
        <v>9</v>
      </c>
      <c r="BR46" s="17">
        <v>1</v>
      </c>
      <c r="BS46" s="17" t="s">
        <v>242</v>
      </c>
      <c r="BT46" s="1" t="str">
        <f>IF(AQ46&gt;AQ$116, AQ46-AQ$116,"")</f>
        <v/>
      </c>
      <c r="BU46" s="1" t="str">
        <f>IF(AR46&gt;AR$116, AR46-AR$116,"")</f>
        <v/>
      </c>
      <c r="BV46" s="1" t="str">
        <f>IF(AS46&gt;AS$116, AS46-AS$116,"")</f>
        <v/>
      </c>
      <c r="BW46" s="1" t="str">
        <f>IF(AT46&gt;AT$116, AT46-AT$116,"")</f>
        <v/>
      </c>
      <c r="BX46" s="1" t="str">
        <f>IF(AU46&gt;AU$116, AU46-AU$116,"")</f>
        <v/>
      </c>
      <c r="BY46" s="1" t="str">
        <f>IF(AV46&gt;AV$116, AV46-AV$116,"")</f>
        <v/>
      </c>
      <c r="BZ46" s="1" t="str">
        <f>IF(AW46&gt;AW$116, AW46-AW$116,"")</f>
        <v/>
      </c>
      <c r="CA46" s="1" t="str">
        <f>IF(AX46&gt;AX$116, AX46-AX$116,"")</f>
        <v/>
      </c>
      <c r="CB46" s="1" t="str">
        <f>IF(AY46&gt;AY$116, AY46-AY$116,"")</f>
        <v/>
      </c>
      <c r="CC46" s="1" t="str">
        <f>IF(AZ46&gt;AZ$116, AZ46-AZ$116,"")</f>
        <v/>
      </c>
      <c r="CD46" s="1" t="str">
        <f>IF(BA46&gt;BA$116, BA46-BA$116,"")</f>
        <v/>
      </c>
      <c r="CE46" s="1" t="str">
        <f>IF(BB46&gt;BB$116, BB46-BB$116,"")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x14ac:dyDescent="0.15">
      <c r="A47" s="18">
        <v>64</v>
      </c>
      <c r="B47" s="24" t="s">
        <v>53</v>
      </c>
      <c r="C47" s="18" t="s">
        <v>48</v>
      </c>
      <c r="D47" s="18" t="s">
        <v>0</v>
      </c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18"/>
      <c r="AF47" s="18"/>
      <c r="AG47" s="18"/>
      <c r="AH47" s="18"/>
      <c r="AI47" s="18"/>
      <c r="AJ47" s="18"/>
      <c r="AK47" s="18"/>
      <c r="AL47" s="18"/>
      <c r="AM47" s="18"/>
      <c r="AN47" s="18">
        <v>15</v>
      </c>
      <c r="AO47" s="18"/>
      <c r="AP47" s="18"/>
      <c r="AQ47" s="20"/>
      <c r="AR47" s="20"/>
      <c r="AS47" s="20"/>
      <c r="AT47" s="20"/>
      <c r="AU47" s="20"/>
      <c r="AV47" s="20"/>
      <c r="AW47" s="21"/>
      <c r="AX47" s="21"/>
      <c r="AY47" s="21"/>
      <c r="AZ47" s="21"/>
      <c r="BA47" s="21"/>
      <c r="BB47" s="21"/>
      <c r="BC47" s="26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>
        <f>SUM(E47:BO47)</f>
        <v>15</v>
      </c>
      <c r="BQ47" s="18">
        <v>15</v>
      </c>
      <c r="BR47" s="22">
        <v>1</v>
      </c>
      <c r="BS47" s="22" t="s">
        <v>217</v>
      </c>
      <c r="BT47" s="18" t="str">
        <f>IF(AQ47&gt;AQ$116, AQ47-AQ$116,"")</f>
        <v/>
      </c>
      <c r="BU47" s="18" t="str">
        <f>IF(AR47&gt;AR$116, AR47-AR$116,"")</f>
        <v/>
      </c>
      <c r="BV47" s="18" t="str">
        <f>IF(AS47&gt;AS$116, AS47-AS$116,"")</f>
        <v/>
      </c>
      <c r="BW47" s="18" t="str">
        <f>IF(AT47&gt;AT$116, AT47-AT$116,"")</f>
        <v/>
      </c>
      <c r="BX47" s="18" t="str">
        <f>IF(AU47&gt;AU$116, AU47-AU$116,"")</f>
        <v/>
      </c>
      <c r="BY47" s="18" t="str">
        <f>IF(AV47&gt;AV$116, AV47-AV$116,"")</f>
        <v/>
      </c>
      <c r="BZ47" s="18" t="str">
        <f>IF(AW47&gt;AW$116, AW47-AW$116,"")</f>
        <v/>
      </c>
      <c r="CA47" s="18" t="str">
        <f>IF(AX47&gt;AX$116, AX47-AX$116,"")</f>
        <v/>
      </c>
      <c r="CB47" s="18" t="str">
        <f>IF(AY47&gt;AY$116, AY47-AY$116,"")</f>
        <v/>
      </c>
      <c r="CC47" s="18" t="str">
        <f>IF(AZ47&gt;AZ$116, AZ47-AZ$116,"")</f>
        <v/>
      </c>
      <c r="CD47" s="18" t="str">
        <f>IF(BA47&gt;BA$116, BA47-BA$116,"")</f>
        <v/>
      </c>
      <c r="CE47" s="18" t="str">
        <f>IF(BB47&gt;BB$116, BB47-BB$116,"")</f>
        <v/>
      </c>
      <c r="CF47" s="18">
        <f>COUNTIF(BT47:CE47, "&gt;0")</f>
        <v>0</v>
      </c>
      <c r="CG47" s="18" t="str">
        <f>IF($CF47=1,BT47,"")</f>
        <v/>
      </c>
      <c r="CH47" s="18" t="str">
        <f>IF($CF47=1,BU47,"")</f>
        <v/>
      </c>
      <c r="CI47" s="18" t="str">
        <f>IF($CF47=1,BV47,"")</f>
        <v/>
      </c>
      <c r="CJ47" s="18" t="str">
        <f>IF($CF47=1,BW47,"")</f>
        <v/>
      </c>
      <c r="CK47" s="18" t="str">
        <f>IF($CF47=1,BX47,"")</f>
        <v/>
      </c>
      <c r="CL47" s="18" t="str">
        <f>IF($CF47=1,BY47,"")</f>
        <v/>
      </c>
      <c r="CM47" s="18" t="str">
        <f>IF($CF47=1,BZ47,"")</f>
        <v/>
      </c>
      <c r="CN47" s="18" t="str">
        <f>IF($CF47=1,CA47,"")</f>
        <v/>
      </c>
      <c r="CO47" s="18" t="str">
        <f>IF($CF47=1,CB47,"")</f>
        <v/>
      </c>
      <c r="CP47" s="18" t="str">
        <f>IF($CF47=1,CC47,"")</f>
        <v/>
      </c>
      <c r="CQ47" s="18" t="str">
        <f>IF($CF47=1,CD47,"")</f>
        <v/>
      </c>
      <c r="CR47" s="18" t="str">
        <f>IF($CF47=1,CE47,"")</f>
        <v/>
      </c>
      <c r="CS47" s="24">
        <f>SUM(AE47:BO47)</f>
        <v>15</v>
      </c>
    </row>
    <row r="48" spans="1:97" x14ac:dyDescent="0.15">
      <c r="A48" s="1">
        <v>98</v>
      </c>
      <c r="B48" s="3" t="s">
        <v>153</v>
      </c>
      <c r="C48" s="3" t="s">
        <v>58</v>
      </c>
      <c r="D48" s="1" t="s"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>
        <v>50</v>
      </c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50</v>
      </c>
      <c r="BQ48" s="1">
        <v>46</v>
      </c>
      <c r="BR48" s="17">
        <v>1</v>
      </c>
      <c r="BS48" s="17" t="s">
        <v>245</v>
      </c>
      <c r="BT48" s="1" t="str">
        <f>IF(AQ48&gt;AQ$116, AQ48-AQ$116,"")</f>
        <v/>
      </c>
      <c r="BU48" s="1" t="str">
        <f>IF(AR48&gt;AR$116, AR48-AR$116,"")</f>
        <v/>
      </c>
      <c r="BV48" s="1" t="str">
        <f>IF(AS48&gt;AS$116, AS48-AS$116,"")</f>
        <v/>
      </c>
      <c r="BW48" s="1" t="str">
        <f>IF(AT48&gt;AT$116, AT48-AT$116,"")</f>
        <v/>
      </c>
      <c r="BX48" s="1" t="str">
        <f>IF(AU48&gt;AU$116, AU48-AU$116,"")</f>
        <v/>
      </c>
      <c r="BY48" s="1" t="str">
        <f>IF(AV48&gt;AV$116, AV48-AV$116,"")</f>
        <v/>
      </c>
      <c r="BZ48" s="1" t="str">
        <f>IF(AW48&gt;AW$116, AW48-AW$116,"")</f>
        <v/>
      </c>
      <c r="CA48" s="1" t="str">
        <f>IF(AX48&gt;AX$116, AX48-AX$116,"")</f>
        <v/>
      </c>
      <c r="CB48" s="1" t="str">
        <f>IF(AY48&gt;AY$116, AY48-AY$116,"")</f>
        <v/>
      </c>
      <c r="CC48" s="1" t="str">
        <f>IF(AZ48&gt;AZ$116, AZ48-AZ$116,"")</f>
        <v/>
      </c>
      <c r="CD48" s="1" t="str">
        <f>IF(BA48&gt;BA$116, BA48-BA$116,"")</f>
        <v/>
      </c>
      <c r="CE48" s="1" t="str">
        <f>IF(BB48&gt;BB$116, BB48-BB$116,"")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50</v>
      </c>
    </row>
    <row r="49" spans="1:97" x14ac:dyDescent="0.15">
      <c r="A49" s="1">
        <v>99</v>
      </c>
      <c r="B49" s="3" t="s">
        <v>153</v>
      </c>
      <c r="C49" s="3" t="s">
        <v>58</v>
      </c>
      <c r="D49" s="1" t="s">
        <v>11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>
        <v>200</v>
      </c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200</v>
      </c>
      <c r="BQ49" s="1">
        <v>196</v>
      </c>
      <c r="BR49" s="17">
        <v>1</v>
      </c>
      <c r="BS49" s="17" t="s">
        <v>221</v>
      </c>
      <c r="BT49" s="1" t="str">
        <f>IF(AQ49&gt;AQ$116, AQ49-AQ$116,"")</f>
        <v/>
      </c>
      <c r="BU49" s="1" t="str">
        <f>IF(AR49&gt;AR$116, AR49-AR$116,"")</f>
        <v/>
      </c>
      <c r="BV49" s="1" t="str">
        <f>IF(AS49&gt;AS$116, AS49-AS$116,"")</f>
        <v/>
      </c>
      <c r="BW49" s="1" t="str">
        <f>IF(AT49&gt;AT$116, AT49-AT$116,"")</f>
        <v/>
      </c>
      <c r="BX49" s="1" t="str">
        <f>IF(AU49&gt;AU$116, AU49-AU$116,"")</f>
        <v/>
      </c>
      <c r="BY49" s="1" t="str">
        <f>IF(AV49&gt;AV$116, AV49-AV$116,"")</f>
        <v/>
      </c>
      <c r="BZ49" s="1" t="str">
        <f>IF(AW49&gt;AW$116, AW49-AW$116,"")</f>
        <v/>
      </c>
      <c r="CA49" s="1" t="str">
        <f>IF(AX49&gt;AX$116, AX49-AX$116,"")</f>
        <v/>
      </c>
      <c r="CB49" s="1" t="str">
        <f>IF(AY49&gt;AY$116, AY49-AY$116,"")</f>
        <v/>
      </c>
      <c r="CC49" s="1" t="str">
        <f>IF(AZ49&gt;AZ$116, AZ49-AZ$116,"")</f>
        <v/>
      </c>
      <c r="CD49" s="1" t="str">
        <f>IF(BA49&gt;BA$116, BA49-BA$116,"")</f>
        <v/>
      </c>
      <c r="CE49" s="1" t="str">
        <f>IF(BB49&gt;BB$116, BB49-BB$116,"")</f>
        <v/>
      </c>
      <c r="CF49" s="1">
        <f>COUNTIF(BT49:CE49, "&gt;0")</f>
        <v>0</v>
      </c>
      <c r="CG49" s="1" t="str">
        <f>IF($CF49=1,BT49,"")</f>
        <v/>
      </c>
      <c r="CH49" s="1" t="str">
        <f>IF($CF49=1,BU49,"")</f>
        <v/>
      </c>
      <c r="CI49" s="1" t="str">
        <f>IF($CF49=1,BV49,"")</f>
        <v/>
      </c>
      <c r="CJ49" s="1" t="str">
        <f>IF($CF49=1,BW49,"")</f>
        <v/>
      </c>
      <c r="CK49" s="1" t="str">
        <f>IF($CF49=1,BX49,"")</f>
        <v/>
      </c>
      <c r="CL49" s="1" t="str">
        <f>IF($CF49=1,BY49,"")</f>
        <v/>
      </c>
      <c r="CM49" s="1" t="str">
        <f>IF($CF49=1,BZ49,"")</f>
        <v/>
      </c>
      <c r="CN49" s="1" t="str">
        <f>IF($CF49=1,CA49,"")</f>
        <v/>
      </c>
      <c r="CO49" s="1" t="str">
        <f>IF($CF49=1,CB49,"")</f>
        <v/>
      </c>
      <c r="CP49" s="1" t="str">
        <f>IF($CF49=1,CC49,"")</f>
        <v/>
      </c>
      <c r="CQ49" s="1" t="str">
        <f>IF($CF49=1,CD49,"")</f>
        <v/>
      </c>
      <c r="CR49" s="1" t="str">
        <f>IF($CF49=1,CE49,"")</f>
        <v/>
      </c>
      <c r="CS49" s="3">
        <f>SUM(AE49:BO49)</f>
        <v>200</v>
      </c>
    </row>
    <row r="50" spans="1:97" ht="27" x14ac:dyDescent="0.15">
      <c r="A50" s="1">
        <v>45</v>
      </c>
      <c r="B50" s="1" t="s">
        <v>89</v>
      </c>
      <c r="C50" s="1" t="s">
        <v>40</v>
      </c>
      <c r="D50" s="1" t="s">
        <v>11</v>
      </c>
      <c r="E50" s="6">
        <v>6</v>
      </c>
      <c r="F50" s="6"/>
      <c r="G50" s="6"/>
      <c r="H50" s="6"/>
      <c r="I50" s="6"/>
      <c r="J50" s="6"/>
      <c r="K50" s="6"/>
      <c r="L50" s="6"/>
      <c r="M50" s="6">
        <v>6</v>
      </c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>
        <v>10</v>
      </c>
      <c r="AR50" s="4"/>
      <c r="AS50" s="4"/>
      <c r="AT50" s="4"/>
      <c r="AU50" s="4"/>
      <c r="AV50" s="4"/>
      <c r="AW50" s="2"/>
      <c r="AX50" s="2"/>
      <c r="AY50" s="2"/>
      <c r="AZ50" s="2">
        <v>10</v>
      </c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5</v>
      </c>
      <c r="BR50" s="17">
        <v>2</v>
      </c>
      <c r="BS50" s="17" t="s">
        <v>256</v>
      </c>
      <c r="BT50" s="1" t="str">
        <f>IF(AQ50&gt;AQ$116, AQ50-AQ$116,"")</f>
        <v/>
      </c>
      <c r="BU50" s="1" t="str">
        <f>IF(AR50&gt;AR$116, AR50-AR$116,"")</f>
        <v/>
      </c>
      <c r="BV50" s="1" t="str">
        <f>IF(AS50&gt;AS$116, AS50-AS$116,"")</f>
        <v/>
      </c>
      <c r="BW50" s="1" t="str">
        <f>IF(AT50&gt;AT$116, AT50-AT$116,"")</f>
        <v/>
      </c>
      <c r="BX50" s="1" t="str">
        <f>IF(AU50&gt;AU$116, AU50-AU$116,"")</f>
        <v/>
      </c>
      <c r="BY50" s="1" t="str">
        <f>IF(AV50&gt;AV$116, AV50-AV$116,"")</f>
        <v/>
      </c>
      <c r="BZ50" s="1" t="str">
        <f>IF(AW50&gt;AW$116, AW50-AW$116,"")</f>
        <v/>
      </c>
      <c r="CA50" s="1" t="str">
        <f>IF(AX50&gt;AX$116, AX50-AX$116,"")</f>
        <v/>
      </c>
      <c r="CB50" s="1" t="str">
        <f>IF(AY50&gt;AY$116, AY50-AY$116,"")</f>
        <v/>
      </c>
      <c r="CC50" s="1" t="str">
        <f>IF(AZ50&gt;AZ$116, AZ50-AZ$116,"")</f>
        <v/>
      </c>
      <c r="CD50" s="1" t="str">
        <f>IF(BA50&gt;BA$116, BA50-BA$116,"")</f>
        <v/>
      </c>
      <c r="CE50" s="1" t="str">
        <f>IF(BB50&gt;BB$116, BB50-BB$116,"")</f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3">
        <f>SUM(AE50:BO50)</f>
        <v>20</v>
      </c>
    </row>
    <row r="51" spans="1:97" ht="27" x14ac:dyDescent="0.15">
      <c r="A51" s="1"/>
      <c r="B51" s="1" t="s">
        <v>101</v>
      </c>
      <c r="C51" s="1" t="s">
        <v>94</v>
      </c>
      <c r="D51" s="1" t="s">
        <v>91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>
        <v>5</v>
      </c>
      <c r="AP51" s="1">
        <v>1</v>
      </c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6</v>
      </c>
      <c r="BQ51" s="1">
        <v>6</v>
      </c>
      <c r="BR51" s="17">
        <v>2</v>
      </c>
      <c r="BS51" s="17" t="s">
        <v>246</v>
      </c>
      <c r="BT51" s="1" t="str">
        <f>IF(AQ51&gt;AQ$116, AQ51-AQ$116,"")</f>
        <v/>
      </c>
      <c r="BU51" s="1" t="str">
        <f>IF(AR51&gt;AR$116, AR51-AR$116,"")</f>
        <v/>
      </c>
      <c r="BV51" s="1" t="str">
        <f>IF(AS51&gt;AS$116, AS51-AS$116,"")</f>
        <v/>
      </c>
      <c r="BW51" s="1" t="str">
        <f>IF(AT51&gt;AT$116, AT51-AT$116,"")</f>
        <v/>
      </c>
      <c r="BX51" s="1" t="str">
        <f>IF(AU51&gt;AU$116, AU51-AU$116,"")</f>
        <v/>
      </c>
      <c r="BY51" s="1" t="str">
        <f>IF(AV51&gt;AV$116, AV51-AV$116,"")</f>
        <v/>
      </c>
      <c r="BZ51" s="1" t="str">
        <f>IF(AW51&gt;AW$116, AW51-AW$116,"")</f>
        <v/>
      </c>
      <c r="CA51" s="1" t="str">
        <f>IF(AX51&gt;AX$116, AX51-AX$116,"")</f>
        <v/>
      </c>
      <c r="CB51" s="1" t="str">
        <f>IF(AY51&gt;AY$116, AY51-AY$116,"")</f>
        <v/>
      </c>
      <c r="CC51" s="1" t="str">
        <f>IF(AZ51&gt;AZ$116, AZ51-AZ$116,"")</f>
        <v/>
      </c>
      <c r="CD51" s="1" t="str">
        <f>IF(BA51&gt;BA$116, BA51-BA$116,"")</f>
        <v/>
      </c>
      <c r="CE51" s="1" t="str">
        <f>IF(BB51&gt;BB$116, BB51-BB$116,"")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194</v>
      </c>
      <c r="C52" s="1" t="s">
        <v>27</v>
      </c>
      <c r="D52" s="1" t="s">
        <v>21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>
        <v>5</v>
      </c>
      <c r="AP52" s="1">
        <v>1</v>
      </c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6</v>
      </c>
      <c r="BQ52" s="1">
        <v>6</v>
      </c>
      <c r="BR52" s="17">
        <v>2</v>
      </c>
      <c r="BS52" s="17" t="s">
        <v>246</v>
      </c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164</v>
      </c>
      <c r="C53" s="1" t="s">
        <v>130</v>
      </c>
      <c r="D53" s="1" t="s">
        <v>109</v>
      </c>
      <c r="E53" s="6">
        <v>15</v>
      </c>
      <c r="F53" s="6"/>
      <c r="G53" s="6"/>
      <c r="H53" s="6"/>
      <c r="I53" s="6"/>
      <c r="J53" s="6"/>
      <c r="K53" s="6"/>
      <c r="L53" s="6"/>
      <c r="M53" s="6">
        <v>15</v>
      </c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>
        <v>15</v>
      </c>
      <c r="AX53" s="2"/>
      <c r="AY53" s="2"/>
      <c r="AZ53" s="2"/>
      <c r="BA53" s="2">
        <v>15</v>
      </c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60</v>
      </c>
      <c r="BQ53" s="1">
        <v>7</v>
      </c>
      <c r="BR53" s="17">
        <v>2</v>
      </c>
      <c r="BS53" s="17" t="s">
        <v>254</v>
      </c>
      <c r="BT53" s="1" t="str">
        <f>IF(AQ53&gt;AQ$116, AQ53-AQ$116,"")</f>
        <v/>
      </c>
      <c r="BU53" s="1" t="str">
        <f>IF(AR53&gt;AR$116, AR53-AR$116,"")</f>
        <v/>
      </c>
      <c r="BV53" s="1" t="str">
        <f>IF(AS53&gt;AS$116, AS53-AS$116,"")</f>
        <v/>
      </c>
      <c r="BW53" s="1" t="str">
        <f>IF(AT53&gt;AT$116, AT53-AT$116,"")</f>
        <v/>
      </c>
      <c r="BX53" s="1" t="str">
        <f>IF(AU53&gt;AU$116, AU53-AU$116,"")</f>
        <v/>
      </c>
      <c r="BY53" s="1" t="str">
        <f>IF(AV53&gt;AV$116, AV53-AV$116,"")</f>
        <v/>
      </c>
      <c r="BZ53" s="1" t="str">
        <f>IF(AW53&gt;AW$116, AW53-AW$116,"")</f>
        <v/>
      </c>
      <c r="CA53" s="1" t="str">
        <f>IF(AX53&gt;AX$116, AX53-AX$116,"")</f>
        <v/>
      </c>
      <c r="CB53" s="1" t="str">
        <f>IF(AY53&gt;AY$116, AY53-AY$116,"")</f>
        <v/>
      </c>
      <c r="CC53" s="1" t="str">
        <f>IF(AZ53&gt;AZ$116, AZ53-AZ$116,"")</f>
        <v/>
      </c>
      <c r="CD53" s="1" t="str">
        <f>IF(BA53&gt;BA$116, BA53-BA$116,"")</f>
        <v/>
      </c>
      <c r="CE53" s="1" t="str">
        <f>IF(BB53&gt;BB$116, BB53-BB$116,"")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/>
      <c r="B54" s="1" t="s">
        <v>97</v>
      </c>
      <c r="C54" s="1" t="s">
        <v>94</v>
      </c>
      <c r="D54" s="1" t="s">
        <v>98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>
        <v>3</v>
      </c>
      <c r="AP54" s="1">
        <v>5</v>
      </c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8</v>
      </c>
      <c r="BQ54" s="1">
        <v>8</v>
      </c>
      <c r="BR54" s="17">
        <v>2</v>
      </c>
      <c r="BS54" s="17" t="s">
        <v>249</v>
      </c>
      <c r="BT54" s="1" t="str">
        <f>IF(AQ54&gt;AQ$116, AQ54-AQ$116,"")</f>
        <v/>
      </c>
      <c r="BU54" s="1" t="str">
        <f>IF(AR54&gt;AR$116, AR54-AR$116,"")</f>
        <v/>
      </c>
      <c r="BV54" s="1" t="str">
        <f>IF(AS54&gt;AS$116, AS54-AS$116,"")</f>
        <v/>
      </c>
      <c r="BW54" s="1" t="str">
        <f>IF(AT54&gt;AT$116, AT54-AT$116,"")</f>
        <v/>
      </c>
      <c r="BX54" s="1" t="str">
        <f>IF(AU54&gt;AU$116, AU54-AU$116,"")</f>
        <v/>
      </c>
      <c r="BY54" s="1" t="str">
        <f>IF(AV54&gt;AV$116, AV54-AV$116,"")</f>
        <v/>
      </c>
      <c r="BZ54" s="1" t="str">
        <f>IF(AW54&gt;AW$116, AW54-AW$116,"")</f>
        <v/>
      </c>
      <c r="CA54" s="1" t="str">
        <f>IF(AX54&gt;AX$116, AX54-AX$116,"")</f>
        <v/>
      </c>
      <c r="CB54" s="1" t="str">
        <f>IF(AY54&gt;AY$116, AY54-AY$116,"")</f>
        <v/>
      </c>
      <c r="CC54" s="1" t="str">
        <f>IF(AZ54&gt;AZ$116, AZ54-AZ$116,"")</f>
        <v/>
      </c>
      <c r="CD54" s="1" t="str">
        <f>IF(BA54&gt;BA$116, BA54-BA$116,"")</f>
        <v/>
      </c>
      <c r="CE54" s="1" t="str">
        <f>IF(BB54&gt;BB$116, BB54-BB$116,"")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s="48" customFormat="1" ht="27" x14ac:dyDescent="0.15">
      <c r="A55" s="1"/>
      <c r="B55" s="1" t="s">
        <v>119</v>
      </c>
      <c r="C55" s="1" t="s">
        <v>107</v>
      </c>
      <c r="D55" s="1" t="s">
        <v>109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8</v>
      </c>
      <c r="BR55" s="17">
        <v>2</v>
      </c>
      <c r="BS55" s="17" t="s">
        <v>250</v>
      </c>
      <c r="BT55" s="1" t="str">
        <f>IF(AQ55&gt;AQ$116, AQ55-AQ$116,"")</f>
        <v/>
      </c>
      <c r="BU55" s="1" t="str">
        <f>IF(AR55&gt;AR$116, AR55-AR$116,"")</f>
        <v/>
      </c>
      <c r="BV55" s="1" t="str">
        <f>IF(AS55&gt;AS$116, AS55-AS$116,"")</f>
        <v/>
      </c>
      <c r="BW55" s="1" t="str">
        <f>IF(AT55&gt;AT$116, AT55-AT$116,"")</f>
        <v/>
      </c>
      <c r="BX55" s="1" t="str">
        <f>IF(AU55&gt;AU$116, AU55-AU$116,"")</f>
        <v/>
      </c>
      <c r="BY55" s="1" t="str">
        <f>IF(AV55&gt;AV$116, AV55-AV$116,"")</f>
        <v/>
      </c>
      <c r="BZ55" s="1" t="str">
        <f>IF(AW55&gt;AW$116, AW55-AW$116,"")</f>
        <v/>
      </c>
      <c r="CA55" s="1" t="str">
        <f>IF(AX55&gt;AX$116, AX55-AX$116,"")</f>
        <v/>
      </c>
      <c r="CB55" s="1" t="str">
        <f>IF(AY55&gt;AY$116, AY55-AY$116,"")</f>
        <v/>
      </c>
      <c r="CC55" s="1" t="str">
        <f>IF(AZ55&gt;AZ$116, AZ55-AZ$116,"")</f>
        <v/>
      </c>
      <c r="CD55" s="1" t="str">
        <f>IF(BA55&gt;BA$116, BA55-BA$116,"")</f>
        <v/>
      </c>
      <c r="CE55" s="1" t="str">
        <f>IF(BB55&gt;BB$116, BB55-BB$116,"")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124</v>
      </c>
      <c r="C56" s="1" t="s">
        <v>107</v>
      </c>
      <c r="D56" s="1" t="s">
        <v>109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8</v>
      </c>
      <c r="BR56" s="17">
        <v>2</v>
      </c>
      <c r="BS56" s="17" t="s">
        <v>250</v>
      </c>
      <c r="BT56" s="1" t="str">
        <f>IF(AQ56&gt;AQ$116, AQ56-AQ$116,"")</f>
        <v/>
      </c>
      <c r="BU56" s="1" t="str">
        <f>IF(AR56&gt;AR$116, AR56-AR$116,"")</f>
        <v/>
      </c>
      <c r="BV56" s="1" t="str">
        <f>IF(AS56&gt;AS$116, AS56-AS$116,"")</f>
        <v/>
      </c>
      <c r="BW56" s="1" t="str">
        <f>IF(AT56&gt;AT$116, AT56-AT$116,"")</f>
        <v/>
      </c>
      <c r="BX56" s="1" t="str">
        <f>IF(AU56&gt;AU$116, AU56-AU$116,"")</f>
        <v/>
      </c>
      <c r="BY56" s="1" t="str">
        <f>IF(AV56&gt;AV$116, AV56-AV$116,"")</f>
        <v/>
      </c>
      <c r="BZ56" s="1" t="str">
        <f>IF(AW56&gt;AW$116, AW56-AW$116,"")</f>
        <v/>
      </c>
      <c r="CA56" s="1" t="str">
        <f>IF(AX56&gt;AX$116, AX56-AX$116,"")</f>
        <v/>
      </c>
      <c r="CB56" s="1" t="str">
        <f>IF(AY56&gt;AY$116, AY56-AY$116,"")</f>
        <v/>
      </c>
      <c r="CC56" s="1" t="str">
        <f>IF(AZ56&gt;AZ$116, AZ56-AZ$116,"")</f>
        <v/>
      </c>
      <c r="CD56" s="1" t="str">
        <f>IF(BA56&gt;BA$116, BA56-BA$116,"")</f>
        <v/>
      </c>
      <c r="CE56" s="1" t="str">
        <f>IF(BB56&gt;BB$116, BB56-BB$116,"")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132</v>
      </c>
      <c r="C57" s="1" t="s">
        <v>130</v>
      </c>
      <c r="D57" s="1" t="s">
        <v>109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8</v>
      </c>
      <c r="BR57" s="17">
        <v>2</v>
      </c>
      <c r="BS57" s="17" t="s">
        <v>198</v>
      </c>
      <c r="BT57" s="1" t="str">
        <f>IF(AQ57&gt;AQ$116, AQ57-AQ$116,"")</f>
        <v/>
      </c>
      <c r="BU57" s="1" t="str">
        <f>IF(AR57&gt;AR$116, AR57-AR$116,"")</f>
        <v/>
      </c>
      <c r="BV57" s="1" t="str">
        <f>IF(AS57&gt;AS$116, AS57-AS$116,"")</f>
        <v/>
      </c>
      <c r="BW57" s="1" t="str">
        <f>IF(AT57&gt;AT$116, AT57-AT$116,"")</f>
        <v/>
      </c>
      <c r="BX57" s="1" t="str">
        <f>IF(AU57&gt;AU$116, AU57-AU$116,"")</f>
        <v/>
      </c>
      <c r="BY57" s="1" t="str">
        <f>IF(AV57&gt;AV$116, AV57-AV$116,"")</f>
        <v/>
      </c>
      <c r="BZ57" s="1" t="str">
        <f>IF(AW57&gt;AW$116, AW57-AW$116,"")</f>
        <v/>
      </c>
      <c r="CA57" s="1" t="str">
        <f>IF(AX57&gt;AX$116, AX57-AX$116,"")</f>
        <v/>
      </c>
      <c r="CB57" s="1" t="str">
        <f>IF(AY57&gt;AY$116, AY57-AY$116,"")</f>
        <v/>
      </c>
      <c r="CC57" s="1" t="str">
        <f>IF(AZ57&gt;AZ$116, AZ57-AZ$116,"")</f>
        <v/>
      </c>
      <c r="CD57" s="1" t="str">
        <f>IF(BA57&gt;BA$116, BA57-BA$116,"")</f>
        <v/>
      </c>
      <c r="CE57" s="1" t="str">
        <f>IF(BB57&gt;BB$116, BB57-BB$116,"")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134</v>
      </c>
      <c r="C58" s="1" t="s">
        <v>135</v>
      </c>
      <c r="D58" s="1" t="s">
        <v>109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/>
      <c r="X58" s="28">
        <v>2</v>
      </c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8</v>
      </c>
      <c r="BR58" s="17">
        <v>2</v>
      </c>
      <c r="BS58" s="17" t="s">
        <v>250</v>
      </c>
      <c r="BT58" s="1" t="str">
        <f>IF(AQ58&gt;AQ$116, AQ58-AQ$116,"")</f>
        <v/>
      </c>
      <c r="BU58" s="1" t="str">
        <f>IF(AR58&gt;AR$116, AR58-AR$116,"")</f>
        <v/>
      </c>
      <c r="BV58" s="1" t="str">
        <f>IF(AS58&gt;AS$116, AS58-AS$116,"")</f>
        <v/>
      </c>
      <c r="BW58" s="1" t="str">
        <f>IF(AT58&gt;AT$116, AT58-AT$116,"")</f>
        <v/>
      </c>
      <c r="BX58" s="1" t="str">
        <f>IF(AU58&gt;AU$116, AU58-AU$116,"")</f>
        <v/>
      </c>
      <c r="BY58" s="1" t="str">
        <f>IF(AV58&gt;AV$116, AV58-AV$116,"")</f>
        <v/>
      </c>
      <c r="BZ58" s="1" t="str">
        <f>IF(AW58&gt;AW$116, AW58-AW$116,"")</f>
        <v/>
      </c>
      <c r="CA58" s="1" t="str">
        <f>IF(AX58&gt;AX$116, AX58-AX$116,"")</f>
        <v/>
      </c>
      <c r="CB58" s="1" t="str">
        <f>IF(AY58&gt;AY$116, AY58-AY$116,"")</f>
        <v/>
      </c>
      <c r="CC58" s="1" t="str">
        <f>IF(AZ58&gt;AZ$116, AZ58-AZ$116,"")</f>
        <v/>
      </c>
      <c r="CD58" s="1" t="str">
        <f>IF(BA58&gt;BA$116, BA58-BA$116,"")</f>
        <v/>
      </c>
      <c r="CE58" s="1" t="str">
        <f>IF(BB58&gt;BB$116, BB58-BB$116,"")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148</v>
      </c>
      <c r="C59" s="1" t="s">
        <v>90</v>
      </c>
      <c r="D59" s="1" t="s">
        <v>92</v>
      </c>
      <c r="E59" s="6">
        <v>10</v>
      </c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>
        <v>15</v>
      </c>
      <c r="AU59" s="4"/>
      <c r="AV59" s="4"/>
      <c r="AW59" s="2"/>
      <c r="AX59" s="2"/>
      <c r="AY59" s="2"/>
      <c r="AZ59" s="2">
        <v>15</v>
      </c>
      <c r="BA59" s="2">
        <v>15</v>
      </c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65</v>
      </c>
      <c r="BQ59" s="1">
        <v>8</v>
      </c>
      <c r="BR59" s="17">
        <v>2</v>
      </c>
      <c r="BS59" s="17" t="s">
        <v>260</v>
      </c>
      <c r="BT59" s="1" t="str">
        <f>IF(AQ59&gt;AQ$116, AQ59-AQ$116,"")</f>
        <v/>
      </c>
      <c r="BU59" s="1" t="str">
        <f>IF(AR59&gt;AR$116, AR59-AR$116,"")</f>
        <v/>
      </c>
      <c r="BV59" s="1" t="str">
        <f>IF(AS59&gt;AS$116, AS59-AS$116,"")</f>
        <v/>
      </c>
      <c r="BW59" s="1" t="str">
        <f>IF(AT59&gt;AT$116, AT59-AT$116,"")</f>
        <v/>
      </c>
      <c r="BX59" s="1" t="str">
        <f>IF(AU59&gt;AU$116, AU59-AU$116,"")</f>
        <v/>
      </c>
      <c r="BY59" s="1" t="str">
        <f>IF(AV59&gt;AV$116, AV59-AV$116,"")</f>
        <v/>
      </c>
      <c r="BZ59" s="1" t="str">
        <f>IF(AW59&gt;AW$116, AW59-AW$116,"")</f>
        <v/>
      </c>
      <c r="CA59" s="1" t="str">
        <f>IF(AX59&gt;AX$116, AX59-AX$116,"")</f>
        <v/>
      </c>
      <c r="CB59" s="1" t="str">
        <f>IF(AY59&gt;AY$116, AY59-AY$116,"")</f>
        <v/>
      </c>
      <c r="CC59" s="1" t="str">
        <f>IF(AZ59&gt;AZ$116, AZ59-AZ$116,"")</f>
        <v/>
      </c>
      <c r="CD59" s="1" t="str">
        <f>IF(BA59&gt;BA$116, BA59-BA$116,"")</f>
        <v/>
      </c>
      <c r="CE59" s="1" t="str">
        <f>IF(BB59&gt;BB$116, BB59-BB$116,"")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s="48" customFormat="1" ht="27" x14ac:dyDescent="0.15">
      <c r="A60" s="1">
        <v>27</v>
      </c>
      <c r="B60" s="1" t="s">
        <v>63</v>
      </c>
      <c r="C60" s="1" t="s">
        <v>27</v>
      </c>
      <c r="D60" s="1" t="s">
        <v>20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>
        <v>5</v>
      </c>
      <c r="AI60" s="1">
        <v>5</v>
      </c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10</v>
      </c>
      <c r="BQ60" s="1">
        <v>10</v>
      </c>
      <c r="BR60" s="17">
        <v>2</v>
      </c>
      <c r="BS60" s="17" t="s">
        <v>251</v>
      </c>
      <c r="BT60" s="1" t="str">
        <f>IF(AQ60&gt;AQ$116, AQ60-AQ$116,"")</f>
        <v/>
      </c>
      <c r="BU60" s="1" t="str">
        <f>IF(AR60&gt;AR$116, AR60-AR$116,"")</f>
        <v/>
      </c>
      <c r="BV60" s="1" t="str">
        <f>IF(AS60&gt;AS$116, AS60-AS$116,"")</f>
        <v/>
      </c>
      <c r="BW60" s="1" t="str">
        <f>IF(AT60&gt;AT$116, AT60-AT$116,"")</f>
        <v/>
      </c>
      <c r="BX60" s="1" t="str">
        <f>IF(AU60&gt;AU$116, AU60-AU$116,"")</f>
        <v/>
      </c>
      <c r="BY60" s="1" t="str">
        <f>IF(AV60&gt;AV$116, AV60-AV$116,"")</f>
        <v/>
      </c>
      <c r="BZ60" s="1" t="str">
        <f>IF(AW60&gt;AW$116, AW60-AW$116,"")</f>
        <v/>
      </c>
      <c r="CA60" s="1" t="str">
        <f>IF(AX60&gt;AX$116, AX60-AX$116,"")</f>
        <v/>
      </c>
      <c r="CB60" s="1" t="str">
        <f>IF(AY60&gt;AY$116, AY60-AY$116,"")</f>
        <v/>
      </c>
      <c r="CC60" s="1" t="str">
        <f>IF(AZ60&gt;AZ$116, AZ60-AZ$116,"")</f>
        <v/>
      </c>
      <c r="CD60" s="1" t="str">
        <f>IF(BA60&gt;BA$116, BA60-BA$116,"")</f>
        <v/>
      </c>
      <c r="CE60" s="1" t="str">
        <f>IF(BB60&gt;BB$116, BB60-BB$116,"")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10</v>
      </c>
    </row>
    <row r="61" spans="1:97" ht="27" x14ac:dyDescent="0.15">
      <c r="A61" s="1">
        <v>88</v>
      </c>
      <c r="B61" s="3" t="s">
        <v>68</v>
      </c>
      <c r="C61" s="3" t="s">
        <v>69</v>
      </c>
      <c r="D61" s="1" t="s">
        <v>20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>
        <v>5</v>
      </c>
      <c r="AI61" s="1">
        <v>5</v>
      </c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10</v>
      </c>
      <c r="BQ61" s="1">
        <v>10</v>
      </c>
      <c r="BR61" s="17">
        <v>2</v>
      </c>
      <c r="BS61" s="17" t="s">
        <v>203</v>
      </c>
      <c r="BT61" s="1" t="str">
        <f>IF(AQ61&gt;AQ$116, AQ61-AQ$116,"")</f>
        <v/>
      </c>
      <c r="BU61" s="1" t="str">
        <f>IF(AR61&gt;AR$116, AR61-AR$116,"")</f>
        <v/>
      </c>
      <c r="BV61" s="1" t="str">
        <f>IF(AS61&gt;AS$116, AS61-AS$116,"")</f>
        <v/>
      </c>
      <c r="BW61" s="1" t="str">
        <f>IF(AT61&gt;AT$116, AT61-AT$116,"")</f>
        <v/>
      </c>
      <c r="BX61" s="1" t="str">
        <f>IF(AU61&gt;AU$116, AU61-AU$116,"")</f>
        <v/>
      </c>
      <c r="BY61" s="1" t="str">
        <f>IF(AV61&gt;AV$116, AV61-AV$116,"")</f>
        <v/>
      </c>
      <c r="BZ61" s="1" t="str">
        <f>IF(AW61&gt;AW$116, AW61-AW$116,"")</f>
        <v/>
      </c>
      <c r="CA61" s="1" t="str">
        <f>IF(AX61&gt;AX$116, AX61-AX$116,"")</f>
        <v/>
      </c>
      <c r="CB61" s="1" t="str">
        <f>IF(AY61&gt;AY$116, AY61-AY$116,"")</f>
        <v/>
      </c>
      <c r="CC61" s="1" t="str">
        <f>IF(AZ61&gt;AZ$116, AZ61-AZ$116,"")</f>
        <v/>
      </c>
      <c r="CD61" s="1" t="str">
        <f>IF(BA61&gt;BA$116, BA61-BA$116,"")</f>
        <v/>
      </c>
      <c r="CE61" s="1" t="str">
        <f>IF(BB61&gt;BB$116, BB61-BB$116,"")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10</v>
      </c>
    </row>
    <row r="62" spans="1:97" ht="27" x14ac:dyDescent="0.15">
      <c r="A62" s="1"/>
      <c r="B62" s="1" t="s">
        <v>138</v>
      </c>
      <c r="C62" s="1" t="s">
        <v>137</v>
      </c>
      <c r="D62" s="1" t="s">
        <v>110</v>
      </c>
      <c r="E62" s="6"/>
      <c r="F62" s="6"/>
      <c r="G62" s="6">
        <v>10</v>
      </c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>
        <v>10</v>
      </c>
      <c r="Y62" s="28"/>
      <c r="Z62" s="28"/>
      <c r="AA62" s="28"/>
      <c r="AB62" s="28"/>
      <c r="AC62" s="28"/>
      <c r="AD62" s="28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>
        <v>10</v>
      </c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40</v>
      </c>
      <c r="BQ62" s="1">
        <v>10</v>
      </c>
      <c r="BR62" s="17">
        <v>2</v>
      </c>
      <c r="BS62" s="17" t="s">
        <v>252</v>
      </c>
      <c r="BT62" s="1" t="str">
        <f>IF(AQ62&gt;AQ$116, AQ62-AQ$116,"")</f>
        <v/>
      </c>
      <c r="BU62" s="1" t="str">
        <f>IF(AR62&gt;AR$116, AR62-AR$116,"")</f>
        <v/>
      </c>
      <c r="BV62" s="1" t="str">
        <f>IF(AS62&gt;AS$116, AS62-AS$116,"")</f>
        <v/>
      </c>
      <c r="BW62" s="1" t="str">
        <f>IF(AT62&gt;AT$116, AT62-AT$116,"")</f>
        <v/>
      </c>
      <c r="BX62" s="1" t="str">
        <f>IF(AU62&gt;AU$116, AU62-AU$116,"")</f>
        <v/>
      </c>
      <c r="BY62" s="1" t="str">
        <f>IF(AV62&gt;AV$116, AV62-AV$116,"")</f>
        <v/>
      </c>
      <c r="BZ62" s="1" t="str">
        <f>IF(AW62&gt;AW$116, AW62-AW$116,"")</f>
        <v/>
      </c>
      <c r="CA62" s="1" t="str">
        <f>IF(AX62&gt;AX$116, AX62-AX$116,"")</f>
        <v/>
      </c>
      <c r="CB62" s="1" t="str">
        <f>IF(AY62&gt;AY$116, AY62-AY$116,"")</f>
        <v/>
      </c>
      <c r="CC62" s="1" t="str">
        <f>IF(AZ62&gt;AZ$116, AZ62-AZ$116,"")</f>
        <v/>
      </c>
      <c r="CD62" s="1" t="str">
        <f>IF(BA62&gt;BA$116, BA62-BA$116,"")</f>
        <v/>
      </c>
      <c r="CE62" s="1" t="str">
        <f>IF(BB62&gt;BB$116, BB62-BB$116,"")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144</v>
      </c>
      <c r="C63" s="1" t="s">
        <v>105</v>
      </c>
      <c r="D63" s="1" t="s">
        <v>147</v>
      </c>
      <c r="E63" s="6"/>
      <c r="F63" s="6"/>
      <c r="G63" s="6">
        <v>10</v>
      </c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>
        <v>10</v>
      </c>
      <c r="Y63" s="28"/>
      <c r="Z63" s="28"/>
      <c r="AA63" s="28"/>
      <c r="AB63" s="28"/>
      <c r="AC63" s="28"/>
      <c r="AD63" s="28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>
        <v>10</v>
      </c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10</v>
      </c>
      <c r="BR63" s="17">
        <v>2</v>
      </c>
      <c r="BS63" s="17" t="s">
        <v>252</v>
      </c>
      <c r="BT63" s="1" t="str">
        <f>IF(AQ63&gt;AQ$116, AQ63-AQ$116,"")</f>
        <v/>
      </c>
      <c r="BU63" s="1" t="str">
        <f>IF(AR63&gt;AR$116, AR63-AR$116,"")</f>
        <v/>
      </c>
      <c r="BV63" s="1" t="str">
        <f>IF(AS63&gt;AS$116, AS63-AS$116,"")</f>
        <v/>
      </c>
      <c r="BW63" s="1" t="str">
        <f>IF(AT63&gt;AT$116, AT63-AT$116,"")</f>
        <v/>
      </c>
      <c r="BX63" s="1" t="str">
        <f>IF(AU63&gt;AU$116, AU63-AU$116,"")</f>
        <v/>
      </c>
      <c r="BY63" s="1" t="str">
        <f>IF(AV63&gt;AV$116, AV63-AV$116,"")</f>
        <v/>
      </c>
      <c r="BZ63" s="1" t="str">
        <f>IF(AW63&gt;AW$116, AW63-AW$116,"")</f>
        <v/>
      </c>
      <c r="CA63" s="1" t="str">
        <f>IF(AX63&gt;AX$116, AX63-AX$116,"")</f>
        <v/>
      </c>
      <c r="CB63" s="1" t="str">
        <f>IF(AY63&gt;AY$116, AY63-AY$116,"")</f>
        <v/>
      </c>
      <c r="CC63" s="1" t="str">
        <f>IF(AZ63&gt;AZ$116, AZ63-AZ$116,"")</f>
        <v/>
      </c>
      <c r="CD63" s="1" t="str">
        <f>IF(BA63&gt;BA$116, BA63-BA$116,"")</f>
        <v/>
      </c>
      <c r="CE63" s="1" t="str">
        <f>IF(BB63&gt;BB$116, BB63-BB$116,"")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40">
        <v>77</v>
      </c>
      <c r="B64" s="47" t="s">
        <v>151</v>
      </c>
      <c r="C64" s="47" t="s">
        <v>55</v>
      </c>
      <c r="D64" s="40" t="s">
        <v>11</v>
      </c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3"/>
      <c r="AR64" s="43"/>
      <c r="AS64" s="43"/>
      <c r="AT64" s="43">
        <v>20</v>
      </c>
      <c r="AU64" s="43"/>
      <c r="AV64" s="43"/>
      <c r="AW64" s="44">
        <v>20</v>
      </c>
      <c r="AX64" s="44">
        <v>20</v>
      </c>
      <c r="AY64" s="44"/>
      <c r="AZ64" s="44"/>
      <c r="BA64" s="44"/>
      <c r="BB64" s="44">
        <v>10</v>
      </c>
      <c r="BC64" s="45"/>
      <c r="BD64" s="40"/>
      <c r="BE64" s="40"/>
      <c r="BF64" s="40"/>
      <c r="BG64" s="40"/>
      <c r="BH64" s="40">
        <v>20</v>
      </c>
      <c r="BI64" s="40"/>
      <c r="BJ64" s="40"/>
      <c r="BK64" s="40"/>
      <c r="BL64" s="40"/>
      <c r="BM64" s="40"/>
      <c r="BN64" s="40"/>
      <c r="BO64" s="40"/>
      <c r="BP64" s="40">
        <f>SUM(E64:BO64)</f>
        <v>90</v>
      </c>
      <c r="BQ64" s="40">
        <v>11</v>
      </c>
      <c r="BR64" s="46">
        <v>2</v>
      </c>
      <c r="BS64" s="46" t="s">
        <v>258</v>
      </c>
      <c r="BT64" s="40" t="str">
        <f>IF(AQ64&gt;AQ$116, AQ64-AQ$116,"")</f>
        <v/>
      </c>
      <c r="BU64" s="40" t="str">
        <f>IF(AR64&gt;AR$116, AR64-AR$116,"")</f>
        <v/>
      </c>
      <c r="BV64" s="40" t="str">
        <f>IF(AS64&gt;AS$116, AS64-AS$116,"")</f>
        <v/>
      </c>
      <c r="BW64" s="40" t="str">
        <f>IF(AT64&gt;AT$116, AT64-AT$116,"")</f>
        <v/>
      </c>
      <c r="BX64" s="40" t="str">
        <f>IF(AU64&gt;AU$116, AU64-AU$116,"")</f>
        <v/>
      </c>
      <c r="BY64" s="40" t="str">
        <f>IF(AV64&gt;AV$116, AV64-AV$116,"")</f>
        <v/>
      </c>
      <c r="BZ64" s="40" t="str">
        <f>IF(AW64&gt;AW$116, AW64-AW$116,"")</f>
        <v/>
      </c>
      <c r="CA64" s="40" t="str">
        <f>IF(AX64&gt;AX$116, AX64-AX$116,"")</f>
        <v/>
      </c>
      <c r="CB64" s="40" t="str">
        <f>IF(AY64&gt;AY$116, AY64-AY$116,"")</f>
        <v/>
      </c>
      <c r="CC64" s="40" t="str">
        <f>IF(AZ64&gt;AZ$116, AZ64-AZ$116,"")</f>
        <v/>
      </c>
      <c r="CD64" s="40" t="str">
        <f>IF(BA64&gt;BA$116, BA64-BA$116,"")</f>
        <v/>
      </c>
      <c r="CE64" s="40" t="str">
        <f>IF(BB64&gt;BB$116, BB64-BB$116,"")</f>
        <v/>
      </c>
      <c r="CF64" s="40">
        <f>COUNTIF(BT64:CE64, "&gt;0")</f>
        <v>0</v>
      </c>
      <c r="CG64" s="40" t="str">
        <f>IF($CF64=1,BT64,"")</f>
        <v/>
      </c>
      <c r="CH64" s="40" t="str">
        <f>IF($CF64=1,BU64,"")</f>
        <v/>
      </c>
      <c r="CI64" s="40" t="str">
        <f>IF($CF64=1,BV64,"")</f>
        <v/>
      </c>
      <c r="CJ64" s="40" t="str">
        <f>IF($CF64=1,BW64,"")</f>
        <v/>
      </c>
      <c r="CK64" s="40" t="str">
        <f>IF($CF64=1,BX64,"")</f>
        <v/>
      </c>
      <c r="CL64" s="40" t="str">
        <f>IF($CF64=1,BY64,"")</f>
        <v/>
      </c>
      <c r="CM64" s="40" t="str">
        <f>IF($CF64=1,BZ64,"")</f>
        <v/>
      </c>
      <c r="CN64" s="40" t="str">
        <f>IF($CF64=1,CA64,"")</f>
        <v/>
      </c>
      <c r="CO64" s="40" t="str">
        <f>IF($CF64=1,CB64,"")</f>
        <v/>
      </c>
      <c r="CP64" s="40" t="str">
        <f>IF($CF64=1,CC64,"")</f>
        <v/>
      </c>
      <c r="CQ64" s="40" t="str">
        <f>IF($CF64=1,CD64,"")</f>
        <v/>
      </c>
      <c r="CR64" s="40" t="str">
        <f>IF($CF64=1,CE64,"")</f>
        <v/>
      </c>
      <c r="CS64" s="47">
        <f>SUM(AE64:BO64)</f>
        <v>90</v>
      </c>
    </row>
    <row r="65" spans="1:97" ht="27" x14ac:dyDescent="0.15">
      <c r="A65" s="1"/>
      <c r="B65" s="1" t="s">
        <v>150</v>
      </c>
      <c r="C65" s="1" t="s">
        <v>107</v>
      </c>
      <c r="D65" s="1" t="s">
        <v>110</v>
      </c>
      <c r="E65" s="6"/>
      <c r="F65" s="6"/>
      <c r="G65" s="6"/>
      <c r="H65" s="6"/>
      <c r="I65" s="6">
        <v>10</v>
      </c>
      <c r="J65" s="6"/>
      <c r="K65" s="6"/>
      <c r="L65" s="6"/>
      <c r="M65" s="6"/>
      <c r="N65" s="6"/>
      <c r="O65" s="6"/>
      <c r="P65" s="28"/>
      <c r="Q65" s="28"/>
      <c r="R65" s="28">
        <v>10</v>
      </c>
      <c r="S65" s="28"/>
      <c r="T65" s="28"/>
      <c r="U65" s="28"/>
      <c r="V65" s="28"/>
      <c r="W65" s="28"/>
      <c r="X65" s="28">
        <v>10</v>
      </c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>
        <v>10</v>
      </c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40</v>
      </c>
      <c r="BQ65" s="1">
        <v>12</v>
      </c>
      <c r="BR65" s="17">
        <v>2</v>
      </c>
      <c r="BS65" s="17" t="s">
        <v>218</v>
      </c>
      <c r="BT65" s="1" t="str">
        <f>IF(AQ65&gt;AQ$116, AQ65-AQ$116,"")</f>
        <v/>
      </c>
      <c r="BU65" s="1" t="str">
        <f>IF(AR65&gt;AR$116, AR65-AR$116,"")</f>
        <v/>
      </c>
      <c r="BV65" s="1" t="str">
        <f>IF(AS65&gt;AS$116, AS65-AS$116,"")</f>
        <v/>
      </c>
      <c r="BW65" s="1" t="str">
        <f>IF(AT65&gt;AT$116, AT65-AT$116,"")</f>
        <v/>
      </c>
      <c r="BX65" s="1" t="str">
        <f>IF(AU65&gt;AU$116, AU65-AU$116,"")</f>
        <v/>
      </c>
      <c r="BY65" s="1" t="str">
        <f>IF(AV65&gt;AV$116, AV65-AV$116,"")</f>
        <v/>
      </c>
      <c r="BZ65" s="1" t="str">
        <f>IF(AW65&gt;AW$116, AW65-AW$116,"")</f>
        <v/>
      </c>
      <c r="CA65" s="1" t="str">
        <f>IF(AX65&gt;AX$116, AX65-AX$116,"")</f>
        <v/>
      </c>
      <c r="CB65" s="1" t="str">
        <f>IF(AY65&gt;AY$116, AY65-AY$116,"")</f>
        <v/>
      </c>
      <c r="CC65" s="1" t="str">
        <f>IF(AZ65&gt;AZ$116, AZ65-AZ$116,"")</f>
        <v/>
      </c>
      <c r="CD65" s="1" t="str">
        <f>IF(BA65&gt;BA$116, BA65-BA$116,"")</f>
        <v/>
      </c>
      <c r="CE65" s="1" t="str">
        <f>IF(BB65&gt;BB$116, BB65-BB$116,"")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119</v>
      </c>
      <c r="C66" s="1" t="s">
        <v>107</v>
      </c>
      <c r="D66" s="1" t="s">
        <v>110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>
        <v>10</v>
      </c>
      <c r="P66" s="28"/>
      <c r="Q66" s="28"/>
      <c r="R66" s="28">
        <v>10</v>
      </c>
      <c r="S66" s="28"/>
      <c r="T66" s="28"/>
      <c r="U66" s="28"/>
      <c r="V66" s="28"/>
      <c r="W66" s="28"/>
      <c r="X66" s="28">
        <v>10</v>
      </c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>
        <v>10</v>
      </c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40</v>
      </c>
      <c r="BQ66" s="1">
        <v>12</v>
      </c>
      <c r="BR66" s="17">
        <v>2</v>
      </c>
      <c r="BS66" s="17" t="s">
        <v>253</v>
      </c>
      <c r="BT66" s="1" t="str">
        <f>IF(AQ66&gt;AQ$116, AQ66-AQ$116,"")</f>
        <v/>
      </c>
      <c r="BU66" s="1" t="str">
        <f>IF(AR66&gt;AR$116, AR66-AR$116,"")</f>
        <v/>
      </c>
      <c r="BV66" s="1" t="str">
        <f>IF(AS66&gt;AS$116, AS66-AS$116,"")</f>
        <v/>
      </c>
      <c r="BW66" s="1" t="str">
        <f>IF(AT66&gt;AT$116, AT66-AT$116,"")</f>
        <v/>
      </c>
      <c r="BX66" s="1" t="str">
        <f>IF(AU66&gt;AU$116, AU66-AU$116,"")</f>
        <v/>
      </c>
      <c r="BY66" s="1" t="str">
        <f>IF(AV66&gt;AV$116, AV66-AV$116,"")</f>
        <v/>
      </c>
      <c r="BZ66" s="1" t="str">
        <f>IF(AW66&gt;AW$116, AW66-AW$116,"")</f>
        <v/>
      </c>
      <c r="CA66" s="1" t="str">
        <f>IF(AX66&gt;AX$116, AX66-AX$116,"")</f>
        <v/>
      </c>
      <c r="CB66" s="1" t="str">
        <f>IF(AY66&gt;AY$116, AY66-AY$116,"")</f>
        <v/>
      </c>
      <c r="CC66" s="1" t="str">
        <f>IF(AZ66&gt;AZ$116, AZ66-AZ$116,"")</f>
        <v/>
      </c>
      <c r="CD66" s="1" t="str">
        <f>IF(BA66&gt;BA$116, BA66-BA$116,"")</f>
        <v/>
      </c>
      <c r="CE66" s="1" t="str">
        <f>IF(BB66&gt;BB$116, BB66-BB$116,"")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/>
      <c r="B67" s="1" t="s">
        <v>124</v>
      </c>
      <c r="C67" s="1" t="s">
        <v>107</v>
      </c>
      <c r="D67" s="1" t="s">
        <v>110</v>
      </c>
      <c r="E67" s="6"/>
      <c r="F67" s="6"/>
      <c r="G67" s="6"/>
      <c r="H67" s="6">
        <v>10</v>
      </c>
      <c r="I67" s="6"/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/>
      <c r="V67" s="28"/>
      <c r="W67" s="28"/>
      <c r="X67" s="28">
        <v>10</v>
      </c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>
        <v>10</v>
      </c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12</v>
      </c>
      <c r="BR67" s="17">
        <v>2</v>
      </c>
      <c r="BS67" s="17" t="s">
        <v>218</v>
      </c>
      <c r="BT67" s="1" t="str">
        <f>IF(AQ67&gt;AQ$116, AQ67-AQ$116,"")</f>
        <v/>
      </c>
      <c r="BU67" s="1" t="str">
        <f>IF(AR67&gt;AR$116, AR67-AR$116,"")</f>
        <v/>
      </c>
      <c r="BV67" s="1" t="str">
        <f>IF(AS67&gt;AS$116, AS67-AS$116,"")</f>
        <v/>
      </c>
      <c r="BW67" s="1" t="str">
        <f>IF(AT67&gt;AT$116, AT67-AT$116,"")</f>
        <v/>
      </c>
      <c r="BX67" s="1" t="str">
        <f>IF(AU67&gt;AU$116, AU67-AU$116,"")</f>
        <v/>
      </c>
      <c r="BY67" s="1" t="str">
        <f>IF(AV67&gt;AV$116, AV67-AV$116,"")</f>
        <v/>
      </c>
      <c r="BZ67" s="1" t="str">
        <f>IF(AW67&gt;AW$116, AW67-AW$116,"")</f>
        <v/>
      </c>
      <c r="CA67" s="1" t="str">
        <f>IF(AX67&gt;AX$116, AX67-AX$116,"")</f>
        <v/>
      </c>
      <c r="CB67" s="1" t="str">
        <f>IF(AY67&gt;AY$116, AY67-AY$116,"")</f>
        <v/>
      </c>
      <c r="CC67" s="1" t="str">
        <f>IF(AZ67&gt;AZ$116, AZ67-AZ$116,"")</f>
        <v/>
      </c>
      <c r="CD67" s="1" t="str">
        <f>IF(BA67&gt;BA$116, BA67-BA$116,"")</f>
        <v/>
      </c>
      <c r="CE67" s="1" t="str">
        <f>IF(BB67&gt;BB$116, BB67-BB$116,"")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97</v>
      </c>
      <c r="C68" s="1" t="s">
        <v>94</v>
      </c>
      <c r="D68" s="1" t="s">
        <v>91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>
        <v>5</v>
      </c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>
        <v>5</v>
      </c>
      <c r="AP68" s="1">
        <v>10</v>
      </c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20</v>
      </c>
      <c r="BQ68" s="1">
        <v>15</v>
      </c>
      <c r="BR68" s="17">
        <v>2</v>
      </c>
      <c r="BS68" s="17" t="s">
        <v>257</v>
      </c>
      <c r="BT68" s="1" t="str">
        <f>IF(AQ68&gt;AQ$116, AQ68-AQ$116,"")</f>
        <v/>
      </c>
      <c r="BU68" s="1" t="str">
        <f>IF(AR68&gt;AR$116, AR68-AR$116,"")</f>
        <v/>
      </c>
      <c r="BV68" s="1" t="str">
        <f>IF(AS68&gt;AS$116, AS68-AS$116,"")</f>
        <v/>
      </c>
      <c r="BW68" s="1" t="str">
        <f>IF(AT68&gt;AT$116, AT68-AT$116,"")</f>
        <v/>
      </c>
      <c r="BX68" s="1" t="str">
        <f>IF(AU68&gt;AU$116, AU68-AU$116,"")</f>
        <v/>
      </c>
      <c r="BY68" s="1" t="str">
        <f>IF(AV68&gt;AV$116, AV68-AV$116,"")</f>
        <v/>
      </c>
      <c r="BZ68" s="1" t="str">
        <f>IF(AW68&gt;AW$116, AW68-AW$116,"")</f>
        <v/>
      </c>
      <c r="CA68" s="1" t="str">
        <f>IF(AX68&gt;AX$116, AX68-AX$116,"")</f>
        <v/>
      </c>
      <c r="CB68" s="1" t="str">
        <f>IF(AY68&gt;AY$116, AY68-AY$116,"")</f>
        <v/>
      </c>
      <c r="CC68" s="1" t="str">
        <f>IF(AZ68&gt;AZ$116, AZ68-AZ$116,"")</f>
        <v/>
      </c>
      <c r="CD68" s="1" t="str">
        <f>IF(BA68&gt;BA$116, BA68-BA$116,"")</f>
        <v/>
      </c>
      <c r="CE68" s="1" t="str">
        <f>IF(BB68&gt;BB$116, BB68-BB$116,"")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125</v>
      </c>
      <c r="C69" s="1" t="s">
        <v>126</v>
      </c>
      <c r="D69" s="1" t="s">
        <v>110</v>
      </c>
      <c r="E69" s="6">
        <v>10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>
        <v>10</v>
      </c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>
        <v>10</v>
      </c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18</v>
      </c>
      <c r="BR69" s="17">
        <v>2</v>
      </c>
      <c r="BS69" s="17" t="s">
        <v>212</v>
      </c>
      <c r="BT69" s="1" t="str">
        <f>IF(AQ69&gt;AQ$116, AQ69-AQ$116,"")</f>
        <v/>
      </c>
      <c r="BU69" s="1" t="str">
        <f>IF(AR69&gt;AR$116, AR69-AR$116,"")</f>
        <v/>
      </c>
      <c r="BV69" s="1" t="str">
        <f>IF(AS69&gt;AS$116, AS69-AS$116,"")</f>
        <v/>
      </c>
      <c r="BW69" s="1" t="str">
        <f>IF(AT69&gt;AT$116, AT69-AT$116,"")</f>
        <v/>
      </c>
      <c r="BX69" s="1" t="str">
        <f>IF(AU69&gt;AU$116, AU69-AU$116,"")</f>
        <v/>
      </c>
      <c r="BY69" s="1" t="str">
        <f>IF(AV69&gt;AV$116, AV69-AV$116,"")</f>
        <v/>
      </c>
      <c r="BZ69" s="1" t="str">
        <f>IF(AW69&gt;AW$116, AW69-AW$116,"")</f>
        <v/>
      </c>
      <c r="CA69" s="1" t="str">
        <f>IF(AX69&gt;AX$116, AX69-AX$116,"")</f>
        <v/>
      </c>
      <c r="CB69" s="1" t="str">
        <f>IF(AY69&gt;AY$116, AY69-AY$116,"")</f>
        <v/>
      </c>
      <c r="CC69" s="1" t="str">
        <f>IF(AZ69&gt;AZ$116, AZ69-AZ$116,"")</f>
        <v/>
      </c>
      <c r="CD69" s="1" t="str">
        <f>IF(BA69&gt;BA$116, BA69-BA$116,"")</f>
        <v/>
      </c>
      <c r="CE69" s="1" t="str">
        <f>IF(BB69&gt;BB$116, BB69-BB$116,"")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131</v>
      </c>
      <c r="C70" s="1" t="s">
        <v>130</v>
      </c>
      <c r="D70" s="1" t="s">
        <v>110</v>
      </c>
      <c r="E70" s="6">
        <v>10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>
        <v>10</v>
      </c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>
        <v>10</v>
      </c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18</v>
      </c>
      <c r="BR70" s="17">
        <v>2</v>
      </c>
      <c r="BS70" s="17" t="s">
        <v>212</v>
      </c>
      <c r="BT70" s="1" t="str">
        <f>IF(AQ70&gt;AQ$116, AQ70-AQ$116,"")</f>
        <v/>
      </c>
      <c r="BU70" s="1" t="str">
        <f>IF(AR70&gt;AR$116, AR70-AR$116,"")</f>
        <v/>
      </c>
      <c r="BV70" s="1" t="str">
        <f>IF(AS70&gt;AS$116, AS70-AS$116,"")</f>
        <v/>
      </c>
      <c r="BW70" s="1" t="str">
        <f>IF(AT70&gt;AT$116, AT70-AT$116,"")</f>
        <v/>
      </c>
      <c r="BX70" s="1" t="str">
        <f>IF(AU70&gt;AU$116, AU70-AU$116,"")</f>
        <v/>
      </c>
      <c r="BY70" s="1" t="str">
        <f>IF(AV70&gt;AV$116, AV70-AV$116,"")</f>
        <v/>
      </c>
      <c r="BZ70" s="1" t="str">
        <f>IF(AW70&gt;AW$116, AW70-AW$116,"")</f>
        <v/>
      </c>
      <c r="CA70" s="1" t="str">
        <f>IF(AX70&gt;AX$116, AX70-AX$116,"")</f>
        <v/>
      </c>
      <c r="CB70" s="1" t="str">
        <f>IF(AY70&gt;AY$116, AY70-AY$116,"")</f>
        <v/>
      </c>
      <c r="CC70" s="1" t="str">
        <f>IF(AZ70&gt;AZ$116, AZ70-AZ$116,"")</f>
        <v/>
      </c>
      <c r="CD70" s="1" t="str">
        <f>IF(BA70&gt;BA$116, BA70-BA$116,"")</f>
        <v/>
      </c>
      <c r="CE70" s="1" t="str">
        <f>IF(BB70&gt;BB$116, BB70-BB$116,"")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141</v>
      </c>
      <c r="C71" s="1" t="s">
        <v>137</v>
      </c>
      <c r="D71" s="1" t="s">
        <v>110</v>
      </c>
      <c r="E71" s="6">
        <v>10</v>
      </c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>
        <v>10</v>
      </c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>
        <v>10</v>
      </c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18</v>
      </c>
      <c r="BR71" s="17">
        <v>2</v>
      </c>
      <c r="BS71" s="17" t="s">
        <v>212</v>
      </c>
      <c r="BT71" s="1" t="str">
        <f>IF(AQ71&gt;AQ$116, AQ71-AQ$116,"")</f>
        <v/>
      </c>
      <c r="BU71" s="1" t="str">
        <f>IF(AR71&gt;AR$116, AR71-AR$116,"")</f>
        <v/>
      </c>
      <c r="BV71" s="1" t="str">
        <f>IF(AS71&gt;AS$116, AS71-AS$116,"")</f>
        <v/>
      </c>
      <c r="BW71" s="1" t="str">
        <f>IF(AT71&gt;AT$116, AT71-AT$116,"")</f>
        <v/>
      </c>
      <c r="BX71" s="1" t="str">
        <f>IF(AU71&gt;AU$116, AU71-AU$116,"")</f>
        <v/>
      </c>
      <c r="BY71" s="1" t="str">
        <f>IF(AV71&gt;AV$116, AV71-AV$116,"")</f>
        <v/>
      </c>
      <c r="BZ71" s="1" t="str">
        <f>IF(AW71&gt;AW$116, AW71-AW$116,"")</f>
        <v/>
      </c>
      <c r="CA71" s="1" t="str">
        <f>IF(AX71&gt;AX$116, AX71-AX$116,"")</f>
        <v/>
      </c>
      <c r="CB71" s="1" t="str">
        <f>IF(AY71&gt;AY$116, AY71-AY$116,"")</f>
        <v/>
      </c>
      <c r="CC71" s="1" t="str">
        <f>IF(AZ71&gt;AZ$116, AZ71-AZ$116,"")</f>
        <v/>
      </c>
      <c r="CD71" s="1" t="str">
        <f>IF(BA71&gt;BA$116, BA71-BA$116,"")</f>
        <v/>
      </c>
      <c r="CE71" s="1" t="str">
        <f>IF(BB71&gt;BB$116, BB71-BB$116,"")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139</v>
      </c>
      <c r="C72" s="1" t="s">
        <v>137</v>
      </c>
      <c r="D72" s="1" t="s">
        <v>110</v>
      </c>
      <c r="E72" s="6"/>
      <c r="F72" s="6"/>
      <c r="G72" s="6"/>
      <c r="H72" s="6">
        <v>10</v>
      </c>
      <c r="I72" s="6"/>
      <c r="J72" s="6"/>
      <c r="K72" s="6"/>
      <c r="L72" s="6"/>
      <c r="M72" s="6"/>
      <c r="N72" s="6"/>
      <c r="O72" s="6"/>
      <c r="P72" s="28"/>
      <c r="Q72" s="28"/>
      <c r="R72" s="28">
        <v>10</v>
      </c>
      <c r="S72" s="28"/>
      <c r="T72" s="28"/>
      <c r="U72" s="28">
        <v>10</v>
      </c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>
        <v>10</v>
      </c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40</v>
      </c>
      <c r="BQ72" s="1">
        <v>18</v>
      </c>
      <c r="BR72" s="17">
        <v>2</v>
      </c>
      <c r="BS72" s="17" t="s">
        <v>212</v>
      </c>
      <c r="BT72" s="1" t="str">
        <f>IF(AQ72&gt;AQ$116, AQ72-AQ$116,"")</f>
        <v/>
      </c>
      <c r="BU72" s="1" t="str">
        <f>IF(AR72&gt;AR$116, AR72-AR$116,"")</f>
        <v/>
      </c>
      <c r="BV72" s="1" t="str">
        <f>IF(AS72&gt;AS$116, AS72-AS$116,"")</f>
        <v/>
      </c>
      <c r="BW72" s="1" t="str">
        <f>IF(AT72&gt;AT$116, AT72-AT$116,"")</f>
        <v/>
      </c>
      <c r="BX72" s="1" t="str">
        <f>IF(AU72&gt;AU$116, AU72-AU$116,"")</f>
        <v/>
      </c>
      <c r="BY72" s="1" t="str">
        <f>IF(AV72&gt;AV$116, AV72-AV$116,"")</f>
        <v/>
      </c>
      <c r="BZ72" s="1" t="str">
        <f>IF(AW72&gt;AW$116, AW72-AW$116,"")</f>
        <v/>
      </c>
      <c r="CA72" s="1" t="str">
        <f>IF(AX72&gt;AX$116, AX72-AX$116,"")</f>
        <v/>
      </c>
      <c r="CB72" s="1" t="str">
        <f>IF(AY72&gt;AY$116, AY72-AY$116,"")</f>
        <v/>
      </c>
      <c r="CC72" s="1" t="str">
        <f>IF(AZ72&gt;AZ$116, AZ72-AZ$116,"")</f>
        <v/>
      </c>
      <c r="CD72" s="1" t="str">
        <f>IF(BA72&gt;BA$116, BA72-BA$116,"")</f>
        <v/>
      </c>
      <c r="CE72" s="1" t="str">
        <f>IF(BB72&gt;BB$116, BB72-BB$116,"")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97</v>
      </c>
      <c r="C73" s="1" t="s">
        <v>94</v>
      </c>
      <c r="D73" s="1" t="s">
        <v>92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>
        <v>10</v>
      </c>
      <c r="AP73" s="1">
        <v>10</v>
      </c>
      <c r="AQ73" s="4"/>
      <c r="AR73" s="4"/>
      <c r="AS73" s="4">
        <v>5</v>
      </c>
      <c r="AT73" s="4"/>
      <c r="AU73" s="4"/>
      <c r="AV73" s="4"/>
      <c r="AW73" s="2"/>
      <c r="AX73" s="2">
        <v>5</v>
      </c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30</v>
      </c>
      <c r="BQ73" s="1">
        <v>20</v>
      </c>
      <c r="BR73" s="17">
        <v>2</v>
      </c>
      <c r="BS73" s="17" t="s">
        <v>222</v>
      </c>
      <c r="BT73" s="1" t="str">
        <f>IF(AQ73&gt;AQ$116, AQ73-AQ$116,"")</f>
        <v/>
      </c>
      <c r="BU73" s="1" t="str">
        <f>IF(AR73&gt;AR$116, AR73-AR$116,"")</f>
        <v/>
      </c>
      <c r="BV73" s="1" t="str">
        <f>IF(AS73&gt;AS$116, AS73-AS$116,"")</f>
        <v/>
      </c>
      <c r="BW73" s="1" t="str">
        <f>IF(AT73&gt;AT$116, AT73-AT$116,"")</f>
        <v/>
      </c>
      <c r="BX73" s="1" t="str">
        <f>IF(AU73&gt;AU$116, AU73-AU$116,"")</f>
        <v/>
      </c>
      <c r="BY73" s="1" t="str">
        <f>IF(AV73&gt;AV$116, AV73-AV$116,"")</f>
        <v/>
      </c>
      <c r="BZ73" s="1" t="str">
        <f>IF(AW73&gt;AW$116, AW73-AW$116,"")</f>
        <v/>
      </c>
      <c r="CA73" s="1" t="str">
        <f>IF(AX73&gt;AX$116, AX73-AX$116,"")</f>
        <v/>
      </c>
      <c r="CB73" s="1" t="str">
        <f>IF(AY73&gt;AY$116, AY73-AY$116,"")</f>
        <v/>
      </c>
      <c r="CC73" s="1" t="str">
        <f>IF(AZ73&gt;AZ$116, AZ73-AZ$116,"")</f>
        <v/>
      </c>
      <c r="CD73" s="1" t="str">
        <f>IF(BA73&gt;BA$116, BA73-BA$116,"")</f>
        <v/>
      </c>
      <c r="CE73" s="1" t="str">
        <f>IF(BB73&gt;BB$116, BB73-BB$116,"")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27" x14ac:dyDescent="0.15">
      <c r="A74" s="18">
        <v>65</v>
      </c>
      <c r="B74" s="24" t="s">
        <v>53</v>
      </c>
      <c r="C74" s="18" t="s">
        <v>48</v>
      </c>
      <c r="D74" s="18" t="s">
        <v>11</v>
      </c>
      <c r="E74" s="19"/>
      <c r="F74" s="19"/>
      <c r="G74" s="19">
        <v>10</v>
      </c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/>
      <c r="AI74" s="18"/>
      <c r="AJ74" s="18"/>
      <c r="AK74" s="18"/>
      <c r="AL74" s="18"/>
      <c r="AM74" s="18"/>
      <c r="AN74" s="18">
        <v>25</v>
      </c>
      <c r="AO74" s="18"/>
      <c r="AP74" s="18"/>
      <c r="AQ74" s="20"/>
      <c r="AR74" s="20"/>
      <c r="AS74" s="20"/>
      <c r="AT74" s="20"/>
      <c r="AU74" s="20"/>
      <c r="AV74" s="20">
        <v>10</v>
      </c>
      <c r="AW74" s="21"/>
      <c r="AX74" s="21"/>
      <c r="AY74" s="21"/>
      <c r="AZ74" s="21">
        <v>10</v>
      </c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>SUM(E74:BO74)</f>
        <v>55</v>
      </c>
      <c r="BQ74" s="18">
        <v>26</v>
      </c>
      <c r="BR74" s="22">
        <v>2</v>
      </c>
      <c r="BS74" s="22" t="s">
        <v>261</v>
      </c>
      <c r="BT74" s="18" t="str">
        <f>IF(AQ74&gt;AQ$116, AQ74-AQ$116,"")</f>
        <v/>
      </c>
      <c r="BU74" s="18" t="str">
        <f>IF(AR74&gt;AR$116, AR74-AR$116,"")</f>
        <v/>
      </c>
      <c r="BV74" s="18" t="str">
        <f>IF(AS74&gt;AS$116, AS74-AS$116,"")</f>
        <v/>
      </c>
      <c r="BW74" s="18" t="str">
        <f>IF(AT74&gt;AT$116, AT74-AT$116,"")</f>
        <v/>
      </c>
      <c r="BX74" s="18" t="str">
        <f>IF(AU74&gt;AU$116, AU74-AU$116,"")</f>
        <v/>
      </c>
      <c r="BY74" s="18" t="str">
        <f>IF(AV74&gt;AV$116, AV74-AV$116,"")</f>
        <v/>
      </c>
      <c r="BZ74" s="18" t="str">
        <f>IF(AW74&gt;AW$116, AW74-AW$116,"")</f>
        <v/>
      </c>
      <c r="CA74" s="18" t="str">
        <f>IF(AX74&gt;AX$116, AX74-AX$116,"")</f>
        <v/>
      </c>
      <c r="CB74" s="18" t="str">
        <f>IF(AY74&gt;AY$116, AY74-AY$116,"")</f>
        <v/>
      </c>
      <c r="CC74" s="18" t="str">
        <f>IF(AZ74&gt;AZ$116, AZ74-AZ$116,"")</f>
        <v/>
      </c>
      <c r="CD74" s="18" t="str">
        <f>IF(BA74&gt;BA$116, BA74-BA$116,"")</f>
        <v/>
      </c>
      <c r="CE74" s="18" t="str">
        <f>IF(BB74&gt;BB$116, BB74-BB$116,"")</f>
        <v/>
      </c>
      <c r="CF74" s="18">
        <f>COUNTIF(BT74:CE74, "&gt;0")</f>
        <v>0</v>
      </c>
      <c r="CG74" s="18" t="str">
        <f>IF($CF74=1,BT74,"")</f>
        <v/>
      </c>
      <c r="CH74" s="18" t="str">
        <f>IF($CF74=1,BU74,"")</f>
        <v/>
      </c>
      <c r="CI74" s="18" t="str">
        <f>IF($CF74=1,BV74,"")</f>
        <v/>
      </c>
      <c r="CJ74" s="18" t="str">
        <f>IF($CF74=1,BW74,"")</f>
        <v/>
      </c>
      <c r="CK74" s="18" t="str">
        <f>IF($CF74=1,BX74,"")</f>
        <v/>
      </c>
      <c r="CL74" s="18" t="str">
        <f>IF($CF74=1,BY74,"")</f>
        <v/>
      </c>
      <c r="CM74" s="18" t="str">
        <f>IF($CF74=1,BZ74,"")</f>
        <v/>
      </c>
      <c r="CN74" s="18" t="str">
        <f>IF($CF74=1,CA74,"")</f>
        <v/>
      </c>
      <c r="CO74" s="18" t="str">
        <f>IF($CF74=1,CB74,"")</f>
        <v/>
      </c>
      <c r="CP74" s="18" t="str">
        <f>IF($CF74=1,CC74,"")</f>
        <v/>
      </c>
      <c r="CQ74" s="18" t="str">
        <f>IF($CF74=1,CD74,"")</f>
        <v/>
      </c>
      <c r="CR74" s="18" t="str">
        <f>IF($CF74=1,CE74,"")</f>
        <v/>
      </c>
      <c r="CS74" s="24">
        <f>SUM(AE74:BO74)</f>
        <v>45</v>
      </c>
    </row>
    <row r="75" spans="1:97" ht="27" x14ac:dyDescent="0.15">
      <c r="A75" s="1"/>
      <c r="B75" s="1" t="s">
        <v>93</v>
      </c>
      <c r="C75" s="1" t="s">
        <v>94</v>
      </c>
      <c r="D75" s="1" t="s">
        <v>95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>
        <v>40</v>
      </c>
      <c r="AW75" s="2">
        <v>40</v>
      </c>
      <c r="AX75" s="2"/>
      <c r="AY75" s="2"/>
      <c r="AZ75" s="2"/>
      <c r="BA75" s="2"/>
      <c r="BB75" s="2">
        <v>40</v>
      </c>
      <c r="BC75" s="14">
        <v>10</v>
      </c>
      <c r="BD75" s="1">
        <v>50</v>
      </c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180</v>
      </c>
      <c r="BQ75" s="1">
        <v>50</v>
      </c>
      <c r="BR75" s="17">
        <v>2</v>
      </c>
      <c r="BS75" s="17" t="s">
        <v>262</v>
      </c>
      <c r="BT75" s="1" t="str">
        <f>IF(AQ75&gt;AQ$116, AQ75-AQ$116,"")</f>
        <v/>
      </c>
      <c r="BU75" s="1" t="str">
        <f>IF(AR75&gt;AR$116, AR75-AR$116,"")</f>
        <v/>
      </c>
      <c r="BV75" s="1" t="str">
        <f>IF(AS75&gt;AS$116, AS75-AS$116,"")</f>
        <v/>
      </c>
      <c r="BW75" s="1" t="str">
        <f>IF(AT75&gt;AT$116, AT75-AT$116,"")</f>
        <v/>
      </c>
      <c r="BX75" s="1" t="str">
        <f>IF(AU75&gt;AU$116, AU75-AU$116,"")</f>
        <v/>
      </c>
      <c r="BY75" s="1" t="str">
        <f>IF(AV75&gt;AV$116, AV75-AV$116,"")</f>
        <v/>
      </c>
      <c r="BZ75" s="1" t="str">
        <f>IF(AW75&gt;AW$116, AW75-AW$116,"")</f>
        <v/>
      </c>
      <c r="CA75" s="1" t="str">
        <f>IF(AX75&gt;AX$116, AX75-AX$116,"")</f>
        <v/>
      </c>
      <c r="CB75" s="1" t="str">
        <f>IF(AY75&gt;AY$116, AY75-AY$116,"")</f>
        <v/>
      </c>
      <c r="CC75" s="1" t="str">
        <f>IF(AZ75&gt;AZ$116, AZ75-AZ$116,"")</f>
        <v/>
      </c>
      <c r="CD75" s="1" t="str">
        <f>IF(BA75&gt;BA$116, BA75-BA$116,"")</f>
        <v/>
      </c>
      <c r="CE75" s="1" t="str">
        <f>IF(BB75&gt;BB$116, BB75-BB$116,"")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27" x14ac:dyDescent="0.15">
      <c r="A76" s="1">
        <v>23</v>
      </c>
      <c r="B76" s="1" t="s">
        <v>88</v>
      </c>
      <c r="C76" s="1" t="s">
        <v>27</v>
      </c>
      <c r="D76" s="1" t="s">
        <v>33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>
        <v>50</v>
      </c>
      <c r="BK76" s="1">
        <v>50</v>
      </c>
      <c r="BL76" s="1"/>
      <c r="BM76" s="1"/>
      <c r="BN76" s="1">
        <v>50</v>
      </c>
      <c r="BO76" s="1">
        <v>50</v>
      </c>
      <c r="BP76" s="1">
        <f>SUM(E76:BO76)</f>
        <v>200</v>
      </c>
      <c r="BQ76" s="1">
        <v>90</v>
      </c>
      <c r="BR76" s="17">
        <v>2</v>
      </c>
      <c r="BS76" s="17" t="s">
        <v>233</v>
      </c>
      <c r="BT76" s="1" t="str">
        <f>IF(AQ76&gt;AQ$116, AQ76-AQ$116,"")</f>
        <v/>
      </c>
      <c r="BU76" s="1" t="str">
        <f>IF(AR76&gt;AR$116, AR76-AR$116,"")</f>
        <v/>
      </c>
      <c r="BV76" s="1" t="str">
        <f>IF(AS76&gt;AS$116, AS76-AS$116,"")</f>
        <v/>
      </c>
      <c r="BW76" s="1" t="str">
        <f>IF(AT76&gt;AT$116, AT76-AT$116,"")</f>
        <v/>
      </c>
      <c r="BX76" s="1" t="str">
        <f>IF(AU76&gt;AU$116, AU76-AU$116,"")</f>
        <v/>
      </c>
      <c r="BY76" s="1" t="str">
        <f>IF(AV76&gt;AV$116, AV76-AV$116,"")</f>
        <v/>
      </c>
      <c r="BZ76" s="1" t="str">
        <f>IF(AW76&gt;AW$116, AW76-AW$116,"")</f>
        <v/>
      </c>
      <c r="CA76" s="1" t="str">
        <f>IF(AX76&gt;AX$116, AX76-AX$116,"")</f>
        <v/>
      </c>
      <c r="CB76" s="1" t="str">
        <f>IF(AY76&gt;AY$116, AY76-AY$116,"")</f>
        <v/>
      </c>
      <c r="CC76" s="1" t="str">
        <f>IF(AZ76&gt;AZ$116, AZ76-AZ$116,"")</f>
        <v/>
      </c>
      <c r="CD76" s="1" t="str">
        <f>IF(BA76&gt;BA$116, BA76-BA$116,"")</f>
        <v/>
      </c>
      <c r="CE76" s="1" t="str">
        <f>IF(BB76&gt;BB$116, BB76-BB$116,"")</f>
        <v/>
      </c>
      <c r="CF76" s="1">
        <f>COUNTIF(BT76:CE76, "&gt;0")</f>
        <v>0</v>
      </c>
      <c r="CG76" s="1" t="str">
        <f>IF($CF76=1,BT76,"")</f>
        <v/>
      </c>
      <c r="CH76" s="1" t="str">
        <f>IF($CF76=1,BU76,"")</f>
        <v/>
      </c>
      <c r="CI76" s="1" t="str">
        <f>IF($CF76=1,BV76,"")</f>
        <v/>
      </c>
      <c r="CJ76" s="1" t="str">
        <f>IF($CF76=1,BW76,"")</f>
        <v/>
      </c>
      <c r="CK76" s="1" t="str">
        <f>IF($CF76=1,BX76,"")</f>
        <v/>
      </c>
      <c r="CL76" s="1" t="str">
        <f>IF($CF76=1,BY76,"")</f>
        <v/>
      </c>
      <c r="CM76" s="1" t="str">
        <f>IF($CF76=1,BZ76,"")</f>
        <v/>
      </c>
      <c r="CN76" s="1" t="str">
        <f>IF($CF76=1,CA76,"")</f>
        <v/>
      </c>
      <c r="CO76" s="1" t="str">
        <f>IF($CF76=1,CB76,"")</f>
        <v/>
      </c>
      <c r="CP76" s="1" t="str">
        <f>IF($CF76=1,CC76,"")</f>
        <v/>
      </c>
      <c r="CQ76" s="1" t="str">
        <f>IF($CF76=1,CD76,"")</f>
        <v/>
      </c>
      <c r="CR76" s="1" t="str">
        <f>IF($CF76=1,CE76,"")</f>
        <v/>
      </c>
      <c r="CS76" s="3">
        <f>SUM(AE76:BO76)</f>
        <v>200</v>
      </c>
    </row>
    <row r="77" spans="1:97" ht="27" x14ac:dyDescent="0.15">
      <c r="A77" s="1"/>
      <c r="B77" s="1" t="s">
        <v>161</v>
      </c>
      <c r="C77" s="1" t="s">
        <v>102</v>
      </c>
      <c r="D77" s="1" t="s">
        <v>103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>
        <v>50</v>
      </c>
      <c r="BK77" s="1">
        <v>50</v>
      </c>
      <c r="BL77" s="1"/>
      <c r="BM77" s="1"/>
      <c r="BN77" s="1">
        <v>50</v>
      </c>
      <c r="BO77" s="1">
        <v>50</v>
      </c>
      <c r="BP77" s="1">
        <f>SUM(E77:BO77)</f>
        <v>200</v>
      </c>
      <c r="BQ77" s="1">
        <v>90</v>
      </c>
      <c r="BR77" s="17">
        <v>2</v>
      </c>
      <c r="BS77" s="17" t="s">
        <v>233</v>
      </c>
      <c r="BT77" s="1" t="str">
        <f>IF(AQ77&gt;AQ$116, AQ77-AQ$116,"")</f>
        <v/>
      </c>
      <c r="BU77" s="1" t="str">
        <f>IF(AR77&gt;AR$116, AR77-AR$116,"")</f>
        <v/>
      </c>
      <c r="BV77" s="1" t="str">
        <f>IF(AS77&gt;AS$116, AS77-AS$116,"")</f>
        <v/>
      </c>
      <c r="BW77" s="1" t="str">
        <f>IF(AT77&gt;AT$116, AT77-AT$116,"")</f>
        <v/>
      </c>
      <c r="BX77" s="1" t="str">
        <f>IF(AU77&gt;AU$116, AU77-AU$116,"")</f>
        <v/>
      </c>
      <c r="BY77" s="1" t="str">
        <f>IF(AV77&gt;AV$116, AV77-AV$116,"")</f>
        <v/>
      </c>
      <c r="BZ77" s="1" t="str">
        <f>IF(AW77&gt;AW$116, AW77-AW$116,"")</f>
        <v/>
      </c>
      <c r="CA77" s="1" t="str">
        <f>IF(AX77&gt;AX$116, AX77-AX$116,"")</f>
        <v/>
      </c>
      <c r="CB77" s="1" t="str">
        <f>IF(AY77&gt;AY$116, AY77-AY$116,"")</f>
        <v/>
      </c>
      <c r="CC77" s="1" t="str">
        <f>IF(AZ77&gt;AZ$116, AZ77-AZ$116,"")</f>
        <v/>
      </c>
      <c r="CD77" s="1" t="str">
        <f>IF(BA77&gt;BA$116, BA77-BA$116,"")</f>
        <v/>
      </c>
      <c r="CE77" s="1" t="str">
        <f>IF(BB77&gt;BB$116, BB77-BB$116,"")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27" x14ac:dyDescent="0.15">
      <c r="A78" s="1"/>
      <c r="B78" s="1" t="s">
        <v>159</v>
      </c>
      <c r="C78" s="1" t="s">
        <v>136</v>
      </c>
      <c r="D78" s="1" t="s">
        <v>33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>
        <v>50</v>
      </c>
      <c r="BK78" s="1">
        <v>50</v>
      </c>
      <c r="BL78" s="1"/>
      <c r="BM78" s="1"/>
      <c r="BN78" s="1">
        <v>50</v>
      </c>
      <c r="BO78" s="1">
        <v>50</v>
      </c>
      <c r="BP78" s="1">
        <f>SUM(E78:BO78)</f>
        <v>200</v>
      </c>
      <c r="BQ78" s="1">
        <v>90</v>
      </c>
      <c r="BR78" s="17">
        <v>2</v>
      </c>
      <c r="BS78" s="17" t="s">
        <v>233</v>
      </c>
      <c r="BT78" s="1" t="str">
        <f>IF(AQ78&gt;AQ$116, AQ78-AQ$116,"")</f>
        <v/>
      </c>
      <c r="BU78" s="1" t="str">
        <f>IF(AR78&gt;AR$116, AR78-AR$116,"")</f>
        <v/>
      </c>
      <c r="BV78" s="1" t="str">
        <f>IF(AS78&gt;AS$116, AS78-AS$116,"")</f>
        <v/>
      </c>
      <c r="BW78" s="1" t="str">
        <f>IF(AT78&gt;AT$116, AT78-AT$116,"")</f>
        <v/>
      </c>
      <c r="BX78" s="1" t="str">
        <f>IF(AU78&gt;AU$116, AU78-AU$116,"")</f>
        <v/>
      </c>
      <c r="BY78" s="1" t="str">
        <f>IF(AV78&gt;AV$116, AV78-AV$116,"")</f>
        <v/>
      </c>
      <c r="BZ78" s="1" t="str">
        <f>IF(AW78&gt;AW$116, AW78-AW$116,"")</f>
        <v/>
      </c>
      <c r="CA78" s="1" t="str">
        <f>IF(AX78&gt;AX$116, AX78-AX$116,"")</f>
        <v/>
      </c>
      <c r="CB78" s="1" t="str">
        <f>IF(AY78&gt;AY$116, AY78-AY$116,"")</f>
        <v/>
      </c>
      <c r="CC78" s="1" t="str">
        <f>IF(AZ78&gt;AZ$116, AZ78-AZ$116,"")</f>
        <v/>
      </c>
      <c r="CD78" s="1" t="str">
        <f>IF(BA78&gt;BA$116, BA78-BA$116,"")</f>
        <v/>
      </c>
      <c r="CE78" s="1" t="str">
        <f>IF(BB78&gt;BB$116, BB78-BB$116,"")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27" x14ac:dyDescent="0.15">
      <c r="A79" s="1">
        <v>102</v>
      </c>
      <c r="B79" s="3" t="s">
        <v>193</v>
      </c>
      <c r="C79" s="3" t="s">
        <v>58</v>
      </c>
      <c r="D79" s="1" t="s">
        <v>33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>
        <v>50</v>
      </c>
      <c r="BK79" s="1">
        <v>50</v>
      </c>
      <c r="BL79" s="1"/>
      <c r="BM79" s="1"/>
      <c r="BN79" s="1">
        <v>50</v>
      </c>
      <c r="BO79" s="1">
        <v>50</v>
      </c>
      <c r="BP79" s="1">
        <f>SUM(E79:BO79)</f>
        <v>200</v>
      </c>
      <c r="BQ79" s="1">
        <v>90</v>
      </c>
      <c r="BR79" s="17">
        <v>2</v>
      </c>
      <c r="BS79" s="17" t="s">
        <v>233</v>
      </c>
      <c r="BT79" s="1" t="str">
        <f>IF(AQ79&gt;AQ$116, AQ79-AQ$116,"")</f>
        <v/>
      </c>
      <c r="BU79" s="1" t="str">
        <f>IF(AR79&gt;AR$116, AR79-AR$116,"")</f>
        <v/>
      </c>
      <c r="BV79" s="1" t="str">
        <f>IF(AS79&gt;AS$116, AS79-AS$116,"")</f>
        <v/>
      </c>
      <c r="BW79" s="1" t="str">
        <f>IF(AT79&gt;AT$116, AT79-AT$116,"")</f>
        <v/>
      </c>
      <c r="BX79" s="1" t="str">
        <f>IF(AU79&gt;AU$116, AU79-AU$116,"")</f>
        <v/>
      </c>
      <c r="BY79" s="1" t="str">
        <f>IF(AV79&gt;AV$116, AV79-AV$116,"")</f>
        <v/>
      </c>
      <c r="BZ79" s="1" t="str">
        <f>IF(AW79&gt;AW$116, AW79-AW$116,"")</f>
        <v/>
      </c>
      <c r="CA79" s="1" t="str">
        <f>IF(AX79&gt;AX$116, AX79-AX$116,"")</f>
        <v/>
      </c>
      <c r="CB79" s="1" t="str">
        <f>IF(AY79&gt;AY$116, AY79-AY$116,"")</f>
        <v/>
      </c>
      <c r="CC79" s="1" t="str">
        <f>IF(AZ79&gt;AZ$116, AZ79-AZ$116,"")</f>
        <v/>
      </c>
      <c r="CD79" s="1" t="str">
        <f>IF(BA79&gt;BA$116, BA79-BA$116,"")</f>
        <v/>
      </c>
      <c r="CE79" s="1" t="str">
        <f>IF(BB79&gt;BB$116, BB79-BB$116,"")</f>
        <v/>
      </c>
      <c r="CF79" s="1">
        <f>COUNTIF(BT79:CE79, "&gt;0")</f>
        <v>0</v>
      </c>
      <c r="CG79" s="1" t="str">
        <f>IF($CF79=1,BT79,"")</f>
        <v/>
      </c>
      <c r="CH79" s="1" t="str">
        <f>IF($CF79=1,BU79,"")</f>
        <v/>
      </c>
      <c r="CI79" s="1" t="str">
        <f>IF($CF79=1,BV79,"")</f>
        <v/>
      </c>
      <c r="CJ79" s="1" t="str">
        <f>IF($CF79=1,BW79,"")</f>
        <v/>
      </c>
      <c r="CK79" s="1" t="str">
        <f>IF($CF79=1,BX79,"")</f>
        <v/>
      </c>
      <c r="CL79" s="1" t="str">
        <f>IF($CF79=1,BY79,"")</f>
        <v/>
      </c>
      <c r="CM79" s="1" t="str">
        <f>IF($CF79=1,BZ79,"")</f>
        <v/>
      </c>
      <c r="CN79" s="1" t="str">
        <f>IF($CF79=1,CA79,"")</f>
        <v/>
      </c>
      <c r="CO79" s="1" t="str">
        <f>IF($CF79=1,CB79,"")</f>
        <v/>
      </c>
      <c r="CP79" s="1" t="str">
        <f>IF($CF79=1,CC79,"")</f>
        <v/>
      </c>
      <c r="CQ79" s="1" t="str">
        <f>IF($CF79=1,CD79,"")</f>
        <v/>
      </c>
      <c r="CR79" s="1" t="str">
        <f>IF($CF79=1,CE79,"")</f>
        <v/>
      </c>
      <c r="CS79" s="3">
        <f>SUM(AE79:BO79)</f>
        <v>200</v>
      </c>
    </row>
    <row r="80" spans="1:97" ht="40.5" x14ac:dyDescent="0.15">
      <c r="A80" s="1"/>
      <c r="B80" s="1" t="s">
        <v>141</v>
      </c>
      <c r="C80" s="1" t="s">
        <v>137</v>
      </c>
      <c r="D80" s="1" t="s">
        <v>109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>
        <v>2</v>
      </c>
      <c r="V80" s="28"/>
      <c r="W80" s="28"/>
      <c r="X80" s="28"/>
      <c r="Y80" s="28"/>
      <c r="Z80" s="28"/>
      <c r="AA80" s="28">
        <v>2</v>
      </c>
      <c r="AB80" s="28"/>
      <c r="AC80" s="28">
        <v>5</v>
      </c>
      <c r="AD80" s="28">
        <v>2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11</v>
      </c>
      <c r="BQ80" s="1">
        <v>6</v>
      </c>
      <c r="BR80" s="17">
        <v>3</v>
      </c>
      <c r="BS80" s="17" t="s">
        <v>223</v>
      </c>
      <c r="BT80" s="1" t="str">
        <f>IF(AQ80&gt;AQ$116, AQ80-AQ$116,"")</f>
        <v/>
      </c>
      <c r="BU80" s="1" t="str">
        <f>IF(AR80&gt;AR$116, AR80-AR$116,"")</f>
        <v/>
      </c>
      <c r="BV80" s="1" t="str">
        <f>IF(AS80&gt;AS$116, AS80-AS$116,"")</f>
        <v/>
      </c>
      <c r="BW80" s="1" t="str">
        <f>IF(AT80&gt;AT$116, AT80-AT$116,"")</f>
        <v/>
      </c>
      <c r="BX80" s="1" t="str">
        <f>IF(AU80&gt;AU$116, AU80-AU$116,"")</f>
        <v/>
      </c>
      <c r="BY80" s="1" t="str">
        <f>IF(AV80&gt;AV$116, AV80-AV$116,"")</f>
        <v/>
      </c>
      <c r="BZ80" s="1" t="str">
        <f>IF(AW80&gt;AW$116, AW80-AW$116,"")</f>
        <v/>
      </c>
      <c r="CA80" s="1" t="str">
        <f>IF(AX80&gt;AX$116, AX80-AX$116,"")</f>
        <v/>
      </c>
      <c r="CB80" s="1" t="str">
        <f>IF(AY80&gt;AY$116, AY80-AY$116,"")</f>
        <v/>
      </c>
      <c r="CC80" s="1" t="str">
        <f>IF(AZ80&gt;AZ$116, AZ80-AZ$116,"")</f>
        <v/>
      </c>
      <c r="CD80" s="1" t="str">
        <f>IF(BA80&gt;BA$116, BA80-BA$116,"")</f>
        <v/>
      </c>
      <c r="CE80" s="1" t="str">
        <f>IF(BB80&gt;BB$116, BB80-BB$116,"")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134</v>
      </c>
      <c r="C81" s="1" t="s">
        <v>135</v>
      </c>
      <c r="D81" s="1" t="s">
        <v>110</v>
      </c>
      <c r="E81" s="6"/>
      <c r="F81" s="6"/>
      <c r="G81" s="6"/>
      <c r="H81" s="6"/>
      <c r="I81" s="6"/>
      <c r="J81" s="6"/>
      <c r="K81" s="6"/>
      <c r="L81" s="6">
        <v>7</v>
      </c>
      <c r="M81" s="6"/>
      <c r="N81" s="6"/>
      <c r="O81" s="6"/>
      <c r="P81" s="28"/>
      <c r="Q81" s="28">
        <v>7</v>
      </c>
      <c r="R81" s="28"/>
      <c r="S81" s="28"/>
      <c r="T81" s="28">
        <v>7</v>
      </c>
      <c r="U81" s="28"/>
      <c r="V81" s="28"/>
      <c r="W81" s="28"/>
      <c r="X81" s="28">
        <v>7</v>
      </c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28</v>
      </c>
      <c r="BQ81" s="1">
        <v>9</v>
      </c>
      <c r="BR81" s="17">
        <v>3</v>
      </c>
      <c r="BS81" s="17" t="s">
        <v>224</v>
      </c>
      <c r="BT81" s="1" t="str">
        <f>IF(AQ81&gt;AQ$116, AQ81-AQ$116,"")</f>
        <v/>
      </c>
      <c r="BU81" s="1" t="str">
        <f>IF(AR81&gt;AR$116, AR81-AR$116,"")</f>
        <v/>
      </c>
      <c r="BV81" s="1" t="str">
        <f>IF(AS81&gt;AS$116, AS81-AS$116,"")</f>
        <v/>
      </c>
      <c r="BW81" s="1" t="str">
        <f>IF(AT81&gt;AT$116, AT81-AT$116,"")</f>
        <v/>
      </c>
      <c r="BX81" s="1" t="str">
        <f>IF(AU81&gt;AU$116, AU81-AU$116,"")</f>
        <v/>
      </c>
      <c r="BY81" s="1" t="str">
        <f>IF(AV81&gt;AV$116, AV81-AV$116,"")</f>
        <v/>
      </c>
      <c r="BZ81" s="1" t="str">
        <f>IF(AW81&gt;AW$116, AW81-AW$116,"")</f>
        <v/>
      </c>
      <c r="CA81" s="1" t="str">
        <f>IF(AX81&gt;AX$116, AX81-AX$116,"")</f>
        <v/>
      </c>
      <c r="CB81" s="1" t="str">
        <f>IF(AY81&gt;AY$116, AY81-AY$116,"")</f>
        <v/>
      </c>
      <c r="CC81" s="1" t="str">
        <f>IF(AZ81&gt;AZ$116, AZ81-AZ$116,"")</f>
        <v/>
      </c>
      <c r="CD81" s="1" t="str">
        <f>IF(BA81&gt;BA$116, BA81-BA$116,"")</f>
        <v/>
      </c>
      <c r="CE81" s="1" t="str">
        <f>IF(BB81&gt;BB$116, BB81-BB$116,"")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128</v>
      </c>
      <c r="C82" s="1" t="s">
        <v>126</v>
      </c>
      <c r="D82" s="1" t="s">
        <v>109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>
        <v>5</v>
      </c>
      <c r="R82" s="28"/>
      <c r="S82" s="28"/>
      <c r="T82" s="28">
        <v>5</v>
      </c>
      <c r="U82" s="28"/>
      <c r="V82" s="28"/>
      <c r="W82" s="28"/>
      <c r="X82" s="28"/>
      <c r="Y82" s="28"/>
      <c r="Z82" s="28">
        <v>5</v>
      </c>
      <c r="AA82" s="28">
        <v>2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17</v>
      </c>
      <c r="BQ82" s="1">
        <v>9</v>
      </c>
      <c r="BR82" s="17">
        <v>3</v>
      </c>
      <c r="BS82" s="17" t="s">
        <v>225</v>
      </c>
      <c r="BT82" s="1" t="str">
        <f>IF(AQ82&gt;AQ$116, AQ82-AQ$116,"")</f>
        <v/>
      </c>
      <c r="BU82" s="1" t="str">
        <f>IF(AR82&gt;AR$116, AR82-AR$116,"")</f>
        <v/>
      </c>
      <c r="BV82" s="1" t="str">
        <f>IF(AS82&gt;AS$116, AS82-AS$116,"")</f>
        <v/>
      </c>
      <c r="BW82" s="1" t="str">
        <f>IF(AT82&gt;AT$116, AT82-AT$116,"")</f>
        <v/>
      </c>
      <c r="BX82" s="1" t="str">
        <f>IF(AU82&gt;AU$116, AU82-AU$116,"")</f>
        <v/>
      </c>
      <c r="BY82" s="1" t="str">
        <f>IF(AV82&gt;AV$116, AV82-AV$116,"")</f>
        <v/>
      </c>
      <c r="BZ82" s="1" t="str">
        <f>IF(AW82&gt;AW$116, AW82-AW$116,"")</f>
        <v/>
      </c>
      <c r="CA82" s="1" t="str">
        <f>IF(AX82&gt;AX$116, AX82-AX$116,"")</f>
        <v/>
      </c>
      <c r="CB82" s="1" t="str">
        <f>IF(AY82&gt;AY$116, AY82-AY$116,"")</f>
        <v/>
      </c>
      <c r="CC82" s="1" t="str">
        <f>IF(AZ82&gt;AZ$116, AZ82-AZ$116,"")</f>
        <v/>
      </c>
      <c r="CD82" s="1" t="str">
        <f>IF(BA82&gt;BA$116, BA82-BA$116,"")</f>
        <v/>
      </c>
      <c r="CE82" s="1" t="str">
        <f>IF(BB82&gt;BB$116, BB82-BB$116,"")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138</v>
      </c>
      <c r="C83" s="1" t="s">
        <v>137</v>
      </c>
      <c r="D83" s="1" t="s">
        <v>109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>
        <v>5</v>
      </c>
      <c r="U83" s="28"/>
      <c r="V83" s="28"/>
      <c r="W83" s="28"/>
      <c r="X83" s="28"/>
      <c r="Y83" s="28"/>
      <c r="Z83" s="28">
        <v>5</v>
      </c>
      <c r="AA83" s="28">
        <v>2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17</v>
      </c>
      <c r="BQ83" s="1">
        <v>9</v>
      </c>
      <c r="BR83" s="17">
        <v>3</v>
      </c>
      <c r="BS83" s="17" t="s">
        <v>263</v>
      </c>
      <c r="BT83" s="1" t="str">
        <f>IF(AQ83&gt;AQ$116, AQ83-AQ$116,"")</f>
        <v/>
      </c>
      <c r="BU83" s="1" t="str">
        <f>IF(AR83&gt;AR$116, AR83-AR$116,"")</f>
        <v/>
      </c>
      <c r="BV83" s="1" t="str">
        <f>IF(AS83&gt;AS$116, AS83-AS$116,"")</f>
        <v/>
      </c>
      <c r="BW83" s="1" t="str">
        <f>IF(AT83&gt;AT$116, AT83-AT$116,"")</f>
        <v/>
      </c>
      <c r="BX83" s="1" t="str">
        <f>IF(AU83&gt;AU$116, AU83-AU$116,"")</f>
        <v/>
      </c>
      <c r="BY83" s="1" t="str">
        <f>IF(AV83&gt;AV$116, AV83-AV$116,"")</f>
        <v/>
      </c>
      <c r="BZ83" s="1" t="str">
        <f>IF(AW83&gt;AW$116, AW83-AW$116,"")</f>
        <v/>
      </c>
      <c r="CA83" s="1" t="str">
        <f>IF(AX83&gt;AX$116, AX83-AX$116,"")</f>
        <v/>
      </c>
      <c r="CB83" s="1" t="str">
        <f>IF(AY83&gt;AY$116, AY83-AY$116,"")</f>
        <v/>
      </c>
      <c r="CC83" s="1" t="str">
        <f>IF(AZ83&gt;AZ$116, AZ83-AZ$116,"")</f>
        <v/>
      </c>
      <c r="CD83" s="1" t="str">
        <f>IF(BA83&gt;BA$116, BA83-BA$116,"")</f>
        <v/>
      </c>
      <c r="CE83" s="1" t="str">
        <f>IF(BB83&gt;BB$116, BB83-BB$116,"")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144</v>
      </c>
      <c r="C84" s="1" t="s">
        <v>105</v>
      </c>
      <c r="D84" s="1" t="s">
        <v>146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>
        <v>5</v>
      </c>
      <c r="R84" s="28"/>
      <c r="S84" s="28"/>
      <c r="T84" s="28">
        <v>5</v>
      </c>
      <c r="U84" s="28"/>
      <c r="V84" s="28"/>
      <c r="W84" s="28"/>
      <c r="X84" s="28"/>
      <c r="Y84" s="28"/>
      <c r="Z84" s="28">
        <v>5</v>
      </c>
      <c r="AA84" s="28">
        <v>2</v>
      </c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17</v>
      </c>
      <c r="BQ84" s="1">
        <v>9</v>
      </c>
      <c r="BR84" s="17">
        <v>3</v>
      </c>
      <c r="BS84" s="17" t="s">
        <v>225</v>
      </c>
      <c r="BT84" s="1" t="str">
        <f>IF(AQ84&gt;AQ$116, AQ84-AQ$116,"")</f>
        <v/>
      </c>
      <c r="BU84" s="1" t="str">
        <f>IF(AR84&gt;AR$116, AR84-AR$116,"")</f>
        <v/>
      </c>
      <c r="BV84" s="1" t="str">
        <f>IF(AS84&gt;AS$116, AS84-AS$116,"")</f>
        <v/>
      </c>
      <c r="BW84" s="1" t="str">
        <f>IF(AT84&gt;AT$116, AT84-AT$116,"")</f>
        <v/>
      </c>
      <c r="BX84" s="1" t="str">
        <f>IF(AU84&gt;AU$116, AU84-AU$116,"")</f>
        <v/>
      </c>
      <c r="BY84" s="1" t="str">
        <f>IF(AV84&gt;AV$116, AV84-AV$116,"")</f>
        <v/>
      </c>
      <c r="BZ84" s="1" t="str">
        <f>IF(AW84&gt;AW$116, AW84-AW$116,"")</f>
        <v/>
      </c>
      <c r="CA84" s="1" t="str">
        <f>IF(AX84&gt;AX$116, AX84-AX$116,"")</f>
        <v/>
      </c>
      <c r="CB84" s="1" t="str">
        <f>IF(AY84&gt;AY$116, AY84-AY$116,"")</f>
        <v/>
      </c>
      <c r="CC84" s="1" t="str">
        <f>IF(AZ84&gt;AZ$116, AZ84-AZ$116,"")</f>
        <v/>
      </c>
      <c r="CD84" s="1" t="str">
        <f>IF(BA84&gt;BA$116, BA84-BA$116,"")</f>
        <v/>
      </c>
      <c r="CE84" s="1" t="str">
        <f>IF(BB84&gt;BB$116, BB84-BB$116,"")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141</v>
      </c>
      <c r="C85" s="1" t="s">
        <v>137</v>
      </c>
      <c r="D85" s="1" t="s">
        <v>108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>
        <v>5</v>
      </c>
      <c r="R85" s="28"/>
      <c r="S85" s="28"/>
      <c r="T85" s="28">
        <v>5</v>
      </c>
      <c r="U85" s="28"/>
      <c r="V85" s="28"/>
      <c r="W85" s="28">
        <v>5</v>
      </c>
      <c r="X85" s="28"/>
      <c r="Y85" s="28"/>
      <c r="Z85" s="28">
        <v>5</v>
      </c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20</v>
      </c>
      <c r="BQ85" s="1">
        <v>11</v>
      </c>
      <c r="BR85" s="17">
        <v>3</v>
      </c>
      <c r="BS85" s="17" t="s">
        <v>226</v>
      </c>
      <c r="BT85" s="1" t="str">
        <f>IF(AQ85&gt;AQ$116, AQ85-AQ$116,"")</f>
        <v/>
      </c>
      <c r="BU85" s="1" t="str">
        <f>IF(AR85&gt;AR$116, AR85-AR$116,"")</f>
        <v/>
      </c>
      <c r="BV85" s="1" t="str">
        <f>IF(AS85&gt;AS$116, AS85-AS$116,"")</f>
        <v/>
      </c>
      <c r="BW85" s="1" t="str">
        <f>IF(AT85&gt;AT$116, AT85-AT$116,"")</f>
        <v/>
      </c>
      <c r="BX85" s="1" t="str">
        <f>IF(AU85&gt;AU$116, AU85-AU$116,"")</f>
        <v/>
      </c>
      <c r="BY85" s="1" t="str">
        <f>IF(AV85&gt;AV$116, AV85-AV$116,"")</f>
        <v/>
      </c>
      <c r="BZ85" s="1" t="str">
        <f>IF(AW85&gt;AW$116, AW85-AW$116,"")</f>
        <v/>
      </c>
      <c r="CA85" s="1" t="str">
        <f>IF(AX85&gt;AX$116, AX85-AX$116,"")</f>
        <v/>
      </c>
      <c r="CB85" s="1" t="str">
        <f>IF(AY85&gt;AY$116, AY85-AY$116,"")</f>
        <v/>
      </c>
      <c r="CC85" s="1" t="str">
        <f>IF(AZ85&gt;AZ$116, AZ85-AZ$116,"")</f>
        <v/>
      </c>
      <c r="CD85" s="1" t="str">
        <f>IF(BA85&gt;BA$116, BA85-BA$116,"")</f>
        <v/>
      </c>
      <c r="CE85" s="1" t="str">
        <f>IF(BB85&gt;BB$116, BB85-BB$116,"")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142</v>
      </c>
      <c r="C86" s="1" t="s">
        <v>137</v>
      </c>
      <c r="D86" s="1" t="s">
        <v>110</v>
      </c>
      <c r="E86" s="6"/>
      <c r="F86" s="6"/>
      <c r="G86" s="6">
        <v>5</v>
      </c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>
        <v>5</v>
      </c>
      <c r="W86" s="28"/>
      <c r="X86" s="28"/>
      <c r="Y86" s="28">
        <v>5</v>
      </c>
      <c r="Z86" s="28"/>
      <c r="AA86" s="28"/>
      <c r="AB86" s="28"/>
      <c r="AC86" s="28">
        <v>5</v>
      </c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20</v>
      </c>
      <c r="BQ86" s="1">
        <v>11</v>
      </c>
      <c r="BR86" s="17">
        <v>3</v>
      </c>
      <c r="BS86" s="17" t="s">
        <v>227</v>
      </c>
      <c r="BT86" s="1" t="str">
        <f>IF(AQ86&gt;AQ$116, AQ86-AQ$116,"")</f>
        <v/>
      </c>
      <c r="BU86" s="1" t="str">
        <f>IF(AR86&gt;AR$116, AR86-AR$116,"")</f>
        <v/>
      </c>
      <c r="BV86" s="1" t="str">
        <f>IF(AS86&gt;AS$116, AS86-AS$116,"")</f>
        <v/>
      </c>
      <c r="BW86" s="1" t="str">
        <f>IF(AT86&gt;AT$116, AT86-AT$116,"")</f>
        <v/>
      </c>
      <c r="BX86" s="1" t="str">
        <f>IF(AU86&gt;AU$116, AU86-AU$116,"")</f>
        <v/>
      </c>
      <c r="BY86" s="1" t="str">
        <f>IF(AV86&gt;AV$116, AV86-AV$116,"")</f>
        <v/>
      </c>
      <c r="BZ86" s="1" t="str">
        <f>IF(AW86&gt;AW$116, AW86-AW$116,"")</f>
        <v/>
      </c>
      <c r="CA86" s="1" t="str">
        <f>IF(AX86&gt;AX$116, AX86-AX$116,"")</f>
        <v/>
      </c>
      <c r="CB86" s="1" t="str">
        <f>IF(AY86&gt;AY$116, AY86-AY$116,"")</f>
        <v/>
      </c>
      <c r="CC86" s="1" t="str">
        <f>IF(AZ86&gt;AZ$116, AZ86-AZ$116,"")</f>
        <v/>
      </c>
      <c r="CD86" s="1" t="str">
        <f>IF(BA86&gt;BA$116, BA86-BA$116,"")</f>
        <v/>
      </c>
      <c r="CE86" s="1" t="str">
        <f>IF(BB86&gt;BB$116, BB86-BB$116,"")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132</v>
      </c>
      <c r="C87" s="1" t="s">
        <v>130</v>
      </c>
      <c r="D87" s="1" t="s">
        <v>110</v>
      </c>
      <c r="E87" s="6"/>
      <c r="F87" s="6"/>
      <c r="G87" s="6"/>
      <c r="H87" s="6"/>
      <c r="I87" s="6">
        <v>7</v>
      </c>
      <c r="J87" s="6"/>
      <c r="K87" s="6"/>
      <c r="L87" s="6"/>
      <c r="M87" s="6"/>
      <c r="N87" s="6"/>
      <c r="O87" s="6"/>
      <c r="P87" s="28"/>
      <c r="Q87" s="28">
        <v>7</v>
      </c>
      <c r="R87" s="28">
        <v>7</v>
      </c>
      <c r="S87" s="28"/>
      <c r="T87" s="28">
        <v>7</v>
      </c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28</v>
      </c>
      <c r="BQ87" s="1">
        <v>13</v>
      </c>
      <c r="BR87" s="17">
        <v>3</v>
      </c>
      <c r="BS87" s="17" t="s">
        <v>205</v>
      </c>
      <c r="BT87" s="1" t="str">
        <f>IF(AQ87&gt;AQ$116, AQ87-AQ$116,"")</f>
        <v/>
      </c>
      <c r="BU87" s="1" t="str">
        <f>IF(AR87&gt;AR$116, AR87-AR$116,"")</f>
        <v/>
      </c>
      <c r="BV87" s="1" t="str">
        <f>IF(AS87&gt;AS$116, AS87-AS$116,"")</f>
        <v/>
      </c>
      <c r="BW87" s="1" t="str">
        <f>IF(AT87&gt;AT$116, AT87-AT$116,"")</f>
        <v/>
      </c>
      <c r="BX87" s="1" t="str">
        <f>IF(AU87&gt;AU$116, AU87-AU$116,"")</f>
        <v/>
      </c>
      <c r="BY87" s="1" t="str">
        <f>IF(AV87&gt;AV$116, AV87-AV$116,"")</f>
        <v/>
      </c>
      <c r="BZ87" s="1" t="str">
        <f>IF(AW87&gt;AW$116, AW87-AW$116,"")</f>
        <v/>
      </c>
      <c r="CA87" s="1" t="str">
        <f>IF(AX87&gt;AX$116, AX87-AX$116,"")</f>
        <v/>
      </c>
      <c r="CB87" s="1" t="str">
        <f>IF(AY87&gt;AY$116, AY87-AY$116,"")</f>
        <v/>
      </c>
      <c r="CC87" s="1" t="str">
        <f>IF(AZ87&gt;AZ$116, AZ87-AZ$116,"")</f>
        <v/>
      </c>
      <c r="CD87" s="1" t="str">
        <f>IF(BA87&gt;BA$116, BA87-BA$116,"")</f>
        <v/>
      </c>
      <c r="CE87" s="1" t="str">
        <f>IF(BB87&gt;BB$116, BB87-BB$116,"")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128</v>
      </c>
      <c r="C88" s="1" t="s">
        <v>126</v>
      </c>
      <c r="D88" s="1" t="s">
        <v>110</v>
      </c>
      <c r="E88" s="6"/>
      <c r="F88" s="6"/>
      <c r="G88" s="6"/>
      <c r="H88" s="6">
        <v>7</v>
      </c>
      <c r="I88" s="6"/>
      <c r="J88" s="6"/>
      <c r="K88" s="6"/>
      <c r="L88" s="6"/>
      <c r="M88" s="6"/>
      <c r="N88" s="6"/>
      <c r="O88" s="6"/>
      <c r="P88" s="28"/>
      <c r="Q88" s="28">
        <v>7</v>
      </c>
      <c r="R88" s="28"/>
      <c r="S88" s="28"/>
      <c r="T88" s="28">
        <v>7</v>
      </c>
      <c r="U88" s="28"/>
      <c r="V88" s="28"/>
      <c r="W88" s="28"/>
      <c r="X88" s="28"/>
      <c r="Y88" s="28"/>
      <c r="Z88" s="28"/>
      <c r="AA88" s="28">
        <v>7</v>
      </c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28</v>
      </c>
      <c r="BQ88" s="1">
        <v>14</v>
      </c>
      <c r="BR88" s="17">
        <v>3</v>
      </c>
      <c r="BS88" s="17" t="s">
        <v>264</v>
      </c>
      <c r="BT88" s="1" t="str">
        <f>IF(AQ88&gt;AQ$116, AQ88-AQ$116,"")</f>
        <v/>
      </c>
      <c r="BU88" s="1" t="str">
        <f>IF(AR88&gt;AR$116, AR88-AR$116,"")</f>
        <v/>
      </c>
      <c r="BV88" s="1" t="str">
        <f>IF(AS88&gt;AS$116, AS88-AS$116,"")</f>
        <v/>
      </c>
      <c r="BW88" s="1" t="str">
        <f>IF(AT88&gt;AT$116, AT88-AT$116,"")</f>
        <v/>
      </c>
      <c r="BX88" s="1" t="str">
        <f>IF(AU88&gt;AU$116, AU88-AU$116,"")</f>
        <v/>
      </c>
      <c r="BY88" s="1" t="str">
        <f>IF(AV88&gt;AV$116, AV88-AV$116,"")</f>
        <v/>
      </c>
      <c r="BZ88" s="1" t="str">
        <f>IF(AW88&gt;AW$116, AW88-AW$116,"")</f>
        <v/>
      </c>
      <c r="CA88" s="1" t="str">
        <f>IF(AX88&gt;AX$116, AX88-AX$116,"")</f>
        <v/>
      </c>
      <c r="CB88" s="1" t="str">
        <f>IF(AY88&gt;AY$116, AY88-AY$116,"")</f>
        <v/>
      </c>
      <c r="CC88" s="1" t="str">
        <f>IF(AZ88&gt;AZ$116, AZ88-AZ$116,"")</f>
        <v/>
      </c>
      <c r="CD88" s="1" t="str">
        <f>IF(BA88&gt;BA$116, BA88-BA$116,"")</f>
        <v/>
      </c>
      <c r="CE88" s="1" t="str">
        <f>IF(BB88&gt;BB$116, BB88-BB$116,"")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>
        <v>28</v>
      </c>
      <c r="B89" s="1" t="s">
        <v>63</v>
      </c>
      <c r="C89" s="1" t="s">
        <v>27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>
        <v>5</v>
      </c>
      <c r="AI89" s="1">
        <v>5</v>
      </c>
      <c r="AJ89" s="1">
        <v>5</v>
      </c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15</v>
      </c>
      <c r="BQ89" s="1">
        <v>15</v>
      </c>
      <c r="BR89" s="17">
        <v>3</v>
      </c>
      <c r="BS89" s="17" t="s">
        <v>228</v>
      </c>
      <c r="BT89" s="1" t="str">
        <f>IF(AQ89&gt;AQ$116, AQ89-AQ$116,"")</f>
        <v/>
      </c>
      <c r="BU89" s="1" t="str">
        <f>IF(AR89&gt;AR$116, AR89-AR$116,"")</f>
        <v/>
      </c>
      <c r="BV89" s="1" t="str">
        <f>IF(AS89&gt;AS$116, AS89-AS$116,"")</f>
        <v/>
      </c>
      <c r="BW89" s="1" t="str">
        <f>IF(AT89&gt;AT$116, AT89-AT$116,"")</f>
        <v/>
      </c>
      <c r="BX89" s="1" t="str">
        <f>IF(AU89&gt;AU$116, AU89-AU$116,"")</f>
        <v/>
      </c>
      <c r="BY89" s="1" t="str">
        <f>IF(AV89&gt;AV$116, AV89-AV$116,"")</f>
        <v/>
      </c>
      <c r="BZ89" s="1" t="str">
        <f>IF(AW89&gt;AW$116, AW89-AW$116,"")</f>
        <v/>
      </c>
      <c r="CA89" s="1" t="str">
        <f>IF(AX89&gt;AX$116, AX89-AX$116,"")</f>
        <v/>
      </c>
      <c r="CB89" s="1" t="str">
        <f>IF(AY89&gt;AY$116, AY89-AY$116,"")</f>
        <v/>
      </c>
      <c r="CC89" s="1" t="str">
        <f>IF(AZ89&gt;AZ$116, AZ89-AZ$116,"")</f>
        <v/>
      </c>
      <c r="CD89" s="1" t="str">
        <f>IF(BA89&gt;BA$116, BA89-BA$116,"")</f>
        <v/>
      </c>
      <c r="CE89" s="1" t="str">
        <f>IF(BB89&gt;BB$116, BB89-BB$116,"")</f>
        <v/>
      </c>
      <c r="CF89" s="1">
        <f>COUNTIF(BT89:CE89, "&gt;0")</f>
        <v>0</v>
      </c>
      <c r="CG89" s="1" t="str">
        <f>IF($CF89=1,BT89,"")</f>
        <v/>
      </c>
      <c r="CH89" s="1" t="str">
        <f>IF($CF89=1,BU89,"")</f>
        <v/>
      </c>
      <c r="CI89" s="1" t="str">
        <f>IF($CF89=1,BV89,"")</f>
        <v/>
      </c>
      <c r="CJ89" s="1" t="str">
        <f>IF($CF89=1,BW89,"")</f>
        <v/>
      </c>
      <c r="CK89" s="1" t="str">
        <f>IF($CF89=1,BX89,"")</f>
        <v/>
      </c>
      <c r="CL89" s="1" t="str">
        <f>IF($CF89=1,BY89,"")</f>
        <v/>
      </c>
      <c r="CM89" s="1" t="str">
        <f>IF($CF89=1,BZ89,"")</f>
        <v/>
      </c>
      <c r="CN89" s="1" t="str">
        <f>IF($CF89=1,CA89,"")</f>
        <v/>
      </c>
      <c r="CO89" s="1" t="str">
        <f>IF($CF89=1,CB89,"")</f>
        <v/>
      </c>
      <c r="CP89" s="1" t="str">
        <f>IF($CF89=1,CC89,"")</f>
        <v/>
      </c>
      <c r="CQ89" s="1" t="str">
        <f>IF($CF89=1,CD89,"")</f>
        <v/>
      </c>
      <c r="CR89" s="1" t="str">
        <f>IF($CF89=1,CE89,"")</f>
        <v/>
      </c>
      <c r="CS89" s="3">
        <f>SUM(AE89:BO89)</f>
        <v>15</v>
      </c>
    </row>
    <row r="90" spans="1:97" ht="40.5" x14ac:dyDescent="0.15">
      <c r="A90" s="1">
        <v>89</v>
      </c>
      <c r="B90" s="3" t="s">
        <v>68</v>
      </c>
      <c r="C90" s="3" t="s">
        <v>69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>
        <v>5</v>
      </c>
      <c r="AG90" s="1"/>
      <c r="AH90" s="1">
        <v>5</v>
      </c>
      <c r="AI90" s="1">
        <v>5</v>
      </c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15</v>
      </c>
      <c r="BQ90" s="1">
        <v>15</v>
      </c>
      <c r="BR90" s="17">
        <v>3</v>
      </c>
      <c r="BS90" s="17" t="s">
        <v>229</v>
      </c>
      <c r="BT90" s="1" t="str">
        <f>IF(AQ90&gt;AQ$116, AQ90-AQ$116,"")</f>
        <v/>
      </c>
      <c r="BU90" s="1" t="str">
        <f>IF(AR90&gt;AR$116, AR90-AR$116,"")</f>
        <v/>
      </c>
      <c r="BV90" s="1" t="str">
        <f>IF(AS90&gt;AS$116, AS90-AS$116,"")</f>
        <v/>
      </c>
      <c r="BW90" s="1" t="str">
        <f>IF(AT90&gt;AT$116, AT90-AT$116,"")</f>
        <v/>
      </c>
      <c r="BX90" s="1" t="str">
        <f>IF(AU90&gt;AU$116, AU90-AU$116,"")</f>
        <v/>
      </c>
      <c r="BY90" s="1" t="str">
        <f>IF(AV90&gt;AV$116, AV90-AV$116,"")</f>
        <v/>
      </c>
      <c r="BZ90" s="1" t="str">
        <f>IF(AW90&gt;AW$116, AW90-AW$116,"")</f>
        <v/>
      </c>
      <c r="CA90" s="1" t="str">
        <f>IF(AX90&gt;AX$116, AX90-AX$116,"")</f>
        <v/>
      </c>
      <c r="CB90" s="1" t="str">
        <f>IF(AY90&gt;AY$116, AY90-AY$116,"")</f>
        <v/>
      </c>
      <c r="CC90" s="1" t="str">
        <f>IF(AZ90&gt;AZ$116, AZ90-AZ$116,"")</f>
        <v/>
      </c>
      <c r="CD90" s="1" t="str">
        <f>IF(BA90&gt;BA$116, BA90-BA$116,"")</f>
        <v/>
      </c>
      <c r="CE90" s="1" t="str">
        <f>IF(BB90&gt;BB$116, BB90-BB$116,"")</f>
        <v/>
      </c>
      <c r="CF90" s="1">
        <f>COUNTIF(BT90:CE90, "&gt;0")</f>
        <v>0</v>
      </c>
      <c r="CG90" s="1" t="str">
        <f>IF($CF90=1,BT90,"")</f>
        <v/>
      </c>
      <c r="CH90" s="1" t="str">
        <f>IF($CF90=1,BU90,"")</f>
        <v/>
      </c>
      <c r="CI90" s="1" t="str">
        <f>IF($CF90=1,BV90,"")</f>
        <v/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3">
        <f>SUM(AE90:BO90)</f>
        <v>15</v>
      </c>
    </row>
    <row r="91" spans="1:97" ht="40.5" x14ac:dyDescent="0.15">
      <c r="A91" s="1"/>
      <c r="B91" s="1" t="s">
        <v>133</v>
      </c>
      <c r="C91" s="1" t="s">
        <v>135</v>
      </c>
      <c r="D91" s="1" t="s">
        <v>110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>
        <v>10</v>
      </c>
      <c r="V91" s="28"/>
      <c r="W91" s="28"/>
      <c r="X91" s="28"/>
      <c r="Y91" s="28"/>
      <c r="Z91" s="28"/>
      <c r="AA91" s="28">
        <v>10</v>
      </c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23</v>
      </c>
      <c r="BR91" s="17">
        <v>3</v>
      </c>
      <c r="BS91" s="17" t="s">
        <v>265</v>
      </c>
      <c r="BT91" s="1" t="str">
        <f>IF(AQ91&gt;AQ$116, AQ91-AQ$116,"")</f>
        <v/>
      </c>
      <c r="BU91" s="1" t="str">
        <f>IF(AR91&gt;AR$116, AR91-AR$116,"")</f>
        <v/>
      </c>
      <c r="BV91" s="1" t="str">
        <f>IF(AS91&gt;AS$116, AS91-AS$116,"")</f>
        <v/>
      </c>
      <c r="BW91" s="1" t="str">
        <f>IF(AT91&gt;AT$116, AT91-AT$116,"")</f>
        <v/>
      </c>
      <c r="BX91" s="1" t="str">
        <f>IF(AU91&gt;AU$116, AU91-AU$116,"")</f>
        <v/>
      </c>
      <c r="BY91" s="1" t="str">
        <f>IF(AV91&gt;AV$116, AV91-AV$116,"")</f>
        <v/>
      </c>
      <c r="BZ91" s="1" t="str">
        <f>IF(AW91&gt;AW$116, AW91-AW$116,"")</f>
        <v/>
      </c>
      <c r="CA91" s="1" t="str">
        <f>IF(AX91&gt;AX$116, AX91-AX$116,"")</f>
        <v/>
      </c>
      <c r="CB91" s="1" t="str">
        <f>IF(AY91&gt;AY$116, AY91-AY$116,"")</f>
        <v/>
      </c>
      <c r="CC91" s="1" t="str">
        <f>IF(AZ91&gt;AZ$116, AZ91-AZ$116,"")</f>
        <v/>
      </c>
      <c r="CD91" s="1" t="str">
        <f>IF(BA91&gt;BA$116, BA91-BA$116,"")</f>
        <v/>
      </c>
      <c r="CE91" s="1" t="str">
        <f>IF(BB91&gt;BB$116, BB91-BB$116,"")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143</v>
      </c>
      <c r="C92" s="1" t="s">
        <v>137</v>
      </c>
      <c r="D92" s="1" t="s">
        <v>110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23</v>
      </c>
      <c r="BR92" s="17">
        <v>3</v>
      </c>
      <c r="BS92" s="17" t="s">
        <v>265</v>
      </c>
      <c r="BT92" s="1" t="str">
        <f>IF(AQ92&gt;AQ$116, AQ92-AQ$116,"")</f>
        <v/>
      </c>
      <c r="BU92" s="1" t="str">
        <f>IF(AR92&gt;AR$116, AR92-AR$116,"")</f>
        <v/>
      </c>
      <c r="BV92" s="1" t="str">
        <f>IF(AS92&gt;AS$116, AS92-AS$116,"")</f>
        <v/>
      </c>
      <c r="BW92" s="1" t="str">
        <f>IF(AT92&gt;AT$116, AT92-AT$116,"")</f>
        <v/>
      </c>
      <c r="BX92" s="1" t="str">
        <f>IF(AU92&gt;AU$116, AU92-AU$116,"")</f>
        <v/>
      </c>
      <c r="BY92" s="1" t="str">
        <f>IF(AV92&gt;AV$116, AV92-AV$116,"")</f>
        <v/>
      </c>
      <c r="BZ92" s="1" t="str">
        <f>IF(AW92&gt;AW$116, AW92-AW$116,"")</f>
        <v/>
      </c>
      <c r="CA92" s="1" t="str">
        <f>IF(AX92&gt;AX$116, AX92-AX$116,"")</f>
        <v/>
      </c>
      <c r="CB92" s="1" t="str">
        <f>IF(AY92&gt;AY$116, AY92-AY$116,"")</f>
        <v/>
      </c>
      <c r="CC92" s="1" t="str">
        <f>IF(AZ92&gt;AZ$116, AZ92-AZ$116,"")</f>
        <v/>
      </c>
      <c r="CD92" s="1" t="str">
        <f>IF(BA92&gt;BA$116, BA92-BA$116,"")</f>
        <v/>
      </c>
      <c r="CE92" s="1" t="str">
        <f>IF(BB92&gt;BB$116, BB92-BB$116,"")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>
        <v>85</v>
      </c>
      <c r="B93" s="3" t="s">
        <v>174</v>
      </c>
      <c r="C93" s="3" t="s">
        <v>55</v>
      </c>
      <c r="D93" s="1" t="s">
        <v>33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>
        <v>50</v>
      </c>
      <c r="BM93" s="1">
        <v>50</v>
      </c>
      <c r="BN93" s="1">
        <v>50</v>
      </c>
      <c r="BO93" s="1">
        <v>50</v>
      </c>
      <c r="BP93" s="1">
        <f>SUM(E93:BO93)</f>
        <v>200</v>
      </c>
      <c r="BQ93" s="1">
        <v>132</v>
      </c>
      <c r="BR93" s="17">
        <v>3</v>
      </c>
      <c r="BS93" s="17" t="s">
        <v>266</v>
      </c>
      <c r="BT93" s="1" t="str">
        <f>IF(AQ93&gt;AQ$116, AQ93-AQ$116,"")</f>
        <v/>
      </c>
      <c r="BU93" s="1" t="str">
        <f>IF(AR93&gt;AR$116, AR93-AR$116,"")</f>
        <v/>
      </c>
      <c r="BV93" s="1" t="str">
        <f>IF(AS93&gt;AS$116, AS93-AS$116,"")</f>
        <v/>
      </c>
      <c r="BW93" s="1" t="str">
        <f>IF(AT93&gt;AT$116, AT93-AT$116,"")</f>
        <v/>
      </c>
      <c r="BX93" s="1" t="str">
        <f>IF(AU93&gt;AU$116, AU93-AU$116,"")</f>
        <v/>
      </c>
      <c r="BY93" s="1" t="str">
        <f>IF(AV93&gt;AV$116, AV93-AV$116,"")</f>
        <v/>
      </c>
      <c r="BZ93" s="1" t="str">
        <f>IF(AW93&gt;AW$116, AW93-AW$116,"")</f>
        <v/>
      </c>
      <c r="CA93" s="1" t="str">
        <f>IF(AX93&gt;AX$116, AX93-AX$116,"")</f>
        <v/>
      </c>
      <c r="CB93" s="1" t="str">
        <f>IF(AY93&gt;AY$116, AY93-AY$116,"")</f>
        <v/>
      </c>
      <c r="CC93" s="1" t="str">
        <f>IF(AZ93&gt;AZ$116, AZ93-AZ$116,"")</f>
        <v/>
      </c>
      <c r="CD93" s="1" t="str">
        <f>IF(BA93&gt;BA$116, BA93-BA$116,"")</f>
        <v/>
      </c>
      <c r="CE93" s="1" t="str">
        <f>IF(BB93&gt;BB$116, BB93-BB$116,"")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3">
        <f>SUM(AE93:BO93)</f>
        <v>200</v>
      </c>
    </row>
    <row r="94" spans="1:97" ht="40.5" x14ac:dyDescent="0.15">
      <c r="A94" s="1"/>
      <c r="B94" s="1" t="s">
        <v>171</v>
      </c>
      <c r="C94" s="1" t="s">
        <v>105</v>
      </c>
      <c r="D94" s="1" t="s">
        <v>103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>
        <v>50</v>
      </c>
      <c r="BM94" s="1">
        <v>50</v>
      </c>
      <c r="BN94" s="1">
        <v>50</v>
      </c>
      <c r="BO94" s="1">
        <v>50</v>
      </c>
      <c r="BP94" s="1">
        <f>SUM(E94:BO94)</f>
        <v>200</v>
      </c>
      <c r="BQ94" s="1">
        <v>132</v>
      </c>
      <c r="BR94" s="17">
        <v>3</v>
      </c>
      <c r="BS94" s="17" t="s">
        <v>230</v>
      </c>
      <c r="BT94" s="1" t="str">
        <f>IF(AQ94&gt;AQ$116, AQ94-AQ$116,"")</f>
        <v/>
      </c>
      <c r="BU94" s="1" t="str">
        <f>IF(AR94&gt;AR$116, AR94-AR$116,"")</f>
        <v/>
      </c>
      <c r="BV94" s="1" t="str">
        <f>IF(AS94&gt;AS$116, AS94-AS$116,"")</f>
        <v/>
      </c>
      <c r="BW94" s="1" t="str">
        <f>IF(AT94&gt;AT$116, AT94-AT$116,"")</f>
        <v/>
      </c>
      <c r="BX94" s="1" t="str">
        <f>IF(AU94&gt;AU$116, AU94-AU$116,"")</f>
        <v/>
      </c>
      <c r="BY94" s="1" t="str">
        <f>IF(AV94&gt;AV$116, AV94-AV$116,"")</f>
        <v/>
      </c>
      <c r="BZ94" s="1" t="str">
        <f>IF(AW94&gt;AW$116, AW94-AW$116,"")</f>
        <v/>
      </c>
      <c r="CA94" s="1" t="str">
        <f>IF(AX94&gt;AX$116, AX94-AX$116,"")</f>
        <v/>
      </c>
      <c r="CB94" s="1" t="str">
        <f>IF(AY94&gt;AY$116, AY94-AY$116,"")</f>
        <v/>
      </c>
      <c r="CC94" s="1" t="str">
        <f>IF(AZ94&gt;AZ$116, AZ94-AZ$116,"")</f>
        <v/>
      </c>
      <c r="CD94" s="1" t="str">
        <f>IF(BA94&gt;BA$116, BA94-BA$116,"")</f>
        <v/>
      </c>
      <c r="CE94" s="1" t="str">
        <f>IF(BB94&gt;BB$116, BB94-BB$116,"")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/>
      <c r="B95" s="1" t="s">
        <v>192</v>
      </c>
      <c r="C95" s="1" t="s">
        <v>105</v>
      </c>
      <c r="D95" s="1" t="s">
        <v>103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>
        <v>50</v>
      </c>
      <c r="BM95" s="1">
        <v>50</v>
      </c>
      <c r="BN95" s="1">
        <v>50</v>
      </c>
      <c r="BO95" s="1">
        <v>50</v>
      </c>
      <c r="BP95" s="1">
        <f>SUM(E95:BO95)</f>
        <v>200</v>
      </c>
      <c r="BQ95" s="1">
        <v>132</v>
      </c>
      <c r="BR95" s="17">
        <v>3</v>
      </c>
      <c r="BS95" s="17" t="s">
        <v>266</v>
      </c>
      <c r="BT95" s="1" t="str">
        <f>IF(AQ95&gt;AQ$116, AQ95-AQ$116,"")</f>
        <v/>
      </c>
      <c r="BU95" s="1" t="str">
        <f>IF(AR95&gt;AR$116, AR95-AR$116,"")</f>
        <v/>
      </c>
      <c r="BV95" s="1" t="str">
        <f>IF(AS95&gt;AS$116, AS95-AS$116,"")</f>
        <v/>
      </c>
      <c r="BW95" s="1" t="str">
        <f>IF(AT95&gt;AT$116, AT95-AT$116,"")</f>
        <v/>
      </c>
      <c r="BX95" s="1" t="str">
        <f>IF(AU95&gt;AU$116, AU95-AU$116,"")</f>
        <v/>
      </c>
      <c r="BY95" s="1" t="str">
        <f>IF(AV95&gt;AV$116, AV95-AV$116,"")</f>
        <v/>
      </c>
      <c r="BZ95" s="1" t="str">
        <f>IF(AW95&gt;AW$116, AW95-AW$116,"")</f>
        <v/>
      </c>
      <c r="CA95" s="1" t="str">
        <f>IF(AX95&gt;AX$116, AX95-AX$116,"")</f>
        <v/>
      </c>
      <c r="CB95" s="1" t="str">
        <f>IF(AY95&gt;AY$116, AY95-AY$116,"")</f>
        <v/>
      </c>
      <c r="CC95" s="1" t="str">
        <f>IF(AZ95&gt;AZ$116, AZ95-AZ$116,"")</f>
        <v/>
      </c>
      <c r="CD95" s="1" t="str">
        <f>IF(BA95&gt;BA$116, BA95-BA$116,"")</f>
        <v/>
      </c>
      <c r="CE95" s="1" t="str">
        <f>IF(BB95&gt;BB$116, BB95-BB$116,"")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139</v>
      </c>
      <c r="C96" s="1" t="s">
        <v>137</v>
      </c>
      <c r="D96" s="1" t="s">
        <v>109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>
        <v>5</v>
      </c>
      <c r="R96" s="28"/>
      <c r="S96" s="28"/>
      <c r="T96" s="28"/>
      <c r="U96" s="28"/>
      <c r="V96" s="28">
        <v>10</v>
      </c>
      <c r="W96" s="28"/>
      <c r="X96" s="28"/>
      <c r="Y96" s="28"/>
      <c r="Z96" s="28">
        <v>5</v>
      </c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30</v>
      </c>
      <c r="BQ96" s="1">
        <v>18</v>
      </c>
      <c r="BR96" s="17">
        <v>4</v>
      </c>
      <c r="BS96" s="17" t="s">
        <v>231</v>
      </c>
      <c r="BT96" s="1" t="str">
        <f>IF(AQ96&gt;AQ$116, AQ96-AQ$116,"")</f>
        <v/>
      </c>
      <c r="BU96" s="1" t="str">
        <f>IF(AR96&gt;AR$116, AR96-AR$116,"")</f>
        <v/>
      </c>
      <c r="BV96" s="1" t="str">
        <f>IF(AS96&gt;AS$116, AS96-AS$116,"")</f>
        <v/>
      </c>
      <c r="BW96" s="1" t="str">
        <f>IF(AT96&gt;AT$116, AT96-AT$116,"")</f>
        <v/>
      </c>
      <c r="BX96" s="1" t="str">
        <f>IF(AU96&gt;AU$116, AU96-AU$116,"")</f>
        <v/>
      </c>
      <c r="BY96" s="1" t="str">
        <f>IF(AV96&gt;AV$116, AV96-AV$116,"")</f>
        <v/>
      </c>
      <c r="BZ96" s="1" t="str">
        <f>IF(AW96&gt;AW$116, AW96-AW$116,"")</f>
        <v/>
      </c>
      <c r="CA96" s="1" t="str">
        <f>IF(AX96&gt;AX$116, AX96-AX$116,"")</f>
        <v/>
      </c>
      <c r="CB96" s="1" t="str">
        <f>IF(AY96&gt;AY$116, AY96-AY$116,"")</f>
        <v/>
      </c>
      <c r="CC96" s="1" t="str">
        <f>IF(AZ96&gt;AZ$116, AZ96-AZ$116,"")</f>
        <v/>
      </c>
      <c r="CD96" s="1" t="str">
        <f>IF(BA96&gt;BA$116, BA96-BA$116,"")</f>
        <v/>
      </c>
      <c r="CE96" s="1" t="str">
        <f>IF(BB96&gt;BB$116, BB96-BB$116,"")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119</v>
      </c>
      <c r="C97" s="1" t="s">
        <v>107</v>
      </c>
      <c r="D97" s="1" t="s">
        <v>108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267</v>
      </c>
      <c r="BT97" s="1" t="str">
        <f>IF(AQ97&gt;AQ$116, AQ97-AQ$116,"")</f>
        <v/>
      </c>
      <c r="BU97" s="1" t="str">
        <f>IF(AR97&gt;AR$116, AR97-AR$116,"")</f>
        <v/>
      </c>
      <c r="BV97" s="1" t="str">
        <f>IF(AS97&gt;AS$116, AS97-AS$116,"")</f>
        <v/>
      </c>
      <c r="BW97" s="1" t="str">
        <f>IF(AT97&gt;AT$116, AT97-AT$116,"")</f>
        <v/>
      </c>
      <c r="BX97" s="1" t="str">
        <f>IF(AU97&gt;AU$116, AU97-AU$116,"")</f>
        <v/>
      </c>
      <c r="BY97" s="1" t="str">
        <f>IF(AV97&gt;AV$116, AV97-AV$116,"")</f>
        <v/>
      </c>
      <c r="BZ97" s="1" t="str">
        <f>IF(AW97&gt;AW$116, AW97-AW$116,"")</f>
        <v/>
      </c>
      <c r="CA97" s="1" t="str">
        <f>IF(AX97&gt;AX$116, AX97-AX$116,"")</f>
        <v/>
      </c>
      <c r="CB97" s="1" t="str">
        <f>IF(AY97&gt;AY$116, AY97-AY$116,"")</f>
        <v/>
      </c>
      <c r="CC97" s="1" t="str">
        <f>IF(AZ97&gt;AZ$116, AZ97-AZ$116,"")</f>
        <v/>
      </c>
      <c r="CD97" s="1" t="str">
        <f>IF(BA97&gt;BA$116, BA97-BA$116,"")</f>
        <v/>
      </c>
      <c r="CE97" s="1" t="str">
        <f>IF(BB97&gt;BB$116, BB97-BB$116,"")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124</v>
      </c>
      <c r="C98" s="1" t="s">
        <v>107</v>
      </c>
      <c r="D98" s="1" t="s">
        <v>108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267</v>
      </c>
      <c r="BT98" s="1" t="str">
        <f>IF(AQ98&gt;AQ$116, AQ98-AQ$116,"")</f>
        <v/>
      </c>
      <c r="BU98" s="1" t="str">
        <f>IF(AR98&gt;AR$116, AR98-AR$116,"")</f>
        <v/>
      </c>
      <c r="BV98" s="1" t="str">
        <f>IF(AS98&gt;AS$116, AS98-AS$116,"")</f>
        <v/>
      </c>
      <c r="BW98" s="1" t="str">
        <f>IF(AT98&gt;AT$116, AT98-AT$116,"")</f>
        <v/>
      </c>
      <c r="BX98" s="1" t="str">
        <f>IF(AU98&gt;AU$116, AU98-AU$116,"")</f>
        <v/>
      </c>
      <c r="BY98" s="1" t="str">
        <f>IF(AV98&gt;AV$116, AV98-AV$116,"")</f>
        <v/>
      </c>
      <c r="BZ98" s="1" t="str">
        <f>IF(AW98&gt;AW$116, AW98-AW$116,"")</f>
        <v/>
      </c>
      <c r="CA98" s="1" t="str">
        <f>IF(AX98&gt;AX$116, AX98-AX$116,"")</f>
        <v/>
      </c>
      <c r="CB98" s="1" t="str">
        <f>IF(AY98&gt;AY$116, AY98-AY$116,"")</f>
        <v/>
      </c>
      <c r="CC98" s="1" t="str">
        <f>IF(AZ98&gt;AZ$116, AZ98-AZ$116,"")</f>
        <v/>
      </c>
      <c r="CD98" s="1" t="str">
        <f>IF(BA98&gt;BA$116, BA98-BA$116,"")</f>
        <v/>
      </c>
      <c r="CE98" s="1" t="str">
        <f>IF(BB98&gt;BB$116, BB98-BB$116,"")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128</v>
      </c>
      <c r="C99" s="1" t="s">
        <v>126</v>
      </c>
      <c r="D99" s="1" t="s">
        <v>108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267</v>
      </c>
      <c r="BT99" s="1" t="str">
        <f>IF(AQ99&gt;AQ$116, AQ99-AQ$116,"")</f>
        <v/>
      </c>
      <c r="BU99" s="1" t="str">
        <f>IF(AR99&gt;AR$116, AR99-AR$116,"")</f>
        <v/>
      </c>
      <c r="BV99" s="1" t="str">
        <f>IF(AS99&gt;AS$116, AS99-AS$116,"")</f>
        <v/>
      </c>
      <c r="BW99" s="1" t="str">
        <f>IF(AT99&gt;AT$116, AT99-AT$116,"")</f>
        <v/>
      </c>
      <c r="BX99" s="1" t="str">
        <f>IF(AU99&gt;AU$116, AU99-AU$116,"")</f>
        <v/>
      </c>
      <c r="BY99" s="1" t="str">
        <f>IF(AV99&gt;AV$116, AV99-AV$116,"")</f>
        <v/>
      </c>
      <c r="BZ99" s="1" t="str">
        <f>IF(AW99&gt;AW$116, AW99-AW$116,"")</f>
        <v/>
      </c>
      <c r="CA99" s="1" t="str">
        <f>IF(AX99&gt;AX$116, AX99-AX$116,"")</f>
        <v/>
      </c>
      <c r="CB99" s="1" t="str">
        <f>IF(AY99&gt;AY$116, AY99-AY$116,"")</f>
        <v/>
      </c>
      <c r="CC99" s="1" t="str">
        <f>IF(AZ99&gt;AZ$116, AZ99-AZ$116,"")</f>
        <v/>
      </c>
      <c r="CD99" s="1" t="str">
        <f>IF(BA99&gt;BA$116, BA99-BA$116,"")</f>
        <v/>
      </c>
      <c r="CE99" s="1" t="str">
        <f>IF(BB99&gt;BB$116, BB99-BB$116,"")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132</v>
      </c>
      <c r="C100" s="1" t="s">
        <v>130</v>
      </c>
      <c r="D100" s="1" t="s">
        <v>108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267</v>
      </c>
      <c r="BT100" s="1" t="str">
        <f>IF(AQ100&gt;AQ$116, AQ100-AQ$116,"")</f>
        <v/>
      </c>
      <c r="BU100" s="1" t="str">
        <f>IF(AR100&gt;AR$116, AR100-AR$116,"")</f>
        <v/>
      </c>
      <c r="BV100" s="1" t="str">
        <f>IF(AS100&gt;AS$116, AS100-AS$116,"")</f>
        <v/>
      </c>
      <c r="BW100" s="1" t="str">
        <f>IF(AT100&gt;AT$116, AT100-AT$116,"")</f>
        <v/>
      </c>
      <c r="BX100" s="1" t="str">
        <f>IF(AU100&gt;AU$116, AU100-AU$116,"")</f>
        <v/>
      </c>
      <c r="BY100" s="1" t="str">
        <f>IF(AV100&gt;AV$116, AV100-AV$116,"")</f>
        <v/>
      </c>
      <c r="BZ100" s="1" t="str">
        <f>IF(AW100&gt;AW$116, AW100-AW$116,"")</f>
        <v/>
      </c>
      <c r="CA100" s="1" t="str">
        <f>IF(AX100&gt;AX$116, AX100-AX$116,"")</f>
        <v/>
      </c>
      <c r="CB100" s="1" t="str">
        <f>IF(AY100&gt;AY$116, AY100-AY$116,"")</f>
        <v/>
      </c>
      <c r="CC100" s="1" t="str">
        <f>IF(AZ100&gt;AZ$116, AZ100-AZ$116,"")</f>
        <v/>
      </c>
      <c r="CD100" s="1" t="str">
        <f>IF(BA100&gt;BA$116, BA100-BA$116,"")</f>
        <v/>
      </c>
      <c r="CE100" s="1" t="str">
        <f>IF(BB100&gt;BB$116, BB100-BB$116,"")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138</v>
      </c>
      <c r="C101" s="1" t="s">
        <v>137</v>
      </c>
      <c r="D101" s="1" t="s">
        <v>108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204</v>
      </c>
      <c r="BT101" s="1" t="str">
        <f>IF(AQ101&gt;AQ$116, AQ101-AQ$116,"")</f>
        <v/>
      </c>
      <c r="BU101" s="1" t="str">
        <f>IF(AR101&gt;AR$116, AR101-AR$116,"")</f>
        <v/>
      </c>
      <c r="BV101" s="1" t="str">
        <f>IF(AS101&gt;AS$116, AS101-AS$116,"")</f>
        <v/>
      </c>
      <c r="BW101" s="1" t="str">
        <f>IF(AT101&gt;AT$116, AT101-AT$116,"")</f>
        <v/>
      </c>
      <c r="BX101" s="1" t="str">
        <f>IF(AU101&gt;AU$116, AU101-AU$116,"")</f>
        <v/>
      </c>
      <c r="BY101" s="1" t="str">
        <f>IF(AV101&gt;AV$116, AV101-AV$116,"")</f>
        <v/>
      </c>
      <c r="BZ101" s="1" t="str">
        <f>IF(AW101&gt;AW$116, AW101-AW$116,"")</f>
        <v/>
      </c>
      <c r="CA101" s="1" t="str">
        <f>IF(AX101&gt;AX$116, AX101-AX$116,"")</f>
        <v/>
      </c>
      <c r="CB101" s="1" t="str">
        <f>IF(AY101&gt;AY$116, AY101-AY$116,"")</f>
        <v/>
      </c>
      <c r="CC101" s="1" t="str">
        <f>IF(AZ101&gt;AZ$116, AZ101-AZ$116,"")</f>
        <v/>
      </c>
      <c r="CD101" s="1" t="str">
        <f>IF(BA101&gt;BA$116, BA101-BA$116,"")</f>
        <v/>
      </c>
      <c r="CE101" s="1" t="str">
        <f>IF(BB101&gt;BB$116, BB101-BB$116,"")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144</v>
      </c>
      <c r="C102" s="1" t="s">
        <v>105</v>
      </c>
      <c r="D102" s="1" t="s">
        <v>145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204</v>
      </c>
      <c r="BT102" s="1" t="str">
        <f>IF(AQ102&gt;AQ$116, AQ102-AQ$116,"")</f>
        <v/>
      </c>
      <c r="BU102" s="1" t="str">
        <f>IF(AR102&gt;AR$116, AR102-AR$116,"")</f>
        <v/>
      </c>
      <c r="BV102" s="1" t="str">
        <f>IF(AS102&gt;AS$116, AS102-AS$116,"")</f>
        <v/>
      </c>
      <c r="BW102" s="1" t="str">
        <f>IF(AT102&gt;AT$116, AT102-AT$116,"")</f>
        <v/>
      </c>
      <c r="BX102" s="1" t="str">
        <f>IF(AU102&gt;AU$116, AU102-AU$116,"")</f>
        <v/>
      </c>
      <c r="BY102" s="1" t="str">
        <f>IF(AV102&gt;AV$116, AV102-AV$116,"")</f>
        <v/>
      </c>
      <c r="BZ102" s="1" t="str">
        <f>IF(AW102&gt;AW$116, AW102-AW$116,"")</f>
        <v/>
      </c>
      <c r="CA102" s="1" t="str">
        <f>IF(AX102&gt;AX$116, AX102-AX$116,"")</f>
        <v/>
      </c>
      <c r="CB102" s="1" t="str">
        <f>IF(AY102&gt;AY$116, AY102-AY$116,"")</f>
        <v/>
      </c>
      <c r="CC102" s="1" t="str">
        <f>IF(AZ102&gt;AZ$116, AZ102-AZ$116,"")</f>
        <v/>
      </c>
      <c r="CD102" s="1" t="str">
        <f>IF(BA102&gt;BA$116, BA102-BA$116,"")</f>
        <v/>
      </c>
      <c r="CE102" s="1" t="str">
        <f>IF(BB102&gt;BB$116, BB102-BB$116,"")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149</v>
      </c>
      <c r="C103" s="1" t="s">
        <v>107</v>
      </c>
      <c r="D103" s="1" t="s">
        <v>109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>
        <v>10</v>
      </c>
      <c r="W103" s="28"/>
      <c r="X103" s="28"/>
      <c r="Y103" s="28">
        <v>10</v>
      </c>
      <c r="Z103" s="28"/>
      <c r="AA103" s="28"/>
      <c r="AB103" s="28">
        <v>10</v>
      </c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268</v>
      </c>
      <c r="BT103" s="1" t="str">
        <f>IF(AQ103&gt;AQ$116, AQ103-AQ$116,"")</f>
        <v/>
      </c>
      <c r="BU103" s="1" t="str">
        <f>IF(AR103&gt;AR$116, AR103-AR$116,"")</f>
        <v/>
      </c>
      <c r="BV103" s="1" t="str">
        <f>IF(AS103&gt;AS$116, AS103-AS$116,"")</f>
        <v/>
      </c>
      <c r="BW103" s="1" t="str">
        <f>IF(AT103&gt;AT$116, AT103-AT$116,"")</f>
        <v/>
      </c>
      <c r="BX103" s="1" t="str">
        <f>IF(AU103&gt;AU$116, AU103-AU$116,"")</f>
        <v/>
      </c>
      <c r="BY103" s="1" t="str">
        <f>IF(AV103&gt;AV$116, AV103-AV$116,"")</f>
        <v/>
      </c>
      <c r="BZ103" s="1" t="str">
        <f>IF(AW103&gt;AW$116, AW103-AW$116,"")</f>
        <v/>
      </c>
      <c r="CA103" s="1" t="str">
        <f>IF(AX103&gt;AX$116, AX103-AX$116,"")</f>
        <v/>
      </c>
      <c r="CB103" s="1" t="str">
        <f>IF(AY103&gt;AY$116, AY103-AY$116,"")</f>
        <v/>
      </c>
      <c r="CC103" s="1" t="str">
        <f>IF(AZ103&gt;AZ$116, AZ103-AZ$116,"")</f>
        <v/>
      </c>
      <c r="CD103" s="1" t="str">
        <f>IF(BA103&gt;BA$116, BA103-BA$116,"")</f>
        <v/>
      </c>
      <c r="CE103" s="1" t="str">
        <f>IF(BB103&gt;BB$116, BB103-BB$116,"")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133</v>
      </c>
      <c r="C104" s="1" t="s">
        <v>135</v>
      </c>
      <c r="D104" s="1" t="s">
        <v>109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213</v>
      </c>
      <c r="BT104" s="1" t="str">
        <f>IF(AQ104&gt;AQ$116, AQ104-AQ$116,"")</f>
        <v/>
      </c>
      <c r="BU104" s="1" t="str">
        <f>IF(AR104&gt;AR$116, AR104-AR$116,"")</f>
        <v/>
      </c>
      <c r="BV104" s="1" t="str">
        <f>IF(AS104&gt;AS$116, AS104-AS$116,"")</f>
        <v/>
      </c>
      <c r="BW104" s="1" t="str">
        <f>IF(AT104&gt;AT$116, AT104-AT$116,"")</f>
        <v/>
      </c>
      <c r="BX104" s="1" t="str">
        <f>IF(AU104&gt;AU$116, AU104-AU$116,"")</f>
        <v/>
      </c>
      <c r="BY104" s="1" t="str">
        <f>IF(AV104&gt;AV$116, AV104-AV$116,"")</f>
        <v/>
      </c>
      <c r="BZ104" s="1" t="str">
        <f>IF(AW104&gt;AW$116, AW104-AW$116,"")</f>
        <v/>
      </c>
      <c r="CA104" s="1" t="str">
        <f>IF(AX104&gt;AX$116, AX104-AX$116,"")</f>
        <v/>
      </c>
      <c r="CB104" s="1" t="str">
        <f>IF(AY104&gt;AY$116, AY104-AY$116,"")</f>
        <v/>
      </c>
      <c r="CC104" s="1" t="str">
        <f>IF(AZ104&gt;AZ$116, AZ104-AZ$116,"")</f>
        <v/>
      </c>
      <c r="CD104" s="1" t="str">
        <f>IF(BA104&gt;BA$116, BA104-BA$116,"")</f>
        <v/>
      </c>
      <c r="CE104" s="1" t="str">
        <f>IF(BB104&gt;BB$116, BB104-BB$116,"")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142</v>
      </c>
      <c r="C105" s="1" t="s">
        <v>137</v>
      </c>
      <c r="D105" s="1" t="s">
        <v>109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213</v>
      </c>
      <c r="BT105" s="1" t="str">
        <f>IF(AQ105&gt;AQ$116, AQ105-AQ$116,"")</f>
        <v/>
      </c>
      <c r="BU105" s="1" t="str">
        <f>IF(AR105&gt;AR$116, AR105-AR$116,"")</f>
        <v/>
      </c>
      <c r="BV105" s="1" t="str">
        <f>IF(AS105&gt;AS$116, AS105-AS$116,"")</f>
        <v/>
      </c>
      <c r="BW105" s="1" t="str">
        <f>IF(AT105&gt;AT$116, AT105-AT$116,"")</f>
        <v/>
      </c>
      <c r="BX105" s="1" t="str">
        <f>IF(AU105&gt;AU$116, AU105-AU$116,"")</f>
        <v/>
      </c>
      <c r="BY105" s="1" t="str">
        <f>IF(AV105&gt;AV$116, AV105-AV$116,"")</f>
        <v/>
      </c>
      <c r="BZ105" s="1" t="str">
        <f>IF(AW105&gt;AW$116, AW105-AW$116,"")</f>
        <v/>
      </c>
      <c r="CA105" s="1" t="str">
        <f>IF(AX105&gt;AX$116, AX105-AX$116,"")</f>
        <v/>
      </c>
      <c r="CB105" s="1" t="str">
        <f>IF(AY105&gt;AY$116, AY105-AY$116,"")</f>
        <v/>
      </c>
      <c r="CC105" s="1" t="str">
        <f>IF(AZ105&gt;AZ$116, AZ105-AZ$116,"")</f>
        <v/>
      </c>
      <c r="CD105" s="1" t="str">
        <f>IF(BA105&gt;BA$116, BA105-BA$116,"")</f>
        <v/>
      </c>
      <c r="CE105" s="1" t="str">
        <f>IF(BB105&gt;BB$116, BB105-BB$116,"")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143</v>
      </c>
      <c r="C106" s="1" t="s">
        <v>137</v>
      </c>
      <c r="D106" s="1" t="s">
        <v>109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213</v>
      </c>
      <c r="BT106" s="1" t="str">
        <f>IF(AQ106&gt;AQ$116, AQ106-AQ$116,"")</f>
        <v/>
      </c>
      <c r="BU106" s="1" t="str">
        <f>IF(AR106&gt;AR$116, AR106-AR$116,"")</f>
        <v/>
      </c>
      <c r="BV106" s="1" t="str">
        <f>IF(AS106&gt;AS$116, AS106-AS$116,"")</f>
        <v/>
      </c>
      <c r="BW106" s="1" t="str">
        <f>IF(AT106&gt;AT$116, AT106-AT$116,"")</f>
        <v/>
      </c>
      <c r="BX106" s="1" t="str">
        <f>IF(AU106&gt;AU$116, AU106-AU$116,"")</f>
        <v/>
      </c>
      <c r="BY106" s="1" t="str">
        <f>IF(AV106&gt;AV$116, AV106-AV$116,"")</f>
        <v/>
      </c>
      <c r="BZ106" s="1" t="str">
        <f>IF(AW106&gt;AW$116, AW106-AW$116,"")</f>
        <v/>
      </c>
      <c r="CA106" s="1" t="str">
        <f>IF(AX106&gt;AX$116, AX106-AX$116,"")</f>
        <v/>
      </c>
      <c r="CB106" s="1" t="str">
        <f>IF(AY106&gt;AY$116, AY106-AY$116,"")</f>
        <v/>
      </c>
      <c r="CC106" s="1" t="str">
        <f>IF(AZ106&gt;AZ$116, AZ106-AZ$116,"")</f>
        <v/>
      </c>
      <c r="CD106" s="1" t="str">
        <f>IF(BA106&gt;BA$116, BA106-BA$116,"")</f>
        <v/>
      </c>
      <c r="CE106" s="1" t="str">
        <f>IF(BB106&gt;BB$116, BB106-BB$116,"")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134</v>
      </c>
      <c r="C107" s="1" t="s">
        <v>135</v>
      </c>
      <c r="D107" s="1" t="s">
        <v>108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/>
      <c r="X107" s="28"/>
      <c r="Y107" s="28"/>
      <c r="Z107" s="28">
        <v>5</v>
      </c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232</v>
      </c>
      <c r="BT107" s="1" t="str">
        <f>IF(AQ107&gt;AQ$116, AQ107-AQ$116,"")</f>
        <v/>
      </c>
      <c r="BU107" s="1" t="str">
        <f>IF(AR107&gt;AR$116, AR107-AR$116,"")</f>
        <v/>
      </c>
      <c r="BV107" s="1" t="str">
        <f>IF(AS107&gt;AS$116, AS107-AS$116,"")</f>
        <v/>
      </c>
      <c r="BW107" s="1" t="str">
        <f>IF(AT107&gt;AT$116, AT107-AT$116,"")</f>
        <v/>
      </c>
      <c r="BX107" s="1" t="str">
        <f>IF(AU107&gt;AU$116, AU107-AU$116,"")</f>
        <v/>
      </c>
      <c r="BY107" s="1" t="str">
        <f>IF(AV107&gt;AV$116, AV107-AV$116,"")</f>
        <v/>
      </c>
      <c r="BZ107" s="1" t="str">
        <f>IF(AW107&gt;AW$116, AW107-AW$116,"")</f>
        <v/>
      </c>
      <c r="CA107" s="1" t="str">
        <f>IF(AX107&gt;AX$116, AX107-AX$116,"")</f>
        <v/>
      </c>
      <c r="CB107" s="1" t="str">
        <f>IF(AY107&gt;AY$116, AY107-AY$116,"")</f>
        <v/>
      </c>
      <c r="CC107" s="1" t="str">
        <f>IF(AZ107&gt;AZ$116, AZ107-AZ$116,"")</f>
        <v/>
      </c>
      <c r="CD107" s="1" t="str">
        <f>IF(BA107&gt;BA$116, BA107-BA$116,"")</f>
        <v/>
      </c>
      <c r="CE107" s="1" t="str">
        <f>IF(BB107&gt;BB$116, BB107-BB$116,"")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125</v>
      </c>
      <c r="C108" s="1" t="s">
        <v>126</v>
      </c>
      <c r="D108" s="1" t="s">
        <v>109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>
        <v>5</v>
      </c>
      <c r="R108" s="28"/>
      <c r="S108" s="28"/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24</v>
      </c>
      <c r="BR108" s="17">
        <v>4</v>
      </c>
      <c r="BS108" s="17" t="s">
        <v>206</v>
      </c>
      <c r="BT108" s="1" t="str">
        <f>IF(AQ108&gt;AQ$116, AQ108-AQ$116,"")</f>
        <v/>
      </c>
      <c r="BU108" s="1" t="str">
        <f>IF(AR108&gt;AR$116, AR108-AR$116,"")</f>
        <v/>
      </c>
      <c r="BV108" s="1" t="str">
        <f>IF(AS108&gt;AS$116, AS108-AS$116,"")</f>
        <v/>
      </c>
      <c r="BW108" s="1" t="str">
        <f>IF(AT108&gt;AT$116, AT108-AT$116,"")</f>
        <v/>
      </c>
      <c r="BX108" s="1" t="str">
        <f>IF(AU108&gt;AU$116, AU108-AU$116,"")</f>
        <v/>
      </c>
      <c r="BY108" s="1" t="str">
        <f>IF(AV108&gt;AV$116, AV108-AV$116,"")</f>
        <v/>
      </c>
      <c r="BZ108" s="1" t="str">
        <f>IF(AW108&gt;AW$116, AW108-AW$116,"")</f>
        <v/>
      </c>
      <c r="CA108" s="1" t="str">
        <f>IF(AX108&gt;AX$116, AX108-AX$116,"")</f>
        <v/>
      </c>
      <c r="CB108" s="1" t="str">
        <f>IF(AY108&gt;AY$116, AY108-AY$116,"")</f>
        <v/>
      </c>
      <c r="CC108" s="1" t="str">
        <f>IF(AZ108&gt;AZ$116, AZ108-AZ$116,"")</f>
        <v/>
      </c>
      <c r="CD108" s="1" t="str">
        <f>IF(BA108&gt;BA$116, BA108-BA$116,"")</f>
        <v/>
      </c>
      <c r="CE108" s="1" t="str">
        <f>IF(BB108&gt;BB$116, BB108-BB$116,"")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131</v>
      </c>
      <c r="C109" s="1" t="s">
        <v>130</v>
      </c>
      <c r="D109" s="1" t="s">
        <v>109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24</v>
      </c>
      <c r="BR109" s="17">
        <v>4</v>
      </c>
      <c r="BS109" s="17" t="s">
        <v>206</v>
      </c>
      <c r="BT109" s="1" t="str">
        <f>IF(AQ109&gt;AQ$116, AQ109-AQ$116,"")</f>
        <v/>
      </c>
      <c r="BU109" s="1" t="str">
        <f>IF(AR109&gt;AR$116, AR109-AR$116,"")</f>
        <v/>
      </c>
      <c r="BV109" s="1" t="str">
        <f>IF(AS109&gt;AS$116, AS109-AS$116,"")</f>
        <v/>
      </c>
      <c r="BW109" s="1" t="str">
        <f>IF(AT109&gt;AT$116, AT109-AT$116,"")</f>
        <v/>
      </c>
      <c r="BX109" s="1" t="str">
        <f>IF(AU109&gt;AU$116, AU109-AU$116,"")</f>
        <v/>
      </c>
      <c r="BY109" s="1" t="str">
        <f>IF(AV109&gt;AV$116, AV109-AV$116,"")</f>
        <v/>
      </c>
      <c r="BZ109" s="1" t="str">
        <f>IF(AW109&gt;AW$116, AW109-AW$116,"")</f>
        <v/>
      </c>
      <c r="CA109" s="1" t="str">
        <f>IF(AX109&gt;AX$116, AX109-AX$116,"")</f>
        <v/>
      </c>
      <c r="CB109" s="1" t="str">
        <f>IF(AY109&gt;AY$116, AY109-AY$116,"")</f>
        <v/>
      </c>
      <c r="CC109" s="1" t="str">
        <f>IF(AZ109&gt;AZ$116, AZ109-AZ$116,"")</f>
        <v/>
      </c>
      <c r="CD109" s="1" t="str">
        <f>IF(BA109&gt;BA$116, BA109-BA$116,"")</f>
        <v/>
      </c>
      <c r="CE109" s="1" t="str">
        <f>IF(BB109&gt;BB$116, BB109-BB$116,"")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125</v>
      </c>
      <c r="C110" s="1" t="s">
        <v>126</v>
      </c>
      <c r="D110" s="1" t="s">
        <v>108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35</v>
      </c>
      <c r="BR110" s="17">
        <v>4</v>
      </c>
      <c r="BS110" s="17" t="s">
        <v>207</v>
      </c>
      <c r="BT110" s="1" t="str">
        <f>IF(AQ110&gt;AQ$116, AQ110-AQ$116,"")</f>
        <v/>
      </c>
      <c r="BU110" s="1" t="str">
        <f>IF(AR110&gt;AR$116, AR110-AR$116,"")</f>
        <v/>
      </c>
      <c r="BV110" s="1" t="str">
        <f>IF(AS110&gt;AS$116, AS110-AS$116,"")</f>
        <v/>
      </c>
      <c r="BW110" s="1" t="str">
        <f>IF(AT110&gt;AT$116, AT110-AT$116,"")</f>
        <v/>
      </c>
      <c r="BX110" s="1" t="str">
        <f>IF(AU110&gt;AU$116, AU110-AU$116,"")</f>
        <v/>
      </c>
      <c r="BY110" s="1" t="str">
        <f>IF(AV110&gt;AV$116, AV110-AV$116,"")</f>
        <v/>
      </c>
      <c r="BZ110" s="1" t="str">
        <f>IF(AW110&gt;AW$116, AW110-AW$116,"")</f>
        <v/>
      </c>
      <c r="CA110" s="1" t="str">
        <f>IF(AX110&gt;AX$116, AX110-AX$116,"")</f>
        <v/>
      </c>
      <c r="CB110" s="1" t="str">
        <f>IF(AY110&gt;AY$116, AY110-AY$116,"")</f>
        <v/>
      </c>
      <c r="CC110" s="1" t="str">
        <f>IF(AZ110&gt;AZ$116, AZ110-AZ$116,"")</f>
        <v/>
      </c>
      <c r="CD110" s="1" t="str">
        <f>IF(BA110&gt;BA$116, BA110-BA$116,"")</f>
        <v/>
      </c>
      <c r="CE110" s="1" t="str">
        <f>IF(BB110&gt;BB$116, BB110-BB$116,"")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131</v>
      </c>
      <c r="C111" s="1" t="s">
        <v>130</v>
      </c>
      <c r="D111" s="1" t="s">
        <v>108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269</v>
      </c>
      <c r="BT111" s="1" t="str">
        <f>IF(AQ111&gt;AQ$116, AQ111-AQ$116,"")</f>
        <v/>
      </c>
      <c r="BU111" s="1" t="str">
        <f>IF(AR111&gt;AR$116, AR111-AR$116,"")</f>
        <v/>
      </c>
      <c r="BV111" s="1" t="str">
        <f>IF(AS111&gt;AS$116, AS111-AS$116,"")</f>
        <v/>
      </c>
      <c r="BW111" s="1" t="str">
        <f>IF(AT111&gt;AT$116, AT111-AT$116,"")</f>
        <v/>
      </c>
      <c r="BX111" s="1" t="str">
        <f>IF(AU111&gt;AU$116, AU111-AU$116,"")</f>
        <v/>
      </c>
      <c r="BY111" s="1" t="str">
        <f>IF(AV111&gt;AV$116, AV111-AV$116,"")</f>
        <v/>
      </c>
      <c r="BZ111" s="1" t="str">
        <f>IF(AW111&gt;AW$116, AW111-AW$116,"")</f>
        <v/>
      </c>
      <c r="CA111" s="1" t="str">
        <f>IF(AX111&gt;AX$116, AX111-AX$116,"")</f>
        <v/>
      </c>
      <c r="CB111" s="1" t="str">
        <f>IF(AY111&gt;AY$116, AY111-AY$116,"")</f>
        <v/>
      </c>
      <c r="CC111" s="1" t="str">
        <f>IF(AZ111&gt;AZ$116, AZ111-AZ$116,"")</f>
        <v/>
      </c>
      <c r="CD111" s="1" t="str">
        <f>IF(BA111&gt;BA$116, BA111-BA$116,"")</f>
        <v/>
      </c>
      <c r="CE111" s="1" t="str">
        <f>IF(BB111&gt;BB$116, BB111-BB$116,"")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133</v>
      </c>
      <c r="C112" s="1" t="s">
        <v>135</v>
      </c>
      <c r="D112" s="1" t="s">
        <v>108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269</v>
      </c>
      <c r="BT112" s="1" t="str">
        <f>IF(AQ112&gt;AQ$116, AQ112-AQ$116,"")</f>
        <v/>
      </c>
      <c r="BU112" s="1" t="str">
        <f>IF(AR112&gt;AR$116, AR112-AR$116,"")</f>
        <v/>
      </c>
      <c r="BV112" s="1" t="str">
        <f>IF(AS112&gt;AS$116, AS112-AS$116,"")</f>
        <v/>
      </c>
      <c r="BW112" s="1" t="str">
        <f>IF(AT112&gt;AT$116, AT112-AT$116,"")</f>
        <v/>
      </c>
      <c r="BX112" s="1" t="str">
        <f>IF(AU112&gt;AU$116, AU112-AU$116,"")</f>
        <v/>
      </c>
      <c r="BY112" s="1" t="str">
        <f>IF(AV112&gt;AV$116, AV112-AV$116,"")</f>
        <v/>
      </c>
      <c r="BZ112" s="1" t="str">
        <f>IF(AW112&gt;AW$116, AW112-AW$116,"")</f>
        <v/>
      </c>
      <c r="CA112" s="1" t="str">
        <f>IF(AX112&gt;AX$116, AX112-AX$116,"")</f>
        <v/>
      </c>
      <c r="CB112" s="1" t="str">
        <f>IF(AY112&gt;AY$116, AY112-AY$116,"")</f>
        <v/>
      </c>
      <c r="CC112" s="1" t="str">
        <f>IF(AZ112&gt;AZ$116, AZ112-AZ$116,"")</f>
        <v/>
      </c>
      <c r="CD112" s="1" t="str">
        <f>IF(BA112&gt;BA$116, BA112-BA$116,"")</f>
        <v/>
      </c>
      <c r="CE112" s="1" t="str">
        <f>IF(BB112&gt;BB$116, BB112-BB$116,"")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139</v>
      </c>
      <c r="C113" s="1" t="s">
        <v>137</v>
      </c>
      <c r="D113" s="1" t="s">
        <v>108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207</v>
      </c>
      <c r="BT113" s="1" t="str">
        <f>IF(AQ113&gt;AQ$116, AQ113-AQ$116,"")</f>
        <v/>
      </c>
      <c r="BU113" s="1" t="str">
        <f>IF(AR113&gt;AR$116, AR113-AR$116,"")</f>
        <v/>
      </c>
      <c r="BV113" s="1" t="str">
        <f>IF(AS113&gt;AS$116, AS113-AS$116,"")</f>
        <v/>
      </c>
      <c r="BW113" s="1" t="str">
        <f>IF(AT113&gt;AT$116, AT113-AT$116,"")</f>
        <v/>
      </c>
      <c r="BX113" s="1" t="str">
        <f>IF(AU113&gt;AU$116, AU113-AU$116,"")</f>
        <v/>
      </c>
      <c r="BY113" s="1" t="str">
        <f>IF(AV113&gt;AV$116, AV113-AV$116,"")</f>
        <v/>
      </c>
      <c r="BZ113" s="1" t="str">
        <f>IF(AW113&gt;AW$116, AW113-AW$116,"")</f>
        <v/>
      </c>
      <c r="CA113" s="1" t="str">
        <f>IF(AX113&gt;AX$116, AX113-AX$116,"")</f>
        <v/>
      </c>
      <c r="CB113" s="1" t="str">
        <f>IF(AY113&gt;AY$116, AY113-AY$116,"")</f>
        <v/>
      </c>
      <c r="CC113" s="1" t="str">
        <f>IF(AZ113&gt;AZ$116, AZ113-AZ$116,"")</f>
        <v/>
      </c>
      <c r="CD113" s="1" t="str">
        <f>IF(BA113&gt;BA$116, BA113-BA$116,"")</f>
        <v/>
      </c>
      <c r="CE113" s="1" t="str">
        <f>IF(BB113&gt;BB$116, BB113-BB$116,"")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142</v>
      </c>
      <c r="C114" s="1" t="s">
        <v>137</v>
      </c>
      <c r="D114" s="1" t="s">
        <v>108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269</v>
      </c>
      <c r="BT114" s="1" t="str">
        <f>IF(AQ114&gt;AQ$116, AQ114-AQ$116,"")</f>
        <v/>
      </c>
      <c r="BU114" s="1" t="str">
        <f>IF(AR114&gt;AR$116, AR114-AR$116,"")</f>
        <v/>
      </c>
      <c r="BV114" s="1" t="str">
        <f>IF(AS114&gt;AS$116, AS114-AS$116,"")</f>
        <v/>
      </c>
      <c r="BW114" s="1" t="str">
        <f>IF(AT114&gt;AT$116, AT114-AT$116,"")</f>
        <v/>
      </c>
      <c r="BX114" s="1" t="str">
        <f>IF(AU114&gt;AU$116, AU114-AU$116,"")</f>
        <v/>
      </c>
      <c r="BY114" s="1" t="str">
        <f>IF(AV114&gt;AV$116, AV114-AV$116,"")</f>
        <v/>
      </c>
      <c r="BZ114" s="1" t="str">
        <f>IF(AW114&gt;AW$116, AW114-AW$116,"")</f>
        <v/>
      </c>
      <c r="CA114" s="1" t="str">
        <f>IF(AX114&gt;AX$116, AX114-AX$116,"")</f>
        <v/>
      </c>
      <c r="CB114" s="1" t="str">
        <f>IF(AY114&gt;AY$116, AY114-AY$116,"")</f>
        <v/>
      </c>
      <c r="CC114" s="1" t="str">
        <f>IF(AZ114&gt;AZ$116, AZ114-AZ$116,"")</f>
        <v/>
      </c>
      <c r="CD114" s="1" t="str">
        <f>IF(BA114&gt;BA$116, BA114-BA$116,"")</f>
        <v/>
      </c>
      <c r="CE114" s="1" t="str">
        <f>IF(BB114&gt;BB$116, BB114-BB$116,"")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143</v>
      </c>
      <c r="C115" s="1" t="s">
        <v>137</v>
      </c>
      <c r="D115" s="1" t="s">
        <v>108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207</v>
      </c>
      <c r="BT115" s="1" t="str">
        <f>IF(AQ115&gt;AQ$116, AQ115-AQ$116,"")</f>
        <v/>
      </c>
      <c r="BU115" s="1" t="str">
        <f>IF(AR115&gt;AR$116, AR115-AR$116,"")</f>
        <v/>
      </c>
      <c r="BV115" s="1" t="str">
        <f>IF(AS115&gt;AS$116, AS115-AS$116,"")</f>
        <v/>
      </c>
      <c r="BW115" s="1" t="str">
        <f>IF(AT115&gt;AT$116, AT115-AT$116,"")</f>
        <v/>
      </c>
      <c r="BX115" s="1" t="str">
        <f>IF(AU115&gt;AU$116, AU115-AU$116,"")</f>
        <v/>
      </c>
      <c r="BY115" s="1" t="str">
        <f>IF(AV115&gt;AV$116, AV115-AV$116,"")</f>
        <v/>
      </c>
      <c r="BZ115" s="1" t="str">
        <f>IF(AW115&gt;AW$116, AW115-AW$116,"")</f>
        <v/>
      </c>
      <c r="CA115" s="1" t="str">
        <f>IF(AX115&gt;AX$116, AX115-AX$116,"")</f>
        <v/>
      </c>
      <c r="CB115" s="1" t="str">
        <f>IF(AY115&gt;AY$116, AY115-AY$116,"")</f>
        <v/>
      </c>
      <c r="CC115" s="1" t="str">
        <f>IF(AZ115&gt;AZ$116, AZ115-AZ$116,"")</f>
        <v/>
      </c>
      <c r="CD115" s="1" t="str">
        <f>IF(BA115&gt;BA$116, BA115-BA$116,"")</f>
        <v/>
      </c>
      <c r="CE115" s="1" t="str">
        <f>IF(BB115&gt;BB$116, BB115-BB$116,"")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x14ac:dyDescent="0.15">
      <c r="A116" s="1"/>
      <c r="B116" s="1" t="s">
        <v>60</v>
      </c>
      <c r="C116" s="1"/>
      <c r="D116" s="1"/>
      <c r="E116" s="6">
        <f>SUM(E3:E115)</f>
        <v>138</v>
      </c>
      <c r="F116" s="6">
        <f>SUM(F3:F115)</f>
        <v>38</v>
      </c>
      <c r="G116" s="6">
        <f>SUM(G3:G115)</f>
        <v>180</v>
      </c>
      <c r="H116" s="6">
        <f>SUM(H3:H115)</f>
        <v>134</v>
      </c>
      <c r="I116" s="6">
        <f>SUM(I3:I115)</f>
        <v>17</v>
      </c>
      <c r="J116" s="6">
        <f>SUM(J3:J115)</f>
        <v>40</v>
      </c>
      <c r="K116" s="6">
        <f>SUM(K3:K115)</f>
        <v>6</v>
      </c>
      <c r="L116" s="6">
        <f>SUM(L3:L115)</f>
        <v>76</v>
      </c>
      <c r="M116" s="6">
        <f>SUM(M3:M115)</f>
        <v>37</v>
      </c>
      <c r="N116" s="6">
        <f>SUM(N3:N115)</f>
        <v>0</v>
      </c>
      <c r="O116" s="6">
        <f>SUM(O3:O115)</f>
        <v>68</v>
      </c>
      <c r="P116" s="28">
        <f>SUM(P3:P115)</f>
        <v>130</v>
      </c>
      <c r="Q116" s="28">
        <f>SUM(Q3:Q115)</f>
        <v>76</v>
      </c>
      <c r="R116" s="28">
        <f>SUM(R3:R115)</f>
        <v>83</v>
      </c>
      <c r="S116" s="28">
        <f>SUM(S3:S115)</f>
        <v>130</v>
      </c>
      <c r="T116" s="28">
        <f>SUM(T3:T115)</f>
        <v>61</v>
      </c>
      <c r="U116" s="28">
        <f>SUM(U3:U115)</f>
        <v>62</v>
      </c>
      <c r="V116" s="28">
        <f>SUM(V3:V115)</f>
        <v>135</v>
      </c>
      <c r="W116" s="28">
        <f>SUM(W3:W115)</f>
        <v>35</v>
      </c>
      <c r="X116" s="28">
        <f>SUM(X3:X115)</f>
        <v>59</v>
      </c>
      <c r="Y116" s="28">
        <f>SUM(Y3:Y115)</f>
        <v>125</v>
      </c>
      <c r="Z116" s="28">
        <f>SUM(Z3:Z115)</f>
        <v>50</v>
      </c>
      <c r="AA116" s="28">
        <f>SUM(AA3:AA115)</f>
        <v>35</v>
      </c>
      <c r="AB116" s="28">
        <f>SUM(AB3:AB115)</f>
        <v>140</v>
      </c>
      <c r="AC116" s="28">
        <f>SUM(AC3:AC115)</f>
        <v>30</v>
      </c>
      <c r="AD116" s="28">
        <f>SUM(AD3:AD115)</f>
        <v>22</v>
      </c>
      <c r="AE116" s="1">
        <f>SUM(AE3:AE115)</f>
        <v>250</v>
      </c>
      <c r="AF116" s="1">
        <f>SUM(AF3:AF115)</f>
        <v>10</v>
      </c>
      <c r="AG116" s="1">
        <f>SUM(AG3:AG115)</f>
        <v>10</v>
      </c>
      <c r="AH116" s="1">
        <f>SUM(AH3:AH115)</f>
        <v>30</v>
      </c>
      <c r="AI116" s="1">
        <f>SUM(AI3:AI115)</f>
        <v>30</v>
      </c>
      <c r="AJ116" s="1">
        <f>SUM(AJ3:AJ115)</f>
        <v>5</v>
      </c>
      <c r="AK116" s="1">
        <f>SUM(AK3:AK115)</f>
        <v>0</v>
      </c>
      <c r="AL116" s="1">
        <f>SUM(AL3:AL115)</f>
        <v>0</v>
      </c>
      <c r="AM116" s="1">
        <f>SUM(AM3:AM115)</f>
        <v>5</v>
      </c>
      <c r="AN116" s="1">
        <f>SUM(AN3:AN115)</f>
        <v>50</v>
      </c>
      <c r="AO116" s="1">
        <f>SUM(AO3:AO115)</f>
        <v>33</v>
      </c>
      <c r="AP116" s="1">
        <f>SUM(AP3:AP115)</f>
        <v>27</v>
      </c>
      <c r="AQ116" s="4">
        <f>SUM(AQ3:AQ115)</f>
        <v>65</v>
      </c>
      <c r="AR116" s="4">
        <f>SUM(AR3:AR115)</f>
        <v>95</v>
      </c>
      <c r="AS116" s="4">
        <f>SUM(AS3:AS115)</f>
        <v>55</v>
      </c>
      <c r="AT116" s="4">
        <f>SUM(AT3:AT115)</f>
        <v>75</v>
      </c>
      <c r="AU116" s="4">
        <f>SUM(AU3:AU115)</f>
        <v>55</v>
      </c>
      <c r="AV116" s="4">
        <f>SUM(AV3:AV115)</f>
        <v>95</v>
      </c>
      <c r="AW116" s="2">
        <f>SUM(AW3:AW115)</f>
        <v>85</v>
      </c>
      <c r="AX116" s="2">
        <f>SUM(AX3:AX115)</f>
        <v>45</v>
      </c>
      <c r="AY116" s="2">
        <f>SUM(AY3:AY115)</f>
        <v>50</v>
      </c>
      <c r="AZ116" s="2">
        <f>SUM(AZ3:AZ115)</f>
        <v>60</v>
      </c>
      <c r="BA116" s="2">
        <f>SUM(BA3:BA115)</f>
        <v>170</v>
      </c>
      <c r="BB116" s="2">
        <f>SUM(BB3:BB115)</f>
        <v>265</v>
      </c>
      <c r="BC116" s="1">
        <f>SUM(BC3:BC115)</f>
        <v>10</v>
      </c>
      <c r="BD116" s="1">
        <f>SUM(BD3:BD115)</f>
        <v>130</v>
      </c>
      <c r="BE116" s="1">
        <f>SUM(BE3:BE115)</f>
        <v>80</v>
      </c>
      <c r="BF116" s="1">
        <f>SUM(BF3:BF115)</f>
        <v>80</v>
      </c>
      <c r="BG116" s="1">
        <f>SUM(BG3:BG115)</f>
        <v>80</v>
      </c>
      <c r="BH116" s="1">
        <f>SUM(BH3:BH115)</f>
        <v>75</v>
      </c>
      <c r="BI116" s="1">
        <f>SUM(BI3:BI115)</f>
        <v>55</v>
      </c>
      <c r="BJ116" s="1">
        <f>SUM(BJ3:BJ115)</f>
        <v>200</v>
      </c>
      <c r="BK116" s="1">
        <f>SUM(BK3:BK115)</f>
        <v>200</v>
      </c>
      <c r="BL116" s="1">
        <f>SUM(BL3:BL115)</f>
        <v>150</v>
      </c>
      <c r="BM116" s="1">
        <f>SUM(BM3:BM115)</f>
        <v>150</v>
      </c>
      <c r="BN116" s="1">
        <f>SUM(BN3:BN115)</f>
        <v>350</v>
      </c>
      <c r="BO116" s="1">
        <f>SUM(BO3:BO115)</f>
        <v>350</v>
      </c>
      <c r="BP116" s="1"/>
      <c r="BQ116" s="1"/>
      <c r="BR116" s="17"/>
      <c r="BS116" s="17"/>
      <c r="BT116" s="1">
        <f>MIN(BT3:BT115)</f>
        <v>0</v>
      </c>
      <c r="BU116" s="1">
        <f>MIN(BU3:BU115)</f>
        <v>0</v>
      </c>
      <c r="BV116" s="1">
        <f>MIN(BV3:BV115)</f>
        <v>0</v>
      </c>
      <c r="BW116" s="1">
        <f>MIN(BW3:BW115)</f>
        <v>0</v>
      </c>
      <c r="BX116" s="1">
        <f>MIN(BX3:BX115)</f>
        <v>0</v>
      </c>
      <c r="BY116" s="1">
        <f>MIN(BY3:BY115)</f>
        <v>0</v>
      </c>
      <c r="BZ116" s="1">
        <f>MIN(BZ3:BZ115)</f>
        <v>0</v>
      </c>
      <c r="CA116" s="1">
        <f>MIN(CA3:CA115)</f>
        <v>0</v>
      </c>
      <c r="CB116" s="1">
        <f>MIN(CB3:CB115)</f>
        <v>0</v>
      </c>
      <c r="CC116" s="1">
        <f>MIN(CC3:CC115)</f>
        <v>0</v>
      </c>
      <c r="CD116" s="1">
        <f>MIN(CD3:CD115)</f>
        <v>0</v>
      </c>
      <c r="CE116" s="1">
        <f>MIN(CE3:CE115)</f>
        <v>0</v>
      </c>
      <c r="CF116" s="1"/>
      <c r="CG116" s="1">
        <f>MIN(CG3:CG115)</f>
        <v>0</v>
      </c>
      <c r="CH116" s="1">
        <f>MIN(CH3:CH115)</f>
        <v>0</v>
      </c>
      <c r="CI116" s="1">
        <f>MIN(CI3:CI115)</f>
        <v>0</v>
      </c>
      <c r="CJ116" s="1">
        <f>MIN(CJ3:CJ115)</f>
        <v>0</v>
      </c>
      <c r="CK116" s="1">
        <f>MIN(CK3:CK115)</f>
        <v>0</v>
      </c>
      <c r="CL116" s="1">
        <f>MIN(CL3:CL115)</f>
        <v>0</v>
      </c>
      <c r="CM116" s="1">
        <f>MIN(CM3:CM115)</f>
        <v>0</v>
      </c>
      <c r="CN116" s="1">
        <f>MIN(CN3:CN115)</f>
        <v>0</v>
      </c>
      <c r="CO116" s="1">
        <f>MIN(CO3:CO115)</f>
        <v>0</v>
      </c>
      <c r="CP116" s="1">
        <f>MIN(CP3:CP115)</f>
        <v>0</v>
      </c>
      <c r="CQ116" s="1">
        <f>MIN(CQ3:CQ115)</f>
        <v>0</v>
      </c>
      <c r="CR116" s="1">
        <f>MIN(CR3:CR115)</f>
        <v>0</v>
      </c>
      <c r="CS116" s="3">
        <f>COUNTIF(CS3:CS115,"=0")</f>
        <v>0</v>
      </c>
    </row>
    <row r="117" spans="1:97" x14ac:dyDescent="0.15">
      <c r="A117" s="1"/>
      <c r="B117" s="3" t="s">
        <v>80</v>
      </c>
      <c r="C117" s="1"/>
      <c r="D117" s="1"/>
      <c r="E117" s="1">
        <v>58</v>
      </c>
      <c r="F117" s="1">
        <v>32</v>
      </c>
      <c r="G117" s="1">
        <v>66</v>
      </c>
      <c r="H117" s="1">
        <v>30</v>
      </c>
      <c r="I117" s="1">
        <v>67</v>
      </c>
      <c r="J117" s="1">
        <v>81</v>
      </c>
      <c r="K117" s="1">
        <v>53</v>
      </c>
      <c r="L117" s="1">
        <v>92</v>
      </c>
      <c r="M117" s="1">
        <v>60</v>
      </c>
      <c r="N117" s="1">
        <v>62</v>
      </c>
      <c r="O117" s="1">
        <v>41</v>
      </c>
      <c r="P117" s="14">
        <v>2</v>
      </c>
      <c r="Q117" s="14">
        <v>1</v>
      </c>
      <c r="R117" s="14">
        <v>2</v>
      </c>
      <c r="S117" s="14">
        <v>1</v>
      </c>
      <c r="T117" s="14">
        <v>5</v>
      </c>
      <c r="U117" s="14">
        <v>0</v>
      </c>
      <c r="V117" s="14">
        <v>2</v>
      </c>
      <c r="W117" s="14">
        <v>2</v>
      </c>
      <c r="X117" s="14">
        <v>6</v>
      </c>
      <c r="Y117" s="14">
        <v>0</v>
      </c>
      <c r="Z117" s="14">
        <v>1</v>
      </c>
      <c r="AA117" s="14">
        <v>1</v>
      </c>
      <c r="AB117" s="14">
        <v>8</v>
      </c>
      <c r="AC117" s="14">
        <v>2</v>
      </c>
      <c r="AD117" s="14">
        <v>4</v>
      </c>
      <c r="AE117" s="1">
        <v>4</v>
      </c>
      <c r="AF117" s="1">
        <v>0</v>
      </c>
      <c r="AG117" s="1">
        <v>3</v>
      </c>
      <c r="AH117" s="1">
        <v>0</v>
      </c>
      <c r="AI117" s="1">
        <v>0</v>
      </c>
      <c r="AJ117" s="1">
        <v>0</v>
      </c>
      <c r="AK117" s="1">
        <v>33</v>
      </c>
      <c r="AL117" s="1">
        <v>43</v>
      </c>
      <c r="AM117" s="1">
        <v>5</v>
      </c>
      <c r="AN117" s="1">
        <v>0</v>
      </c>
      <c r="AO117" s="1">
        <v>0</v>
      </c>
      <c r="AP117" s="1">
        <v>0</v>
      </c>
      <c r="AQ117" s="14">
        <v>6</v>
      </c>
      <c r="AR117" s="14">
        <v>10</v>
      </c>
      <c r="AS117" s="14">
        <v>13</v>
      </c>
      <c r="AT117" s="14">
        <v>19</v>
      </c>
      <c r="AU117" s="14">
        <v>23</v>
      </c>
      <c r="AV117" s="14">
        <v>20</v>
      </c>
      <c r="AW117" s="14">
        <v>10</v>
      </c>
      <c r="AX117" s="14">
        <v>27</v>
      </c>
      <c r="AY117" s="14">
        <v>27</v>
      </c>
      <c r="AZ117" s="14">
        <v>9</v>
      </c>
      <c r="BA117" s="14">
        <v>13</v>
      </c>
      <c r="BB117" s="14">
        <v>63</v>
      </c>
      <c r="BC117" s="14">
        <v>10</v>
      </c>
      <c r="BD117" s="1">
        <v>162</v>
      </c>
      <c r="BE117" s="1">
        <v>244</v>
      </c>
      <c r="BF117" s="1">
        <v>233</v>
      </c>
      <c r="BG117" s="1">
        <v>242</v>
      </c>
      <c r="BH117" s="1">
        <v>141</v>
      </c>
      <c r="BI117" s="1">
        <v>154</v>
      </c>
      <c r="BJ117" s="1">
        <v>56</v>
      </c>
      <c r="BK117" s="1">
        <v>65</v>
      </c>
      <c r="BL117" s="1">
        <v>93</v>
      </c>
      <c r="BM117" s="1">
        <v>8</v>
      </c>
      <c r="BN117" s="1">
        <v>5</v>
      </c>
      <c r="BO117" s="1">
        <v>5</v>
      </c>
      <c r="BP117" s="1"/>
      <c r="BQ117" s="1"/>
      <c r="BR117" s="17"/>
      <c r="BS117" s="17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</row>
    <row r="118" spans="1:97" x14ac:dyDescent="0.15">
      <c r="A118" s="1"/>
      <c r="B118" s="3" t="s">
        <v>87</v>
      </c>
      <c r="C118" s="1"/>
      <c r="D118" s="1"/>
      <c r="E118" s="1">
        <f>E117-E116</f>
        <v>-80</v>
      </c>
      <c r="F118" s="1">
        <f>F117-F116</f>
        <v>-6</v>
      </c>
      <c r="G118" s="1">
        <f>G117-G116</f>
        <v>-114</v>
      </c>
      <c r="H118" s="1">
        <f>H117-H116</f>
        <v>-104</v>
      </c>
      <c r="I118" s="1">
        <f>I117-I116</f>
        <v>50</v>
      </c>
      <c r="J118" s="1">
        <f>J117-J116</f>
        <v>41</v>
      </c>
      <c r="K118" s="1">
        <f>K117-K116</f>
        <v>47</v>
      </c>
      <c r="L118" s="1">
        <f>L117-L116</f>
        <v>16</v>
      </c>
      <c r="M118" s="1">
        <f>M117-M116</f>
        <v>23</v>
      </c>
      <c r="N118" s="1">
        <f>N117-N116</f>
        <v>62</v>
      </c>
      <c r="O118" s="1">
        <f>O117-O116</f>
        <v>-27</v>
      </c>
      <c r="P118" s="1">
        <f>P117-P116</f>
        <v>-128</v>
      </c>
      <c r="Q118" s="1">
        <f>Q117-Q116</f>
        <v>-75</v>
      </c>
      <c r="R118" s="1">
        <f>R117-R116</f>
        <v>-81</v>
      </c>
      <c r="S118" s="1">
        <f>S117-S116</f>
        <v>-129</v>
      </c>
      <c r="T118" s="1">
        <f>T117-T116</f>
        <v>-56</v>
      </c>
      <c r="U118" s="1">
        <f>U117-U116</f>
        <v>-62</v>
      </c>
      <c r="V118" s="1">
        <f>V117-V116</f>
        <v>-133</v>
      </c>
      <c r="W118" s="1">
        <f>W117-W116</f>
        <v>-33</v>
      </c>
      <c r="X118" s="1">
        <f>X117-X116</f>
        <v>-53</v>
      </c>
      <c r="Y118" s="1">
        <f>Y117-Y116</f>
        <v>-125</v>
      </c>
      <c r="Z118" s="1">
        <f>Z117-Z116</f>
        <v>-49</v>
      </c>
      <c r="AA118" s="1">
        <f>AA117-AA116</f>
        <v>-34</v>
      </c>
      <c r="AB118" s="1">
        <f>AB117-AB116</f>
        <v>-132</v>
      </c>
      <c r="AC118" s="1">
        <f>AC117-AC116</f>
        <v>-28</v>
      </c>
      <c r="AD118" s="1">
        <f>AD117-AD116</f>
        <v>-18</v>
      </c>
      <c r="AE118" s="1">
        <f>AE117-AE116</f>
        <v>-246</v>
      </c>
      <c r="AF118" s="1">
        <f>AF117-AF116</f>
        <v>-10</v>
      </c>
      <c r="AG118" s="1">
        <f>AG117-AG116</f>
        <v>-7</v>
      </c>
      <c r="AH118" s="1">
        <f>AH117-AH116</f>
        <v>-30</v>
      </c>
      <c r="AI118" s="1">
        <f>AI117-AI116</f>
        <v>-30</v>
      </c>
      <c r="AJ118" s="1">
        <f>AJ117-AJ116</f>
        <v>-5</v>
      </c>
      <c r="AK118" s="1">
        <f>AK117-AK116</f>
        <v>33</v>
      </c>
      <c r="AL118" s="1">
        <f>AL117-AL116</f>
        <v>43</v>
      </c>
      <c r="AM118" s="1">
        <f>AM117-AM116</f>
        <v>0</v>
      </c>
      <c r="AN118" s="1">
        <f>AN117-AN116</f>
        <v>-50</v>
      </c>
      <c r="AO118" s="1">
        <f>AO117-AO116</f>
        <v>-33</v>
      </c>
      <c r="AP118" s="1">
        <f>AP117-AP116</f>
        <v>-27</v>
      </c>
      <c r="AQ118" s="1">
        <f>AQ117-AQ116</f>
        <v>-59</v>
      </c>
      <c r="AR118" s="1">
        <f>AR117-AR116</f>
        <v>-85</v>
      </c>
      <c r="AS118" s="1">
        <f>AS117-AS116</f>
        <v>-42</v>
      </c>
      <c r="AT118" s="1">
        <f>AT117-AT116</f>
        <v>-56</v>
      </c>
      <c r="AU118" s="1">
        <f>AU117-AU116</f>
        <v>-32</v>
      </c>
      <c r="AV118" s="1">
        <f>AV117-AV116</f>
        <v>-75</v>
      </c>
      <c r="AW118" s="1">
        <f>AW117-AW116</f>
        <v>-75</v>
      </c>
      <c r="AX118" s="1">
        <f>AX117-AX116</f>
        <v>-18</v>
      </c>
      <c r="AY118" s="1">
        <f>AY117-AY116</f>
        <v>-23</v>
      </c>
      <c r="AZ118" s="1">
        <f>AZ117-AZ116</f>
        <v>-51</v>
      </c>
      <c r="BA118" s="1">
        <f>BA117-BA116</f>
        <v>-157</v>
      </c>
      <c r="BB118" s="1">
        <f>BB117-BB116</f>
        <v>-202</v>
      </c>
      <c r="BC118" s="1">
        <f>BC117-BC116</f>
        <v>0</v>
      </c>
      <c r="BD118" s="1">
        <f>BD117-BD116</f>
        <v>32</v>
      </c>
      <c r="BE118" s="1">
        <f>BE117-BE116</f>
        <v>164</v>
      </c>
      <c r="BF118" s="1">
        <f>BF117-BF116</f>
        <v>153</v>
      </c>
      <c r="BG118" s="1">
        <f>BG117-BG116</f>
        <v>162</v>
      </c>
      <c r="BH118" s="1">
        <f>BH117-BH116</f>
        <v>66</v>
      </c>
      <c r="BI118" s="1">
        <f>BI117-BI116</f>
        <v>99</v>
      </c>
      <c r="BJ118" s="1">
        <f>BJ117-BJ116</f>
        <v>-144</v>
      </c>
      <c r="BK118" s="1">
        <f>BK117-BK116</f>
        <v>-135</v>
      </c>
      <c r="BL118" s="1">
        <f>BL117-BL116</f>
        <v>-57</v>
      </c>
      <c r="BM118" s="1">
        <f>BM117-BM116</f>
        <v>-142</v>
      </c>
      <c r="BN118" s="1">
        <f>BN117-BN116</f>
        <v>-345</v>
      </c>
      <c r="BO118" s="1">
        <f>BO117-BO116</f>
        <v>-345</v>
      </c>
      <c r="BP118" s="1"/>
      <c r="BQ118" s="1"/>
      <c r="BR118" s="17"/>
      <c r="BS118" s="17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</row>
    <row r="119" spans="1:97" x14ac:dyDescent="0.15">
      <c r="A119" s="1"/>
      <c r="B119" s="3" t="s">
        <v>175</v>
      </c>
      <c r="C119" s="1"/>
      <c r="D119" s="1"/>
      <c r="E119" s="1">
        <f>MAX(E3:E115)</f>
        <v>15</v>
      </c>
      <c r="F119" s="1">
        <f>MAX(F3:F115)</f>
        <v>15</v>
      </c>
      <c r="G119" s="1">
        <f>MAX(G3:G115)</f>
        <v>20</v>
      </c>
      <c r="H119" s="1">
        <f>MAX(H3:H115)</f>
        <v>20</v>
      </c>
      <c r="I119" s="1">
        <f>MAX(I3:I115)</f>
        <v>10</v>
      </c>
      <c r="J119" s="1">
        <f>MAX(J3:J115)</f>
        <v>10</v>
      </c>
      <c r="K119" s="1">
        <f>MAX(K3:K115)</f>
        <v>6</v>
      </c>
      <c r="L119" s="1">
        <f>MAX(L3:L115)</f>
        <v>20</v>
      </c>
      <c r="M119" s="1">
        <f>MAX(M3:M115)</f>
        <v>15</v>
      </c>
      <c r="N119" s="1">
        <f>MAX(N3:N115)</f>
        <v>0</v>
      </c>
      <c r="O119" s="1">
        <f>MAX(O3:O115)</f>
        <v>20</v>
      </c>
      <c r="P119" s="1">
        <f>MAX(P3:P115)</f>
        <v>10</v>
      </c>
      <c r="Q119" s="1">
        <f>MAX(Q3:Q115)</f>
        <v>7</v>
      </c>
      <c r="R119" s="1">
        <f>MAX(R3:R115)</f>
        <v>10</v>
      </c>
      <c r="S119" s="1">
        <f>MAX(S3:S115)</f>
        <v>10</v>
      </c>
      <c r="T119" s="1">
        <f>MAX(T3:T115)</f>
        <v>7</v>
      </c>
      <c r="U119" s="1">
        <f>MAX(U3:U115)</f>
        <v>10</v>
      </c>
      <c r="V119" s="1">
        <f>MAX(V3:V115)</f>
        <v>10</v>
      </c>
      <c r="W119" s="1">
        <f>MAX(W3:W115)</f>
        <v>5</v>
      </c>
      <c r="X119" s="1">
        <f>MAX(X3:X115)</f>
        <v>10</v>
      </c>
      <c r="Y119" s="1">
        <f>MAX(Y3:Y115)</f>
        <v>10</v>
      </c>
      <c r="Z119" s="1">
        <f>MAX(Z3:Z115)</f>
        <v>5</v>
      </c>
      <c r="AA119" s="1">
        <f>MAX(AA3:AA115)</f>
        <v>10</v>
      </c>
      <c r="AB119" s="1">
        <f>MAX(AB3:AB115)</f>
        <v>10</v>
      </c>
      <c r="AC119" s="1">
        <f>MAX(AC3:AC115)</f>
        <v>5</v>
      </c>
      <c r="AD119" s="1">
        <f>MAX(AD3:AD115)</f>
        <v>10</v>
      </c>
      <c r="AE119" s="1">
        <f>MAX(AE3:AE115)</f>
        <v>200</v>
      </c>
      <c r="AF119" s="1">
        <f>MAX(AF3:AF115)</f>
        <v>5</v>
      </c>
      <c r="AG119" s="1">
        <f>MAX(AG3:AG115)</f>
        <v>5</v>
      </c>
      <c r="AH119" s="1">
        <f>MAX(AH3:AH115)</f>
        <v>5</v>
      </c>
      <c r="AI119" s="1">
        <f>MAX(AI3:AI115)</f>
        <v>5</v>
      </c>
      <c r="AJ119" s="1">
        <f>MAX(AJ3:AJ115)</f>
        <v>5</v>
      </c>
      <c r="AK119" s="1">
        <f>MAX(AK3:AK115)</f>
        <v>0</v>
      </c>
      <c r="AL119" s="1">
        <f>MAX(AL3:AL115)</f>
        <v>0</v>
      </c>
      <c r="AM119" s="1">
        <f>MAX(AM3:AM115)</f>
        <v>5</v>
      </c>
      <c r="AN119" s="1">
        <f>MAX(AN3:AN115)</f>
        <v>25</v>
      </c>
      <c r="AO119" s="1">
        <f>MAX(AO3:AO115)</f>
        <v>10</v>
      </c>
      <c r="AP119" s="1">
        <f>MAX(AP3:AP115)</f>
        <v>10</v>
      </c>
      <c r="AQ119" s="1">
        <f>MAX(AQ3:AQ115)</f>
        <v>15</v>
      </c>
      <c r="AR119" s="1">
        <f>MAX(AR3:AR115)</f>
        <v>15</v>
      </c>
      <c r="AS119" s="1">
        <f>MAX(AS3:AS115)</f>
        <v>15</v>
      </c>
      <c r="AT119" s="1">
        <f>MAX(AT3:AT115)</f>
        <v>20</v>
      </c>
      <c r="AU119" s="1">
        <f>MAX(AU3:AU115)</f>
        <v>15</v>
      </c>
      <c r="AV119" s="1">
        <f>MAX(AV3:AV115)</f>
        <v>40</v>
      </c>
      <c r="AW119" s="1">
        <f>MAX(AW3:AW115)</f>
        <v>40</v>
      </c>
      <c r="AX119" s="1">
        <f>MAX(AX3:AX115)</f>
        <v>20</v>
      </c>
      <c r="AY119" s="1">
        <f>MAX(AY3:AY115)</f>
        <v>15</v>
      </c>
      <c r="AZ119" s="1">
        <f>MAX(AZ3:AZ115)</f>
        <v>15</v>
      </c>
      <c r="BA119" s="1">
        <f>MAX(BA3:BA115)</f>
        <v>20</v>
      </c>
      <c r="BB119" s="1">
        <f>MAX(BB3:BB115)</f>
        <v>40</v>
      </c>
      <c r="BC119" s="1">
        <f>MAX(BC3:BC115)</f>
        <v>10</v>
      </c>
      <c r="BD119" s="1">
        <f>MAX(BD3:BD115)</f>
        <v>50</v>
      </c>
      <c r="BE119" s="1">
        <f>MAX(BE3:BE115)</f>
        <v>20</v>
      </c>
      <c r="BF119" s="1">
        <f>MAX(BF3:BF115)</f>
        <v>20</v>
      </c>
      <c r="BG119" s="1">
        <f>MAX(BG3:BG115)</f>
        <v>20</v>
      </c>
      <c r="BH119" s="1">
        <f>MAX(BH3:BH115)</f>
        <v>20</v>
      </c>
      <c r="BI119" s="1">
        <f>MAX(BI3:BI115)</f>
        <v>20</v>
      </c>
      <c r="BJ119" s="1">
        <f>MAX(BJ3:BJ115)</f>
        <v>50</v>
      </c>
      <c r="BK119" s="1">
        <f>MAX(BK3:BK115)</f>
        <v>50</v>
      </c>
      <c r="BL119" s="1">
        <f>MAX(BL3:BL115)</f>
        <v>50</v>
      </c>
      <c r="BM119" s="1">
        <f>MAX(BM3:BM115)</f>
        <v>50</v>
      </c>
      <c r="BN119" s="1">
        <f>MAX(BN3:BN115)</f>
        <v>50</v>
      </c>
      <c r="BO119" s="1">
        <f>MAX(BO3:BO115)</f>
        <v>50</v>
      </c>
      <c r="BP119" s="1"/>
      <c r="BQ119" s="1"/>
      <c r="BR119" s="17"/>
      <c r="BS119" s="17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</row>
    <row r="120" spans="1:97" x14ac:dyDescent="0.15">
      <c r="A120" s="1"/>
      <c r="B120" s="3" t="s">
        <v>176</v>
      </c>
      <c r="C120" s="1"/>
      <c r="D120" s="1"/>
      <c r="E120" s="1">
        <f>MIN(E3:E115)</f>
        <v>6</v>
      </c>
      <c r="F120" s="1">
        <f>MIN(F3:F115)</f>
        <v>5</v>
      </c>
      <c r="G120" s="1">
        <f>MIN(G3:G115)</f>
        <v>5</v>
      </c>
      <c r="H120" s="1">
        <f>MIN(H3:H115)</f>
        <v>5</v>
      </c>
      <c r="I120" s="1">
        <f>MIN(I3:I115)</f>
        <v>7</v>
      </c>
      <c r="J120" s="1">
        <f>MIN(J3:J115)</f>
        <v>10</v>
      </c>
      <c r="K120" s="1">
        <f>MIN(K3:K115)</f>
        <v>6</v>
      </c>
      <c r="L120" s="1">
        <f>MIN(L3:L115)</f>
        <v>6</v>
      </c>
      <c r="M120" s="1">
        <f>MIN(M3:M115)</f>
        <v>6</v>
      </c>
      <c r="N120" s="1">
        <f>MIN(N3:N115)</f>
        <v>0</v>
      </c>
      <c r="O120" s="1">
        <f>MIN(O3:O115)</f>
        <v>5</v>
      </c>
      <c r="P120" s="1">
        <f>MIN(P3:P115)</f>
        <v>10</v>
      </c>
      <c r="Q120" s="1">
        <f>MIN(Q3:Q115)</f>
        <v>5</v>
      </c>
      <c r="R120" s="1">
        <f>MIN(R3:R115)</f>
        <v>2</v>
      </c>
      <c r="S120" s="1">
        <f>MIN(S3:S115)</f>
        <v>10</v>
      </c>
      <c r="T120" s="1">
        <f>MIN(T3:T115)</f>
        <v>5</v>
      </c>
      <c r="U120" s="1">
        <f>MIN(U3:U115)</f>
        <v>2</v>
      </c>
      <c r="V120" s="1">
        <f>MIN(V3:V115)</f>
        <v>5</v>
      </c>
      <c r="W120" s="1">
        <f>MIN(W3:W115)</f>
        <v>5</v>
      </c>
      <c r="X120" s="1">
        <f>MIN(X3:X115)</f>
        <v>2</v>
      </c>
      <c r="Y120" s="1">
        <f>MIN(Y3:Y115)</f>
        <v>5</v>
      </c>
      <c r="Z120" s="1">
        <f>MIN(Z3:Z115)</f>
        <v>5</v>
      </c>
      <c r="AA120" s="1">
        <f>MIN(AA3:AA115)</f>
        <v>2</v>
      </c>
      <c r="AB120" s="1">
        <f>MIN(AB3:AB115)</f>
        <v>10</v>
      </c>
      <c r="AC120" s="1">
        <f>MIN(AC3:AC115)</f>
        <v>5</v>
      </c>
      <c r="AD120" s="1">
        <f>MIN(AD3:AD115)</f>
        <v>2</v>
      </c>
      <c r="AE120" s="1">
        <f>MIN(AE3:AE115)</f>
        <v>50</v>
      </c>
      <c r="AF120" s="1">
        <f>MIN(AF3:AF115)</f>
        <v>5</v>
      </c>
      <c r="AG120" s="1">
        <f>MIN(AG3:AG115)</f>
        <v>5</v>
      </c>
      <c r="AH120" s="1">
        <f>MIN(AH3:AH115)</f>
        <v>5</v>
      </c>
      <c r="AI120" s="1">
        <f>MIN(AI3:AI115)</f>
        <v>5</v>
      </c>
      <c r="AJ120" s="1">
        <f>MIN(AJ3:AJ115)</f>
        <v>5</v>
      </c>
      <c r="AK120" s="1">
        <f>MIN(AK3:AK115)</f>
        <v>0</v>
      </c>
      <c r="AL120" s="1">
        <f>MIN(AL3:AL115)</f>
        <v>0</v>
      </c>
      <c r="AM120" s="1">
        <f>MIN(AM3:AM115)</f>
        <v>5</v>
      </c>
      <c r="AN120" s="1">
        <f>MIN(AN3:AN115)</f>
        <v>5</v>
      </c>
      <c r="AO120" s="1">
        <f>MIN(AO3:AO115)</f>
        <v>2</v>
      </c>
      <c r="AP120" s="1">
        <f>MIN(AP3:AP115)</f>
        <v>1</v>
      </c>
      <c r="AQ120" s="1">
        <f>MIN(AQ3:AQ115)</f>
        <v>10</v>
      </c>
      <c r="AR120" s="1">
        <f>MIN(AR3:AR115)</f>
        <v>10</v>
      </c>
      <c r="AS120" s="1">
        <f>MIN(AS3:AS115)</f>
        <v>5</v>
      </c>
      <c r="AT120" s="1">
        <f>MIN(AT3:AT115)</f>
        <v>10</v>
      </c>
      <c r="AU120" s="1">
        <f>MIN(AU3:AU115)</f>
        <v>10</v>
      </c>
      <c r="AV120" s="1">
        <f>MIN(AV3:AV115)</f>
        <v>10</v>
      </c>
      <c r="AW120" s="1">
        <f>MIN(AW3:AW115)</f>
        <v>10</v>
      </c>
      <c r="AX120" s="1">
        <f>MIN(AX3:AX115)</f>
        <v>5</v>
      </c>
      <c r="AY120" s="1">
        <f>MIN(AY3:AY115)</f>
        <v>10</v>
      </c>
      <c r="AZ120" s="1">
        <f>MIN(AZ3:AZ115)</f>
        <v>10</v>
      </c>
      <c r="BA120" s="1">
        <f>MIN(BA3:BA115)</f>
        <v>5</v>
      </c>
      <c r="BB120" s="1">
        <f>MIN(BB3:BB115)</f>
        <v>5</v>
      </c>
      <c r="BC120" s="1">
        <f>MIN(BC3:BC115)</f>
        <v>10</v>
      </c>
      <c r="BD120" s="1">
        <f>MIN(BD3:BD115)</f>
        <v>20</v>
      </c>
      <c r="BE120" s="1">
        <f>MIN(BE3:BE115)</f>
        <v>20</v>
      </c>
      <c r="BF120" s="1">
        <f>MIN(BF3:BF115)</f>
        <v>20</v>
      </c>
      <c r="BG120" s="1">
        <f>MIN(BG3:BG115)</f>
        <v>20</v>
      </c>
      <c r="BH120" s="1">
        <f>MIN(BH3:BH115)</f>
        <v>15</v>
      </c>
      <c r="BI120" s="1">
        <f>MIN(BI3:BI115)</f>
        <v>15</v>
      </c>
      <c r="BJ120" s="1">
        <f>MIN(BJ3:BJ115)</f>
        <v>50</v>
      </c>
      <c r="BK120" s="1">
        <f>MIN(BK3:BK115)</f>
        <v>50</v>
      </c>
      <c r="BL120" s="1">
        <f>MIN(BL3:BL115)</f>
        <v>50</v>
      </c>
      <c r="BM120" s="1">
        <f>MIN(BM3:BM115)</f>
        <v>50</v>
      </c>
      <c r="BN120" s="1">
        <f>MIN(BN3:BN115)</f>
        <v>50</v>
      </c>
      <c r="BO120" s="1">
        <f>MIN(BO3:BO115)</f>
        <v>50</v>
      </c>
      <c r="BP120" s="1"/>
      <c r="BQ120" s="1"/>
      <c r="BR120" s="17"/>
      <c r="BS120" s="17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</row>
    <row r="121" spans="1:97" x14ac:dyDescent="0.15">
      <c r="A121" s="1"/>
      <c r="B121" s="3" t="s">
        <v>177</v>
      </c>
      <c r="C121" s="1"/>
      <c r="D121" s="1"/>
      <c r="E121" s="1">
        <f>E117-E119</f>
        <v>43</v>
      </c>
      <c r="F121" s="1">
        <f>F117-F119</f>
        <v>17</v>
      </c>
      <c r="G121" s="1">
        <f>G117-G119</f>
        <v>46</v>
      </c>
      <c r="H121" s="1">
        <f>H117-H119</f>
        <v>10</v>
      </c>
      <c r="I121" s="1">
        <f>I117-I119</f>
        <v>57</v>
      </c>
      <c r="J121" s="1">
        <f>J117-J119</f>
        <v>71</v>
      </c>
      <c r="K121" s="1">
        <f>K117-K119</f>
        <v>47</v>
      </c>
      <c r="L121" s="1">
        <f>L117-L119</f>
        <v>72</v>
      </c>
      <c r="M121" s="1">
        <f>M117-M119</f>
        <v>45</v>
      </c>
      <c r="N121" s="1">
        <f>N117-N119</f>
        <v>62</v>
      </c>
      <c r="O121" s="1">
        <f>O117-O119</f>
        <v>21</v>
      </c>
      <c r="P121" s="1">
        <f>P117-P119</f>
        <v>-8</v>
      </c>
      <c r="Q121" s="1">
        <f>Q117-Q119</f>
        <v>-6</v>
      </c>
      <c r="R121" s="1">
        <f>R117-R119</f>
        <v>-8</v>
      </c>
      <c r="S121" s="1">
        <f>S117-S119</f>
        <v>-9</v>
      </c>
      <c r="T121" s="1">
        <f>T117-T119</f>
        <v>-2</v>
      </c>
      <c r="U121" s="1">
        <f>U117-U119</f>
        <v>-10</v>
      </c>
      <c r="V121" s="1">
        <f>V117-V119</f>
        <v>-8</v>
      </c>
      <c r="W121" s="1">
        <f>W117-W119</f>
        <v>-3</v>
      </c>
      <c r="X121" s="1">
        <f>X117-X119</f>
        <v>-4</v>
      </c>
      <c r="Y121" s="1">
        <f>Y117-Y119</f>
        <v>-10</v>
      </c>
      <c r="Z121" s="1">
        <f>Z117-Z119</f>
        <v>-4</v>
      </c>
      <c r="AA121" s="1">
        <f>AA117-AA119</f>
        <v>-9</v>
      </c>
      <c r="AB121" s="1">
        <f>AB117-AB119</f>
        <v>-2</v>
      </c>
      <c r="AC121" s="1">
        <f>AC117-AC119</f>
        <v>-3</v>
      </c>
      <c r="AD121" s="1">
        <f>AD117-AD119</f>
        <v>-6</v>
      </c>
      <c r="AE121" s="1">
        <f>AE117-AE119</f>
        <v>-196</v>
      </c>
      <c r="AF121" s="1">
        <f>AF117-AF119</f>
        <v>-5</v>
      </c>
      <c r="AG121" s="1">
        <f>AG117-AG119</f>
        <v>-2</v>
      </c>
      <c r="AH121" s="1">
        <f>AH117-AH119</f>
        <v>-5</v>
      </c>
      <c r="AI121" s="1">
        <f>AI117-AI119</f>
        <v>-5</v>
      </c>
      <c r="AJ121" s="1">
        <f>AJ117-AJ119</f>
        <v>-5</v>
      </c>
      <c r="AK121" s="1">
        <f>AK117-AK119</f>
        <v>33</v>
      </c>
      <c r="AL121" s="1">
        <f>AL117-AL119</f>
        <v>43</v>
      </c>
      <c r="AM121" s="1">
        <f>AM117-AM119</f>
        <v>0</v>
      </c>
      <c r="AN121" s="1">
        <f>AN117-AN119</f>
        <v>-25</v>
      </c>
      <c r="AO121" s="1">
        <f>AO117-AO119</f>
        <v>-10</v>
      </c>
      <c r="AP121" s="1">
        <f>AP117-AP119</f>
        <v>-10</v>
      </c>
      <c r="AQ121" s="1">
        <f>AQ117-AQ119</f>
        <v>-9</v>
      </c>
      <c r="AR121" s="1">
        <f>AR117-AR119</f>
        <v>-5</v>
      </c>
      <c r="AS121" s="1">
        <f>AS117-AS119</f>
        <v>-2</v>
      </c>
      <c r="AT121" s="1">
        <f>AT117-AT119</f>
        <v>-1</v>
      </c>
      <c r="AU121" s="1">
        <f>AU117-AU119</f>
        <v>8</v>
      </c>
      <c r="AV121" s="1">
        <f>AV117-AV119</f>
        <v>-20</v>
      </c>
      <c r="AW121" s="1">
        <f>AW117-AW119</f>
        <v>-30</v>
      </c>
      <c r="AX121" s="1">
        <f>AX117-AX119</f>
        <v>7</v>
      </c>
      <c r="AY121" s="1">
        <f>AY117-AY119</f>
        <v>12</v>
      </c>
      <c r="AZ121" s="1">
        <f>AZ117-AZ119</f>
        <v>-6</v>
      </c>
      <c r="BA121" s="1">
        <f>BA117-BA119</f>
        <v>-7</v>
      </c>
      <c r="BB121" s="1">
        <f>BB117-BB119</f>
        <v>23</v>
      </c>
      <c r="BC121" s="1">
        <f>BC117-BC119</f>
        <v>0</v>
      </c>
      <c r="BD121" s="1">
        <f>BD117-BD119</f>
        <v>112</v>
      </c>
      <c r="BE121" s="1">
        <f>BE117-BE119</f>
        <v>224</v>
      </c>
      <c r="BF121" s="1">
        <f>BF117-BF119</f>
        <v>213</v>
      </c>
      <c r="BG121" s="1">
        <f>BG117-BG119</f>
        <v>222</v>
      </c>
      <c r="BH121" s="1">
        <f>BH117-BH119</f>
        <v>121</v>
      </c>
      <c r="BI121" s="1">
        <f>BI117-BI119</f>
        <v>134</v>
      </c>
      <c r="BJ121" s="1">
        <f>BJ117-BJ119</f>
        <v>6</v>
      </c>
      <c r="BK121" s="1">
        <f>BK117-BK119</f>
        <v>15</v>
      </c>
      <c r="BL121" s="1">
        <f>BL117-BL119</f>
        <v>43</v>
      </c>
      <c r="BM121" s="1">
        <f>BM117-BM119</f>
        <v>-42</v>
      </c>
      <c r="BN121" s="1">
        <f>BN117-BN119</f>
        <v>-45</v>
      </c>
      <c r="BO121" s="1">
        <f>BO117-BO119</f>
        <v>-45</v>
      </c>
      <c r="BP121" s="1"/>
      <c r="BQ121" s="1"/>
      <c r="BR121" s="17"/>
      <c r="BS121" s="17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</row>
    <row r="122" spans="1:97" s="13" customFormat="1" x14ac:dyDescent="0.15">
      <c r="A122" s="1"/>
      <c r="B122" s="3" t="s">
        <v>178</v>
      </c>
      <c r="C122" s="1"/>
      <c r="D122" s="1"/>
      <c r="E122" s="1">
        <f>E117-E120</f>
        <v>52</v>
      </c>
      <c r="F122" s="1">
        <f>F117-F120</f>
        <v>27</v>
      </c>
      <c r="G122" s="1">
        <f>G117-G120</f>
        <v>61</v>
      </c>
      <c r="H122" s="1">
        <f>H117-H120</f>
        <v>25</v>
      </c>
      <c r="I122" s="1">
        <f>I117-I120</f>
        <v>60</v>
      </c>
      <c r="J122" s="1">
        <f>J117-J120</f>
        <v>71</v>
      </c>
      <c r="K122" s="1">
        <f>K117-K120</f>
        <v>47</v>
      </c>
      <c r="L122" s="1">
        <f>L117-L120</f>
        <v>86</v>
      </c>
      <c r="M122" s="1">
        <f>M117-M120</f>
        <v>54</v>
      </c>
      <c r="N122" s="1">
        <f>N117-N120</f>
        <v>62</v>
      </c>
      <c r="O122" s="1">
        <f>O117-O120</f>
        <v>36</v>
      </c>
      <c r="P122" s="1">
        <f>P117-P120</f>
        <v>-8</v>
      </c>
      <c r="Q122" s="1">
        <f>Q117-Q120</f>
        <v>-4</v>
      </c>
      <c r="R122" s="1">
        <f>R117-R120</f>
        <v>0</v>
      </c>
      <c r="S122" s="1">
        <f>S117-S120</f>
        <v>-9</v>
      </c>
      <c r="T122" s="1">
        <f>T117-T120</f>
        <v>0</v>
      </c>
      <c r="U122" s="1">
        <f>U117-U120</f>
        <v>-2</v>
      </c>
      <c r="V122" s="1">
        <f>V117-V120</f>
        <v>-3</v>
      </c>
      <c r="W122" s="1">
        <f>W117-W120</f>
        <v>-3</v>
      </c>
      <c r="X122" s="1">
        <f>X117-X120</f>
        <v>4</v>
      </c>
      <c r="Y122" s="1">
        <f>Y117-Y120</f>
        <v>-5</v>
      </c>
      <c r="Z122" s="1">
        <f>Z117-Z120</f>
        <v>-4</v>
      </c>
      <c r="AA122" s="1">
        <f>AA117-AA120</f>
        <v>-1</v>
      </c>
      <c r="AB122" s="1">
        <f>AB117-AB120</f>
        <v>-2</v>
      </c>
      <c r="AC122" s="1">
        <f>AC117-AC120</f>
        <v>-3</v>
      </c>
      <c r="AD122" s="1">
        <f>AD117-AD120</f>
        <v>2</v>
      </c>
      <c r="AE122" s="1">
        <f>AE117-AE120</f>
        <v>-46</v>
      </c>
      <c r="AF122" s="1">
        <f>AF117-AF120</f>
        <v>-5</v>
      </c>
      <c r="AG122" s="1">
        <f>AG117-AG120</f>
        <v>-2</v>
      </c>
      <c r="AH122" s="1">
        <f>AH117-AH120</f>
        <v>-5</v>
      </c>
      <c r="AI122" s="1">
        <f>AI117-AI120</f>
        <v>-5</v>
      </c>
      <c r="AJ122" s="1">
        <f>AJ117-AJ120</f>
        <v>-5</v>
      </c>
      <c r="AK122" s="1">
        <f>AK117-AK120</f>
        <v>33</v>
      </c>
      <c r="AL122" s="1">
        <f>AL117-AL120</f>
        <v>43</v>
      </c>
      <c r="AM122" s="1">
        <f>AM117-AM120</f>
        <v>0</v>
      </c>
      <c r="AN122" s="1">
        <f>AN117-AN120</f>
        <v>-5</v>
      </c>
      <c r="AO122" s="1">
        <f>AO117-AO120</f>
        <v>-2</v>
      </c>
      <c r="AP122" s="1">
        <f>AP117-AP120</f>
        <v>-1</v>
      </c>
      <c r="AQ122" s="1">
        <f>AQ117-AQ120</f>
        <v>-4</v>
      </c>
      <c r="AR122" s="1">
        <f>AR117-AR120</f>
        <v>0</v>
      </c>
      <c r="AS122" s="1">
        <f>AS117-AS120</f>
        <v>8</v>
      </c>
      <c r="AT122" s="1">
        <f>AT117-AT120</f>
        <v>9</v>
      </c>
      <c r="AU122" s="1">
        <f>AU117-AU120</f>
        <v>13</v>
      </c>
      <c r="AV122" s="1">
        <f>AV117-AV120</f>
        <v>10</v>
      </c>
      <c r="AW122" s="1">
        <f>AW117-AW120</f>
        <v>0</v>
      </c>
      <c r="AX122" s="1">
        <f>AX117-AX120</f>
        <v>22</v>
      </c>
      <c r="AY122" s="1">
        <f>AY117-AY120</f>
        <v>17</v>
      </c>
      <c r="AZ122" s="1">
        <f>AZ117-AZ120</f>
        <v>-1</v>
      </c>
      <c r="BA122" s="1">
        <f>BA117-BA120</f>
        <v>8</v>
      </c>
      <c r="BB122" s="1">
        <f>BB117-BB120</f>
        <v>58</v>
      </c>
      <c r="BC122" s="1">
        <f>BC117-BC120</f>
        <v>0</v>
      </c>
      <c r="BD122" s="1">
        <f>BD117-BD120</f>
        <v>142</v>
      </c>
      <c r="BE122" s="1">
        <f>BE117-BE120</f>
        <v>224</v>
      </c>
      <c r="BF122" s="1">
        <f>BF117-BF120</f>
        <v>213</v>
      </c>
      <c r="BG122" s="1">
        <f>BG117-BG120</f>
        <v>222</v>
      </c>
      <c r="BH122" s="1">
        <f>BH117-BH120</f>
        <v>126</v>
      </c>
      <c r="BI122" s="1">
        <f>BI117-BI120</f>
        <v>139</v>
      </c>
      <c r="BJ122" s="1">
        <f>BJ117-BJ120</f>
        <v>6</v>
      </c>
      <c r="BK122" s="1">
        <f>BK117-BK120</f>
        <v>15</v>
      </c>
      <c r="BL122" s="1">
        <f>BL117-BL120</f>
        <v>43</v>
      </c>
      <c r="BM122" s="1">
        <f>BM117-BM120</f>
        <v>-42</v>
      </c>
      <c r="BN122" s="1">
        <f>BN117-BN120</f>
        <v>-45</v>
      </c>
      <c r="BO122" s="1">
        <f>BO117-BO120</f>
        <v>-45</v>
      </c>
      <c r="BP122" s="1"/>
      <c r="BQ122" s="1"/>
      <c r="BR122" s="17"/>
      <c r="BS122" s="17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</row>
  </sheetData>
  <autoFilter ref="A1:BP115"/>
  <sortState ref="A2:CS122">
    <sortCondition ref="BR2:BR122"/>
    <sortCondition ref="BQ2:BQ122"/>
  </sortState>
  <phoneticPr fontId="1" type="noConversion"/>
  <conditionalFormatting sqref="E119">
    <cfRule type="expression" dxfId="5" priority="10">
      <formula>"&lt;=$E$135"</formula>
    </cfRule>
  </conditionalFormatting>
  <conditionalFormatting sqref="E121:BO122">
    <cfRule type="cellIs" dxfId="4" priority="1" operator="lessThan">
      <formula>0</formula>
    </cfRule>
  </conditionalFormatting>
  <conditionalFormatting sqref="E118:BO11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122</xdr:row>
                    <xdr:rowOff>28575</xdr:rowOff>
                  </from>
                  <to>
                    <xdr:col>1</xdr:col>
                    <xdr:colOff>428625</xdr:colOff>
                    <xdr:row>123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4"/>
  <sheetViews>
    <sheetView workbookViewId="0">
      <pane xSplit="2" ySplit="1" topLeftCell="AS2" activePane="bottomRight" state="frozen"/>
      <selection pane="topRight" activeCell="C1" sqref="C1"/>
      <selection pane="bottomLeft" activeCell="A3" sqref="A3"/>
      <selection pane="bottomRight" activeCell="AX4" sqref="AT4:AX4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73</v>
      </c>
      <c r="B1" s="8" t="s">
        <v>74</v>
      </c>
      <c r="C1" s="8" t="s">
        <v>76</v>
      </c>
      <c r="D1" s="8" t="s">
        <v>75</v>
      </c>
      <c r="E1" s="9" t="s">
        <v>2</v>
      </c>
      <c r="F1" s="9" t="s">
        <v>3</v>
      </c>
      <c r="G1" s="9" t="s">
        <v>13</v>
      </c>
      <c r="H1" s="9" t="s">
        <v>23</v>
      </c>
      <c r="I1" s="9" t="s">
        <v>24</v>
      </c>
      <c r="J1" s="9" t="s">
        <v>71</v>
      </c>
      <c r="K1" s="9" t="s">
        <v>25</v>
      </c>
      <c r="L1" s="9" t="s">
        <v>44</v>
      </c>
      <c r="M1" s="9" t="s">
        <v>46</v>
      </c>
      <c r="N1" s="9" t="s">
        <v>51</v>
      </c>
      <c r="O1" s="9" t="s">
        <v>45</v>
      </c>
      <c r="P1" s="27" t="s">
        <v>111</v>
      </c>
      <c r="Q1" s="27" t="s">
        <v>123</v>
      </c>
      <c r="R1" s="27" t="s">
        <v>117</v>
      </c>
      <c r="S1" s="27" t="s">
        <v>112</v>
      </c>
      <c r="T1" s="27" t="s">
        <v>121</v>
      </c>
      <c r="U1" s="27" t="s">
        <v>127</v>
      </c>
      <c r="V1" s="27" t="s">
        <v>113</v>
      </c>
      <c r="W1" s="27" t="s">
        <v>120</v>
      </c>
      <c r="X1" s="27" t="s">
        <v>118</v>
      </c>
      <c r="Y1" s="27" t="s">
        <v>114</v>
      </c>
      <c r="Z1" s="27" t="s">
        <v>122</v>
      </c>
      <c r="AA1" s="27" t="s">
        <v>129</v>
      </c>
      <c r="AB1" s="27" t="s">
        <v>116</v>
      </c>
      <c r="AC1" s="27" t="s">
        <v>115</v>
      </c>
      <c r="AD1" s="27" t="s">
        <v>140</v>
      </c>
      <c r="AE1" s="8" t="s">
        <v>8</v>
      </c>
      <c r="AF1" s="8" t="s">
        <v>31</v>
      </c>
      <c r="AG1" s="8" t="s">
        <v>32</v>
      </c>
      <c r="AH1" s="8" t="s">
        <v>61</v>
      </c>
      <c r="AI1" s="8" t="s">
        <v>62</v>
      </c>
      <c r="AJ1" s="8" t="s">
        <v>64</v>
      </c>
      <c r="AK1" s="8" t="s">
        <v>65</v>
      </c>
      <c r="AL1" s="8" t="s">
        <v>67</v>
      </c>
      <c r="AM1" s="8" t="s">
        <v>52</v>
      </c>
      <c r="AN1" s="8" t="s">
        <v>54</v>
      </c>
      <c r="AO1" s="8" t="s">
        <v>99</v>
      </c>
      <c r="AP1" s="8" t="s">
        <v>100</v>
      </c>
      <c r="AQ1" s="10" t="s">
        <v>41</v>
      </c>
      <c r="AR1" s="10" t="s">
        <v>4</v>
      </c>
      <c r="AS1" s="10" t="s">
        <v>29</v>
      </c>
      <c r="AT1" s="10" t="s">
        <v>56</v>
      </c>
      <c r="AU1" s="10" t="s">
        <v>59</v>
      </c>
      <c r="AV1" s="10" t="s">
        <v>50</v>
      </c>
      <c r="AW1" s="11" t="s">
        <v>5</v>
      </c>
      <c r="AX1" s="11" t="s">
        <v>6</v>
      </c>
      <c r="AY1" s="11" t="s">
        <v>42</v>
      </c>
      <c r="AZ1" s="11" t="s">
        <v>7</v>
      </c>
      <c r="BA1" s="11" t="s">
        <v>49</v>
      </c>
      <c r="BB1" s="11" t="s">
        <v>12</v>
      </c>
      <c r="BC1" s="25" t="s">
        <v>96</v>
      </c>
      <c r="BD1" s="8" t="s">
        <v>17</v>
      </c>
      <c r="BE1" s="8" t="s">
        <v>16</v>
      </c>
      <c r="BF1" s="8" t="s">
        <v>14</v>
      </c>
      <c r="BG1" s="8" t="s">
        <v>15</v>
      </c>
      <c r="BH1" s="8" t="s">
        <v>18</v>
      </c>
      <c r="BI1" s="8" t="s">
        <v>19</v>
      </c>
      <c r="BJ1" s="8" t="s">
        <v>34</v>
      </c>
      <c r="BK1" s="8" t="s">
        <v>35</v>
      </c>
      <c r="BL1" s="8" t="s">
        <v>36</v>
      </c>
      <c r="BM1" s="8" t="s">
        <v>37</v>
      </c>
      <c r="BN1" s="8" t="s">
        <v>38</v>
      </c>
      <c r="BO1" s="8" t="s">
        <v>39</v>
      </c>
      <c r="BP1" s="12" t="s">
        <v>81</v>
      </c>
      <c r="BQ1" s="8" t="s">
        <v>82</v>
      </c>
      <c r="BR1" s="16" t="s">
        <v>83</v>
      </c>
      <c r="BS1" s="16"/>
      <c r="BT1" s="10" t="s">
        <v>41</v>
      </c>
      <c r="BU1" s="10" t="s">
        <v>4</v>
      </c>
      <c r="BV1" s="10" t="s">
        <v>29</v>
      </c>
      <c r="BW1" s="10" t="s">
        <v>56</v>
      </c>
      <c r="BX1" s="10" t="s">
        <v>59</v>
      </c>
      <c r="BY1" s="10" t="s">
        <v>50</v>
      </c>
      <c r="BZ1" s="11" t="s">
        <v>5</v>
      </c>
      <c r="CA1" s="11" t="s">
        <v>6</v>
      </c>
      <c r="CB1" s="11" t="s">
        <v>42</v>
      </c>
      <c r="CC1" s="11" t="s">
        <v>7</v>
      </c>
      <c r="CD1" s="11" t="s">
        <v>49</v>
      </c>
      <c r="CE1" s="11" t="s">
        <v>12</v>
      </c>
      <c r="CF1" s="8"/>
      <c r="CG1" s="10" t="s">
        <v>41</v>
      </c>
      <c r="CH1" s="10" t="s">
        <v>4</v>
      </c>
      <c r="CI1" s="10" t="s">
        <v>29</v>
      </c>
      <c r="CJ1" s="10" t="s">
        <v>56</v>
      </c>
      <c r="CK1" s="10" t="s">
        <v>59</v>
      </c>
      <c r="CL1" s="10" t="s">
        <v>50</v>
      </c>
      <c r="CM1" s="11" t="s">
        <v>5</v>
      </c>
      <c r="CN1" s="11" t="s">
        <v>6</v>
      </c>
      <c r="CO1" s="11" t="s">
        <v>42</v>
      </c>
      <c r="CP1" s="11" t="s">
        <v>7</v>
      </c>
      <c r="CQ1" s="11" t="s">
        <v>49</v>
      </c>
      <c r="CR1" s="11" t="s">
        <v>12</v>
      </c>
      <c r="CS1" s="8"/>
    </row>
    <row r="2" spans="1:97" s="48" customFormat="1" x14ac:dyDescent="0.15">
      <c r="A2" s="40">
        <v>4</v>
      </c>
      <c r="B2" s="40" t="s">
        <v>9</v>
      </c>
      <c r="C2" s="40" t="s">
        <v>1</v>
      </c>
      <c r="D2" s="40" t="s">
        <v>11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 t="shared" ref="BP2:BP7" si="0">SUM(E2:BO2)</f>
        <v>80</v>
      </c>
      <c r="BQ2" s="40">
        <v>0</v>
      </c>
      <c r="BR2" s="46">
        <v>0</v>
      </c>
      <c r="BS2" s="46"/>
      <c r="BT2" s="40" t="str">
        <f t="shared" ref="BT2:CE7" si="1">IF(AQ2&gt;AQ$8, AQ2-AQ$8,"")</f>
        <v/>
      </c>
      <c r="BU2" s="40" t="str">
        <f t="shared" si="1"/>
        <v/>
      </c>
      <c r="BV2" s="40" t="str">
        <f t="shared" si="1"/>
        <v/>
      </c>
      <c r="BW2" s="40" t="str">
        <f t="shared" si="1"/>
        <v/>
      </c>
      <c r="BX2" s="40" t="str">
        <f t="shared" si="1"/>
        <v/>
      </c>
      <c r="BY2" s="40" t="str">
        <f t="shared" si="1"/>
        <v/>
      </c>
      <c r="BZ2" s="40" t="str">
        <f t="shared" si="1"/>
        <v/>
      </c>
      <c r="CA2" s="40" t="str">
        <f t="shared" si="1"/>
        <v/>
      </c>
      <c r="CB2" s="40" t="str">
        <f t="shared" si="1"/>
        <v/>
      </c>
      <c r="CC2" s="40" t="str">
        <f t="shared" si="1"/>
        <v/>
      </c>
      <c r="CD2" s="40" t="str">
        <f t="shared" si="1"/>
        <v/>
      </c>
      <c r="CE2" s="40" t="str">
        <f t="shared" si="1"/>
        <v/>
      </c>
      <c r="CF2" s="40">
        <f>12-COUNTA(BT2:CE2)</f>
        <v>0</v>
      </c>
      <c r="CG2" s="40" t="str">
        <f t="shared" ref="CG2:CR5" si="2">IF($CF2=1,BT2,"")</f>
        <v/>
      </c>
      <c r="CH2" s="40" t="str">
        <f t="shared" si="2"/>
        <v/>
      </c>
      <c r="CI2" s="40" t="str">
        <f t="shared" si="2"/>
        <v/>
      </c>
      <c r="CJ2" s="40" t="str">
        <f t="shared" si="2"/>
        <v/>
      </c>
      <c r="CK2" s="40" t="str">
        <f t="shared" si="2"/>
        <v/>
      </c>
      <c r="CL2" s="40" t="str">
        <f t="shared" si="2"/>
        <v/>
      </c>
      <c r="CM2" s="40" t="str">
        <f t="shared" si="2"/>
        <v/>
      </c>
      <c r="CN2" s="40" t="str">
        <f t="shared" si="2"/>
        <v/>
      </c>
      <c r="CO2" s="40" t="str">
        <f t="shared" si="2"/>
        <v/>
      </c>
      <c r="CP2" s="40" t="str">
        <f t="shared" si="2"/>
        <v/>
      </c>
      <c r="CQ2" s="40" t="str">
        <f t="shared" si="2"/>
        <v/>
      </c>
      <c r="CR2" s="40" t="str">
        <f t="shared" si="2"/>
        <v/>
      </c>
      <c r="CS2" s="47">
        <f>SUM(AE2:BO2)</f>
        <v>80</v>
      </c>
    </row>
    <row r="3" spans="1:97" x14ac:dyDescent="0.15">
      <c r="A3" s="40">
        <v>20</v>
      </c>
      <c r="B3" s="40" t="s">
        <v>202</v>
      </c>
      <c r="C3" s="40" t="s">
        <v>27</v>
      </c>
      <c r="D3" s="40" t="s">
        <v>10</v>
      </c>
      <c r="E3" s="41"/>
      <c r="F3" s="41">
        <v>5</v>
      </c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/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 t="shared" si="0"/>
        <v>10</v>
      </c>
      <c r="BQ3" s="40">
        <v>3</v>
      </c>
      <c r="BR3" s="46">
        <v>1</v>
      </c>
      <c r="BS3" s="46" t="s">
        <v>208</v>
      </c>
      <c r="BT3" s="40" t="str">
        <f t="shared" si="1"/>
        <v/>
      </c>
      <c r="BU3" s="40" t="str">
        <f t="shared" si="1"/>
        <v/>
      </c>
      <c r="BV3" s="40" t="str">
        <f t="shared" si="1"/>
        <v/>
      </c>
      <c r="BW3" s="40" t="str">
        <f t="shared" si="1"/>
        <v/>
      </c>
      <c r="BX3" s="40" t="str">
        <f t="shared" si="1"/>
        <v/>
      </c>
      <c r="BY3" s="40" t="str">
        <f t="shared" si="1"/>
        <v/>
      </c>
      <c r="BZ3" s="40" t="str">
        <f t="shared" si="1"/>
        <v/>
      </c>
      <c r="CA3" s="40" t="str">
        <f t="shared" si="1"/>
        <v/>
      </c>
      <c r="CB3" s="40" t="str">
        <f t="shared" si="1"/>
        <v/>
      </c>
      <c r="CC3" s="40" t="str">
        <f t="shared" si="1"/>
        <v/>
      </c>
      <c r="CD3" s="40" t="str">
        <f t="shared" si="1"/>
        <v/>
      </c>
      <c r="CE3" s="40" t="str">
        <f t="shared" si="1"/>
        <v/>
      </c>
      <c r="CF3" s="40">
        <f>COUNTIF(BT3:CE3, "&gt;0")</f>
        <v>0</v>
      </c>
      <c r="CG3" s="40" t="str">
        <f t="shared" si="2"/>
        <v/>
      </c>
      <c r="CH3" s="40" t="str">
        <f t="shared" si="2"/>
        <v/>
      </c>
      <c r="CI3" s="40" t="str">
        <f t="shared" si="2"/>
        <v/>
      </c>
      <c r="CJ3" s="40" t="str">
        <f t="shared" si="2"/>
        <v/>
      </c>
      <c r="CK3" s="40" t="str">
        <f t="shared" si="2"/>
        <v/>
      </c>
      <c r="CL3" s="40" t="str">
        <f t="shared" si="2"/>
        <v/>
      </c>
      <c r="CM3" s="40" t="str">
        <f t="shared" si="2"/>
        <v/>
      </c>
      <c r="CN3" s="40" t="str">
        <f t="shared" si="2"/>
        <v/>
      </c>
      <c r="CO3" s="40" t="str">
        <f t="shared" si="2"/>
        <v/>
      </c>
      <c r="CP3" s="40" t="str">
        <f t="shared" si="2"/>
        <v/>
      </c>
      <c r="CQ3" s="40" t="str">
        <f t="shared" si="2"/>
        <v/>
      </c>
      <c r="CR3" s="40" t="str">
        <f t="shared" si="2"/>
        <v/>
      </c>
      <c r="CS3" s="47">
        <f>SUM(AE3:BO3)</f>
        <v>5</v>
      </c>
    </row>
    <row r="4" spans="1:97" x14ac:dyDescent="0.15">
      <c r="A4" s="40">
        <v>77</v>
      </c>
      <c r="B4" s="47" t="s">
        <v>151</v>
      </c>
      <c r="C4" s="47" t="s">
        <v>55</v>
      </c>
      <c r="D4" s="40" t="s">
        <v>11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3"/>
      <c r="AR4" s="43"/>
      <c r="AS4" s="43"/>
      <c r="AT4" s="43">
        <v>20</v>
      </c>
      <c r="AU4" s="43"/>
      <c r="AV4" s="43"/>
      <c r="AW4" s="44">
        <v>20</v>
      </c>
      <c r="AX4" s="44">
        <v>20</v>
      </c>
      <c r="AY4" s="44"/>
      <c r="AZ4" s="44"/>
      <c r="BA4" s="44"/>
      <c r="BB4" s="44">
        <v>10</v>
      </c>
      <c r="BC4" s="45"/>
      <c r="BD4" s="40"/>
      <c r="BE4" s="40"/>
      <c r="BF4" s="40"/>
      <c r="BG4" s="40"/>
      <c r="BH4" s="40">
        <v>20</v>
      </c>
      <c r="BI4" s="40"/>
      <c r="BJ4" s="40"/>
      <c r="BK4" s="40"/>
      <c r="BL4" s="40"/>
      <c r="BM4" s="40"/>
      <c r="BN4" s="40"/>
      <c r="BO4" s="40"/>
      <c r="BP4" s="40">
        <f t="shared" si="0"/>
        <v>90</v>
      </c>
      <c r="BQ4" s="40">
        <v>12</v>
      </c>
      <c r="BR4" s="46">
        <v>1</v>
      </c>
      <c r="BS4" s="46" t="s">
        <v>209</v>
      </c>
      <c r="BT4" s="40" t="str">
        <f t="shared" si="1"/>
        <v/>
      </c>
      <c r="BU4" s="40" t="str">
        <f t="shared" si="1"/>
        <v/>
      </c>
      <c r="BV4" s="40" t="str">
        <f t="shared" si="1"/>
        <v/>
      </c>
      <c r="BW4" s="40" t="str">
        <f t="shared" si="1"/>
        <v/>
      </c>
      <c r="BX4" s="40" t="str">
        <f t="shared" si="1"/>
        <v/>
      </c>
      <c r="BY4" s="40" t="str">
        <f t="shared" si="1"/>
        <v/>
      </c>
      <c r="BZ4" s="40" t="str">
        <f t="shared" si="1"/>
        <v/>
      </c>
      <c r="CA4" s="40" t="str">
        <f t="shared" si="1"/>
        <v/>
      </c>
      <c r="CB4" s="40" t="str">
        <f t="shared" si="1"/>
        <v/>
      </c>
      <c r="CC4" s="40" t="str">
        <f t="shared" si="1"/>
        <v/>
      </c>
      <c r="CD4" s="40" t="str">
        <f t="shared" si="1"/>
        <v/>
      </c>
      <c r="CE4" s="40" t="str">
        <f t="shared" si="1"/>
        <v/>
      </c>
      <c r="CF4" s="40">
        <f>COUNTIF(BT4:CE4, "&gt;0")</f>
        <v>0</v>
      </c>
      <c r="CG4" s="40" t="str">
        <f t="shared" si="2"/>
        <v/>
      </c>
      <c r="CH4" s="40" t="str">
        <f t="shared" si="2"/>
        <v/>
      </c>
      <c r="CI4" s="40" t="str">
        <f t="shared" si="2"/>
        <v/>
      </c>
      <c r="CJ4" s="40" t="str">
        <f t="shared" si="2"/>
        <v/>
      </c>
      <c r="CK4" s="40" t="str">
        <f t="shared" si="2"/>
        <v/>
      </c>
      <c r="CL4" s="40" t="str">
        <f t="shared" si="2"/>
        <v/>
      </c>
      <c r="CM4" s="40" t="str">
        <f t="shared" si="2"/>
        <v/>
      </c>
      <c r="CN4" s="40" t="str">
        <f t="shared" si="2"/>
        <v/>
      </c>
      <c r="CO4" s="40" t="str">
        <f t="shared" si="2"/>
        <v/>
      </c>
      <c r="CP4" s="40" t="str">
        <f t="shared" si="2"/>
        <v/>
      </c>
      <c r="CQ4" s="40" t="str">
        <f t="shared" si="2"/>
        <v/>
      </c>
      <c r="CR4" s="40" t="str">
        <f t="shared" si="2"/>
        <v/>
      </c>
      <c r="CS4" s="47">
        <f>SUM(AE4:BO4)</f>
        <v>90</v>
      </c>
    </row>
    <row r="5" spans="1:97" s="48" customFormat="1" x14ac:dyDescent="0.15">
      <c r="A5" s="40">
        <v>3</v>
      </c>
      <c r="B5" s="40" t="s">
        <v>9</v>
      </c>
      <c r="C5" s="40" t="s">
        <v>1</v>
      </c>
      <c r="D5" s="40" t="s">
        <v>10</v>
      </c>
      <c r="E5" s="41">
        <v>15</v>
      </c>
      <c r="F5" s="41"/>
      <c r="G5" s="41">
        <v>15</v>
      </c>
      <c r="H5" s="41"/>
      <c r="I5" s="41"/>
      <c r="J5" s="41"/>
      <c r="K5" s="41"/>
      <c r="L5" s="41"/>
      <c r="M5" s="41"/>
      <c r="N5" s="41"/>
      <c r="O5" s="41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3"/>
      <c r="AR5" s="43">
        <v>15</v>
      </c>
      <c r="AS5" s="43"/>
      <c r="AT5" s="43"/>
      <c r="AU5" s="43"/>
      <c r="AV5" s="43"/>
      <c r="AW5" s="44"/>
      <c r="AX5" s="44"/>
      <c r="AY5" s="44"/>
      <c r="AZ5" s="44"/>
      <c r="BA5" s="44"/>
      <c r="BB5" s="44">
        <v>15</v>
      </c>
      <c r="BC5" s="45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>
        <f t="shared" si="0"/>
        <v>60</v>
      </c>
      <c r="BQ5" s="40">
        <v>14</v>
      </c>
      <c r="BR5" s="46">
        <v>1</v>
      </c>
      <c r="BS5" s="46" t="s">
        <v>210</v>
      </c>
      <c r="BT5" s="40" t="str">
        <f t="shared" si="1"/>
        <v/>
      </c>
      <c r="BU5" s="40" t="str">
        <f t="shared" si="1"/>
        <v/>
      </c>
      <c r="BV5" s="40" t="str">
        <f t="shared" si="1"/>
        <v/>
      </c>
      <c r="BW5" s="40" t="str">
        <f t="shared" si="1"/>
        <v/>
      </c>
      <c r="BX5" s="40" t="str">
        <f t="shared" si="1"/>
        <v/>
      </c>
      <c r="BY5" s="40" t="str">
        <f t="shared" si="1"/>
        <v/>
      </c>
      <c r="BZ5" s="40" t="str">
        <f t="shared" si="1"/>
        <v/>
      </c>
      <c r="CA5" s="40" t="str">
        <f t="shared" si="1"/>
        <v/>
      </c>
      <c r="CB5" s="40" t="str">
        <f t="shared" si="1"/>
        <v/>
      </c>
      <c r="CC5" s="40" t="str">
        <f t="shared" si="1"/>
        <v/>
      </c>
      <c r="CD5" s="40" t="str">
        <f t="shared" si="1"/>
        <v/>
      </c>
      <c r="CE5" s="40" t="str">
        <f t="shared" si="1"/>
        <v/>
      </c>
      <c r="CF5" s="40">
        <f>COUNTIF(BT5:CE5, "&gt;0")</f>
        <v>0</v>
      </c>
      <c r="CG5" s="40" t="str">
        <f t="shared" si="2"/>
        <v/>
      </c>
      <c r="CH5" s="40" t="str">
        <f t="shared" si="2"/>
        <v/>
      </c>
      <c r="CI5" s="40" t="str">
        <f t="shared" si="2"/>
        <v/>
      </c>
      <c r="CJ5" s="40" t="str">
        <f t="shared" si="2"/>
        <v/>
      </c>
      <c r="CK5" s="40" t="str">
        <f t="shared" si="2"/>
        <v/>
      </c>
      <c r="CL5" s="40" t="str">
        <f t="shared" si="2"/>
        <v/>
      </c>
      <c r="CM5" s="40" t="str">
        <f t="shared" si="2"/>
        <v/>
      </c>
      <c r="CN5" s="40" t="str">
        <f t="shared" si="2"/>
        <v/>
      </c>
      <c r="CO5" s="40" t="str">
        <f t="shared" si="2"/>
        <v/>
      </c>
      <c r="CP5" s="40" t="str">
        <f t="shared" si="2"/>
        <v/>
      </c>
      <c r="CQ5" s="40" t="str">
        <f t="shared" si="2"/>
        <v/>
      </c>
      <c r="CR5" s="40" t="str">
        <f t="shared" si="2"/>
        <v/>
      </c>
      <c r="CS5" s="47">
        <f>SUM(AE5:BO5)</f>
        <v>30</v>
      </c>
    </row>
    <row r="6" spans="1:97" s="48" customFormat="1" x14ac:dyDescent="0.15">
      <c r="A6" s="40"/>
      <c r="B6" s="40" t="s">
        <v>158</v>
      </c>
      <c r="C6" s="40" t="s">
        <v>1</v>
      </c>
      <c r="D6" s="40" t="s">
        <v>91</v>
      </c>
      <c r="E6" s="41">
        <v>15</v>
      </c>
      <c r="F6" s="41"/>
      <c r="G6" s="41">
        <v>15</v>
      </c>
      <c r="H6" s="41"/>
      <c r="I6" s="41"/>
      <c r="J6" s="41"/>
      <c r="K6" s="41"/>
      <c r="L6" s="41"/>
      <c r="M6" s="41"/>
      <c r="N6" s="41"/>
      <c r="O6" s="41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3"/>
      <c r="AR6" s="43">
        <v>15</v>
      </c>
      <c r="AS6" s="43"/>
      <c r="AT6" s="43"/>
      <c r="AU6" s="43"/>
      <c r="AV6" s="43"/>
      <c r="AW6" s="44"/>
      <c r="AX6" s="44"/>
      <c r="AY6" s="44"/>
      <c r="AZ6" s="44"/>
      <c r="BA6" s="44"/>
      <c r="BB6" s="44">
        <v>15</v>
      </c>
      <c r="BC6" s="45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>
        <f t="shared" si="0"/>
        <v>60</v>
      </c>
      <c r="BQ6" s="40">
        <v>14</v>
      </c>
      <c r="BR6" s="46">
        <v>1</v>
      </c>
      <c r="BS6" s="46" t="s">
        <v>210</v>
      </c>
      <c r="BT6" s="40" t="str">
        <f t="shared" si="1"/>
        <v/>
      </c>
      <c r="BU6" s="40" t="str">
        <f t="shared" si="1"/>
        <v/>
      </c>
      <c r="BV6" s="40" t="str">
        <f t="shared" si="1"/>
        <v/>
      </c>
      <c r="BW6" s="40" t="str">
        <f t="shared" si="1"/>
        <v/>
      </c>
      <c r="BX6" s="40" t="str">
        <f t="shared" si="1"/>
        <v/>
      </c>
      <c r="BY6" s="40" t="str">
        <f t="shared" si="1"/>
        <v/>
      </c>
      <c r="BZ6" s="40" t="str">
        <f t="shared" si="1"/>
        <v/>
      </c>
      <c r="CA6" s="40" t="str">
        <f t="shared" si="1"/>
        <v/>
      </c>
      <c r="CB6" s="40" t="str">
        <f t="shared" si="1"/>
        <v/>
      </c>
      <c r="CC6" s="40" t="str">
        <f t="shared" si="1"/>
        <v/>
      </c>
      <c r="CD6" s="40" t="str">
        <f t="shared" si="1"/>
        <v/>
      </c>
      <c r="CE6" s="40" t="str">
        <f t="shared" si="1"/>
        <v/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7"/>
    </row>
    <row r="7" spans="1:97" ht="27" x14ac:dyDescent="0.15">
      <c r="A7" s="40"/>
      <c r="B7" s="40" t="s">
        <v>168</v>
      </c>
      <c r="C7" s="40" t="s">
        <v>105</v>
      </c>
      <c r="D7" s="40" t="s">
        <v>91</v>
      </c>
      <c r="E7" s="41"/>
      <c r="F7" s="41"/>
      <c r="G7" s="41">
        <v>15</v>
      </c>
      <c r="H7" s="41">
        <v>15</v>
      </c>
      <c r="I7" s="41"/>
      <c r="J7" s="41"/>
      <c r="K7" s="41"/>
      <c r="L7" s="41"/>
      <c r="M7" s="41"/>
      <c r="N7" s="41"/>
      <c r="O7" s="41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3"/>
      <c r="AR7" s="43"/>
      <c r="AS7" s="43"/>
      <c r="AT7" s="43"/>
      <c r="AU7" s="43"/>
      <c r="AV7" s="43"/>
      <c r="AW7" s="44"/>
      <c r="AX7" s="44"/>
      <c r="AY7" s="44"/>
      <c r="AZ7" s="44"/>
      <c r="BA7" s="44">
        <v>15</v>
      </c>
      <c r="BB7" s="44">
        <v>15</v>
      </c>
      <c r="BC7" s="45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>
        <f t="shared" si="0"/>
        <v>60</v>
      </c>
      <c r="BQ7" s="40">
        <v>9</v>
      </c>
      <c r="BR7" s="46">
        <v>2</v>
      </c>
      <c r="BS7" s="46" t="s">
        <v>211</v>
      </c>
      <c r="BT7" s="40" t="str">
        <f t="shared" si="1"/>
        <v/>
      </c>
      <c r="BU7" s="40" t="str">
        <f t="shared" si="1"/>
        <v/>
      </c>
      <c r="BV7" s="40" t="str">
        <f t="shared" si="1"/>
        <v/>
      </c>
      <c r="BW7" s="40" t="str">
        <f t="shared" si="1"/>
        <v/>
      </c>
      <c r="BX7" s="40" t="str">
        <f t="shared" si="1"/>
        <v/>
      </c>
      <c r="BY7" s="40" t="str">
        <f t="shared" si="1"/>
        <v/>
      </c>
      <c r="BZ7" s="40" t="str">
        <f t="shared" si="1"/>
        <v/>
      </c>
      <c r="CA7" s="40" t="str">
        <f t="shared" si="1"/>
        <v/>
      </c>
      <c r="CB7" s="40" t="str">
        <f t="shared" si="1"/>
        <v/>
      </c>
      <c r="CC7" s="40" t="str">
        <f t="shared" si="1"/>
        <v/>
      </c>
      <c r="CD7" s="40" t="str">
        <f t="shared" si="1"/>
        <v/>
      </c>
      <c r="CE7" s="40" t="str">
        <f t="shared" si="1"/>
        <v/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7"/>
    </row>
    <row r="8" spans="1:97" x14ac:dyDescent="0.15">
      <c r="A8" s="1"/>
      <c r="B8" s="1" t="s">
        <v>60</v>
      </c>
      <c r="C8" s="1"/>
      <c r="D8" s="1"/>
      <c r="E8" s="6">
        <f t="shared" ref="E8:AJ8" si="3">SUM(E3:E7)</f>
        <v>30</v>
      </c>
      <c r="F8" s="6">
        <f t="shared" si="3"/>
        <v>5</v>
      </c>
      <c r="G8" s="6">
        <f t="shared" si="3"/>
        <v>45</v>
      </c>
      <c r="H8" s="6">
        <f t="shared" si="3"/>
        <v>15</v>
      </c>
      <c r="I8" s="6">
        <f t="shared" si="3"/>
        <v>0</v>
      </c>
      <c r="J8" s="6">
        <f t="shared" si="3"/>
        <v>0</v>
      </c>
      <c r="K8" s="6">
        <f t="shared" si="3"/>
        <v>0</v>
      </c>
      <c r="L8" s="6">
        <f t="shared" si="3"/>
        <v>0</v>
      </c>
      <c r="M8" s="6">
        <f t="shared" si="3"/>
        <v>0</v>
      </c>
      <c r="N8" s="6">
        <f t="shared" si="3"/>
        <v>0</v>
      </c>
      <c r="O8" s="6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1">
        <f t="shared" si="3"/>
        <v>0</v>
      </c>
      <c r="AF8" s="1">
        <f t="shared" si="3"/>
        <v>0</v>
      </c>
      <c r="AG8" s="1">
        <f t="shared" si="3"/>
        <v>5</v>
      </c>
      <c r="AH8" s="1">
        <f t="shared" si="3"/>
        <v>0</v>
      </c>
      <c r="AI8" s="1">
        <f t="shared" si="3"/>
        <v>0</v>
      </c>
      <c r="AJ8" s="1">
        <f t="shared" si="3"/>
        <v>0</v>
      </c>
      <c r="AK8" s="1">
        <f t="shared" ref="AK8:BO8" si="4">SUM(AK3:AK7)</f>
        <v>0</v>
      </c>
      <c r="AL8" s="1">
        <f t="shared" si="4"/>
        <v>0</v>
      </c>
      <c r="AM8" s="1">
        <f t="shared" si="4"/>
        <v>0</v>
      </c>
      <c r="AN8" s="1">
        <f t="shared" si="4"/>
        <v>0</v>
      </c>
      <c r="AO8" s="1">
        <f t="shared" si="4"/>
        <v>0</v>
      </c>
      <c r="AP8" s="1">
        <f t="shared" si="4"/>
        <v>0</v>
      </c>
      <c r="AQ8" s="4">
        <f t="shared" si="4"/>
        <v>0</v>
      </c>
      <c r="AR8" s="4">
        <f t="shared" si="4"/>
        <v>30</v>
      </c>
      <c r="AS8" s="4">
        <f t="shared" si="4"/>
        <v>0</v>
      </c>
      <c r="AT8" s="4">
        <f t="shared" si="4"/>
        <v>20</v>
      </c>
      <c r="AU8" s="4">
        <f t="shared" si="4"/>
        <v>0</v>
      </c>
      <c r="AV8" s="4">
        <f t="shared" si="4"/>
        <v>0</v>
      </c>
      <c r="AW8" s="2">
        <f t="shared" si="4"/>
        <v>20</v>
      </c>
      <c r="AX8" s="2">
        <f t="shared" si="4"/>
        <v>20</v>
      </c>
      <c r="AY8" s="2">
        <f t="shared" si="4"/>
        <v>0</v>
      </c>
      <c r="AZ8" s="2">
        <f t="shared" si="4"/>
        <v>0</v>
      </c>
      <c r="BA8" s="2">
        <f t="shared" si="4"/>
        <v>15</v>
      </c>
      <c r="BB8" s="2">
        <f t="shared" si="4"/>
        <v>55</v>
      </c>
      <c r="BC8" s="1">
        <f t="shared" si="4"/>
        <v>0</v>
      </c>
      <c r="BD8" s="1">
        <f t="shared" si="4"/>
        <v>0</v>
      </c>
      <c r="BE8" s="1">
        <f t="shared" si="4"/>
        <v>0</v>
      </c>
      <c r="BF8" s="1">
        <f t="shared" si="4"/>
        <v>0</v>
      </c>
      <c r="BG8" s="1">
        <f t="shared" si="4"/>
        <v>0</v>
      </c>
      <c r="BH8" s="1">
        <f t="shared" si="4"/>
        <v>20</v>
      </c>
      <c r="BI8" s="1">
        <f t="shared" si="4"/>
        <v>0</v>
      </c>
      <c r="BJ8" s="1">
        <f t="shared" si="4"/>
        <v>0</v>
      </c>
      <c r="BK8" s="1">
        <f t="shared" si="4"/>
        <v>0</v>
      </c>
      <c r="BL8" s="1">
        <f t="shared" si="4"/>
        <v>0</v>
      </c>
      <c r="BM8" s="1">
        <f t="shared" si="4"/>
        <v>0</v>
      </c>
      <c r="BN8" s="1">
        <f t="shared" si="4"/>
        <v>0</v>
      </c>
      <c r="BO8" s="1">
        <f t="shared" si="4"/>
        <v>0</v>
      </c>
      <c r="BP8" s="1"/>
      <c r="BQ8" s="1"/>
      <c r="BR8" s="17"/>
      <c r="BS8" s="17"/>
      <c r="BT8" s="1">
        <f t="shared" ref="BT8:CE8" si="5">MIN(BT3:BT7)</f>
        <v>0</v>
      </c>
      <c r="BU8" s="1">
        <f t="shared" si="5"/>
        <v>0</v>
      </c>
      <c r="BV8" s="1">
        <f t="shared" si="5"/>
        <v>0</v>
      </c>
      <c r="BW8" s="1">
        <f t="shared" si="5"/>
        <v>0</v>
      </c>
      <c r="BX8" s="1">
        <f t="shared" si="5"/>
        <v>0</v>
      </c>
      <c r="BY8" s="1">
        <f t="shared" si="5"/>
        <v>0</v>
      </c>
      <c r="BZ8" s="1">
        <f t="shared" si="5"/>
        <v>0</v>
      </c>
      <c r="CA8" s="1">
        <f t="shared" si="5"/>
        <v>0</v>
      </c>
      <c r="CB8" s="1">
        <f t="shared" si="5"/>
        <v>0</v>
      </c>
      <c r="CC8" s="1">
        <f t="shared" si="5"/>
        <v>0</v>
      </c>
      <c r="CD8" s="1">
        <f t="shared" si="5"/>
        <v>0</v>
      </c>
      <c r="CE8" s="1">
        <f t="shared" si="5"/>
        <v>0</v>
      </c>
      <c r="CF8" s="1"/>
      <c r="CG8" s="1">
        <f t="shared" ref="CG8:CR8" si="6">MIN(CG3:CG7)</f>
        <v>0</v>
      </c>
      <c r="CH8" s="1">
        <f t="shared" si="6"/>
        <v>0</v>
      </c>
      <c r="CI8" s="1">
        <f t="shared" si="6"/>
        <v>0</v>
      </c>
      <c r="CJ8" s="1">
        <f t="shared" si="6"/>
        <v>0</v>
      </c>
      <c r="CK8" s="1">
        <f t="shared" si="6"/>
        <v>0</v>
      </c>
      <c r="CL8" s="1">
        <f t="shared" si="6"/>
        <v>0</v>
      </c>
      <c r="CM8" s="1">
        <f t="shared" si="6"/>
        <v>0</v>
      </c>
      <c r="CN8" s="1">
        <f t="shared" si="6"/>
        <v>0</v>
      </c>
      <c r="CO8" s="1">
        <f t="shared" si="6"/>
        <v>0</v>
      </c>
      <c r="CP8" s="1">
        <f t="shared" si="6"/>
        <v>0</v>
      </c>
      <c r="CQ8" s="1">
        <f t="shared" si="6"/>
        <v>0</v>
      </c>
      <c r="CR8" s="1">
        <f t="shared" si="6"/>
        <v>0</v>
      </c>
      <c r="CS8" s="3">
        <f>COUNTIF(CS3:CS7,"=0")</f>
        <v>0</v>
      </c>
    </row>
    <row r="9" spans="1:97" x14ac:dyDescent="0.15">
      <c r="A9" s="1"/>
      <c r="B9" s="3" t="s">
        <v>80</v>
      </c>
      <c r="C9" s="1"/>
      <c r="D9" s="1"/>
      <c r="E9" s="1">
        <v>38</v>
      </c>
      <c r="F9" s="1">
        <v>15</v>
      </c>
      <c r="G9" s="1">
        <v>39</v>
      </c>
      <c r="H9" s="1">
        <v>14</v>
      </c>
      <c r="I9" s="1">
        <v>46</v>
      </c>
      <c r="J9" s="1">
        <v>57</v>
      </c>
      <c r="K9" s="1">
        <v>31</v>
      </c>
      <c r="L9" s="1">
        <v>77</v>
      </c>
      <c r="M9" s="1">
        <v>41</v>
      </c>
      <c r="N9" s="1">
        <v>48</v>
      </c>
      <c r="O9" s="1">
        <v>22</v>
      </c>
      <c r="P9" s="14">
        <v>2</v>
      </c>
      <c r="Q9" s="14">
        <v>1</v>
      </c>
      <c r="R9" s="14">
        <v>2</v>
      </c>
      <c r="S9" s="14">
        <v>1</v>
      </c>
      <c r="T9" s="14">
        <v>5</v>
      </c>
      <c r="U9" s="14">
        <v>0</v>
      </c>
      <c r="V9" s="14">
        <v>2</v>
      </c>
      <c r="W9" s="14">
        <v>2</v>
      </c>
      <c r="X9" s="14">
        <v>6</v>
      </c>
      <c r="Y9" s="14">
        <v>0</v>
      </c>
      <c r="Z9" s="14">
        <v>1</v>
      </c>
      <c r="AA9" s="14">
        <v>1</v>
      </c>
      <c r="AB9" s="14">
        <v>8</v>
      </c>
      <c r="AC9" s="14">
        <v>2</v>
      </c>
      <c r="AD9" s="14">
        <v>4</v>
      </c>
      <c r="AE9" s="1">
        <v>3</v>
      </c>
      <c r="AF9" s="1">
        <v>0</v>
      </c>
      <c r="AG9" s="1">
        <v>2</v>
      </c>
      <c r="AH9" s="1">
        <v>0</v>
      </c>
      <c r="AI9" s="1">
        <v>0</v>
      </c>
      <c r="AJ9" s="1">
        <v>0</v>
      </c>
      <c r="AK9" s="1">
        <v>33</v>
      </c>
      <c r="AL9" s="1">
        <v>43</v>
      </c>
      <c r="AM9" s="1">
        <v>5</v>
      </c>
      <c r="AN9" s="1">
        <v>0</v>
      </c>
      <c r="AO9" s="1">
        <v>0</v>
      </c>
      <c r="AP9" s="1">
        <v>0</v>
      </c>
      <c r="AQ9" s="14">
        <v>3</v>
      </c>
      <c r="AR9" s="14">
        <v>1</v>
      </c>
      <c r="AS9" s="14">
        <v>8</v>
      </c>
      <c r="AT9" s="14">
        <v>24</v>
      </c>
      <c r="AU9" s="14">
        <v>21</v>
      </c>
      <c r="AV9" s="14">
        <v>17</v>
      </c>
      <c r="AW9" s="14">
        <v>8</v>
      </c>
      <c r="AX9" s="14">
        <v>23</v>
      </c>
      <c r="AY9" s="14">
        <v>22</v>
      </c>
      <c r="AZ9" s="14">
        <v>12</v>
      </c>
      <c r="BA9" s="14">
        <v>7</v>
      </c>
      <c r="BB9" s="14">
        <v>59</v>
      </c>
      <c r="BC9" s="14">
        <v>10</v>
      </c>
      <c r="BD9" s="1">
        <v>162</v>
      </c>
      <c r="BE9" s="1">
        <v>244</v>
      </c>
      <c r="BF9" s="1">
        <v>233</v>
      </c>
      <c r="BG9" s="1">
        <v>242</v>
      </c>
      <c r="BH9" s="1">
        <v>141</v>
      </c>
      <c r="BI9" s="1">
        <v>154</v>
      </c>
      <c r="BJ9" s="1">
        <v>41</v>
      </c>
      <c r="BK9" s="1">
        <v>49</v>
      </c>
      <c r="BL9" s="1">
        <v>81</v>
      </c>
      <c r="BM9" s="1"/>
      <c r="BN9" s="1">
        <v>5</v>
      </c>
      <c r="BO9" s="1"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x14ac:dyDescent="0.15">
      <c r="A10" s="1"/>
      <c r="B10" s="3" t="s">
        <v>87</v>
      </c>
      <c r="C10" s="1"/>
      <c r="D10" s="1"/>
      <c r="E10" s="1">
        <f t="shared" ref="E10:AJ10" si="7">E9-E8</f>
        <v>8</v>
      </c>
      <c r="F10" s="1">
        <f t="shared" si="7"/>
        <v>10</v>
      </c>
      <c r="G10" s="1">
        <f t="shared" si="7"/>
        <v>-6</v>
      </c>
      <c r="H10" s="1">
        <f t="shared" si="7"/>
        <v>-1</v>
      </c>
      <c r="I10" s="1">
        <f t="shared" si="7"/>
        <v>46</v>
      </c>
      <c r="J10" s="1">
        <f t="shared" si="7"/>
        <v>57</v>
      </c>
      <c r="K10" s="1">
        <f t="shared" si="7"/>
        <v>31</v>
      </c>
      <c r="L10" s="1">
        <f t="shared" si="7"/>
        <v>77</v>
      </c>
      <c r="M10" s="1">
        <f t="shared" si="7"/>
        <v>41</v>
      </c>
      <c r="N10" s="1">
        <f t="shared" si="7"/>
        <v>48</v>
      </c>
      <c r="O10" s="1">
        <f t="shared" si="7"/>
        <v>22</v>
      </c>
      <c r="P10" s="1">
        <f t="shared" si="7"/>
        <v>2</v>
      </c>
      <c r="Q10" s="1">
        <f t="shared" si="7"/>
        <v>1</v>
      </c>
      <c r="R10" s="1">
        <f t="shared" si="7"/>
        <v>2</v>
      </c>
      <c r="S10" s="1">
        <f t="shared" si="7"/>
        <v>1</v>
      </c>
      <c r="T10" s="1">
        <f t="shared" si="7"/>
        <v>5</v>
      </c>
      <c r="U10" s="1">
        <f t="shared" si="7"/>
        <v>0</v>
      </c>
      <c r="V10" s="1">
        <f t="shared" si="7"/>
        <v>2</v>
      </c>
      <c r="W10" s="1">
        <f t="shared" si="7"/>
        <v>2</v>
      </c>
      <c r="X10" s="1">
        <f t="shared" si="7"/>
        <v>6</v>
      </c>
      <c r="Y10" s="1">
        <f t="shared" si="7"/>
        <v>0</v>
      </c>
      <c r="Z10" s="1">
        <f t="shared" si="7"/>
        <v>1</v>
      </c>
      <c r="AA10" s="1">
        <f t="shared" si="7"/>
        <v>1</v>
      </c>
      <c r="AB10" s="1">
        <f t="shared" si="7"/>
        <v>8</v>
      </c>
      <c r="AC10" s="1">
        <f t="shared" si="7"/>
        <v>2</v>
      </c>
      <c r="AD10" s="1">
        <f t="shared" si="7"/>
        <v>4</v>
      </c>
      <c r="AE10" s="1">
        <f t="shared" si="7"/>
        <v>3</v>
      </c>
      <c r="AF10" s="1">
        <f t="shared" si="7"/>
        <v>0</v>
      </c>
      <c r="AG10" s="1">
        <f t="shared" si="7"/>
        <v>-3</v>
      </c>
      <c r="AH10" s="1">
        <f t="shared" si="7"/>
        <v>0</v>
      </c>
      <c r="AI10" s="1">
        <f t="shared" si="7"/>
        <v>0</v>
      </c>
      <c r="AJ10" s="1">
        <f t="shared" si="7"/>
        <v>0</v>
      </c>
      <c r="AK10" s="1">
        <f t="shared" ref="AK10:BO10" si="8">AK9-AK8</f>
        <v>33</v>
      </c>
      <c r="AL10" s="1">
        <f t="shared" si="8"/>
        <v>43</v>
      </c>
      <c r="AM10" s="1">
        <f t="shared" si="8"/>
        <v>5</v>
      </c>
      <c r="AN10" s="1">
        <f t="shared" si="8"/>
        <v>0</v>
      </c>
      <c r="AO10" s="1">
        <f t="shared" si="8"/>
        <v>0</v>
      </c>
      <c r="AP10" s="1">
        <f t="shared" si="8"/>
        <v>0</v>
      </c>
      <c r="AQ10" s="1">
        <f t="shared" si="8"/>
        <v>3</v>
      </c>
      <c r="AR10" s="1">
        <f t="shared" si="8"/>
        <v>-29</v>
      </c>
      <c r="AS10" s="1">
        <f t="shared" si="8"/>
        <v>8</v>
      </c>
      <c r="AT10" s="1">
        <f t="shared" si="8"/>
        <v>4</v>
      </c>
      <c r="AU10" s="1">
        <f t="shared" si="8"/>
        <v>21</v>
      </c>
      <c r="AV10" s="1">
        <f t="shared" si="8"/>
        <v>17</v>
      </c>
      <c r="AW10" s="1">
        <f t="shared" si="8"/>
        <v>-12</v>
      </c>
      <c r="AX10" s="1">
        <f t="shared" si="8"/>
        <v>3</v>
      </c>
      <c r="AY10" s="1">
        <f t="shared" si="8"/>
        <v>22</v>
      </c>
      <c r="AZ10" s="1">
        <f t="shared" si="8"/>
        <v>12</v>
      </c>
      <c r="BA10" s="1">
        <f t="shared" si="8"/>
        <v>-8</v>
      </c>
      <c r="BB10" s="1">
        <f t="shared" si="8"/>
        <v>4</v>
      </c>
      <c r="BC10" s="1">
        <f t="shared" si="8"/>
        <v>10</v>
      </c>
      <c r="BD10" s="1">
        <f t="shared" si="8"/>
        <v>162</v>
      </c>
      <c r="BE10" s="1">
        <f t="shared" si="8"/>
        <v>244</v>
      </c>
      <c r="BF10" s="1">
        <f t="shared" si="8"/>
        <v>233</v>
      </c>
      <c r="BG10" s="1">
        <f t="shared" si="8"/>
        <v>242</v>
      </c>
      <c r="BH10" s="1">
        <f t="shared" si="8"/>
        <v>121</v>
      </c>
      <c r="BI10" s="1">
        <f t="shared" si="8"/>
        <v>154</v>
      </c>
      <c r="BJ10" s="1">
        <f t="shared" si="8"/>
        <v>41</v>
      </c>
      <c r="BK10" s="1">
        <f t="shared" si="8"/>
        <v>49</v>
      </c>
      <c r="BL10" s="1">
        <f t="shared" si="8"/>
        <v>81</v>
      </c>
      <c r="BM10" s="1">
        <f t="shared" si="8"/>
        <v>0</v>
      </c>
      <c r="BN10" s="1">
        <f t="shared" si="8"/>
        <v>5</v>
      </c>
      <c r="BO10" s="1">
        <f t="shared" si="8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175</v>
      </c>
      <c r="C11" s="1"/>
      <c r="D11" s="1"/>
      <c r="E11" s="1">
        <f t="shared" ref="E11:AJ11" si="9">MAX(E3:E7)</f>
        <v>15</v>
      </c>
      <c r="F11" s="1">
        <f t="shared" si="9"/>
        <v>5</v>
      </c>
      <c r="G11" s="1">
        <f t="shared" si="9"/>
        <v>15</v>
      </c>
      <c r="H11" s="1">
        <f t="shared" si="9"/>
        <v>15</v>
      </c>
      <c r="I11" s="1">
        <f t="shared" si="9"/>
        <v>0</v>
      </c>
      <c r="J11" s="1">
        <f t="shared" si="9"/>
        <v>0</v>
      </c>
      <c r="K11" s="1">
        <f t="shared" si="9"/>
        <v>0</v>
      </c>
      <c r="L11" s="1">
        <f t="shared" si="9"/>
        <v>0</v>
      </c>
      <c r="M11" s="1">
        <f t="shared" si="9"/>
        <v>0</v>
      </c>
      <c r="N11" s="1">
        <f t="shared" si="9"/>
        <v>0</v>
      </c>
      <c r="O11" s="1">
        <f t="shared" si="9"/>
        <v>0</v>
      </c>
      <c r="P11" s="1">
        <f t="shared" si="9"/>
        <v>0</v>
      </c>
      <c r="Q11" s="1">
        <f t="shared" si="9"/>
        <v>0</v>
      </c>
      <c r="R11" s="1">
        <f t="shared" si="9"/>
        <v>0</v>
      </c>
      <c r="S11" s="1">
        <f t="shared" si="9"/>
        <v>0</v>
      </c>
      <c r="T11" s="1">
        <f t="shared" si="9"/>
        <v>0</v>
      </c>
      <c r="U11" s="1">
        <f t="shared" si="9"/>
        <v>0</v>
      </c>
      <c r="V11" s="1">
        <f t="shared" si="9"/>
        <v>0</v>
      </c>
      <c r="W11" s="1">
        <f t="shared" si="9"/>
        <v>0</v>
      </c>
      <c r="X11" s="1">
        <f t="shared" si="9"/>
        <v>0</v>
      </c>
      <c r="Y11" s="1">
        <f t="shared" si="9"/>
        <v>0</v>
      </c>
      <c r="Z11" s="1">
        <f t="shared" si="9"/>
        <v>0</v>
      </c>
      <c r="AA11" s="1">
        <f t="shared" si="9"/>
        <v>0</v>
      </c>
      <c r="AB11" s="1">
        <f t="shared" si="9"/>
        <v>0</v>
      </c>
      <c r="AC11" s="1">
        <f t="shared" si="9"/>
        <v>0</v>
      </c>
      <c r="AD11" s="1">
        <f t="shared" si="9"/>
        <v>0</v>
      </c>
      <c r="AE11" s="1">
        <f t="shared" si="9"/>
        <v>0</v>
      </c>
      <c r="AF11" s="1">
        <f t="shared" si="9"/>
        <v>0</v>
      </c>
      <c r="AG11" s="1">
        <f t="shared" si="9"/>
        <v>5</v>
      </c>
      <c r="AH11" s="1">
        <f t="shared" si="9"/>
        <v>0</v>
      </c>
      <c r="AI11" s="1">
        <f t="shared" si="9"/>
        <v>0</v>
      </c>
      <c r="AJ11" s="1">
        <f t="shared" si="9"/>
        <v>0</v>
      </c>
      <c r="AK11" s="1">
        <f t="shared" ref="AK11:BO11" si="10">MAX(AK3:AK7)</f>
        <v>0</v>
      </c>
      <c r="AL11" s="1">
        <f t="shared" si="10"/>
        <v>0</v>
      </c>
      <c r="AM11" s="1">
        <f t="shared" si="10"/>
        <v>0</v>
      </c>
      <c r="AN11" s="1">
        <f t="shared" si="10"/>
        <v>0</v>
      </c>
      <c r="AO11" s="1">
        <f t="shared" si="10"/>
        <v>0</v>
      </c>
      <c r="AP11" s="1">
        <f t="shared" si="10"/>
        <v>0</v>
      </c>
      <c r="AQ11" s="1">
        <f t="shared" si="10"/>
        <v>0</v>
      </c>
      <c r="AR11" s="1">
        <f t="shared" si="10"/>
        <v>15</v>
      </c>
      <c r="AS11" s="1">
        <f t="shared" si="10"/>
        <v>0</v>
      </c>
      <c r="AT11" s="1">
        <f t="shared" si="10"/>
        <v>20</v>
      </c>
      <c r="AU11" s="1">
        <f t="shared" si="10"/>
        <v>0</v>
      </c>
      <c r="AV11" s="1">
        <f t="shared" si="10"/>
        <v>0</v>
      </c>
      <c r="AW11" s="1">
        <f t="shared" si="10"/>
        <v>20</v>
      </c>
      <c r="AX11" s="1">
        <f t="shared" si="10"/>
        <v>20</v>
      </c>
      <c r="AY11" s="1">
        <f t="shared" si="10"/>
        <v>0</v>
      </c>
      <c r="AZ11" s="1">
        <f t="shared" si="10"/>
        <v>0</v>
      </c>
      <c r="BA11" s="1">
        <f t="shared" si="10"/>
        <v>15</v>
      </c>
      <c r="BB11" s="1">
        <f t="shared" si="10"/>
        <v>15</v>
      </c>
      <c r="BC11" s="1">
        <f t="shared" si="10"/>
        <v>0</v>
      </c>
      <c r="BD11" s="1">
        <f t="shared" si="10"/>
        <v>0</v>
      </c>
      <c r="BE11" s="1">
        <f t="shared" si="10"/>
        <v>0</v>
      </c>
      <c r="BF11" s="1">
        <f t="shared" si="10"/>
        <v>0</v>
      </c>
      <c r="BG11" s="1">
        <f t="shared" si="10"/>
        <v>0</v>
      </c>
      <c r="BH11" s="1">
        <f t="shared" si="10"/>
        <v>20</v>
      </c>
      <c r="BI11" s="1">
        <f t="shared" si="10"/>
        <v>0</v>
      </c>
      <c r="BJ11" s="1">
        <f t="shared" si="10"/>
        <v>0</v>
      </c>
      <c r="BK11" s="1">
        <f t="shared" si="10"/>
        <v>0</v>
      </c>
      <c r="BL11" s="1">
        <f t="shared" si="10"/>
        <v>0</v>
      </c>
      <c r="BM11" s="1">
        <f t="shared" si="10"/>
        <v>0</v>
      </c>
      <c r="BN11" s="1">
        <f t="shared" si="10"/>
        <v>0</v>
      </c>
      <c r="BO11" s="1">
        <f t="shared" si="10"/>
        <v>0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x14ac:dyDescent="0.15">
      <c r="A12" s="1"/>
      <c r="B12" s="3" t="s">
        <v>176</v>
      </c>
      <c r="C12" s="1"/>
      <c r="D12" s="1"/>
      <c r="E12" s="1">
        <f t="shared" ref="E12:AJ12" si="11">MIN(E3:E7)</f>
        <v>15</v>
      </c>
      <c r="F12" s="1">
        <f t="shared" si="11"/>
        <v>5</v>
      </c>
      <c r="G12" s="1">
        <f t="shared" si="11"/>
        <v>15</v>
      </c>
      <c r="H12" s="1">
        <f t="shared" si="11"/>
        <v>15</v>
      </c>
      <c r="I12" s="1">
        <f t="shared" si="11"/>
        <v>0</v>
      </c>
      <c r="J12" s="1">
        <f t="shared" si="11"/>
        <v>0</v>
      </c>
      <c r="K12" s="1">
        <f t="shared" si="11"/>
        <v>0</v>
      </c>
      <c r="L12" s="1">
        <f t="shared" si="11"/>
        <v>0</v>
      </c>
      <c r="M12" s="1">
        <f t="shared" si="11"/>
        <v>0</v>
      </c>
      <c r="N12" s="1">
        <f t="shared" si="11"/>
        <v>0</v>
      </c>
      <c r="O12" s="1">
        <f t="shared" si="11"/>
        <v>0</v>
      </c>
      <c r="P12" s="1">
        <f t="shared" si="11"/>
        <v>0</v>
      </c>
      <c r="Q12" s="1">
        <f t="shared" si="11"/>
        <v>0</v>
      </c>
      <c r="R12" s="1">
        <f t="shared" si="11"/>
        <v>0</v>
      </c>
      <c r="S12" s="1">
        <f t="shared" si="11"/>
        <v>0</v>
      </c>
      <c r="T12" s="1">
        <f t="shared" si="11"/>
        <v>0</v>
      </c>
      <c r="U12" s="1">
        <f t="shared" si="11"/>
        <v>0</v>
      </c>
      <c r="V12" s="1">
        <f t="shared" si="11"/>
        <v>0</v>
      </c>
      <c r="W12" s="1">
        <f t="shared" si="11"/>
        <v>0</v>
      </c>
      <c r="X12" s="1">
        <f t="shared" si="11"/>
        <v>0</v>
      </c>
      <c r="Y12" s="1">
        <f t="shared" si="11"/>
        <v>0</v>
      </c>
      <c r="Z12" s="1">
        <f t="shared" si="11"/>
        <v>0</v>
      </c>
      <c r="AA12" s="1">
        <f t="shared" si="11"/>
        <v>0</v>
      </c>
      <c r="AB12" s="1">
        <f t="shared" si="11"/>
        <v>0</v>
      </c>
      <c r="AC12" s="1">
        <f t="shared" si="11"/>
        <v>0</v>
      </c>
      <c r="AD12" s="1">
        <f t="shared" si="11"/>
        <v>0</v>
      </c>
      <c r="AE12" s="1">
        <f t="shared" si="11"/>
        <v>0</v>
      </c>
      <c r="AF12" s="1">
        <f t="shared" si="11"/>
        <v>0</v>
      </c>
      <c r="AG12" s="1">
        <f t="shared" si="11"/>
        <v>5</v>
      </c>
      <c r="AH12" s="1">
        <f t="shared" si="11"/>
        <v>0</v>
      </c>
      <c r="AI12" s="1">
        <f t="shared" si="11"/>
        <v>0</v>
      </c>
      <c r="AJ12" s="1">
        <f t="shared" si="11"/>
        <v>0</v>
      </c>
      <c r="AK12" s="1">
        <f t="shared" ref="AK12:BO12" si="12">MIN(AK3:AK7)</f>
        <v>0</v>
      </c>
      <c r="AL12" s="1">
        <f t="shared" si="12"/>
        <v>0</v>
      </c>
      <c r="AM12" s="1">
        <f t="shared" si="12"/>
        <v>0</v>
      </c>
      <c r="AN12" s="1">
        <f t="shared" si="12"/>
        <v>0</v>
      </c>
      <c r="AO12" s="1">
        <f t="shared" si="12"/>
        <v>0</v>
      </c>
      <c r="AP12" s="1">
        <f t="shared" si="12"/>
        <v>0</v>
      </c>
      <c r="AQ12" s="1">
        <f t="shared" si="12"/>
        <v>0</v>
      </c>
      <c r="AR12" s="1">
        <f t="shared" si="12"/>
        <v>15</v>
      </c>
      <c r="AS12" s="1">
        <f t="shared" si="12"/>
        <v>0</v>
      </c>
      <c r="AT12" s="1">
        <f t="shared" si="12"/>
        <v>20</v>
      </c>
      <c r="AU12" s="1">
        <f t="shared" si="12"/>
        <v>0</v>
      </c>
      <c r="AV12" s="1">
        <f t="shared" si="12"/>
        <v>0</v>
      </c>
      <c r="AW12" s="1">
        <f t="shared" si="12"/>
        <v>20</v>
      </c>
      <c r="AX12" s="1">
        <f t="shared" si="12"/>
        <v>20</v>
      </c>
      <c r="AY12" s="1">
        <f t="shared" si="12"/>
        <v>0</v>
      </c>
      <c r="AZ12" s="1">
        <f t="shared" si="12"/>
        <v>0</v>
      </c>
      <c r="BA12" s="1">
        <f t="shared" si="12"/>
        <v>15</v>
      </c>
      <c r="BB12" s="1">
        <f t="shared" si="12"/>
        <v>10</v>
      </c>
      <c r="BC12" s="1">
        <f t="shared" si="12"/>
        <v>0</v>
      </c>
      <c r="BD12" s="1">
        <f t="shared" si="12"/>
        <v>0</v>
      </c>
      <c r="BE12" s="1">
        <f t="shared" si="12"/>
        <v>0</v>
      </c>
      <c r="BF12" s="1">
        <f t="shared" si="12"/>
        <v>0</v>
      </c>
      <c r="BG12" s="1">
        <f t="shared" si="12"/>
        <v>0</v>
      </c>
      <c r="BH12" s="1">
        <f t="shared" si="12"/>
        <v>20</v>
      </c>
      <c r="BI12" s="1">
        <f t="shared" si="12"/>
        <v>0</v>
      </c>
      <c r="BJ12" s="1">
        <f t="shared" si="12"/>
        <v>0</v>
      </c>
      <c r="BK12" s="1">
        <f t="shared" si="12"/>
        <v>0</v>
      </c>
      <c r="BL12" s="1">
        <f t="shared" si="12"/>
        <v>0</v>
      </c>
      <c r="BM12" s="1">
        <f t="shared" si="12"/>
        <v>0</v>
      </c>
      <c r="BN12" s="1">
        <f t="shared" si="12"/>
        <v>0</v>
      </c>
      <c r="BO12" s="1">
        <f t="shared" si="12"/>
        <v>0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A13" s="1"/>
      <c r="B13" s="3" t="s">
        <v>177</v>
      </c>
      <c r="C13" s="1"/>
      <c r="D13" s="1"/>
      <c r="E13" s="1">
        <f t="shared" ref="E13:AJ13" si="13">E9-E11</f>
        <v>23</v>
      </c>
      <c r="F13" s="1">
        <f t="shared" si="13"/>
        <v>10</v>
      </c>
      <c r="G13" s="1">
        <f t="shared" si="13"/>
        <v>24</v>
      </c>
      <c r="H13" s="1">
        <f t="shared" si="13"/>
        <v>-1</v>
      </c>
      <c r="I13" s="1">
        <f t="shared" si="13"/>
        <v>46</v>
      </c>
      <c r="J13" s="1">
        <f t="shared" si="13"/>
        <v>57</v>
      </c>
      <c r="K13" s="1">
        <f t="shared" si="13"/>
        <v>31</v>
      </c>
      <c r="L13" s="1">
        <f t="shared" si="13"/>
        <v>77</v>
      </c>
      <c r="M13" s="1">
        <f t="shared" si="13"/>
        <v>41</v>
      </c>
      <c r="N13" s="1">
        <f t="shared" si="13"/>
        <v>48</v>
      </c>
      <c r="O13" s="1">
        <f t="shared" si="13"/>
        <v>22</v>
      </c>
      <c r="P13" s="1">
        <f t="shared" si="13"/>
        <v>2</v>
      </c>
      <c r="Q13" s="1">
        <f t="shared" si="13"/>
        <v>1</v>
      </c>
      <c r="R13" s="1">
        <f t="shared" si="13"/>
        <v>2</v>
      </c>
      <c r="S13" s="1">
        <f t="shared" si="13"/>
        <v>1</v>
      </c>
      <c r="T13" s="1">
        <f t="shared" si="13"/>
        <v>5</v>
      </c>
      <c r="U13" s="1">
        <f t="shared" si="13"/>
        <v>0</v>
      </c>
      <c r="V13" s="1">
        <f t="shared" si="13"/>
        <v>2</v>
      </c>
      <c r="W13" s="1">
        <f t="shared" si="13"/>
        <v>2</v>
      </c>
      <c r="X13" s="1">
        <f t="shared" si="13"/>
        <v>6</v>
      </c>
      <c r="Y13" s="1">
        <f t="shared" si="13"/>
        <v>0</v>
      </c>
      <c r="Z13" s="1">
        <f t="shared" si="13"/>
        <v>1</v>
      </c>
      <c r="AA13" s="1">
        <f t="shared" si="13"/>
        <v>1</v>
      </c>
      <c r="AB13" s="1">
        <f t="shared" si="13"/>
        <v>8</v>
      </c>
      <c r="AC13" s="1">
        <f t="shared" si="13"/>
        <v>2</v>
      </c>
      <c r="AD13" s="1">
        <f t="shared" si="13"/>
        <v>4</v>
      </c>
      <c r="AE13" s="1">
        <f t="shared" si="13"/>
        <v>3</v>
      </c>
      <c r="AF13" s="1">
        <f t="shared" si="13"/>
        <v>0</v>
      </c>
      <c r="AG13" s="1">
        <f t="shared" si="13"/>
        <v>-3</v>
      </c>
      <c r="AH13" s="1">
        <f t="shared" si="13"/>
        <v>0</v>
      </c>
      <c r="AI13" s="1">
        <f t="shared" si="13"/>
        <v>0</v>
      </c>
      <c r="AJ13" s="1">
        <f t="shared" si="13"/>
        <v>0</v>
      </c>
      <c r="AK13" s="1">
        <f t="shared" ref="AK13:BO13" si="14">AK9-AK11</f>
        <v>33</v>
      </c>
      <c r="AL13" s="1">
        <f t="shared" si="14"/>
        <v>43</v>
      </c>
      <c r="AM13" s="1">
        <f t="shared" si="14"/>
        <v>5</v>
      </c>
      <c r="AN13" s="1">
        <f t="shared" si="14"/>
        <v>0</v>
      </c>
      <c r="AO13" s="1">
        <f t="shared" si="14"/>
        <v>0</v>
      </c>
      <c r="AP13" s="1">
        <f t="shared" si="14"/>
        <v>0</v>
      </c>
      <c r="AQ13" s="1">
        <f t="shared" si="14"/>
        <v>3</v>
      </c>
      <c r="AR13" s="1">
        <f t="shared" si="14"/>
        <v>-14</v>
      </c>
      <c r="AS13" s="1">
        <f t="shared" si="14"/>
        <v>8</v>
      </c>
      <c r="AT13" s="1">
        <f t="shared" si="14"/>
        <v>4</v>
      </c>
      <c r="AU13" s="1">
        <f t="shared" si="14"/>
        <v>21</v>
      </c>
      <c r="AV13" s="1">
        <f t="shared" si="14"/>
        <v>17</v>
      </c>
      <c r="AW13" s="1">
        <f t="shared" si="14"/>
        <v>-12</v>
      </c>
      <c r="AX13" s="1">
        <f t="shared" si="14"/>
        <v>3</v>
      </c>
      <c r="AY13" s="1">
        <f t="shared" si="14"/>
        <v>22</v>
      </c>
      <c r="AZ13" s="1">
        <f t="shared" si="14"/>
        <v>12</v>
      </c>
      <c r="BA13" s="1">
        <f t="shared" si="14"/>
        <v>-8</v>
      </c>
      <c r="BB13" s="1">
        <f t="shared" si="14"/>
        <v>44</v>
      </c>
      <c r="BC13" s="1">
        <f t="shared" si="14"/>
        <v>10</v>
      </c>
      <c r="BD13" s="1">
        <f t="shared" si="14"/>
        <v>162</v>
      </c>
      <c r="BE13" s="1">
        <f t="shared" si="14"/>
        <v>244</v>
      </c>
      <c r="BF13" s="1">
        <f t="shared" si="14"/>
        <v>233</v>
      </c>
      <c r="BG13" s="1">
        <f t="shared" si="14"/>
        <v>242</v>
      </c>
      <c r="BH13" s="1">
        <f t="shared" si="14"/>
        <v>121</v>
      </c>
      <c r="BI13" s="1">
        <f t="shared" si="14"/>
        <v>154</v>
      </c>
      <c r="BJ13" s="1">
        <f t="shared" si="14"/>
        <v>41</v>
      </c>
      <c r="BK13" s="1">
        <f t="shared" si="14"/>
        <v>49</v>
      </c>
      <c r="BL13" s="1">
        <f t="shared" si="14"/>
        <v>81</v>
      </c>
      <c r="BM13" s="1">
        <f t="shared" si="14"/>
        <v>0</v>
      </c>
      <c r="BN13" s="1">
        <f t="shared" si="14"/>
        <v>5</v>
      </c>
      <c r="BO13" s="1">
        <f t="shared" si="14"/>
        <v>5</v>
      </c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s="13" customFormat="1" x14ac:dyDescent="0.15">
      <c r="A14" s="1"/>
      <c r="B14" s="3" t="s">
        <v>178</v>
      </c>
      <c r="C14" s="1"/>
      <c r="D14" s="1"/>
      <c r="E14" s="1">
        <f t="shared" ref="E14:AJ14" si="15">E9-E12</f>
        <v>23</v>
      </c>
      <c r="F14" s="1">
        <f t="shared" si="15"/>
        <v>10</v>
      </c>
      <c r="G14" s="1">
        <f t="shared" si="15"/>
        <v>24</v>
      </c>
      <c r="H14" s="1">
        <f t="shared" si="15"/>
        <v>-1</v>
      </c>
      <c r="I14" s="1">
        <f t="shared" si="15"/>
        <v>46</v>
      </c>
      <c r="J14" s="1">
        <f t="shared" si="15"/>
        <v>57</v>
      </c>
      <c r="K14" s="1">
        <f t="shared" si="15"/>
        <v>31</v>
      </c>
      <c r="L14" s="1">
        <f t="shared" si="15"/>
        <v>77</v>
      </c>
      <c r="M14" s="1">
        <f t="shared" si="15"/>
        <v>41</v>
      </c>
      <c r="N14" s="1">
        <f t="shared" si="15"/>
        <v>48</v>
      </c>
      <c r="O14" s="1">
        <f t="shared" si="15"/>
        <v>22</v>
      </c>
      <c r="P14" s="1">
        <f t="shared" si="15"/>
        <v>2</v>
      </c>
      <c r="Q14" s="1">
        <f t="shared" si="15"/>
        <v>1</v>
      </c>
      <c r="R14" s="1">
        <f t="shared" si="15"/>
        <v>2</v>
      </c>
      <c r="S14" s="1">
        <f t="shared" si="15"/>
        <v>1</v>
      </c>
      <c r="T14" s="1">
        <f t="shared" si="15"/>
        <v>5</v>
      </c>
      <c r="U14" s="1">
        <f t="shared" si="15"/>
        <v>0</v>
      </c>
      <c r="V14" s="1">
        <f t="shared" si="15"/>
        <v>2</v>
      </c>
      <c r="W14" s="1">
        <f t="shared" si="15"/>
        <v>2</v>
      </c>
      <c r="X14" s="1">
        <f t="shared" si="15"/>
        <v>6</v>
      </c>
      <c r="Y14" s="1">
        <f t="shared" si="15"/>
        <v>0</v>
      </c>
      <c r="Z14" s="1">
        <f t="shared" si="15"/>
        <v>1</v>
      </c>
      <c r="AA14" s="1">
        <f t="shared" si="15"/>
        <v>1</v>
      </c>
      <c r="AB14" s="1">
        <f t="shared" si="15"/>
        <v>8</v>
      </c>
      <c r="AC14" s="1">
        <f t="shared" si="15"/>
        <v>2</v>
      </c>
      <c r="AD14" s="1">
        <f t="shared" si="15"/>
        <v>4</v>
      </c>
      <c r="AE14" s="1">
        <f t="shared" si="15"/>
        <v>3</v>
      </c>
      <c r="AF14" s="1">
        <f t="shared" si="15"/>
        <v>0</v>
      </c>
      <c r="AG14" s="1">
        <f t="shared" si="15"/>
        <v>-3</v>
      </c>
      <c r="AH14" s="1">
        <f t="shared" si="15"/>
        <v>0</v>
      </c>
      <c r="AI14" s="1">
        <f t="shared" si="15"/>
        <v>0</v>
      </c>
      <c r="AJ14" s="1">
        <f t="shared" si="15"/>
        <v>0</v>
      </c>
      <c r="AK14" s="1">
        <f t="shared" ref="AK14:BO14" si="16">AK9-AK12</f>
        <v>33</v>
      </c>
      <c r="AL14" s="1">
        <f t="shared" si="16"/>
        <v>43</v>
      </c>
      <c r="AM14" s="1">
        <f t="shared" si="16"/>
        <v>5</v>
      </c>
      <c r="AN14" s="1">
        <f t="shared" si="16"/>
        <v>0</v>
      </c>
      <c r="AO14" s="1">
        <f t="shared" si="16"/>
        <v>0</v>
      </c>
      <c r="AP14" s="1">
        <f t="shared" si="16"/>
        <v>0</v>
      </c>
      <c r="AQ14" s="1">
        <f t="shared" si="16"/>
        <v>3</v>
      </c>
      <c r="AR14" s="1">
        <f t="shared" si="16"/>
        <v>-14</v>
      </c>
      <c r="AS14" s="1">
        <f t="shared" si="16"/>
        <v>8</v>
      </c>
      <c r="AT14" s="1">
        <f t="shared" si="16"/>
        <v>4</v>
      </c>
      <c r="AU14" s="1">
        <f t="shared" si="16"/>
        <v>21</v>
      </c>
      <c r="AV14" s="1">
        <f t="shared" si="16"/>
        <v>17</v>
      </c>
      <c r="AW14" s="1">
        <f t="shared" si="16"/>
        <v>-12</v>
      </c>
      <c r="AX14" s="1">
        <f t="shared" si="16"/>
        <v>3</v>
      </c>
      <c r="AY14" s="1">
        <f t="shared" si="16"/>
        <v>22</v>
      </c>
      <c r="AZ14" s="1">
        <f t="shared" si="16"/>
        <v>12</v>
      </c>
      <c r="BA14" s="1">
        <f t="shared" si="16"/>
        <v>-8</v>
      </c>
      <c r="BB14" s="1">
        <f t="shared" si="16"/>
        <v>49</v>
      </c>
      <c r="BC14" s="1">
        <f t="shared" si="16"/>
        <v>10</v>
      </c>
      <c r="BD14" s="1">
        <f t="shared" si="16"/>
        <v>162</v>
      </c>
      <c r="BE14" s="1">
        <f t="shared" si="16"/>
        <v>244</v>
      </c>
      <c r="BF14" s="1">
        <f t="shared" si="16"/>
        <v>233</v>
      </c>
      <c r="BG14" s="1">
        <f t="shared" si="16"/>
        <v>242</v>
      </c>
      <c r="BH14" s="1">
        <f t="shared" si="16"/>
        <v>121</v>
      </c>
      <c r="BI14" s="1">
        <f t="shared" si="16"/>
        <v>154</v>
      </c>
      <c r="BJ14" s="1">
        <f t="shared" si="16"/>
        <v>41</v>
      </c>
      <c r="BK14" s="1">
        <f t="shared" si="16"/>
        <v>49</v>
      </c>
      <c r="BL14" s="1">
        <f t="shared" si="16"/>
        <v>81</v>
      </c>
      <c r="BM14" s="1">
        <f t="shared" si="16"/>
        <v>0</v>
      </c>
      <c r="BN14" s="1">
        <f t="shared" si="16"/>
        <v>5</v>
      </c>
      <c r="BO14" s="1">
        <f t="shared" si="16"/>
        <v>5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</sheetData>
  <autoFilter ref="A1:BP7"/>
  <phoneticPr fontId="1" type="noConversion"/>
  <conditionalFormatting sqref="E11">
    <cfRule type="expression" dxfId="2" priority="3">
      <formula>"&lt;=$E$135"</formula>
    </cfRule>
  </conditionalFormatting>
  <conditionalFormatting sqref="E13:BO14">
    <cfRule type="cellIs" dxfId="1" priority="1" operator="lessThan">
      <formula>0</formula>
    </cfRule>
  </conditionalFormatting>
  <conditionalFormatting sqref="E10:BO10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</xdr:row>
                    <xdr:rowOff>28575</xdr:rowOff>
                  </from>
                  <to>
                    <xdr:col>1</xdr:col>
                    <xdr:colOff>428625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77</v>
      </c>
      <c r="B1" s="5" t="s">
        <v>74</v>
      </c>
      <c r="C1" s="5" t="s">
        <v>78</v>
      </c>
    </row>
    <row r="2" spans="1:3" x14ac:dyDescent="0.15">
      <c r="A2" s="1">
        <v>10</v>
      </c>
      <c r="B2" s="2" t="s">
        <v>12</v>
      </c>
      <c r="C2" s="1">
        <v>190</v>
      </c>
    </row>
    <row r="3" spans="1:3" x14ac:dyDescent="0.15">
      <c r="A3" s="1">
        <v>12</v>
      </c>
      <c r="B3" s="2" t="s">
        <v>49</v>
      </c>
      <c r="C3" s="1">
        <v>120</v>
      </c>
    </row>
    <row r="4" spans="1:3" x14ac:dyDescent="0.15">
      <c r="A4" s="1">
        <v>4</v>
      </c>
      <c r="B4" s="4" t="s">
        <v>50</v>
      </c>
      <c r="C4" s="1">
        <v>85</v>
      </c>
    </row>
    <row r="5" spans="1:3" x14ac:dyDescent="0.15">
      <c r="A5" s="1">
        <v>3</v>
      </c>
      <c r="B5" s="4" t="s">
        <v>41</v>
      </c>
      <c r="C5" s="1">
        <v>65</v>
      </c>
    </row>
    <row r="6" spans="1:3" x14ac:dyDescent="0.15">
      <c r="A6" s="1">
        <v>8</v>
      </c>
      <c r="B6" s="2" t="s">
        <v>6</v>
      </c>
      <c r="C6" s="1">
        <v>65</v>
      </c>
    </row>
    <row r="7" spans="1:3" x14ac:dyDescent="0.15">
      <c r="A7" s="1">
        <v>9</v>
      </c>
      <c r="B7" s="2" t="s">
        <v>7</v>
      </c>
      <c r="C7" s="1">
        <v>65</v>
      </c>
    </row>
    <row r="8" spans="1:3" x14ac:dyDescent="0.15">
      <c r="A8" s="1">
        <v>1</v>
      </c>
      <c r="B8" s="4" t="s">
        <v>4</v>
      </c>
      <c r="C8" s="1">
        <v>60</v>
      </c>
    </row>
    <row r="9" spans="1:3" x14ac:dyDescent="0.15">
      <c r="A9" s="1">
        <v>7</v>
      </c>
      <c r="B9" s="2" t="s">
        <v>5</v>
      </c>
      <c r="C9" s="1">
        <v>53</v>
      </c>
    </row>
    <row r="10" spans="1:3" x14ac:dyDescent="0.15">
      <c r="A10" s="1">
        <v>2</v>
      </c>
      <c r="B10" s="4" t="s">
        <v>29</v>
      </c>
      <c r="C10" s="1">
        <v>45</v>
      </c>
    </row>
    <row r="11" spans="1:3" x14ac:dyDescent="0.15">
      <c r="A11" s="1">
        <v>5</v>
      </c>
      <c r="B11" s="4" t="s">
        <v>56</v>
      </c>
      <c r="C11" s="1">
        <v>45</v>
      </c>
    </row>
    <row r="12" spans="1:3" x14ac:dyDescent="0.15">
      <c r="A12" s="1">
        <v>11</v>
      </c>
      <c r="B12" s="2" t="s">
        <v>42</v>
      </c>
      <c r="C12" s="1">
        <v>10</v>
      </c>
    </row>
    <row r="13" spans="1:3" x14ac:dyDescent="0.15">
      <c r="A13" s="1">
        <v>6</v>
      </c>
      <c r="B13" s="4" t="s">
        <v>59</v>
      </c>
      <c r="C13" s="1">
        <v>8</v>
      </c>
    </row>
    <row r="19" spans="3:18" x14ac:dyDescent="0.15">
      <c r="G19" s="10" t="s">
        <v>41</v>
      </c>
      <c r="H19" s="10" t="s">
        <v>4</v>
      </c>
      <c r="I19" s="10" t="s">
        <v>29</v>
      </c>
      <c r="J19" s="10" t="s">
        <v>56</v>
      </c>
      <c r="K19" s="10" t="s">
        <v>59</v>
      </c>
      <c r="L19" s="10" t="s">
        <v>50</v>
      </c>
      <c r="M19" s="11" t="s">
        <v>5</v>
      </c>
      <c r="N19" s="11" t="s">
        <v>6</v>
      </c>
      <c r="O19" s="11" t="s">
        <v>42</v>
      </c>
      <c r="P19" s="11" t="s">
        <v>7</v>
      </c>
      <c r="Q19" s="11" t="s">
        <v>49</v>
      </c>
      <c r="R19" s="11" t="s">
        <v>12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179</v>
      </c>
      <c r="D27" t="s">
        <v>180</v>
      </c>
      <c r="E27" t="s">
        <v>181</v>
      </c>
      <c r="F27" t="s">
        <v>182</v>
      </c>
      <c r="G27" t="s">
        <v>183</v>
      </c>
      <c r="H27" t="s">
        <v>184</v>
      </c>
      <c r="I27" t="s">
        <v>185</v>
      </c>
      <c r="J27" t="s">
        <v>186</v>
      </c>
      <c r="K27" t="s">
        <v>187</v>
      </c>
      <c r="L27" t="s">
        <v>188</v>
      </c>
      <c r="M27" t="s">
        <v>189</v>
      </c>
      <c r="N27" t="s">
        <v>190</v>
      </c>
    </row>
    <row r="31" spans="3:18" x14ac:dyDescent="0.15">
      <c r="C31">
        <v>-3</v>
      </c>
      <c r="D31" t="s">
        <v>179</v>
      </c>
    </row>
    <row r="32" spans="3:18" x14ac:dyDescent="0.15">
      <c r="C32">
        <v>-8</v>
      </c>
      <c r="D32" t="s">
        <v>180</v>
      </c>
    </row>
    <row r="33" spans="3:4" x14ac:dyDescent="0.15">
      <c r="C33">
        <v>-3</v>
      </c>
      <c r="D33" t="s">
        <v>181</v>
      </c>
    </row>
    <row r="34" spans="3:4" x14ac:dyDescent="0.15">
      <c r="C34">
        <v>1</v>
      </c>
      <c r="D34" t="s">
        <v>182</v>
      </c>
    </row>
    <row r="35" spans="3:4" x14ac:dyDescent="0.15">
      <c r="C35">
        <v>3</v>
      </c>
      <c r="D35" t="s">
        <v>183</v>
      </c>
    </row>
    <row r="36" spans="3:4" x14ac:dyDescent="0.15">
      <c r="C36">
        <v>0</v>
      </c>
      <c r="D36" t="s">
        <v>184</v>
      </c>
    </row>
    <row r="37" spans="3:4" x14ac:dyDescent="0.15">
      <c r="C37">
        <v>-3</v>
      </c>
      <c r="D37" t="s">
        <v>185</v>
      </c>
    </row>
    <row r="38" spans="3:4" x14ac:dyDescent="0.15">
      <c r="C38">
        <v>30</v>
      </c>
      <c r="D38" t="s">
        <v>186</v>
      </c>
    </row>
    <row r="39" spans="3:4" x14ac:dyDescent="0.15">
      <c r="C39">
        <v>5</v>
      </c>
      <c r="D39" t="s">
        <v>187</v>
      </c>
    </row>
    <row r="40" spans="3:4" x14ac:dyDescent="0.15">
      <c r="C40">
        <v>-10</v>
      </c>
      <c r="D40" t="s">
        <v>188</v>
      </c>
    </row>
    <row r="41" spans="3:4" x14ac:dyDescent="0.15">
      <c r="C41">
        <v>3</v>
      </c>
      <c r="D41" t="s">
        <v>189</v>
      </c>
    </row>
    <row r="42" spans="3:4" x14ac:dyDescent="0.15">
      <c r="C42">
        <v>138</v>
      </c>
      <c r="D42" t="s">
        <v>190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84</v>
      </c>
      <c r="B1" s="8" t="s">
        <v>85</v>
      </c>
      <c r="C1" s="8" t="s">
        <v>86</v>
      </c>
    </row>
    <row r="2" spans="1:3" x14ac:dyDescent="0.15">
      <c r="A2" s="1">
        <v>5</v>
      </c>
      <c r="B2" s="10" t="s">
        <v>59</v>
      </c>
      <c r="C2" s="1">
        <v>0</v>
      </c>
    </row>
    <row r="3" spans="1:3" x14ac:dyDescent="0.15">
      <c r="A3" s="1">
        <v>9</v>
      </c>
      <c r="B3" s="11" t="s">
        <v>42</v>
      </c>
      <c r="C3" s="1">
        <v>0</v>
      </c>
    </row>
    <row r="4" spans="1:3" x14ac:dyDescent="0.15">
      <c r="A4" s="1">
        <v>10</v>
      </c>
      <c r="B4" s="11" t="s">
        <v>7</v>
      </c>
      <c r="C4" s="1">
        <v>0</v>
      </c>
    </row>
    <row r="5" spans="1:3" x14ac:dyDescent="0.15">
      <c r="A5" s="1">
        <v>4</v>
      </c>
      <c r="B5" s="10" t="s">
        <v>56</v>
      </c>
      <c r="C5" s="1">
        <v>2</v>
      </c>
    </row>
    <row r="6" spans="1:3" x14ac:dyDescent="0.15">
      <c r="A6" s="1">
        <v>8</v>
      </c>
      <c r="B6" s="11" t="s">
        <v>6</v>
      </c>
      <c r="C6" s="1">
        <v>3</v>
      </c>
    </row>
    <row r="7" spans="1:3" x14ac:dyDescent="0.15">
      <c r="A7" s="1">
        <v>12</v>
      </c>
      <c r="B7" s="11" t="s">
        <v>12</v>
      </c>
      <c r="C7" s="1">
        <v>3</v>
      </c>
    </row>
    <row r="8" spans="1:3" x14ac:dyDescent="0.15">
      <c r="A8" s="1">
        <v>1</v>
      </c>
      <c r="B8" s="10" t="s">
        <v>41</v>
      </c>
      <c r="C8" s="1">
        <v>4</v>
      </c>
    </row>
    <row r="9" spans="1:3" x14ac:dyDescent="0.15">
      <c r="A9" s="1">
        <v>2</v>
      </c>
      <c r="B9" s="10" t="s">
        <v>4</v>
      </c>
      <c r="C9" s="1">
        <v>4</v>
      </c>
    </row>
    <row r="10" spans="1:3" x14ac:dyDescent="0.15">
      <c r="A10" s="1">
        <v>7</v>
      </c>
      <c r="B10" s="11" t="s">
        <v>5</v>
      </c>
      <c r="C10" s="1">
        <v>4</v>
      </c>
    </row>
    <row r="11" spans="1:3" x14ac:dyDescent="0.15">
      <c r="A11" s="1">
        <v>3</v>
      </c>
      <c r="B11" s="10" t="s">
        <v>29</v>
      </c>
      <c r="C11" s="1">
        <v>5</v>
      </c>
    </row>
    <row r="12" spans="1:3" x14ac:dyDescent="0.15">
      <c r="A12" s="1">
        <v>11</v>
      </c>
      <c r="B12" s="11" t="s">
        <v>49</v>
      </c>
      <c r="C12" s="1">
        <v>5</v>
      </c>
    </row>
    <row r="13" spans="1:3" x14ac:dyDescent="0.15">
      <c r="A13" s="1">
        <v>6</v>
      </c>
      <c r="B13" s="10" t="s">
        <v>50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41</v>
      </c>
      <c r="C2">
        <v>0</v>
      </c>
    </row>
    <row r="3" spans="2:3" x14ac:dyDescent="0.15">
      <c r="B3" s="10" t="s">
        <v>4</v>
      </c>
      <c r="C3">
        <v>0</v>
      </c>
    </row>
    <row r="4" spans="2:3" x14ac:dyDescent="0.15">
      <c r="B4" s="10" t="s">
        <v>29</v>
      </c>
      <c r="C4">
        <v>0</v>
      </c>
    </row>
    <row r="5" spans="2:3" x14ac:dyDescent="0.15">
      <c r="B5" s="10" t="s">
        <v>59</v>
      </c>
      <c r="C5">
        <v>0</v>
      </c>
    </row>
    <row r="6" spans="2:3" x14ac:dyDescent="0.15">
      <c r="B6" s="11" t="s">
        <v>42</v>
      </c>
      <c r="C6">
        <v>0</v>
      </c>
    </row>
    <row r="7" spans="2:3" x14ac:dyDescent="0.15">
      <c r="B7" s="11" t="s">
        <v>7</v>
      </c>
      <c r="C7">
        <v>0</v>
      </c>
    </row>
    <row r="8" spans="2:3" x14ac:dyDescent="0.15">
      <c r="B8" s="11" t="s">
        <v>49</v>
      </c>
      <c r="C8">
        <v>0</v>
      </c>
    </row>
    <row r="9" spans="2:3" x14ac:dyDescent="0.15">
      <c r="B9" s="10" t="s">
        <v>56</v>
      </c>
      <c r="C9">
        <v>2</v>
      </c>
    </row>
    <row r="10" spans="2:3" x14ac:dyDescent="0.15">
      <c r="B10" s="11" t="s">
        <v>6</v>
      </c>
      <c r="C10">
        <v>3</v>
      </c>
    </row>
    <row r="11" spans="2:3" x14ac:dyDescent="0.15">
      <c r="B11" s="11" t="s">
        <v>12</v>
      </c>
      <c r="C11">
        <v>3</v>
      </c>
    </row>
    <row r="12" spans="2:3" x14ac:dyDescent="0.15">
      <c r="B12" s="11" t="s">
        <v>5</v>
      </c>
      <c r="C12">
        <v>4</v>
      </c>
    </row>
    <row r="13" spans="2:3" x14ac:dyDescent="0.15">
      <c r="B13" s="10" t="s">
        <v>50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2020-04-13T01:36:06Z</dcterms:modified>
</cp:coreProperties>
</file>