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Sheet1!$A$1:$BP$125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C129" i="1" l="1"/>
  <c r="BC131" i="1" s="1"/>
  <c r="BD129" i="1"/>
  <c r="BD131" i="1" s="1"/>
  <c r="BE129" i="1"/>
  <c r="BE131" i="1" s="1"/>
  <c r="BF129" i="1"/>
  <c r="BF131" i="1" s="1"/>
  <c r="BG129" i="1"/>
  <c r="BG131" i="1" s="1"/>
  <c r="BH129" i="1"/>
  <c r="BH131" i="1" s="1"/>
  <c r="BI129" i="1"/>
  <c r="BI131" i="1" s="1"/>
  <c r="BJ129" i="1"/>
  <c r="BJ131" i="1" s="1"/>
  <c r="BK129" i="1"/>
  <c r="BK131" i="1" s="1"/>
  <c r="BL129" i="1"/>
  <c r="BL131" i="1" s="1"/>
  <c r="BM129" i="1"/>
  <c r="BM131" i="1" s="1"/>
  <c r="BN129" i="1"/>
  <c r="BN131" i="1" s="1"/>
  <c r="BO129" i="1"/>
  <c r="BO131" i="1" s="1"/>
  <c r="BC130" i="1"/>
  <c r="BC132" i="1" s="1"/>
  <c r="BD130" i="1"/>
  <c r="BD132" i="1" s="1"/>
  <c r="BE130" i="1"/>
  <c r="BE132" i="1" s="1"/>
  <c r="BF130" i="1"/>
  <c r="BF132" i="1" s="1"/>
  <c r="BG130" i="1"/>
  <c r="BG132" i="1" s="1"/>
  <c r="BH130" i="1"/>
  <c r="BH132" i="1" s="1"/>
  <c r="BI130" i="1"/>
  <c r="BI132" i="1" s="1"/>
  <c r="BJ130" i="1"/>
  <c r="BJ132" i="1" s="1"/>
  <c r="BK130" i="1"/>
  <c r="BK132" i="1" s="1"/>
  <c r="BL130" i="1"/>
  <c r="BL132" i="1" s="1"/>
  <c r="BM130" i="1"/>
  <c r="BM132" i="1" s="1"/>
  <c r="BN130" i="1"/>
  <c r="BN132" i="1" s="1"/>
  <c r="BO130" i="1"/>
  <c r="BO132" i="1" s="1"/>
  <c r="BA129" i="1"/>
  <c r="BA131" i="1" s="1"/>
  <c r="BB129" i="1"/>
  <c r="BB131" i="1" s="1"/>
  <c r="BA130" i="1"/>
  <c r="BA132" i="1" s="1"/>
  <c r="BB130" i="1"/>
  <c r="BB132" i="1" s="1"/>
  <c r="AQ129" i="1"/>
  <c r="AQ131" i="1" s="1"/>
  <c r="AR129" i="1"/>
  <c r="AR131" i="1" s="1"/>
  <c r="AS129" i="1"/>
  <c r="AS131" i="1" s="1"/>
  <c r="AT129" i="1"/>
  <c r="AT131" i="1" s="1"/>
  <c r="AU129" i="1"/>
  <c r="AU131" i="1" s="1"/>
  <c r="AV129" i="1"/>
  <c r="AV131" i="1" s="1"/>
  <c r="AW129" i="1"/>
  <c r="AW131" i="1" s="1"/>
  <c r="AX129" i="1"/>
  <c r="AX131" i="1" s="1"/>
  <c r="AY129" i="1"/>
  <c r="AY131" i="1" s="1"/>
  <c r="AZ129" i="1"/>
  <c r="AZ131" i="1" s="1"/>
  <c r="AQ130" i="1"/>
  <c r="AQ132" i="1" s="1"/>
  <c r="AR130" i="1"/>
  <c r="AR132" i="1" s="1"/>
  <c r="AS130" i="1"/>
  <c r="AS132" i="1" s="1"/>
  <c r="AT130" i="1"/>
  <c r="AT132" i="1" s="1"/>
  <c r="AU130" i="1"/>
  <c r="AU132" i="1" s="1"/>
  <c r="AV130" i="1"/>
  <c r="AV132" i="1" s="1"/>
  <c r="AW130" i="1"/>
  <c r="AW132" i="1" s="1"/>
  <c r="AX130" i="1"/>
  <c r="AX132" i="1" s="1"/>
  <c r="AY130" i="1"/>
  <c r="AY132" i="1" s="1"/>
  <c r="AZ130" i="1"/>
  <c r="AZ132" i="1" s="1"/>
  <c r="AI129" i="1"/>
  <c r="AI131" i="1" s="1"/>
  <c r="AJ129" i="1"/>
  <c r="AJ131" i="1" s="1"/>
  <c r="AK129" i="1"/>
  <c r="AK131" i="1" s="1"/>
  <c r="AL129" i="1"/>
  <c r="AL131" i="1" s="1"/>
  <c r="AM129" i="1"/>
  <c r="AM131" i="1" s="1"/>
  <c r="AN129" i="1"/>
  <c r="AN131" i="1" s="1"/>
  <c r="AO129" i="1"/>
  <c r="AO131" i="1" s="1"/>
  <c r="AP129" i="1"/>
  <c r="AP131" i="1" s="1"/>
  <c r="AI130" i="1"/>
  <c r="AI132" i="1" s="1"/>
  <c r="AJ130" i="1"/>
  <c r="AJ132" i="1" s="1"/>
  <c r="AK130" i="1"/>
  <c r="AK132" i="1" s="1"/>
  <c r="AL130" i="1"/>
  <c r="AL132" i="1" s="1"/>
  <c r="AM130" i="1"/>
  <c r="AM132" i="1" s="1"/>
  <c r="AN130" i="1"/>
  <c r="AN132" i="1" s="1"/>
  <c r="AO130" i="1"/>
  <c r="AO132" i="1" s="1"/>
  <c r="AP130" i="1"/>
  <c r="AP132" i="1" s="1"/>
  <c r="AC129" i="1"/>
  <c r="AC131" i="1" s="1"/>
  <c r="AD129" i="1"/>
  <c r="AD131" i="1" s="1"/>
  <c r="AE129" i="1"/>
  <c r="AE131" i="1" s="1"/>
  <c r="AF129" i="1"/>
  <c r="AF131" i="1" s="1"/>
  <c r="AG129" i="1"/>
  <c r="AG131" i="1" s="1"/>
  <c r="AH129" i="1"/>
  <c r="AH131" i="1" s="1"/>
  <c r="AC130" i="1"/>
  <c r="AC132" i="1" s="1"/>
  <c r="AD130" i="1"/>
  <c r="AD132" i="1" s="1"/>
  <c r="AE130" i="1"/>
  <c r="AE132" i="1" s="1"/>
  <c r="AF130" i="1"/>
  <c r="AF132" i="1" s="1"/>
  <c r="AG130" i="1"/>
  <c r="AG132" i="1" s="1"/>
  <c r="AH130" i="1"/>
  <c r="AH132" i="1" s="1"/>
  <c r="W129" i="1"/>
  <c r="W131" i="1" s="1"/>
  <c r="X129" i="1"/>
  <c r="X131" i="1" s="1"/>
  <c r="Y129" i="1"/>
  <c r="Y131" i="1" s="1"/>
  <c r="Z129" i="1"/>
  <c r="Z131" i="1" s="1"/>
  <c r="AA129" i="1"/>
  <c r="AA131" i="1" s="1"/>
  <c r="AB129" i="1"/>
  <c r="AB131" i="1" s="1"/>
  <c r="W130" i="1"/>
  <c r="W132" i="1" s="1"/>
  <c r="X130" i="1"/>
  <c r="X132" i="1" s="1"/>
  <c r="Y130" i="1"/>
  <c r="Y132" i="1" s="1"/>
  <c r="Z130" i="1"/>
  <c r="Z132" i="1" s="1"/>
  <c r="AA130" i="1"/>
  <c r="AA132" i="1" s="1"/>
  <c r="AB130" i="1"/>
  <c r="AB132" i="1" s="1"/>
  <c r="P129" i="1"/>
  <c r="P131" i="1" s="1"/>
  <c r="Q129" i="1"/>
  <c r="Q131" i="1" s="1"/>
  <c r="R129" i="1"/>
  <c r="R131" i="1" s="1"/>
  <c r="S129" i="1"/>
  <c r="S131" i="1" s="1"/>
  <c r="T129" i="1"/>
  <c r="T131" i="1" s="1"/>
  <c r="U129" i="1"/>
  <c r="U131" i="1" s="1"/>
  <c r="V129" i="1"/>
  <c r="V131" i="1" s="1"/>
  <c r="P130" i="1"/>
  <c r="P132" i="1" s="1"/>
  <c r="Q130" i="1"/>
  <c r="Q132" i="1" s="1"/>
  <c r="R130" i="1"/>
  <c r="R132" i="1" s="1"/>
  <c r="S130" i="1"/>
  <c r="S132" i="1" s="1"/>
  <c r="T130" i="1"/>
  <c r="T132" i="1" s="1"/>
  <c r="U130" i="1"/>
  <c r="U132" i="1" s="1"/>
  <c r="V130" i="1"/>
  <c r="V132" i="1" s="1"/>
  <c r="G129" i="1"/>
  <c r="G131" i="1" s="1"/>
  <c r="H129" i="1"/>
  <c r="H131" i="1" s="1"/>
  <c r="I129" i="1"/>
  <c r="I131" i="1" s="1"/>
  <c r="J129" i="1"/>
  <c r="J131" i="1" s="1"/>
  <c r="K129" i="1"/>
  <c r="K131" i="1" s="1"/>
  <c r="L129" i="1"/>
  <c r="L131" i="1" s="1"/>
  <c r="M129" i="1"/>
  <c r="M131" i="1" s="1"/>
  <c r="N129" i="1"/>
  <c r="N131" i="1" s="1"/>
  <c r="O129" i="1"/>
  <c r="O131" i="1" s="1"/>
  <c r="G130" i="1"/>
  <c r="G132" i="1" s="1"/>
  <c r="H130" i="1"/>
  <c r="H132" i="1" s="1"/>
  <c r="I130" i="1"/>
  <c r="I132" i="1" s="1"/>
  <c r="J130" i="1"/>
  <c r="J132" i="1" s="1"/>
  <c r="K130" i="1"/>
  <c r="K132" i="1" s="1"/>
  <c r="L130" i="1"/>
  <c r="L132" i="1" s="1"/>
  <c r="M130" i="1"/>
  <c r="M132" i="1" s="1"/>
  <c r="N130" i="1"/>
  <c r="N132" i="1" s="1"/>
  <c r="O130" i="1"/>
  <c r="O132" i="1" s="1"/>
  <c r="F129" i="1"/>
  <c r="F131" i="1" s="1"/>
  <c r="F130" i="1"/>
  <c r="F132" i="1" s="1"/>
  <c r="E130" i="1"/>
  <c r="E132" i="1" s="1"/>
  <c r="E129" i="1"/>
  <c r="E131" i="1" s="1"/>
  <c r="BP3" i="1" l="1"/>
  <c r="BP4" i="1"/>
  <c r="BP5" i="1"/>
  <c r="BP6" i="1"/>
  <c r="BP7" i="1"/>
  <c r="BP8" i="1"/>
  <c r="BP9" i="1"/>
  <c r="BP49" i="1"/>
  <c r="BP12" i="1"/>
  <c r="BP25" i="1"/>
  <c r="BP16" i="1"/>
  <c r="BP14" i="1"/>
  <c r="BP15" i="1"/>
  <c r="BP17" i="1"/>
  <c r="BP18" i="1"/>
  <c r="BP19" i="1"/>
  <c r="BP20" i="1"/>
  <c r="BP21" i="1"/>
  <c r="BP22" i="1"/>
  <c r="BP41" i="1"/>
  <c r="BP30" i="1"/>
  <c r="BP31" i="1"/>
  <c r="BP11" i="1"/>
  <c r="BP37" i="1"/>
  <c r="BP10" i="1"/>
  <c r="BP28" i="1"/>
  <c r="BP33" i="1"/>
  <c r="BP34" i="1"/>
  <c r="BP35" i="1"/>
  <c r="BP39" i="1"/>
  <c r="BP82" i="1"/>
  <c r="BP43" i="1"/>
  <c r="BP44" i="1"/>
  <c r="BP45" i="1"/>
  <c r="BP46" i="1"/>
  <c r="BP47" i="1"/>
  <c r="BP48" i="1"/>
  <c r="BP92" i="1"/>
  <c r="BP13" i="1"/>
  <c r="BP56" i="1"/>
  <c r="BP50" i="1"/>
  <c r="BP51" i="1"/>
  <c r="BP40" i="1"/>
  <c r="BP54" i="1"/>
  <c r="BP26" i="1"/>
  <c r="BP27" i="1"/>
  <c r="BP71" i="1"/>
  <c r="BP29" i="1"/>
  <c r="BP55" i="1"/>
  <c r="BP61" i="1"/>
  <c r="BP70" i="1"/>
  <c r="BP74" i="1"/>
  <c r="BP75" i="1"/>
  <c r="BP76" i="1"/>
  <c r="BP77" i="1"/>
  <c r="BP78" i="1"/>
  <c r="BP79" i="1"/>
  <c r="BP81" i="1"/>
  <c r="BP38" i="1"/>
  <c r="BP86" i="1"/>
  <c r="BP84" i="1"/>
  <c r="BP85" i="1"/>
  <c r="BP42" i="1"/>
  <c r="BP57" i="1"/>
  <c r="BP32" i="1"/>
  <c r="BP58" i="1"/>
  <c r="BP36" i="1"/>
  <c r="BP90" i="1"/>
  <c r="BP91" i="1"/>
  <c r="BP66" i="1"/>
  <c r="BP65" i="1"/>
  <c r="BP87" i="1"/>
  <c r="BP88" i="1"/>
  <c r="BP89" i="1"/>
  <c r="BP23" i="1"/>
  <c r="BP62" i="1"/>
  <c r="BP63" i="1"/>
  <c r="BP64" i="1"/>
  <c r="BP93" i="1"/>
  <c r="BP59" i="1"/>
  <c r="BP60" i="1"/>
  <c r="BP67" i="1"/>
  <c r="BP68" i="1"/>
  <c r="BP72" i="1"/>
  <c r="BP73" i="1"/>
  <c r="BP80" i="1"/>
  <c r="BP96" i="1"/>
  <c r="BP95" i="1"/>
  <c r="BP97" i="1"/>
  <c r="BP98" i="1"/>
  <c r="BP99" i="1"/>
  <c r="BP100" i="1"/>
  <c r="BP101" i="1"/>
  <c r="BP102" i="1"/>
  <c r="BP103" i="1"/>
  <c r="BP104" i="1"/>
  <c r="BP105" i="1"/>
  <c r="BP106" i="1"/>
  <c r="BP107" i="1"/>
  <c r="BP52" i="1"/>
  <c r="BP53" i="1"/>
  <c r="BP108" i="1"/>
  <c r="BP109" i="1"/>
  <c r="BP111" i="1"/>
  <c r="BP83" i="1"/>
  <c r="BP110" i="1"/>
  <c r="BP112" i="1"/>
  <c r="BP113" i="1"/>
  <c r="BP114" i="1"/>
  <c r="BP115" i="1"/>
  <c r="BP116" i="1"/>
  <c r="BP117" i="1"/>
  <c r="BP118" i="1"/>
  <c r="BP69" i="1"/>
  <c r="BP94" i="1"/>
  <c r="BP119" i="1"/>
  <c r="BP120" i="1"/>
  <c r="BP121" i="1"/>
  <c r="BP122" i="1"/>
  <c r="BP123" i="1"/>
  <c r="BP124" i="1"/>
  <c r="BP125" i="1"/>
  <c r="CS122" i="1" l="1"/>
  <c r="CS3" i="1" l="1"/>
  <c r="CS4" i="1"/>
  <c r="CS5" i="1"/>
  <c r="CS42" i="1"/>
  <c r="CS9" i="1"/>
  <c r="CS16" i="1"/>
  <c r="CS14" i="1"/>
  <c r="CS15" i="1"/>
  <c r="CS17" i="1"/>
  <c r="CS18" i="1"/>
  <c r="CS19" i="1"/>
  <c r="CS20" i="1"/>
  <c r="CS49" i="1"/>
  <c r="CS40" i="1"/>
  <c r="CS25" i="1"/>
  <c r="CS56" i="1"/>
  <c r="CS92" i="1"/>
  <c r="CS30" i="1"/>
  <c r="CS55" i="1"/>
  <c r="CS10" i="1"/>
  <c r="CS33" i="1"/>
  <c r="CS34" i="1"/>
  <c r="CS35" i="1"/>
  <c r="CS38" i="1"/>
  <c r="CS57" i="1"/>
  <c r="CS13" i="1"/>
  <c r="CS41" i="1"/>
  <c r="CS50" i="1"/>
  <c r="CS51" i="1"/>
  <c r="CS32" i="1"/>
  <c r="CS84" i="1"/>
  <c r="CS85" i="1"/>
  <c r="CS36" i="1"/>
  <c r="CS71" i="1"/>
  <c r="CS61" i="1"/>
  <c r="CS69" i="1"/>
  <c r="CS66" i="1"/>
  <c r="CS62" i="1"/>
  <c r="CS118" i="1"/>
  <c r="CS67" i="1"/>
  <c r="CS59" i="1"/>
  <c r="CS123" i="1"/>
  <c r="CS119" i="1"/>
  <c r="CS2" i="1"/>
  <c r="CS126" i="1" l="1"/>
  <c r="BP2" i="1" l="1"/>
  <c r="BM126" i="1" l="1"/>
  <c r="BM128" i="1" s="1"/>
  <c r="AM126" i="1"/>
  <c r="AM128" i="1" s="1"/>
  <c r="L126" i="1"/>
  <c r="L128" i="1" s="1"/>
  <c r="AY126" i="1"/>
  <c r="BK126" i="1"/>
  <c r="BK128" i="1" s="1"/>
  <c r="AJ126" i="1"/>
  <c r="AJ128" i="1" s="1"/>
  <c r="AW126" i="1"/>
  <c r="BH126" i="1"/>
  <c r="BH128" i="1" s="1"/>
  <c r="AU126" i="1"/>
  <c r="AH126" i="1"/>
  <c r="AH128" i="1" s="1"/>
  <c r="AL126" i="1"/>
  <c r="AL128" i="1" s="1"/>
  <c r="BD126" i="1"/>
  <c r="BD128" i="1" s="1"/>
  <c r="BA126" i="1"/>
  <c r="BL126" i="1"/>
  <c r="BL128" i="1" s="1"/>
  <c r="AZ126" i="1"/>
  <c r="J126" i="1"/>
  <c r="J128" i="1" s="1"/>
  <c r="H126" i="1"/>
  <c r="H128" i="1" s="1"/>
  <c r="G126" i="1"/>
  <c r="G128" i="1" s="1"/>
  <c r="BG126" i="1"/>
  <c r="BG128" i="1" s="1"/>
  <c r="AQ126" i="1"/>
  <c r="AE126" i="1"/>
  <c r="AE128" i="1" s="1"/>
  <c r="F126" i="1"/>
  <c r="F128" i="1" s="1"/>
  <c r="BB126" i="1"/>
  <c r="BJ126" i="1"/>
  <c r="BJ128" i="1" s="1"/>
  <c r="AX126" i="1"/>
  <c r="AI126" i="1"/>
  <c r="AI128" i="1" s="1"/>
  <c r="I126" i="1"/>
  <c r="I128" i="1" s="1"/>
  <c r="AG126" i="1"/>
  <c r="AG128" i="1" s="1"/>
  <c r="BE126" i="1"/>
  <c r="BE128" i="1" s="1"/>
  <c r="AF126" i="1"/>
  <c r="AF128" i="1" s="1"/>
  <c r="BF126" i="1"/>
  <c r="BF128" i="1" s="1"/>
  <c r="AS126" i="1"/>
  <c r="O126" i="1"/>
  <c r="O128" i="1" s="1"/>
  <c r="BO126" i="1"/>
  <c r="BO128" i="1" s="1"/>
  <c r="AR126" i="1"/>
  <c r="N126" i="1"/>
  <c r="N128" i="1" s="1"/>
  <c r="K126" i="1"/>
  <c r="K128" i="1" s="1"/>
  <c r="AK126" i="1"/>
  <c r="AK128" i="1" s="1"/>
  <c r="BI126" i="1"/>
  <c r="BI128" i="1" s="1"/>
  <c r="AT126" i="1"/>
  <c r="AV126" i="1"/>
  <c r="E126" i="1"/>
  <c r="E128" i="1" s="1"/>
  <c r="BN126" i="1"/>
  <c r="BN128" i="1" s="1"/>
  <c r="AN126" i="1"/>
  <c r="AN128" i="1" s="1"/>
  <c r="M126" i="1"/>
  <c r="M128" i="1" s="1"/>
  <c r="AP126" i="1"/>
  <c r="AP128" i="1" s="1"/>
  <c r="BC126" i="1"/>
  <c r="BC128" i="1" s="1"/>
  <c r="AO126" i="1"/>
  <c r="AO128" i="1" s="1"/>
  <c r="V126" i="1"/>
  <c r="V128" i="1" s="1"/>
  <c r="Y126" i="1"/>
  <c r="Y128" i="1" s="1"/>
  <c r="W126" i="1"/>
  <c r="W128" i="1" s="1"/>
  <c r="S126" i="1"/>
  <c r="S128" i="1" s="1"/>
  <c r="X126" i="1"/>
  <c r="X128" i="1" s="1"/>
  <c r="R126" i="1"/>
  <c r="R128" i="1" s="1"/>
  <c r="Z126" i="1"/>
  <c r="Z128" i="1" s="1"/>
  <c r="U126" i="1"/>
  <c r="U128" i="1" s="1"/>
  <c r="T126" i="1"/>
  <c r="T128" i="1" s="1"/>
  <c r="AC126" i="1"/>
  <c r="AC128" i="1" s="1"/>
  <c r="Q126" i="1"/>
  <c r="Q128" i="1" s="1"/>
  <c r="AB126" i="1"/>
  <c r="AB128" i="1" s="1"/>
  <c r="P126" i="1"/>
  <c r="P128" i="1" s="1"/>
  <c r="AA126" i="1"/>
  <c r="AA128" i="1" s="1"/>
  <c r="AD126" i="1"/>
  <c r="AD128" i="1" s="1"/>
  <c r="AR128" i="1" l="1"/>
  <c r="BU49" i="1"/>
  <c r="BU21" i="1"/>
  <c r="BU34" i="1"/>
  <c r="BU92" i="1"/>
  <c r="BU55" i="1"/>
  <c r="BU84" i="1"/>
  <c r="BU5" i="1"/>
  <c r="BU15" i="1"/>
  <c r="BU37" i="1"/>
  <c r="BU44" i="1"/>
  <c r="BU54" i="1"/>
  <c r="BU78" i="1"/>
  <c r="BU88" i="1"/>
  <c r="BU93" i="1"/>
  <c r="BU59" i="1"/>
  <c r="BU60" i="1"/>
  <c r="BU67" i="1"/>
  <c r="BU68" i="1"/>
  <c r="BU72" i="1"/>
  <c r="BU73" i="1"/>
  <c r="BU80" i="1"/>
  <c r="BU96" i="1"/>
  <c r="BU95" i="1"/>
  <c r="BU97" i="1"/>
  <c r="BU98" i="1"/>
  <c r="BU99" i="1"/>
  <c r="BU100" i="1"/>
  <c r="BU101" i="1"/>
  <c r="BU102" i="1"/>
  <c r="BU103" i="1"/>
  <c r="BU104" i="1"/>
  <c r="BU105" i="1"/>
  <c r="BU106" i="1"/>
  <c r="BU107" i="1"/>
  <c r="BU52" i="1"/>
  <c r="BU53" i="1"/>
  <c r="BU108" i="1"/>
  <c r="BU109" i="1"/>
  <c r="BU111" i="1"/>
  <c r="BU83" i="1"/>
  <c r="BU110" i="1"/>
  <c r="BU112" i="1"/>
  <c r="BU113" i="1"/>
  <c r="BU114" i="1"/>
  <c r="BU115" i="1"/>
  <c r="BU41" i="1"/>
  <c r="BU56" i="1"/>
  <c r="BU70" i="1"/>
  <c r="BU42" i="1"/>
  <c r="BU9" i="1"/>
  <c r="BU20" i="1"/>
  <c r="BU33" i="1"/>
  <c r="BU48" i="1"/>
  <c r="BU29" i="1"/>
  <c r="BU86" i="1"/>
  <c r="BU65" i="1"/>
  <c r="BU63" i="1"/>
  <c r="BU4" i="1"/>
  <c r="BU14" i="1"/>
  <c r="BU43" i="1"/>
  <c r="BU40" i="1"/>
  <c r="BU77" i="1"/>
  <c r="BU12" i="1"/>
  <c r="BU22" i="1"/>
  <c r="BU35" i="1"/>
  <c r="BU13" i="1"/>
  <c r="BU61" i="1"/>
  <c r="BU85" i="1"/>
  <c r="BU36" i="1"/>
  <c r="BU66" i="1"/>
  <c r="BU62" i="1"/>
  <c r="BU6" i="1"/>
  <c r="BU17" i="1"/>
  <c r="BU10" i="1"/>
  <c r="BU45" i="1"/>
  <c r="BU26" i="1"/>
  <c r="BU79" i="1"/>
  <c r="BU7" i="1"/>
  <c r="BU16" i="1"/>
  <c r="BU47" i="1"/>
  <c r="BU57" i="1"/>
  <c r="BU3" i="1"/>
  <c r="BU19" i="1"/>
  <c r="BU75" i="1"/>
  <c r="BU69" i="1"/>
  <c r="BU119" i="1"/>
  <c r="BU121" i="1"/>
  <c r="BU125" i="1"/>
  <c r="BU8" i="1"/>
  <c r="BU39" i="1"/>
  <c r="BU64" i="1"/>
  <c r="BU117" i="1"/>
  <c r="BU94" i="1"/>
  <c r="BU120" i="1"/>
  <c r="BU124" i="1"/>
  <c r="BU30" i="1"/>
  <c r="BU32" i="1"/>
  <c r="BU87" i="1"/>
  <c r="BU23" i="1"/>
  <c r="BU123" i="1"/>
  <c r="BU91" i="1"/>
  <c r="BU118" i="1"/>
  <c r="BU122" i="1"/>
  <c r="BU50" i="1"/>
  <c r="BU116" i="1"/>
  <c r="BU81" i="1"/>
  <c r="BU58" i="1"/>
  <c r="BU31" i="1"/>
  <c r="BU27" i="1"/>
  <c r="BU76" i="1"/>
  <c r="BU25" i="1"/>
  <c r="BU46" i="1"/>
  <c r="BU51" i="1"/>
  <c r="BU82" i="1"/>
  <c r="BU38" i="1"/>
  <c r="BU18" i="1"/>
  <c r="BU11" i="1"/>
  <c r="BU71" i="1"/>
  <c r="BU90" i="1"/>
  <c r="BU89" i="1"/>
  <c r="BU28" i="1"/>
  <c r="BU74" i="1"/>
  <c r="BU2" i="1"/>
  <c r="AU128" i="1"/>
  <c r="BX3" i="1"/>
  <c r="BX4" i="1"/>
  <c r="BX5" i="1"/>
  <c r="BX6" i="1"/>
  <c r="BX7" i="1"/>
  <c r="BX8" i="1"/>
  <c r="BX9" i="1"/>
  <c r="BX49" i="1"/>
  <c r="BX12" i="1"/>
  <c r="BX25" i="1"/>
  <c r="BX16" i="1"/>
  <c r="BX14" i="1"/>
  <c r="BX15" i="1"/>
  <c r="BX17" i="1"/>
  <c r="BX18" i="1"/>
  <c r="BX19" i="1"/>
  <c r="BX20" i="1"/>
  <c r="BX21" i="1"/>
  <c r="BX22" i="1"/>
  <c r="BX41" i="1"/>
  <c r="BX30" i="1"/>
  <c r="BX31" i="1"/>
  <c r="BX11" i="1"/>
  <c r="BX37" i="1"/>
  <c r="BX10" i="1"/>
  <c r="BX28" i="1"/>
  <c r="BX33" i="1"/>
  <c r="BX34" i="1"/>
  <c r="BX35" i="1"/>
  <c r="BX39" i="1"/>
  <c r="BX82" i="1"/>
  <c r="BX43" i="1"/>
  <c r="BX44" i="1"/>
  <c r="BX45" i="1"/>
  <c r="BX46" i="1"/>
  <c r="BX47" i="1"/>
  <c r="BX48" i="1"/>
  <c r="BX92" i="1"/>
  <c r="BX13" i="1"/>
  <c r="BX56" i="1"/>
  <c r="BX50" i="1"/>
  <c r="BX51" i="1"/>
  <c r="BX40" i="1"/>
  <c r="BX54" i="1"/>
  <c r="BX26" i="1"/>
  <c r="BX27" i="1"/>
  <c r="BX71" i="1"/>
  <c r="BX29" i="1"/>
  <c r="BX55" i="1"/>
  <c r="BX61" i="1"/>
  <c r="BX70" i="1"/>
  <c r="BX74" i="1"/>
  <c r="BX75" i="1"/>
  <c r="BX76" i="1"/>
  <c r="BX77" i="1"/>
  <c r="BX78" i="1"/>
  <c r="BX79" i="1"/>
  <c r="BX81" i="1"/>
  <c r="BX38" i="1"/>
  <c r="BX86" i="1"/>
  <c r="BX84" i="1"/>
  <c r="BX85" i="1"/>
  <c r="BX42" i="1"/>
  <c r="BX57" i="1"/>
  <c r="BX32" i="1"/>
  <c r="BX58" i="1"/>
  <c r="BX91" i="1"/>
  <c r="BX89" i="1"/>
  <c r="BX90" i="1"/>
  <c r="BX87" i="1"/>
  <c r="BX64" i="1"/>
  <c r="BX65" i="1"/>
  <c r="BX63" i="1"/>
  <c r="BX72" i="1"/>
  <c r="BX104" i="1"/>
  <c r="BX106" i="1"/>
  <c r="BX67" i="1"/>
  <c r="BX102" i="1"/>
  <c r="BX52" i="1"/>
  <c r="BX109" i="1"/>
  <c r="BX114" i="1"/>
  <c r="BX96" i="1"/>
  <c r="BX110" i="1"/>
  <c r="BX73" i="1"/>
  <c r="BX105" i="1"/>
  <c r="BX59" i="1"/>
  <c r="BX100" i="1"/>
  <c r="BX23" i="1"/>
  <c r="BX98" i="1"/>
  <c r="BX68" i="1"/>
  <c r="BX103" i="1"/>
  <c r="BX107" i="1"/>
  <c r="BX108" i="1"/>
  <c r="BX66" i="1"/>
  <c r="BX95" i="1"/>
  <c r="BX117" i="1"/>
  <c r="BX118" i="1"/>
  <c r="BX69" i="1"/>
  <c r="BX94" i="1"/>
  <c r="BX119" i="1"/>
  <c r="BX120" i="1"/>
  <c r="BX121" i="1"/>
  <c r="BX122" i="1"/>
  <c r="BX123" i="1"/>
  <c r="BX124" i="1"/>
  <c r="BX125" i="1"/>
  <c r="BX112" i="1"/>
  <c r="BX88" i="1"/>
  <c r="BX62" i="1"/>
  <c r="BX60" i="1"/>
  <c r="BX101" i="1"/>
  <c r="BX116" i="1"/>
  <c r="BX99" i="1"/>
  <c r="BX53" i="1"/>
  <c r="BX115" i="1"/>
  <c r="BX36" i="1"/>
  <c r="BX80" i="1"/>
  <c r="BX93" i="1"/>
  <c r="BX111" i="1"/>
  <c r="BX97" i="1"/>
  <c r="BX83" i="1"/>
  <c r="BX113" i="1"/>
  <c r="BX2" i="1"/>
  <c r="BB128" i="1"/>
  <c r="CE12" i="1"/>
  <c r="CE22" i="1"/>
  <c r="CE35" i="1"/>
  <c r="CE13" i="1"/>
  <c r="CE61" i="1"/>
  <c r="CE85" i="1"/>
  <c r="CE6" i="1"/>
  <c r="CE17" i="1"/>
  <c r="CE10" i="1"/>
  <c r="CE45" i="1"/>
  <c r="CE26" i="1"/>
  <c r="CE79" i="1"/>
  <c r="CE36" i="1"/>
  <c r="CE65" i="1"/>
  <c r="CE63" i="1"/>
  <c r="CE30" i="1"/>
  <c r="CE39" i="1"/>
  <c r="CE74" i="1"/>
  <c r="CE57" i="1"/>
  <c r="CE49" i="1"/>
  <c r="CE21" i="1"/>
  <c r="CE34" i="1"/>
  <c r="CE92" i="1"/>
  <c r="CE55" i="1"/>
  <c r="CE84" i="1"/>
  <c r="CE58" i="1"/>
  <c r="CE91" i="1"/>
  <c r="CE23" i="1"/>
  <c r="CE5" i="1"/>
  <c r="CE15" i="1"/>
  <c r="CE37" i="1"/>
  <c r="CE44" i="1"/>
  <c r="CE54" i="1"/>
  <c r="CE78" i="1"/>
  <c r="CE41" i="1"/>
  <c r="CE56" i="1"/>
  <c r="CE70" i="1"/>
  <c r="CE42" i="1"/>
  <c r="CE89" i="1"/>
  <c r="CE7" i="1"/>
  <c r="CE18" i="1"/>
  <c r="CE46" i="1"/>
  <c r="CE27" i="1"/>
  <c r="CE81" i="1"/>
  <c r="CE82" i="1"/>
  <c r="CE38" i="1"/>
  <c r="CE62" i="1"/>
  <c r="CE60" i="1"/>
  <c r="CE107" i="1"/>
  <c r="CE108" i="1"/>
  <c r="CE11" i="1"/>
  <c r="CE16" i="1"/>
  <c r="CE47" i="1"/>
  <c r="CE40" i="1"/>
  <c r="CE93" i="1"/>
  <c r="CE99" i="1"/>
  <c r="CE104" i="1"/>
  <c r="CE116" i="1"/>
  <c r="CE117" i="1"/>
  <c r="CE118" i="1"/>
  <c r="CE94" i="1"/>
  <c r="CE119" i="1"/>
  <c r="CE121" i="1"/>
  <c r="CE122" i="1"/>
  <c r="CE124" i="1"/>
  <c r="CE125" i="1"/>
  <c r="CE32" i="1"/>
  <c r="CE67" i="1"/>
  <c r="CE102" i="1"/>
  <c r="CE106" i="1"/>
  <c r="CE115" i="1"/>
  <c r="CE3" i="1"/>
  <c r="CE28" i="1"/>
  <c r="CE43" i="1"/>
  <c r="CE86" i="1"/>
  <c r="CE90" i="1"/>
  <c r="CE72" i="1"/>
  <c r="CE69" i="1"/>
  <c r="CE120" i="1"/>
  <c r="CE123" i="1"/>
  <c r="CE14" i="1"/>
  <c r="CE19" i="1"/>
  <c r="CE29" i="1"/>
  <c r="CE97" i="1"/>
  <c r="CE53" i="1"/>
  <c r="CE111" i="1"/>
  <c r="CE112" i="1"/>
  <c r="CE8" i="1"/>
  <c r="CE48" i="1"/>
  <c r="CE4" i="1"/>
  <c r="CE33" i="1"/>
  <c r="CE75" i="1"/>
  <c r="CE96" i="1"/>
  <c r="CE20" i="1"/>
  <c r="CE50" i="1"/>
  <c r="CE9" i="1"/>
  <c r="CE87" i="1"/>
  <c r="CE73" i="1"/>
  <c r="CE52" i="1"/>
  <c r="CE109" i="1"/>
  <c r="CE110" i="1"/>
  <c r="CE114" i="1"/>
  <c r="CE88" i="1"/>
  <c r="CE95" i="1"/>
  <c r="CE83" i="1"/>
  <c r="CE31" i="1"/>
  <c r="CE64" i="1"/>
  <c r="CE98" i="1"/>
  <c r="CE101" i="1"/>
  <c r="CE25" i="1"/>
  <c r="CE76" i="1"/>
  <c r="CE68" i="1"/>
  <c r="CE103" i="1"/>
  <c r="CE105" i="1"/>
  <c r="CE51" i="1"/>
  <c r="CE66" i="1"/>
  <c r="CE113" i="1"/>
  <c r="CE77" i="1"/>
  <c r="CE100" i="1"/>
  <c r="CE80" i="1"/>
  <c r="CE59" i="1"/>
  <c r="CE71" i="1"/>
  <c r="CE2" i="1"/>
  <c r="AS128" i="1"/>
  <c r="BV3" i="1"/>
  <c r="BV16" i="1"/>
  <c r="BV11" i="1"/>
  <c r="BV82" i="1"/>
  <c r="BV51" i="1"/>
  <c r="BV76" i="1"/>
  <c r="BV58" i="1"/>
  <c r="BV91" i="1"/>
  <c r="BV89" i="1"/>
  <c r="BV49" i="1"/>
  <c r="BV21" i="1"/>
  <c r="BV34" i="1"/>
  <c r="BV92" i="1"/>
  <c r="BV55" i="1"/>
  <c r="BV84" i="1"/>
  <c r="BV5" i="1"/>
  <c r="BV15" i="1"/>
  <c r="BV37" i="1"/>
  <c r="BV44" i="1"/>
  <c r="BV54" i="1"/>
  <c r="BV78" i="1"/>
  <c r="BV88" i="1"/>
  <c r="BV93" i="1"/>
  <c r="BV59" i="1"/>
  <c r="BV60" i="1"/>
  <c r="BV67" i="1"/>
  <c r="BV68" i="1"/>
  <c r="BV72" i="1"/>
  <c r="BV73" i="1"/>
  <c r="BV80" i="1"/>
  <c r="BV96" i="1"/>
  <c r="BV95" i="1"/>
  <c r="BV97" i="1"/>
  <c r="BV98" i="1"/>
  <c r="BV99" i="1"/>
  <c r="BV100" i="1"/>
  <c r="BV101" i="1"/>
  <c r="BV102" i="1"/>
  <c r="BV103" i="1"/>
  <c r="BV104" i="1"/>
  <c r="BV105" i="1"/>
  <c r="BV106" i="1"/>
  <c r="BV107" i="1"/>
  <c r="BV25" i="1"/>
  <c r="BV31" i="1"/>
  <c r="BV50" i="1"/>
  <c r="BV75" i="1"/>
  <c r="BV32" i="1"/>
  <c r="BV9" i="1"/>
  <c r="BV20" i="1"/>
  <c r="BV33" i="1"/>
  <c r="BV48" i="1"/>
  <c r="BV29" i="1"/>
  <c r="BV86" i="1"/>
  <c r="BV65" i="1"/>
  <c r="BV63" i="1"/>
  <c r="BV4" i="1"/>
  <c r="BV14" i="1"/>
  <c r="BV43" i="1"/>
  <c r="BV40" i="1"/>
  <c r="BV77" i="1"/>
  <c r="BV12" i="1"/>
  <c r="BV22" i="1"/>
  <c r="BV35" i="1"/>
  <c r="BV13" i="1"/>
  <c r="BV61" i="1"/>
  <c r="BV85" i="1"/>
  <c r="BV36" i="1"/>
  <c r="BV66" i="1"/>
  <c r="BV62" i="1"/>
  <c r="BV18" i="1"/>
  <c r="BV56" i="1"/>
  <c r="BV71" i="1"/>
  <c r="BV41" i="1"/>
  <c r="BV28" i="1"/>
  <c r="BV74" i="1"/>
  <c r="BV90" i="1"/>
  <c r="BV87" i="1"/>
  <c r="BV23" i="1"/>
  <c r="BV108" i="1"/>
  <c r="BV113" i="1"/>
  <c r="BV19" i="1"/>
  <c r="BV83" i="1"/>
  <c r="BV8" i="1"/>
  <c r="BV39" i="1"/>
  <c r="BV79" i="1"/>
  <c r="BV30" i="1"/>
  <c r="BV26" i="1"/>
  <c r="BV45" i="1"/>
  <c r="BV64" i="1"/>
  <c r="BV117" i="1"/>
  <c r="BV118" i="1"/>
  <c r="BV69" i="1"/>
  <c r="BV94" i="1"/>
  <c r="BV119" i="1"/>
  <c r="BV120" i="1"/>
  <c r="BV121" i="1"/>
  <c r="BV122" i="1"/>
  <c r="BV123" i="1"/>
  <c r="BV124" i="1"/>
  <c r="BV125" i="1"/>
  <c r="BV10" i="1"/>
  <c r="BV17" i="1"/>
  <c r="BV81" i="1"/>
  <c r="BV70" i="1"/>
  <c r="BV6" i="1"/>
  <c r="BV27" i="1"/>
  <c r="BV53" i="1"/>
  <c r="BV111" i="1"/>
  <c r="BV112" i="1"/>
  <c r="BV115" i="1"/>
  <c r="BV46" i="1"/>
  <c r="BV42" i="1"/>
  <c r="BV38" i="1"/>
  <c r="BV7" i="1"/>
  <c r="BV47" i="1"/>
  <c r="BV57" i="1"/>
  <c r="BV110" i="1"/>
  <c r="BV114" i="1"/>
  <c r="BV52" i="1"/>
  <c r="BV116" i="1"/>
  <c r="BV109" i="1"/>
  <c r="BV2" i="1"/>
  <c r="AW128" i="1"/>
  <c r="BZ30" i="1"/>
  <c r="BZ39" i="1"/>
  <c r="BZ74" i="1"/>
  <c r="BZ57" i="1"/>
  <c r="BZ8" i="1"/>
  <c r="BZ19" i="1"/>
  <c r="BZ28" i="1"/>
  <c r="BZ47" i="1"/>
  <c r="BZ71" i="1"/>
  <c r="BZ38" i="1"/>
  <c r="BZ23" i="1"/>
  <c r="BZ3" i="1"/>
  <c r="BZ16" i="1"/>
  <c r="BZ11" i="1"/>
  <c r="BZ82" i="1"/>
  <c r="BZ51" i="1"/>
  <c r="BZ76" i="1"/>
  <c r="BZ41" i="1"/>
  <c r="BZ56" i="1"/>
  <c r="BZ70" i="1"/>
  <c r="BZ42" i="1"/>
  <c r="BZ88" i="1"/>
  <c r="BZ7" i="1"/>
  <c r="BZ18" i="1"/>
  <c r="BZ46" i="1"/>
  <c r="BZ27" i="1"/>
  <c r="BZ81" i="1"/>
  <c r="BZ93" i="1"/>
  <c r="BZ59" i="1"/>
  <c r="BZ60" i="1"/>
  <c r="BZ67" i="1"/>
  <c r="BZ68" i="1"/>
  <c r="BZ72" i="1"/>
  <c r="BZ73" i="1"/>
  <c r="BZ80" i="1"/>
  <c r="BZ96" i="1"/>
  <c r="BZ95" i="1"/>
  <c r="BZ97" i="1"/>
  <c r="BZ98" i="1"/>
  <c r="BZ99" i="1"/>
  <c r="BZ100" i="1"/>
  <c r="BZ101" i="1"/>
  <c r="BZ102" i="1"/>
  <c r="BZ103" i="1"/>
  <c r="BZ104" i="1"/>
  <c r="BZ105" i="1"/>
  <c r="BZ106" i="1"/>
  <c r="BZ107" i="1"/>
  <c r="BZ52" i="1"/>
  <c r="BZ53" i="1"/>
  <c r="BZ108" i="1"/>
  <c r="BZ109" i="1"/>
  <c r="BZ111" i="1"/>
  <c r="BZ83" i="1"/>
  <c r="BZ110" i="1"/>
  <c r="BZ112" i="1"/>
  <c r="BZ113" i="1"/>
  <c r="BZ114" i="1"/>
  <c r="BZ25" i="1"/>
  <c r="BZ31" i="1"/>
  <c r="BZ50" i="1"/>
  <c r="BZ75" i="1"/>
  <c r="BZ32" i="1"/>
  <c r="BZ90" i="1"/>
  <c r="BZ87" i="1"/>
  <c r="BZ64" i="1"/>
  <c r="BZ9" i="1"/>
  <c r="BZ20" i="1"/>
  <c r="BZ33" i="1"/>
  <c r="BZ48" i="1"/>
  <c r="BZ29" i="1"/>
  <c r="BZ86" i="1"/>
  <c r="BZ22" i="1"/>
  <c r="BZ40" i="1"/>
  <c r="BZ36" i="1"/>
  <c r="BZ89" i="1"/>
  <c r="BZ63" i="1"/>
  <c r="BZ14" i="1"/>
  <c r="BZ78" i="1"/>
  <c r="BZ84" i="1"/>
  <c r="BZ4" i="1"/>
  <c r="BZ54" i="1"/>
  <c r="BZ44" i="1"/>
  <c r="BZ37" i="1"/>
  <c r="BZ55" i="1"/>
  <c r="BZ79" i="1"/>
  <c r="BZ91" i="1"/>
  <c r="BZ15" i="1"/>
  <c r="BZ92" i="1"/>
  <c r="BZ26" i="1"/>
  <c r="BZ5" i="1"/>
  <c r="BZ34" i="1"/>
  <c r="BZ45" i="1"/>
  <c r="BZ85" i="1"/>
  <c r="BZ58" i="1"/>
  <c r="BZ21" i="1"/>
  <c r="BZ10" i="1"/>
  <c r="BZ61" i="1"/>
  <c r="BZ77" i="1"/>
  <c r="BZ62" i="1"/>
  <c r="BZ115" i="1"/>
  <c r="BZ49" i="1"/>
  <c r="BZ17" i="1"/>
  <c r="BZ13" i="1"/>
  <c r="BZ66" i="1"/>
  <c r="BZ116" i="1"/>
  <c r="BZ117" i="1"/>
  <c r="BZ118" i="1"/>
  <c r="BZ69" i="1"/>
  <c r="BZ94" i="1"/>
  <c r="BZ119" i="1"/>
  <c r="BZ120" i="1"/>
  <c r="BZ121" i="1"/>
  <c r="BZ122" i="1"/>
  <c r="BZ123" i="1"/>
  <c r="BZ124" i="1"/>
  <c r="BZ125" i="1"/>
  <c r="BZ6" i="1"/>
  <c r="BZ35" i="1"/>
  <c r="BZ12" i="1"/>
  <c r="BZ65" i="1"/>
  <c r="BZ43" i="1"/>
  <c r="BZ2" i="1"/>
  <c r="AT128" i="1"/>
  <c r="BW3" i="1"/>
  <c r="BW4" i="1"/>
  <c r="BW5" i="1"/>
  <c r="BW6" i="1"/>
  <c r="BW7" i="1"/>
  <c r="BW8" i="1"/>
  <c r="BW9" i="1"/>
  <c r="BW49" i="1"/>
  <c r="BW12" i="1"/>
  <c r="BW25" i="1"/>
  <c r="BW16" i="1"/>
  <c r="BW14" i="1"/>
  <c r="BW15" i="1"/>
  <c r="BW17" i="1"/>
  <c r="BW18" i="1"/>
  <c r="BW19" i="1"/>
  <c r="BW20" i="1"/>
  <c r="BW21" i="1"/>
  <c r="BW22" i="1"/>
  <c r="BW41" i="1"/>
  <c r="BW30" i="1"/>
  <c r="BW31" i="1"/>
  <c r="BW11" i="1"/>
  <c r="BW37" i="1"/>
  <c r="BW10" i="1"/>
  <c r="BW28" i="1"/>
  <c r="BW33" i="1"/>
  <c r="BW34" i="1"/>
  <c r="BW35" i="1"/>
  <c r="BW39" i="1"/>
  <c r="BW82" i="1"/>
  <c r="BW43" i="1"/>
  <c r="BW44" i="1"/>
  <c r="BW45" i="1"/>
  <c r="BW46" i="1"/>
  <c r="BW47" i="1"/>
  <c r="BW48" i="1"/>
  <c r="BW92" i="1"/>
  <c r="BW13" i="1"/>
  <c r="BW56" i="1"/>
  <c r="BW50" i="1"/>
  <c r="BW51" i="1"/>
  <c r="BW40" i="1"/>
  <c r="BW54" i="1"/>
  <c r="BW26" i="1"/>
  <c r="BW27" i="1"/>
  <c r="BW71" i="1"/>
  <c r="BW29" i="1"/>
  <c r="BW55" i="1"/>
  <c r="BW61" i="1"/>
  <c r="BW70" i="1"/>
  <c r="BW74" i="1"/>
  <c r="BW75" i="1"/>
  <c r="BW76" i="1"/>
  <c r="BW77" i="1"/>
  <c r="BW78" i="1"/>
  <c r="BW79" i="1"/>
  <c r="BW81" i="1"/>
  <c r="BW38" i="1"/>
  <c r="BW86" i="1"/>
  <c r="BW84" i="1"/>
  <c r="BW85" i="1"/>
  <c r="BW42" i="1"/>
  <c r="BW57" i="1"/>
  <c r="BW32" i="1"/>
  <c r="BW58" i="1"/>
  <c r="BW36" i="1"/>
  <c r="BW90" i="1"/>
  <c r="BW91" i="1"/>
  <c r="BW66" i="1"/>
  <c r="BW65" i="1"/>
  <c r="BW87" i="1"/>
  <c r="BW88" i="1"/>
  <c r="BW89" i="1"/>
  <c r="BW23" i="1"/>
  <c r="BW62" i="1"/>
  <c r="BW63" i="1"/>
  <c r="BW64" i="1"/>
  <c r="BW97" i="1"/>
  <c r="BW96" i="1"/>
  <c r="BW52" i="1"/>
  <c r="BW109" i="1"/>
  <c r="BW110" i="1"/>
  <c r="BW114" i="1"/>
  <c r="BW100" i="1"/>
  <c r="BW59" i="1"/>
  <c r="BW98" i="1"/>
  <c r="BW73" i="1"/>
  <c r="BW105" i="1"/>
  <c r="BW68" i="1"/>
  <c r="BW103" i="1"/>
  <c r="BW107" i="1"/>
  <c r="BW108" i="1"/>
  <c r="BW83" i="1"/>
  <c r="BW113" i="1"/>
  <c r="BW95" i="1"/>
  <c r="BW60" i="1"/>
  <c r="BW101" i="1"/>
  <c r="BW116" i="1"/>
  <c r="BW80" i="1"/>
  <c r="BW72" i="1"/>
  <c r="BW104" i="1"/>
  <c r="BW93" i="1"/>
  <c r="BW99" i="1"/>
  <c r="BW53" i="1"/>
  <c r="BW111" i="1"/>
  <c r="BW112" i="1"/>
  <c r="BW115" i="1"/>
  <c r="BW106" i="1"/>
  <c r="BW125" i="1"/>
  <c r="BW117" i="1"/>
  <c r="BW118" i="1"/>
  <c r="BW122" i="1"/>
  <c r="BW119" i="1"/>
  <c r="BW69" i="1"/>
  <c r="BW123" i="1"/>
  <c r="BW102" i="1"/>
  <c r="BW94" i="1"/>
  <c r="BW124" i="1"/>
  <c r="BW120" i="1"/>
  <c r="BW121" i="1"/>
  <c r="BW67" i="1"/>
  <c r="BW2" i="1"/>
  <c r="AY128" i="1"/>
  <c r="CB3" i="1"/>
  <c r="CB4" i="1"/>
  <c r="CB5" i="1"/>
  <c r="CB6" i="1"/>
  <c r="CB7" i="1"/>
  <c r="CB8" i="1"/>
  <c r="CB9" i="1"/>
  <c r="CB49" i="1"/>
  <c r="CB12" i="1"/>
  <c r="CB25" i="1"/>
  <c r="CB16" i="1"/>
  <c r="CB14" i="1"/>
  <c r="CB15" i="1"/>
  <c r="CB17" i="1"/>
  <c r="CB18" i="1"/>
  <c r="CB19" i="1"/>
  <c r="CB20" i="1"/>
  <c r="CB21" i="1"/>
  <c r="CB22" i="1"/>
  <c r="CB41" i="1"/>
  <c r="CB30" i="1"/>
  <c r="CB31" i="1"/>
  <c r="CB11" i="1"/>
  <c r="CB37" i="1"/>
  <c r="CB10" i="1"/>
  <c r="CB28" i="1"/>
  <c r="CB33" i="1"/>
  <c r="CB34" i="1"/>
  <c r="CB35" i="1"/>
  <c r="CB39" i="1"/>
  <c r="CB82" i="1"/>
  <c r="CB43" i="1"/>
  <c r="CB44" i="1"/>
  <c r="CB45" i="1"/>
  <c r="CB46" i="1"/>
  <c r="CB47" i="1"/>
  <c r="CB48" i="1"/>
  <c r="CB92" i="1"/>
  <c r="CB13" i="1"/>
  <c r="CB56" i="1"/>
  <c r="CB50" i="1"/>
  <c r="CB51" i="1"/>
  <c r="CB40" i="1"/>
  <c r="CB54" i="1"/>
  <c r="CB26" i="1"/>
  <c r="CB27" i="1"/>
  <c r="CB71" i="1"/>
  <c r="CB29" i="1"/>
  <c r="CB55" i="1"/>
  <c r="CB61" i="1"/>
  <c r="CB70" i="1"/>
  <c r="CB74" i="1"/>
  <c r="CB75" i="1"/>
  <c r="CB76" i="1"/>
  <c r="CB77" i="1"/>
  <c r="CB78" i="1"/>
  <c r="CB79" i="1"/>
  <c r="CB81" i="1"/>
  <c r="CB38" i="1"/>
  <c r="CB86" i="1"/>
  <c r="CB84" i="1"/>
  <c r="CB85" i="1"/>
  <c r="CB42" i="1"/>
  <c r="CB57" i="1"/>
  <c r="CB32" i="1"/>
  <c r="CB58" i="1"/>
  <c r="CB36" i="1"/>
  <c r="CB90" i="1"/>
  <c r="CB91" i="1"/>
  <c r="CB66" i="1"/>
  <c r="CB65" i="1"/>
  <c r="CB87" i="1"/>
  <c r="CB88" i="1"/>
  <c r="CB89" i="1"/>
  <c r="CB23" i="1"/>
  <c r="CB62" i="1"/>
  <c r="CB63" i="1"/>
  <c r="CB64" i="1"/>
  <c r="CB93" i="1"/>
  <c r="CB59" i="1"/>
  <c r="CB60" i="1"/>
  <c r="CB67" i="1"/>
  <c r="CB68" i="1"/>
  <c r="CB72" i="1"/>
  <c r="CB73" i="1"/>
  <c r="CB80" i="1"/>
  <c r="CB96" i="1"/>
  <c r="CB95" i="1"/>
  <c r="CB97" i="1"/>
  <c r="CB98" i="1"/>
  <c r="CB99" i="1"/>
  <c r="CB100" i="1"/>
  <c r="CB101" i="1"/>
  <c r="CB102" i="1"/>
  <c r="CB103" i="1"/>
  <c r="CB104" i="1"/>
  <c r="CB116" i="1"/>
  <c r="CB119" i="1"/>
  <c r="CB123" i="1"/>
  <c r="CB106" i="1"/>
  <c r="CB115" i="1"/>
  <c r="CB52" i="1"/>
  <c r="CB114" i="1"/>
  <c r="CB109" i="1"/>
  <c r="CB110" i="1"/>
  <c r="CB117" i="1"/>
  <c r="CB69" i="1"/>
  <c r="CB120" i="1"/>
  <c r="CB124" i="1"/>
  <c r="CB107" i="1"/>
  <c r="CB108" i="1"/>
  <c r="CB83" i="1"/>
  <c r="CB113" i="1"/>
  <c r="CB118" i="1"/>
  <c r="CB121" i="1"/>
  <c r="CB125" i="1"/>
  <c r="CB94" i="1"/>
  <c r="CB122" i="1"/>
  <c r="CB111" i="1"/>
  <c r="CB112" i="1"/>
  <c r="CB105" i="1"/>
  <c r="CB53" i="1"/>
  <c r="CB2" i="1"/>
  <c r="AZ128" i="1"/>
  <c r="CC3" i="1"/>
  <c r="CC4" i="1"/>
  <c r="CC5" i="1"/>
  <c r="CC6" i="1"/>
  <c r="CC7" i="1"/>
  <c r="CC8" i="1"/>
  <c r="CC9" i="1"/>
  <c r="CC49" i="1"/>
  <c r="CC12" i="1"/>
  <c r="CC25" i="1"/>
  <c r="CC16" i="1"/>
  <c r="CC14" i="1"/>
  <c r="CC15" i="1"/>
  <c r="CC17" i="1"/>
  <c r="CC18" i="1"/>
  <c r="CC19" i="1"/>
  <c r="CC20" i="1"/>
  <c r="CC21" i="1"/>
  <c r="CC22" i="1"/>
  <c r="CC41" i="1"/>
  <c r="CC30" i="1"/>
  <c r="CC31" i="1"/>
  <c r="CC11" i="1"/>
  <c r="CC37" i="1"/>
  <c r="CC10" i="1"/>
  <c r="CC28" i="1"/>
  <c r="CC33" i="1"/>
  <c r="CC34" i="1"/>
  <c r="CC35" i="1"/>
  <c r="CC39" i="1"/>
  <c r="CC82" i="1"/>
  <c r="CC43" i="1"/>
  <c r="CC44" i="1"/>
  <c r="CC45" i="1"/>
  <c r="CC46" i="1"/>
  <c r="CC47" i="1"/>
  <c r="CC48" i="1"/>
  <c r="CC92" i="1"/>
  <c r="CC13" i="1"/>
  <c r="CC56" i="1"/>
  <c r="CC50" i="1"/>
  <c r="CC51" i="1"/>
  <c r="CC40" i="1"/>
  <c r="CC54" i="1"/>
  <c r="CC26" i="1"/>
  <c r="CC27" i="1"/>
  <c r="CC71" i="1"/>
  <c r="CC29" i="1"/>
  <c r="CC55" i="1"/>
  <c r="CC61" i="1"/>
  <c r="CC70" i="1"/>
  <c r="CC74" i="1"/>
  <c r="CC75" i="1"/>
  <c r="CC76" i="1"/>
  <c r="CC77" i="1"/>
  <c r="CC78" i="1"/>
  <c r="CC79" i="1"/>
  <c r="CC81" i="1"/>
  <c r="CC38" i="1"/>
  <c r="CC86" i="1"/>
  <c r="CC84" i="1"/>
  <c r="CC85" i="1"/>
  <c r="CC42" i="1"/>
  <c r="CC57" i="1"/>
  <c r="CC32" i="1"/>
  <c r="CC58" i="1"/>
  <c r="CC36" i="1"/>
  <c r="CC90" i="1"/>
  <c r="CC91" i="1"/>
  <c r="CC66" i="1"/>
  <c r="CC62" i="1"/>
  <c r="CC89" i="1"/>
  <c r="CC88" i="1"/>
  <c r="CC93" i="1"/>
  <c r="CC97" i="1"/>
  <c r="CC53" i="1"/>
  <c r="CC111" i="1"/>
  <c r="CC112" i="1"/>
  <c r="CC65" i="1"/>
  <c r="CC67" i="1"/>
  <c r="CC102" i="1"/>
  <c r="CC106" i="1"/>
  <c r="CC115" i="1"/>
  <c r="CC63" i="1"/>
  <c r="CC96" i="1"/>
  <c r="CC59" i="1"/>
  <c r="CC100" i="1"/>
  <c r="CC87" i="1"/>
  <c r="CC73" i="1"/>
  <c r="CC52" i="1"/>
  <c r="CC109" i="1"/>
  <c r="CC110" i="1"/>
  <c r="CC114" i="1"/>
  <c r="CC23" i="1"/>
  <c r="CC64" i="1"/>
  <c r="CC68" i="1"/>
  <c r="CC103" i="1"/>
  <c r="CC105" i="1"/>
  <c r="CC95" i="1"/>
  <c r="CC60" i="1"/>
  <c r="CC101" i="1"/>
  <c r="CC107" i="1"/>
  <c r="CC108" i="1"/>
  <c r="CC83" i="1"/>
  <c r="CC113" i="1"/>
  <c r="CC80" i="1"/>
  <c r="CC99" i="1"/>
  <c r="CC117" i="1"/>
  <c r="CC121" i="1"/>
  <c r="CC98" i="1"/>
  <c r="CC118" i="1"/>
  <c r="CC122" i="1"/>
  <c r="CC69" i="1"/>
  <c r="CC104" i="1"/>
  <c r="CC94" i="1"/>
  <c r="CC123" i="1"/>
  <c r="CC124" i="1"/>
  <c r="CC119" i="1"/>
  <c r="CC125" i="1"/>
  <c r="CC72" i="1"/>
  <c r="CC116" i="1"/>
  <c r="CC120" i="1"/>
  <c r="CC2" i="1"/>
  <c r="AV128" i="1"/>
  <c r="BY8" i="1"/>
  <c r="BY19" i="1"/>
  <c r="BY28" i="1"/>
  <c r="BY47" i="1"/>
  <c r="BY71" i="1"/>
  <c r="BY38" i="1"/>
  <c r="BY23" i="1"/>
  <c r="BY3" i="1"/>
  <c r="BY16" i="1"/>
  <c r="BY11" i="1"/>
  <c r="BY82" i="1"/>
  <c r="BY51" i="1"/>
  <c r="BY76" i="1"/>
  <c r="BY49" i="1"/>
  <c r="BY21" i="1"/>
  <c r="BY34" i="1"/>
  <c r="BY92" i="1"/>
  <c r="BY55" i="1"/>
  <c r="BY84" i="1"/>
  <c r="BY58" i="1"/>
  <c r="BY91" i="1"/>
  <c r="BY89" i="1"/>
  <c r="BY7" i="1"/>
  <c r="BY18" i="1"/>
  <c r="BY46" i="1"/>
  <c r="BY27" i="1"/>
  <c r="BY81" i="1"/>
  <c r="BY93" i="1"/>
  <c r="BY59" i="1"/>
  <c r="BY60" i="1"/>
  <c r="BY67" i="1"/>
  <c r="BY68" i="1"/>
  <c r="BY72" i="1"/>
  <c r="BY73" i="1"/>
  <c r="BY80" i="1"/>
  <c r="BY96" i="1"/>
  <c r="BY95" i="1"/>
  <c r="BY97" i="1"/>
  <c r="BY98" i="1"/>
  <c r="BY99" i="1"/>
  <c r="BY100" i="1"/>
  <c r="BY101" i="1"/>
  <c r="BY102" i="1"/>
  <c r="BY103" i="1"/>
  <c r="BY104" i="1"/>
  <c r="BY105" i="1"/>
  <c r="BY106" i="1"/>
  <c r="BY107" i="1"/>
  <c r="BY52" i="1"/>
  <c r="BY53" i="1"/>
  <c r="BY108" i="1"/>
  <c r="BY109" i="1"/>
  <c r="BY111" i="1"/>
  <c r="BY83" i="1"/>
  <c r="BY110" i="1"/>
  <c r="BY112" i="1"/>
  <c r="BY113" i="1"/>
  <c r="BY114" i="1"/>
  <c r="BY115" i="1"/>
  <c r="BY116" i="1"/>
  <c r="BY25" i="1"/>
  <c r="BY31" i="1"/>
  <c r="BY50" i="1"/>
  <c r="BY75" i="1"/>
  <c r="BY32" i="1"/>
  <c r="BY90" i="1"/>
  <c r="BY87" i="1"/>
  <c r="BY64" i="1"/>
  <c r="BY9" i="1"/>
  <c r="BY20" i="1"/>
  <c r="BY33" i="1"/>
  <c r="BY48" i="1"/>
  <c r="BY29" i="1"/>
  <c r="BY86" i="1"/>
  <c r="BY4" i="1"/>
  <c r="BY14" i="1"/>
  <c r="BY43" i="1"/>
  <c r="BY40" i="1"/>
  <c r="BY77" i="1"/>
  <c r="BY65" i="1"/>
  <c r="BY63" i="1"/>
  <c r="BY12" i="1"/>
  <c r="BY70" i="1"/>
  <c r="BY78" i="1"/>
  <c r="BY57" i="1"/>
  <c r="BY41" i="1"/>
  <c r="BY54" i="1"/>
  <c r="BY74" i="1"/>
  <c r="BY44" i="1"/>
  <c r="BY37" i="1"/>
  <c r="BY39" i="1"/>
  <c r="BY79" i="1"/>
  <c r="BY15" i="1"/>
  <c r="BY30" i="1"/>
  <c r="BY26" i="1"/>
  <c r="BY5" i="1"/>
  <c r="BY45" i="1"/>
  <c r="BY85" i="1"/>
  <c r="BY10" i="1"/>
  <c r="BY61" i="1"/>
  <c r="BY42" i="1"/>
  <c r="BY17" i="1"/>
  <c r="BY13" i="1"/>
  <c r="BY66" i="1"/>
  <c r="BY117" i="1"/>
  <c r="BY118" i="1"/>
  <c r="BY69" i="1"/>
  <c r="BY94" i="1"/>
  <c r="BY119" i="1"/>
  <c r="BY120" i="1"/>
  <c r="BY121" i="1"/>
  <c r="BY122" i="1"/>
  <c r="BY123" i="1"/>
  <c r="BY124" i="1"/>
  <c r="BY125" i="1"/>
  <c r="BY36" i="1"/>
  <c r="BY6" i="1"/>
  <c r="BY35" i="1"/>
  <c r="BY88" i="1"/>
  <c r="BY62" i="1"/>
  <c r="BY22" i="1"/>
  <c r="BY56" i="1"/>
  <c r="BY2" i="1"/>
  <c r="AQ128" i="1"/>
  <c r="BT5" i="1"/>
  <c r="BT15" i="1"/>
  <c r="BT37" i="1"/>
  <c r="BT44" i="1"/>
  <c r="BT54" i="1"/>
  <c r="BT78" i="1"/>
  <c r="BT88" i="1"/>
  <c r="BT93" i="1"/>
  <c r="BT59" i="1"/>
  <c r="BT60" i="1"/>
  <c r="BT67" i="1"/>
  <c r="BT68" i="1"/>
  <c r="BT72" i="1"/>
  <c r="BT73" i="1"/>
  <c r="BT80" i="1"/>
  <c r="BT96" i="1"/>
  <c r="BT95" i="1"/>
  <c r="BT97" i="1"/>
  <c r="BT98" i="1"/>
  <c r="BT99" i="1"/>
  <c r="BT100" i="1"/>
  <c r="BT101" i="1"/>
  <c r="BT102" i="1"/>
  <c r="BT103" i="1"/>
  <c r="BT104" i="1"/>
  <c r="BT105" i="1"/>
  <c r="BT106" i="1"/>
  <c r="BT107" i="1"/>
  <c r="BT52" i="1"/>
  <c r="BT53" i="1"/>
  <c r="BT108" i="1"/>
  <c r="BT109" i="1"/>
  <c r="BT111" i="1"/>
  <c r="BT83" i="1"/>
  <c r="BT110" i="1"/>
  <c r="BT112" i="1"/>
  <c r="BT113" i="1"/>
  <c r="BT114" i="1"/>
  <c r="BT115" i="1"/>
  <c r="BT116" i="1"/>
  <c r="BT41" i="1"/>
  <c r="BT56" i="1"/>
  <c r="BT70" i="1"/>
  <c r="BT42" i="1"/>
  <c r="BT7" i="1"/>
  <c r="BT18" i="1"/>
  <c r="BT46" i="1"/>
  <c r="BT27" i="1"/>
  <c r="BT81" i="1"/>
  <c r="BT90" i="1"/>
  <c r="BT87" i="1"/>
  <c r="BT64" i="1"/>
  <c r="BT4" i="1"/>
  <c r="BT14" i="1"/>
  <c r="BT43" i="1"/>
  <c r="BT40" i="1"/>
  <c r="BT77" i="1"/>
  <c r="BT12" i="1"/>
  <c r="BT22" i="1"/>
  <c r="BT35" i="1"/>
  <c r="BT13" i="1"/>
  <c r="BT61" i="1"/>
  <c r="BT85" i="1"/>
  <c r="BT36" i="1"/>
  <c r="BT66" i="1"/>
  <c r="BT62" i="1"/>
  <c r="BT6" i="1"/>
  <c r="BT17" i="1"/>
  <c r="BT10" i="1"/>
  <c r="BT45" i="1"/>
  <c r="BT26" i="1"/>
  <c r="BT79" i="1"/>
  <c r="BT30" i="1"/>
  <c r="BT39" i="1"/>
  <c r="BT74" i="1"/>
  <c r="BT57" i="1"/>
  <c r="BT23" i="1"/>
  <c r="BT3" i="1"/>
  <c r="BT28" i="1"/>
  <c r="BT65" i="1"/>
  <c r="BT89" i="1"/>
  <c r="BT8" i="1"/>
  <c r="BT29" i="1"/>
  <c r="BT20" i="1"/>
  <c r="BT48" i="1"/>
  <c r="BT32" i="1"/>
  <c r="BT33" i="1"/>
  <c r="BT75" i="1"/>
  <c r="BT84" i="1"/>
  <c r="BT91" i="1"/>
  <c r="BT117" i="1"/>
  <c r="BT118" i="1"/>
  <c r="BT69" i="1"/>
  <c r="BT94" i="1"/>
  <c r="BT119" i="1"/>
  <c r="BT120" i="1"/>
  <c r="BT121" i="1"/>
  <c r="BT122" i="1"/>
  <c r="BT123" i="1"/>
  <c r="BT124" i="1"/>
  <c r="BT125" i="1"/>
  <c r="BT50" i="1"/>
  <c r="BT55" i="1"/>
  <c r="BT9" i="1"/>
  <c r="BT92" i="1"/>
  <c r="BT58" i="1"/>
  <c r="BT31" i="1"/>
  <c r="BT34" i="1"/>
  <c r="BT76" i="1"/>
  <c r="BT25" i="1"/>
  <c r="BT21" i="1"/>
  <c r="BT51" i="1"/>
  <c r="BT16" i="1"/>
  <c r="BT49" i="1"/>
  <c r="BT82" i="1"/>
  <c r="BT38" i="1"/>
  <c r="BT47" i="1"/>
  <c r="BT11" i="1"/>
  <c r="BT71" i="1"/>
  <c r="BT86" i="1"/>
  <c r="BT19" i="1"/>
  <c r="BT63" i="1"/>
  <c r="BT2" i="1"/>
  <c r="AX128" i="1"/>
  <c r="CA6" i="1"/>
  <c r="CA17" i="1"/>
  <c r="CA10" i="1"/>
  <c r="CA45" i="1"/>
  <c r="CA26" i="1"/>
  <c r="CA79" i="1"/>
  <c r="CA36" i="1"/>
  <c r="CA66" i="1"/>
  <c r="CA62" i="1"/>
  <c r="CA30" i="1"/>
  <c r="CA39" i="1"/>
  <c r="CA74" i="1"/>
  <c r="CA57" i="1"/>
  <c r="CA8" i="1"/>
  <c r="CA19" i="1"/>
  <c r="CA28" i="1"/>
  <c r="CA47" i="1"/>
  <c r="CA71" i="1"/>
  <c r="CA38" i="1"/>
  <c r="CA23" i="1"/>
  <c r="CA5" i="1"/>
  <c r="CA15" i="1"/>
  <c r="CA37" i="1"/>
  <c r="CA44" i="1"/>
  <c r="CA54" i="1"/>
  <c r="CA78" i="1"/>
  <c r="CA41" i="1"/>
  <c r="CA56" i="1"/>
  <c r="CA70" i="1"/>
  <c r="CA42" i="1"/>
  <c r="CA88" i="1"/>
  <c r="CA7" i="1"/>
  <c r="CA18" i="1"/>
  <c r="CA46" i="1"/>
  <c r="CA27" i="1"/>
  <c r="CA81" i="1"/>
  <c r="CA93" i="1"/>
  <c r="CA59" i="1"/>
  <c r="CA60" i="1"/>
  <c r="CA67" i="1"/>
  <c r="CA68" i="1"/>
  <c r="CA72" i="1"/>
  <c r="CA73" i="1"/>
  <c r="CA80" i="1"/>
  <c r="CA96" i="1"/>
  <c r="CA95" i="1"/>
  <c r="CA97" i="1"/>
  <c r="CA98" i="1"/>
  <c r="CA99" i="1"/>
  <c r="CA100" i="1"/>
  <c r="CA101" i="1"/>
  <c r="CA102" i="1"/>
  <c r="CA103" i="1"/>
  <c r="CA104" i="1"/>
  <c r="CA25" i="1"/>
  <c r="CA31" i="1"/>
  <c r="CA50" i="1"/>
  <c r="CA75" i="1"/>
  <c r="CA32" i="1"/>
  <c r="CA90" i="1"/>
  <c r="CA87" i="1"/>
  <c r="CA64" i="1"/>
  <c r="CA11" i="1"/>
  <c r="CA35" i="1"/>
  <c r="CA77" i="1"/>
  <c r="CA53" i="1"/>
  <c r="CA112" i="1"/>
  <c r="CA22" i="1"/>
  <c r="CA3" i="1"/>
  <c r="CA12" i="1"/>
  <c r="CA43" i="1"/>
  <c r="CA86" i="1"/>
  <c r="CA65" i="1"/>
  <c r="CA29" i="1"/>
  <c r="CA89" i="1"/>
  <c r="CA63" i="1"/>
  <c r="CA14" i="1"/>
  <c r="CA48" i="1"/>
  <c r="CA52" i="1"/>
  <c r="CA109" i="1"/>
  <c r="CA110" i="1"/>
  <c r="CA114" i="1"/>
  <c r="CA33" i="1"/>
  <c r="CA4" i="1"/>
  <c r="CA20" i="1"/>
  <c r="CA84" i="1"/>
  <c r="CA105" i="1"/>
  <c r="CA9" i="1"/>
  <c r="CA55" i="1"/>
  <c r="CA91" i="1"/>
  <c r="CA92" i="1"/>
  <c r="CA107" i="1"/>
  <c r="CA108" i="1"/>
  <c r="CA83" i="1"/>
  <c r="CA113" i="1"/>
  <c r="CA13" i="1"/>
  <c r="CA116" i="1"/>
  <c r="CA69" i="1"/>
  <c r="CA119" i="1"/>
  <c r="CA122" i="1"/>
  <c r="CA125" i="1"/>
  <c r="CA34" i="1"/>
  <c r="CA76" i="1"/>
  <c r="CA85" i="1"/>
  <c r="CA58" i="1"/>
  <c r="CA49" i="1"/>
  <c r="CA118" i="1"/>
  <c r="CA120" i="1"/>
  <c r="CA123" i="1"/>
  <c r="CA111" i="1"/>
  <c r="CA21" i="1"/>
  <c r="CA51" i="1"/>
  <c r="CA61" i="1"/>
  <c r="CA82" i="1"/>
  <c r="CA117" i="1"/>
  <c r="CA94" i="1"/>
  <c r="CA121" i="1"/>
  <c r="CA124" i="1"/>
  <c r="CA16" i="1"/>
  <c r="CA106" i="1"/>
  <c r="CA115" i="1"/>
  <c r="CA40" i="1"/>
  <c r="CA2" i="1"/>
  <c r="BA128" i="1"/>
  <c r="CD3" i="1"/>
  <c r="CD4" i="1"/>
  <c r="CD5" i="1"/>
  <c r="CD6" i="1"/>
  <c r="CD7" i="1"/>
  <c r="CD8" i="1"/>
  <c r="CD9" i="1"/>
  <c r="CD49" i="1"/>
  <c r="CD12" i="1"/>
  <c r="CD25" i="1"/>
  <c r="CD16" i="1"/>
  <c r="CD14" i="1"/>
  <c r="CD15" i="1"/>
  <c r="CD17" i="1"/>
  <c r="CD18" i="1"/>
  <c r="CD19" i="1"/>
  <c r="CD20" i="1"/>
  <c r="CD21" i="1"/>
  <c r="CD22" i="1"/>
  <c r="CD41" i="1"/>
  <c r="CD30" i="1"/>
  <c r="CD31" i="1"/>
  <c r="CD11" i="1"/>
  <c r="CD37" i="1"/>
  <c r="CD10" i="1"/>
  <c r="CD28" i="1"/>
  <c r="CD33" i="1"/>
  <c r="CD34" i="1"/>
  <c r="CD35" i="1"/>
  <c r="CD39" i="1"/>
  <c r="CD82" i="1"/>
  <c r="CD43" i="1"/>
  <c r="CD44" i="1"/>
  <c r="CD45" i="1"/>
  <c r="CD46" i="1"/>
  <c r="CD47" i="1"/>
  <c r="CD48" i="1"/>
  <c r="CD92" i="1"/>
  <c r="CD13" i="1"/>
  <c r="CD56" i="1"/>
  <c r="CD50" i="1"/>
  <c r="CD51" i="1"/>
  <c r="CD40" i="1"/>
  <c r="CD54" i="1"/>
  <c r="CD26" i="1"/>
  <c r="CD27" i="1"/>
  <c r="CD71" i="1"/>
  <c r="CD29" i="1"/>
  <c r="CD55" i="1"/>
  <c r="CD61" i="1"/>
  <c r="CD70" i="1"/>
  <c r="CD74" i="1"/>
  <c r="CD75" i="1"/>
  <c r="CD76" i="1"/>
  <c r="CD77" i="1"/>
  <c r="CD78" i="1"/>
  <c r="CD79" i="1"/>
  <c r="CD81" i="1"/>
  <c r="CD38" i="1"/>
  <c r="CD86" i="1"/>
  <c r="CD84" i="1"/>
  <c r="CD85" i="1"/>
  <c r="CD42" i="1"/>
  <c r="CD57" i="1"/>
  <c r="CD32" i="1"/>
  <c r="CD58" i="1"/>
  <c r="CD36" i="1"/>
  <c r="CD90" i="1"/>
  <c r="CD91" i="1"/>
  <c r="CD65" i="1"/>
  <c r="CD63" i="1"/>
  <c r="CD66" i="1"/>
  <c r="CD62" i="1"/>
  <c r="CD89" i="1"/>
  <c r="CD88" i="1"/>
  <c r="CD72" i="1"/>
  <c r="CD104" i="1"/>
  <c r="CD116" i="1"/>
  <c r="CD117" i="1"/>
  <c r="CD118" i="1"/>
  <c r="CD69" i="1"/>
  <c r="CD94" i="1"/>
  <c r="CD119" i="1"/>
  <c r="CD120" i="1"/>
  <c r="CD121" i="1"/>
  <c r="CD122" i="1"/>
  <c r="CD123" i="1"/>
  <c r="CD124" i="1"/>
  <c r="CD125" i="1"/>
  <c r="CD111" i="1"/>
  <c r="CD112" i="1"/>
  <c r="CD96" i="1"/>
  <c r="CD73" i="1"/>
  <c r="CD97" i="1"/>
  <c r="CD53" i="1"/>
  <c r="CD67" i="1"/>
  <c r="CD102" i="1"/>
  <c r="CD106" i="1"/>
  <c r="CD115" i="1"/>
  <c r="CD59" i="1"/>
  <c r="CD100" i="1"/>
  <c r="CD87" i="1"/>
  <c r="CD52" i="1"/>
  <c r="CD23" i="1"/>
  <c r="CD64" i="1"/>
  <c r="CD98" i="1"/>
  <c r="CD60" i="1"/>
  <c r="CD101" i="1"/>
  <c r="CD107" i="1"/>
  <c r="CD108" i="1"/>
  <c r="CD80" i="1"/>
  <c r="CD68" i="1"/>
  <c r="CD103" i="1"/>
  <c r="CD105" i="1"/>
  <c r="CD83" i="1"/>
  <c r="CD95" i="1"/>
  <c r="CD113" i="1"/>
  <c r="CD99" i="1"/>
  <c r="CD110" i="1"/>
  <c r="CD93" i="1"/>
  <c r="CD114" i="1"/>
  <c r="CD109" i="1"/>
  <c r="CD2" i="1"/>
  <c r="CF19" i="1" l="1"/>
  <c r="CH19" i="1" s="1"/>
  <c r="CF122" i="1"/>
  <c r="CF32" i="1"/>
  <c r="CF36" i="1"/>
  <c r="CF4" i="1"/>
  <c r="CF56" i="1"/>
  <c r="CF34" i="1"/>
  <c r="CF85" i="1"/>
  <c r="BZ126" i="1"/>
  <c r="BV126" i="1"/>
  <c r="CF71" i="1"/>
  <c r="CF20" i="1"/>
  <c r="CF30" i="1"/>
  <c r="CF61" i="1"/>
  <c r="CF41" i="1"/>
  <c r="CF119" i="1"/>
  <c r="CF13" i="1"/>
  <c r="BW126" i="1"/>
  <c r="CF92" i="1"/>
  <c r="CF35" i="1"/>
  <c r="CB126" i="1"/>
  <c r="CF38" i="1"/>
  <c r="CF69" i="1"/>
  <c r="CC126" i="1"/>
  <c r="CA126" i="1"/>
  <c r="CF9" i="1"/>
  <c r="CF118" i="1"/>
  <c r="CF15" i="1"/>
  <c r="CF49" i="1"/>
  <c r="CF55" i="1"/>
  <c r="CF10" i="1"/>
  <c r="CF5" i="1"/>
  <c r="CF16" i="1"/>
  <c r="CF50" i="1"/>
  <c r="CF3" i="1"/>
  <c r="BT126" i="1"/>
  <c r="CF17" i="1"/>
  <c r="CF40" i="1"/>
  <c r="CF18" i="1"/>
  <c r="CE126" i="1"/>
  <c r="CD126" i="1"/>
  <c r="CF51" i="1"/>
  <c r="CF84" i="1"/>
  <c r="CF67" i="1"/>
  <c r="CF2" i="1"/>
  <c r="CF57" i="1"/>
  <c r="CF62" i="1"/>
  <c r="CF42" i="1"/>
  <c r="BU126" i="1"/>
  <c r="CF25" i="1"/>
  <c r="CF123" i="1"/>
  <c r="CF33" i="1"/>
  <c r="CF66" i="1"/>
  <c r="CF14" i="1"/>
  <c r="CF59" i="1"/>
  <c r="BY126" i="1"/>
  <c r="BX126" i="1"/>
  <c r="CL19" i="1" l="1"/>
  <c r="CG19" i="1"/>
  <c r="CQ19" i="1"/>
  <c r="CP19" i="1"/>
  <c r="CM19" i="1"/>
  <c r="CI19" i="1"/>
  <c r="CR19" i="1"/>
  <c r="CJ19" i="1"/>
  <c r="CO19" i="1"/>
  <c r="CK19" i="1"/>
  <c r="CN19" i="1"/>
  <c r="CG67" i="1"/>
  <c r="CQ67" i="1"/>
  <c r="CH67" i="1"/>
  <c r="CR67" i="1"/>
  <c r="CI67" i="1"/>
  <c r="CM67" i="1"/>
  <c r="CL67" i="1"/>
  <c r="CP67" i="1"/>
  <c r="CO67" i="1"/>
  <c r="CK67" i="1"/>
  <c r="CN67" i="1"/>
  <c r="CJ67" i="1"/>
  <c r="CN5" i="1"/>
  <c r="CM5" i="1"/>
  <c r="CR5" i="1"/>
  <c r="CI5" i="1"/>
  <c r="CK5" i="1"/>
  <c r="CJ5" i="1"/>
  <c r="CL5" i="1"/>
  <c r="CP5" i="1"/>
  <c r="CQ5" i="1"/>
  <c r="CG5" i="1"/>
  <c r="CH5" i="1"/>
  <c r="CO5" i="1"/>
  <c r="CK71" i="1"/>
  <c r="CQ71" i="1"/>
  <c r="CM71" i="1"/>
  <c r="CL71" i="1"/>
  <c r="CG71" i="1"/>
  <c r="CP71" i="1"/>
  <c r="CJ71" i="1"/>
  <c r="CI71" i="1"/>
  <c r="CN71" i="1"/>
  <c r="CO71" i="1"/>
  <c r="CR71" i="1"/>
  <c r="CH71" i="1"/>
  <c r="CO59" i="1"/>
  <c r="CJ59" i="1"/>
  <c r="CI59" i="1"/>
  <c r="CH59" i="1"/>
  <c r="CR59" i="1"/>
  <c r="CQ59" i="1"/>
  <c r="CM59" i="1"/>
  <c r="CP59" i="1"/>
  <c r="CG59" i="1"/>
  <c r="CK59" i="1"/>
  <c r="CN59" i="1"/>
  <c r="CL59" i="1"/>
  <c r="CR84" i="1"/>
  <c r="CG84" i="1"/>
  <c r="CI84" i="1"/>
  <c r="CN84" i="1"/>
  <c r="CL84" i="1"/>
  <c r="CJ84" i="1"/>
  <c r="CM84" i="1"/>
  <c r="CH84" i="1"/>
  <c r="CO84" i="1"/>
  <c r="CQ84" i="1"/>
  <c r="CK84" i="1"/>
  <c r="CP84" i="1"/>
  <c r="CO35" i="1"/>
  <c r="CR35" i="1"/>
  <c r="CN35" i="1"/>
  <c r="CQ35" i="1"/>
  <c r="CK35" i="1"/>
  <c r="CP35" i="1"/>
  <c r="CH35" i="1"/>
  <c r="CJ35" i="1"/>
  <c r="CM35" i="1"/>
  <c r="CL35" i="1"/>
  <c r="CG35" i="1"/>
  <c r="CI35" i="1"/>
  <c r="CR14" i="1"/>
  <c r="CK14" i="1"/>
  <c r="CM14" i="1"/>
  <c r="CL14" i="1"/>
  <c r="CN14" i="1"/>
  <c r="CG14" i="1"/>
  <c r="CP14" i="1"/>
  <c r="CI14" i="1"/>
  <c r="CH14" i="1"/>
  <c r="CJ14" i="1"/>
  <c r="CO14" i="1"/>
  <c r="CQ14" i="1"/>
  <c r="CN51" i="1"/>
  <c r="CH51" i="1"/>
  <c r="CR51" i="1"/>
  <c r="CJ51" i="1"/>
  <c r="CL51" i="1"/>
  <c r="CM51" i="1"/>
  <c r="CP51" i="1"/>
  <c r="CG51" i="1"/>
  <c r="CO51" i="1"/>
  <c r="CK51" i="1"/>
  <c r="CI51" i="1"/>
  <c r="CQ51" i="1"/>
  <c r="CM10" i="1"/>
  <c r="CI10" i="1"/>
  <c r="CK10" i="1"/>
  <c r="CJ10" i="1"/>
  <c r="CL10" i="1"/>
  <c r="CP10" i="1"/>
  <c r="CQ10" i="1"/>
  <c r="CO10" i="1"/>
  <c r="CH10" i="1"/>
  <c r="CG10" i="1"/>
  <c r="CR10" i="1"/>
  <c r="CN10" i="1"/>
  <c r="CJ92" i="1"/>
  <c r="CN92" i="1"/>
  <c r="CK92" i="1"/>
  <c r="CH92" i="1"/>
  <c r="CP92" i="1"/>
  <c r="CR92" i="1"/>
  <c r="CG92" i="1"/>
  <c r="CL92" i="1"/>
  <c r="CM92" i="1"/>
  <c r="CO92" i="1"/>
  <c r="CQ92" i="1"/>
  <c r="CI92" i="1"/>
  <c r="CR66" i="1"/>
  <c r="CL66" i="1"/>
  <c r="CG66" i="1"/>
  <c r="CH66" i="1"/>
  <c r="CK66" i="1"/>
  <c r="CI66" i="1"/>
  <c r="CJ66" i="1"/>
  <c r="CN66" i="1"/>
  <c r="CQ66" i="1"/>
  <c r="CO66" i="1"/>
  <c r="CM66" i="1"/>
  <c r="CP66" i="1"/>
  <c r="CH55" i="1"/>
  <c r="CN55" i="1"/>
  <c r="CG55" i="1"/>
  <c r="CR55" i="1"/>
  <c r="CL55" i="1"/>
  <c r="CJ55" i="1"/>
  <c r="CQ55" i="1"/>
  <c r="CM55" i="1"/>
  <c r="CP55" i="1"/>
  <c r="CK55" i="1"/>
  <c r="CI55" i="1"/>
  <c r="CO55" i="1"/>
  <c r="CL33" i="1"/>
  <c r="CG33" i="1"/>
  <c r="CI33" i="1"/>
  <c r="CK33" i="1"/>
  <c r="CN33" i="1"/>
  <c r="CO33" i="1"/>
  <c r="CJ33" i="1"/>
  <c r="CM33" i="1"/>
  <c r="CQ33" i="1"/>
  <c r="CR33" i="1"/>
  <c r="CH33" i="1"/>
  <c r="CP33" i="1"/>
  <c r="CM49" i="1"/>
  <c r="CN49" i="1"/>
  <c r="CL49" i="1"/>
  <c r="CI49" i="1"/>
  <c r="CO49" i="1"/>
  <c r="CQ49" i="1"/>
  <c r="CJ49" i="1"/>
  <c r="CH49" i="1"/>
  <c r="CP49" i="1"/>
  <c r="CG49" i="1"/>
  <c r="CR49" i="1"/>
  <c r="CK49" i="1"/>
  <c r="CJ85" i="1"/>
  <c r="CQ85" i="1"/>
  <c r="CP85" i="1"/>
  <c r="CM85" i="1"/>
  <c r="CK85" i="1"/>
  <c r="CO85" i="1"/>
  <c r="CI85" i="1"/>
  <c r="CR85" i="1"/>
  <c r="CH85" i="1"/>
  <c r="CL85" i="1"/>
  <c r="CN85" i="1"/>
  <c r="CG85" i="1"/>
  <c r="CR123" i="1"/>
  <c r="CL123" i="1"/>
  <c r="CJ123" i="1"/>
  <c r="CI123" i="1"/>
  <c r="CG123" i="1"/>
  <c r="CN123" i="1"/>
  <c r="CH123" i="1"/>
  <c r="CM123" i="1"/>
  <c r="CP123" i="1"/>
  <c r="CK123" i="1"/>
  <c r="CQ123" i="1"/>
  <c r="CO123" i="1"/>
  <c r="CP18" i="1"/>
  <c r="CR18" i="1"/>
  <c r="CM18" i="1"/>
  <c r="CK18" i="1"/>
  <c r="CL18" i="1"/>
  <c r="CQ18" i="1"/>
  <c r="CO18" i="1"/>
  <c r="CN18" i="1"/>
  <c r="CH18" i="1"/>
  <c r="CG18" i="1"/>
  <c r="CI18" i="1"/>
  <c r="CJ18" i="1"/>
  <c r="CR15" i="1"/>
  <c r="CO15" i="1"/>
  <c r="CJ15" i="1"/>
  <c r="CH15" i="1"/>
  <c r="CK15" i="1"/>
  <c r="CG15" i="1"/>
  <c r="CM15" i="1"/>
  <c r="CI15" i="1"/>
  <c r="CQ15" i="1"/>
  <c r="CN15" i="1"/>
  <c r="CP15" i="1"/>
  <c r="CL15" i="1"/>
  <c r="CH13" i="1"/>
  <c r="CG13" i="1"/>
  <c r="CI13" i="1"/>
  <c r="CN13" i="1"/>
  <c r="CQ13" i="1"/>
  <c r="CO13" i="1"/>
  <c r="CK13" i="1"/>
  <c r="CP13" i="1"/>
  <c r="CJ13" i="1"/>
  <c r="CR13" i="1"/>
  <c r="CL13" i="1"/>
  <c r="CM13" i="1"/>
  <c r="CI34" i="1"/>
  <c r="CN34" i="1"/>
  <c r="CM34" i="1"/>
  <c r="CJ34" i="1"/>
  <c r="CO34" i="1"/>
  <c r="CQ34" i="1"/>
  <c r="CR34" i="1"/>
  <c r="CK34" i="1"/>
  <c r="CH34" i="1"/>
  <c r="CL34" i="1"/>
  <c r="CP34" i="1"/>
  <c r="CG34" i="1"/>
  <c r="CK25" i="1"/>
  <c r="CJ25" i="1"/>
  <c r="CI25" i="1"/>
  <c r="CR25" i="1"/>
  <c r="CN25" i="1"/>
  <c r="CL25" i="1"/>
  <c r="CH25" i="1"/>
  <c r="CO25" i="1"/>
  <c r="CQ25" i="1"/>
  <c r="CG25" i="1"/>
  <c r="CM25" i="1"/>
  <c r="CP25" i="1"/>
  <c r="CQ40" i="1"/>
  <c r="CH40" i="1"/>
  <c r="CP40" i="1"/>
  <c r="CK40" i="1"/>
  <c r="CJ40" i="1"/>
  <c r="CG40" i="1"/>
  <c r="CI40" i="1"/>
  <c r="CN40" i="1"/>
  <c r="CO40" i="1"/>
  <c r="CR40" i="1"/>
  <c r="CM40" i="1"/>
  <c r="CL40" i="1"/>
  <c r="CK118" i="1"/>
  <c r="CJ118" i="1"/>
  <c r="CO118" i="1"/>
  <c r="CM118" i="1"/>
  <c r="CR118" i="1"/>
  <c r="CI118" i="1"/>
  <c r="CP118" i="1"/>
  <c r="CN118" i="1"/>
  <c r="CL118" i="1"/>
  <c r="CG118" i="1"/>
  <c r="CH118" i="1"/>
  <c r="CQ118" i="1"/>
  <c r="CR56" i="1"/>
  <c r="CP56" i="1"/>
  <c r="CN56" i="1"/>
  <c r="CJ56" i="1"/>
  <c r="CL56" i="1"/>
  <c r="CH56" i="1"/>
  <c r="CO56" i="1"/>
  <c r="CI56" i="1"/>
  <c r="CG56" i="1"/>
  <c r="CM56" i="1"/>
  <c r="CK56" i="1"/>
  <c r="CQ56" i="1"/>
  <c r="CN17" i="1"/>
  <c r="CK17" i="1"/>
  <c r="CR17" i="1"/>
  <c r="CH17" i="1"/>
  <c r="CG17" i="1"/>
  <c r="CL17" i="1"/>
  <c r="CJ17" i="1"/>
  <c r="CO17" i="1"/>
  <c r="CQ17" i="1"/>
  <c r="CP17" i="1"/>
  <c r="CI17" i="1"/>
  <c r="CM17" i="1"/>
  <c r="CO9" i="1"/>
  <c r="CR9" i="1"/>
  <c r="CI9" i="1"/>
  <c r="CJ9" i="1"/>
  <c r="CG9" i="1"/>
  <c r="CQ9" i="1"/>
  <c r="CM9" i="1"/>
  <c r="CH9" i="1"/>
  <c r="CP9" i="1"/>
  <c r="CN9" i="1"/>
  <c r="CK9" i="1"/>
  <c r="CL9" i="1"/>
  <c r="CG119" i="1"/>
  <c r="CI119" i="1"/>
  <c r="CM119" i="1"/>
  <c r="CK119" i="1"/>
  <c r="CR119" i="1"/>
  <c r="CL119" i="1"/>
  <c r="CQ119" i="1"/>
  <c r="CO119" i="1"/>
  <c r="CP119" i="1"/>
  <c r="CN119" i="1"/>
  <c r="CH119" i="1"/>
  <c r="CJ119" i="1"/>
  <c r="CN4" i="1"/>
  <c r="CL4" i="1"/>
  <c r="CQ4" i="1"/>
  <c r="CM4" i="1"/>
  <c r="CG4" i="1"/>
  <c r="CH4" i="1"/>
  <c r="CP4" i="1"/>
  <c r="CO4" i="1"/>
  <c r="CK4" i="1"/>
  <c r="CR4" i="1"/>
  <c r="CI4" i="1"/>
  <c r="CJ4" i="1"/>
  <c r="CQ42" i="1"/>
  <c r="CR42" i="1"/>
  <c r="CG42" i="1"/>
  <c r="CJ42" i="1"/>
  <c r="CK42" i="1"/>
  <c r="CP42" i="1"/>
  <c r="CI42" i="1"/>
  <c r="CH42" i="1"/>
  <c r="CL42" i="1"/>
  <c r="CN42" i="1"/>
  <c r="CO42" i="1"/>
  <c r="CM42" i="1"/>
  <c r="CI41" i="1"/>
  <c r="CH41" i="1"/>
  <c r="CR41" i="1"/>
  <c r="CK41" i="1"/>
  <c r="CJ41" i="1"/>
  <c r="CP41" i="1"/>
  <c r="CN41" i="1"/>
  <c r="CM41" i="1"/>
  <c r="CL41" i="1"/>
  <c r="CG41" i="1"/>
  <c r="CO41" i="1"/>
  <c r="CQ41" i="1"/>
  <c r="CN36" i="1"/>
  <c r="CL36" i="1"/>
  <c r="CP36" i="1"/>
  <c r="CH36" i="1"/>
  <c r="CM36" i="1"/>
  <c r="CQ36" i="1"/>
  <c r="CO36" i="1"/>
  <c r="CK36" i="1"/>
  <c r="CJ36" i="1"/>
  <c r="CI36" i="1"/>
  <c r="CR36" i="1"/>
  <c r="CG36" i="1"/>
  <c r="CK62" i="1"/>
  <c r="CP62" i="1"/>
  <c r="CL62" i="1"/>
  <c r="CI62" i="1"/>
  <c r="CR62" i="1"/>
  <c r="CQ62" i="1"/>
  <c r="CO62" i="1"/>
  <c r="CH62" i="1"/>
  <c r="CJ62" i="1"/>
  <c r="CM62" i="1"/>
  <c r="CG62" i="1"/>
  <c r="CN62" i="1"/>
  <c r="CN3" i="1"/>
  <c r="CR3" i="1"/>
  <c r="CI3" i="1"/>
  <c r="CO3" i="1"/>
  <c r="CK3" i="1"/>
  <c r="CJ3" i="1"/>
  <c r="CM3" i="1"/>
  <c r="CP3" i="1"/>
  <c r="CG3" i="1"/>
  <c r="CL3" i="1"/>
  <c r="CH3" i="1"/>
  <c r="CQ3" i="1"/>
  <c r="CG61" i="1"/>
  <c r="CM61" i="1"/>
  <c r="CJ61" i="1"/>
  <c r="CO61" i="1"/>
  <c r="CH61" i="1"/>
  <c r="CK61" i="1"/>
  <c r="CR61" i="1"/>
  <c r="CI61" i="1"/>
  <c r="CL61" i="1"/>
  <c r="CQ61" i="1"/>
  <c r="CP61" i="1"/>
  <c r="CN61" i="1"/>
  <c r="CN57" i="1"/>
  <c r="CM57" i="1"/>
  <c r="CI57" i="1"/>
  <c r="CG57" i="1"/>
  <c r="CL57" i="1"/>
  <c r="CP57" i="1"/>
  <c r="CO57" i="1"/>
  <c r="CQ57" i="1"/>
  <c r="CJ57" i="1"/>
  <c r="CK57" i="1"/>
  <c r="CH57" i="1"/>
  <c r="CR57" i="1"/>
  <c r="CL50" i="1"/>
  <c r="CO50" i="1"/>
  <c r="CM50" i="1"/>
  <c r="CP50" i="1"/>
  <c r="CQ50" i="1"/>
  <c r="CK50" i="1"/>
  <c r="CG50" i="1"/>
  <c r="CJ50" i="1"/>
  <c r="CH50" i="1"/>
  <c r="CR50" i="1"/>
  <c r="CN50" i="1"/>
  <c r="CI50" i="1"/>
  <c r="CN69" i="1"/>
  <c r="CP69" i="1"/>
  <c r="CR69" i="1"/>
  <c r="CI69" i="1"/>
  <c r="CO69" i="1"/>
  <c r="CL69" i="1"/>
  <c r="CJ69" i="1"/>
  <c r="CG69" i="1"/>
  <c r="CK69" i="1"/>
  <c r="CM69" i="1"/>
  <c r="CQ69" i="1"/>
  <c r="CH69" i="1"/>
  <c r="CH30" i="1"/>
  <c r="CK30" i="1"/>
  <c r="CQ30" i="1"/>
  <c r="CG30" i="1"/>
  <c r="CL30" i="1"/>
  <c r="CN30" i="1"/>
  <c r="CJ30" i="1"/>
  <c r="CI30" i="1"/>
  <c r="CO30" i="1"/>
  <c r="CM30" i="1"/>
  <c r="CR30" i="1"/>
  <c r="CP30" i="1"/>
  <c r="CR32" i="1"/>
  <c r="CI32" i="1"/>
  <c r="CN32" i="1"/>
  <c r="CP32" i="1"/>
  <c r="CM32" i="1"/>
  <c r="CK32" i="1"/>
  <c r="CO32" i="1"/>
  <c r="CQ32" i="1"/>
  <c r="CH32" i="1"/>
  <c r="CG32" i="1"/>
  <c r="CL32" i="1"/>
  <c r="CJ32" i="1"/>
  <c r="CH2" i="1"/>
  <c r="CO2" i="1"/>
  <c r="CR2" i="1"/>
  <c r="CL2" i="1"/>
  <c r="CK2" i="1"/>
  <c r="CI2" i="1"/>
  <c r="CQ2" i="1"/>
  <c r="CP2" i="1"/>
  <c r="CM2" i="1"/>
  <c r="CJ2" i="1"/>
  <c r="CN2" i="1"/>
  <c r="CG2" i="1"/>
  <c r="CN16" i="1"/>
  <c r="CH16" i="1"/>
  <c r="CJ16" i="1"/>
  <c r="CK16" i="1"/>
  <c r="CP16" i="1"/>
  <c r="CI16" i="1"/>
  <c r="CG16" i="1"/>
  <c r="CO16" i="1"/>
  <c r="CL16" i="1"/>
  <c r="CR16" i="1"/>
  <c r="CQ16" i="1"/>
  <c r="CM16" i="1"/>
  <c r="CG38" i="1"/>
  <c r="CM38" i="1"/>
  <c r="CO38" i="1"/>
  <c r="CQ38" i="1"/>
  <c r="CJ38" i="1"/>
  <c r="CL38" i="1"/>
  <c r="CI38" i="1"/>
  <c r="CK38" i="1"/>
  <c r="CH38" i="1"/>
  <c r="CP38" i="1"/>
  <c r="CN38" i="1"/>
  <c r="CR38" i="1"/>
  <c r="CM20" i="1"/>
  <c r="CL20" i="1"/>
  <c r="CH20" i="1"/>
  <c r="CI20" i="1"/>
  <c r="CR20" i="1"/>
  <c r="CQ20" i="1"/>
  <c r="CO20" i="1"/>
  <c r="CK20" i="1"/>
  <c r="CN20" i="1"/>
  <c r="CJ20" i="1"/>
  <c r="CP20" i="1"/>
  <c r="CG20" i="1"/>
  <c r="CM122" i="1"/>
  <c r="CN122" i="1"/>
  <c r="CP122" i="1"/>
  <c r="CL122" i="1"/>
  <c r="CG122" i="1"/>
  <c r="CR122" i="1"/>
  <c r="CK122" i="1"/>
  <c r="CJ122" i="1"/>
  <c r="CQ122" i="1"/>
  <c r="CH122" i="1"/>
  <c r="CO122" i="1"/>
  <c r="CI122" i="1"/>
  <c r="CQ126" i="1" l="1"/>
  <c r="CH126" i="1"/>
  <c r="CL126" i="1"/>
  <c r="CG126" i="1"/>
  <c r="CP126" i="1"/>
  <c r="CM126" i="1"/>
  <c r="CJ126" i="1"/>
  <c r="CK126" i="1"/>
  <c r="CO126" i="1"/>
  <c r="CI126" i="1"/>
  <c r="CR126" i="1"/>
  <c r="CN126" i="1"/>
</calcChain>
</file>

<file path=xl/sharedStrings.xml><?xml version="1.0" encoding="utf-8"?>
<sst xmlns="http://schemas.openxmlformats.org/spreadsheetml/2006/main" count="667" uniqueCount="298">
  <si>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</si>
  <si>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</si>
  <si>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</si>
  <si>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</si>
  <si>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</si>
  <si>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</si>
  <si>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</si>
  <si>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</si>
  <si>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</si>
  <si>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</si>
  <si>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</si>
  <si>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</si>
  <si>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</si>
  <si>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</si>
  <si>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</si>
  <si>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</si>
  <si>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</si>
  <si>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</si>
  <si>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</si>
  <si>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</si>
  <si>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</si>
  <si>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</si>
  <si>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</si>
  <si>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</si>
  <si>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</si>
  <si>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</si>
  <si>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</si>
  <si>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</si>
  <si>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</si>
  <si>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</si>
  <si>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</si>
  <si>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</si>
  <si>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</si>
  <si>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</si>
  <si>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</si>
  <si>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</si>
  <si>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</si>
  <si>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</si>
  <si>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</si>
  <si>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</si>
  <si>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</si>
  <si>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</si>
  <si>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</si>
  <si>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</si>
  <si>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</si>
  <si>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</si>
  <si>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</si>
  <si>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</si>
  <si>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</si>
  <si>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</si>
  <si>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</si>
  <si>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</si>
  <si>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</si>
  <si>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</si>
  <si>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</si>
  <si>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</si>
  <si>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</si>
  <si>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</si>
  <si>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</si>
  <si>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</si>
  <si>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</si>
  <si>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</si>
  <si>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汉钟离</t>
    <phoneticPr fontId="1" type="noConversion"/>
  </si>
  <si>
    <t>光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</si>
  <si>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</si>
  <si>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</si>
  <si>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</si>
  <si>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</si>
  <si>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</si>
  <si>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</si>
  <si>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</si>
  <si>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</si>
  <si>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</si>
  <si>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</si>
  <si>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</si>
  <si>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</si>
  <si>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</si>
  <si>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</si>
  <si>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</si>
  <si>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</si>
  <si>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</si>
  <si>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</si>
  <si>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</si>
  <si>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</si>
  <si>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</si>
  <si>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</si>
  <si>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</si>
  <si>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</si>
  <si>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</si>
  <si>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</si>
  <si>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</si>
  <si>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</si>
  <si>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</si>
  <si>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</si>
  <si>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</si>
  <si>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</si>
  <si>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</si>
  <si>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</si>
  <si>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</si>
  <si>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赤笛仔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</si>
  <si>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</si>
  <si>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</si>
  <si>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</si>
  <si>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</si>
  <si>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</si>
  <si>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</si>
  <si>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</si>
  <si>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</si>
  <si>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</si>
  <si>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</si>
  <si>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</si>
  <si>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</si>
  <si>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</si>
  <si>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</si>
  <si>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</si>
  <si>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</si>
  <si>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</si>
  <si>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</si>
  <si>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</si>
  <si>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</si>
  <si>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</si>
  <si>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</si>
  <si>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</si>
  <si>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</si>
  <si>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</si>
  <si>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</si>
  <si>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</si>
  <si>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</si>
  <si>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</si>
  <si>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</si>
  <si>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</si>
  <si>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</si>
  <si>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</si>
  <si>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</si>
  <si>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</si>
  <si>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</si>
  <si>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</si>
  <si>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</si>
  <si>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</si>
  <si>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</si>
  <si>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</si>
  <si>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</si>
  <si>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</si>
  <si>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</si>
  <si>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</si>
  <si>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</si>
  <si>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</si>
  <si>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</si>
  <si>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</si>
  <si>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</si>
  <si>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</si>
  <si>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</si>
  <si>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</si>
  <si>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</si>
  <si>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暗卒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</si>
  <si>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</si>
  <si>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</si>
  <si>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</si>
  <si>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</si>
  <si>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</si>
  <si>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眼符</t>
    <phoneticPr fontId="1" type="noConversion"/>
  </si>
  <si>
    <t>眼符</t>
    <phoneticPr fontId="1" type="noConversion"/>
  </si>
  <si>
    <t>樱灵</t>
    <phoneticPr fontId="1" type="noConversion"/>
  </si>
  <si>
    <t>煤西</t>
    <phoneticPr fontId="1" type="noConversion"/>
  </si>
  <si>
    <t>小穗儿</t>
    <phoneticPr fontId="1" type="noConversion"/>
  </si>
  <si>
    <t>八哥</t>
    <phoneticPr fontId="1" type="noConversion"/>
  </si>
  <si>
    <t>鬼金羊</t>
    <phoneticPr fontId="1" type="noConversion"/>
  </si>
  <si>
    <t>张果老</t>
    <phoneticPr fontId="1" type="noConversion"/>
  </si>
  <si>
    <t>蛋黄喵</t>
    <phoneticPr fontId="1" type="noConversion"/>
  </si>
  <si>
    <t>蛋黄喵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</si>
  <si>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</si>
  <si>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</si>
  <si>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</si>
  <si>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</si>
  <si>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</si>
  <si>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蛟女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</si>
  <si>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</si>
  <si>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</si>
  <si>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</si>
  <si>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</si>
  <si>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牛金宝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</si>
  <si>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</si>
  <si>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</si>
  <si>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</si>
  <si>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</si>
  <si>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新兵尼禄</t>
    <phoneticPr fontId="1" type="noConversion"/>
  </si>
  <si>
    <t>铁拐李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</si>
  <si>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</si>
  <si>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</si>
  <si>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</si>
  <si>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</si>
  <si>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</si>
  <si>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</si>
  <si>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</si>
  <si>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</si>
  <si>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</si>
  <si>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</si>
  <si>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</si>
  <si>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</si>
  <si>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</si>
  <si>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</si>
  <si>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</si>
  <si>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</si>
  <si>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</si>
  <si>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成年</t>
    <phoneticPr fontId="1" type="noConversion"/>
  </si>
  <si>
    <t>敖顺</t>
    <phoneticPr fontId="1" type="noConversion"/>
  </si>
  <si>
    <t>呜呜少女</t>
    <phoneticPr fontId="1" type="noConversion"/>
  </si>
  <si>
    <t>神算诸葛亮</t>
    <phoneticPr fontId="1" type="noConversion"/>
  </si>
  <si>
    <t>欠条中(4),_x000D_
骰子小(8),_x000D_
筹码小(10),_x000D_
庄家令牌小(2),</t>
    <phoneticPr fontId="1" type="noConversion"/>
  </si>
  <si>
    <t>赤兔吕布</t>
    <phoneticPr fontId="1" type="noConversion"/>
  </si>
  <si>
    <t>金钗(1),</t>
    <phoneticPr fontId="1" type="noConversion"/>
  </si>
  <si>
    <t>愚山乾坤石(10),</t>
    <phoneticPr fontId="1" type="noConversion"/>
  </si>
  <si>
    <t>愚山乾坤石(10),</t>
    <phoneticPr fontId="1" type="noConversion"/>
  </si>
  <si>
    <t>糯米(2),</t>
    <phoneticPr fontId="1" type="noConversion"/>
  </si>
  <si>
    <t>神农鼎(2),</t>
    <phoneticPr fontId="1" type="noConversion"/>
  </si>
  <si>
    <t>龙灵不朽藤(1),</t>
    <phoneticPr fontId="1" type="noConversion"/>
  </si>
  <si>
    <t>螃蟹(5),</t>
    <phoneticPr fontId="1" type="noConversion"/>
  </si>
  <si>
    <t>仙丹(4),</t>
    <phoneticPr fontId="1" type="noConversion"/>
  </si>
  <si>
    <t>仙丹(4),</t>
    <phoneticPr fontId="1" type="noConversion"/>
  </si>
  <si>
    <t>桂花酒(5),</t>
    <phoneticPr fontId="1" type="noConversion"/>
  </si>
  <si>
    <t>桂花(5),</t>
    <phoneticPr fontId="1" type="noConversion"/>
  </si>
  <si>
    <t>彗星(5),</t>
    <phoneticPr fontId="1" type="noConversion"/>
  </si>
  <si>
    <t>桂花(5),</t>
    <phoneticPr fontId="1" type="noConversion"/>
  </si>
  <si>
    <t>太一之轮(9),</t>
    <phoneticPr fontId="1" type="noConversion"/>
  </si>
  <si>
    <t>幸运符文叉大(10),</t>
    <phoneticPr fontId="1" type="noConversion"/>
  </si>
  <si>
    <t>秘窟冰晶卵(10),</t>
    <phoneticPr fontId="1" type="noConversion"/>
  </si>
  <si>
    <t>幸运符文叉大(10),</t>
    <phoneticPr fontId="1" type="noConversion"/>
  </si>
  <si>
    <t>彗星(15),</t>
    <phoneticPr fontId="1" type="noConversion"/>
  </si>
  <si>
    <t>金甲虫(38),</t>
    <phoneticPr fontId="1" type="noConversion"/>
  </si>
  <si>
    <t>金甲虫(188),</t>
    <phoneticPr fontId="1" type="noConversion"/>
  </si>
  <si>
    <t>神农鼎(2),_x000D_
愚山乾坤石(10),</t>
    <phoneticPr fontId="1" type="noConversion"/>
  </si>
  <si>
    <t>神农鼎(2),_x000D_
龙灵不朽藤(1),</t>
    <phoneticPr fontId="1" type="noConversion"/>
  </si>
  <si>
    <t>神农鼎(1),_x000D_
幸运符文叉大(5),</t>
    <phoneticPr fontId="1" type="noConversion"/>
  </si>
  <si>
    <t>糯米(5),_x000D_
粽叶(1),</t>
    <phoneticPr fontId="1" type="noConversion"/>
  </si>
  <si>
    <t>六方天运骰(4),_x000D_
魅力符文叉大(2),</t>
    <phoneticPr fontId="1" type="noConversion"/>
  </si>
  <si>
    <t>糯米(3),_x000D_
粽叶(5),</t>
    <phoneticPr fontId="1" type="noConversion"/>
  </si>
  <si>
    <t>欠条中(4),_x000D_
筹码中(4),</t>
    <phoneticPr fontId="1" type="noConversion"/>
  </si>
  <si>
    <t>炼妖壶(3),_x000D_
龙灵不朽藤(1),</t>
    <phoneticPr fontId="1" type="noConversion"/>
  </si>
  <si>
    <t>秘窟冰晶卵(5),_x000D_
魅力符文叉大(2),</t>
    <phoneticPr fontId="1" type="noConversion"/>
  </si>
  <si>
    <t>炼妖壶(2),_x000D_
仙丹(4),</t>
    <phoneticPr fontId="1" type="noConversion"/>
  </si>
  <si>
    <t>魅力符文叉大(7),</t>
    <phoneticPr fontId="1" type="noConversion"/>
  </si>
  <si>
    <t>炼妖壶(3),_x000D_
六方天运骰(4),</t>
    <phoneticPr fontId="1" type="noConversion"/>
  </si>
  <si>
    <t>桂花(5),_x000D_
桂花酒(5),</t>
    <phoneticPr fontId="1" type="noConversion"/>
  </si>
  <si>
    <t>炼妖壶(3),_x000D_
秘窟冰晶卵(5),</t>
    <phoneticPr fontId="1" type="noConversion"/>
  </si>
  <si>
    <t>骰子大(4),_x000D_
庄家令牌大(6),</t>
    <phoneticPr fontId="1" type="noConversion"/>
  </si>
  <si>
    <t>骰子大(4),_x000D_
庄家令牌大(6),</t>
    <phoneticPr fontId="1" type="noConversion"/>
  </si>
  <si>
    <t>神农鼎(6),_x000D_
六方天运骰(4),</t>
    <phoneticPr fontId="1" type="noConversion"/>
  </si>
  <si>
    <t>金甲虫(3),_x000D_
魅力符文叉大(7),</t>
    <phoneticPr fontId="1" type="noConversion"/>
  </si>
  <si>
    <t>东皇钟(5),_x000D_
愚山乾坤石(15),</t>
    <phoneticPr fontId="1" type="noConversion"/>
  </si>
  <si>
    <t>东皇钟(5),_x000D_
愚山乾坤石(15),</t>
    <phoneticPr fontId="1" type="noConversion"/>
  </si>
  <si>
    <t>六方天运骰(4),_x000D_
幸运符文叉大(10),</t>
    <phoneticPr fontId="1" type="noConversion"/>
  </si>
  <si>
    <t>糯米(5),_x000D_
粽叶(10),</t>
    <phoneticPr fontId="1" type="noConversion"/>
  </si>
  <si>
    <t>太一之轮(4),_x000D_
幸运符文叉大(15),</t>
    <phoneticPr fontId="1" type="noConversion"/>
  </si>
  <si>
    <t>神农鼎(11),_x000D_
龙灵不朽藤(6),</t>
    <phoneticPr fontId="1" type="noConversion"/>
  </si>
  <si>
    <t>糯米(10),_x000D_
粽叶(10),</t>
    <phoneticPr fontId="1" type="noConversion"/>
  </si>
  <si>
    <t>神农鼎(11),_x000D_
幸运符文叉大(15),</t>
    <phoneticPr fontId="1" type="noConversion"/>
  </si>
  <si>
    <t>炼妖壶(17),_x000D_
轩辕剑(6),</t>
    <phoneticPr fontId="1" type="noConversion"/>
  </si>
  <si>
    <t>彗星(25),_x000D_
魅力符文叉大(2),</t>
    <phoneticPr fontId="1" type="noConversion"/>
  </si>
  <si>
    <t>太一之轮(9),_x000D_
幸运符文叉大(20),</t>
    <phoneticPr fontId="1" type="noConversion"/>
  </si>
  <si>
    <t>六方天运骰(14),_x000D_
力量符文叉大(16),</t>
    <phoneticPr fontId="1" type="noConversion"/>
  </si>
  <si>
    <t>神农鼎(16),_x000D_
幸运符文叉大(20),</t>
    <phoneticPr fontId="1" type="noConversion"/>
  </si>
  <si>
    <t>钱袋大(2),_x000D_
筹码大(1),_x000D_
庄家令牌中(3),</t>
    <phoneticPr fontId="1" type="noConversion"/>
  </si>
  <si>
    <t>欠条中(6),_x000D_
钱袋中(2),_x000D_
骰子大(1),</t>
    <phoneticPr fontId="1" type="noConversion"/>
  </si>
  <si>
    <t>欠条中(4),_x000D_
筹码中(4),_x000D_
筹码大(1),</t>
    <phoneticPr fontId="1" type="noConversion"/>
  </si>
  <si>
    <t>欠条中(4),_x000D_
筹码中(4),_x000D_
筹码大(1),</t>
    <phoneticPr fontId="1" type="noConversion"/>
  </si>
  <si>
    <t>欠条中(4),_x000D_
骰子中(3),_x000D_
筹码中(4),</t>
    <phoneticPr fontId="1" type="noConversion"/>
  </si>
  <si>
    <t>骰子小(3),_x000D_
筹码小(5),_x000D_
庄家令牌中(3),</t>
    <phoneticPr fontId="1" type="noConversion"/>
  </si>
  <si>
    <t>欠条中(6),_x000D_
欠条大(5),_x000D_
钱袋中(2),</t>
    <phoneticPr fontId="1" type="noConversion"/>
  </si>
  <si>
    <t>神农鼎(2),_x000D_
秘窟冰晶卵(5),_x000D_
力量符文叉大(6),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</si>
  <si>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</si>
  <si>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</si>
  <si>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欠条大(8),_x000D_
骰子大(4),_x000D_
龙灵不朽藤(1),</t>
    <phoneticPr fontId="1" type="noConversion"/>
  </si>
  <si>
    <t>欠条大(8),_x000D_
骰子大(4),_x000D_
六方天运骰(4),</t>
    <phoneticPr fontId="1" type="noConversion"/>
  </si>
  <si>
    <t>欠条大(8),_x000D_
钱袋大(10),_x000D_
月冕霓晴符(2),</t>
    <phoneticPr fontId="1" type="noConversion"/>
  </si>
  <si>
    <t>欠条大(8),_x000D_
钱袋大(10),_x000D_
月冕霓晴符(2),</t>
    <phoneticPr fontId="1" type="noConversion"/>
  </si>
  <si>
    <t>炼妖壶(7),_x000D_
愚山乾坤石(10),_x000D_
力量符文叉大(11),</t>
    <phoneticPr fontId="1" type="noConversion"/>
  </si>
  <si>
    <t>钱袋大(10),_x000D_
筹码大(9),_x000D_
秘窟冰晶卵(5),</t>
    <phoneticPr fontId="1" type="noConversion"/>
  </si>
  <si>
    <t>钱袋大(10),_x000D_
筹码大(9),_x000D_
秘窟冰晶卵(5),</t>
    <phoneticPr fontId="1" type="noConversion"/>
  </si>
  <si>
    <t>东皇钟(5),_x000D_
力量符文叉大(11),_x000D_
幸运符文叉大(15),</t>
    <phoneticPr fontId="1" type="noConversion"/>
  </si>
  <si>
    <t>六方天运骰(9),_x000D_
魅力符文叉大(7),_x000D_
幸运符文叉大(15),</t>
    <phoneticPr fontId="1" type="noConversion"/>
  </si>
  <si>
    <t>赤焰十字星(29),_x000D_
力量符文叉大(36),</t>
    <phoneticPr fontId="1" type="noConversion"/>
  </si>
  <si>
    <t>神农鼎(3),_x000D_
欠条中(6),_x000D_
钱袋中(2),_x000D_
筹码大(6),</t>
    <phoneticPr fontId="1" type="noConversion"/>
  </si>
  <si>
    <t>欠条中(4),_x000D_
骰子小(8),_x000D_
筹码中(4),_x000D_
庄家令牌小(2),</t>
    <phoneticPr fontId="1" type="noConversion"/>
  </si>
  <si>
    <t>神农鼎(6),_x000D_
欠条大(8),_x000D_
骰子大(4),_x000D_
愚山乾坤石(10),</t>
    <phoneticPr fontId="1" type="noConversion"/>
  </si>
  <si>
    <t>欠条小(8),_x000D_
钱袋小(9),_x000D_
骰子中(3),_x000D_
庄家令牌小(2),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</si>
  <si>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</si>
  <si>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</si>
  <si>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骰子小(8),_x000D_
筹码小(10),_x000D_
庄家令牌小(2),_x000D_
庄家令牌中(3),</t>
    <phoneticPr fontId="1" type="noConversion"/>
  </si>
  <si>
    <t>欠条小(8),_x000D_
钱袋小(9),_x000D_
筹码中(4),_x000D_
庄家令牌小(2),</t>
    <phoneticPr fontId="1" type="noConversion"/>
  </si>
  <si>
    <t>欠条中(4),_x000D_
骰子小(8),_x000D_
筹码小(10),_x000D_
庄家令牌小(2),</t>
    <phoneticPr fontId="1" type="noConversion"/>
  </si>
  <si>
    <t>神农鼎(6),_x000D_
欠条大(8),_x000D_
钱袋大(10),_x000D_
月冕霓晴符(2),</t>
    <phoneticPr fontId="1" type="noConversion"/>
  </si>
  <si>
    <t>欠条小(8),_x000D_
钱袋小(9),_x000D_
骰子小(8),_x000D_
筹码小(10),</t>
    <phoneticPr fontId="1" type="noConversion"/>
  </si>
  <si>
    <t>欠条小(8),_x000D_
钱袋小(9),_x000D_
骰子小(8),_x000D_
筹码小(10),</t>
    <phoneticPr fontId="1" type="noConversion"/>
  </si>
  <si>
    <t>炼妖壶(12),_x000D_
神农鼎(11),_x000D_
赤焰十字星(4),_x000D_
幸运符文叉大(15),</t>
    <phoneticPr fontId="1" type="noConversion"/>
  </si>
  <si>
    <t>超进阶素材土(25),_x000D_
超进阶素材木(25),_x000D_
超进阶素材光(45),_x000D_
超进阶素材暗(50),</t>
    <phoneticPr fontId="1" type="noConversion"/>
  </si>
  <si>
    <t>超进阶素材土(25),_x000D_
超进阶素材木(25),_x000D_
超进阶素材光(45),_x000D_
超进阶素材暗(50),</t>
    <phoneticPr fontId="1" type="noConversion"/>
  </si>
  <si>
    <t>超进阶素材水(1),_x000D_
超进阶素材火(50),_x000D_
超进阶素材光(45),_x000D_
超进阶素材暗(50),</t>
    <phoneticPr fontId="1" type="noConversion"/>
  </si>
  <si>
    <t>超进阶素材水(1),_x000D_
超进阶素材火(50),_x000D_
超进阶素材光(45),_x000D_
超进阶素材暗(50),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</si>
</sst>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</cellXfs>
  <cellStyles count="1">
    <cellStyle name="常规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132</xdr:row>
          <xdr:rowOff>28575</xdr:rowOff>
        </xdr:from>
        <xdr:to>
          <xdr:col>1</xdr:col>
          <xdr:colOff>428625</xdr:colOff>
          <xdr:row>133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32"/>
  <sheetViews>
    <sheetView tabSelected="1" workbookViewId="0">
      <pane xSplit="2" ySplit="1" topLeftCell="BJ119" activePane="bottomRight" state="frozen"/>
      <selection pane="topRight" activeCell="C1" sqref="C1"/>
      <selection pane="bottomLeft" activeCell="A3" sqref="A3"/>
      <selection pane="bottomRight" activeCell="BP9" sqref="BP9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83</v>
      </c>
      <c r="B1" s="8" t="s">
        <v>84</v>
      </c>
      <c r="C1" s="8" t="s">
        <v>86</v>
      </c>
      <c r="D1" s="8" t="s">
        <v>85</v>
      </c>
      <c r="E1" s="9" t="s">
        <v>3</v>
      </c>
      <c r="F1" s="9" t="s">
        <v>4</v>
      </c>
      <c r="G1" s="9" t="s">
        <v>15</v>
      </c>
      <c r="H1" s="9" t="s">
        <v>26</v>
      </c>
      <c r="I1" s="9" t="s">
        <v>27</v>
      </c>
      <c r="J1" s="9" t="s">
        <v>81</v>
      </c>
      <c r="K1" s="9" t="s">
        <v>28</v>
      </c>
      <c r="L1" s="9" t="s">
        <v>50</v>
      </c>
      <c r="M1" s="9" t="s">
        <v>53</v>
      </c>
      <c r="N1" s="9" t="s">
        <v>58</v>
      </c>
      <c r="O1" s="9" t="s">
        <v>52</v>
      </c>
      <c r="P1" s="27" t="s">
        <v>122</v>
      </c>
      <c r="Q1" s="27" t="s">
        <v>134</v>
      </c>
      <c r="R1" s="27" t="s">
        <v>128</v>
      </c>
      <c r="S1" s="27" t="s">
        <v>123</v>
      </c>
      <c r="T1" s="27" t="s">
        <v>132</v>
      </c>
      <c r="U1" s="27" t="s">
        <v>138</v>
      </c>
      <c r="V1" s="27" t="s">
        <v>124</v>
      </c>
      <c r="W1" s="27" t="s">
        <v>131</v>
      </c>
      <c r="X1" s="27" t="s">
        <v>129</v>
      </c>
      <c r="Y1" s="27" t="s">
        <v>125</v>
      </c>
      <c r="Z1" s="27" t="s">
        <v>133</v>
      </c>
      <c r="AA1" s="27" t="s">
        <v>140</v>
      </c>
      <c r="AB1" s="27" t="s">
        <v>127</v>
      </c>
      <c r="AC1" s="27" t="s">
        <v>126</v>
      </c>
      <c r="AD1" s="27" t="s">
        <v>151</v>
      </c>
      <c r="AE1" s="8" t="s">
        <v>10</v>
      </c>
      <c r="AF1" s="8" t="s">
        <v>34</v>
      </c>
      <c r="AG1" s="8" t="s">
        <v>35</v>
      </c>
      <c r="AH1" s="8" t="s">
        <v>71</v>
      </c>
      <c r="AI1" s="8" t="s">
        <v>72</v>
      </c>
      <c r="AJ1" s="8" t="s">
        <v>74</v>
      </c>
      <c r="AK1" s="8" t="s">
        <v>75</v>
      </c>
      <c r="AL1" s="8" t="s">
        <v>77</v>
      </c>
      <c r="AM1" s="8" t="s">
        <v>59</v>
      </c>
      <c r="AN1" s="8" t="s">
        <v>61</v>
      </c>
      <c r="AO1" s="8" t="s">
        <v>110</v>
      </c>
      <c r="AP1" s="8" t="s">
        <v>111</v>
      </c>
      <c r="AQ1" s="10" t="s">
        <v>47</v>
      </c>
      <c r="AR1" s="10" t="s">
        <v>5</v>
      </c>
      <c r="AS1" s="10" t="s">
        <v>32</v>
      </c>
      <c r="AT1" s="10" t="s">
        <v>64</v>
      </c>
      <c r="AU1" s="10" t="s">
        <v>69</v>
      </c>
      <c r="AV1" s="10" t="s">
        <v>57</v>
      </c>
      <c r="AW1" s="11" t="s">
        <v>6</v>
      </c>
      <c r="AX1" s="11" t="s">
        <v>7</v>
      </c>
      <c r="AY1" s="11" t="s">
        <v>48</v>
      </c>
      <c r="AZ1" s="11" t="s">
        <v>9</v>
      </c>
      <c r="BA1" s="11" t="s">
        <v>56</v>
      </c>
      <c r="BB1" s="11" t="s">
        <v>14</v>
      </c>
      <c r="BC1" s="25" t="s">
        <v>107</v>
      </c>
      <c r="BD1" s="8" t="s">
        <v>19</v>
      </c>
      <c r="BE1" s="8" t="s">
        <v>18</v>
      </c>
      <c r="BF1" s="8" t="s">
        <v>16</v>
      </c>
      <c r="BG1" s="8" t="s">
        <v>17</v>
      </c>
      <c r="BH1" s="8" t="s">
        <v>20</v>
      </c>
      <c r="BI1" s="8" t="s">
        <v>21</v>
      </c>
      <c r="BJ1" s="8" t="s">
        <v>39</v>
      </c>
      <c r="BK1" s="8" t="s">
        <v>40</v>
      </c>
      <c r="BL1" s="8" t="s">
        <v>41</v>
      </c>
      <c r="BM1" s="8" t="s">
        <v>42</v>
      </c>
      <c r="BN1" s="8" t="s">
        <v>43</v>
      </c>
      <c r="BO1" s="8" t="s">
        <v>44</v>
      </c>
      <c r="BP1" s="12" t="s">
        <v>91</v>
      </c>
      <c r="BQ1" s="8" t="s">
        <v>92</v>
      </c>
      <c r="BR1" s="16" t="s">
        <v>93</v>
      </c>
      <c r="BS1" s="16"/>
      <c r="BT1" s="10" t="s">
        <v>47</v>
      </c>
      <c r="BU1" s="10" t="s">
        <v>5</v>
      </c>
      <c r="BV1" s="10" t="s">
        <v>32</v>
      </c>
      <c r="BW1" s="10" t="s">
        <v>64</v>
      </c>
      <c r="BX1" s="10" t="s">
        <v>69</v>
      </c>
      <c r="BY1" s="10" t="s">
        <v>57</v>
      </c>
      <c r="BZ1" s="11" t="s">
        <v>6</v>
      </c>
      <c r="CA1" s="11" t="s">
        <v>7</v>
      </c>
      <c r="CB1" s="11" t="s">
        <v>48</v>
      </c>
      <c r="CC1" s="11" t="s">
        <v>9</v>
      </c>
      <c r="CD1" s="11" t="s">
        <v>56</v>
      </c>
      <c r="CE1" s="11" t="s">
        <v>14</v>
      </c>
      <c r="CF1" s="8"/>
      <c r="CG1" s="10" t="s">
        <v>47</v>
      </c>
      <c r="CH1" s="10" t="s">
        <v>5</v>
      </c>
      <c r="CI1" s="10" t="s">
        <v>32</v>
      </c>
      <c r="CJ1" s="10" t="s">
        <v>64</v>
      </c>
      <c r="CK1" s="10" t="s">
        <v>69</v>
      </c>
      <c r="CL1" s="10" t="s">
        <v>57</v>
      </c>
      <c r="CM1" s="11" t="s">
        <v>6</v>
      </c>
      <c r="CN1" s="11" t="s">
        <v>7</v>
      </c>
      <c r="CO1" s="11" t="s">
        <v>48</v>
      </c>
      <c r="CP1" s="11" t="s">
        <v>9</v>
      </c>
      <c r="CQ1" s="11" t="s">
        <v>56</v>
      </c>
      <c r="CR1" s="11" t="s">
        <v>14</v>
      </c>
      <c r="CS1" s="8"/>
    </row>
    <row r="2" spans="1:97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>
        <v>20</v>
      </c>
      <c r="BG2" s="1">
        <v>20</v>
      </c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 s="1" t="str">
        <f>IF(AQ2&gt;AQ$126, AQ2-AQ$126,"")</f>
        <v/>
      </c>
      <c r="BU2" s="1" t="str">
        <f>IF(AR2&gt;AR$126, AR2-AR$126,"")</f>
        <v/>
      </c>
      <c r="BV2" s="1" t="str">
        <f>IF(AS2&gt;AS$126, AS2-AS$126,"")</f>
        <v/>
      </c>
      <c r="BW2" s="1" t="str">
        <f>IF(AT2&gt;AT$126, AT2-AT$126,"")</f>
        <v/>
      </c>
      <c r="BX2" s="1" t="str">
        <f>IF(AU2&gt;AU$126, AU2-AU$126,"")</f>
        <v/>
      </c>
      <c r="BY2" s="1" t="str">
        <f>IF(AV2&gt;AV$126, AV2-AV$126,"")</f>
        <v/>
      </c>
      <c r="BZ2" s="1" t="str">
        <f>IF(AW2&gt;AW$126, AW2-AW$126,"")</f>
        <v/>
      </c>
      <c r="CA2" s="1" t="str">
        <f>IF(AX2&gt;AX$126, AX2-AX$126,"")</f>
        <v/>
      </c>
      <c r="CB2" s="1" t="str">
        <f>IF(AY2&gt;AY$126, AY2-AY$126,"")</f>
        <v/>
      </c>
      <c r="CC2" s="1" t="str">
        <f>IF(AZ2&gt;AZ$126, AZ2-AZ$126,"")</f>
        <v/>
      </c>
      <c r="CD2" s="1" t="str">
        <f>IF(BA2&gt;BA$126, BA2-BA$126,"")</f>
        <v/>
      </c>
      <c r="CE2" s="1" t="str">
        <f>IF(BB2&gt;BB$126, BB2-BB$126,"")</f>
        <v/>
      </c>
      <c r="CF2" s="1">
        <f>12-COUNTA(BT2:CE2)</f>
        <v>0</v>
      </c>
      <c r="CG2" s="1" t="str">
        <f>IF($CF2=1,BT2,"")</f>
        <v/>
      </c>
      <c r="CH2" s="1" t="str">
        <f>IF($CF2=1,BU2,"")</f>
        <v/>
      </c>
      <c r="CI2" s="1" t="str">
        <f>IF($CF2=1,BV2,"")</f>
        <v/>
      </c>
      <c r="CJ2" s="1" t="str">
        <f>IF($CF2=1,BW2,"")</f>
        <v/>
      </c>
      <c r="CK2" s="1" t="str">
        <f>IF($CF2=1,BX2,"")</f>
        <v/>
      </c>
      <c r="CL2" s="1" t="str">
        <f>IF($CF2=1,BY2,"")</f>
        <v/>
      </c>
      <c r="CM2" s="1" t="str">
        <f>IF($CF2=1,BZ2,"")</f>
        <v/>
      </c>
      <c r="CN2" s="1" t="str">
        <f>IF($CF2=1,CA2,"")</f>
        <v/>
      </c>
      <c r="CO2" s="1" t="str">
        <f>IF($CF2=1,CB2,"")</f>
        <v/>
      </c>
      <c r="CP2" s="1" t="str">
        <f>IF($CF2=1,CC2,"")</f>
        <v/>
      </c>
      <c r="CQ2" s="1" t="str">
        <f>IF($CF2=1,CD2,"")</f>
        <v/>
      </c>
      <c r="CR2" s="1" t="str">
        <f>IF($CF2=1,CE2,"")</f>
        <v/>
      </c>
      <c r="CS2" s="3">
        <f>SUM(AE2:BO2)</f>
        <v>80</v>
      </c>
    </row>
    <row r="3" spans="1:97" x14ac:dyDescent="0.15">
      <c r="A3" s="1">
        <v>15</v>
      </c>
      <c r="B3" s="1" t="s">
        <v>29</v>
      </c>
      <c r="C3" s="1" t="s">
        <v>30</v>
      </c>
      <c r="D3" s="1" t="s">
        <v>25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 s="1" t="str">
        <f>IF(AQ3&gt;AQ$126, AQ3-AQ$126,"")</f>
        <v/>
      </c>
      <c r="BU3" s="1" t="str">
        <f>IF(AR3&gt;AR$126, AR3-AR$126,"")</f>
        <v/>
      </c>
      <c r="BV3" s="1" t="str">
        <f>IF(AS3&gt;AS$126, AS3-AS$126,"")</f>
        <v/>
      </c>
      <c r="BW3" s="1" t="str">
        <f>IF(AT3&gt;AT$126, AT3-AT$126,"")</f>
        <v/>
      </c>
      <c r="BX3" s="1" t="str">
        <f>IF(AU3&gt;AU$126, AU3-AU$126,"")</f>
        <v/>
      </c>
      <c r="BY3" s="1" t="str">
        <f>IF(AV3&gt;AV$126, AV3-AV$126,"")</f>
        <v/>
      </c>
      <c r="BZ3" s="1" t="str">
        <f>IF(AW3&gt;AW$126, AW3-AW$126,"")</f>
        <v/>
      </c>
      <c r="CA3" s="1" t="str">
        <f>IF(AX3&gt;AX$126, AX3-AX$126,"")</f>
        <v/>
      </c>
      <c r="CB3" s="1" t="str">
        <f>IF(AY3&gt;AY$126, AY3-AY$126,"")</f>
        <v/>
      </c>
      <c r="CC3" s="1" t="str">
        <f>IF(AZ3&gt;AZ$126, AZ3-AZ$126,"")</f>
        <v/>
      </c>
      <c r="CD3" s="1" t="str">
        <f>IF(BA3&gt;BA$126, BA3-BA$126,"")</f>
        <v/>
      </c>
      <c r="CE3" s="1" t="str">
        <f>IF(BB3&gt;BB$126, BB3-BB$126,"")</f>
        <v/>
      </c>
      <c r="CF3" s="1">
        <f>12-COUNTA(BT3:CE3)</f>
        <v>0</v>
      </c>
      <c r="CG3" s="1" t="str">
        <f>IF($CF3=1,BT3,"")</f>
        <v/>
      </c>
      <c r="CH3" s="1" t="str">
        <f>IF($CF3=1,BU3,"")</f>
        <v/>
      </c>
      <c r="CI3" s="1" t="str">
        <f>IF($CF3=1,BV3,"")</f>
        <v/>
      </c>
      <c r="CJ3" s="1" t="str">
        <f>IF($CF3=1,BW3,"")</f>
        <v/>
      </c>
      <c r="CK3" s="1" t="str">
        <f>IF($CF3=1,BX3,"")</f>
        <v/>
      </c>
      <c r="CL3" s="1" t="str">
        <f>IF($CF3=1,BY3,"")</f>
        <v/>
      </c>
      <c r="CM3" s="1" t="str">
        <f>IF($CF3=1,BZ3,"")</f>
        <v/>
      </c>
      <c r="CN3" s="1" t="str">
        <f>IF($CF3=1,CA3,"")</f>
        <v/>
      </c>
      <c r="CO3" s="1" t="str">
        <f>IF($CF3=1,CB3,"")</f>
        <v/>
      </c>
      <c r="CP3" s="1" t="str">
        <f>IF($CF3=1,CC3,"")</f>
        <v/>
      </c>
      <c r="CQ3" s="1" t="str">
        <f>IF($CF3=1,CD3,"")</f>
        <v/>
      </c>
      <c r="CR3" s="1" t="str">
        <f>IF($CF3=1,CE3,"")</f>
        <v/>
      </c>
      <c r="CS3" s="3">
        <f>SUM(AE3:BO3)</f>
        <v>80</v>
      </c>
    </row>
    <row r="4" spans="1:97" x14ac:dyDescent="0.15">
      <c r="A4" s="1">
        <v>35</v>
      </c>
      <c r="B4" s="1" t="s">
        <v>45</v>
      </c>
      <c r="C4" s="1" t="s">
        <v>46</v>
      </c>
      <c r="D4" s="1" t="s">
        <v>25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 s="1" t="str">
        <f>IF(AQ4&gt;AQ$126, AQ4-AQ$126,"")</f>
        <v/>
      </c>
      <c r="BU4" s="1" t="str">
        <f>IF(AR4&gt;AR$126, AR4-AR$126,"")</f>
        <v/>
      </c>
      <c r="BV4" s="1" t="str">
        <f>IF(AS4&gt;AS$126, AS4-AS$126,"")</f>
        <v/>
      </c>
      <c r="BW4" s="1" t="str">
        <f>IF(AT4&gt;AT$126, AT4-AT$126,"")</f>
        <v/>
      </c>
      <c r="BX4" s="1" t="str">
        <f>IF(AU4&gt;AU$126, AU4-AU$126,"")</f>
        <v/>
      </c>
      <c r="BY4" s="1" t="str">
        <f>IF(AV4&gt;AV$126, AV4-AV$126,"")</f>
        <v/>
      </c>
      <c r="BZ4" s="1" t="str">
        <f>IF(AW4&gt;AW$126, AW4-AW$126,"")</f>
        <v/>
      </c>
      <c r="CA4" s="1" t="str">
        <f>IF(AX4&gt;AX$126, AX4-AX$126,"")</f>
        <v/>
      </c>
      <c r="CB4" s="1" t="str">
        <f>IF(AY4&gt;AY$126, AY4-AY$126,"")</f>
        <v/>
      </c>
      <c r="CC4" s="1" t="str">
        <f>IF(AZ4&gt;AZ$126, AZ4-AZ$126,"")</f>
        <v/>
      </c>
      <c r="CD4" s="1" t="str">
        <f>IF(BA4&gt;BA$126, BA4-BA$126,"")</f>
        <v/>
      </c>
      <c r="CE4" s="1" t="str">
        <f>IF(BB4&gt;BB$126, BB4-BB$126,"")</f>
        <v/>
      </c>
      <c r="CF4" s="1">
        <f>12-COUNTA(BT4:CE4)</f>
        <v>0</v>
      </c>
      <c r="CG4" s="1" t="str">
        <f>IF($CF4=1,BT4,"")</f>
        <v/>
      </c>
      <c r="CH4" s="1" t="str">
        <f>IF($CF4=1,BU4,"")</f>
        <v/>
      </c>
      <c r="CI4" s="1" t="str">
        <f>IF($CF4=1,BV4,"")</f>
        <v/>
      </c>
      <c r="CJ4" s="1" t="str">
        <f>IF($CF4=1,BW4,"")</f>
        <v/>
      </c>
      <c r="CK4" s="1" t="str">
        <f>IF($CF4=1,BX4,"")</f>
        <v/>
      </c>
      <c r="CL4" s="1" t="str">
        <f>IF($CF4=1,BY4,"")</f>
        <v/>
      </c>
      <c r="CM4" s="1" t="str">
        <f>IF($CF4=1,BZ4,"")</f>
        <v/>
      </c>
      <c r="CN4" s="1" t="str">
        <f>IF($CF4=1,CA4,"")</f>
        <v/>
      </c>
      <c r="CO4" s="1" t="str">
        <f>IF($CF4=1,CB4,"")</f>
        <v/>
      </c>
      <c r="CP4" s="1" t="str">
        <f>IF($CF4=1,CC4,"")</f>
        <v/>
      </c>
      <c r="CQ4" s="1" t="str">
        <f>IF($CF4=1,CD4,"")</f>
        <v/>
      </c>
      <c r="CR4" s="1" t="str">
        <f>IF($CF4=1,CE4,"")</f>
        <v/>
      </c>
      <c r="CS4" s="3">
        <f>SUM(AE4:BO4)</f>
        <v>80</v>
      </c>
    </row>
    <row r="5" spans="1:97" x14ac:dyDescent="0.15">
      <c r="A5" s="1">
        <v>55</v>
      </c>
      <c r="B5" s="1" t="s">
        <v>54</v>
      </c>
      <c r="C5" s="1" t="s">
        <v>55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/>
      <c r="BG5" s="1"/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>SUM(E5:BO5)</f>
        <v>80</v>
      </c>
      <c r="BQ5" s="1">
        <v>0</v>
      </c>
      <c r="BR5" s="17">
        <v>0</v>
      </c>
      <c r="BS5" s="17"/>
      <c r="BT5" s="1" t="str">
        <f>IF(AQ5&gt;AQ$126, AQ5-AQ$126,"")</f>
        <v/>
      </c>
      <c r="BU5" s="1" t="str">
        <f>IF(AR5&gt;AR$126, AR5-AR$126,"")</f>
        <v/>
      </c>
      <c r="BV5" s="1" t="str">
        <f>IF(AS5&gt;AS$126, AS5-AS$126,"")</f>
        <v/>
      </c>
      <c r="BW5" s="1" t="str">
        <f>IF(AT5&gt;AT$126, AT5-AT$126,"")</f>
        <v/>
      </c>
      <c r="BX5" s="1" t="str">
        <f>IF(AU5&gt;AU$126, AU5-AU$126,"")</f>
        <v/>
      </c>
      <c r="BY5" s="1" t="str">
        <f>IF(AV5&gt;AV$126, AV5-AV$126,"")</f>
        <v/>
      </c>
      <c r="BZ5" s="1" t="str">
        <f>IF(AW5&gt;AW$126, AW5-AW$126,"")</f>
        <v/>
      </c>
      <c r="CA5" s="1" t="str">
        <f>IF(AX5&gt;AX$126, AX5-AX$126,"")</f>
        <v/>
      </c>
      <c r="CB5" s="1" t="str">
        <f>IF(AY5&gt;AY$126, AY5-AY$126,"")</f>
        <v/>
      </c>
      <c r="CC5" s="1" t="str">
        <f>IF(AZ5&gt;AZ$126, AZ5-AZ$126,"")</f>
        <v/>
      </c>
      <c r="CD5" s="1" t="str">
        <f>IF(BA5&gt;BA$126, BA5-BA$126,"")</f>
        <v/>
      </c>
      <c r="CE5" s="1" t="str">
        <f>IF(BB5&gt;BB$126, BB5-BB$126,"")</f>
        <v/>
      </c>
      <c r="CF5" s="1">
        <f>12-COUNTA(BT5:CE5)</f>
        <v>0</v>
      </c>
      <c r="CG5" s="1" t="str">
        <f>IF($CF5=1,BT5,"")</f>
        <v/>
      </c>
      <c r="CH5" s="1" t="str">
        <f>IF($CF5=1,BU5,"")</f>
        <v/>
      </c>
      <c r="CI5" s="1" t="str">
        <f>IF($CF5=1,BV5,"")</f>
        <v/>
      </c>
      <c r="CJ5" s="1" t="str">
        <f>IF($CF5=1,BW5,"")</f>
        <v/>
      </c>
      <c r="CK5" s="1" t="str">
        <f>IF($CF5=1,BX5,"")</f>
        <v/>
      </c>
      <c r="CL5" s="1" t="str">
        <f>IF($CF5=1,BY5,"")</f>
        <v/>
      </c>
      <c r="CM5" s="1" t="str">
        <f>IF($CF5=1,BZ5,"")</f>
        <v/>
      </c>
      <c r="CN5" s="1" t="str">
        <f>IF($CF5=1,CA5,"")</f>
        <v/>
      </c>
      <c r="CO5" s="1" t="str">
        <f>IF($CF5=1,CB5,"")</f>
        <v/>
      </c>
      <c r="CP5" s="1" t="str">
        <f>IF($CF5=1,CC5,"")</f>
        <v/>
      </c>
      <c r="CQ5" s="1" t="str">
        <f>IF($CF5=1,CD5,"")</f>
        <v/>
      </c>
      <c r="CR5" s="1" t="str">
        <f>IF($CF5=1,CE5,"")</f>
        <v/>
      </c>
      <c r="CS5" s="3">
        <f>SUM(AE5:BO5)</f>
        <v>80</v>
      </c>
    </row>
    <row r="6" spans="1:97" s="23" customFormat="1" x14ac:dyDescent="0.15">
      <c r="A6" s="1"/>
      <c r="B6" s="1" t="s">
        <v>104</v>
      </c>
      <c r="C6" s="1" t="s">
        <v>105</v>
      </c>
      <c r="D6" s="1" t="s">
        <v>103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>
        <v>20</v>
      </c>
      <c r="BE6" s="1">
        <v>20</v>
      </c>
      <c r="BF6" s="1">
        <v>20</v>
      </c>
      <c r="BG6" s="1">
        <v>20</v>
      </c>
      <c r="BH6" s="1"/>
      <c r="BI6" s="1"/>
      <c r="BJ6" s="1"/>
      <c r="BK6" s="1"/>
      <c r="BL6" s="1"/>
      <c r="BM6" s="1"/>
      <c r="BN6" s="1"/>
      <c r="BO6" s="1"/>
      <c r="BP6" s="1">
        <f>SUM(E6:BO6)</f>
        <v>80</v>
      </c>
      <c r="BQ6" s="1">
        <v>0</v>
      </c>
      <c r="BR6" s="17">
        <v>0</v>
      </c>
      <c r="BS6" s="17"/>
      <c r="BT6" s="1" t="str">
        <f>IF(AQ6&gt;AQ$126, AQ6-AQ$126,"")</f>
        <v/>
      </c>
      <c r="BU6" s="1" t="str">
        <f>IF(AR6&gt;AR$126, AR6-AR$126,"")</f>
        <v/>
      </c>
      <c r="BV6" s="1" t="str">
        <f>IF(AS6&gt;AS$126, AS6-AS$126,"")</f>
        <v/>
      </c>
      <c r="BW6" s="1" t="str">
        <f>IF(AT6&gt;AT$126, AT6-AT$126,"")</f>
        <v/>
      </c>
      <c r="BX6" s="1" t="str">
        <f>IF(AU6&gt;AU$126, AU6-AU$126,"")</f>
        <v/>
      </c>
      <c r="BY6" s="1" t="str">
        <f>IF(AV6&gt;AV$126, AV6-AV$126,"")</f>
        <v/>
      </c>
      <c r="BZ6" s="1" t="str">
        <f>IF(AW6&gt;AW$126, AW6-AW$126,"")</f>
        <v/>
      </c>
      <c r="CA6" s="1" t="str">
        <f>IF(AX6&gt;AX$126, AX6-AX$126,"")</f>
        <v/>
      </c>
      <c r="CB6" s="1" t="str">
        <f>IF(AY6&gt;AY$126, AY6-AY$126,"")</f>
        <v/>
      </c>
      <c r="CC6" s="1" t="str">
        <f>IF(AZ6&gt;AZ$126, AZ6-AZ$126,"")</f>
        <v/>
      </c>
      <c r="CD6" s="1" t="str">
        <f>IF(BA6&gt;BA$126, BA6-BA$126,"")</f>
        <v/>
      </c>
      <c r="CE6" s="1" t="str">
        <f>IF(BB6&gt;BB$126, BB6-BB$126,"")</f>
        <v/>
      </c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3"/>
    </row>
    <row r="7" spans="1:97" s="23" customFormat="1" x14ac:dyDescent="0.15">
      <c r="A7" s="1"/>
      <c r="B7" s="1" t="s">
        <v>169</v>
      </c>
      <c r="C7" s="1" t="s">
        <v>113</v>
      </c>
      <c r="D7" s="1" t="s">
        <v>103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>
        <v>20</v>
      </c>
      <c r="BG7" s="1">
        <v>20</v>
      </c>
      <c r="BH7" s="1">
        <v>20</v>
      </c>
      <c r="BI7" s="1">
        <v>20</v>
      </c>
      <c r="BJ7" s="1"/>
      <c r="BK7" s="1"/>
      <c r="BL7" s="1"/>
      <c r="BM7" s="1"/>
      <c r="BN7" s="1"/>
      <c r="BO7" s="1"/>
      <c r="BP7" s="1">
        <f>SUM(E7:BO7)</f>
        <v>80</v>
      </c>
      <c r="BQ7" s="1">
        <v>0</v>
      </c>
      <c r="BR7" s="17">
        <v>0</v>
      </c>
      <c r="BS7" s="17"/>
      <c r="BT7" s="1" t="str">
        <f>IF(AQ7&gt;AQ$126, AQ7-AQ$126,"")</f>
        <v/>
      </c>
      <c r="BU7" s="1" t="str">
        <f>IF(AR7&gt;AR$126, AR7-AR$126,"")</f>
        <v/>
      </c>
      <c r="BV7" s="1" t="str">
        <f>IF(AS7&gt;AS$126, AS7-AS$126,"")</f>
        <v/>
      </c>
      <c r="BW7" s="1" t="str">
        <f>IF(AT7&gt;AT$126, AT7-AT$126,"")</f>
        <v/>
      </c>
      <c r="BX7" s="1" t="str">
        <f>IF(AU7&gt;AU$126, AU7-AU$126,"")</f>
        <v/>
      </c>
      <c r="BY7" s="1" t="str">
        <f>IF(AV7&gt;AV$126, AV7-AV$126,"")</f>
        <v/>
      </c>
      <c r="BZ7" s="1" t="str">
        <f>IF(AW7&gt;AW$126, AW7-AW$126,"")</f>
        <v/>
      </c>
      <c r="CA7" s="1" t="str">
        <f>IF(AX7&gt;AX$126, AX7-AX$126,"")</f>
        <v/>
      </c>
      <c r="CB7" s="1" t="str">
        <f>IF(AY7&gt;AY$126, AY7-AY$126,"")</f>
        <v/>
      </c>
      <c r="CC7" s="1" t="str">
        <f>IF(AZ7&gt;AZ$126, AZ7-AZ$126,"")</f>
        <v/>
      </c>
      <c r="CD7" s="1" t="str">
        <f>IF(BA7&gt;BA$126, BA7-BA$126,"")</f>
        <v/>
      </c>
      <c r="CE7" s="1" t="str">
        <f>IF(BB7&gt;BB$126, BB7-BB$126,"")</f>
        <v/>
      </c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3"/>
    </row>
    <row r="8" spans="1:97" x14ac:dyDescent="0.15">
      <c r="A8" s="1"/>
      <c r="B8" s="1" t="s">
        <v>177</v>
      </c>
      <c r="C8" s="1" t="s">
        <v>101</v>
      </c>
      <c r="D8" s="1" t="s">
        <v>103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>
        <v>20</v>
      </c>
      <c r="BE8" s="1">
        <v>20</v>
      </c>
      <c r="BF8" s="1">
        <v>20</v>
      </c>
      <c r="BG8" s="1">
        <v>20</v>
      </c>
      <c r="BH8" s="1"/>
      <c r="BI8" s="1"/>
      <c r="BJ8" s="1"/>
      <c r="BK8" s="1"/>
      <c r="BL8" s="1"/>
      <c r="BM8" s="1"/>
      <c r="BN8" s="1"/>
      <c r="BO8" s="1"/>
      <c r="BP8" s="1">
        <f>SUM(E8:BO8)</f>
        <v>80</v>
      </c>
      <c r="BQ8" s="1">
        <v>0</v>
      </c>
      <c r="BR8" s="17">
        <v>0</v>
      </c>
      <c r="BS8" s="17"/>
      <c r="BT8" s="1" t="str">
        <f>IF(AQ8&gt;AQ$126, AQ8-AQ$126,"")</f>
        <v/>
      </c>
      <c r="BU8" s="1" t="str">
        <f>IF(AR8&gt;AR$126, AR8-AR$126,"")</f>
        <v/>
      </c>
      <c r="BV8" s="1" t="str">
        <f>IF(AS8&gt;AS$126, AS8-AS$126,"")</f>
        <v/>
      </c>
      <c r="BW8" s="1" t="str">
        <f>IF(AT8&gt;AT$126, AT8-AT$126,"")</f>
        <v/>
      </c>
      <c r="BX8" s="1" t="str">
        <f>IF(AU8&gt;AU$126, AU8-AU$126,"")</f>
        <v/>
      </c>
      <c r="BY8" s="1" t="str">
        <f>IF(AV8&gt;AV$126, AV8-AV$126,"")</f>
        <v/>
      </c>
      <c r="BZ8" s="1" t="str">
        <f>IF(AW8&gt;AW$126, AW8-AW$126,"")</f>
        <v/>
      </c>
      <c r="CA8" s="1" t="str">
        <f>IF(AX8&gt;AX$126, AX8-AX$126,"")</f>
        <v/>
      </c>
      <c r="CB8" s="1" t="str">
        <f>IF(AY8&gt;AY$126, AY8-AY$126,"")</f>
        <v/>
      </c>
      <c r="CC8" s="1" t="str">
        <f>IF(AZ8&gt;AZ$126, AZ8-AZ$126,"")</f>
        <v/>
      </c>
      <c r="CD8" s="1" t="str">
        <f>IF(BA8&gt;BA$126, BA8-BA$126,"")</f>
        <v/>
      </c>
      <c r="CE8" s="1" t="str">
        <f>IF(BB8&gt;BB$126, BB8-BB$126,"")</f>
        <v/>
      </c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3"/>
    </row>
    <row r="9" spans="1:97" x14ac:dyDescent="0.15">
      <c r="A9" s="1">
        <v>91</v>
      </c>
      <c r="B9" s="3" t="s">
        <v>80</v>
      </c>
      <c r="C9" s="3" t="s">
        <v>79</v>
      </c>
      <c r="D9" s="1" t="s">
        <v>1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>
        <v>5</v>
      </c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5</v>
      </c>
      <c r="BQ9" s="1">
        <v>0</v>
      </c>
      <c r="BR9" s="17">
        <v>0</v>
      </c>
      <c r="BS9" s="17"/>
      <c r="BT9" s="1" t="str">
        <f>IF(AQ9&gt;AQ$126, AQ9-AQ$126,"")</f>
        <v/>
      </c>
      <c r="BU9" s="1" t="str">
        <f>IF(AR9&gt;AR$126, AR9-AR$126,"")</f>
        <v/>
      </c>
      <c r="BV9" s="1" t="str">
        <f>IF(AS9&gt;AS$126, AS9-AS$126,"")</f>
        <v/>
      </c>
      <c r="BW9" s="1" t="str">
        <f>IF(AT9&gt;AT$126, AT9-AT$126,"")</f>
        <v/>
      </c>
      <c r="BX9" s="1" t="str">
        <f>IF(AU9&gt;AU$126, AU9-AU$126,"")</f>
        <v/>
      </c>
      <c r="BY9" s="1" t="str">
        <f>IF(AV9&gt;AV$126, AV9-AV$126,"")</f>
        <v/>
      </c>
      <c r="BZ9" s="1" t="str">
        <f>IF(AW9&gt;AW$126, AW9-AW$126,"")</f>
        <v/>
      </c>
      <c r="CA9" s="1" t="str">
        <f>IF(AX9&gt;AX$126, AX9-AX$126,"")</f>
        <v/>
      </c>
      <c r="CB9" s="1" t="str">
        <f>IF(AY9&gt;AY$126, AY9-AY$126,"")</f>
        <v/>
      </c>
      <c r="CC9" s="1" t="str">
        <f>IF(AZ9&gt;AZ$126, AZ9-AZ$126,"")</f>
        <v/>
      </c>
      <c r="CD9" s="1" t="str">
        <f>IF(BA9&gt;BA$126, BA9-BA$126,"")</f>
        <v/>
      </c>
      <c r="CE9" s="1" t="str">
        <f>IF(BB9&gt;BB$126, BB9-BB$126,"")</f>
        <v/>
      </c>
      <c r="CF9" s="1">
        <f>COUNTIF(BT9:CE9, "&gt;0")</f>
        <v>0</v>
      </c>
      <c r="CG9" s="1" t="str">
        <f>IF($CF9=1,BT9,"")</f>
        <v/>
      </c>
      <c r="CH9" s="1" t="str">
        <f>IF($CF9=1,BU9,"")</f>
        <v/>
      </c>
      <c r="CI9" s="1" t="str">
        <f>IF($CF9=1,BV9,"")</f>
        <v/>
      </c>
      <c r="CJ9" s="1" t="str">
        <f>IF($CF9=1,BW9,"")</f>
        <v/>
      </c>
      <c r="CK9" s="1" t="str">
        <f>IF($CF9=1,BX9,"")</f>
        <v/>
      </c>
      <c r="CL9" s="1" t="str">
        <f>IF($CF9=1,BY9,"")</f>
        <v/>
      </c>
      <c r="CM9" s="1" t="str">
        <f>IF($CF9=1,BZ9,"")</f>
        <v/>
      </c>
      <c r="CN9" s="1" t="str">
        <f>IF($CF9=1,CA9,"")</f>
        <v/>
      </c>
      <c r="CO9" s="1" t="str">
        <f>IF($CF9=1,CB9,"")</f>
        <v/>
      </c>
      <c r="CP9" s="1" t="str">
        <f>IF($CF9=1,CC9,"")</f>
        <v/>
      </c>
      <c r="CQ9" s="1" t="str">
        <f>IF($CF9=1,CD9,"")</f>
        <v/>
      </c>
      <c r="CR9" s="1" t="str">
        <f>IF($CF9=1,CE9,"")</f>
        <v/>
      </c>
      <c r="CS9" s="3">
        <f>SUM(AE9:BO9)</f>
        <v>5</v>
      </c>
    </row>
    <row r="10" spans="1:97" x14ac:dyDescent="0.15">
      <c r="A10" s="1">
        <v>62</v>
      </c>
      <c r="B10" s="1" t="s">
        <v>99</v>
      </c>
      <c r="C10" s="1" t="s">
        <v>55</v>
      </c>
      <c r="D10" s="1" t="s">
        <v>1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>
        <v>15</v>
      </c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15</v>
      </c>
      <c r="BQ10" s="1">
        <v>1</v>
      </c>
      <c r="BR10" s="17">
        <v>1</v>
      </c>
      <c r="BS10" s="17" t="s">
        <v>210</v>
      </c>
      <c r="BT10" s="1" t="str">
        <f>IF(AQ10&gt;AQ$126, AQ10-AQ$126,"")</f>
        <v/>
      </c>
      <c r="BU10" s="1" t="str">
        <f>IF(AR10&gt;AR$126, AR10-AR$126,"")</f>
        <v/>
      </c>
      <c r="BV10" s="1" t="str">
        <f>IF(AS10&gt;AS$126, AS10-AS$126,"")</f>
        <v/>
      </c>
      <c r="BW10" s="1" t="str">
        <f>IF(AT10&gt;AT$126, AT10-AT$126,"")</f>
        <v/>
      </c>
      <c r="BX10" s="1" t="str">
        <f>IF(AU10&gt;AU$126, AU10-AU$126,"")</f>
        <v/>
      </c>
      <c r="BY10" s="1" t="str">
        <f>IF(AV10&gt;AV$126, AV10-AV$126,"")</f>
        <v/>
      </c>
      <c r="BZ10" s="1" t="str">
        <f>IF(AW10&gt;AW$126, AW10-AW$126,"")</f>
        <v/>
      </c>
      <c r="CA10" s="1" t="str">
        <f>IF(AX10&gt;AX$126, AX10-AX$126,"")</f>
        <v/>
      </c>
      <c r="CB10" s="1" t="str">
        <f>IF(AY10&gt;AY$126, AY10-AY$126,"")</f>
        <v/>
      </c>
      <c r="CC10" s="1" t="str">
        <f>IF(AZ10&gt;AZ$126, AZ10-AZ$126,"")</f>
        <v/>
      </c>
      <c r="CD10" s="1" t="str">
        <f>IF(BA10&gt;BA$126, BA10-BA$126,"")</f>
        <v/>
      </c>
      <c r="CE10" s="1" t="str">
        <f>IF(BB10&gt;BB$126, BB10-BB$126,"")</f>
        <v/>
      </c>
      <c r="CF10" s="1">
        <f>COUNTIF(BT10:CE10, "&gt;0")</f>
        <v>0</v>
      </c>
      <c r="CG10" s="1" t="str">
        <f>IF($CF10=1,BT10,"")</f>
        <v/>
      </c>
      <c r="CH10" s="1" t="str">
        <f>IF($CF10=1,BU10,"")</f>
        <v/>
      </c>
      <c r="CI10" s="1" t="str">
        <f>IF($CF10=1,BV10,"")</f>
        <v/>
      </c>
      <c r="CJ10" s="1" t="str">
        <f>IF($CF10=1,BW10,"")</f>
        <v/>
      </c>
      <c r="CK10" s="1" t="str">
        <f>IF($CF10=1,BX10,"")</f>
        <v/>
      </c>
      <c r="CL10" s="1" t="str">
        <f>IF($CF10=1,BY10,"")</f>
        <v/>
      </c>
      <c r="CM10" s="1" t="str">
        <f>IF($CF10=1,BZ10,"")</f>
        <v/>
      </c>
      <c r="CN10" s="1" t="str">
        <f>IF($CF10=1,CA10,"")</f>
        <v/>
      </c>
      <c r="CO10" s="1" t="str">
        <f>IF($CF10=1,CB10,"")</f>
        <v/>
      </c>
      <c r="CP10" s="1" t="str">
        <f>IF($CF10=1,CC10,"")</f>
        <v/>
      </c>
      <c r="CQ10" s="1" t="str">
        <f>IF($CF10=1,CD10,"")</f>
        <v/>
      </c>
      <c r="CR10" s="1" t="str">
        <f>IF($CF10=1,CE10,"")</f>
        <v/>
      </c>
      <c r="CS10" s="3">
        <f>SUM(AE10:BO10)</f>
        <v>15</v>
      </c>
    </row>
    <row r="11" spans="1:97" x14ac:dyDescent="0.15">
      <c r="A11" s="1"/>
      <c r="B11" s="1" t="s">
        <v>164</v>
      </c>
      <c r="C11" s="1" t="s">
        <v>105</v>
      </c>
      <c r="D11" s="1" t="s">
        <v>102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>
        <v>10</v>
      </c>
      <c r="AT11" s="4"/>
      <c r="AU11" s="4"/>
      <c r="AV11" s="4"/>
      <c r="AW11" s="2"/>
      <c r="AX11" s="2"/>
      <c r="AY11" s="2"/>
      <c r="AZ11" s="2"/>
      <c r="BA11" s="2"/>
      <c r="BB11" s="2">
        <v>10</v>
      </c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20</v>
      </c>
      <c r="BQ11" s="1">
        <v>1</v>
      </c>
      <c r="BR11" s="17">
        <v>1</v>
      </c>
      <c r="BS11" s="17" t="s">
        <v>215</v>
      </c>
      <c r="BT11" s="1" t="str">
        <f>IF(AQ11&gt;AQ$126, AQ11-AQ$126,"")</f>
        <v/>
      </c>
      <c r="BU11" s="1" t="str">
        <f>IF(AR11&gt;AR$126, AR11-AR$126,"")</f>
        <v/>
      </c>
      <c r="BV11" s="1" t="str">
        <f>IF(AS11&gt;AS$126, AS11-AS$126,"")</f>
        <v/>
      </c>
      <c r="BW11" s="1" t="str">
        <f>IF(AT11&gt;AT$126, AT11-AT$126,"")</f>
        <v/>
      </c>
      <c r="BX11" s="1" t="str">
        <f>IF(AU11&gt;AU$126, AU11-AU$126,"")</f>
        <v/>
      </c>
      <c r="BY11" s="1" t="str">
        <f>IF(AV11&gt;AV$126, AV11-AV$126,"")</f>
        <v/>
      </c>
      <c r="BZ11" s="1" t="str">
        <f>IF(AW11&gt;AW$126, AW11-AW$126,"")</f>
        <v/>
      </c>
      <c r="CA11" s="1" t="str">
        <f>IF(AX11&gt;AX$126, AX11-AX$126,"")</f>
        <v/>
      </c>
      <c r="CB11" s="1" t="str">
        <f>IF(AY11&gt;AY$126, AY11-AY$126,"")</f>
        <v/>
      </c>
      <c r="CC11" s="1" t="str">
        <f>IF(AZ11&gt;AZ$126, AZ11-AZ$126,"")</f>
        <v/>
      </c>
      <c r="CD11" s="1" t="str">
        <f>IF(BA11&gt;BA$126, BA11-BA$126,"")</f>
        <v/>
      </c>
      <c r="CE11" s="1" t="str">
        <f>IF(BB11&gt;BB$126, BB11-BB$126,"")</f>
        <v/>
      </c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3"/>
    </row>
    <row r="12" spans="1:97" x14ac:dyDescent="0.15">
      <c r="A12" s="1"/>
      <c r="B12" s="1" t="s">
        <v>112</v>
      </c>
      <c r="C12" s="1" t="s">
        <v>105</v>
      </c>
      <c r="D12" s="1" t="s">
        <v>109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>
        <v>2</v>
      </c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2</v>
      </c>
      <c r="BQ12" s="1">
        <v>2</v>
      </c>
      <c r="BR12" s="17">
        <v>1</v>
      </c>
      <c r="BS12" s="17" t="s">
        <v>213</v>
      </c>
      <c r="BT12" s="1" t="str">
        <f>IF(AQ12&gt;AQ$126, AQ12-AQ$126,"")</f>
        <v/>
      </c>
      <c r="BU12" s="1" t="str">
        <f>IF(AR12&gt;AR$126, AR12-AR$126,"")</f>
        <v/>
      </c>
      <c r="BV12" s="1" t="str">
        <f>IF(AS12&gt;AS$126, AS12-AS$126,"")</f>
        <v/>
      </c>
      <c r="BW12" s="1" t="str">
        <f>IF(AT12&gt;AT$126, AT12-AT$126,"")</f>
        <v/>
      </c>
      <c r="BX12" s="1" t="str">
        <f>IF(AU12&gt;AU$126, AU12-AU$126,"")</f>
        <v/>
      </c>
      <c r="BY12" s="1" t="str">
        <f>IF(AV12&gt;AV$126, AV12-AV$126,"")</f>
        <v/>
      </c>
      <c r="BZ12" s="1" t="str">
        <f>IF(AW12&gt;AW$126, AW12-AW$126,"")</f>
        <v/>
      </c>
      <c r="CA12" s="1" t="str">
        <f>IF(AX12&gt;AX$126, AX12-AX$126,"")</f>
        <v/>
      </c>
      <c r="CB12" s="1" t="str">
        <f>IF(AY12&gt;AY$126, AY12-AY$126,"")</f>
        <v/>
      </c>
      <c r="CC12" s="1" t="str">
        <f>IF(AZ12&gt;AZ$126, AZ12-AZ$126,"")</f>
        <v/>
      </c>
      <c r="CD12" s="1" t="str">
        <f>IF(BA12&gt;BA$126, BA12-BA$126,"")</f>
        <v/>
      </c>
      <c r="CE12" s="1" t="str">
        <f>IF(BB12&gt;BB$126, BB12-BB$126,"")</f>
        <v/>
      </c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3"/>
    </row>
    <row r="13" spans="1:97" x14ac:dyDescent="0.15">
      <c r="A13" s="1">
        <v>69</v>
      </c>
      <c r="B13" s="3" t="s">
        <v>62</v>
      </c>
      <c r="C13" s="1" t="s">
        <v>55</v>
      </c>
      <c r="D13" s="1" t="s">
        <v>13</v>
      </c>
      <c r="E13" s="6"/>
      <c r="F13" s="6"/>
      <c r="G13" s="6"/>
      <c r="H13" s="6">
        <v>6</v>
      </c>
      <c r="I13" s="6">
        <v>6</v>
      </c>
      <c r="J13" s="6"/>
      <c r="K13" s="6"/>
      <c r="L13" s="6"/>
      <c r="M13" s="6"/>
      <c r="N13" s="6"/>
      <c r="O13" s="6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>
        <v>10</v>
      </c>
      <c r="AW13" s="2"/>
      <c r="AX13" s="2">
        <v>10</v>
      </c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32</v>
      </c>
      <c r="BQ13" s="1">
        <v>2</v>
      </c>
      <c r="BR13" s="17">
        <v>1</v>
      </c>
      <c r="BS13" s="17" t="s">
        <v>214</v>
      </c>
      <c r="BT13" s="1" t="str">
        <f>IF(AQ13&gt;AQ$126, AQ13-AQ$126,"")</f>
        <v/>
      </c>
      <c r="BU13" s="1" t="str">
        <f>IF(AR13&gt;AR$126, AR13-AR$126,"")</f>
        <v/>
      </c>
      <c r="BV13" s="1" t="str">
        <f>IF(AS13&gt;AS$126, AS13-AS$126,"")</f>
        <v/>
      </c>
      <c r="BW13" s="1" t="str">
        <f>IF(AT13&gt;AT$126, AT13-AT$126,"")</f>
        <v/>
      </c>
      <c r="BX13" s="1" t="str">
        <f>IF(AU13&gt;AU$126, AU13-AU$126,"")</f>
        <v/>
      </c>
      <c r="BY13" s="1" t="str">
        <f>IF(AV13&gt;AV$126, AV13-AV$126,"")</f>
        <v/>
      </c>
      <c r="BZ13" s="1" t="str">
        <f>IF(AW13&gt;AW$126, AW13-AW$126,"")</f>
        <v/>
      </c>
      <c r="CA13" s="1" t="str">
        <f>IF(AX13&gt;AX$126, AX13-AX$126,"")</f>
        <v/>
      </c>
      <c r="CB13" s="1" t="str">
        <f>IF(AY13&gt;AY$126, AY13-AY$126,"")</f>
        <v/>
      </c>
      <c r="CC13" s="1" t="str">
        <f>IF(AZ13&gt;AZ$126, AZ13-AZ$126,"")</f>
        <v/>
      </c>
      <c r="CD13" s="1" t="str">
        <f>IF(BA13&gt;BA$126, BA13-BA$126,"")</f>
        <v/>
      </c>
      <c r="CE13" s="1" t="str">
        <f>IF(BB13&gt;BB$126, BB13-BB$126,"")</f>
        <v/>
      </c>
      <c r="CF13" s="1">
        <f>COUNTIF(BT13:CE13, "&gt;0")</f>
        <v>0</v>
      </c>
      <c r="CG13" s="1" t="str">
        <f>IF($CF13=1,BT13,"")</f>
        <v/>
      </c>
      <c r="CH13" s="1" t="str">
        <f>IF($CF13=1,BU13,"")</f>
        <v/>
      </c>
      <c r="CI13" s="1" t="str">
        <f>IF($CF13=1,BV13,"")</f>
        <v/>
      </c>
      <c r="CJ13" s="1" t="str">
        <f>IF($CF13=1,BW13,"")</f>
        <v/>
      </c>
      <c r="CK13" s="1" t="str">
        <f>IF($CF13=1,BX13,"")</f>
        <v/>
      </c>
      <c r="CL13" s="1" t="str">
        <f>IF($CF13=1,BY13,"")</f>
        <v/>
      </c>
      <c r="CM13" s="1" t="str">
        <f>IF($CF13=1,BZ13,"")</f>
        <v/>
      </c>
      <c r="CN13" s="1" t="str">
        <f>IF($CF13=1,CA13,"")</f>
        <v/>
      </c>
      <c r="CO13" s="1" t="str">
        <f>IF($CF13=1,CB13,"")</f>
        <v/>
      </c>
      <c r="CP13" s="1" t="str">
        <f>IF($CF13=1,CC13,"")</f>
        <v/>
      </c>
      <c r="CQ13" s="1" t="str">
        <f>IF($CF13=1,CD13,"")</f>
        <v/>
      </c>
      <c r="CR13" s="1" t="str">
        <f>IF($CF13=1,CE13,"")</f>
        <v/>
      </c>
      <c r="CS13" s="3">
        <f>SUM(AE13:BO13)</f>
        <v>20</v>
      </c>
    </row>
    <row r="14" spans="1:97" x14ac:dyDescent="0.15">
      <c r="A14" s="1">
        <v>18</v>
      </c>
      <c r="B14" s="1" t="s">
        <v>33</v>
      </c>
      <c r="C14" s="1" t="s">
        <v>30</v>
      </c>
      <c r="D14" s="1" t="s">
        <v>24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1"/>
      <c r="AF14" s="1"/>
      <c r="AG14" s="1">
        <v>5</v>
      </c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5</v>
      </c>
      <c r="BQ14" s="1">
        <v>4</v>
      </c>
      <c r="BR14" s="17">
        <v>1</v>
      </c>
      <c r="BS14" s="17" t="s">
        <v>217</v>
      </c>
      <c r="BT14" s="1" t="str">
        <f>IF(AQ14&gt;AQ$126, AQ14-AQ$126,"")</f>
        <v/>
      </c>
      <c r="BU14" s="1" t="str">
        <f>IF(AR14&gt;AR$126, AR14-AR$126,"")</f>
        <v/>
      </c>
      <c r="BV14" s="1" t="str">
        <f>IF(AS14&gt;AS$126, AS14-AS$126,"")</f>
        <v/>
      </c>
      <c r="BW14" s="1" t="str">
        <f>IF(AT14&gt;AT$126, AT14-AT$126,"")</f>
        <v/>
      </c>
      <c r="BX14" s="1" t="str">
        <f>IF(AU14&gt;AU$126, AU14-AU$126,"")</f>
        <v/>
      </c>
      <c r="BY14" s="1" t="str">
        <f>IF(AV14&gt;AV$126, AV14-AV$126,"")</f>
        <v/>
      </c>
      <c r="BZ14" s="1" t="str">
        <f>IF(AW14&gt;AW$126, AW14-AW$126,"")</f>
        <v/>
      </c>
      <c r="CA14" s="1" t="str">
        <f>IF(AX14&gt;AX$126, AX14-AX$126,"")</f>
        <v/>
      </c>
      <c r="CB14" s="1" t="str">
        <f>IF(AY14&gt;AY$126, AY14-AY$126,"")</f>
        <v/>
      </c>
      <c r="CC14" s="1" t="str">
        <f>IF(AZ14&gt;AZ$126, AZ14-AZ$126,"")</f>
        <v/>
      </c>
      <c r="CD14" s="1" t="str">
        <f>IF(BA14&gt;BA$126, BA14-BA$126,"")</f>
        <v/>
      </c>
      <c r="CE14" s="1" t="str">
        <f>IF(BB14&gt;BB$126, BB14-BB$126,"")</f>
        <v/>
      </c>
      <c r="CF14" s="1">
        <f>COUNTIF(BT14:CE14, "&gt;0")</f>
        <v>0</v>
      </c>
      <c r="CG14" s="1" t="str">
        <f>IF($CF14=1,BT14,"")</f>
        <v/>
      </c>
      <c r="CH14" s="1" t="str">
        <f>IF($CF14=1,BU14,"")</f>
        <v/>
      </c>
      <c r="CI14" s="1" t="str">
        <f>IF($CF14=1,BV14,"")</f>
        <v/>
      </c>
      <c r="CJ14" s="1" t="str">
        <f>IF($CF14=1,BW14,"")</f>
        <v/>
      </c>
      <c r="CK14" s="1" t="str">
        <f>IF($CF14=1,BX14,"")</f>
        <v/>
      </c>
      <c r="CL14" s="1" t="str">
        <f>IF($CF14=1,BY14,"")</f>
        <v/>
      </c>
      <c r="CM14" s="1" t="str">
        <f>IF($CF14=1,BZ14,"")</f>
        <v/>
      </c>
      <c r="CN14" s="1" t="str">
        <f>IF($CF14=1,CA14,"")</f>
        <v/>
      </c>
      <c r="CO14" s="1" t="str">
        <f>IF($CF14=1,CB14,"")</f>
        <v/>
      </c>
      <c r="CP14" s="1" t="str">
        <f>IF($CF14=1,CC14,"")</f>
        <v/>
      </c>
      <c r="CQ14" s="1" t="str">
        <f>IF($CF14=1,CD14,"")</f>
        <v/>
      </c>
      <c r="CR14" s="1" t="str">
        <f>IF($CF14=1,CE14,"")</f>
        <v/>
      </c>
      <c r="CS14" s="3">
        <f>SUM(AE14:BO14)</f>
        <v>5</v>
      </c>
    </row>
    <row r="15" spans="1:97" x14ac:dyDescent="0.15">
      <c r="A15" s="1">
        <v>19</v>
      </c>
      <c r="B15" s="1" t="s">
        <v>36</v>
      </c>
      <c r="C15" s="1" t="s">
        <v>30</v>
      </c>
      <c r="D15" s="1" t="s">
        <v>23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1"/>
      <c r="AF15" s="1"/>
      <c r="AG15" s="1">
        <v>5</v>
      </c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5</v>
      </c>
      <c r="BQ15" s="1">
        <v>4</v>
      </c>
      <c r="BR15" s="17">
        <v>1</v>
      </c>
      <c r="BS15" s="17" t="s">
        <v>218</v>
      </c>
      <c r="BT15" s="1" t="str">
        <f>IF(AQ15&gt;AQ$126, AQ15-AQ$126,"")</f>
        <v/>
      </c>
      <c r="BU15" s="1" t="str">
        <f>IF(AR15&gt;AR$126, AR15-AR$126,"")</f>
        <v/>
      </c>
      <c r="BV15" s="1" t="str">
        <f>IF(AS15&gt;AS$126, AS15-AS$126,"")</f>
        <v/>
      </c>
      <c r="BW15" s="1" t="str">
        <f>IF(AT15&gt;AT$126, AT15-AT$126,"")</f>
        <v/>
      </c>
      <c r="BX15" s="1" t="str">
        <f>IF(AU15&gt;AU$126, AU15-AU$126,"")</f>
        <v/>
      </c>
      <c r="BY15" s="1" t="str">
        <f>IF(AV15&gt;AV$126, AV15-AV$126,"")</f>
        <v/>
      </c>
      <c r="BZ15" s="1" t="str">
        <f>IF(AW15&gt;AW$126, AW15-AW$126,"")</f>
        <v/>
      </c>
      <c r="CA15" s="1" t="str">
        <f>IF(AX15&gt;AX$126, AX15-AX$126,"")</f>
        <v/>
      </c>
      <c r="CB15" s="1" t="str">
        <f>IF(AY15&gt;AY$126, AY15-AY$126,"")</f>
        <v/>
      </c>
      <c r="CC15" s="1" t="str">
        <f>IF(AZ15&gt;AZ$126, AZ15-AZ$126,"")</f>
        <v/>
      </c>
      <c r="CD15" s="1" t="str">
        <f>IF(BA15&gt;BA$126, BA15-BA$126,"")</f>
        <v/>
      </c>
      <c r="CE15" s="1" t="str">
        <f>IF(BB15&gt;BB$126, BB15-BB$126,"")</f>
        <v/>
      </c>
      <c r="CF15" s="1">
        <f>COUNTIF(BT15:CE15, "&gt;0")</f>
        <v>0</v>
      </c>
      <c r="CG15" s="1" t="str">
        <f>IF($CF15=1,BT15,"")</f>
        <v/>
      </c>
      <c r="CH15" s="1" t="str">
        <f>IF($CF15=1,BU15,"")</f>
        <v/>
      </c>
      <c r="CI15" s="1" t="str">
        <f>IF($CF15=1,BV15,"")</f>
        <v/>
      </c>
      <c r="CJ15" s="1" t="str">
        <f>IF($CF15=1,BW15,"")</f>
        <v/>
      </c>
      <c r="CK15" s="1" t="str">
        <f>IF($CF15=1,BX15,"")</f>
        <v/>
      </c>
      <c r="CL15" s="1" t="str">
        <f>IF($CF15=1,BY15,"")</f>
        <v/>
      </c>
      <c r="CM15" s="1" t="str">
        <f>IF($CF15=1,BZ15,"")</f>
        <v/>
      </c>
      <c r="CN15" s="1" t="str">
        <f>IF($CF15=1,CA15,"")</f>
        <v/>
      </c>
      <c r="CO15" s="1" t="str">
        <f>IF($CF15=1,CB15,"")</f>
        <v/>
      </c>
      <c r="CP15" s="1" t="str">
        <f>IF($CF15=1,CC15,"")</f>
        <v/>
      </c>
      <c r="CQ15" s="1" t="str">
        <f>IF($CF15=1,CD15,"")</f>
        <v/>
      </c>
      <c r="CR15" s="1" t="str">
        <f>IF($CF15=1,CE15,"")</f>
        <v/>
      </c>
      <c r="CS15" s="3">
        <f>SUM(AE15:BO15)</f>
        <v>5</v>
      </c>
    </row>
    <row r="16" spans="1:97" x14ac:dyDescent="0.15">
      <c r="A16" s="1">
        <v>17</v>
      </c>
      <c r="B16" s="1" t="s">
        <v>33</v>
      </c>
      <c r="C16" s="1" t="s">
        <v>30</v>
      </c>
      <c r="D16" s="1" t="s">
        <v>23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1"/>
      <c r="AF16" s="1">
        <v>5</v>
      </c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5</v>
      </c>
      <c r="BQ16" s="1">
        <v>5</v>
      </c>
      <c r="BR16" s="17">
        <v>1</v>
      </c>
      <c r="BS16" s="17" t="s">
        <v>216</v>
      </c>
      <c r="BT16" s="1" t="str">
        <f>IF(AQ16&gt;AQ$126, AQ16-AQ$126,"")</f>
        <v/>
      </c>
      <c r="BU16" s="1" t="str">
        <f>IF(AR16&gt;AR$126, AR16-AR$126,"")</f>
        <v/>
      </c>
      <c r="BV16" s="1" t="str">
        <f>IF(AS16&gt;AS$126, AS16-AS$126,"")</f>
        <v/>
      </c>
      <c r="BW16" s="1" t="str">
        <f>IF(AT16&gt;AT$126, AT16-AT$126,"")</f>
        <v/>
      </c>
      <c r="BX16" s="1" t="str">
        <f>IF(AU16&gt;AU$126, AU16-AU$126,"")</f>
        <v/>
      </c>
      <c r="BY16" s="1" t="str">
        <f>IF(AV16&gt;AV$126, AV16-AV$126,"")</f>
        <v/>
      </c>
      <c r="BZ16" s="1" t="str">
        <f>IF(AW16&gt;AW$126, AW16-AW$126,"")</f>
        <v/>
      </c>
      <c r="CA16" s="1" t="str">
        <f>IF(AX16&gt;AX$126, AX16-AX$126,"")</f>
        <v/>
      </c>
      <c r="CB16" s="1" t="str">
        <f>IF(AY16&gt;AY$126, AY16-AY$126,"")</f>
        <v/>
      </c>
      <c r="CC16" s="1" t="str">
        <f>IF(AZ16&gt;AZ$126, AZ16-AZ$126,"")</f>
        <v/>
      </c>
      <c r="CD16" s="1" t="str">
        <f>IF(BA16&gt;BA$126, BA16-BA$126,"")</f>
        <v/>
      </c>
      <c r="CE16" s="1" t="str">
        <f>IF(BB16&gt;BB$126, BB16-BB$126,"")</f>
        <v/>
      </c>
      <c r="CF16" s="1">
        <f>COUNTIF(BT16:CE16, "&gt;0")</f>
        <v>0</v>
      </c>
      <c r="CG16" s="1" t="str">
        <f>IF($CF16=1,BT16,"")</f>
        <v/>
      </c>
      <c r="CH16" s="1" t="str">
        <f>IF($CF16=1,BU16,"")</f>
        <v/>
      </c>
      <c r="CI16" s="1" t="str">
        <f>IF($CF16=1,BV16,"")</f>
        <v/>
      </c>
      <c r="CJ16" s="1" t="str">
        <f>IF($CF16=1,BW16,"")</f>
        <v/>
      </c>
      <c r="CK16" s="1" t="str">
        <f>IF($CF16=1,BX16,"")</f>
        <v/>
      </c>
      <c r="CL16" s="1" t="str">
        <f>IF($CF16=1,BY16,"")</f>
        <v/>
      </c>
      <c r="CM16" s="1" t="str">
        <f>IF($CF16=1,BZ16,"")</f>
        <v/>
      </c>
      <c r="CN16" s="1" t="str">
        <f>IF($CF16=1,CA16,"")</f>
        <v/>
      </c>
      <c r="CO16" s="1" t="str">
        <f>IF($CF16=1,CB16,"")</f>
        <v/>
      </c>
      <c r="CP16" s="1" t="str">
        <f>IF($CF16=1,CC16,"")</f>
        <v/>
      </c>
      <c r="CQ16" s="1" t="str">
        <f>IF($CF16=1,CD16,"")</f>
        <v/>
      </c>
      <c r="CR16" s="1" t="str">
        <f>IF($CF16=1,CE16,"")</f>
        <v/>
      </c>
      <c r="CS16" s="3">
        <f>SUM(AE16:BO16)</f>
        <v>5</v>
      </c>
    </row>
    <row r="17" spans="1:97" x14ac:dyDescent="0.15">
      <c r="A17" s="1">
        <v>32</v>
      </c>
      <c r="B17" s="1" t="s">
        <v>76</v>
      </c>
      <c r="C17" s="1" t="s">
        <v>30</v>
      </c>
      <c r="D17" s="1" t="s">
        <v>23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1"/>
      <c r="AF17" s="1"/>
      <c r="AG17" s="1"/>
      <c r="AH17" s="1"/>
      <c r="AI17" s="1">
        <v>5</v>
      </c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5</v>
      </c>
      <c r="BQ17" s="1">
        <v>5</v>
      </c>
      <c r="BR17" s="17">
        <v>1</v>
      </c>
      <c r="BS17" s="17" t="s">
        <v>219</v>
      </c>
      <c r="BT17" s="1" t="str">
        <f>IF(AQ17&gt;AQ$126, AQ17-AQ$126,"")</f>
        <v/>
      </c>
      <c r="BU17" s="1" t="str">
        <f>IF(AR17&gt;AR$126, AR17-AR$126,"")</f>
        <v/>
      </c>
      <c r="BV17" s="1" t="str">
        <f>IF(AS17&gt;AS$126, AS17-AS$126,"")</f>
        <v/>
      </c>
      <c r="BW17" s="1" t="str">
        <f>IF(AT17&gt;AT$126, AT17-AT$126,"")</f>
        <v/>
      </c>
      <c r="BX17" s="1" t="str">
        <f>IF(AU17&gt;AU$126, AU17-AU$126,"")</f>
        <v/>
      </c>
      <c r="BY17" s="1" t="str">
        <f>IF(AV17&gt;AV$126, AV17-AV$126,"")</f>
        <v/>
      </c>
      <c r="BZ17" s="1" t="str">
        <f>IF(AW17&gt;AW$126, AW17-AW$126,"")</f>
        <v/>
      </c>
      <c r="CA17" s="1" t="str">
        <f>IF(AX17&gt;AX$126, AX17-AX$126,"")</f>
        <v/>
      </c>
      <c r="CB17" s="1" t="str">
        <f>IF(AY17&gt;AY$126, AY17-AY$126,"")</f>
        <v/>
      </c>
      <c r="CC17" s="1" t="str">
        <f>IF(AZ17&gt;AZ$126, AZ17-AZ$126,"")</f>
        <v/>
      </c>
      <c r="CD17" s="1" t="str">
        <f>IF(BA17&gt;BA$126, BA17-BA$126,"")</f>
        <v/>
      </c>
      <c r="CE17" s="1" t="str">
        <f>IF(BB17&gt;BB$126, BB17-BB$126,"")</f>
        <v/>
      </c>
      <c r="CF17" s="1">
        <f>COUNTIF(BT17:CE17, "&gt;0")</f>
        <v>0</v>
      </c>
      <c r="CG17" s="1" t="str">
        <f>IF($CF17=1,BT17,"")</f>
        <v/>
      </c>
      <c r="CH17" s="1" t="str">
        <f>IF($CF17=1,BU17,"")</f>
        <v/>
      </c>
      <c r="CI17" s="1" t="str">
        <f>IF($CF17=1,BV17,"")</f>
        <v/>
      </c>
      <c r="CJ17" s="1" t="str">
        <f>IF($CF17=1,BW17,"")</f>
        <v/>
      </c>
      <c r="CK17" s="1" t="str">
        <f>IF($CF17=1,BX17,"")</f>
        <v/>
      </c>
      <c r="CL17" s="1" t="str">
        <f>IF($CF17=1,BY17,"")</f>
        <v/>
      </c>
      <c r="CM17" s="1" t="str">
        <f>IF($CF17=1,BZ17,"")</f>
        <v/>
      </c>
      <c r="CN17" s="1" t="str">
        <f>IF($CF17=1,CA17,"")</f>
        <v/>
      </c>
      <c r="CO17" s="1" t="str">
        <f>IF($CF17=1,CB17,"")</f>
        <v/>
      </c>
      <c r="CP17" s="1" t="str">
        <f>IF($CF17=1,CC17,"")</f>
        <v/>
      </c>
      <c r="CQ17" s="1" t="str">
        <f>IF($CF17=1,CD17,"")</f>
        <v/>
      </c>
      <c r="CR17" s="1" t="str">
        <f>IF($CF17=1,CE17,"")</f>
        <v/>
      </c>
      <c r="CS17" s="3">
        <f>SUM(AE17:BO17)</f>
        <v>5</v>
      </c>
    </row>
    <row r="18" spans="1:97" x14ac:dyDescent="0.15">
      <c r="A18" s="1">
        <v>33</v>
      </c>
      <c r="B18" s="1" t="s">
        <v>76</v>
      </c>
      <c r="C18" s="1" t="s">
        <v>30</v>
      </c>
      <c r="D18" s="1" t="s">
        <v>1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1"/>
      <c r="AF18" s="1"/>
      <c r="AG18" s="1"/>
      <c r="AH18" s="1">
        <v>5</v>
      </c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5</v>
      </c>
      <c r="BQ18" s="1">
        <v>5</v>
      </c>
      <c r="BR18" s="17">
        <v>1</v>
      </c>
      <c r="BS18" s="17" t="s">
        <v>220</v>
      </c>
      <c r="BT18" s="1" t="str">
        <f>IF(AQ18&gt;AQ$126, AQ18-AQ$126,"")</f>
        <v/>
      </c>
      <c r="BU18" s="1" t="str">
        <f>IF(AR18&gt;AR$126, AR18-AR$126,"")</f>
        <v/>
      </c>
      <c r="BV18" s="1" t="str">
        <f>IF(AS18&gt;AS$126, AS18-AS$126,"")</f>
        <v/>
      </c>
      <c r="BW18" s="1" t="str">
        <f>IF(AT18&gt;AT$126, AT18-AT$126,"")</f>
        <v/>
      </c>
      <c r="BX18" s="1" t="str">
        <f>IF(AU18&gt;AU$126, AU18-AU$126,"")</f>
        <v/>
      </c>
      <c r="BY18" s="1" t="str">
        <f>IF(AV18&gt;AV$126, AV18-AV$126,"")</f>
        <v/>
      </c>
      <c r="BZ18" s="1" t="str">
        <f>IF(AW18&gt;AW$126, AW18-AW$126,"")</f>
        <v/>
      </c>
      <c r="CA18" s="1" t="str">
        <f>IF(AX18&gt;AX$126, AX18-AX$126,"")</f>
        <v/>
      </c>
      <c r="CB18" s="1" t="str">
        <f>IF(AY18&gt;AY$126, AY18-AY$126,"")</f>
        <v/>
      </c>
      <c r="CC18" s="1" t="str">
        <f>IF(AZ18&gt;AZ$126, AZ18-AZ$126,"")</f>
        <v/>
      </c>
      <c r="CD18" s="1" t="str">
        <f>IF(BA18&gt;BA$126, BA18-BA$126,"")</f>
        <v/>
      </c>
      <c r="CE18" s="1" t="str">
        <f>IF(BB18&gt;BB$126, BB18-BB$126,"")</f>
        <v/>
      </c>
      <c r="CF18" s="1">
        <f>COUNTIF(BT18:CE18, "&gt;0")</f>
        <v>0</v>
      </c>
      <c r="CG18" s="1" t="str">
        <f>IF($CF18=1,BT18,"")</f>
        <v/>
      </c>
      <c r="CH18" s="1" t="str">
        <f>IF($CF18=1,BU18,"")</f>
        <v/>
      </c>
      <c r="CI18" s="1" t="str">
        <f>IF($CF18=1,BV18,"")</f>
        <v/>
      </c>
      <c r="CJ18" s="1" t="str">
        <f>IF($CF18=1,BW18,"")</f>
        <v/>
      </c>
      <c r="CK18" s="1" t="str">
        <f>IF($CF18=1,BX18,"")</f>
        <v/>
      </c>
      <c r="CL18" s="1" t="str">
        <f>IF($CF18=1,BY18,"")</f>
        <v/>
      </c>
      <c r="CM18" s="1" t="str">
        <f>IF($CF18=1,BZ18,"")</f>
        <v/>
      </c>
      <c r="CN18" s="1" t="str">
        <f>IF($CF18=1,CA18,"")</f>
        <v/>
      </c>
      <c r="CO18" s="1" t="str">
        <f>IF($CF18=1,CB18,"")</f>
        <v/>
      </c>
      <c r="CP18" s="1" t="str">
        <f>IF($CF18=1,CC18,"")</f>
        <v/>
      </c>
      <c r="CQ18" s="1" t="str">
        <f>IF($CF18=1,CD18,"")</f>
        <v/>
      </c>
      <c r="CR18" s="1" t="str">
        <f>IF($CF18=1,CE18,"")</f>
        <v/>
      </c>
      <c r="CS18" s="3">
        <f>SUM(AE18:BO18)</f>
        <v>5</v>
      </c>
    </row>
    <row r="19" spans="1:97" x14ac:dyDescent="0.15">
      <c r="A19" s="1">
        <v>63</v>
      </c>
      <c r="B19" s="3" t="s">
        <v>60</v>
      </c>
      <c r="C19" s="1" t="s">
        <v>55</v>
      </c>
      <c r="D19" s="1" t="s">
        <v>23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>
        <v>5</v>
      </c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5</v>
      </c>
      <c r="BQ19" s="1">
        <v>5</v>
      </c>
      <c r="BR19" s="17">
        <v>1</v>
      </c>
      <c r="BS19" s="17" t="s">
        <v>221</v>
      </c>
      <c r="BT19" s="1" t="str">
        <f>IF(AQ19&gt;AQ$126, AQ19-AQ$126,"")</f>
        <v/>
      </c>
      <c r="BU19" s="1" t="str">
        <f>IF(AR19&gt;AR$126, AR19-AR$126,"")</f>
        <v/>
      </c>
      <c r="BV19" s="1" t="str">
        <f>IF(AS19&gt;AS$126, AS19-AS$126,"")</f>
        <v/>
      </c>
      <c r="BW19" s="1" t="str">
        <f>IF(AT19&gt;AT$126, AT19-AT$126,"")</f>
        <v/>
      </c>
      <c r="BX19" s="1" t="str">
        <f>IF(AU19&gt;AU$126, AU19-AU$126,"")</f>
        <v/>
      </c>
      <c r="BY19" s="1" t="str">
        <f>IF(AV19&gt;AV$126, AV19-AV$126,"")</f>
        <v/>
      </c>
      <c r="BZ19" s="1" t="str">
        <f>IF(AW19&gt;AW$126, AW19-AW$126,"")</f>
        <v/>
      </c>
      <c r="CA19" s="1" t="str">
        <f>IF(AX19&gt;AX$126, AX19-AX$126,"")</f>
        <v/>
      </c>
      <c r="CB19" s="1" t="str">
        <f>IF(AY19&gt;AY$126, AY19-AY$126,"")</f>
        <v/>
      </c>
      <c r="CC19" s="1" t="str">
        <f>IF(AZ19&gt;AZ$126, AZ19-AZ$126,"")</f>
        <v/>
      </c>
      <c r="CD19" s="1" t="str">
        <f>IF(BA19&gt;BA$126, BA19-BA$126,"")</f>
        <v/>
      </c>
      <c r="CE19" s="1" t="str">
        <f>IF(BB19&gt;BB$126, BB19-BB$126,"")</f>
        <v/>
      </c>
      <c r="CF19" s="1">
        <f>COUNTIF(BT19:CE19, "&gt;0")</f>
        <v>0</v>
      </c>
      <c r="CG19" s="1" t="str">
        <f>IF($CF19=1,BT19,"")</f>
        <v/>
      </c>
      <c r="CH19" s="1" t="str">
        <f>IF($CF19=1,BU19,"")</f>
        <v/>
      </c>
      <c r="CI19" s="1" t="str">
        <f>IF($CF19=1,BV19,"")</f>
        <v/>
      </c>
      <c r="CJ19" s="1" t="str">
        <f>IF($CF19=1,BW19,"")</f>
        <v/>
      </c>
      <c r="CK19" s="1" t="str">
        <f>IF($CF19=1,BX19,"")</f>
        <v/>
      </c>
      <c r="CL19" s="1" t="str">
        <f>IF($CF19=1,BY19,"")</f>
        <v/>
      </c>
      <c r="CM19" s="1" t="str">
        <f>IF($CF19=1,BZ19,"")</f>
        <v/>
      </c>
      <c r="CN19" s="1" t="str">
        <f>IF($CF19=1,CA19,"")</f>
        <v/>
      </c>
      <c r="CO19" s="1" t="str">
        <f>IF($CF19=1,CB19,"")</f>
        <v/>
      </c>
      <c r="CP19" s="1" t="str">
        <f>IF($CF19=1,CC19,"")</f>
        <v/>
      </c>
      <c r="CQ19" s="1" t="str">
        <f>IF($CF19=1,CD19,"")</f>
        <v/>
      </c>
      <c r="CR19" s="1" t="str">
        <f>IF($CF19=1,CE19,"")</f>
        <v/>
      </c>
      <c r="CS19" s="3">
        <f>SUM(AE19:BO19)</f>
        <v>5</v>
      </c>
    </row>
    <row r="20" spans="1:97" x14ac:dyDescent="0.15">
      <c r="A20" s="1">
        <v>90</v>
      </c>
      <c r="B20" s="3" t="s">
        <v>80</v>
      </c>
      <c r="C20" s="3" t="s">
        <v>79</v>
      </c>
      <c r="D20" s="1" t="s">
        <v>23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>
        <v>5</v>
      </c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5</v>
      </c>
      <c r="BQ20" s="1">
        <v>5</v>
      </c>
      <c r="BR20" s="17">
        <v>1</v>
      </c>
      <c r="BS20" s="17" t="s">
        <v>221</v>
      </c>
      <c r="BT20" s="1" t="str">
        <f>IF(AQ20&gt;AQ$126, AQ20-AQ$126,"")</f>
        <v/>
      </c>
      <c r="BU20" s="1" t="str">
        <f>IF(AR20&gt;AR$126, AR20-AR$126,"")</f>
        <v/>
      </c>
      <c r="BV20" s="1" t="str">
        <f>IF(AS20&gt;AS$126, AS20-AS$126,"")</f>
        <v/>
      </c>
      <c r="BW20" s="1" t="str">
        <f>IF(AT20&gt;AT$126, AT20-AT$126,"")</f>
        <v/>
      </c>
      <c r="BX20" s="1" t="str">
        <f>IF(AU20&gt;AU$126, AU20-AU$126,"")</f>
        <v/>
      </c>
      <c r="BY20" s="1" t="str">
        <f>IF(AV20&gt;AV$126, AV20-AV$126,"")</f>
        <v/>
      </c>
      <c r="BZ20" s="1" t="str">
        <f>IF(AW20&gt;AW$126, AW20-AW$126,"")</f>
        <v/>
      </c>
      <c r="CA20" s="1" t="str">
        <f>IF(AX20&gt;AX$126, AX20-AX$126,"")</f>
        <v/>
      </c>
      <c r="CB20" s="1" t="str">
        <f>IF(AY20&gt;AY$126, AY20-AY$126,"")</f>
        <v/>
      </c>
      <c r="CC20" s="1" t="str">
        <f>IF(AZ20&gt;AZ$126, AZ20-AZ$126,"")</f>
        <v/>
      </c>
      <c r="CD20" s="1" t="str">
        <f>IF(BA20&gt;BA$126, BA20-BA$126,"")</f>
        <v/>
      </c>
      <c r="CE20" s="1" t="str">
        <f>IF(BB20&gt;BB$126, BB20-BB$126,"")</f>
        <v/>
      </c>
      <c r="CF20" s="1">
        <f>COUNTIF(BT20:CE20, "&gt;0")</f>
        <v>0</v>
      </c>
      <c r="CG20" s="1" t="str">
        <f>IF($CF20=1,BT20,"")</f>
        <v/>
      </c>
      <c r="CH20" s="1" t="str">
        <f>IF($CF20=1,BU20,"")</f>
        <v/>
      </c>
      <c r="CI20" s="1" t="str">
        <f>IF($CF20=1,BV20,"")</f>
        <v/>
      </c>
      <c r="CJ20" s="1" t="str">
        <f>IF($CF20=1,BW20,"")</f>
        <v/>
      </c>
      <c r="CK20" s="1" t="str">
        <f>IF($CF20=1,BX20,"")</f>
        <v/>
      </c>
      <c r="CL20" s="1" t="str">
        <f>IF($CF20=1,BY20,"")</f>
        <v/>
      </c>
      <c r="CM20" s="1" t="str">
        <f>IF($CF20=1,BZ20,"")</f>
        <v/>
      </c>
      <c r="CN20" s="1" t="str">
        <f>IF($CF20=1,CA20,"")</f>
        <v/>
      </c>
      <c r="CO20" s="1" t="str">
        <f>IF($CF20=1,CB20,"")</f>
        <v/>
      </c>
      <c r="CP20" s="1" t="str">
        <f>IF($CF20=1,CC20,"")</f>
        <v/>
      </c>
      <c r="CQ20" s="1" t="str">
        <f>IF($CF20=1,CD20,"")</f>
        <v/>
      </c>
      <c r="CR20" s="1" t="str">
        <f>IF($CF20=1,CE20,"")</f>
        <v/>
      </c>
      <c r="CS20" s="3">
        <f>SUM(AE20:BO20)</f>
        <v>5</v>
      </c>
    </row>
    <row r="21" spans="1:97" x14ac:dyDescent="0.15">
      <c r="A21" s="1"/>
      <c r="B21" s="1" t="s">
        <v>115</v>
      </c>
      <c r="C21" s="1" t="s">
        <v>113</v>
      </c>
      <c r="D21" s="1" t="s">
        <v>109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1"/>
      <c r="AF21" s="1"/>
      <c r="AG21" s="1"/>
      <c r="AH21" s="1">
        <v>5</v>
      </c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5</v>
      </c>
      <c r="BQ21" s="1">
        <v>5</v>
      </c>
      <c r="BR21" s="17">
        <v>1</v>
      </c>
      <c r="BS21" s="17" t="s">
        <v>222</v>
      </c>
      <c r="BT21" s="1" t="str">
        <f>IF(AQ21&gt;AQ$126, AQ21-AQ$126,"")</f>
        <v/>
      </c>
      <c r="BU21" s="1" t="str">
        <f>IF(AR21&gt;AR$126, AR21-AR$126,"")</f>
        <v/>
      </c>
      <c r="BV21" s="1" t="str">
        <f>IF(AS21&gt;AS$126, AS21-AS$126,"")</f>
        <v/>
      </c>
      <c r="BW21" s="1" t="str">
        <f>IF(AT21&gt;AT$126, AT21-AT$126,"")</f>
        <v/>
      </c>
      <c r="BX21" s="1" t="str">
        <f>IF(AU21&gt;AU$126, AU21-AU$126,"")</f>
        <v/>
      </c>
      <c r="BY21" s="1" t="str">
        <f>IF(AV21&gt;AV$126, AV21-AV$126,"")</f>
        <v/>
      </c>
      <c r="BZ21" s="1" t="str">
        <f>IF(AW21&gt;AW$126, AW21-AW$126,"")</f>
        <v/>
      </c>
      <c r="CA21" s="1" t="str">
        <f>IF(AX21&gt;AX$126, AX21-AX$126,"")</f>
        <v/>
      </c>
      <c r="CB21" s="1" t="str">
        <f>IF(AY21&gt;AY$126, AY21-AY$126,"")</f>
        <v/>
      </c>
      <c r="CC21" s="1" t="str">
        <f>IF(AZ21&gt;AZ$126, AZ21-AZ$126,"")</f>
        <v/>
      </c>
      <c r="CD21" s="1" t="str">
        <f>IF(BA21&gt;BA$126, BA21-BA$126,"")</f>
        <v/>
      </c>
      <c r="CE21" s="1" t="str">
        <f>IF(BB21&gt;BB$126, BB21-BB$126,"")</f>
        <v/>
      </c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3"/>
    </row>
    <row r="22" spans="1:97" x14ac:dyDescent="0.15">
      <c r="A22" s="1"/>
      <c r="B22" s="1" t="s">
        <v>115</v>
      </c>
      <c r="C22" s="1" t="s">
        <v>113</v>
      </c>
      <c r="D22" s="1" t="s">
        <v>103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1"/>
      <c r="AF22" s="1"/>
      <c r="AG22" s="1"/>
      <c r="AH22" s="1"/>
      <c r="AI22" s="1">
        <v>5</v>
      </c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5</v>
      </c>
      <c r="BQ22" s="1">
        <v>5</v>
      </c>
      <c r="BR22" s="17">
        <v>1</v>
      </c>
      <c r="BS22" s="17" t="s">
        <v>219</v>
      </c>
      <c r="BT22" s="1" t="str">
        <f>IF(AQ22&gt;AQ$126, AQ22-AQ$126,"")</f>
        <v/>
      </c>
      <c r="BU22" s="1" t="str">
        <f>IF(AR22&gt;AR$126, AR22-AR$126,"")</f>
        <v/>
      </c>
      <c r="BV22" s="1" t="str">
        <f>IF(AS22&gt;AS$126, AS22-AS$126,"")</f>
        <v/>
      </c>
      <c r="BW22" s="1" t="str">
        <f>IF(AT22&gt;AT$126, AT22-AT$126,"")</f>
        <v/>
      </c>
      <c r="BX22" s="1" t="str">
        <f>IF(AU22&gt;AU$126, AU22-AU$126,"")</f>
        <v/>
      </c>
      <c r="BY22" s="1" t="str">
        <f>IF(AV22&gt;AV$126, AV22-AV$126,"")</f>
        <v/>
      </c>
      <c r="BZ22" s="1" t="str">
        <f>IF(AW22&gt;AW$126, AW22-AW$126,"")</f>
        <v/>
      </c>
      <c r="CA22" s="1" t="str">
        <f>IF(AX22&gt;AX$126, AX22-AX$126,"")</f>
        <v/>
      </c>
      <c r="CB22" s="1" t="str">
        <f>IF(AY22&gt;AY$126, AY22-AY$126,"")</f>
        <v/>
      </c>
      <c r="CC22" s="1" t="str">
        <f>IF(AZ22&gt;AZ$126, AZ22-AZ$126,"")</f>
        <v/>
      </c>
      <c r="CD22" s="1" t="str">
        <f>IF(BA22&gt;BA$126, BA22-BA$126,"")</f>
        <v/>
      </c>
      <c r="CE22" s="1" t="str">
        <f>IF(BB22&gt;BB$126, BB22-BB$126,"")</f>
        <v/>
      </c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3"/>
    </row>
    <row r="23" spans="1:97" x14ac:dyDescent="0.15">
      <c r="A23" s="1"/>
      <c r="B23" s="1" t="s">
        <v>175</v>
      </c>
      <c r="C23" s="1" t="s">
        <v>141</v>
      </c>
      <c r="D23" s="1" t="s">
        <v>120</v>
      </c>
      <c r="E23" s="6"/>
      <c r="F23" s="6"/>
      <c r="G23" s="6"/>
      <c r="H23" s="6"/>
      <c r="I23" s="6"/>
      <c r="J23" s="6">
        <v>10</v>
      </c>
      <c r="K23" s="6"/>
      <c r="L23" s="6">
        <v>10</v>
      </c>
      <c r="M23" s="6">
        <v>10</v>
      </c>
      <c r="N23" s="6"/>
      <c r="O23" s="6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>
        <v>15</v>
      </c>
      <c r="AZ23" s="2">
        <v>15</v>
      </c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60</v>
      </c>
      <c r="BQ23" s="1">
        <v>7</v>
      </c>
      <c r="BR23" s="17">
        <v>1</v>
      </c>
      <c r="BS23" s="17" t="s">
        <v>240</v>
      </c>
      <c r="BT23" s="1" t="str">
        <f>IF(AQ23&gt;AQ$126, AQ23-AQ$126,"")</f>
        <v/>
      </c>
      <c r="BU23" s="1" t="str">
        <f>IF(AR23&gt;AR$126, AR23-AR$126,"")</f>
        <v/>
      </c>
      <c r="BV23" s="1" t="str">
        <f>IF(AS23&gt;AS$126, AS23-AS$126,"")</f>
        <v/>
      </c>
      <c r="BW23" s="1" t="str">
        <f>IF(AT23&gt;AT$126, AT23-AT$126,"")</f>
        <v/>
      </c>
      <c r="BX23" s="1" t="str">
        <f>IF(AU23&gt;AU$126, AU23-AU$126,"")</f>
        <v/>
      </c>
      <c r="BY23" s="1" t="str">
        <f>IF(AV23&gt;AV$126, AV23-AV$126,"")</f>
        <v/>
      </c>
      <c r="BZ23" s="1" t="str">
        <f>IF(AW23&gt;AW$126, AW23-AW$126,"")</f>
        <v/>
      </c>
      <c r="CA23" s="1" t="str">
        <f>IF(AX23&gt;AX$126, AX23-AX$126,"")</f>
        <v/>
      </c>
      <c r="CB23" s="1" t="str">
        <f>IF(AY23&gt;AY$126, AY23-AY$126,"")</f>
        <v/>
      </c>
      <c r="CC23" s="1" t="str">
        <f>IF(AZ23&gt;AZ$126, AZ23-AZ$126,"")</f>
        <v/>
      </c>
      <c r="CD23" s="1" t="str">
        <f>IF(BA23&gt;BA$126, BA23-BA$126,"")</f>
        <v/>
      </c>
      <c r="CE23" s="1" t="str">
        <f>IF(BB23&gt;BB$126, BB23-BB$126,"")</f>
        <v/>
      </c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3"/>
    </row>
    <row r="24" spans="1:97" x14ac:dyDescent="0.15">
      <c r="A24" s="1"/>
      <c r="B24" s="1" t="s">
        <v>206</v>
      </c>
      <c r="C24" s="1" t="s">
        <v>55</v>
      </c>
      <c r="D24" s="1" t="s">
        <v>204</v>
      </c>
      <c r="E24" s="6"/>
      <c r="F24" s="6"/>
      <c r="G24" s="6"/>
      <c r="H24" s="6"/>
      <c r="I24" s="6"/>
      <c r="J24" s="6"/>
      <c r="K24" s="6"/>
      <c r="L24" s="6">
        <v>20</v>
      </c>
      <c r="M24" s="6"/>
      <c r="N24" s="6"/>
      <c r="O24" s="6">
        <v>20</v>
      </c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v>9</v>
      </c>
      <c r="BR24" s="17">
        <v>1</v>
      </c>
      <c r="BS24" s="17" t="s">
        <v>223</v>
      </c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3"/>
    </row>
    <row r="25" spans="1:97" x14ac:dyDescent="0.15">
      <c r="A25" s="1">
        <v>6</v>
      </c>
      <c r="B25" s="1" t="s">
        <v>51</v>
      </c>
      <c r="C25" s="1" t="s">
        <v>2</v>
      </c>
      <c r="D25" s="1" t="s">
        <v>22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>
        <v>10</v>
      </c>
      <c r="AS25" s="4"/>
      <c r="AT25" s="4"/>
      <c r="AU25" s="4"/>
      <c r="AV25" s="4"/>
      <c r="AW25" s="2"/>
      <c r="AX25" s="2"/>
      <c r="AY25" s="2"/>
      <c r="AZ25" s="2"/>
      <c r="BA25" s="2"/>
      <c r="BB25" s="2">
        <v>10</v>
      </c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>SUM(E25:BO25)</f>
        <v>20</v>
      </c>
      <c r="BQ25" s="1">
        <v>10</v>
      </c>
      <c r="BR25" s="17">
        <v>1</v>
      </c>
      <c r="BS25" s="17" t="s">
        <v>211</v>
      </c>
      <c r="BT25" s="1" t="str">
        <f>IF(AQ25&gt;AQ$126, AQ25-AQ$126,"")</f>
        <v/>
      </c>
      <c r="BU25" s="1" t="str">
        <f>IF(AR25&gt;AR$126, AR25-AR$126,"")</f>
        <v/>
      </c>
      <c r="BV25" s="1" t="str">
        <f>IF(AS25&gt;AS$126, AS25-AS$126,"")</f>
        <v/>
      </c>
      <c r="BW25" s="1" t="str">
        <f>IF(AT25&gt;AT$126, AT25-AT$126,"")</f>
        <v/>
      </c>
      <c r="BX25" s="1" t="str">
        <f>IF(AU25&gt;AU$126, AU25-AU$126,"")</f>
        <v/>
      </c>
      <c r="BY25" s="1" t="str">
        <f>IF(AV25&gt;AV$126, AV25-AV$126,"")</f>
        <v/>
      </c>
      <c r="BZ25" s="1" t="str">
        <f>IF(AW25&gt;AW$126, AW25-AW$126,"")</f>
        <v/>
      </c>
      <c r="CA25" s="1" t="str">
        <f>IF(AX25&gt;AX$126, AX25-AX$126,"")</f>
        <v/>
      </c>
      <c r="CB25" s="1" t="str">
        <f>IF(AY25&gt;AY$126, AY25-AY$126,"")</f>
        <v/>
      </c>
      <c r="CC25" s="1" t="str">
        <f>IF(AZ25&gt;AZ$126, AZ25-AZ$126,"")</f>
        <v/>
      </c>
      <c r="CD25" s="1" t="str">
        <f>IF(BA25&gt;BA$126, BA25-BA$126,"")</f>
        <v/>
      </c>
      <c r="CE25" s="1" t="str">
        <f>IF(BB25&gt;BB$126, BB25-BB$126,"")</f>
        <v/>
      </c>
      <c r="CF25" s="1">
        <f>COUNTIF(BT25:CE25, "&gt;0")</f>
        <v>0</v>
      </c>
      <c r="CG25" s="1" t="str">
        <f>IF($CF25=1,BT25,"")</f>
        <v/>
      </c>
      <c r="CH25" s="1" t="str">
        <f>IF($CF25=1,BU25,"")</f>
        <v/>
      </c>
      <c r="CI25" s="1" t="str">
        <f>IF($CF25=1,BV25,"")</f>
        <v/>
      </c>
      <c r="CJ25" s="1" t="str">
        <f>IF($CF25=1,BW25,"")</f>
        <v/>
      </c>
      <c r="CK25" s="1" t="str">
        <f>IF($CF25=1,BX25,"")</f>
        <v/>
      </c>
      <c r="CL25" s="1" t="str">
        <f>IF($CF25=1,BY25,"")</f>
        <v/>
      </c>
      <c r="CM25" s="1" t="str">
        <f>IF($CF25=1,BZ25,"")</f>
        <v/>
      </c>
      <c r="CN25" s="1" t="str">
        <f>IF($CF25=1,CA25,"")</f>
        <v/>
      </c>
      <c r="CO25" s="1" t="str">
        <f>IF($CF25=1,CB25,"")</f>
        <v/>
      </c>
      <c r="CP25" s="1" t="str">
        <f>IF($CF25=1,CC25,"")</f>
        <v/>
      </c>
      <c r="CQ25" s="1" t="str">
        <f>IF($CF25=1,CD25,"")</f>
        <v/>
      </c>
      <c r="CR25" s="1" t="str">
        <f>IF($CF25=1,CE25,"")</f>
        <v/>
      </c>
      <c r="CS25" s="3">
        <f>SUM(AE25:BO25)</f>
        <v>20</v>
      </c>
    </row>
    <row r="26" spans="1:97" x14ac:dyDescent="0.15">
      <c r="A26" s="1"/>
      <c r="B26" s="1" t="s">
        <v>174</v>
      </c>
      <c r="C26" s="1" t="s">
        <v>113</v>
      </c>
      <c r="D26" s="1" t="s">
        <v>103</v>
      </c>
      <c r="E26" s="6">
        <v>10</v>
      </c>
      <c r="F26" s="6"/>
      <c r="G26" s="6">
        <v>10</v>
      </c>
      <c r="H26" s="6"/>
      <c r="I26" s="6"/>
      <c r="J26" s="6"/>
      <c r="K26" s="6"/>
      <c r="L26" s="6"/>
      <c r="M26" s="6"/>
      <c r="N26" s="6"/>
      <c r="O26" s="6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>
        <v>10</v>
      </c>
      <c r="AS26" s="4"/>
      <c r="AT26" s="4"/>
      <c r="AU26" s="4"/>
      <c r="AV26" s="4"/>
      <c r="AW26" s="2"/>
      <c r="AX26" s="2"/>
      <c r="AY26" s="2"/>
      <c r="AZ26" s="2"/>
      <c r="BA26" s="2"/>
      <c r="BB26" s="2">
        <v>10</v>
      </c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40</v>
      </c>
      <c r="BQ26" s="1">
        <v>10</v>
      </c>
      <c r="BR26" s="17">
        <v>1</v>
      </c>
      <c r="BS26" s="17" t="s">
        <v>212</v>
      </c>
      <c r="BT26" s="1" t="str">
        <f>IF(AQ26&gt;AQ$126, AQ26-AQ$126,"")</f>
        <v/>
      </c>
      <c r="BU26" s="1" t="str">
        <f>IF(AR26&gt;AR$126, AR26-AR$126,"")</f>
        <v/>
      </c>
      <c r="BV26" s="1" t="str">
        <f>IF(AS26&gt;AS$126, AS26-AS$126,"")</f>
        <v/>
      </c>
      <c r="BW26" s="1" t="str">
        <f>IF(AT26&gt;AT$126, AT26-AT$126,"")</f>
        <v/>
      </c>
      <c r="BX26" s="1" t="str">
        <f>IF(AU26&gt;AU$126, AU26-AU$126,"")</f>
        <v/>
      </c>
      <c r="BY26" s="1" t="str">
        <f>IF(AV26&gt;AV$126, AV26-AV$126,"")</f>
        <v/>
      </c>
      <c r="BZ26" s="1" t="str">
        <f>IF(AW26&gt;AW$126, AW26-AW$126,"")</f>
        <v/>
      </c>
      <c r="CA26" s="1" t="str">
        <f>IF(AX26&gt;AX$126, AX26-AX$126,"")</f>
        <v/>
      </c>
      <c r="CB26" s="1" t="str">
        <f>IF(AY26&gt;AY$126, AY26-AY$126,"")</f>
        <v/>
      </c>
      <c r="CC26" s="1" t="str">
        <f>IF(AZ26&gt;AZ$126, AZ26-AZ$126,"")</f>
        <v/>
      </c>
      <c r="CD26" s="1" t="str">
        <f>IF(BA26&gt;BA$126, BA26-BA$126,"")</f>
        <v/>
      </c>
      <c r="CE26" s="1" t="str">
        <f>IF(BB26&gt;BB$126, BB26-BB$126,"")</f>
        <v/>
      </c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3"/>
    </row>
    <row r="27" spans="1:97" x14ac:dyDescent="0.15">
      <c r="A27" s="1"/>
      <c r="B27" s="1" t="s">
        <v>172</v>
      </c>
      <c r="C27" s="1" t="s">
        <v>147</v>
      </c>
      <c r="D27" s="1" t="s">
        <v>121</v>
      </c>
      <c r="E27" s="6">
        <v>10</v>
      </c>
      <c r="F27" s="6"/>
      <c r="G27" s="6">
        <v>10</v>
      </c>
      <c r="H27" s="6"/>
      <c r="I27" s="6"/>
      <c r="J27" s="6"/>
      <c r="K27" s="6"/>
      <c r="L27" s="6"/>
      <c r="M27" s="6"/>
      <c r="N27" s="6"/>
      <c r="O27" s="6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>
        <v>10</v>
      </c>
      <c r="AS27" s="4"/>
      <c r="AT27" s="4"/>
      <c r="AU27" s="4"/>
      <c r="AV27" s="4"/>
      <c r="AW27" s="2"/>
      <c r="AX27" s="2"/>
      <c r="AY27" s="2"/>
      <c r="AZ27" s="2"/>
      <c r="BA27" s="2"/>
      <c r="BB27" s="2">
        <v>10</v>
      </c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>SUM(E27:BO27)</f>
        <v>40</v>
      </c>
      <c r="BQ27" s="1">
        <v>10</v>
      </c>
      <c r="BR27" s="17">
        <v>1</v>
      </c>
      <c r="BS27" s="17" t="s">
        <v>211</v>
      </c>
      <c r="BT27" s="1" t="str">
        <f>IF(AQ27&gt;AQ$126, AQ27-AQ$126,"")</f>
        <v/>
      </c>
      <c r="BU27" s="1" t="str">
        <f>IF(AR27&gt;AR$126, AR27-AR$126,"")</f>
        <v/>
      </c>
      <c r="BV27" s="1" t="str">
        <f>IF(AS27&gt;AS$126, AS27-AS$126,"")</f>
        <v/>
      </c>
      <c r="BW27" s="1" t="str">
        <f>IF(AT27&gt;AT$126, AT27-AT$126,"")</f>
        <v/>
      </c>
      <c r="BX27" s="1" t="str">
        <f>IF(AU27&gt;AU$126, AU27-AU$126,"")</f>
        <v/>
      </c>
      <c r="BY27" s="1" t="str">
        <f>IF(AV27&gt;AV$126, AV27-AV$126,"")</f>
        <v/>
      </c>
      <c r="BZ27" s="1" t="str">
        <f>IF(AW27&gt;AW$126, AW27-AW$126,"")</f>
        <v/>
      </c>
      <c r="CA27" s="1" t="str">
        <f>IF(AX27&gt;AX$126, AX27-AX$126,"")</f>
        <v/>
      </c>
      <c r="CB27" s="1" t="str">
        <f>IF(AY27&gt;AY$126, AY27-AY$126,"")</f>
        <v/>
      </c>
      <c r="CC27" s="1" t="str">
        <f>IF(AZ27&gt;AZ$126, AZ27-AZ$126,"")</f>
        <v/>
      </c>
      <c r="CD27" s="1" t="str">
        <f>IF(BA27&gt;BA$126, BA27-BA$126,"")</f>
        <v/>
      </c>
      <c r="CE27" s="1" t="str">
        <f>IF(BB27&gt;BB$126, BB27-BB$126,"")</f>
        <v/>
      </c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3"/>
    </row>
    <row r="28" spans="1:97" x14ac:dyDescent="0.15">
      <c r="A28" s="1"/>
      <c r="B28" s="1" t="s">
        <v>184</v>
      </c>
      <c r="C28" s="1" t="s">
        <v>116</v>
      </c>
      <c r="D28" s="1" t="s">
        <v>102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>
        <v>10</v>
      </c>
      <c r="BB28" s="2">
        <v>10</v>
      </c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>SUM(E28:BO28)</f>
        <v>20</v>
      </c>
      <c r="BQ28" s="1">
        <v>10</v>
      </c>
      <c r="BR28" s="17">
        <v>1</v>
      </c>
      <c r="BS28" s="17" t="s">
        <v>224</v>
      </c>
      <c r="BT28" s="1" t="str">
        <f>IF(AQ28&gt;AQ$126, AQ28-AQ$126,"")</f>
        <v/>
      </c>
      <c r="BU28" s="1" t="str">
        <f>IF(AR28&gt;AR$126, AR28-AR$126,"")</f>
        <v/>
      </c>
      <c r="BV28" s="1" t="str">
        <f>IF(AS28&gt;AS$126, AS28-AS$126,"")</f>
        <v/>
      </c>
      <c r="BW28" s="1" t="str">
        <f>IF(AT28&gt;AT$126, AT28-AT$126,"")</f>
        <v/>
      </c>
      <c r="BX28" s="1" t="str">
        <f>IF(AU28&gt;AU$126, AU28-AU$126,"")</f>
        <v/>
      </c>
      <c r="BY28" s="1" t="str">
        <f>IF(AV28&gt;AV$126, AV28-AV$126,"")</f>
        <v/>
      </c>
      <c r="BZ28" s="1" t="str">
        <f>IF(AW28&gt;AW$126, AW28-AW$126,"")</f>
        <v/>
      </c>
      <c r="CA28" s="1" t="str">
        <f>IF(AX28&gt;AX$126, AX28-AX$126,"")</f>
        <v/>
      </c>
      <c r="CB28" s="1" t="str">
        <f>IF(AY28&gt;AY$126, AY28-AY$126,"")</f>
        <v/>
      </c>
      <c r="CC28" s="1" t="str">
        <f>IF(AZ28&gt;AZ$126, AZ28-AZ$126,"")</f>
        <v/>
      </c>
      <c r="CD28" s="1" t="str">
        <f>IF(BA28&gt;BA$126, BA28-BA$126,"")</f>
        <v/>
      </c>
      <c r="CE28" s="1" t="str">
        <f>IF(BB28&gt;BB$126, BB28-BB$126,"")</f>
        <v/>
      </c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3"/>
    </row>
    <row r="29" spans="1:97" x14ac:dyDescent="0.15">
      <c r="A29" s="1"/>
      <c r="B29" s="1" t="s">
        <v>166</v>
      </c>
      <c r="C29" s="1" t="s">
        <v>148</v>
      </c>
      <c r="D29" s="1" t="s">
        <v>121</v>
      </c>
      <c r="E29" s="6"/>
      <c r="F29" s="6"/>
      <c r="G29" s="6"/>
      <c r="H29" s="6"/>
      <c r="I29" s="6"/>
      <c r="J29" s="6"/>
      <c r="K29" s="6"/>
      <c r="L29" s="6">
        <v>6</v>
      </c>
      <c r="M29" s="6"/>
      <c r="N29" s="6"/>
      <c r="O29" s="6">
        <v>6</v>
      </c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>
        <v>10</v>
      </c>
      <c r="BB29" s="2">
        <v>10</v>
      </c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>SUM(E29:BO29)</f>
        <v>32</v>
      </c>
      <c r="BQ29" s="1">
        <v>10</v>
      </c>
      <c r="BR29" s="17">
        <v>1</v>
      </c>
      <c r="BS29" s="17" t="s">
        <v>224</v>
      </c>
      <c r="BT29" s="1" t="str">
        <f>IF(AQ29&gt;AQ$126, AQ29-AQ$126,"")</f>
        <v/>
      </c>
      <c r="BU29" s="1" t="str">
        <f>IF(AR29&gt;AR$126, AR29-AR$126,"")</f>
        <v/>
      </c>
      <c r="BV29" s="1" t="str">
        <f>IF(AS29&gt;AS$126, AS29-AS$126,"")</f>
        <v/>
      </c>
      <c r="BW29" s="1" t="str">
        <f>IF(AT29&gt;AT$126, AT29-AT$126,"")</f>
        <v/>
      </c>
      <c r="BX29" s="1" t="str">
        <f>IF(AU29&gt;AU$126, AU29-AU$126,"")</f>
        <v/>
      </c>
      <c r="BY29" s="1" t="str">
        <f>IF(AV29&gt;AV$126, AV29-AV$126,"")</f>
        <v/>
      </c>
      <c r="BZ29" s="1" t="str">
        <f>IF(AW29&gt;AW$126, AW29-AW$126,"")</f>
        <v/>
      </c>
      <c r="CA29" s="1" t="str">
        <f>IF(AX29&gt;AX$126, AX29-AX$126,"")</f>
        <v/>
      </c>
      <c r="CB29" s="1" t="str">
        <f>IF(AY29&gt;AY$126, AY29-AY$126,"")</f>
        <v/>
      </c>
      <c r="CC29" s="1" t="str">
        <f>IF(AZ29&gt;AZ$126, AZ29-AZ$126,"")</f>
        <v/>
      </c>
      <c r="CD29" s="1" t="str">
        <f>IF(BA29&gt;BA$126, BA29-BA$126,"")</f>
        <v/>
      </c>
      <c r="CE29" s="1" t="str">
        <f>IF(BB29&gt;BB$126, BB29-BB$126,"")</f>
        <v/>
      </c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3"/>
    </row>
    <row r="30" spans="1:97" x14ac:dyDescent="0.15">
      <c r="A30" s="1">
        <v>34</v>
      </c>
      <c r="B30" s="1" t="s">
        <v>45</v>
      </c>
      <c r="C30" s="1" t="s">
        <v>46</v>
      </c>
      <c r="D30" s="1" t="s">
        <v>24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>
        <v>15</v>
      </c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>
        <v>15</v>
      </c>
      <c r="BC30" s="14"/>
      <c r="BD30" s="1"/>
      <c r="BE30" s="1"/>
      <c r="BF30" s="1"/>
      <c r="BG30" s="1"/>
      <c r="BH30" s="1">
        <v>15</v>
      </c>
      <c r="BI30" s="1">
        <v>15</v>
      </c>
      <c r="BJ30" s="1"/>
      <c r="BK30" s="1"/>
      <c r="BL30" s="1"/>
      <c r="BM30" s="1"/>
      <c r="BN30" s="1"/>
      <c r="BO30" s="1"/>
      <c r="BP30" s="1">
        <f>SUM(E30:BO30)</f>
        <v>60</v>
      </c>
      <c r="BQ30" s="1">
        <v>10</v>
      </c>
      <c r="BR30" s="17">
        <v>1</v>
      </c>
      <c r="BS30" s="17" t="s">
        <v>225</v>
      </c>
      <c r="BT30" s="1" t="str">
        <f>IF(AQ30&gt;AQ$126, AQ30-AQ$126,"")</f>
        <v/>
      </c>
      <c r="BU30" s="1" t="str">
        <f>IF(AR30&gt;AR$126, AR30-AR$126,"")</f>
        <v/>
      </c>
      <c r="BV30" s="1" t="str">
        <f>IF(AS30&gt;AS$126, AS30-AS$126,"")</f>
        <v/>
      </c>
      <c r="BW30" s="1" t="str">
        <f>IF(AT30&gt;AT$126, AT30-AT$126,"")</f>
        <v/>
      </c>
      <c r="BX30" s="1" t="str">
        <f>IF(AU30&gt;AU$126, AU30-AU$126,"")</f>
        <v/>
      </c>
      <c r="BY30" s="1" t="str">
        <f>IF(AV30&gt;AV$126, AV30-AV$126,"")</f>
        <v/>
      </c>
      <c r="BZ30" s="1" t="str">
        <f>IF(AW30&gt;AW$126, AW30-AW$126,"")</f>
        <v/>
      </c>
      <c r="CA30" s="1" t="str">
        <f>IF(AX30&gt;AX$126, AX30-AX$126,"")</f>
        <v/>
      </c>
      <c r="CB30" s="1" t="str">
        <f>IF(AY30&gt;AY$126, AY30-AY$126,"")</f>
        <v/>
      </c>
      <c r="CC30" s="1" t="str">
        <f>IF(AZ30&gt;AZ$126, AZ30-AZ$126,"")</f>
        <v/>
      </c>
      <c r="CD30" s="1" t="str">
        <f>IF(BA30&gt;BA$126, BA30-BA$126,"")</f>
        <v/>
      </c>
      <c r="CE30" s="1" t="str">
        <f>IF(BB30&gt;BB$126, BB30-BB$126,"")</f>
        <v/>
      </c>
      <c r="CF30" s="1">
        <f>COUNTIF(BT30:CE30, "&gt;0")</f>
        <v>0</v>
      </c>
      <c r="CG30" s="1" t="str">
        <f>IF($CF30=1,BT30,"")</f>
        <v/>
      </c>
      <c r="CH30" s="1" t="str">
        <f>IF($CF30=1,BU30,"")</f>
        <v/>
      </c>
      <c r="CI30" s="1" t="str">
        <f>IF($CF30=1,BV30,"")</f>
        <v/>
      </c>
      <c r="CJ30" s="1" t="str">
        <f>IF($CF30=1,BW30,"")</f>
        <v/>
      </c>
      <c r="CK30" s="1" t="str">
        <f>IF($CF30=1,BX30,"")</f>
        <v/>
      </c>
      <c r="CL30" s="1" t="str">
        <f>IF($CF30=1,BY30,"")</f>
        <v/>
      </c>
      <c r="CM30" s="1" t="str">
        <f>IF($CF30=1,BZ30,"")</f>
        <v/>
      </c>
      <c r="CN30" s="1" t="str">
        <f>IF($CF30=1,CA30,"")</f>
        <v/>
      </c>
      <c r="CO30" s="1" t="str">
        <f>IF($CF30=1,CB30,"")</f>
        <v/>
      </c>
      <c r="CP30" s="1" t="str">
        <f>IF($CF30=1,CC30,"")</f>
        <v/>
      </c>
      <c r="CQ30" s="1" t="str">
        <f>IF($CF30=1,CD30,"")</f>
        <v/>
      </c>
      <c r="CR30" s="1" t="str">
        <f>IF($CF30=1,CE30,"")</f>
        <v/>
      </c>
      <c r="CS30" s="3">
        <f>SUM(AE30:BO30)</f>
        <v>60</v>
      </c>
    </row>
    <row r="31" spans="1:97" x14ac:dyDescent="0.15">
      <c r="A31" s="1"/>
      <c r="B31" s="1" t="s">
        <v>178</v>
      </c>
      <c r="C31" s="1" t="s">
        <v>101</v>
      </c>
      <c r="D31" s="1" t="s">
        <v>102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>
        <v>15</v>
      </c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>
        <v>15</v>
      </c>
      <c r="BC31" s="14"/>
      <c r="BD31" s="1"/>
      <c r="BE31" s="1"/>
      <c r="BF31" s="1"/>
      <c r="BG31" s="1"/>
      <c r="BH31" s="1">
        <v>15</v>
      </c>
      <c r="BI31" s="1">
        <v>15</v>
      </c>
      <c r="BJ31" s="1"/>
      <c r="BK31" s="1"/>
      <c r="BL31" s="1"/>
      <c r="BM31" s="1"/>
      <c r="BN31" s="1"/>
      <c r="BO31" s="1"/>
      <c r="BP31" s="1">
        <f>SUM(E31:BO31)</f>
        <v>60</v>
      </c>
      <c r="BQ31" s="1">
        <v>10</v>
      </c>
      <c r="BR31" s="17">
        <v>1</v>
      </c>
      <c r="BS31" s="17" t="s">
        <v>225</v>
      </c>
      <c r="BT31" s="1" t="str">
        <f>IF(AQ31&gt;AQ$126, AQ31-AQ$126,"")</f>
        <v/>
      </c>
      <c r="BU31" s="1" t="str">
        <f>IF(AR31&gt;AR$126, AR31-AR$126,"")</f>
        <v/>
      </c>
      <c r="BV31" s="1" t="str">
        <f>IF(AS31&gt;AS$126, AS31-AS$126,"")</f>
        <v/>
      </c>
      <c r="BW31" s="1" t="str">
        <f>IF(AT31&gt;AT$126, AT31-AT$126,"")</f>
        <v/>
      </c>
      <c r="BX31" s="1" t="str">
        <f>IF(AU31&gt;AU$126, AU31-AU$126,"")</f>
        <v/>
      </c>
      <c r="BY31" s="1" t="str">
        <f>IF(AV31&gt;AV$126, AV31-AV$126,"")</f>
        <v/>
      </c>
      <c r="BZ31" s="1" t="str">
        <f>IF(AW31&gt;AW$126, AW31-AW$126,"")</f>
        <v/>
      </c>
      <c r="CA31" s="1" t="str">
        <f>IF(AX31&gt;AX$126, AX31-AX$126,"")</f>
        <v/>
      </c>
      <c r="CB31" s="1" t="str">
        <f>IF(AY31&gt;AY$126, AY31-AY$126,"")</f>
        <v/>
      </c>
      <c r="CC31" s="1" t="str">
        <f>IF(AZ31&gt;AZ$126, AZ31-AZ$126,"")</f>
        <v/>
      </c>
      <c r="CD31" s="1" t="str">
        <f>IF(BA31&gt;BA$126, BA31-BA$126,"")</f>
        <v/>
      </c>
      <c r="CE31" s="1" t="str">
        <f>IF(BB31&gt;BB$126, BB31-BB$126,"")</f>
        <v/>
      </c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3"/>
    </row>
    <row r="32" spans="1:97" x14ac:dyDescent="0.15">
      <c r="A32" s="1">
        <v>72</v>
      </c>
      <c r="B32" s="3" t="s">
        <v>89</v>
      </c>
      <c r="C32" s="1" t="s">
        <v>55</v>
      </c>
      <c r="D32" s="1" t="s">
        <v>13</v>
      </c>
      <c r="E32" s="6"/>
      <c r="F32" s="6"/>
      <c r="G32" s="6"/>
      <c r="H32" s="6"/>
      <c r="I32" s="6"/>
      <c r="J32" s="6"/>
      <c r="K32" s="6"/>
      <c r="L32" s="6">
        <v>6</v>
      </c>
      <c r="M32" s="6">
        <v>6</v>
      </c>
      <c r="N32" s="6"/>
      <c r="O32" s="6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>
        <v>10</v>
      </c>
      <c r="AW32" s="2"/>
      <c r="AX32" s="2"/>
      <c r="AY32" s="2"/>
      <c r="AZ32" s="2"/>
      <c r="BA32" s="2">
        <v>10</v>
      </c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32</v>
      </c>
      <c r="BQ32" s="1">
        <v>10</v>
      </c>
      <c r="BR32" s="17">
        <v>1</v>
      </c>
      <c r="BS32" s="17" t="s">
        <v>226</v>
      </c>
      <c r="BT32" s="1" t="str">
        <f>IF(AQ32&gt;AQ$126, AQ32-AQ$126,"")</f>
        <v/>
      </c>
      <c r="BU32" s="1" t="str">
        <f>IF(AR32&gt;AR$126, AR32-AR$126,"")</f>
        <v/>
      </c>
      <c r="BV32" s="1" t="str">
        <f>IF(AS32&gt;AS$126, AS32-AS$126,"")</f>
        <v/>
      </c>
      <c r="BW32" s="1" t="str">
        <f>IF(AT32&gt;AT$126, AT32-AT$126,"")</f>
        <v/>
      </c>
      <c r="BX32" s="1" t="str">
        <f>IF(AU32&gt;AU$126, AU32-AU$126,"")</f>
        <v/>
      </c>
      <c r="BY32" s="1" t="str">
        <f>IF(AV32&gt;AV$126, AV32-AV$126,"")</f>
        <v/>
      </c>
      <c r="BZ32" s="1" t="str">
        <f>IF(AW32&gt;AW$126, AW32-AW$126,"")</f>
        <v/>
      </c>
      <c r="CA32" s="1" t="str">
        <f>IF(AX32&gt;AX$126, AX32-AX$126,"")</f>
        <v/>
      </c>
      <c r="CB32" s="1" t="str">
        <f>IF(AY32&gt;AY$126, AY32-AY$126,"")</f>
        <v/>
      </c>
      <c r="CC32" s="1" t="str">
        <f>IF(AZ32&gt;AZ$126, AZ32-AZ$126,"")</f>
        <v/>
      </c>
      <c r="CD32" s="1" t="str">
        <f>IF(BA32&gt;BA$126, BA32-BA$126,"")</f>
        <v/>
      </c>
      <c r="CE32" s="1" t="str">
        <f>IF(BB32&gt;BB$126, BB32-BB$126,"")</f>
        <v/>
      </c>
      <c r="CF32" s="1">
        <f>COUNTIF(BT32:CE32, "&gt;0")</f>
        <v>0</v>
      </c>
      <c r="CG32" s="1" t="str">
        <f>IF($CF32=1,BT32,"")</f>
        <v/>
      </c>
      <c r="CH32" s="1" t="str">
        <f>IF($CF32=1,BU32,"")</f>
        <v/>
      </c>
      <c r="CI32" s="1" t="str">
        <f>IF($CF32=1,BV32,"")</f>
        <v/>
      </c>
      <c r="CJ32" s="1" t="str">
        <f>IF($CF32=1,BW32,"")</f>
        <v/>
      </c>
      <c r="CK32" s="1" t="str">
        <f>IF($CF32=1,BX32,"")</f>
        <v/>
      </c>
      <c r="CL32" s="1" t="str">
        <f>IF($CF32=1,BY32,"")</f>
        <v/>
      </c>
      <c r="CM32" s="1" t="str">
        <f>IF($CF32=1,BZ32,"")</f>
        <v/>
      </c>
      <c r="CN32" s="1" t="str">
        <f>IF($CF32=1,CA32,"")</f>
        <v/>
      </c>
      <c r="CO32" s="1" t="str">
        <f>IF($CF32=1,CB32,"")</f>
        <v/>
      </c>
      <c r="CP32" s="1" t="str">
        <f>IF($CF32=1,CC32,"")</f>
        <v/>
      </c>
      <c r="CQ32" s="1" t="str">
        <f>IF($CF32=1,CD32,"")</f>
        <v/>
      </c>
      <c r="CR32" s="1" t="str">
        <f>IF($CF32=1,CE32,"")</f>
        <v/>
      </c>
      <c r="CS32" s="3">
        <f>SUM(AE32:BO32)</f>
        <v>20</v>
      </c>
    </row>
    <row r="33" spans="1:97" x14ac:dyDescent="0.15">
      <c r="A33" s="1">
        <v>64</v>
      </c>
      <c r="B33" s="3" t="s">
        <v>60</v>
      </c>
      <c r="C33" s="1" t="s">
        <v>55</v>
      </c>
      <c r="D33" s="1" t="s">
        <v>1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>
        <v>15</v>
      </c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15</v>
      </c>
      <c r="BQ33" s="1">
        <v>15</v>
      </c>
      <c r="BR33" s="17">
        <v>1</v>
      </c>
      <c r="BS33" s="17" t="s">
        <v>227</v>
      </c>
      <c r="BT33" s="1" t="str">
        <f>IF(AQ33&gt;AQ$126, AQ33-AQ$126,"")</f>
        <v/>
      </c>
      <c r="BU33" s="1" t="str">
        <f>IF(AR33&gt;AR$126, AR33-AR$126,"")</f>
        <v/>
      </c>
      <c r="BV33" s="1" t="str">
        <f>IF(AS33&gt;AS$126, AS33-AS$126,"")</f>
        <v/>
      </c>
      <c r="BW33" s="1" t="str">
        <f>IF(AT33&gt;AT$126, AT33-AT$126,"")</f>
        <v/>
      </c>
      <c r="BX33" s="1" t="str">
        <f>IF(AU33&gt;AU$126, AU33-AU$126,"")</f>
        <v/>
      </c>
      <c r="BY33" s="1" t="str">
        <f>IF(AV33&gt;AV$126, AV33-AV$126,"")</f>
        <v/>
      </c>
      <c r="BZ33" s="1" t="str">
        <f>IF(AW33&gt;AW$126, AW33-AW$126,"")</f>
        <v/>
      </c>
      <c r="CA33" s="1" t="str">
        <f>IF(AX33&gt;AX$126, AX33-AX$126,"")</f>
        <v/>
      </c>
      <c r="CB33" s="1" t="str">
        <f>IF(AY33&gt;AY$126, AY33-AY$126,"")</f>
        <v/>
      </c>
      <c r="CC33" s="1" t="str">
        <f>IF(AZ33&gt;AZ$126, AZ33-AZ$126,"")</f>
        <v/>
      </c>
      <c r="CD33" s="1" t="str">
        <f>IF(BA33&gt;BA$126, BA33-BA$126,"")</f>
        <v/>
      </c>
      <c r="CE33" s="1" t="str">
        <f>IF(BB33&gt;BB$126, BB33-BB$126,"")</f>
        <v/>
      </c>
      <c r="CF33" s="1">
        <f>COUNTIF(BT33:CE33, "&gt;0")</f>
        <v>0</v>
      </c>
      <c r="CG33" s="1" t="str">
        <f>IF($CF33=1,BT33,"")</f>
        <v/>
      </c>
      <c r="CH33" s="1" t="str">
        <f>IF($CF33=1,BU33,"")</f>
        <v/>
      </c>
      <c r="CI33" s="1" t="str">
        <f>IF($CF33=1,BV33,"")</f>
        <v/>
      </c>
      <c r="CJ33" s="1" t="str">
        <f>IF($CF33=1,BW33,"")</f>
        <v/>
      </c>
      <c r="CK33" s="1" t="str">
        <f>IF($CF33=1,BX33,"")</f>
        <v/>
      </c>
      <c r="CL33" s="1" t="str">
        <f>IF($CF33=1,BY33,"")</f>
        <v/>
      </c>
      <c r="CM33" s="1" t="str">
        <f>IF($CF33=1,BZ33,"")</f>
        <v/>
      </c>
      <c r="CN33" s="1" t="str">
        <f>IF($CF33=1,CA33,"")</f>
        <v/>
      </c>
      <c r="CO33" s="1" t="str">
        <f>IF($CF33=1,CB33,"")</f>
        <v/>
      </c>
      <c r="CP33" s="1" t="str">
        <f>IF($CF33=1,CC33,"")</f>
        <v/>
      </c>
      <c r="CQ33" s="1" t="str">
        <f>IF($CF33=1,CD33,"")</f>
        <v/>
      </c>
      <c r="CR33" s="1" t="str">
        <f>IF($CF33=1,CE33,"")</f>
        <v/>
      </c>
      <c r="CS33" s="3">
        <f>SUM(AE33:BO33)</f>
        <v>15</v>
      </c>
    </row>
    <row r="34" spans="1:97" x14ac:dyDescent="0.15">
      <c r="A34" s="1">
        <v>98</v>
      </c>
      <c r="B34" s="3" t="s">
        <v>165</v>
      </c>
      <c r="C34" s="3" t="s">
        <v>68</v>
      </c>
      <c r="D34" s="1" t="s">
        <v>1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1">
        <v>50</v>
      </c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>SUM(E34:BO34)</f>
        <v>50</v>
      </c>
      <c r="BQ34" s="1">
        <v>38</v>
      </c>
      <c r="BR34" s="17">
        <v>1</v>
      </c>
      <c r="BS34" s="17" t="s">
        <v>228</v>
      </c>
      <c r="BT34" s="1" t="str">
        <f>IF(AQ34&gt;AQ$126, AQ34-AQ$126,"")</f>
        <v/>
      </c>
      <c r="BU34" s="1" t="str">
        <f>IF(AR34&gt;AR$126, AR34-AR$126,"")</f>
        <v/>
      </c>
      <c r="BV34" s="1" t="str">
        <f>IF(AS34&gt;AS$126, AS34-AS$126,"")</f>
        <v/>
      </c>
      <c r="BW34" s="1" t="str">
        <f>IF(AT34&gt;AT$126, AT34-AT$126,"")</f>
        <v/>
      </c>
      <c r="BX34" s="1" t="str">
        <f>IF(AU34&gt;AU$126, AU34-AU$126,"")</f>
        <v/>
      </c>
      <c r="BY34" s="1" t="str">
        <f>IF(AV34&gt;AV$126, AV34-AV$126,"")</f>
        <v/>
      </c>
      <c r="BZ34" s="1" t="str">
        <f>IF(AW34&gt;AW$126, AW34-AW$126,"")</f>
        <v/>
      </c>
      <c r="CA34" s="1" t="str">
        <f>IF(AX34&gt;AX$126, AX34-AX$126,"")</f>
        <v/>
      </c>
      <c r="CB34" s="1" t="str">
        <f>IF(AY34&gt;AY$126, AY34-AY$126,"")</f>
        <v/>
      </c>
      <c r="CC34" s="1" t="str">
        <f>IF(AZ34&gt;AZ$126, AZ34-AZ$126,"")</f>
        <v/>
      </c>
      <c r="CD34" s="1" t="str">
        <f>IF(BA34&gt;BA$126, BA34-BA$126,"")</f>
        <v/>
      </c>
      <c r="CE34" s="1" t="str">
        <f>IF(BB34&gt;BB$126, BB34-BB$126,"")</f>
        <v/>
      </c>
      <c r="CF34" s="1">
        <f>COUNTIF(BT34:CE34, "&gt;0")</f>
        <v>0</v>
      </c>
      <c r="CG34" s="1" t="str">
        <f>IF($CF34=1,BT34,"")</f>
        <v/>
      </c>
      <c r="CH34" s="1" t="str">
        <f>IF($CF34=1,BU34,"")</f>
        <v/>
      </c>
      <c r="CI34" s="1" t="str">
        <f>IF($CF34=1,BV34,"")</f>
        <v/>
      </c>
      <c r="CJ34" s="1" t="str">
        <f>IF($CF34=1,BW34,"")</f>
        <v/>
      </c>
      <c r="CK34" s="1" t="str">
        <f>IF($CF34=1,BX34,"")</f>
        <v/>
      </c>
      <c r="CL34" s="1" t="str">
        <f>IF($CF34=1,BY34,"")</f>
        <v/>
      </c>
      <c r="CM34" s="1" t="str">
        <f>IF($CF34=1,BZ34,"")</f>
        <v/>
      </c>
      <c r="CN34" s="1" t="str">
        <f>IF($CF34=1,CA34,"")</f>
        <v/>
      </c>
      <c r="CO34" s="1" t="str">
        <f>IF($CF34=1,CB34,"")</f>
        <v/>
      </c>
      <c r="CP34" s="1" t="str">
        <f>IF($CF34=1,CC34,"")</f>
        <v/>
      </c>
      <c r="CQ34" s="1" t="str">
        <f>IF($CF34=1,CD34,"")</f>
        <v/>
      </c>
      <c r="CR34" s="1" t="str">
        <f>IF($CF34=1,CE34,"")</f>
        <v/>
      </c>
      <c r="CS34" s="3">
        <f>SUM(AE34:BO34)</f>
        <v>50</v>
      </c>
    </row>
    <row r="35" spans="1:97" ht="27" x14ac:dyDescent="0.15">
      <c r="A35" s="1">
        <v>99</v>
      </c>
      <c r="B35" s="3" t="s">
        <v>165</v>
      </c>
      <c r="C35" s="3" t="s">
        <v>68</v>
      </c>
      <c r="D35" s="1" t="s">
        <v>13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1">
        <v>200</v>
      </c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200</v>
      </c>
      <c r="BQ35" s="1">
        <v>188</v>
      </c>
      <c r="BR35" s="17">
        <v>1</v>
      </c>
      <c r="BS35" s="17" t="s">
        <v>229</v>
      </c>
      <c r="BT35" s="1" t="str">
        <f>IF(AQ35&gt;AQ$126, AQ35-AQ$126,"")</f>
        <v/>
      </c>
      <c r="BU35" s="1" t="str">
        <f>IF(AR35&gt;AR$126, AR35-AR$126,"")</f>
        <v/>
      </c>
      <c r="BV35" s="1" t="str">
        <f>IF(AS35&gt;AS$126, AS35-AS$126,"")</f>
        <v/>
      </c>
      <c r="BW35" s="1" t="str">
        <f>IF(AT35&gt;AT$126, AT35-AT$126,"")</f>
        <v/>
      </c>
      <c r="BX35" s="1" t="str">
        <f>IF(AU35&gt;AU$126, AU35-AU$126,"")</f>
        <v/>
      </c>
      <c r="BY35" s="1" t="str">
        <f>IF(AV35&gt;AV$126, AV35-AV$126,"")</f>
        <v/>
      </c>
      <c r="BZ35" s="1" t="str">
        <f>IF(AW35&gt;AW$126, AW35-AW$126,"")</f>
        <v/>
      </c>
      <c r="CA35" s="1" t="str">
        <f>IF(AX35&gt;AX$126, AX35-AX$126,"")</f>
        <v/>
      </c>
      <c r="CB35" s="1" t="str">
        <f>IF(AY35&gt;AY$126, AY35-AY$126,"")</f>
        <v/>
      </c>
      <c r="CC35" s="1" t="str">
        <f>IF(AZ35&gt;AZ$126, AZ35-AZ$126,"")</f>
        <v/>
      </c>
      <c r="CD35" s="1" t="str">
        <f>IF(BA35&gt;BA$126, BA35-BA$126,"")</f>
        <v/>
      </c>
      <c r="CE35" s="1" t="str">
        <f>IF(BB35&gt;BB$126, BB35-BB$126,"")</f>
        <v/>
      </c>
      <c r="CF35" s="1">
        <f>COUNTIF(BT35:CE35, "&gt;0")</f>
        <v>0</v>
      </c>
      <c r="CG35" s="1" t="str">
        <f>IF($CF35=1,BT35,"")</f>
        <v/>
      </c>
      <c r="CH35" s="1" t="str">
        <f>IF($CF35=1,BU35,"")</f>
        <v/>
      </c>
      <c r="CI35" s="1" t="str">
        <f>IF($CF35=1,BV35,"")</f>
        <v/>
      </c>
      <c r="CJ35" s="1" t="str">
        <f>IF($CF35=1,BW35,"")</f>
        <v/>
      </c>
      <c r="CK35" s="1" t="str">
        <f>IF($CF35=1,BX35,"")</f>
        <v/>
      </c>
      <c r="CL35" s="1" t="str">
        <f>IF($CF35=1,BY35,"")</f>
        <v/>
      </c>
      <c r="CM35" s="1" t="str">
        <f>IF($CF35=1,BZ35,"")</f>
        <v/>
      </c>
      <c r="CN35" s="1" t="str">
        <f>IF($CF35=1,CA35,"")</f>
        <v/>
      </c>
      <c r="CO35" s="1" t="str">
        <f>IF($CF35=1,CB35,"")</f>
        <v/>
      </c>
      <c r="CP35" s="1" t="str">
        <f>IF($CF35=1,CC35,"")</f>
        <v/>
      </c>
      <c r="CQ35" s="1" t="str">
        <f>IF($CF35=1,CD35,"")</f>
        <v/>
      </c>
      <c r="CR35" s="1" t="str">
        <f>IF($CF35=1,CE35,"")</f>
        <v/>
      </c>
      <c r="CS35" s="3">
        <f>SUM(AE35:BO35)</f>
        <v>200</v>
      </c>
    </row>
    <row r="36" spans="1:97" ht="27" x14ac:dyDescent="0.15">
      <c r="A36" s="1">
        <v>21</v>
      </c>
      <c r="B36" s="1" t="s">
        <v>37</v>
      </c>
      <c r="C36" s="1" t="s">
        <v>30</v>
      </c>
      <c r="D36" s="1" t="s">
        <v>25</v>
      </c>
      <c r="E36" s="6"/>
      <c r="F36" s="6"/>
      <c r="G36" s="6">
        <v>6</v>
      </c>
      <c r="H36" s="6">
        <v>6</v>
      </c>
      <c r="I36" s="6"/>
      <c r="J36" s="6"/>
      <c r="K36" s="6"/>
      <c r="L36" s="6"/>
      <c r="M36" s="6"/>
      <c r="N36" s="6"/>
      <c r="O36" s="6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>
        <v>10</v>
      </c>
      <c r="AT36" s="4"/>
      <c r="AU36" s="4"/>
      <c r="AV36" s="4"/>
      <c r="AW36" s="2"/>
      <c r="AX36" s="2"/>
      <c r="AY36" s="2"/>
      <c r="AZ36" s="2"/>
      <c r="BA36" s="2"/>
      <c r="BB36" s="2">
        <v>10</v>
      </c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32</v>
      </c>
      <c r="BQ36" s="1">
        <v>3</v>
      </c>
      <c r="BR36" s="17">
        <v>2</v>
      </c>
      <c r="BS36" s="17" t="s">
        <v>231</v>
      </c>
      <c r="BT36" s="1" t="str">
        <f>IF(AQ36&gt;AQ$126, AQ36-AQ$126,"")</f>
        <v/>
      </c>
      <c r="BU36" s="1" t="str">
        <f>IF(AR36&gt;AR$126, AR36-AR$126,"")</f>
        <v/>
      </c>
      <c r="BV36" s="1" t="str">
        <f>IF(AS36&gt;AS$126, AS36-AS$126,"")</f>
        <v/>
      </c>
      <c r="BW36" s="1" t="str">
        <f>IF(AT36&gt;AT$126, AT36-AT$126,"")</f>
        <v/>
      </c>
      <c r="BX36" s="1" t="str">
        <f>IF(AU36&gt;AU$126, AU36-AU$126,"")</f>
        <v/>
      </c>
      <c r="BY36" s="1" t="str">
        <f>IF(AV36&gt;AV$126, AV36-AV$126,"")</f>
        <v/>
      </c>
      <c r="BZ36" s="1" t="str">
        <f>IF(AW36&gt;AW$126, AW36-AW$126,"")</f>
        <v/>
      </c>
      <c r="CA36" s="1" t="str">
        <f>IF(AX36&gt;AX$126, AX36-AX$126,"")</f>
        <v/>
      </c>
      <c r="CB36" s="1" t="str">
        <f>IF(AY36&gt;AY$126, AY36-AY$126,"")</f>
        <v/>
      </c>
      <c r="CC36" s="1" t="str">
        <f>IF(AZ36&gt;AZ$126, AZ36-AZ$126,"")</f>
        <v/>
      </c>
      <c r="CD36" s="1" t="str">
        <f>IF(BA36&gt;BA$126, BA36-BA$126,"")</f>
        <v/>
      </c>
      <c r="CE36" s="1" t="str">
        <f>IF(BB36&gt;BB$126, BB36-BB$126,"")</f>
        <v/>
      </c>
      <c r="CF36" s="1">
        <f>COUNTIF(BT36:CE36, "&gt;0")</f>
        <v>0</v>
      </c>
      <c r="CG36" s="1" t="str">
        <f>IF($CF36=1,BT36,"")</f>
        <v/>
      </c>
      <c r="CH36" s="1" t="str">
        <f>IF($CF36=1,BU36,"")</f>
        <v/>
      </c>
      <c r="CI36" s="1" t="str">
        <f>IF($CF36=1,BV36,"")</f>
        <v/>
      </c>
      <c r="CJ36" s="1" t="str">
        <f>IF($CF36=1,BW36,"")</f>
        <v/>
      </c>
      <c r="CK36" s="1" t="str">
        <f>IF($CF36=1,BX36,"")</f>
        <v/>
      </c>
      <c r="CL36" s="1" t="str">
        <f>IF($CF36=1,BY36,"")</f>
        <v/>
      </c>
      <c r="CM36" s="1" t="str">
        <f>IF($CF36=1,BZ36,"")</f>
        <v/>
      </c>
      <c r="CN36" s="1" t="str">
        <f>IF($CF36=1,CA36,"")</f>
        <v/>
      </c>
      <c r="CO36" s="1" t="str">
        <f>IF($CF36=1,CB36,"")</f>
        <v/>
      </c>
      <c r="CP36" s="1" t="str">
        <f>IF($CF36=1,CC36,"")</f>
        <v/>
      </c>
      <c r="CQ36" s="1" t="str">
        <f>IF($CF36=1,CD36,"")</f>
        <v/>
      </c>
      <c r="CR36" s="1" t="str">
        <f>IF($CF36=1,CE36,"")</f>
        <v/>
      </c>
      <c r="CS36" s="3">
        <f>SUM(AE36:BO36)</f>
        <v>20</v>
      </c>
    </row>
    <row r="37" spans="1:97" ht="27" x14ac:dyDescent="0.15">
      <c r="A37" s="1"/>
      <c r="B37" s="1" t="s">
        <v>186</v>
      </c>
      <c r="C37" s="1" t="s">
        <v>105</v>
      </c>
      <c r="D37" s="1" t="s">
        <v>103</v>
      </c>
      <c r="E37" s="6">
        <v>6</v>
      </c>
      <c r="F37" s="6">
        <v>6</v>
      </c>
      <c r="G37" s="6"/>
      <c r="H37" s="6"/>
      <c r="I37" s="6"/>
      <c r="J37" s="6"/>
      <c r="K37" s="6"/>
      <c r="L37" s="6"/>
      <c r="M37" s="6"/>
      <c r="N37" s="6"/>
      <c r="O37" s="6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>
        <v>10</v>
      </c>
      <c r="AT37" s="4"/>
      <c r="AU37" s="4"/>
      <c r="AV37" s="4"/>
      <c r="AW37" s="2"/>
      <c r="AX37" s="2">
        <v>10</v>
      </c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32</v>
      </c>
      <c r="BQ37" s="1">
        <v>4</v>
      </c>
      <c r="BR37" s="17">
        <v>2</v>
      </c>
      <c r="BS37" s="17" t="s">
        <v>237</v>
      </c>
      <c r="BT37" s="1" t="str">
        <f>IF(AQ37&gt;AQ$126, AQ37-AQ$126,"")</f>
        <v/>
      </c>
      <c r="BU37" s="1" t="str">
        <f>IF(AR37&gt;AR$126, AR37-AR$126,"")</f>
        <v/>
      </c>
      <c r="BV37" s="1" t="str">
        <f>IF(AS37&gt;AS$126, AS37-AS$126,"")</f>
        <v/>
      </c>
      <c r="BW37" s="1" t="str">
        <f>IF(AT37&gt;AT$126, AT37-AT$126,"")</f>
        <v/>
      </c>
      <c r="BX37" s="1" t="str">
        <f>IF(AU37&gt;AU$126, AU37-AU$126,"")</f>
        <v/>
      </c>
      <c r="BY37" s="1" t="str">
        <f>IF(AV37&gt;AV$126, AV37-AV$126,"")</f>
        <v/>
      </c>
      <c r="BZ37" s="1" t="str">
        <f>IF(AW37&gt;AW$126, AW37-AW$126,"")</f>
        <v/>
      </c>
      <c r="CA37" s="1" t="str">
        <f>IF(AX37&gt;AX$126, AX37-AX$126,"")</f>
        <v/>
      </c>
      <c r="CB37" s="1" t="str">
        <f>IF(AY37&gt;AY$126, AY37-AY$126,"")</f>
        <v/>
      </c>
      <c r="CC37" s="1" t="str">
        <f>IF(AZ37&gt;AZ$126, AZ37-AZ$126,"")</f>
        <v/>
      </c>
      <c r="CD37" s="1" t="str">
        <f>IF(BA37&gt;BA$126, BA37-BA$126,"")</f>
        <v/>
      </c>
      <c r="CE37" s="1" t="str">
        <f>IF(BB37&gt;BB$126, BB37-BB$126,"")</f>
        <v/>
      </c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3"/>
    </row>
    <row r="38" spans="1:97" ht="27" x14ac:dyDescent="0.15">
      <c r="A38" s="1">
        <v>84</v>
      </c>
      <c r="B38" s="3" t="s">
        <v>187</v>
      </c>
      <c r="C38" s="3" t="s">
        <v>63</v>
      </c>
      <c r="D38" s="1" t="s">
        <v>13</v>
      </c>
      <c r="E38" s="6"/>
      <c r="F38" s="6"/>
      <c r="G38" s="6">
        <v>5</v>
      </c>
      <c r="H38" s="6">
        <v>5</v>
      </c>
      <c r="I38" s="6"/>
      <c r="J38" s="6"/>
      <c r="K38" s="6"/>
      <c r="L38" s="6"/>
      <c r="M38" s="6"/>
      <c r="N38" s="6"/>
      <c r="O38" s="6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>
        <v>5</v>
      </c>
      <c r="BB38" s="2">
        <v>5</v>
      </c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20</v>
      </c>
      <c r="BQ38" s="1">
        <v>6</v>
      </c>
      <c r="BR38" s="17">
        <v>2</v>
      </c>
      <c r="BS38" s="17" t="s">
        <v>232</v>
      </c>
      <c r="BT38" s="1" t="str">
        <f>IF(AQ38&gt;AQ$126, AQ38-AQ$126,"")</f>
        <v/>
      </c>
      <c r="BU38" s="1" t="str">
        <f>IF(AR38&gt;AR$126, AR38-AR$126,"")</f>
        <v/>
      </c>
      <c r="BV38" s="1" t="str">
        <f>IF(AS38&gt;AS$126, AS38-AS$126,"")</f>
        <v/>
      </c>
      <c r="BW38" s="1" t="str">
        <f>IF(AT38&gt;AT$126, AT38-AT$126,"")</f>
        <v/>
      </c>
      <c r="BX38" s="1" t="str">
        <f>IF(AU38&gt;AU$126, AU38-AU$126,"")</f>
        <v/>
      </c>
      <c r="BY38" s="1" t="str">
        <f>IF(AV38&gt;AV$126, AV38-AV$126,"")</f>
        <v/>
      </c>
      <c r="BZ38" s="1" t="str">
        <f>IF(AW38&gt;AW$126, AW38-AW$126,"")</f>
        <v/>
      </c>
      <c r="CA38" s="1" t="str">
        <f>IF(AX38&gt;AX$126, AX38-AX$126,"")</f>
        <v/>
      </c>
      <c r="CB38" s="1" t="str">
        <f>IF(AY38&gt;AY$126, AY38-AY$126,"")</f>
        <v/>
      </c>
      <c r="CC38" s="1" t="str">
        <f>IF(AZ38&gt;AZ$126, AZ38-AZ$126,"")</f>
        <v/>
      </c>
      <c r="CD38" s="1" t="str">
        <f>IF(BA38&gt;BA$126, BA38-BA$126,"")</f>
        <v/>
      </c>
      <c r="CE38" s="1" t="str">
        <f>IF(BB38&gt;BB$126, BB38-BB$126,"")</f>
        <v/>
      </c>
      <c r="CF38" s="1">
        <f>COUNTIF(BT38:CE38, "&gt;0")</f>
        <v>0</v>
      </c>
      <c r="CG38" s="1" t="str">
        <f>IF($CF38=1,BT38,"")</f>
        <v/>
      </c>
      <c r="CH38" s="1" t="str">
        <f>IF($CF38=1,BU38,"")</f>
        <v/>
      </c>
      <c r="CI38" s="1" t="str">
        <f>IF($CF38=1,BV38,"")</f>
        <v/>
      </c>
      <c r="CJ38" s="1" t="str">
        <f>IF($CF38=1,BW38,"")</f>
        <v/>
      </c>
      <c r="CK38" s="1" t="str">
        <f>IF($CF38=1,BX38,"")</f>
        <v/>
      </c>
      <c r="CL38" s="1" t="str">
        <f>IF($CF38=1,BY38,"")</f>
        <v/>
      </c>
      <c r="CM38" s="1" t="str">
        <f>IF($CF38=1,BZ38,"")</f>
        <v/>
      </c>
      <c r="CN38" s="1" t="str">
        <f>IF($CF38=1,CA38,"")</f>
        <v/>
      </c>
      <c r="CO38" s="1" t="str">
        <f>IF($CF38=1,CB38,"")</f>
        <v/>
      </c>
      <c r="CP38" s="1" t="str">
        <f>IF($CF38=1,CC38,"")</f>
        <v/>
      </c>
      <c r="CQ38" s="1" t="str">
        <f>IF($CF38=1,CD38,"")</f>
        <v/>
      </c>
      <c r="CR38" s="1" t="str">
        <f>IF($CF38=1,CE38,"")</f>
        <v/>
      </c>
      <c r="CS38" s="3">
        <f>SUM(AE38:BO38)</f>
        <v>10</v>
      </c>
    </row>
    <row r="39" spans="1:97" ht="27" x14ac:dyDescent="0.15">
      <c r="A39" s="1"/>
      <c r="B39" s="1" t="s">
        <v>112</v>
      </c>
      <c r="C39" s="1" t="s">
        <v>105</v>
      </c>
      <c r="D39" s="1" t="s">
        <v>102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>
        <v>5</v>
      </c>
      <c r="AP39" s="1">
        <v>1</v>
      </c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6</v>
      </c>
      <c r="BQ39" s="1">
        <v>6</v>
      </c>
      <c r="BR39" s="17">
        <v>2</v>
      </c>
      <c r="BS39" s="17" t="s">
        <v>233</v>
      </c>
      <c r="BT39" s="1" t="str">
        <f>IF(AQ39&gt;AQ$126, AQ39-AQ$126,"")</f>
        <v/>
      </c>
      <c r="BU39" s="1" t="str">
        <f>IF(AR39&gt;AR$126, AR39-AR$126,"")</f>
        <v/>
      </c>
      <c r="BV39" s="1" t="str">
        <f>IF(AS39&gt;AS$126, AS39-AS$126,"")</f>
        <v/>
      </c>
      <c r="BW39" s="1" t="str">
        <f>IF(AT39&gt;AT$126, AT39-AT$126,"")</f>
        <v/>
      </c>
      <c r="BX39" s="1" t="str">
        <f>IF(AU39&gt;AU$126, AU39-AU$126,"")</f>
        <v/>
      </c>
      <c r="BY39" s="1" t="str">
        <f>IF(AV39&gt;AV$126, AV39-AV$126,"")</f>
        <v/>
      </c>
      <c r="BZ39" s="1" t="str">
        <f>IF(AW39&gt;AW$126, AW39-AW$126,"")</f>
        <v/>
      </c>
      <c r="CA39" s="1" t="str">
        <f>IF(AX39&gt;AX$126, AX39-AX$126,"")</f>
        <v/>
      </c>
      <c r="CB39" s="1" t="str">
        <f>IF(AY39&gt;AY$126, AY39-AY$126,"")</f>
        <v/>
      </c>
      <c r="CC39" s="1" t="str">
        <f>IF(AZ39&gt;AZ$126, AZ39-AZ$126,"")</f>
        <v/>
      </c>
      <c r="CD39" s="1" t="str">
        <f>IF(BA39&gt;BA$126, BA39-BA$126,"")</f>
        <v/>
      </c>
      <c r="CE39" s="1" t="str">
        <f>IF(BB39&gt;BB$126, BB39-BB$126,"")</f>
        <v/>
      </c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3"/>
    </row>
    <row r="40" spans="1:97" ht="27" x14ac:dyDescent="0.15">
      <c r="A40" s="1">
        <v>82</v>
      </c>
      <c r="B40" s="3" t="s">
        <v>67</v>
      </c>
      <c r="C40" s="3" t="s">
        <v>63</v>
      </c>
      <c r="D40" s="1" t="s">
        <v>13</v>
      </c>
      <c r="E40" s="6"/>
      <c r="F40" s="6"/>
      <c r="G40" s="6"/>
      <c r="H40" s="6"/>
      <c r="I40" s="6"/>
      <c r="J40" s="6"/>
      <c r="K40" s="6"/>
      <c r="L40" s="6">
        <v>6</v>
      </c>
      <c r="M40" s="6"/>
      <c r="N40" s="6">
        <v>6</v>
      </c>
      <c r="O40" s="6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>
        <v>10</v>
      </c>
      <c r="AU40" s="4"/>
      <c r="AV40" s="4"/>
      <c r="AW40" s="2"/>
      <c r="AX40" s="2"/>
      <c r="AY40" s="2"/>
      <c r="AZ40" s="2">
        <v>10</v>
      </c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32</v>
      </c>
      <c r="BQ40" s="1">
        <v>6</v>
      </c>
      <c r="BR40" s="17">
        <v>2</v>
      </c>
      <c r="BS40" s="17" t="s">
        <v>234</v>
      </c>
      <c r="BT40" s="1" t="str">
        <f>IF(AQ40&gt;AQ$126, AQ40-AQ$126,"")</f>
        <v/>
      </c>
      <c r="BU40" s="1" t="str">
        <f>IF(AR40&gt;AR$126, AR40-AR$126,"")</f>
        <v/>
      </c>
      <c r="BV40" s="1" t="str">
        <f>IF(AS40&gt;AS$126, AS40-AS$126,"")</f>
        <v/>
      </c>
      <c r="BW40" s="1" t="str">
        <f>IF(AT40&gt;AT$126, AT40-AT$126,"")</f>
        <v/>
      </c>
      <c r="BX40" s="1" t="str">
        <f>IF(AU40&gt;AU$126, AU40-AU$126,"")</f>
        <v/>
      </c>
      <c r="BY40" s="1" t="str">
        <f>IF(AV40&gt;AV$126, AV40-AV$126,"")</f>
        <v/>
      </c>
      <c r="BZ40" s="1" t="str">
        <f>IF(AW40&gt;AW$126, AW40-AW$126,"")</f>
        <v/>
      </c>
      <c r="CA40" s="1" t="str">
        <f>IF(AX40&gt;AX$126, AX40-AX$126,"")</f>
        <v/>
      </c>
      <c r="CB40" s="1" t="str">
        <f>IF(AY40&gt;AY$126, AY40-AY$126,"")</f>
        <v/>
      </c>
      <c r="CC40" s="1" t="str">
        <f>IF(AZ40&gt;AZ$126, AZ40-AZ$126,"")</f>
        <v/>
      </c>
      <c r="CD40" s="1" t="str">
        <f>IF(BA40&gt;BA$126, BA40-BA$126,"")</f>
        <v/>
      </c>
      <c r="CE40" s="1" t="str">
        <f>IF(BB40&gt;BB$126, BB40-BB$126,"")</f>
        <v/>
      </c>
      <c r="CF40" s="1">
        <f>COUNTIF(BT40:CE40, "&gt;0")</f>
        <v>0</v>
      </c>
      <c r="CG40" s="1" t="str">
        <f>IF($CF40=1,BT40,"")</f>
        <v/>
      </c>
      <c r="CH40" s="1" t="str">
        <f>IF($CF40=1,BU40,"")</f>
        <v/>
      </c>
      <c r="CI40" s="1" t="str">
        <f>IF($CF40=1,BV40,"")</f>
        <v/>
      </c>
      <c r="CJ40" s="1" t="str">
        <f>IF($CF40=1,BW40,"")</f>
        <v/>
      </c>
      <c r="CK40" s="1" t="str">
        <f>IF($CF40=1,BX40,"")</f>
        <v/>
      </c>
      <c r="CL40" s="1" t="str">
        <f>IF($CF40=1,BY40,"")</f>
        <v/>
      </c>
      <c r="CM40" s="1" t="str">
        <f>IF($CF40=1,BZ40,"")</f>
        <v/>
      </c>
      <c r="CN40" s="1" t="str">
        <f>IF($CF40=1,CA40,"")</f>
        <v/>
      </c>
      <c r="CO40" s="1" t="str">
        <f>IF($CF40=1,CB40,"")</f>
        <v/>
      </c>
      <c r="CP40" s="1" t="str">
        <f>IF($CF40=1,CC40,"")</f>
        <v/>
      </c>
      <c r="CQ40" s="1" t="str">
        <f>IF($CF40=1,CD40,"")</f>
        <v/>
      </c>
      <c r="CR40" s="1" t="str">
        <f>IF($CF40=1,CE40,"")</f>
        <v/>
      </c>
      <c r="CS40" s="3">
        <f>SUM(AE40:BO40)</f>
        <v>20</v>
      </c>
    </row>
    <row r="41" spans="1:97" ht="27" x14ac:dyDescent="0.15">
      <c r="A41" s="1">
        <v>20</v>
      </c>
      <c r="B41" s="1" t="s">
        <v>36</v>
      </c>
      <c r="C41" s="1" t="s">
        <v>30</v>
      </c>
      <c r="D41" s="1" t="s">
        <v>24</v>
      </c>
      <c r="E41" s="6"/>
      <c r="F41" s="6">
        <v>5</v>
      </c>
      <c r="G41" s="6"/>
      <c r="H41" s="6"/>
      <c r="I41" s="6"/>
      <c r="J41" s="6"/>
      <c r="K41" s="6"/>
      <c r="L41" s="6"/>
      <c r="M41" s="6"/>
      <c r="N41" s="6"/>
      <c r="O41" s="6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1"/>
      <c r="AF41" s="1"/>
      <c r="AG41" s="1">
        <v>5</v>
      </c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10</v>
      </c>
      <c r="BQ41" s="1">
        <v>6</v>
      </c>
      <c r="BR41" s="17">
        <v>2</v>
      </c>
      <c r="BS41" s="17" t="s">
        <v>239</v>
      </c>
      <c r="BT41" s="1" t="str">
        <f>IF(AQ41&gt;AQ$126, AQ41-AQ$126,"")</f>
        <v/>
      </c>
      <c r="BU41" s="1" t="str">
        <f>IF(AR41&gt;AR$126, AR41-AR$126,"")</f>
        <v/>
      </c>
      <c r="BV41" s="1" t="str">
        <f>IF(AS41&gt;AS$126, AS41-AS$126,"")</f>
        <v/>
      </c>
      <c r="BW41" s="1" t="str">
        <f>IF(AT41&gt;AT$126, AT41-AT$126,"")</f>
        <v/>
      </c>
      <c r="BX41" s="1" t="str">
        <f>IF(AU41&gt;AU$126, AU41-AU$126,"")</f>
        <v/>
      </c>
      <c r="BY41" s="1" t="str">
        <f>IF(AV41&gt;AV$126, AV41-AV$126,"")</f>
        <v/>
      </c>
      <c r="BZ41" s="1" t="str">
        <f>IF(AW41&gt;AW$126, AW41-AW$126,"")</f>
        <v/>
      </c>
      <c r="CA41" s="1" t="str">
        <f>IF(AX41&gt;AX$126, AX41-AX$126,"")</f>
        <v/>
      </c>
      <c r="CB41" s="1" t="str">
        <f>IF(AY41&gt;AY$126, AY41-AY$126,"")</f>
        <v/>
      </c>
      <c r="CC41" s="1" t="str">
        <f>IF(AZ41&gt;AZ$126, AZ41-AZ$126,"")</f>
        <v/>
      </c>
      <c r="CD41" s="1" t="str">
        <f>IF(BA41&gt;BA$126, BA41-BA$126,"")</f>
        <v/>
      </c>
      <c r="CE41" s="1" t="str">
        <f>IF(BB41&gt;BB$126, BB41-BB$126,"")</f>
        <v/>
      </c>
      <c r="CF41" s="1">
        <f>COUNTIF(BT41:CE41, "&gt;0")</f>
        <v>0</v>
      </c>
      <c r="CG41" s="1" t="str">
        <f>IF($CF41=1,BT41,"")</f>
        <v/>
      </c>
      <c r="CH41" s="1" t="str">
        <f>IF($CF41=1,BU41,"")</f>
        <v/>
      </c>
      <c r="CI41" s="1" t="str">
        <f>IF($CF41=1,BV41,"")</f>
        <v/>
      </c>
      <c r="CJ41" s="1" t="str">
        <f>IF($CF41=1,BW41,"")</f>
        <v/>
      </c>
      <c r="CK41" s="1" t="str">
        <f>IF($CF41=1,BX41,"")</f>
        <v/>
      </c>
      <c r="CL41" s="1" t="str">
        <f>IF($CF41=1,BY41,"")</f>
        <v/>
      </c>
      <c r="CM41" s="1" t="str">
        <f>IF($CF41=1,BZ41,"")</f>
        <v/>
      </c>
      <c r="CN41" s="1" t="str">
        <f>IF($CF41=1,CA41,"")</f>
        <v/>
      </c>
      <c r="CO41" s="1" t="str">
        <f>IF($CF41=1,CB41,"")</f>
        <v/>
      </c>
      <c r="CP41" s="1" t="str">
        <f>IF($CF41=1,CC41,"")</f>
        <v/>
      </c>
      <c r="CQ41" s="1" t="str">
        <f>IF($CF41=1,CD41,"")</f>
        <v/>
      </c>
      <c r="CR41" s="1" t="str">
        <f>IF($CF41=1,CE41,"")</f>
        <v/>
      </c>
      <c r="CS41" s="3">
        <f>SUM(AE41:BO41)</f>
        <v>5</v>
      </c>
    </row>
    <row r="42" spans="1:97" ht="27" x14ac:dyDescent="0.15">
      <c r="A42" s="1">
        <v>45</v>
      </c>
      <c r="B42" s="1" t="s">
        <v>100</v>
      </c>
      <c r="C42" s="1" t="s">
        <v>46</v>
      </c>
      <c r="D42" s="1" t="s">
        <v>13</v>
      </c>
      <c r="E42" s="6">
        <v>6</v>
      </c>
      <c r="F42" s="6"/>
      <c r="G42" s="6"/>
      <c r="H42" s="6"/>
      <c r="I42" s="6"/>
      <c r="J42" s="6"/>
      <c r="K42" s="6"/>
      <c r="L42" s="6"/>
      <c r="M42" s="6">
        <v>6</v>
      </c>
      <c r="N42" s="6"/>
      <c r="O42" s="6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>
        <v>10</v>
      </c>
      <c r="AR42" s="4"/>
      <c r="AS42" s="4"/>
      <c r="AT42" s="4"/>
      <c r="AU42" s="4"/>
      <c r="AV42" s="4"/>
      <c r="AW42" s="2"/>
      <c r="AX42" s="2"/>
      <c r="AY42" s="2"/>
      <c r="AZ42" s="2">
        <v>10</v>
      </c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32</v>
      </c>
      <c r="BQ42" s="1">
        <v>7</v>
      </c>
      <c r="BR42" s="17">
        <v>2</v>
      </c>
      <c r="BS42" s="17" t="s">
        <v>238</v>
      </c>
      <c r="BT42" s="1" t="str">
        <f>IF(AQ42&gt;AQ$126, AQ42-AQ$126,"")</f>
        <v/>
      </c>
      <c r="BU42" s="1" t="str">
        <f>IF(AR42&gt;AR$126, AR42-AR$126,"")</f>
        <v/>
      </c>
      <c r="BV42" s="1" t="str">
        <f>IF(AS42&gt;AS$126, AS42-AS$126,"")</f>
        <v/>
      </c>
      <c r="BW42" s="1" t="str">
        <f>IF(AT42&gt;AT$126, AT42-AT$126,"")</f>
        <v/>
      </c>
      <c r="BX42" s="1" t="str">
        <f>IF(AU42&gt;AU$126, AU42-AU$126,"")</f>
        <v/>
      </c>
      <c r="BY42" s="1" t="str">
        <f>IF(AV42&gt;AV$126, AV42-AV$126,"")</f>
        <v/>
      </c>
      <c r="BZ42" s="1" t="str">
        <f>IF(AW42&gt;AW$126, AW42-AW$126,"")</f>
        <v/>
      </c>
      <c r="CA42" s="1" t="str">
        <f>IF(AX42&gt;AX$126, AX42-AX$126,"")</f>
        <v/>
      </c>
      <c r="CB42" s="1" t="str">
        <f>IF(AY42&gt;AY$126, AY42-AY$126,"")</f>
        <v/>
      </c>
      <c r="CC42" s="1" t="str">
        <f>IF(AZ42&gt;AZ$126, AZ42-AZ$126,"")</f>
        <v/>
      </c>
      <c r="CD42" s="1" t="str">
        <f>IF(BA42&gt;BA$126, BA42-BA$126,"")</f>
        <v/>
      </c>
      <c r="CE42" s="1" t="str">
        <f>IF(BB42&gt;BB$126, BB42-BB$126,"")</f>
        <v/>
      </c>
      <c r="CF42" s="1">
        <f>COUNTIF(BT42:CE42, "&gt;0")</f>
        <v>0</v>
      </c>
      <c r="CG42" s="1" t="str">
        <f>IF($CF42=1,BT42,"")</f>
        <v/>
      </c>
      <c r="CH42" s="1" t="str">
        <f>IF($CF42=1,BU42,"")</f>
        <v/>
      </c>
      <c r="CI42" s="1" t="str">
        <f>IF($CF42=1,BV42,"")</f>
        <v/>
      </c>
      <c r="CJ42" s="1" t="str">
        <f>IF($CF42=1,BW42,"")</f>
        <v/>
      </c>
      <c r="CK42" s="1" t="str">
        <f>IF($CF42=1,BX42,"")</f>
        <v/>
      </c>
      <c r="CL42" s="1" t="str">
        <f>IF($CF42=1,BY42,"")</f>
        <v/>
      </c>
      <c r="CM42" s="1" t="str">
        <f>IF($CF42=1,BZ42,"")</f>
        <v/>
      </c>
      <c r="CN42" s="1" t="str">
        <f>IF($CF42=1,CA42,"")</f>
        <v/>
      </c>
      <c r="CO42" s="1" t="str">
        <f>IF($CF42=1,CB42,"")</f>
        <v/>
      </c>
      <c r="CP42" s="1" t="str">
        <f>IF($CF42=1,CC42,"")</f>
        <v/>
      </c>
      <c r="CQ42" s="1" t="str">
        <f>IF($CF42=1,CD42,"")</f>
        <v/>
      </c>
      <c r="CR42" s="1" t="str">
        <f>IF($CF42=1,CE42,"")</f>
        <v/>
      </c>
      <c r="CS42" s="3">
        <f>SUM(AE42:BO42)</f>
        <v>20</v>
      </c>
    </row>
    <row r="43" spans="1:97" ht="27" x14ac:dyDescent="0.15">
      <c r="A43" s="1"/>
      <c r="B43" s="1" t="s">
        <v>205</v>
      </c>
      <c r="C43" s="1" t="s">
        <v>116</v>
      </c>
      <c r="D43" s="1" t="s">
        <v>103</v>
      </c>
      <c r="E43" s="6"/>
      <c r="F43" s="6">
        <v>6</v>
      </c>
      <c r="G43" s="6"/>
      <c r="H43" s="6"/>
      <c r="I43" s="6"/>
      <c r="J43" s="6"/>
      <c r="K43" s="6"/>
      <c r="L43" s="6"/>
      <c r="M43" s="6"/>
      <c r="N43" s="6"/>
      <c r="O43" s="6">
        <v>6</v>
      </c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>
        <v>10</v>
      </c>
      <c r="AU43" s="4"/>
      <c r="AV43" s="4"/>
      <c r="AW43" s="2"/>
      <c r="AX43" s="2"/>
      <c r="AY43" s="2">
        <v>10</v>
      </c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32</v>
      </c>
      <c r="BQ43" s="1">
        <v>7</v>
      </c>
      <c r="BR43" s="17">
        <v>2</v>
      </c>
      <c r="BS43" s="17" t="s">
        <v>241</v>
      </c>
      <c r="BT43" s="1" t="str">
        <f>IF(AQ43&gt;AQ$126, AQ43-AQ$126,"")</f>
        <v/>
      </c>
      <c r="BU43" s="1" t="str">
        <f>IF(AR43&gt;AR$126, AR43-AR$126,"")</f>
        <v/>
      </c>
      <c r="BV43" s="1" t="str">
        <f>IF(AS43&gt;AS$126, AS43-AS$126,"")</f>
        <v/>
      </c>
      <c r="BW43" s="1" t="str">
        <f>IF(AT43&gt;AT$126, AT43-AT$126,"")</f>
        <v/>
      </c>
      <c r="BX43" s="1" t="str">
        <f>IF(AU43&gt;AU$126, AU43-AU$126,"")</f>
        <v/>
      </c>
      <c r="BY43" s="1" t="str">
        <f>IF(AV43&gt;AV$126, AV43-AV$126,"")</f>
        <v/>
      </c>
      <c r="BZ43" s="1" t="str">
        <f>IF(AW43&gt;AW$126, AW43-AW$126,"")</f>
        <v/>
      </c>
      <c r="CA43" s="1" t="str">
        <f>IF(AX43&gt;AX$126, AX43-AX$126,"")</f>
        <v/>
      </c>
      <c r="CB43" s="1" t="str">
        <f>IF(AY43&gt;AY$126, AY43-AY$126,"")</f>
        <v/>
      </c>
      <c r="CC43" s="1" t="str">
        <f>IF(AZ43&gt;AZ$126, AZ43-AZ$126,"")</f>
        <v/>
      </c>
      <c r="CD43" s="1" t="str">
        <f>IF(BA43&gt;BA$126, BA43-BA$126,"")</f>
        <v/>
      </c>
      <c r="CE43" s="1" t="str">
        <f>IF(BB43&gt;BB$126, BB43-BB$126,"")</f>
        <v/>
      </c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3"/>
    </row>
    <row r="44" spans="1:97" ht="27" x14ac:dyDescent="0.15">
      <c r="A44" s="1"/>
      <c r="B44" s="1" t="s">
        <v>108</v>
      </c>
      <c r="C44" s="1" t="s">
        <v>105</v>
      </c>
      <c r="D44" s="1" t="s">
        <v>109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>
        <v>3</v>
      </c>
      <c r="AP44" s="1">
        <v>5</v>
      </c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8</v>
      </c>
      <c r="BQ44" s="1">
        <v>8</v>
      </c>
      <c r="BR44" s="17">
        <v>2</v>
      </c>
      <c r="BS44" s="17" t="s">
        <v>235</v>
      </c>
      <c r="BT44" s="1" t="str">
        <f>IF(AQ44&gt;AQ$126, AQ44-AQ$126,"")</f>
        <v/>
      </c>
      <c r="BU44" s="1" t="str">
        <f>IF(AR44&gt;AR$126, AR44-AR$126,"")</f>
        <v/>
      </c>
      <c r="BV44" s="1" t="str">
        <f>IF(AS44&gt;AS$126, AS44-AS$126,"")</f>
        <v/>
      </c>
      <c r="BW44" s="1" t="str">
        <f>IF(AT44&gt;AT$126, AT44-AT$126,"")</f>
        <v/>
      </c>
      <c r="BX44" s="1" t="str">
        <f>IF(AU44&gt;AU$126, AU44-AU$126,"")</f>
        <v/>
      </c>
      <c r="BY44" s="1" t="str">
        <f>IF(AV44&gt;AV$126, AV44-AV$126,"")</f>
        <v/>
      </c>
      <c r="BZ44" s="1" t="str">
        <f>IF(AW44&gt;AW$126, AW44-AW$126,"")</f>
        <v/>
      </c>
      <c r="CA44" s="1" t="str">
        <f>IF(AX44&gt;AX$126, AX44-AX$126,"")</f>
        <v/>
      </c>
      <c r="CB44" s="1" t="str">
        <f>IF(AY44&gt;AY$126, AY44-AY$126,"")</f>
        <v/>
      </c>
      <c r="CC44" s="1" t="str">
        <f>IF(AZ44&gt;AZ$126, AZ44-AZ$126,"")</f>
        <v/>
      </c>
      <c r="CD44" s="1" t="str">
        <f>IF(BA44&gt;BA$126, BA44-BA$126,"")</f>
        <v/>
      </c>
      <c r="CE44" s="1" t="str">
        <f>IF(BB44&gt;BB$126, BB44-BB$126,"")</f>
        <v/>
      </c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3"/>
    </row>
    <row r="45" spans="1:97" ht="27" x14ac:dyDescent="0.15">
      <c r="A45" s="1"/>
      <c r="B45" s="1" t="s">
        <v>130</v>
      </c>
      <c r="C45" s="1" t="s">
        <v>118</v>
      </c>
      <c r="D45" s="1" t="s">
        <v>120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/>
      <c r="Q45" s="28">
        <v>5</v>
      </c>
      <c r="R45" s="28">
        <v>2</v>
      </c>
      <c r="S45" s="28"/>
      <c r="T45" s="28">
        <v>5</v>
      </c>
      <c r="U45" s="28"/>
      <c r="V45" s="28"/>
      <c r="W45" s="28"/>
      <c r="X45" s="28"/>
      <c r="Y45" s="28"/>
      <c r="Z45" s="28">
        <v>5</v>
      </c>
      <c r="AA45" s="28"/>
      <c r="AB45" s="28"/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17</v>
      </c>
      <c r="BQ45" s="1">
        <v>8</v>
      </c>
      <c r="BR45" s="17">
        <v>2</v>
      </c>
      <c r="BS45" s="17" t="s">
        <v>236</v>
      </c>
      <c r="BT45" s="1" t="str">
        <f>IF(AQ45&gt;AQ$126, AQ45-AQ$126,"")</f>
        <v/>
      </c>
      <c r="BU45" s="1" t="str">
        <f>IF(AR45&gt;AR$126, AR45-AR$126,"")</f>
        <v/>
      </c>
      <c r="BV45" s="1" t="str">
        <f>IF(AS45&gt;AS$126, AS45-AS$126,"")</f>
        <v/>
      </c>
      <c r="BW45" s="1" t="str">
        <f>IF(AT45&gt;AT$126, AT45-AT$126,"")</f>
        <v/>
      </c>
      <c r="BX45" s="1" t="str">
        <f>IF(AU45&gt;AU$126, AU45-AU$126,"")</f>
        <v/>
      </c>
      <c r="BY45" s="1" t="str">
        <f>IF(AV45&gt;AV$126, AV45-AV$126,"")</f>
        <v/>
      </c>
      <c r="BZ45" s="1" t="str">
        <f>IF(AW45&gt;AW$126, AW45-AW$126,"")</f>
        <v/>
      </c>
      <c r="CA45" s="1" t="str">
        <f>IF(AX45&gt;AX$126, AX45-AX$126,"")</f>
        <v/>
      </c>
      <c r="CB45" s="1" t="str">
        <f>IF(AY45&gt;AY$126, AY45-AY$126,"")</f>
        <v/>
      </c>
      <c r="CC45" s="1" t="str">
        <f>IF(AZ45&gt;AZ$126, AZ45-AZ$126,"")</f>
        <v/>
      </c>
      <c r="CD45" s="1" t="str">
        <f>IF(BA45&gt;BA$126, BA45-BA$126,"")</f>
        <v/>
      </c>
      <c r="CE45" s="1" t="str">
        <f>IF(BB45&gt;BB$126, BB45-BB$126,"")</f>
        <v/>
      </c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3"/>
    </row>
    <row r="46" spans="1:97" ht="27" x14ac:dyDescent="0.15">
      <c r="A46" s="1"/>
      <c r="B46" s="1" t="s">
        <v>135</v>
      </c>
      <c r="C46" s="1" t="s">
        <v>118</v>
      </c>
      <c r="D46" s="1" t="s">
        <v>120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/>
      <c r="Q46" s="28">
        <v>5</v>
      </c>
      <c r="R46" s="28">
        <v>2</v>
      </c>
      <c r="S46" s="28"/>
      <c r="T46" s="28">
        <v>5</v>
      </c>
      <c r="U46" s="28"/>
      <c r="V46" s="28"/>
      <c r="W46" s="28"/>
      <c r="X46" s="28"/>
      <c r="Y46" s="28"/>
      <c r="Z46" s="28">
        <v>5</v>
      </c>
      <c r="AA46" s="28"/>
      <c r="AB46" s="28"/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17</v>
      </c>
      <c r="BQ46" s="1">
        <v>8</v>
      </c>
      <c r="BR46" s="17">
        <v>2</v>
      </c>
      <c r="BS46" s="17" t="s">
        <v>236</v>
      </c>
      <c r="BT46" s="1" t="str">
        <f>IF(AQ46&gt;AQ$126, AQ46-AQ$126,"")</f>
        <v/>
      </c>
      <c r="BU46" s="1" t="str">
        <f>IF(AR46&gt;AR$126, AR46-AR$126,"")</f>
        <v/>
      </c>
      <c r="BV46" s="1" t="str">
        <f>IF(AS46&gt;AS$126, AS46-AS$126,"")</f>
        <v/>
      </c>
      <c r="BW46" s="1" t="str">
        <f>IF(AT46&gt;AT$126, AT46-AT$126,"")</f>
        <v/>
      </c>
      <c r="BX46" s="1" t="str">
        <f>IF(AU46&gt;AU$126, AU46-AU$126,"")</f>
        <v/>
      </c>
      <c r="BY46" s="1" t="str">
        <f>IF(AV46&gt;AV$126, AV46-AV$126,"")</f>
        <v/>
      </c>
      <c r="BZ46" s="1" t="str">
        <f>IF(AW46&gt;AW$126, AW46-AW$126,"")</f>
        <v/>
      </c>
      <c r="CA46" s="1" t="str">
        <f>IF(AX46&gt;AX$126, AX46-AX$126,"")</f>
        <v/>
      </c>
      <c r="CB46" s="1" t="str">
        <f>IF(AY46&gt;AY$126, AY46-AY$126,"")</f>
        <v/>
      </c>
      <c r="CC46" s="1" t="str">
        <f>IF(AZ46&gt;AZ$126, AZ46-AZ$126,"")</f>
        <v/>
      </c>
      <c r="CD46" s="1" t="str">
        <f>IF(BA46&gt;BA$126, BA46-BA$126,"")</f>
        <v/>
      </c>
      <c r="CE46" s="1" t="str">
        <f>IF(BB46&gt;BB$126, BB46-BB$126,"")</f>
        <v/>
      </c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3"/>
    </row>
    <row r="47" spans="1:97" ht="27" x14ac:dyDescent="0.15">
      <c r="A47" s="1"/>
      <c r="B47" s="1" t="s">
        <v>143</v>
      </c>
      <c r="C47" s="1" t="s">
        <v>141</v>
      </c>
      <c r="D47" s="1" t="s">
        <v>120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/>
      <c r="Q47" s="28">
        <v>5</v>
      </c>
      <c r="R47" s="28">
        <v>2</v>
      </c>
      <c r="S47" s="28"/>
      <c r="T47" s="28">
        <v>5</v>
      </c>
      <c r="U47" s="28"/>
      <c r="V47" s="28"/>
      <c r="W47" s="28"/>
      <c r="X47" s="28"/>
      <c r="Y47" s="28"/>
      <c r="Z47" s="28">
        <v>5</v>
      </c>
      <c r="AA47" s="28"/>
      <c r="AB47" s="28"/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17</v>
      </c>
      <c r="BQ47" s="1">
        <v>8</v>
      </c>
      <c r="BR47" s="17">
        <v>2</v>
      </c>
      <c r="BS47" s="17" t="s">
        <v>236</v>
      </c>
      <c r="BT47" s="1" t="str">
        <f>IF(AQ47&gt;AQ$126, AQ47-AQ$126,"")</f>
        <v/>
      </c>
      <c r="BU47" s="1" t="str">
        <f>IF(AR47&gt;AR$126, AR47-AR$126,"")</f>
        <v/>
      </c>
      <c r="BV47" s="1" t="str">
        <f>IF(AS47&gt;AS$126, AS47-AS$126,"")</f>
        <v/>
      </c>
      <c r="BW47" s="1" t="str">
        <f>IF(AT47&gt;AT$126, AT47-AT$126,"")</f>
        <v/>
      </c>
      <c r="BX47" s="1" t="str">
        <f>IF(AU47&gt;AU$126, AU47-AU$126,"")</f>
        <v/>
      </c>
      <c r="BY47" s="1" t="str">
        <f>IF(AV47&gt;AV$126, AV47-AV$126,"")</f>
        <v/>
      </c>
      <c r="BZ47" s="1" t="str">
        <f>IF(AW47&gt;AW$126, AW47-AW$126,"")</f>
        <v/>
      </c>
      <c r="CA47" s="1" t="str">
        <f>IF(AX47&gt;AX$126, AX47-AX$126,"")</f>
        <v/>
      </c>
      <c r="CB47" s="1" t="str">
        <f>IF(AY47&gt;AY$126, AY47-AY$126,"")</f>
        <v/>
      </c>
      <c r="CC47" s="1" t="str">
        <f>IF(AZ47&gt;AZ$126, AZ47-AZ$126,"")</f>
        <v/>
      </c>
      <c r="CD47" s="1" t="str">
        <f>IF(BA47&gt;BA$126, BA47-BA$126,"")</f>
        <v/>
      </c>
      <c r="CE47" s="1" t="str">
        <f>IF(BB47&gt;BB$126, BB47-BB$126,"")</f>
        <v/>
      </c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3"/>
    </row>
    <row r="48" spans="1:97" x14ac:dyDescent="0.15">
      <c r="A48" s="1"/>
      <c r="B48" s="1" t="s">
        <v>145</v>
      </c>
      <c r="C48" s="1" t="s">
        <v>146</v>
      </c>
      <c r="D48" s="1" t="s">
        <v>120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>
        <v>5</v>
      </c>
      <c r="R48" s="28"/>
      <c r="S48" s="28"/>
      <c r="T48" s="28">
        <v>5</v>
      </c>
      <c r="U48" s="28"/>
      <c r="V48" s="28"/>
      <c r="W48" s="28"/>
      <c r="X48" s="28">
        <v>2</v>
      </c>
      <c r="Y48" s="28"/>
      <c r="Z48" s="28">
        <v>5</v>
      </c>
      <c r="AA48" s="28"/>
      <c r="AB48" s="28"/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17</v>
      </c>
      <c r="BQ48" s="1">
        <v>8</v>
      </c>
      <c r="BR48" s="17">
        <v>2</v>
      </c>
      <c r="BS48" s="17" t="s">
        <v>236</v>
      </c>
      <c r="BT48" s="1" t="str">
        <f>IF(AQ48&gt;AQ$126, AQ48-AQ$126,"")</f>
        <v/>
      </c>
      <c r="BU48" s="1" t="str">
        <f>IF(AR48&gt;AR$126, AR48-AR$126,"")</f>
        <v/>
      </c>
      <c r="BV48" s="1" t="str">
        <f>IF(AS48&gt;AS$126, AS48-AS$126,"")</f>
        <v/>
      </c>
      <c r="BW48" s="1" t="str">
        <f>IF(AT48&gt;AT$126, AT48-AT$126,"")</f>
        <v/>
      </c>
      <c r="BX48" s="1" t="str">
        <f>IF(AU48&gt;AU$126, AU48-AU$126,"")</f>
        <v/>
      </c>
      <c r="BY48" s="1" t="str">
        <f>IF(AV48&gt;AV$126, AV48-AV$126,"")</f>
        <v/>
      </c>
      <c r="BZ48" s="1" t="str">
        <f>IF(AW48&gt;AW$126, AW48-AW$126,"")</f>
        <v/>
      </c>
      <c r="CA48" s="1" t="str">
        <f>IF(AX48&gt;AX$126, AX48-AX$126,"")</f>
        <v/>
      </c>
      <c r="CB48" s="1" t="str">
        <f>IF(AY48&gt;AY$126, AY48-AY$126,"")</f>
        <v/>
      </c>
      <c r="CC48" s="1" t="str">
        <f>IF(AZ48&gt;AZ$126, AZ48-AZ$126,"")</f>
        <v/>
      </c>
      <c r="CD48" s="1" t="str">
        <f>IF(BA48&gt;BA$126, BA48-BA$126,"")</f>
        <v/>
      </c>
      <c r="CE48" s="1" t="str">
        <f>IF(BB48&gt;BB$126, BB48-BB$126,"")</f>
        <v/>
      </c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3"/>
    </row>
    <row r="49" spans="1:97" ht="27" x14ac:dyDescent="0.15">
      <c r="A49" s="1">
        <v>39</v>
      </c>
      <c r="B49" s="1" t="s">
        <v>49</v>
      </c>
      <c r="C49" s="1" t="s">
        <v>46</v>
      </c>
      <c r="D49" s="1" t="s">
        <v>25</v>
      </c>
      <c r="E49" s="6"/>
      <c r="F49" s="6">
        <v>6</v>
      </c>
      <c r="G49" s="6"/>
      <c r="H49" s="6"/>
      <c r="I49" s="6"/>
      <c r="J49" s="6"/>
      <c r="K49" s="6"/>
      <c r="L49" s="6">
        <v>6</v>
      </c>
      <c r="M49" s="6"/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>
        <v>10</v>
      </c>
      <c r="AR49" s="4"/>
      <c r="AS49" s="4"/>
      <c r="AT49" s="4"/>
      <c r="AU49" s="4"/>
      <c r="AV49" s="4"/>
      <c r="AW49" s="2"/>
      <c r="AX49" s="2">
        <v>10</v>
      </c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32</v>
      </c>
      <c r="BQ49" s="1">
        <v>8</v>
      </c>
      <c r="BR49" s="17">
        <v>2</v>
      </c>
      <c r="BS49" s="17" t="s">
        <v>243</v>
      </c>
      <c r="BT49" s="1" t="str">
        <f>IF(AQ49&gt;AQ$126, AQ49-AQ$126,"")</f>
        <v/>
      </c>
      <c r="BU49" s="1" t="str">
        <f>IF(AR49&gt;AR$126, AR49-AR$126,"")</f>
        <v/>
      </c>
      <c r="BV49" s="1" t="str">
        <f>IF(AS49&gt;AS$126, AS49-AS$126,"")</f>
        <v/>
      </c>
      <c r="BW49" s="1" t="str">
        <f>IF(AT49&gt;AT$126, AT49-AT$126,"")</f>
        <v/>
      </c>
      <c r="BX49" s="1" t="str">
        <f>IF(AU49&gt;AU$126, AU49-AU$126,"")</f>
        <v/>
      </c>
      <c r="BY49" s="1" t="str">
        <f>IF(AV49&gt;AV$126, AV49-AV$126,"")</f>
        <v/>
      </c>
      <c r="BZ49" s="1" t="str">
        <f>IF(AW49&gt;AW$126, AW49-AW$126,"")</f>
        <v/>
      </c>
      <c r="CA49" s="1" t="str">
        <f>IF(AX49&gt;AX$126, AX49-AX$126,"")</f>
        <v/>
      </c>
      <c r="CB49" s="1" t="str">
        <f>IF(AY49&gt;AY$126, AY49-AY$126,"")</f>
        <v/>
      </c>
      <c r="CC49" s="1" t="str">
        <f>IF(AZ49&gt;AZ$126, AZ49-AZ$126,"")</f>
        <v/>
      </c>
      <c r="CD49" s="1" t="str">
        <f>IF(BA49&gt;BA$126, BA49-BA$126,"")</f>
        <v/>
      </c>
      <c r="CE49" s="1" t="str">
        <f>IF(BB49&gt;BB$126, BB49-BB$126,"")</f>
        <v/>
      </c>
      <c r="CF49" s="1">
        <f>COUNTIF(BT49:CE49, "&gt;0")</f>
        <v>0</v>
      </c>
      <c r="CG49" s="1" t="str">
        <f>IF($CF49=1,BT49,"")</f>
        <v/>
      </c>
      <c r="CH49" s="1" t="str">
        <f>IF($CF49=1,BU49,"")</f>
        <v/>
      </c>
      <c r="CI49" s="1" t="str">
        <f>IF($CF49=1,BV49,"")</f>
        <v/>
      </c>
      <c r="CJ49" s="1" t="str">
        <f>IF($CF49=1,BW49,"")</f>
        <v/>
      </c>
      <c r="CK49" s="1" t="str">
        <f>IF($CF49=1,BX49,"")</f>
        <v/>
      </c>
      <c r="CL49" s="1" t="str">
        <f>IF($CF49=1,BY49,"")</f>
        <v/>
      </c>
      <c r="CM49" s="1" t="str">
        <f>IF($CF49=1,BZ49,"")</f>
        <v/>
      </c>
      <c r="CN49" s="1" t="str">
        <f>IF($CF49=1,CA49,"")</f>
        <v/>
      </c>
      <c r="CO49" s="1" t="str">
        <f>IF($CF49=1,CB49,"")</f>
        <v/>
      </c>
      <c r="CP49" s="1" t="str">
        <f>IF($CF49=1,CC49,"")</f>
        <v/>
      </c>
      <c r="CQ49" s="1" t="str">
        <f>IF($CF49=1,CD49,"")</f>
        <v/>
      </c>
      <c r="CR49" s="1" t="str">
        <f>IF($CF49=1,CE49,"")</f>
        <v/>
      </c>
      <c r="CS49" s="3">
        <f>SUM(AE49:BO49)</f>
        <v>20</v>
      </c>
    </row>
    <row r="50" spans="1:97" ht="27" x14ac:dyDescent="0.15">
      <c r="A50" s="1">
        <v>27</v>
      </c>
      <c r="B50" s="1" t="s">
        <v>73</v>
      </c>
      <c r="C50" s="1" t="s">
        <v>30</v>
      </c>
      <c r="D50" s="1" t="s">
        <v>23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1"/>
      <c r="AF50" s="1"/>
      <c r="AG50" s="1"/>
      <c r="AH50" s="1">
        <v>5</v>
      </c>
      <c r="AI50" s="1">
        <v>5</v>
      </c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10</v>
      </c>
      <c r="BQ50" s="1">
        <v>10</v>
      </c>
      <c r="BR50" s="17">
        <v>2</v>
      </c>
      <c r="BS50" s="17" t="s">
        <v>242</v>
      </c>
      <c r="BT50" s="1" t="str">
        <f>IF(AQ50&gt;AQ$126, AQ50-AQ$126,"")</f>
        <v/>
      </c>
      <c r="BU50" s="1" t="str">
        <f>IF(AR50&gt;AR$126, AR50-AR$126,"")</f>
        <v/>
      </c>
      <c r="BV50" s="1" t="str">
        <f>IF(AS50&gt;AS$126, AS50-AS$126,"")</f>
        <v/>
      </c>
      <c r="BW50" s="1" t="str">
        <f>IF(AT50&gt;AT$126, AT50-AT$126,"")</f>
        <v/>
      </c>
      <c r="BX50" s="1" t="str">
        <f>IF(AU50&gt;AU$126, AU50-AU$126,"")</f>
        <v/>
      </c>
      <c r="BY50" s="1" t="str">
        <f>IF(AV50&gt;AV$126, AV50-AV$126,"")</f>
        <v/>
      </c>
      <c r="BZ50" s="1" t="str">
        <f>IF(AW50&gt;AW$126, AW50-AW$126,"")</f>
        <v/>
      </c>
      <c r="CA50" s="1" t="str">
        <f>IF(AX50&gt;AX$126, AX50-AX$126,"")</f>
        <v/>
      </c>
      <c r="CB50" s="1" t="str">
        <f>IF(AY50&gt;AY$126, AY50-AY$126,"")</f>
        <v/>
      </c>
      <c r="CC50" s="1" t="str">
        <f>IF(AZ50&gt;AZ$126, AZ50-AZ$126,"")</f>
        <v/>
      </c>
      <c r="CD50" s="1" t="str">
        <f>IF(BA50&gt;BA$126, BA50-BA$126,"")</f>
        <v/>
      </c>
      <c r="CE50" s="1" t="str">
        <f>IF(BB50&gt;BB$126, BB50-BB$126,"")</f>
        <v/>
      </c>
      <c r="CF50" s="1">
        <f>COUNTIF(BT50:CE50, "&gt;0")</f>
        <v>0</v>
      </c>
      <c r="CG50" s="1" t="str">
        <f>IF($CF50=1,BT50,"")</f>
        <v/>
      </c>
      <c r="CH50" s="1" t="str">
        <f>IF($CF50=1,BU50,"")</f>
        <v/>
      </c>
      <c r="CI50" s="1" t="str">
        <f>IF($CF50=1,BV50,"")</f>
        <v/>
      </c>
      <c r="CJ50" s="1" t="str">
        <f>IF($CF50=1,BW50,"")</f>
        <v/>
      </c>
      <c r="CK50" s="1" t="str">
        <f>IF($CF50=1,BX50,"")</f>
        <v/>
      </c>
      <c r="CL50" s="1" t="str">
        <f>IF($CF50=1,BY50,"")</f>
        <v/>
      </c>
      <c r="CM50" s="1" t="str">
        <f>IF($CF50=1,BZ50,"")</f>
        <v/>
      </c>
      <c r="CN50" s="1" t="str">
        <f>IF($CF50=1,CA50,"")</f>
        <v/>
      </c>
      <c r="CO50" s="1" t="str">
        <f>IF($CF50=1,CB50,"")</f>
        <v/>
      </c>
      <c r="CP50" s="1" t="str">
        <f>IF($CF50=1,CC50,"")</f>
        <v/>
      </c>
      <c r="CQ50" s="1" t="str">
        <f>IF($CF50=1,CD50,"")</f>
        <v/>
      </c>
      <c r="CR50" s="1" t="str">
        <f>IF($CF50=1,CE50,"")</f>
        <v/>
      </c>
      <c r="CS50" s="3">
        <f>SUM(AE50:BO50)</f>
        <v>10</v>
      </c>
    </row>
    <row r="51" spans="1:97" ht="27" x14ac:dyDescent="0.15">
      <c r="A51" s="1">
        <v>88</v>
      </c>
      <c r="B51" s="3" t="s">
        <v>78</v>
      </c>
      <c r="C51" s="3" t="s">
        <v>79</v>
      </c>
      <c r="D51" s="1" t="s">
        <v>23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1"/>
      <c r="AF51" s="1"/>
      <c r="AG51" s="1"/>
      <c r="AH51" s="1">
        <v>5</v>
      </c>
      <c r="AI51" s="1">
        <v>5</v>
      </c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10</v>
      </c>
      <c r="BQ51" s="1">
        <v>10</v>
      </c>
      <c r="BR51" s="17">
        <v>2</v>
      </c>
      <c r="BS51" s="17" t="s">
        <v>242</v>
      </c>
      <c r="BT51" s="1" t="str">
        <f>IF(AQ51&gt;AQ$126, AQ51-AQ$126,"")</f>
        <v/>
      </c>
      <c r="BU51" s="1" t="str">
        <f>IF(AR51&gt;AR$126, AR51-AR$126,"")</f>
        <v/>
      </c>
      <c r="BV51" s="1" t="str">
        <f>IF(AS51&gt;AS$126, AS51-AS$126,"")</f>
        <v/>
      </c>
      <c r="BW51" s="1" t="str">
        <f>IF(AT51&gt;AT$126, AT51-AT$126,"")</f>
        <v/>
      </c>
      <c r="BX51" s="1" t="str">
        <f>IF(AU51&gt;AU$126, AU51-AU$126,"")</f>
        <v/>
      </c>
      <c r="BY51" s="1" t="str">
        <f>IF(AV51&gt;AV$126, AV51-AV$126,"")</f>
        <v/>
      </c>
      <c r="BZ51" s="1" t="str">
        <f>IF(AW51&gt;AW$126, AW51-AW$126,"")</f>
        <v/>
      </c>
      <c r="CA51" s="1" t="str">
        <f>IF(AX51&gt;AX$126, AX51-AX$126,"")</f>
        <v/>
      </c>
      <c r="CB51" s="1" t="str">
        <f>IF(AY51&gt;AY$126, AY51-AY$126,"")</f>
        <v/>
      </c>
      <c r="CC51" s="1" t="str">
        <f>IF(AZ51&gt;AZ$126, AZ51-AZ$126,"")</f>
        <v/>
      </c>
      <c r="CD51" s="1" t="str">
        <f>IF(BA51&gt;BA$126, BA51-BA$126,"")</f>
        <v/>
      </c>
      <c r="CE51" s="1" t="str">
        <f>IF(BB51&gt;BB$126, BB51-BB$126,"")</f>
        <v/>
      </c>
      <c r="CF51" s="1">
        <f>COUNTIF(BT51:CE51, "&gt;0")</f>
        <v>0</v>
      </c>
      <c r="CG51" s="1" t="str">
        <f>IF($CF51=1,BT51,"")</f>
        <v/>
      </c>
      <c r="CH51" s="1" t="str">
        <f>IF($CF51=1,BU51,"")</f>
        <v/>
      </c>
      <c r="CI51" s="1" t="str">
        <f>IF($CF51=1,BV51,"")</f>
        <v/>
      </c>
      <c r="CJ51" s="1" t="str">
        <f>IF($CF51=1,BW51,"")</f>
        <v/>
      </c>
      <c r="CK51" s="1" t="str">
        <f>IF($CF51=1,BX51,"")</f>
        <v/>
      </c>
      <c r="CL51" s="1" t="str">
        <f>IF($CF51=1,BY51,"")</f>
        <v/>
      </c>
      <c r="CM51" s="1" t="str">
        <f>IF($CF51=1,BZ51,"")</f>
        <v/>
      </c>
      <c r="CN51" s="1" t="str">
        <f>IF($CF51=1,CA51,"")</f>
        <v/>
      </c>
      <c r="CO51" s="1" t="str">
        <f>IF($CF51=1,CB51,"")</f>
        <v/>
      </c>
      <c r="CP51" s="1" t="str">
        <f>IF($CF51=1,CC51,"")</f>
        <v/>
      </c>
      <c r="CQ51" s="1" t="str">
        <f>IF($CF51=1,CD51,"")</f>
        <v/>
      </c>
      <c r="CR51" s="1" t="str">
        <f>IF($CF51=1,CE51,"")</f>
        <v/>
      </c>
      <c r="CS51" s="3">
        <f>SUM(AE51:BO51)</f>
        <v>10</v>
      </c>
    </row>
    <row r="52" spans="1:97" ht="27" x14ac:dyDescent="0.15">
      <c r="A52" s="1"/>
      <c r="B52" s="1" t="s">
        <v>149</v>
      </c>
      <c r="C52" s="1" t="s">
        <v>148</v>
      </c>
      <c r="D52" s="1" t="s">
        <v>121</v>
      </c>
      <c r="E52" s="6"/>
      <c r="F52" s="6"/>
      <c r="G52" s="6">
        <v>10</v>
      </c>
      <c r="H52" s="6"/>
      <c r="I52" s="6"/>
      <c r="J52" s="6"/>
      <c r="K52" s="6"/>
      <c r="L52" s="6"/>
      <c r="M52" s="6"/>
      <c r="N52" s="6"/>
      <c r="O52" s="6"/>
      <c r="P52" s="28"/>
      <c r="Q52" s="28"/>
      <c r="R52" s="28"/>
      <c r="S52" s="28"/>
      <c r="T52" s="28"/>
      <c r="U52" s="28"/>
      <c r="V52" s="28"/>
      <c r="W52" s="28"/>
      <c r="X52" s="28">
        <v>10</v>
      </c>
      <c r="Y52" s="28"/>
      <c r="Z52" s="28"/>
      <c r="AA52" s="28"/>
      <c r="AB52" s="28"/>
      <c r="AC52" s="28"/>
      <c r="AD52" s="28">
        <v>10</v>
      </c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>
        <v>10</v>
      </c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40</v>
      </c>
      <c r="BQ52" s="1">
        <v>10</v>
      </c>
      <c r="BR52" s="17">
        <v>2</v>
      </c>
      <c r="BS52" s="17" t="s">
        <v>244</v>
      </c>
      <c r="BT52" s="1" t="str">
        <f>IF(AQ52&gt;AQ$126, AQ52-AQ$126,"")</f>
        <v/>
      </c>
      <c r="BU52" s="1" t="str">
        <f>IF(AR52&gt;AR$126, AR52-AR$126,"")</f>
        <v/>
      </c>
      <c r="BV52" s="1" t="str">
        <f>IF(AS52&gt;AS$126, AS52-AS$126,"")</f>
        <v/>
      </c>
      <c r="BW52" s="1" t="str">
        <f>IF(AT52&gt;AT$126, AT52-AT$126,"")</f>
        <v/>
      </c>
      <c r="BX52" s="1" t="str">
        <f>IF(AU52&gt;AU$126, AU52-AU$126,"")</f>
        <v/>
      </c>
      <c r="BY52" s="1" t="str">
        <f>IF(AV52&gt;AV$126, AV52-AV$126,"")</f>
        <v/>
      </c>
      <c r="BZ52" s="1" t="str">
        <f>IF(AW52&gt;AW$126, AW52-AW$126,"")</f>
        <v/>
      </c>
      <c r="CA52" s="1" t="str">
        <f>IF(AX52&gt;AX$126, AX52-AX$126,"")</f>
        <v/>
      </c>
      <c r="CB52" s="1" t="str">
        <f>IF(AY52&gt;AY$126, AY52-AY$126,"")</f>
        <v/>
      </c>
      <c r="CC52" s="1" t="str">
        <f>IF(AZ52&gt;AZ$126, AZ52-AZ$126,"")</f>
        <v/>
      </c>
      <c r="CD52" s="1" t="str">
        <f>IF(BA52&gt;BA$126, BA52-BA$126,"")</f>
        <v/>
      </c>
      <c r="CE52" s="1" t="str">
        <f>IF(BB52&gt;BB$126, BB52-BB$126,"")</f>
        <v/>
      </c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3"/>
    </row>
    <row r="53" spans="1:97" ht="27" x14ac:dyDescent="0.15">
      <c r="A53" s="1"/>
      <c r="B53" s="1" t="s">
        <v>155</v>
      </c>
      <c r="C53" s="1" t="s">
        <v>116</v>
      </c>
      <c r="D53" s="1" t="s">
        <v>158</v>
      </c>
      <c r="E53" s="6"/>
      <c r="F53" s="6"/>
      <c r="G53" s="6">
        <v>10</v>
      </c>
      <c r="H53" s="6"/>
      <c r="I53" s="6"/>
      <c r="J53" s="6"/>
      <c r="K53" s="6"/>
      <c r="L53" s="6"/>
      <c r="M53" s="6"/>
      <c r="N53" s="6"/>
      <c r="O53" s="6"/>
      <c r="P53" s="28"/>
      <c r="Q53" s="28"/>
      <c r="R53" s="28"/>
      <c r="S53" s="28"/>
      <c r="T53" s="28"/>
      <c r="U53" s="28"/>
      <c r="V53" s="28"/>
      <c r="W53" s="28"/>
      <c r="X53" s="28">
        <v>10</v>
      </c>
      <c r="Y53" s="28"/>
      <c r="Z53" s="28"/>
      <c r="AA53" s="28"/>
      <c r="AB53" s="28"/>
      <c r="AC53" s="28"/>
      <c r="AD53" s="28">
        <v>10</v>
      </c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>
        <v>10</v>
      </c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40</v>
      </c>
      <c r="BQ53" s="1">
        <v>10</v>
      </c>
      <c r="BR53" s="17">
        <v>2</v>
      </c>
      <c r="BS53" s="17" t="s">
        <v>245</v>
      </c>
      <c r="BT53" s="1" t="str">
        <f>IF(AQ53&gt;AQ$126, AQ53-AQ$126,"")</f>
        <v/>
      </c>
      <c r="BU53" s="1" t="str">
        <f>IF(AR53&gt;AR$126, AR53-AR$126,"")</f>
        <v/>
      </c>
      <c r="BV53" s="1" t="str">
        <f>IF(AS53&gt;AS$126, AS53-AS$126,"")</f>
        <v/>
      </c>
      <c r="BW53" s="1" t="str">
        <f>IF(AT53&gt;AT$126, AT53-AT$126,"")</f>
        <v/>
      </c>
      <c r="BX53" s="1" t="str">
        <f>IF(AU53&gt;AU$126, AU53-AU$126,"")</f>
        <v/>
      </c>
      <c r="BY53" s="1" t="str">
        <f>IF(AV53&gt;AV$126, AV53-AV$126,"")</f>
        <v/>
      </c>
      <c r="BZ53" s="1" t="str">
        <f>IF(AW53&gt;AW$126, AW53-AW$126,"")</f>
        <v/>
      </c>
      <c r="CA53" s="1" t="str">
        <f>IF(AX53&gt;AX$126, AX53-AX$126,"")</f>
        <v/>
      </c>
      <c r="CB53" s="1" t="str">
        <f>IF(AY53&gt;AY$126, AY53-AY$126,"")</f>
        <v/>
      </c>
      <c r="CC53" s="1" t="str">
        <f>IF(AZ53&gt;AZ$126, AZ53-AZ$126,"")</f>
        <v/>
      </c>
      <c r="CD53" s="1" t="str">
        <f>IF(BA53&gt;BA$126, BA53-BA$126,"")</f>
        <v/>
      </c>
      <c r="CE53" s="1" t="str">
        <f>IF(BB53&gt;BB$126, BB53-BB$126,"")</f>
        <v/>
      </c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3"/>
    </row>
    <row r="54" spans="1:97" ht="27" x14ac:dyDescent="0.15">
      <c r="A54" s="1"/>
      <c r="B54" s="1" t="s">
        <v>182</v>
      </c>
      <c r="C54" s="1" t="s">
        <v>116</v>
      </c>
      <c r="D54" s="1" t="s">
        <v>103</v>
      </c>
      <c r="E54" s="6"/>
      <c r="F54" s="6"/>
      <c r="G54" s="6"/>
      <c r="H54" s="6">
        <v>10</v>
      </c>
      <c r="I54" s="6"/>
      <c r="J54" s="6">
        <v>10</v>
      </c>
      <c r="K54" s="6"/>
      <c r="L54" s="6"/>
      <c r="M54" s="6"/>
      <c r="N54" s="6"/>
      <c r="O54" s="6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>
        <v>10</v>
      </c>
      <c r="AU54" s="4"/>
      <c r="AV54" s="4"/>
      <c r="AW54" s="2"/>
      <c r="AX54" s="2"/>
      <c r="AY54" s="2">
        <v>10</v>
      </c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40</v>
      </c>
      <c r="BQ54" s="1">
        <v>10</v>
      </c>
      <c r="BR54" s="17">
        <v>2</v>
      </c>
      <c r="BS54" s="17" t="s">
        <v>246</v>
      </c>
      <c r="BT54" s="1" t="str">
        <f>IF(AQ54&gt;AQ$126, AQ54-AQ$126,"")</f>
        <v/>
      </c>
      <c r="BU54" s="1" t="str">
        <f>IF(AR54&gt;AR$126, AR54-AR$126,"")</f>
        <v/>
      </c>
      <c r="BV54" s="1" t="str">
        <f>IF(AS54&gt;AS$126, AS54-AS$126,"")</f>
        <v/>
      </c>
      <c r="BW54" s="1" t="str">
        <f>IF(AT54&gt;AT$126, AT54-AT$126,"")</f>
        <v/>
      </c>
      <c r="BX54" s="1" t="str">
        <f>IF(AU54&gt;AU$126, AU54-AU$126,"")</f>
        <v/>
      </c>
      <c r="BY54" s="1" t="str">
        <f>IF(AV54&gt;AV$126, AV54-AV$126,"")</f>
        <v/>
      </c>
      <c r="BZ54" s="1" t="str">
        <f>IF(AW54&gt;AW$126, AW54-AW$126,"")</f>
        <v/>
      </c>
      <c r="CA54" s="1" t="str">
        <f>IF(AX54&gt;AX$126, AX54-AX$126,"")</f>
        <v/>
      </c>
      <c r="CB54" s="1" t="str">
        <f>IF(AY54&gt;AY$126, AY54-AY$126,"")</f>
        <v/>
      </c>
      <c r="CC54" s="1" t="str">
        <f>IF(AZ54&gt;AZ$126, AZ54-AZ$126,"")</f>
        <v/>
      </c>
      <c r="CD54" s="1" t="str">
        <f>IF(BA54&gt;BA$126, BA54-BA$126,"")</f>
        <v/>
      </c>
      <c r="CE54" s="1" t="str">
        <f>IF(BB54&gt;BB$126, BB54-BB$126,"")</f>
        <v/>
      </c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3"/>
    </row>
    <row r="55" spans="1:97" ht="27" x14ac:dyDescent="0.15">
      <c r="A55" s="1">
        <v>2</v>
      </c>
      <c r="B55" s="1" t="s">
        <v>8</v>
      </c>
      <c r="C55" s="1" t="s">
        <v>2</v>
      </c>
      <c r="D55" s="1" t="s">
        <v>1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1">
        <v>15</v>
      </c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>
        <v>15</v>
      </c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30</v>
      </c>
      <c r="BQ55" s="1">
        <v>10</v>
      </c>
      <c r="BR55" s="17">
        <v>2</v>
      </c>
      <c r="BS55" s="17" t="s">
        <v>247</v>
      </c>
      <c r="BT55" s="1" t="str">
        <f>IF(AQ55&gt;AQ$126, AQ55-AQ$126,"")</f>
        <v/>
      </c>
      <c r="BU55" s="1" t="str">
        <f>IF(AR55&gt;AR$126, AR55-AR$126,"")</f>
        <v/>
      </c>
      <c r="BV55" s="1" t="str">
        <f>IF(AS55&gt;AS$126, AS55-AS$126,"")</f>
        <v/>
      </c>
      <c r="BW55" s="1" t="str">
        <f>IF(AT55&gt;AT$126, AT55-AT$126,"")</f>
        <v/>
      </c>
      <c r="BX55" s="1" t="str">
        <f>IF(AU55&gt;AU$126, AU55-AU$126,"")</f>
        <v/>
      </c>
      <c r="BY55" s="1" t="str">
        <f>IF(AV55&gt;AV$126, AV55-AV$126,"")</f>
        <v/>
      </c>
      <c r="BZ55" s="1" t="str">
        <f>IF(AW55&gt;AW$126, AW55-AW$126,"")</f>
        <v/>
      </c>
      <c r="CA55" s="1" t="str">
        <f>IF(AX55&gt;AX$126, AX55-AX$126,"")</f>
        <v/>
      </c>
      <c r="CB55" s="1" t="str">
        <f>IF(AY55&gt;AY$126, AY55-AY$126,"")</f>
        <v/>
      </c>
      <c r="CC55" s="1" t="str">
        <f>IF(AZ55&gt;AZ$126, AZ55-AZ$126,"")</f>
        <v/>
      </c>
      <c r="CD55" s="1" t="str">
        <f>IF(BA55&gt;BA$126, BA55-BA$126,"")</f>
        <v/>
      </c>
      <c r="CE55" s="1" t="str">
        <f>IF(BB55&gt;BB$126, BB55-BB$126,"")</f>
        <v/>
      </c>
      <c r="CF55" s="1">
        <f>COUNTIF(BT55:CE55, "&gt;0")</f>
        <v>0</v>
      </c>
      <c r="CG55" s="1" t="str">
        <f>IF($CF55=1,BT55,"")</f>
        <v/>
      </c>
      <c r="CH55" s="1" t="str">
        <f>IF($CF55=1,BU55,"")</f>
        <v/>
      </c>
      <c r="CI55" s="1" t="str">
        <f>IF($CF55=1,BV55,"")</f>
        <v/>
      </c>
      <c r="CJ55" s="1" t="str">
        <f>IF($CF55=1,BW55,"")</f>
        <v/>
      </c>
      <c r="CK55" s="1" t="str">
        <f>IF($CF55=1,BX55,"")</f>
        <v/>
      </c>
      <c r="CL55" s="1" t="str">
        <f>IF($CF55=1,BY55,"")</f>
        <v/>
      </c>
      <c r="CM55" s="1" t="str">
        <f>IF($CF55=1,BZ55,"")</f>
        <v/>
      </c>
      <c r="CN55" s="1" t="str">
        <f>IF($CF55=1,CA55,"")</f>
        <v/>
      </c>
      <c r="CO55" s="1" t="str">
        <f>IF($CF55=1,CB55,"")</f>
        <v/>
      </c>
      <c r="CP55" s="1" t="str">
        <f>IF($CF55=1,CC55,"")</f>
        <v/>
      </c>
      <c r="CQ55" s="1" t="str">
        <f>IF($CF55=1,CD55,"")</f>
        <v/>
      </c>
      <c r="CR55" s="1" t="str">
        <f>IF($CF55=1,CE55,"")</f>
        <v/>
      </c>
      <c r="CS55" s="3">
        <f>SUM(AE55:BO55)</f>
        <v>30</v>
      </c>
    </row>
    <row r="56" spans="1:97" ht="27" x14ac:dyDescent="0.15">
      <c r="A56" s="1">
        <v>8</v>
      </c>
      <c r="B56" s="1" t="s">
        <v>167</v>
      </c>
      <c r="C56" s="1" t="s">
        <v>2</v>
      </c>
      <c r="D56" s="1" t="s">
        <v>25</v>
      </c>
      <c r="E56" s="6">
        <v>6</v>
      </c>
      <c r="F56" s="6"/>
      <c r="G56" s="6"/>
      <c r="H56" s="6">
        <v>6</v>
      </c>
      <c r="I56" s="6"/>
      <c r="J56" s="6"/>
      <c r="K56" s="6"/>
      <c r="L56" s="6"/>
      <c r="M56" s="6"/>
      <c r="N56" s="6"/>
      <c r="O56" s="6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>
        <v>10</v>
      </c>
      <c r="AS56" s="4"/>
      <c r="AT56" s="4"/>
      <c r="AU56" s="4"/>
      <c r="AV56" s="4"/>
      <c r="AW56" s="2"/>
      <c r="AX56" s="2"/>
      <c r="AY56" s="2"/>
      <c r="AZ56" s="2"/>
      <c r="BA56" s="2"/>
      <c r="BB56" s="2">
        <v>10</v>
      </c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32</v>
      </c>
      <c r="BQ56" s="1">
        <v>12</v>
      </c>
      <c r="BR56" s="17">
        <v>2</v>
      </c>
      <c r="BS56" s="17" t="s">
        <v>230</v>
      </c>
      <c r="BT56" s="1" t="str">
        <f>IF(AQ56&gt;AQ$126, AQ56-AQ$126,"")</f>
        <v/>
      </c>
      <c r="BU56" s="1" t="str">
        <f>IF(AR56&gt;AR$126, AR56-AR$126,"")</f>
        <v/>
      </c>
      <c r="BV56" s="1" t="str">
        <f>IF(AS56&gt;AS$126, AS56-AS$126,"")</f>
        <v/>
      </c>
      <c r="BW56" s="1" t="str">
        <f>IF(AT56&gt;AT$126, AT56-AT$126,"")</f>
        <v/>
      </c>
      <c r="BX56" s="1" t="str">
        <f>IF(AU56&gt;AU$126, AU56-AU$126,"")</f>
        <v/>
      </c>
      <c r="BY56" s="1" t="str">
        <f>IF(AV56&gt;AV$126, AV56-AV$126,"")</f>
        <v/>
      </c>
      <c r="BZ56" s="1" t="str">
        <f>IF(AW56&gt;AW$126, AW56-AW$126,"")</f>
        <v/>
      </c>
      <c r="CA56" s="1" t="str">
        <f>IF(AX56&gt;AX$126, AX56-AX$126,"")</f>
        <v/>
      </c>
      <c r="CB56" s="1" t="str">
        <f>IF(AY56&gt;AY$126, AY56-AY$126,"")</f>
        <v/>
      </c>
      <c r="CC56" s="1" t="str">
        <f>IF(AZ56&gt;AZ$126, AZ56-AZ$126,"")</f>
        <v/>
      </c>
      <c r="CD56" s="1" t="str">
        <f>IF(BA56&gt;BA$126, BA56-BA$126,"")</f>
        <v/>
      </c>
      <c r="CE56" s="1" t="str">
        <f>IF(BB56&gt;BB$126, BB56-BB$126,"")</f>
        <v/>
      </c>
      <c r="CF56" s="1">
        <f>COUNTIF(BT56:CE56, "&gt;0")</f>
        <v>0</v>
      </c>
      <c r="CG56" s="1" t="str">
        <f>IF($CF56=1,BT56,"")</f>
        <v/>
      </c>
      <c r="CH56" s="1" t="str">
        <f>IF($CF56=1,BU56,"")</f>
        <v/>
      </c>
      <c r="CI56" s="1" t="str">
        <f>IF($CF56=1,BV56,"")</f>
        <v/>
      </c>
      <c r="CJ56" s="1" t="str">
        <f>IF($CF56=1,BW56,"")</f>
        <v/>
      </c>
      <c r="CK56" s="1" t="str">
        <f>IF($CF56=1,BX56,"")</f>
        <v/>
      </c>
      <c r="CL56" s="1" t="str">
        <f>IF($CF56=1,BY56,"")</f>
        <v/>
      </c>
      <c r="CM56" s="1" t="str">
        <f>IF($CF56=1,BZ56,"")</f>
        <v/>
      </c>
      <c r="CN56" s="1" t="str">
        <f>IF($CF56=1,CA56,"")</f>
        <v/>
      </c>
      <c r="CO56" s="1" t="str">
        <f>IF($CF56=1,CB56,"")</f>
        <v/>
      </c>
      <c r="CP56" s="1" t="str">
        <f>IF($CF56=1,CC56,"")</f>
        <v/>
      </c>
      <c r="CQ56" s="1" t="str">
        <f>IF($CF56=1,CD56,"")</f>
        <v/>
      </c>
      <c r="CR56" s="1" t="str">
        <f>IF($CF56=1,CE56,"")</f>
        <v/>
      </c>
      <c r="CS56" s="3">
        <f>SUM(AE56:BO56)</f>
        <v>20</v>
      </c>
    </row>
    <row r="57" spans="1:97" ht="27" x14ac:dyDescent="0.15">
      <c r="A57" s="1">
        <v>81</v>
      </c>
      <c r="B57" s="3" t="s">
        <v>66</v>
      </c>
      <c r="C57" s="3" t="s">
        <v>63</v>
      </c>
      <c r="D57" s="1" t="s">
        <v>13</v>
      </c>
      <c r="E57" s="6"/>
      <c r="F57" s="6"/>
      <c r="G57" s="6"/>
      <c r="H57" s="6"/>
      <c r="I57" s="6"/>
      <c r="J57" s="6"/>
      <c r="K57" s="6"/>
      <c r="L57" s="6">
        <v>6</v>
      </c>
      <c r="M57" s="6"/>
      <c r="N57" s="6"/>
      <c r="O57" s="6">
        <v>6</v>
      </c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>
        <v>10</v>
      </c>
      <c r="AU57" s="4"/>
      <c r="AV57" s="4"/>
      <c r="AW57" s="2"/>
      <c r="AX57" s="2"/>
      <c r="AY57" s="2"/>
      <c r="AZ57" s="2"/>
      <c r="BA57" s="2">
        <v>10</v>
      </c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32</v>
      </c>
      <c r="BQ57" s="1">
        <v>14</v>
      </c>
      <c r="BR57" s="17">
        <v>2</v>
      </c>
      <c r="BS57" s="17" t="s">
        <v>250</v>
      </c>
      <c r="BT57" s="1" t="str">
        <f>IF(AQ57&gt;AQ$126, AQ57-AQ$126,"")</f>
        <v/>
      </c>
      <c r="BU57" s="1" t="str">
        <f>IF(AR57&gt;AR$126, AR57-AR$126,"")</f>
        <v/>
      </c>
      <c r="BV57" s="1" t="str">
        <f>IF(AS57&gt;AS$126, AS57-AS$126,"")</f>
        <v/>
      </c>
      <c r="BW57" s="1" t="str">
        <f>IF(AT57&gt;AT$126, AT57-AT$126,"")</f>
        <v/>
      </c>
      <c r="BX57" s="1" t="str">
        <f>IF(AU57&gt;AU$126, AU57-AU$126,"")</f>
        <v/>
      </c>
      <c r="BY57" s="1" t="str">
        <f>IF(AV57&gt;AV$126, AV57-AV$126,"")</f>
        <v/>
      </c>
      <c r="BZ57" s="1" t="str">
        <f>IF(AW57&gt;AW$126, AW57-AW$126,"")</f>
        <v/>
      </c>
      <c r="CA57" s="1" t="str">
        <f>IF(AX57&gt;AX$126, AX57-AX$126,"")</f>
        <v/>
      </c>
      <c r="CB57" s="1" t="str">
        <f>IF(AY57&gt;AY$126, AY57-AY$126,"")</f>
        <v/>
      </c>
      <c r="CC57" s="1" t="str">
        <f>IF(AZ57&gt;AZ$126, AZ57-AZ$126,"")</f>
        <v/>
      </c>
      <c r="CD57" s="1" t="str">
        <f>IF(BA57&gt;BA$126, BA57-BA$126,"")</f>
        <v/>
      </c>
      <c r="CE57" s="1" t="str">
        <f>IF(BB57&gt;BB$126, BB57-BB$126,"")</f>
        <v/>
      </c>
      <c r="CF57" s="1">
        <f>COUNTIF(BT57:CE57, "&gt;0")</f>
        <v>0</v>
      </c>
      <c r="CG57" s="1" t="str">
        <f>IF($CF57=1,BT57,"")</f>
        <v/>
      </c>
      <c r="CH57" s="1" t="str">
        <f>IF($CF57=1,BU57,"")</f>
        <v/>
      </c>
      <c r="CI57" s="1" t="str">
        <f>IF($CF57=1,BV57,"")</f>
        <v/>
      </c>
      <c r="CJ57" s="1" t="str">
        <f>IF($CF57=1,BW57,"")</f>
        <v/>
      </c>
      <c r="CK57" s="1" t="str">
        <f>IF($CF57=1,BX57,"")</f>
        <v/>
      </c>
      <c r="CL57" s="1" t="str">
        <f>IF($CF57=1,BY57,"")</f>
        <v/>
      </c>
      <c r="CM57" s="1" t="str">
        <f>IF($CF57=1,BZ57,"")</f>
        <v/>
      </c>
      <c r="CN57" s="1" t="str">
        <f>IF($CF57=1,CA57,"")</f>
        <v/>
      </c>
      <c r="CO57" s="1" t="str">
        <f>IF($CF57=1,CB57,"")</f>
        <v/>
      </c>
      <c r="CP57" s="1" t="str">
        <f>IF($CF57=1,CC57,"")</f>
        <v/>
      </c>
      <c r="CQ57" s="1" t="str">
        <f>IF($CF57=1,CD57,"")</f>
        <v/>
      </c>
      <c r="CR57" s="1" t="str">
        <f>IF($CF57=1,CE57,"")</f>
        <v/>
      </c>
      <c r="CS57" s="3">
        <f>SUM(AE57:BO57)</f>
        <v>20</v>
      </c>
    </row>
    <row r="58" spans="1:97" ht="27" x14ac:dyDescent="0.15">
      <c r="A58" s="1"/>
      <c r="B58" s="1" t="s">
        <v>108</v>
      </c>
      <c r="C58" s="1" t="s">
        <v>105</v>
      </c>
      <c r="D58" s="1" t="s">
        <v>102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>
        <v>5</v>
      </c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>
        <v>5</v>
      </c>
      <c r="AP58" s="1">
        <v>10</v>
      </c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20</v>
      </c>
      <c r="BQ58" s="1">
        <v>15</v>
      </c>
      <c r="BR58" s="17">
        <v>2</v>
      </c>
      <c r="BS58" s="17" t="s">
        <v>251</v>
      </c>
      <c r="BT58" s="1" t="str">
        <f>IF(AQ58&gt;AQ$126, AQ58-AQ$126,"")</f>
        <v/>
      </c>
      <c r="BU58" s="1" t="str">
        <f>IF(AR58&gt;AR$126, AR58-AR$126,"")</f>
        <v/>
      </c>
      <c r="BV58" s="1" t="str">
        <f>IF(AS58&gt;AS$126, AS58-AS$126,"")</f>
        <v/>
      </c>
      <c r="BW58" s="1" t="str">
        <f>IF(AT58&gt;AT$126, AT58-AT$126,"")</f>
        <v/>
      </c>
      <c r="BX58" s="1" t="str">
        <f>IF(AU58&gt;AU$126, AU58-AU$126,"")</f>
        <v/>
      </c>
      <c r="BY58" s="1" t="str">
        <f>IF(AV58&gt;AV$126, AV58-AV$126,"")</f>
        <v/>
      </c>
      <c r="BZ58" s="1" t="str">
        <f>IF(AW58&gt;AW$126, AW58-AW$126,"")</f>
        <v/>
      </c>
      <c r="CA58" s="1" t="str">
        <f>IF(AX58&gt;AX$126, AX58-AX$126,"")</f>
        <v/>
      </c>
      <c r="CB58" s="1" t="str">
        <f>IF(AY58&gt;AY$126, AY58-AY$126,"")</f>
        <v/>
      </c>
      <c r="CC58" s="1" t="str">
        <f>IF(AZ58&gt;AZ$126, AZ58-AZ$126,"")</f>
        <v/>
      </c>
      <c r="CD58" s="1" t="str">
        <f>IF(BA58&gt;BA$126, BA58-BA$126,"")</f>
        <v/>
      </c>
      <c r="CE58" s="1" t="str">
        <f>IF(BB58&gt;BB$126, BB58-BB$126,"")</f>
        <v/>
      </c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3"/>
    </row>
    <row r="59" spans="1:97" ht="27" x14ac:dyDescent="0.15">
      <c r="A59" s="1">
        <v>14</v>
      </c>
      <c r="B59" s="1" t="s">
        <v>29</v>
      </c>
      <c r="C59" s="1" t="s">
        <v>30</v>
      </c>
      <c r="D59" s="1" t="s">
        <v>31</v>
      </c>
      <c r="E59" s="6"/>
      <c r="F59" s="6"/>
      <c r="G59" s="6">
        <v>15</v>
      </c>
      <c r="H59" s="6">
        <v>15</v>
      </c>
      <c r="I59" s="6"/>
      <c r="J59" s="6"/>
      <c r="K59" s="6"/>
      <c r="L59" s="6"/>
      <c r="M59" s="6"/>
      <c r="N59" s="6"/>
      <c r="O59" s="6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>
        <v>15</v>
      </c>
      <c r="AT59" s="4"/>
      <c r="AU59" s="4"/>
      <c r="AV59" s="4"/>
      <c r="AW59" s="2"/>
      <c r="AX59" s="2"/>
      <c r="AY59" s="2"/>
      <c r="AZ59" s="2"/>
      <c r="BA59" s="2"/>
      <c r="BB59" s="2">
        <v>15</v>
      </c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60</v>
      </c>
      <c r="BQ59" s="1">
        <v>17</v>
      </c>
      <c r="BR59" s="17">
        <v>2</v>
      </c>
      <c r="BS59" s="17" t="s">
        <v>253</v>
      </c>
      <c r="BT59" s="1" t="str">
        <f>IF(AQ59&gt;AQ$126, AQ59-AQ$126,"")</f>
        <v/>
      </c>
      <c r="BU59" s="1" t="str">
        <f>IF(AR59&gt;AR$126, AR59-AR$126,"")</f>
        <v/>
      </c>
      <c r="BV59" s="1" t="str">
        <f>IF(AS59&gt;AS$126, AS59-AS$126,"")</f>
        <v/>
      </c>
      <c r="BW59" s="1" t="str">
        <f>IF(AT59&gt;AT$126, AT59-AT$126,"")</f>
        <v/>
      </c>
      <c r="BX59" s="1" t="str">
        <f>IF(AU59&gt;AU$126, AU59-AU$126,"")</f>
        <v/>
      </c>
      <c r="BY59" s="1" t="str">
        <f>IF(AV59&gt;AV$126, AV59-AV$126,"")</f>
        <v/>
      </c>
      <c r="BZ59" s="1" t="str">
        <f>IF(AW59&gt;AW$126, AW59-AW$126,"")</f>
        <v/>
      </c>
      <c r="CA59" s="1" t="str">
        <f>IF(AX59&gt;AX$126, AX59-AX$126,"")</f>
        <v/>
      </c>
      <c r="CB59" s="1" t="str">
        <f>IF(AY59&gt;AY$126, AY59-AY$126,"")</f>
        <v/>
      </c>
      <c r="CC59" s="1" t="str">
        <f>IF(AZ59&gt;AZ$126, AZ59-AZ$126,"")</f>
        <v/>
      </c>
      <c r="CD59" s="1" t="str">
        <f>IF(BA59&gt;BA$126, BA59-BA$126,"")</f>
        <v/>
      </c>
      <c r="CE59" s="1" t="str">
        <f>IF(BB59&gt;BB$126, BB59-BB$126,"")</f>
        <v/>
      </c>
      <c r="CF59" s="1">
        <f>COUNTIF(BT59:CE59, "&gt;0")</f>
        <v>0</v>
      </c>
      <c r="CG59" s="1" t="str">
        <f>IF($CF59=1,BT59,"")</f>
        <v/>
      </c>
      <c r="CH59" s="1" t="str">
        <f>IF($CF59=1,BU59,"")</f>
        <v/>
      </c>
      <c r="CI59" s="1" t="str">
        <f>IF($CF59=1,BV59,"")</f>
        <v/>
      </c>
      <c r="CJ59" s="1" t="str">
        <f>IF($CF59=1,BW59,"")</f>
        <v/>
      </c>
      <c r="CK59" s="1" t="str">
        <f>IF($CF59=1,BX59,"")</f>
        <v/>
      </c>
      <c r="CL59" s="1" t="str">
        <f>IF($CF59=1,BY59,"")</f>
        <v/>
      </c>
      <c r="CM59" s="1" t="str">
        <f>IF($CF59=1,BZ59,"")</f>
        <v/>
      </c>
      <c r="CN59" s="1" t="str">
        <f>IF($CF59=1,CA59,"")</f>
        <v/>
      </c>
      <c r="CO59" s="1" t="str">
        <f>IF($CF59=1,CB59,"")</f>
        <v/>
      </c>
      <c r="CP59" s="1" t="str">
        <f>IF($CF59=1,CC59,"")</f>
        <v/>
      </c>
      <c r="CQ59" s="1" t="str">
        <f>IF($CF59=1,CD59,"")</f>
        <v/>
      </c>
      <c r="CR59" s="1" t="str">
        <f>IF($CF59=1,CE59,"")</f>
        <v/>
      </c>
      <c r="CS59" s="3">
        <f>SUM(AE59:BO59)</f>
        <v>30</v>
      </c>
    </row>
    <row r="60" spans="1:97" ht="27" x14ac:dyDescent="0.15">
      <c r="A60" s="1"/>
      <c r="B60" s="1" t="s">
        <v>104</v>
      </c>
      <c r="C60" s="1" t="s">
        <v>105</v>
      </c>
      <c r="D60" s="1" t="s">
        <v>102</v>
      </c>
      <c r="E60" s="6"/>
      <c r="F60" s="6"/>
      <c r="G60" s="6">
        <v>15</v>
      </c>
      <c r="H60" s="6">
        <v>15</v>
      </c>
      <c r="I60" s="6"/>
      <c r="J60" s="6"/>
      <c r="K60" s="6"/>
      <c r="L60" s="6"/>
      <c r="M60" s="6"/>
      <c r="N60" s="6"/>
      <c r="O60" s="6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>
        <v>15</v>
      </c>
      <c r="AT60" s="4"/>
      <c r="AU60" s="4"/>
      <c r="AV60" s="4"/>
      <c r="AW60" s="2"/>
      <c r="AX60" s="2"/>
      <c r="AY60" s="2"/>
      <c r="AZ60" s="2"/>
      <c r="BA60" s="2"/>
      <c r="BB60" s="2">
        <v>15</v>
      </c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60</v>
      </c>
      <c r="BQ60" s="1">
        <v>17</v>
      </c>
      <c r="BR60" s="17">
        <v>2</v>
      </c>
      <c r="BS60" s="17" t="s">
        <v>253</v>
      </c>
      <c r="BT60" s="1" t="str">
        <f>IF(AQ60&gt;AQ$126, AQ60-AQ$126,"")</f>
        <v/>
      </c>
      <c r="BU60" s="1" t="str">
        <f>IF(AR60&gt;AR$126, AR60-AR$126,"")</f>
        <v/>
      </c>
      <c r="BV60" s="1" t="str">
        <f>IF(AS60&gt;AS$126, AS60-AS$126,"")</f>
        <v/>
      </c>
      <c r="BW60" s="1" t="str">
        <f>IF(AT60&gt;AT$126, AT60-AT$126,"")</f>
        <v/>
      </c>
      <c r="BX60" s="1" t="str">
        <f>IF(AU60&gt;AU$126, AU60-AU$126,"")</f>
        <v/>
      </c>
      <c r="BY60" s="1" t="str">
        <f>IF(AV60&gt;AV$126, AV60-AV$126,"")</f>
        <v/>
      </c>
      <c r="BZ60" s="1" t="str">
        <f>IF(AW60&gt;AW$126, AW60-AW$126,"")</f>
        <v/>
      </c>
      <c r="CA60" s="1" t="str">
        <f>IF(AX60&gt;AX$126, AX60-AX$126,"")</f>
        <v/>
      </c>
      <c r="CB60" s="1" t="str">
        <f>IF(AY60&gt;AY$126, AY60-AY$126,"")</f>
        <v/>
      </c>
      <c r="CC60" s="1" t="str">
        <f>IF(AZ60&gt;AZ$126, AZ60-AZ$126,"")</f>
        <v/>
      </c>
      <c r="CD60" s="1" t="str">
        <f>IF(BA60&gt;BA$126, BA60-BA$126,"")</f>
        <v/>
      </c>
      <c r="CE60" s="1" t="str">
        <f>IF(BB60&gt;BB$126, BB60-BB$126,"")</f>
        <v/>
      </c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3"/>
    </row>
    <row r="61" spans="1:97" ht="27" x14ac:dyDescent="0.15">
      <c r="A61" s="1">
        <v>95</v>
      </c>
      <c r="B61" s="3" t="s">
        <v>82</v>
      </c>
      <c r="C61" s="3" t="s">
        <v>68</v>
      </c>
      <c r="D61" s="1" t="s">
        <v>1</v>
      </c>
      <c r="E61" s="6"/>
      <c r="F61" s="6"/>
      <c r="G61" s="6"/>
      <c r="H61" s="6"/>
      <c r="I61" s="6"/>
      <c r="J61" s="6"/>
      <c r="K61" s="6"/>
      <c r="L61" s="6">
        <v>15</v>
      </c>
      <c r="M61" s="6"/>
      <c r="N61" s="6"/>
      <c r="O61" s="6">
        <v>15</v>
      </c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>
        <v>15</v>
      </c>
      <c r="BB61" s="2">
        <v>15</v>
      </c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60</v>
      </c>
      <c r="BQ61" s="1">
        <v>19</v>
      </c>
      <c r="BR61" s="17">
        <v>2</v>
      </c>
      <c r="BS61" s="17" t="s">
        <v>252</v>
      </c>
      <c r="BT61" s="1" t="str">
        <f>IF(AQ61&gt;AQ$126, AQ61-AQ$126,"")</f>
        <v/>
      </c>
      <c r="BU61" s="1" t="str">
        <f>IF(AR61&gt;AR$126, AR61-AR$126,"")</f>
        <v/>
      </c>
      <c r="BV61" s="1" t="str">
        <f>IF(AS61&gt;AS$126, AS61-AS$126,"")</f>
        <v/>
      </c>
      <c r="BW61" s="1" t="str">
        <f>IF(AT61&gt;AT$126, AT61-AT$126,"")</f>
        <v/>
      </c>
      <c r="BX61" s="1" t="str">
        <f>IF(AU61&gt;AU$126, AU61-AU$126,"")</f>
        <v/>
      </c>
      <c r="BY61" s="1" t="str">
        <f>IF(AV61&gt;AV$126, AV61-AV$126,"")</f>
        <v/>
      </c>
      <c r="BZ61" s="1" t="str">
        <f>IF(AW61&gt;AW$126, AW61-AW$126,"")</f>
        <v/>
      </c>
      <c r="CA61" s="1" t="str">
        <f>IF(AX61&gt;AX$126, AX61-AX$126,"")</f>
        <v/>
      </c>
      <c r="CB61" s="1" t="str">
        <f>IF(AY61&gt;AY$126, AY61-AY$126,"")</f>
        <v/>
      </c>
      <c r="CC61" s="1" t="str">
        <f>IF(AZ61&gt;AZ$126, AZ61-AZ$126,"")</f>
        <v/>
      </c>
      <c r="CD61" s="1" t="str">
        <f>IF(BA61&gt;BA$126, BA61-BA$126,"")</f>
        <v/>
      </c>
      <c r="CE61" s="1" t="str">
        <f>IF(BB61&gt;BB$126, BB61-BB$126,"")</f>
        <v/>
      </c>
      <c r="CF61" s="1">
        <f>COUNTIF(BT61:CE61, "&gt;0")</f>
        <v>0</v>
      </c>
      <c r="CG61" s="1" t="str">
        <f>IF($CF61=1,BT61,"")</f>
        <v/>
      </c>
      <c r="CH61" s="1" t="str">
        <f>IF($CF61=1,BU61,"")</f>
        <v/>
      </c>
      <c r="CI61" s="1" t="str">
        <f>IF($CF61=1,BV61,"")</f>
        <v/>
      </c>
      <c r="CJ61" s="1" t="str">
        <f>IF($CF61=1,BW61,"")</f>
        <v/>
      </c>
      <c r="CK61" s="1" t="str">
        <f>IF($CF61=1,BX61,"")</f>
        <v/>
      </c>
      <c r="CL61" s="1" t="str">
        <f>IF($CF61=1,BY61,"")</f>
        <v/>
      </c>
      <c r="CM61" s="1" t="str">
        <f>IF($CF61=1,BZ61,"")</f>
        <v/>
      </c>
      <c r="CN61" s="1" t="str">
        <f>IF($CF61=1,CA61,"")</f>
        <v/>
      </c>
      <c r="CO61" s="1" t="str">
        <f>IF($CF61=1,CB61,"")</f>
        <v/>
      </c>
      <c r="CP61" s="1" t="str">
        <f>IF($CF61=1,CC61,"")</f>
        <v/>
      </c>
      <c r="CQ61" s="1" t="str">
        <f>IF($CF61=1,CD61,"")</f>
        <v/>
      </c>
      <c r="CR61" s="1" t="str">
        <f>IF($CF61=1,CE61,"")</f>
        <v/>
      </c>
      <c r="CS61" s="3">
        <f>SUM(AE61:BO61)</f>
        <v>30</v>
      </c>
    </row>
    <row r="62" spans="1:97" ht="27" x14ac:dyDescent="0.15">
      <c r="A62" s="1">
        <v>3</v>
      </c>
      <c r="B62" s="1" t="s">
        <v>11</v>
      </c>
      <c r="C62" s="1" t="s">
        <v>2</v>
      </c>
      <c r="D62" s="1" t="s">
        <v>12</v>
      </c>
      <c r="E62" s="6">
        <v>15</v>
      </c>
      <c r="F62" s="6"/>
      <c r="G62" s="6">
        <v>15</v>
      </c>
      <c r="H62" s="6"/>
      <c r="I62" s="6"/>
      <c r="J62" s="6"/>
      <c r="K62" s="6"/>
      <c r="L62" s="6"/>
      <c r="M62" s="6"/>
      <c r="N62" s="6"/>
      <c r="O62" s="6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>
        <v>15</v>
      </c>
      <c r="AS62" s="4"/>
      <c r="AT62" s="4"/>
      <c r="AU62" s="4"/>
      <c r="AV62" s="4"/>
      <c r="AW62" s="2"/>
      <c r="AX62" s="2"/>
      <c r="AY62" s="2"/>
      <c r="AZ62" s="2"/>
      <c r="BA62" s="2"/>
      <c r="BB62" s="2">
        <v>15</v>
      </c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60</v>
      </c>
      <c r="BQ62" s="1">
        <v>20</v>
      </c>
      <c r="BR62" s="17">
        <v>2</v>
      </c>
      <c r="BS62" s="17" t="s">
        <v>248</v>
      </c>
      <c r="BT62" s="1" t="str">
        <f>IF(AQ62&gt;AQ$126, AQ62-AQ$126,"")</f>
        <v/>
      </c>
      <c r="BU62" s="1" t="str">
        <f>IF(AR62&gt;AR$126, AR62-AR$126,"")</f>
        <v/>
      </c>
      <c r="BV62" s="1" t="str">
        <f>IF(AS62&gt;AS$126, AS62-AS$126,"")</f>
        <v/>
      </c>
      <c r="BW62" s="1" t="str">
        <f>IF(AT62&gt;AT$126, AT62-AT$126,"")</f>
        <v/>
      </c>
      <c r="BX62" s="1" t="str">
        <f>IF(AU62&gt;AU$126, AU62-AU$126,"")</f>
        <v/>
      </c>
      <c r="BY62" s="1" t="str">
        <f>IF(AV62&gt;AV$126, AV62-AV$126,"")</f>
        <v/>
      </c>
      <c r="BZ62" s="1" t="str">
        <f>IF(AW62&gt;AW$126, AW62-AW$126,"")</f>
        <v/>
      </c>
      <c r="CA62" s="1" t="str">
        <f>IF(AX62&gt;AX$126, AX62-AX$126,"")</f>
        <v/>
      </c>
      <c r="CB62" s="1" t="str">
        <f>IF(AY62&gt;AY$126, AY62-AY$126,"")</f>
        <v/>
      </c>
      <c r="CC62" s="1" t="str">
        <f>IF(AZ62&gt;AZ$126, AZ62-AZ$126,"")</f>
        <v/>
      </c>
      <c r="CD62" s="1" t="str">
        <f>IF(BA62&gt;BA$126, BA62-BA$126,"")</f>
        <v/>
      </c>
      <c r="CE62" s="1" t="str">
        <f>IF(BB62&gt;BB$126, BB62-BB$126,"")</f>
        <v/>
      </c>
      <c r="CF62" s="1">
        <f>COUNTIF(BT62:CE62, "&gt;0")</f>
        <v>0</v>
      </c>
      <c r="CG62" s="1" t="str">
        <f>IF($CF62=1,BT62,"")</f>
        <v/>
      </c>
      <c r="CH62" s="1" t="str">
        <f>IF($CF62=1,BU62,"")</f>
        <v/>
      </c>
      <c r="CI62" s="1" t="str">
        <f>IF($CF62=1,BV62,"")</f>
        <v/>
      </c>
      <c r="CJ62" s="1" t="str">
        <f>IF($CF62=1,BW62,"")</f>
        <v/>
      </c>
      <c r="CK62" s="1" t="str">
        <f>IF($CF62=1,BX62,"")</f>
        <v/>
      </c>
      <c r="CL62" s="1" t="str">
        <f>IF($CF62=1,BY62,"")</f>
        <v/>
      </c>
      <c r="CM62" s="1" t="str">
        <f>IF($CF62=1,BZ62,"")</f>
        <v/>
      </c>
      <c r="CN62" s="1" t="str">
        <f>IF($CF62=1,CA62,"")</f>
        <v/>
      </c>
      <c r="CO62" s="1" t="str">
        <f>IF($CF62=1,CB62,"")</f>
        <v/>
      </c>
      <c r="CP62" s="1" t="str">
        <f>IF($CF62=1,CC62,"")</f>
        <v/>
      </c>
      <c r="CQ62" s="1" t="str">
        <f>IF($CF62=1,CD62,"")</f>
        <v/>
      </c>
      <c r="CR62" s="1" t="str">
        <f>IF($CF62=1,CE62,"")</f>
        <v/>
      </c>
      <c r="CS62" s="3">
        <f>SUM(AE62:BO62)</f>
        <v>30</v>
      </c>
    </row>
    <row r="63" spans="1:97" ht="27" x14ac:dyDescent="0.15">
      <c r="A63" s="1"/>
      <c r="B63" s="1" t="s">
        <v>168</v>
      </c>
      <c r="C63" s="1" t="s">
        <v>113</v>
      </c>
      <c r="D63" s="1" t="s">
        <v>102</v>
      </c>
      <c r="E63" s="6">
        <v>15</v>
      </c>
      <c r="F63" s="6"/>
      <c r="G63" s="6">
        <v>15</v>
      </c>
      <c r="H63" s="6"/>
      <c r="I63" s="6"/>
      <c r="J63" s="6"/>
      <c r="K63" s="6"/>
      <c r="L63" s="6"/>
      <c r="M63" s="6"/>
      <c r="N63" s="6"/>
      <c r="O63" s="6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>
        <v>15</v>
      </c>
      <c r="AS63" s="4"/>
      <c r="AT63" s="4"/>
      <c r="AU63" s="4"/>
      <c r="AV63" s="4"/>
      <c r="AW63" s="2"/>
      <c r="AX63" s="2"/>
      <c r="AY63" s="2"/>
      <c r="AZ63" s="2"/>
      <c r="BA63" s="2"/>
      <c r="BB63" s="2">
        <v>15</v>
      </c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60</v>
      </c>
      <c r="BQ63" s="1">
        <v>20</v>
      </c>
      <c r="BR63" s="17">
        <v>2</v>
      </c>
      <c r="BS63" s="17" t="s">
        <v>249</v>
      </c>
      <c r="BT63" s="1" t="str">
        <f>IF(AQ63&gt;AQ$126, AQ63-AQ$126,"")</f>
        <v/>
      </c>
      <c r="BU63" s="1" t="str">
        <f>IF(AR63&gt;AR$126, AR63-AR$126,"")</f>
        <v/>
      </c>
      <c r="BV63" s="1" t="str">
        <f>IF(AS63&gt;AS$126, AS63-AS$126,"")</f>
        <v/>
      </c>
      <c r="BW63" s="1" t="str">
        <f>IF(AT63&gt;AT$126, AT63-AT$126,"")</f>
        <v/>
      </c>
      <c r="BX63" s="1" t="str">
        <f>IF(AU63&gt;AU$126, AU63-AU$126,"")</f>
        <v/>
      </c>
      <c r="BY63" s="1" t="str">
        <f>IF(AV63&gt;AV$126, AV63-AV$126,"")</f>
        <v/>
      </c>
      <c r="BZ63" s="1" t="str">
        <f>IF(AW63&gt;AW$126, AW63-AW$126,"")</f>
        <v/>
      </c>
      <c r="CA63" s="1" t="str">
        <f>IF(AX63&gt;AX$126, AX63-AX$126,"")</f>
        <v/>
      </c>
      <c r="CB63" s="1" t="str">
        <f>IF(AY63&gt;AY$126, AY63-AY$126,"")</f>
        <v/>
      </c>
      <c r="CC63" s="1" t="str">
        <f>IF(AZ63&gt;AZ$126, AZ63-AZ$126,"")</f>
        <v/>
      </c>
      <c r="CD63" s="1" t="str">
        <f>IF(BA63&gt;BA$126, BA63-BA$126,"")</f>
        <v/>
      </c>
      <c r="CE63" s="1" t="str">
        <f>IF(BB63&gt;BB$126, BB63-BB$126,"")</f>
        <v/>
      </c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3"/>
    </row>
    <row r="64" spans="1:97" ht="27" x14ac:dyDescent="0.15">
      <c r="A64" s="1"/>
      <c r="B64" s="1" t="s">
        <v>170</v>
      </c>
      <c r="C64" s="1" t="s">
        <v>113</v>
      </c>
      <c r="D64" s="1" t="s">
        <v>102</v>
      </c>
      <c r="E64" s="6">
        <v>15</v>
      </c>
      <c r="F64" s="6"/>
      <c r="G64" s="6">
        <v>15</v>
      </c>
      <c r="H64" s="6"/>
      <c r="I64" s="6"/>
      <c r="J64" s="6"/>
      <c r="K64" s="6"/>
      <c r="L64" s="6"/>
      <c r="M64" s="6"/>
      <c r="N64" s="6"/>
      <c r="O64" s="6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>
        <v>15</v>
      </c>
      <c r="AS64" s="4"/>
      <c r="AT64" s="4"/>
      <c r="AU64" s="4"/>
      <c r="AV64" s="4"/>
      <c r="AW64" s="2"/>
      <c r="AX64" s="2"/>
      <c r="AY64" s="2"/>
      <c r="AZ64" s="2"/>
      <c r="BA64" s="2"/>
      <c r="BB64" s="2">
        <v>15</v>
      </c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60</v>
      </c>
      <c r="BQ64" s="1">
        <v>20</v>
      </c>
      <c r="BR64" s="17">
        <v>2</v>
      </c>
      <c r="BS64" s="17" t="s">
        <v>248</v>
      </c>
      <c r="BT64" s="1" t="str">
        <f>IF(AQ64&gt;AQ$126, AQ64-AQ$126,"")</f>
        <v/>
      </c>
      <c r="BU64" s="1" t="str">
        <f>IF(AR64&gt;AR$126, AR64-AR$126,"")</f>
        <v/>
      </c>
      <c r="BV64" s="1" t="str">
        <f>IF(AS64&gt;AS$126, AS64-AS$126,"")</f>
        <v/>
      </c>
      <c r="BW64" s="1" t="str">
        <f>IF(AT64&gt;AT$126, AT64-AT$126,"")</f>
        <v/>
      </c>
      <c r="BX64" s="1" t="str">
        <f>IF(AU64&gt;AU$126, AU64-AU$126,"")</f>
        <v/>
      </c>
      <c r="BY64" s="1" t="str">
        <f>IF(AV64&gt;AV$126, AV64-AV$126,"")</f>
        <v/>
      </c>
      <c r="BZ64" s="1" t="str">
        <f>IF(AW64&gt;AW$126, AW64-AW$126,"")</f>
        <v/>
      </c>
      <c r="CA64" s="1" t="str">
        <f>IF(AX64&gt;AX$126, AX64-AX$126,"")</f>
        <v/>
      </c>
      <c r="CB64" s="1" t="str">
        <f>IF(AY64&gt;AY$126, AY64-AY$126,"")</f>
        <v/>
      </c>
      <c r="CC64" s="1" t="str">
        <f>IF(AZ64&gt;AZ$126, AZ64-AZ$126,"")</f>
        <v/>
      </c>
      <c r="CD64" s="1" t="str">
        <f>IF(BA64&gt;BA$126, BA64-BA$126,"")</f>
        <v/>
      </c>
      <c r="CE64" s="1" t="str">
        <f>IF(BB64&gt;BB$126, BB64-BB$126,"")</f>
        <v/>
      </c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3"/>
    </row>
    <row r="65" spans="1:97" ht="27" x14ac:dyDescent="0.15">
      <c r="A65" s="1"/>
      <c r="B65" s="1" t="s">
        <v>108</v>
      </c>
      <c r="C65" s="1" t="s">
        <v>105</v>
      </c>
      <c r="D65" s="1" t="s">
        <v>103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>
        <v>10</v>
      </c>
      <c r="AP65" s="1">
        <v>10</v>
      </c>
      <c r="AQ65" s="4"/>
      <c r="AR65" s="4"/>
      <c r="AS65" s="4">
        <v>5</v>
      </c>
      <c r="AT65" s="4"/>
      <c r="AU65" s="4"/>
      <c r="AV65" s="4"/>
      <c r="AW65" s="2"/>
      <c r="AX65" s="2">
        <v>5</v>
      </c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30</v>
      </c>
      <c r="BQ65" s="1">
        <v>20</v>
      </c>
      <c r="BR65" s="17">
        <v>2</v>
      </c>
      <c r="BS65" s="17" t="s">
        <v>254</v>
      </c>
      <c r="BT65" s="1" t="str">
        <f>IF(AQ65&gt;AQ$126, AQ65-AQ$126,"")</f>
        <v/>
      </c>
      <c r="BU65" s="1" t="str">
        <f>IF(AR65&gt;AR$126, AR65-AR$126,"")</f>
        <v/>
      </c>
      <c r="BV65" s="1" t="str">
        <f>IF(AS65&gt;AS$126, AS65-AS$126,"")</f>
        <v/>
      </c>
      <c r="BW65" s="1" t="str">
        <f>IF(AT65&gt;AT$126, AT65-AT$126,"")</f>
        <v/>
      </c>
      <c r="BX65" s="1" t="str">
        <f>IF(AU65&gt;AU$126, AU65-AU$126,"")</f>
        <v/>
      </c>
      <c r="BY65" s="1" t="str">
        <f>IF(AV65&gt;AV$126, AV65-AV$126,"")</f>
        <v/>
      </c>
      <c r="BZ65" s="1" t="str">
        <f>IF(AW65&gt;AW$126, AW65-AW$126,"")</f>
        <v/>
      </c>
      <c r="CA65" s="1" t="str">
        <f>IF(AX65&gt;AX$126, AX65-AX$126,"")</f>
        <v/>
      </c>
      <c r="CB65" s="1" t="str">
        <f>IF(AY65&gt;AY$126, AY65-AY$126,"")</f>
        <v/>
      </c>
      <c r="CC65" s="1" t="str">
        <f>IF(AZ65&gt;AZ$126, AZ65-AZ$126,"")</f>
        <v/>
      </c>
      <c r="CD65" s="1" t="str">
        <f>IF(BA65&gt;BA$126, BA65-BA$126,"")</f>
        <v/>
      </c>
      <c r="CE65" s="1" t="str">
        <f>IF(BB65&gt;BB$126, BB65-BB$126,"")</f>
        <v/>
      </c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3"/>
    </row>
    <row r="66" spans="1:97" ht="27" x14ac:dyDescent="0.15">
      <c r="A66" s="18">
        <v>93</v>
      </c>
      <c r="B66" s="24" t="s">
        <v>185</v>
      </c>
      <c r="C66" s="24" t="s">
        <v>79</v>
      </c>
      <c r="D66" s="18" t="s">
        <v>1</v>
      </c>
      <c r="E66" s="19"/>
      <c r="F66" s="19">
        <v>20</v>
      </c>
      <c r="G66" s="19"/>
      <c r="H66" s="19"/>
      <c r="I66" s="19"/>
      <c r="J66" s="19"/>
      <c r="K66" s="19">
        <v>20</v>
      </c>
      <c r="L66" s="19"/>
      <c r="M66" s="19"/>
      <c r="N66" s="19">
        <v>20</v>
      </c>
      <c r="O66" s="1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20"/>
      <c r="AR66" s="20"/>
      <c r="AS66" s="20"/>
      <c r="AT66" s="20"/>
      <c r="AU66" s="20"/>
      <c r="AV66" s="20"/>
      <c r="AW66" s="21"/>
      <c r="AX66" s="21"/>
      <c r="AY66" s="21"/>
      <c r="AZ66" s="21"/>
      <c r="BA66" s="21"/>
      <c r="BB66" s="21"/>
      <c r="BC66" s="26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">
        <f>SUM(E66:BO66)</f>
        <v>60</v>
      </c>
      <c r="BQ66" s="18">
        <v>23</v>
      </c>
      <c r="BR66" s="22">
        <v>2</v>
      </c>
      <c r="BS66" s="22" t="s">
        <v>256</v>
      </c>
      <c r="BT66" s="1" t="str">
        <f>IF(AQ66&gt;AQ$126, AQ66-AQ$126,"")</f>
        <v/>
      </c>
      <c r="BU66" s="1" t="str">
        <f>IF(AR66&gt;AR$126, AR66-AR$126,"")</f>
        <v/>
      </c>
      <c r="BV66" s="1" t="str">
        <f>IF(AS66&gt;AS$126, AS66-AS$126,"")</f>
        <v/>
      </c>
      <c r="BW66" s="1" t="str">
        <f>IF(AT66&gt;AT$126, AT66-AT$126,"")</f>
        <v/>
      </c>
      <c r="BX66" s="1" t="str">
        <f>IF(AU66&gt;AU$126, AU66-AU$126,"")</f>
        <v/>
      </c>
      <c r="BY66" s="1" t="str">
        <f>IF(AV66&gt;AV$126, AV66-AV$126,"")</f>
        <v/>
      </c>
      <c r="BZ66" s="1" t="str">
        <f>IF(AW66&gt;AW$126, AW66-AW$126,"")</f>
        <v/>
      </c>
      <c r="CA66" s="1" t="str">
        <f>IF(AX66&gt;AX$126, AX66-AX$126,"")</f>
        <v/>
      </c>
      <c r="CB66" s="1" t="str">
        <f>IF(AY66&gt;AY$126, AY66-AY$126,"")</f>
        <v/>
      </c>
      <c r="CC66" s="1" t="str">
        <f>IF(AZ66&gt;AZ$126, AZ66-AZ$126,"")</f>
        <v/>
      </c>
      <c r="CD66" s="1" t="str">
        <f>IF(BA66&gt;BA$126, BA66-BA$126,"")</f>
        <v/>
      </c>
      <c r="CE66" s="1" t="str">
        <f>IF(BB66&gt;BB$126, BB66-BB$126,"")</f>
        <v/>
      </c>
      <c r="CF66" s="18">
        <f>COUNTIF(BT66:CE66, "&gt;0")</f>
        <v>0</v>
      </c>
      <c r="CG66" s="18" t="str">
        <f>IF($CF66=1,BT66,"")</f>
        <v/>
      </c>
      <c r="CH66" s="18" t="str">
        <f>IF($CF66=1,BU66,"")</f>
        <v/>
      </c>
      <c r="CI66" s="18" t="str">
        <f>IF($CF66=1,BV66,"")</f>
        <v/>
      </c>
      <c r="CJ66" s="18" t="str">
        <f>IF($CF66=1,BW66,"")</f>
        <v/>
      </c>
      <c r="CK66" s="18" t="str">
        <f>IF($CF66=1,BX66,"")</f>
        <v/>
      </c>
      <c r="CL66" s="18" t="str">
        <f>IF($CF66=1,BY66,"")</f>
        <v/>
      </c>
      <c r="CM66" s="18" t="str">
        <f>IF($CF66=1,BZ66,"")</f>
        <v/>
      </c>
      <c r="CN66" s="18" t="str">
        <f>IF($CF66=1,CA66,"")</f>
        <v/>
      </c>
      <c r="CO66" s="18" t="str">
        <f>IF($CF66=1,CB66,"")</f>
        <v/>
      </c>
      <c r="CP66" s="18" t="str">
        <f>IF($CF66=1,CC66,"")</f>
        <v/>
      </c>
      <c r="CQ66" s="18" t="str">
        <f>IF($CF66=1,CD66,"")</f>
        <v/>
      </c>
      <c r="CR66" s="18" t="str">
        <f>IF($CF66=1,CE66,"")</f>
        <v/>
      </c>
      <c r="CS66" s="30">
        <f>SUM(AE66:BO66)</f>
        <v>0</v>
      </c>
    </row>
    <row r="67" spans="1:97" ht="27" x14ac:dyDescent="0.15">
      <c r="A67" s="1">
        <v>78</v>
      </c>
      <c r="B67" s="3" t="s">
        <v>65</v>
      </c>
      <c r="C67" s="3" t="s">
        <v>63</v>
      </c>
      <c r="D67" s="1" t="s">
        <v>1</v>
      </c>
      <c r="E67" s="6"/>
      <c r="F67" s="6"/>
      <c r="G67" s="6">
        <v>15</v>
      </c>
      <c r="H67" s="6">
        <v>15</v>
      </c>
      <c r="I67" s="6"/>
      <c r="J67" s="6"/>
      <c r="K67" s="6"/>
      <c r="L67" s="6"/>
      <c r="M67" s="6"/>
      <c r="N67" s="6"/>
      <c r="O67" s="6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>
        <v>15</v>
      </c>
      <c r="BB67" s="2">
        <v>15</v>
      </c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60</v>
      </c>
      <c r="BQ67" s="1">
        <v>26</v>
      </c>
      <c r="BR67" s="17">
        <v>2</v>
      </c>
      <c r="BS67" s="17" t="s">
        <v>255</v>
      </c>
      <c r="BT67" s="1" t="str">
        <f>IF(AQ67&gt;AQ$126, AQ67-AQ$126,"")</f>
        <v/>
      </c>
      <c r="BU67" s="1" t="str">
        <f>IF(AR67&gt;AR$126, AR67-AR$126,"")</f>
        <v/>
      </c>
      <c r="BV67" s="1" t="str">
        <f>IF(AS67&gt;AS$126, AS67-AS$126,"")</f>
        <v/>
      </c>
      <c r="BW67" s="1" t="str">
        <f>IF(AT67&gt;AT$126, AT67-AT$126,"")</f>
        <v/>
      </c>
      <c r="BX67" s="1" t="str">
        <f>IF(AU67&gt;AU$126, AU67-AU$126,"")</f>
        <v/>
      </c>
      <c r="BY67" s="1" t="str">
        <f>IF(AV67&gt;AV$126, AV67-AV$126,"")</f>
        <v/>
      </c>
      <c r="BZ67" s="1" t="str">
        <f>IF(AW67&gt;AW$126, AW67-AW$126,"")</f>
        <v/>
      </c>
      <c r="CA67" s="1" t="str">
        <f>IF(AX67&gt;AX$126, AX67-AX$126,"")</f>
        <v/>
      </c>
      <c r="CB67" s="1" t="str">
        <f>IF(AY67&gt;AY$126, AY67-AY$126,"")</f>
        <v/>
      </c>
      <c r="CC67" s="1" t="str">
        <f>IF(AZ67&gt;AZ$126, AZ67-AZ$126,"")</f>
        <v/>
      </c>
      <c r="CD67" s="1" t="str">
        <f>IF(BA67&gt;BA$126, BA67-BA$126,"")</f>
        <v/>
      </c>
      <c r="CE67" s="1" t="str">
        <f>IF(BB67&gt;BB$126, BB67-BB$126,"")</f>
        <v/>
      </c>
      <c r="CF67" s="1">
        <f>COUNTIF(BT67:CE67, "&gt;0")</f>
        <v>0</v>
      </c>
      <c r="CG67" s="1" t="str">
        <f>IF($CF67=1,BT67,"")</f>
        <v/>
      </c>
      <c r="CH67" s="1" t="str">
        <f>IF($CF67=1,BU67,"")</f>
        <v/>
      </c>
      <c r="CI67" s="1" t="str">
        <f>IF($CF67=1,BV67,"")</f>
        <v/>
      </c>
      <c r="CJ67" s="1" t="str">
        <f>IF($CF67=1,BW67,"")</f>
        <v/>
      </c>
      <c r="CK67" s="1" t="str">
        <f>IF($CF67=1,BX67,"")</f>
        <v/>
      </c>
      <c r="CL67" s="1" t="str">
        <f>IF($CF67=1,BY67,"")</f>
        <v/>
      </c>
      <c r="CM67" s="1" t="str">
        <f>IF($CF67=1,BZ67,"")</f>
        <v/>
      </c>
      <c r="CN67" s="1" t="str">
        <f>IF($CF67=1,CA67,"")</f>
        <v/>
      </c>
      <c r="CO67" s="1" t="str">
        <f>IF($CF67=1,CB67,"")</f>
        <v/>
      </c>
      <c r="CP67" s="1" t="str">
        <f>IF($CF67=1,CC67,"")</f>
        <v/>
      </c>
      <c r="CQ67" s="1" t="str">
        <f>IF($CF67=1,CD67,"")</f>
        <v/>
      </c>
      <c r="CR67" s="1" t="str">
        <f>IF($CF67=1,CE67,"")</f>
        <v/>
      </c>
      <c r="CS67" s="3">
        <f>SUM(AE67:BO67)</f>
        <v>30</v>
      </c>
    </row>
    <row r="68" spans="1:97" ht="27" x14ac:dyDescent="0.15">
      <c r="A68" s="1"/>
      <c r="B68" s="1" t="s">
        <v>180</v>
      </c>
      <c r="C68" s="1" t="s">
        <v>116</v>
      </c>
      <c r="D68" s="1" t="s">
        <v>102</v>
      </c>
      <c r="E68" s="6"/>
      <c r="F68" s="6"/>
      <c r="G68" s="6">
        <v>15</v>
      </c>
      <c r="H68" s="6">
        <v>15</v>
      </c>
      <c r="I68" s="6"/>
      <c r="J68" s="6"/>
      <c r="K68" s="6"/>
      <c r="L68" s="6"/>
      <c r="M68" s="6"/>
      <c r="N68" s="6"/>
      <c r="O68" s="6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>
        <v>15</v>
      </c>
      <c r="BB68" s="2">
        <v>15</v>
      </c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60</v>
      </c>
      <c r="BQ68" s="1">
        <v>26</v>
      </c>
      <c r="BR68" s="17">
        <v>2</v>
      </c>
      <c r="BS68" s="17" t="s">
        <v>255</v>
      </c>
      <c r="BT68" s="1" t="str">
        <f>IF(AQ68&gt;AQ$126, AQ68-AQ$126,"")</f>
        <v/>
      </c>
      <c r="BU68" s="1" t="str">
        <f>IF(AR68&gt;AR$126, AR68-AR$126,"")</f>
        <v/>
      </c>
      <c r="BV68" s="1" t="str">
        <f>IF(AS68&gt;AS$126, AS68-AS$126,"")</f>
        <v/>
      </c>
      <c r="BW68" s="1" t="str">
        <f>IF(AT68&gt;AT$126, AT68-AT$126,"")</f>
        <v/>
      </c>
      <c r="BX68" s="1" t="str">
        <f>IF(AU68&gt;AU$126, AU68-AU$126,"")</f>
        <v/>
      </c>
      <c r="BY68" s="1" t="str">
        <f>IF(AV68&gt;AV$126, AV68-AV$126,"")</f>
        <v/>
      </c>
      <c r="BZ68" s="1" t="str">
        <f>IF(AW68&gt;AW$126, AW68-AW$126,"")</f>
        <v/>
      </c>
      <c r="CA68" s="1" t="str">
        <f>IF(AX68&gt;AX$126, AX68-AX$126,"")</f>
        <v/>
      </c>
      <c r="CB68" s="1" t="str">
        <f>IF(AY68&gt;AY$126, AY68-AY$126,"")</f>
        <v/>
      </c>
      <c r="CC68" s="1" t="str">
        <f>IF(AZ68&gt;AZ$126, AZ68-AZ$126,"")</f>
        <v/>
      </c>
      <c r="CD68" s="1" t="str">
        <f>IF(BA68&gt;BA$126, BA68-BA$126,"")</f>
        <v/>
      </c>
      <c r="CE68" s="1" t="str">
        <f>IF(BB68&gt;BB$126, BB68-BB$126,"")</f>
        <v/>
      </c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3"/>
    </row>
    <row r="69" spans="1:97" ht="27" x14ac:dyDescent="0.15">
      <c r="A69" s="1">
        <v>65</v>
      </c>
      <c r="B69" s="3" t="s">
        <v>60</v>
      </c>
      <c r="C69" s="1" t="s">
        <v>55</v>
      </c>
      <c r="D69" s="1" t="s">
        <v>13</v>
      </c>
      <c r="E69" s="6"/>
      <c r="F69" s="6"/>
      <c r="G69" s="6">
        <v>10</v>
      </c>
      <c r="H69" s="6"/>
      <c r="I69" s="6"/>
      <c r="J69" s="6"/>
      <c r="K69" s="6"/>
      <c r="L69" s="6"/>
      <c r="M69" s="6"/>
      <c r="N69" s="6"/>
      <c r="O69" s="6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>
        <v>25</v>
      </c>
      <c r="AO69" s="1"/>
      <c r="AP69" s="1"/>
      <c r="AQ69" s="4"/>
      <c r="AR69" s="4"/>
      <c r="AS69" s="4"/>
      <c r="AT69" s="4"/>
      <c r="AU69" s="4"/>
      <c r="AV69" s="4">
        <v>10</v>
      </c>
      <c r="AW69" s="2"/>
      <c r="AX69" s="2"/>
      <c r="AY69" s="2"/>
      <c r="AZ69" s="2">
        <v>10</v>
      </c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55</v>
      </c>
      <c r="BQ69" s="1">
        <v>27</v>
      </c>
      <c r="BR69" s="17">
        <v>2</v>
      </c>
      <c r="BS69" s="17" t="s">
        <v>257</v>
      </c>
      <c r="BT69" s="1" t="str">
        <f>IF(AQ69&gt;AQ$126, AQ69-AQ$126,"")</f>
        <v/>
      </c>
      <c r="BU69" s="1" t="str">
        <f>IF(AR69&gt;AR$126, AR69-AR$126,"")</f>
        <v/>
      </c>
      <c r="BV69" s="1" t="str">
        <f>IF(AS69&gt;AS$126, AS69-AS$126,"")</f>
        <v/>
      </c>
      <c r="BW69" s="1" t="str">
        <f>IF(AT69&gt;AT$126, AT69-AT$126,"")</f>
        <v/>
      </c>
      <c r="BX69" s="1" t="str">
        <f>IF(AU69&gt;AU$126, AU69-AU$126,"")</f>
        <v/>
      </c>
      <c r="BY69" s="1" t="str">
        <f>IF(AV69&gt;AV$126, AV69-AV$126,"")</f>
        <v/>
      </c>
      <c r="BZ69" s="1" t="str">
        <f>IF(AW69&gt;AW$126, AW69-AW$126,"")</f>
        <v/>
      </c>
      <c r="CA69" s="1" t="str">
        <f>IF(AX69&gt;AX$126, AX69-AX$126,"")</f>
        <v/>
      </c>
      <c r="CB69" s="1" t="str">
        <f>IF(AY69&gt;AY$126, AY69-AY$126,"")</f>
        <v/>
      </c>
      <c r="CC69" s="1" t="str">
        <f>IF(AZ69&gt;AZ$126, AZ69-AZ$126,"")</f>
        <v/>
      </c>
      <c r="CD69" s="1" t="str">
        <f>IF(BA69&gt;BA$126, BA69-BA$126,"")</f>
        <v/>
      </c>
      <c r="CE69" s="1" t="str">
        <f>IF(BB69&gt;BB$126, BB69-BB$126,"")</f>
        <v/>
      </c>
      <c r="CF69" s="1">
        <f>COUNTIF(BT69:CE69, "&gt;0")</f>
        <v>0</v>
      </c>
      <c r="CG69" s="1" t="str">
        <f>IF($CF69=1,BT69,"")</f>
        <v/>
      </c>
      <c r="CH69" s="1" t="str">
        <f>IF($CF69=1,BU69,"")</f>
        <v/>
      </c>
      <c r="CI69" s="1" t="str">
        <f>IF($CF69=1,BV69,"")</f>
        <v/>
      </c>
      <c r="CJ69" s="1" t="str">
        <f>IF($CF69=1,BW69,"")</f>
        <v/>
      </c>
      <c r="CK69" s="1" t="str">
        <f>IF($CF69=1,BX69,"")</f>
        <v/>
      </c>
      <c r="CL69" s="1" t="str">
        <f>IF($CF69=1,BY69,"")</f>
        <v/>
      </c>
      <c r="CM69" s="1" t="str">
        <f>IF($CF69=1,BZ69,"")</f>
        <v/>
      </c>
      <c r="CN69" s="1" t="str">
        <f>IF($CF69=1,CA69,"")</f>
        <v/>
      </c>
      <c r="CO69" s="1" t="str">
        <f>IF($CF69=1,CB69,"")</f>
        <v/>
      </c>
      <c r="CP69" s="1" t="str">
        <f>IF($CF69=1,CC69,"")</f>
        <v/>
      </c>
      <c r="CQ69" s="1" t="str">
        <f>IF($CF69=1,CD69,"")</f>
        <v/>
      </c>
      <c r="CR69" s="1" t="str">
        <f>IF($CF69=1,CE69,"")</f>
        <v/>
      </c>
      <c r="CS69" s="3">
        <f>SUM(AE69:BO69)</f>
        <v>45</v>
      </c>
    </row>
    <row r="70" spans="1:97" ht="27" x14ac:dyDescent="0.15">
      <c r="A70" s="1"/>
      <c r="B70" s="1" t="s">
        <v>163</v>
      </c>
      <c r="C70" s="1" t="s">
        <v>117</v>
      </c>
      <c r="D70" s="1" t="s">
        <v>102</v>
      </c>
      <c r="E70" s="6"/>
      <c r="F70" s="6"/>
      <c r="G70" s="6"/>
      <c r="H70" s="6"/>
      <c r="I70" s="6"/>
      <c r="J70" s="6"/>
      <c r="K70" s="6"/>
      <c r="L70" s="6">
        <v>20</v>
      </c>
      <c r="M70" s="6"/>
      <c r="N70" s="6"/>
      <c r="O70" s="6">
        <v>20</v>
      </c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>
        <v>20</v>
      </c>
      <c r="BB70" s="2">
        <v>20</v>
      </c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80</v>
      </c>
      <c r="BQ70" s="1">
        <v>29</v>
      </c>
      <c r="BR70" s="17">
        <v>2</v>
      </c>
      <c r="BS70" s="17" t="s">
        <v>258</v>
      </c>
      <c r="BT70" s="1" t="str">
        <f>IF(AQ70&gt;AQ$126, AQ70-AQ$126,"")</f>
        <v/>
      </c>
      <c r="BU70" s="1" t="str">
        <f>IF(AR70&gt;AR$126, AR70-AR$126,"")</f>
        <v/>
      </c>
      <c r="BV70" s="1" t="str">
        <f>IF(AS70&gt;AS$126, AS70-AS$126,"")</f>
        <v/>
      </c>
      <c r="BW70" s="1" t="str">
        <f>IF(AT70&gt;AT$126, AT70-AT$126,"")</f>
        <v/>
      </c>
      <c r="BX70" s="1" t="str">
        <f>IF(AU70&gt;AU$126, AU70-AU$126,"")</f>
        <v/>
      </c>
      <c r="BY70" s="1" t="str">
        <f>IF(AV70&gt;AV$126, AV70-AV$126,"")</f>
        <v/>
      </c>
      <c r="BZ70" s="1" t="str">
        <f>IF(AW70&gt;AW$126, AW70-AW$126,"")</f>
        <v/>
      </c>
      <c r="CA70" s="1" t="str">
        <f>IF(AX70&gt;AX$126, AX70-AX$126,"")</f>
        <v/>
      </c>
      <c r="CB70" s="1" t="str">
        <f>IF(AY70&gt;AY$126, AY70-AY$126,"")</f>
        <v/>
      </c>
      <c r="CC70" s="1" t="str">
        <f>IF(AZ70&gt;AZ$126, AZ70-AZ$126,"")</f>
        <v/>
      </c>
      <c r="CD70" s="1" t="str">
        <f>IF(BA70&gt;BA$126, BA70-BA$126,"")</f>
        <v/>
      </c>
      <c r="CE70" s="1" t="str">
        <f>IF(BB70&gt;BB$126, BB70-BB$126,"")</f>
        <v/>
      </c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3"/>
    </row>
    <row r="71" spans="1:97" ht="27" x14ac:dyDescent="0.15">
      <c r="A71" s="1">
        <v>77</v>
      </c>
      <c r="B71" s="3" t="s">
        <v>162</v>
      </c>
      <c r="C71" s="3" t="s">
        <v>63</v>
      </c>
      <c r="D71" s="1" t="s">
        <v>13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>
        <v>20</v>
      </c>
      <c r="AU71" s="4"/>
      <c r="AV71" s="4"/>
      <c r="AW71" s="2">
        <v>20</v>
      </c>
      <c r="AX71" s="2">
        <v>20</v>
      </c>
      <c r="AY71" s="2"/>
      <c r="AZ71" s="2"/>
      <c r="BA71" s="2"/>
      <c r="BB71" s="2">
        <v>10</v>
      </c>
      <c r="BC71" s="14"/>
      <c r="BD71" s="1"/>
      <c r="BE71" s="1"/>
      <c r="BF71" s="1"/>
      <c r="BG71" s="1"/>
      <c r="BH71" s="1">
        <v>20</v>
      </c>
      <c r="BI71" s="1"/>
      <c r="BJ71" s="1"/>
      <c r="BK71" s="1"/>
      <c r="BL71" s="1"/>
      <c r="BM71" s="1"/>
      <c r="BN71" s="1"/>
      <c r="BO71" s="1"/>
      <c r="BP71" s="1">
        <f>SUM(E71:BO71)</f>
        <v>90</v>
      </c>
      <c r="BQ71" s="1">
        <v>30</v>
      </c>
      <c r="BR71" s="17">
        <v>2</v>
      </c>
      <c r="BS71" s="17" t="s">
        <v>259</v>
      </c>
      <c r="BT71" s="1" t="str">
        <f>IF(AQ71&gt;AQ$126, AQ71-AQ$126,"")</f>
        <v/>
      </c>
      <c r="BU71" s="1" t="str">
        <f>IF(AR71&gt;AR$126, AR71-AR$126,"")</f>
        <v/>
      </c>
      <c r="BV71" s="1" t="str">
        <f>IF(AS71&gt;AS$126, AS71-AS$126,"")</f>
        <v/>
      </c>
      <c r="BW71" s="1" t="str">
        <f>IF(AT71&gt;AT$126, AT71-AT$126,"")</f>
        <v/>
      </c>
      <c r="BX71" s="1" t="str">
        <f>IF(AU71&gt;AU$126, AU71-AU$126,"")</f>
        <v/>
      </c>
      <c r="BY71" s="1" t="str">
        <f>IF(AV71&gt;AV$126, AV71-AV$126,"")</f>
        <v/>
      </c>
      <c r="BZ71" s="1" t="str">
        <f>IF(AW71&gt;AW$126, AW71-AW$126,"")</f>
        <v/>
      </c>
      <c r="CA71" s="1" t="str">
        <f>IF(AX71&gt;AX$126, AX71-AX$126,"")</f>
        <v/>
      </c>
      <c r="CB71" s="1" t="str">
        <f>IF(AY71&gt;AY$126, AY71-AY$126,"")</f>
        <v/>
      </c>
      <c r="CC71" s="1" t="str">
        <f>IF(AZ71&gt;AZ$126, AZ71-AZ$126,"")</f>
        <v/>
      </c>
      <c r="CD71" s="1" t="str">
        <f>IF(BA71&gt;BA$126, BA71-BA$126,"")</f>
        <v/>
      </c>
      <c r="CE71" s="1" t="str">
        <f>IF(BB71&gt;BB$126, BB71-BB$126,"")</f>
        <v/>
      </c>
      <c r="CF71" s="1">
        <f>COUNTIF(BT71:CE71, "&gt;0")</f>
        <v>0</v>
      </c>
      <c r="CG71" s="1" t="str">
        <f>IF($CF71=1,BT71,"")</f>
        <v/>
      </c>
      <c r="CH71" s="1" t="str">
        <f>IF($CF71=1,BU71,"")</f>
        <v/>
      </c>
      <c r="CI71" s="1" t="str">
        <f>IF($CF71=1,BV71,"")</f>
        <v/>
      </c>
      <c r="CJ71" s="1" t="str">
        <f>IF($CF71=1,BW71,"")</f>
        <v/>
      </c>
      <c r="CK71" s="1" t="str">
        <f>IF($CF71=1,BX71,"")</f>
        <v/>
      </c>
      <c r="CL71" s="1" t="str">
        <f>IF($CF71=1,BY71,"")</f>
        <v/>
      </c>
      <c r="CM71" s="1" t="str">
        <f>IF($CF71=1,BZ71,"")</f>
        <v/>
      </c>
      <c r="CN71" s="1" t="str">
        <f>IF($CF71=1,CA71,"")</f>
        <v/>
      </c>
      <c r="CO71" s="1" t="str">
        <f>IF($CF71=1,CB71,"")</f>
        <v/>
      </c>
      <c r="CP71" s="1" t="str">
        <f>IF($CF71=1,CC71,"")</f>
        <v/>
      </c>
      <c r="CQ71" s="1" t="str">
        <f>IF($CF71=1,CD71,"")</f>
        <v/>
      </c>
      <c r="CR71" s="1" t="str">
        <f>IF($CF71=1,CE71,"")</f>
        <v/>
      </c>
      <c r="CS71" s="3">
        <f>SUM(AE71:BO71)</f>
        <v>90</v>
      </c>
    </row>
    <row r="72" spans="1:97" ht="27" x14ac:dyDescent="0.15">
      <c r="A72" s="1"/>
      <c r="B72" s="1" t="s">
        <v>179</v>
      </c>
      <c r="C72" s="1" t="s">
        <v>116</v>
      </c>
      <c r="D72" s="1" t="s">
        <v>102</v>
      </c>
      <c r="E72" s="6"/>
      <c r="F72" s="6"/>
      <c r="G72" s="6">
        <v>20</v>
      </c>
      <c r="H72" s="6">
        <v>20</v>
      </c>
      <c r="I72" s="6"/>
      <c r="J72" s="6"/>
      <c r="K72" s="6"/>
      <c r="L72" s="6"/>
      <c r="M72" s="6"/>
      <c r="N72" s="6"/>
      <c r="O72" s="6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>
        <v>20</v>
      </c>
      <c r="BB72" s="2">
        <v>20</v>
      </c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80</v>
      </c>
      <c r="BQ72" s="1">
        <v>36</v>
      </c>
      <c r="BR72" s="17">
        <v>2</v>
      </c>
      <c r="BS72" s="17" t="s">
        <v>260</v>
      </c>
      <c r="BT72" s="1" t="str">
        <f>IF(AQ72&gt;AQ$126, AQ72-AQ$126,"")</f>
        <v/>
      </c>
      <c r="BU72" s="1" t="str">
        <f>IF(AR72&gt;AR$126, AR72-AR$126,"")</f>
        <v/>
      </c>
      <c r="BV72" s="1" t="str">
        <f>IF(AS72&gt;AS$126, AS72-AS$126,"")</f>
        <v/>
      </c>
      <c r="BW72" s="1" t="str">
        <f>IF(AT72&gt;AT$126, AT72-AT$126,"")</f>
        <v/>
      </c>
      <c r="BX72" s="1" t="str">
        <f>IF(AU72&gt;AU$126, AU72-AU$126,"")</f>
        <v/>
      </c>
      <c r="BY72" s="1" t="str">
        <f>IF(AV72&gt;AV$126, AV72-AV$126,"")</f>
        <v/>
      </c>
      <c r="BZ72" s="1" t="str">
        <f>IF(AW72&gt;AW$126, AW72-AW$126,"")</f>
        <v/>
      </c>
      <c r="CA72" s="1" t="str">
        <f>IF(AX72&gt;AX$126, AX72-AX$126,"")</f>
        <v/>
      </c>
      <c r="CB72" s="1" t="str">
        <f>IF(AY72&gt;AY$126, AY72-AY$126,"")</f>
        <v/>
      </c>
      <c r="CC72" s="1" t="str">
        <f>IF(AZ72&gt;AZ$126, AZ72-AZ$126,"")</f>
        <v/>
      </c>
      <c r="CD72" s="1" t="str">
        <f>IF(BA72&gt;BA$126, BA72-BA$126,"")</f>
        <v/>
      </c>
      <c r="CE72" s="1" t="str">
        <f>IF(BB72&gt;BB$126, BB72-BB$126,"")</f>
        <v/>
      </c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3"/>
    </row>
    <row r="73" spans="1:97" ht="40.5" x14ac:dyDescent="0.15">
      <c r="A73" s="1"/>
      <c r="B73" s="1" t="s">
        <v>104</v>
      </c>
      <c r="C73" s="1" t="s">
        <v>105</v>
      </c>
      <c r="D73" s="1" t="s">
        <v>106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>
        <v>40</v>
      </c>
      <c r="AW73" s="2">
        <v>40</v>
      </c>
      <c r="AX73" s="2"/>
      <c r="AY73" s="2"/>
      <c r="AZ73" s="2"/>
      <c r="BA73" s="2"/>
      <c r="BB73" s="2">
        <v>40</v>
      </c>
      <c r="BC73" s="14">
        <v>10</v>
      </c>
      <c r="BD73" s="1">
        <v>50</v>
      </c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180</v>
      </c>
      <c r="BQ73" s="1">
        <v>65</v>
      </c>
      <c r="BR73" s="17">
        <v>2</v>
      </c>
      <c r="BS73" s="17" t="s">
        <v>280</v>
      </c>
      <c r="BT73" s="1" t="str">
        <f>IF(AQ73&gt;AQ$126, AQ73-AQ$126,"")</f>
        <v/>
      </c>
      <c r="BU73" s="1" t="str">
        <f>IF(AR73&gt;AR$126, AR73-AR$126,"")</f>
        <v/>
      </c>
      <c r="BV73" s="1" t="str">
        <f>IF(AS73&gt;AS$126, AS73-AS$126,"")</f>
        <v/>
      </c>
      <c r="BW73" s="1" t="str">
        <f>IF(AT73&gt;AT$126, AT73-AT$126,"")</f>
        <v/>
      </c>
      <c r="BX73" s="1" t="str">
        <f>IF(AU73&gt;AU$126, AU73-AU$126,"")</f>
        <v/>
      </c>
      <c r="BY73" s="1" t="str">
        <f>IF(AV73&gt;AV$126, AV73-AV$126,"")</f>
        <v/>
      </c>
      <c r="BZ73" s="1" t="str">
        <f>IF(AW73&gt;AW$126, AW73-AW$126,"")</f>
        <v/>
      </c>
      <c r="CA73" s="1" t="str">
        <f>IF(AX73&gt;AX$126, AX73-AX$126,"")</f>
        <v/>
      </c>
      <c r="CB73" s="1" t="str">
        <f>IF(AY73&gt;AY$126, AY73-AY$126,"")</f>
        <v/>
      </c>
      <c r="CC73" s="1" t="str">
        <f>IF(AZ73&gt;AZ$126, AZ73-AZ$126,"")</f>
        <v/>
      </c>
      <c r="CD73" s="1" t="str">
        <f>IF(BA73&gt;BA$126, BA73-BA$126,"")</f>
        <v/>
      </c>
      <c r="CE73" s="1" t="str">
        <f>IF(BB73&gt;BB$126, BB73-BB$126,"")</f>
        <v/>
      </c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3"/>
    </row>
    <row r="74" spans="1:97" ht="40.5" x14ac:dyDescent="0.15">
      <c r="A74" s="1"/>
      <c r="B74" s="1" t="s">
        <v>152</v>
      </c>
      <c r="C74" s="1" t="s">
        <v>148</v>
      </c>
      <c r="D74" s="1" t="s">
        <v>120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/>
      <c r="R74" s="28"/>
      <c r="S74" s="28"/>
      <c r="T74" s="28"/>
      <c r="U74" s="28">
        <v>2</v>
      </c>
      <c r="V74" s="28"/>
      <c r="W74" s="28"/>
      <c r="X74" s="28"/>
      <c r="Y74" s="28"/>
      <c r="Z74" s="28"/>
      <c r="AA74" s="28">
        <v>2</v>
      </c>
      <c r="AB74" s="28"/>
      <c r="AC74" s="28">
        <v>5</v>
      </c>
      <c r="AD74" s="28">
        <v>2</v>
      </c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>SUM(E74:BO74)</f>
        <v>11</v>
      </c>
      <c r="BQ74" s="1">
        <v>6</v>
      </c>
      <c r="BR74" s="17">
        <v>3</v>
      </c>
      <c r="BS74" s="17" t="s">
        <v>261</v>
      </c>
      <c r="BT74" s="1" t="str">
        <f>IF(AQ74&gt;AQ$126, AQ74-AQ$126,"")</f>
        <v/>
      </c>
      <c r="BU74" s="1" t="str">
        <f>IF(AR74&gt;AR$126, AR74-AR$126,"")</f>
        <v/>
      </c>
      <c r="BV74" s="1" t="str">
        <f>IF(AS74&gt;AS$126, AS74-AS$126,"")</f>
        <v/>
      </c>
      <c r="BW74" s="1" t="str">
        <f>IF(AT74&gt;AT$126, AT74-AT$126,"")</f>
        <v/>
      </c>
      <c r="BX74" s="1" t="str">
        <f>IF(AU74&gt;AU$126, AU74-AU$126,"")</f>
        <v/>
      </c>
      <c r="BY74" s="1" t="str">
        <f>IF(AV74&gt;AV$126, AV74-AV$126,"")</f>
        <v/>
      </c>
      <c r="BZ74" s="1" t="str">
        <f>IF(AW74&gt;AW$126, AW74-AW$126,"")</f>
        <v/>
      </c>
      <c r="CA74" s="1" t="str">
        <f>IF(AX74&gt;AX$126, AX74-AX$126,"")</f>
        <v/>
      </c>
      <c r="CB74" s="1" t="str">
        <f>IF(AY74&gt;AY$126, AY74-AY$126,"")</f>
        <v/>
      </c>
      <c r="CC74" s="1" t="str">
        <f>IF(AZ74&gt;AZ$126, AZ74-AZ$126,"")</f>
        <v/>
      </c>
      <c r="CD74" s="1" t="str">
        <f>IF(BA74&gt;BA$126, BA74-BA$126,"")</f>
        <v/>
      </c>
      <c r="CE74" s="1" t="str">
        <f>IF(BB74&gt;BB$126, BB74-BB$126,"")</f>
        <v/>
      </c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3"/>
    </row>
    <row r="75" spans="1:97" ht="40.5" x14ac:dyDescent="0.15">
      <c r="A75" s="1"/>
      <c r="B75" s="1" t="s">
        <v>145</v>
      </c>
      <c r="C75" s="1" t="s">
        <v>146</v>
      </c>
      <c r="D75" s="1" t="s">
        <v>121</v>
      </c>
      <c r="E75" s="6"/>
      <c r="F75" s="6"/>
      <c r="G75" s="6"/>
      <c r="H75" s="6"/>
      <c r="I75" s="6"/>
      <c r="J75" s="6"/>
      <c r="K75" s="6"/>
      <c r="L75" s="6">
        <v>7</v>
      </c>
      <c r="M75" s="6"/>
      <c r="N75" s="6"/>
      <c r="O75" s="6"/>
      <c r="P75" s="28"/>
      <c r="Q75" s="28">
        <v>7</v>
      </c>
      <c r="R75" s="28"/>
      <c r="S75" s="28"/>
      <c r="T75" s="28">
        <v>7</v>
      </c>
      <c r="U75" s="28"/>
      <c r="V75" s="28"/>
      <c r="W75" s="28"/>
      <c r="X75" s="28">
        <v>7</v>
      </c>
      <c r="Y75" s="28"/>
      <c r="Z75" s="28"/>
      <c r="AA75" s="28"/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28</v>
      </c>
      <c r="BQ75" s="1">
        <v>9</v>
      </c>
      <c r="BR75" s="17">
        <v>3</v>
      </c>
      <c r="BS75" s="17" t="s">
        <v>262</v>
      </c>
      <c r="BT75" s="1" t="str">
        <f>IF(AQ75&gt;AQ$126, AQ75-AQ$126,"")</f>
        <v/>
      </c>
      <c r="BU75" s="1" t="str">
        <f>IF(AR75&gt;AR$126, AR75-AR$126,"")</f>
        <v/>
      </c>
      <c r="BV75" s="1" t="str">
        <f>IF(AS75&gt;AS$126, AS75-AS$126,"")</f>
        <v/>
      </c>
      <c r="BW75" s="1" t="str">
        <f>IF(AT75&gt;AT$126, AT75-AT$126,"")</f>
        <v/>
      </c>
      <c r="BX75" s="1" t="str">
        <f>IF(AU75&gt;AU$126, AU75-AU$126,"")</f>
        <v/>
      </c>
      <c r="BY75" s="1" t="str">
        <f>IF(AV75&gt;AV$126, AV75-AV$126,"")</f>
        <v/>
      </c>
      <c r="BZ75" s="1" t="str">
        <f>IF(AW75&gt;AW$126, AW75-AW$126,"")</f>
        <v/>
      </c>
      <c r="CA75" s="1" t="str">
        <f>IF(AX75&gt;AX$126, AX75-AX$126,"")</f>
        <v/>
      </c>
      <c r="CB75" s="1" t="str">
        <f>IF(AY75&gt;AY$126, AY75-AY$126,"")</f>
        <v/>
      </c>
      <c r="CC75" s="1" t="str">
        <f>IF(AZ75&gt;AZ$126, AZ75-AZ$126,"")</f>
        <v/>
      </c>
      <c r="CD75" s="1" t="str">
        <f>IF(BA75&gt;BA$126, BA75-BA$126,"")</f>
        <v/>
      </c>
      <c r="CE75" s="1" t="str">
        <f>IF(BB75&gt;BB$126, BB75-BB$126,"")</f>
        <v/>
      </c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3"/>
    </row>
    <row r="76" spans="1:97" ht="40.5" x14ac:dyDescent="0.15">
      <c r="A76" s="1"/>
      <c r="B76" s="1" t="s">
        <v>139</v>
      </c>
      <c r="C76" s="1" t="s">
        <v>137</v>
      </c>
      <c r="D76" s="1" t="s">
        <v>120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8"/>
      <c r="Q76" s="28">
        <v>5</v>
      </c>
      <c r="R76" s="28"/>
      <c r="S76" s="28"/>
      <c r="T76" s="28">
        <v>5</v>
      </c>
      <c r="U76" s="28"/>
      <c r="V76" s="28"/>
      <c r="W76" s="28"/>
      <c r="X76" s="28"/>
      <c r="Y76" s="28"/>
      <c r="Z76" s="28">
        <v>5</v>
      </c>
      <c r="AA76" s="28">
        <v>2</v>
      </c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17</v>
      </c>
      <c r="BQ76" s="1">
        <v>9</v>
      </c>
      <c r="BR76" s="17">
        <v>3</v>
      </c>
      <c r="BS76" s="17" t="s">
        <v>263</v>
      </c>
      <c r="BT76" s="1" t="str">
        <f>IF(AQ76&gt;AQ$126, AQ76-AQ$126,"")</f>
        <v/>
      </c>
      <c r="BU76" s="1" t="str">
        <f>IF(AR76&gt;AR$126, AR76-AR$126,"")</f>
        <v/>
      </c>
      <c r="BV76" s="1" t="str">
        <f>IF(AS76&gt;AS$126, AS76-AS$126,"")</f>
        <v/>
      </c>
      <c r="BW76" s="1" t="str">
        <f>IF(AT76&gt;AT$126, AT76-AT$126,"")</f>
        <v/>
      </c>
      <c r="BX76" s="1" t="str">
        <f>IF(AU76&gt;AU$126, AU76-AU$126,"")</f>
        <v/>
      </c>
      <c r="BY76" s="1" t="str">
        <f>IF(AV76&gt;AV$126, AV76-AV$126,"")</f>
        <v/>
      </c>
      <c r="BZ76" s="1" t="str">
        <f>IF(AW76&gt;AW$126, AW76-AW$126,"")</f>
        <v/>
      </c>
      <c r="CA76" s="1" t="str">
        <f>IF(AX76&gt;AX$126, AX76-AX$126,"")</f>
        <v/>
      </c>
      <c r="CB76" s="1" t="str">
        <f>IF(AY76&gt;AY$126, AY76-AY$126,"")</f>
        <v/>
      </c>
      <c r="CC76" s="1" t="str">
        <f>IF(AZ76&gt;AZ$126, AZ76-AZ$126,"")</f>
        <v/>
      </c>
      <c r="CD76" s="1" t="str">
        <f>IF(BA76&gt;BA$126, BA76-BA$126,"")</f>
        <v/>
      </c>
      <c r="CE76" s="1" t="str">
        <f>IF(BB76&gt;BB$126, BB76-BB$126,"")</f>
        <v/>
      </c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3"/>
    </row>
    <row r="77" spans="1:97" ht="40.5" x14ac:dyDescent="0.15">
      <c r="A77" s="1"/>
      <c r="B77" s="1" t="s">
        <v>149</v>
      </c>
      <c r="C77" s="1" t="s">
        <v>148</v>
      </c>
      <c r="D77" s="1" t="s">
        <v>120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>
        <v>5</v>
      </c>
      <c r="R77" s="28"/>
      <c r="S77" s="28"/>
      <c r="T77" s="28">
        <v>5</v>
      </c>
      <c r="U77" s="28"/>
      <c r="V77" s="28"/>
      <c r="W77" s="28"/>
      <c r="X77" s="28"/>
      <c r="Y77" s="28"/>
      <c r="Z77" s="28">
        <v>5</v>
      </c>
      <c r="AA77" s="28">
        <v>2</v>
      </c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17</v>
      </c>
      <c r="BQ77" s="1">
        <v>9</v>
      </c>
      <c r="BR77" s="17">
        <v>3</v>
      </c>
      <c r="BS77" s="17" t="s">
        <v>264</v>
      </c>
      <c r="BT77" s="1" t="str">
        <f>IF(AQ77&gt;AQ$126, AQ77-AQ$126,"")</f>
        <v/>
      </c>
      <c r="BU77" s="1" t="str">
        <f>IF(AR77&gt;AR$126, AR77-AR$126,"")</f>
        <v/>
      </c>
      <c r="BV77" s="1" t="str">
        <f>IF(AS77&gt;AS$126, AS77-AS$126,"")</f>
        <v/>
      </c>
      <c r="BW77" s="1" t="str">
        <f>IF(AT77&gt;AT$126, AT77-AT$126,"")</f>
        <v/>
      </c>
      <c r="BX77" s="1" t="str">
        <f>IF(AU77&gt;AU$126, AU77-AU$126,"")</f>
        <v/>
      </c>
      <c r="BY77" s="1" t="str">
        <f>IF(AV77&gt;AV$126, AV77-AV$126,"")</f>
        <v/>
      </c>
      <c r="BZ77" s="1" t="str">
        <f>IF(AW77&gt;AW$126, AW77-AW$126,"")</f>
        <v/>
      </c>
      <c r="CA77" s="1" t="str">
        <f>IF(AX77&gt;AX$126, AX77-AX$126,"")</f>
        <v/>
      </c>
      <c r="CB77" s="1" t="str">
        <f>IF(AY77&gt;AY$126, AY77-AY$126,"")</f>
        <v/>
      </c>
      <c r="CC77" s="1" t="str">
        <f>IF(AZ77&gt;AZ$126, AZ77-AZ$126,"")</f>
        <v/>
      </c>
      <c r="CD77" s="1" t="str">
        <f>IF(BA77&gt;BA$126, BA77-BA$126,"")</f>
        <v/>
      </c>
      <c r="CE77" s="1" t="str">
        <f>IF(BB77&gt;BB$126, BB77-BB$126,"")</f>
        <v/>
      </c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3"/>
    </row>
    <row r="78" spans="1:97" ht="40.5" x14ac:dyDescent="0.15">
      <c r="A78" s="1"/>
      <c r="B78" s="1" t="s">
        <v>155</v>
      </c>
      <c r="C78" s="1" t="s">
        <v>116</v>
      </c>
      <c r="D78" s="1" t="s">
        <v>157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>
        <v>5</v>
      </c>
      <c r="R78" s="28"/>
      <c r="S78" s="28"/>
      <c r="T78" s="28">
        <v>5</v>
      </c>
      <c r="U78" s="28"/>
      <c r="V78" s="28"/>
      <c r="W78" s="28"/>
      <c r="X78" s="28"/>
      <c r="Y78" s="28"/>
      <c r="Z78" s="28">
        <v>5</v>
      </c>
      <c r="AA78" s="28">
        <v>2</v>
      </c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17</v>
      </c>
      <c r="BQ78" s="1">
        <v>9</v>
      </c>
      <c r="BR78" s="17">
        <v>3</v>
      </c>
      <c r="BS78" s="17" t="s">
        <v>264</v>
      </c>
      <c r="BT78" s="1" t="str">
        <f>IF(AQ78&gt;AQ$126, AQ78-AQ$126,"")</f>
        <v/>
      </c>
      <c r="BU78" s="1" t="str">
        <f>IF(AR78&gt;AR$126, AR78-AR$126,"")</f>
        <v/>
      </c>
      <c r="BV78" s="1" t="str">
        <f>IF(AS78&gt;AS$126, AS78-AS$126,"")</f>
        <v/>
      </c>
      <c r="BW78" s="1" t="str">
        <f>IF(AT78&gt;AT$126, AT78-AT$126,"")</f>
        <v/>
      </c>
      <c r="BX78" s="1" t="str">
        <f>IF(AU78&gt;AU$126, AU78-AU$126,"")</f>
        <v/>
      </c>
      <c r="BY78" s="1" t="str">
        <f>IF(AV78&gt;AV$126, AV78-AV$126,"")</f>
        <v/>
      </c>
      <c r="BZ78" s="1" t="str">
        <f>IF(AW78&gt;AW$126, AW78-AW$126,"")</f>
        <v/>
      </c>
      <c r="CA78" s="1" t="str">
        <f>IF(AX78&gt;AX$126, AX78-AX$126,"")</f>
        <v/>
      </c>
      <c r="CB78" s="1" t="str">
        <f>IF(AY78&gt;AY$126, AY78-AY$126,"")</f>
        <v/>
      </c>
      <c r="CC78" s="1" t="str">
        <f>IF(AZ78&gt;AZ$126, AZ78-AZ$126,"")</f>
        <v/>
      </c>
      <c r="CD78" s="1" t="str">
        <f>IF(BA78&gt;BA$126, BA78-BA$126,"")</f>
        <v/>
      </c>
      <c r="CE78" s="1" t="str">
        <f>IF(BB78&gt;BB$126, BB78-BB$126,"")</f>
        <v/>
      </c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3"/>
    </row>
    <row r="79" spans="1:97" ht="40.5" x14ac:dyDescent="0.15">
      <c r="A79" s="1"/>
      <c r="B79" s="1" t="s">
        <v>152</v>
      </c>
      <c r="C79" s="1" t="s">
        <v>148</v>
      </c>
      <c r="D79" s="1" t="s">
        <v>119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>
        <v>5</v>
      </c>
      <c r="R79" s="28"/>
      <c r="S79" s="28"/>
      <c r="T79" s="28">
        <v>5</v>
      </c>
      <c r="U79" s="28"/>
      <c r="V79" s="28"/>
      <c r="W79" s="28">
        <v>5</v>
      </c>
      <c r="X79" s="28"/>
      <c r="Y79" s="28"/>
      <c r="Z79" s="28">
        <v>5</v>
      </c>
      <c r="AA79" s="28"/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20</v>
      </c>
      <c r="BQ79" s="1">
        <v>11</v>
      </c>
      <c r="BR79" s="17">
        <v>3</v>
      </c>
      <c r="BS79" s="17" t="s">
        <v>265</v>
      </c>
      <c r="BT79" s="1" t="str">
        <f>IF(AQ79&gt;AQ$126, AQ79-AQ$126,"")</f>
        <v/>
      </c>
      <c r="BU79" s="1" t="str">
        <f>IF(AR79&gt;AR$126, AR79-AR$126,"")</f>
        <v/>
      </c>
      <c r="BV79" s="1" t="str">
        <f>IF(AS79&gt;AS$126, AS79-AS$126,"")</f>
        <v/>
      </c>
      <c r="BW79" s="1" t="str">
        <f>IF(AT79&gt;AT$126, AT79-AT$126,"")</f>
        <v/>
      </c>
      <c r="BX79" s="1" t="str">
        <f>IF(AU79&gt;AU$126, AU79-AU$126,"")</f>
        <v/>
      </c>
      <c r="BY79" s="1" t="str">
        <f>IF(AV79&gt;AV$126, AV79-AV$126,"")</f>
        <v/>
      </c>
      <c r="BZ79" s="1" t="str">
        <f>IF(AW79&gt;AW$126, AW79-AW$126,"")</f>
        <v/>
      </c>
      <c r="CA79" s="1" t="str">
        <f>IF(AX79&gt;AX$126, AX79-AX$126,"")</f>
        <v/>
      </c>
      <c r="CB79" s="1" t="str">
        <f>IF(AY79&gt;AY$126, AY79-AY$126,"")</f>
        <v/>
      </c>
      <c r="CC79" s="1" t="str">
        <f>IF(AZ79&gt;AZ$126, AZ79-AZ$126,"")</f>
        <v/>
      </c>
      <c r="CD79" s="1" t="str">
        <f>IF(BA79&gt;BA$126, BA79-BA$126,"")</f>
        <v/>
      </c>
      <c r="CE79" s="1" t="str">
        <f>IF(BB79&gt;BB$126, BB79-BB$126,"")</f>
        <v/>
      </c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3"/>
    </row>
    <row r="80" spans="1:97" ht="40.5" x14ac:dyDescent="0.15">
      <c r="A80" s="1"/>
      <c r="B80" s="1" t="s">
        <v>153</v>
      </c>
      <c r="C80" s="1" t="s">
        <v>148</v>
      </c>
      <c r="D80" s="1" t="s">
        <v>121</v>
      </c>
      <c r="E80" s="6"/>
      <c r="F80" s="6"/>
      <c r="G80" s="6">
        <v>5</v>
      </c>
      <c r="H80" s="6"/>
      <c r="I80" s="6"/>
      <c r="J80" s="6"/>
      <c r="K80" s="6"/>
      <c r="L80" s="6"/>
      <c r="M80" s="6"/>
      <c r="N80" s="6"/>
      <c r="O80" s="6"/>
      <c r="P80" s="28"/>
      <c r="Q80" s="28"/>
      <c r="R80" s="28"/>
      <c r="S80" s="28"/>
      <c r="T80" s="28"/>
      <c r="U80" s="28"/>
      <c r="V80" s="28">
        <v>5</v>
      </c>
      <c r="W80" s="28"/>
      <c r="X80" s="28"/>
      <c r="Y80" s="28">
        <v>5</v>
      </c>
      <c r="Z80" s="28"/>
      <c r="AA80" s="28"/>
      <c r="AB80" s="28"/>
      <c r="AC80" s="28">
        <v>5</v>
      </c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20</v>
      </c>
      <c r="BQ80" s="1">
        <v>11</v>
      </c>
      <c r="BR80" s="17">
        <v>3</v>
      </c>
      <c r="BS80" s="17" t="s">
        <v>266</v>
      </c>
      <c r="BT80" s="1" t="str">
        <f>IF(AQ80&gt;AQ$126, AQ80-AQ$126,"")</f>
        <v/>
      </c>
      <c r="BU80" s="1" t="str">
        <f>IF(AR80&gt;AR$126, AR80-AR$126,"")</f>
        <v/>
      </c>
      <c r="BV80" s="1" t="str">
        <f>IF(AS80&gt;AS$126, AS80-AS$126,"")</f>
        <v/>
      </c>
      <c r="BW80" s="1" t="str">
        <f>IF(AT80&gt;AT$126, AT80-AT$126,"")</f>
        <v/>
      </c>
      <c r="BX80" s="1" t="str">
        <f>IF(AU80&gt;AU$126, AU80-AU$126,"")</f>
        <v/>
      </c>
      <c r="BY80" s="1" t="str">
        <f>IF(AV80&gt;AV$126, AV80-AV$126,"")</f>
        <v/>
      </c>
      <c r="BZ80" s="1" t="str">
        <f>IF(AW80&gt;AW$126, AW80-AW$126,"")</f>
        <v/>
      </c>
      <c r="CA80" s="1" t="str">
        <f>IF(AX80&gt;AX$126, AX80-AX$126,"")</f>
        <v/>
      </c>
      <c r="CB80" s="1" t="str">
        <f>IF(AY80&gt;AY$126, AY80-AY$126,"")</f>
        <v/>
      </c>
      <c r="CC80" s="1" t="str">
        <f>IF(AZ80&gt;AZ$126, AZ80-AZ$126,"")</f>
        <v/>
      </c>
      <c r="CD80" s="1" t="str">
        <f>IF(BA80&gt;BA$126, BA80-BA$126,"")</f>
        <v/>
      </c>
      <c r="CE80" s="1" t="str">
        <f>IF(BB80&gt;BB$126, BB80-BB$126,"")</f>
        <v/>
      </c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3"/>
    </row>
    <row r="81" spans="1:97" ht="40.5" x14ac:dyDescent="0.15">
      <c r="A81" s="1"/>
      <c r="B81" s="1" t="s">
        <v>143</v>
      </c>
      <c r="C81" s="1" t="s">
        <v>141</v>
      </c>
      <c r="D81" s="1" t="s">
        <v>121</v>
      </c>
      <c r="E81" s="6"/>
      <c r="F81" s="6"/>
      <c r="G81" s="6"/>
      <c r="H81" s="6"/>
      <c r="I81" s="6">
        <v>7</v>
      </c>
      <c r="J81" s="6"/>
      <c r="K81" s="6"/>
      <c r="L81" s="6"/>
      <c r="M81" s="6"/>
      <c r="N81" s="6"/>
      <c r="O81" s="6"/>
      <c r="P81" s="28"/>
      <c r="Q81" s="28">
        <v>7</v>
      </c>
      <c r="R81" s="28">
        <v>7</v>
      </c>
      <c r="S81" s="28"/>
      <c r="T81" s="28">
        <v>7</v>
      </c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28</v>
      </c>
      <c r="BQ81" s="1">
        <v>13</v>
      </c>
      <c r="BR81" s="17">
        <v>3</v>
      </c>
      <c r="BS81" s="17" t="s">
        <v>267</v>
      </c>
      <c r="BT81" s="1" t="str">
        <f>IF(AQ81&gt;AQ$126, AQ81-AQ$126,"")</f>
        <v/>
      </c>
      <c r="BU81" s="1" t="str">
        <f>IF(AR81&gt;AR$126, AR81-AR$126,"")</f>
        <v/>
      </c>
      <c r="BV81" s="1" t="str">
        <f>IF(AS81&gt;AS$126, AS81-AS$126,"")</f>
        <v/>
      </c>
      <c r="BW81" s="1" t="str">
        <f>IF(AT81&gt;AT$126, AT81-AT$126,"")</f>
        <v/>
      </c>
      <c r="BX81" s="1" t="str">
        <f>IF(AU81&gt;AU$126, AU81-AU$126,"")</f>
        <v/>
      </c>
      <c r="BY81" s="1" t="str">
        <f>IF(AV81&gt;AV$126, AV81-AV$126,"")</f>
        <v/>
      </c>
      <c r="BZ81" s="1" t="str">
        <f>IF(AW81&gt;AW$126, AW81-AW$126,"")</f>
        <v/>
      </c>
      <c r="CA81" s="1" t="str">
        <f>IF(AX81&gt;AX$126, AX81-AX$126,"")</f>
        <v/>
      </c>
      <c r="CB81" s="1" t="str">
        <f>IF(AY81&gt;AY$126, AY81-AY$126,"")</f>
        <v/>
      </c>
      <c r="CC81" s="1" t="str">
        <f>IF(AZ81&gt;AZ$126, AZ81-AZ$126,"")</f>
        <v/>
      </c>
      <c r="CD81" s="1" t="str">
        <f>IF(BA81&gt;BA$126, BA81-BA$126,"")</f>
        <v/>
      </c>
      <c r="CE81" s="1" t="str">
        <f>IF(BB81&gt;BB$126, BB81-BB$126,"")</f>
        <v/>
      </c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3"/>
    </row>
    <row r="82" spans="1:97" ht="40.5" x14ac:dyDescent="0.15">
      <c r="A82" s="1"/>
      <c r="B82" s="1" t="s">
        <v>181</v>
      </c>
      <c r="C82" s="1" t="s">
        <v>101</v>
      </c>
      <c r="D82" s="1" t="s">
        <v>103</v>
      </c>
      <c r="E82" s="6"/>
      <c r="F82" s="6"/>
      <c r="G82" s="6"/>
      <c r="H82" s="6">
        <v>6</v>
      </c>
      <c r="I82" s="6"/>
      <c r="J82" s="6"/>
      <c r="K82" s="6">
        <v>6</v>
      </c>
      <c r="L82" s="6"/>
      <c r="M82" s="6"/>
      <c r="N82" s="6"/>
      <c r="O82" s="6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>
        <v>10</v>
      </c>
      <c r="AR82" s="4"/>
      <c r="AS82" s="4"/>
      <c r="AT82" s="4"/>
      <c r="AU82" s="4"/>
      <c r="AV82" s="4"/>
      <c r="AW82" s="2">
        <v>10</v>
      </c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32</v>
      </c>
      <c r="BQ82" s="1">
        <v>13</v>
      </c>
      <c r="BR82" s="17">
        <v>3</v>
      </c>
      <c r="BS82" s="17" t="s">
        <v>268</v>
      </c>
      <c r="BT82" s="1" t="str">
        <f>IF(AQ82&gt;AQ$126, AQ82-AQ$126,"")</f>
        <v/>
      </c>
      <c r="BU82" s="1" t="str">
        <f>IF(AR82&gt;AR$126, AR82-AR$126,"")</f>
        <v/>
      </c>
      <c r="BV82" s="1" t="str">
        <f>IF(AS82&gt;AS$126, AS82-AS$126,"")</f>
        <v/>
      </c>
      <c r="BW82" s="1" t="str">
        <f>IF(AT82&gt;AT$126, AT82-AT$126,"")</f>
        <v/>
      </c>
      <c r="BX82" s="1" t="str">
        <f>IF(AU82&gt;AU$126, AU82-AU$126,"")</f>
        <v/>
      </c>
      <c r="BY82" s="1" t="str">
        <f>IF(AV82&gt;AV$126, AV82-AV$126,"")</f>
        <v/>
      </c>
      <c r="BZ82" s="1" t="str">
        <f>IF(AW82&gt;AW$126, AW82-AW$126,"")</f>
        <v/>
      </c>
      <c r="CA82" s="1" t="str">
        <f>IF(AX82&gt;AX$126, AX82-AX$126,"")</f>
        <v/>
      </c>
      <c r="CB82" s="1" t="str">
        <f>IF(AY82&gt;AY$126, AY82-AY$126,"")</f>
        <v/>
      </c>
      <c r="CC82" s="1" t="str">
        <f>IF(AZ82&gt;AZ$126, AZ82-AZ$126,"")</f>
        <v/>
      </c>
      <c r="CD82" s="1" t="str">
        <f>IF(BA82&gt;BA$126, BA82-BA$126,"")</f>
        <v/>
      </c>
      <c r="CE82" s="1" t="str">
        <f>IF(BB82&gt;BB$126, BB82-BB$126,"")</f>
        <v/>
      </c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3"/>
    </row>
    <row r="83" spans="1:97" ht="40.5" x14ac:dyDescent="0.15">
      <c r="A83" s="1"/>
      <c r="B83" s="1" t="s">
        <v>130</v>
      </c>
      <c r="C83" s="1" t="s">
        <v>118</v>
      </c>
      <c r="D83" s="1" t="s">
        <v>121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>
        <v>10</v>
      </c>
      <c r="P83" s="28"/>
      <c r="Q83" s="28"/>
      <c r="R83" s="28">
        <v>10</v>
      </c>
      <c r="S83" s="28"/>
      <c r="T83" s="28"/>
      <c r="U83" s="28"/>
      <c r="V83" s="28"/>
      <c r="W83" s="28"/>
      <c r="X83" s="28">
        <v>10</v>
      </c>
      <c r="Y83" s="28"/>
      <c r="Z83" s="28"/>
      <c r="AA83" s="28"/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>
        <v>10</v>
      </c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40</v>
      </c>
      <c r="BQ83" s="1">
        <v>13</v>
      </c>
      <c r="BR83" s="17">
        <v>3</v>
      </c>
      <c r="BS83" s="17" t="s">
        <v>271</v>
      </c>
      <c r="BT83" s="1" t="str">
        <f>IF(AQ83&gt;AQ$126, AQ83-AQ$126,"")</f>
        <v/>
      </c>
      <c r="BU83" s="1" t="str">
        <f>IF(AR83&gt;AR$126, AR83-AR$126,"")</f>
        <v/>
      </c>
      <c r="BV83" s="1" t="str">
        <f>IF(AS83&gt;AS$126, AS83-AS$126,"")</f>
        <v/>
      </c>
      <c r="BW83" s="1" t="str">
        <f>IF(AT83&gt;AT$126, AT83-AT$126,"")</f>
        <v/>
      </c>
      <c r="BX83" s="1" t="str">
        <f>IF(AU83&gt;AU$126, AU83-AU$126,"")</f>
        <v/>
      </c>
      <c r="BY83" s="1" t="str">
        <f>IF(AV83&gt;AV$126, AV83-AV$126,"")</f>
        <v/>
      </c>
      <c r="BZ83" s="1" t="str">
        <f>IF(AW83&gt;AW$126, AW83-AW$126,"")</f>
        <v/>
      </c>
      <c r="CA83" s="1" t="str">
        <f>IF(AX83&gt;AX$126, AX83-AX$126,"")</f>
        <v/>
      </c>
      <c r="CB83" s="1" t="str">
        <f>IF(AY83&gt;AY$126, AY83-AY$126,"")</f>
        <v/>
      </c>
      <c r="CC83" s="1" t="str">
        <f>IF(AZ83&gt;AZ$126, AZ83-AZ$126,"")</f>
        <v/>
      </c>
      <c r="CD83" s="1" t="str">
        <f>IF(BA83&gt;BA$126, BA83-BA$126,"")</f>
        <v/>
      </c>
      <c r="CE83" s="1" t="str">
        <f>IF(BB83&gt;BB$126, BB83-BB$126,"")</f>
        <v/>
      </c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3"/>
    </row>
    <row r="84" spans="1:97" ht="40.5" x14ac:dyDescent="0.15">
      <c r="A84" s="1">
        <v>28</v>
      </c>
      <c r="B84" s="1" t="s">
        <v>73</v>
      </c>
      <c r="C84" s="1" t="s">
        <v>30</v>
      </c>
      <c r="D84" s="1" t="s">
        <v>1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1"/>
      <c r="AF84" s="1"/>
      <c r="AG84" s="1"/>
      <c r="AH84" s="1">
        <v>5</v>
      </c>
      <c r="AI84" s="1">
        <v>5</v>
      </c>
      <c r="AJ84" s="1">
        <v>5</v>
      </c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15</v>
      </c>
      <c r="BQ84" s="1">
        <v>15</v>
      </c>
      <c r="BR84" s="17">
        <v>3</v>
      </c>
      <c r="BS84" s="17" t="s">
        <v>269</v>
      </c>
      <c r="BT84" s="1" t="str">
        <f>IF(AQ84&gt;AQ$126, AQ84-AQ$126,"")</f>
        <v/>
      </c>
      <c r="BU84" s="1" t="str">
        <f>IF(AR84&gt;AR$126, AR84-AR$126,"")</f>
        <v/>
      </c>
      <c r="BV84" s="1" t="str">
        <f>IF(AS84&gt;AS$126, AS84-AS$126,"")</f>
        <v/>
      </c>
      <c r="BW84" s="1" t="str">
        <f>IF(AT84&gt;AT$126, AT84-AT$126,"")</f>
        <v/>
      </c>
      <c r="BX84" s="1" t="str">
        <f>IF(AU84&gt;AU$126, AU84-AU$126,"")</f>
        <v/>
      </c>
      <c r="BY84" s="1" t="str">
        <f>IF(AV84&gt;AV$126, AV84-AV$126,"")</f>
        <v/>
      </c>
      <c r="BZ84" s="1" t="str">
        <f>IF(AW84&gt;AW$126, AW84-AW$126,"")</f>
        <v/>
      </c>
      <c r="CA84" s="1" t="str">
        <f>IF(AX84&gt;AX$126, AX84-AX$126,"")</f>
        <v/>
      </c>
      <c r="CB84" s="1" t="str">
        <f>IF(AY84&gt;AY$126, AY84-AY$126,"")</f>
        <v/>
      </c>
      <c r="CC84" s="1" t="str">
        <f>IF(AZ84&gt;AZ$126, AZ84-AZ$126,"")</f>
        <v/>
      </c>
      <c r="CD84" s="1" t="str">
        <f>IF(BA84&gt;BA$126, BA84-BA$126,"")</f>
        <v/>
      </c>
      <c r="CE84" s="1" t="str">
        <f>IF(BB84&gt;BB$126, BB84-BB$126,"")</f>
        <v/>
      </c>
      <c r="CF84" s="1">
        <f>COUNTIF(BT84:CE84, "&gt;0")</f>
        <v>0</v>
      </c>
      <c r="CG84" s="1" t="str">
        <f>IF($CF84=1,BT84,"")</f>
        <v/>
      </c>
      <c r="CH84" s="1" t="str">
        <f>IF($CF84=1,BU84,"")</f>
        <v/>
      </c>
      <c r="CI84" s="1" t="str">
        <f>IF($CF84=1,BV84,"")</f>
        <v/>
      </c>
      <c r="CJ84" s="1" t="str">
        <f>IF($CF84=1,BW84,"")</f>
        <v/>
      </c>
      <c r="CK84" s="1" t="str">
        <f>IF($CF84=1,BX84,"")</f>
        <v/>
      </c>
      <c r="CL84" s="1" t="str">
        <f>IF($CF84=1,BY84,"")</f>
        <v/>
      </c>
      <c r="CM84" s="1" t="str">
        <f>IF($CF84=1,BZ84,"")</f>
        <v/>
      </c>
      <c r="CN84" s="1" t="str">
        <f>IF($CF84=1,CA84,"")</f>
        <v/>
      </c>
      <c r="CO84" s="1" t="str">
        <f>IF($CF84=1,CB84,"")</f>
        <v/>
      </c>
      <c r="CP84" s="1" t="str">
        <f>IF($CF84=1,CC84,"")</f>
        <v/>
      </c>
      <c r="CQ84" s="1" t="str">
        <f>IF($CF84=1,CD84,"")</f>
        <v/>
      </c>
      <c r="CR84" s="1" t="str">
        <f>IF($CF84=1,CE84,"")</f>
        <v/>
      </c>
      <c r="CS84" s="3">
        <f>SUM(AE84:BO84)</f>
        <v>15</v>
      </c>
    </row>
    <row r="85" spans="1:97" ht="40.5" x14ac:dyDescent="0.15">
      <c r="A85" s="1">
        <v>89</v>
      </c>
      <c r="B85" s="3" t="s">
        <v>78</v>
      </c>
      <c r="C85" s="3" t="s">
        <v>79</v>
      </c>
      <c r="D85" s="1" t="s">
        <v>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1"/>
      <c r="AF85" s="1">
        <v>5</v>
      </c>
      <c r="AG85" s="1"/>
      <c r="AH85" s="1">
        <v>5</v>
      </c>
      <c r="AI85" s="1">
        <v>5</v>
      </c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15</v>
      </c>
      <c r="BQ85" s="1">
        <v>15</v>
      </c>
      <c r="BR85" s="17">
        <v>3</v>
      </c>
      <c r="BS85" s="17" t="s">
        <v>270</v>
      </c>
      <c r="BT85" s="1" t="str">
        <f>IF(AQ85&gt;AQ$126, AQ85-AQ$126,"")</f>
        <v/>
      </c>
      <c r="BU85" s="1" t="str">
        <f>IF(AR85&gt;AR$126, AR85-AR$126,"")</f>
        <v/>
      </c>
      <c r="BV85" s="1" t="str">
        <f>IF(AS85&gt;AS$126, AS85-AS$126,"")</f>
        <v/>
      </c>
      <c r="BW85" s="1" t="str">
        <f>IF(AT85&gt;AT$126, AT85-AT$126,"")</f>
        <v/>
      </c>
      <c r="BX85" s="1" t="str">
        <f>IF(AU85&gt;AU$126, AU85-AU$126,"")</f>
        <v/>
      </c>
      <c r="BY85" s="1" t="str">
        <f>IF(AV85&gt;AV$126, AV85-AV$126,"")</f>
        <v/>
      </c>
      <c r="BZ85" s="1" t="str">
        <f>IF(AW85&gt;AW$126, AW85-AW$126,"")</f>
        <v/>
      </c>
      <c r="CA85" s="1" t="str">
        <f>IF(AX85&gt;AX$126, AX85-AX$126,"")</f>
        <v/>
      </c>
      <c r="CB85" s="1" t="str">
        <f>IF(AY85&gt;AY$126, AY85-AY$126,"")</f>
        <v/>
      </c>
      <c r="CC85" s="1" t="str">
        <f>IF(AZ85&gt;AZ$126, AZ85-AZ$126,"")</f>
        <v/>
      </c>
      <c r="CD85" s="1" t="str">
        <f>IF(BA85&gt;BA$126, BA85-BA$126,"")</f>
        <v/>
      </c>
      <c r="CE85" s="1" t="str">
        <f>IF(BB85&gt;BB$126, BB85-BB$126,"")</f>
        <v/>
      </c>
      <c r="CF85" s="1">
        <f>COUNTIF(BT85:CE85, "&gt;0")</f>
        <v>0</v>
      </c>
      <c r="CG85" s="1" t="str">
        <f>IF($CF85=1,BT85,"")</f>
        <v/>
      </c>
      <c r="CH85" s="1" t="str">
        <f>IF($CF85=1,BU85,"")</f>
        <v/>
      </c>
      <c r="CI85" s="1" t="str">
        <f>IF($CF85=1,BV85,"")</f>
        <v/>
      </c>
      <c r="CJ85" s="1" t="str">
        <f>IF($CF85=1,BW85,"")</f>
        <v/>
      </c>
      <c r="CK85" s="1" t="str">
        <f>IF($CF85=1,BX85,"")</f>
        <v/>
      </c>
      <c r="CL85" s="1" t="str">
        <f>IF($CF85=1,BY85,"")</f>
        <v/>
      </c>
      <c r="CM85" s="1" t="str">
        <f>IF($CF85=1,BZ85,"")</f>
        <v/>
      </c>
      <c r="CN85" s="1" t="str">
        <f>IF($CF85=1,CA85,"")</f>
        <v/>
      </c>
      <c r="CO85" s="1" t="str">
        <f>IF($CF85=1,CB85,"")</f>
        <v/>
      </c>
      <c r="CP85" s="1" t="str">
        <f>IF($CF85=1,CC85,"")</f>
        <v/>
      </c>
      <c r="CQ85" s="1" t="str">
        <f>IF($CF85=1,CD85,"")</f>
        <v/>
      </c>
      <c r="CR85" s="1" t="str">
        <f>IF($CF85=1,CE85,"")</f>
        <v/>
      </c>
      <c r="CS85" s="3">
        <f>SUM(AE85:BO85)</f>
        <v>15</v>
      </c>
    </row>
    <row r="86" spans="1:97" ht="40.5" x14ac:dyDescent="0.15">
      <c r="A86" s="1"/>
      <c r="B86" s="1" t="s">
        <v>161</v>
      </c>
      <c r="C86" s="1" t="s">
        <v>118</v>
      </c>
      <c r="D86" s="1" t="s">
        <v>121</v>
      </c>
      <c r="E86" s="6"/>
      <c r="F86" s="6"/>
      <c r="G86" s="6"/>
      <c r="H86" s="6"/>
      <c r="I86" s="6">
        <v>10</v>
      </c>
      <c r="J86" s="6"/>
      <c r="K86" s="6"/>
      <c r="L86" s="6"/>
      <c r="M86" s="6"/>
      <c r="N86" s="6"/>
      <c r="O86" s="6"/>
      <c r="P86" s="28"/>
      <c r="Q86" s="28"/>
      <c r="R86" s="28">
        <v>10</v>
      </c>
      <c r="S86" s="28"/>
      <c r="T86" s="28"/>
      <c r="U86" s="28"/>
      <c r="V86" s="28"/>
      <c r="W86" s="28"/>
      <c r="X86" s="28">
        <v>10</v>
      </c>
      <c r="Y86" s="28"/>
      <c r="Z86" s="28"/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>
        <v>10</v>
      </c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40</v>
      </c>
      <c r="BQ86" s="1">
        <v>16</v>
      </c>
      <c r="BR86" s="17">
        <v>3</v>
      </c>
      <c r="BS86" s="17" t="s">
        <v>272</v>
      </c>
      <c r="BT86" s="1" t="str">
        <f>IF(AQ86&gt;AQ$126, AQ86-AQ$126,"")</f>
        <v/>
      </c>
      <c r="BU86" s="1" t="str">
        <f>IF(AR86&gt;AR$126, AR86-AR$126,"")</f>
        <v/>
      </c>
      <c r="BV86" s="1" t="str">
        <f>IF(AS86&gt;AS$126, AS86-AS$126,"")</f>
        <v/>
      </c>
      <c r="BW86" s="1" t="str">
        <f>IF(AT86&gt;AT$126, AT86-AT$126,"")</f>
        <v/>
      </c>
      <c r="BX86" s="1" t="str">
        <f>IF(AU86&gt;AU$126, AU86-AU$126,"")</f>
        <v/>
      </c>
      <c r="BY86" s="1" t="str">
        <f>IF(AV86&gt;AV$126, AV86-AV$126,"")</f>
        <v/>
      </c>
      <c r="BZ86" s="1" t="str">
        <f>IF(AW86&gt;AW$126, AW86-AW$126,"")</f>
        <v/>
      </c>
      <c r="CA86" s="1" t="str">
        <f>IF(AX86&gt;AX$126, AX86-AX$126,"")</f>
        <v/>
      </c>
      <c r="CB86" s="1" t="str">
        <f>IF(AY86&gt;AY$126, AY86-AY$126,"")</f>
        <v/>
      </c>
      <c r="CC86" s="1" t="str">
        <f>IF(AZ86&gt;AZ$126, AZ86-AZ$126,"")</f>
        <v/>
      </c>
      <c r="CD86" s="1" t="str">
        <f>IF(BA86&gt;BA$126, BA86-BA$126,"")</f>
        <v/>
      </c>
      <c r="CE86" s="1" t="str">
        <f>IF(BB86&gt;BB$126, BB86-BB$126,"")</f>
        <v/>
      </c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3"/>
    </row>
    <row r="87" spans="1:97" ht="40.5" x14ac:dyDescent="0.15">
      <c r="A87" s="1"/>
      <c r="B87" s="1" t="s">
        <v>136</v>
      </c>
      <c r="C87" s="1" t="s">
        <v>137</v>
      </c>
      <c r="D87" s="1" t="s">
        <v>121</v>
      </c>
      <c r="E87" s="6">
        <v>10</v>
      </c>
      <c r="F87" s="6"/>
      <c r="G87" s="6"/>
      <c r="H87" s="6"/>
      <c r="I87" s="6"/>
      <c r="J87" s="6"/>
      <c r="K87" s="6"/>
      <c r="L87" s="6"/>
      <c r="M87" s="6"/>
      <c r="N87" s="6"/>
      <c r="O87" s="6"/>
      <c r="P87" s="28"/>
      <c r="Q87" s="28"/>
      <c r="R87" s="28">
        <v>10</v>
      </c>
      <c r="S87" s="28"/>
      <c r="T87" s="28"/>
      <c r="U87" s="28">
        <v>10</v>
      </c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>
        <v>10</v>
      </c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40</v>
      </c>
      <c r="BQ87" s="1">
        <v>20</v>
      </c>
      <c r="BR87" s="17">
        <v>3</v>
      </c>
      <c r="BS87" s="17" t="s">
        <v>273</v>
      </c>
      <c r="BT87" s="1" t="str">
        <f>IF(AQ87&gt;AQ$126, AQ87-AQ$126,"")</f>
        <v/>
      </c>
      <c r="BU87" s="1" t="str">
        <f>IF(AR87&gt;AR$126, AR87-AR$126,"")</f>
        <v/>
      </c>
      <c r="BV87" s="1" t="str">
        <f>IF(AS87&gt;AS$126, AS87-AS$126,"")</f>
        <v/>
      </c>
      <c r="BW87" s="1" t="str">
        <f>IF(AT87&gt;AT$126, AT87-AT$126,"")</f>
        <v/>
      </c>
      <c r="BX87" s="1" t="str">
        <f>IF(AU87&gt;AU$126, AU87-AU$126,"")</f>
        <v/>
      </c>
      <c r="BY87" s="1" t="str">
        <f>IF(AV87&gt;AV$126, AV87-AV$126,"")</f>
        <v/>
      </c>
      <c r="BZ87" s="1" t="str">
        <f>IF(AW87&gt;AW$126, AW87-AW$126,"")</f>
        <v/>
      </c>
      <c r="CA87" s="1" t="str">
        <f>IF(AX87&gt;AX$126, AX87-AX$126,"")</f>
        <v/>
      </c>
      <c r="CB87" s="1" t="str">
        <f>IF(AY87&gt;AY$126, AY87-AY$126,"")</f>
        <v/>
      </c>
      <c r="CC87" s="1" t="str">
        <f>IF(AZ87&gt;AZ$126, AZ87-AZ$126,"")</f>
        <v/>
      </c>
      <c r="CD87" s="1" t="str">
        <f>IF(BA87&gt;BA$126, BA87-BA$126,"")</f>
        <v/>
      </c>
      <c r="CE87" s="1" t="str">
        <f>IF(BB87&gt;BB$126, BB87-BB$126,"")</f>
        <v/>
      </c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3"/>
    </row>
    <row r="88" spans="1:97" ht="40.5" x14ac:dyDescent="0.15">
      <c r="A88" s="1"/>
      <c r="B88" s="1" t="s">
        <v>142</v>
      </c>
      <c r="C88" s="1" t="s">
        <v>141</v>
      </c>
      <c r="D88" s="1" t="s">
        <v>121</v>
      </c>
      <c r="E88" s="6">
        <v>10</v>
      </c>
      <c r="F88" s="6"/>
      <c r="G88" s="6"/>
      <c r="H88" s="6"/>
      <c r="I88" s="6"/>
      <c r="J88" s="6"/>
      <c r="K88" s="6"/>
      <c r="L88" s="6"/>
      <c r="M88" s="6"/>
      <c r="N88" s="6"/>
      <c r="O88" s="6"/>
      <c r="P88" s="28"/>
      <c r="Q88" s="28"/>
      <c r="R88" s="28">
        <v>10</v>
      </c>
      <c r="S88" s="28"/>
      <c r="T88" s="28"/>
      <c r="U88" s="28">
        <v>10</v>
      </c>
      <c r="V88" s="28"/>
      <c r="W88" s="28"/>
      <c r="X88" s="28"/>
      <c r="Y88" s="28"/>
      <c r="Z88" s="28"/>
      <c r="AA88" s="28"/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>
        <v>10</v>
      </c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40</v>
      </c>
      <c r="BQ88" s="1">
        <v>20</v>
      </c>
      <c r="BR88" s="17">
        <v>3</v>
      </c>
      <c r="BS88" s="17" t="s">
        <v>274</v>
      </c>
      <c r="BT88" s="1" t="str">
        <f>IF(AQ88&gt;AQ$126, AQ88-AQ$126,"")</f>
        <v/>
      </c>
      <c r="BU88" s="1" t="str">
        <f>IF(AR88&gt;AR$126, AR88-AR$126,"")</f>
        <v/>
      </c>
      <c r="BV88" s="1" t="str">
        <f>IF(AS88&gt;AS$126, AS88-AS$126,"")</f>
        <v/>
      </c>
      <c r="BW88" s="1" t="str">
        <f>IF(AT88&gt;AT$126, AT88-AT$126,"")</f>
        <v/>
      </c>
      <c r="BX88" s="1" t="str">
        <f>IF(AU88&gt;AU$126, AU88-AU$126,"")</f>
        <v/>
      </c>
      <c r="BY88" s="1" t="str">
        <f>IF(AV88&gt;AV$126, AV88-AV$126,"")</f>
        <v/>
      </c>
      <c r="BZ88" s="1" t="str">
        <f>IF(AW88&gt;AW$126, AW88-AW$126,"")</f>
        <v/>
      </c>
      <c r="CA88" s="1" t="str">
        <f>IF(AX88&gt;AX$126, AX88-AX$126,"")</f>
        <v/>
      </c>
      <c r="CB88" s="1" t="str">
        <f>IF(AY88&gt;AY$126, AY88-AY$126,"")</f>
        <v/>
      </c>
      <c r="CC88" s="1" t="str">
        <f>IF(AZ88&gt;AZ$126, AZ88-AZ$126,"")</f>
        <v/>
      </c>
      <c r="CD88" s="1" t="str">
        <f>IF(BA88&gt;BA$126, BA88-BA$126,"")</f>
        <v/>
      </c>
      <c r="CE88" s="1" t="str">
        <f>IF(BB88&gt;BB$126, BB88-BB$126,"")</f>
        <v/>
      </c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3"/>
    </row>
    <row r="89" spans="1:97" ht="40.5" x14ac:dyDescent="0.15">
      <c r="A89" s="1"/>
      <c r="B89" s="1" t="s">
        <v>152</v>
      </c>
      <c r="C89" s="1" t="s">
        <v>148</v>
      </c>
      <c r="D89" s="1" t="s">
        <v>121</v>
      </c>
      <c r="E89" s="6">
        <v>10</v>
      </c>
      <c r="F89" s="6"/>
      <c r="G89" s="6"/>
      <c r="H89" s="6"/>
      <c r="I89" s="6"/>
      <c r="J89" s="6"/>
      <c r="K89" s="6"/>
      <c r="L89" s="6"/>
      <c r="M89" s="6"/>
      <c r="N89" s="6"/>
      <c r="O89" s="6"/>
      <c r="P89" s="28"/>
      <c r="Q89" s="28"/>
      <c r="R89" s="28">
        <v>10</v>
      </c>
      <c r="S89" s="28"/>
      <c r="T89" s="28"/>
      <c r="U89" s="28">
        <v>10</v>
      </c>
      <c r="V89" s="28"/>
      <c r="W89" s="28"/>
      <c r="X89" s="28"/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>
        <v>10</v>
      </c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40</v>
      </c>
      <c r="BQ89" s="1">
        <v>20</v>
      </c>
      <c r="BR89" s="17">
        <v>3</v>
      </c>
      <c r="BS89" s="17" t="s">
        <v>274</v>
      </c>
      <c r="BT89" s="1" t="str">
        <f>IF(AQ89&gt;AQ$126, AQ89-AQ$126,"")</f>
        <v/>
      </c>
      <c r="BU89" s="1" t="str">
        <f>IF(AR89&gt;AR$126, AR89-AR$126,"")</f>
        <v/>
      </c>
      <c r="BV89" s="1" t="str">
        <f>IF(AS89&gt;AS$126, AS89-AS$126,"")</f>
        <v/>
      </c>
      <c r="BW89" s="1" t="str">
        <f>IF(AT89&gt;AT$126, AT89-AT$126,"")</f>
        <v/>
      </c>
      <c r="BX89" s="1" t="str">
        <f>IF(AU89&gt;AU$126, AU89-AU$126,"")</f>
        <v/>
      </c>
      <c r="BY89" s="1" t="str">
        <f>IF(AV89&gt;AV$126, AV89-AV$126,"")</f>
        <v/>
      </c>
      <c r="BZ89" s="1" t="str">
        <f>IF(AW89&gt;AW$126, AW89-AW$126,"")</f>
        <v/>
      </c>
      <c r="CA89" s="1" t="str">
        <f>IF(AX89&gt;AX$126, AX89-AX$126,"")</f>
        <v/>
      </c>
      <c r="CB89" s="1" t="str">
        <f>IF(AY89&gt;AY$126, AY89-AY$126,"")</f>
        <v/>
      </c>
      <c r="CC89" s="1" t="str">
        <f>IF(AZ89&gt;AZ$126, AZ89-AZ$126,"")</f>
        <v/>
      </c>
      <c r="CD89" s="1" t="str">
        <f>IF(BA89&gt;BA$126, BA89-BA$126,"")</f>
        <v/>
      </c>
      <c r="CE89" s="1" t="str">
        <f>IF(BB89&gt;BB$126, BB89-BB$126,"")</f>
        <v/>
      </c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3"/>
    </row>
    <row r="90" spans="1:97" ht="40.5" x14ac:dyDescent="0.15">
      <c r="A90" s="1"/>
      <c r="B90" s="1" t="s">
        <v>144</v>
      </c>
      <c r="C90" s="1" t="s">
        <v>146</v>
      </c>
      <c r="D90" s="1" t="s">
        <v>121</v>
      </c>
      <c r="E90" s="6"/>
      <c r="F90" s="6"/>
      <c r="G90" s="6"/>
      <c r="H90" s="6"/>
      <c r="I90" s="6"/>
      <c r="J90" s="6">
        <v>10</v>
      </c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>
        <v>10</v>
      </c>
      <c r="V90" s="28"/>
      <c r="W90" s="28"/>
      <c r="X90" s="28"/>
      <c r="Y90" s="28"/>
      <c r="Z90" s="28"/>
      <c r="AA90" s="28">
        <v>10</v>
      </c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>
        <v>10</v>
      </c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40</v>
      </c>
      <c r="BQ90" s="1">
        <v>24</v>
      </c>
      <c r="BR90" s="17">
        <v>3</v>
      </c>
      <c r="BS90" s="17" t="s">
        <v>276</v>
      </c>
      <c r="BT90" s="1" t="str">
        <f>IF(AQ90&gt;AQ$126, AQ90-AQ$126,"")</f>
        <v/>
      </c>
      <c r="BU90" s="1" t="str">
        <f>IF(AR90&gt;AR$126, AR90-AR$126,"")</f>
        <v/>
      </c>
      <c r="BV90" s="1" t="str">
        <f>IF(AS90&gt;AS$126, AS90-AS$126,"")</f>
        <v/>
      </c>
      <c r="BW90" s="1" t="str">
        <f>IF(AT90&gt;AT$126, AT90-AT$126,"")</f>
        <v/>
      </c>
      <c r="BX90" s="1" t="str">
        <f>IF(AU90&gt;AU$126, AU90-AU$126,"")</f>
        <v/>
      </c>
      <c r="BY90" s="1" t="str">
        <f>IF(AV90&gt;AV$126, AV90-AV$126,"")</f>
        <v/>
      </c>
      <c r="BZ90" s="1" t="str">
        <f>IF(AW90&gt;AW$126, AW90-AW$126,"")</f>
        <v/>
      </c>
      <c r="CA90" s="1" t="str">
        <f>IF(AX90&gt;AX$126, AX90-AX$126,"")</f>
        <v/>
      </c>
      <c r="CB90" s="1" t="str">
        <f>IF(AY90&gt;AY$126, AY90-AY$126,"")</f>
        <v/>
      </c>
      <c r="CC90" s="1" t="str">
        <f>IF(AZ90&gt;AZ$126, AZ90-AZ$126,"")</f>
        <v/>
      </c>
      <c r="CD90" s="1" t="str">
        <f>IF(BA90&gt;BA$126, BA90-BA$126,"")</f>
        <v/>
      </c>
      <c r="CE90" s="1" t="str">
        <f>IF(BB90&gt;BB$126, BB90-BB$126,"")</f>
        <v/>
      </c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3"/>
    </row>
    <row r="91" spans="1:97" ht="40.5" x14ac:dyDescent="0.15">
      <c r="A91" s="1"/>
      <c r="B91" s="1" t="s">
        <v>154</v>
      </c>
      <c r="C91" s="1" t="s">
        <v>148</v>
      </c>
      <c r="D91" s="1" t="s">
        <v>121</v>
      </c>
      <c r="E91" s="6"/>
      <c r="F91" s="6"/>
      <c r="G91" s="6"/>
      <c r="H91" s="6"/>
      <c r="I91" s="6"/>
      <c r="J91" s="6">
        <v>10</v>
      </c>
      <c r="K91" s="6"/>
      <c r="L91" s="6"/>
      <c r="M91" s="6"/>
      <c r="N91" s="6"/>
      <c r="O91" s="6"/>
      <c r="P91" s="28"/>
      <c r="Q91" s="28"/>
      <c r="R91" s="28"/>
      <c r="S91" s="28"/>
      <c r="T91" s="28"/>
      <c r="U91" s="28">
        <v>10</v>
      </c>
      <c r="V91" s="28"/>
      <c r="W91" s="28"/>
      <c r="X91" s="28"/>
      <c r="Y91" s="28"/>
      <c r="Z91" s="28"/>
      <c r="AA91" s="28">
        <v>10</v>
      </c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>
        <v>10</v>
      </c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40</v>
      </c>
      <c r="BQ91" s="1">
        <v>24</v>
      </c>
      <c r="BR91" s="17">
        <v>3</v>
      </c>
      <c r="BS91" s="17" t="s">
        <v>277</v>
      </c>
      <c r="BT91" s="1" t="str">
        <f>IF(AQ91&gt;AQ$126, AQ91-AQ$126,"")</f>
        <v/>
      </c>
      <c r="BU91" s="1" t="str">
        <f>IF(AR91&gt;AR$126, AR91-AR$126,"")</f>
        <v/>
      </c>
      <c r="BV91" s="1" t="str">
        <f>IF(AS91&gt;AS$126, AS91-AS$126,"")</f>
        <v/>
      </c>
      <c r="BW91" s="1" t="str">
        <f>IF(AT91&gt;AT$126, AT91-AT$126,"")</f>
        <v/>
      </c>
      <c r="BX91" s="1" t="str">
        <f>IF(AU91&gt;AU$126, AU91-AU$126,"")</f>
        <v/>
      </c>
      <c r="BY91" s="1" t="str">
        <f>IF(AV91&gt;AV$126, AV91-AV$126,"")</f>
        <v/>
      </c>
      <c r="BZ91" s="1" t="str">
        <f>IF(AW91&gt;AW$126, AW91-AW$126,"")</f>
        <v/>
      </c>
      <c r="CA91" s="1" t="str">
        <f>IF(AX91&gt;AX$126, AX91-AX$126,"")</f>
        <v/>
      </c>
      <c r="CB91" s="1" t="str">
        <f>IF(AY91&gt;AY$126, AY91-AY$126,"")</f>
        <v/>
      </c>
      <c r="CC91" s="1" t="str">
        <f>IF(AZ91&gt;AZ$126, AZ91-AZ$126,"")</f>
        <v/>
      </c>
      <c r="CD91" s="1" t="str">
        <f>IF(BA91&gt;BA$126, BA91-BA$126,"")</f>
        <v/>
      </c>
      <c r="CE91" s="1" t="str">
        <f>IF(BB91&gt;BB$126, BB91-BB$126,"")</f>
        <v/>
      </c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3"/>
    </row>
    <row r="92" spans="1:97" ht="40.5" x14ac:dyDescent="0.15">
      <c r="A92" s="1">
        <v>1</v>
      </c>
      <c r="B92" s="1" t="s">
        <v>0</v>
      </c>
      <c r="C92" s="1" t="s">
        <v>2</v>
      </c>
      <c r="D92" s="1" t="s">
        <v>1</v>
      </c>
      <c r="E92" s="6">
        <v>10</v>
      </c>
      <c r="F92" s="6">
        <v>10</v>
      </c>
      <c r="G92" s="6"/>
      <c r="H92" s="6"/>
      <c r="I92" s="6"/>
      <c r="J92" s="6"/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>
        <v>10</v>
      </c>
      <c r="AS92" s="4"/>
      <c r="AT92" s="4"/>
      <c r="AU92" s="4"/>
      <c r="AV92" s="4"/>
      <c r="AW92" s="2">
        <v>15</v>
      </c>
      <c r="AX92" s="2">
        <v>15</v>
      </c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60</v>
      </c>
      <c r="BQ92" s="1">
        <v>28</v>
      </c>
      <c r="BR92" s="17">
        <v>3</v>
      </c>
      <c r="BS92" s="17" t="s">
        <v>275</v>
      </c>
      <c r="BT92" s="1" t="str">
        <f>IF(AQ92&gt;AQ$126, AQ92-AQ$126,"")</f>
        <v/>
      </c>
      <c r="BU92" s="1" t="str">
        <f>IF(AR92&gt;AR$126, AR92-AR$126,"")</f>
        <v/>
      </c>
      <c r="BV92" s="1" t="str">
        <f>IF(AS92&gt;AS$126, AS92-AS$126,"")</f>
        <v/>
      </c>
      <c r="BW92" s="1" t="str">
        <f>IF(AT92&gt;AT$126, AT92-AT$126,"")</f>
        <v/>
      </c>
      <c r="BX92" s="1" t="str">
        <f>IF(AU92&gt;AU$126, AU92-AU$126,"")</f>
        <v/>
      </c>
      <c r="BY92" s="1" t="str">
        <f>IF(AV92&gt;AV$126, AV92-AV$126,"")</f>
        <v/>
      </c>
      <c r="BZ92" s="1" t="str">
        <f>IF(AW92&gt;AW$126, AW92-AW$126,"")</f>
        <v/>
      </c>
      <c r="CA92" s="1" t="str">
        <f>IF(AX92&gt;AX$126, AX92-AX$126,"")</f>
        <v/>
      </c>
      <c r="CB92" s="1" t="str">
        <f>IF(AY92&gt;AY$126, AY92-AY$126,"")</f>
        <v/>
      </c>
      <c r="CC92" s="1" t="str">
        <f>IF(AZ92&gt;AZ$126, AZ92-AZ$126,"")</f>
        <v/>
      </c>
      <c r="CD92" s="1" t="str">
        <f>IF(BA92&gt;BA$126, BA92-BA$126,"")</f>
        <v/>
      </c>
      <c r="CE92" s="1" t="str">
        <f>IF(BB92&gt;BB$126, BB92-BB$126,"")</f>
        <v/>
      </c>
      <c r="CF92" s="1">
        <f>COUNTIF(BT92:CE92, "&gt;0")</f>
        <v>0</v>
      </c>
      <c r="CG92" s="1" t="str">
        <f>IF($CF92=1,BT92,"")</f>
        <v/>
      </c>
      <c r="CH92" s="1" t="str">
        <f>IF($CF92=1,BU92,"")</f>
        <v/>
      </c>
      <c r="CI92" s="1" t="str">
        <f>IF($CF92=1,BV92,"")</f>
        <v/>
      </c>
      <c r="CJ92" s="1" t="str">
        <f>IF($CF92=1,BW92,"")</f>
        <v/>
      </c>
      <c r="CK92" s="1" t="str">
        <f>IF($CF92=1,BX92,"")</f>
        <v/>
      </c>
      <c r="CL92" s="1" t="str">
        <f>IF($CF92=1,BY92,"")</f>
        <v/>
      </c>
      <c r="CM92" s="1" t="str">
        <f>IF($CF92=1,BZ92,"")</f>
        <v/>
      </c>
      <c r="CN92" s="1" t="str">
        <f>IF($CF92=1,CA92,"")</f>
        <v/>
      </c>
      <c r="CO92" s="1" t="str">
        <f>IF($CF92=1,CB92,"")</f>
        <v/>
      </c>
      <c r="CP92" s="1" t="str">
        <f>IF($CF92=1,CC92,"")</f>
        <v/>
      </c>
      <c r="CQ92" s="1" t="str">
        <f>IF($CF92=1,CD92,"")</f>
        <v/>
      </c>
      <c r="CR92" s="1" t="str">
        <f>IF($CF92=1,CE92,"")</f>
        <v/>
      </c>
      <c r="CS92" s="3">
        <f>SUM(AE92:BO92)</f>
        <v>40</v>
      </c>
    </row>
    <row r="93" spans="1:97" ht="40.5" x14ac:dyDescent="0.15">
      <c r="A93" s="1"/>
      <c r="B93" s="1" t="s">
        <v>176</v>
      </c>
      <c r="C93" s="1" t="s">
        <v>141</v>
      </c>
      <c r="D93" s="1" t="s">
        <v>120</v>
      </c>
      <c r="E93" s="6">
        <v>15</v>
      </c>
      <c r="F93" s="6"/>
      <c r="G93" s="6"/>
      <c r="H93" s="6"/>
      <c r="I93" s="6"/>
      <c r="J93" s="6"/>
      <c r="K93" s="6"/>
      <c r="L93" s="6"/>
      <c r="M93" s="6">
        <v>15</v>
      </c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>
        <v>15</v>
      </c>
      <c r="AX93" s="2"/>
      <c r="AY93" s="2"/>
      <c r="AZ93" s="2"/>
      <c r="BA93" s="2">
        <v>15</v>
      </c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60</v>
      </c>
      <c r="BQ93" s="1">
        <v>31</v>
      </c>
      <c r="BR93" s="17">
        <v>3</v>
      </c>
      <c r="BS93" s="17" t="s">
        <v>278</v>
      </c>
      <c r="BT93" s="1" t="str">
        <f>IF(AQ93&gt;AQ$126, AQ93-AQ$126,"")</f>
        <v/>
      </c>
      <c r="BU93" s="1" t="str">
        <f>IF(AR93&gt;AR$126, AR93-AR$126,"")</f>
        <v/>
      </c>
      <c r="BV93" s="1" t="str">
        <f>IF(AS93&gt;AS$126, AS93-AS$126,"")</f>
        <v/>
      </c>
      <c r="BW93" s="1" t="str">
        <f>IF(AT93&gt;AT$126, AT93-AT$126,"")</f>
        <v/>
      </c>
      <c r="BX93" s="1" t="str">
        <f>IF(AU93&gt;AU$126, AU93-AU$126,"")</f>
        <v/>
      </c>
      <c r="BY93" s="1" t="str">
        <f>IF(AV93&gt;AV$126, AV93-AV$126,"")</f>
        <v/>
      </c>
      <c r="BZ93" s="1" t="str">
        <f>IF(AW93&gt;AW$126, AW93-AW$126,"")</f>
        <v/>
      </c>
      <c r="CA93" s="1" t="str">
        <f>IF(AX93&gt;AX$126, AX93-AX$126,"")</f>
        <v/>
      </c>
      <c r="CB93" s="1" t="str">
        <f>IF(AY93&gt;AY$126, AY93-AY$126,"")</f>
        <v/>
      </c>
      <c r="CC93" s="1" t="str">
        <f>IF(AZ93&gt;AZ$126, AZ93-AZ$126,"")</f>
        <v/>
      </c>
      <c r="CD93" s="1" t="str">
        <f>IF(BA93&gt;BA$126, BA93-BA$126,"")</f>
        <v/>
      </c>
      <c r="CE93" s="1" t="str">
        <f>IF(BB93&gt;BB$126, BB93-BB$126,"")</f>
        <v/>
      </c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3"/>
    </row>
    <row r="94" spans="1:97" ht="27" x14ac:dyDescent="0.15">
      <c r="A94" s="1"/>
      <c r="B94" s="1" t="s">
        <v>159</v>
      </c>
      <c r="C94" s="1" t="s">
        <v>101</v>
      </c>
      <c r="D94" s="1" t="s">
        <v>103</v>
      </c>
      <c r="E94" s="6">
        <v>10</v>
      </c>
      <c r="F94" s="6"/>
      <c r="G94" s="6">
        <v>10</v>
      </c>
      <c r="H94" s="6"/>
      <c r="I94" s="6"/>
      <c r="J94" s="6"/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>
        <v>15</v>
      </c>
      <c r="AU94" s="4"/>
      <c r="AV94" s="4"/>
      <c r="AW94" s="2"/>
      <c r="AX94" s="2"/>
      <c r="AY94" s="2"/>
      <c r="AZ94" s="2">
        <v>15</v>
      </c>
      <c r="BA94" s="2">
        <v>15</v>
      </c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65</v>
      </c>
      <c r="BQ94" s="1">
        <v>31</v>
      </c>
      <c r="BR94" s="17">
        <v>3</v>
      </c>
      <c r="BS94" s="17" t="s">
        <v>279</v>
      </c>
      <c r="BT94" s="1" t="str">
        <f>IF(AQ94&gt;AQ$126, AQ94-AQ$126,"")</f>
        <v/>
      </c>
      <c r="BU94" s="1" t="str">
        <f>IF(AR94&gt;AR$126, AR94-AR$126,"")</f>
        <v/>
      </c>
      <c r="BV94" s="1" t="str">
        <f>IF(AS94&gt;AS$126, AS94-AS$126,"")</f>
        <v/>
      </c>
      <c r="BW94" s="1" t="str">
        <f>IF(AT94&gt;AT$126, AT94-AT$126,"")</f>
        <v/>
      </c>
      <c r="BX94" s="1" t="str">
        <f>IF(AU94&gt;AU$126, AU94-AU$126,"")</f>
        <v/>
      </c>
      <c r="BY94" s="1" t="str">
        <f>IF(AV94&gt;AV$126, AV94-AV$126,"")</f>
        <v/>
      </c>
      <c r="BZ94" s="1" t="str">
        <f>IF(AW94&gt;AW$126, AW94-AW$126,"")</f>
        <v/>
      </c>
      <c r="CA94" s="1" t="str">
        <f>IF(AX94&gt;AX$126, AX94-AX$126,"")</f>
        <v/>
      </c>
      <c r="CB94" s="1" t="str">
        <f>IF(AY94&gt;AY$126, AY94-AY$126,"")</f>
        <v/>
      </c>
      <c r="CC94" s="1" t="str">
        <f>IF(AZ94&gt;AZ$126, AZ94-AZ$126,"")</f>
        <v/>
      </c>
      <c r="CD94" s="1" t="str">
        <f>IF(BA94&gt;BA$126, BA94-BA$126,"")</f>
        <v/>
      </c>
      <c r="CE94" s="1" t="str">
        <f>IF(BB94&gt;BB$126, BB94-BB$126,"")</f>
        <v/>
      </c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3"/>
    </row>
    <row r="95" spans="1:97" ht="54" x14ac:dyDescent="0.15">
      <c r="A95" s="1"/>
      <c r="B95" s="1" t="s">
        <v>139</v>
      </c>
      <c r="C95" s="1" t="s">
        <v>137</v>
      </c>
      <c r="D95" s="1" t="s">
        <v>121</v>
      </c>
      <c r="E95" s="6"/>
      <c r="F95" s="6"/>
      <c r="G95" s="6"/>
      <c r="H95" s="6">
        <v>7</v>
      </c>
      <c r="I95" s="6"/>
      <c r="J95" s="6"/>
      <c r="K95" s="6"/>
      <c r="L95" s="6"/>
      <c r="M95" s="6"/>
      <c r="N95" s="6"/>
      <c r="O95" s="6"/>
      <c r="P95" s="28"/>
      <c r="Q95" s="28">
        <v>7</v>
      </c>
      <c r="R95" s="28"/>
      <c r="S95" s="28"/>
      <c r="T95" s="28">
        <v>7</v>
      </c>
      <c r="U95" s="28"/>
      <c r="V95" s="28"/>
      <c r="W95" s="28"/>
      <c r="X95" s="28"/>
      <c r="Y95" s="28"/>
      <c r="Z95" s="28"/>
      <c r="AA95" s="28">
        <v>7</v>
      </c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28</v>
      </c>
      <c r="BQ95" s="1">
        <v>17</v>
      </c>
      <c r="BR95" s="17">
        <v>4</v>
      </c>
      <c r="BS95" s="17" t="s">
        <v>281</v>
      </c>
      <c r="BT95" s="1" t="str">
        <f>IF(AQ95&gt;AQ$126, AQ95-AQ$126,"")</f>
        <v/>
      </c>
      <c r="BU95" s="1" t="str">
        <f>IF(AR95&gt;AR$126, AR95-AR$126,"")</f>
        <v/>
      </c>
      <c r="BV95" s="1" t="str">
        <f>IF(AS95&gt;AS$126, AS95-AS$126,"")</f>
        <v/>
      </c>
      <c r="BW95" s="1" t="str">
        <f>IF(AT95&gt;AT$126, AT95-AT$126,"")</f>
        <v/>
      </c>
      <c r="BX95" s="1" t="str">
        <f>IF(AU95&gt;AU$126, AU95-AU$126,"")</f>
        <v/>
      </c>
      <c r="BY95" s="1" t="str">
        <f>IF(AV95&gt;AV$126, AV95-AV$126,"")</f>
        <v/>
      </c>
      <c r="BZ95" s="1" t="str">
        <f>IF(AW95&gt;AW$126, AW95-AW$126,"")</f>
        <v/>
      </c>
      <c r="CA95" s="1" t="str">
        <f>IF(AX95&gt;AX$126, AX95-AX$126,"")</f>
        <v/>
      </c>
      <c r="CB95" s="1" t="str">
        <f>IF(AY95&gt;AY$126, AY95-AY$126,"")</f>
        <v/>
      </c>
      <c r="CC95" s="1" t="str">
        <f>IF(AZ95&gt;AZ$126, AZ95-AZ$126,"")</f>
        <v/>
      </c>
      <c r="CD95" s="1" t="str">
        <f>IF(BA95&gt;BA$126, BA95-BA$126,"")</f>
        <v/>
      </c>
      <c r="CE95" s="1" t="str">
        <f>IF(BB95&gt;BB$126, BB95-BB$126,"")</f>
        <v/>
      </c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3"/>
    </row>
    <row r="96" spans="1:97" ht="54" x14ac:dyDescent="0.15">
      <c r="A96" s="1"/>
      <c r="B96" s="1" t="s">
        <v>150</v>
      </c>
      <c r="C96" s="1" t="s">
        <v>148</v>
      </c>
      <c r="D96" s="1" t="s">
        <v>120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28"/>
      <c r="Q96" s="28">
        <v>5</v>
      </c>
      <c r="R96" s="28"/>
      <c r="S96" s="28"/>
      <c r="T96" s="28"/>
      <c r="U96" s="28"/>
      <c r="V96" s="28">
        <v>10</v>
      </c>
      <c r="W96" s="28"/>
      <c r="X96" s="28"/>
      <c r="Y96" s="28"/>
      <c r="Z96" s="28">
        <v>5</v>
      </c>
      <c r="AA96" s="28"/>
      <c r="AB96" s="28">
        <v>10</v>
      </c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30</v>
      </c>
      <c r="BQ96" s="1">
        <v>18</v>
      </c>
      <c r="BR96" s="17">
        <v>4</v>
      </c>
      <c r="BS96" s="17" t="s">
        <v>282</v>
      </c>
      <c r="BT96" s="1" t="str">
        <f>IF(AQ96&gt;AQ$126, AQ96-AQ$126,"")</f>
        <v/>
      </c>
      <c r="BU96" s="1" t="str">
        <f>IF(AR96&gt;AR$126, AR96-AR$126,"")</f>
        <v/>
      </c>
      <c r="BV96" s="1" t="str">
        <f>IF(AS96&gt;AS$126, AS96-AS$126,"")</f>
        <v/>
      </c>
      <c r="BW96" s="1" t="str">
        <f>IF(AT96&gt;AT$126, AT96-AT$126,"")</f>
        <v/>
      </c>
      <c r="BX96" s="1" t="str">
        <f>IF(AU96&gt;AU$126, AU96-AU$126,"")</f>
        <v/>
      </c>
      <c r="BY96" s="1" t="str">
        <f>IF(AV96&gt;AV$126, AV96-AV$126,"")</f>
        <v/>
      </c>
      <c r="BZ96" s="1" t="str">
        <f>IF(AW96&gt;AW$126, AW96-AW$126,"")</f>
        <v/>
      </c>
      <c r="CA96" s="1" t="str">
        <f>IF(AX96&gt;AX$126, AX96-AX$126,"")</f>
        <v/>
      </c>
      <c r="CB96" s="1" t="str">
        <f>IF(AY96&gt;AY$126, AY96-AY$126,"")</f>
        <v/>
      </c>
      <c r="CC96" s="1" t="str">
        <f>IF(AZ96&gt;AZ$126, AZ96-AZ$126,"")</f>
        <v/>
      </c>
      <c r="CD96" s="1" t="str">
        <f>IF(BA96&gt;BA$126, BA96-BA$126,"")</f>
        <v/>
      </c>
      <c r="CE96" s="1" t="str">
        <f>IF(BB96&gt;BB$126, BB96-BB$126,"")</f>
        <v/>
      </c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3"/>
    </row>
    <row r="97" spans="1:97" ht="54" x14ac:dyDescent="0.15">
      <c r="A97" s="1"/>
      <c r="B97" s="1" t="s">
        <v>130</v>
      </c>
      <c r="C97" s="1" t="s">
        <v>118</v>
      </c>
      <c r="D97" s="1" t="s">
        <v>119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>
        <v>10</v>
      </c>
      <c r="Q97" s="28"/>
      <c r="R97" s="28"/>
      <c r="S97" s="28">
        <v>10</v>
      </c>
      <c r="T97" s="28"/>
      <c r="U97" s="28"/>
      <c r="V97" s="28"/>
      <c r="W97" s="28">
        <v>5</v>
      </c>
      <c r="X97" s="28"/>
      <c r="Y97" s="28"/>
      <c r="Z97" s="28"/>
      <c r="AA97" s="28"/>
      <c r="AB97" s="28">
        <v>10</v>
      </c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35</v>
      </c>
      <c r="BQ97" s="1">
        <v>22</v>
      </c>
      <c r="BR97" s="17">
        <v>4</v>
      </c>
      <c r="BS97" s="17" t="s">
        <v>284</v>
      </c>
      <c r="BT97" s="1" t="str">
        <f>IF(AQ97&gt;AQ$126, AQ97-AQ$126,"")</f>
        <v/>
      </c>
      <c r="BU97" s="1" t="str">
        <f>IF(AR97&gt;AR$126, AR97-AR$126,"")</f>
        <v/>
      </c>
      <c r="BV97" s="1" t="str">
        <f>IF(AS97&gt;AS$126, AS97-AS$126,"")</f>
        <v/>
      </c>
      <c r="BW97" s="1" t="str">
        <f>IF(AT97&gt;AT$126, AT97-AT$126,"")</f>
        <v/>
      </c>
      <c r="BX97" s="1" t="str">
        <f>IF(AU97&gt;AU$126, AU97-AU$126,"")</f>
        <v/>
      </c>
      <c r="BY97" s="1" t="str">
        <f>IF(AV97&gt;AV$126, AV97-AV$126,"")</f>
        <v/>
      </c>
      <c r="BZ97" s="1" t="str">
        <f>IF(AW97&gt;AW$126, AW97-AW$126,"")</f>
        <v/>
      </c>
      <c r="CA97" s="1" t="str">
        <f>IF(AX97&gt;AX$126, AX97-AX$126,"")</f>
        <v/>
      </c>
      <c r="CB97" s="1" t="str">
        <f>IF(AY97&gt;AY$126, AY97-AY$126,"")</f>
        <v/>
      </c>
      <c r="CC97" s="1" t="str">
        <f>IF(AZ97&gt;AZ$126, AZ97-AZ$126,"")</f>
        <v/>
      </c>
      <c r="CD97" s="1" t="str">
        <f>IF(BA97&gt;BA$126, BA97-BA$126,"")</f>
        <v/>
      </c>
      <c r="CE97" s="1" t="str">
        <f>IF(BB97&gt;BB$126, BB97-BB$126,"")</f>
        <v/>
      </c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3"/>
    </row>
    <row r="98" spans="1:97" ht="54" x14ac:dyDescent="0.15">
      <c r="A98" s="1"/>
      <c r="B98" s="1" t="s">
        <v>135</v>
      </c>
      <c r="C98" s="1" t="s">
        <v>118</v>
      </c>
      <c r="D98" s="1" t="s">
        <v>119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>
        <v>10</v>
      </c>
      <c r="Q98" s="28"/>
      <c r="R98" s="28"/>
      <c r="S98" s="28">
        <v>10</v>
      </c>
      <c r="T98" s="28"/>
      <c r="U98" s="28"/>
      <c r="V98" s="28"/>
      <c r="W98" s="28">
        <v>5</v>
      </c>
      <c r="X98" s="28"/>
      <c r="Y98" s="28"/>
      <c r="Z98" s="28"/>
      <c r="AA98" s="28"/>
      <c r="AB98" s="28">
        <v>10</v>
      </c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35</v>
      </c>
      <c r="BQ98" s="1">
        <v>22</v>
      </c>
      <c r="BR98" s="17">
        <v>4</v>
      </c>
      <c r="BS98" s="17" t="s">
        <v>284</v>
      </c>
      <c r="BT98" s="1" t="str">
        <f>IF(AQ98&gt;AQ$126, AQ98-AQ$126,"")</f>
        <v/>
      </c>
      <c r="BU98" s="1" t="str">
        <f>IF(AR98&gt;AR$126, AR98-AR$126,"")</f>
        <v/>
      </c>
      <c r="BV98" s="1" t="str">
        <f>IF(AS98&gt;AS$126, AS98-AS$126,"")</f>
        <v/>
      </c>
      <c r="BW98" s="1" t="str">
        <f>IF(AT98&gt;AT$126, AT98-AT$126,"")</f>
        <v/>
      </c>
      <c r="BX98" s="1" t="str">
        <f>IF(AU98&gt;AU$126, AU98-AU$126,"")</f>
        <v/>
      </c>
      <c r="BY98" s="1" t="str">
        <f>IF(AV98&gt;AV$126, AV98-AV$126,"")</f>
        <v/>
      </c>
      <c r="BZ98" s="1" t="str">
        <f>IF(AW98&gt;AW$126, AW98-AW$126,"")</f>
        <v/>
      </c>
      <c r="CA98" s="1" t="str">
        <f>IF(AX98&gt;AX$126, AX98-AX$126,"")</f>
        <v/>
      </c>
      <c r="CB98" s="1" t="str">
        <f>IF(AY98&gt;AY$126, AY98-AY$126,"")</f>
        <v/>
      </c>
      <c r="CC98" s="1" t="str">
        <f>IF(AZ98&gt;AZ$126, AZ98-AZ$126,"")</f>
        <v/>
      </c>
      <c r="CD98" s="1" t="str">
        <f>IF(BA98&gt;BA$126, BA98-BA$126,"")</f>
        <v/>
      </c>
      <c r="CE98" s="1" t="str">
        <f>IF(BB98&gt;BB$126, BB98-BB$126,"")</f>
        <v/>
      </c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3"/>
    </row>
    <row r="99" spans="1:97" ht="54" x14ac:dyDescent="0.15">
      <c r="A99" s="1"/>
      <c r="B99" s="1" t="s">
        <v>139</v>
      </c>
      <c r="C99" s="1" t="s">
        <v>137</v>
      </c>
      <c r="D99" s="1" t="s">
        <v>119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>
        <v>10</v>
      </c>
      <c r="Q99" s="28"/>
      <c r="R99" s="28"/>
      <c r="S99" s="28">
        <v>10</v>
      </c>
      <c r="T99" s="28"/>
      <c r="U99" s="28"/>
      <c r="V99" s="28"/>
      <c r="W99" s="28">
        <v>5</v>
      </c>
      <c r="X99" s="28"/>
      <c r="Y99" s="28"/>
      <c r="Z99" s="28"/>
      <c r="AA99" s="28"/>
      <c r="AB99" s="28">
        <v>10</v>
      </c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35</v>
      </c>
      <c r="BQ99" s="1">
        <v>22</v>
      </c>
      <c r="BR99" s="17">
        <v>4</v>
      </c>
      <c r="BS99" s="17" t="s">
        <v>285</v>
      </c>
      <c r="BT99" s="1" t="str">
        <f>IF(AQ99&gt;AQ$126, AQ99-AQ$126,"")</f>
        <v/>
      </c>
      <c r="BU99" s="1" t="str">
        <f>IF(AR99&gt;AR$126, AR99-AR$126,"")</f>
        <v/>
      </c>
      <c r="BV99" s="1" t="str">
        <f>IF(AS99&gt;AS$126, AS99-AS$126,"")</f>
        <v/>
      </c>
      <c r="BW99" s="1" t="str">
        <f>IF(AT99&gt;AT$126, AT99-AT$126,"")</f>
        <v/>
      </c>
      <c r="BX99" s="1" t="str">
        <f>IF(AU99&gt;AU$126, AU99-AU$126,"")</f>
        <v/>
      </c>
      <c r="BY99" s="1" t="str">
        <f>IF(AV99&gt;AV$126, AV99-AV$126,"")</f>
        <v/>
      </c>
      <c r="BZ99" s="1" t="str">
        <f>IF(AW99&gt;AW$126, AW99-AW$126,"")</f>
        <v/>
      </c>
      <c r="CA99" s="1" t="str">
        <f>IF(AX99&gt;AX$126, AX99-AX$126,"")</f>
        <v/>
      </c>
      <c r="CB99" s="1" t="str">
        <f>IF(AY99&gt;AY$126, AY99-AY$126,"")</f>
        <v/>
      </c>
      <c r="CC99" s="1" t="str">
        <f>IF(AZ99&gt;AZ$126, AZ99-AZ$126,"")</f>
        <v/>
      </c>
      <c r="CD99" s="1" t="str">
        <f>IF(BA99&gt;BA$126, BA99-BA$126,"")</f>
        <v/>
      </c>
      <c r="CE99" s="1" t="str">
        <f>IF(BB99&gt;BB$126, BB99-BB$126,"")</f>
        <v/>
      </c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3"/>
    </row>
    <row r="100" spans="1:97" ht="54" x14ac:dyDescent="0.15">
      <c r="A100" s="1"/>
      <c r="B100" s="1" t="s">
        <v>143</v>
      </c>
      <c r="C100" s="1" t="s">
        <v>141</v>
      </c>
      <c r="D100" s="1" t="s">
        <v>119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>
        <v>10</v>
      </c>
      <c r="Q100" s="28"/>
      <c r="R100" s="28"/>
      <c r="S100" s="28">
        <v>10</v>
      </c>
      <c r="T100" s="28"/>
      <c r="U100" s="28"/>
      <c r="V100" s="28"/>
      <c r="W100" s="28">
        <v>5</v>
      </c>
      <c r="X100" s="28"/>
      <c r="Y100" s="28"/>
      <c r="Z100" s="28"/>
      <c r="AA100" s="28"/>
      <c r="AB100" s="28">
        <v>10</v>
      </c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35</v>
      </c>
      <c r="BQ100" s="1">
        <v>22</v>
      </c>
      <c r="BR100" s="17">
        <v>4</v>
      </c>
      <c r="BS100" s="17" t="s">
        <v>285</v>
      </c>
      <c r="BT100" s="1" t="str">
        <f>IF(AQ100&gt;AQ$126, AQ100-AQ$126,"")</f>
        <v/>
      </c>
      <c r="BU100" s="1" t="str">
        <f>IF(AR100&gt;AR$126, AR100-AR$126,"")</f>
        <v/>
      </c>
      <c r="BV100" s="1" t="str">
        <f>IF(AS100&gt;AS$126, AS100-AS$126,"")</f>
        <v/>
      </c>
      <c r="BW100" s="1" t="str">
        <f>IF(AT100&gt;AT$126, AT100-AT$126,"")</f>
        <v/>
      </c>
      <c r="BX100" s="1" t="str">
        <f>IF(AU100&gt;AU$126, AU100-AU$126,"")</f>
        <v/>
      </c>
      <c r="BY100" s="1" t="str">
        <f>IF(AV100&gt;AV$126, AV100-AV$126,"")</f>
        <v/>
      </c>
      <c r="BZ100" s="1" t="str">
        <f>IF(AW100&gt;AW$126, AW100-AW$126,"")</f>
        <v/>
      </c>
      <c r="CA100" s="1" t="str">
        <f>IF(AX100&gt;AX$126, AX100-AX$126,"")</f>
        <v/>
      </c>
      <c r="CB100" s="1" t="str">
        <f>IF(AY100&gt;AY$126, AY100-AY$126,"")</f>
        <v/>
      </c>
      <c r="CC100" s="1" t="str">
        <f>IF(AZ100&gt;AZ$126, AZ100-AZ$126,"")</f>
        <v/>
      </c>
      <c r="CD100" s="1" t="str">
        <f>IF(BA100&gt;BA$126, BA100-BA$126,"")</f>
        <v/>
      </c>
      <c r="CE100" s="1" t="str">
        <f>IF(BB100&gt;BB$126, BB100-BB$126,"")</f>
        <v/>
      </c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3"/>
    </row>
    <row r="101" spans="1:97" ht="54" x14ac:dyDescent="0.15">
      <c r="A101" s="1"/>
      <c r="B101" s="1" t="s">
        <v>149</v>
      </c>
      <c r="C101" s="1" t="s">
        <v>148</v>
      </c>
      <c r="D101" s="1" t="s">
        <v>119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>
        <v>10</v>
      </c>
      <c r="Q101" s="28"/>
      <c r="R101" s="28"/>
      <c r="S101" s="28">
        <v>10</v>
      </c>
      <c r="T101" s="28"/>
      <c r="U101" s="28"/>
      <c r="V101" s="28"/>
      <c r="W101" s="28">
        <v>5</v>
      </c>
      <c r="X101" s="28"/>
      <c r="Y101" s="28"/>
      <c r="Z101" s="28"/>
      <c r="AA101" s="28"/>
      <c r="AB101" s="28">
        <v>10</v>
      </c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35</v>
      </c>
      <c r="BQ101" s="1">
        <v>22</v>
      </c>
      <c r="BR101" s="17">
        <v>4</v>
      </c>
      <c r="BS101" s="17" t="s">
        <v>285</v>
      </c>
      <c r="BT101" s="1" t="str">
        <f>IF(AQ101&gt;AQ$126, AQ101-AQ$126,"")</f>
        <v/>
      </c>
      <c r="BU101" s="1" t="str">
        <f>IF(AR101&gt;AR$126, AR101-AR$126,"")</f>
        <v/>
      </c>
      <c r="BV101" s="1" t="str">
        <f>IF(AS101&gt;AS$126, AS101-AS$126,"")</f>
        <v/>
      </c>
      <c r="BW101" s="1" t="str">
        <f>IF(AT101&gt;AT$126, AT101-AT$126,"")</f>
        <v/>
      </c>
      <c r="BX101" s="1" t="str">
        <f>IF(AU101&gt;AU$126, AU101-AU$126,"")</f>
        <v/>
      </c>
      <c r="BY101" s="1" t="str">
        <f>IF(AV101&gt;AV$126, AV101-AV$126,"")</f>
        <v/>
      </c>
      <c r="BZ101" s="1" t="str">
        <f>IF(AW101&gt;AW$126, AW101-AW$126,"")</f>
        <v/>
      </c>
      <c r="CA101" s="1" t="str">
        <f>IF(AX101&gt;AX$126, AX101-AX$126,"")</f>
        <v/>
      </c>
      <c r="CB101" s="1" t="str">
        <f>IF(AY101&gt;AY$126, AY101-AY$126,"")</f>
        <v/>
      </c>
      <c r="CC101" s="1" t="str">
        <f>IF(AZ101&gt;AZ$126, AZ101-AZ$126,"")</f>
        <v/>
      </c>
      <c r="CD101" s="1" t="str">
        <f>IF(BA101&gt;BA$126, BA101-BA$126,"")</f>
        <v/>
      </c>
      <c r="CE101" s="1" t="str">
        <f>IF(BB101&gt;BB$126, BB101-BB$126,"")</f>
        <v/>
      </c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3"/>
    </row>
    <row r="102" spans="1:97" ht="54" x14ac:dyDescent="0.15">
      <c r="A102" s="1"/>
      <c r="B102" s="1" t="s">
        <v>155</v>
      </c>
      <c r="C102" s="1" t="s">
        <v>116</v>
      </c>
      <c r="D102" s="1" t="s">
        <v>156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>
        <v>10</v>
      </c>
      <c r="Q102" s="28"/>
      <c r="R102" s="28"/>
      <c r="S102" s="28">
        <v>10</v>
      </c>
      <c r="T102" s="28"/>
      <c r="U102" s="28"/>
      <c r="V102" s="28"/>
      <c r="W102" s="28">
        <v>5</v>
      </c>
      <c r="X102" s="28"/>
      <c r="Y102" s="28"/>
      <c r="Z102" s="28"/>
      <c r="AA102" s="28"/>
      <c r="AB102" s="28">
        <v>10</v>
      </c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35</v>
      </c>
      <c r="BQ102" s="1">
        <v>22</v>
      </c>
      <c r="BR102" s="17">
        <v>4</v>
      </c>
      <c r="BS102" s="17" t="s">
        <v>284</v>
      </c>
      <c r="BT102" s="1" t="str">
        <f>IF(AQ102&gt;AQ$126, AQ102-AQ$126,"")</f>
        <v/>
      </c>
      <c r="BU102" s="1" t="str">
        <f>IF(AR102&gt;AR$126, AR102-AR$126,"")</f>
        <v/>
      </c>
      <c r="BV102" s="1" t="str">
        <f>IF(AS102&gt;AS$126, AS102-AS$126,"")</f>
        <v/>
      </c>
      <c r="BW102" s="1" t="str">
        <f>IF(AT102&gt;AT$126, AT102-AT$126,"")</f>
        <v/>
      </c>
      <c r="BX102" s="1" t="str">
        <f>IF(AU102&gt;AU$126, AU102-AU$126,"")</f>
        <v/>
      </c>
      <c r="BY102" s="1" t="str">
        <f>IF(AV102&gt;AV$126, AV102-AV$126,"")</f>
        <v/>
      </c>
      <c r="BZ102" s="1" t="str">
        <f>IF(AW102&gt;AW$126, AW102-AW$126,"")</f>
        <v/>
      </c>
      <c r="CA102" s="1" t="str">
        <f>IF(AX102&gt;AX$126, AX102-AX$126,"")</f>
        <v/>
      </c>
      <c r="CB102" s="1" t="str">
        <f>IF(AY102&gt;AY$126, AY102-AY$126,"")</f>
        <v/>
      </c>
      <c r="CC102" s="1" t="str">
        <f>IF(AZ102&gt;AZ$126, AZ102-AZ$126,"")</f>
        <v/>
      </c>
      <c r="CD102" s="1" t="str">
        <f>IF(BA102&gt;BA$126, BA102-BA$126,"")</f>
        <v/>
      </c>
      <c r="CE102" s="1" t="str">
        <f>IF(BB102&gt;BB$126, BB102-BB$126,"")</f>
        <v/>
      </c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3"/>
    </row>
    <row r="103" spans="1:97" ht="54" x14ac:dyDescent="0.15">
      <c r="A103" s="1"/>
      <c r="B103" s="1" t="s">
        <v>160</v>
      </c>
      <c r="C103" s="1" t="s">
        <v>118</v>
      </c>
      <c r="D103" s="1" t="s">
        <v>120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/>
      <c r="V103" s="28">
        <v>10</v>
      </c>
      <c r="W103" s="28"/>
      <c r="X103" s="28"/>
      <c r="Y103" s="28">
        <v>10</v>
      </c>
      <c r="Z103" s="28"/>
      <c r="AA103" s="28"/>
      <c r="AB103" s="28">
        <v>10</v>
      </c>
      <c r="AC103" s="28">
        <v>5</v>
      </c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35</v>
      </c>
      <c r="BQ103" s="1">
        <v>23</v>
      </c>
      <c r="BR103" s="17">
        <v>4</v>
      </c>
      <c r="BS103" s="17" t="s">
        <v>286</v>
      </c>
      <c r="BT103" s="1" t="str">
        <f>IF(AQ103&gt;AQ$126, AQ103-AQ$126,"")</f>
        <v/>
      </c>
      <c r="BU103" s="1" t="str">
        <f>IF(AR103&gt;AR$126, AR103-AR$126,"")</f>
        <v/>
      </c>
      <c r="BV103" s="1" t="str">
        <f>IF(AS103&gt;AS$126, AS103-AS$126,"")</f>
        <v/>
      </c>
      <c r="BW103" s="1" t="str">
        <f>IF(AT103&gt;AT$126, AT103-AT$126,"")</f>
        <v/>
      </c>
      <c r="BX103" s="1" t="str">
        <f>IF(AU103&gt;AU$126, AU103-AU$126,"")</f>
        <v/>
      </c>
      <c r="BY103" s="1" t="str">
        <f>IF(AV103&gt;AV$126, AV103-AV$126,"")</f>
        <v/>
      </c>
      <c r="BZ103" s="1" t="str">
        <f>IF(AW103&gt;AW$126, AW103-AW$126,"")</f>
        <v/>
      </c>
      <c r="CA103" s="1" t="str">
        <f>IF(AX103&gt;AX$126, AX103-AX$126,"")</f>
        <v/>
      </c>
      <c r="CB103" s="1" t="str">
        <f>IF(AY103&gt;AY$126, AY103-AY$126,"")</f>
        <v/>
      </c>
      <c r="CC103" s="1" t="str">
        <f>IF(AZ103&gt;AZ$126, AZ103-AZ$126,"")</f>
        <v/>
      </c>
      <c r="CD103" s="1" t="str">
        <f>IF(BA103&gt;BA$126, BA103-BA$126,"")</f>
        <v/>
      </c>
      <c r="CE103" s="1" t="str">
        <f>IF(BB103&gt;BB$126, BB103-BB$126,"")</f>
        <v/>
      </c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3"/>
    </row>
    <row r="104" spans="1:97" ht="54" x14ac:dyDescent="0.15">
      <c r="A104" s="1"/>
      <c r="B104" s="1" t="s">
        <v>144</v>
      </c>
      <c r="C104" s="1" t="s">
        <v>146</v>
      </c>
      <c r="D104" s="1" t="s">
        <v>120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/>
      <c r="Q104" s="28"/>
      <c r="R104" s="28"/>
      <c r="S104" s="28"/>
      <c r="T104" s="28"/>
      <c r="U104" s="28"/>
      <c r="V104" s="28">
        <v>10</v>
      </c>
      <c r="W104" s="28"/>
      <c r="X104" s="28"/>
      <c r="Y104" s="28">
        <v>10</v>
      </c>
      <c r="Z104" s="28"/>
      <c r="AA104" s="28"/>
      <c r="AB104" s="28">
        <v>10</v>
      </c>
      <c r="AC104" s="28">
        <v>5</v>
      </c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35</v>
      </c>
      <c r="BQ104" s="1">
        <v>23</v>
      </c>
      <c r="BR104" s="17">
        <v>4</v>
      </c>
      <c r="BS104" s="17" t="s">
        <v>287</v>
      </c>
      <c r="BT104" s="1" t="str">
        <f>IF(AQ104&gt;AQ$126, AQ104-AQ$126,"")</f>
        <v/>
      </c>
      <c r="BU104" s="1" t="str">
        <f>IF(AR104&gt;AR$126, AR104-AR$126,"")</f>
        <v/>
      </c>
      <c r="BV104" s="1" t="str">
        <f>IF(AS104&gt;AS$126, AS104-AS$126,"")</f>
        <v/>
      </c>
      <c r="BW104" s="1" t="str">
        <f>IF(AT104&gt;AT$126, AT104-AT$126,"")</f>
        <v/>
      </c>
      <c r="BX104" s="1" t="str">
        <f>IF(AU104&gt;AU$126, AU104-AU$126,"")</f>
        <v/>
      </c>
      <c r="BY104" s="1" t="str">
        <f>IF(AV104&gt;AV$126, AV104-AV$126,"")</f>
        <v/>
      </c>
      <c r="BZ104" s="1" t="str">
        <f>IF(AW104&gt;AW$126, AW104-AW$126,"")</f>
        <v/>
      </c>
      <c r="CA104" s="1" t="str">
        <f>IF(AX104&gt;AX$126, AX104-AX$126,"")</f>
        <v/>
      </c>
      <c r="CB104" s="1" t="str">
        <f>IF(AY104&gt;AY$126, AY104-AY$126,"")</f>
        <v/>
      </c>
      <c r="CC104" s="1" t="str">
        <f>IF(AZ104&gt;AZ$126, AZ104-AZ$126,"")</f>
        <v/>
      </c>
      <c r="CD104" s="1" t="str">
        <f>IF(BA104&gt;BA$126, BA104-BA$126,"")</f>
        <v/>
      </c>
      <c r="CE104" s="1" t="str">
        <f>IF(BB104&gt;BB$126, BB104-BB$126,"")</f>
        <v/>
      </c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3"/>
    </row>
    <row r="105" spans="1:97" ht="54" x14ac:dyDescent="0.15">
      <c r="A105" s="1"/>
      <c r="B105" s="1" t="s">
        <v>153</v>
      </c>
      <c r="C105" s="1" t="s">
        <v>148</v>
      </c>
      <c r="D105" s="1" t="s">
        <v>120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/>
      <c r="V105" s="28">
        <v>10</v>
      </c>
      <c r="W105" s="28"/>
      <c r="X105" s="28"/>
      <c r="Y105" s="28">
        <v>10</v>
      </c>
      <c r="Z105" s="28"/>
      <c r="AA105" s="28"/>
      <c r="AB105" s="28">
        <v>10</v>
      </c>
      <c r="AC105" s="28">
        <v>5</v>
      </c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35</v>
      </c>
      <c r="BQ105" s="1">
        <v>23</v>
      </c>
      <c r="BR105" s="17">
        <v>4</v>
      </c>
      <c r="BS105" s="17" t="s">
        <v>286</v>
      </c>
      <c r="BT105" s="1" t="str">
        <f>IF(AQ105&gt;AQ$126, AQ105-AQ$126,"")</f>
        <v/>
      </c>
      <c r="BU105" s="1" t="str">
        <f>IF(AR105&gt;AR$126, AR105-AR$126,"")</f>
        <v/>
      </c>
      <c r="BV105" s="1" t="str">
        <f>IF(AS105&gt;AS$126, AS105-AS$126,"")</f>
        <v/>
      </c>
      <c r="BW105" s="1" t="str">
        <f>IF(AT105&gt;AT$126, AT105-AT$126,"")</f>
        <v/>
      </c>
      <c r="BX105" s="1" t="str">
        <f>IF(AU105&gt;AU$126, AU105-AU$126,"")</f>
        <v/>
      </c>
      <c r="BY105" s="1" t="str">
        <f>IF(AV105&gt;AV$126, AV105-AV$126,"")</f>
        <v/>
      </c>
      <c r="BZ105" s="1" t="str">
        <f>IF(AW105&gt;AW$126, AW105-AW$126,"")</f>
        <v/>
      </c>
      <c r="CA105" s="1" t="str">
        <f>IF(AX105&gt;AX$126, AX105-AX$126,"")</f>
        <v/>
      </c>
      <c r="CB105" s="1" t="str">
        <f>IF(AY105&gt;AY$126, AY105-AY$126,"")</f>
        <v/>
      </c>
      <c r="CC105" s="1" t="str">
        <f>IF(AZ105&gt;AZ$126, AZ105-AZ$126,"")</f>
        <v/>
      </c>
      <c r="CD105" s="1" t="str">
        <f>IF(BA105&gt;BA$126, BA105-BA$126,"")</f>
        <v/>
      </c>
      <c r="CE105" s="1" t="str">
        <f>IF(BB105&gt;BB$126, BB105-BB$126,"")</f>
        <v/>
      </c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3"/>
    </row>
    <row r="106" spans="1:97" ht="54" x14ac:dyDescent="0.15">
      <c r="A106" s="1"/>
      <c r="B106" s="1" t="s">
        <v>154</v>
      </c>
      <c r="C106" s="1" t="s">
        <v>148</v>
      </c>
      <c r="D106" s="1" t="s">
        <v>120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/>
      <c r="V106" s="28">
        <v>10</v>
      </c>
      <c r="W106" s="28"/>
      <c r="X106" s="28"/>
      <c r="Y106" s="28">
        <v>10</v>
      </c>
      <c r="Z106" s="28"/>
      <c r="AA106" s="28"/>
      <c r="AB106" s="28">
        <v>10</v>
      </c>
      <c r="AC106" s="28">
        <v>5</v>
      </c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35</v>
      </c>
      <c r="BQ106" s="1">
        <v>23</v>
      </c>
      <c r="BR106" s="17">
        <v>4</v>
      </c>
      <c r="BS106" s="17" t="s">
        <v>286</v>
      </c>
      <c r="BT106" s="1" t="str">
        <f>IF(AQ106&gt;AQ$126, AQ106-AQ$126,"")</f>
        <v/>
      </c>
      <c r="BU106" s="1" t="str">
        <f>IF(AR106&gt;AR$126, AR106-AR$126,"")</f>
        <v/>
      </c>
      <c r="BV106" s="1" t="str">
        <f>IF(AS106&gt;AS$126, AS106-AS$126,"")</f>
        <v/>
      </c>
      <c r="BW106" s="1" t="str">
        <f>IF(AT106&gt;AT$126, AT106-AT$126,"")</f>
        <v/>
      </c>
      <c r="BX106" s="1" t="str">
        <f>IF(AU106&gt;AU$126, AU106-AU$126,"")</f>
        <v/>
      </c>
      <c r="BY106" s="1" t="str">
        <f>IF(AV106&gt;AV$126, AV106-AV$126,"")</f>
        <v/>
      </c>
      <c r="BZ106" s="1" t="str">
        <f>IF(AW106&gt;AW$126, AW106-AW$126,"")</f>
        <v/>
      </c>
      <c r="CA106" s="1" t="str">
        <f>IF(AX106&gt;AX$126, AX106-AX$126,"")</f>
        <v/>
      </c>
      <c r="CB106" s="1" t="str">
        <f>IF(AY106&gt;AY$126, AY106-AY$126,"")</f>
        <v/>
      </c>
      <c r="CC106" s="1" t="str">
        <f>IF(AZ106&gt;AZ$126, AZ106-AZ$126,"")</f>
        <v/>
      </c>
      <c r="CD106" s="1" t="str">
        <f>IF(BA106&gt;BA$126, BA106-BA$126,"")</f>
        <v/>
      </c>
      <c r="CE106" s="1" t="str">
        <f>IF(BB106&gt;BB$126, BB106-BB$126,"")</f>
        <v/>
      </c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3"/>
    </row>
    <row r="107" spans="1:97" ht="54" x14ac:dyDescent="0.15">
      <c r="A107" s="1"/>
      <c r="B107" s="1" t="s">
        <v>145</v>
      </c>
      <c r="C107" s="1" t="s">
        <v>146</v>
      </c>
      <c r="D107" s="1" t="s">
        <v>119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>
        <v>10</v>
      </c>
      <c r="Q107" s="28"/>
      <c r="R107" s="28"/>
      <c r="S107" s="28">
        <v>10</v>
      </c>
      <c r="T107" s="28"/>
      <c r="U107" s="28"/>
      <c r="V107" s="28"/>
      <c r="W107" s="28"/>
      <c r="X107" s="28"/>
      <c r="Y107" s="28"/>
      <c r="Z107" s="28">
        <v>5</v>
      </c>
      <c r="AA107" s="28"/>
      <c r="AB107" s="28">
        <v>10</v>
      </c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35</v>
      </c>
      <c r="BQ107" s="1">
        <v>23</v>
      </c>
      <c r="BR107" s="17">
        <v>4</v>
      </c>
      <c r="BS107" s="17" t="s">
        <v>288</v>
      </c>
      <c r="BT107" s="1" t="str">
        <f>IF(AQ107&gt;AQ$126, AQ107-AQ$126,"")</f>
        <v/>
      </c>
      <c r="BU107" s="1" t="str">
        <f>IF(AR107&gt;AR$126, AR107-AR$126,"")</f>
        <v/>
      </c>
      <c r="BV107" s="1" t="str">
        <f>IF(AS107&gt;AS$126, AS107-AS$126,"")</f>
        <v/>
      </c>
      <c r="BW107" s="1" t="str">
        <f>IF(AT107&gt;AT$126, AT107-AT$126,"")</f>
        <v/>
      </c>
      <c r="BX107" s="1" t="str">
        <f>IF(AU107&gt;AU$126, AU107-AU$126,"")</f>
        <v/>
      </c>
      <c r="BY107" s="1" t="str">
        <f>IF(AV107&gt;AV$126, AV107-AV$126,"")</f>
        <v/>
      </c>
      <c r="BZ107" s="1" t="str">
        <f>IF(AW107&gt;AW$126, AW107-AW$126,"")</f>
        <v/>
      </c>
      <c r="CA107" s="1" t="str">
        <f>IF(AX107&gt;AX$126, AX107-AX$126,"")</f>
        <v/>
      </c>
      <c r="CB107" s="1" t="str">
        <f>IF(AY107&gt;AY$126, AY107-AY$126,"")</f>
        <v/>
      </c>
      <c r="CC107" s="1" t="str">
        <f>IF(AZ107&gt;AZ$126, AZ107-AZ$126,"")</f>
        <v/>
      </c>
      <c r="CD107" s="1" t="str">
        <f>IF(BA107&gt;BA$126, BA107-BA$126,"")</f>
        <v/>
      </c>
      <c r="CE107" s="1" t="str">
        <f>IF(BB107&gt;BB$126, BB107-BB$126,"")</f>
        <v/>
      </c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3"/>
    </row>
    <row r="108" spans="1:97" ht="54" x14ac:dyDescent="0.15">
      <c r="A108" s="1"/>
      <c r="B108" s="1" t="s">
        <v>136</v>
      </c>
      <c r="C108" s="1" t="s">
        <v>137</v>
      </c>
      <c r="D108" s="1" t="s">
        <v>120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/>
      <c r="Q108" s="28">
        <v>5</v>
      </c>
      <c r="R108" s="28"/>
      <c r="S108" s="28"/>
      <c r="T108" s="28"/>
      <c r="U108" s="28"/>
      <c r="V108" s="28">
        <v>10</v>
      </c>
      <c r="W108" s="28"/>
      <c r="X108" s="28"/>
      <c r="Y108" s="28">
        <v>10</v>
      </c>
      <c r="Z108" s="28"/>
      <c r="AA108" s="28"/>
      <c r="AB108" s="28">
        <v>10</v>
      </c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35</v>
      </c>
      <c r="BQ108" s="1">
        <v>24</v>
      </c>
      <c r="BR108" s="17">
        <v>4</v>
      </c>
      <c r="BS108" s="17" t="s">
        <v>208</v>
      </c>
      <c r="BT108" s="1" t="str">
        <f>IF(AQ108&gt;AQ$126, AQ108-AQ$126,"")</f>
        <v/>
      </c>
      <c r="BU108" s="1" t="str">
        <f>IF(AR108&gt;AR$126, AR108-AR$126,"")</f>
        <v/>
      </c>
      <c r="BV108" s="1" t="str">
        <f>IF(AS108&gt;AS$126, AS108-AS$126,"")</f>
        <v/>
      </c>
      <c r="BW108" s="1" t="str">
        <f>IF(AT108&gt;AT$126, AT108-AT$126,"")</f>
        <v/>
      </c>
      <c r="BX108" s="1" t="str">
        <f>IF(AU108&gt;AU$126, AU108-AU$126,"")</f>
        <v/>
      </c>
      <c r="BY108" s="1" t="str">
        <f>IF(AV108&gt;AV$126, AV108-AV$126,"")</f>
        <v/>
      </c>
      <c r="BZ108" s="1" t="str">
        <f>IF(AW108&gt;AW$126, AW108-AW$126,"")</f>
        <v/>
      </c>
      <c r="CA108" s="1" t="str">
        <f>IF(AX108&gt;AX$126, AX108-AX$126,"")</f>
        <v/>
      </c>
      <c r="CB108" s="1" t="str">
        <f>IF(AY108&gt;AY$126, AY108-AY$126,"")</f>
        <v/>
      </c>
      <c r="CC108" s="1" t="str">
        <f>IF(AZ108&gt;AZ$126, AZ108-AZ$126,"")</f>
        <v/>
      </c>
      <c r="CD108" s="1" t="str">
        <f>IF(BA108&gt;BA$126, BA108-BA$126,"")</f>
        <v/>
      </c>
      <c r="CE108" s="1" t="str">
        <f>IF(BB108&gt;BB$126, BB108-BB$126,"")</f>
        <v/>
      </c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3"/>
    </row>
    <row r="109" spans="1:97" ht="54" x14ac:dyDescent="0.15">
      <c r="A109" s="1"/>
      <c r="B109" s="1" t="s">
        <v>142</v>
      </c>
      <c r="C109" s="1" t="s">
        <v>141</v>
      </c>
      <c r="D109" s="1" t="s">
        <v>120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/>
      <c r="Q109" s="28">
        <v>5</v>
      </c>
      <c r="R109" s="28"/>
      <c r="S109" s="28"/>
      <c r="T109" s="28"/>
      <c r="U109" s="28"/>
      <c r="V109" s="28">
        <v>10</v>
      </c>
      <c r="W109" s="28"/>
      <c r="X109" s="28"/>
      <c r="Y109" s="28">
        <v>10</v>
      </c>
      <c r="Z109" s="28"/>
      <c r="AA109" s="28"/>
      <c r="AB109" s="28">
        <v>10</v>
      </c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35</v>
      </c>
      <c r="BQ109" s="1">
        <v>24</v>
      </c>
      <c r="BR109" s="17">
        <v>4</v>
      </c>
      <c r="BS109" s="17" t="s">
        <v>289</v>
      </c>
      <c r="BT109" s="1" t="str">
        <f>IF(AQ109&gt;AQ$126, AQ109-AQ$126,"")</f>
        <v/>
      </c>
      <c r="BU109" s="1" t="str">
        <f>IF(AR109&gt;AR$126, AR109-AR$126,"")</f>
        <v/>
      </c>
      <c r="BV109" s="1" t="str">
        <f>IF(AS109&gt;AS$126, AS109-AS$126,"")</f>
        <v/>
      </c>
      <c r="BW109" s="1" t="str">
        <f>IF(AT109&gt;AT$126, AT109-AT$126,"")</f>
        <v/>
      </c>
      <c r="BX109" s="1" t="str">
        <f>IF(AU109&gt;AU$126, AU109-AU$126,"")</f>
        <v/>
      </c>
      <c r="BY109" s="1" t="str">
        <f>IF(AV109&gt;AV$126, AV109-AV$126,"")</f>
        <v/>
      </c>
      <c r="BZ109" s="1" t="str">
        <f>IF(AW109&gt;AW$126, AW109-AW$126,"")</f>
        <v/>
      </c>
      <c r="CA109" s="1" t="str">
        <f>IF(AX109&gt;AX$126, AX109-AX$126,"")</f>
        <v/>
      </c>
      <c r="CB109" s="1" t="str">
        <f>IF(AY109&gt;AY$126, AY109-AY$126,"")</f>
        <v/>
      </c>
      <c r="CC109" s="1" t="str">
        <f>IF(AZ109&gt;AZ$126, AZ109-AZ$126,"")</f>
        <v/>
      </c>
      <c r="CD109" s="1" t="str">
        <f>IF(BA109&gt;BA$126, BA109-BA$126,"")</f>
        <v/>
      </c>
      <c r="CE109" s="1" t="str">
        <f>IF(BB109&gt;BB$126, BB109-BB$126,"")</f>
        <v/>
      </c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3"/>
    </row>
    <row r="110" spans="1:97" ht="54" x14ac:dyDescent="0.15">
      <c r="A110" s="1"/>
      <c r="B110" s="1" t="s">
        <v>150</v>
      </c>
      <c r="C110" s="1" t="s">
        <v>148</v>
      </c>
      <c r="D110" s="1" t="s">
        <v>121</v>
      </c>
      <c r="E110" s="6"/>
      <c r="F110" s="6"/>
      <c r="G110" s="6"/>
      <c r="H110" s="6">
        <v>10</v>
      </c>
      <c r="I110" s="6"/>
      <c r="J110" s="6"/>
      <c r="K110" s="6"/>
      <c r="L110" s="6"/>
      <c r="M110" s="6"/>
      <c r="N110" s="6"/>
      <c r="O110" s="6"/>
      <c r="P110" s="28"/>
      <c r="Q110" s="28"/>
      <c r="R110" s="28">
        <v>10</v>
      </c>
      <c r="S110" s="28"/>
      <c r="T110" s="28"/>
      <c r="U110" s="28">
        <v>10</v>
      </c>
      <c r="V110" s="28"/>
      <c r="W110" s="28"/>
      <c r="X110" s="28"/>
      <c r="Y110" s="28"/>
      <c r="Z110" s="28"/>
      <c r="AA110" s="28"/>
      <c r="AB110" s="28"/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>
        <v>10</v>
      </c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40</v>
      </c>
      <c r="BQ110" s="1">
        <v>26</v>
      </c>
      <c r="BR110" s="17">
        <v>4</v>
      </c>
      <c r="BS110" s="17" t="s">
        <v>290</v>
      </c>
      <c r="BT110" s="1" t="str">
        <f>IF(AQ110&gt;AQ$126, AQ110-AQ$126,"")</f>
        <v/>
      </c>
      <c r="BU110" s="1" t="str">
        <f>IF(AR110&gt;AR$126, AR110-AR$126,"")</f>
        <v/>
      </c>
      <c r="BV110" s="1" t="str">
        <f>IF(AS110&gt;AS$126, AS110-AS$126,"")</f>
        <v/>
      </c>
      <c r="BW110" s="1" t="str">
        <f>IF(AT110&gt;AT$126, AT110-AT$126,"")</f>
        <v/>
      </c>
      <c r="BX110" s="1" t="str">
        <f>IF(AU110&gt;AU$126, AU110-AU$126,"")</f>
        <v/>
      </c>
      <c r="BY110" s="1" t="str">
        <f>IF(AV110&gt;AV$126, AV110-AV$126,"")</f>
        <v/>
      </c>
      <c r="BZ110" s="1" t="str">
        <f>IF(AW110&gt;AW$126, AW110-AW$126,"")</f>
        <v/>
      </c>
      <c r="CA110" s="1" t="str">
        <f>IF(AX110&gt;AX$126, AX110-AX$126,"")</f>
        <v/>
      </c>
      <c r="CB110" s="1" t="str">
        <f>IF(AY110&gt;AY$126, AY110-AY$126,"")</f>
        <v/>
      </c>
      <c r="CC110" s="1" t="str">
        <f>IF(AZ110&gt;AZ$126, AZ110-AZ$126,"")</f>
        <v/>
      </c>
      <c r="CD110" s="1" t="str">
        <f>IF(BA110&gt;BA$126, BA110-BA$126,"")</f>
        <v/>
      </c>
      <c r="CE110" s="1" t="str">
        <f>IF(BB110&gt;BB$126, BB110-BB$126,"")</f>
        <v/>
      </c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3"/>
    </row>
    <row r="111" spans="1:97" ht="54" x14ac:dyDescent="0.15">
      <c r="A111" s="1"/>
      <c r="B111" s="1" t="s">
        <v>135</v>
      </c>
      <c r="C111" s="1" t="s">
        <v>118</v>
      </c>
      <c r="D111" s="1" t="s">
        <v>121</v>
      </c>
      <c r="E111" s="6"/>
      <c r="F111" s="6"/>
      <c r="G111" s="6"/>
      <c r="H111" s="6">
        <v>10</v>
      </c>
      <c r="I111" s="6"/>
      <c r="J111" s="6"/>
      <c r="K111" s="6"/>
      <c r="L111" s="6"/>
      <c r="M111" s="6"/>
      <c r="N111" s="6"/>
      <c r="O111" s="6"/>
      <c r="P111" s="28"/>
      <c r="Q111" s="28"/>
      <c r="R111" s="28">
        <v>10</v>
      </c>
      <c r="S111" s="28"/>
      <c r="T111" s="28"/>
      <c r="U111" s="28"/>
      <c r="V111" s="28"/>
      <c r="W111" s="28"/>
      <c r="X111" s="28">
        <v>10</v>
      </c>
      <c r="Y111" s="28"/>
      <c r="Z111" s="28"/>
      <c r="AA111" s="28"/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>
        <v>10</v>
      </c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40</v>
      </c>
      <c r="BQ111" s="1">
        <v>28</v>
      </c>
      <c r="BR111" s="17">
        <v>4</v>
      </c>
      <c r="BS111" s="17" t="s">
        <v>283</v>
      </c>
      <c r="BT111" s="1" t="str">
        <f>IF(AQ111&gt;AQ$126, AQ111-AQ$126,"")</f>
        <v/>
      </c>
      <c r="BU111" s="1" t="str">
        <f>IF(AR111&gt;AR$126, AR111-AR$126,"")</f>
        <v/>
      </c>
      <c r="BV111" s="1" t="str">
        <f>IF(AS111&gt;AS$126, AS111-AS$126,"")</f>
        <v/>
      </c>
      <c r="BW111" s="1" t="str">
        <f>IF(AT111&gt;AT$126, AT111-AT$126,"")</f>
        <v/>
      </c>
      <c r="BX111" s="1" t="str">
        <f>IF(AU111&gt;AU$126, AU111-AU$126,"")</f>
        <v/>
      </c>
      <c r="BY111" s="1" t="str">
        <f>IF(AV111&gt;AV$126, AV111-AV$126,"")</f>
        <v/>
      </c>
      <c r="BZ111" s="1" t="str">
        <f>IF(AW111&gt;AW$126, AW111-AW$126,"")</f>
        <v/>
      </c>
      <c r="CA111" s="1" t="str">
        <f>IF(AX111&gt;AX$126, AX111-AX$126,"")</f>
        <v/>
      </c>
      <c r="CB111" s="1" t="str">
        <f>IF(AY111&gt;AY$126, AY111-AY$126,"")</f>
        <v/>
      </c>
      <c r="CC111" s="1" t="str">
        <f>IF(AZ111&gt;AZ$126, AZ111-AZ$126,"")</f>
        <v/>
      </c>
      <c r="CD111" s="1" t="str">
        <f>IF(BA111&gt;BA$126, BA111-BA$126,"")</f>
        <v/>
      </c>
      <c r="CE111" s="1" t="str">
        <f>IF(BB111&gt;BB$126, BB111-BB$126,"")</f>
        <v/>
      </c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3"/>
    </row>
    <row r="112" spans="1:97" ht="54" x14ac:dyDescent="0.15">
      <c r="A112" s="1"/>
      <c r="B112" s="1" t="s">
        <v>136</v>
      </c>
      <c r="C112" s="1" t="s">
        <v>137</v>
      </c>
      <c r="D112" s="1" t="s">
        <v>119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28">
        <v>10</v>
      </c>
      <c r="Q112" s="28"/>
      <c r="R112" s="28"/>
      <c r="S112" s="28">
        <v>10</v>
      </c>
      <c r="T112" s="28"/>
      <c r="U112" s="28"/>
      <c r="V112" s="28">
        <v>10</v>
      </c>
      <c r="W112" s="28"/>
      <c r="X112" s="28"/>
      <c r="Y112" s="28">
        <v>10</v>
      </c>
      <c r="Z112" s="28"/>
      <c r="AA112" s="28"/>
      <c r="AB112" s="28"/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40</v>
      </c>
      <c r="BQ112" s="1">
        <v>35</v>
      </c>
      <c r="BR112" s="17">
        <v>4</v>
      </c>
      <c r="BS112" s="17" t="s">
        <v>291</v>
      </c>
      <c r="BT112" s="1" t="str">
        <f>IF(AQ112&gt;AQ$126, AQ112-AQ$126,"")</f>
        <v/>
      </c>
      <c r="BU112" s="1" t="str">
        <f>IF(AR112&gt;AR$126, AR112-AR$126,"")</f>
        <v/>
      </c>
      <c r="BV112" s="1" t="str">
        <f>IF(AS112&gt;AS$126, AS112-AS$126,"")</f>
        <v/>
      </c>
      <c r="BW112" s="1" t="str">
        <f>IF(AT112&gt;AT$126, AT112-AT$126,"")</f>
        <v/>
      </c>
      <c r="BX112" s="1" t="str">
        <f>IF(AU112&gt;AU$126, AU112-AU$126,"")</f>
        <v/>
      </c>
      <c r="BY112" s="1" t="str">
        <f>IF(AV112&gt;AV$126, AV112-AV$126,"")</f>
        <v/>
      </c>
      <c r="BZ112" s="1" t="str">
        <f>IF(AW112&gt;AW$126, AW112-AW$126,"")</f>
        <v/>
      </c>
      <c r="CA112" s="1" t="str">
        <f>IF(AX112&gt;AX$126, AX112-AX$126,"")</f>
        <v/>
      </c>
      <c r="CB112" s="1" t="str">
        <f>IF(AY112&gt;AY$126, AY112-AY$126,"")</f>
        <v/>
      </c>
      <c r="CC112" s="1" t="str">
        <f>IF(AZ112&gt;AZ$126, AZ112-AZ$126,"")</f>
        <v/>
      </c>
      <c r="CD112" s="1" t="str">
        <f>IF(BA112&gt;BA$126, BA112-BA$126,"")</f>
        <v/>
      </c>
      <c r="CE112" s="1" t="str">
        <f>IF(BB112&gt;BB$126, BB112-BB$126,"")</f>
        <v/>
      </c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3"/>
    </row>
    <row r="113" spans="1:97" ht="54" x14ac:dyDescent="0.15">
      <c r="A113" s="1"/>
      <c r="B113" s="1" t="s">
        <v>142</v>
      </c>
      <c r="C113" s="1" t="s">
        <v>141</v>
      </c>
      <c r="D113" s="1" t="s">
        <v>119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28">
        <v>10</v>
      </c>
      <c r="Q113" s="28"/>
      <c r="R113" s="28"/>
      <c r="S113" s="28">
        <v>10</v>
      </c>
      <c r="T113" s="28"/>
      <c r="U113" s="28"/>
      <c r="V113" s="28">
        <v>10</v>
      </c>
      <c r="W113" s="28"/>
      <c r="X113" s="28"/>
      <c r="Y113" s="28">
        <v>10</v>
      </c>
      <c r="Z113" s="28"/>
      <c r="AA113" s="28"/>
      <c r="AB113" s="28"/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40</v>
      </c>
      <c r="BQ113" s="1">
        <v>35</v>
      </c>
      <c r="BR113" s="17">
        <v>4</v>
      </c>
      <c r="BS113" s="17" t="s">
        <v>292</v>
      </c>
      <c r="BT113" s="1" t="str">
        <f>IF(AQ113&gt;AQ$126, AQ113-AQ$126,"")</f>
        <v/>
      </c>
      <c r="BU113" s="1" t="str">
        <f>IF(AR113&gt;AR$126, AR113-AR$126,"")</f>
        <v/>
      </c>
      <c r="BV113" s="1" t="str">
        <f>IF(AS113&gt;AS$126, AS113-AS$126,"")</f>
        <v/>
      </c>
      <c r="BW113" s="1" t="str">
        <f>IF(AT113&gt;AT$126, AT113-AT$126,"")</f>
        <v/>
      </c>
      <c r="BX113" s="1" t="str">
        <f>IF(AU113&gt;AU$126, AU113-AU$126,"")</f>
        <v/>
      </c>
      <c r="BY113" s="1" t="str">
        <f>IF(AV113&gt;AV$126, AV113-AV$126,"")</f>
        <v/>
      </c>
      <c r="BZ113" s="1" t="str">
        <f>IF(AW113&gt;AW$126, AW113-AW$126,"")</f>
        <v/>
      </c>
      <c r="CA113" s="1" t="str">
        <f>IF(AX113&gt;AX$126, AX113-AX$126,"")</f>
        <v/>
      </c>
      <c r="CB113" s="1" t="str">
        <f>IF(AY113&gt;AY$126, AY113-AY$126,"")</f>
        <v/>
      </c>
      <c r="CC113" s="1" t="str">
        <f>IF(AZ113&gt;AZ$126, AZ113-AZ$126,"")</f>
        <v/>
      </c>
      <c r="CD113" s="1" t="str">
        <f>IF(BA113&gt;BA$126, BA113-BA$126,"")</f>
        <v/>
      </c>
      <c r="CE113" s="1" t="str">
        <f>IF(BB113&gt;BB$126, BB113-BB$126,"")</f>
        <v/>
      </c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3"/>
    </row>
    <row r="114" spans="1:97" ht="54" x14ac:dyDescent="0.15">
      <c r="A114" s="1"/>
      <c r="B114" s="1" t="s">
        <v>144</v>
      </c>
      <c r="C114" s="1" t="s">
        <v>146</v>
      </c>
      <c r="D114" s="1" t="s">
        <v>119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28">
        <v>10</v>
      </c>
      <c r="Q114" s="28"/>
      <c r="R114" s="28"/>
      <c r="S114" s="28">
        <v>10</v>
      </c>
      <c r="T114" s="28"/>
      <c r="U114" s="28"/>
      <c r="V114" s="28">
        <v>10</v>
      </c>
      <c r="W114" s="28"/>
      <c r="X114" s="28"/>
      <c r="Y114" s="28">
        <v>10</v>
      </c>
      <c r="Z114" s="28"/>
      <c r="AA114" s="28"/>
      <c r="AB114" s="28"/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40</v>
      </c>
      <c r="BQ114" s="1">
        <v>35</v>
      </c>
      <c r="BR114" s="17">
        <v>4</v>
      </c>
      <c r="BS114" s="17" t="s">
        <v>291</v>
      </c>
      <c r="BT114" s="1" t="str">
        <f>IF(AQ114&gt;AQ$126, AQ114-AQ$126,"")</f>
        <v/>
      </c>
      <c r="BU114" s="1" t="str">
        <f>IF(AR114&gt;AR$126, AR114-AR$126,"")</f>
        <v/>
      </c>
      <c r="BV114" s="1" t="str">
        <f>IF(AS114&gt;AS$126, AS114-AS$126,"")</f>
        <v/>
      </c>
      <c r="BW114" s="1" t="str">
        <f>IF(AT114&gt;AT$126, AT114-AT$126,"")</f>
        <v/>
      </c>
      <c r="BX114" s="1" t="str">
        <f>IF(AU114&gt;AU$126, AU114-AU$126,"")</f>
        <v/>
      </c>
      <c r="BY114" s="1" t="str">
        <f>IF(AV114&gt;AV$126, AV114-AV$126,"")</f>
        <v/>
      </c>
      <c r="BZ114" s="1" t="str">
        <f>IF(AW114&gt;AW$126, AW114-AW$126,"")</f>
        <v/>
      </c>
      <c r="CA114" s="1" t="str">
        <f>IF(AX114&gt;AX$126, AX114-AX$126,"")</f>
        <v/>
      </c>
      <c r="CB114" s="1" t="str">
        <f>IF(AY114&gt;AY$126, AY114-AY$126,"")</f>
        <v/>
      </c>
      <c r="CC114" s="1" t="str">
        <f>IF(AZ114&gt;AZ$126, AZ114-AZ$126,"")</f>
        <v/>
      </c>
      <c r="CD114" s="1" t="str">
        <f>IF(BA114&gt;BA$126, BA114-BA$126,"")</f>
        <v/>
      </c>
      <c r="CE114" s="1" t="str">
        <f>IF(BB114&gt;BB$126, BB114-BB$126,"")</f>
        <v/>
      </c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3"/>
    </row>
    <row r="115" spans="1:97" ht="54" x14ac:dyDescent="0.15">
      <c r="A115" s="1"/>
      <c r="B115" s="1" t="s">
        <v>150</v>
      </c>
      <c r="C115" s="1" t="s">
        <v>148</v>
      </c>
      <c r="D115" s="1" t="s">
        <v>119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28">
        <v>10</v>
      </c>
      <c r="Q115" s="28"/>
      <c r="R115" s="28"/>
      <c r="S115" s="28">
        <v>10</v>
      </c>
      <c r="T115" s="28"/>
      <c r="U115" s="28"/>
      <c r="V115" s="28">
        <v>10</v>
      </c>
      <c r="W115" s="28"/>
      <c r="X115" s="28"/>
      <c r="Y115" s="28">
        <v>10</v>
      </c>
      <c r="Z115" s="28"/>
      <c r="AA115" s="28"/>
      <c r="AB115" s="28"/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40</v>
      </c>
      <c r="BQ115" s="1">
        <v>35</v>
      </c>
      <c r="BR115" s="17">
        <v>4</v>
      </c>
      <c r="BS115" s="17" t="s">
        <v>291</v>
      </c>
      <c r="BT115" s="1" t="str">
        <f>IF(AQ115&gt;AQ$126, AQ115-AQ$126,"")</f>
        <v/>
      </c>
      <c r="BU115" s="1" t="str">
        <f>IF(AR115&gt;AR$126, AR115-AR$126,"")</f>
        <v/>
      </c>
      <c r="BV115" s="1" t="str">
        <f>IF(AS115&gt;AS$126, AS115-AS$126,"")</f>
        <v/>
      </c>
      <c r="BW115" s="1" t="str">
        <f>IF(AT115&gt;AT$126, AT115-AT$126,"")</f>
        <v/>
      </c>
      <c r="BX115" s="1" t="str">
        <f>IF(AU115&gt;AU$126, AU115-AU$126,"")</f>
        <v/>
      </c>
      <c r="BY115" s="1" t="str">
        <f>IF(AV115&gt;AV$126, AV115-AV$126,"")</f>
        <v/>
      </c>
      <c r="BZ115" s="1" t="str">
        <f>IF(AW115&gt;AW$126, AW115-AW$126,"")</f>
        <v/>
      </c>
      <c r="CA115" s="1" t="str">
        <f>IF(AX115&gt;AX$126, AX115-AX$126,"")</f>
        <v/>
      </c>
      <c r="CB115" s="1" t="str">
        <f>IF(AY115&gt;AY$126, AY115-AY$126,"")</f>
        <v/>
      </c>
      <c r="CC115" s="1" t="str">
        <f>IF(AZ115&gt;AZ$126, AZ115-AZ$126,"")</f>
        <v/>
      </c>
      <c r="CD115" s="1" t="str">
        <f>IF(BA115&gt;BA$126, BA115-BA$126,"")</f>
        <v/>
      </c>
      <c r="CE115" s="1" t="str">
        <f>IF(BB115&gt;BB$126, BB115-BB$126,"")</f>
        <v/>
      </c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3"/>
    </row>
    <row r="116" spans="1:97" ht="54" x14ac:dyDescent="0.15">
      <c r="A116" s="1"/>
      <c r="B116" s="1" t="s">
        <v>153</v>
      </c>
      <c r="C116" s="1" t="s">
        <v>148</v>
      </c>
      <c r="D116" s="1" t="s">
        <v>119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28">
        <v>10</v>
      </c>
      <c r="Q116" s="28"/>
      <c r="R116" s="28"/>
      <c r="S116" s="28">
        <v>10</v>
      </c>
      <c r="T116" s="28"/>
      <c r="U116" s="28"/>
      <c r="V116" s="28">
        <v>10</v>
      </c>
      <c r="W116" s="28"/>
      <c r="X116" s="28"/>
      <c r="Y116" s="28">
        <v>10</v>
      </c>
      <c r="Z116" s="28"/>
      <c r="AA116" s="28"/>
      <c r="AB116" s="28"/>
      <c r="AC116" s="28"/>
      <c r="AD116" s="28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40</v>
      </c>
      <c r="BQ116" s="1">
        <v>35</v>
      </c>
      <c r="BR116" s="17">
        <v>4</v>
      </c>
      <c r="BS116" s="17" t="s">
        <v>291</v>
      </c>
      <c r="BT116" s="1" t="str">
        <f>IF(AQ116&gt;AQ$126, AQ116-AQ$126,"")</f>
        <v/>
      </c>
      <c r="BU116" s="1" t="str">
        <f>IF(AR116&gt;AR$126, AR116-AR$126,"")</f>
        <v/>
      </c>
      <c r="BV116" s="1" t="str">
        <f>IF(AS116&gt;AS$126, AS116-AS$126,"")</f>
        <v/>
      </c>
      <c r="BW116" s="1" t="str">
        <f>IF(AT116&gt;AT$126, AT116-AT$126,"")</f>
        <v/>
      </c>
      <c r="BX116" s="1" t="str">
        <f>IF(AU116&gt;AU$126, AU116-AU$126,"")</f>
        <v/>
      </c>
      <c r="BY116" s="1" t="str">
        <f>IF(AV116&gt;AV$126, AV116-AV$126,"")</f>
        <v/>
      </c>
      <c r="BZ116" s="1" t="str">
        <f>IF(AW116&gt;AW$126, AW116-AW$126,"")</f>
        <v/>
      </c>
      <c r="CA116" s="1" t="str">
        <f>IF(AX116&gt;AX$126, AX116-AX$126,"")</f>
        <v/>
      </c>
      <c r="CB116" s="1" t="str">
        <f>IF(AY116&gt;AY$126, AY116-AY$126,"")</f>
        <v/>
      </c>
      <c r="CC116" s="1" t="str">
        <f>IF(AZ116&gt;AZ$126, AZ116-AZ$126,"")</f>
        <v/>
      </c>
      <c r="CD116" s="1" t="str">
        <f>IF(BA116&gt;BA$126, BA116-BA$126,"")</f>
        <v/>
      </c>
      <c r="CE116" s="1" t="str">
        <f>IF(BB116&gt;BB$126, BB116-BB$126,"")</f>
        <v/>
      </c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3"/>
    </row>
    <row r="117" spans="1:97" ht="54" x14ac:dyDescent="0.15">
      <c r="A117" s="1"/>
      <c r="B117" s="1" t="s">
        <v>154</v>
      </c>
      <c r="C117" s="1" t="s">
        <v>148</v>
      </c>
      <c r="D117" s="1" t="s">
        <v>119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28">
        <v>10</v>
      </c>
      <c r="Q117" s="28"/>
      <c r="R117" s="28"/>
      <c r="S117" s="28">
        <v>10</v>
      </c>
      <c r="T117" s="28"/>
      <c r="U117" s="28"/>
      <c r="V117" s="28">
        <v>10</v>
      </c>
      <c r="W117" s="28"/>
      <c r="X117" s="28"/>
      <c r="Y117" s="28">
        <v>10</v>
      </c>
      <c r="Z117" s="28"/>
      <c r="AA117" s="28"/>
      <c r="AB117" s="28"/>
      <c r="AC117" s="28"/>
      <c r="AD117" s="28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40</v>
      </c>
      <c r="BQ117" s="1">
        <v>35</v>
      </c>
      <c r="BR117" s="17">
        <v>4</v>
      </c>
      <c r="BS117" s="17" t="s">
        <v>291</v>
      </c>
      <c r="BT117" s="1" t="str">
        <f>IF(AQ117&gt;AQ$126, AQ117-AQ$126,"")</f>
        <v/>
      </c>
      <c r="BU117" s="1" t="str">
        <f>IF(AR117&gt;AR$126, AR117-AR$126,"")</f>
        <v/>
      </c>
      <c r="BV117" s="1" t="str">
        <f>IF(AS117&gt;AS$126, AS117-AS$126,"")</f>
        <v/>
      </c>
      <c r="BW117" s="1" t="str">
        <f>IF(AT117&gt;AT$126, AT117-AT$126,"")</f>
        <v/>
      </c>
      <c r="BX117" s="1" t="str">
        <f>IF(AU117&gt;AU$126, AU117-AU$126,"")</f>
        <v/>
      </c>
      <c r="BY117" s="1" t="str">
        <f>IF(AV117&gt;AV$126, AV117-AV$126,"")</f>
        <v/>
      </c>
      <c r="BZ117" s="1" t="str">
        <f>IF(AW117&gt;AW$126, AW117-AW$126,"")</f>
        <v/>
      </c>
      <c r="CA117" s="1" t="str">
        <f>IF(AX117&gt;AX$126, AX117-AX$126,"")</f>
        <v/>
      </c>
      <c r="CB117" s="1" t="str">
        <f>IF(AY117&gt;AY$126, AY117-AY$126,"")</f>
        <v/>
      </c>
      <c r="CC117" s="1" t="str">
        <f>IF(AZ117&gt;AZ$126, AZ117-AZ$126,"")</f>
        <v/>
      </c>
      <c r="CD117" s="1" t="str">
        <f>IF(BA117&gt;BA$126, BA117-BA$126,"")</f>
        <v/>
      </c>
      <c r="CE117" s="1" t="str">
        <f>IF(BB117&gt;BB$126, BB117-BB$126,"")</f>
        <v/>
      </c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3"/>
    </row>
    <row r="118" spans="1:97" ht="54" x14ac:dyDescent="0.15">
      <c r="A118" s="1">
        <v>54</v>
      </c>
      <c r="B118" s="1" t="s">
        <v>54</v>
      </c>
      <c r="C118" s="1" t="s">
        <v>55</v>
      </c>
      <c r="D118" s="1" t="s">
        <v>1</v>
      </c>
      <c r="E118" s="6"/>
      <c r="F118" s="6">
        <v>15</v>
      </c>
      <c r="G118" s="6"/>
      <c r="H118" s="6">
        <v>15</v>
      </c>
      <c r="I118" s="6"/>
      <c r="J118" s="6"/>
      <c r="K118" s="6"/>
      <c r="L118" s="6"/>
      <c r="M118" s="6"/>
      <c r="N118" s="6"/>
      <c r="O118" s="6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>
        <v>15</v>
      </c>
      <c r="AW118" s="2"/>
      <c r="AX118" s="2"/>
      <c r="AY118" s="2"/>
      <c r="AZ118" s="2"/>
      <c r="BA118" s="2">
        <v>15</v>
      </c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>SUM(E118:BO118)</f>
        <v>60</v>
      </c>
      <c r="BQ118" s="1">
        <v>42</v>
      </c>
      <c r="BR118" s="17">
        <v>4</v>
      </c>
      <c r="BS118" s="17" t="s">
        <v>293</v>
      </c>
      <c r="BT118" s="1" t="str">
        <f>IF(AQ118&gt;AQ$126, AQ118-AQ$126,"")</f>
        <v/>
      </c>
      <c r="BU118" s="1" t="str">
        <f>IF(AR118&gt;AR$126, AR118-AR$126,"")</f>
        <v/>
      </c>
      <c r="BV118" s="1" t="str">
        <f>IF(AS118&gt;AS$126, AS118-AS$126,"")</f>
        <v/>
      </c>
      <c r="BW118" s="1" t="str">
        <f>IF(AT118&gt;AT$126, AT118-AT$126,"")</f>
        <v/>
      </c>
      <c r="BX118" s="1" t="str">
        <f>IF(AU118&gt;AU$126, AU118-AU$126,"")</f>
        <v/>
      </c>
      <c r="BY118" s="1" t="str">
        <f>IF(AV118&gt;AV$126, AV118-AV$126,"")</f>
        <v/>
      </c>
      <c r="BZ118" s="1" t="str">
        <f>IF(AW118&gt;AW$126, AW118-AW$126,"")</f>
        <v/>
      </c>
      <c r="CA118" s="1" t="str">
        <f>IF(AX118&gt;AX$126, AX118-AX$126,"")</f>
        <v/>
      </c>
      <c r="CB118" s="1" t="str">
        <f>IF(AY118&gt;AY$126, AY118-AY$126,"")</f>
        <v/>
      </c>
      <c r="CC118" s="1" t="str">
        <f>IF(AZ118&gt;AZ$126, AZ118-AZ$126,"")</f>
        <v/>
      </c>
      <c r="CD118" s="1" t="str">
        <f>IF(BA118&gt;BA$126, BA118-BA$126,"")</f>
        <v/>
      </c>
      <c r="CE118" s="1" t="str">
        <f>IF(BB118&gt;BB$126, BB118-BB$126,"")</f>
        <v/>
      </c>
      <c r="CF118" s="1">
        <f>COUNTIF(BT118:CE118, "&gt;0")</f>
        <v>0</v>
      </c>
      <c r="CG118" s="1" t="str">
        <f>IF($CF118=1,BT118,"")</f>
        <v/>
      </c>
      <c r="CH118" s="1" t="str">
        <f>IF($CF118=1,BU118,"")</f>
        <v/>
      </c>
      <c r="CI118" s="1" t="str">
        <f>IF($CF118=1,BV118,"")</f>
        <v/>
      </c>
      <c r="CJ118" s="1" t="str">
        <f>IF($CF118=1,BW118,"")</f>
        <v/>
      </c>
      <c r="CK118" s="1" t="str">
        <f>IF($CF118=1,BX118,"")</f>
        <v/>
      </c>
      <c r="CL118" s="1" t="str">
        <f>IF($CF118=1,BY118,"")</f>
        <v/>
      </c>
      <c r="CM118" s="1" t="str">
        <f>IF($CF118=1,BZ118,"")</f>
        <v/>
      </c>
      <c r="CN118" s="1" t="str">
        <f>IF($CF118=1,CA118,"")</f>
        <v/>
      </c>
      <c r="CO118" s="1" t="str">
        <f>IF($CF118=1,CB118,"")</f>
        <v/>
      </c>
      <c r="CP118" s="1" t="str">
        <f>IF($CF118=1,CC118,"")</f>
        <v/>
      </c>
      <c r="CQ118" s="1" t="str">
        <f>IF($CF118=1,CD118,"")</f>
        <v/>
      </c>
      <c r="CR118" s="1" t="str">
        <f>IF($CF118=1,CE118,"")</f>
        <v/>
      </c>
      <c r="CS118" s="3">
        <f>SUM(AE118:BO118)</f>
        <v>30</v>
      </c>
    </row>
    <row r="119" spans="1:97" ht="54" x14ac:dyDescent="0.15">
      <c r="A119" s="1">
        <v>23</v>
      </c>
      <c r="B119" s="1" t="s">
        <v>98</v>
      </c>
      <c r="C119" s="1" t="s">
        <v>30</v>
      </c>
      <c r="D119" s="1" t="s">
        <v>38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>
        <v>50</v>
      </c>
      <c r="BK119" s="1">
        <v>50</v>
      </c>
      <c r="BL119" s="1"/>
      <c r="BM119" s="1"/>
      <c r="BN119" s="1">
        <v>50</v>
      </c>
      <c r="BO119" s="1">
        <v>50</v>
      </c>
      <c r="BP119" s="1">
        <f>SUM(E119:BO119)</f>
        <v>200</v>
      </c>
      <c r="BQ119" s="1">
        <v>145</v>
      </c>
      <c r="BR119" s="17">
        <v>4</v>
      </c>
      <c r="BS119" s="17" t="s">
        <v>294</v>
      </c>
      <c r="BT119" s="1" t="str">
        <f>IF(AQ119&gt;AQ$126, AQ119-AQ$126,"")</f>
        <v/>
      </c>
      <c r="BU119" s="1" t="str">
        <f>IF(AR119&gt;AR$126, AR119-AR$126,"")</f>
        <v/>
      </c>
      <c r="BV119" s="1" t="str">
        <f>IF(AS119&gt;AS$126, AS119-AS$126,"")</f>
        <v/>
      </c>
      <c r="BW119" s="1" t="str">
        <f>IF(AT119&gt;AT$126, AT119-AT$126,"")</f>
        <v/>
      </c>
      <c r="BX119" s="1" t="str">
        <f>IF(AU119&gt;AU$126, AU119-AU$126,"")</f>
        <v/>
      </c>
      <c r="BY119" s="1" t="str">
        <f>IF(AV119&gt;AV$126, AV119-AV$126,"")</f>
        <v/>
      </c>
      <c r="BZ119" s="1" t="str">
        <f>IF(AW119&gt;AW$126, AW119-AW$126,"")</f>
        <v/>
      </c>
      <c r="CA119" s="1" t="str">
        <f>IF(AX119&gt;AX$126, AX119-AX$126,"")</f>
        <v/>
      </c>
      <c r="CB119" s="1" t="str">
        <f>IF(AY119&gt;AY$126, AY119-AY$126,"")</f>
        <v/>
      </c>
      <c r="CC119" s="1" t="str">
        <f>IF(AZ119&gt;AZ$126, AZ119-AZ$126,"")</f>
        <v/>
      </c>
      <c r="CD119" s="1" t="str">
        <f>IF(BA119&gt;BA$126, BA119-BA$126,"")</f>
        <v/>
      </c>
      <c r="CE119" s="1" t="str">
        <f>IF(BB119&gt;BB$126, BB119-BB$126,"")</f>
        <v/>
      </c>
      <c r="CF119" s="1">
        <f>COUNTIF(BT119:CE119, "&gt;0")</f>
        <v>0</v>
      </c>
      <c r="CG119" s="1" t="str">
        <f>IF($CF119=1,BT119,"")</f>
        <v/>
      </c>
      <c r="CH119" s="1" t="str">
        <f>IF($CF119=1,BU119,"")</f>
        <v/>
      </c>
      <c r="CI119" s="1" t="str">
        <f>IF($CF119=1,BV119,"")</f>
        <v/>
      </c>
      <c r="CJ119" s="1" t="str">
        <f>IF($CF119=1,BW119,"")</f>
        <v/>
      </c>
      <c r="CK119" s="1" t="str">
        <f>IF($CF119=1,BX119,"")</f>
        <v/>
      </c>
      <c r="CL119" s="1" t="str">
        <f>IF($CF119=1,BY119,"")</f>
        <v/>
      </c>
      <c r="CM119" s="1" t="str">
        <f>IF($CF119=1,BZ119,"")</f>
        <v/>
      </c>
      <c r="CN119" s="1" t="str">
        <f>IF($CF119=1,CA119,"")</f>
        <v/>
      </c>
      <c r="CO119" s="1" t="str">
        <f>IF($CF119=1,CB119,"")</f>
        <v/>
      </c>
      <c r="CP119" s="1" t="str">
        <f>IF($CF119=1,CC119,"")</f>
        <v/>
      </c>
      <c r="CQ119" s="1" t="str">
        <f>IF($CF119=1,CD119,"")</f>
        <v/>
      </c>
      <c r="CR119" s="1" t="str">
        <f>IF($CF119=1,CE119,"")</f>
        <v/>
      </c>
      <c r="CS119" s="3">
        <f>SUM(AE119:BO119)</f>
        <v>200</v>
      </c>
    </row>
    <row r="120" spans="1:97" ht="54" x14ac:dyDescent="0.15">
      <c r="A120" s="1"/>
      <c r="B120" s="1" t="s">
        <v>173</v>
      </c>
      <c r="C120" s="1" t="s">
        <v>113</v>
      </c>
      <c r="D120" s="1" t="s">
        <v>114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>
        <v>50</v>
      </c>
      <c r="BK120" s="1">
        <v>50</v>
      </c>
      <c r="BL120" s="1"/>
      <c r="BM120" s="1"/>
      <c r="BN120" s="1">
        <v>50</v>
      </c>
      <c r="BO120" s="1">
        <v>50</v>
      </c>
      <c r="BP120" s="1">
        <f>SUM(E120:BO120)</f>
        <v>200</v>
      </c>
      <c r="BQ120" s="1">
        <v>145</v>
      </c>
      <c r="BR120" s="17">
        <v>4</v>
      </c>
      <c r="BS120" s="17" t="s">
        <v>294</v>
      </c>
      <c r="BT120" s="1" t="str">
        <f>IF(AQ120&gt;AQ$126, AQ120-AQ$126,"")</f>
        <v/>
      </c>
      <c r="BU120" s="1" t="str">
        <f>IF(AR120&gt;AR$126, AR120-AR$126,"")</f>
        <v/>
      </c>
      <c r="BV120" s="1" t="str">
        <f>IF(AS120&gt;AS$126, AS120-AS$126,"")</f>
        <v/>
      </c>
      <c r="BW120" s="1" t="str">
        <f>IF(AT120&gt;AT$126, AT120-AT$126,"")</f>
        <v/>
      </c>
      <c r="BX120" s="1" t="str">
        <f>IF(AU120&gt;AU$126, AU120-AU$126,"")</f>
        <v/>
      </c>
      <c r="BY120" s="1" t="str">
        <f>IF(AV120&gt;AV$126, AV120-AV$126,"")</f>
        <v/>
      </c>
      <c r="BZ120" s="1" t="str">
        <f>IF(AW120&gt;AW$126, AW120-AW$126,"")</f>
        <v/>
      </c>
      <c r="CA120" s="1" t="str">
        <f>IF(AX120&gt;AX$126, AX120-AX$126,"")</f>
        <v/>
      </c>
      <c r="CB120" s="1" t="str">
        <f>IF(AY120&gt;AY$126, AY120-AY$126,"")</f>
        <v/>
      </c>
      <c r="CC120" s="1" t="str">
        <f>IF(AZ120&gt;AZ$126, AZ120-AZ$126,"")</f>
        <v/>
      </c>
      <c r="CD120" s="1" t="str">
        <f>IF(BA120&gt;BA$126, BA120-BA$126,"")</f>
        <v/>
      </c>
      <c r="CE120" s="1" t="str">
        <f>IF(BB120&gt;BB$126, BB120-BB$126,"")</f>
        <v/>
      </c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3"/>
    </row>
    <row r="121" spans="1:97" ht="54" x14ac:dyDescent="0.15">
      <c r="A121" s="1"/>
      <c r="B121" s="1" t="s">
        <v>171</v>
      </c>
      <c r="C121" s="1" t="s">
        <v>147</v>
      </c>
      <c r="D121" s="1" t="s">
        <v>38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>
        <v>50</v>
      </c>
      <c r="BK121" s="1">
        <v>50</v>
      </c>
      <c r="BL121" s="1"/>
      <c r="BM121" s="1"/>
      <c r="BN121" s="1">
        <v>50</v>
      </c>
      <c r="BO121" s="1">
        <v>50</v>
      </c>
      <c r="BP121" s="1">
        <f>SUM(E121:BO121)</f>
        <v>200</v>
      </c>
      <c r="BQ121" s="1">
        <v>145</v>
      </c>
      <c r="BR121" s="17">
        <v>4</v>
      </c>
      <c r="BS121" s="17" t="s">
        <v>294</v>
      </c>
      <c r="BT121" s="1" t="str">
        <f>IF(AQ121&gt;AQ$126, AQ121-AQ$126,"")</f>
        <v/>
      </c>
      <c r="BU121" s="1" t="str">
        <f>IF(AR121&gt;AR$126, AR121-AR$126,"")</f>
        <v/>
      </c>
      <c r="BV121" s="1" t="str">
        <f>IF(AS121&gt;AS$126, AS121-AS$126,"")</f>
        <v/>
      </c>
      <c r="BW121" s="1" t="str">
        <f>IF(AT121&gt;AT$126, AT121-AT$126,"")</f>
        <v/>
      </c>
      <c r="BX121" s="1" t="str">
        <f>IF(AU121&gt;AU$126, AU121-AU$126,"")</f>
        <v/>
      </c>
      <c r="BY121" s="1" t="str">
        <f>IF(AV121&gt;AV$126, AV121-AV$126,"")</f>
        <v/>
      </c>
      <c r="BZ121" s="1" t="str">
        <f>IF(AW121&gt;AW$126, AW121-AW$126,"")</f>
        <v/>
      </c>
      <c r="CA121" s="1" t="str">
        <f>IF(AX121&gt;AX$126, AX121-AX$126,"")</f>
        <v/>
      </c>
      <c r="CB121" s="1" t="str">
        <f>IF(AY121&gt;AY$126, AY121-AY$126,"")</f>
        <v/>
      </c>
      <c r="CC121" s="1" t="str">
        <f>IF(AZ121&gt;AZ$126, AZ121-AZ$126,"")</f>
        <v/>
      </c>
      <c r="CD121" s="1" t="str">
        <f>IF(BA121&gt;BA$126, BA121-BA$126,"")</f>
        <v/>
      </c>
      <c r="CE121" s="1" t="str">
        <f>IF(BB121&gt;BB$126, BB121-BB$126,"")</f>
        <v/>
      </c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3"/>
    </row>
    <row r="122" spans="1:97" ht="54" x14ac:dyDescent="0.15">
      <c r="A122" s="1">
        <v>102</v>
      </c>
      <c r="B122" s="3" t="s">
        <v>209</v>
      </c>
      <c r="C122" s="3" t="s">
        <v>68</v>
      </c>
      <c r="D122" s="1" t="s">
        <v>38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>
        <v>50</v>
      </c>
      <c r="BK122" s="1">
        <v>50</v>
      </c>
      <c r="BL122" s="1"/>
      <c r="BM122" s="1"/>
      <c r="BN122" s="1">
        <v>50</v>
      </c>
      <c r="BO122" s="1">
        <v>50</v>
      </c>
      <c r="BP122" s="1">
        <f>SUM(E122:BO122)</f>
        <v>200</v>
      </c>
      <c r="BQ122" s="1">
        <v>145</v>
      </c>
      <c r="BR122" s="17">
        <v>4</v>
      </c>
      <c r="BS122" s="17" t="s">
        <v>295</v>
      </c>
      <c r="BT122" s="1" t="str">
        <f>IF(AQ122&gt;AQ$126, AQ122-AQ$126,"")</f>
        <v/>
      </c>
      <c r="BU122" s="1" t="str">
        <f>IF(AR122&gt;AR$126, AR122-AR$126,"")</f>
        <v/>
      </c>
      <c r="BV122" s="1" t="str">
        <f>IF(AS122&gt;AS$126, AS122-AS$126,"")</f>
        <v/>
      </c>
      <c r="BW122" s="1" t="str">
        <f>IF(AT122&gt;AT$126, AT122-AT$126,"")</f>
        <v/>
      </c>
      <c r="BX122" s="1" t="str">
        <f>IF(AU122&gt;AU$126, AU122-AU$126,"")</f>
        <v/>
      </c>
      <c r="BY122" s="1" t="str">
        <f>IF(AV122&gt;AV$126, AV122-AV$126,"")</f>
        <v/>
      </c>
      <c r="BZ122" s="1" t="str">
        <f>IF(AW122&gt;AW$126, AW122-AW$126,"")</f>
        <v/>
      </c>
      <c r="CA122" s="1" t="str">
        <f>IF(AX122&gt;AX$126, AX122-AX$126,"")</f>
        <v/>
      </c>
      <c r="CB122" s="1" t="str">
        <f>IF(AY122&gt;AY$126, AY122-AY$126,"")</f>
        <v/>
      </c>
      <c r="CC122" s="1" t="str">
        <f>IF(AZ122&gt;AZ$126, AZ122-AZ$126,"")</f>
        <v/>
      </c>
      <c r="CD122" s="1" t="str">
        <f>IF(BA122&gt;BA$126, BA122-BA$126,"")</f>
        <v/>
      </c>
      <c r="CE122" s="1" t="str">
        <f>IF(BB122&gt;BB$126, BB122-BB$126,"")</f>
        <v/>
      </c>
      <c r="CF122" s="1">
        <f>COUNTIF(BT122:CE122, "&gt;0")</f>
        <v>0</v>
      </c>
      <c r="CG122" s="1" t="str">
        <f>IF($CF122=1,BT122,"")</f>
        <v/>
      </c>
      <c r="CH122" s="1" t="str">
        <f>IF($CF122=1,BU122,"")</f>
        <v/>
      </c>
      <c r="CI122" s="1" t="str">
        <f>IF($CF122=1,BV122,"")</f>
        <v/>
      </c>
      <c r="CJ122" s="1" t="str">
        <f>IF($CF122=1,BW122,"")</f>
        <v/>
      </c>
      <c r="CK122" s="1" t="str">
        <f>IF($CF122=1,BX122,"")</f>
        <v/>
      </c>
      <c r="CL122" s="1" t="str">
        <f>IF($CF122=1,BY122,"")</f>
        <v/>
      </c>
      <c r="CM122" s="1" t="str">
        <f>IF($CF122=1,BZ122,"")</f>
        <v/>
      </c>
      <c r="CN122" s="1" t="str">
        <f>IF($CF122=1,CA122,"")</f>
        <v/>
      </c>
      <c r="CO122" s="1" t="str">
        <f>IF($CF122=1,CB122,"")</f>
        <v/>
      </c>
      <c r="CP122" s="1" t="str">
        <f>IF($CF122=1,CC122,"")</f>
        <v/>
      </c>
      <c r="CQ122" s="1" t="str">
        <f>IF($CF122=1,CD122,"")</f>
        <v/>
      </c>
      <c r="CR122" s="1" t="str">
        <f>IF($CF122=1,CE122,"")</f>
        <v/>
      </c>
      <c r="CS122" s="3">
        <f>SUM(AE122:BO122)</f>
        <v>200</v>
      </c>
    </row>
    <row r="123" spans="1:97" ht="54" x14ac:dyDescent="0.15">
      <c r="A123" s="1">
        <v>85</v>
      </c>
      <c r="B123" s="3" t="s">
        <v>187</v>
      </c>
      <c r="C123" s="3" t="s">
        <v>63</v>
      </c>
      <c r="D123" s="1" t="s">
        <v>38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>
        <v>50</v>
      </c>
      <c r="BM123" s="1">
        <v>50</v>
      </c>
      <c r="BN123" s="1">
        <v>50</v>
      </c>
      <c r="BO123" s="1">
        <v>50</v>
      </c>
      <c r="BP123" s="1">
        <f>SUM(E123:BO123)</f>
        <v>200</v>
      </c>
      <c r="BQ123" s="1">
        <v>146</v>
      </c>
      <c r="BR123" s="17">
        <v>4</v>
      </c>
      <c r="BS123" s="17" t="s">
        <v>296</v>
      </c>
      <c r="BT123" s="1" t="str">
        <f>IF(AQ123&gt;AQ$126, AQ123-AQ$126,"")</f>
        <v/>
      </c>
      <c r="BU123" s="1" t="str">
        <f>IF(AR123&gt;AR$126, AR123-AR$126,"")</f>
        <v/>
      </c>
      <c r="BV123" s="1" t="str">
        <f>IF(AS123&gt;AS$126, AS123-AS$126,"")</f>
        <v/>
      </c>
      <c r="BW123" s="1" t="str">
        <f>IF(AT123&gt;AT$126, AT123-AT$126,"")</f>
        <v/>
      </c>
      <c r="BX123" s="1" t="str">
        <f>IF(AU123&gt;AU$126, AU123-AU$126,"")</f>
        <v/>
      </c>
      <c r="BY123" s="1" t="str">
        <f>IF(AV123&gt;AV$126, AV123-AV$126,"")</f>
        <v/>
      </c>
      <c r="BZ123" s="1" t="str">
        <f>IF(AW123&gt;AW$126, AW123-AW$126,"")</f>
        <v/>
      </c>
      <c r="CA123" s="1" t="str">
        <f>IF(AX123&gt;AX$126, AX123-AX$126,"")</f>
        <v/>
      </c>
      <c r="CB123" s="1" t="str">
        <f>IF(AY123&gt;AY$126, AY123-AY$126,"")</f>
        <v/>
      </c>
      <c r="CC123" s="1" t="str">
        <f>IF(AZ123&gt;AZ$126, AZ123-AZ$126,"")</f>
        <v/>
      </c>
      <c r="CD123" s="1" t="str">
        <f>IF(BA123&gt;BA$126, BA123-BA$126,"")</f>
        <v/>
      </c>
      <c r="CE123" s="1" t="str">
        <f>IF(BB123&gt;BB$126, BB123-BB$126,"")</f>
        <v/>
      </c>
      <c r="CF123" s="1">
        <f>COUNTIF(BT123:CE123, "&gt;0")</f>
        <v>0</v>
      </c>
      <c r="CG123" s="1" t="str">
        <f>IF($CF123=1,BT123,"")</f>
        <v/>
      </c>
      <c r="CH123" s="1" t="str">
        <f>IF($CF123=1,BU123,"")</f>
        <v/>
      </c>
      <c r="CI123" s="1" t="str">
        <f>IF($CF123=1,BV123,"")</f>
        <v/>
      </c>
      <c r="CJ123" s="1" t="str">
        <f>IF($CF123=1,BW123,"")</f>
        <v/>
      </c>
      <c r="CK123" s="1" t="str">
        <f>IF($CF123=1,BX123,"")</f>
        <v/>
      </c>
      <c r="CL123" s="1" t="str">
        <f>IF($CF123=1,BY123,"")</f>
        <v/>
      </c>
      <c r="CM123" s="1" t="str">
        <f>IF($CF123=1,BZ123,"")</f>
        <v/>
      </c>
      <c r="CN123" s="1" t="str">
        <f>IF($CF123=1,CA123,"")</f>
        <v/>
      </c>
      <c r="CO123" s="1" t="str">
        <f>IF($CF123=1,CB123,"")</f>
        <v/>
      </c>
      <c r="CP123" s="1" t="str">
        <f>IF($CF123=1,CC123,"")</f>
        <v/>
      </c>
      <c r="CQ123" s="1" t="str">
        <f>IF($CF123=1,CD123,"")</f>
        <v/>
      </c>
      <c r="CR123" s="1" t="str">
        <f>IF($CF123=1,CE123,"")</f>
        <v/>
      </c>
      <c r="CS123" s="3">
        <f>SUM(AE123:BO123)</f>
        <v>200</v>
      </c>
    </row>
    <row r="124" spans="1:97" ht="54" x14ac:dyDescent="0.15">
      <c r="A124" s="1"/>
      <c r="B124" s="1" t="s">
        <v>183</v>
      </c>
      <c r="C124" s="1" t="s">
        <v>116</v>
      </c>
      <c r="D124" s="1" t="s">
        <v>114</v>
      </c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>
        <v>50</v>
      </c>
      <c r="BM124" s="1">
        <v>50</v>
      </c>
      <c r="BN124" s="1">
        <v>50</v>
      </c>
      <c r="BO124" s="1">
        <v>50</v>
      </c>
      <c r="BP124" s="1">
        <f>SUM(E124:BO124)</f>
        <v>200</v>
      </c>
      <c r="BQ124" s="1">
        <v>146</v>
      </c>
      <c r="BR124" s="17">
        <v>4</v>
      </c>
      <c r="BS124" s="17" t="s">
        <v>296</v>
      </c>
      <c r="BT124" s="1" t="str">
        <f>IF(AQ124&gt;AQ$126, AQ124-AQ$126,"")</f>
        <v/>
      </c>
      <c r="BU124" s="1" t="str">
        <f>IF(AR124&gt;AR$126, AR124-AR$126,"")</f>
        <v/>
      </c>
      <c r="BV124" s="1" t="str">
        <f>IF(AS124&gt;AS$126, AS124-AS$126,"")</f>
        <v/>
      </c>
      <c r="BW124" s="1" t="str">
        <f>IF(AT124&gt;AT$126, AT124-AT$126,"")</f>
        <v/>
      </c>
      <c r="BX124" s="1" t="str">
        <f>IF(AU124&gt;AU$126, AU124-AU$126,"")</f>
        <v/>
      </c>
      <c r="BY124" s="1" t="str">
        <f>IF(AV124&gt;AV$126, AV124-AV$126,"")</f>
        <v/>
      </c>
      <c r="BZ124" s="1" t="str">
        <f>IF(AW124&gt;AW$126, AW124-AW$126,"")</f>
        <v/>
      </c>
      <c r="CA124" s="1" t="str">
        <f>IF(AX124&gt;AX$126, AX124-AX$126,"")</f>
        <v/>
      </c>
      <c r="CB124" s="1" t="str">
        <f>IF(AY124&gt;AY$126, AY124-AY$126,"")</f>
        <v/>
      </c>
      <c r="CC124" s="1" t="str">
        <f>IF(AZ124&gt;AZ$126, AZ124-AZ$126,"")</f>
        <v/>
      </c>
      <c r="CD124" s="1" t="str">
        <f>IF(BA124&gt;BA$126, BA124-BA$126,"")</f>
        <v/>
      </c>
      <c r="CE124" s="1" t="str">
        <f>IF(BB124&gt;BB$126, BB124-BB$126,"")</f>
        <v/>
      </c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3"/>
    </row>
    <row r="125" spans="1:97" ht="54" x14ac:dyDescent="0.15">
      <c r="A125" s="1"/>
      <c r="B125" s="1" t="s">
        <v>207</v>
      </c>
      <c r="C125" s="1" t="s">
        <v>116</v>
      </c>
      <c r="D125" s="1" t="s">
        <v>114</v>
      </c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>
        <v>50</v>
      </c>
      <c r="BM125" s="1">
        <v>50</v>
      </c>
      <c r="BN125" s="1">
        <v>50</v>
      </c>
      <c r="BO125" s="1">
        <v>50</v>
      </c>
      <c r="BP125" s="1">
        <f>SUM(E125:BO125)</f>
        <v>200</v>
      </c>
      <c r="BQ125" s="1">
        <v>146</v>
      </c>
      <c r="BR125" s="17">
        <v>4</v>
      </c>
      <c r="BS125" s="17" t="s">
        <v>297</v>
      </c>
      <c r="BT125" s="1" t="str">
        <f>IF(AQ125&gt;AQ$126, AQ125-AQ$126,"")</f>
        <v/>
      </c>
      <c r="BU125" s="1" t="str">
        <f>IF(AR125&gt;AR$126, AR125-AR$126,"")</f>
        <v/>
      </c>
      <c r="BV125" s="1" t="str">
        <f>IF(AS125&gt;AS$126, AS125-AS$126,"")</f>
        <v/>
      </c>
      <c r="BW125" s="1" t="str">
        <f>IF(AT125&gt;AT$126, AT125-AT$126,"")</f>
        <v/>
      </c>
      <c r="BX125" s="1" t="str">
        <f>IF(AU125&gt;AU$126, AU125-AU$126,"")</f>
        <v/>
      </c>
      <c r="BY125" s="1" t="str">
        <f>IF(AV125&gt;AV$126, AV125-AV$126,"")</f>
        <v/>
      </c>
      <c r="BZ125" s="1" t="str">
        <f>IF(AW125&gt;AW$126, AW125-AW$126,"")</f>
        <v/>
      </c>
      <c r="CA125" s="1" t="str">
        <f>IF(AX125&gt;AX$126, AX125-AX$126,"")</f>
        <v/>
      </c>
      <c r="CB125" s="1" t="str">
        <f>IF(AY125&gt;AY$126, AY125-AY$126,"")</f>
        <v/>
      </c>
      <c r="CC125" s="1" t="str">
        <f>IF(AZ125&gt;AZ$126, AZ125-AZ$126,"")</f>
        <v/>
      </c>
      <c r="CD125" s="1" t="str">
        <f>IF(BA125&gt;BA$126, BA125-BA$126,"")</f>
        <v/>
      </c>
      <c r="CE125" s="1" t="str">
        <f>IF(BB125&gt;BB$126, BB125-BB$126,"")</f>
        <v/>
      </c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3"/>
    </row>
    <row r="126" spans="1:97" x14ac:dyDescent="0.15">
      <c r="A126" s="1"/>
      <c r="B126" s="1" t="s">
        <v>70</v>
      </c>
      <c r="C126" s="1"/>
      <c r="D126" s="1"/>
      <c r="E126" s="6">
        <f>SUM(E3:E125)</f>
        <v>148</v>
      </c>
      <c r="F126" s="6">
        <f>SUM(F3:F125)</f>
        <v>68</v>
      </c>
      <c r="G126" s="6">
        <f>SUM(G3:G125)</f>
        <v>201</v>
      </c>
      <c r="H126" s="6">
        <f>SUM(H3:H125)</f>
        <v>161</v>
      </c>
      <c r="I126" s="6">
        <f>SUM(I3:I125)</f>
        <v>23</v>
      </c>
      <c r="J126" s="6">
        <f>SUM(J3:J125)</f>
        <v>40</v>
      </c>
      <c r="K126" s="6">
        <f>SUM(K3:K125)</f>
        <v>26</v>
      </c>
      <c r="L126" s="6">
        <f>SUM(L3:L125)</f>
        <v>102</v>
      </c>
      <c r="M126" s="6">
        <f>SUM(M3:M125)</f>
        <v>37</v>
      </c>
      <c r="N126" s="6">
        <f>SUM(N3:N125)</f>
        <v>26</v>
      </c>
      <c r="O126" s="6">
        <f>SUM(O3:O125)</f>
        <v>88</v>
      </c>
      <c r="P126" s="28">
        <f>SUM(P3:P125)</f>
        <v>130</v>
      </c>
      <c r="Q126" s="28">
        <f>SUM(Q3:Q125)</f>
        <v>76</v>
      </c>
      <c r="R126" s="28">
        <f>SUM(R3:R125)</f>
        <v>83</v>
      </c>
      <c r="S126" s="28">
        <f>SUM(S3:S125)</f>
        <v>130</v>
      </c>
      <c r="T126" s="28">
        <f>SUM(T3:T125)</f>
        <v>61</v>
      </c>
      <c r="U126" s="28">
        <f>SUM(U3:U125)</f>
        <v>62</v>
      </c>
      <c r="V126" s="28">
        <f>SUM(V3:V125)</f>
        <v>135</v>
      </c>
      <c r="W126" s="28">
        <f>SUM(W3:W125)</f>
        <v>35</v>
      </c>
      <c r="X126" s="28">
        <f>SUM(X3:X125)</f>
        <v>59</v>
      </c>
      <c r="Y126" s="28">
        <f>SUM(Y3:Y125)</f>
        <v>125</v>
      </c>
      <c r="Z126" s="28">
        <f>SUM(Z3:Z125)</f>
        <v>50</v>
      </c>
      <c r="AA126" s="28">
        <f>SUM(AA3:AA125)</f>
        <v>35</v>
      </c>
      <c r="AB126" s="28">
        <f>SUM(AB3:AB125)</f>
        <v>140</v>
      </c>
      <c r="AC126" s="28">
        <f>SUM(AC3:AC125)</f>
        <v>30</v>
      </c>
      <c r="AD126" s="28">
        <f>SUM(AD3:AD125)</f>
        <v>22</v>
      </c>
      <c r="AE126" s="1">
        <f>SUM(AE3:AE125)</f>
        <v>265</v>
      </c>
      <c r="AF126" s="1">
        <f>SUM(AF3:AF125)</f>
        <v>10</v>
      </c>
      <c r="AG126" s="1">
        <f>SUM(AG3:AG125)</f>
        <v>15</v>
      </c>
      <c r="AH126" s="1">
        <f>SUM(AH3:AH125)</f>
        <v>30</v>
      </c>
      <c r="AI126" s="1">
        <f>SUM(AI3:AI125)</f>
        <v>30</v>
      </c>
      <c r="AJ126" s="1">
        <f>SUM(AJ3:AJ125)</f>
        <v>5</v>
      </c>
      <c r="AK126" s="1">
        <f>SUM(AK3:AK125)</f>
        <v>0</v>
      </c>
      <c r="AL126" s="1">
        <f>SUM(AL3:AL125)</f>
        <v>0</v>
      </c>
      <c r="AM126" s="1">
        <f>SUM(AM3:AM125)</f>
        <v>20</v>
      </c>
      <c r="AN126" s="1">
        <f>SUM(AN3:AN125)</f>
        <v>50</v>
      </c>
      <c r="AO126" s="1">
        <f>SUM(AO3:AO125)</f>
        <v>25</v>
      </c>
      <c r="AP126" s="1">
        <f>SUM(AP3:AP125)</f>
        <v>26</v>
      </c>
      <c r="AQ126" s="4">
        <f>SUM(AQ3:AQ125)</f>
        <v>80</v>
      </c>
      <c r="AR126" s="4">
        <f>SUM(AR3:AR125)</f>
        <v>105</v>
      </c>
      <c r="AS126" s="4">
        <f>SUM(AS3:AS125)</f>
        <v>75</v>
      </c>
      <c r="AT126" s="4">
        <f>SUM(AT3:AT125)</f>
        <v>85</v>
      </c>
      <c r="AU126" s="4">
        <f>SUM(AU3:AU125)</f>
        <v>40</v>
      </c>
      <c r="AV126" s="4">
        <f>SUM(AV3:AV125)</f>
        <v>105</v>
      </c>
      <c r="AW126" s="2">
        <f>SUM(AW3:AW125)</f>
        <v>100</v>
      </c>
      <c r="AX126" s="2">
        <f>SUM(AX3:AX125)</f>
        <v>70</v>
      </c>
      <c r="AY126" s="2">
        <f>SUM(AY3:AY125)</f>
        <v>35</v>
      </c>
      <c r="AZ126" s="2">
        <f>SUM(AZ3:AZ125)</f>
        <v>75</v>
      </c>
      <c r="BA126" s="2">
        <f>SUM(BA3:BA125)</f>
        <v>175</v>
      </c>
      <c r="BB126" s="2">
        <f>SUM(BB3:BB125)</f>
        <v>325</v>
      </c>
      <c r="BC126" s="1">
        <f>SUM(BC3:BC125)</f>
        <v>10</v>
      </c>
      <c r="BD126" s="1">
        <f>SUM(BD3:BD125)</f>
        <v>150</v>
      </c>
      <c r="BE126" s="1">
        <f>SUM(BE3:BE125)</f>
        <v>100</v>
      </c>
      <c r="BF126" s="1">
        <f>SUM(BF3:BF125)</f>
        <v>100</v>
      </c>
      <c r="BG126" s="1">
        <f>SUM(BG3:BG125)</f>
        <v>100</v>
      </c>
      <c r="BH126" s="1">
        <f>SUM(BH3:BH125)</f>
        <v>90</v>
      </c>
      <c r="BI126" s="1">
        <f>SUM(BI3:BI125)</f>
        <v>70</v>
      </c>
      <c r="BJ126" s="1">
        <f>SUM(BJ3:BJ125)</f>
        <v>200</v>
      </c>
      <c r="BK126" s="1">
        <f>SUM(BK3:BK125)</f>
        <v>200</v>
      </c>
      <c r="BL126" s="1">
        <f>SUM(BL3:BL125)</f>
        <v>150</v>
      </c>
      <c r="BM126" s="1">
        <f>SUM(BM3:BM125)</f>
        <v>150</v>
      </c>
      <c r="BN126" s="1">
        <f>SUM(BN3:BN125)</f>
        <v>350</v>
      </c>
      <c r="BO126" s="1">
        <f>SUM(BO3:BO125)</f>
        <v>350</v>
      </c>
      <c r="BP126" s="1"/>
      <c r="BQ126" s="1"/>
      <c r="BR126" s="17"/>
      <c r="BS126" s="17"/>
      <c r="BT126" s="1">
        <f>MIN(BT3:BT125)</f>
        <v>0</v>
      </c>
      <c r="BU126" s="1">
        <f>MIN(BU3:BU125)</f>
        <v>0</v>
      </c>
      <c r="BV126" s="1">
        <f>MIN(BV3:BV125)</f>
        <v>0</v>
      </c>
      <c r="BW126" s="1">
        <f>MIN(BW3:BW125)</f>
        <v>0</v>
      </c>
      <c r="BX126" s="1">
        <f>MIN(BX3:BX125)</f>
        <v>0</v>
      </c>
      <c r="BY126" s="1">
        <f>MIN(BY3:BY125)</f>
        <v>0</v>
      </c>
      <c r="BZ126" s="1">
        <f>MIN(BZ3:BZ125)</f>
        <v>0</v>
      </c>
      <c r="CA126" s="1">
        <f>MIN(CA3:CA125)</f>
        <v>0</v>
      </c>
      <c r="CB126" s="1">
        <f>MIN(CB3:CB125)</f>
        <v>0</v>
      </c>
      <c r="CC126" s="1">
        <f>MIN(CC3:CC125)</f>
        <v>0</v>
      </c>
      <c r="CD126" s="1">
        <f>MIN(CD3:CD125)</f>
        <v>0</v>
      </c>
      <c r="CE126" s="1">
        <f>MIN(CE3:CE125)</f>
        <v>0</v>
      </c>
      <c r="CF126" s="1"/>
      <c r="CG126" s="1">
        <f>MIN(CG3:CG125)</f>
        <v>0</v>
      </c>
      <c r="CH126" s="1">
        <f>MIN(CH3:CH125)</f>
        <v>0</v>
      </c>
      <c r="CI126" s="1">
        <f>MIN(CI3:CI125)</f>
        <v>0</v>
      </c>
      <c r="CJ126" s="1">
        <f>MIN(CJ3:CJ125)</f>
        <v>0</v>
      </c>
      <c r="CK126" s="1">
        <f>MIN(CK3:CK125)</f>
        <v>0</v>
      </c>
      <c r="CL126" s="1">
        <f>MIN(CL3:CL125)</f>
        <v>0</v>
      </c>
      <c r="CM126" s="1">
        <f>MIN(CM3:CM125)</f>
        <v>0</v>
      </c>
      <c r="CN126" s="1">
        <f>MIN(CN3:CN125)</f>
        <v>0</v>
      </c>
      <c r="CO126" s="1">
        <f>MIN(CO3:CO125)</f>
        <v>0</v>
      </c>
      <c r="CP126" s="1">
        <f>MIN(CP3:CP125)</f>
        <v>0</v>
      </c>
      <c r="CQ126" s="1">
        <f>MIN(CQ3:CQ125)</f>
        <v>0</v>
      </c>
      <c r="CR126" s="1">
        <f>MIN(CR3:CR125)</f>
        <v>0</v>
      </c>
      <c r="CS126" s="3">
        <f>COUNTIF(CS3:CS125,"=0")</f>
        <v>1</v>
      </c>
    </row>
    <row r="127" spans="1:97" x14ac:dyDescent="0.15">
      <c r="A127" s="1"/>
      <c r="B127" s="3" t="s">
        <v>90</v>
      </c>
      <c r="C127" s="1"/>
      <c r="D127" s="1"/>
      <c r="E127" s="1">
        <v>10</v>
      </c>
      <c r="F127" s="1">
        <v>3</v>
      </c>
      <c r="G127" s="1">
        <v>21</v>
      </c>
      <c r="H127" s="1">
        <v>4</v>
      </c>
      <c r="I127" s="1">
        <v>13</v>
      </c>
      <c r="J127" s="1">
        <v>17</v>
      </c>
      <c r="K127" s="1">
        <v>14</v>
      </c>
      <c r="L127" s="1">
        <v>60</v>
      </c>
      <c r="M127" s="1">
        <v>22</v>
      </c>
      <c r="N127" s="1">
        <v>26</v>
      </c>
      <c r="O127" s="1">
        <v>11</v>
      </c>
      <c r="P127" s="14">
        <v>2</v>
      </c>
      <c r="Q127" s="14">
        <v>1</v>
      </c>
      <c r="R127" s="14">
        <v>2</v>
      </c>
      <c r="S127" s="14">
        <v>1</v>
      </c>
      <c r="T127" s="14">
        <v>5</v>
      </c>
      <c r="U127" s="14">
        <v>0</v>
      </c>
      <c r="V127" s="14">
        <v>2</v>
      </c>
      <c r="W127" s="14">
        <v>2</v>
      </c>
      <c r="X127" s="14">
        <v>6</v>
      </c>
      <c r="Y127" s="14">
        <v>0</v>
      </c>
      <c r="Z127" s="14">
        <v>1</v>
      </c>
      <c r="AA127" s="14">
        <v>1</v>
      </c>
      <c r="AB127" s="14">
        <v>8</v>
      </c>
      <c r="AC127" s="14">
        <v>2</v>
      </c>
      <c r="AD127" s="14">
        <v>4</v>
      </c>
      <c r="AE127" s="1">
        <v>12</v>
      </c>
      <c r="AF127" s="1">
        <v>0</v>
      </c>
      <c r="AG127" s="1">
        <v>1</v>
      </c>
      <c r="AH127" s="1">
        <v>0</v>
      </c>
      <c r="AI127" s="1">
        <v>0</v>
      </c>
      <c r="AJ127" s="1">
        <v>0</v>
      </c>
      <c r="AK127" s="1">
        <v>33</v>
      </c>
      <c r="AL127" s="1">
        <v>43</v>
      </c>
      <c r="AM127" s="1">
        <v>14</v>
      </c>
      <c r="AN127" s="1">
        <v>0</v>
      </c>
      <c r="AO127" s="1">
        <v>0</v>
      </c>
      <c r="AP127" s="1">
        <v>0</v>
      </c>
      <c r="AQ127" s="14">
        <v>5</v>
      </c>
      <c r="AR127" s="14">
        <v>0</v>
      </c>
      <c r="AS127" s="14">
        <v>9</v>
      </c>
      <c r="AT127" s="14">
        <v>6</v>
      </c>
      <c r="AU127" s="14">
        <v>8</v>
      </c>
      <c r="AV127" s="14">
        <v>11</v>
      </c>
      <c r="AW127" s="14">
        <v>4</v>
      </c>
      <c r="AX127" s="14">
        <v>32</v>
      </c>
      <c r="AY127" s="14">
        <v>15</v>
      </c>
      <c r="AZ127" s="14">
        <v>8</v>
      </c>
      <c r="BA127" s="14">
        <v>0</v>
      </c>
      <c r="BB127" s="14">
        <v>110</v>
      </c>
      <c r="BC127" s="14">
        <v>10</v>
      </c>
      <c r="BD127" s="1">
        <v>114</v>
      </c>
      <c r="BE127" s="1">
        <v>196</v>
      </c>
      <c r="BF127" s="1">
        <v>193</v>
      </c>
      <c r="BG127" s="1">
        <v>202</v>
      </c>
      <c r="BH127" s="1">
        <v>93</v>
      </c>
      <c r="BI127" s="1">
        <v>106</v>
      </c>
      <c r="BJ127" s="1">
        <v>25</v>
      </c>
      <c r="BK127" s="1">
        <v>25</v>
      </c>
      <c r="BL127" s="1">
        <v>49</v>
      </c>
      <c r="BM127" s="1"/>
      <c r="BN127" s="1">
        <v>5</v>
      </c>
      <c r="BO127" s="1"/>
      <c r="BP127" s="1"/>
      <c r="BQ127" s="1"/>
      <c r="BR127" s="17"/>
      <c r="BS127" s="17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</row>
    <row r="128" spans="1:97" x14ac:dyDescent="0.15">
      <c r="A128" s="1"/>
      <c r="B128" s="3" t="s">
        <v>97</v>
      </c>
      <c r="C128" s="1"/>
      <c r="D128" s="1"/>
      <c r="E128" s="1">
        <f>E127-E126</f>
        <v>-138</v>
      </c>
      <c r="F128" s="1">
        <f>F127-F126</f>
        <v>-65</v>
      </c>
      <c r="G128" s="1">
        <f>G127-G126</f>
        <v>-180</v>
      </c>
      <c r="H128" s="1">
        <f>H127-H126</f>
        <v>-157</v>
      </c>
      <c r="I128" s="1">
        <f>I127-I126</f>
        <v>-10</v>
      </c>
      <c r="J128" s="1">
        <f>J127-J126</f>
        <v>-23</v>
      </c>
      <c r="K128" s="1">
        <f>K127-K126</f>
        <v>-12</v>
      </c>
      <c r="L128" s="1">
        <f>L127-L126</f>
        <v>-42</v>
      </c>
      <c r="M128" s="1">
        <f>M127-M126</f>
        <v>-15</v>
      </c>
      <c r="N128" s="1">
        <f>N127-N126</f>
        <v>0</v>
      </c>
      <c r="O128" s="1">
        <f>O127-O126</f>
        <v>-77</v>
      </c>
      <c r="P128" s="1">
        <f>P127-P126</f>
        <v>-128</v>
      </c>
      <c r="Q128" s="1">
        <f>Q127-Q126</f>
        <v>-75</v>
      </c>
      <c r="R128" s="1">
        <f>R127-R126</f>
        <v>-81</v>
      </c>
      <c r="S128" s="1">
        <f>S127-S126</f>
        <v>-129</v>
      </c>
      <c r="T128" s="1">
        <f>T127-T126</f>
        <v>-56</v>
      </c>
      <c r="U128" s="1">
        <f>U127-U126</f>
        <v>-62</v>
      </c>
      <c r="V128" s="1">
        <f>V127-V126</f>
        <v>-133</v>
      </c>
      <c r="W128" s="1">
        <f>W127-W126</f>
        <v>-33</v>
      </c>
      <c r="X128" s="1">
        <f>X127-X126</f>
        <v>-53</v>
      </c>
      <c r="Y128" s="1">
        <f>Y127-Y126</f>
        <v>-125</v>
      </c>
      <c r="Z128" s="1">
        <f>Z127-Z126</f>
        <v>-49</v>
      </c>
      <c r="AA128" s="1">
        <f>AA127-AA126</f>
        <v>-34</v>
      </c>
      <c r="AB128" s="1">
        <f>AB127-AB126</f>
        <v>-132</v>
      </c>
      <c r="AC128" s="1">
        <f>AC127-AC126</f>
        <v>-28</v>
      </c>
      <c r="AD128" s="1">
        <f>AD127-AD126</f>
        <v>-18</v>
      </c>
      <c r="AE128" s="1">
        <f>AE127-AE126</f>
        <v>-253</v>
      </c>
      <c r="AF128" s="1">
        <f>AF127-AF126</f>
        <v>-10</v>
      </c>
      <c r="AG128" s="1">
        <f>AG127-AG126</f>
        <v>-14</v>
      </c>
      <c r="AH128" s="1">
        <f>AH127-AH126</f>
        <v>-30</v>
      </c>
      <c r="AI128" s="1">
        <f>AI127-AI126</f>
        <v>-30</v>
      </c>
      <c r="AJ128" s="1">
        <f>AJ127-AJ126</f>
        <v>-5</v>
      </c>
      <c r="AK128" s="1">
        <f>AK127-AK126</f>
        <v>33</v>
      </c>
      <c r="AL128" s="1">
        <f>AL127-AL126</f>
        <v>43</v>
      </c>
      <c r="AM128" s="1">
        <f>AM127-AM126</f>
        <v>-6</v>
      </c>
      <c r="AN128" s="1">
        <f>AN127-AN126</f>
        <v>-50</v>
      </c>
      <c r="AO128" s="1">
        <f>AO127-AO126</f>
        <v>-25</v>
      </c>
      <c r="AP128" s="1">
        <f>AP127-AP126</f>
        <v>-26</v>
      </c>
      <c r="AQ128" s="1">
        <f>AQ127-AQ126</f>
        <v>-75</v>
      </c>
      <c r="AR128" s="1">
        <f>AR127-AR126</f>
        <v>-105</v>
      </c>
      <c r="AS128" s="1">
        <f>AS127-AS126</f>
        <v>-66</v>
      </c>
      <c r="AT128" s="1">
        <f>AT127-AT126</f>
        <v>-79</v>
      </c>
      <c r="AU128" s="1">
        <f>AU127-AU126</f>
        <v>-32</v>
      </c>
      <c r="AV128" s="1">
        <f>AV127-AV126</f>
        <v>-94</v>
      </c>
      <c r="AW128" s="1">
        <f>AW127-AW126</f>
        <v>-96</v>
      </c>
      <c r="AX128" s="1">
        <f>AX127-AX126</f>
        <v>-38</v>
      </c>
      <c r="AY128" s="1">
        <f>AY127-AY126</f>
        <v>-20</v>
      </c>
      <c r="AZ128" s="1">
        <f>AZ127-AZ126</f>
        <v>-67</v>
      </c>
      <c r="BA128" s="1">
        <f>BA127-BA126</f>
        <v>-175</v>
      </c>
      <c r="BB128" s="1">
        <f>BB127-BB126</f>
        <v>-215</v>
      </c>
      <c r="BC128" s="1">
        <f>BC127-BC126</f>
        <v>0</v>
      </c>
      <c r="BD128" s="1">
        <f>BD127-BD126</f>
        <v>-36</v>
      </c>
      <c r="BE128" s="1">
        <f>BE127-BE126</f>
        <v>96</v>
      </c>
      <c r="BF128" s="1">
        <f>BF127-BF126</f>
        <v>93</v>
      </c>
      <c r="BG128" s="1">
        <f>BG127-BG126</f>
        <v>102</v>
      </c>
      <c r="BH128" s="1">
        <f>BH127-BH126</f>
        <v>3</v>
      </c>
      <c r="BI128" s="1">
        <f>BI127-BI126</f>
        <v>36</v>
      </c>
      <c r="BJ128" s="1">
        <f>BJ127-BJ126</f>
        <v>-175</v>
      </c>
      <c r="BK128" s="1">
        <f>BK127-BK126</f>
        <v>-175</v>
      </c>
      <c r="BL128" s="1">
        <f>BL127-BL126</f>
        <v>-101</v>
      </c>
      <c r="BM128" s="1">
        <f>BM127-BM126</f>
        <v>-150</v>
      </c>
      <c r="BN128" s="1">
        <f>BN127-BN126</f>
        <v>-345</v>
      </c>
      <c r="BO128" s="1">
        <f>BO127-BO126</f>
        <v>-350</v>
      </c>
      <c r="BP128" s="1"/>
      <c r="BQ128" s="1"/>
      <c r="BR128" s="17"/>
      <c r="BS128" s="17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</row>
    <row r="129" spans="1:97" x14ac:dyDescent="0.15">
      <c r="A129" s="1"/>
      <c r="B129" s="3" t="s">
        <v>188</v>
      </c>
      <c r="C129" s="1"/>
      <c r="D129" s="1"/>
      <c r="E129" s="1">
        <f>MAX(E3:E125)</f>
        <v>15</v>
      </c>
      <c r="F129" s="1">
        <f>MAX(F3:F125)</f>
        <v>20</v>
      </c>
      <c r="G129" s="1">
        <f>MAX(G3:G125)</f>
        <v>20</v>
      </c>
      <c r="H129" s="1">
        <f>MAX(H3:H125)</f>
        <v>20</v>
      </c>
      <c r="I129" s="1">
        <f>MAX(I3:I125)</f>
        <v>10</v>
      </c>
      <c r="J129" s="1">
        <f>MAX(J3:J125)</f>
        <v>10</v>
      </c>
      <c r="K129" s="1">
        <f>MAX(K3:K125)</f>
        <v>20</v>
      </c>
      <c r="L129" s="1">
        <f>MAX(L3:L125)</f>
        <v>20</v>
      </c>
      <c r="M129" s="1">
        <f>MAX(M3:M125)</f>
        <v>15</v>
      </c>
      <c r="N129" s="1">
        <f>MAX(N3:N125)</f>
        <v>20</v>
      </c>
      <c r="O129" s="1">
        <f>MAX(O3:O125)</f>
        <v>20</v>
      </c>
      <c r="P129" s="1">
        <f>MAX(P3:P125)</f>
        <v>10</v>
      </c>
      <c r="Q129" s="1">
        <f>MAX(Q3:Q125)</f>
        <v>7</v>
      </c>
      <c r="R129" s="1">
        <f>MAX(R3:R125)</f>
        <v>10</v>
      </c>
      <c r="S129" s="1">
        <f>MAX(S3:S125)</f>
        <v>10</v>
      </c>
      <c r="T129" s="1">
        <f>MAX(T3:T125)</f>
        <v>7</v>
      </c>
      <c r="U129" s="1">
        <f>MAX(U3:U125)</f>
        <v>10</v>
      </c>
      <c r="V129" s="1">
        <f>MAX(V3:V125)</f>
        <v>10</v>
      </c>
      <c r="W129" s="1">
        <f>MAX(W3:W125)</f>
        <v>5</v>
      </c>
      <c r="X129" s="1">
        <f>MAX(X3:X125)</f>
        <v>10</v>
      </c>
      <c r="Y129" s="1">
        <f>MAX(Y3:Y125)</f>
        <v>10</v>
      </c>
      <c r="Z129" s="1">
        <f>MAX(Z3:Z125)</f>
        <v>5</v>
      </c>
      <c r="AA129" s="1">
        <f>MAX(AA3:AA125)</f>
        <v>10</v>
      </c>
      <c r="AB129" s="1">
        <f>MAX(AB3:AB125)</f>
        <v>10</v>
      </c>
      <c r="AC129" s="1">
        <f>MAX(AC3:AC125)</f>
        <v>5</v>
      </c>
      <c r="AD129" s="1">
        <f>MAX(AD3:AD125)</f>
        <v>10</v>
      </c>
      <c r="AE129" s="1">
        <f>MAX(AE3:AE125)</f>
        <v>200</v>
      </c>
      <c r="AF129" s="1">
        <f>MAX(AF3:AF125)</f>
        <v>5</v>
      </c>
      <c r="AG129" s="1">
        <f>MAX(AG3:AG125)</f>
        <v>5</v>
      </c>
      <c r="AH129" s="1">
        <f>MAX(AH3:AH125)</f>
        <v>5</v>
      </c>
      <c r="AI129" s="1">
        <f>MAX(AI3:AI125)</f>
        <v>5</v>
      </c>
      <c r="AJ129" s="1">
        <f>MAX(AJ3:AJ125)</f>
        <v>5</v>
      </c>
      <c r="AK129" s="1">
        <f>MAX(AK3:AK125)</f>
        <v>0</v>
      </c>
      <c r="AL129" s="1">
        <f>MAX(AL3:AL125)</f>
        <v>0</v>
      </c>
      <c r="AM129" s="1">
        <f>MAX(AM3:AM125)</f>
        <v>15</v>
      </c>
      <c r="AN129" s="1">
        <f>MAX(AN3:AN125)</f>
        <v>25</v>
      </c>
      <c r="AO129" s="1">
        <f>MAX(AO3:AO125)</f>
        <v>10</v>
      </c>
      <c r="AP129" s="1">
        <f>MAX(AP3:AP125)</f>
        <v>10</v>
      </c>
      <c r="AQ129" s="1">
        <f>MAX(AQ3:AQ125)</f>
        <v>15</v>
      </c>
      <c r="AR129" s="1">
        <f>MAX(AR3:AR125)</f>
        <v>15</v>
      </c>
      <c r="AS129" s="1">
        <f>MAX(AS3:AS125)</f>
        <v>15</v>
      </c>
      <c r="AT129" s="1">
        <f>MAX(AT3:AT125)</f>
        <v>20</v>
      </c>
      <c r="AU129" s="1">
        <f>MAX(AU3:AU125)</f>
        <v>10</v>
      </c>
      <c r="AV129" s="1">
        <f>MAX(AV3:AV125)</f>
        <v>40</v>
      </c>
      <c r="AW129" s="1">
        <f>MAX(AW3:AW125)</f>
        <v>40</v>
      </c>
      <c r="AX129" s="1">
        <f>MAX(AX3:AX125)</f>
        <v>20</v>
      </c>
      <c r="AY129" s="1">
        <f>MAX(AY3:AY125)</f>
        <v>15</v>
      </c>
      <c r="AZ129" s="1">
        <f>MAX(AZ3:AZ125)</f>
        <v>15</v>
      </c>
      <c r="BA129" s="1">
        <f>MAX(BA3:BA125)</f>
        <v>20</v>
      </c>
      <c r="BB129" s="1">
        <f>MAX(BB3:BB125)</f>
        <v>40</v>
      </c>
      <c r="BC129" s="1">
        <f>MAX(BC3:BC125)</f>
        <v>10</v>
      </c>
      <c r="BD129" s="1">
        <f>MAX(BD3:BD125)</f>
        <v>50</v>
      </c>
      <c r="BE129" s="1">
        <f>MAX(BE3:BE125)</f>
        <v>20</v>
      </c>
      <c r="BF129" s="1">
        <f>MAX(BF3:BF125)</f>
        <v>20</v>
      </c>
      <c r="BG129" s="1">
        <f>MAX(BG3:BG125)</f>
        <v>20</v>
      </c>
      <c r="BH129" s="1">
        <f>MAX(BH3:BH125)</f>
        <v>20</v>
      </c>
      <c r="BI129" s="1">
        <f>MAX(BI3:BI125)</f>
        <v>20</v>
      </c>
      <c r="BJ129" s="1">
        <f>MAX(BJ3:BJ125)</f>
        <v>50</v>
      </c>
      <c r="BK129" s="1">
        <f>MAX(BK3:BK125)</f>
        <v>50</v>
      </c>
      <c r="BL129" s="1">
        <f>MAX(BL3:BL125)</f>
        <v>50</v>
      </c>
      <c r="BM129" s="1">
        <f>MAX(BM3:BM125)</f>
        <v>50</v>
      </c>
      <c r="BN129" s="1">
        <f>MAX(BN3:BN125)</f>
        <v>50</v>
      </c>
      <c r="BO129" s="1">
        <f>MAX(BO3:BO125)</f>
        <v>50</v>
      </c>
      <c r="BP129" s="1"/>
      <c r="BQ129" s="1"/>
      <c r="BR129" s="17"/>
      <c r="BS129" s="17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</row>
    <row r="130" spans="1:97" x14ac:dyDescent="0.15">
      <c r="A130" s="1"/>
      <c r="B130" s="3" t="s">
        <v>189</v>
      </c>
      <c r="C130" s="1"/>
      <c r="D130" s="1"/>
      <c r="E130" s="1">
        <f>MIN(E3:E125)</f>
        <v>6</v>
      </c>
      <c r="F130" s="1">
        <f>MIN(F3:F125)</f>
        <v>5</v>
      </c>
      <c r="G130" s="1">
        <f>MIN(G3:G125)</f>
        <v>5</v>
      </c>
      <c r="H130" s="1">
        <f>MIN(H3:H125)</f>
        <v>5</v>
      </c>
      <c r="I130" s="1">
        <f>MIN(I3:I125)</f>
        <v>6</v>
      </c>
      <c r="J130" s="1">
        <f>MIN(J3:J125)</f>
        <v>10</v>
      </c>
      <c r="K130" s="1">
        <f>MIN(K3:K125)</f>
        <v>6</v>
      </c>
      <c r="L130" s="1">
        <f>MIN(L3:L125)</f>
        <v>6</v>
      </c>
      <c r="M130" s="1">
        <f>MIN(M3:M125)</f>
        <v>6</v>
      </c>
      <c r="N130" s="1">
        <f>MIN(N3:N125)</f>
        <v>6</v>
      </c>
      <c r="O130" s="1">
        <f>MIN(O3:O125)</f>
        <v>5</v>
      </c>
      <c r="P130" s="1">
        <f>MIN(P3:P125)</f>
        <v>10</v>
      </c>
      <c r="Q130" s="1">
        <f>MIN(Q3:Q125)</f>
        <v>5</v>
      </c>
      <c r="R130" s="1">
        <f>MIN(R3:R125)</f>
        <v>2</v>
      </c>
      <c r="S130" s="1">
        <f>MIN(S3:S125)</f>
        <v>10</v>
      </c>
      <c r="T130" s="1">
        <f>MIN(T3:T125)</f>
        <v>5</v>
      </c>
      <c r="U130" s="1">
        <f>MIN(U3:U125)</f>
        <v>2</v>
      </c>
      <c r="V130" s="1">
        <f>MIN(V3:V125)</f>
        <v>5</v>
      </c>
      <c r="W130" s="1">
        <f>MIN(W3:W125)</f>
        <v>5</v>
      </c>
      <c r="X130" s="1">
        <f>MIN(X3:X125)</f>
        <v>2</v>
      </c>
      <c r="Y130" s="1">
        <f>MIN(Y3:Y125)</f>
        <v>5</v>
      </c>
      <c r="Z130" s="1">
        <f>MIN(Z3:Z125)</f>
        <v>5</v>
      </c>
      <c r="AA130" s="1">
        <f>MIN(AA3:AA125)</f>
        <v>2</v>
      </c>
      <c r="AB130" s="1">
        <f>MIN(AB3:AB125)</f>
        <v>10</v>
      </c>
      <c r="AC130" s="1">
        <f>MIN(AC3:AC125)</f>
        <v>5</v>
      </c>
      <c r="AD130" s="1">
        <f>MIN(AD3:AD125)</f>
        <v>2</v>
      </c>
      <c r="AE130" s="1">
        <f>MIN(AE3:AE125)</f>
        <v>15</v>
      </c>
      <c r="AF130" s="1">
        <f>MIN(AF3:AF125)</f>
        <v>5</v>
      </c>
      <c r="AG130" s="1">
        <f>MIN(AG3:AG125)</f>
        <v>5</v>
      </c>
      <c r="AH130" s="1">
        <f>MIN(AH3:AH125)</f>
        <v>5</v>
      </c>
      <c r="AI130" s="1">
        <f>MIN(AI3:AI125)</f>
        <v>5</v>
      </c>
      <c r="AJ130" s="1">
        <f>MIN(AJ3:AJ125)</f>
        <v>5</v>
      </c>
      <c r="AK130" s="1">
        <f>MIN(AK3:AK125)</f>
        <v>0</v>
      </c>
      <c r="AL130" s="1">
        <f>MIN(AL3:AL125)</f>
        <v>0</v>
      </c>
      <c r="AM130" s="1">
        <f>MIN(AM3:AM125)</f>
        <v>5</v>
      </c>
      <c r="AN130" s="1">
        <f>MIN(AN3:AN125)</f>
        <v>5</v>
      </c>
      <c r="AO130" s="1">
        <f>MIN(AO3:AO125)</f>
        <v>2</v>
      </c>
      <c r="AP130" s="1">
        <f>MIN(AP3:AP125)</f>
        <v>1</v>
      </c>
      <c r="AQ130" s="1">
        <f>MIN(AQ3:AQ125)</f>
        <v>10</v>
      </c>
      <c r="AR130" s="1">
        <f>MIN(AR3:AR125)</f>
        <v>10</v>
      </c>
      <c r="AS130" s="1">
        <f>MIN(AS3:AS125)</f>
        <v>5</v>
      </c>
      <c r="AT130" s="1">
        <f>MIN(AT3:AT125)</f>
        <v>10</v>
      </c>
      <c r="AU130" s="1">
        <f>MIN(AU3:AU125)</f>
        <v>10</v>
      </c>
      <c r="AV130" s="1">
        <f>MIN(AV3:AV125)</f>
        <v>10</v>
      </c>
      <c r="AW130" s="1">
        <f>MIN(AW3:AW125)</f>
        <v>10</v>
      </c>
      <c r="AX130" s="1">
        <f>MIN(AX3:AX125)</f>
        <v>5</v>
      </c>
      <c r="AY130" s="1">
        <f>MIN(AY3:AY125)</f>
        <v>10</v>
      </c>
      <c r="AZ130" s="1">
        <f>MIN(AZ3:AZ125)</f>
        <v>10</v>
      </c>
      <c r="BA130" s="1">
        <f>MIN(BA3:BA125)</f>
        <v>5</v>
      </c>
      <c r="BB130" s="1">
        <f>MIN(BB3:BB125)</f>
        <v>5</v>
      </c>
      <c r="BC130" s="1">
        <f>MIN(BC3:BC125)</f>
        <v>10</v>
      </c>
      <c r="BD130" s="1">
        <f>MIN(BD3:BD125)</f>
        <v>20</v>
      </c>
      <c r="BE130" s="1">
        <f>MIN(BE3:BE125)</f>
        <v>20</v>
      </c>
      <c r="BF130" s="1">
        <f>MIN(BF3:BF125)</f>
        <v>20</v>
      </c>
      <c r="BG130" s="1">
        <f>MIN(BG3:BG125)</f>
        <v>20</v>
      </c>
      <c r="BH130" s="1">
        <f>MIN(BH3:BH125)</f>
        <v>15</v>
      </c>
      <c r="BI130" s="1">
        <f>MIN(BI3:BI125)</f>
        <v>15</v>
      </c>
      <c r="BJ130" s="1">
        <f>MIN(BJ3:BJ125)</f>
        <v>50</v>
      </c>
      <c r="BK130" s="1">
        <f>MIN(BK3:BK125)</f>
        <v>50</v>
      </c>
      <c r="BL130" s="1">
        <f>MIN(BL3:BL125)</f>
        <v>50</v>
      </c>
      <c r="BM130" s="1">
        <f>MIN(BM3:BM125)</f>
        <v>50</v>
      </c>
      <c r="BN130" s="1">
        <f>MIN(BN3:BN125)</f>
        <v>50</v>
      </c>
      <c r="BO130" s="1">
        <f>MIN(BO3:BO125)</f>
        <v>50</v>
      </c>
      <c r="BP130" s="1"/>
      <c r="BQ130" s="1"/>
      <c r="BR130" s="17"/>
      <c r="BS130" s="17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</row>
    <row r="131" spans="1:97" x14ac:dyDescent="0.15">
      <c r="A131" s="1"/>
      <c r="B131" s="3" t="s">
        <v>190</v>
      </c>
      <c r="C131" s="1"/>
      <c r="D131" s="1"/>
      <c r="E131" s="1">
        <f>E127-E129</f>
        <v>-5</v>
      </c>
      <c r="F131" s="1">
        <f>F127-F129</f>
        <v>-17</v>
      </c>
      <c r="G131" s="1">
        <f>G127-G129</f>
        <v>1</v>
      </c>
      <c r="H131" s="1">
        <f>H127-H129</f>
        <v>-16</v>
      </c>
      <c r="I131" s="1">
        <f>I127-I129</f>
        <v>3</v>
      </c>
      <c r="J131" s="1">
        <f>J127-J129</f>
        <v>7</v>
      </c>
      <c r="K131" s="1">
        <f>K127-K129</f>
        <v>-6</v>
      </c>
      <c r="L131" s="1">
        <f>L127-L129</f>
        <v>40</v>
      </c>
      <c r="M131" s="1">
        <f>M127-M129</f>
        <v>7</v>
      </c>
      <c r="N131" s="1">
        <f>N127-N129</f>
        <v>6</v>
      </c>
      <c r="O131" s="1">
        <f>O127-O129</f>
        <v>-9</v>
      </c>
      <c r="P131" s="1">
        <f>P127-P129</f>
        <v>-8</v>
      </c>
      <c r="Q131" s="1">
        <f>Q127-Q129</f>
        <v>-6</v>
      </c>
      <c r="R131" s="1">
        <f>R127-R129</f>
        <v>-8</v>
      </c>
      <c r="S131" s="1">
        <f>S127-S129</f>
        <v>-9</v>
      </c>
      <c r="T131" s="1">
        <f>T127-T129</f>
        <v>-2</v>
      </c>
      <c r="U131" s="1">
        <f>U127-U129</f>
        <v>-10</v>
      </c>
      <c r="V131" s="1">
        <f>V127-V129</f>
        <v>-8</v>
      </c>
      <c r="W131" s="1">
        <f>W127-W129</f>
        <v>-3</v>
      </c>
      <c r="X131" s="1">
        <f>X127-X129</f>
        <v>-4</v>
      </c>
      <c r="Y131" s="1">
        <f>Y127-Y129</f>
        <v>-10</v>
      </c>
      <c r="Z131" s="1">
        <f>Z127-Z129</f>
        <v>-4</v>
      </c>
      <c r="AA131" s="1">
        <f>AA127-AA129</f>
        <v>-9</v>
      </c>
      <c r="AB131" s="1">
        <f>AB127-AB129</f>
        <v>-2</v>
      </c>
      <c r="AC131" s="1">
        <f>AC127-AC129</f>
        <v>-3</v>
      </c>
      <c r="AD131" s="1">
        <f>AD127-AD129</f>
        <v>-6</v>
      </c>
      <c r="AE131" s="1">
        <f>AE127-AE129</f>
        <v>-188</v>
      </c>
      <c r="AF131" s="1">
        <f>AF127-AF129</f>
        <v>-5</v>
      </c>
      <c r="AG131" s="1">
        <f>AG127-AG129</f>
        <v>-4</v>
      </c>
      <c r="AH131" s="1">
        <f>AH127-AH129</f>
        <v>-5</v>
      </c>
      <c r="AI131" s="1">
        <f>AI127-AI129</f>
        <v>-5</v>
      </c>
      <c r="AJ131" s="1">
        <f>AJ127-AJ129</f>
        <v>-5</v>
      </c>
      <c r="AK131" s="1">
        <f>AK127-AK129</f>
        <v>33</v>
      </c>
      <c r="AL131" s="1">
        <f>AL127-AL129</f>
        <v>43</v>
      </c>
      <c r="AM131" s="1">
        <f>AM127-AM129</f>
        <v>-1</v>
      </c>
      <c r="AN131" s="1">
        <f>AN127-AN129</f>
        <v>-25</v>
      </c>
      <c r="AO131" s="1">
        <f>AO127-AO129</f>
        <v>-10</v>
      </c>
      <c r="AP131" s="1">
        <f>AP127-AP129</f>
        <v>-10</v>
      </c>
      <c r="AQ131" s="1">
        <f>AQ127-AQ129</f>
        <v>-10</v>
      </c>
      <c r="AR131" s="1">
        <f>AR127-AR129</f>
        <v>-15</v>
      </c>
      <c r="AS131" s="1">
        <f>AS127-AS129</f>
        <v>-6</v>
      </c>
      <c r="AT131" s="1">
        <f>AT127-AT129</f>
        <v>-14</v>
      </c>
      <c r="AU131" s="1">
        <f>AU127-AU129</f>
        <v>-2</v>
      </c>
      <c r="AV131" s="1">
        <f>AV127-AV129</f>
        <v>-29</v>
      </c>
      <c r="AW131" s="1">
        <f>AW127-AW129</f>
        <v>-36</v>
      </c>
      <c r="AX131" s="1">
        <f>AX127-AX129</f>
        <v>12</v>
      </c>
      <c r="AY131" s="1">
        <f>AY127-AY129</f>
        <v>0</v>
      </c>
      <c r="AZ131" s="1">
        <f>AZ127-AZ129</f>
        <v>-7</v>
      </c>
      <c r="BA131" s="1">
        <f>BA127-BA129</f>
        <v>-20</v>
      </c>
      <c r="BB131" s="1">
        <f>BB127-BB129</f>
        <v>70</v>
      </c>
      <c r="BC131" s="1">
        <f>BC127-BC129</f>
        <v>0</v>
      </c>
      <c r="BD131" s="1">
        <f>BD127-BD129</f>
        <v>64</v>
      </c>
      <c r="BE131" s="1">
        <f>BE127-BE129</f>
        <v>176</v>
      </c>
      <c r="BF131" s="1">
        <f>BF127-BF129</f>
        <v>173</v>
      </c>
      <c r="BG131" s="1">
        <f>BG127-BG129</f>
        <v>182</v>
      </c>
      <c r="BH131" s="1">
        <f>BH127-BH129</f>
        <v>73</v>
      </c>
      <c r="BI131" s="1">
        <f>BI127-BI129</f>
        <v>86</v>
      </c>
      <c r="BJ131" s="1">
        <f>BJ127-BJ129</f>
        <v>-25</v>
      </c>
      <c r="BK131" s="1">
        <f>BK127-BK129</f>
        <v>-25</v>
      </c>
      <c r="BL131" s="1">
        <f>BL127-BL129</f>
        <v>-1</v>
      </c>
      <c r="BM131" s="1">
        <f>BM127-BM129</f>
        <v>-50</v>
      </c>
      <c r="BN131" s="1">
        <f>BN127-BN129</f>
        <v>-45</v>
      </c>
      <c r="BO131" s="1">
        <f>BO127-BO129</f>
        <v>-50</v>
      </c>
      <c r="BP131" s="1"/>
      <c r="BQ131" s="1"/>
      <c r="BR131" s="17"/>
      <c r="BS131" s="17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</row>
    <row r="132" spans="1:97" s="13" customFormat="1" x14ac:dyDescent="0.15">
      <c r="A132" s="1"/>
      <c r="B132" s="3" t="s">
        <v>191</v>
      </c>
      <c r="C132" s="1"/>
      <c r="D132" s="1"/>
      <c r="E132" s="1">
        <f>E127-E130</f>
        <v>4</v>
      </c>
      <c r="F132" s="1">
        <f>F127-F130</f>
        <v>-2</v>
      </c>
      <c r="G132" s="1">
        <f>G127-G130</f>
        <v>16</v>
      </c>
      <c r="H132" s="1">
        <f>H127-H130</f>
        <v>-1</v>
      </c>
      <c r="I132" s="1">
        <f>I127-I130</f>
        <v>7</v>
      </c>
      <c r="J132" s="1">
        <f>J127-J130</f>
        <v>7</v>
      </c>
      <c r="K132" s="1">
        <f>K127-K130</f>
        <v>8</v>
      </c>
      <c r="L132" s="1">
        <f>L127-L130</f>
        <v>54</v>
      </c>
      <c r="M132" s="1">
        <f>M127-M130</f>
        <v>16</v>
      </c>
      <c r="N132" s="1">
        <f>N127-N130</f>
        <v>20</v>
      </c>
      <c r="O132" s="1">
        <f>O127-O130</f>
        <v>6</v>
      </c>
      <c r="P132" s="1">
        <f>P127-P130</f>
        <v>-8</v>
      </c>
      <c r="Q132" s="1">
        <f>Q127-Q130</f>
        <v>-4</v>
      </c>
      <c r="R132" s="1">
        <f>R127-R130</f>
        <v>0</v>
      </c>
      <c r="S132" s="1">
        <f>S127-S130</f>
        <v>-9</v>
      </c>
      <c r="T132" s="1">
        <f>T127-T130</f>
        <v>0</v>
      </c>
      <c r="U132" s="1">
        <f>U127-U130</f>
        <v>-2</v>
      </c>
      <c r="V132" s="1">
        <f>V127-V130</f>
        <v>-3</v>
      </c>
      <c r="W132" s="1">
        <f>W127-W130</f>
        <v>-3</v>
      </c>
      <c r="X132" s="1">
        <f>X127-X130</f>
        <v>4</v>
      </c>
      <c r="Y132" s="1">
        <f>Y127-Y130</f>
        <v>-5</v>
      </c>
      <c r="Z132" s="1">
        <f>Z127-Z130</f>
        <v>-4</v>
      </c>
      <c r="AA132" s="1">
        <f>AA127-AA130</f>
        <v>-1</v>
      </c>
      <c r="AB132" s="1">
        <f>AB127-AB130</f>
        <v>-2</v>
      </c>
      <c r="AC132" s="1">
        <f>AC127-AC130</f>
        <v>-3</v>
      </c>
      <c r="AD132" s="1">
        <f>AD127-AD130</f>
        <v>2</v>
      </c>
      <c r="AE132" s="1">
        <f>AE127-AE130</f>
        <v>-3</v>
      </c>
      <c r="AF132" s="1">
        <f>AF127-AF130</f>
        <v>-5</v>
      </c>
      <c r="AG132" s="1">
        <f>AG127-AG130</f>
        <v>-4</v>
      </c>
      <c r="AH132" s="1">
        <f>AH127-AH130</f>
        <v>-5</v>
      </c>
      <c r="AI132" s="1">
        <f>AI127-AI130</f>
        <v>-5</v>
      </c>
      <c r="AJ132" s="1">
        <f>AJ127-AJ130</f>
        <v>-5</v>
      </c>
      <c r="AK132" s="1">
        <f>AK127-AK130</f>
        <v>33</v>
      </c>
      <c r="AL132" s="1">
        <f>AL127-AL130</f>
        <v>43</v>
      </c>
      <c r="AM132" s="1">
        <f>AM127-AM130</f>
        <v>9</v>
      </c>
      <c r="AN132" s="1">
        <f>AN127-AN130</f>
        <v>-5</v>
      </c>
      <c r="AO132" s="1">
        <f>AO127-AO130</f>
        <v>-2</v>
      </c>
      <c r="AP132" s="1">
        <f>AP127-AP130</f>
        <v>-1</v>
      </c>
      <c r="AQ132" s="1">
        <f>AQ127-AQ130</f>
        <v>-5</v>
      </c>
      <c r="AR132" s="1">
        <f>AR127-AR130</f>
        <v>-10</v>
      </c>
      <c r="AS132" s="1">
        <f>AS127-AS130</f>
        <v>4</v>
      </c>
      <c r="AT132" s="1">
        <f>AT127-AT130</f>
        <v>-4</v>
      </c>
      <c r="AU132" s="1">
        <f>AU127-AU130</f>
        <v>-2</v>
      </c>
      <c r="AV132" s="1">
        <f>AV127-AV130</f>
        <v>1</v>
      </c>
      <c r="AW132" s="1">
        <f>AW127-AW130</f>
        <v>-6</v>
      </c>
      <c r="AX132" s="1">
        <f>AX127-AX130</f>
        <v>27</v>
      </c>
      <c r="AY132" s="1">
        <f>AY127-AY130</f>
        <v>5</v>
      </c>
      <c r="AZ132" s="1">
        <f>AZ127-AZ130</f>
        <v>-2</v>
      </c>
      <c r="BA132" s="1">
        <f>BA127-BA130</f>
        <v>-5</v>
      </c>
      <c r="BB132" s="1">
        <f>BB127-BB130</f>
        <v>105</v>
      </c>
      <c r="BC132" s="1">
        <f>BC127-BC130</f>
        <v>0</v>
      </c>
      <c r="BD132" s="1">
        <f>BD127-BD130</f>
        <v>94</v>
      </c>
      <c r="BE132" s="1">
        <f>BE127-BE130</f>
        <v>176</v>
      </c>
      <c r="BF132" s="1">
        <f>BF127-BF130</f>
        <v>173</v>
      </c>
      <c r="BG132" s="1">
        <f>BG127-BG130</f>
        <v>182</v>
      </c>
      <c r="BH132" s="1">
        <f>BH127-BH130</f>
        <v>78</v>
      </c>
      <c r="BI132" s="1">
        <f>BI127-BI130</f>
        <v>91</v>
      </c>
      <c r="BJ132" s="1">
        <f>BJ127-BJ130</f>
        <v>-25</v>
      </c>
      <c r="BK132" s="1">
        <f>BK127-BK130</f>
        <v>-25</v>
      </c>
      <c r="BL132" s="1">
        <f>BL127-BL130</f>
        <v>-1</v>
      </c>
      <c r="BM132" s="1">
        <f>BM127-BM130</f>
        <v>-50</v>
      </c>
      <c r="BN132" s="1">
        <f>BN127-BN130</f>
        <v>-45</v>
      </c>
      <c r="BO132" s="1">
        <f>BO127-BO130</f>
        <v>-50</v>
      </c>
      <c r="BP132" s="1"/>
      <c r="BQ132" s="1"/>
      <c r="BR132" s="17"/>
      <c r="BS132" s="17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</row>
  </sheetData>
  <autoFilter ref="A1:BP125"/>
  <sortState ref="A2:CS132">
    <sortCondition ref="BR2:BR132"/>
    <sortCondition ref="BQ2:BQ132"/>
  </sortState>
  <phoneticPr fontId="1" type="noConversion"/>
  <conditionalFormatting sqref="E16">
    <cfRule type="cellIs" dxfId="3" priority="13" operator="greaterThan">
      <formula>$E$126</formula>
    </cfRule>
  </conditionalFormatting>
  <conditionalFormatting sqref="E129">
    <cfRule type="expression" dxfId="2" priority="9">
      <formula>"&lt;=$E$135"</formula>
    </cfRule>
  </conditionalFormatting>
  <conditionalFormatting sqref="E131:BO132">
    <cfRule type="cellIs" dxfId="1" priority="5" operator="greaterThan">
      <formula>-1</formula>
    </cfRule>
  </conditionalFormatting>
  <conditionalFormatting sqref="E128:BO128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132</xdr:row>
                    <xdr:rowOff>28575</xdr:rowOff>
                  </from>
                  <to>
                    <xdr:col>1</xdr:col>
                    <xdr:colOff>428625</xdr:colOff>
                    <xdr:row>133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87</v>
      </c>
      <c r="B1" s="5" t="s">
        <v>84</v>
      </c>
      <c r="C1" s="5" t="s">
        <v>88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56</v>
      </c>
      <c r="C3" s="1">
        <v>120</v>
      </c>
    </row>
    <row r="4" spans="1:3" x14ac:dyDescent="0.15">
      <c r="A4" s="1">
        <v>4</v>
      </c>
      <c r="B4" s="4" t="s">
        <v>57</v>
      </c>
      <c r="C4" s="1">
        <v>85</v>
      </c>
    </row>
    <row r="5" spans="1:3" x14ac:dyDescent="0.15">
      <c r="A5" s="1">
        <v>3</v>
      </c>
      <c r="B5" s="4" t="s">
        <v>47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32</v>
      </c>
      <c r="C10" s="1">
        <v>45</v>
      </c>
    </row>
    <row r="11" spans="1:3" x14ac:dyDescent="0.15">
      <c r="A11" s="1">
        <v>5</v>
      </c>
      <c r="B11" s="4" t="s">
        <v>64</v>
      </c>
      <c r="C11" s="1">
        <v>45</v>
      </c>
    </row>
    <row r="12" spans="1:3" x14ac:dyDescent="0.15">
      <c r="A12" s="1">
        <v>11</v>
      </c>
      <c r="B12" s="2" t="s">
        <v>48</v>
      </c>
      <c r="C12" s="1">
        <v>10</v>
      </c>
    </row>
    <row r="13" spans="1:3" x14ac:dyDescent="0.15">
      <c r="A13" s="1">
        <v>6</v>
      </c>
      <c r="B13" s="4" t="s">
        <v>69</v>
      </c>
      <c r="C13" s="1">
        <v>8</v>
      </c>
    </row>
    <row r="19" spans="3:18" x14ac:dyDescent="0.15">
      <c r="G19" s="10" t="s">
        <v>47</v>
      </c>
      <c r="H19" s="10" t="s">
        <v>5</v>
      </c>
      <c r="I19" s="10" t="s">
        <v>32</v>
      </c>
      <c r="J19" s="10" t="s">
        <v>64</v>
      </c>
      <c r="K19" s="10" t="s">
        <v>69</v>
      </c>
      <c r="L19" s="10" t="s">
        <v>57</v>
      </c>
      <c r="M19" s="11" t="s">
        <v>6</v>
      </c>
      <c r="N19" s="11" t="s">
        <v>7</v>
      </c>
      <c r="O19" s="11" t="s">
        <v>48</v>
      </c>
      <c r="P19" s="11" t="s">
        <v>9</v>
      </c>
      <c r="Q19" s="11" t="s">
        <v>56</v>
      </c>
      <c r="R19" s="11" t="s">
        <v>14</v>
      </c>
    </row>
    <row r="20" spans="3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 x14ac:dyDescent="0.15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 x14ac:dyDescent="0.15">
      <c r="C27" t="s">
        <v>192</v>
      </c>
      <c r="D27" t="s">
        <v>193</v>
      </c>
      <c r="E27" t="s">
        <v>194</v>
      </c>
      <c r="F27" t="s">
        <v>195</v>
      </c>
      <c r="G27" t="s">
        <v>196</v>
      </c>
      <c r="H27" t="s">
        <v>197</v>
      </c>
      <c r="I27" t="s">
        <v>198</v>
      </c>
      <c r="J27" t="s">
        <v>199</v>
      </c>
      <c r="K27" t="s">
        <v>200</v>
      </c>
      <c r="L27" t="s">
        <v>201</v>
      </c>
      <c r="M27" t="s">
        <v>202</v>
      </c>
      <c r="N27" t="s">
        <v>203</v>
      </c>
    </row>
    <row r="31" spans="3:18" x14ac:dyDescent="0.15">
      <c r="C31">
        <v>-3</v>
      </c>
      <c r="D31" t="s">
        <v>192</v>
      </c>
    </row>
    <row r="32" spans="3:18" x14ac:dyDescent="0.15">
      <c r="C32">
        <v>-8</v>
      </c>
      <c r="D32" t="s">
        <v>193</v>
      </c>
    </row>
    <row r="33" spans="3:4" x14ac:dyDescent="0.15">
      <c r="C33">
        <v>-3</v>
      </c>
      <c r="D33" t="s">
        <v>194</v>
      </c>
    </row>
    <row r="34" spans="3:4" x14ac:dyDescent="0.15">
      <c r="C34">
        <v>1</v>
      </c>
      <c r="D34" t="s">
        <v>195</v>
      </c>
    </row>
    <row r="35" spans="3:4" x14ac:dyDescent="0.15">
      <c r="C35">
        <v>3</v>
      </c>
      <c r="D35" t="s">
        <v>196</v>
      </c>
    </row>
    <row r="36" spans="3:4" x14ac:dyDescent="0.15">
      <c r="C36">
        <v>0</v>
      </c>
      <c r="D36" t="s">
        <v>197</v>
      </c>
    </row>
    <row r="37" spans="3:4" x14ac:dyDescent="0.15">
      <c r="C37">
        <v>-3</v>
      </c>
      <c r="D37" t="s">
        <v>198</v>
      </c>
    </row>
    <row r="38" spans="3:4" x14ac:dyDescent="0.15">
      <c r="C38">
        <v>30</v>
      </c>
      <c r="D38" t="s">
        <v>199</v>
      </c>
    </row>
    <row r="39" spans="3:4" x14ac:dyDescent="0.15">
      <c r="C39">
        <v>5</v>
      </c>
      <c r="D39" t="s">
        <v>200</v>
      </c>
    </row>
    <row r="40" spans="3:4" x14ac:dyDescent="0.15">
      <c r="C40">
        <v>-10</v>
      </c>
      <c r="D40" t="s">
        <v>201</v>
      </c>
    </row>
    <row r="41" spans="3:4" x14ac:dyDescent="0.15">
      <c r="C41">
        <v>3</v>
      </c>
      <c r="D41" t="s">
        <v>202</v>
      </c>
    </row>
    <row r="42" spans="3:4" x14ac:dyDescent="0.15">
      <c r="C42">
        <v>138</v>
      </c>
      <c r="D42" t="s">
        <v>203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94</v>
      </c>
      <c r="B1" s="8" t="s">
        <v>95</v>
      </c>
      <c r="C1" s="8" t="s">
        <v>96</v>
      </c>
    </row>
    <row r="2" spans="1:3" x14ac:dyDescent="0.15">
      <c r="A2" s="1">
        <v>5</v>
      </c>
      <c r="B2" s="10" t="s">
        <v>69</v>
      </c>
      <c r="C2" s="1">
        <v>0</v>
      </c>
    </row>
    <row r="3" spans="1:3" x14ac:dyDescent="0.15">
      <c r="A3" s="1">
        <v>9</v>
      </c>
      <c r="B3" s="11" t="s">
        <v>48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64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47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32</v>
      </c>
      <c r="C11" s="1">
        <v>5</v>
      </c>
    </row>
    <row r="12" spans="1:3" x14ac:dyDescent="0.15">
      <c r="A12" s="1">
        <v>11</v>
      </c>
      <c r="B12" s="11" t="s">
        <v>56</v>
      </c>
      <c r="C12" s="1">
        <v>5</v>
      </c>
    </row>
    <row r="13" spans="1:3" x14ac:dyDescent="0.15">
      <c r="A13" s="1">
        <v>6</v>
      </c>
      <c r="B13" s="10" t="s">
        <v>57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47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32</v>
      </c>
      <c r="C4">
        <v>0</v>
      </c>
    </row>
    <row r="5" spans="2:3" x14ac:dyDescent="0.15">
      <c r="B5" s="10" t="s">
        <v>69</v>
      </c>
      <c r="C5">
        <v>0</v>
      </c>
    </row>
    <row r="6" spans="2:3" x14ac:dyDescent="0.15">
      <c r="B6" s="11" t="s">
        <v>48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56</v>
      </c>
      <c r="C8">
        <v>0</v>
      </c>
    </row>
    <row r="9" spans="2:3" x14ac:dyDescent="0.15">
      <c r="B9" s="10" t="s">
        <v>64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57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2020-03-13T09:01:03Z</dcterms:modified>
</cp:coreProperties>
</file>