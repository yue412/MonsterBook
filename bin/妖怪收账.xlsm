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Sheet1!$A$1:$BP$161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61" i="1" l="1"/>
  <c r="AD163" i="1" s="1"/>
  <c r="BP160" i="1" l="1"/>
  <c r="BT160" i="1"/>
  <c r="BU160" i="1"/>
  <c r="BV160" i="1"/>
  <c r="BW160" i="1"/>
  <c r="BX160" i="1"/>
  <c r="BY160" i="1"/>
  <c r="BZ160" i="1"/>
  <c r="CA160" i="1"/>
  <c r="CB160" i="1"/>
  <c r="CC160" i="1"/>
  <c r="CD160" i="1"/>
  <c r="CE160" i="1"/>
  <c r="CS160" i="1"/>
  <c r="P161" i="1"/>
  <c r="P163" i="1" s="1"/>
  <c r="Q161" i="1"/>
  <c r="Q163" i="1" s="1"/>
  <c r="R161" i="1"/>
  <c r="R163" i="1" s="1"/>
  <c r="S161" i="1"/>
  <c r="S163" i="1" s="1"/>
  <c r="T161" i="1"/>
  <c r="T163" i="1" s="1"/>
  <c r="U161" i="1"/>
  <c r="U163" i="1" s="1"/>
  <c r="V161" i="1"/>
  <c r="V163" i="1" s="1"/>
  <c r="W161" i="1"/>
  <c r="W163" i="1" s="1"/>
  <c r="X161" i="1"/>
  <c r="X163" i="1" s="1"/>
  <c r="Y161" i="1"/>
  <c r="Y163" i="1" s="1"/>
  <c r="Z161" i="1"/>
  <c r="Z163" i="1" s="1"/>
  <c r="AA161" i="1"/>
  <c r="AA163" i="1" s="1"/>
  <c r="AB161" i="1"/>
  <c r="AB163" i="1" s="1"/>
  <c r="AC161" i="1"/>
  <c r="AC163" i="1" s="1"/>
  <c r="CF160" i="1" l="1"/>
  <c r="CM160" i="1" s="1"/>
  <c r="AO161" i="1"/>
  <c r="AO163" i="1" s="1"/>
  <c r="AP161" i="1"/>
  <c r="AP163" i="1" s="1"/>
  <c r="BC161" i="1"/>
  <c r="BC163" i="1" s="1"/>
  <c r="CO160" i="1" l="1"/>
  <c r="CK160" i="1"/>
  <c r="CI160" i="1"/>
  <c r="CN160" i="1"/>
  <c r="CP160" i="1"/>
  <c r="CJ160" i="1"/>
  <c r="CL160" i="1"/>
  <c r="CG160" i="1"/>
  <c r="CQ160" i="1"/>
  <c r="CH160" i="1"/>
  <c r="CR160" i="1"/>
  <c r="CS3" i="1"/>
  <c r="CS4" i="1"/>
  <c r="CS5" i="1"/>
  <c r="CS53" i="1"/>
  <c r="CS6" i="1"/>
  <c r="CS7" i="1"/>
  <c r="CS8" i="1"/>
  <c r="CS68" i="1"/>
  <c r="CS9" i="1"/>
  <c r="CS80" i="1"/>
  <c r="CS81" i="1"/>
  <c r="CS82" i="1"/>
  <c r="CS83" i="1"/>
  <c r="CS84" i="1"/>
  <c r="CS85" i="1"/>
  <c r="CS86" i="1"/>
  <c r="CS87" i="1"/>
  <c r="CS52" i="1"/>
  <c r="CS77" i="1"/>
  <c r="CS13" i="1"/>
  <c r="CS20" i="1"/>
  <c r="CS21" i="1"/>
  <c r="CS22" i="1"/>
  <c r="CS15" i="1"/>
  <c r="CS93" i="1"/>
  <c r="CS92" i="1"/>
  <c r="CS56" i="1"/>
  <c r="CS96" i="1"/>
  <c r="CS97" i="1"/>
  <c r="CS98" i="1"/>
  <c r="CS25" i="1"/>
  <c r="CS101" i="1"/>
  <c r="CS102" i="1"/>
  <c r="CS10" i="1"/>
  <c r="CS79" i="1"/>
  <c r="CS16" i="1"/>
  <c r="CS11" i="1"/>
  <c r="CS14" i="1"/>
  <c r="CS17" i="1"/>
  <c r="CS23" i="1"/>
  <c r="CS24" i="1"/>
  <c r="CS118" i="1"/>
  <c r="CS124" i="1"/>
  <c r="CS125" i="1"/>
  <c r="CS12" i="1"/>
  <c r="CS18" i="1"/>
  <c r="CS147" i="1"/>
  <c r="CS148" i="1"/>
  <c r="CS94" i="1"/>
  <c r="CS114" i="1"/>
  <c r="CS19" i="1"/>
  <c r="CS26" i="1"/>
  <c r="CS100" i="1"/>
  <c r="CS99" i="1"/>
  <c r="CS74" i="1"/>
  <c r="CS65" i="1"/>
  <c r="CS149" i="1"/>
  <c r="CS90" i="1"/>
  <c r="CS136" i="1"/>
  <c r="CS154" i="1"/>
  <c r="CS155" i="1"/>
  <c r="CS2" i="1"/>
  <c r="CS161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6" i="1"/>
  <c r="BU6" i="1"/>
  <c r="BV6" i="1"/>
  <c r="BW6" i="1"/>
  <c r="BX6" i="1"/>
  <c r="BY6" i="1"/>
  <c r="BZ6" i="1"/>
  <c r="CA6" i="1"/>
  <c r="CB6" i="1"/>
  <c r="CC6" i="1"/>
  <c r="CD6" i="1"/>
  <c r="CE6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BT9" i="1"/>
  <c r="BU9" i="1"/>
  <c r="BV9" i="1"/>
  <c r="BW9" i="1"/>
  <c r="BX9" i="1"/>
  <c r="BY9" i="1"/>
  <c r="BZ9" i="1"/>
  <c r="CA9" i="1"/>
  <c r="CB9" i="1"/>
  <c r="CC9" i="1"/>
  <c r="CD9" i="1"/>
  <c r="CE9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149" i="1"/>
  <c r="BU149" i="1"/>
  <c r="BV149" i="1"/>
  <c r="BW149" i="1"/>
  <c r="BX149" i="1"/>
  <c r="BY149" i="1"/>
  <c r="BZ149" i="1"/>
  <c r="CA149" i="1"/>
  <c r="CB149" i="1"/>
  <c r="CC149" i="1"/>
  <c r="CD149" i="1"/>
  <c r="CE149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BU2" i="1"/>
  <c r="BV2" i="1"/>
  <c r="BW2" i="1"/>
  <c r="BX2" i="1"/>
  <c r="BY2" i="1"/>
  <c r="BZ2" i="1"/>
  <c r="CA2" i="1"/>
  <c r="CB2" i="1"/>
  <c r="CC2" i="1"/>
  <c r="CD2" i="1"/>
  <c r="CE2" i="1"/>
  <c r="BT2" i="1"/>
  <c r="CF9" i="1" l="1"/>
  <c r="CR9" i="1" s="1"/>
  <c r="CF82" i="1"/>
  <c r="CR82" i="1" s="1"/>
  <c r="CF81" i="1"/>
  <c r="CN81" i="1" s="1"/>
  <c r="CF68" i="1"/>
  <c r="CH68" i="1" s="1"/>
  <c r="CA161" i="1"/>
  <c r="CC161" i="1"/>
  <c r="BX161" i="1"/>
  <c r="BZ161" i="1"/>
  <c r="BV161" i="1"/>
  <c r="BU161" i="1"/>
  <c r="CD161" i="1"/>
  <c r="BY161" i="1"/>
  <c r="CB161" i="1"/>
  <c r="CE161" i="1"/>
  <c r="CF74" i="1"/>
  <c r="CK74" i="1" s="1"/>
  <c r="CF77" i="1"/>
  <c r="CM77" i="1" s="1"/>
  <c r="CF101" i="1"/>
  <c r="CI101" i="1" s="1"/>
  <c r="CF23" i="1"/>
  <c r="CJ23" i="1" s="1"/>
  <c r="CF26" i="1"/>
  <c r="CG26" i="1" s="1"/>
  <c r="CF5" i="1"/>
  <c r="CN5" i="1" s="1"/>
  <c r="CF4" i="1"/>
  <c r="CN4" i="1" s="1"/>
  <c r="CF3" i="1"/>
  <c r="CN3" i="1" s="1"/>
  <c r="CF155" i="1"/>
  <c r="CG155" i="1" s="1"/>
  <c r="CF65" i="1"/>
  <c r="CK65" i="1" s="1"/>
  <c r="CF149" i="1"/>
  <c r="CK149" i="1" s="1"/>
  <c r="CF99" i="1"/>
  <c r="CR99" i="1" s="1"/>
  <c r="CF148" i="1"/>
  <c r="CJ148" i="1" s="1"/>
  <c r="CF17" i="1"/>
  <c r="CH17" i="1" s="1"/>
  <c r="CF12" i="1"/>
  <c r="CR12" i="1" s="1"/>
  <c r="CF13" i="1"/>
  <c r="CQ13" i="1" s="1"/>
  <c r="CF22" i="1"/>
  <c r="CR22" i="1" s="1"/>
  <c r="CF20" i="1"/>
  <c r="CH20" i="1" s="1"/>
  <c r="CF11" i="1"/>
  <c r="CN11" i="1" s="1"/>
  <c r="CF52" i="1"/>
  <c r="CH52" i="1" s="1"/>
  <c r="CF14" i="1"/>
  <c r="CN14" i="1" s="1"/>
  <c r="CF98" i="1"/>
  <c r="CL98" i="1" s="1"/>
  <c r="CF96" i="1"/>
  <c r="CH96" i="1" s="1"/>
  <c r="CF25" i="1"/>
  <c r="CK25" i="1" s="1"/>
  <c r="CF15" i="1"/>
  <c r="CO15" i="1" s="1"/>
  <c r="CF80" i="1"/>
  <c r="CO80" i="1" s="1"/>
  <c r="CF86" i="1"/>
  <c r="CH86" i="1" s="1"/>
  <c r="CF85" i="1"/>
  <c r="CP85" i="1" s="1"/>
  <c r="CF84" i="1"/>
  <c r="CN84" i="1" s="1"/>
  <c r="CF83" i="1"/>
  <c r="CR83" i="1" s="1"/>
  <c r="CF16" i="1"/>
  <c r="CG16" i="1" s="1"/>
  <c r="CF53" i="1"/>
  <c r="CQ53" i="1" s="1"/>
  <c r="CF6" i="1"/>
  <c r="CL6" i="1" s="1"/>
  <c r="CF24" i="1"/>
  <c r="CJ24" i="1" s="1"/>
  <c r="CF8" i="1"/>
  <c r="CN8" i="1" s="1"/>
  <c r="CF7" i="1"/>
  <c r="CI7" i="1" s="1"/>
  <c r="CF154" i="1"/>
  <c r="CR154" i="1" s="1"/>
  <c r="CF92" i="1"/>
  <c r="CJ92" i="1" s="1"/>
  <c r="CF136" i="1"/>
  <c r="CO136" i="1" s="1"/>
  <c r="CF100" i="1"/>
  <c r="CN100" i="1" s="1"/>
  <c r="CF19" i="1"/>
  <c r="CK19" i="1" s="1"/>
  <c r="CF147" i="1"/>
  <c r="CR147" i="1" s="1"/>
  <c r="CF10" i="1"/>
  <c r="CP10" i="1" s="1"/>
  <c r="CF18" i="1"/>
  <c r="CR18" i="1" s="1"/>
  <c r="CF56" i="1"/>
  <c r="CH56" i="1" s="1"/>
  <c r="CF21" i="1"/>
  <c r="CK21" i="1" s="1"/>
  <c r="CF125" i="1"/>
  <c r="CN125" i="1" s="1"/>
  <c r="CF124" i="1"/>
  <c r="CL124" i="1" s="1"/>
  <c r="CF94" i="1"/>
  <c r="CN94" i="1" s="1"/>
  <c r="CF118" i="1"/>
  <c r="CI118" i="1" s="1"/>
  <c r="CF79" i="1"/>
  <c r="CH79" i="1" s="1"/>
  <c r="CF102" i="1"/>
  <c r="CO102" i="1" s="1"/>
  <c r="CF97" i="1"/>
  <c r="CM97" i="1" s="1"/>
  <c r="CF93" i="1"/>
  <c r="CR93" i="1" s="1"/>
  <c r="CF87" i="1"/>
  <c r="CM87" i="1" s="1"/>
  <c r="CF2" i="1"/>
  <c r="CH2" i="1" s="1"/>
  <c r="CF114" i="1"/>
  <c r="CK114" i="1" s="1"/>
  <c r="CF90" i="1"/>
  <c r="CG90" i="1" s="1"/>
  <c r="BW161" i="1"/>
  <c r="BT161" i="1"/>
  <c r="BP22" i="1"/>
  <c r="BP10" i="1"/>
  <c r="BP12" i="1"/>
  <c r="BP136" i="1"/>
  <c r="BP3" i="1"/>
  <c r="BP81" i="1"/>
  <c r="BP82" i="1"/>
  <c r="BP83" i="1"/>
  <c r="BP118" i="1"/>
  <c r="BP94" i="1"/>
  <c r="BP155" i="1"/>
  <c r="BP79" i="1"/>
  <c r="BP124" i="1"/>
  <c r="BP147" i="1"/>
  <c r="BP84" i="1"/>
  <c r="BP85" i="1"/>
  <c r="BP56" i="1"/>
  <c r="BP4" i="1"/>
  <c r="BP68" i="1"/>
  <c r="BP77" i="1"/>
  <c r="BP7" i="1"/>
  <c r="BP52" i="1"/>
  <c r="BP53" i="1"/>
  <c r="BP149" i="1"/>
  <c r="BP5" i="1"/>
  <c r="BP19" i="1"/>
  <c r="BP14" i="1"/>
  <c r="BP97" i="1"/>
  <c r="BP86" i="1"/>
  <c r="BP98" i="1"/>
  <c r="BP100" i="1"/>
  <c r="BP74" i="1"/>
  <c r="BP17" i="1"/>
  <c r="BP18" i="1"/>
  <c r="BP25" i="1"/>
  <c r="BP114" i="1"/>
  <c r="BP90" i="1"/>
  <c r="BP11" i="1"/>
  <c r="BP13" i="1"/>
  <c r="BP8" i="1"/>
  <c r="BP16" i="1"/>
  <c r="BP154" i="1"/>
  <c r="BP125" i="1"/>
  <c r="BP148" i="1"/>
  <c r="BP87" i="1"/>
  <c r="BP80" i="1"/>
  <c r="BP15" i="1"/>
  <c r="BP99" i="1"/>
  <c r="BP23" i="1"/>
  <c r="BP26" i="1"/>
  <c r="BP24" i="1"/>
  <c r="BP93" i="1"/>
  <c r="BP101" i="1"/>
  <c r="BP102" i="1"/>
  <c r="J161" i="1"/>
  <c r="J163" i="1" s="1"/>
  <c r="K161" i="1"/>
  <c r="K163" i="1" s="1"/>
  <c r="L161" i="1"/>
  <c r="L163" i="1" s="1"/>
  <c r="M161" i="1"/>
  <c r="M163" i="1" s="1"/>
  <c r="N161" i="1"/>
  <c r="N163" i="1" s="1"/>
  <c r="O161" i="1"/>
  <c r="O163" i="1" s="1"/>
  <c r="AE161" i="1"/>
  <c r="AE163" i="1" s="1"/>
  <c r="AF161" i="1"/>
  <c r="AF163" i="1" s="1"/>
  <c r="AG161" i="1"/>
  <c r="AG163" i="1" s="1"/>
  <c r="AH161" i="1"/>
  <c r="AH163" i="1" s="1"/>
  <c r="AI161" i="1"/>
  <c r="AI163" i="1" s="1"/>
  <c r="AJ161" i="1"/>
  <c r="AJ163" i="1" s="1"/>
  <c r="AK161" i="1"/>
  <c r="AK163" i="1" s="1"/>
  <c r="AL161" i="1"/>
  <c r="AL163" i="1" s="1"/>
  <c r="AM161" i="1"/>
  <c r="AM163" i="1" s="1"/>
  <c r="AN161" i="1"/>
  <c r="AN163" i="1" s="1"/>
  <c r="AR161" i="1"/>
  <c r="AR163" i="1" s="1"/>
  <c r="AS161" i="1"/>
  <c r="AS163" i="1" s="1"/>
  <c r="AQ161" i="1"/>
  <c r="AQ163" i="1" s="1"/>
  <c r="AV161" i="1"/>
  <c r="AV163" i="1" s="1"/>
  <c r="AT161" i="1"/>
  <c r="AT163" i="1" s="1"/>
  <c r="AU161" i="1"/>
  <c r="AU163" i="1" s="1"/>
  <c r="BP96" i="1"/>
  <c r="BP65" i="1"/>
  <c r="BP2" i="1"/>
  <c r="BP20" i="1"/>
  <c r="BP21" i="1"/>
  <c r="BP6" i="1"/>
  <c r="BP9" i="1"/>
  <c r="BP92" i="1"/>
  <c r="BF161" i="1"/>
  <c r="BF163" i="1" s="1"/>
  <c r="BG161" i="1"/>
  <c r="BG163" i="1" s="1"/>
  <c r="BE161" i="1"/>
  <c r="BE163" i="1" s="1"/>
  <c r="BD161" i="1"/>
  <c r="BD163" i="1" s="1"/>
  <c r="BH161" i="1"/>
  <c r="BH163" i="1" s="1"/>
  <c r="BI161" i="1"/>
  <c r="BI163" i="1" s="1"/>
  <c r="BJ161" i="1"/>
  <c r="BJ163" i="1" s="1"/>
  <c r="BK161" i="1"/>
  <c r="BK163" i="1" s="1"/>
  <c r="BL161" i="1"/>
  <c r="BL163" i="1" s="1"/>
  <c r="BM161" i="1"/>
  <c r="BM163" i="1" s="1"/>
  <c r="BN161" i="1"/>
  <c r="BN163" i="1" s="1"/>
  <c r="BO161" i="1"/>
  <c r="BO163" i="1" s="1"/>
  <c r="F161" i="1"/>
  <c r="F163" i="1" s="1"/>
  <c r="G161" i="1"/>
  <c r="G163" i="1" s="1"/>
  <c r="H161" i="1"/>
  <c r="H163" i="1" s="1"/>
  <c r="I161" i="1"/>
  <c r="I163" i="1" s="1"/>
  <c r="AW161" i="1"/>
  <c r="AW163" i="1" s="1"/>
  <c r="AX161" i="1"/>
  <c r="AX163" i="1" s="1"/>
  <c r="AZ161" i="1"/>
  <c r="AZ163" i="1" s="1"/>
  <c r="BB161" i="1"/>
  <c r="BB163" i="1" s="1"/>
  <c r="AY161" i="1"/>
  <c r="AY163" i="1" s="1"/>
  <c r="BA161" i="1"/>
  <c r="BA163" i="1" s="1"/>
  <c r="E161" i="1"/>
  <c r="E163" i="1" s="1"/>
  <c r="CO68" i="1" l="1"/>
  <c r="CN86" i="1"/>
  <c r="CH24" i="1"/>
  <c r="CK86" i="1"/>
  <c r="CP4" i="1"/>
  <c r="CP6" i="1"/>
  <c r="CJ22" i="1"/>
  <c r="CI77" i="1"/>
  <c r="CJ5" i="1"/>
  <c r="CQ7" i="1"/>
  <c r="CG68" i="1"/>
  <c r="CM24" i="1"/>
  <c r="CH77" i="1"/>
  <c r="CP77" i="1"/>
  <c r="CG77" i="1"/>
  <c r="CR77" i="1"/>
  <c r="CN13" i="1"/>
  <c r="CK77" i="1"/>
  <c r="CI74" i="1"/>
  <c r="CP74" i="1"/>
  <c r="CQ74" i="1"/>
  <c r="CH74" i="1"/>
  <c r="CL24" i="1"/>
  <c r="CO74" i="1"/>
  <c r="CQ24" i="1"/>
  <c r="CG74" i="1"/>
  <c r="CP80" i="1"/>
  <c r="CO18" i="1"/>
  <c r="CR124" i="1"/>
  <c r="CP86" i="1"/>
  <c r="CN7" i="1"/>
  <c r="CI24" i="1"/>
  <c r="CQ23" i="1"/>
  <c r="CJ4" i="1"/>
  <c r="CL4" i="1"/>
  <c r="CM74" i="1"/>
  <c r="CM124" i="1"/>
  <c r="CK83" i="1"/>
  <c r="CN99" i="1"/>
  <c r="CN23" i="1"/>
  <c r="CO99" i="1"/>
  <c r="CM23" i="1"/>
  <c r="CI23" i="1"/>
  <c r="CR23" i="1"/>
  <c r="CL52" i="1"/>
  <c r="CN2" i="1"/>
  <c r="CK23" i="1"/>
  <c r="CL65" i="1"/>
  <c r="CQ8" i="1"/>
  <c r="CI11" i="1"/>
  <c r="CQ65" i="1"/>
  <c r="CJ65" i="1"/>
  <c r="CH23" i="1"/>
  <c r="CP23" i="1"/>
  <c r="CL14" i="1"/>
  <c r="CH53" i="1"/>
  <c r="CG13" i="1"/>
  <c r="CG23" i="1"/>
  <c r="CO13" i="1"/>
  <c r="CR68" i="1"/>
  <c r="CO23" i="1"/>
  <c r="CG14" i="1"/>
  <c r="CL68" i="1"/>
  <c r="CR3" i="1"/>
  <c r="CJ14" i="1"/>
  <c r="CL23" i="1"/>
  <c r="CR14" i="1"/>
  <c r="CI99" i="1"/>
  <c r="CO14" i="1"/>
  <c r="CO65" i="1"/>
  <c r="CQ99" i="1"/>
  <c r="CM83" i="1"/>
  <c r="CP53" i="1"/>
  <c r="CJ13" i="1"/>
  <c r="CR26" i="1"/>
  <c r="CQ26" i="1"/>
  <c r="CP26" i="1"/>
  <c r="CM15" i="1"/>
  <c r="CN26" i="1"/>
  <c r="CM26" i="1"/>
  <c r="CJ26" i="1"/>
  <c r="CJ101" i="1"/>
  <c r="CO26" i="1"/>
  <c r="CP97" i="1"/>
  <c r="CH26" i="1"/>
  <c r="CG97" i="1"/>
  <c r="CK26" i="1"/>
  <c r="CI26" i="1"/>
  <c r="CR24" i="1"/>
  <c r="CR98" i="1"/>
  <c r="CL148" i="1"/>
  <c r="CQ82" i="1"/>
  <c r="CQ148" i="1"/>
  <c r="CK98" i="1"/>
  <c r="CK92" i="1"/>
  <c r="CN82" i="1"/>
  <c r="CN18" i="1"/>
  <c r="CP82" i="1"/>
  <c r="CL92" i="1"/>
  <c r="CH82" i="1"/>
  <c r="CO92" i="1"/>
  <c r="CO82" i="1"/>
  <c r="CN148" i="1"/>
  <c r="CI92" i="1"/>
  <c r="CK82" i="1"/>
  <c r="CM148" i="1"/>
  <c r="CH92" i="1"/>
  <c r="CO148" i="1"/>
  <c r="CI148" i="1"/>
  <c r="CR92" i="1"/>
  <c r="CI82" i="1"/>
  <c r="CQ98" i="1"/>
  <c r="CH148" i="1"/>
  <c r="CQ92" i="1"/>
  <c r="CP98" i="1"/>
  <c r="CG148" i="1"/>
  <c r="CN92" i="1"/>
  <c r="CR19" i="1"/>
  <c r="CO6" i="1"/>
  <c r="CR2" i="1"/>
  <c r="CM94" i="1"/>
  <c r="CJ98" i="1"/>
  <c r="CM98" i="1"/>
  <c r="CR148" i="1"/>
  <c r="CI114" i="1"/>
  <c r="CJ82" i="1"/>
  <c r="CR7" i="1"/>
  <c r="CO24" i="1"/>
  <c r="CK154" i="1"/>
  <c r="CO53" i="1"/>
  <c r="CR13" i="1"/>
  <c r="CG86" i="1"/>
  <c r="CP15" i="1"/>
  <c r="CL99" i="1"/>
  <c r="CL7" i="1"/>
  <c r="CI80" i="1"/>
  <c r="CR118" i="1"/>
  <c r="CJ74" i="1"/>
  <c r="CL15" i="1"/>
  <c r="CM3" i="1"/>
  <c r="CJ77" i="1"/>
  <c r="CM2" i="1"/>
  <c r="CH14" i="1"/>
  <c r="CK136" i="1"/>
  <c r="CJ2" i="1"/>
  <c r="CM20" i="1"/>
  <c r="CP21" i="1"/>
  <c r="CQ147" i="1"/>
  <c r="CI3" i="1"/>
  <c r="CN77" i="1"/>
  <c r="CP14" i="1"/>
  <c r="CJ68" i="1"/>
  <c r="CI2" i="1"/>
  <c r="CM154" i="1"/>
  <c r="CP18" i="1"/>
  <c r="CL147" i="1"/>
  <c r="CG3" i="1"/>
  <c r="CM118" i="1"/>
  <c r="CG24" i="1"/>
  <c r="CM68" i="1"/>
  <c r="CN53" i="1"/>
  <c r="CK11" i="1"/>
  <c r="CM13" i="1"/>
  <c r="CQ86" i="1"/>
  <c r="CR74" i="1"/>
  <c r="CH99" i="1"/>
  <c r="CP22" i="1"/>
  <c r="CM7" i="1"/>
  <c r="CI90" i="1"/>
  <c r="CO77" i="1"/>
  <c r="CN20" i="1"/>
  <c r="CL90" i="1"/>
  <c r="CL53" i="1"/>
  <c r="CQ11" i="1"/>
  <c r="CO90" i="1"/>
  <c r="CL13" i="1"/>
  <c r="CM6" i="1"/>
  <c r="CO118" i="1"/>
  <c r="CI68" i="1"/>
  <c r="CG17" i="1"/>
  <c r="CH4" i="1"/>
  <c r="CG7" i="1"/>
  <c r="CR90" i="1"/>
  <c r="CL77" i="1"/>
  <c r="CK53" i="1"/>
  <c r="CO11" i="1"/>
  <c r="CK13" i="1"/>
  <c r="CG6" i="1"/>
  <c r="CL118" i="1"/>
  <c r="CQ68" i="1"/>
  <c r="CI86" i="1"/>
  <c r="CR17" i="1"/>
  <c r="CQ81" i="1"/>
  <c r="CN90" i="1"/>
  <c r="CH118" i="1"/>
  <c r="CI17" i="1"/>
  <c r="CK118" i="1"/>
  <c r="CO17" i="1"/>
  <c r="CO7" i="1"/>
  <c r="CP81" i="1"/>
  <c r="CM90" i="1"/>
  <c r="CN24" i="1"/>
  <c r="CN80" i="1"/>
  <c r="CN97" i="1"/>
  <c r="CL26" i="1"/>
  <c r="CK6" i="1"/>
  <c r="CR10" i="1"/>
  <c r="CL17" i="1"/>
  <c r="CM81" i="1"/>
  <c r="CJ90" i="1"/>
  <c r="CI97" i="1"/>
  <c r="CK10" i="1"/>
  <c r="CJ81" i="1"/>
  <c r="CQ136" i="1"/>
  <c r="CM96" i="1"/>
  <c r="CI81" i="1"/>
  <c r="CP136" i="1"/>
  <c r="CI96" i="1"/>
  <c r="CG81" i="1"/>
  <c r="CN136" i="1"/>
  <c r="CL81" i="1"/>
  <c r="CK90" i="1"/>
  <c r="CQ118" i="1"/>
  <c r="CJ136" i="1"/>
  <c r="CN17" i="1"/>
  <c r="CQ17" i="1"/>
  <c r="CK81" i="1"/>
  <c r="CN118" i="1"/>
  <c r="CG136" i="1"/>
  <c r="CP17" i="1"/>
  <c r="CJ17" i="1"/>
  <c r="CG118" i="1"/>
  <c r="CL136" i="1"/>
  <c r="CM17" i="1"/>
  <c r="CJ18" i="1"/>
  <c r="CQ4" i="1"/>
  <c r="CO3" i="1"/>
  <c r="CI149" i="1"/>
  <c r="CK7" i="1"/>
  <c r="CK24" i="1"/>
  <c r="CM80" i="1"/>
  <c r="CP11" i="1"/>
  <c r="CH97" i="1"/>
  <c r="CN155" i="1"/>
  <c r="CJ124" i="1"/>
  <c r="CM86" i="1"/>
  <c r="CN10" i="1"/>
  <c r="CL8" i="1"/>
  <c r="CQ20" i="1"/>
  <c r="CH18" i="1"/>
  <c r="CK147" i="1"/>
  <c r="CO83" i="1"/>
  <c r="CH7" i="1"/>
  <c r="CG154" i="1"/>
  <c r="CJ80" i="1"/>
  <c r="CG11" i="1"/>
  <c r="CQ97" i="1"/>
  <c r="CQ124" i="1"/>
  <c r="CJ86" i="1"/>
  <c r="CH10" i="1"/>
  <c r="CK8" i="1"/>
  <c r="CP20" i="1"/>
  <c r="CQ154" i="1"/>
  <c r="CJ9" i="1"/>
  <c r="CG18" i="1"/>
  <c r="CL83" i="1"/>
  <c r="CL154" i="1"/>
  <c r="CL2" i="1"/>
  <c r="CG80" i="1"/>
  <c r="CL11" i="1"/>
  <c r="CO97" i="1"/>
  <c r="CK124" i="1"/>
  <c r="CR86" i="1"/>
  <c r="CO10" i="1"/>
  <c r="CJ20" i="1"/>
  <c r="CN74" i="1"/>
  <c r="CP99" i="1"/>
  <c r="CI4" i="1"/>
  <c r="CQ3" i="1"/>
  <c r="CK84" i="1"/>
  <c r="CQ6" i="1"/>
  <c r="CL10" i="1"/>
  <c r="CI20" i="1"/>
  <c r="CJ3" i="1"/>
  <c r="CQ93" i="1"/>
  <c r="CG93" i="1"/>
  <c r="CJ97" i="1"/>
  <c r="CM18" i="1"/>
  <c r="CJ147" i="1"/>
  <c r="CL3" i="1"/>
  <c r="CQ83" i="1"/>
  <c r="CP7" i="1"/>
  <c r="CH101" i="1"/>
  <c r="CO154" i="1"/>
  <c r="CM53" i="1"/>
  <c r="CL80" i="1"/>
  <c r="CM11" i="1"/>
  <c r="CQ52" i="1"/>
  <c r="CM10" i="1"/>
  <c r="CP124" i="1"/>
  <c r="CK155" i="1"/>
  <c r="CN6" i="1"/>
  <c r="CO86" i="1"/>
  <c r="CJ10" i="1"/>
  <c r="CQ2" i="1"/>
  <c r="CG20" i="1"/>
  <c r="CP154" i="1"/>
  <c r="CL74" i="1"/>
  <c r="CG21" i="1"/>
  <c r="CL18" i="1"/>
  <c r="CP147" i="1"/>
  <c r="CM4" i="1"/>
  <c r="CK3" i="1"/>
  <c r="CJ83" i="1"/>
  <c r="CM93" i="1"/>
  <c r="CJ7" i="1"/>
  <c r="CO101" i="1"/>
  <c r="CQ77" i="1"/>
  <c r="CP24" i="1"/>
  <c r="CP2" i="1"/>
  <c r="CI53" i="1"/>
  <c r="CK80" i="1"/>
  <c r="CJ11" i="1"/>
  <c r="CM52" i="1"/>
  <c r="CN124" i="1"/>
  <c r="CJ6" i="1"/>
  <c r="CL86" i="1"/>
  <c r="CI10" i="1"/>
  <c r="CO2" i="1"/>
  <c r="CO20" i="1"/>
  <c r="CN154" i="1"/>
  <c r="CR21" i="1"/>
  <c r="CK18" i="1"/>
  <c r="CM147" i="1"/>
  <c r="CR4" i="1"/>
  <c r="CH3" i="1"/>
  <c r="CN83" i="1"/>
  <c r="CJ93" i="1"/>
  <c r="CH11" i="1"/>
  <c r="CQ14" i="1"/>
  <c r="CR11" i="1"/>
  <c r="CI124" i="1"/>
  <c r="CR6" i="1"/>
  <c r="CQ10" i="1"/>
  <c r="CJ154" i="1"/>
  <c r="CI18" i="1"/>
  <c r="CJ99" i="1"/>
  <c r="CN147" i="1"/>
  <c r="CK4" i="1"/>
  <c r="CP3" i="1"/>
  <c r="CI83" i="1"/>
  <c r="CO93" i="1"/>
  <c r="CH124" i="1"/>
  <c r="CG10" i="1"/>
  <c r="CQ18" i="1"/>
  <c r="CO147" i="1"/>
  <c r="CP83" i="1"/>
  <c r="CL93" i="1"/>
  <c r="CK93" i="1"/>
  <c r="CP93" i="1"/>
  <c r="CG2" i="1"/>
  <c r="CI154" i="1"/>
  <c r="CK99" i="1"/>
  <c r="CI147" i="1"/>
  <c r="CI93" i="1"/>
  <c r="CR79" i="1"/>
  <c r="CR100" i="1"/>
  <c r="CO79" i="1"/>
  <c r="CO100" i="1"/>
  <c r="CL79" i="1"/>
  <c r="CP25" i="1"/>
  <c r="CL100" i="1"/>
  <c r="CI16" i="1"/>
  <c r="CK100" i="1"/>
  <c r="CH16" i="1"/>
  <c r="CQ12" i="1"/>
  <c r="CP16" i="1"/>
  <c r="CM12" i="1"/>
  <c r="CH100" i="1"/>
  <c r="CN25" i="1"/>
  <c r="CJ25" i="1"/>
  <c r="CR16" i="1"/>
  <c r="CJ12" i="1"/>
  <c r="CI25" i="1"/>
  <c r="CM16" i="1"/>
  <c r="CL19" i="1"/>
  <c r="CM8" i="1"/>
  <c r="CO16" i="1"/>
  <c r="CH12" i="1"/>
  <c r="CP79" i="1"/>
  <c r="CQ25" i="1"/>
  <c r="CQ102" i="1"/>
  <c r="CJ8" i="1"/>
  <c r="CL16" i="1"/>
  <c r="CP12" i="1"/>
  <c r="CM79" i="1"/>
  <c r="CM25" i="1"/>
  <c r="CJ102" i="1"/>
  <c r="CM102" i="1"/>
  <c r="CG8" i="1"/>
  <c r="CK16" i="1"/>
  <c r="CI94" i="1"/>
  <c r="CO114" i="1"/>
  <c r="CI12" i="1"/>
  <c r="CJ79" i="1"/>
  <c r="CH25" i="1"/>
  <c r="CG25" i="1"/>
  <c r="CQ100" i="1"/>
  <c r="CN16" i="1"/>
  <c r="CR8" i="1"/>
  <c r="CM84" i="1"/>
  <c r="CO12" i="1"/>
  <c r="CI79" i="1"/>
  <c r="CR25" i="1"/>
  <c r="CP100" i="1"/>
  <c r="CO8" i="1"/>
  <c r="CH94" i="1"/>
  <c r="CL82" i="1"/>
  <c r="CL84" i="1"/>
  <c r="CP96" i="1"/>
  <c r="CL12" i="1"/>
  <c r="CG79" i="1"/>
  <c r="CL25" i="1"/>
  <c r="CJ100" i="1"/>
  <c r="CK12" i="1"/>
  <c r="CJ56" i="1"/>
  <c r="CO9" i="1"/>
  <c r="CL101" i="1"/>
  <c r="CR56" i="1"/>
  <c r="CK52" i="1"/>
  <c r="CI102" i="1"/>
  <c r="CI19" i="1"/>
  <c r="CP65" i="1"/>
  <c r="CK15" i="1"/>
  <c r="CL9" i="1"/>
  <c r="CI21" i="1"/>
  <c r="CI5" i="1"/>
  <c r="CJ84" i="1"/>
  <c r="CO22" i="1"/>
  <c r="CK101" i="1"/>
  <c r="CO56" i="1"/>
  <c r="CG65" i="1"/>
  <c r="CG102" i="1"/>
  <c r="CH19" i="1"/>
  <c r="CN65" i="1"/>
  <c r="CK9" i="1"/>
  <c r="CJ21" i="1"/>
  <c r="CR5" i="1"/>
  <c r="CH84" i="1"/>
  <c r="CL22" i="1"/>
  <c r="CQ101" i="1"/>
  <c r="CL56" i="1"/>
  <c r="CL102" i="1"/>
  <c r="CQ19" i="1"/>
  <c r="CM65" i="1"/>
  <c r="CQ21" i="1"/>
  <c r="CL5" i="1"/>
  <c r="CI84" i="1"/>
  <c r="CK22" i="1"/>
  <c r="CN19" i="1"/>
  <c r="CK56" i="1"/>
  <c r="CI155" i="1"/>
  <c r="CK102" i="1"/>
  <c r="CP19" i="1"/>
  <c r="CN21" i="1"/>
  <c r="CK5" i="1"/>
  <c r="CG84" i="1"/>
  <c r="CJ52" i="1"/>
  <c r="CH155" i="1"/>
  <c r="CJ19" i="1"/>
  <c r="CM56" i="1"/>
  <c r="CM21" i="1"/>
  <c r="CH5" i="1"/>
  <c r="CR114" i="1"/>
  <c r="CR84" i="1"/>
  <c r="CM101" i="1"/>
  <c r="CI52" i="1"/>
  <c r="CR155" i="1"/>
  <c r="CG19" i="1"/>
  <c r="CN52" i="1"/>
  <c r="CQ15" i="1"/>
  <c r="CQ9" i="1"/>
  <c r="CH21" i="1"/>
  <c r="CO84" i="1"/>
  <c r="CN93" i="1"/>
  <c r="CP101" i="1"/>
  <c r="CQ155" i="1"/>
  <c r="CM9" i="1"/>
  <c r="CQ22" i="1"/>
  <c r="CN101" i="1"/>
  <c r="CM19" i="1"/>
  <c r="CG52" i="1"/>
  <c r="CI65" i="1"/>
  <c r="CP52" i="1"/>
  <c r="CO155" i="1"/>
  <c r="CJ15" i="1"/>
  <c r="CH9" i="1"/>
  <c r="CO21" i="1"/>
  <c r="CQ5" i="1"/>
  <c r="CP84" i="1"/>
  <c r="CJ85" i="1"/>
  <c r="CH93" i="1"/>
  <c r="CN22" i="1"/>
  <c r="CG101" i="1"/>
  <c r="CQ56" i="1"/>
  <c r="CR52" i="1"/>
  <c r="CP102" i="1"/>
  <c r="CH65" i="1"/>
  <c r="CI15" i="1"/>
  <c r="CP9" i="1"/>
  <c r="CL21" i="1"/>
  <c r="CP5" i="1"/>
  <c r="CQ84" i="1"/>
  <c r="CQ85" i="1"/>
  <c r="CM22" i="1"/>
  <c r="CR101" i="1"/>
  <c r="CP56" i="1"/>
  <c r="CO52" i="1"/>
  <c r="CN15" i="1"/>
  <c r="CN102" i="1"/>
  <c r="CR65" i="1"/>
  <c r="CL155" i="1"/>
  <c r="CG15" i="1"/>
  <c r="CI9" i="1"/>
  <c r="CM5" i="1"/>
  <c r="CI85" i="1"/>
  <c r="CI22" i="1"/>
  <c r="CJ87" i="1"/>
  <c r="CH81" i="1"/>
  <c r="CK79" i="1"/>
  <c r="CH90" i="1"/>
  <c r="CG92" i="1"/>
  <c r="CG98" i="1"/>
  <c r="CK148" i="1"/>
  <c r="CI8" i="1"/>
  <c r="CJ53" i="1"/>
  <c r="CH80" i="1"/>
  <c r="CO25" i="1"/>
  <c r="CK14" i="1"/>
  <c r="CN56" i="1"/>
  <c r="CP92" i="1"/>
  <c r="CR97" i="1"/>
  <c r="CM100" i="1"/>
  <c r="CP155" i="1"/>
  <c r="CH102" i="1"/>
  <c r="CG124" i="1"/>
  <c r="CO19" i="1"/>
  <c r="CM14" i="1"/>
  <c r="CP118" i="1"/>
  <c r="CI136" i="1"/>
  <c r="CN68" i="1"/>
  <c r="CK2" i="1"/>
  <c r="CQ16" i="1"/>
  <c r="CH15" i="1"/>
  <c r="CR20" i="1"/>
  <c r="CK17" i="1"/>
  <c r="CN9" i="1"/>
  <c r="CM99" i="1"/>
  <c r="CG5" i="1"/>
  <c r="CH87" i="1"/>
  <c r="CJ94" i="1"/>
  <c r="CH147" i="1"/>
  <c r="CH114" i="1"/>
  <c r="CG4" i="1"/>
  <c r="CM82" i="1"/>
  <c r="CH83" i="1"/>
  <c r="CN85" i="1"/>
  <c r="CN96" i="1"/>
  <c r="CH22" i="1"/>
  <c r="CN12" i="1"/>
  <c r="CH149" i="1"/>
  <c r="CI125" i="1"/>
  <c r="CN87" i="1"/>
  <c r="CR149" i="1"/>
  <c r="CH98" i="1"/>
  <c r="CR81" i="1"/>
  <c r="CH125" i="1"/>
  <c r="CQ90" i="1"/>
  <c r="CM136" i="1"/>
  <c r="CO98" i="1"/>
  <c r="CH8" i="1"/>
  <c r="CG53" i="1"/>
  <c r="CR80" i="1"/>
  <c r="CI56" i="1"/>
  <c r="CM92" i="1"/>
  <c r="CL97" i="1"/>
  <c r="CI13" i="1"/>
  <c r="CI100" i="1"/>
  <c r="CM155" i="1"/>
  <c r="CR102" i="1"/>
  <c r="CO124" i="1"/>
  <c r="CJ118" i="1"/>
  <c r="CR136" i="1"/>
  <c r="CK68" i="1"/>
  <c r="CN79" i="1"/>
  <c r="CP8" i="1"/>
  <c r="CJ16" i="1"/>
  <c r="CR15" i="1"/>
  <c r="CL20" i="1"/>
  <c r="CH154" i="1"/>
  <c r="CG9" i="1"/>
  <c r="CG99" i="1"/>
  <c r="CO5" i="1"/>
  <c r="CG87" i="1"/>
  <c r="CG94" i="1"/>
  <c r="CG147" i="1"/>
  <c r="CQ114" i="1"/>
  <c r="CO4" i="1"/>
  <c r="CG82" i="1"/>
  <c r="CG83" i="1"/>
  <c r="CG85" i="1"/>
  <c r="CG96" i="1"/>
  <c r="CG22" i="1"/>
  <c r="CG12" i="1"/>
  <c r="CQ149" i="1"/>
  <c r="CO81" i="1"/>
  <c r="CQ79" i="1"/>
  <c r="CQ125" i="1"/>
  <c r="CP90" i="1"/>
  <c r="CH136" i="1"/>
  <c r="CP68" i="1"/>
  <c r="CP148" i="1"/>
  <c r="CQ80" i="1"/>
  <c r="CR53" i="1"/>
  <c r="CI14" i="1"/>
  <c r="CG56" i="1"/>
  <c r="CK97" i="1"/>
  <c r="CG100" i="1"/>
  <c r="CJ155" i="1"/>
  <c r="CK20" i="1"/>
  <c r="CR87" i="1"/>
  <c r="CR94" i="1"/>
  <c r="CP114" i="1"/>
  <c r="CR85" i="1"/>
  <c r="CR96" i="1"/>
  <c r="CP149" i="1"/>
  <c r="CM125" i="1"/>
  <c r="CP125" i="1"/>
  <c r="CO87" i="1"/>
  <c r="CO94" i="1"/>
  <c r="CN114" i="1"/>
  <c r="CO85" i="1"/>
  <c r="CO96" i="1"/>
  <c r="CN149" i="1"/>
  <c r="CI6" i="1"/>
  <c r="CH6" i="1"/>
  <c r="CJ125" i="1"/>
  <c r="CL87" i="1"/>
  <c r="CL94" i="1"/>
  <c r="CM114" i="1"/>
  <c r="CL85" i="1"/>
  <c r="CL96" i="1"/>
  <c r="CM149" i="1"/>
  <c r="CG125" i="1"/>
  <c r="CK87" i="1"/>
  <c r="CK94" i="1"/>
  <c r="CJ114" i="1"/>
  <c r="CK85" i="1"/>
  <c r="CK96" i="1"/>
  <c r="CJ149" i="1"/>
  <c r="CH13" i="1"/>
  <c r="CP13" i="1"/>
  <c r="CR125" i="1"/>
  <c r="CQ87" i="1"/>
  <c r="CP94" i="1"/>
  <c r="CG114" i="1"/>
  <c r="CM85" i="1"/>
  <c r="CQ96" i="1"/>
  <c r="CG149" i="1"/>
  <c r="CO125" i="1"/>
  <c r="CP87" i="1"/>
  <c r="CO149" i="1"/>
  <c r="CL125" i="1"/>
  <c r="CI87" i="1"/>
  <c r="CQ94" i="1"/>
  <c r="CL114" i="1"/>
  <c r="CH85" i="1"/>
  <c r="CJ96" i="1"/>
  <c r="CL149" i="1"/>
  <c r="CI98" i="1"/>
  <c r="CN98" i="1"/>
  <c r="CK125" i="1"/>
  <c r="CR161" i="1" l="1"/>
  <c r="CN161" i="1"/>
  <c r="CJ161" i="1"/>
  <c r="CH161" i="1"/>
  <c r="CM161" i="1"/>
  <c r="CL161" i="1"/>
  <c r="CQ161" i="1"/>
  <c r="CG161" i="1"/>
  <c r="CK161" i="1"/>
  <c r="CP161" i="1"/>
  <c r="CO161" i="1"/>
  <c r="CI161" i="1"/>
</calcChain>
</file>

<file path=xl/sharedStrings.xml><?xml version="1.0" encoding="utf-8"?>
<sst xmlns="http://schemas.openxmlformats.org/spreadsheetml/2006/main" count="724" uniqueCount="269">
  <si>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</si>
  <si>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</si>
  <si>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</si>
  <si>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</si>
  <si>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</si>
  <si>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</si>
  <si>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</si>
  <si>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</si>
  <si>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</si>
  <si>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</si>
  <si>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</si>
  <si>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</si>
  <si>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</si>
  <si>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</si>
  <si>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</si>
  <si>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</si>
  <si>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</si>
  <si>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</si>
  <si>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</si>
  <si>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</si>
  <si>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</si>
  <si>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</si>
  <si>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</si>
  <si>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</si>
  <si>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</si>
  <si>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</si>
  <si>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</si>
  <si>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</si>
  <si>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</si>
  <si>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</si>
  <si>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</si>
  <si>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</si>
  <si>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</si>
  <si>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</si>
  <si>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</si>
  <si>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</si>
  <si>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</si>
  <si>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</si>
  <si>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</si>
  <si>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</si>
  <si>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</si>
  <si>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</si>
  <si>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</si>
  <si>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</si>
  <si>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</si>
  <si>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</si>
  <si>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</si>
  <si>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</si>
  <si>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</si>
  <si>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</si>
  <si>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</si>
  <si>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</si>
  <si>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</si>
  <si>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</si>
  <si>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</si>
  <si>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</si>
  <si>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</si>
  <si>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</si>
  <si>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</si>
  <si>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</si>
  <si>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</si>
  <si>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</si>
  <si>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</si>
  <si>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</si>
  <si>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</si>
  <si>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</si>
  <si>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</si>
  <si>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</si>
  <si>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</si>
  <si>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</si>
  <si>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</si>
  <si>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</si>
  <si>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</si>
  <si>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</si>
  <si>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</si>
  <si>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</si>
  <si>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</si>
  <si>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</si>
  <si>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</si>
  <si>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</si>
  <si>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</si>
  <si>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</si>
  <si>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</si>
  <si>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</si>
  <si>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</si>
  <si>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</si>
  <si>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</si>
  <si>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</si>
  <si>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</si>
  <si>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</si>
  <si>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</si>
  <si>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</si>
  <si>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</si>
  <si>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</si>
  <si>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</si>
  <si>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</si>
  <si>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</si>
  <si>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</si>
  <si>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</si>
  <si>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</si>
  <si>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</si>
  <si>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</si>
  <si>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</si>
  <si>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</si>
  <si>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</si>
  <si>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</si>
  <si>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</si>
  <si>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</si>
  <si>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</si>
  <si>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</si>
  <si>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</si>
  <si>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</si>
  <si>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</si>
  <si>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</si>
  <si>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</si>
  <si>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</si>
  <si>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</si>
  <si>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</si>
  <si>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</si>
  <si>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</si>
  <si>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</si>
  <si>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螃蟹(5),</t>
    <phoneticPr fontId="1" type="noConversion"/>
  </si>
  <si>
    <t>金钗(5),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</si>
  <si>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</si>
  <si>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</si>
  <si>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</si>
  <si>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</si>
  <si>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</si>
  <si>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</si>
  <si>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</si>
  <si>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金甲虫(48),</t>
    <phoneticPr fontId="1" type="noConversion"/>
  </si>
  <si>
    <t>金甲虫(198),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</si>
  <si>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</si>
  <si>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</si>
  <si>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</si>
  <si>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</si>
  <si>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金甲虫(8),</t>
    <phoneticPr fontId="1" type="noConversion"/>
  </si>
  <si>
    <t>小猪妖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</si>
  <si>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</si>
  <si>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</si>
  <si>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</si>
  <si>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</si>
  <si>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</si>
  <si>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</si>
  <si>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</si>
  <si>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</si>
  <si>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</si>
  <si>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</si>
  <si>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</si>
  <si>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</si>
  <si>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</si>
  <si>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</si>
  <si>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</si>
  <si>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</si>
  <si>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</si>
  <si>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</si>
  <si>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</si>
  <si>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</si>
  <si>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</si>
  <si>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</si>
  <si>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</si>
  <si>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</si>
  <si>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付炬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</si>
  <si>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</si>
  <si>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</si>
  <si>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</si>
  <si>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</si>
  <si>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</si>
  <si>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汪仔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</si>
  <si>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</si>
  <si>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</si>
  <si>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</si>
  <si>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</si>
  <si>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</si>
  <si>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</si>
  <si>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</si>
  <si>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</si>
  <si>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彗星(25),</t>
    <phoneticPr fontId="1" type="noConversion"/>
  </si>
  <si>
    <t>羽妖仔</t>
    <phoneticPr fontId="1" type="noConversion"/>
  </si>
  <si>
    <t>一饼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</si>
  <si>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</si>
  <si>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</si>
  <si>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</si>
  <si>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</si>
  <si>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</si>
  <si>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</si>
  <si>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</si>
  <si>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</si>
  <si>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</si>
  <si>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</si>
  <si>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</si>
  <si>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</si>
  <si>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</si>
  <si>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</si>
  <si>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</si>
  <si>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</si>
  <si>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</si>
  <si>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</si>
  <si>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</si>
  <si>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</si>
  <si>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</si>
  <si>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</si>
  <si>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</si>
  <si>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</si>
  <si>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</si>
  <si>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</si>
  <si>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</si>
  <si>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</si>
  <si>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</si>
  <si>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</si>
  <si>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</si>
  <si>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</si>
  <si>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</si>
  <si>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</si>
  <si>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</si>
  <si>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</si>
  <si>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</si>
  <si>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</si>
  <si>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</si>
  <si>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</si>
  <si>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</si>
  <si>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</si>
  <si>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</si>
  <si>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糯米(2),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</si>
  <si>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</si>
  <si>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</si>
  <si>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</si>
  <si>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</si>
  <si>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炼妖壶(2),</t>
  </si>
  <si>
    <t>龙灵不朽藤(5),</t>
  </si>
  <si>
    <t>炼妖壶(3),</t>
  </si>
  <si>
    <t>东皇钟(1),</t>
  </si>
  <si>
    <t>神农鼎(7),</t>
  </si>
  <si>
    <t>神农鼎(2),</t>
  </si>
  <si>
    <t>东皇钟(1),_x000D_
崆峒印(3),</t>
  </si>
  <si>
    <t>龙灵不朽藤(10),</t>
    <phoneticPr fontId="1" type="noConversion"/>
  </si>
  <si>
    <t>炼妖壶(3),_x000D_
龙灵不朽藤(10),</t>
    <phoneticPr fontId="1" type="noConversion"/>
  </si>
  <si>
    <t>智慧符文叉大(2),</t>
    <phoneticPr fontId="1" type="noConversion"/>
  </si>
  <si>
    <t>炼妖壶(7),</t>
    <phoneticPr fontId="1" type="noConversion"/>
  </si>
  <si>
    <t>幸运符文叉大(3),</t>
    <phoneticPr fontId="1" type="noConversion"/>
  </si>
  <si>
    <t>炼妖壶(2),_x000D_
仙丹(5),</t>
    <phoneticPr fontId="1" type="noConversion"/>
  </si>
  <si>
    <t>神农鼎(7),_x000D_
龙灵不朽藤(15),</t>
    <phoneticPr fontId="1" type="noConversion"/>
  </si>
  <si>
    <t>炼妖壶(3),</t>
    <phoneticPr fontId="1" type="noConversion"/>
  </si>
  <si>
    <t>炼妖壶(17),</t>
    <phoneticPr fontId="1" type="noConversion"/>
  </si>
  <si>
    <t>神农鼎(12),_x000D_
幸运符文叉大(3),</t>
    <phoneticPr fontId="1" type="noConversion"/>
  </si>
  <si>
    <t>六方天运骰(5),_x000D_
力量符文叉大(1),</t>
    <phoneticPr fontId="1" type="noConversion"/>
  </si>
  <si>
    <t>炼妖壶(12),_x000D_
神农鼎(7),_x000D_
赤焰十字星(1),</t>
    <phoneticPr fontId="1" type="noConversion"/>
  </si>
  <si>
    <t>糯米(10),_x000D_
粽叶(10),_x000D_
龙灵不朽藤(5),</t>
    <phoneticPr fontId="1" type="noConversion"/>
  </si>
  <si>
    <t>欠条大(8),_x000D_
骰子大(4),</t>
    <phoneticPr fontId="1" type="noConversion"/>
  </si>
  <si>
    <t>神农鼎(2),_x000D_
欠条大(8),_x000D_
骰子大(4),</t>
    <phoneticPr fontId="1" type="noConversion"/>
  </si>
  <si>
    <t>欠条大(8),_x000D_
钱袋大(10),</t>
    <phoneticPr fontId="1" type="noConversion"/>
  </si>
  <si>
    <t>骰子大(4),_x000D_
庄家令牌大(6),</t>
    <phoneticPr fontId="1" type="noConversion"/>
  </si>
  <si>
    <t>神农鼎(2),_x000D_
欠条大(8),_x000D_
钱袋大(10),</t>
    <phoneticPr fontId="1" type="noConversion"/>
  </si>
  <si>
    <t>庄家令牌中(3),</t>
    <phoneticPr fontId="1" type="noConversion"/>
  </si>
  <si>
    <t>欠条中(6),_x000D_
钱袋中(2),_x000D_
筹码大(6),</t>
    <phoneticPr fontId="1" type="noConversion"/>
  </si>
  <si>
    <t>欠条中(6),_x000D_
欠条大(5),_x000D_
钱袋中(2),</t>
    <phoneticPr fontId="1" type="noConversion"/>
  </si>
  <si>
    <t>欠条中(6),_x000D_
钱袋中(2),_x000D_
骰子大(1),</t>
    <phoneticPr fontId="1" type="noConversion"/>
  </si>
  <si>
    <t>欠条大(8),_x000D_
骰子大(4),_x000D_
龙灵不朽藤(10),</t>
    <phoneticPr fontId="1" type="noConversion"/>
  </si>
  <si>
    <t>钱袋大(10),_x000D_
筹码大(9),</t>
    <phoneticPr fontId="1" type="noConversion"/>
  </si>
  <si>
    <t>钱袋大(2),_x000D_
筹码大(1),_x000D_
庄家令牌中(3),</t>
    <phoneticPr fontId="1" type="noConversion"/>
  </si>
  <si>
    <t>欠条中(4),_x000D_
筹码中(4),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</si>
  <si>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</si>
  <si>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</si>
  <si>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欠条中(4),_x000D_
筹码中(4),_x000D_
庄家令牌小(2),</t>
    <phoneticPr fontId="1" type="noConversion"/>
  </si>
  <si>
    <t>庄家令牌小(2),_x000D_
庄家令牌中(3),</t>
    <phoneticPr fontId="1" type="noConversion"/>
  </si>
  <si>
    <t>骰子中(3),_x000D_
庄家令牌小(2),</t>
    <phoneticPr fontId="1" type="noConversion"/>
  </si>
  <si>
    <t>欠条中(4),_x000D_
庄家令牌小(2),</t>
    <phoneticPr fontId="1" type="noConversion"/>
  </si>
  <si>
    <t>筹码中(4),_x000D_
庄家令牌小(2),</t>
    <phoneticPr fontId="1" type="noConversion"/>
  </si>
  <si>
    <t>赤焰十字星(26),_x000D_
力量符文叉大(21),_x000D_
逆鳞(10),_x000D_
星座素材火(2),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</si>
</sst>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165</xdr:row>
          <xdr:rowOff>28575</xdr:rowOff>
        </xdr:from>
        <xdr:to>
          <xdr:col>1</xdr:col>
          <xdr:colOff>428625</xdr:colOff>
          <xdr:row>166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63"/>
  <sheetViews>
    <sheetView tabSelected="1" workbookViewId="0">
      <pane xSplit="2" ySplit="1" topLeftCell="C31" activePane="bottomRight" state="frozen"/>
      <selection pane="topRight" activeCell="C1" sqref="C1"/>
      <selection pane="bottomLeft" activeCell="A3" sqref="A3"/>
      <selection pane="bottomRight" activeCell="E42" sqref="E4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96</v>
      </c>
      <c r="B1" s="8" t="s">
        <v>97</v>
      </c>
      <c r="C1" s="8" t="s">
        <v>99</v>
      </c>
      <c r="D1" s="8" t="s">
        <v>98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93</v>
      </c>
      <c r="K1" s="9" t="s">
        <v>30</v>
      </c>
      <c r="L1" s="9" t="s">
        <v>54</v>
      </c>
      <c r="M1" s="9" t="s">
        <v>60</v>
      </c>
      <c r="N1" s="9" t="s">
        <v>66</v>
      </c>
      <c r="O1" s="9" t="s">
        <v>59</v>
      </c>
      <c r="P1" s="31" t="s">
        <v>184</v>
      </c>
      <c r="Q1" s="31" t="s">
        <v>196</v>
      </c>
      <c r="R1" s="31" t="s">
        <v>190</v>
      </c>
      <c r="S1" s="31" t="s">
        <v>185</v>
      </c>
      <c r="T1" s="31" t="s">
        <v>194</v>
      </c>
      <c r="U1" s="31" t="s">
        <v>200</v>
      </c>
      <c r="V1" s="31" t="s">
        <v>186</v>
      </c>
      <c r="W1" s="31" t="s">
        <v>193</v>
      </c>
      <c r="X1" s="31" t="s">
        <v>191</v>
      </c>
      <c r="Y1" s="31" t="s">
        <v>187</v>
      </c>
      <c r="Z1" s="31" t="s">
        <v>195</v>
      </c>
      <c r="AA1" s="31" t="s">
        <v>202</v>
      </c>
      <c r="AB1" s="31" t="s">
        <v>189</v>
      </c>
      <c r="AC1" s="31" t="s">
        <v>188</v>
      </c>
      <c r="AD1" s="31" t="s">
        <v>218</v>
      </c>
      <c r="AE1" s="8" t="s">
        <v>10</v>
      </c>
      <c r="AF1" s="8" t="s">
        <v>36</v>
      </c>
      <c r="AG1" s="8" t="s">
        <v>37</v>
      </c>
      <c r="AH1" s="8" t="s">
        <v>82</v>
      </c>
      <c r="AI1" s="8" t="s">
        <v>83</v>
      </c>
      <c r="AJ1" s="8" t="s">
        <v>85</v>
      </c>
      <c r="AK1" s="8" t="s">
        <v>86</v>
      </c>
      <c r="AL1" s="8" t="s">
        <v>88</v>
      </c>
      <c r="AM1" s="8" t="s">
        <v>67</v>
      </c>
      <c r="AN1" s="8" t="s">
        <v>69</v>
      </c>
      <c r="AO1" s="8" t="s">
        <v>148</v>
      </c>
      <c r="AP1" s="8" t="s">
        <v>149</v>
      </c>
      <c r="AQ1" s="10" t="s">
        <v>50</v>
      </c>
      <c r="AR1" s="10" t="s">
        <v>5</v>
      </c>
      <c r="AS1" s="10" t="s">
        <v>34</v>
      </c>
      <c r="AT1" s="10" t="s">
        <v>72</v>
      </c>
      <c r="AU1" s="10" t="s">
        <v>80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144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104</v>
      </c>
      <c r="BQ1" s="8" t="s">
        <v>105</v>
      </c>
      <c r="BR1" s="16" t="s">
        <v>106</v>
      </c>
      <c r="BS1" s="16"/>
      <c r="BT1" s="10" t="s">
        <v>50</v>
      </c>
      <c r="BU1" s="10" t="s">
        <v>5</v>
      </c>
      <c r="BV1" s="10" t="s">
        <v>34</v>
      </c>
      <c r="BW1" s="10" t="s">
        <v>72</v>
      </c>
      <c r="BX1" s="10" t="s">
        <v>80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72</v>
      </c>
      <c r="CK1" s="10" t="s">
        <v>80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26" si="0">SUM(E2:BO2)</f>
        <v>80</v>
      </c>
      <c r="BQ2" s="1">
        <v>0</v>
      </c>
      <c r="BR2" s="17">
        <v>0</v>
      </c>
      <c r="BS2" s="17"/>
      <c r="BT2" s="1" t="str">
        <f>IF(AQ2&gt;AQ$162, AQ2-AQ$162,"")</f>
        <v/>
      </c>
      <c r="BU2" s="1" t="str">
        <f>IF(AR2&gt;AR$162, AR2-AR$162,"")</f>
        <v/>
      </c>
      <c r="BV2" s="1" t="str">
        <f>IF(AS2&gt;AS$162, AS2-AS$162,"")</f>
        <v/>
      </c>
      <c r="BW2" s="1" t="str">
        <f>IF(AT2&gt;AT$162, AT2-AT$162,"")</f>
        <v/>
      </c>
      <c r="BX2" s="1" t="str">
        <f>IF(AU2&gt;AU$162, AU2-AU$162,"")</f>
        <v/>
      </c>
      <c r="BY2" s="1" t="str">
        <f>IF(AV2&gt;AV$162, AV2-AV$162,"")</f>
        <v/>
      </c>
      <c r="BZ2" s="1" t="str">
        <f>IF(AW2&gt;AW$162, AW2-AW$162,"")</f>
        <v/>
      </c>
      <c r="CA2" s="1" t="str">
        <f>IF(AX2&gt;AX$162, AX2-AX$162,"")</f>
        <v/>
      </c>
      <c r="CB2" s="1" t="str">
        <f>IF(AY2&gt;AY$162, AY2-AY$162,"")</f>
        <v/>
      </c>
      <c r="CC2" s="1" t="str">
        <f>IF(AZ2&gt;AZ$162, AZ2-AZ$162,"")</f>
        <v/>
      </c>
      <c r="CD2" s="1" t="str">
        <f>IF(BA2&gt;BA$162, BA2-BA$162,"")</f>
        <v/>
      </c>
      <c r="CE2" s="1" t="str">
        <f>IF(BB2&gt;BB$162, BB2-BB$162,"")</f>
        <v/>
      </c>
      <c r="CF2" s="1">
        <f>12-COUNTA(BT2:CE2)</f>
        <v>0</v>
      </c>
      <c r="CG2" s="1" t="str">
        <f t="shared" ref="CG2:CG26" si="1">IF($CF2=1,BT2,"")</f>
        <v/>
      </c>
      <c r="CH2" s="1" t="str">
        <f t="shared" ref="CH2:CH26" si="2">IF($CF2=1,BU2,"")</f>
        <v/>
      </c>
      <c r="CI2" s="1" t="str">
        <f t="shared" ref="CI2:CI26" si="3">IF($CF2=1,BV2,"")</f>
        <v/>
      </c>
      <c r="CJ2" s="1" t="str">
        <f t="shared" ref="CJ2:CJ26" si="4">IF($CF2=1,BW2,"")</f>
        <v/>
      </c>
      <c r="CK2" s="1" t="str">
        <f t="shared" ref="CK2:CK26" si="5">IF($CF2=1,BX2,"")</f>
        <v/>
      </c>
      <c r="CL2" s="1" t="str">
        <f t="shared" ref="CL2:CL26" si="6">IF($CF2=1,BY2,"")</f>
        <v/>
      </c>
      <c r="CM2" s="1" t="str">
        <f t="shared" ref="CM2:CM26" si="7">IF($CF2=1,BZ2,"")</f>
        <v/>
      </c>
      <c r="CN2" s="1" t="str">
        <f t="shared" ref="CN2:CN26" si="8">IF($CF2=1,CA2,"")</f>
        <v/>
      </c>
      <c r="CO2" s="1" t="str">
        <f t="shared" ref="CO2:CO26" si="9">IF($CF2=1,CB2,"")</f>
        <v/>
      </c>
      <c r="CP2" s="1" t="str">
        <f t="shared" ref="CP2:CP26" si="10">IF($CF2=1,CC2,"")</f>
        <v/>
      </c>
      <c r="CQ2" s="1" t="str">
        <f t="shared" ref="CQ2:CQ26" si="11">IF($CF2=1,CD2,"")</f>
        <v/>
      </c>
      <c r="CR2" s="1" t="str">
        <f t="shared" ref="CR2:CR26" si="12">IF($CF2=1,CE2,"")</f>
        <v/>
      </c>
      <c r="CS2" s="18">
        <f t="shared" ref="CS2:CS26" si="13"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IF(AQ3&gt;AQ$162, AQ3-AQ$162,"")</f>
        <v/>
      </c>
      <c r="BU3" s="1" t="str">
        <f>IF(AR3&gt;AR$162, AR3-AR$162,"")</f>
        <v/>
      </c>
      <c r="BV3" s="1" t="str">
        <f>IF(AS3&gt;AS$162, AS3-AS$162,"")</f>
        <v/>
      </c>
      <c r="BW3" s="1" t="str">
        <f>IF(AT3&gt;AT$162, AT3-AT$162,"")</f>
        <v/>
      </c>
      <c r="BX3" s="1" t="str">
        <f>IF(AU3&gt;AU$162, AU3-AU$162,"")</f>
        <v/>
      </c>
      <c r="BY3" s="1" t="str">
        <f>IF(AV3&gt;AV$162, AV3-AV$162,"")</f>
        <v/>
      </c>
      <c r="BZ3" s="1" t="str">
        <f>IF(AW3&gt;AW$162, AW3-AW$162,"")</f>
        <v/>
      </c>
      <c r="CA3" s="1" t="str">
        <f>IF(AX3&gt;AX$162, AX3-AX$162,"")</f>
        <v/>
      </c>
      <c r="CB3" s="1" t="str">
        <f>IF(AY3&gt;AY$162, AY3-AY$162,"")</f>
        <v/>
      </c>
      <c r="CC3" s="1" t="str">
        <f>IF(AZ3&gt;AZ$162, AZ3-AZ$162,"")</f>
        <v/>
      </c>
      <c r="CD3" s="1" t="str">
        <f>IF(BA3&gt;BA$162, BA3-BA$162,"")</f>
        <v/>
      </c>
      <c r="CE3" s="1" t="str">
        <f>IF(BB3&gt;BB$162, BB3-BB$162,"")</f>
        <v/>
      </c>
      <c r="CF3" s="1">
        <f>12-COUNTA(BT3:CE3)</f>
        <v>0</v>
      </c>
      <c r="CG3" s="1" t="str">
        <f t="shared" si="1"/>
        <v/>
      </c>
      <c r="CH3" s="1" t="str">
        <f t="shared" si="2"/>
        <v/>
      </c>
      <c r="CI3" s="1" t="str">
        <f t="shared" si="3"/>
        <v/>
      </c>
      <c r="CJ3" s="1" t="str">
        <f t="shared" si="4"/>
        <v/>
      </c>
      <c r="CK3" s="1" t="str">
        <f t="shared" si="5"/>
        <v/>
      </c>
      <c r="CL3" s="1" t="str">
        <f t="shared" si="6"/>
        <v/>
      </c>
      <c r="CM3" s="1" t="str">
        <f t="shared" si="7"/>
        <v/>
      </c>
      <c r="CN3" s="1" t="str">
        <f t="shared" si="8"/>
        <v/>
      </c>
      <c r="CO3" s="1" t="str">
        <f t="shared" si="9"/>
        <v/>
      </c>
      <c r="CP3" s="1" t="str">
        <f t="shared" si="10"/>
        <v/>
      </c>
      <c r="CQ3" s="1" t="str">
        <f t="shared" si="11"/>
        <v/>
      </c>
      <c r="CR3" s="1" t="str">
        <f t="shared" si="12"/>
        <v/>
      </c>
      <c r="CS3" s="18">
        <f t="shared" si="13"/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IF(AQ4&gt;AQ$162, AQ4-AQ$162,"")</f>
        <v/>
      </c>
      <c r="BU4" s="1" t="str">
        <f>IF(AR4&gt;AR$162, AR4-AR$162,"")</f>
        <v/>
      </c>
      <c r="BV4" s="1" t="str">
        <f>IF(AS4&gt;AS$162, AS4-AS$162,"")</f>
        <v/>
      </c>
      <c r="BW4" s="1" t="str">
        <f>IF(AT4&gt;AT$162, AT4-AT$162,"")</f>
        <v/>
      </c>
      <c r="BX4" s="1" t="str">
        <f>IF(AU4&gt;AU$162, AU4-AU$162,"")</f>
        <v/>
      </c>
      <c r="BY4" s="1" t="str">
        <f>IF(AV4&gt;AV$162, AV4-AV$162,"")</f>
        <v/>
      </c>
      <c r="BZ4" s="1" t="str">
        <f>IF(AW4&gt;AW$162, AW4-AW$162,"")</f>
        <v/>
      </c>
      <c r="CA4" s="1" t="str">
        <f>IF(AX4&gt;AX$162, AX4-AX$162,"")</f>
        <v/>
      </c>
      <c r="CB4" s="1" t="str">
        <f>IF(AY4&gt;AY$162, AY4-AY$162,"")</f>
        <v/>
      </c>
      <c r="CC4" s="1" t="str">
        <f>IF(AZ4&gt;AZ$162, AZ4-AZ$162,"")</f>
        <v/>
      </c>
      <c r="CD4" s="1" t="str">
        <f>IF(BA4&gt;BA$162, BA4-BA$162,"")</f>
        <v/>
      </c>
      <c r="CE4" s="1" t="str">
        <f>IF(BB4&gt;BB$162, BB4-BB$162,"")</f>
        <v/>
      </c>
      <c r="CF4" s="1">
        <f>12-COUNTA(BT4:CE4)</f>
        <v>0</v>
      </c>
      <c r="CG4" s="1" t="str">
        <f t="shared" si="1"/>
        <v/>
      </c>
      <c r="CH4" s="1" t="str">
        <f t="shared" si="2"/>
        <v/>
      </c>
      <c r="CI4" s="1" t="str">
        <f t="shared" si="3"/>
        <v/>
      </c>
      <c r="CJ4" s="1" t="str">
        <f t="shared" si="4"/>
        <v/>
      </c>
      <c r="CK4" s="1" t="str">
        <f t="shared" si="5"/>
        <v/>
      </c>
      <c r="CL4" s="1" t="str">
        <f t="shared" si="6"/>
        <v/>
      </c>
      <c r="CM4" s="1" t="str">
        <f t="shared" si="7"/>
        <v/>
      </c>
      <c r="CN4" s="1" t="str">
        <f t="shared" si="8"/>
        <v/>
      </c>
      <c r="CO4" s="1" t="str">
        <f t="shared" si="9"/>
        <v/>
      </c>
      <c r="CP4" s="1" t="str">
        <f t="shared" si="10"/>
        <v/>
      </c>
      <c r="CQ4" s="1" t="str">
        <f t="shared" si="11"/>
        <v/>
      </c>
      <c r="CR4" s="1" t="str">
        <f t="shared" si="12"/>
        <v/>
      </c>
      <c r="CS4" s="18">
        <f t="shared" si="13"/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IF(AQ5&gt;AQ$162, AQ5-AQ$162,"")</f>
        <v/>
      </c>
      <c r="BU5" s="1" t="str">
        <f>IF(AR5&gt;AR$162, AR5-AR$162,"")</f>
        <v/>
      </c>
      <c r="BV5" s="1" t="str">
        <f>IF(AS5&gt;AS$162, AS5-AS$162,"")</f>
        <v/>
      </c>
      <c r="BW5" s="1" t="str">
        <f>IF(AT5&gt;AT$162, AT5-AT$162,"")</f>
        <v/>
      </c>
      <c r="BX5" s="1" t="str">
        <f>IF(AU5&gt;AU$162, AU5-AU$162,"")</f>
        <v/>
      </c>
      <c r="BY5" s="1" t="str">
        <f>IF(AV5&gt;AV$162, AV5-AV$162,"")</f>
        <v/>
      </c>
      <c r="BZ5" s="1" t="str">
        <f>IF(AW5&gt;AW$162, AW5-AW$162,"")</f>
        <v/>
      </c>
      <c r="CA5" s="1" t="str">
        <f>IF(AX5&gt;AX$162, AX5-AX$162,"")</f>
        <v/>
      </c>
      <c r="CB5" s="1" t="str">
        <f>IF(AY5&gt;AY$162, AY5-AY$162,"")</f>
        <v/>
      </c>
      <c r="CC5" s="1" t="str">
        <f>IF(AZ5&gt;AZ$162, AZ5-AZ$162,"")</f>
        <v/>
      </c>
      <c r="CD5" s="1" t="str">
        <f>IF(BA5&gt;BA$162, BA5-BA$162,"")</f>
        <v/>
      </c>
      <c r="CE5" s="1" t="str">
        <f>IF(BB5&gt;BB$162, BB5-BB$162,"")</f>
        <v/>
      </c>
      <c r="CF5" s="1">
        <f>12-COUNTA(BT5:CE5)</f>
        <v>0</v>
      </c>
      <c r="CG5" s="1" t="str">
        <f t="shared" si="1"/>
        <v/>
      </c>
      <c r="CH5" s="1" t="str">
        <f t="shared" si="2"/>
        <v/>
      </c>
      <c r="CI5" s="1" t="str">
        <f t="shared" si="3"/>
        <v/>
      </c>
      <c r="CJ5" s="1" t="str">
        <f t="shared" si="4"/>
        <v/>
      </c>
      <c r="CK5" s="1" t="str">
        <f t="shared" si="5"/>
        <v/>
      </c>
      <c r="CL5" s="1" t="str">
        <f t="shared" si="6"/>
        <v/>
      </c>
      <c r="CM5" s="1" t="str">
        <f t="shared" si="7"/>
        <v/>
      </c>
      <c r="CN5" s="1" t="str">
        <f t="shared" si="8"/>
        <v/>
      </c>
      <c r="CO5" s="1" t="str">
        <f t="shared" si="9"/>
        <v/>
      </c>
      <c r="CP5" s="1" t="str">
        <f t="shared" si="10"/>
        <v/>
      </c>
      <c r="CQ5" s="1" t="str">
        <f t="shared" si="11"/>
        <v/>
      </c>
      <c r="CR5" s="1" t="str">
        <f t="shared" si="12"/>
        <v/>
      </c>
      <c r="CS5" s="18">
        <f t="shared" si="13"/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 t="shared" si="0"/>
        <v>5</v>
      </c>
      <c r="BQ6" s="19">
        <v>0</v>
      </c>
      <c r="BR6" s="23">
        <v>0</v>
      </c>
      <c r="BS6" s="23"/>
      <c r="BT6" s="19" t="str">
        <f>IF(AQ6&gt;AQ$162, AQ6-AQ$162,"")</f>
        <v/>
      </c>
      <c r="BU6" s="19" t="str">
        <f>IF(AR6&gt;AR$162, AR6-AR$162,"")</f>
        <v/>
      </c>
      <c r="BV6" s="19" t="str">
        <f>IF(AS6&gt;AS$162, AS6-AS$162,"")</f>
        <v/>
      </c>
      <c r="BW6" s="19" t="str">
        <f>IF(AT6&gt;AT$162, AT6-AT$162,"")</f>
        <v/>
      </c>
      <c r="BX6" s="19" t="str">
        <f>IF(AU6&gt;AU$162, AU6-AU$162,"")</f>
        <v/>
      </c>
      <c r="BY6" s="19" t="str">
        <f>IF(AV6&gt;AV$162, AV6-AV$162,"")</f>
        <v/>
      </c>
      <c r="BZ6" s="19" t="str">
        <f>IF(AW6&gt;AW$162, AW6-AW$162,"")</f>
        <v/>
      </c>
      <c r="CA6" s="19" t="str">
        <f>IF(AX6&gt;AX$162, AX6-AX$162,"")</f>
        <v/>
      </c>
      <c r="CB6" s="19" t="str">
        <f>IF(AY6&gt;AY$162, AY6-AY$162,"")</f>
        <v/>
      </c>
      <c r="CC6" s="19" t="str">
        <f>IF(AZ6&gt;AZ$162, AZ6-AZ$162,"")</f>
        <v/>
      </c>
      <c r="CD6" s="19" t="str">
        <f>IF(BA6&gt;BA$162, BA6-BA$162,"")</f>
        <v/>
      </c>
      <c r="CE6" s="19" t="str">
        <f>IF(BB6&gt;BB$162, BB6-BB$162,"")</f>
        <v/>
      </c>
      <c r="CF6" s="19">
        <f t="shared" ref="CF6:CF26" si="14">COUNTIF(BT6:CE6, "&gt;0")</f>
        <v>0</v>
      </c>
      <c r="CG6" s="19" t="str">
        <f t="shared" si="1"/>
        <v/>
      </c>
      <c r="CH6" s="19" t="str">
        <f t="shared" si="2"/>
        <v/>
      </c>
      <c r="CI6" s="19" t="str">
        <f t="shared" si="3"/>
        <v/>
      </c>
      <c r="CJ6" s="19" t="str">
        <f t="shared" si="4"/>
        <v/>
      </c>
      <c r="CK6" s="19" t="str">
        <f t="shared" si="5"/>
        <v/>
      </c>
      <c r="CL6" s="19" t="str">
        <f t="shared" si="6"/>
        <v/>
      </c>
      <c r="CM6" s="19" t="str">
        <f t="shared" si="7"/>
        <v/>
      </c>
      <c r="CN6" s="19" t="str">
        <f t="shared" si="8"/>
        <v/>
      </c>
      <c r="CO6" s="19" t="str">
        <f t="shared" si="9"/>
        <v/>
      </c>
      <c r="CP6" s="19" t="str">
        <f t="shared" si="10"/>
        <v/>
      </c>
      <c r="CQ6" s="19" t="str">
        <f t="shared" si="11"/>
        <v/>
      </c>
      <c r="CR6" s="19" t="str">
        <f t="shared" si="12"/>
        <v/>
      </c>
      <c r="CS6" s="24">
        <f t="shared" si="13"/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 t="shared" si="0"/>
        <v>5</v>
      </c>
      <c r="BQ7" s="19">
        <v>0</v>
      </c>
      <c r="BR7" s="23">
        <v>0</v>
      </c>
      <c r="BS7" s="23"/>
      <c r="BT7" s="19" t="str">
        <f>IF(AQ7&gt;AQ$162, AQ7-AQ$162,"")</f>
        <v/>
      </c>
      <c r="BU7" s="19" t="str">
        <f>IF(AR7&gt;AR$162, AR7-AR$162,"")</f>
        <v/>
      </c>
      <c r="BV7" s="19" t="str">
        <f>IF(AS7&gt;AS$162, AS7-AS$162,"")</f>
        <v/>
      </c>
      <c r="BW7" s="19" t="str">
        <f>IF(AT7&gt;AT$162, AT7-AT$162,"")</f>
        <v/>
      </c>
      <c r="BX7" s="19" t="str">
        <f>IF(AU7&gt;AU$162, AU7-AU$162,"")</f>
        <v/>
      </c>
      <c r="BY7" s="19" t="str">
        <f>IF(AV7&gt;AV$162, AV7-AV$162,"")</f>
        <v/>
      </c>
      <c r="BZ7" s="19" t="str">
        <f>IF(AW7&gt;AW$162, AW7-AW$162,"")</f>
        <v/>
      </c>
      <c r="CA7" s="19" t="str">
        <f>IF(AX7&gt;AX$162, AX7-AX$162,"")</f>
        <v/>
      </c>
      <c r="CB7" s="19" t="str">
        <f>IF(AY7&gt;AY$162, AY7-AY$162,"")</f>
        <v/>
      </c>
      <c r="CC7" s="19" t="str">
        <f>IF(AZ7&gt;AZ$162, AZ7-AZ$162,"")</f>
        <v/>
      </c>
      <c r="CD7" s="19" t="str">
        <f>IF(BA7&gt;BA$162, BA7-BA$162,"")</f>
        <v/>
      </c>
      <c r="CE7" s="19" t="str">
        <f>IF(BB7&gt;BB$162, BB7-BB$162,"")</f>
        <v/>
      </c>
      <c r="CF7" s="19">
        <f t="shared" si="14"/>
        <v>0</v>
      </c>
      <c r="CG7" s="19" t="str">
        <f t="shared" si="1"/>
        <v/>
      </c>
      <c r="CH7" s="19" t="str">
        <f t="shared" si="2"/>
        <v/>
      </c>
      <c r="CI7" s="19" t="str">
        <f t="shared" si="3"/>
        <v/>
      </c>
      <c r="CJ7" s="19" t="str">
        <f t="shared" si="4"/>
        <v/>
      </c>
      <c r="CK7" s="19" t="str">
        <f t="shared" si="5"/>
        <v/>
      </c>
      <c r="CL7" s="19" t="str">
        <f t="shared" si="6"/>
        <v/>
      </c>
      <c r="CM7" s="19" t="str">
        <f t="shared" si="7"/>
        <v/>
      </c>
      <c r="CN7" s="19" t="str">
        <f t="shared" si="8"/>
        <v/>
      </c>
      <c r="CO7" s="19" t="str">
        <f t="shared" si="9"/>
        <v/>
      </c>
      <c r="CP7" s="19" t="str">
        <f t="shared" si="10"/>
        <v/>
      </c>
      <c r="CQ7" s="19" t="str">
        <f t="shared" si="11"/>
        <v/>
      </c>
      <c r="CR7" s="19" t="str">
        <f t="shared" si="12"/>
        <v/>
      </c>
      <c r="CS7" s="24">
        <f t="shared" si="13"/>
        <v>0</v>
      </c>
    </row>
    <row r="8" spans="1:97" s="25" customFormat="1" x14ac:dyDescent="0.15">
      <c r="A8" s="19">
        <v>83</v>
      </c>
      <c r="B8" s="26" t="s">
        <v>76</v>
      </c>
      <c r="C8" s="26" t="s">
        <v>71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 t="shared" si="0"/>
        <v>5</v>
      </c>
      <c r="BQ8" s="19">
        <v>0</v>
      </c>
      <c r="BR8" s="23">
        <v>0</v>
      </c>
      <c r="BS8" s="23"/>
      <c r="BT8" s="19" t="str">
        <f>IF(AQ8&gt;AQ$162, AQ8-AQ$162,"")</f>
        <v/>
      </c>
      <c r="BU8" s="19" t="str">
        <f>IF(AR8&gt;AR$162, AR8-AR$162,"")</f>
        <v/>
      </c>
      <c r="BV8" s="19" t="str">
        <f>IF(AS8&gt;AS$162, AS8-AS$162,"")</f>
        <v/>
      </c>
      <c r="BW8" s="19" t="str">
        <f>IF(AT8&gt;AT$162, AT8-AT$162,"")</f>
        <v/>
      </c>
      <c r="BX8" s="19" t="str">
        <f>IF(AU8&gt;AU$162, AU8-AU$162,"")</f>
        <v/>
      </c>
      <c r="BY8" s="19" t="str">
        <f>IF(AV8&gt;AV$162, AV8-AV$162,"")</f>
        <v/>
      </c>
      <c r="BZ8" s="19" t="str">
        <f>IF(AW8&gt;AW$162, AW8-AW$162,"")</f>
        <v/>
      </c>
      <c r="CA8" s="19" t="str">
        <f>IF(AX8&gt;AX$162, AX8-AX$162,"")</f>
        <v/>
      </c>
      <c r="CB8" s="19" t="str">
        <f>IF(AY8&gt;AY$162, AY8-AY$162,"")</f>
        <v/>
      </c>
      <c r="CC8" s="19" t="str">
        <f>IF(AZ8&gt;AZ$162, AZ8-AZ$162,"")</f>
        <v/>
      </c>
      <c r="CD8" s="19" t="str">
        <f>IF(BA8&gt;BA$162, BA8-BA$162,"")</f>
        <v/>
      </c>
      <c r="CE8" s="19" t="str">
        <f>IF(BB8&gt;BB$162, BB8-BB$162,"")</f>
        <v/>
      </c>
      <c r="CF8" s="19">
        <f t="shared" si="14"/>
        <v>0</v>
      </c>
      <c r="CG8" s="19" t="str">
        <f t="shared" si="1"/>
        <v/>
      </c>
      <c r="CH8" s="19" t="str">
        <f t="shared" si="2"/>
        <v/>
      </c>
      <c r="CI8" s="19" t="str">
        <f t="shared" si="3"/>
        <v/>
      </c>
      <c r="CJ8" s="19" t="str">
        <f t="shared" si="4"/>
        <v/>
      </c>
      <c r="CK8" s="19" t="str">
        <f t="shared" si="5"/>
        <v/>
      </c>
      <c r="CL8" s="19" t="str">
        <f t="shared" si="6"/>
        <v/>
      </c>
      <c r="CM8" s="19" t="str">
        <f t="shared" si="7"/>
        <v/>
      </c>
      <c r="CN8" s="19" t="str">
        <f t="shared" si="8"/>
        <v/>
      </c>
      <c r="CO8" s="19" t="str">
        <f t="shared" si="9"/>
        <v/>
      </c>
      <c r="CP8" s="19" t="str">
        <f t="shared" si="10"/>
        <v/>
      </c>
      <c r="CQ8" s="19" t="str">
        <f t="shared" si="11"/>
        <v/>
      </c>
      <c r="CR8" s="19" t="str">
        <f t="shared" si="12"/>
        <v/>
      </c>
      <c r="CS8" s="24">
        <f t="shared" si="13"/>
        <v>0</v>
      </c>
    </row>
    <row r="9" spans="1:97" s="25" customFormat="1" x14ac:dyDescent="0.15">
      <c r="A9" s="1">
        <v>101</v>
      </c>
      <c r="B9" s="3" t="s">
        <v>112</v>
      </c>
      <c r="C9" s="3" t="s">
        <v>78</v>
      </c>
      <c r="D9" s="1" t="s">
        <v>13</v>
      </c>
      <c r="E9" s="6"/>
      <c r="F9" s="6"/>
      <c r="G9" s="6"/>
      <c r="H9" s="6">
        <v>6</v>
      </c>
      <c r="I9" s="6">
        <v>6</v>
      </c>
      <c r="J9" s="6"/>
      <c r="K9" s="6"/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>
        <v>8</v>
      </c>
      <c r="AV9" s="4"/>
      <c r="AW9" s="2">
        <v>8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28</v>
      </c>
      <c r="BQ9" s="1">
        <v>0</v>
      </c>
      <c r="BR9" s="17">
        <v>0</v>
      </c>
      <c r="BS9" s="17"/>
      <c r="BT9" s="1" t="str">
        <f>IF(AQ9&gt;AQ$162, AQ9-AQ$162,"")</f>
        <v/>
      </c>
      <c r="BU9" s="1" t="str">
        <f>IF(AR9&gt;AR$162, AR9-AR$162,"")</f>
        <v/>
      </c>
      <c r="BV9" s="1" t="str">
        <f>IF(AS9&gt;AS$162, AS9-AS$162,"")</f>
        <v/>
      </c>
      <c r="BW9" s="1" t="str">
        <f>IF(AT9&gt;AT$162, AT9-AT$162,"")</f>
        <v/>
      </c>
      <c r="BX9" s="1" t="str">
        <f>IF(AU9&gt;AU$162, AU9-AU$162,"")</f>
        <v/>
      </c>
      <c r="BY9" s="1" t="str">
        <f>IF(AV9&gt;AV$162, AV9-AV$162,"")</f>
        <v/>
      </c>
      <c r="BZ9" s="1" t="str">
        <f>IF(AW9&gt;AW$162, AW9-AW$162,"")</f>
        <v/>
      </c>
      <c r="CA9" s="1" t="str">
        <f>IF(AX9&gt;AX$162, AX9-AX$162,"")</f>
        <v/>
      </c>
      <c r="CB9" s="1" t="str">
        <f>IF(AY9&gt;AY$162, AY9-AY$162,"")</f>
        <v/>
      </c>
      <c r="CC9" s="1" t="str">
        <f>IF(AZ9&gt;AZ$162, AZ9-AZ$162,"")</f>
        <v/>
      </c>
      <c r="CD9" s="1" t="str">
        <f>IF(BA9&gt;BA$162, BA9-BA$162,"")</f>
        <v/>
      </c>
      <c r="CE9" s="1" t="str">
        <f>IF(BB9&gt;BB$162, BB9-BB$162,"")</f>
        <v/>
      </c>
      <c r="CF9" s="1">
        <f t="shared" si="14"/>
        <v>0</v>
      </c>
      <c r="CG9" s="1" t="str">
        <f t="shared" si="1"/>
        <v/>
      </c>
      <c r="CH9" s="1" t="str">
        <f t="shared" si="2"/>
        <v/>
      </c>
      <c r="CI9" s="1" t="str">
        <f t="shared" si="3"/>
        <v/>
      </c>
      <c r="CJ9" s="1" t="str">
        <f t="shared" si="4"/>
        <v/>
      </c>
      <c r="CK9" s="1" t="str">
        <f t="shared" si="5"/>
        <v/>
      </c>
      <c r="CL9" s="1" t="str">
        <f t="shared" si="6"/>
        <v/>
      </c>
      <c r="CM9" s="1" t="str">
        <f t="shared" si="7"/>
        <v/>
      </c>
      <c r="CN9" s="1" t="str">
        <f t="shared" si="8"/>
        <v/>
      </c>
      <c r="CO9" s="1" t="str">
        <f t="shared" si="9"/>
        <v/>
      </c>
      <c r="CP9" s="1" t="str">
        <f t="shared" si="10"/>
        <v/>
      </c>
      <c r="CQ9" s="1" t="str">
        <f t="shared" si="11"/>
        <v/>
      </c>
      <c r="CR9" s="1" t="str">
        <f t="shared" si="12"/>
        <v/>
      </c>
      <c r="CS9" s="18">
        <f t="shared" si="13"/>
        <v>16</v>
      </c>
    </row>
    <row r="10" spans="1:97" s="25" customFormat="1" x14ac:dyDescent="0.15">
      <c r="A10" s="1">
        <v>9</v>
      </c>
      <c r="B10" s="1" t="s">
        <v>28</v>
      </c>
      <c r="C10" s="1" t="s">
        <v>2</v>
      </c>
      <c r="D10" s="1" t="s">
        <v>26</v>
      </c>
      <c r="E10" s="6"/>
      <c r="F10" s="6"/>
      <c r="G10" s="6"/>
      <c r="H10" s="6"/>
      <c r="I10" s="6">
        <v>4</v>
      </c>
      <c r="J10" s="6"/>
      <c r="K10" s="6">
        <v>4</v>
      </c>
      <c r="L10" s="6"/>
      <c r="M10" s="6"/>
      <c r="N10" s="6"/>
      <c r="O10" s="6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>
        <v>5</v>
      </c>
      <c r="AS10" s="4"/>
      <c r="AT10" s="4"/>
      <c r="AU10" s="4"/>
      <c r="AV10" s="4"/>
      <c r="AW10" s="2">
        <v>5</v>
      </c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18</v>
      </c>
      <c r="BQ10" s="1">
        <v>0</v>
      </c>
      <c r="BR10" s="17">
        <v>0</v>
      </c>
      <c r="BS10" s="17"/>
      <c r="BT10" s="1" t="str">
        <f>IF(AQ10&gt;AQ$162, AQ10-AQ$162,"")</f>
        <v/>
      </c>
      <c r="BU10" s="1" t="str">
        <f>IF(AR10&gt;AR$162, AR10-AR$162,"")</f>
        <v/>
      </c>
      <c r="BV10" s="1" t="str">
        <f>IF(AS10&gt;AS$162, AS10-AS$162,"")</f>
        <v/>
      </c>
      <c r="BW10" s="1" t="str">
        <f>IF(AT10&gt;AT$162, AT10-AT$162,"")</f>
        <v/>
      </c>
      <c r="BX10" s="1" t="str">
        <f>IF(AU10&gt;AU$162, AU10-AU$162,"")</f>
        <v/>
      </c>
      <c r="BY10" s="1" t="str">
        <f>IF(AV10&gt;AV$162, AV10-AV$162,"")</f>
        <v/>
      </c>
      <c r="BZ10" s="1" t="str">
        <f>IF(AW10&gt;AW$162, AW10-AW$162,"")</f>
        <v/>
      </c>
      <c r="CA10" s="1" t="str">
        <f>IF(AX10&gt;AX$162, AX10-AX$162,"")</f>
        <v/>
      </c>
      <c r="CB10" s="1" t="str">
        <f>IF(AY10&gt;AY$162, AY10-AY$162,"")</f>
        <v/>
      </c>
      <c r="CC10" s="1" t="str">
        <f>IF(AZ10&gt;AZ$162, AZ10-AZ$162,"")</f>
        <v/>
      </c>
      <c r="CD10" s="1" t="str">
        <f>IF(BA10&gt;BA$162, BA10-BA$162,"")</f>
        <v/>
      </c>
      <c r="CE10" s="1" t="str">
        <f>IF(BB10&gt;BB$162, BB10-BB$162,"")</f>
        <v/>
      </c>
      <c r="CF10" s="1">
        <f t="shared" si="14"/>
        <v>0</v>
      </c>
      <c r="CG10" s="1" t="str">
        <f t="shared" si="1"/>
        <v/>
      </c>
      <c r="CH10" s="1" t="str">
        <f t="shared" si="2"/>
        <v/>
      </c>
      <c r="CI10" s="1" t="str">
        <f t="shared" si="3"/>
        <v/>
      </c>
      <c r="CJ10" s="1" t="str">
        <f t="shared" si="4"/>
        <v/>
      </c>
      <c r="CK10" s="1" t="str">
        <f t="shared" si="5"/>
        <v/>
      </c>
      <c r="CL10" s="1" t="str">
        <f t="shared" si="6"/>
        <v/>
      </c>
      <c r="CM10" s="1" t="str">
        <f t="shared" si="7"/>
        <v/>
      </c>
      <c r="CN10" s="1" t="str">
        <f t="shared" si="8"/>
        <v/>
      </c>
      <c r="CO10" s="1" t="str">
        <f t="shared" si="9"/>
        <v/>
      </c>
      <c r="CP10" s="1" t="str">
        <f t="shared" si="10"/>
        <v/>
      </c>
      <c r="CQ10" s="1" t="str">
        <f t="shared" si="11"/>
        <v/>
      </c>
      <c r="CR10" s="1" t="str">
        <f t="shared" si="12"/>
        <v/>
      </c>
      <c r="CS10" s="18">
        <f t="shared" si="13"/>
        <v>10</v>
      </c>
    </row>
    <row r="11" spans="1:97" x14ac:dyDescent="0.15">
      <c r="A11" s="1">
        <v>81</v>
      </c>
      <c r="B11" s="3" t="s">
        <v>74</v>
      </c>
      <c r="C11" s="3" t="s">
        <v>71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/>
      <c r="O11" s="6">
        <v>6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>
        <v>10</v>
      </c>
      <c r="AU11" s="4"/>
      <c r="AV11" s="4"/>
      <c r="AW11" s="2"/>
      <c r="AX11" s="2"/>
      <c r="AY11" s="2"/>
      <c r="AZ11" s="2"/>
      <c r="BA11" s="2">
        <v>10</v>
      </c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 t="shared" si="0"/>
        <v>32</v>
      </c>
      <c r="BQ11" s="1">
        <v>0</v>
      </c>
      <c r="BR11" s="17">
        <v>0</v>
      </c>
      <c r="BS11" s="17"/>
      <c r="BT11" s="1" t="str">
        <f>IF(AQ11&gt;AQ$162, AQ11-AQ$162,"")</f>
        <v/>
      </c>
      <c r="BU11" s="1" t="str">
        <f>IF(AR11&gt;AR$162, AR11-AR$162,"")</f>
        <v/>
      </c>
      <c r="BV11" s="1" t="str">
        <f>IF(AS11&gt;AS$162, AS11-AS$162,"")</f>
        <v/>
      </c>
      <c r="BW11" s="1" t="str">
        <f>IF(AT11&gt;AT$162, AT11-AT$162,"")</f>
        <v/>
      </c>
      <c r="BX11" s="1" t="str">
        <f>IF(AU11&gt;AU$162, AU11-AU$162,"")</f>
        <v/>
      </c>
      <c r="BY11" s="1" t="str">
        <f>IF(AV11&gt;AV$162, AV11-AV$162,"")</f>
        <v/>
      </c>
      <c r="BZ11" s="1" t="str">
        <f>IF(AW11&gt;AW$162, AW11-AW$162,"")</f>
        <v/>
      </c>
      <c r="CA11" s="1" t="str">
        <f>IF(AX11&gt;AX$162, AX11-AX$162,"")</f>
        <v/>
      </c>
      <c r="CB11" s="1" t="str">
        <f>IF(AY11&gt;AY$162, AY11-AY$162,"")</f>
        <v/>
      </c>
      <c r="CC11" s="1" t="str">
        <f>IF(AZ11&gt;AZ$162, AZ11-AZ$162,"")</f>
        <v/>
      </c>
      <c r="CD11" s="1" t="str">
        <f>IF(BA11&gt;BA$162, BA11-BA$162,"")</f>
        <v/>
      </c>
      <c r="CE11" s="1" t="str">
        <f>IF(BB11&gt;BB$162, BB11-BB$162,"")</f>
        <v/>
      </c>
      <c r="CF11" s="1">
        <f t="shared" si="14"/>
        <v>0</v>
      </c>
      <c r="CG11" s="1" t="str">
        <f t="shared" si="1"/>
        <v/>
      </c>
      <c r="CH11" s="1" t="str">
        <f t="shared" si="2"/>
        <v/>
      </c>
      <c r="CI11" s="1" t="str">
        <f t="shared" si="3"/>
        <v/>
      </c>
      <c r="CJ11" s="1" t="str">
        <f t="shared" si="4"/>
        <v/>
      </c>
      <c r="CK11" s="1" t="str">
        <f t="shared" si="5"/>
        <v/>
      </c>
      <c r="CL11" s="1" t="str">
        <f t="shared" si="6"/>
        <v/>
      </c>
      <c r="CM11" s="1" t="str">
        <f t="shared" si="7"/>
        <v/>
      </c>
      <c r="CN11" s="1" t="str">
        <f t="shared" si="8"/>
        <v/>
      </c>
      <c r="CO11" s="1" t="str">
        <f t="shared" si="9"/>
        <v/>
      </c>
      <c r="CP11" s="1" t="str">
        <f t="shared" si="10"/>
        <v/>
      </c>
      <c r="CQ11" s="1" t="str">
        <f t="shared" si="11"/>
        <v/>
      </c>
      <c r="CR11" s="1" t="str">
        <f t="shared" si="12"/>
        <v/>
      </c>
      <c r="CS11" s="18">
        <f t="shared" si="13"/>
        <v>20</v>
      </c>
    </row>
    <row r="12" spans="1:97" x14ac:dyDescent="0.15">
      <c r="A12" s="19">
        <v>13</v>
      </c>
      <c r="B12" s="19" t="s">
        <v>118</v>
      </c>
      <c r="C12" s="19" t="s">
        <v>2</v>
      </c>
      <c r="D12" s="19" t="s">
        <v>1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1"/>
      <c r="AR12" s="21"/>
      <c r="AS12" s="21"/>
      <c r="AT12" s="21"/>
      <c r="AU12" s="21"/>
      <c r="AV12" s="21"/>
      <c r="AW12" s="22"/>
      <c r="AX12" s="22"/>
      <c r="AY12" s="22"/>
      <c r="AZ12" s="22"/>
      <c r="BA12" s="22"/>
      <c r="BB12" s="22"/>
      <c r="BC12" s="30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>
        <f t="shared" si="0"/>
        <v>0</v>
      </c>
      <c r="BQ12" s="19">
        <v>0</v>
      </c>
      <c r="BR12" s="23">
        <v>0</v>
      </c>
      <c r="BS12" s="23"/>
      <c r="BT12" s="19" t="str">
        <f>IF(AQ12&gt;AQ$162, AQ12-AQ$162,"")</f>
        <v/>
      </c>
      <c r="BU12" s="19" t="str">
        <f>IF(AR12&gt;AR$162, AR12-AR$162,"")</f>
        <v/>
      </c>
      <c r="BV12" s="19" t="str">
        <f>IF(AS12&gt;AS$162, AS12-AS$162,"")</f>
        <v/>
      </c>
      <c r="BW12" s="19" t="str">
        <f>IF(AT12&gt;AT$162, AT12-AT$162,"")</f>
        <v/>
      </c>
      <c r="BX12" s="19" t="str">
        <f>IF(AU12&gt;AU$162, AU12-AU$162,"")</f>
        <v/>
      </c>
      <c r="BY12" s="19" t="str">
        <f>IF(AV12&gt;AV$162, AV12-AV$162,"")</f>
        <v/>
      </c>
      <c r="BZ12" s="19" t="str">
        <f>IF(AW12&gt;AW$162, AW12-AW$162,"")</f>
        <v/>
      </c>
      <c r="CA12" s="19" t="str">
        <f>IF(AX12&gt;AX$162, AX12-AX$162,"")</f>
        <v/>
      </c>
      <c r="CB12" s="19" t="str">
        <f>IF(AY12&gt;AY$162, AY12-AY$162,"")</f>
        <v/>
      </c>
      <c r="CC12" s="19" t="str">
        <f>IF(AZ12&gt;AZ$162, AZ12-AZ$162,"")</f>
        <v/>
      </c>
      <c r="CD12" s="19" t="str">
        <f>IF(BA12&gt;BA$162, BA12-BA$162,"")</f>
        <v/>
      </c>
      <c r="CE12" s="19" t="str">
        <f>IF(BB12&gt;BB$162, BB12-BB$162,"")</f>
        <v/>
      </c>
      <c r="CF12" s="19">
        <f t="shared" si="14"/>
        <v>0</v>
      </c>
      <c r="CG12" s="19" t="str">
        <f t="shared" si="1"/>
        <v/>
      </c>
      <c r="CH12" s="19" t="str">
        <f t="shared" si="2"/>
        <v/>
      </c>
      <c r="CI12" s="19" t="str">
        <f t="shared" si="3"/>
        <v/>
      </c>
      <c r="CJ12" s="19" t="str">
        <f t="shared" si="4"/>
        <v/>
      </c>
      <c r="CK12" s="19" t="str">
        <f t="shared" si="5"/>
        <v/>
      </c>
      <c r="CL12" s="19" t="str">
        <f t="shared" si="6"/>
        <v/>
      </c>
      <c r="CM12" s="19" t="str">
        <f t="shared" si="7"/>
        <v/>
      </c>
      <c r="CN12" s="19" t="str">
        <f t="shared" si="8"/>
        <v/>
      </c>
      <c r="CO12" s="19" t="str">
        <f t="shared" si="9"/>
        <v/>
      </c>
      <c r="CP12" s="19" t="str">
        <f t="shared" si="10"/>
        <v/>
      </c>
      <c r="CQ12" s="19" t="str">
        <f t="shared" si="11"/>
        <v/>
      </c>
      <c r="CR12" s="19" t="str">
        <f t="shared" si="12"/>
        <v/>
      </c>
      <c r="CS12" s="24">
        <f t="shared" si="13"/>
        <v>0</v>
      </c>
    </row>
    <row r="13" spans="1:97" x14ac:dyDescent="0.15">
      <c r="A13" s="1">
        <v>82</v>
      </c>
      <c r="B13" s="3" t="s">
        <v>75</v>
      </c>
      <c r="C13" s="3" t="s">
        <v>71</v>
      </c>
      <c r="D13" s="1" t="s">
        <v>13</v>
      </c>
      <c r="E13" s="6"/>
      <c r="F13" s="6"/>
      <c r="G13" s="6"/>
      <c r="H13" s="6"/>
      <c r="I13" s="6"/>
      <c r="J13" s="6"/>
      <c r="K13" s="6"/>
      <c r="L13" s="6">
        <v>6</v>
      </c>
      <c r="M13" s="6"/>
      <c r="N13" s="6">
        <v>6</v>
      </c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>
        <v>10</v>
      </c>
      <c r="AU13" s="4"/>
      <c r="AV13" s="4"/>
      <c r="AW13" s="2"/>
      <c r="AX13" s="2"/>
      <c r="AY13" s="2"/>
      <c r="AZ13" s="2">
        <v>10</v>
      </c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32</v>
      </c>
      <c r="BQ13" s="1">
        <v>0</v>
      </c>
      <c r="BR13" s="17">
        <v>0</v>
      </c>
      <c r="BS13" s="17"/>
      <c r="BT13" s="1" t="str">
        <f>IF(AQ13&gt;AQ$162, AQ13-AQ$162,"")</f>
        <v/>
      </c>
      <c r="BU13" s="1" t="str">
        <f>IF(AR13&gt;AR$162, AR13-AR$162,"")</f>
        <v/>
      </c>
      <c r="BV13" s="1" t="str">
        <f>IF(AS13&gt;AS$162, AS13-AS$162,"")</f>
        <v/>
      </c>
      <c r="BW13" s="1" t="str">
        <f>IF(AT13&gt;AT$162, AT13-AT$162,"")</f>
        <v/>
      </c>
      <c r="BX13" s="1" t="str">
        <f>IF(AU13&gt;AU$162, AU13-AU$162,"")</f>
        <v/>
      </c>
      <c r="BY13" s="1" t="str">
        <f>IF(AV13&gt;AV$162, AV13-AV$162,"")</f>
        <v/>
      </c>
      <c r="BZ13" s="1" t="str">
        <f>IF(AW13&gt;AW$162, AW13-AW$162,"")</f>
        <v/>
      </c>
      <c r="CA13" s="1" t="str">
        <f>IF(AX13&gt;AX$162, AX13-AX$162,"")</f>
        <v/>
      </c>
      <c r="CB13" s="1" t="str">
        <f>IF(AY13&gt;AY$162, AY13-AY$162,"")</f>
        <v/>
      </c>
      <c r="CC13" s="1" t="str">
        <f>IF(AZ13&gt;AZ$162, AZ13-AZ$162,"")</f>
        <v/>
      </c>
      <c r="CD13" s="1" t="str">
        <f>IF(BA13&gt;BA$162, BA13-BA$162,"")</f>
        <v/>
      </c>
      <c r="CE13" s="1" t="str">
        <f>IF(BB13&gt;BB$162, BB13-BB$162,"")</f>
        <v/>
      </c>
      <c r="CF13" s="1">
        <f t="shared" si="14"/>
        <v>0</v>
      </c>
      <c r="CG13" s="1" t="str">
        <f t="shared" si="1"/>
        <v/>
      </c>
      <c r="CH13" s="1" t="str">
        <f t="shared" si="2"/>
        <v/>
      </c>
      <c r="CI13" s="1" t="str">
        <f t="shared" si="3"/>
        <v/>
      </c>
      <c r="CJ13" s="1" t="str">
        <f t="shared" si="4"/>
        <v/>
      </c>
      <c r="CK13" s="1" t="str">
        <f t="shared" si="5"/>
        <v/>
      </c>
      <c r="CL13" s="1" t="str">
        <f t="shared" si="6"/>
        <v/>
      </c>
      <c r="CM13" s="1" t="str">
        <f t="shared" si="7"/>
        <v/>
      </c>
      <c r="CN13" s="1" t="str">
        <f t="shared" si="8"/>
        <v/>
      </c>
      <c r="CO13" s="1" t="str">
        <f t="shared" si="9"/>
        <v/>
      </c>
      <c r="CP13" s="1" t="str">
        <f t="shared" si="10"/>
        <v/>
      </c>
      <c r="CQ13" s="1" t="str">
        <f t="shared" si="11"/>
        <v/>
      </c>
      <c r="CR13" s="1" t="str">
        <f t="shared" si="12"/>
        <v/>
      </c>
      <c r="CS13" s="18">
        <f t="shared" si="13"/>
        <v>20</v>
      </c>
    </row>
    <row r="14" spans="1:97" x14ac:dyDescent="0.15">
      <c r="A14" s="19">
        <v>60</v>
      </c>
      <c r="B14" s="19" t="s">
        <v>113</v>
      </c>
      <c r="C14" s="19" t="s">
        <v>62</v>
      </c>
      <c r="D14" s="19" t="s">
        <v>1</v>
      </c>
      <c r="E14" s="20"/>
      <c r="F14" s="20"/>
      <c r="G14" s="20"/>
      <c r="H14" s="20"/>
      <c r="I14" s="20"/>
      <c r="J14" s="20"/>
      <c r="K14" s="20">
        <v>5</v>
      </c>
      <c r="L14" s="20"/>
      <c r="M14" s="20"/>
      <c r="N14" s="20"/>
      <c r="O14" s="20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1"/>
      <c r="AR14" s="21"/>
      <c r="AS14" s="21"/>
      <c r="AT14" s="21"/>
      <c r="AU14" s="21"/>
      <c r="AV14" s="21"/>
      <c r="AW14" s="22"/>
      <c r="AX14" s="22"/>
      <c r="AY14" s="22"/>
      <c r="AZ14" s="22"/>
      <c r="BA14" s="22"/>
      <c r="BB14" s="22"/>
      <c r="BC14" s="30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>
        <f t="shared" si="0"/>
        <v>5</v>
      </c>
      <c r="BQ14" s="19">
        <v>0</v>
      </c>
      <c r="BR14" s="23">
        <v>0</v>
      </c>
      <c r="BS14" s="23"/>
      <c r="BT14" s="19" t="str">
        <f>IF(AQ14&gt;AQ$162, AQ14-AQ$162,"")</f>
        <v/>
      </c>
      <c r="BU14" s="19" t="str">
        <f>IF(AR14&gt;AR$162, AR14-AR$162,"")</f>
        <v/>
      </c>
      <c r="BV14" s="19" t="str">
        <f>IF(AS14&gt;AS$162, AS14-AS$162,"")</f>
        <v/>
      </c>
      <c r="BW14" s="19" t="str">
        <f>IF(AT14&gt;AT$162, AT14-AT$162,"")</f>
        <v/>
      </c>
      <c r="BX14" s="19" t="str">
        <f>IF(AU14&gt;AU$162, AU14-AU$162,"")</f>
        <v/>
      </c>
      <c r="BY14" s="19" t="str">
        <f>IF(AV14&gt;AV$162, AV14-AV$162,"")</f>
        <v/>
      </c>
      <c r="BZ14" s="19" t="str">
        <f>IF(AW14&gt;AW$162, AW14-AW$162,"")</f>
        <v/>
      </c>
      <c r="CA14" s="19" t="str">
        <f>IF(AX14&gt;AX$162, AX14-AX$162,"")</f>
        <v/>
      </c>
      <c r="CB14" s="19" t="str">
        <f>IF(AY14&gt;AY$162, AY14-AY$162,"")</f>
        <v/>
      </c>
      <c r="CC14" s="19" t="str">
        <f>IF(AZ14&gt;AZ$162, AZ14-AZ$162,"")</f>
        <v/>
      </c>
      <c r="CD14" s="19" t="str">
        <f>IF(BA14&gt;BA$162, BA14-BA$162,"")</f>
        <v/>
      </c>
      <c r="CE14" s="19" t="str">
        <f>IF(BB14&gt;BB$162, BB14-BB$162,"")</f>
        <v/>
      </c>
      <c r="CF14" s="19">
        <f t="shared" si="14"/>
        <v>0</v>
      </c>
      <c r="CG14" s="19" t="str">
        <f t="shared" si="1"/>
        <v/>
      </c>
      <c r="CH14" s="19" t="str">
        <f t="shared" si="2"/>
        <v/>
      </c>
      <c r="CI14" s="19" t="str">
        <f t="shared" si="3"/>
        <v/>
      </c>
      <c r="CJ14" s="19" t="str">
        <f t="shared" si="4"/>
        <v/>
      </c>
      <c r="CK14" s="19" t="str">
        <f t="shared" si="5"/>
        <v/>
      </c>
      <c r="CL14" s="19" t="str">
        <f t="shared" si="6"/>
        <v/>
      </c>
      <c r="CM14" s="19" t="str">
        <f t="shared" si="7"/>
        <v/>
      </c>
      <c r="CN14" s="19" t="str">
        <f t="shared" si="8"/>
        <v/>
      </c>
      <c r="CO14" s="19" t="str">
        <f t="shared" si="9"/>
        <v/>
      </c>
      <c r="CP14" s="19" t="str">
        <f t="shared" si="10"/>
        <v/>
      </c>
      <c r="CQ14" s="19" t="str">
        <f t="shared" si="11"/>
        <v/>
      </c>
      <c r="CR14" s="19" t="str">
        <f t="shared" si="12"/>
        <v/>
      </c>
      <c r="CS14" s="24">
        <f t="shared" si="13"/>
        <v>0</v>
      </c>
    </row>
    <row r="15" spans="1:97" x14ac:dyDescent="0.15">
      <c r="A15" s="19">
        <v>92</v>
      </c>
      <c r="B15" s="27" t="s">
        <v>92</v>
      </c>
      <c r="C15" s="27" t="s">
        <v>90</v>
      </c>
      <c r="D15" s="19" t="s">
        <v>24</v>
      </c>
      <c r="E15" s="20">
        <v>10</v>
      </c>
      <c r="F15" s="20"/>
      <c r="G15" s="20"/>
      <c r="H15" s="20"/>
      <c r="I15" s="20">
        <v>10</v>
      </c>
      <c r="J15" s="20">
        <v>10</v>
      </c>
      <c r="K15" s="20"/>
      <c r="L15" s="20"/>
      <c r="M15" s="20"/>
      <c r="N15" s="20"/>
      <c r="O15" s="20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1"/>
      <c r="AR15" s="21"/>
      <c r="AS15" s="21"/>
      <c r="AT15" s="21"/>
      <c r="AU15" s="21"/>
      <c r="AV15" s="21"/>
      <c r="AW15" s="22"/>
      <c r="AX15" s="22"/>
      <c r="AY15" s="22"/>
      <c r="AZ15" s="22"/>
      <c r="BA15" s="22"/>
      <c r="BB15" s="22"/>
      <c r="BC15" s="30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>
        <f t="shared" si="0"/>
        <v>30</v>
      </c>
      <c r="BQ15" s="19">
        <v>0</v>
      </c>
      <c r="BR15" s="23">
        <v>0</v>
      </c>
      <c r="BS15" s="23"/>
      <c r="BT15" s="19" t="str">
        <f>IF(AQ15&gt;AQ$162, AQ15-AQ$162,"")</f>
        <v/>
      </c>
      <c r="BU15" s="19" t="str">
        <f>IF(AR15&gt;AR$162, AR15-AR$162,"")</f>
        <v/>
      </c>
      <c r="BV15" s="19" t="str">
        <f>IF(AS15&gt;AS$162, AS15-AS$162,"")</f>
        <v/>
      </c>
      <c r="BW15" s="19" t="str">
        <f>IF(AT15&gt;AT$162, AT15-AT$162,"")</f>
        <v/>
      </c>
      <c r="BX15" s="19" t="str">
        <f>IF(AU15&gt;AU$162, AU15-AU$162,"")</f>
        <v/>
      </c>
      <c r="BY15" s="19" t="str">
        <f>IF(AV15&gt;AV$162, AV15-AV$162,"")</f>
        <v/>
      </c>
      <c r="BZ15" s="19" t="str">
        <f>IF(AW15&gt;AW$162, AW15-AW$162,"")</f>
        <v/>
      </c>
      <c r="CA15" s="19" t="str">
        <f>IF(AX15&gt;AX$162, AX15-AX$162,"")</f>
        <v/>
      </c>
      <c r="CB15" s="19" t="str">
        <f>IF(AY15&gt;AY$162, AY15-AY$162,"")</f>
        <v/>
      </c>
      <c r="CC15" s="19" t="str">
        <f>IF(AZ15&gt;AZ$162, AZ15-AZ$162,"")</f>
        <v/>
      </c>
      <c r="CD15" s="19" t="str">
        <f>IF(BA15&gt;BA$162, BA15-BA$162,"")</f>
        <v/>
      </c>
      <c r="CE15" s="19" t="str">
        <f>IF(BB15&gt;BB$162, BB15-BB$162,"")</f>
        <v/>
      </c>
      <c r="CF15" s="19">
        <f t="shared" si="14"/>
        <v>0</v>
      </c>
      <c r="CG15" s="19" t="str">
        <f t="shared" si="1"/>
        <v/>
      </c>
      <c r="CH15" s="19" t="str">
        <f t="shared" si="2"/>
        <v/>
      </c>
      <c r="CI15" s="19" t="str">
        <f t="shared" si="3"/>
        <v/>
      </c>
      <c r="CJ15" s="19" t="str">
        <f t="shared" si="4"/>
        <v/>
      </c>
      <c r="CK15" s="19" t="str">
        <f t="shared" si="5"/>
        <v/>
      </c>
      <c r="CL15" s="19" t="str">
        <f t="shared" si="6"/>
        <v/>
      </c>
      <c r="CM15" s="19" t="str">
        <f t="shared" si="7"/>
        <v/>
      </c>
      <c r="CN15" s="19" t="str">
        <f t="shared" si="8"/>
        <v/>
      </c>
      <c r="CO15" s="19" t="str">
        <f t="shared" si="9"/>
        <v/>
      </c>
      <c r="CP15" s="19" t="str">
        <f t="shared" si="10"/>
        <v/>
      </c>
      <c r="CQ15" s="19" t="str">
        <f t="shared" si="11"/>
        <v/>
      </c>
      <c r="CR15" s="19" t="str">
        <f t="shared" si="12"/>
        <v/>
      </c>
      <c r="CS15" s="24">
        <f t="shared" si="13"/>
        <v>0</v>
      </c>
    </row>
    <row r="16" spans="1:97" x14ac:dyDescent="0.15">
      <c r="A16" s="1">
        <v>84</v>
      </c>
      <c r="B16" s="3" t="s">
        <v>76</v>
      </c>
      <c r="C16" s="3" t="s">
        <v>71</v>
      </c>
      <c r="D16" s="1" t="s">
        <v>13</v>
      </c>
      <c r="E16" s="6"/>
      <c r="F16" s="6"/>
      <c r="G16" s="6">
        <v>5</v>
      </c>
      <c r="H16" s="6">
        <v>5</v>
      </c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5</v>
      </c>
      <c r="BB16" s="2">
        <v>5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20</v>
      </c>
      <c r="BQ16" s="1">
        <v>0</v>
      </c>
      <c r="BR16" s="17">
        <v>0</v>
      </c>
      <c r="BS16" s="17"/>
      <c r="BT16" s="1" t="str">
        <f>IF(AQ16&gt;AQ$162, AQ16-AQ$162,"")</f>
        <v/>
      </c>
      <c r="BU16" s="1" t="str">
        <f>IF(AR16&gt;AR$162, AR16-AR$162,"")</f>
        <v/>
      </c>
      <c r="BV16" s="1" t="str">
        <f>IF(AS16&gt;AS$162, AS16-AS$162,"")</f>
        <v/>
      </c>
      <c r="BW16" s="1" t="str">
        <f>IF(AT16&gt;AT$162, AT16-AT$162,"")</f>
        <v/>
      </c>
      <c r="BX16" s="1" t="str">
        <f>IF(AU16&gt;AU$162, AU16-AU$162,"")</f>
        <v/>
      </c>
      <c r="BY16" s="1" t="str">
        <f>IF(AV16&gt;AV$162, AV16-AV$162,"")</f>
        <v/>
      </c>
      <c r="BZ16" s="1" t="str">
        <f>IF(AW16&gt;AW$162, AW16-AW$162,"")</f>
        <v/>
      </c>
      <c r="CA16" s="1" t="str">
        <f>IF(AX16&gt;AX$162, AX16-AX$162,"")</f>
        <v/>
      </c>
      <c r="CB16" s="1" t="str">
        <f>IF(AY16&gt;AY$162, AY16-AY$162,"")</f>
        <v/>
      </c>
      <c r="CC16" s="1" t="str">
        <f>IF(AZ16&gt;AZ$162, AZ16-AZ$162,"")</f>
        <v/>
      </c>
      <c r="CD16" s="1" t="str">
        <f>IF(BA16&gt;BA$162, BA16-BA$162,"")</f>
        <v/>
      </c>
      <c r="CE16" s="1" t="str">
        <f>IF(BB16&gt;BB$162, BB16-BB$162,"")</f>
        <v/>
      </c>
      <c r="CF16" s="1">
        <f t="shared" si="14"/>
        <v>0</v>
      </c>
      <c r="CG16" s="1" t="str">
        <f t="shared" si="1"/>
        <v/>
      </c>
      <c r="CH16" s="1" t="str">
        <f t="shared" si="2"/>
        <v/>
      </c>
      <c r="CI16" s="1" t="str">
        <f t="shared" si="3"/>
        <v/>
      </c>
      <c r="CJ16" s="1" t="str">
        <f t="shared" si="4"/>
        <v/>
      </c>
      <c r="CK16" s="1" t="str">
        <f t="shared" si="5"/>
        <v/>
      </c>
      <c r="CL16" s="1" t="str">
        <f t="shared" si="6"/>
        <v/>
      </c>
      <c r="CM16" s="1" t="str">
        <f t="shared" si="7"/>
        <v/>
      </c>
      <c r="CN16" s="1" t="str">
        <f t="shared" si="8"/>
        <v/>
      </c>
      <c r="CO16" s="1" t="str">
        <f t="shared" si="9"/>
        <v/>
      </c>
      <c r="CP16" s="1" t="str">
        <f t="shared" si="10"/>
        <v/>
      </c>
      <c r="CQ16" s="1" t="str">
        <f t="shared" si="11"/>
        <v/>
      </c>
      <c r="CR16" s="1" t="str">
        <f t="shared" si="12"/>
        <v/>
      </c>
      <c r="CS16" s="18">
        <f t="shared" si="13"/>
        <v>10</v>
      </c>
    </row>
    <row r="17" spans="1:97" x14ac:dyDescent="0.15">
      <c r="A17" s="1">
        <v>69</v>
      </c>
      <c r="B17" s="3" t="s">
        <v>70</v>
      </c>
      <c r="C17" s="1" t="s">
        <v>62</v>
      </c>
      <c r="D17" s="1" t="s">
        <v>13</v>
      </c>
      <c r="E17" s="6"/>
      <c r="F17" s="6"/>
      <c r="G17" s="6"/>
      <c r="H17" s="6">
        <v>6</v>
      </c>
      <c r="I17" s="6">
        <v>6</v>
      </c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>
        <v>10</v>
      </c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32</v>
      </c>
      <c r="BQ17" s="1">
        <v>0</v>
      </c>
      <c r="BR17" s="17">
        <v>0</v>
      </c>
      <c r="BS17" s="17"/>
      <c r="BT17" s="1" t="str">
        <f>IF(AQ17&gt;AQ$162, AQ17-AQ$162,"")</f>
        <v/>
      </c>
      <c r="BU17" s="1" t="str">
        <f>IF(AR17&gt;AR$162, AR17-AR$162,"")</f>
        <v/>
      </c>
      <c r="BV17" s="1" t="str">
        <f>IF(AS17&gt;AS$162, AS17-AS$162,"")</f>
        <v/>
      </c>
      <c r="BW17" s="1" t="str">
        <f>IF(AT17&gt;AT$162, AT17-AT$162,"")</f>
        <v/>
      </c>
      <c r="BX17" s="1" t="str">
        <f>IF(AU17&gt;AU$162, AU17-AU$162,"")</f>
        <v/>
      </c>
      <c r="BY17" s="1" t="str">
        <f>IF(AV17&gt;AV$162, AV17-AV$162,"")</f>
        <v/>
      </c>
      <c r="BZ17" s="1" t="str">
        <f>IF(AW17&gt;AW$162, AW17-AW$162,"")</f>
        <v/>
      </c>
      <c r="CA17" s="1" t="str">
        <f>IF(AX17&gt;AX$162, AX17-AX$162,"")</f>
        <v/>
      </c>
      <c r="CB17" s="1" t="str">
        <f>IF(AY17&gt;AY$162, AY17-AY$162,"")</f>
        <v/>
      </c>
      <c r="CC17" s="1" t="str">
        <f>IF(AZ17&gt;AZ$162, AZ17-AZ$162,"")</f>
        <v/>
      </c>
      <c r="CD17" s="1" t="str">
        <f>IF(BA17&gt;BA$162, BA17-BA$162,"")</f>
        <v/>
      </c>
      <c r="CE17" s="1" t="str">
        <f>IF(BB17&gt;BB$162, BB17-BB$162,"")</f>
        <v/>
      </c>
      <c r="CF17" s="1">
        <f t="shared" si="14"/>
        <v>0</v>
      </c>
      <c r="CG17" s="1" t="str">
        <f t="shared" si="1"/>
        <v/>
      </c>
      <c r="CH17" s="1" t="str">
        <f t="shared" si="2"/>
        <v/>
      </c>
      <c r="CI17" s="1" t="str">
        <f t="shared" si="3"/>
        <v/>
      </c>
      <c r="CJ17" s="1" t="str">
        <f t="shared" si="4"/>
        <v/>
      </c>
      <c r="CK17" s="1" t="str">
        <f t="shared" si="5"/>
        <v/>
      </c>
      <c r="CL17" s="1" t="str">
        <f t="shared" si="6"/>
        <v/>
      </c>
      <c r="CM17" s="1" t="str">
        <f t="shared" si="7"/>
        <v/>
      </c>
      <c r="CN17" s="1" t="str">
        <f t="shared" si="8"/>
        <v/>
      </c>
      <c r="CO17" s="1" t="str">
        <f t="shared" si="9"/>
        <v/>
      </c>
      <c r="CP17" s="1" t="str">
        <f t="shared" si="10"/>
        <v/>
      </c>
      <c r="CQ17" s="1" t="str">
        <f t="shared" si="11"/>
        <v/>
      </c>
      <c r="CR17" s="1" t="str">
        <f t="shared" si="12"/>
        <v/>
      </c>
      <c r="CS17" s="18">
        <f t="shared" si="13"/>
        <v>20</v>
      </c>
    </row>
    <row r="18" spans="1:97" x14ac:dyDescent="0.15">
      <c r="A18" s="1">
        <v>72</v>
      </c>
      <c r="B18" s="3" t="s">
        <v>102</v>
      </c>
      <c r="C18" s="1" t="s">
        <v>62</v>
      </c>
      <c r="D18" s="1" t="s">
        <v>13</v>
      </c>
      <c r="E18" s="6"/>
      <c r="F18" s="6"/>
      <c r="G18" s="6"/>
      <c r="H18" s="6"/>
      <c r="I18" s="6"/>
      <c r="J18" s="6"/>
      <c r="K18" s="6"/>
      <c r="L18" s="6">
        <v>6</v>
      </c>
      <c r="M18" s="6">
        <v>6</v>
      </c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>
        <v>10</v>
      </c>
      <c r="AW18" s="2"/>
      <c r="AX18" s="2"/>
      <c r="AY18" s="2"/>
      <c r="AZ18" s="2"/>
      <c r="BA18" s="2">
        <v>10</v>
      </c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32</v>
      </c>
      <c r="BQ18" s="1">
        <v>0</v>
      </c>
      <c r="BR18" s="17">
        <v>0</v>
      </c>
      <c r="BS18" s="17"/>
      <c r="BT18" s="1" t="str">
        <f>IF(AQ18&gt;AQ$162, AQ18-AQ$162,"")</f>
        <v/>
      </c>
      <c r="BU18" s="1" t="str">
        <f>IF(AR18&gt;AR$162, AR18-AR$162,"")</f>
        <v/>
      </c>
      <c r="BV18" s="1" t="str">
        <f>IF(AS18&gt;AS$162, AS18-AS$162,"")</f>
        <v/>
      </c>
      <c r="BW18" s="1" t="str">
        <f>IF(AT18&gt;AT$162, AT18-AT$162,"")</f>
        <v/>
      </c>
      <c r="BX18" s="1" t="str">
        <f>IF(AU18&gt;AU$162, AU18-AU$162,"")</f>
        <v/>
      </c>
      <c r="BY18" s="1" t="str">
        <f>IF(AV18&gt;AV$162, AV18-AV$162,"")</f>
        <v/>
      </c>
      <c r="BZ18" s="1" t="str">
        <f>IF(AW18&gt;AW$162, AW18-AW$162,"")</f>
        <v/>
      </c>
      <c r="CA18" s="1" t="str">
        <f>IF(AX18&gt;AX$162, AX18-AX$162,"")</f>
        <v/>
      </c>
      <c r="CB18" s="1" t="str">
        <f>IF(AY18&gt;AY$162, AY18-AY$162,"")</f>
        <v/>
      </c>
      <c r="CC18" s="1" t="str">
        <f>IF(AZ18&gt;AZ$162, AZ18-AZ$162,"")</f>
        <v/>
      </c>
      <c r="CD18" s="1" t="str">
        <f>IF(BA18&gt;BA$162, BA18-BA$162,"")</f>
        <v/>
      </c>
      <c r="CE18" s="1" t="str">
        <f>IF(BB18&gt;BB$162, BB18-BB$162,"")</f>
        <v/>
      </c>
      <c r="CF18" s="1">
        <f t="shared" si="14"/>
        <v>0</v>
      </c>
      <c r="CG18" s="1" t="str">
        <f t="shared" si="1"/>
        <v/>
      </c>
      <c r="CH18" s="1" t="str">
        <f t="shared" si="2"/>
        <v/>
      </c>
      <c r="CI18" s="1" t="str">
        <f t="shared" si="3"/>
        <v/>
      </c>
      <c r="CJ18" s="1" t="str">
        <f t="shared" si="4"/>
        <v/>
      </c>
      <c r="CK18" s="1" t="str">
        <f t="shared" si="5"/>
        <v/>
      </c>
      <c r="CL18" s="1" t="str">
        <f t="shared" si="6"/>
        <v/>
      </c>
      <c r="CM18" s="1" t="str">
        <f t="shared" si="7"/>
        <v/>
      </c>
      <c r="CN18" s="1" t="str">
        <f t="shared" si="8"/>
        <v/>
      </c>
      <c r="CO18" s="1" t="str">
        <f t="shared" si="9"/>
        <v/>
      </c>
      <c r="CP18" s="1" t="str">
        <f t="shared" si="10"/>
        <v/>
      </c>
      <c r="CQ18" s="1" t="str">
        <f t="shared" si="11"/>
        <v/>
      </c>
      <c r="CR18" s="1" t="str">
        <f t="shared" si="12"/>
        <v/>
      </c>
      <c r="CS18" s="18">
        <f t="shared" si="13"/>
        <v>20</v>
      </c>
    </row>
    <row r="19" spans="1:97" x14ac:dyDescent="0.15">
      <c r="A19" s="1">
        <v>58</v>
      </c>
      <c r="B19" s="1" t="s">
        <v>65</v>
      </c>
      <c r="C19" s="1" t="s">
        <v>62</v>
      </c>
      <c r="D19" s="1" t="s">
        <v>13</v>
      </c>
      <c r="E19" s="6"/>
      <c r="F19" s="6"/>
      <c r="G19" s="6">
        <v>10</v>
      </c>
      <c r="H19" s="6"/>
      <c r="I19" s="6"/>
      <c r="J19" s="6"/>
      <c r="K19" s="6"/>
      <c r="L19" s="6"/>
      <c r="M19" s="6"/>
      <c r="N19" s="6">
        <v>10</v>
      </c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>
        <v>10</v>
      </c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40</v>
      </c>
      <c r="BQ19" s="1">
        <v>0</v>
      </c>
      <c r="BR19" s="17">
        <v>0</v>
      </c>
      <c r="BS19" s="17"/>
      <c r="BT19" s="1" t="str">
        <f>IF(AQ19&gt;AQ$162, AQ19-AQ$162,"")</f>
        <v/>
      </c>
      <c r="BU19" s="1" t="str">
        <f>IF(AR19&gt;AR$162, AR19-AR$162,"")</f>
        <v/>
      </c>
      <c r="BV19" s="1" t="str">
        <f>IF(AS19&gt;AS$162, AS19-AS$162,"")</f>
        <v/>
      </c>
      <c r="BW19" s="1" t="str">
        <f>IF(AT19&gt;AT$162, AT19-AT$162,"")</f>
        <v/>
      </c>
      <c r="BX19" s="1" t="str">
        <f>IF(AU19&gt;AU$162, AU19-AU$162,"")</f>
        <v/>
      </c>
      <c r="BY19" s="1" t="str">
        <f>IF(AV19&gt;AV$162, AV19-AV$162,"")</f>
        <v/>
      </c>
      <c r="BZ19" s="1" t="str">
        <f>IF(AW19&gt;AW$162, AW19-AW$162,"")</f>
        <v/>
      </c>
      <c r="CA19" s="1" t="str">
        <f>IF(AX19&gt;AX$162, AX19-AX$162,"")</f>
        <v/>
      </c>
      <c r="CB19" s="1" t="str">
        <f>IF(AY19&gt;AY$162, AY19-AY$162,"")</f>
        <v/>
      </c>
      <c r="CC19" s="1" t="str">
        <f>IF(AZ19&gt;AZ$162, AZ19-AZ$162,"")</f>
        <v/>
      </c>
      <c r="CD19" s="1" t="str">
        <f>IF(BA19&gt;BA$162, BA19-BA$162,"")</f>
        <v/>
      </c>
      <c r="CE19" s="1" t="str">
        <f>IF(BB19&gt;BB$162, BB19-BB$162,"")</f>
        <v/>
      </c>
      <c r="CF19" s="1">
        <f t="shared" si="14"/>
        <v>0</v>
      </c>
      <c r="CG19" s="1" t="str">
        <f t="shared" si="1"/>
        <v/>
      </c>
      <c r="CH19" s="1" t="str">
        <f t="shared" si="2"/>
        <v/>
      </c>
      <c r="CI19" s="1" t="str">
        <f t="shared" si="3"/>
        <v/>
      </c>
      <c r="CJ19" s="1" t="str">
        <f t="shared" si="4"/>
        <v/>
      </c>
      <c r="CK19" s="1" t="str">
        <f t="shared" si="5"/>
        <v/>
      </c>
      <c r="CL19" s="1" t="str">
        <f t="shared" si="6"/>
        <v/>
      </c>
      <c r="CM19" s="1" t="str">
        <f t="shared" si="7"/>
        <v/>
      </c>
      <c r="CN19" s="1" t="str">
        <f t="shared" si="8"/>
        <v/>
      </c>
      <c r="CO19" s="1" t="str">
        <f t="shared" si="9"/>
        <v/>
      </c>
      <c r="CP19" s="1" t="str">
        <f t="shared" si="10"/>
        <v/>
      </c>
      <c r="CQ19" s="1" t="str">
        <f t="shared" si="11"/>
        <v/>
      </c>
      <c r="CR19" s="1" t="str">
        <f t="shared" si="12"/>
        <v/>
      </c>
      <c r="CS19" s="18">
        <f t="shared" si="13"/>
        <v>20</v>
      </c>
    </row>
    <row r="20" spans="1:97" x14ac:dyDescent="0.15">
      <c r="A20" s="1">
        <v>5</v>
      </c>
      <c r="B20" s="1" t="s">
        <v>22</v>
      </c>
      <c r="C20" s="1" t="s">
        <v>2</v>
      </c>
      <c r="D20" s="1" t="s">
        <v>12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>
        <v>10</v>
      </c>
      <c r="AS20" s="4"/>
      <c r="AT20" s="4"/>
      <c r="AU20" s="4"/>
      <c r="AV20" s="4"/>
      <c r="AW20" s="2"/>
      <c r="AX20" s="2"/>
      <c r="AY20" s="2"/>
      <c r="AZ20" s="2"/>
      <c r="BA20" s="2"/>
      <c r="BB20" s="2">
        <v>10</v>
      </c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 t="shared" si="0"/>
        <v>20</v>
      </c>
      <c r="BQ20" s="1">
        <v>0</v>
      </c>
      <c r="BR20" s="17">
        <v>0</v>
      </c>
      <c r="BS20" s="17"/>
      <c r="BT20" s="1" t="str">
        <f>IF(AQ20&gt;AQ$162, AQ20-AQ$162,"")</f>
        <v/>
      </c>
      <c r="BU20" s="1" t="str">
        <f>IF(AR20&gt;AR$162, AR20-AR$162,"")</f>
        <v/>
      </c>
      <c r="BV20" s="1" t="str">
        <f>IF(AS20&gt;AS$162, AS20-AS$162,"")</f>
        <v/>
      </c>
      <c r="BW20" s="1" t="str">
        <f>IF(AT20&gt;AT$162, AT20-AT$162,"")</f>
        <v/>
      </c>
      <c r="BX20" s="1" t="str">
        <f>IF(AU20&gt;AU$162, AU20-AU$162,"")</f>
        <v/>
      </c>
      <c r="BY20" s="1" t="str">
        <f>IF(AV20&gt;AV$162, AV20-AV$162,"")</f>
        <v/>
      </c>
      <c r="BZ20" s="1" t="str">
        <f>IF(AW20&gt;AW$162, AW20-AW$162,"")</f>
        <v/>
      </c>
      <c r="CA20" s="1" t="str">
        <f>IF(AX20&gt;AX$162, AX20-AX$162,"")</f>
        <v/>
      </c>
      <c r="CB20" s="1" t="str">
        <f>IF(AY20&gt;AY$162, AY20-AY$162,"")</f>
        <v/>
      </c>
      <c r="CC20" s="1" t="str">
        <f>IF(AZ20&gt;AZ$162, AZ20-AZ$162,"")</f>
        <v/>
      </c>
      <c r="CD20" s="1" t="str">
        <f>IF(BA20&gt;BA$162, BA20-BA$162,"")</f>
        <v/>
      </c>
      <c r="CE20" s="1" t="str">
        <f>IF(BB20&gt;BB$162, BB20-BB$162,"")</f>
        <v/>
      </c>
      <c r="CF20" s="1">
        <f t="shared" si="14"/>
        <v>0</v>
      </c>
      <c r="CG20" s="1" t="str">
        <f t="shared" si="1"/>
        <v/>
      </c>
      <c r="CH20" s="1" t="str">
        <f t="shared" si="2"/>
        <v/>
      </c>
      <c r="CI20" s="1" t="str">
        <f t="shared" si="3"/>
        <v/>
      </c>
      <c r="CJ20" s="1" t="str">
        <f t="shared" si="4"/>
        <v/>
      </c>
      <c r="CK20" s="1" t="str">
        <f t="shared" si="5"/>
        <v/>
      </c>
      <c r="CL20" s="1" t="str">
        <f t="shared" si="6"/>
        <v/>
      </c>
      <c r="CM20" s="1" t="str">
        <f t="shared" si="7"/>
        <v/>
      </c>
      <c r="CN20" s="1" t="str">
        <f t="shared" si="8"/>
        <v/>
      </c>
      <c r="CO20" s="1" t="str">
        <f t="shared" si="9"/>
        <v/>
      </c>
      <c r="CP20" s="1" t="str">
        <f t="shared" si="10"/>
        <v/>
      </c>
      <c r="CQ20" s="1" t="str">
        <f t="shared" si="11"/>
        <v/>
      </c>
      <c r="CR20" s="1" t="str">
        <f t="shared" si="12"/>
        <v/>
      </c>
      <c r="CS20" s="18">
        <f t="shared" si="13"/>
        <v>20</v>
      </c>
    </row>
    <row r="21" spans="1:97" x14ac:dyDescent="0.15">
      <c r="A21" s="1">
        <v>6</v>
      </c>
      <c r="B21" s="1" t="s">
        <v>55</v>
      </c>
      <c r="C21" s="1" t="s">
        <v>2</v>
      </c>
      <c r="D21" s="1" t="s">
        <v>23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>
        <v>10</v>
      </c>
      <c r="AS21" s="4"/>
      <c r="AT21" s="4"/>
      <c r="AU21" s="4"/>
      <c r="AV21" s="4"/>
      <c r="AW21" s="2"/>
      <c r="AX21" s="2"/>
      <c r="AY21" s="2"/>
      <c r="AZ21" s="2"/>
      <c r="BA21" s="2"/>
      <c r="BB21" s="2">
        <v>10</v>
      </c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 t="shared" si="0"/>
        <v>20</v>
      </c>
      <c r="BQ21" s="1">
        <v>0</v>
      </c>
      <c r="BR21" s="17">
        <v>0</v>
      </c>
      <c r="BS21" s="17"/>
      <c r="BT21" s="1" t="str">
        <f>IF(AQ21&gt;AQ$162, AQ21-AQ$162,"")</f>
        <v/>
      </c>
      <c r="BU21" s="1" t="str">
        <f>IF(AR21&gt;AR$162, AR21-AR$162,"")</f>
        <v/>
      </c>
      <c r="BV21" s="1" t="str">
        <f>IF(AS21&gt;AS$162, AS21-AS$162,"")</f>
        <v/>
      </c>
      <c r="BW21" s="1" t="str">
        <f>IF(AT21&gt;AT$162, AT21-AT$162,"")</f>
        <v/>
      </c>
      <c r="BX21" s="1" t="str">
        <f>IF(AU21&gt;AU$162, AU21-AU$162,"")</f>
        <v/>
      </c>
      <c r="BY21" s="1" t="str">
        <f>IF(AV21&gt;AV$162, AV21-AV$162,"")</f>
        <v/>
      </c>
      <c r="BZ21" s="1" t="str">
        <f>IF(AW21&gt;AW$162, AW21-AW$162,"")</f>
        <v/>
      </c>
      <c r="CA21" s="1" t="str">
        <f>IF(AX21&gt;AX$162, AX21-AX$162,"")</f>
        <v/>
      </c>
      <c r="CB21" s="1" t="str">
        <f>IF(AY21&gt;AY$162, AY21-AY$162,"")</f>
        <v/>
      </c>
      <c r="CC21" s="1" t="str">
        <f>IF(AZ21&gt;AZ$162, AZ21-AZ$162,"")</f>
        <v/>
      </c>
      <c r="CD21" s="1" t="str">
        <f>IF(BA21&gt;BA$162, BA21-BA$162,"")</f>
        <v/>
      </c>
      <c r="CE21" s="1" t="str">
        <f>IF(BB21&gt;BB$162, BB21-BB$162,"")</f>
        <v/>
      </c>
      <c r="CF21" s="1">
        <f t="shared" si="14"/>
        <v>0</v>
      </c>
      <c r="CG21" s="1" t="str">
        <f t="shared" si="1"/>
        <v/>
      </c>
      <c r="CH21" s="1" t="str">
        <f t="shared" si="2"/>
        <v/>
      </c>
      <c r="CI21" s="1" t="str">
        <f t="shared" si="3"/>
        <v/>
      </c>
      <c r="CJ21" s="1" t="str">
        <f t="shared" si="4"/>
        <v/>
      </c>
      <c r="CK21" s="1" t="str">
        <f t="shared" si="5"/>
        <v/>
      </c>
      <c r="CL21" s="1" t="str">
        <f t="shared" si="6"/>
        <v/>
      </c>
      <c r="CM21" s="1" t="str">
        <f t="shared" si="7"/>
        <v/>
      </c>
      <c r="CN21" s="1" t="str">
        <f t="shared" si="8"/>
        <v/>
      </c>
      <c r="CO21" s="1" t="str">
        <f t="shared" si="9"/>
        <v/>
      </c>
      <c r="CP21" s="1" t="str">
        <f t="shared" si="10"/>
        <v/>
      </c>
      <c r="CQ21" s="1" t="str">
        <f t="shared" si="11"/>
        <v/>
      </c>
      <c r="CR21" s="1" t="str">
        <f t="shared" si="12"/>
        <v/>
      </c>
      <c r="CS21" s="18">
        <f t="shared" si="13"/>
        <v>20</v>
      </c>
    </row>
    <row r="22" spans="1:97" x14ac:dyDescent="0.15">
      <c r="A22" s="1">
        <v>8</v>
      </c>
      <c r="B22" s="1" t="s">
        <v>56</v>
      </c>
      <c r="C22" s="1" t="s">
        <v>2</v>
      </c>
      <c r="D22" s="1" t="s">
        <v>26</v>
      </c>
      <c r="E22" s="6">
        <v>6</v>
      </c>
      <c r="F22" s="6"/>
      <c r="G22" s="6"/>
      <c r="H22" s="6">
        <v>6</v>
      </c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>
        <v>10</v>
      </c>
      <c r="AS22" s="4"/>
      <c r="AT22" s="4"/>
      <c r="AU22" s="4"/>
      <c r="AV22" s="4"/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 t="shared" si="0"/>
        <v>32</v>
      </c>
      <c r="BQ22" s="1">
        <v>0</v>
      </c>
      <c r="BR22" s="17">
        <v>0</v>
      </c>
      <c r="BS22" s="17"/>
      <c r="BT22" s="1" t="str">
        <f>IF(AQ22&gt;AQ$162, AQ22-AQ$162,"")</f>
        <v/>
      </c>
      <c r="BU22" s="1" t="str">
        <f>IF(AR22&gt;AR$162, AR22-AR$162,"")</f>
        <v/>
      </c>
      <c r="BV22" s="1" t="str">
        <f>IF(AS22&gt;AS$162, AS22-AS$162,"")</f>
        <v/>
      </c>
      <c r="BW22" s="1" t="str">
        <f>IF(AT22&gt;AT$162, AT22-AT$162,"")</f>
        <v/>
      </c>
      <c r="BX22" s="1" t="str">
        <f>IF(AU22&gt;AU$162, AU22-AU$162,"")</f>
        <v/>
      </c>
      <c r="BY22" s="1" t="str">
        <f>IF(AV22&gt;AV$162, AV22-AV$162,"")</f>
        <v/>
      </c>
      <c r="BZ22" s="1" t="str">
        <f>IF(AW22&gt;AW$162, AW22-AW$162,"")</f>
        <v/>
      </c>
      <c r="CA22" s="1" t="str">
        <f>IF(AX22&gt;AX$162, AX22-AX$162,"")</f>
        <v/>
      </c>
      <c r="CB22" s="1" t="str">
        <f>IF(AY22&gt;AY$162, AY22-AY$162,"")</f>
        <v/>
      </c>
      <c r="CC22" s="1" t="str">
        <f>IF(AZ22&gt;AZ$162, AZ22-AZ$162,"")</f>
        <v/>
      </c>
      <c r="CD22" s="1" t="str">
        <f>IF(BA22&gt;BA$162, BA22-BA$162,"")</f>
        <v/>
      </c>
      <c r="CE22" s="1" t="str">
        <f>IF(BB22&gt;BB$162, BB22-BB$162,"")</f>
        <v/>
      </c>
      <c r="CF22" s="1">
        <f t="shared" si="14"/>
        <v>0</v>
      </c>
      <c r="CG22" s="1" t="str">
        <f t="shared" si="1"/>
        <v/>
      </c>
      <c r="CH22" s="1" t="str">
        <f t="shared" si="2"/>
        <v/>
      </c>
      <c r="CI22" s="1" t="str">
        <f t="shared" si="3"/>
        <v/>
      </c>
      <c r="CJ22" s="1" t="str">
        <f t="shared" si="4"/>
        <v/>
      </c>
      <c r="CK22" s="1" t="str">
        <f t="shared" si="5"/>
        <v/>
      </c>
      <c r="CL22" s="1" t="str">
        <f t="shared" si="6"/>
        <v/>
      </c>
      <c r="CM22" s="1" t="str">
        <f t="shared" si="7"/>
        <v/>
      </c>
      <c r="CN22" s="1" t="str">
        <f t="shared" si="8"/>
        <v/>
      </c>
      <c r="CO22" s="1" t="str">
        <f t="shared" si="9"/>
        <v/>
      </c>
      <c r="CP22" s="1" t="str">
        <f t="shared" si="10"/>
        <v/>
      </c>
      <c r="CQ22" s="1" t="str">
        <f t="shared" si="11"/>
        <v/>
      </c>
      <c r="CR22" s="1" t="str">
        <f t="shared" si="12"/>
        <v/>
      </c>
      <c r="CS22" s="18">
        <f t="shared" si="13"/>
        <v>20</v>
      </c>
    </row>
    <row r="23" spans="1:97" x14ac:dyDescent="0.15">
      <c r="A23" s="1">
        <v>94</v>
      </c>
      <c r="B23" s="3" t="s">
        <v>94</v>
      </c>
      <c r="C23" s="3" t="s">
        <v>78</v>
      </c>
      <c r="D23" s="1" t="s">
        <v>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>
        <v>10</v>
      </c>
      <c r="BB23" s="2">
        <v>10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 t="shared" si="0"/>
        <v>20</v>
      </c>
      <c r="BQ23" s="1">
        <v>0</v>
      </c>
      <c r="BR23" s="17">
        <v>0</v>
      </c>
      <c r="BS23" s="17"/>
      <c r="BT23" s="1" t="str">
        <f>IF(AQ23&gt;AQ$162, AQ23-AQ$162,"")</f>
        <v/>
      </c>
      <c r="BU23" s="1" t="str">
        <f>IF(AR23&gt;AR$162, AR23-AR$162,"")</f>
        <v/>
      </c>
      <c r="BV23" s="1" t="str">
        <f>IF(AS23&gt;AS$162, AS23-AS$162,"")</f>
        <v/>
      </c>
      <c r="BW23" s="1" t="str">
        <f>IF(AT23&gt;AT$162, AT23-AT$162,"")</f>
        <v/>
      </c>
      <c r="BX23" s="1" t="str">
        <f>IF(AU23&gt;AU$162, AU23-AU$162,"")</f>
        <v/>
      </c>
      <c r="BY23" s="1" t="str">
        <f>IF(AV23&gt;AV$162, AV23-AV$162,"")</f>
        <v/>
      </c>
      <c r="BZ23" s="1" t="str">
        <f>IF(AW23&gt;AW$162, AW23-AW$162,"")</f>
        <v/>
      </c>
      <c r="CA23" s="1" t="str">
        <f>IF(AX23&gt;AX$162, AX23-AX$162,"")</f>
        <v/>
      </c>
      <c r="CB23" s="1" t="str">
        <f>IF(AY23&gt;AY$162, AY23-AY$162,"")</f>
        <v/>
      </c>
      <c r="CC23" s="1" t="str">
        <f>IF(AZ23&gt;AZ$162, AZ23-AZ$162,"")</f>
        <v/>
      </c>
      <c r="CD23" s="1" t="str">
        <f>IF(BA23&gt;BA$162, BA23-BA$162,"")</f>
        <v/>
      </c>
      <c r="CE23" s="1" t="str">
        <f>IF(BB23&gt;BB$162, BB23-BB$162,"")</f>
        <v/>
      </c>
      <c r="CF23" s="1">
        <f t="shared" si="14"/>
        <v>0</v>
      </c>
      <c r="CG23" s="1" t="str">
        <f t="shared" si="1"/>
        <v/>
      </c>
      <c r="CH23" s="1" t="str">
        <f t="shared" si="2"/>
        <v/>
      </c>
      <c r="CI23" s="1" t="str">
        <f t="shared" si="3"/>
        <v/>
      </c>
      <c r="CJ23" s="1" t="str">
        <f t="shared" si="4"/>
        <v/>
      </c>
      <c r="CK23" s="1" t="str">
        <f t="shared" si="5"/>
        <v/>
      </c>
      <c r="CL23" s="1" t="str">
        <f t="shared" si="6"/>
        <v/>
      </c>
      <c r="CM23" s="1" t="str">
        <f t="shared" si="7"/>
        <v/>
      </c>
      <c r="CN23" s="1" t="str">
        <f t="shared" si="8"/>
        <v/>
      </c>
      <c r="CO23" s="1" t="str">
        <f t="shared" si="9"/>
        <v/>
      </c>
      <c r="CP23" s="1" t="str">
        <f t="shared" si="10"/>
        <v/>
      </c>
      <c r="CQ23" s="1" t="str">
        <f t="shared" si="11"/>
        <v/>
      </c>
      <c r="CR23" s="1" t="str">
        <f t="shared" si="12"/>
        <v/>
      </c>
      <c r="CS23" s="18">
        <f t="shared" si="13"/>
        <v>20</v>
      </c>
    </row>
    <row r="24" spans="1:97" x14ac:dyDescent="0.15">
      <c r="A24" s="1">
        <v>96</v>
      </c>
      <c r="B24" s="3" t="s">
        <v>77</v>
      </c>
      <c r="C24" s="3" t="s">
        <v>78</v>
      </c>
      <c r="D24" s="1" t="s">
        <v>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>
        <v>10</v>
      </c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 t="shared" si="0"/>
        <v>20</v>
      </c>
      <c r="BQ24" s="1">
        <v>0</v>
      </c>
      <c r="BR24" s="17">
        <v>0</v>
      </c>
      <c r="BS24" s="17"/>
      <c r="BT24" s="1" t="str">
        <f>IF(AQ24&gt;AQ$162, AQ24-AQ$162,"")</f>
        <v/>
      </c>
      <c r="BU24" s="1" t="str">
        <f>IF(AR24&gt;AR$162, AR24-AR$162,"")</f>
        <v/>
      </c>
      <c r="BV24" s="1" t="str">
        <f>IF(AS24&gt;AS$162, AS24-AS$162,"")</f>
        <v/>
      </c>
      <c r="BW24" s="1" t="str">
        <f>IF(AT24&gt;AT$162, AT24-AT$162,"")</f>
        <v/>
      </c>
      <c r="BX24" s="1" t="str">
        <f>IF(AU24&gt;AU$162, AU24-AU$162,"")</f>
        <v/>
      </c>
      <c r="BY24" s="1" t="str">
        <f>IF(AV24&gt;AV$162, AV24-AV$162,"")</f>
        <v/>
      </c>
      <c r="BZ24" s="1" t="str">
        <f>IF(AW24&gt;AW$162, AW24-AW$162,"")</f>
        <v/>
      </c>
      <c r="CA24" s="1" t="str">
        <f>IF(AX24&gt;AX$162, AX24-AX$162,"")</f>
        <v/>
      </c>
      <c r="CB24" s="1" t="str">
        <f>IF(AY24&gt;AY$162, AY24-AY$162,"")</f>
        <v/>
      </c>
      <c r="CC24" s="1" t="str">
        <f>IF(AZ24&gt;AZ$162, AZ24-AZ$162,"")</f>
        <v/>
      </c>
      <c r="CD24" s="1" t="str">
        <f>IF(BA24&gt;BA$162, BA24-BA$162,"")</f>
        <v/>
      </c>
      <c r="CE24" s="1" t="str">
        <f>IF(BB24&gt;BB$162, BB24-BB$162,"")</f>
        <v/>
      </c>
      <c r="CF24" s="1">
        <f t="shared" si="14"/>
        <v>0</v>
      </c>
      <c r="CG24" s="1" t="str">
        <f t="shared" si="1"/>
        <v/>
      </c>
      <c r="CH24" s="1" t="str">
        <f t="shared" si="2"/>
        <v/>
      </c>
      <c r="CI24" s="1" t="str">
        <f t="shared" si="3"/>
        <v/>
      </c>
      <c r="CJ24" s="1" t="str">
        <f t="shared" si="4"/>
        <v/>
      </c>
      <c r="CK24" s="1" t="str">
        <f t="shared" si="5"/>
        <v/>
      </c>
      <c r="CL24" s="1" t="str">
        <f t="shared" si="6"/>
        <v/>
      </c>
      <c r="CM24" s="1" t="str">
        <f t="shared" si="7"/>
        <v/>
      </c>
      <c r="CN24" s="1" t="str">
        <f t="shared" si="8"/>
        <v/>
      </c>
      <c r="CO24" s="1" t="str">
        <f t="shared" si="9"/>
        <v/>
      </c>
      <c r="CP24" s="1" t="str">
        <f t="shared" si="10"/>
        <v/>
      </c>
      <c r="CQ24" s="1" t="str">
        <f t="shared" si="11"/>
        <v/>
      </c>
      <c r="CR24" s="1" t="str">
        <f t="shared" si="12"/>
        <v/>
      </c>
      <c r="CS24" s="18">
        <f t="shared" si="13"/>
        <v>20</v>
      </c>
    </row>
    <row r="25" spans="1:97" x14ac:dyDescent="0.15">
      <c r="A25" s="1">
        <v>76</v>
      </c>
      <c r="B25" s="3" t="s">
        <v>115</v>
      </c>
      <c r="C25" s="3" t="s">
        <v>71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>
        <v>10</v>
      </c>
      <c r="BI25" s="1"/>
      <c r="BJ25" s="1"/>
      <c r="BK25" s="1"/>
      <c r="BL25" s="1"/>
      <c r="BM25" s="1"/>
      <c r="BN25" s="1"/>
      <c r="BO25" s="1"/>
      <c r="BP25" s="1">
        <f t="shared" si="0"/>
        <v>10</v>
      </c>
      <c r="BQ25" s="1">
        <v>0</v>
      </c>
      <c r="BR25" s="17">
        <v>0</v>
      </c>
      <c r="BS25" s="17"/>
      <c r="BT25" s="1" t="str">
        <f>IF(AQ25&gt;AQ$162, AQ25-AQ$162,"")</f>
        <v/>
      </c>
      <c r="BU25" s="1" t="str">
        <f>IF(AR25&gt;AR$162, AR25-AR$162,"")</f>
        <v/>
      </c>
      <c r="BV25" s="1" t="str">
        <f>IF(AS25&gt;AS$162, AS25-AS$162,"")</f>
        <v/>
      </c>
      <c r="BW25" s="1" t="str">
        <f>IF(AT25&gt;AT$162, AT25-AT$162,"")</f>
        <v/>
      </c>
      <c r="BX25" s="1" t="str">
        <f>IF(AU25&gt;AU$162, AU25-AU$162,"")</f>
        <v/>
      </c>
      <c r="BY25" s="1" t="str">
        <f>IF(AV25&gt;AV$162, AV25-AV$162,"")</f>
        <v/>
      </c>
      <c r="BZ25" s="1" t="str">
        <f>IF(AW25&gt;AW$162, AW25-AW$162,"")</f>
        <v/>
      </c>
      <c r="CA25" s="1" t="str">
        <f>IF(AX25&gt;AX$162, AX25-AX$162,"")</f>
        <v/>
      </c>
      <c r="CB25" s="1" t="str">
        <f>IF(AY25&gt;AY$162, AY25-AY$162,"")</f>
        <v/>
      </c>
      <c r="CC25" s="1" t="str">
        <f>IF(AZ25&gt;AZ$162, AZ25-AZ$162,"")</f>
        <v/>
      </c>
      <c r="CD25" s="1" t="str">
        <f>IF(BA25&gt;BA$162, BA25-BA$162,"")</f>
        <v/>
      </c>
      <c r="CE25" s="1" t="str">
        <f>IF(BB25&gt;BB$162, BB25-BB$162,"")</f>
        <v/>
      </c>
      <c r="CF25" s="1">
        <f t="shared" si="14"/>
        <v>0</v>
      </c>
      <c r="CG25" s="1" t="str">
        <f t="shared" si="1"/>
        <v/>
      </c>
      <c r="CH25" s="1" t="str">
        <f t="shared" si="2"/>
        <v/>
      </c>
      <c r="CI25" s="1" t="str">
        <f t="shared" si="3"/>
        <v/>
      </c>
      <c r="CJ25" s="1" t="str">
        <f t="shared" si="4"/>
        <v/>
      </c>
      <c r="CK25" s="1" t="str">
        <f t="shared" si="5"/>
        <v/>
      </c>
      <c r="CL25" s="1" t="str">
        <f t="shared" si="6"/>
        <v/>
      </c>
      <c r="CM25" s="1" t="str">
        <f t="shared" si="7"/>
        <v/>
      </c>
      <c r="CN25" s="1" t="str">
        <f t="shared" si="8"/>
        <v/>
      </c>
      <c r="CO25" s="1" t="str">
        <f t="shared" si="9"/>
        <v/>
      </c>
      <c r="CP25" s="1" t="str">
        <f t="shared" si="10"/>
        <v/>
      </c>
      <c r="CQ25" s="1" t="str">
        <f t="shared" si="11"/>
        <v/>
      </c>
      <c r="CR25" s="1" t="str">
        <f t="shared" si="12"/>
        <v/>
      </c>
      <c r="CS25" s="18">
        <f t="shared" si="13"/>
        <v>10</v>
      </c>
    </row>
    <row r="26" spans="1:97" x14ac:dyDescent="0.15">
      <c r="A26" s="1">
        <v>95</v>
      </c>
      <c r="B26" s="3" t="s">
        <v>95</v>
      </c>
      <c r="C26" s="3" t="s">
        <v>78</v>
      </c>
      <c r="D26" s="1" t="s">
        <v>1</v>
      </c>
      <c r="E26" s="6"/>
      <c r="F26" s="6"/>
      <c r="G26" s="6"/>
      <c r="H26" s="6"/>
      <c r="I26" s="6"/>
      <c r="J26" s="6"/>
      <c r="K26" s="6"/>
      <c r="L26" s="6">
        <v>15</v>
      </c>
      <c r="M26" s="6"/>
      <c r="N26" s="6"/>
      <c r="O26" s="6">
        <v>15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>
        <v>15</v>
      </c>
      <c r="BB26" s="2">
        <v>15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 t="shared" si="0"/>
        <v>60</v>
      </c>
      <c r="BQ26" s="1">
        <v>0</v>
      </c>
      <c r="BR26" s="17">
        <v>0</v>
      </c>
      <c r="BS26" s="17"/>
      <c r="BT26" s="1" t="str">
        <f>IF(AQ26&gt;AQ$162, AQ26-AQ$162,"")</f>
        <v/>
      </c>
      <c r="BU26" s="1" t="str">
        <f>IF(AR26&gt;AR$162, AR26-AR$162,"")</f>
        <v/>
      </c>
      <c r="BV26" s="1" t="str">
        <f>IF(AS26&gt;AS$162, AS26-AS$162,"")</f>
        <v/>
      </c>
      <c r="BW26" s="1" t="str">
        <f>IF(AT26&gt;AT$162, AT26-AT$162,"")</f>
        <v/>
      </c>
      <c r="BX26" s="1" t="str">
        <f>IF(AU26&gt;AU$162, AU26-AU$162,"")</f>
        <v/>
      </c>
      <c r="BY26" s="1" t="str">
        <f>IF(AV26&gt;AV$162, AV26-AV$162,"")</f>
        <v/>
      </c>
      <c r="BZ26" s="1" t="str">
        <f>IF(AW26&gt;AW$162, AW26-AW$162,"")</f>
        <v/>
      </c>
      <c r="CA26" s="1" t="str">
        <f>IF(AX26&gt;AX$162, AX26-AX$162,"")</f>
        <v/>
      </c>
      <c r="CB26" s="1" t="str">
        <f>IF(AY26&gt;AY$162, AY26-AY$162,"")</f>
        <v/>
      </c>
      <c r="CC26" s="1" t="str">
        <f>IF(AZ26&gt;AZ$162, AZ26-AZ$162,"")</f>
        <v/>
      </c>
      <c r="CD26" s="1" t="str">
        <f>IF(BA26&gt;BA$162, BA26-BA$162,"")</f>
        <v/>
      </c>
      <c r="CE26" s="1" t="str">
        <f>IF(BB26&gt;BB$162, BB26-BB$162,"")</f>
        <v/>
      </c>
      <c r="CF26" s="1">
        <f t="shared" si="14"/>
        <v>0</v>
      </c>
      <c r="CG26" s="1" t="str">
        <f t="shared" si="1"/>
        <v/>
      </c>
      <c r="CH26" s="1" t="str">
        <f t="shared" si="2"/>
        <v/>
      </c>
      <c r="CI26" s="1" t="str">
        <f t="shared" si="3"/>
        <v/>
      </c>
      <c r="CJ26" s="1" t="str">
        <f t="shared" si="4"/>
        <v/>
      </c>
      <c r="CK26" s="1" t="str">
        <f t="shared" si="5"/>
        <v/>
      </c>
      <c r="CL26" s="1" t="str">
        <f t="shared" si="6"/>
        <v/>
      </c>
      <c r="CM26" s="1" t="str">
        <f t="shared" si="7"/>
        <v/>
      </c>
      <c r="CN26" s="1" t="str">
        <f t="shared" si="8"/>
        <v/>
      </c>
      <c r="CO26" s="1" t="str">
        <f t="shared" si="9"/>
        <v/>
      </c>
      <c r="CP26" s="1" t="str">
        <f t="shared" si="10"/>
        <v/>
      </c>
      <c r="CQ26" s="1" t="str">
        <f t="shared" si="11"/>
        <v/>
      </c>
      <c r="CR26" s="1" t="str">
        <f t="shared" si="12"/>
        <v/>
      </c>
      <c r="CS26" s="18">
        <f t="shared" si="13"/>
        <v>30</v>
      </c>
    </row>
    <row r="27" spans="1:97" s="25" customFormat="1" x14ac:dyDescent="0.15">
      <c r="A27" s="1"/>
      <c r="B27" s="1" t="s">
        <v>137</v>
      </c>
      <c r="C27" s="1" t="s">
        <v>138</v>
      </c>
      <c r="D27" s="1" t="s">
        <v>139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>
        <v>10</v>
      </c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141</v>
      </c>
      <c r="C28" s="1" t="s">
        <v>142</v>
      </c>
      <c r="D28" s="1" t="s">
        <v>140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>
        <v>20</v>
      </c>
      <c r="BE28" s="1">
        <v>20</v>
      </c>
      <c r="BF28" s="1">
        <v>20</v>
      </c>
      <c r="BG28" s="1">
        <v>20</v>
      </c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152</v>
      </c>
      <c r="C29" s="1" t="s">
        <v>153</v>
      </c>
      <c r="D29" s="1" t="s">
        <v>140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>
        <v>20</v>
      </c>
      <c r="BG29" s="1">
        <v>20</v>
      </c>
      <c r="BH29" s="1">
        <v>20</v>
      </c>
      <c r="BI29" s="1">
        <v>20</v>
      </c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155</v>
      </c>
      <c r="C30" s="1" t="s">
        <v>153</v>
      </c>
      <c r="D30" s="1" t="s">
        <v>139</v>
      </c>
      <c r="E30" s="6"/>
      <c r="F30" s="6"/>
      <c r="G30" s="6"/>
      <c r="H30" s="6"/>
      <c r="I30" s="6"/>
      <c r="J30" s="6"/>
      <c r="K30" s="6"/>
      <c r="L30" s="6"/>
      <c r="M30" s="6"/>
      <c r="N30" s="6">
        <v>5</v>
      </c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155</v>
      </c>
      <c r="C31" s="1" t="s">
        <v>153</v>
      </c>
      <c r="D31" s="1" t="s">
        <v>140</v>
      </c>
      <c r="E31" s="6">
        <v>10</v>
      </c>
      <c r="F31" s="6"/>
      <c r="G31" s="6">
        <v>10</v>
      </c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158</v>
      </c>
      <c r="C32" s="1" t="s">
        <v>138</v>
      </c>
      <c r="D32" s="1" t="s">
        <v>140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>
        <v>20</v>
      </c>
      <c r="BE32" s="1">
        <v>20</v>
      </c>
      <c r="BF32" s="1">
        <v>20</v>
      </c>
      <c r="BG32" s="1">
        <v>20</v>
      </c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160</v>
      </c>
      <c r="C33" s="1" t="s">
        <v>138</v>
      </c>
      <c r="D33" s="1" t="s">
        <v>139</v>
      </c>
      <c r="E33" s="6"/>
      <c r="F33" s="6"/>
      <c r="G33" s="6"/>
      <c r="H33" s="6"/>
      <c r="I33" s="6"/>
      <c r="J33" s="6"/>
      <c r="K33" s="6">
        <v>5</v>
      </c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161</v>
      </c>
      <c r="C34" s="1" t="s">
        <v>163</v>
      </c>
      <c r="D34" s="1" t="s">
        <v>139</v>
      </c>
      <c r="E34" s="6"/>
      <c r="F34" s="6"/>
      <c r="G34" s="6">
        <v>2</v>
      </c>
      <c r="H34" s="6"/>
      <c r="I34" s="6"/>
      <c r="J34" s="6"/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162</v>
      </c>
      <c r="C35" s="1" t="s">
        <v>163</v>
      </c>
      <c r="D35" s="1" t="s">
        <v>139</v>
      </c>
      <c r="E35" s="6"/>
      <c r="F35" s="6"/>
      <c r="G35" s="6">
        <v>5</v>
      </c>
      <c r="H35" s="6"/>
      <c r="I35" s="6"/>
      <c r="J35" s="6"/>
      <c r="K35" s="6"/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162</v>
      </c>
      <c r="C36" s="1" t="s">
        <v>163</v>
      </c>
      <c r="D36" s="1" t="s">
        <v>140</v>
      </c>
      <c r="E36" s="6"/>
      <c r="F36" s="6"/>
      <c r="G36" s="6">
        <v>6</v>
      </c>
      <c r="H36" s="6">
        <v>6</v>
      </c>
      <c r="I36" s="6"/>
      <c r="J36" s="6"/>
      <c r="K36" s="6"/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>
        <v>10</v>
      </c>
      <c r="AW36" s="2">
        <v>10</v>
      </c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164</v>
      </c>
      <c r="C37" s="1" t="s">
        <v>163</v>
      </c>
      <c r="D37" s="1" t="s">
        <v>139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168</v>
      </c>
      <c r="C38" s="1" t="s">
        <v>166</v>
      </c>
      <c r="D38" s="1" t="s">
        <v>139</v>
      </c>
      <c r="E38" s="6"/>
      <c r="F38" s="6"/>
      <c r="G38" s="6"/>
      <c r="H38" s="6">
        <v>5</v>
      </c>
      <c r="I38" s="6"/>
      <c r="J38" s="6"/>
      <c r="K38" s="6"/>
      <c r="L38" s="6"/>
      <c r="M38" s="6">
        <v>5</v>
      </c>
      <c r="N38" s="6"/>
      <c r="O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168</v>
      </c>
      <c r="C39" s="1" t="s">
        <v>166</v>
      </c>
      <c r="D39" s="1" t="s">
        <v>140</v>
      </c>
      <c r="E39" s="6"/>
      <c r="F39" s="6"/>
      <c r="G39" s="6"/>
      <c r="H39" s="6">
        <v>6</v>
      </c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>
        <v>10</v>
      </c>
      <c r="AU39" s="4"/>
      <c r="AV39" s="4"/>
      <c r="AW39" s="2"/>
      <c r="AX39" s="2"/>
      <c r="AY39" s="2"/>
      <c r="AZ39" s="2">
        <v>6</v>
      </c>
      <c r="BA39" s="2">
        <v>6</v>
      </c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v>0</v>
      </c>
      <c r="BR39" s="17">
        <v>0</v>
      </c>
      <c r="BS39" s="17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s="25" customFormat="1" x14ac:dyDescent="0.15">
      <c r="A40" s="1"/>
      <c r="B40" s="1" t="s">
        <v>169</v>
      </c>
      <c r="C40" s="1" t="s">
        <v>166</v>
      </c>
      <c r="D40" s="1" t="s">
        <v>139</v>
      </c>
      <c r="E40" s="6"/>
      <c r="F40" s="6"/>
      <c r="G40" s="6"/>
      <c r="H40" s="6"/>
      <c r="I40" s="6"/>
      <c r="J40" s="6">
        <v>5</v>
      </c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v>0</v>
      </c>
      <c r="BR40" s="17">
        <v>0</v>
      </c>
      <c r="BS40" s="17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x14ac:dyDescent="0.15">
      <c r="A41" s="1"/>
      <c r="B41" s="1" t="s">
        <v>171</v>
      </c>
      <c r="C41" s="1" t="s">
        <v>166</v>
      </c>
      <c r="D41" s="1" t="s">
        <v>139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>
        <v>5</v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v>0</v>
      </c>
      <c r="BR41" s="17">
        <v>0</v>
      </c>
      <c r="BS41" s="17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/>
      <c r="B42" s="1" t="s">
        <v>172</v>
      </c>
      <c r="C42" s="1" t="s">
        <v>166</v>
      </c>
      <c r="D42" s="1" t="s">
        <v>139</v>
      </c>
      <c r="E42" s="6"/>
      <c r="F42" s="6"/>
      <c r="G42" s="6"/>
      <c r="H42" s="6"/>
      <c r="I42" s="6"/>
      <c r="J42" s="6"/>
      <c r="K42" s="6">
        <v>5</v>
      </c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v>0</v>
      </c>
      <c r="BR42" s="17">
        <v>0</v>
      </c>
      <c r="BS42" s="17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x14ac:dyDescent="0.15">
      <c r="A43" s="1"/>
      <c r="B43" s="1" t="s">
        <v>173</v>
      </c>
      <c r="C43" s="1" t="s">
        <v>166</v>
      </c>
      <c r="D43" s="1" t="s">
        <v>139</v>
      </c>
      <c r="E43" s="6"/>
      <c r="F43" s="6"/>
      <c r="G43" s="6"/>
      <c r="H43" s="6">
        <v>5</v>
      </c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0</v>
      </c>
      <c r="BR43" s="17">
        <v>0</v>
      </c>
      <c r="BS43" s="17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/>
      <c r="B44" s="1" t="s">
        <v>173</v>
      </c>
      <c r="C44" s="1" t="s">
        <v>166</v>
      </c>
      <c r="D44" s="1" t="s">
        <v>140</v>
      </c>
      <c r="E44" s="6"/>
      <c r="F44" s="6"/>
      <c r="G44" s="6"/>
      <c r="H44" s="6">
        <v>6</v>
      </c>
      <c r="I44" s="6"/>
      <c r="J44" s="6">
        <v>6</v>
      </c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>
        <v>8</v>
      </c>
      <c r="AU44" s="4"/>
      <c r="AV44" s="4"/>
      <c r="AW44" s="2"/>
      <c r="AX44" s="2"/>
      <c r="AY44" s="2">
        <v>8</v>
      </c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v>0</v>
      </c>
      <c r="BR44" s="17">
        <v>0</v>
      </c>
      <c r="BS44" s="17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8"/>
    </row>
    <row r="45" spans="1:97" x14ac:dyDescent="0.15">
      <c r="A45" s="1"/>
      <c r="B45" s="1" t="s">
        <v>174</v>
      </c>
      <c r="C45" s="1" t="s">
        <v>166</v>
      </c>
      <c r="D45" s="1" t="s">
        <v>139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10</v>
      </c>
      <c r="BB45" s="2">
        <v>10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v>0</v>
      </c>
      <c r="BR45" s="17">
        <v>0</v>
      </c>
      <c r="BS45" s="17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x14ac:dyDescent="0.15">
      <c r="A46" s="1"/>
      <c r="B46" s="1" t="s">
        <v>211</v>
      </c>
      <c r="C46" s="1" t="s">
        <v>210</v>
      </c>
      <c r="D46" s="1" t="s">
        <v>182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>
        <v>10</v>
      </c>
      <c r="BB46" s="2">
        <v>10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v>0</v>
      </c>
      <c r="BR46" s="17">
        <v>0</v>
      </c>
      <c r="BS46" s="17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8"/>
    </row>
    <row r="47" spans="1:97" x14ac:dyDescent="0.15">
      <c r="A47" s="1"/>
      <c r="B47" s="1" t="s">
        <v>212</v>
      </c>
      <c r="C47" s="1" t="s">
        <v>213</v>
      </c>
      <c r="D47" s="1" t="s">
        <v>182</v>
      </c>
      <c r="E47" s="6"/>
      <c r="F47" s="6"/>
      <c r="G47" s="6"/>
      <c r="H47" s="6"/>
      <c r="I47" s="6"/>
      <c r="J47" s="6">
        <v>5</v>
      </c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v>0</v>
      </c>
      <c r="BR47" s="17">
        <v>0</v>
      </c>
      <c r="BS47" s="17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x14ac:dyDescent="0.15">
      <c r="A48" s="1"/>
      <c r="B48" s="1" t="s">
        <v>212</v>
      </c>
      <c r="C48" s="1" t="s">
        <v>213</v>
      </c>
      <c r="D48" s="1" t="s">
        <v>183</v>
      </c>
      <c r="E48" s="6">
        <v>10</v>
      </c>
      <c r="F48" s="6"/>
      <c r="G48" s="6">
        <v>10</v>
      </c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>
        <v>10</v>
      </c>
      <c r="AS48" s="4"/>
      <c r="AT48" s="4"/>
      <c r="AU48" s="4"/>
      <c r="AV48" s="4"/>
      <c r="AW48" s="2"/>
      <c r="AX48" s="2"/>
      <c r="AY48" s="2"/>
      <c r="AZ48" s="2"/>
      <c r="BA48" s="2"/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0</v>
      </c>
      <c r="BR48" s="17">
        <v>0</v>
      </c>
      <c r="BS48" s="17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214</v>
      </c>
      <c r="C49" s="1" t="s">
        <v>215</v>
      </c>
      <c r="D49" s="1" t="s">
        <v>183</v>
      </c>
      <c r="E49" s="6"/>
      <c r="F49" s="6"/>
      <c r="G49" s="6"/>
      <c r="H49" s="6"/>
      <c r="I49" s="6"/>
      <c r="J49" s="6"/>
      <c r="K49" s="6"/>
      <c r="L49" s="6">
        <v>6</v>
      </c>
      <c r="M49" s="6"/>
      <c r="N49" s="6"/>
      <c r="O49" s="6">
        <v>6</v>
      </c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>
        <v>10</v>
      </c>
      <c r="BB49" s="2">
        <v>10</v>
      </c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0</v>
      </c>
      <c r="BR49" s="17">
        <v>0</v>
      </c>
      <c r="BS49" s="17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/>
      <c r="B50" s="1" t="s">
        <v>221</v>
      </c>
      <c r="C50" s="1" t="s">
        <v>215</v>
      </c>
      <c r="D50" s="1" t="s">
        <v>182</v>
      </c>
      <c r="E50" s="6"/>
      <c r="F50" s="6"/>
      <c r="G50" s="6"/>
      <c r="H50" s="6"/>
      <c r="I50" s="6"/>
      <c r="J50" s="6"/>
      <c r="K50" s="6">
        <v>5</v>
      </c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v>0</v>
      </c>
      <c r="BR50" s="17">
        <v>0</v>
      </c>
      <c r="BS50" s="17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x14ac:dyDescent="0.15">
      <c r="A51" s="1"/>
      <c r="B51" s="1" t="s">
        <v>137</v>
      </c>
      <c r="C51" s="1" t="s">
        <v>138</v>
      </c>
      <c r="D51" s="1" t="s">
        <v>140</v>
      </c>
      <c r="E51" s="6">
        <v>10</v>
      </c>
      <c r="F51" s="6"/>
      <c r="G51" s="6">
        <v>10</v>
      </c>
      <c r="H51" s="6"/>
      <c r="I51" s="6"/>
      <c r="J51" s="6"/>
      <c r="K51" s="6"/>
      <c r="L51" s="6"/>
      <c r="M51" s="6"/>
      <c r="N51" s="6"/>
      <c r="O51" s="6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>
        <v>15</v>
      </c>
      <c r="AU51" s="4"/>
      <c r="AV51" s="4"/>
      <c r="AW51" s="2"/>
      <c r="AX51" s="2"/>
      <c r="AY51" s="2"/>
      <c r="AZ51" s="2">
        <v>15</v>
      </c>
      <c r="BA51" s="2">
        <v>15</v>
      </c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v>0</v>
      </c>
      <c r="BR51" s="17">
        <v>0</v>
      </c>
      <c r="BS51" s="17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8"/>
    </row>
    <row r="52" spans="1:97" x14ac:dyDescent="0.15">
      <c r="A52" s="1">
        <v>41</v>
      </c>
      <c r="B52" s="1" t="s">
        <v>57</v>
      </c>
      <c r="C52" s="1" t="s">
        <v>49</v>
      </c>
      <c r="D52" s="1" t="s">
        <v>13</v>
      </c>
      <c r="E52" s="6"/>
      <c r="F52" s="6"/>
      <c r="G52" s="6"/>
      <c r="H52" s="6"/>
      <c r="I52" s="6"/>
      <c r="J52" s="6"/>
      <c r="K52" s="6"/>
      <c r="L52" s="6">
        <v>6</v>
      </c>
      <c r="M52" s="6"/>
      <c r="N52" s="6"/>
      <c r="O52" s="6">
        <v>6</v>
      </c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>
        <v>10</v>
      </c>
      <c r="AR52" s="4"/>
      <c r="AS52" s="4"/>
      <c r="AT52" s="4"/>
      <c r="AU52" s="4"/>
      <c r="AV52" s="4"/>
      <c r="AW52" s="2"/>
      <c r="AX52" s="2">
        <v>10</v>
      </c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0</v>
      </c>
      <c r="BR52" s="17">
        <v>0</v>
      </c>
      <c r="BS52" s="17"/>
      <c r="BT52" s="1" t="str">
        <f>IF(AQ52&gt;AQ$162, AQ52-AQ$162,"")</f>
        <v/>
      </c>
      <c r="BU52" s="1" t="str">
        <f>IF(AR52&gt;AR$162, AR52-AR$162,"")</f>
        <v/>
      </c>
      <c r="BV52" s="1" t="str">
        <f>IF(AS52&gt;AS$162, AS52-AS$162,"")</f>
        <v/>
      </c>
      <c r="BW52" s="1" t="str">
        <f>IF(AT52&gt;AT$162, AT52-AT$162,"")</f>
        <v/>
      </c>
      <c r="BX52" s="1" t="str">
        <f>IF(AU52&gt;AU$162, AU52-AU$162,"")</f>
        <v/>
      </c>
      <c r="BY52" s="1" t="str">
        <f>IF(AV52&gt;AV$162, AV52-AV$162,"")</f>
        <v/>
      </c>
      <c r="BZ52" s="1" t="str">
        <f>IF(AW52&gt;AW$162, AW52-AW$162,"")</f>
        <v/>
      </c>
      <c r="CA52" s="1" t="str">
        <f>IF(AX52&gt;AX$162, AX52-AX$162,"")</f>
        <v/>
      </c>
      <c r="CB52" s="1" t="str">
        <f>IF(AY52&gt;AY$162, AY52-AY$162,"")</f>
        <v/>
      </c>
      <c r="CC52" s="1" t="str">
        <f>IF(AZ52&gt;AZ$162, AZ52-AZ$162,"")</f>
        <v/>
      </c>
      <c r="CD52" s="1" t="str">
        <f>IF(BA52&gt;BA$162, BA52-BA$162,"")</f>
        <v/>
      </c>
      <c r="CE52" s="1" t="str">
        <f>IF(BB52&gt;BB$162, BB52-BB$162,"")</f>
        <v/>
      </c>
      <c r="CF52" s="1">
        <f>COUNTIF(BT52:CE52, "&gt;0")</f>
        <v>0</v>
      </c>
      <c r="CG52" s="1" t="str">
        <f t="shared" ref="CG52:CR53" si="15">IF($CF52=1,BT52,"")</f>
        <v/>
      </c>
      <c r="CH52" s="1" t="str">
        <f t="shared" si="15"/>
        <v/>
      </c>
      <c r="CI52" s="1" t="str">
        <f t="shared" si="15"/>
        <v/>
      </c>
      <c r="CJ52" s="1" t="str">
        <f t="shared" si="15"/>
        <v/>
      </c>
      <c r="CK52" s="1" t="str">
        <f t="shared" si="15"/>
        <v/>
      </c>
      <c r="CL52" s="1" t="str">
        <f t="shared" si="15"/>
        <v/>
      </c>
      <c r="CM52" s="1" t="str">
        <f t="shared" si="15"/>
        <v/>
      </c>
      <c r="CN52" s="1" t="str">
        <f t="shared" si="15"/>
        <v/>
      </c>
      <c r="CO52" s="1" t="str">
        <f t="shared" si="15"/>
        <v/>
      </c>
      <c r="CP52" s="1" t="str">
        <f t="shared" si="15"/>
        <v/>
      </c>
      <c r="CQ52" s="1" t="str">
        <f t="shared" si="15"/>
        <v/>
      </c>
      <c r="CR52" s="1" t="str">
        <f t="shared" si="15"/>
        <v/>
      </c>
      <c r="CS52" s="18">
        <f>SUM(AE52:BO52)</f>
        <v>20</v>
      </c>
    </row>
    <row r="53" spans="1:97" x14ac:dyDescent="0.15">
      <c r="A53" s="1">
        <v>45</v>
      </c>
      <c r="B53" s="1" t="s">
        <v>120</v>
      </c>
      <c r="C53" s="1" t="s">
        <v>49</v>
      </c>
      <c r="D53" s="1" t="s">
        <v>13</v>
      </c>
      <c r="E53" s="6">
        <v>6</v>
      </c>
      <c r="F53" s="6"/>
      <c r="G53" s="6"/>
      <c r="H53" s="6"/>
      <c r="I53" s="6"/>
      <c r="J53" s="6"/>
      <c r="K53" s="6"/>
      <c r="L53" s="6"/>
      <c r="M53" s="6">
        <v>6</v>
      </c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>
        <v>10</v>
      </c>
      <c r="AR53" s="4"/>
      <c r="AS53" s="4"/>
      <c r="AT53" s="4"/>
      <c r="AU53" s="4"/>
      <c r="AV53" s="4"/>
      <c r="AW53" s="2"/>
      <c r="AX53" s="2"/>
      <c r="AY53" s="2"/>
      <c r="AZ53" s="2">
        <v>10</v>
      </c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0</v>
      </c>
      <c r="BR53" s="17">
        <v>0</v>
      </c>
      <c r="BS53" s="17"/>
      <c r="BT53" s="1" t="str">
        <f>IF(AQ53&gt;AQ$162, AQ53-AQ$162,"")</f>
        <v/>
      </c>
      <c r="BU53" s="1" t="str">
        <f>IF(AR53&gt;AR$162, AR53-AR$162,"")</f>
        <v/>
      </c>
      <c r="BV53" s="1" t="str">
        <f>IF(AS53&gt;AS$162, AS53-AS$162,"")</f>
        <v/>
      </c>
      <c r="BW53" s="1" t="str">
        <f>IF(AT53&gt;AT$162, AT53-AT$162,"")</f>
        <v/>
      </c>
      <c r="BX53" s="1" t="str">
        <f>IF(AU53&gt;AU$162, AU53-AU$162,"")</f>
        <v/>
      </c>
      <c r="BY53" s="1" t="str">
        <f>IF(AV53&gt;AV$162, AV53-AV$162,"")</f>
        <v/>
      </c>
      <c r="BZ53" s="1" t="str">
        <f>IF(AW53&gt;AW$162, AW53-AW$162,"")</f>
        <v/>
      </c>
      <c r="CA53" s="1" t="str">
        <f>IF(AX53&gt;AX$162, AX53-AX$162,"")</f>
        <v/>
      </c>
      <c r="CB53" s="1" t="str">
        <f>IF(AY53&gt;AY$162, AY53-AY$162,"")</f>
        <v/>
      </c>
      <c r="CC53" s="1" t="str">
        <f>IF(AZ53&gt;AZ$162, AZ53-AZ$162,"")</f>
        <v/>
      </c>
      <c r="CD53" s="1" t="str">
        <f>IF(BA53&gt;BA$162, BA53-BA$162,"")</f>
        <v/>
      </c>
      <c r="CE53" s="1" t="str">
        <f>IF(BB53&gt;BB$162, BB53-BB$162,"")</f>
        <v/>
      </c>
      <c r="CF53" s="1">
        <f>COUNTIF(BT53:CE53, "&gt;0")</f>
        <v>0</v>
      </c>
      <c r="CG53" s="1" t="str">
        <f t="shared" si="15"/>
        <v/>
      </c>
      <c r="CH53" s="1" t="str">
        <f t="shared" si="15"/>
        <v/>
      </c>
      <c r="CI53" s="1" t="str">
        <f t="shared" si="15"/>
        <v/>
      </c>
      <c r="CJ53" s="1" t="str">
        <f t="shared" si="15"/>
        <v/>
      </c>
      <c r="CK53" s="1" t="str">
        <f t="shared" si="15"/>
        <v/>
      </c>
      <c r="CL53" s="1" t="str">
        <f t="shared" si="15"/>
        <v/>
      </c>
      <c r="CM53" s="1" t="str">
        <f t="shared" si="15"/>
        <v/>
      </c>
      <c r="CN53" s="1" t="str">
        <f t="shared" si="15"/>
        <v/>
      </c>
      <c r="CO53" s="1" t="str">
        <f t="shared" si="15"/>
        <v/>
      </c>
      <c r="CP53" s="1" t="str">
        <f t="shared" si="15"/>
        <v/>
      </c>
      <c r="CQ53" s="1" t="str">
        <f t="shared" si="15"/>
        <v/>
      </c>
      <c r="CR53" s="1" t="str">
        <f t="shared" si="15"/>
        <v/>
      </c>
      <c r="CS53" s="18">
        <f>SUM(AE53:BO53)</f>
        <v>20</v>
      </c>
    </row>
    <row r="54" spans="1:97" s="25" customFormat="1" x14ac:dyDescent="0.15">
      <c r="A54" s="1"/>
      <c r="B54" s="1" t="s">
        <v>159</v>
      </c>
      <c r="C54" s="1" t="s">
        <v>138</v>
      </c>
      <c r="D54" s="1" t="s">
        <v>139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>
        <v>10</v>
      </c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v>0</v>
      </c>
      <c r="BR54" s="17">
        <v>0</v>
      </c>
      <c r="BS54" s="17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8"/>
    </row>
    <row r="55" spans="1:97" x14ac:dyDescent="0.15">
      <c r="A55" s="1"/>
      <c r="B55" s="1" t="s">
        <v>160</v>
      </c>
      <c r="C55" s="1" t="s">
        <v>138</v>
      </c>
      <c r="D55" s="1" t="s">
        <v>140</v>
      </c>
      <c r="E55" s="6"/>
      <c r="F55" s="6"/>
      <c r="G55" s="6"/>
      <c r="H55" s="6">
        <v>6</v>
      </c>
      <c r="I55" s="6"/>
      <c r="J55" s="6"/>
      <c r="K55" s="6">
        <v>6</v>
      </c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10</v>
      </c>
      <c r="AR55" s="4"/>
      <c r="AS55" s="4"/>
      <c r="AT55" s="4"/>
      <c r="AU55" s="4"/>
      <c r="AV55" s="4"/>
      <c r="AW55" s="2">
        <v>10</v>
      </c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v>0</v>
      </c>
      <c r="BR55" s="17">
        <v>0</v>
      </c>
      <c r="BS55" s="17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8"/>
    </row>
    <row r="56" spans="1:97" x14ac:dyDescent="0.15">
      <c r="A56" s="1">
        <v>34</v>
      </c>
      <c r="B56" s="1" t="s">
        <v>48</v>
      </c>
      <c r="C56" s="1" t="s">
        <v>49</v>
      </c>
      <c r="D56" s="1" t="s">
        <v>25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>
        <v>15</v>
      </c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>
        <v>15</v>
      </c>
      <c r="BC56" s="14"/>
      <c r="BD56" s="1"/>
      <c r="BE56" s="1"/>
      <c r="BF56" s="1"/>
      <c r="BG56" s="1"/>
      <c r="BH56" s="1">
        <v>15</v>
      </c>
      <c r="BI56" s="1">
        <v>15</v>
      </c>
      <c r="BJ56" s="1"/>
      <c r="BK56" s="1"/>
      <c r="BL56" s="1"/>
      <c r="BM56" s="1"/>
      <c r="BN56" s="1"/>
      <c r="BO56" s="1"/>
      <c r="BP56" s="1">
        <f>SUM(E56:BO56)</f>
        <v>60</v>
      </c>
      <c r="BQ56" s="1">
        <v>0</v>
      </c>
      <c r="BR56" s="17">
        <v>0</v>
      </c>
      <c r="BS56" s="17"/>
      <c r="BT56" s="1" t="str">
        <f t="shared" ref="BT56:CE56" si="16">IF(AQ56&gt;AQ$162, AQ56-AQ$162,"")</f>
        <v/>
      </c>
      <c r="BU56" s="1" t="str">
        <f t="shared" si="16"/>
        <v/>
      </c>
      <c r="BV56" s="1" t="str">
        <f t="shared" si="16"/>
        <v/>
      </c>
      <c r="BW56" s="1" t="str">
        <f t="shared" si="16"/>
        <v/>
      </c>
      <c r="BX56" s="1" t="str">
        <f t="shared" si="16"/>
        <v/>
      </c>
      <c r="BY56" s="1" t="str">
        <f t="shared" si="16"/>
        <v/>
      </c>
      <c r="BZ56" s="1" t="str">
        <f t="shared" si="16"/>
        <v/>
      </c>
      <c r="CA56" s="1" t="str">
        <f t="shared" si="16"/>
        <v/>
      </c>
      <c r="CB56" s="1" t="str">
        <f t="shared" si="16"/>
        <v/>
      </c>
      <c r="CC56" s="1" t="str">
        <f t="shared" si="16"/>
        <v/>
      </c>
      <c r="CD56" s="1" t="str">
        <f t="shared" si="16"/>
        <v/>
      </c>
      <c r="CE56" s="1" t="str">
        <f t="shared" si="16"/>
        <v/>
      </c>
      <c r="CF56" s="1">
        <f>COUNTIF(BT56:CE56, "&gt;0")</f>
        <v>0</v>
      </c>
      <c r="CG56" s="1" t="str">
        <f t="shared" ref="CG56:CR56" si="17">IF($CF56=1,BT56,"")</f>
        <v/>
      </c>
      <c r="CH56" s="1" t="str">
        <f t="shared" si="17"/>
        <v/>
      </c>
      <c r="CI56" s="1" t="str">
        <f t="shared" si="17"/>
        <v/>
      </c>
      <c r="CJ56" s="1" t="str">
        <f t="shared" si="17"/>
        <v/>
      </c>
      <c r="CK56" s="1" t="str">
        <f t="shared" si="17"/>
        <v/>
      </c>
      <c r="CL56" s="1" t="str">
        <f t="shared" si="17"/>
        <v/>
      </c>
      <c r="CM56" s="1" t="str">
        <f t="shared" si="17"/>
        <v/>
      </c>
      <c r="CN56" s="1" t="str">
        <f t="shared" si="17"/>
        <v/>
      </c>
      <c r="CO56" s="1" t="str">
        <f t="shared" si="17"/>
        <v/>
      </c>
      <c r="CP56" s="1" t="str">
        <f t="shared" si="17"/>
        <v/>
      </c>
      <c r="CQ56" s="1" t="str">
        <f t="shared" si="17"/>
        <v/>
      </c>
      <c r="CR56" s="1" t="str">
        <f t="shared" si="17"/>
        <v/>
      </c>
      <c r="CS56" s="18">
        <f>SUM(AE56:BO56)</f>
        <v>60</v>
      </c>
    </row>
    <row r="57" spans="1:97" x14ac:dyDescent="0.15">
      <c r="A57" s="1"/>
      <c r="B57" s="1" t="s">
        <v>158</v>
      </c>
      <c r="C57" s="1" t="s">
        <v>138</v>
      </c>
      <c r="D57" s="1" t="s">
        <v>139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>
        <v>15</v>
      </c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>
        <v>15</v>
      </c>
      <c r="BC57" s="14"/>
      <c r="BD57" s="1"/>
      <c r="BE57" s="1"/>
      <c r="BF57" s="1"/>
      <c r="BG57" s="1"/>
      <c r="BH57" s="1">
        <v>15</v>
      </c>
      <c r="BI57" s="1">
        <v>15</v>
      </c>
      <c r="BJ57" s="1"/>
      <c r="BK57" s="1"/>
      <c r="BL57" s="1"/>
      <c r="BM57" s="1"/>
      <c r="BN57" s="1"/>
      <c r="BO57" s="1"/>
      <c r="BP57" s="1"/>
      <c r="BQ57" s="1">
        <v>0</v>
      </c>
      <c r="BR57" s="17">
        <v>0</v>
      </c>
      <c r="BS57" s="17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x14ac:dyDescent="0.15">
      <c r="A58" s="1"/>
      <c r="B58" s="1" t="s">
        <v>179</v>
      </c>
      <c r="C58" s="1" t="s">
        <v>180</v>
      </c>
      <c r="D58" s="1" t="s">
        <v>181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32">
        <v>10</v>
      </c>
      <c r="Q58" s="32"/>
      <c r="R58" s="32"/>
      <c r="S58" s="32">
        <v>10</v>
      </c>
      <c r="T58" s="32"/>
      <c r="U58" s="32"/>
      <c r="V58" s="32">
        <v>10</v>
      </c>
      <c r="W58" s="32"/>
      <c r="X58" s="32"/>
      <c r="Y58" s="32">
        <v>10</v>
      </c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v>0</v>
      </c>
      <c r="BR58" s="17">
        <v>0</v>
      </c>
      <c r="BS58" s="17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x14ac:dyDescent="0.15">
      <c r="A59" s="1"/>
      <c r="B59" s="1" t="s">
        <v>198</v>
      </c>
      <c r="C59" s="1" t="s">
        <v>199</v>
      </c>
      <c r="D59" s="1" t="s">
        <v>181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32">
        <v>10</v>
      </c>
      <c r="Q59" s="32"/>
      <c r="R59" s="32"/>
      <c r="S59" s="32">
        <v>10</v>
      </c>
      <c r="T59" s="32"/>
      <c r="U59" s="32"/>
      <c r="V59" s="32">
        <v>10</v>
      </c>
      <c r="W59" s="32"/>
      <c r="X59" s="32"/>
      <c r="Y59" s="32">
        <v>10</v>
      </c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v>0</v>
      </c>
      <c r="BR59" s="17">
        <v>0</v>
      </c>
      <c r="BS59" s="17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x14ac:dyDescent="0.15">
      <c r="A60" s="1"/>
      <c r="B60" s="1" t="s">
        <v>206</v>
      </c>
      <c r="C60" s="1" t="s">
        <v>204</v>
      </c>
      <c r="D60" s="1" t="s">
        <v>181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32">
        <v>10</v>
      </c>
      <c r="Q60" s="32"/>
      <c r="R60" s="32"/>
      <c r="S60" s="32">
        <v>10</v>
      </c>
      <c r="T60" s="32"/>
      <c r="U60" s="32"/>
      <c r="V60" s="32">
        <v>10</v>
      </c>
      <c r="W60" s="32"/>
      <c r="X60" s="32"/>
      <c r="Y60" s="32">
        <v>10</v>
      </c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v>0</v>
      </c>
      <c r="BR60" s="17">
        <v>0</v>
      </c>
      <c r="BS60" s="17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8"/>
    </row>
    <row r="61" spans="1:97" x14ac:dyDescent="0.15">
      <c r="A61" s="1"/>
      <c r="B61" s="1" t="s">
        <v>208</v>
      </c>
      <c r="C61" s="1" t="s">
        <v>210</v>
      </c>
      <c r="D61" s="1" t="s">
        <v>181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2">
        <v>10</v>
      </c>
      <c r="Q61" s="32"/>
      <c r="R61" s="32"/>
      <c r="S61" s="32">
        <v>10</v>
      </c>
      <c r="T61" s="32"/>
      <c r="U61" s="32"/>
      <c r="V61" s="32">
        <v>10</v>
      </c>
      <c r="W61" s="32"/>
      <c r="X61" s="32"/>
      <c r="Y61" s="32">
        <v>10</v>
      </c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v>0</v>
      </c>
      <c r="BR61" s="17">
        <v>0</v>
      </c>
      <c r="BS61" s="17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x14ac:dyDescent="0.15">
      <c r="A62" s="1"/>
      <c r="B62" s="1" t="s">
        <v>217</v>
      </c>
      <c r="C62" s="1" t="s">
        <v>215</v>
      </c>
      <c r="D62" s="1" t="s">
        <v>181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>
        <v>10</v>
      </c>
      <c r="Q62" s="32"/>
      <c r="R62" s="32"/>
      <c r="S62" s="32">
        <v>10</v>
      </c>
      <c r="T62" s="32"/>
      <c r="U62" s="32"/>
      <c r="V62" s="32">
        <v>10</v>
      </c>
      <c r="W62" s="32"/>
      <c r="X62" s="32"/>
      <c r="Y62" s="32">
        <v>10</v>
      </c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v>0</v>
      </c>
      <c r="BR62" s="17">
        <v>0</v>
      </c>
      <c r="BS62" s="17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8"/>
    </row>
    <row r="63" spans="1:97" x14ac:dyDescent="0.15">
      <c r="A63" s="1"/>
      <c r="B63" s="1" t="s">
        <v>220</v>
      </c>
      <c r="C63" s="1" t="s">
        <v>215</v>
      </c>
      <c r="D63" s="1" t="s">
        <v>181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2">
        <v>10</v>
      </c>
      <c r="Q63" s="32"/>
      <c r="R63" s="32"/>
      <c r="S63" s="32">
        <v>10</v>
      </c>
      <c r="T63" s="32"/>
      <c r="U63" s="32"/>
      <c r="V63" s="32">
        <v>10</v>
      </c>
      <c r="W63" s="32"/>
      <c r="X63" s="32"/>
      <c r="Y63" s="32">
        <v>10</v>
      </c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v>0</v>
      </c>
      <c r="BR63" s="17">
        <v>0</v>
      </c>
      <c r="BS63" s="17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8"/>
    </row>
    <row r="64" spans="1:97" x14ac:dyDescent="0.15">
      <c r="A64" s="1"/>
      <c r="B64" s="1" t="s">
        <v>222</v>
      </c>
      <c r="C64" s="1" t="s">
        <v>215</v>
      </c>
      <c r="D64" s="1" t="s">
        <v>181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32">
        <v>10</v>
      </c>
      <c r="Q64" s="32"/>
      <c r="R64" s="32"/>
      <c r="S64" s="32">
        <v>10</v>
      </c>
      <c r="T64" s="32"/>
      <c r="U64" s="32"/>
      <c r="V64" s="32">
        <v>10</v>
      </c>
      <c r="W64" s="32"/>
      <c r="X64" s="32"/>
      <c r="Y64" s="32">
        <v>10</v>
      </c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v>0</v>
      </c>
      <c r="BR64" s="17">
        <v>0</v>
      </c>
      <c r="BS64" s="17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8"/>
    </row>
    <row r="65" spans="1:97" x14ac:dyDescent="0.15">
      <c r="A65" s="1">
        <v>3</v>
      </c>
      <c r="B65" s="1" t="s">
        <v>11</v>
      </c>
      <c r="C65" s="1" t="s">
        <v>2</v>
      </c>
      <c r="D65" s="1" t="s">
        <v>12</v>
      </c>
      <c r="E65" s="6">
        <v>15</v>
      </c>
      <c r="F65" s="6"/>
      <c r="G65" s="6">
        <v>15</v>
      </c>
      <c r="H65" s="6"/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>
        <v>15</v>
      </c>
      <c r="AS65" s="4"/>
      <c r="AT65" s="4"/>
      <c r="AU65" s="4"/>
      <c r="AV65" s="4"/>
      <c r="AW65" s="2"/>
      <c r="AX65" s="2"/>
      <c r="AY65" s="2"/>
      <c r="AZ65" s="2"/>
      <c r="BA65" s="2"/>
      <c r="BB65" s="2">
        <v>15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60</v>
      </c>
      <c r="BQ65" s="1">
        <v>1</v>
      </c>
      <c r="BR65" s="17">
        <v>1</v>
      </c>
      <c r="BS65" s="17" t="s">
        <v>231</v>
      </c>
      <c r="BT65" s="1" t="str">
        <f t="shared" ref="BT65:CE65" si="18">IF(AQ65&gt;AQ$162, AQ65-AQ$162,"")</f>
        <v/>
      </c>
      <c r="BU65" s="1" t="str">
        <f t="shared" si="18"/>
        <v/>
      </c>
      <c r="BV65" s="1" t="str">
        <f t="shared" si="18"/>
        <v/>
      </c>
      <c r="BW65" s="1" t="str">
        <f t="shared" si="18"/>
        <v/>
      </c>
      <c r="BX65" s="1" t="str">
        <f t="shared" si="18"/>
        <v/>
      </c>
      <c r="BY65" s="1" t="str">
        <f t="shared" si="18"/>
        <v/>
      </c>
      <c r="BZ65" s="1" t="str">
        <f t="shared" si="18"/>
        <v/>
      </c>
      <c r="CA65" s="1" t="str">
        <f t="shared" si="18"/>
        <v/>
      </c>
      <c r="CB65" s="1" t="str">
        <f t="shared" si="18"/>
        <v/>
      </c>
      <c r="CC65" s="1" t="str">
        <f t="shared" si="18"/>
        <v/>
      </c>
      <c r="CD65" s="1" t="str">
        <f t="shared" si="18"/>
        <v/>
      </c>
      <c r="CE65" s="1" t="str">
        <f t="shared" si="18"/>
        <v/>
      </c>
      <c r="CF65" s="1">
        <f>COUNTIF(BT65:CE65, "&gt;0")</f>
        <v>0</v>
      </c>
      <c r="CG65" s="1" t="str">
        <f t="shared" ref="CG65:CR65" si="19">IF($CF65=1,BT65,"")</f>
        <v/>
      </c>
      <c r="CH65" s="1" t="str">
        <f t="shared" si="19"/>
        <v/>
      </c>
      <c r="CI65" s="1" t="str">
        <f t="shared" si="19"/>
        <v/>
      </c>
      <c r="CJ65" s="1" t="str">
        <f t="shared" si="19"/>
        <v/>
      </c>
      <c r="CK65" s="1" t="str">
        <f t="shared" si="19"/>
        <v/>
      </c>
      <c r="CL65" s="1" t="str">
        <f t="shared" si="19"/>
        <v/>
      </c>
      <c r="CM65" s="1" t="str">
        <f t="shared" si="19"/>
        <v/>
      </c>
      <c r="CN65" s="1" t="str">
        <f t="shared" si="19"/>
        <v/>
      </c>
      <c r="CO65" s="1" t="str">
        <f t="shared" si="19"/>
        <v/>
      </c>
      <c r="CP65" s="1" t="str">
        <f t="shared" si="19"/>
        <v/>
      </c>
      <c r="CQ65" s="1" t="str">
        <f t="shared" si="19"/>
        <v/>
      </c>
      <c r="CR65" s="1" t="str">
        <f t="shared" si="19"/>
        <v/>
      </c>
      <c r="CS65" s="18">
        <f>SUM(AE65:BO65)</f>
        <v>30</v>
      </c>
    </row>
    <row r="66" spans="1:97" x14ac:dyDescent="0.15">
      <c r="A66" s="1"/>
      <c r="B66" s="1" t="s">
        <v>152</v>
      </c>
      <c r="C66" s="1" t="s">
        <v>153</v>
      </c>
      <c r="D66" s="1" t="s">
        <v>139</v>
      </c>
      <c r="E66" s="6">
        <v>15</v>
      </c>
      <c r="F66" s="6"/>
      <c r="G66" s="6">
        <v>15</v>
      </c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>
        <v>15</v>
      </c>
      <c r="AS66" s="4"/>
      <c r="AT66" s="4"/>
      <c r="AU66" s="4"/>
      <c r="AV66" s="4"/>
      <c r="AW66" s="2"/>
      <c r="AX66" s="2"/>
      <c r="AY66" s="2"/>
      <c r="AZ66" s="2"/>
      <c r="BA66" s="2"/>
      <c r="BB66" s="2">
        <v>15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v>1</v>
      </c>
      <c r="BR66" s="17">
        <v>1</v>
      </c>
      <c r="BS66" s="17" t="s">
        <v>231</v>
      </c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8"/>
    </row>
    <row r="67" spans="1:97" x14ac:dyDescent="0.15">
      <c r="A67" s="1"/>
      <c r="B67" s="1" t="s">
        <v>154</v>
      </c>
      <c r="C67" s="1" t="s">
        <v>153</v>
      </c>
      <c r="D67" s="1" t="s">
        <v>139</v>
      </c>
      <c r="E67" s="6">
        <v>15</v>
      </c>
      <c r="F67" s="6"/>
      <c r="G67" s="6">
        <v>15</v>
      </c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>
        <v>15</v>
      </c>
      <c r="AS67" s="4"/>
      <c r="AT67" s="4"/>
      <c r="AU67" s="4"/>
      <c r="AV67" s="4"/>
      <c r="AW67" s="2"/>
      <c r="AX67" s="2"/>
      <c r="AY67" s="2"/>
      <c r="AZ67" s="2"/>
      <c r="BA67" s="2"/>
      <c r="BB67" s="2">
        <v>15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v>1</v>
      </c>
      <c r="BR67" s="17">
        <v>1</v>
      </c>
      <c r="BS67" s="17" t="s">
        <v>231</v>
      </c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8"/>
    </row>
    <row r="68" spans="1:97" x14ac:dyDescent="0.15">
      <c r="A68" s="19">
        <v>37</v>
      </c>
      <c r="B68" s="19" t="s">
        <v>52</v>
      </c>
      <c r="C68" s="19" t="s">
        <v>49</v>
      </c>
      <c r="D68" s="19" t="s">
        <v>25</v>
      </c>
      <c r="E68" s="20"/>
      <c r="F68" s="20">
        <v>5</v>
      </c>
      <c r="G68" s="20"/>
      <c r="H68" s="20"/>
      <c r="I68" s="20"/>
      <c r="J68" s="20"/>
      <c r="K68" s="20"/>
      <c r="L68" s="20"/>
      <c r="M68" s="20"/>
      <c r="N68" s="20"/>
      <c r="O68" s="20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21"/>
      <c r="AR68" s="21"/>
      <c r="AS68" s="21"/>
      <c r="AT68" s="21"/>
      <c r="AU68" s="21"/>
      <c r="AV68" s="21"/>
      <c r="AW68" s="22"/>
      <c r="AX68" s="22"/>
      <c r="AY68" s="22"/>
      <c r="AZ68" s="22"/>
      <c r="BA68" s="22"/>
      <c r="BB68" s="22"/>
      <c r="BC68" s="30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>
        <f>SUM(E68:BO68)</f>
        <v>5</v>
      </c>
      <c r="BQ68" s="19">
        <v>2</v>
      </c>
      <c r="BR68" s="23">
        <v>1</v>
      </c>
      <c r="BS68" s="23" t="s">
        <v>228</v>
      </c>
      <c r="BT68" s="19" t="str">
        <f t="shared" ref="BT68:CE68" si="20">IF(AQ68&gt;AQ$162, AQ68-AQ$162,"")</f>
        <v/>
      </c>
      <c r="BU68" s="19" t="str">
        <f t="shared" si="20"/>
        <v/>
      </c>
      <c r="BV68" s="19" t="str">
        <f t="shared" si="20"/>
        <v/>
      </c>
      <c r="BW68" s="19" t="str">
        <f t="shared" si="20"/>
        <v/>
      </c>
      <c r="BX68" s="19" t="str">
        <f t="shared" si="20"/>
        <v/>
      </c>
      <c r="BY68" s="19" t="str">
        <f t="shared" si="20"/>
        <v/>
      </c>
      <c r="BZ68" s="19" t="str">
        <f t="shared" si="20"/>
        <v/>
      </c>
      <c r="CA68" s="19" t="str">
        <f t="shared" si="20"/>
        <v/>
      </c>
      <c r="CB68" s="19" t="str">
        <f t="shared" si="20"/>
        <v/>
      </c>
      <c r="CC68" s="19" t="str">
        <f t="shared" si="20"/>
        <v/>
      </c>
      <c r="CD68" s="19" t="str">
        <f t="shared" si="20"/>
        <v/>
      </c>
      <c r="CE68" s="19" t="str">
        <f t="shared" si="20"/>
        <v/>
      </c>
      <c r="CF68" s="19">
        <f>COUNTIF(BT68:CE68, "&gt;0")</f>
        <v>0</v>
      </c>
      <c r="CG68" s="19" t="str">
        <f t="shared" ref="CG68:CR68" si="21">IF($CF68=1,BT68,"")</f>
        <v/>
      </c>
      <c r="CH68" s="19" t="str">
        <f t="shared" si="21"/>
        <v/>
      </c>
      <c r="CI68" s="19" t="str">
        <f t="shared" si="21"/>
        <v/>
      </c>
      <c r="CJ68" s="19" t="str">
        <f t="shared" si="21"/>
        <v/>
      </c>
      <c r="CK68" s="19" t="str">
        <f t="shared" si="21"/>
        <v/>
      </c>
      <c r="CL68" s="19" t="str">
        <f t="shared" si="21"/>
        <v/>
      </c>
      <c r="CM68" s="19" t="str">
        <f t="shared" si="21"/>
        <v/>
      </c>
      <c r="CN68" s="19" t="str">
        <f t="shared" si="21"/>
        <v/>
      </c>
      <c r="CO68" s="19" t="str">
        <f t="shared" si="21"/>
        <v/>
      </c>
      <c r="CP68" s="19" t="str">
        <f t="shared" si="21"/>
        <v/>
      </c>
      <c r="CQ68" s="19" t="str">
        <f t="shared" si="21"/>
        <v/>
      </c>
      <c r="CR68" s="19" t="str">
        <f t="shared" si="21"/>
        <v/>
      </c>
      <c r="CS68" s="24">
        <f>SUM(AE68:BO68)</f>
        <v>0</v>
      </c>
    </row>
    <row r="69" spans="1:97" x14ac:dyDescent="0.15">
      <c r="A69" s="1"/>
      <c r="B69" s="1" t="s">
        <v>150</v>
      </c>
      <c r="C69" s="1" t="s">
        <v>142</v>
      </c>
      <c r="D69" s="1" t="s">
        <v>139</v>
      </c>
      <c r="E69" s="6"/>
      <c r="F69" s="6">
        <v>5</v>
      </c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v>2</v>
      </c>
      <c r="BR69" s="17">
        <v>1</v>
      </c>
      <c r="BS69" s="17" t="s">
        <v>228</v>
      </c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x14ac:dyDescent="0.15">
      <c r="A70" s="1"/>
      <c r="B70" s="1" t="s">
        <v>170</v>
      </c>
      <c r="C70" s="1" t="s">
        <v>166</v>
      </c>
      <c r="D70" s="1" t="s">
        <v>139</v>
      </c>
      <c r="E70" s="6"/>
      <c r="F70" s="6">
        <v>5</v>
      </c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v>2</v>
      </c>
      <c r="BR70" s="17">
        <v>1</v>
      </c>
      <c r="BS70" s="17" t="s">
        <v>228</v>
      </c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x14ac:dyDescent="0.15">
      <c r="A71" s="1"/>
      <c r="B71" s="1" t="s">
        <v>172</v>
      </c>
      <c r="C71" s="1" t="s">
        <v>166</v>
      </c>
      <c r="D71" s="1" t="s">
        <v>140</v>
      </c>
      <c r="E71" s="6"/>
      <c r="F71" s="6"/>
      <c r="G71" s="6"/>
      <c r="H71" s="6">
        <v>10</v>
      </c>
      <c r="I71" s="6"/>
      <c r="J71" s="6">
        <v>10</v>
      </c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>
        <v>10</v>
      </c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v>2</v>
      </c>
      <c r="BR71" s="17">
        <v>1</v>
      </c>
      <c r="BS71" s="17" t="s">
        <v>233</v>
      </c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x14ac:dyDescent="0.15">
      <c r="A72" s="1"/>
      <c r="B72" s="1" t="s">
        <v>151</v>
      </c>
      <c r="C72" s="1" t="s">
        <v>142</v>
      </c>
      <c r="D72" s="1" t="s">
        <v>147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>
        <v>2</v>
      </c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v>2</v>
      </c>
      <c r="BR72" s="17">
        <v>1</v>
      </c>
      <c r="BS72" s="17" t="s">
        <v>223</v>
      </c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x14ac:dyDescent="0.15">
      <c r="A73" s="1"/>
      <c r="B73" s="1" t="s">
        <v>203</v>
      </c>
      <c r="C73" s="1" t="s">
        <v>204</v>
      </c>
      <c r="D73" s="1" t="s">
        <v>182</v>
      </c>
      <c r="E73" s="6"/>
      <c r="F73" s="6"/>
      <c r="G73" s="6"/>
      <c r="H73" s="6"/>
      <c r="I73" s="6"/>
      <c r="J73" s="6">
        <v>10</v>
      </c>
      <c r="K73" s="6"/>
      <c r="L73" s="6">
        <v>10</v>
      </c>
      <c r="M73" s="6">
        <v>10</v>
      </c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>
        <v>15</v>
      </c>
      <c r="AZ73" s="2">
        <v>15</v>
      </c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v>2</v>
      </c>
      <c r="BR73" s="17">
        <v>1</v>
      </c>
      <c r="BS73" s="17" t="s">
        <v>237</v>
      </c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x14ac:dyDescent="0.15">
      <c r="A74" s="1">
        <v>68</v>
      </c>
      <c r="B74" s="3" t="s">
        <v>117</v>
      </c>
      <c r="C74" s="1" t="s">
        <v>62</v>
      </c>
      <c r="D74" s="1" t="s">
        <v>13</v>
      </c>
      <c r="E74" s="6"/>
      <c r="F74" s="6">
        <v>6</v>
      </c>
      <c r="G74" s="6"/>
      <c r="H74" s="6"/>
      <c r="I74" s="6"/>
      <c r="J74" s="6"/>
      <c r="K74" s="6"/>
      <c r="L74" s="6"/>
      <c r="M74" s="6"/>
      <c r="N74" s="6">
        <v>6</v>
      </c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10</v>
      </c>
      <c r="AW74" s="2"/>
      <c r="AX74" s="2"/>
      <c r="AY74" s="2"/>
      <c r="AZ74" s="2"/>
      <c r="BA74" s="2"/>
      <c r="BB74" s="2">
        <v>10</v>
      </c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32</v>
      </c>
      <c r="BQ74" s="1">
        <v>3</v>
      </c>
      <c r="BR74" s="17">
        <v>1</v>
      </c>
      <c r="BS74" s="17" t="s">
        <v>230</v>
      </c>
      <c r="BT74" s="1" t="str">
        <f t="shared" ref="BT74:CE74" si="22">IF(AQ74&gt;AQ$162, AQ74-AQ$162,"")</f>
        <v/>
      </c>
      <c r="BU74" s="1" t="str">
        <f t="shared" si="22"/>
        <v/>
      </c>
      <c r="BV74" s="1" t="str">
        <f t="shared" si="22"/>
        <v/>
      </c>
      <c r="BW74" s="1" t="str">
        <f t="shared" si="22"/>
        <v/>
      </c>
      <c r="BX74" s="1" t="str">
        <f t="shared" si="22"/>
        <v/>
      </c>
      <c r="BY74" s="1" t="str">
        <f t="shared" si="22"/>
        <v/>
      </c>
      <c r="BZ74" s="1" t="str">
        <f t="shared" si="22"/>
        <v/>
      </c>
      <c r="CA74" s="1" t="str">
        <f t="shared" si="22"/>
        <v/>
      </c>
      <c r="CB74" s="1" t="str">
        <f t="shared" si="22"/>
        <v/>
      </c>
      <c r="CC74" s="1" t="str">
        <f t="shared" si="22"/>
        <v/>
      </c>
      <c r="CD74" s="1" t="str">
        <f t="shared" si="22"/>
        <v/>
      </c>
      <c r="CE74" s="1" t="str">
        <f t="shared" si="22"/>
        <v/>
      </c>
      <c r="CF74" s="1">
        <f>COUNTIF(BT74:CE74, "&gt;0")</f>
        <v>0</v>
      </c>
      <c r="CG74" s="1" t="str">
        <f t="shared" ref="CG74:CR74" si="23">IF($CF74=1,BT74,"")</f>
        <v/>
      </c>
      <c r="CH74" s="1" t="str">
        <f t="shared" si="23"/>
        <v/>
      </c>
      <c r="CI74" s="1" t="str">
        <f t="shared" si="23"/>
        <v/>
      </c>
      <c r="CJ74" s="1" t="str">
        <f t="shared" si="23"/>
        <v/>
      </c>
      <c r="CK74" s="1" t="str">
        <f t="shared" si="23"/>
        <v/>
      </c>
      <c r="CL74" s="1" t="str">
        <f t="shared" si="23"/>
        <v/>
      </c>
      <c r="CM74" s="1" t="str">
        <f t="shared" si="23"/>
        <v/>
      </c>
      <c r="CN74" s="1" t="str">
        <f t="shared" si="23"/>
        <v/>
      </c>
      <c r="CO74" s="1" t="str">
        <f t="shared" si="23"/>
        <v/>
      </c>
      <c r="CP74" s="1" t="str">
        <f t="shared" si="23"/>
        <v/>
      </c>
      <c r="CQ74" s="1" t="str">
        <f t="shared" si="23"/>
        <v/>
      </c>
      <c r="CR74" s="1" t="str">
        <f t="shared" si="23"/>
        <v/>
      </c>
      <c r="CS74" s="18">
        <f>SUM(AE74:BO74)</f>
        <v>20</v>
      </c>
    </row>
    <row r="75" spans="1:97" x14ac:dyDescent="0.15">
      <c r="A75" s="1"/>
      <c r="B75" s="1" t="s">
        <v>171</v>
      </c>
      <c r="C75" s="1" t="s">
        <v>166</v>
      </c>
      <c r="D75" s="1" t="s">
        <v>140</v>
      </c>
      <c r="E75" s="6"/>
      <c r="F75" s="6">
        <v>6</v>
      </c>
      <c r="G75" s="6"/>
      <c r="H75" s="6"/>
      <c r="I75" s="6"/>
      <c r="J75" s="6"/>
      <c r="K75" s="6"/>
      <c r="L75" s="6"/>
      <c r="M75" s="6"/>
      <c r="N75" s="6"/>
      <c r="O75" s="6">
        <v>6</v>
      </c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>
        <v>10</v>
      </c>
      <c r="AU75" s="4"/>
      <c r="AV75" s="4"/>
      <c r="AW75" s="2"/>
      <c r="AX75" s="2"/>
      <c r="AY75" s="2">
        <v>10</v>
      </c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v>3</v>
      </c>
      <c r="BR75" s="17">
        <v>1</v>
      </c>
      <c r="BS75" s="17" t="s">
        <v>230</v>
      </c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x14ac:dyDescent="0.15">
      <c r="A76" s="1"/>
      <c r="B76" s="1" t="s">
        <v>175</v>
      </c>
      <c r="C76" s="1" t="s">
        <v>176</v>
      </c>
      <c r="D76" s="1" t="s">
        <v>139</v>
      </c>
      <c r="E76" s="6"/>
      <c r="F76" s="6"/>
      <c r="G76" s="6"/>
      <c r="H76" s="6"/>
      <c r="I76" s="6"/>
      <c r="J76" s="6"/>
      <c r="K76" s="6"/>
      <c r="L76" s="6">
        <v>20</v>
      </c>
      <c r="M76" s="6"/>
      <c r="N76" s="6"/>
      <c r="O76" s="6">
        <v>20</v>
      </c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>
        <v>20</v>
      </c>
      <c r="BB76" s="2">
        <v>20</v>
      </c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v>3</v>
      </c>
      <c r="BR76" s="17">
        <v>1</v>
      </c>
      <c r="BS76" s="17" t="s">
        <v>239</v>
      </c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x14ac:dyDescent="0.15">
      <c r="A77" s="1">
        <v>39</v>
      </c>
      <c r="B77" s="1" t="s">
        <v>53</v>
      </c>
      <c r="C77" s="1" t="s">
        <v>49</v>
      </c>
      <c r="D77" s="1" t="s">
        <v>26</v>
      </c>
      <c r="E77" s="6"/>
      <c r="F77" s="6">
        <v>6</v>
      </c>
      <c r="G77" s="6"/>
      <c r="H77" s="6"/>
      <c r="I77" s="6"/>
      <c r="J77" s="6"/>
      <c r="K77" s="6"/>
      <c r="L77" s="6">
        <v>6</v>
      </c>
      <c r="M77" s="6"/>
      <c r="N77" s="6"/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>
        <v>10</v>
      </c>
      <c r="AR77" s="4"/>
      <c r="AS77" s="4"/>
      <c r="AT77" s="4"/>
      <c r="AU77" s="4"/>
      <c r="AV77" s="4"/>
      <c r="AW77" s="2"/>
      <c r="AX77" s="2">
        <v>10</v>
      </c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32</v>
      </c>
      <c r="BQ77" s="1">
        <v>3</v>
      </c>
      <c r="BR77" s="17">
        <v>1</v>
      </c>
      <c r="BS77" s="17" t="s">
        <v>242</v>
      </c>
      <c r="BT77" s="1" t="str">
        <f t="shared" ref="BT77:CE77" si="24">IF(AQ77&gt;AQ$162, AQ77-AQ$162,"")</f>
        <v/>
      </c>
      <c r="BU77" s="1" t="str">
        <f t="shared" si="24"/>
        <v/>
      </c>
      <c r="BV77" s="1" t="str">
        <f t="shared" si="24"/>
        <v/>
      </c>
      <c r="BW77" s="1" t="str">
        <f t="shared" si="24"/>
        <v/>
      </c>
      <c r="BX77" s="1" t="str">
        <f t="shared" si="24"/>
        <v/>
      </c>
      <c r="BY77" s="1" t="str">
        <f t="shared" si="24"/>
        <v/>
      </c>
      <c r="BZ77" s="1" t="str">
        <f t="shared" si="24"/>
        <v/>
      </c>
      <c r="CA77" s="1" t="str">
        <f t="shared" si="24"/>
        <v/>
      </c>
      <c r="CB77" s="1" t="str">
        <f t="shared" si="24"/>
        <v/>
      </c>
      <c r="CC77" s="1" t="str">
        <f t="shared" si="24"/>
        <v/>
      </c>
      <c r="CD77" s="1" t="str">
        <f t="shared" si="24"/>
        <v/>
      </c>
      <c r="CE77" s="1" t="str">
        <f t="shared" si="24"/>
        <v/>
      </c>
      <c r="CF77" s="1">
        <f>COUNTIF(BT77:CE77, "&gt;0")</f>
        <v>0</v>
      </c>
      <c r="CG77" s="1" t="str">
        <f t="shared" ref="CG77:CR77" si="25">IF($CF77=1,BT77,"")</f>
        <v/>
      </c>
      <c r="CH77" s="1" t="str">
        <f t="shared" si="25"/>
        <v/>
      </c>
      <c r="CI77" s="1" t="str">
        <f t="shared" si="25"/>
        <v/>
      </c>
      <c r="CJ77" s="1" t="str">
        <f t="shared" si="25"/>
        <v/>
      </c>
      <c r="CK77" s="1" t="str">
        <f t="shared" si="25"/>
        <v/>
      </c>
      <c r="CL77" s="1" t="str">
        <f t="shared" si="25"/>
        <v/>
      </c>
      <c r="CM77" s="1" t="str">
        <f t="shared" si="25"/>
        <v/>
      </c>
      <c r="CN77" s="1" t="str">
        <f t="shared" si="25"/>
        <v/>
      </c>
      <c r="CO77" s="1" t="str">
        <f t="shared" si="25"/>
        <v/>
      </c>
      <c r="CP77" s="1" t="str">
        <f t="shared" si="25"/>
        <v/>
      </c>
      <c r="CQ77" s="1" t="str">
        <f t="shared" si="25"/>
        <v/>
      </c>
      <c r="CR77" s="1" t="str">
        <f t="shared" si="25"/>
        <v/>
      </c>
      <c r="CS77" s="18">
        <f>SUM(AE77:BO77)</f>
        <v>20</v>
      </c>
    </row>
    <row r="78" spans="1:97" x14ac:dyDescent="0.15">
      <c r="A78" s="1"/>
      <c r="B78" s="1" t="s">
        <v>220</v>
      </c>
      <c r="C78" s="1" t="s">
        <v>215</v>
      </c>
      <c r="D78" s="1" t="s">
        <v>183</v>
      </c>
      <c r="E78" s="6"/>
      <c r="F78" s="6"/>
      <c r="G78" s="6">
        <v>5</v>
      </c>
      <c r="H78" s="6"/>
      <c r="I78" s="6"/>
      <c r="J78" s="6"/>
      <c r="K78" s="6"/>
      <c r="L78" s="6"/>
      <c r="M78" s="6"/>
      <c r="N78" s="6"/>
      <c r="O78" s="6"/>
      <c r="P78" s="32"/>
      <c r="Q78" s="32"/>
      <c r="R78" s="32"/>
      <c r="S78" s="32"/>
      <c r="T78" s="32"/>
      <c r="U78" s="32"/>
      <c r="V78" s="32">
        <v>5</v>
      </c>
      <c r="W78" s="32"/>
      <c r="X78" s="32"/>
      <c r="Y78" s="32">
        <v>5</v>
      </c>
      <c r="Z78" s="32"/>
      <c r="AA78" s="32"/>
      <c r="AB78" s="32"/>
      <c r="AC78" s="32">
        <v>5</v>
      </c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v>3</v>
      </c>
      <c r="BR78" s="17">
        <v>1</v>
      </c>
      <c r="BS78" s="17" t="s">
        <v>253</v>
      </c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x14ac:dyDescent="0.15">
      <c r="A79" s="1">
        <v>24</v>
      </c>
      <c r="B79" s="1" t="s">
        <v>47</v>
      </c>
      <c r="C79" s="1" t="s">
        <v>32</v>
      </c>
      <c r="D79" s="1" t="s">
        <v>26</v>
      </c>
      <c r="E79" s="6"/>
      <c r="F79" s="6"/>
      <c r="G79" s="6"/>
      <c r="H79" s="6"/>
      <c r="I79" s="6">
        <v>4</v>
      </c>
      <c r="J79" s="6"/>
      <c r="K79" s="6">
        <v>4</v>
      </c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>
        <v>5</v>
      </c>
      <c r="AT79" s="4"/>
      <c r="AU79" s="4"/>
      <c r="AV79" s="4"/>
      <c r="AW79" s="2">
        <v>5</v>
      </c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 t="shared" ref="BP79:BP87" si="26">SUM(E79:BO79)</f>
        <v>18</v>
      </c>
      <c r="BQ79" s="1">
        <v>5</v>
      </c>
      <c r="BR79" s="17">
        <v>1</v>
      </c>
      <c r="BS79" s="17" t="s">
        <v>229</v>
      </c>
      <c r="BT79" s="1" t="str">
        <f t="shared" ref="BT79:BT87" si="27">IF(AQ79&gt;AQ$162, AQ79-AQ$162,"")</f>
        <v/>
      </c>
      <c r="BU79" s="1" t="str">
        <f t="shared" ref="BU79:BU87" si="28">IF(AR79&gt;AR$162, AR79-AR$162,"")</f>
        <v/>
      </c>
      <c r="BV79" s="1">
        <f t="shared" ref="BV79:BV87" si="29">IF(AS79&gt;AS$162, AS79-AS$162,"")</f>
        <v>5</v>
      </c>
      <c r="BW79" s="1" t="str">
        <f t="shared" ref="BW79:BW87" si="30">IF(AT79&gt;AT$162, AT79-AT$162,"")</f>
        <v/>
      </c>
      <c r="BX79" s="1" t="str">
        <f t="shared" ref="BX79:BX87" si="31">IF(AU79&gt;AU$162, AU79-AU$162,"")</f>
        <v/>
      </c>
      <c r="BY79" s="1" t="str">
        <f t="shared" ref="BY79:BY87" si="32">IF(AV79&gt;AV$162, AV79-AV$162,"")</f>
        <v/>
      </c>
      <c r="BZ79" s="1" t="str">
        <f t="shared" ref="BZ79:BZ87" si="33">IF(AW79&gt;AW$162, AW79-AW$162,"")</f>
        <v/>
      </c>
      <c r="CA79" s="1" t="str">
        <f t="shared" ref="CA79:CA87" si="34">IF(AX79&gt;AX$162, AX79-AX$162,"")</f>
        <v/>
      </c>
      <c r="CB79" s="1" t="str">
        <f t="shared" ref="CB79:CB87" si="35">IF(AY79&gt;AY$162, AY79-AY$162,"")</f>
        <v/>
      </c>
      <c r="CC79" s="1" t="str">
        <f t="shared" ref="CC79:CC87" si="36">IF(AZ79&gt;AZ$162, AZ79-AZ$162,"")</f>
        <v/>
      </c>
      <c r="CD79" s="1" t="str">
        <f t="shared" ref="CD79:CD87" si="37">IF(BA79&gt;BA$162, BA79-BA$162,"")</f>
        <v/>
      </c>
      <c r="CE79" s="1" t="str">
        <f t="shared" ref="CE79:CE87" si="38">IF(BB79&gt;BB$162, BB79-BB$162,"")</f>
        <v/>
      </c>
      <c r="CF79" s="1">
        <f t="shared" ref="CF79:CF87" si="39">COUNTIF(BT79:CE79, "&gt;0")</f>
        <v>1</v>
      </c>
      <c r="CG79" s="1" t="str">
        <f t="shared" ref="CG79:CG87" si="40">IF($CF79=1,BT79,"")</f>
        <v/>
      </c>
      <c r="CH79" s="1" t="str">
        <f t="shared" ref="CH79:CH87" si="41">IF($CF79=1,BU79,"")</f>
        <v/>
      </c>
      <c r="CI79" s="1">
        <f t="shared" ref="CI79:CI87" si="42">IF($CF79=1,BV79,"")</f>
        <v>5</v>
      </c>
      <c r="CJ79" s="1" t="str">
        <f t="shared" ref="CJ79:CJ87" si="43">IF($CF79=1,BW79,"")</f>
        <v/>
      </c>
      <c r="CK79" s="1" t="str">
        <f t="shared" ref="CK79:CK87" si="44">IF($CF79=1,BX79,"")</f>
        <v/>
      </c>
      <c r="CL79" s="1" t="str">
        <f t="shared" ref="CL79:CL87" si="45">IF($CF79=1,BY79,"")</f>
        <v/>
      </c>
      <c r="CM79" s="1" t="str">
        <f t="shared" ref="CM79:CM87" si="46">IF($CF79=1,BZ79,"")</f>
        <v/>
      </c>
      <c r="CN79" s="1" t="str">
        <f t="shared" ref="CN79:CN87" si="47">IF($CF79=1,CA79,"")</f>
        <v/>
      </c>
      <c r="CO79" s="1" t="str">
        <f t="shared" ref="CO79:CO87" si="48">IF($CF79=1,CB79,"")</f>
        <v/>
      </c>
      <c r="CP79" s="1" t="str">
        <f t="shared" ref="CP79:CP87" si="49">IF($CF79=1,CC79,"")</f>
        <v/>
      </c>
      <c r="CQ79" s="1" t="str">
        <f t="shared" ref="CQ79:CQ87" si="50">IF($CF79=1,CD79,"")</f>
        <v/>
      </c>
      <c r="CR79" s="1" t="str">
        <f t="shared" ref="CR79:CR87" si="51">IF($CF79=1,CE79,"")</f>
        <v/>
      </c>
      <c r="CS79" s="18">
        <f t="shared" ref="CS79:CS87" si="52">SUM(AE79:BO79)</f>
        <v>10</v>
      </c>
    </row>
    <row r="80" spans="1:97" x14ac:dyDescent="0.15">
      <c r="A80" s="1">
        <v>91</v>
      </c>
      <c r="B80" s="3" t="s">
        <v>91</v>
      </c>
      <c r="C80" s="3" t="s">
        <v>90</v>
      </c>
      <c r="D80" s="1" t="s">
        <v>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>
        <v>5</v>
      </c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 t="shared" si="26"/>
        <v>5</v>
      </c>
      <c r="BQ80" s="1">
        <v>5</v>
      </c>
      <c r="BR80" s="17">
        <v>1</v>
      </c>
      <c r="BS80" s="17" t="s">
        <v>122</v>
      </c>
      <c r="BT80" s="1" t="str">
        <f t="shared" si="27"/>
        <v/>
      </c>
      <c r="BU80" s="1" t="str">
        <f t="shared" si="28"/>
        <v/>
      </c>
      <c r="BV80" s="1" t="str">
        <f t="shared" si="29"/>
        <v/>
      </c>
      <c r="BW80" s="1" t="str">
        <f t="shared" si="30"/>
        <v/>
      </c>
      <c r="BX80" s="1" t="str">
        <f t="shared" si="31"/>
        <v/>
      </c>
      <c r="BY80" s="1" t="str">
        <f t="shared" si="32"/>
        <v/>
      </c>
      <c r="BZ80" s="1" t="str">
        <f t="shared" si="33"/>
        <v/>
      </c>
      <c r="CA80" s="1" t="str">
        <f t="shared" si="34"/>
        <v/>
      </c>
      <c r="CB80" s="1" t="str">
        <f t="shared" si="35"/>
        <v/>
      </c>
      <c r="CC80" s="1" t="str">
        <f t="shared" si="36"/>
        <v/>
      </c>
      <c r="CD80" s="1" t="str">
        <f t="shared" si="37"/>
        <v/>
      </c>
      <c r="CE80" s="1" t="str">
        <f t="shared" si="38"/>
        <v/>
      </c>
      <c r="CF80" s="1">
        <f t="shared" si="39"/>
        <v>0</v>
      </c>
      <c r="CG80" s="1" t="str">
        <f t="shared" si="40"/>
        <v/>
      </c>
      <c r="CH80" s="1" t="str">
        <f t="shared" si="41"/>
        <v/>
      </c>
      <c r="CI80" s="1" t="str">
        <f t="shared" si="42"/>
        <v/>
      </c>
      <c r="CJ80" s="1" t="str">
        <f t="shared" si="43"/>
        <v/>
      </c>
      <c r="CK80" s="1" t="str">
        <f t="shared" si="44"/>
        <v/>
      </c>
      <c r="CL80" s="1" t="str">
        <f t="shared" si="45"/>
        <v/>
      </c>
      <c r="CM80" s="1" t="str">
        <f t="shared" si="46"/>
        <v/>
      </c>
      <c r="CN80" s="1" t="str">
        <f t="shared" si="47"/>
        <v/>
      </c>
      <c r="CO80" s="1" t="str">
        <f t="shared" si="48"/>
        <v/>
      </c>
      <c r="CP80" s="1" t="str">
        <f t="shared" si="49"/>
        <v/>
      </c>
      <c r="CQ80" s="1" t="str">
        <f t="shared" si="50"/>
        <v/>
      </c>
      <c r="CR80" s="1" t="str">
        <f t="shared" si="51"/>
        <v/>
      </c>
      <c r="CS80" s="18">
        <f t="shared" si="52"/>
        <v>5</v>
      </c>
    </row>
    <row r="81" spans="1:97" x14ac:dyDescent="0.15">
      <c r="A81" s="1">
        <v>17</v>
      </c>
      <c r="B81" s="1" t="s">
        <v>35</v>
      </c>
      <c r="C81" s="1" t="s">
        <v>32</v>
      </c>
      <c r="D81" s="1" t="s">
        <v>24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/>
      <c r="AF81" s="1">
        <v>5</v>
      </c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 t="shared" si="26"/>
        <v>5</v>
      </c>
      <c r="BQ81" s="1">
        <v>5</v>
      </c>
      <c r="BR81" s="17">
        <v>1</v>
      </c>
      <c r="BS81" s="17" t="s">
        <v>121</v>
      </c>
      <c r="BT81" s="1" t="str">
        <f t="shared" si="27"/>
        <v/>
      </c>
      <c r="BU81" s="1" t="str">
        <f t="shared" si="28"/>
        <v/>
      </c>
      <c r="BV81" s="1" t="str">
        <f t="shared" si="29"/>
        <v/>
      </c>
      <c r="BW81" s="1" t="str">
        <f t="shared" si="30"/>
        <v/>
      </c>
      <c r="BX81" s="1" t="str">
        <f t="shared" si="31"/>
        <v/>
      </c>
      <c r="BY81" s="1" t="str">
        <f t="shared" si="32"/>
        <v/>
      </c>
      <c r="BZ81" s="1" t="str">
        <f t="shared" si="33"/>
        <v/>
      </c>
      <c r="CA81" s="1" t="str">
        <f t="shared" si="34"/>
        <v/>
      </c>
      <c r="CB81" s="1" t="str">
        <f t="shared" si="35"/>
        <v/>
      </c>
      <c r="CC81" s="1" t="str">
        <f t="shared" si="36"/>
        <v/>
      </c>
      <c r="CD81" s="1" t="str">
        <f t="shared" si="37"/>
        <v/>
      </c>
      <c r="CE81" s="1" t="str">
        <f t="shared" si="38"/>
        <v/>
      </c>
      <c r="CF81" s="1">
        <f t="shared" si="39"/>
        <v>0</v>
      </c>
      <c r="CG81" s="1" t="str">
        <f t="shared" si="40"/>
        <v/>
      </c>
      <c r="CH81" s="1" t="str">
        <f t="shared" si="41"/>
        <v/>
      </c>
      <c r="CI81" s="1" t="str">
        <f t="shared" si="42"/>
        <v/>
      </c>
      <c r="CJ81" s="1" t="str">
        <f t="shared" si="43"/>
        <v/>
      </c>
      <c r="CK81" s="1" t="str">
        <f t="shared" si="44"/>
        <v/>
      </c>
      <c r="CL81" s="1" t="str">
        <f t="shared" si="45"/>
        <v/>
      </c>
      <c r="CM81" s="1" t="str">
        <f t="shared" si="46"/>
        <v/>
      </c>
      <c r="CN81" s="1" t="str">
        <f t="shared" si="47"/>
        <v/>
      </c>
      <c r="CO81" s="1" t="str">
        <f t="shared" si="48"/>
        <v/>
      </c>
      <c r="CP81" s="1" t="str">
        <f t="shared" si="49"/>
        <v/>
      </c>
      <c r="CQ81" s="1" t="str">
        <f t="shared" si="50"/>
        <v/>
      </c>
      <c r="CR81" s="1" t="str">
        <f t="shared" si="51"/>
        <v/>
      </c>
      <c r="CS81" s="18">
        <f t="shared" si="52"/>
        <v>5</v>
      </c>
    </row>
    <row r="82" spans="1:97" x14ac:dyDescent="0.15">
      <c r="A82" s="1">
        <v>18</v>
      </c>
      <c r="B82" s="1" t="s">
        <v>35</v>
      </c>
      <c r="C82" s="1" t="s">
        <v>32</v>
      </c>
      <c r="D82" s="1" t="s">
        <v>25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>
        <v>5</v>
      </c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 t="shared" si="26"/>
        <v>5</v>
      </c>
      <c r="BQ82" s="1">
        <v>5</v>
      </c>
      <c r="BR82" s="17">
        <v>1</v>
      </c>
      <c r="BS82" s="17" t="s">
        <v>123</v>
      </c>
      <c r="BT82" s="1" t="str">
        <f t="shared" si="27"/>
        <v/>
      </c>
      <c r="BU82" s="1" t="str">
        <f t="shared" si="28"/>
        <v/>
      </c>
      <c r="BV82" s="1" t="str">
        <f t="shared" si="29"/>
        <v/>
      </c>
      <c r="BW82" s="1" t="str">
        <f t="shared" si="30"/>
        <v/>
      </c>
      <c r="BX82" s="1" t="str">
        <f t="shared" si="31"/>
        <v/>
      </c>
      <c r="BY82" s="1" t="str">
        <f t="shared" si="32"/>
        <v/>
      </c>
      <c r="BZ82" s="1" t="str">
        <f t="shared" si="33"/>
        <v/>
      </c>
      <c r="CA82" s="1" t="str">
        <f t="shared" si="34"/>
        <v/>
      </c>
      <c r="CB82" s="1" t="str">
        <f t="shared" si="35"/>
        <v/>
      </c>
      <c r="CC82" s="1" t="str">
        <f t="shared" si="36"/>
        <v/>
      </c>
      <c r="CD82" s="1" t="str">
        <f t="shared" si="37"/>
        <v/>
      </c>
      <c r="CE82" s="1" t="str">
        <f t="shared" si="38"/>
        <v/>
      </c>
      <c r="CF82" s="1">
        <f t="shared" si="39"/>
        <v>0</v>
      </c>
      <c r="CG82" s="1" t="str">
        <f t="shared" si="40"/>
        <v/>
      </c>
      <c r="CH82" s="1" t="str">
        <f t="shared" si="41"/>
        <v/>
      </c>
      <c r="CI82" s="1" t="str">
        <f t="shared" si="42"/>
        <v/>
      </c>
      <c r="CJ82" s="1" t="str">
        <f t="shared" si="43"/>
        <v/>
      </c>
      <c r="CK82" s="1" t="str">
        <f t="shared" si="44"/>
        <v/>
      </c>
      <c r="CL82" s="1" t="str">
        <f t="shared" si="45"/>
        <v/>
      </c>
      <c r="CM82" s="1" t="str">
        <f t="shared" si="46"/>
        <v/>
      </c>
      <c r="CN82" s="1" t="str">
        <f t="shared" si="47"/>
        <v/>
      </c>
      <c r="CO82" s="1" t="str">
        <f t="shared" si="48"/>
        <v/>
      </c>
      <c r="CP82" s="1" t="str">
        <f t="shared" si="49"/>
        <v/>
      </c>
      <c r="CQ82" s="1" t="str">
        <f t="shared" si="50"/>
        <v/>
      </c>
      <c r="CR82" s="1" t="str">
        <f t="shared" si="51"/>
        <v/>
      </c>
      <c r="CS82" s="18">
        <f t="shared" si="52"/>
        <v>5</v>
      </c>
    </row>
    <row r="83" spans="1:97" x14ac:dyDescent="0.15">
      <c r="A83" s="1">
        <v>19</v>
      </c>
      <c r="B83" s="1" t="s">
        <v>38</v>
      </c>
      <c r="C83" s="1" t="s">
        <v>32</v>
      </c>
      <c r="D83" s="1" t="s">
        <v>24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>
        <v>5</v>
      </c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 t="shared" si="26"/>
        <v>5</v>
      </c>
      <c r="BQ83" s="1">
        <v>5</v>
      </c>
      <c r="BR83" s="17">
        <v>1</v>
      </c>
      <c r="BS83" s="17" t="s">
        <v>123</v>
      </c>
      <c r="BT83" s="1" t="str">
        <f t="shared" si="27"/>
        <v/>
      </c>
      <c r="BU83" s="1" t="str">
        <f t="shared" si="28"/>
        <v/>
      </c>
      <c r="BV83" s="1" t="str">
        <f t="shared" si="29"/>
        <v/>
      </c>
      <c r="BW83" s="1" t="str">
        <f t="shared" si="30"/>
        <v/>
      </c>
      <c r="BX83" s="1" t="str">
        <f t="shared" si="31"/>
        <v/>
      </c>
      <c r="BY83" s="1" t="str">
        <f t="shared" si="32"/>
        <v/>
      </c>
      <c r="BZ83" s="1" t="str">
        <f t="shared" si="33"/>
        <v/>
      </c>
      <c r="CA83" s="1" t="str">
        <f t="shared" si="34"/>
        <v/>
      </c>
      <c r="CB83" s="1" t="str">
        <f t="shared" si="35"/>
        <v/>
      </c>
      <c r="CC83" s="1" t="str">
        <f t="shared" si="36"/>
        <v/>
      </c>
      <c r="CD83" s="1" t="str">
        <f t="shared" si="37"/>
        <v/>
      </c>
      <c r="CE83" s="1" t="str">
        <f t="shared" si="38"/>
        <v/>
      </c>
      <c r="CF83" s="1">
        <f t="shared" si="39"/>
        <v>0</v>
      </c>
      <c r="CG83" s="1" t="str">
        <f t="shared" si="40"/>
        <v/>
      </c>
      <c r="CH83" s="1" t="str">
        <f t="shared" si="41"/>
        <v/>
      </c>
      <c r="CI83" s="1" t="str">
        <f t="shared" si="42"/>
        <v/>
      </c>
      <c r="CJ83" s="1" t="str">
        <f t="shared" si="43"/>
        <v/>
      </c>
      <c r="CK83" s="1" t="str">
        <f t="shared" si="44"/>
        <v/>
      </c>
      <c r="CL83" s="1" t="str">
        <f t="shared" si="45"/>
        <v/>
      </c>
      <c r="CM83" s="1" t="str">
        <f t="shared" si="46"/>
        <v/>
      </c>
      <c r="CN83" s="1" t="str">
        <f t="shared" si="47"/>
        <v/>
      </c>
      <c r="CO83" s="1" t="str">
        <f t="shared" si="48"/>
        <v/>
      </c>
      <c r="CP83" s="1" t="str">
        <f t="shared" si="49"/>
        <v/>
      </c>
      <c r="CQ83" s="1" t="str">
        <f t="shared" si="50"/>
        <v/>
      </c>
      <c r="CR83" s="1" t="str">
        <f t="shared" si="51"/>
        <v/>
      </c>
      <c r="CS83" s="18">
        <f t="shared" si="52"/>
        <v>5</v>
      </c>
    </row>
    <row r="84" spans="1:97" x14ac:dyDescent="0.15">
      <c r="A84" s="1">
        <v>32</v>
      </c>
      <c r="B84" s="1" t="s">
        <v>87</v>
      </c>
      <c r="C84" s="1" t="s">
        <v>32</v>
      </c>
      <c r="D84" s="1" t="s">
        <v>24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/>
      <c r="AG84" s="1"/>
      <c r="AH84" s="1"/>
      <c r="AI84" s="1">
        <v>5</v>
      </c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 t="shared" si="26"/>
        <v>5</v>
      </c>
      <c r="BQ84" s="1">
        <v>5</v>
      </c>
      <c r="BR84" s="17">
        <v>1</v>
      </c>
      <c r="BS84" s="17" t="s">
        <v>124</v>
      </c>
      <c r="BT84" s="1" t="str">
        <f t="shared" si="27"/>
        <v/>
      </c>
      <c r="BU84" s="1" t="str">
        <f t="shared" si="28"/>
        <v/>
      </c>
      <c r="BV84" s="1" t="str">
        <f t="shared" si="29"/>
        <v/>
      </c>
      <c r="BW84" s="1" t="str">
        <f t="shared" si="30"/>
        <v/>
      </c>
      <c r="BX84" s="1" t="str">
        <f t="shared" si="31"/>
        <v/>
      </c>
      <c r="BY84" s="1" t="str">
        <f t="shared" si="32"/>
        <v/>
      </c>
      <c r="BZ84" s="1" t="str">
        <f t="shared" si="33"/>
        <v/>
      </c>
      <c r="CA84" s="1" t="str">
        <f t="shared" si="34"/>
        <v/>
      </c>
      <c r="CB84" s="1" t="str">
        <f t="shared" si="35"/>
        <v/>
      </c>
      <c r="CC84" s="1" t="str">
        <f t="shared" si="36"/>
        <v/>
      </c>
      <c r="CD84" s="1" t="str">
        <f t="shared" si="37"/>
        <v/>
      </c>
      <c r="CE84" s="1" t="str">
        <f t="shared" si="38"/>
        <v/>
      </c>
      <c r="CF84" s="1">
        <f t="shared" si="39"/>
        <v>0</v>
      </c>
      <c r="CG84" s="1" t="str">
        <f t="shared" si="40"/>
        <v/>
      </c>
      <c r="CH84" s="1" t="str">
        <f t="shared" si="41"/>
        <v/>
      </c>
      <c r="CI84" s="1" t="str">
        <f t="shared" si="42"/>
        <v/>
      </c>
      <c r="CJ84" s="1" t="str">
        <f t="shared" si="43"/>
        <v/>
      </c>
      <c r="CK84" s="1" t="str">
        <f t="shared" si="44"/>
        <v/>
      </c>
      <c r="CL84" s="1" t="str">
        <f t="shared" si="45"/>
        <v/>
      </c>
      <c r="CM84" s="1" t="str">
        <f t="shared" si="46"/>
        <v/>
      </c>
      <c r="CN84" s="1" t="str">
        <f t="shared" si="47"/>
        <v/>
      </c>
      <c r="CO84" s="1" t="str">
        <f t="shared" si="48"/>
        <v/>
      </c>
      <c r="CP84" s="1" t="str">
        <f t="shared" si="49"/>
        <v/>
      </c>
      <c r="CQ84" s="1" t="str">
        <f t="shared" si="50"/>
        <v/>
      </c>
      <c r="CR84" s="1" t="str">
        <f t="shared" si="51"/>
        <v/>
      </c>
      <c r="CS84" s="18">
        <f t="shared" si="52"/>
        <v>5</v>
      </c>
    </row>
    <row r="85" spans="1:97" x14ac:dyDescent="0.15">
      <c r="A85" s="1">
        <v>33</v>
      </c>
      <c r="B85" s="1" t="s">
        <v>87</v>
      </c>
      <c r="C85" s="1" t="s">
        <v>32</v>
      </c>
      <c r="D85" s="1" t="s">
        <v>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/>
      <c r="AG85" s="1"/>
      <c r="AH85" s="1">
        <v>5</v>
      </c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 t="shared" si="26"/>
        <v>5</v>
      </c>
      <c r="BQ85" s="1">
        <v>5</v>
      </c>
      <c r="BR85" s="17">
        <v>1</v>
      </c>
      <c r="BS85" s="17" t="s">
        <v>125</v>
      </c>
      <c r="BT85" s="1" t="str">
        <f t="shared" si="27"/>
        <v/>
      </c>
      <c r="BU85" s="1" t="str">
        <f t="shared" si="28"/>
        <v/>
      </c>
      <c r="BV85" s="1" t="str">
        <f t="shared" si="29"/>
        <v/>
      </c>
      <c r="BW85" s="1" t="str">
        <f t="shared" si="30"/>
        <v/>
      </c>
      <c r="BX85" s="1" t="str">
        <f t="shared" si="31"/>
        <v/>
      </c>
      <c r="BY85" s="1" t="str">
        <f t="shared" si="32"/>
        <v/>
      </c>
      <c r="BZ85" s="1" t="str">
        <f t="shared" si="33"/>
        <v/>
      </c>
      <c r="CA85" s="1" t="str">
        <f t="shared" si="34"/>
        <v/>
      </c>
      <c r="CB85" s="1" t="str">
        <f t="shared" si="35"/>
        <v/>
      </c>
      <c r="CC85" s="1" t="str">
        <f t="shared" si="36"/>
        <v/>
      </c>
      <c r="CD85" s="1" t="str">
        <f t="shared" si="37"/>
        <v/>
      </c>
      <c r="CE85" s="1" t="str">
        <f t="shared" si="38"/>
        <v/>
      </c>
      <c r="CF85" s="1">
        <f t="shared" si="39"/>
        <v>0</v>
      </c>
      <c r="CG85" s="1" t="str">
        <f t="shared" si="40"/>
        <v/>
      </c>
      <c r="CH85" s="1" t="str">
        <f t="shared" si="41"/>
        <v/>
      </c>
      <c r="CI85" s="1" t="str">
        <f t="shared" si="42"/>
        <v/>
      </c>
      <c r="CJ85" s="1" t="str">
        <f t="shared" si="43"/>
        <v/>
      </c>
      <c r="CK85" s="1" t="str">
        <f t="shared" si="44"/>
        <v/>
      </c>
      <c r="CL85" s="1" t="str">
        <f t="shared" si="45"/>
        <v/>
      </c>
      <c r="CM85" s="1" t="str">
        <f t="shared" si="46"/>
        <v/>
      </c>
      <c r="CN85" s="1" t="str">
        <f t="shared" si="47"/>
        <v/>
      </c>
      <c r="CO85" s="1" t="str">
        <f t="shared" si="48"/>
        <v/>
      </c>
      <c r="CP85" s="1" t="str">
        <f t="shared" si="49"/>
        <v/>
      </c>
      <c r="CQ85" s="1" t="str">
        <f t="shared" si="50"/>
        <v/>
      </c>
      <c r="CR85" s="1" t="str">
        <f t="shared" si="51"/>
        <v/>
      </c>
      <c r="CS85" s="18">
        <f t="shared" si="52"/>
        <v>5</v>
      </c>
    </row>
    <row r="86" spans="1:97" x14ac:dyDescent="0.15">
      <c r="A86" s="1">
        <v>63</v>
      </c>
      <c r="B86" s="3" t="s">
        <v>68</v>
      </c>
      <c r="C86" s="1" t="s">
        <v>62</v>
      </c>
      <c r="D86" s="1" t="s">
        <v>24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>
        <v>5</v>
      </c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 t="shared" si="26"/>
        <v>5</v>
      </c>
      <c r="BQ86" s="1">
        <v>5</v>
      </c>
      <c r="BR86" s="17">
        <v>1</v>
      </c>
      <c r="BS86" s="17" t="s">
        <v>126</v>
      </c>
      <c r="BT86" s="1" t="str">
        <f t="shared" si="27"/>
        <v/>
      </c>
      <c r="BU86" s="1" t="str">
        <f t="shared" si="28"/>
        <v/>
      </c>
      <c r="BV86" s="1" t="str">
        <f t="shared" si="29"/>
        <v/>
      </c>
      <c r="BW86" s="1" t="str">
        <f t="shared" si="30"/>
        <v/>
      </c>
      <c r="BX86" s="1" t="str">
        <f t="shared" si="31"/>
        <v/>
      </c>
      <c r="BY86" s="1" t="str">
        <f t="shared" si="32"/>
        <v/>
      </c>
      <c r="BZ86" s="1" t="str">
        <f t="shared" si="33"/>
        <v/>
      </c>
      <c r="CA86" s="1" t="str">
        <f t="shared" si="34"/>
        <v/>
      </c>
      <c r="CB86" s="1" t="str">
        <f t="shared" si="35"/>
        <v/>
      </c>
      <c r="CC86" s="1" t="str">
        <f t="shared" si="36"/>
        <v/>
      </c>
      <c r="CD86" s="1" t="str">
        <f t="shared" si="37"/>
        <v/>
      </c>
      <c r="CE86" s="1" t="str">
        <f t="shared" si="38"/>
        <v/>
      </c>
      <c r="CF86" s="1">
        <f t="shared" si="39"/>
        <v>0</v>
      </c>
      <c r="CG86" s="1" t="str">
        <f t="shared" si="40"/>
        <v/>
      </c>
      <c r="CH86" s="1" t="str">
        <f t="shared" si="41"/>
        <v/>
      </c>
      <c r="CI86" s="1" t="str">
        <f t="shared" si="42"/>
        <v/>
      </c>
      <c r="CJ86" s="1" t="str">
        <f t="shared" si="43"/>
        <v/>
      </c>
      <c r="CK86" s="1" t="str">
        <f t="shared" si="44"/>
        <v/>
      </c>
      <c r="CL86" s="1" t="str">
        <f t="shared" si="45"/>
        <v/>
      </c>
      <c r="CM86" s="1" t="str">
        <f t="shared" si="46"/>
        <v/>
      </c>
      <c r="CN86" s="1" t="str">
        <f t="shared" si="47"/>
        <v/>
      </c>
      <c r="CO86" s="1" t="str">
        <f t="shared" si="48"/>
        <v/>
      </c>
      <c r="CP86" s="1" t="str">
        <f t="shared" si="49"/>
        <v/>
      </c>
      <c r="CQ86" s="1" t="str">
        <f t="shared" si="50"/>
        <v/>
      </c>
      <c r="CR86" s="1" t="str">
        <f t="shared" si="51"/>
        <v/>
      </c>
      <c r="CS86" s="18">
        <f t="shared" si="52"/>
        <v>5</v>
      </c>
    </row>
    <row r="87" spans="1:97" x14ac:dyDescent="0.15">
      <c r="A87" s="1">
        <v>90</v>
      </c>
      <c r="B87" s="3" t="s">
        <v>91</v>
      </c>
      <c r="C87" s="3" t="s">
        <v>90</v>
      </c>
      <c r="D87" s="1" t="s">
        <v>24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>
        <v>5</v>
      </c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 t="shared" si="26"/>
        <v>5</v>
      </c>
      <c r="BQ87" s="1">
        <v>5</v>
      </c>
      <c r="BR87" s="17">
        <v>1</v>
      </c>
      <c r="BS87" s="17" t="s">
        <v>126</v>
      </c>
      <c r="BT87" s="1" t="str">
        <f t="shared" si="27"/>
        <v/>
      </c>
      <c r="BU87" s="1" t="str">
        <f t="shared" si="28"/>
        <v/>
      </c>
      <c r="BV87" s="1" t="str">
        <f t="shared" si="29"/>
        <v/>
      </c>
      <c r="BW87" s="1" t="str">
        <f t="shared" si="30"/>
        <v/>
      </c>
      <c r="BX87" s="1" t="str">
        <f t="shared" si="31"/>
        <v/>
      </c>
      <c r="BY87" s="1" t="str">
        <f t="shared" si="32"/>
        <v/>
      </c>
      <c r="BZ87" s="1" t="str">
        <f t="shared" si="33"/>
        <v/>
      </c>
      <c r="CA87" s="1" t="str">
        <f t="shared" si="34"/>
        <v/>
      </c>
      <c r="CB87" s="1" t="str">
        <f t="shared" si="35"/>
        <v/>
      </c>
      <c r="CC87" s="1" t="str">
        <f t="shared" si="36"/>
        <v/>
      </c>
      <c r="CD87" s="1" t="str">
        <f t="shared" si="37"/>
        <v/>
      </c>
      <c r="CE87" s="1" t="str">
        <f t="shared" si="38"/>
        <v/>
      </c>
      <c r="CF87" s="1">
        <f t="shared" si="39"/>
        <v>0</v>
      </c>
      <c r="CG87" s="1" t="str">
        <f t="shared" si="40"/>
        <v/>
      </c>
      <c r="CH87" s="1" t="str">
        <f t="shared" si="41"/>
        <v/>
      </c>
      <c r="CI87" s="1" t="str">
        <f t="shared" si="42"/>
        <v/>
      </c>
      <c r="CJ87" s="1" t="str">
        <f t="shared" si="43"/>
        <v/>
      </c>
      <c r="CK87" s="1" t="str">
        <f t="shared" si="44"/>
        <v/>
      </c>
      <c r="CL87" s="1" t="str">
        <f t="shared" si="45"/>
        <v/>
      </c>
      <c r="CM87" s="1" t="str">
        <f t="shared" si="46"/>
        <v/>
      </c>
      <c r="CN87" s="1" t="str">
        <f t="shared" si="47"/>
        <v/>
      </c>
      <c r="CO87" s="1" t="str">
        <f t="shared" si="48"/>
        <v/>
      </c>
      <c r="CP87" s="1" t="str">
        <f t="shared" si="49"/>
        <v/>
      </c>
      <c r="CQ87" s="1" t="str">
        <f t="shared" si="50"/>
        <v/>
      </c>
      <c r="CR87" s="1" t="str">
        <f t="shared" si="51"/>
        <v/>
      </c>
      <c r="CS87" s="18">
        <f t="shared" si="52"/>
        <v>5</v>
      </c>
    </row>
    <row r="88" spans="1:97" x14ac:dyDescent="0.15">
      <c r="A88" s="1"/>
      <c r="B88" s="1" t="s">
        <v>157</v>
      </c>
      <c r="C88" s="1" t="s">
        <v>153</v>
      </c>
      <c r="D88" s="1" t="s">
        <v>147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>
        <v>5</v>
      </c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1</v>
      </c>
      <c r="BS88" s="17" t="s">
        <v>125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x14ac:dyDescent="0.15">
      <c r="A89" s="1"/>
      <c r="B89" s="1" t="s">
        <v>157</v>
      </c>
      <c r="C89" s="1" t="s">
        <v>153</v>
      </c>
      <c r="D89" s="1" t="s">
        <v>140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"/>
      <c r="AF89" s="1"/>
      <c r="AG89" s="1"/>
      <c r="AH89" s="1"/>
      <c r="AI89" s="1">
        <v>5</v>
      </c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v>5</v>
      </c>
      <c r="BR89" s="17">
        <v>1</v>
      </c>
      <c r="BS89" s="17" t="s">
        <v>124</v>
      </c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x14ac:dyDescent="0.15">
      <c r="A90" s="1">
        <v>78</v>
      </c>
      <c r="B90" s="3" t="s">
        <v>73</v>
      </c>
      <c r="C90" s="3" t="s">
        <v>71</v>
      </c>
      <c r="D90" s="1" t="s">
        <v>1</v>
      </c>
      <c r="E90" s="6"/>
      <c r="F90" s="6"/>
      <c r="G90" s="6">
        <v>15</v>
      </c>
      <c r="H90" s="6">
        <v>15</v>
      </c>
      <c r="I90" s="6"/>
      <c r="J90" s="6"/>
      <c r="K90" s="6"/>
      <c r="L90" s="6"/>
      <c r="M90" s="6"/>
      <c r="N90" s="6"/>
      <c r="O90" s="6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>
        <v>15</v>
      </c>
      <c r="BB90" s="2">
        <v>15</v>
      </c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60</v>
      </c>
      <c r="BQ90" s="1">
        <v>7</v>
      </c>
      <c r="BR90" s="17">
        <v>1</v>
      </c>
      <c r="BS90" s="17" t="s">
        <v>232</v>
      </c>
      <c r="BT90" s="1" t="str">
        <f t="shared" ref="BT90:CE90" si="53">IF(AQ90&gt;AQ$162, AQ90-AQ$162,"")</f>
        <v/>
      </c>
      <c r="BU90" s="1" t="str">
        <f t="shared" si="53"/>
        <v/>
      </c>
      <c r="BV90" s="1" t="str">
        <f t="shared" si="53"/>
        <v/>
      </c>
      <c r="BW90" s="1" t="str">
        <f t="shared" si="53"/>
        <v/>
      </c>
      <c r="BX90" s="1" t="str">
        <f t="shared" si="53"/>
        <v/>
      </c>
      <c r="BY90" s="1" t="str">
        <f t="shared" si="53"/>
        <v/>
      </c>
      <c r="BZ90" s="1" t="str">
        <f t="shared" si="53"/>
        <v/>
      </c>
      <c r="CA90" s="1" t="str">
        <f t="shared" si="53"/>
        <v/>
      </c>
      <c r="CB90" s="1" t="str">
        <f t="shared" si="53"/>
        <v/>
      </c>
      <c r="CC90" s="1" t="str">
        <f t="shared" si="53"/>
        <v/>
      </c>
      <c r="CD90" s="1" t="str">
        <f t="shared" si="53"/>
        <v/>
      </c>
      <c r="CE90" s="1" t="str">
        <f t="shared" si="53"/>
        <v/>
      </c>
      <c r="CF90" s="1">
        <f>COUNTIF(BT90:CE90, "&gt;0")</f>
        <v>0</v>
      </c>
      <c r="CG90" s="1" t="str">
        <f t="shared" ref="CG90:CR90" si="54">IF($CF90=1,BT90,"")</f>
        <v/>
      </c>
      <c r="CH90" s="1" t="str">
        <f t="shared" si="54"/>
        <v/>
      </c>
      <c r="CI90" s="1" t="str">
        <f t="shared" si="54"/>
        <v/>
      </c>
      <c r="CJ90" s="1" t="str">
        <f t="shared" si="54"/>
        <v/>
      </c>
      <c r="CK90" s="1" t="str">
        <f t="shared" si="54"/>
        <v/>
      </c>
      <c r="CL90" s="1" t="str">
        <f t="shared" si="54"/>
        <v/>
      </c>
      <c r="CM90" s="1" t="str">
        <f t="shared" si="54"/>
        <v/>
      </c>
      <c r="CN90" s="1" t="str">
        <f t="shared" si="54"/>
        <v/>
      </c>
      <c r="CO90" s="1" t="str">
        <f t="shared" si="54"/>
        <v/>
      </c>
      <c r="CP90" s="1" t="str">
        <f t="shared" si="54"/>
        <v/>
      </c>
      <c r="CQ90" s="1" t="str">
        <f t="shared" si="54"/>
        <v/>
      </c>
      <c r="CR90" s="1" t="str">
        <f t="shared" si="54"/>
        <v/>
      </c>
      <c r="CS90" s="18">
        <f>SUM(AE90:BO90)</f>
        <v>30</v>
      </c>
    </row>
    <row r="91" spans="1:97" x14ac:dyDescent="0.15">
      <c r="A91" s="1"/>
      <c r="B91" s="1" t="s">
        <v>167</v>
      </c>
      <c r="C91" s="1" t="s">
        <v>166</v>
      </c>
      <c r="D91" s="1" t="s">
        <v>139</v>
      </c>
      <c r="E91" s="6"/>
      <c r="F91" s="6"/>
      <c r="G91" s="6">
        <v>15</v>
      </c>
      <c r="H91" s="6">
        <v>15</v>
      </c>
      <c r="I91" s="6"/>
      <c r="J91" s="6"/>
      <c r="K91" s="6"/>
      <c r="L91" s="6"/>
      <c r="M91" s="6"/>
      <c r="N91" s="6"/>
      <c r="O91" s="6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>
        <v>15</v>
      </c>
      <c r="BB91" s="2">
        <v>15</v>
      </c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7</v>
      </c>
      <c r="BR91" s="17">
        <v>1</v>
      </c>
      <c r="BS91" s="17" t="s">
        <v>232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x14ac:dyDescent="0.15">
      <c r="A92" s="1">
        <v>1</v>
      </c>
      <c r="B92" s="1" t="s">
        <v>0</v>
      </c>
      <c r="C92" s="1" t="s">
        <v>2</v>
      </c>
      <c r="D92" s="1" t="s">
        <v>1</v>
      </c>
      <c r="E92" s="6">
        <v>10</v>
      </c>
      <c r="F92" s="6">
        <v>10</v>
      </c>
      <c r="G92" s="6"/>
      <c r="H92" s="6"/>
      <c r="I92" s="6"/>
      <c r="J92" s="6"/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>
        <v>15</v>
      </c>
      <c r="AX92" s="2">
        <v>15</v>
      </c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60</v>
      </c>
      <c r="BQ92" s="1">
        <v>7</v>
      </c>
      <c r="BR92" s="17">
        <v>1</v>
      </c>
      <c r="BS92" s="17" t="s">
        <v>238</v>
      </c>
      <c r="BT92" s="1" t="str">
        <f t="shared" ref="BT92:CE94" si="55">IF(AQ92&gt;AQ$162, AQ92-AQ$162,"")</f>
        <v/>
      </c>
      <c r="BU92" s="1" t="str">
        <f t="shared" si="55"/>
        <v/>
      </c>
      <c r="BV92" s="1" t="str">
        <f t="shared" si="55"/>
        <v/>
      </c>
      <c r="BW92" s="1" t="str">
        <f t="shared" si="55"/>
        <v/>
      </c>
      <c r="BX92" s="1" t="str">
        <f t="shared" si="55"/>
        <v/>
      </c>
      <c r="BY92" s="1" t="str">
        <f t="shared" si="55"/>
        <v/>
      </c>
      <c r="BZ92" s="1" t="str">
        <f t="shared" si="55"/>
        <v/>
      </c>
      <c r="CA92" s="1" t="str">
        <f t="shared" si="55"/>
        <v/>
      </c>
      <c r="CB92" s="1" t="str">
        <f t="shared" si="55"/>
        <v/>
      </c>
      <c r="CC92" s="1" t="str">
        <f t="shared" si="55"/>
        <v/>
      </c>
      <c r="CD92" s="1" t="str">
        <f t="shared" si="55"/>
        <v/>
      </c>
      <c r="CE92" s="1" t="str">
        <f t="shared" si="55"/>
        <v/>
      </c>
      <c r="CF92" s="1">
        <f>COUNTIF(BT92:CE92, "&gt;0")</f>
        <v>0</v>
      </c>
      <c r="CG92" s="1" t="str">
        <f t="shared" ref="CG92:CR94" si="56">IF($CF92=1,BT92,"")</f>
        <v/>
      </c>
      <c r="CH92" s="1" t="str">
        <f t="shared" si="56"/>
        <v/>
      </c>
      <c r="CI92" s="1" t="str">
        <f t="shared" si="56"/>
        <v/>
      </c>
      <c r="CJ92" s="1" t="str">
        <f t="shared" si="56"/>
        <v/>
      </c>
      <c r="CK92" s="1" t="str">
        <f t="shared" si="56"/>
        <v/>
      </c>
      <c r="CL92" s="1" t="str">
        <f t="shared" si="56"/>
        <v/>
      </c>
      <c r="CM92" s="1" t="str">
        <f t="shared" si="56"/>
        <v/>
      </c>
      <c r="CN92" s="1" t="str">
        <f t="shared" si="56"/>
        <v/>
      </c>
      <c r="CO92" s="1" t="str">
        <f t="shared" si="56"/>
        <v/>
      </c>
      <c r="CP92" s="1" t="str">
        <f t="shared" si="56"/>
        <v/>
      </c>
      <c r="CQ92" s="1" t="str">
        <f t="shared" si="56"/>
        <v/>
      </c>
      <c r="CR92" s="1" t="str">
        <f t="shared" si="56"/>
        <v/>
      </c>
      <c r="CS92" s="18">
        <f>SUM(AE92:BO92)</f>
        <v>40</v>
      </c>
    </row>
    <row r="93" spans="1:97" x14ac:dyDescent="0.15">
      <c r="A93" s="1">
        <v>97</v>
      </c>
      <c r="B93" s="3" t="s">
        <v>79</v>
      </c>
      <c r="C93" s="3" t="s">
        <v>78</v>
      </c>
      <c r="D93" s="1" t="s">
        <v>24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1">
        <v>10</v>
      </c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10</v>
      </c>
      <c r="BQ93" s="1">
        <v>8</v>
      </c>
      <c r="BR93" s="17">
        <v>1</v>
      </c>
      <c r="BS93" s="17" t="s">
        <v>136</v>
      </c>
      <c r="BT93" s="1" t="str">
        <f t="shared" si="55"/>
        <v/>
      </c>
      <c r="BU93" s="1" t="str">
        <f t="shared" si="55"/>
        <v/>
      </c>
      <c r="BV93" s="1" t="str">
        <f t="shared" si="55"/>
        <v/>
      </c>
      <c r="BW93" s="1" t="str">
        <f t="shared" si="55"/>
        <v/>
      </c>
      <c r="BX93" s="1" t="str">
        <f t="shared" si="55"/>
        <v/>
      </c>
      <c r="BY93" s="1" t="str">
        <f t="shared" si="55"/>
        <v/>
      </c>
      <c r="BZ93" s="1" t="str">
        <f t="shared" si="55"/>
        <v/>
      </c>
      <c r="CA93" s="1" t="str">
        <f t="shared" si="55"/>
        <v/>
      </c>
      <c r="CB93" s="1" t="str">
        <f t="shared" si="55"/>
        <v/>
      </c>
      <c r="CC93" s="1" t="str">
        <f t="shared" si="55"/>
        <v/>
      </c>
      <c r="CD93" s="1" t="str">
        <f t="shared" si="55"/>
        <v/>
      </c>
      <c r="CE93" s="1" t="str">
        <f t="shared" si="55"/>
        <v/>
      </c>
      <c r="CF93" s="1">
        <f>COUNTIF(BT93:CE93, "&gt;0")</f>
        <v>0</v>
      </c>
      <c r="CG93" s="1" t="str">
        <f t="shared" si="56"/>
        <v/>
      </c>
      <c r="CH93" s="1" t="str">
        <f t="shared" si="56"/>
        <v/>
      </c>
      <c r="CI93" s="1" t="str">
        <f t="shared" si="56"/>
        <v/>
      </c>
      <c r="CJ93" s="1" t="str">
        <f t="shared" si="56"/>
        <v/>
      </c>
      <c r="CK93" s="1" t="str">
        <f t="shared" si="56"/>
        <v/>
      </c>
      <c r="CL93" s="1" t="str">
        <f t="shared" si="56"/>
        <v/>
      </c>
      <c r="CM93" s="1" t="str">
        <f t="shared" si="56"/>
        <v/>
      </c>
      <c r="CN93" s="1" t="str">
        <f t="shared" si="56"/>
        <v/>
      </c>
      <c r="CO93" s="1" t="str">
        <f t="shared" si="56"/>
        <v/>
      </c>
      <c r="CP93" s="1" t="str">
        <f t="shared" si="56"/>
        <v/>
      </c>
      <c r="CQ93" s="1" t="str">
        <f t="shared" si="56"/>
        <v/>
      </c>
      <c r="CR93" s="1" t="str">
        <f t="shared" si="56"/>
        <v/>
      </c>
      <c r="CS93" s="18">
        <f>SUM(AE93:BO93)</f>
        <v>10</v>
      </c>
    </row>
    <row r="94" spans="1:97" x14ac:dyDescent="0.15">
      <c r="A94" s="1">
        <v>21</v>
      </c>
      <c r="B94" s="1" t="s">
        <v>39</v>
      </c>
      <c r="C94" s="1" t="s">
        <v>32</v>
      </c>
      <c r="D94" s="1" t="s">
        <v>26</v>
      </c>
      <c r="E94" s="6"/>
      <c r="F94" s="6"/>
      <c r="G94" s="6">
        <v>6</v>
      </c>
      <c r="H94" s="6">
        <v>6</v>
      </c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10</v>
      </c>
      <c r="AT94" s="4"/>
      <c r="AU94" s="4"/>
      <c r="AV94" s="4"/>
      <c r="AW94" s="2"/>
      <c r="AX94" s="2"/>
      <c r="AY94" s="2"/>
      <c r="AZ94" s="2"/>
      <c r="BA94" s="2"/>
      <c r="BB94" s="2">
        <v>10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32</v>
      </c>
      <c r="BQ94" s="1">
        <v>10</v>
      </c>
      <c r="BR94" s="17">
        <v>1</v>
      </c>
      <c r="BS94" s="17" t="s">
        <v>235</v>
      </c>
      <c r="BT94" s="1" t="str">
        <f t="shared" si="55"/>
        <v/>
      </c>
      <c r="BU94" s="1" t="str">
        <f t="shared" si="55"/>
        <v/>
      </c>
      <c r="BV94" s="1">
        <f t="shared" si="55"/>
        <v>10</v>
      </c>
      <c r="BW94" s="1" t="str">
        <f t="shared" si="55"/>
        <v/>
      </c>
      <c r="BX94" s="1" t="str">
        <f t="shared" si="55"/>
        <v/>
      </c>
      <c r="BY94" s="1" t="str">
        <f t="shared" si="55"/>
        <v/>
      </c>
      <c r="BZ94" s="1" t="str">
        <f t="shared" si="55"/>
        <v/>
      </c>
      <c r="CA94" s="1" t="str">
        <f t="shared" si="55"/>
        <v/>
      </c>
      <c r="CB94" s="1" t="str">
        <f t="shared" si="55"/>
        <v/>
      </c>
      <c r="CC94" s="1" t="str">
        <f t="shared" si="55"/>
        <v/>
      </c>
      <c r="CD94" s="1" t="str">
        <f t="shared" si="55"/>
        <v/>
      </c>
      <c r="CE94" s="1" t="str">
        <f t="shared" si="55"/>
        <v/>
      </c>
      <c r="CF94" s="1">
        <f>COUNTIF(BT94:CE94, "&gt;0")</f>
        <v>1</v>
      </c>
      <c r="CG94" s="1" t="str">
        <f t="shared" si="56"/>
        <v/>
      </c>
      <c r="CH94" s="1" t="str">
        <f t="shared" si="56"/>
        <v/>
      </c>
      <c r="CI94" s="1">
        <f t="shared" si="56"/>
        <v>10</v>
      </c>
      <c r="CJ94" s="1" t="str">
        <f t="shared" si="56"/>
        <v/>
      </c>
      <c r="CK94" s="1" t="str">
        <f t="shared" si="56"/>
        <v/>
      </c>
      <c r="CL94" s="1" t="str">
        <f t="shared" si="56"/>
        <v/>
      </c>
      <c r="CM94" s="1" t="str">
        <f t="shared" si="56"/>
        <v/>
      </c>
      <c r="CN94" s="1" t="str">
        <f t="shared" si="56"/>
        <v/>
      </c>
      <c r="CO94" s="1" t="str">
        <f t="shared" si="56"/>
        <v/>
      </c>
      <c r="CP94" s="1" t="str">
        <f t="shared" si="56"/>
        <v/>
      </c>
      <c r="CQ94" s="1" t="str">
        <f t="shared" si="56"/>
        <v/>
      </c>
      <c r="CR94" s="1" t="str">
        <f t="shared" si="56"/>
        <v/>
      </c>
      <c r="CS94" s="18">
        <f>SUM(AE94:BO94)</f>
        <v>20</v>
      </c>
    </row>
    <row r="95" spans="1:97" x14ac:dyDescent="0.15">
      <c r="A95" s="1"/>
      <c r="B95" s="1" t="s">
        <v>145</v>
      </c>
      <c r="C95" s="1" t="s">
        <v>142</v>
      </c>
      <c r="D95" s="1" t="s">
        <v>139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>
        <v>10</v>
      </c>
      <c r="AT95" s="4"/>
      <c r="AU95" s="4"/>
      <c r="AV95" s="4"/>
      <c r="AW95" s="2"/>
      <c r="AX95" s="2"/>
      <c r="AY95" s="2"/>
      <c r="AZ95" s="2"/>
      <c r="BA95" s="2"/>
      <c r="BB95" s="2">
        <v>10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v>10</v>
      </c>
      <c r="BR95" s="17">
        <v>1</v>
      </c>
      <c r="BS95" s="17" t="s">
        <v>235</v>
      </c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x14ac:dyDescent="0.15">
      <c r="A96" s="1">
        <v>2</v>
      </c>
      <c r="B96" s="1" t="s">
        <v>8</v>
      </c>
      <c r="C96" s="1" t="s">
        <v>2</v>
      </c>
      <c r="D96" s="1" t="s">
        <v>1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1">
        <v>15</v>
      </c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>
        <v>15</v>
      </c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 t="shared" ref="BP96:BP102" si="57">SUM(E96:BO96)</f>
        <v>30</v>
      </c>
      <c r="BQ96" s="1">
        <v>13</v>
      </c>
      <c r="BR96" s="17">
        <v>1</v>
      </c>
      <c r="BS96" s="17" t="s">
        <v>127</v>
      </c>
      <c r="BT96" s="1" t="str">
        <f t="shared" ref="BT96:CE102" si="58">IF(AQ96&gt;AQ$162, AQ96-AQ$162,"")</f>
        <v/>
      </c>
      <c r="BU96" s="1" t="str">
        <f t="shared" si="58"/>
        <v/>
      </c>
      <c r="BV96" s="1" t="str">
        <f t="shared" si="58"/>
        <v/>
      </c>
      <c r="BW96" s="1" t="str">
        <f t="shared" si="58"/>
        <v/>
      </c>
      <c r="BX96" s="1" t="str">
        <f t="shared" si="58"/>
        <v/>
      </c>
      <c r="BY96" s="1" t="str">
        <f t="shared" si="58"/>
        <v/>
      </c>
      <c r="BZ96" s="1" t="str">
        <f t="shared" si="58"/>
        <v/>
      </c>
      <c r="CA96" s="1" t="str">
        <f t="shared" si="58"/>
        <v/>
      </c>
      <c r="CB96" s="1" t="str">
        <f t="shared" si="58"/>
        <v/>
      </c>
      <c r="CC96" s="1" t="str">
        <f t="shared" si="58"/>
        <v/>
      </c>
      <c r="CD96" s="1" t="str">
        <f t="shared" si="58"/>
        <v/>
      </c>
      <c r="CE96" s="1" t="str">
        <f t="shared" si="58"/>
        <v/>
      </c>
      <c r="CF96" s="1">
        <f t="shared" ref="CF96:CF102" si="59">COUNTIF(BT96:CE96, "&gt;0")</f>
        <v>0</v>
      </c>
      <c r="CG96" s="1" t="str">
        <f t="shared" ref="CG96:CR102" si="60">IF($CF96=1,BT96,"")</f>
        <v/>
      </c>
      <c r="CH96" s="1" t="str">
        <f t="shared" si="60"/>
        <v/>
      </c>
      <c r="CI96" s="1" t="str">
        <f t="shared" si="60"/>
        <v/>
      </c>
      <c r="CJ96" s="1" t="str">
        <f t="shared" si="60"/>
        <v/>
      </c>
      <c r="CK96" s="1" t="str">
        <f t="shared" si="60"/>
        <v/>
      </c>
      <c r="CL96" s="1" t="str">
        <f t="shared" si="60"/>
        <v/>
      </c>
      <c r="CM96" s="1" t="str">
        <f t="shared" si="60"/>
        <v/>
      </c>
      <c r="CN96" s="1" t="str">
        <f t="shared" si="60"/>
        <v/>
      </c>
      <c r="CO96" s="1" t="str">
        <f t="shared" si="60"/>
        <v/>
      </c>
      <c r="CP96" s="1" t="str">
        <f t="shared" si="60"/>
        <v/>
      </c>
      <c r="CQ96" s="1" t="str">
        <f t="shared" si="60"/>
        <v/>
      </c>
      <c r="CR96" s="1" t="str">
        <f t="shared" si="60"/>
        <v/>
      </c>
      <c r="CS96" s="18">
        <f t="shared" ref="CS96:CS102" si="61">SUM(AE96:BO96)</f>
        <v>30</v>
      </c>
    </row>
    <row r="97" spans="1:97" x14ac:dyDescent="0.15">
      <c r="A97" s="1">
        <v>62</v>
      </c>
      <c r="B97" s="1" t="s">
        <v>119</v>
      </c>
      <c r="C97" s="1" t="s">
        <v>62</v>
      </c>
      <c r="D97" s="1" t="s">
        <v>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>
        <v>15</v>
      </c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 t="shared" si="57"/>
        <v>15</v>
      </c>
      <c r="BQ97" s="1">
        <v>15</v>
      </c>
      <c r="BR97" s="17">
        <v>1</v>
      </c>
      <c r="BS97" s="17" t="s">
        <v>128</v>
      </c>
      <c r="BT97" s="1" t="str">
        <f t="shared" si="58"/>
        <v/>
      </c>
      <c r="BU97" s="1" t="str">
        <f t="shared" si="58"/>
        <v/>
      </c>
      <c r="BV97" s="1" t="str">
        <f t="shared" si="58"/>
        <v/>
      </c>
      <c r="BW97" s="1" t="str">
        <f t="shared" si="58"/>
        <v/>
      </c>
      <c r="BX97" s="1" t="str">
        <f t="shared" si="58"/>
        <v/>
      </c>
      <c r="BY97" s="1" t="str">
        <f t="shared" si="58"/>
        <v/>
      </c>
      <c r="BZ97" s="1" t="str">
        <f t="shared" si="58"/>
        <v/>
      </c>
      <c r="CA97" s="1" t="str">
        <f t="shared" si="58"/>
        <v/>
      </c>
      <c r="CB97" s="1" t="str">
        <f t="shared" si="58"/>
        <v/>
      </c>
      <c r="CC97" s="1" t="str">
        <f t="shared" si="58"/>
        <v/>
      </c>
      <c r="CD97" s="1" t="str">
        <f t="shared" si="58"/>
        <v/>
      </c>
      <c r="CE97" s="1" t="str">
        <f t="shared" si="58"/>
        <v/>
      </c>
      <c r="CF97" s="1">
        <f t="shared" si="59"/>
        <v>0</v>
      </c>
      <c r="CG97" s="1" t="str">
        <f t="shared" si="60"/>
        <v/>
      </c>
      <c r="CH97" s="1" t="str">
        <f t="shared" si="60"/>
        <v/>
      </c>
      <c r="CI97" s="1" t="str">
        <f t="shared" si="60"/>
        <v/>
      </c>
      <c r="CJ97" s="1" t="str">
        <f t="shared" si="60"/>
        <v/>
      </c>
      <c r="CK97" s="1" t="str">
        <f t="shared" si="60"/>
        <v/>
      </c>
      <c r="CL97" s="1" t="str">
        <f t="shared" si="60"/>
        <v/>
      </c>
      <c r="CM97" s="1" t="str">
        <f t="shared" si="60"/>
        <v/>
      </c>
      <c r="CN97" s="1" t="str">
        <f t="shared" si="60"/>
        <v/>
      </c>
      <c r="CO97" s="1" t="str">
        <f t="shared" si="60"/>
        <v/>
      </c>
      <c r="CP97" s="1" t="str">
        <f t="shared" si="60"/>
        <v/>
      </c>
      <c r="CQ97" s="1" t="str">
        <f t="shared" si="60"/>
        <v/>
      </c>
      <c r="CR97" s="1" t="str">
        <f t="shared" si="60"/>
        <v/>
      </c>
      <c r="CS97" s="18">
        <f t="shared" si="61"/>
        <v>15</v>
      </c>
    </row>
    <row r="98" spans="1:97" x14ac:dyDescent="0.15">
      <c r="A98" s="1">
        <v>64</v>
      </c>
      <c r="B98" s="3" t="s">
        <v>68</v>
      </c>
      <c r="C98" s="1" t="s">
        <v>62</v>
      </c>
      <c r="D98" s="1" t="s">
        <v>1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>
        <v>15</v>
      </c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 t="shared" si="57"/>
        <v>15</v>
      </c>
      <c r="BQ98" s="1">
        <v>15</v>
      </c>
      <c r="BR98" s="17">
        <v>1</v>
      </c>
      <c r="BS98" s="17" t="s">
        <v>129</v>
      </c>
      <c r="BT98" s="1" t="str">
        <f t="shared" si="58"/>
        <v/>
      </c>
      <c r="BU98" s="1" t="str">
        <f t="shared" si="58"/>
        <v/>
      </c>
      <c r="BV98" s="1" t="str">
        <f t="shared" si="58"/>
        <v/>
      </c>
      <c r="BW98" s="1" t="str">
        <f t="shared" si="58"/>
        <v/>
      </c>
      <c r="BX98" s="1" t="str">
        <f t="shared" si="58"/>
        <v/>
      </c>
      <c r="BY98" s="1" t="str">
        <f t="shared" si="58"/>
        <v/>
      </c>
      <c r="BZ98" s="1" t="str">
        <f t="shared" si="58"/>
        <v/>
      </c>
      <c r="CA98" s="1" t="str">
        <f t="shared" si="58"/>
        <v/>
      </c>
      <c r="CB98" s="1" t="str">
        <f t="shared" si="58"/>
        <v/>
      </c>
      <c r="CC98" s="1" t="str">
        <f t="shared" si="58"/>
        <v/>
      </c>
      <c r="CD98" s="1" t="str">
        <f t="shared" si="58"/>
        <v/>
      </c>
      <c r="CE98" s="1" t="str">
        <f t="shared" si="58"/>
        <v/>
      </c>
      <c r="CF98" s="1">
        <f t="shared" si="59"/>
        <v>0</v>
      </c>
      <c r="CG98" s="1" t="str">
        <f t="shared" si="60"/>
        <v/>
      </c>
      <c r="CH98" s="1" t="str">
        <f t="shared" si="60"/>
        <v/>
      </c>
      <c r="CI98" s="1" t="str">
        <f t="shared" si="60"/>
        <v/>
      </c>
      <c r="CJ98" s="1" t="str">
        <f t="shared" si="60"/>
        <v/>
      </c>
      <c r="CK98" s="1" t="str">
        <f t="shared" si="60"/>
        <v/>
      </c>
      <c r="CL98" s="1" t="str">
        <f t="shared" si="60"/>
        <v/>
      </c>
      <c r="CM98" s="1" t="str">
        <f t="shared" si="60"/>
        <v/>
      </c>
      <c r="CN98" s="1" t="str">
        <f t="shared" si="60"/>
        <v/>
      </c>
      <c r="CO98" s="1" t="str">
        <f t="shared" si="60"/>
        <v/>
      </c>
      <c r="CP98" s="1" t="str">
        <f t="shared" si="60"/>
        <v/>
      </c>
      <c r="CQ98" s="1" t="str">
        <f t="shared" si="60"/>
        <v/>
      </c>
      <c r="CR98" s="1" t="str">
        <f t="shared" si="60"/>
        <v/>
      </c>
      <c r="CS98" s="18">
        <f t="shared" si="61"/>
        <v>15</v>
      </c>
    </row>
    <row r="99" spans="1:97" x14ac:dyDescent="0.15">
      <c r="A99" s="19">
        <v>93</v>
      </c>
      <c r="B99" s="27" t="s">
        <v>92</v>
      </c>
      <c r="C99" s="27" t="s">
        <v>90</v>
      </c>
      <c r="D99" s="19" t="s">
        <v>1</v>
      </c>
      <c r="E99" s="20"/>
      <c r="F99" s="20">
        <v>20</v>
      </c>
      <c r="G99" s="20"/>
      <c r="H99" s="20"/>
      <c r="I99" s="20"/>
      <c r="J99" s="20"/>
      <c r="K99" s="20">
        <v>20</v>
      </c>
      <c r="L99" s="20"/>
      <c r="M99" s="20"/>
      <c r="N99" s="20">
        <v>20</v>
      </c>
      <c r="O99" s="20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21"/>
      <c r="AR99" s="21"/>
      <c r="AS99" s="21"/>
      <c r="AT99" s="21"/>
      <c r="AU99" s="21"/>
      <c r="AV99" s="21"/>
      <c r="AW99" s="22"/>
      <c r="AX99" s="22"/>
      <c r="AY99" s="22"/>
      <c r="AZ99" s="22"/>
      <c r="BA99" s="22"/>
      <c r="BB99" s="22"/>
      <c r="BC99" s="30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>
        <f t="shared" si="57"/>
        <v>60</v>
      </c>
      <c r="BQ99" s="19">
        <v>17</v>
      </c>
      <c r="BR99" s="23">
        <v>1</v>
      </c>
      <c r="BS99" s="23" t="s">
        <v>243</v>
      </c>
      <c r="BT99" s="19" t="str">
        <f t="shared" si="58"/>
        <v/>
      </c>
      <c r="BU99" s="19" t="str">
        <f t="shared" si="58"/>
        <v/>
      </c>
      <c r="BV99" s="19" t="str">
        <f t="shared" si="58"/>
        <v/>
      </c>
      <c r="BW99" s="19" t="str">
        <f t="shared" si="58"/>
        <v/>
      </c>
      <c r="BX99" s="19" t="str">
        <f t="shared" si="58"/>
        <v/>
      </c>
      <c r="BY99" s="19" t="str">
        <f t="shared" si="58"/>
        <v/>
      </c>
      <c r="BZ99" s="19" t="str">
        <f t="shared" si="58"/>
        <v/>
      </c>
      <c r="CA99" s="19" t="str">
        <f t="shared" si="58"/>
        <v/>
      </c>
      <c r="CB99" s="19" t="str">
        <f t="shared" si="58"/>
        <v/>
      </c>
      <c r="CC99" s="19" t="str">
        <f t="shared" si="58"/>
        <v/>
      </c>
      <c r="CD99" s="19" t="str">
        <f t="shared" si="58"/>
        <v/>
      </c>
      <c r="CE99" s="19" t="str">
        <f t="shared" si="58"/>
        <v/>
      </c>
      <c r="CF99" s="19">
        <f t="shared" si="59"/>
        <v>0</v>
      </c>
      <c r="CG99" s="19" t="str">
        <f t="shared" si="60"/>
        <v/>
      </c>
      <c r="CH99" s="19" t="str">
        <f t="shared" si="60"/>
        <v/>
      </c>
      <c r="CI99" s="19" t="str">
        <f t="shared" si="60"/>
        <v/>
      </c>
      <c r="CJ99" s="19" t="str">
        <f t="shared" si="60"/>
        <v/>
      </c>
      <c r="CK99" s="19" t="str">
        <f t="shared" si="60"/>
        <v/>
      </c>
      <c r="CL99" s="19" t="str">
        <f t="shared" si="60"/>
        <v/>
      </c>
      <c r="CM99" s="19" t="str">
        <f t="shared" si="60"/>
        <v/>
      </c>
      <c r="CN99" s="19" t="str">
        <f t="shared" si="60"/>
        <v/>
      </c>
      <c r="CO99" s="19" t="str">
        <f t="shared" si="60"/>
        <v/>
      </c>
      <c r="CP99" s="19" t="str">
        <f t="shared" si="60"/>
        <v/>
      </c>
      <c r="CQ99" s="19" t="str">
        <f t="shared" si="60"/>
        <v/>
      </c>
      <c r="CR99" s="19" t="str">
        <f t="shared" si="60"/>
        <v/>
      </c>
      <c r="CS99" s="24">
        <f t="shared" si="61"/>
        <v>0</v>
      </c>
    </row>
    <row r="100" spans="1:97" x14ac:dyDescent="0.15">
      <c r="A100" s="1">
        <v>65</v>
      </c>
      <c r="B100" s="3" t="s">
        <v>68</v>
      </c>
      <c r="C100" s="1" t="s">
        <v>62</v>
      </c>
      <c r="D100" s="1" t="s">
        <v>13</v>
      </c>
      <c r="E100" s="6"/>
      <c r="F100" s="6"/>
      <c r="G100" s="6">
        <v>10</v>
      </c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>
        <v>25</v>
      </c>
      <c r="AO100" s="1"/>
      <c r="AP100" s="1"/>
      <c r="AQ100" s="4"/>
      <c r="AR100" s="4"/>
      <c r="AS100" s="4"/>
      <c r="AT100" s="4"/>
      <c r="AU100" s="4"/>
      <c r="AV100" s="4">
        <v>10</v>
      </c>
      <c r="AW100" s="2"/>
      <c r="AX100" s="2"/>
      <c r="AY100" s="2"/>
      <c r="AZ100" s="2">
        <v>10</v>
      </c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 t="shared" si="57"/>
        <v>55</v>
      </c>
      <c r="BQ100" s="1">
        <v>25</v>
      </c>
      <c r="BR100" s="17">
        <v>1</v>
      </c>
      <c r="BS100" s="17" t="s">
        <v>177</v>
      </c>
      <c r="BT100" s="1" t="str">
        <f t="shared" si="58"/>
        <v/>
      </c>
      <c r="BU100" s="1" t="str">
        <f t="shared" si="58"/>
        <v/>
      </c>
      <c r="BV100" s="1" t="str">
        <f t="shared" si="58"/>
        <v/>
      </c>
      <c r="BW100" s="1" t="str">
        <f t="shared" si="58"/>
        <v/>
      </c>
      <c r="BX100" s="1" t="str">
        <f t="shared" si="58"/>
        <v/>
      </c>
      <c r="BY100" s="1" t="str">
        <f t="shared" si="58"/>
        <v/>
      </c>
      <c r="BZ100" s="1" t="str">
        <f t="shared" si="58"/>
        <v/>
      </c>
      <c r="CA100" s="1" t="str">
        <f t="shared" si="58"/>
        <v/>
      </c>
      <c r="CB100" s="1" t="str">
        <f t="shared" si="58"/>
        <v/>
      </c>
      <c r="CC100" s="1" t="str">
        <f t="shared" si="58"/>
        <v/>
      </c>
      <c r="CD100" s="1" t="str">
        <f t="shared" si="58"/>
        <v/>
      </c>
      <c r="CE100" s="1" t="str">
        <f t="shared" si="58"/>
        <v/>
      </c>
      <c r="CF100" s="1">
        <f t="shared" si="59"/>
        <v>0</v>
      </c>
      <c r="CG100" s="1" t="str">
        <f t="shared" si="60"/>
        <v/>
      </c>
      <c r="CH100" s="1" t="str">
        <f t="shared" si="60"/>
        <v/>
      </c>
      <c r="CI100" s="1" t="str">
        <f t="shared" si="60"/>
        <v/>
      </c>
      <c r="CJ100" s="1" t="str">
        <f t="shared" si="60"/>
        <v/>
      </c>
      <c r="CK100" s="1" t="str">
        <f t="shared" si="60"/>
        <v/>
      </c>
      <c r="CL100" s="1" t="str">
        <f t="shared" si="60"/>
        <v/>
      </c>
      <c r="CM100" s="1" t="str">
        <f t="shared" si="60"/>
        <v/>
      </c>
      <c r="CN100" s="1" t="str">
        <f t="shared" si="60"/>
        <v/>
      </c>
      <c r="CO100" s="1" t="str">
        <f t="shared" si="60"/>
        <v/>
      </c>
      <c r="CP100" s="1" t="str">
        <f t="shared" si="60"/>
        <v/>
      </c>
      <c r="CQ100" s="1" t="str">
        <f t="shared" si="60"/>
        <v/>
      </c>
      <c r="CR100" s="1" t="str">
        <f t="shared" si="60"/>
        <v/>
      </c>
      <c r="CS100" s="18">
        <f t="shared" si="61"/>
        <v>45</v>
      </c>
    </row>
    <row r="101" spans="1:97" x14ac:dyDescent="0.15">
      <c r="A101" s="1">
        <v>98</v>
      </c>
      <c r="B101" s="3" t="s">
        <v>79</v>
      </c>
      <c r="C101" s="3" t="s">
        <v>78</v>
      </c>
      <c r="D101" s="1" t="s">
        <v>1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>
        <v>50</v>
      </c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57"/>
        <v>50</v>
      </c>
      <c r="BQ101" s="1">
        <v>48</v>
      </c>
      <c r="BR101" s="17">
        <v>1</v>
      </c>
      <c r="BS101" s="17" t="s">
        <v>130</v>
      </c>
      <c r="BT101" s="1" t="str">
        <f t="shared" si="58"/>
        <v/>
      </c>
      <c r="BU101" s="1" t="str">
        <f t="shared" si="58"/>
        <v/>
      </c>
      <c r="BV101" s="1" t="str">
        <f t="shared" si="58"/>
        <v/>
      </c>
      <c r="BW101" s="1" t="str">
        <f t="shared" si="58"/>
        <v/>
      </c>
      <c r="BX101" s="1" t="str">
        <f t="shared" si="58"/>
        <v/>
      </c>
      <c r="BY101" s="1" t="str">
        <f t="shared" si="58"/>
        <v/>
      </c>
      <c r="BZ101" s="1" t="str">
        <f t="shared" si="58"/>
        <v/>
      </c>
      <c r="CA101" s="1" t="str">
        <f t="shared" si="58"/>
        <v/>
      </c>
      <c r="CB101" s="1" t="str">
        <f t="shared" si="58"/>
        <v/>
      </c>
      <c r="CC101" s="1" t="str">
        <f t="shared" si="58"/>
        <v/>
      </c>
      <c r="CD101" s="1" t="str">
        <f t="shared" si="58"/>
        <v/>
      </c>
      <c r="CE101" s="1" t="str">
        <f t="shared" si="58"/>
        <v/>
      </c>
      <c r="CF101" s="1">
        <f t="shared" si="59"/>
        <v>0</v>
      </c>
      <c r="CG101" s="1" t="str">
        <f t="shared" si="60"/>
        <v/>
      </c>
      <c r="CH101" s="1" t="str">
        <f t="shared" si="60"/>
        <v/>
      </c>
      <c r="CI101" s="1" t="str">
        <f t="shared" si="60"/>
        <v/>
      </c>
      <c r="CJ101" s="1" t="str">
        <f t="shared" si="60"/>
        <v/>
      </c>
      <c r="CK101" s="1" t="str">
        <f t="shared" si="60"/>
        <v/>
      </c>
      <c r="CL101" s="1" t="str">
        <f t="shared" si="60"/>
        <v/>
      </c>
      <c r="CM101" s="1" t="str">
        <f t="shared" si="60"/>
        <v/>
      </c>
      <c r="CN101" s="1" t="str">
        <f t="shared" si="60"/>
        <v/>
      </c>
      <c r="CO101" s="1" t="str">
        <f t="shared" si="60"/>
        <v/>
      </c>
      <c r="CP101" s="1" t="str">
        <f t="shared" si="60"/>
        <v/>
      </c>
      <c r="CQ101" s="1" t="str">
        <f t="shared" si="60"/>
        <v/>
      </c>
      <c r="CR101" s="1" t="str">
        <f t="shared" si="60"/>
        <v/>
      </c>
      <c r="CS101" s="18">
        <f t="shared" si="61"/>
        <v>50</v>
      </c>
    </row>
    <row r="102" spans="1:97" x14ac:dyDescent="0.15">
      <c r="A102" s="1">
        <v>99</v>
      </c>
      <c r="B102" s="3" t="s">
        <v>79</v>
      </c>
      <c r="C102" s="3" t="s">
        <v>78</v>
      </c>
      <c r="D102" s="1" t="s">
        <v>13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>
        <v>200</v>
      </c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 t="shared" si="57"/>
        <v>200</v>
      </c>
      <c r="BQ102" s="1">
        <v>198</v>
      </c>
      <c r="BR102" s="17">
        <v>1</v>
      </c>
      <c r="BS102" s="17" t="s">
        <v>131</v>
      </c>
      <c r="BT102" s="1" t="str">
        <f t="shared" si="58"/>
        <v/>
      </c>
      <c r="BU102" s="1" t="str">
        <f t="shared" si="58"/>
        <v/>
      </c>
      <c r="BV102" s="1" t="str">
        <f t="shared" si="58"/>
        <v/>
      </c>
      <c r="BW102" s="1" t="str">
        <f t="shared" si="58"/>
        <v/>
      </c>
      <c r="BX102" s="1" t="str">
        <f t="shared" si="58"/>
        <v/>
      </c>
      <c r="BY102" s="1" t="str">
        <f t="shared" si="58"/>
        <v/>
      </c>
      <c r="BZ102" s="1" t="str">
        <f t="shared" si="58"/>
        <v/>
      </c>
      <c r="CA102" s="1" t="str">
        <f t="shared" si="58"/>
        <v/>
      </c>
      <c r="CB102" s="1" t="str">
        <f t="shared" si="58"/>
        <v/>
      </c>
      <c r="CC102" s="1" t="str">
        <f t="shared" si="58"/>
        <v/>
      </c>
      <c r="CD102" s="1" t="str">
        <f t="shared" si="58"/>
        <v/>
      </c>
      <c r="CE102" s="1" t="str">
        <f t="shared" si="58"/>
        <v/>
      </c>
      <c r="CF102" s="1">
        <f t="shared" si="59"/>
        <v>0</v>
      </c>
      <c r="CG102" s="1" t="str">
        <f t="shared" si="60"/>
        <v/>
      </c>
      <c r="CH102" s="1" t="str">
        <f t="shared" si="60"/>
        <v/>
      </c>
      <c r="CI102" s="1" t="str">
        <f t="shared" si="60"/>
        <v/>
      </c>
      <c r="CJ102" s="1" t="str">
        <f t="shared" si="60"/>
        <v/>
      </c>
      <c r="CK102" s="1" t="str">
        <f t="shared" si="60"/>
        <v/>
      </c>
      <c r="CL102" s="1" t="str">
        <f t="shared" si="60"/>
        <v/>
      </c>
      <c r="CM102" s="1" t="str">
        <f t="shared" si="60"/>
        <v/>
      </c>
      <c r="CN102" s="1" t="str">
        <f t="shared" si="60"/>
        <v/>
      </c>
      <c r="CO102" s="1" t="str">
        <f t="shared" si="60"/>
        <v/>
      </c>
      <c r="CP102" s="1" t="str">
        <f t="shared" si="60"/>
        <v/>
      </c>
      <c r="CQ102" s="1" t="str">
        <f t="shared" si="60"/>
        <v/>
      </c>
      <c r="CR102" s="1" t="str">
        <f t="shared" si="60"/>
        <v/>
      </c>
      <c r="CS102" s="18">
        <f t="shared" si="61"/>
        <v>200</v>
      </c>
    </row>
    <row r="103" spans="1:97" ht="27" x14ac:dyDescent="0.15">
      <c r="A103" s="1"/>
      <c r="B103" s="1" t="s">
        <v>205</v>
      </c>
      <c r="C103" s="1" t="s">
        <v>204</v>
      </c>
      <c r="D103" s="1" t="s">
        <v>182</v>
      </c>
      <c r="E103" s="6">
        <v>15</v>
      </c>
      <c r="F103" s="6"/>
      <c r="G103" s="6"/>
      <c r="H103" s="6"/>
      <c r="I103" s="6"/>
      <c r="J103" s="6"/>
      <c r="K103" s="6"/>
      <c r="L103" s="6"/>
      <c r="M103" s="6">
        <v>15</v>
      </c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>
        <v>15</v>
      </c>
      <c r="AX103" s="2"/>
      <c r="AY103" s="2"/>
      <c r="AZ103" s="2"/>
      <c r="BA103" s="2">
        <v>15</v>
      </c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v>4</v>
      </c>
      <c r="BR103" s="17">
        <v>2</v>
      </c>
      <c r="BS103" s="17" t="s">
        <v>234</v>
      </c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27" x14ac:dyDescent="0.15">
      <c r="A104" s="1"/>
      <c r="B104" s="1" t="s">
        <v>179</v>
      </c>
      <c r="C104" s="1" t="s">
        <v>180</v>
      </c>
      <c r="D104" s="1" t="s">
        <v>182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>
        <v>10</v>
      </c>
      <c r="W104" s="32"/>
      <c r="X104" s="32"/>
      <c r="Y104" s="32">
        <v>10</v>
      </c>
      <c r="Z104" s="32"/>
      <c r="AA104" s="32"/>
      <c r="AB104" s="32">
        <v>10</v>
      </c>
      <c r="AC104" s="32">
        <v>5</v>
      </c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v>5</v>
      </c>
      <c r="BR104" s="17">
        <v>2</v>
      </c>
      <c r="BS104" s="17" t="s">
        <v>264</v>
      </c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27" x14ac:dyDescent="0.15">
      <c r="A105" s="1"/>
      <c r="B105" s="1" t="s">
        <v>192</v>
      </c>
      <c r="C105" s="1" t="s">
        <v>180</v>
      </c>
      <c r="D105" s="1" t="s">
        <v>181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2">
        <v>10</v>
      </c>
      <c r="Q105" s="32"/>
      <c r="R105" s="32"/>
      <c r="S105" s="32">
        <v>10</v>
      </c>
      <c r="T105" s="32"/>
      <c r="U105" s="32"/>
      <c r="V105" s="32"/>
      <c r="W105" s="32">
        <v>5</v>
      </c>
      <c r="X105" s="32"/>
      <c r="Y105" s="32"/>
      <c r="Z105" s="32"/>
      <c r="AA105" s="32"/>
      <c r="AB105" s="32">
        <v>10</v>
      </c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v>5</v>
      </c>
      <c r="BR105" s="17">
        <v>2</v>
      </c>
      <c r="BS105" s="17" t="s">
        <v>265</v>
      </c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27" x14ac:dyDescent="0.15">
      <c r="A106" s="1"/>
      <c r="B106" s="1" t="s">
        <v>197</v>
      </c>
      <c r="C106" s="1" t="s">
        <v>180</v>
      </c>
      <c r="D106" s="1" t="s">
        <v>181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2">
        <v>10</v>
      </c>
      <c r="Q106" s="32"/>
      <c r="R106" s="32"/>
      <c r="S106" s="32">
        <v>10</v>
      </c>
      <c r="T106" s="32"/>
      <c r="U106" s="32"/>
      <c r="V106" s="32"/>
      <c r="W106" s="32">
        <v>5</v>
      </c>
      <c r="X106" s="32"/>
      <c r="Y106" s="32"/>
      <c r="Z106" s="32"/>
      <c r="AA106" s="32"/>
      <c r="AB106" s="32">
        <v>10</v>
      </c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v>5</v>
      </c>
      <c r="BR106" s="17">
        <v>2</v>
      </c>
      <c r="BS106" s="17" t="s">
        <v>265</v>
      </c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27" x14ac:dyDescent="0.15">
      <c r="A107" s="1"/>
      <c r="B107" s="1" t="s">
        <v>201</v>
      </c>
      <c r="C107" s="1" t="s">
        <v>199</v>
      </c>
      <c r="D107" s="1" t="s">
        <v>181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2">
        <v>10</v>
      </c>
      <c r="Q107" s="32"/>
      <c r="R107" s="32"/>
      <c r="S107" s="32">
        <v>10</v>
      </c>
      <c r="T107" s="32"/>
      <c r="U107" s="32"/>
      <c r="V107" s="32"/>
      <c r="W107" s="32">
        <v>5</v>
      </c>
      <c r="X107" s="32"/>
      <c r="Y107" s="32"/>
      <c r="Z107" s="32"/>
      <c r="AA107" s="32"/>
      <c r="AB107" s="32">
        <v>10</v>
      </c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v>5</v>
      </c>
      <c r="BR107" s="17">
        <v>2</v>
      </c>
      <c r="BS107" s="17" t="s">
        <v>265</v>
      </c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27" x14ac:dyDescent="0.15">
      <c r="A108" s="1"/>
      <c r="B108" s="1" t="s">
        <v>207</v>
      </c>
      <c r="C108" s="1" t="s">
        <v>204</v>
      </c>
      <c r="D108" s="1" t="s">
        <v>181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2">
        <v>10</v>
      </c>
      <c r="Q108" s="32"/>
      <c r="R108" s="32"/>
      <c r="S108" s="32">
        <v>10</v>
      </c>
      <c r="T108" s="32"/>
      <c r="U108" s="32"/>
      <c r="V108" s="32"/>
      <c r="W108" s="32">
        <v>5</v>
      </c>
      <c r="X108" s="32"/>
      <c r="Y108" s="32"/>
      <c r="Z108" s="32"/>
      <c r="AA108" s="32"/>
      <c r="AB108" s="32">
        <v>10</v>
      </c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v>5</v>
      </c>
      <c r="BR108" s="17">
        <v>2</v>
      </c>
      <c r="BS108" s="17" t="s">
        <v>265</v>
      </c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27" x14ac:dyDescent="0.15">
      <c r="A109" s="1"/>
      <c r="B109" s="1" t="s">
        <v>208</v>
      </c>
      <c r="C109" s="1" t="s">
        <v>210</v>
      </c>
      <c r="D109" s="1" t="s">
        <v>182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2"/>
      <c r="Q109" s="32"/>
      <c r="R109" s="32"/>
      <c r="S109" s="32"/>
      <c r="T109" s="32"/>
      <c r="U109" s="32"/>
      <c r="V109" s="32">
        <v>10</v>
      </c>
      <c r="W109" s="32"/>
      <c r="X109" s="32"/>
      <c r="Y109" s="32">
        <v>10</v>
      </c>
      <c r="Z109" s="32"/>
      <c r="AA109" s="32"/>
      <c r="AB109" s="32">
        <v>10</v>
      </c>
      <c r="AC109" s="32">
        <v>5</v>
      </c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v>5</v>
      </c>
      <c r="BR109" s="17">
        <v>2</v>
      </c>
      <c r="BS109" s="17" t="s">
        <v>264</v>
      </c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27" x14ac:dyDescent="0.15">
      <c r="A110" s="1"/>
      <c r="B110" s="1" t="s">
        <v>216</v>
      </c>
      <c r="C110" s="1" t="s">
        <v>215</v>
      </c>
      <c r="D110" s="1" t="s">
        <v>181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>
        <v>10</v>
      </c>
      <c r="Q110" s="32"/>
      <c r="R110" s="32"/>
      <c r="S110" s="32">
        <v>10</v>
      </c>
      <c r="T110" s="32"/>
      <c r="U110" s="32"/>
      <c r="V110" s="32"/>
      <c r="W110" s="32">
        <v>5</v>
      </c>
      <c r="X110" s="32"/>
      <c r="Y110" s="32"/>
      <c r="Z110" s="32"/>
      <c r="AA110" s="32"/>
      <c r="AB110" s="32">
        <v>10</v>
      </c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v>5</v>
      </c>
      <c r="BR110" s="17">
        <v>2</v>
      </c>
      <c r="BS110" s="17" t="s">
        <v>265</v>
      </c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27" x14ac:dyDescent="0.15">
      <c r="A111" s="1"/>
      <c r="B111" s="1" t="s">
        <v>220</v>
      </c>
      <c r="C111" s="1" t="s">
        <v>215</v>
      </c>
      <c r="D111" s="1" t="s">
        <v>182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/>
      <c r="R111" s="32"/>
      <c r="S111" s="32"/>
      <c r="T111" s="32"/>
      <c r="U111" s="32"/>
      <c r="V111" s="32">
        <v>10</v>
      </c>
      <c r="W111" s="32"/>
      <c r="X111" s="32"/>
      <c r="Y111" s="32">
        <v>10</v>
      </c>
      <c r="Z111" s="32"/>
      <c r="AA111" s="32"/>
      <c r="AB111" s="32">
        <v>10</v>
      </c>
      <c r="AC111" s="32">
        <v>5</v>
      </c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v>5</v>
      </c>
      <c r="BR111" s="17">
        <v>2</v>
      </c>
      <c r="BS111" s="17" t="s">
        <v>264</v>
      </c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27" x14ac:dyDescent="0.15">
      <c r="A112" s="1"/>
      <c r="B112" s="1" t="s">
        <v>222</v>
      </c>
      <c r="C112" s="1" t="s">
        <v>215</v>
      </c>
      <c r="D112" s="1" t="s">
        <v>182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/>
      <c r="Q112" s="32"/>
      <c r="R112" s="32"/>
      <c r="S112" s="32"/>
      <c r="T112" s="32"/>
      <c r="U112" s="32"/>
      <c r="V112" s="32">
        <v>10</v>
      </c>
      <c r="W112" s="32"/>
      <c r="X112" s="32"/>
      <c r="Y112" s="32">
        <v>10</v>
      </c>
      <c r="Z112" s="32"/>
      <c r="AA112" s="32"/>
      <c r="AB112" s="32">
        <v>10</v>
      </c>
      <c r="AC112" s="32">
        <v>5</v>
      </c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v>5</v>
      </c>
      <c r="BR112" s="17">
        <v>2</v>
      </c>
      <c r="BS112" s="17" t="s">
        <v>264</v>
      </c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27" x14ac:dyDescent="0.15">
      <c r="A113" s="1"/>
      <c r="B113" s="1" t="s">
        <v>151</v>
      </c>
      <c r="C113" s="1" t="s">
        <v>142</v>
      </c>
      <c r="D113" s="1" t="s">
        <v>139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>
        <v>5</v>
      </c>
      <c r="AP113" s="1">
        <v>1</v>
      </c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v>6</v>
      </c>
      <c r="BR113" s="17">
        <v>2</v>
      </c>
      <c r="BS113" s="17" t="s">
        <v>224</v>
      </c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27" x14ac:dyDescent="0.15">
      <c r="A114" s="1">
        <v>77</v>
      </c>
      <c r="B114" s="3" t="s">
        <v>116</v>
      </c>
      <c r="C114" s="3" t="s">
        <v>71</v>
      </c>
      <c r="D114" s="1" t="s">
        <v>13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>
        <v>20</v>
      </c>
      <c r="AU114" s="4"/>
      <c r="AV114" s="4"/>
      <c r="AW114" s="2">
        <v>20</v>
      </c>
      <c r="AX114" s="2">
        <v>20</v>
      </c>
      <c r="AY114" s="2"/>
      <c r="AZ114" s="2"/>
      <c r="BA114" s="2"/>
      <c r="BB114" s="2">
        <v>10</v>
      </c>
      <c r="BC114" s="14"/>
      <c r="BD114" s="1"/>
      <c r="BE114" s="1"/>
      <c r="BF114" s="1"/>
      <c r="BG114" s="1"/>
      <c r="BH114" s="1">
        <v>20</v>
      </c>
      <c r="BI114" s="1"/>
      <c r="BJ114" s="1"/>
      <c r="BK114" s="1"/>
      <c r="BL114" s="1"/>
      <c r="BM114" s="1"/>
      <c r="BN114" s="1"/>
      <c r="BO114" s="1"/>
      <c r="BP114" s="1">
        <f>SUM(E114:BO114)</f>
        <v>90</v>
      </c>
      <c r="BQ114" s="1">
        <v>6</v>
      </c>
      <c r="BR114" s="17">
        <v>2</v>
      </c>
      <c r="BS114" s="17" t="s">
        <v>245</v>
      </c>
      <c r="BT114" s="1" t="str">
        <f t="shared" ref="BT114:CE114" si="62">IF(AQ114&gt;AQ$162, AQ114-AQ$162,"")</f>
        <v/>
      </c>
      <c r="BU114" s="1" t="str">
        <f t="shared" si="62"/>
        <v/>
      </c>
      <c r="BV114" s="1" t="str">
        <f t="shared" si="62"/>
        <v/>
      </c>
      <c r="BW114" s="1">
        <f t="shared" si="62"/>
        <v>5</v>
      </c>
      <c r="BX114" s="1" t="str">
        <f t="shared" si="62"/>
        <v/>
      </c>
      <c r="BY114" s="1" t="str">
        <f t="shared" si="62"/>
        <v/>
      </c>
      <c r="BZ114" s="1">
        <f t="shared" si="62"/>
        <v>1</v>
      </c>
      <c r="CA114" s="1" t="str">
        <f t="shared" si="62"/>
        <v/>
      </c>
      <c r="CB114" s="1" t="str">
        <f t="shared" si="62"/>
        <v/>
      </c>
      <c r="CC114" s="1" t="str">
        <f t="shared" si="62"/>
        <v/>
      </c>
      <c r="CD114" s="1" t="str">
        <f t="shared" si="62"/>
        <v/>
      </c>
      <c r="CE114" s="1" t="str">
        <f t="shared" si="62"/>
        <v/>
      </c>
      <c r="CF114" s="1">
        <f>COUNTIF(BT114:CE114, "&gt;0")</f>
        <v>2</v>
      </c>
      <c r="CG114" s="1" t="str">
        <f t="shared" ref="CG114:CR114" si="63">IF($CF114=1,BT114,"")</f>
        <v/>
      </c>
      <c r="CH114" s="1" t="str">
        <f t="shared" si="63"/>
        <v/>
      </c>
      <c r="CI114" s="1" t="str">
        <f t="shared" si="63"/>
        <v/>
      </c>
      <c r="CJ114" s="1" t="str">
        <f t="shared" si="63"/>
        <v/>
      </c>
      <c r="CK114" s="1" t="str">
        <f t="shared" si="63"/>
        <v/>
      </c>
      <c r="CL114" s="1" t="str">
        <f t="shared" si="63"/>
        <v/>
      </c>
      <c r="CM114" s="1" t="str">
        <f t="shared" si="63"/>
        <v/>
      </c>
      <c r="CN114" s="1" t="str">
        <f t="shared" si="63"/>
        <v/>
      </c>
      <c r="CO114" s="1" t="str">
        <f t="shared" si="63"/>
        <v/>
      </c>
      <c r="CP114" s="1" t="str">
        <f t="shared" si="63"/>
        <v/>
      </c>
      <c r="CQ114" s="1" t="str">
        <f t="shared" si="63"/>
        <v/>
      </c>
      <c r="CR114" s="1" t="str">
        <f t="shared" si="63"/>
        <v/>
      </c>
      <c r="CS114" s="18">
        <f>SUM(AE114:BO114)</f>
        <v>90</v>
      </c>
    </row>
    <row r="115" spans="1:97" ht="27" x14ac:dyDescent="0.15">
      <c r="A115" s="1"/>
      <c r="B115" s="1" t="s">
        <v>198</v>
      </c>
      <c r="C115" s="1" t="s">
        <v>199</v>
      </c>
      <c r="D115" s="1" t="s">
        <v>182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2"/>
      <c r="Q115" s="32">
        <v>5</v>
      </c>
      <c r="R115" s="32"/>
      <c r="S115" s="32"/>
      <c r="T115" s="32"/>
      <c r="U115" s="32"/>
      <c r="V115" s="32">
        <v>10</v>
      </c>
      <c r="W115" s="32"/>
      <c r="X115" s="32"/>
      <c r="Y115" s="32">
        <v>10</v>
      </c>
      <c r="Z115" s="32"/>
      <c r="AA115" s="32"/>
      <c r="AB115" s="32">
        <v>10</v>
      </c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v>6</v>
      </c>
      <c r="BR115" s="17">
        <v>2</v>
      </c>
      <c r="BS115" s="17" t="s">
        <v>266</v>
      </c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27" x14ac:dyDescent="0.15">
      <c r="A116" s="1"/>
      <c r="B116" s="1" t="s">
        <v>206</v>
      </c>
      <c r="C116" s="1" t="s">
        <v>204</v>
      </c>
      <c r="D116" s="1" t="s">
        <v>182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/>
      <c r="Q116" s="32">
        <v>5</v>
      </c>
      <c r="R116" s="32"/>
      <c r="S116" s="32"/>
      <c r="T116" s="32"/>
      <c r="U116" s="32"/>
      <c r="V116" s="32">
        <v>10</v>
      </c>
      <c r="W116" s="32"/>
      <c r="X116" s="32"/>
      <c r="Y116" s="32">
        <v>10</v>
      </c>
      <c r="Z116" s="32"/>
      <c r="AA116" s="32"/>
      <c r="AB116" s="32">
        <v>10</v>
      </c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v>6</v>
      </c>
      <c r="BR116" s="17">
        <v>2</v>
      </c>
      <c r="BS116" s="17" t="s">
        <v>266</v>
      </c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27" x14ac:dyDescent="0.15">
      <c r="A117" s="1"/>
      <c r="B117" s="1" t="s">
        <v>209</v>
      </c>
      <c r="C117" s="1" t="s">
        <v>210</v>
      </c>
      <c r="D117" s="1" t="s">
        <v>181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32">
        <v>10</v>
      </c>
      <c r="Q117" s="32"/>
      <c r="R117" s="32"/>
      <c r="S117" s="32">
        <v>10</v>
      </c>
      <c r="T117" s="32"/>
      <c r="U117" s="32"/>
      <c r="V117" s="32"/>
      <c r="W117" s="32"/>
      <c r="X117" s="32"/>
      <c r="Y117" s="32"/>
      <c r="Z117" s="32">
        <v>5</v>
      </c>
      <c r="AA117" s="32"/>
      <c r="AB117" s="32">
        <v>10</v>
      </c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v>6</v>
      </c>
      <c r="BR117" s="17">
        <v>2</v>
      </c>
      <c r="BS117" s="17" t="s">
        <v>267</v>
      </c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27" x14ac:dyDescent="0.15">
      <c r="A118" s="1">
        <v>20</v>
      </c>
      <c r="B118" s="1" t="s">
        <v>38</v>
      </c>
      <c r="C118" s="1" t="s">
        <v>32</v>
      </c>
      <c r="D118" s="1" t="s">
        <v>25</v>
      </c>
      <c r="E118" s="6"/>
      <c r="F118" s="6">
        <v>5</v>
      </c>
      <c r="G118" s="6"/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1"/>
      <c r="AF118" s="1"/>
      <c r="AG118" s="1">
        <v>5</v>
      </c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10</v>
      </c>
      <c r="BQ118" s="1">
        <v>7</v>
      </c>
      <c r="BR118" s="17">
        <v>2</v>
      </c>
      <c r="BS118" s="17" t="s">
        <v>240</v>
      </c>
      <c r="BT118" s="1" t="str">
        <f t="shared" ref="BT118:CE118" si="64">IF(AQ118&gt;AQ$162, AQ118-AQ$162,"")</f>
        <v/>
      </c>
      <c r="BU118" s="1" t="str">
        <f t="shared" si="64"/>
        <v/>
      </c>
      <c r="BV118" s="1" t="str">
        <f t="shared" si="64"/>
        <v/>
      </c>
      <c r="BW118" s="1" t="str">
        <f t="shared" si="64"/>
        <v/>
      </c>
      <c r="BX118" s="1" t="str">
        <f t="shared" si="64"/>
        <v/>
      </c>
      <c r="BY118" s="1" t="str">
        <f t="shared" si="64"/>
        <v/>
      </c>
      <c r="BZ118" s="1" t="str">
        <f t="shared" si="64"/>
        <v/>
      </c>
      <c r="CA118" s="1" t="str">
        <f t="shared" si="64"/>
        <v/>
      </c>
      <c r="CB118" s="1" t="str">
        <f t="shared" si="64"/>
        <v/>
      </c>
      <c r="CC118" s="1" t="str">
        <f t="shared" si="64"/>
        <v/>
      </c>
      <c r="CD118" s="1" t="str">
        <f t="shared" si="64"/>
        <v/>
      </c>
      <c r="CE118" s="1" t="str">
        <f t="shared" si="64"/>
        <v/>
      </c>
      <c r="CF118" s="1">
        <f>COUNTIF(BT118:CE118, "&gt;0")</f>
        <v>0</v>
      </c>
      <c r="CG118" s="1" t="str">
        <f t="shared" ref="CG118:CR118" si="65">IF($CF118=1,BT118,"")</f>
        <v/>
      </c>
      <c r="CH118" s="1" t="str">
        <f t="shared" si="65"/>
        <v/>
      </c>
      <c r="CI118" s="1" t="str">
        <f t="shared" si="65"/>
        <v/>
      </c>
      <c r="CJ118" s="1" t="str">
        <f t="shared" si="65"/>
        <v/>
      </c>
      <c r="CK118" s="1" t="str">
        <f t="shared" si="65"/>
        <v/>
      </c>
      <c r="CL118" s="1" t="str">
        <f t="shared" si="65"/>
        <v/>
      </c>
      <c r="CM118" s="1" t="str">
        <f t="shared" si="65"/>
        <v/>
      </c>
      <c r="CN118" s="1" t="str">
        <f t="shared" si="65"/>
        <v/>
      </c>
      <c r="CO118" s="1" t="str">
        <f t="shared" si="65"/>
        <v/>
      </c>
      <c r="CP118" s="1" t="str">
        <f t="shared" si="65"/>
        <v/>
      </c>
      <c r="CQ118" s="1" t="str">
        <f t="shared" si="65"/>
        <v/>
      </c>
      <c r="CR118" s="1" t="str">
        <f t="shared" si="65"/>
        <v/>
      </c>
      <c r="CS118" s="18">
        <f>SUM(AE118:BO118)</f>
        <v>5</v>
      </c>
    </row>
    <row r="119" spans="1:97" ht="27" x14ac:dyDescent="0.15">
      <c r="A119" s="1"/>
      <c r="B119" s="1" t="s">
        <v>146</v>
      </c>
      <c r="C119" s="1" t="s">
        <v>142</v>
      </c>
      <c r="D119" s="1" t="s">
        <v>147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>
        <v>3</v>
      </c>
      <c r="AP119" s="1">
        <v>5</v>
      </c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v>8</v>
      </c>
      <c r="BR119" s="17">
        <v>2</v>
      </c>
      <c r="BS119" s="17" t="s">
        <v>225</v>
      </c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27" x14ac:dyDescent="0.15">
      <c r="A120" s="1"/>
      <c r="B120" s="1" t="s">
        <v>192</v>
      </c>
      <c r="C120" s="1" t="s">
        <v>180</v>
      </c>
      <c r="D120" s="1" t="s">
        <v>182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2"/>
      <c r="Q120" s="32">
        <v>5</v>
      </c>
      <c r="R120" s="32">
        <v>2</v>
      </c>
      <c r="S120" s="32"/>
      <c r="T120" s="32">
        <v>5</v>
      </c>
      <c r="U120" s="32"/>
      <c r="V120" s="32"/>
      <c r="W120" s="32"/>
      <c r="X120" s="32"/>
      <c r="Y120" s="32"/>
      <c r="Z120" s="32">
        <v>5</v>
      </c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v>8</v>
      </c>
      <c r="BR120" s="17">
        <v>2</v>
      </c>
      <c r="BS120" s="17" t="s">
        <v>260</v>
      </c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27" x14ac:dyDescent="0.15">
      <c r="A121" s="1"/>
      <c r="B121" s="1" t="s">
        <v>197</v>
      </c>
      <c r="C121" s="1" t="s">
        <v>180</v>
      </c>
      <c r="D121" s="1" t="s">
        <v>182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2"/>
      <c r="Q121" s="32">
        <v>5</v>
      </c>
      <c r="R121" s="32">
        <v>2</v>
      </c>
      <c r="S121" s="32"/>
      <c r="T121" s="32">
        <v>5</v>
      </c>
      <c r="U121" s="32"/>
      <c r="V121" s="32"/>
      <c r="W121" s="32"/>
      <c r="X121" s="32"/>
      <c r="Y121" s="32"/>
      <c r="Z121" s="32">
        <v>5</v>
      </c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8</v>
      </c>
      <c r="BR121" s="17">
        <v>2</v>
      </c>
      <c r="BS121" s="17" t="s">
        <v>260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27" x14ac:dyDescent="0.15">
      <c r="A122" s="1"/>
      <c r="B122" s="1" t="s">
        <v>207</v>
      </c>
      <c r="C122" s="1" t="s">
        <v>204</v>
      </c>
      <c r="D122" s="1" t="s">
        <v>182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>
        <v>5</v>
      </c>
      <c r="R122" s="32">
        <v>2</v>
      </c>
      <c r="S122" s="32"/>
      <c r="T122" s="32">
        <v>5</v>
      </c>
      <c r="U122" s="32"/>
      <c r="V122" s="32"/>
      <c r="W122" s="32"/>
      <c r="X122" s="32"/>
      <c r="Y122" s="32"/>
      <c r="Z122" s="32">
        <v>5</v>
      </c>
      <c r="AA122" s="32"/>
      <c r="AB122" s="32"/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v>8</v>
      </c>
      <c r="BR122" s="17">
        <v>2</v>
      </c>
      <c r="BS122" s="17" t="s">
        <v>260</v>
      </c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27" x14ac:dyDescent="0.15">
      <c r="A123" s="1"/>
      <c r="B123" s="1" t="s">
        <v>209</v>
      </c>
      <c r="C123" s="1" t="s">
        <v>210</v>
      </c>
      <c r="D123" s="1" t="s">
        <v>182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>
        <v>5</v>
      </c>
      <c r="R123" s="32"/>
      <c r="S123" s="32"/>
      <c r="T123" s="32">
        <v>5</v>
      </c>
      <c r="U123" s="32"/>
      <c r="V123" s="32"/>
      <c r="W123" s="32"/>
      <c r="X123" s="32">
        <v>2</v>
      </c>
      <c r="Y123" s="32"/>
      <c r="Z123" s="32">
        <v>5</v>
      </c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v>8</v>
      </c>
      <c r="BR123" s="17">
        <v>2</v>
      </c>
      <c r="BS123" s="17" t="s">
        <v>260</v>
      </c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27" x14ac:dyDescent="0.15">
      <c r="A124" s="1">
        <v>27</v>
      </c>
      <c r="B124" s="1" t="s">
        <v>84</v>
      </c>
      <c r="C124" s="1" t="s">
        <v>32</v>
      </c>
      <c r="D124" s="1" t="s">
        <v>24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1"/>
      <c r="AF124" s="1"/>
      <c r="AG124" s="1"/>
      <c r="AH124" s="1">
        <v>5</v>
      </c>
      <c r="AI124" s="1">
        <v>5</v>
      </c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10</v>
      </c>
      <c r="BQ124" s="1">
        <v>10</v>
      </c>
      <c r="BR124" s="17">
        <v>2</v>
      </c>
      <c r="BS124" s="17" t="s">
        <v>226</v>
      </c>
      <c r="BT124" s="1" t="str">
        <f t="shared" ref="BT124:CE125" si="66">IF(AQ124&gt;AQ$162, AQ124-AQ$162,"")</f>
        <v/>
      </c>
      <c r="BU124" s="1" t="str">
        <f t="shared" si="66"/>
        <v/>
      </c>
      <c r="BV124" s="1" t="str">
        <f t="shared" si="66"/>
        <v/>
      </c>
      <c r="BW124" s="1" t="str">
        <f t="shared" si="66"/>
        <v/>
      </c>
      <c r="BX124" s="1" t="str">
        <f t="shared" si="66"/>
        <v/>
      </c>
      <c r="BY124" s="1" t="str">
        <f t="shared" si="66"/>
        <v/>
      </c>
      <c r="BZ124" s="1" t="str">
        <f t="shared" si="66"/>
        <v/>
      </c>
      <c r="CA124" s="1" t="str">
        <f t="shared" si="66"/>
        <v/>
      </c>
      <c r="CB124" s="1" t="str">
        <f t="shared" si="66"/>
        <v/>
      </c>
      <c r="CC124" s="1" t="str">
        <f t="shared" si="66"/>
        <v/>
      </c>
      <c r="CD124" s="1" t="str">
        <f t="shared" si="66"/>
        <v/>
      </c>
      <c r="CE124" s="1" t="str">
        <f t="shared" si="66"/>
        <v/>
      </c>
      <c r="CF124" s="1">
        <f>COUNTIF(BT124:CE124, "&gt;0")</f>
        <v>0</v>
      </c>
      <c r="CG124" s="1" t="str">
        <f t="shared" ref="CG124:CR125" si="67">IF($CF124=1,BT124,"")</f>
        <v/>
      </c>
      <c r="CH124" s="1" t="str">
        <f t="shared" si="67"/>
        <v/>
      </c>
      <c r="CI124" s="1" t="str">
        <f t="shared" si="67"/>
        <v/>
      </c>
      <c r="CJ124" s="1" t="str">
        <f t="shared" si="67"/>
        <v/>
      </c>
      <c r="CK124" s="1" t="str">
        <f t="shared" si="67"/>
        <v/>
      </c>
      <c r="CL124" s="1" t="str">
        <f t="shared" si="67"/>
        <v/>
      </c>
      <c r="CM124" s="1" t="str">
        <f t="shared" si="67"/>
        <v/>
      </c>
      <c r="CN124" s="1" t="str">
        <f t="shared" si="67"/>
        <v/>
      </c>
      <c r="CO124" s="1" t="str">
        <f t="shared" si="67"/>
        <v/>
      </c>
      <c r="CP124" s="1" t="str">
        <f t="shared" si="67"/>
        <v/>
      </c>
      <c r="CQ124" s="1" t="str">
        <f t="shared" si="67"/>
        <v/>
      </c>
      <c r="CR124" s="1" t="str">
        <f t="shared" si="67"/>
        <v/>
      </c>
      <c r="CS124" s="18">
        <f>SUM(AE124:BO124)</f>
        <v>10</v>
      </c>
    </row>
    <row r="125" spans="1:97" ht="27" x14ac:dyDescent="0.15">
      <c r="A125" s="1">
        <v>88</v>
      </c>
      <c r="B125" s="3" t="s">
        <v>89</v>
      </c>
      <c r="C125" s="3" t="s">
        <v>90</v>
      </c>
      <c r="D125" s="1" t="s">
        <v>24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1"/>
      <c r="AF125" s="1"/>
      <c r="AG125" s="1"/>
      <c r="AH125" s="1">
        <v>5</v>
      </c>
      <c r="AI125" s="1">
        <v>5</v>
      </c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10</v>
      </c>
      <c r="BQ125" s="1">
        <v>10</v>
      </c>
      <c r="BR125" s="17">
        <v>2</v>
      </c>
      <c r="BS125" s="17" t="s">
        <v>226</v>
      </c>
      <c r="BT125" s="1" t="str">
        <f t="shared" si="66"/>
        <v/>
      </c>
      <c r="BU125" s="1" t="str">
        <f t="shared" si="66"/>
        <v/>
      </c>
      <c r="BV125" s="1" t="str">
        <f t="shared" si="66"/>
        <v/>
      </c>
      <c r="BW125" s="1" t="str">
        <f t="shared" si="66"/>
        <v/>
      </c>
      <c r="BX125" s="1" t="str">
        <f t="shared" si="66"/>
        <v/>
      </c>
      <c r="BY125" s="1" t="str">
        <f t="shared" si="66"/>
        <v/>
      </c>
      <c r="BZ125" s="1" t="str">
        <f t="shared" si="66"/>
        <v/>
      </c>
      <c r="CA125" s="1" t="str">
        <f t="shared" si="66"/>
        <v/>
      </c>
      <c r="CB125" s="1" t="str">
        <f t="shared" si="66"/>
        <v/>
      </c>
      <c r="CC125" s="1" t="str">
        <f t="shared" si="66"/>
        <v/>
      </c>
      <c r="CD125" s="1" t="str">
        <f t="shared" si="66"/>
        <v/>
      </c>
      <c r="CE125" s="1" t="str">
        <f t="shared" si="66"/>
        <v/>
      </c>
      <c r="CF125" s="1">
        <f>COUNTIF(BT125:CE125, "&gt;0")</f>
        <v>0</v>
      </c>
      <c r="CG125" s="1" t="str">
        <f t="shared" si="67"/>
        <v/>
      </c>
      <c r="CH125" s="1" t="str">
        <f t="shared" si="67"/>
        <v/>
      </c>
      <c r="CI125" s="1" t="str">
        <f t="shared" si="67"/>
        <v/>
      </c>
      <c r="CJ125" s="1" t="str">
        <f t="shared" si="67"/>
        <v/>
      </c>
      <c r="CK125" s="1" t="str">
        <f t="shared" si="67"/>
        <v/>
      </c>
      <c r="CL125" s="1" t="str">
        <f t="shared" si="67"/>
        <v/>
      </c>
      <c r="CM125" s="1" t="str">
        <f t="shared" si="67"/>
        <v/>
      </c>
      <c r="CN125" s="1" t="str">
        <f t="shared" si="67"/>
        <v/>
      </c>
      <c r="CO125" s="1" t="str">
        <f t="shared" si="67"/>
        <v/>
      </c>
      <c r="CP125" s="1" t="str">
        <f t="shared" si="67"/>
        <v/>
      </c>
      <c r="CQ125" s="1" t="str">
        <f t="shared" si="67"/>
        <v/>
      </c>
      <c r="CR125" s="1" t="str">
        <f t="shared" si="67"/>
        <v/>
      </c>
      <c r="CS125" s="18">
        <f>SUM(AE125:BO125)</f>
        <v>10</v>
      </c>
    </row>
    <row r="126" spans="1:97" ht="27" x14ac:dyDescent="0.15">
      <c r="A126" s="1"/>
      <c r="B126" s="1" t="s">
        <v>216</v>
      </c>
      <c r="C126" s="1" t="s">
        <v>215</v>
      </c>
      <c r="D126" s="1" t="s">
        <v>183</v>
      </c>
      <c r="E126" s="6"/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32"/>
      <c r="Q126" s="32"/>
      <c r="R126" s="32"/>
      <c r="S126" s="32"/>
      <c r="T126" s="32"/>
      <c r="U126" s="32"/>
      <c r="V126" s="32"/>
      <c r="W126" s="32"/>
      <c r="X126" s="32">
        <v>10</v>
      </c>
      <c r="Y126" s="32"/>
      <c r="Z126" s="32"/>
      <c r="AA126" s="32"/>
      <c r="AB126" s="32"/>
      <c r="AC126" s="32"/>
      <c r="AD126" s="32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10</v>
      </c>
      <c r="BR126" s="17">
        <v>2</v>
      </c>
      <c r="BS126" s="17" t="s">
        <v>251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27" x14ac:dyDescent="0.15">
      <c r="A127" s="1"/>
      <c r="B127" s="1" t="s">
        <v>179</v>
      </c>
      <c r="C127" s="1" t="s">
        <v>180</v>
      </c>
      <c r="D127" s="1" t="s">
        <v>183</v>
      </c>
      <c r="E127" s="6"/>
      <c r="F127" s="6"/>
      <c r="G127" s="6"/>
      <c r="H127" s="6"/>
      <c r="I127" s="6">
        <v>10</v>
      </c>
      <c r="J127" s="6"/>
      <c r="K127" s="6"/>
      <c r="L127" s="6"/>
      <c r="M127" s="6"/>
      <c r="N127" s="6"/>
      <c r="O127" s="6"/>
      <c r="P127" s="32"/>
      <c r="Q127" s="32"/>
      <c r="R127" s="32">
        <v>10</v>
      </c>
      <c r="S127" s="32"/>
      <c r="T127" s="32"/>
      <c r="U127" s="32"/>
      <c r="V127" s="32"/>
      <c r="W127" s="32"/>
      <c r="X127" s="32">
        <v>10</v>
      </c>
      <c r="Y127" s="32"/>
      <c r="Z127" s="32"/>
      <c r="AA127" s="32"/>
      <c r="AB127" s="32"/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>
        <v>10</v>
      </c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12</v>
      </c>
      <c r="BR127" s="17">
        <v>2</v>
      </c>
      <c r="BS127" s="17" t="s">
        <v>248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27" x14ac:dyDescent="0.15">
      <c r="A128" s="1"/>
      <c r="B128" s="1" t="s">
        <v>150</v>
      </c>
      <c r="C128" s="1" t="s">
        <v>142</v>
      </c>
      <c r="D128" s="1" t="s">
        <v>140</v>
      </c>
      <c r="E128" s="6">
        <v>6</v>
      </c>
      <c r="F128" s="6">
        <v>6</v>
      </c>
      <c r="G128" s="6"/>
      <c r="H128" s="6"/>
      <c r="I128" s="6"/>
      <c r="J128" s="6"/>
      <c r="K128" s="6"/>
      <c r="L128" s="6"/>
      <c r="M128" s="6"/>
      <c r="N128" s="6"/>
      <c r="O128" s="6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>
        <v>10</v>
      </c>
      <c r="AT128" s="4"/>
      <c r="AU128" s="4"/>
      <c r="AV128" s="4"/>
      <c r="AW128" s="2"/>
      <c r="AX128" s="2">
        <v>10</v>
      </c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13</v>
      </c>
      <c r="BR128" s="17">
        <v>2</v>
      </c>
      <c r="BS128" s="17" t="s">
        <v>236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27" x14ac:dyDescent="0.15">
      <c r="A129" s="1"/>
      <c r="B129" s="1" t="s">
        <v>165</v>
      </c>
      <c r="C129" s="1" t="s">
        <v>166</v>
      </c>
      <c r="D129" s="1" t="s">
        <v>139</v>
      </c>
      <c r="E129" s="6"/>
      <c r="F129" s="6"/>
      <c r="G129" s="6">
        <v>20</v>
      </c>
      <c r="H129" s="6">
        <v>20</v>
      </c>
      <c r="I129" s="6"/>
      <c r="J129" s="6"/>
      <c r="K129" s="6"/>
      <c r="L129" s="6"/>
      <c r="M129" s="6"/>
      <c r="N129" s="6"/>
      <c r="O129" s="6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>
        <v>20</v>
      </c>
      <c r="BB129" s="2">
        <v>20</v>
      </c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15</v>
      </c>
      <c r="BR129" s="17">
        <v>2</v>
      </c>
      <c r="BS129" s="17" t="s">
        <v>244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27" x14ac:dyDescent="0.15">
      <c r="A130" s="1"/>
      <c r="B130" s="1" t="s">
        <v>146</v>
      </c>
      <c r="C130" s="1" t="s">
        <v>142</v>
      </c>
      <c r="D130" s="1" t="s">
        <v>139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>
        <v>5</v>
      </c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>
        <v>5</v>
      </c>
      <c r="AP130" s="1">
        <v>10</v>
      </c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v>15</v>
      </c>
      <c r="BR130" s="17">
        <v>2</v>
      </c>
      <c r="BS130" s="17" t="s">
        <v>227</v>
      </c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27" x14ac:dyDescent="0.15">
      <c r="A131" s="1"/>
      <c r="B131" s="1" t="s">
        <v>198</v>
      </c>
      <c r="C131" s="1" t="s">
        <v>199</v>
      </c>
      <c r="D131" s="1" t="s">
        <v>183</v>
      </c>
      <c r="E131" s="6">
        <v>10</v>
      </c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/>
      <c r="R131" s="32">
        <v>10</v>
      </c>
      <c r="S131" s="32"/>
      <c r="T131" s="32"/>
      <c r="U131" s="32">
        <v>10</v>
      </c>
      <c r="V131" s="32"/>
      <c r="W131" s="32"/>
      <c r="X131" s="32"/>
      <c r="Y131" s="32"/>
      <c r="Z131" s="32"/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>
        <v>10</v>
      </c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v>18</v>
      </c>
      <c r="BR131" s="17">
        <v>2</v>
      </c>
      <c r="BS131" s="17" t="s">
        <v>250</v>
      </c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27" x14ac:dyDescent="0.15">
      <c r="A132" s="1"/>
      <c r="B132" s="1" t="s">
        <v>206</v>
      </c>
      <c r="C132" s="1" t="s">
        <v>204</v>
      </c>
      <c r="D132" s="1" t="s">
        <v>183</v>
      </c>
      <c r="E132" s="6">
        <v>10</v>
      </c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/>
      <c r="Q132" s="32"/>
      <c r="R132" s="32">
        <v>10</v>
      </c>
      <c r="S132" s="32"/>
      <c r="T132" s="32"/>
      <c r="U132" s="32">
        <v>10</v>
      </c>
      <c r="V132" s="32"/>
      <c r="W132" s="32"/>
      <c r="X132" s="32"/>
      <c r="Y132" s="32"/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>
        <v>10</v>
      </c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18</v>
      </c>
      <c r="BR132" s="17">
        <v>2</v>
      </c>
      <c r="BS132" s="17" t="s">
        <v>250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27" x14ac:dyDescent="0.15">
      <c r="A133" s="1"/>
      <c r="B133" s="1" t="s">
        <v>219</v>
      </c>
      <c r="C133" s="1" t="s">
        <v>215</v>
      </c>
      <c r="D133" s="1" t="s">
        <v>183</v>
      </c>
      <c r="E133" s="6">
        <v>10</v>
      </c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2"/>
      <c r="Q133" s="32"/>
      <c r="R133" s="32">
        <v>10</v>
      </c>
      <c r="S133" s="32"/>
      <c r="T133" s="32"/>
      <c r="U133" s="32">
        <v>10</v>
      </c>
      <c r="V133" s="32"/>
      <c r="W133" s="32"/>
      <c r="X133" s="32"/>
      <c r="Y133" s="32"/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>
        <v>10</v>
      </c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v>18</v>
      </c>
      <c r="BR133" s="17">
        <v>2</v>
      </c>
      <c r="BS133" s="17" t="s">
        <v>250</v>
      </c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27" x14ac:dyDescent="0.15">
      <c r="A134" s="1"/>
      <c r="B134" s="1" t="s">
        <v>208</v>
      </c>
      <c r="C134" s="1" t="s">
        <v>210</v>
      </c>
      <c r="D134" s="1" t="s">
        <v>183</v>
      </c>
      <c r="E134" s="6"/>
      <c r="F134" s="6"/>
      <c r="G134" s="6"/>
      <c r="H134" s="6"/>
      <c r="I134" s="6"/>
      <c r="J134" s="6">
        <v>10</v>
      </c>
      <c r="K134" s="6"/>
      <c r="L134" s="6"/>
      <c r="M134" s="6"/>
      <c r="N134" s="6"/>
      <c r="O134" s="6"/>
      <c r="P134" s="32"/>
      <c r="Q134" s="32"/>
      <c r="R134" s="32"/>
      <c r="S134" s="32"/>
      <c r="T134" s="32"/>
      <c r="U134" s="32">
        <v>10</v>
      </c>
      <c r="V134" s="32"/>
      <c r="W134" s="32"/>
      <c r="X134" s="32"/>
      <c r="Y134" s="32"/>
      <c r="Z134" s="32"/>
      <c r="AA134" s="32">
        <v>10</v>
      </c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>
        <v>10</v>
      </c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v>19</v>
      </c>
      <c r="BR134" s="17">
        <v>2</v>
      </c>
      <c r="BS134" s="17" t="s">
        <v>258</v>
      </c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27" x14ac:dyDescent="0.15">
      <c r="A135" s="1"/>
      <c r="B135" s="1" t="s">
        <v>222</v>
      </c>
      <c r="C135" s="1" t="s">
        <v>215</v>
      </c>
      <c r="D135" s="1" t="s">
        <v>183</v>
      </c>
      <c r="E135" s="6"/>
      <c r="F135" s="6"/>
      <c r="G135" s="6"/>
      <c r="H135" s="6"/>
      <c r="I135" s="6"/>
      <c r="J135" s="6">
        <v>10</v>
      </c>
      <c r="K135" s="6"/>
      <c r="L135" s="6"/>
      <c r="M135" s="6"/>
      <c r="N135" s="6"/>
      <c r="O135" s="6"/>
      <c r="P135" s="32"/>
      <c r="Q135" s="32"/>
      <c r="R135" s="32"/>
      <c r="S135" s="32"/>
      <c r="T135" s="32"/>
      <c r="U135" s="32">
        <v>10</v>
      </c>
      <c r="V135" s="32"/>
      <c r="W135" s="32"/>
      <c r="X135" s="32"/>
      <c r="Y135" s="32"/>
      <c r="Z135" s="32"/>
      <c r="AA135" s="32">
        <v>10</v>
      </c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>
        <v>10</v>
      </c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v>19</v>
      </c>
      <c r="BR135" s="17">
        <v>2</v>
      </c>
      <c r="BS135" s="17" t="s">
        <v>258</v>
      </c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27" x14ac:dyDescent="0.15">
      <c r="A136" s="1">
        <v>14</v>
      </c>
      <c r="B136" s="1" t="s">
        <v>31</v>
      </c>
      <c r="C136" s="1" t="s">
        <v>32</v>
      </c>
      <c r="D136" s="1" t="s">
        <v>33</v>
      </c>
      <c r="E136" s="6"/>
      <c r="F136" s="6"/>
      <c r="G136" s="6">
        <v>15</v>
      </c>
      <c r="H136" s="6">
        <v>15</v>
      </c>
      <c r="I136" s="6"/>
      <c r="J136" s="6"/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>
        <v>15</v>
      </c>
      <c r="AT136" s="4"/>
      <c r="AU136" s="4"/>
      <c r="AV136" s="4"/>
      <c r="AW136" s="2"/>
      <c r="AX136" s="2"/>
      <c r="AY136" s="2"/>
      <c r="AZ136" s="2"/>
      <c r="BA136" s="2"/>
      <c r="BB136" s="2">
        <v>15</v>
      </c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60</v>
      </c>
      <c r="BQ136" s="1">
        <v>22</v>
      </c>
      <c r="BR136" s="17">
        <v>2</v>
      </c>
      <c r="BS136" s="17" t="s">
        <v>241</v>
      </c>
      <c r="BT136" s="1" t="str">
        <f t="shared" ref="BT136:CE136" si="68">IF(AQ136&gt;AQ$162, AQ136-AQ$162,"")</f>
        <v/>
      </c>
      <c r="BU136" s="1" t="str">
        <f t="shared" si="68"/>
        <v/>
      </c>
      <c r="BV136" s="1">
        <f t="shared" si="68"/>
        <v>15</v>
      </c>
      <c r="BW136" s="1" t="str">
        <f t="shared" si="68"/>
        <v/>
      </c>
      <c r="BX136" s="1" t="str">
        <f t="shared" si="68"/>
        <v/>
      </c>
      <c r="BY136" s="1" t="str">
        <f t="shared" si="68"/>
        <v/>
      </c>
      <c r="BZ136" s="1" t="str">
        <f t="shared" si="68"/>
        <v/>
      </c>
      <c r="CA136" s="1" t="str">
        <f t="shared" si="68"/>
        <v/>
      </c>
      <c r="CB136" s="1" t="str">
        <f t="shared" si="68"/>
        <v/>
      </c>
      <c r="CC136" s="1" t="str">
        <f t="shared" si="68"/>
        <v/>
      </c>
      <c r="CD136" s="1" t="str">
        <f t="shared" si="68"/>
        <v/>
      </c>
      <c r="CE136" s="1" t="str">
        <f t="shared" si="68"/>
        <v/>
      </c>
      <c r="CF136" s="1">
        <f>COUNTIF(BT136:CE136, "&gt;0")</f>
        <v>1</v>
      </c>
      <c r="CG136" s="1" t="str">
        <f t="shared" ref="CG136:CR136" si="69">IF($CF136=1,BT136,"")</f>
        <v/>
      </c>
      <c r="CH136" s="1" t="str">
        <f t="shared" si="69"/>
        <v/>
      </c>
      <c r="CI136" s="1">
        <f t="shared" si="69"/>
        <v>15</v>
      </c>
      <c r="CJ136" s="1" t="str">
        <f t="shared" si="69"/>
        <v/>
      </c>
      <c r="CK136" s="1" t="str">
        <f t="shared" si="69"/>
        <v/>
      </c>
      <c r="CL136" s="1" t="str">
        <f t="shared" si="69"/>
        <v/>
      </c>
      <c r="CM136" s="1" t="str">
        <f t="shared" si="69"/>
        <v/>
      </c>
      <c r="CN136" s="1" t="str">
        <f t="shared" si="69"/>
        <v/>
      </c>
      <c r="CO136" s="1" t="str">
        <f t="shared" si="69"/>
        <v/>
      </c>
      <c r="CP136" s="1" t="str">
        <f t="shared" si="69"/>
        <v/>
      </c>
      <c r="CQ136" s="1" t="str">
        <f t="shared" si="69"/>
        <v/>
      </c>
      <c r="CR136" s="1" t="str">
        <f t="shared" si="69"/>
        <v/>
      </c>
      <c r="CS136" s="18">
        <f>SUM(AE136:BO136)</f>
        <v>30</v>
      </c>
    </row>
    <row r="137" spans="1:97" ht="27" x14ac:dyDescent="0.15">
      <c r="A137" s="1"/>
      <c r="B137" s="1" t="s">
        <v>141</v>
      </c>
      <c r="C137" s="1" t="s">
        <v>142</v>
      </c>
      <c r="D137" s="1" t="s">
        <v>139</v>
      </c>
      <c r="E137" s="6"/>
      <c r="F137" s="6"/>
      <c r="G137" s="6">
        <v>15</v>
      </c>
      <c r="H137" s="6">
        <v>15</v>
      </c>
      <c r="I137" s="6"/>
      <c r="J137" s="6"/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>
        <v>15</v>
      </c>
      <c r="AT137" s="4"/>
      <c r="AU137" s="4"/>
      <c r="AV137" s="4"/>
      <c r="AW137" s="2"/>
      <c r="AX137" s="2"/>
      <c r="AY137" s="2"/>
      <c r="AZ137" s="2"/>
      <c r="BA137" s="2"/>
      <c r="BB137" s="2">
        <v>15</v>
      </c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v>22</v>
      </c>
      <c r="BR137" s="17">
        <v>2</v>
      </c>
      <c r="BS137" s="17" t="s">
        <v>241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40.5" x14ac:dyDescent="0.15">
      <c r="A138" s="1"/>
      <c r="B138" s="1" t="s">
        <v>219</v>
      </c>
      <c r="C138" s="1" t="s">
        <v>215</v>
      </c>
      <c r="D138" s="1" t="s">
        <v>182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>
        <v>2</v>
      </c>
      <c r="V138" s="32"/>
      <c r="W138" s="32"/>
      <c r="X138" s="32"/>
      <c r="Y138" s="32"/>
      <c r="Z138" s="32"/>
      <c r="AA138" s="32">
        <v>2</v>
      </c>
      <c r="AB138" s="32"/>
      <c r="AC138" s="32">
        <v>5</v>
      </c>
      <c r="AD138" s="32">
        <v>2</v>
      </c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6</v>
      </c>
      <c r="BR138" s="17">
        <v>3</v>
      </c>
      <c r="BS138" s="17" t="s">
        <v>259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40.5" x14ac:dyDescent="0.15">
      <c r="A139" s="1"/>
      <c r="B139" s="1" t="s">
        <v>209</v>
      </c>
      <c r="C139" s="1" t="s">
        <v>210</v>
      </c>
      <c r="D139" s="1" t="s">
        <v>183</v>
      </c>
      <c r="E139" s="6"/>
      <c r="F139" s="6"/>
      <c r="G139" s="6"/>
      <c r="H139" s="6"/>
      <c r="I139" s="6"/>
      <c r="J139" s="6"/>
      <c r="K139" s="6"/>
      <c r="L139" s="6">
        <v>7</v>
      </c>
      <c r="M139" s="6"/>
      <c r="N139" s="6"/>
      <c r="O139" s="6"/>
      <c r="P139" s="32"/>
      <c r="Q139" s="32">
        <v>7</v>
      </c>
      <c r="R139" s="32"/>
      <c r="S139" s="32"/>
      <c r="T139" s="32">
        <v>7</v>
      </c>
      <c r="U139" s="32"/>
      <c r="V139" s="32"/>
      <c r="W139" s="32"/>
      <c r="X139" s="32">
        <v>7</v>
      </c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v>9</v>
      </c>
      <c r="BR139" s="17">
        <v>3</v>
      </c>
      <c r="BS139" s="17" t="s">
        <v>256</v>
      </c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8"/>
    </row>
    <row r="140" spans="1:97" ht="40.5" x14ac:dyDescent="0.15">
      <c r="A140" s="1"/>
      <c r="B140" s="1" t="s">
        <v>201</v>
      </c>
      <c r="C140" s="1" t="s">
        <v>199</v>
      </c>
      <c r="D140" s="1" t="s">
        <v>182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32"/>
      <c r="Q140" s="32">
        <v>5</v>
      </c>
      <c r="R140" s="32"/>
      <c r="S140" s="32"/>
      <c r="T140" s="32">
        <v>5</v>
      </c>
      <c r="U140" s="32"/>
      <c r="V140" s="32"/>
      <c r="W140" s="32"/>
      <c r="X140" s="32"/>
      <c r="Y140" s="32"/>
      <c r="Z140" s="32">
        <v>5</v>
      </c>
      <c r="AA140" s="32">
        <v>2</v>
      </c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v>9</v>
      </c>
      <c r="BR140" s="17">
        <v>3</v>
      </c>
      <c r="BS140" s="17" t="s">
        <v>261</v>
      </c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8"/>
    </row>
    <row r="141" spans="1:97" ht="40.5" x14ac:dyDescent="0.15">
      <c r="A141" s="1"/>
      <c r="B141" s="1" t="s">
        <v>216</v>
      </c>
      <c r="C141" s="1" t="s">
        <v>215</v>
      </c>
      <c r="D141" s="1" t="s">
        <v>182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32"/>
      <c r="Q141" s="32">
        <v>5</v>
      </c>
      <c r="R141" s="32"/>
      <c r="S141" s="32"/>
      <c r="T141" s="32">
        <v>5</v>
      </c>
      <c r="U141" s="32"/>
      <c r="V141" s="32"/>
      <c r="W141" s="32"/>
      <c r="X141" s="32"/>
      <c r="Y141" s="32"/>
      <c r="Z141" s="32">
        <v>5</v>
      </c>
      <c r="AA141" s="32">
        <v>2</v>
      </c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9</v>
      </c>
      <c r="BR141" s="17">
        <v>3</v>
      </c>
      <c r="BS141" s="17" t="s">
        <v>261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/>
      <c r="B142" s="1" t="s">
        <v>217</v>
      </c>
      <c r="C142" s="1" t="s">
        <v>215</v>
      </c>
      <c r="D142" s="1" t="s">
        <v>182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32"/>
      <c r="Q142" s="32">
        <v>5</v>
      </c>
      <c r="R142" s="32"/>
      <c r="S142" s="32"/>
      <c r="T142" s="32"/>
      <c r="U142" s="32"/>
      <c r="V142" s="32">
        <v>10</v>
      </c>
      <c r="W142" s="32"/>
      <c r="X142" s="32"/>
      <c r="Y142" s="32"/>
      <c r="Z142" s="32">
        <v>5</v>
      </c>
      <c r="AA142" s="32"/>
      <c r="AB142" s="32">
        <v>10</v>
      </c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10</v>
      </c>
      <c r="BR142" s="17">
        <v>3</v>
      </c>
      <c r="BS142" s="17" t="s">
        <v>263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40.5" x14ac:dyDescent="0.15">
      <c r="A143" s="1"/>
      <c r="B143" s="1" t="s">
        <v>219</v>
      </c>
      <c r="C143" s="1" t="s">
        <v>215</v>
      </c>
      <c r="D143" s="1" t="s">
        <v>181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32"/>
      <c r="Q143" s="32">
        <v>5</v>
      </c>
      <c r="R143" s="32"/>
      <c r="S143" s="32"/>
      <c r="T143" s="32">
        <v>5</v>
      </c>
      <c r="U143" s="32"/>
      <c r="V143" s="32"/>
      <c r="W143" s="32">
        <v>5</v>
      </c>
      <c r="X143" s="32"/>
      <c r="Y143" s="32"/>
      <c r="Z143" s="32">
        <v>5</v>
      </c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v>11</v>
      </c>
      <c r="BR143" s="17">
        <v>3</v>
      </c>
      <c r="BS143" s="17" t="s">
        <v>262</v>
      </c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40.5" x14ac:dyDescent="0.15">
      <c r="A144" s="1"/>
      <c r="B144" s="1" t="s">
        <v>207</v>
      </c>
      <c r="C144" s="1" t="s">
        <v>204</v>
      </c>
      <c r="D144" s="1" t="s">
        <v>183</v>
      </c>
      <c r="E144" s="6"/>
      <c r="F144" s="6"/>
      <c r="G144" s="6"/>
      <c r="H144" s="6"/>
      <c r="I144" s="6">
        <v>7</v>
      </c>
      <c r="J144" s="6"/>
      <c r="K144" s="6"/>
      <c r="L144" s="6"/>
      <c r="M144" s="6"/>
      <c r="N144" s="6"/>
      <c r="O144" s="6"/>
      <c r="P144" s="32"/>
      <c r="Q144" s="32">
        <v>7</v>
      </c>
      <c r="R144" s="32">
        <v>7</v>
      </c>
      <c r="S144" s="32"/>
      <c r="T144" s="32">
        <v>7</v>
      </c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v>13</v>
      </c>
      <c r="BR144" s="17">
        <v>3</v>
      </c>
      <c r="BS144" s="17" t="s">
        <v>255</v>
      </c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40.5" x14ac:dyDescent="0.15">
      <c r="A145" s="1"/>
      <c r="B145" s="1" t="s">
        <v>197</v>
      </c>
      <c r="C145" s="1" t="s">
        <v>180</v>
      </c>
      <c r="D145" s="1" t="s">
        <v>183</v>
      </c>
      <c r="E145" s="6"/>
      <c r="F145" s="6"/>
      <c r="G145" s="6"/>
      <c r="H145" s="6">
        <v>10</v>
      </c>
      <c r="I145" s="6"/>
      <c r="J145" s="6"/>
      <c r="K145" s="6"/>
      <c r="L145" s="6"/>
      <c r="M145" s="6"/>
      <c r="N145" s="6"/>
      <c r="O145" s="6"/>
      <c r="P145" s="32"/>
      <c r="Q145" s="32"/>
      <c r="R145" s="32">
        <v>10</v>
      </c>
      <c r="S145" s="32"/>
      <c r="T145" s="32"/>
      <c r="U145" s="32"/>
      <c r="V145" s="32"/>
      <c r="W145" s="32"/>
      <c r="X145" s="32">
        <v>10</v>
      </c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>
        <v>10</v>
      </c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v>14</v>
      </c>
      <c r="BR145" s="17">
        <v>3</v>
      </c>
      <c r="BS145" s="17" t="s">
        <v>249</v>
      </c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40.5" x14ac:dyDescent="0.15">
      <c r="A146" s="1"/>
      <c r="B146" s="1" t="s">
        <v>201</v>
      </c>
      <c r="C146" s="1" t="s">
        <v>199</v>
      </c>
      <c r="D146" s="1" t="s">
        <v>183</v>
      </c>
      <c r="E146" s="6"/>
      <c r="F146" s="6"/>
      <c r="G146" s="6"/>
      <c r="H146" s="6">
        <v>7</v>
      </c>
      <c r="I146" s="6"/>
      <c r="J146" s="6"/>
      <c r="K146" s="6"/>
      <c r="L146" s="6"/>
      <c r="M146" s="6"/>
      <c r="N146" s="6"/>
      <c r="O146" s="6"/>
      <c r="P146" s="32"/>
      <c r="Q146" s="32">
        <v>7</v>
      </c>
      <c r="R146" s="32"/>
      <c r="S146" s="32"/>
      <c r="T146" s="32">
        <v>7</v>
      </c>
      <c r="U146" s="32"/>
      <c r="V146" s="32"/>
      <c r="W146" s="32"/>
      <c r="X146" s="32"/>
      <c r="Y146" s="32"/>
      <c r="Z146" s="32"/>
      <c r="AA146" s="32">
        <v>7</v>
      </c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v>14</v>
      </c>
      <c r="BR146" s="17">
        <v>3</v>
      </c>
      <c r="BS146" s="17" t="s">
        <v>254</v>
      </c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8"/>
    </row>
    <row r="147" spans="1:97" ht="40.5" x14ac:dyDescent="0.15">
      <c r="A147" s="1">
        <v>28</v>
      </c>
      <c r="B147" s="1" t="s">
        <v>84</v>
      </c>
      <c r="C147" s="1" t="s">
        <v>32</v>
      </c>
      <c r="D147" s="1" t="s">
        <v>1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>
        <v>5</v>
      </c>
      <c r="AI147" s="1">
        <v>5</v>
      </c>
      <c r="AJ147" s="1">
        <v>5</v>
      </c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15</v>
      </c>
      <c r="BQ147" s="1">
        <v>15</v>
      </c>
      <c r="BR147" s="17">
        <v>3</v>
      </c>
      <c r="BS147" s="17" t="s">
        <v>132</v>
      </c>
      <c r="BT147" s="1" t="str">
        <f t="shared" ref="BT147:CE149" si="70">IF(AQ147&gt;AQ$162, AQ147-AQ$162,"")</f>
        <v/>
      </c>
      <c r="BU147" s="1" t="str">
        <f t="shared" si="70"/>
        <v/>
      </c>
      <c r="BV147" s="1" t="str">
        <f t="shared" si="70"/>
        <v/>
      </c>
      <c r="BW147" s="1" t="str">
        <f t="shared" si="70"/>
        <v/>
      </c>
      <c r="BX147" s="1" t="str">
        <f t="shared" si="70"/>
        <v/>
      </c>
      <c r="BY147" s="1" t="str">
        <f t="shared" si="70"/>
        <v/>
      </c>
      <c r="BZ147" s="1" t="str">
        <f t="shared" si="70"/>
        <v/>
      </c>
      <c r="CA147" s="1" t="str">
        <f t="shared" si="70"/>
        <v/>
      </c>
      <c r="CB147" s="1" t="str">
        <f t="shared" si="70"/>
        <v/>
      </c>
      <c r="CC147" s="1" t="str">
        <f t="shared" si="70"/>
        <v/>
      </c>
      <c r="CD147" s="1" t="str">
        <f t="shared" si="70"/>
        <v/>
      </c>
      <c r="CE147" s="1" t="str">
        <f t="shared" si="70"/>
        <v/>
      </c>
      <c r="CF147" s="1">
        <f>COUNTIF(BT147:CE147, "&gt;0")</f>
        <v>0</v>
      </c>
      <c r="CG147" s="1" t="str">
        <f t="shared" ref="CG147:CR149" si="71">IF($CF147=1,BT147,"")</f>
        <v/>
      </c>
      <c r="CH147" s="1" t="str">
        <f t="shared" si="71"/>
        <v/>
      </c>
      <c r="CI147" s="1" t="str">
        <f t="shared" si="71"/>
        <v/>
      </c>
      <c r="CJ147" s="1" t="str">
        <f t="shared" si="71"/>
        <v/>
      </c>
      <c r="CK147" s="1" t="str">
        <f t="shared" si="71"/>
        <v/>
      </c>
      <c r="CL147" s="1" t="str">
        <f t="shared" si="71"/>
        <v/>
      </c>
      <c r="CM147" s="1" t="str">
        <f t="shared" si="71"/>
        <v/>
      </c>
      <c r="CN147" s="1" t="str">
        <f t="shared" si="71"/>
        <v/>
      </c>
      <c r="CO147" s="1" t="str">
        <f t="shared" si="71"/>
        <v/>
      </c>
      <c r="CP147" s="1" t="str">
        <f t="shared" si="71"/>
        <v/>
      </c>
      <c r="CQ147" s="1" t="str">
        <f t="shared" si="71"/>
        <v/>
      </c>
      <c r="CR147" s="1" t="str">
        <f t="shared" si="71"/>
        <v/>
      </c>
      <c r="CS147" s="18">
        <f>SUM(AE147:BO147)</f>
        <v>15</v>
      </c>
    </row>
    <row r="148" spans="1:97" ht="40.5" x14ac:dyDescent="0.15">
      <c r="A148" s="1">
        <v>89</v>
      </c>
      <c r="B148" s="3" t="s">
        <v>89</v>
      </c>
      <c r="C148" s="3" t="s">
        <v>90</v>
      </c>
      <c r="D148" s="1" t="s">
        <v>1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>
        <v>5</v>
      </c>
      <c r="AG148" s="1"/>
      <c r="AH148" s="1">
        <v>5</v>
      </c>
      <c r="AI148" s="1">
        <v>5</v>
      </c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>
        <f>SUM(E148:BO148)</f>
        <v>15</v>
      </c>
      <c r="BQ148" s="1">
        <v>15</v>
      </c>
      <c r="BR148" s="17">
        <v>3</v>
      </c>
      <c r="BS148" s="17" t="s">
        <v>133</v>
      </c>
      <c r="BT148" s="1" t="str">
        <f t="shared" si="70"/>
        <v/>
      </c>
      <c r="BU148" s="1" t="str">
        <f t="shared" si="70"/>
        <v/>
      </c>
      <c r="BV148" s="1" t="str">
        <f t="shared" si="70"/>
        <v/>
      </c>
      <c r="BW148" s="1" t="str">
        <f t="shared" si="70"/>
        <v/>
      </c>
      <c r="BX148" s="1" t="str">
        <f t="shared" si="70"/>
        <v/>
      </c>
      <c r="BY148" s="1" t="str">
        <f t="shared" si="70"/>
        <v/>
      </c>
      <c r="BZ148" s="1" t="str">
        <f t="shared" si="70"/>
        <v/>
      </c>
      <c r="CA148" s="1" t="str">
        <f t="shared" si="70"/>
        <v/>
      </c>
      <c r="CB148" s="1" t="str">
        <f t="shared" si="70"/>
        <v/>
      </c>
      <c r="CC148" s="1" t="str">
        <f t="shared" si="70"/>
        <v/>
      </c>
      <c r="CD148" s="1" t="str">
        <f t="shared" si="70"/>
        <v/>
      </c>
      <c r="CE148" s="1" t="str">
        <f t="shared" si="70"/>
        <v/>
      </c>
      <c r="CF148" s="1">
        <f>COUNTIF(BT148:CE148, "&gt;0")</f>
        <v>0</v>
      </c>
      <c r="CG148" s="1" t="str">
        <f t="shared" si="71"/>
        <v/>
      </c>
      <c r="CH148" s="1" t="str">
        <f t="shared" si="71"/>
        <v/>
      </c>
      <c r="CI148" s="1" t="str">
        <f t="shared" si="71"/>
        <v/>
      </c>
      <c r="CJ148" s="1" t="str">
        <f t="shared" si="71"/>
        <v/>
      </c>
      <c r="CK148" s="1" t="str">
        <f t="shared" si="71"/>
        <v/>
      </c>
      <c r="CL148" s="1" t="str">
        <f t="shared" si="71"/>
        <v/>
      </c>
      <c r="CM148" s="1" t="str">
        <f t="shared" si="71"/>
        <v/>
      </c>
      <c r="CN148" s="1" t="str">
        <f t="shared" si="71"/>
        <v/>
      </c>
      <c r="CO148" s="1" t="str">
        <f t="shared" si="71"/>
        <v/>
      </c>
      <c r="CP148" s="1" t="str">
        <f t="shared" si="71"/>
        <v/>
      </c>
      <c r="CQ148" s="1" t="str">
        <f t="shared" si="71"/>
        <v/>
      </c>
      <c r="CR148" s="1" t="str">
        <f t="shared" si="71"/>
        <v/>
      </c>
      <c r="CS148" s="18">
        <f>SUM(AE148:BO148)</f>
        <v>15</v>
      </c>
    </row>
    <row r="149" spans="1:97" ht="40.5" x14ac:dyDescent="0.15">
      <c r="A149" s="1">
        <v>54</v>
      </c>
      <c r="B149" s="1" t="s">
        <v>61</v>
      </c>
      <c r="C149" s="1" t="s">
        <v>62</v>
      </c>
      <c r="D149" s="1" t="s">
        <v>1</v>
      </c>
      <c r="E149" s="6"/>
      <c r="F149" s="6">
        <v>15</v>
      </c>
      <c r="G149" s="6"/>
      <c r="H149" s="6">
        <v>15</v>
      </c>
      <c r="I149" s="6"/>
      <c r="J149" s="6"/>
      <c r="K149" s="6"/>
      <c r="L149" s="6"/>
      <c r="M149" s="6"/>
      <c r="N149" s="6"/>
      <c r="O149" s="6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>
        <v>15</v>
      </c>
      <c r="AW149" s="2"/>
      <c r="AX149" s="2"/>
      <c r="AY149" s="2"/>
      <c r="AZ149" s="2"/>
      <c r="BA149" s="2">
        <v>15</v>
      </c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>
        <f>SUM(E149:BO149)</f>
        <v>60</v>
      </c>
      <c r="BQ149" s="1">
        <v>20</v>
      </c>
      <c r="BR149" s="17">
        <v>3</v>
      </c>
      <c r="BS149" s="17" t="s">
        <v>246</v>
      </c>
      <c r="BT149" s="1" t="str">
        <f t="shared" si="70"/>
        <v/>
      </c>
      <c r="BU149" s="1" t="str">
        <f t="shared" si="70"/>
        <v/>
      </c>
      <c r="BV149" s="1" t="str">
        <f t="shared" si="70"/>
        <v/>
      </c>
      <c r="BW149" s="1" t="str">
        <f t="shared" si="70"/>
        <v/>
      </c>
      <c r="BX149" s="1" t="str">
        <f t="shared" si="70"/>
        <v/>
      </c>
      <c r="BY149" s="1">
        <f t="shared" si="70"/>
        <v>1</v>
      </c>
      <c r="BZ149" s="1" t="str">
        <f t="shared" si="70"/>
        <v/>
      </c>
      <c r="CA149" s="1" t="str">
        <f t="shared" si="70"/>
        <v/>
      </c>
      <c r="CB149" s="1" t="str">
        <f t="shared" si="70"/>
        <v/>
      </c>
      <c r="CC149" s="1" t="str">
        <f t="shared" si="70"/>
        <v/>
      </c>
      <c r="CD149" s="1" t="str">
        <f t="shared" si="70"/>
        <v/>
      </c>
      <c r="CE149" s="1" t="str">
        <f t="shared" si="70"/>
        <v/>
      </c>
      <c r="CF149" s="1">
        <f>COUNTIF(BT149:CE149, "&gt;0")</f>
        <v>1</v>
      </c>
      <c r="CG149" s="1" t="str">
        <f t="shared" si="71"/>
        <v/>
      </c>
      <c r="CH149" s="1" t="str">
        <f t="shared" si="71"/>
        <v/>
      </c>
      <c r="CI149" s="1" t="str">
        <f t="shared" si="71"/>
        <v/>
      </c>
      <c r="CJ149" s="1" t="str">
        <f t="shared" si="71"/>
        <v/>
      </c>
      <c r="CK149" s="1" t="str">
        <f t="shared" si="71"/>
        <v/>
      </c>
      <c r="CL149" s="1">
        <f t="shared" si="71"/>
        <v>1</v>
      </c>
      <c r="CM149" s="1" t="str">
        <f t="shared" si="71"/>
        <v/>
      </c>
      <c r="CN149" s="1" t="str">
        <f t="shared" si="71"/>
        <v/>
      </c>
      <c r="CO149" s="1" t="str">
        <f t="shared" si="71"/>
        <v/>
      </c>
      <c r="CP149" s="1" t="str">
        <f t="shared" si="71"/>
        <v/>
      </c>
      <c r="CQ149" s="1" t="str">
        <f t="shared" si="71"/>
        <v/>
      </c>
      <c r="CR149" s="1" t="str">
        <f t="shared" si="71"/>
        <v/>
      </c>
      <c r="CS149" s="18">
        <f>SUM(AE149:BO149)</f>
        <v>30</v>
      </c>
    </row>
    <row r="150" spans="1:97" ht="40.5" x14ac:dyDescent="0.15">
      <c r="A150" s="1"/>
      <c r="B150" s="1" t="s">
        <v>217</v>
      </c>
      <c r="C150" s="1" t="s">
        <v>215</v>
      </c>
      <c r="D150" s="1" t="s">
        <v>183</v>
      </c>
      <c r="E150" s="6"/>
      <c r="F150" s="6"/>
      <c r="G150" s="6"/>
      <c r="H150" s="6">
        <v>10</v>
      </c>
      <c r="I150" s="6"/>
      <c r="J150" s="6"/>
      <c r="K150" s="6"/>
      <c r="L150" s="6"/>
      <c r="M150" s="6"/>
      <c r="N150" s="6"/>
      <c r="O150" s="6"/>
      <c r="P150" s="32"/>
      <c r="Q150" s="32"/>
      <c r="R150" s="32">
        <v>10</v>
      </c>
      <c r="S150" s="32"/>
      <c r="T150" s="32"/>
      <c r="U150" s="32">
        <v>10</v>
      </c>
      <c r="V150" s="32"/>
      <c r="W150" s="32"/>
      <c r="X150" s="32"/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>
        <v>10</v>
      </c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v>20</v>
      </c>
      <c r="BR150" s="17">
        <v>3</v>
      </c>
      <c r="BS150" s="17" t="s">
        <v>252</v>
      </c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8"/>
    </row>
    <row r="151" spans="1:97" ht="40.5" x14ac:dyDescent="0.15">
      <c r="A151" s="1"/>
      <c r="B151" s="1" t="s">
        <v>192</v>
      </c>
      <c r="C151" s="1" t="s">
        <v>180</v>
      </c>
      <c r="D151" s="1" t="s">
        <v>183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>
        <v>10</v>
      </c>
      <c r="P151" s="32"/>
      <c r="Q151" s="32"/>
      <c r="R151" s="32">
        <v>10</v>
      </c>
      <c r="S151" s="32"/>
      <c r="T151" s="32"/>
      <c r="U151" s="32"/>
      <c r="V151" s="32"/>
      <c r="W151" s="32"/>
      <c r="X151" s="32">
        <v>10</v>
      </c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>
        <v>10</v>
      </c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v>22</v>
      </c>
      <c r="BR151" s="17">
        <v>3</v>
      </c>
      <c r="BS151" s="17" t="s">
        <v>257</v>
      </c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8"/>
    </row>
    <row r="152" spans="1:97" ht="40.5" x14ac:dyDescent="0.15">
      <c r="A152" s="1"/>
      <c r="B152" s="1" t="s">
        <v>146</v>
      </c>
      <c r="C152" s="1" t="s">
        <v>142</v>
      </c>
      <c r="D152" s="1" t="s">
        <v>140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>
        <v>10</v>
      </c>
      <c r="AP152" s="1">
        <v>10</v>
      </c>
      <c r="AQ152" s="4"/>
      <c r="AR152" s="4"/>
      <c r="AS152" s="4">
        <v>5</v>
      </c>
      <c r="AT152" s="4"/>
      <c r="AU152" s="4"/>
      <c r="AV152" s="4"/>
      <c r="AW152" s="2"/>
      <c r="AX152" s="2">
        <v>5</v>
      </c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v>25</v>
      </c>
      <c r="BR152" s="17">
        <v>3</v>
      </c>
      <c r="BS152" s="17" t="s">
        <v>247</v>
      </c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8"/>
    </row>
    <row r="153" spans="1:97" ht="54" x14ac:dyDescent="0.15">
      <c r="A153" s="1"/>
      <c r="B153" s="1" t="s">
        <v>141</v>
      </c>
      <c r="C153" s="1" t="s">
        <v>142</v>
      </c>
      <c r="D153" s="1" t="s">
        <v>143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>
        <v>40</v>
      </c>
      <c r="AW153" s="2">
        <v>40</v>
      </c>
      <c r="AX153" s="2"/>
      <c r="AY153" s="2"/>
      <c r="AZ153" s="2"/>
      <c r="BA153" s="2"/>
      <c r="BB153" s="2">
        <v>40</v>
      </c>
      <c r="BC153" s="14">
        <v>10</v>
      </c>
      <c r="BD153" s="1">
        <v>50</v>
      </c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>
        <v>59</v>
      </c>
      <c r="BR153" s="17">
        <v>4</v>
      </c>
      <c r="BS153" s="17" t="s">
        <v>268</v>
      </c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8"/>
    </row>
    <row r="154" spans="1:97" ht="54" x14ac:dyDescent="0.15">
      <c r="A154" s="1">
        <v>85</v>
      </c>
      <c r="B154" s="3" t="s">
        <v>76</v>
      </c>
      <c r="C154" s="3" t="s">
        <v>71</v>
      </c>
      <c r="D154" s="1" t="s">
        <v>40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>
        <v>50</v>
      </c>
      <c r="BM154" s="1">
        <v>50</v>
      </c>
      <c r="BN154" s="1">
        <v>50</v>
      </c>
      <c r="BO154" s="1">
        <v>50</v>
      </c>
      <c r="BP154" s="1">
        <f>SUM(E154:BO154)</f>
        <v>200</v>
      </c>
      <c r="BQ154" s="1">
        <v>195</v>
      </c>
      <c r="BR154" s="17">
        <v>4</v>
      </c>
      <c r="BS154" s="17" t="s">
        <v>134</v>
      </c>
      <c r="BT154" s="1" t="str">
        <f t="shared" ref="BT154:CE155" si="72">IF(AQ154&gt;AQ$162, AQ154-AQ$162,"")</f>
        <v/>
      </c>
      <c r="BU154" s="1" t="str">
        <f t="shared" si="72"/>
        <v/>
      </c>
      <c r="BV154" s="1" t="str">
        <f t="shared" si="72"/>
        <v/>
      </c>
      <c r="BW154" s="1" t="str">
        <f t="shared" si="72"/>
        <v/>
      </c>
      <c r="BX154" s="1" t="str">
        <f t="shared" si="72"/>
        <v/>
      </c>
      <c r="BY154" s="1" t="str">
        <f t="shared" si="72"/>
        <v/>
      </c>
      <c r="BZ154" s="1" t="str">
        <f t="shared" si="72"/>
        <v/>
      </c>
      <c r="CA154" s="1" t="str">
        <f t="shared" si="72"/>
        <v/>
      </c>
      <c r="CB154" s="1" t="str">
        <f t="shared" si="72"/>
        <v/>
      </c>
      <c r="CC154" s="1" t="str">
        <f t="shared" si="72"/>
        <v/>
      </c>
      <c r="CD154" s="1" t="str">
        <f t="shared" si="72"/>
        <v/>
      </c>
      <c r="CE154" s="1" t="str">
        <f t="shared" si="72"/>
        <v/>
      </c>
      <c r="CF154" s="1">
        <f>COUNTIF(BT154:CE154, "&gt;0")</f>
        <v>0</v>
      </c>
      <c r="CG154" s="1" t="str">
        <f t="shared" ref="CG154:CR155" si="73">IF($CF154=1,BT154,"")</f>
        <v/>
      </c>
      <c r="CH154" s="1" t="str">
        <f t="shared" si="73"/>
        <v/>
      </c>
      <c r="CI154" s="1" t="str">
        <f t="shared" si="73"/>
        <v/>
      </c>
      <c r="CJ154" s="1" t="str">
        <f t="shared" si="73"/>
        <v/>
      </c>
      <c r="CK154" s="1" t="str">
        <f t="shared" si="73"/>
        <v/>
      </c>
      <c r="CL154" s="1" t="str">
        <f t="shared" si="73"/>
        <v/>
      </c>
      <c r="CM154" s="1" t="str">
        <f t="shared" si="73"/>
        <v/>
      </c>
      <c r="CN154" s="1" t="str">
        <f t="shared" si="73"/>
        <v/>
      </c>
      <c r="CO154" s="1" t="str">
        <f t="shared" si="73"/>
        <v/>
      </c>
      <c r="CP154" s="1" t="str">
        <f t="shared" si="73"/>
        <v/>
      </c>
      <c r="CQ154" s="1" t="str">
        <f t="shared" si="73"/>
        <v/>
      </c>
      <c r="CR154" s="1" t="str">
        <f t="shared" si="73"/>
        <v/>
      </c>
      <c r="CS154" s="18">
        <f>SUM(AE154:BO154)</f>
        <v>200</v>
      </c>
    </row>
    <row r="155" spans="1:97" ht="54" x14ac:dyDescent="0.15">
      <c r="A155" s="1">
        <v>23</v>
      </c>
      <c r="B155" s="1" t="s">
        <v>114</v>
      </c>
      <c r="C155" s="1" t="s">
        <v>32</v>
      </c>
      <c r="D155" s="1" t="s">
        <v>40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>
        <v>50</v>
      </c>
      <c r="BK155" s="1">
        <v>50</v>
      </c>
      <c r="BL155" s="1"/>
      <c r="BM155" s="1"/>
      <c r="BN155" s="1">
        <v>50</v>
      </c>
      <c r="BO155" s="1">
        <v>50</v>
      </c>
      <c r="BP155" s="1">
        <f>SUM(E155:BO155)</f>
        <v>200</v>
      </c>
      <c r="BQ155" s="1">
        <v>195</v>
      </c>
      <c r="BR155" s="17">
        <v>4</v>
      </c>
      <c r="BS155" s="17" t="s">
        <v>135</v>
      </c>
      <c r="BT155" s="1" t="str">
        <f t="shared" si="72"/>
        <v/>
      </c>
      <c r="BU155" s="1" t="str">
        <f t="shared" si="72"/>
        <v/>
      </c>
      <c r="BV155" s="1" t="str">
        <f t="shared" si="72"/>
        <v/>
      </c>
      <c r="BW155" s="1" t="str">
        <f t="shared" si="72"/>
        <v/>
      </c>
      <c r="BX155" s="1" t="str">
        <f t="shared" si="72"/>
        <v/>
      </c>
      <c r="BY155" s="1" t="str">
        <f t="shared" si="72"/>
        <v/>
      </c>
      <c r="BZ155" s="1" t="str">
        <f t="shared" si="72"/>
        <v/>
      </c>
      <c r="CA155" s="1" t="str">
        <f t="shared" si="72"/>
        <v/>
      </c>
      <c r="CB155" s="1" t="str">
        <f t="shared" si="72"/>
        <v/>
      </c>
      <c r="CC155" s="1" t="str">
        <f t="shared" si="72"/>
        <v/>
      </c>
      <c r="CD155" s="1" t="str">
        <f t="shared" si="72"/>
        <v/>
      </c>
      <c r="CE155" s="1" t="str">
        <f t="shared" si="72"/>
        <v/>
      </c>
      <c r="CF155" s="1">
        <f>COUNTIF(BT155:CE155, "&gt;0")</f>
        <v>0</v>
      </c>
      <c r="CG155" s="1" t="str">
        <f t="shared" si="73"/>
        <v/>
      </c>
      <c r="CH155" s="1" t="str">
        <f t="shared" si="73"/>
        <v/>
      </c>
      <c r="CI155" s="1" t="str">
        <f t="shared" si="73"/>
        <v/>
      </c>
      <c r="CJ155" s="1" t="str">
        <f t="shared" si="73"/>
        <v/>
      </c>
      <c r="CK155" s="1" t="str">
        <f t="shared" si="73"/>
        <v/>
      </c>
      <c r="CL155" s="1" t="str">
        <f t="shared" si="73"/>
        <v/>
      </c>
      <c r="CM155" s="1" t="str">
        <f t="shared" si="73"/>
        <v/>
      </c>
      <c r="CN155" s="1" t="str">
        <f t="shared" si="73"/>
        <v/>
      </c>
      <c r="CO155" s="1" t="str">
        <f t="shared" si="73"/>
        <v/>
      </c>
      <c r="CP155" s="1" t="str">
        <f t="shared" si="73"/>
        <v/>
      </c>
      <c r="CQ155" s="1" t="str">
        <f t="shared" si="73"/>
        <v/>
      </c>
      <c r="CR155" s="1" t="str">
        <f t="shared" si="73"/>
        <v/>
      </c>
      <c r="CS155" s="18">
        <f>SUM(AE155:BO155)</f>
        <v>200</v>
      </c>
    </row>
    <row r="156" spans="1:97" ht="54" x14ac:dyDescent="0.15">
      <c r="A156" s="1"/>
      <c r="B156" s="1" t="s">
        <v>155</v>
      </c>
      <c r="C156" s="1" t="s">
        <v>153</v>
      </c>
      <c r="D156" s="1" t="s">
        <v>156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>
        <v>50</v>
      </c>
      <c r="BK156" s="1">
        <v>50</v>
      </c>
      <c r="BL156" s="1"/>
      <c r="BM156" s="1"/>
      <c r="BN156" s="1">
        <v>50</v>
      </c>
      <c r="BO156" s="1">
        <v>50</v>
      </c>
      <c r="BP156" s="1"/>
      <c r="BQ156" s="1">
        <v>195</v>
      </c>
      <c r="BR156" s="17">
        <v>4</v>
      </c>
      <c r="BS156" s="17" t="s">
        <v>135</v>
      </c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8"/>
    </row>
    <row r="157" spans="1:97" ht="54" x14ac:dyDescent="0.15">
      <c r="A157" s="1"/>
      <c r="B157" s="1" t="s">
        <v>172</v>
      </c>
      <c r="C157" s="1" t="s">
        <v>166</v>
      </c>
      <c r="D157" s="1" t="s">
        <v>156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>
        <v>50</v>
      </c>
      <c r="BM157" s="1">
        <v>50</v>
      </c>
      <c r="BN157" s="1">
        <v>50</v>
      </c>
      <c r="BO157" s="1">
        <v>50</v>
      </c>
      <c r="BP157" s="1"/>
      <c r="BQ157" s="1">
        <v>195</v>
      </c>
      <c r="BR157" s="17">
        <v>4</v>
      </c>
      <c r="BS157" s="17" t="s">
        <v>134</v>
      </c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8"/>
    </row>
    <row r="158" spans="1:97" ht="54" x14ac:dyDescent="0.15">
      <c r="A158" s="1"/>
      <c r="B158" s="1" t="s">
        <v>178</v>
      </c>
      <c r="C158" s="1" t="s">
        <v>166</v>
      </c>
      <c r="D158" s="1" t="s">
        <v>156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>
        <v>50</v>
      </c>
      <c r="BM158" s="1">
        <v>50</v>
      </c>
      <c r="BN158" s="1">
        <v>50</v>
      </c>
      <c r="BO158" s="1">
        <v>50</v>
      </c>
      <c r="BP158" s="1"/>
      <c r="BQ158" s="1">
        <v>195</v>
      </c>
      <c r="BR158" s="17">
        <v>4</v>
      </c>
      <c r="BS158" s="17" t="s">
        <v>134</v>
      </c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8"/>
    </row>
    <row r="159" spans="1:97" ht="54" x14ac:dyDescent="0.15">
      <c r="A159" s="1"/>
      <c r="B159" s="1" t="s">
        <v>212</v>
      </c>
      <c r="C159" s="1" t="s">
        <v>213</v>
      </c>
      <c r="D159" s="1" t="s">
        <v>40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>
        <v>50</v>
      </c>
      <c r="BK159" s="1">
        <v>50</v>
      </c>
      <c r="BL159" s="1"/>
      <c r="BM159" s="1"/>
      <c r="BN159" s="1">
        <v>50</v>
      </c>
      <c r="BO159" s="1">
        <v>50</v>
      </c>
      <c r="BP159" s="1"/>
      <c r="BQ159" s="1">
        <v>195</v>
      </c>
      <c r="BR159" s="17">
        <v>4</v>
      </c>
      <c r="BS159" s="17" t="s">
        <v>135</v>
      </c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8"/>
    </row>
    <row r="160" spans="1:97" ht="54" x14ac:dyDescent="0.15">
      <c r="A160" s="1">
        <v>102</v>
      </c>
      <c r="B160" s="3" t="s">
        <v>111</v>
      </c>
      <c r="C160" s="3" t="s">
        <v>78</v>
      </c>
      <c r="D160" s="1" t="s">
        <v>40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>
        <v>50</v>
      </c>
      <c r="BK160" s="1">
        <v>50</v>
      </c>
      <c r="BL160" s="1"/>
      <c r="BM160" s="1"/>
      <c r="BN160" s="1">
        <v>50</v>
      </c>
      <c r="BO160" s="1">
        <v>50</v>
      </c>
      <c r="BP160" s="1">
        <f>SUM(E160:BO160)</f>
        <v>200</v>
      </c>
      <c r="BQ160" s="1">
        <v>195</v>
      </c>
      <c r="BR160" s="17">
        <v>4</v>
      </c>
      <c r="BS160" s="17" t="s">
        <v>135</v>
      </c>
      <c r="BT160" s="1" t="str">
        <f t="shared" ref="BT160:CE160" si="74">IF(AQ160&gt;AQ$162, AQ160-AQ$162,"")</f>
        <v/>
      </c>
      <c r="BU160" s="1" t="str">
        <f t="shared" si="74"/>
        <v/>
      </c>
      <c r="BV160" s="1" t="str">
        <f t="shared" si="74"/>
        <v/>
      </c>
      <c r="BW160" s="1" t="str">
        <f t="shared" si="74"/>
        <v/>
      </c>
      <c r="BX160" s="1" t="str">
        <f t="shared" si="74"/>
        <v/>
      </c>
      <c r="BY160" s="1" t="str">
        <f t="shared" si="74"/>
        <v/>
      </c>
      <c r="BZ160" s="1" t="str">
        <f t="shared" si="74"/>
        <v/>
      </c>
      <c r="CA160" s="1" t="str">
        <f t="shared" si="74"/>
        <v/>
      </c>
      <c r="CB160" s="1" t="str">
        <f t="shared" si="74"/>
        <v/>
      </c>
      <c r="CC160" s="1" t="str">
        <f t="shared" si="74"/>
        <v/>
      </c>
      <c r="CD160" s="1" t="str">
        <f t="shared" si="74"/>
        <v/>
      </c>
      <c r="CE160" s="1" t="str">
        <f t="shared" si="74"/>
        <v/>
      </c>
      <c r="CF160" s="1">
        <f>COUNTIF(BT160:CE160, "&gt;0")</f>
        <v>0</v>
      </c>
      <c r="CG160" s="1" t="str">
        <f t="shared" ref="CG160:CR160" si="75">IF($CF160=1,BT160,"")</f>
        <v/>
      </c>
      <c r="CH160" s="1" t="str">
        <f t="shared" si="75"/>
        <v/>
      </c>
      <c r="CI160" s="1" t="str">
        <f t="shared" si="75"/>
        <v/>
      </c>
      <c r="CJ160" s="1" t="str">
        <f t="shared" si="75"/>
        <v/>
      </c>
      <c r="CK160" s="1" t="str">
        <f t="shared" si="75"/>
        <v/>
      </c>
      <c r="CL160" s="1" t="str">
        <f t="shared" si="75"/>
        <v/>
      </c>
      <c r="CM160" s="1" t="str">
        <f t="shared" si="75"/>
        <v/>
      </c>
      <c r="CN160" s="1" t="str">
        <f t="shared" si="75"/>
        <v/>
      </c>
      <c r="CO160" s="1" t="str">
        <f t="shared" si="75"/>
        <v/>
      </c>
      <c r="CP160" s="1" t="str">
        <f t="shared" si="75"/>
        <v/>
      </c>
      <c r="CQ160" s="1" t="str">
        <f t="shared" si="75"/>
        <v/>
      </c>
      <c r="CR160" s="1" t="str">
        <f t="shared" si="75"/>
        <v/>
      </c>
      <c r="CS160" s="18">
        <f>SUM(AE160:BO160)</f>
        <v>200</v>
      </c>
    </row>
    <row r="161" spans="1:97" x14ac:dyDescent="0.15">
      <c r="A161" s="1"/>
      <c r="B161" s="1" t="s">
        <v>81</v>
      </c>
      <c r="C161" s="1"/>
      <c r="D161" s="1"/>
      <c r="E161" s="6">
        <f>SUM(E2:E160)</f>
        <v>158</v>
      </c>
      <c r="F161" s="6">
        <f>SUM(F2:F160)</f>
        <v>89</v>
      </c>
      <c r="G161" s="6">
        <f>SUM(G2:G160)</f>
        <v>219</v>
      </c>
      <c r="H161" s="6">
        <f>SUM(H2:H160)</f>
        <v>195</v>
      </c>
      <c r="I161" s="6">
        <f>SUM(I2:I160)</f>
        <v>47</v>
      </c>
      <c r="J161" s="6">
        <f>SUM(J2:J160)</f>
        <v>66</v>
      </c>
      <c r="K161" s="6">
        <f>SUM(K2:K160)</f>
        <v>54</v>
      </c>
      <c r="L161" s="6">
        <f>SUM(L2:L160)</f>
        <v>88</v>
      </c>
      <c r="M161" s="6">
        <f>SUM(M2:M160)</f>
        <v>42</v>
      </c>
      <c r="N161" s="6">
        <f>SUM(N2:N160)</f>
        <v>47</v>
      </c>
      <c r="O161" s="6">
        <f>SUM(O2:O160)</f>
        <v>89</v>
      </c>
      <c r="P161" s="32">
        <f>SUM(P2:P160)</f>
        <v>130</v>
      </c>
      <c r="Q161" s="32">
        <f>SUM(Q2:Q160)</f>
        <v>71</v>
      </c>
      <c r="R161" s="32">
        <f>SUM(R2:R160)</f>
        <v>83</v>
      </c>
      <c r="S161" s="32">
        <f>SUM(S2:S160)</f>
        <v>130</v>
      </c>
      <c r="T161" s="32">
        <f>SUM(T2:T160)</f>
        <v>56</v>
      </c>
      <c r="U161" s="32">
        <f>SUM(U2:U160)</f>
        <v>62</v>
      </c>
      <c r="V161" s="32">
        <f>SUM(V2:V160)</f>
        <v>145</v>
      </c>
      <c r="W161" s="32">
        <f>SUM(W2:W160)</f>
        <v>30</v>
      </c>
      <c r="X161" s="32">
        <f>SUM(X2:X160)</f>
        <v>49</v>
      </c>
      <c r="Y161" s="32">
        <f>SUM(Y2:Y160)</f>
        <v>135</v>
      </c>
      <c r="Z161" s="32">
        <f>SUM(Z2:Z160)</f>
        <v>45</v>
      </c>
      <c r="AA161" s="32">
        <f>SUM(AA2:AA160)</f>
        <v>33</v>
      </c>
      <c r="AB161" s="32">
        <f>SUM(AB2:AB160)</f>
        <v>130</v>
      </c>
      <c r="AC161" s="32">
        <f>SUM(AC2:AC160)</f>
        <v>30</v>
      </c>
      <c r="AD161" s="32">
        <f>SUM(AD2:AD160)</f>
        <v>12</v>
      </c>
      <c r="AE161" s="1">
        <f>SUM(AE2:AE160)</f>
        <v>275</v>
      </c>
      <c r="AF161" s="1">
        <f>SUM(AF2:AF160)</f>
        <v>10</v>
      </c>
      <c r="AG161" s="1">
        <f>SUM(AG2:AG160)</f>
        <v>15</v>
      </c>
      <c r="AH161" s="1">
        <f>SUM(AH2:AH160)</f>
        <v>30</v>
      </c>
      <c r="AI161" s="1">
        <f>SUM(AI2:AI160)</f>
        <v>30</v>
      </c>
      <c r="AJ161" s="1">
        <f>SUM(AJ2:AJ160)</f>
        <v>5</v>
      </c>
      <c r="AK161" s="1">
        <f>SUM(AK2:AK160)</f>
        <v>0</v>
      </c>
      <c r="AL161" s="1">
        <f>SUM(AL2:AL160)</f>
        <v>0</v>
      </c>
      <c r="AM161" s="1">
        <f>SUM(AM2:AM160)</f>
        <v>20</v>
      </c>
      <c r="AN161" s="1">
        <f>SUM(AN2:AN160)</f>
        <v>50</v>
      </c>
      <c r="AO161" s="1">
        <f>SUM(AO2:AO160)</f>
        <v>25</v>
      </c>
      <c r="AP161" s="1">
        <f>SUM(AP2:AP160)</f>
        <v>26</v>
      </c>
      <c r="AQ161" s="4">
        <f>SUM(AQ2:AQ160)</f>
        <v>100</v>
      </c>
      <c r="AR161" s="4">
        <f>SUM(AR2:AR160)</f>
        <v>130</v>
      </c>
      <c r="AS161" s="4">
        <f>SUM(AS2:AS160)</f>
        <v>80</v>
      </c>
      <c r="AT161" s="4">
        <f>SUM(AT2:AT160)</f>
        <v>103</v>
      </c>
      <c r="AU161" s="4">
        <f>SUM(AU2:AU160)</f>
        <v>48</v>
      </c>
      <c r="AV161" s="4">
        <f>SUM(AV2:AV160)</f>
        <v>125</v>
      </c>
      <c r="AW161" s="2">
        <f>SUM(AW2:AW160)</f>
        <v>128</v>
      </c>
      <c r="AX161" s="2">
        <f>SUM(AX2:AX160)</f>
        <v>80</v>
      </c>
      <c r="AY161" s="2">
        <f>SUM(AY2:AY160)</f>
        <v>43</v>
      </c>
      <c r="AZ161" s="2">
        <f>SUM(AZ2:AZ160)</f>
        <v>91</v>
      </c>
      <c r="BA161" s="2">
        <f>SUM(BA2:BA160)</f>
        <v>211</v>
      </c>
      <c r="BB161" s="2">
        <f>SUM(BB2:BB160)</f>
        <v>385</v>
      </c>
      <c r="BC161" s="1">
        <f>SUM(BC2:BC160)</f>
        <v>10</v>
      </c>
      <c r="BD161" s="1">
        <f>SUM(BD2:BD160)</f>
        <v>150</v>
      </c>
      <c r="BE161" s="1">
        <f>SUM(BE2:BE160)</f>
        <v>100</v>
      </c>
      <c r="BF161" s="1">
        <f>SUM(BF2:BF160)</f>
        <v>120</v>
      </c>
      <c r="BG161" s="1">
        <f>SUM(BG2:BG160)</f>
        <v>120</v>
      </c>
      <c r="BH161" s="1">
        <f>SUM(BH2:BH160)</f>
        <v>120</v>
      </c>
      <c r="BI161" s="1">
        <f>SUM(BI2:BI160)</f>
        <v>90</v>
      </c>
      <c r="BJ161" s="1">
        <f>SUM(BJ2:BJ160)</f>
        <v>200</v>
      </c>
      <c r="BK161" s="1">
        <f>SUM(BK2:BK160)</f>
        <v>200</v>
      </c>
      <c r="BL161" s="1">
        <f>SUM(BL2:BL160)</f>
        <v>150</v>
      </c>
      <c r="BM161" s="1">
        <f>SUM(BM2:BM160)</f>
        <v>150</v>
      </c>
      <c r="BN161" s="1">
        <f>SUM(BN2:BN160)</f>
        <v>350</v>
      </c>
      <c r="BO161" s="1">
        <f>SUM(BO2:BO160)</f>
        <v>350</v>
      </c>
      <c r="BP161" s="1"/>
      <c r="BQ161" s="1"/>
      <c r="BR161" s="17"/>
      <c r="BS161" s="17"/>
      <c r="BT161" s="1">
        <f>MIN(BT2:BT160)</f>
        <v>0</v>
      </c>
      <c r="BU161" s="1">
        <f>MIN(BU2:BU160)</f>
        <v>0</v>
      </c>
      <c r="BV161" s="1">
        <f>MIN(BV2:BV160)</f>
        <v>5</v>
      </c>
      <c r="BW161" s="1">
        <f>MIN(BW2:BW160)</f>
        <v>5</v>
      </c>
      <c r="BX161" s="1">
        <f>MIN(BX2:BX160)</f>
        <v>0</v>
      </c>
      <c r="BY161" s="1">
        <f>MIN(BY2:BY160)</f>
        <v>1</v>
      </c>
      <c r="BZ161" s="1">
        <f>MIN(BZ2:BZ160)</f>
        <v>1</v>
      </c>
      <c r="CA161" s="1">
        <f>MIN(CA2:CA160)</f>
        <v>0</v>
      </c>
      <c r="CB161" s="1">
        <f>MIN(CB2:CB160)</f>
        <v>0</v>
      </c>
      <c r="CC161" s="1">
        <f>MIN(CC2:CC160)</f>
        <v>0</v>
      </c>
      <c r="CD161" s="1">
        <f>MIN(CD2:CD160)</f>
        <v>0</v>
      </c>
      <c r="CE161" s="1">
        <f>MIN(CE2:CE160)</f>
        <v>0</v>
      </c>
      <c r="CF161" s="1"/>
      <c r="CG161" s="1">
        <f>MIN(CG2:CG160)</f>
        <v>0</v>
      </c>
      <c r="CH161" s="1">
        <f>MIN(CH2:CH160)</f>
        <v>0</v>
      </c>
      <c r="CI161" s="1">
        <f>MIN(CI2:CI160)</f>
        <v>5</v>
      </c>
      <c r="CJ161" s="1">
        <f>MIN(CJ2:CJ160)</f>
        <v>0</v>
      </c>
      <c r="CK161" s="1">
        <f>MIN(CK2:CK160)</f>
        <v>0</v>
      </c>
      <c r="CL161" s="1">
        <f>MIN(CL2:CL160)</f>
        <v>1</v>
      </c>
      <c r="CM161" s="1">
        <f>MIN(CM2:CM160)</f>
        <v>0</v>
      </c>
      <c r="CN161" s="1">
        <f>MIN(CN2:CN160)</f>
        <v>0</v>
      </c>
      <c r="CO161" s="1">
        <f>MIN(CO2:CO160)</f>
        <v>0</v>
      </c>
      <c r="CP161" s="1">
        <f>MIN(CP2:CP160)</f>
        <v>0</v>
      </c>
      <c r="CQ161" s="1">
        <f>MIN(CQ2:CQ160)</f>
        <v>0</v>
      </c>
      <c r="CR161" s="1">
        <f>MIN(CR2:CR160)</f>
        <v>0</v>
      </c>
      <c r="CS161" s="18">
        <f>COUNTIF(CS2:CS160,"=0")</f>
        <v>8</v>
      </c>
    </row>
    <row r="162" spans="1:97" x14ac:dyDescent="0.15">
      <c r="A162" s="1"/>
      <c r="B162" s="3" t="s">
        <v>103</v>
      </c>
      <c r="C162" s="1"/>
      <c r="D162" s="1"/>
      <c r="E162" s="1">
        <v>14</v>
      </c>
      <c r="F162" s="1">
        <v>3</v>
      </c>
      <c r="G162" s="1">
        <v>21</v>
      </c>
      <c r="H162" s="1">
        <v>8</v>
      </c>
      <c r="I162" s="1">
        <v>26</v>
      </c>
      <c r="J162" s="1">
        <v>35</v>
      </c>
      <c r="K162" s="1">
        <v>22</v>
      </c>
      <c r="L162" s="1">
        <v>43</v>
      </c>
      <c r="M162" s="1">
        <v>12</v>
      </c>
      <c r="N162" s="1">
        <v>25</v>
      </c>
      <c r="O162" s="1">
        <v>25</v>
      </c>
      <c r="P162" s="14">
        <v>12</v>
      </c>
      <c r="Q162" s="14">
        <v>1</v>
      </c>
      <c r="R162" s="14">
        <v>2</v>
      </c>
      <c r="S162" s="14">
        <v>11</v>
      </c>
      <c r="T162" s="14">
        <v>5</v>
      </c>
      <c r="U162" s="14">
        <v>0</v>
      </c>
      <c r="V162" s="14">
        <v>12</v>
      </c>
      <c r="W162" s="14">
        <v>2</v>
      </c>
      <c r="X162" s="14">
        <v>6</v>
      </c>
      <c r="Y162" s="14">
        <v>10</v>
      </c>
      <c r="Z162" s="14">
        <v>1</v>
      </c>
      <c r="AA162" s="14">
        <v>1</v>
      </c>
      <c r="AB162" s="14">
        <v>8</v>
      </c>
      <c r="AC162" s="14">
        <v>2</v>
      </c>
      <c r="AD162" s="14">
        <v>4</v>
      </c>
      <c r="AE162" s="1">
        <v>2</v>
      </c>
      <c r="AF162" s="1">
        <v>0</v>
      </c>
      <c r="AG162" s="1">
        <v>0</v>
      </c>
      <c r="AH162" s="1">
        <v>0</v>
      </c>
      <c r="AI162" s="1">
        <v>0</v>
      </c>
      <c r="AJ162" s="1">
        <v>0</v>
      </c>
      <c r="AK162" s="1">
        <v>33</v>
      </c>
      <c r="AL162" s="1">
        <v>43</v>
      </c>
      <c r="AM162" s="1">
        <v>0</v>
      </c>
      <c r="AN162" s="1">
        <v>0</v>
      </c>
      <c r="AO162" s="1">
        <v>0</v>
      </c>
      <c r="AP162" s="1">
        <v>0</v>
      </c>
      <c r="AQ162" s="14">
        <v>15</v>
      </c>
      <c r="AR162" s="14">
        <v>16</v>
      </c>
      <c r="AS162" s="14">
        <v>0</v>
      </c>
      <c r="AT162" s="14">
        <v>15</v>
      </c>
      <c r="AU162" s="14">
        <v>12</v>
      </c>
      <c r="AV162" s="14">
        <v>14</v>
      </c>
      <c r="AW162" s="14">
        <v>19</v>
      </c>
      <c r="AX162" s="14">
        <v>25</v>
      </c>
      <c r="AY162" s="14">
        <v>13</v>
      </c>
      <c r="AZ162" s="14">
        <v>22</v>
      </c>
      <c r="BA162" s="14">
        <v>17</v>
      </c>
      <c r="BB162" s="14">
        <v>138</v>
      </c>
      <c r="BC162" s="14"/>
      <c r="BD162" s="1">
        <v>48</v>
      </c>
      <c r="BE162" s="1">
        <v>48</v>
      </c>
      <c r="BF162" s="1">
        <v>81</v>
      </c>
      <c r="BG162" s="1">
        <v>90</v>
      </c>
      <c r="BH162" s="1">
        <v>48</v>
      </c>
      <c r="BI162" s="1">
        <v>44</v>
      </c>
      <c r="BJ162" s="1">
        <v>5</v>
      </c>
      <c r="BK162" s="1"/>
      <c r="BL162" s="1">
        <v>5</v>
      </c>
      <c r="BM162" s="1"/>
      <c r="BN162" s="1"/>
      <c r="BO162" s="1"/>
      <c r="BP162" s="1"/>
      <c r="BQ162" s="1"/>
      <c r="BR162" s="17"/>
      <c r="BS162" s="17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</row>
    <row r="163" spans="1:97" x14ac:dyDescent="0.15">
      <c r="A163" s="1"/>
      <c r="B163" s="3" t="s">
        <v>110</v>
      </c>
      <c r="C163" s="1"/>
      <c r="D163" s="1"/>
      <c r="E163" s="1">
        <f t="shared" ref="E163:AJ163" si="76">E162-E161</f>
        <v>-144</v>
      </c>
      <c r="F163" s="1">
        <f t="shared" si="76"/>
        <v>-86</v>
      </c>
      <c r="G163" s="1">
        <f t="shared" si="76"/>
        <v>-198</v>
      </c>
      <c r="H163" s="1">
        <f t="shared" si="76"/>
        <v>-187</v>
      </c>
      <c r="I163" s="1">
        <f t="shared" si="76"/>
        <v>-21</v>
      </c>
      <c r="J163" s="1">
        <f t="shared" si="76"/>
        <v>-31</v>
      </c>
      <c r="K163" s="1">
        <f t="shared" si="76"/>
        <v>-32</v>
      </c>
      <c r="L163" s="1">
        <f t="shared" si="76"/>
        <v>-45</v>
      </c>
      <c r="M163" s="1">
        <f t="shared" si="76"/>
        <v>-30</v>
      </c>
      <c r="N163" s="1">
        <f t="shared" si="76"/>
        <v>-22</v>
      </c>
      <c r="O163" s="1">
        <f t="shared" si="76"/>
        <v>-64</v>
      </c>
      <c r="P163" s="1">
        <f t="shared" si="76"/>
        <v>-118</v>
      </c>
      <c r="Q163" s="1">
        <f t="shared" si="76"/>
        <v>-70</v>
      </c>
      <c r="R163" s="1">
        <f t="shared" si="76"/>
        <v>-81</v>
      </c>
      <c r="S163" s="1">
        <f t="shared" si="76"/>
        <v>-119</v>
      </c>
      <c r="T163" s="1">
        <f t="shared" si="76"/>
        <v>-51</v>
      </c>
      <c r="U163" s="1">
        <f t="shared" si="76"/>
        <v>-62</v>
      </c>
      <c r="V163" s="1">
        <f t="shared" si="76"/>
        <v>-133</v>
      </c>
      <c r="W163" s="1">
        <f t="shared" si="76"/>
        <v>-28</v>
      </c>
      <c r="X163" s="1">
        <f t="shared" si="76"/>
        <v>-43</v>
      </c>
      <c r="Y163" s="1">
        <f t="shared" si="76"/>
        <v>-125</v>
      </c>
      <c r="Z163" s="1">
        <f t="shared" si="76"/>
        <v>-44</v>
      </c>
      <c r="AA163" s="1">
        <f t="shared" si="76"/>
        <v>-32</v>
      </c>
      <c r="AB163" s="1">
        <f t="shared" si="76"/>
        <v>-122</v>
      </c>
      <c r="AC163" s="1">
        <f t="shared" si="76"/>
        <v>-28</v>
      </c>
      <c r="AD163" s="1">
        <f t="shared" si="76"/>
        <v>-8</v>
      </c>
      <c r="AE163" s="1">
        <f t="shared" si="76"/>
        <v>-273</v>
      </c>
      <c r="AF163" s="1">
        <f t="shared" si="76"/>
        <v>-10</v>
      </c>
      <c r="AG163" s="1">
        <f t="shared" si="76"/>
        <v>-15</v>
      </c>
      <c r="AH163" s="1">
        <f t="shared" si="76"/>
        <v>-30</v>
      </c>
      <c r="AI163" s="1">
        <f t="shared" si="76"/>
        <v>-30</v>
      </c>
      <c r="AJ163" s="1">
        <f t="shared" si="76"/>
        <v>-5</v>
      </c>
      <c r="AK163" s="1">
        <f t="shared" ref="AK163:BP163" si="77">AK162-AK161</f>
        <v>33</v>
      </c>
      <c r="AL163" s="1">
        <f t="shared" si="77"/>
        <v>43</v>
      </c>
      <c r="AM163" s="1">
        <f t="shared" si="77"/>
        <v>-20</v>
      </c>
      <c r="AN163" s="1">
        <f t="shared" si="77"/>
        <v>-50</v>
      </c>
      <c r="AO163" s="1">
        <f t="shared" si="77"/>
        <v>-25</v>
      </c>
      <c r="AP163" s="1">
        <f t="shared" si="77"/>
        <v>-26</v>
      </c>
      <c r="AQ163" s="1">
        <f t="shared" si="77"/>
        <v>-85</v>
      </c>
      <c r="AR163" s="1">
        <f t="shared" si="77"/>
        <v>-114</v>
      </c>
      <c r="AS163" s="1">
        <f t="shared" si="77"/>
        <v>-80</v>
      </c>
      <c r="AT163" s="1">
        <f t="shared" si="77"/>
        <v>-88</v>
      </c>
      <c r="AU163" s="1">
        <f t="shared" si="77"/>
        <v>-36</v>
      </c>
      <c r="AV163" s="1">
        <f t="shared" si="77"/>
        <v>-111</v>
      </c>
      <c r="AW163" s="1">
        <f t="shared" si="77"/>
        <v>-109</v>
      </c>
      <c r="AX163" s="1">
        <f t="shared" si="77"/>
        <v>-55</v>
      </c>
      <c r="AY163" s="1">
        <f t="shared" si="77"/>
        <v>-30</v>
      </c>
      <c r="AZ163" s="1">
        <f t="shared" si="77"/>
        <v>-69</v>
      </c>
      <c r="BA163" s="1">
        <f t="shared" si="77"/>
        <v>-194</v>
      </c>
      <c r="BB163" s="1">
        <f t="shared" si="77"/>
        <v>-247</v>
      </c>
      <c r="BC163" s="1">
        <f t="shared" si="77"/>
        <v>-10</v>
      </c>
      <c r="BD163" s="1">
        <f t="shared" si="77"/>
        <v>-102</v>
      </c>
      <c r="BE163" s="1">
        <f t="shared" si="77"/>
        <v>-52</v>
      </c>
      <c r="BF163" s="1">
        <f t="shared" si="77"/>
        <v>-39</v>
      </c>
      <c r="BG163" s="1">
        <f t="shared" si="77"/>
        <v>-30</v>
      </c>
      <c r="BH163" s="1">
        <f t="shared" si="77"/>
        <v>-72</v>
      </c>
      <c r="BI163" s="1">
        <f t="shared" si="77"/>
        <v>-46</v>
      </c>
      <c r="BJ163" s="1">
        <f t="shared" si="77"/>
        <v>-195</v>
      </c>
      <c r="BK163" s="1">
        <f t="shared" si="77"/>
        <v>-200</v>
      </c>
      <c r="BL163" s="1">
        <f t="shared" si="77"/>
        <v>-145</v>
      </c>
      <c r="BM163" s="1">
        <f t="shared" si="77"/>
        <v>-150</v>
      </c>
      <c r="BN163" s="1">
        <f t="shared" si="77"/>
        <v>-350</v>
      </c>
      <c r="BO163" s="1">
        <f t="shared" si="77"/>
        <v>-350</v>
      </c>
      <c r="BP163" s="1"/>
      <c r="BQ163" s="1"/>
      <c r="BR163" s="17"/>
      <c r="BS163" s="17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</row>
  </sheetData>
  <autoFilter ref="A1:BP161"/>
  <sortState ref="A2:CS166">
    <sortCondition ref="BR2:BR166"/>
    <sortCondition ref="BQ2:BQ166"/>
  </sortState>
  <phoneticPr fontId="1" type="noConversion"/>
  <conditionalFormatting sqref="E55">
    <cfRule type="cellIs" dxfId="2" priority="4" operator="greaterThan">
      <formula>$E$162</formula>
    </cfRule>
  </conditionalFormatting>
  <conditionalFormatting sqref="E161">
    <cfRule type="cellIs" dxfId="1" priority="3" operator="greaterThan">
      <formula>$E$162</formula>
    </cfRule>
  </conditionalFormatting>
  <conditionalFormatting sqref="E163:BO1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165</xdr:row>
                    <xdr:rowOff>28575</xdr:rowOff>
                  </from>
                  <to>
                    <xdr:col>1</xdr:col>
                    <xdr:colOff>428625</xdr:colOff>
                    <xdr:row>166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100</v>
      </c>
      <c r="B1" s="5" t="s">
        <v>97</v>
      </c>
      <c r="C1" s="5" t="s">
        <v>101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72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80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72</v>
      </c>
      <c r="K19" s="10" t="s">
        <v>80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107</v>
      </c>
      <c r="B1" s="8" t="s">
        <v>108</v>
      </c>
      <c r="C1" s="8" t="s">
        <v>109</v>
      </c>
    </row>
    <row r="2" spans="1:3" x14ac:dyDescent="0.15">
      <c r="A2" s="1">
        <v>5</v>
      </c>
      <c r="B2" s="10" t="s">
        <v>80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80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2020-01-30T12:48:11Z</dcterms:modified>
</cp:coreProperties>
</file>