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/>
  </bookViews>
  <sheets>
    <sheet name="Sheet1" sheetId="1" r:id="rId1"/>
    <sheet name="Sheet1 (2)" sheetId="8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Sheet1!$A$1:$BP$113</definedName>
    <definedName name="_xlnm._FilterDatabase" localSheetId="1" hidden="1">'Sheet1 (2)'!$A$1:$BP$5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O10" i="8" l="1"/>
  <c r="BO12" i="8" s="1"/>
  <c r="BN10" i="8"/>
  <c r="BN12" i="8" s="1"/>
  <c r="BM10" i="8"/>
  <c r="BM12" i="8" s="1"/>
  <c r="BL10" i="8"/>
  <c r="BL12" i="8" s="1"/>
  <c r="BK10" i="8"/>
  <c r="BK12" i="8" s="1"/>
  <c r="BJ10" i="8"/>
  <c r="BJ12" i="8" s="1"/>
  <c r="BI10" i="8"/>
  <c r="BI12" i="8" s="1"/>
  <c r="BH10" i="8"/>
  <c r="BH12" i="8" s="1"/>
  <c r="BG10" i="8"/>
  <c r="BG12" i="8" s="1"/>
  <c r="BF10" i="8"/>
  <c r="BF12" i="8" s="1"/>
  <c r="BE10" i="8"/>
  <c r="BE12" i="8" s="1"/>
  <c r="BD10" i="8"/>
  <c r="BD12" i="8" s="1"/>
  <c r="BC10" i="8"/>
  <c r="BC12" i="8" s="1"/>
  <c r="BB10" i="8"/>
  <c r="BB12" i="8" s="1"/>
  <c r="BA10" i="8"/>
  <c r="BA12" i="8" s="1"/>
  <c r="AZ10" i="8"/>
  <c r="AZ12" i="8" s="1"/>
  <c r="AY10" i="8"/>
  <c r="AY12" i="8" s="1"/>
  <c r="AX10" i="8"/>
  <c r="AX12" i="8" s="1"/>
  <c r="AW10" i="8"/>
  <c r="AW12" i="8" s="1"/>
  <c r="AV10" i="8"/>
  <c r="AV12" i="8" s="1"/>
  <c r="AU10" i="8"/>
  <c r="AU12" i="8" s="1"/>
  <c r="AT10" i="8"/>
  <c r="AT12" i="8" s="1"/>
  <c r="AS10" i="8"/>
  <c r="AS12" i="8" s="1"/>
  <c r="AR10" i="8"/>
  <c r="AR12" i="8" s="1"/>
  <c r="AQ10" i="8"/>
  <c r="AQ12" i="8" s="1"/>
  <c r="AP10" i="8"/>
  <c r="AP12" i="8" s="1"/>
  <c r="AO10" i="8"/>
  <c r="AO12" i="8" s="1"/>
  <c r="AN10" i="8"/>
  <c r="AN12" i="8" s="1"/>
  <c r="AM10" i="8"/>
  <c r="AM12" i="8" s="1"/>
  <c r="AL10" i="8"/>
  <c r="AL12" i="8" s="1"/>
  <c r="AK10" i="8"/>
  <c r="AK12" i="8" s="1"/>
  <c r="AJ10" i="8"/>
  <c r="AJ12" i="8" s="1"/>
  <c r="AI10" i="8"/>
  <c r="AI12" i="8" s="1"/>
  <c r="AH10" i="8"/>
  <c r="AH12" i="8" s="1"/>
  <c r="AG10" i="8"/>
  <c r="AG12" i="8" s="1"/>
  <c r="AF10" i="8"/>
  <c r="AF12" i="8" s="1"/>
  <c r="AE10" i="8"/>
  <c r="AE12" i="8" s="1"/>
  <c r="AD10" i="8"/>
  <c r="AD12" i="8" s="1"/>
  <c r="AC10" i="8"/>
  <c r="AC12" i="8" s="1"/>
  <c r="AB10" i="8"/>
  <c r="AB12" i="8" s="1"/>
  <c r="AA10" i="8"/>
  <c r="AA12" i="8" s="1"/>
  <c r="Z10" i="8"/>
  <c r="Z12" i="8" s="1"/>
  <c r="Y10" i="8"/>
  <c r="Y12" i="8" s="1"/>
  <c r="X10" i="8"/>
  <c r="X12" i="8" s="1"/>
  <c r="W10" i="8"/>
  <c r="W12" i="8" s="1"/>
  <c r="V10" i="8"/>
  <c r="V12" i="8" s="1"/>
  <c r="U10" i="8"/>
  <c r="U12" i="8" s="1"/>
  <c r="T10" i="8"/>
  <c r="T12" i="8" s="1"/>
  <c r="S10" i="8"/>
  <c r="S12" i="8" s="1"/>
  <c r="R10" i="8"/>
  <c r="R12" i="8" s="1"/>
  <c r="Q10" i="8"/>
  <c r="Q12" i="8" s="1"/>
  <c r="P10" i="8"/>
  <c r="P12" i="8" s="1"/>
  <c r="O10" i="8"/>
  <c r="O12" i="8" s="1"/>
  <c r="N10" i="8"/>
  <c r="N12" i="8" s="1"/>
  <c r="M10" i="8"/>
  <c r="M12" i="8" s="1"/>
  <c r="L10" i="8"/>
  <c r="L12" i="8" s="1"/>
  <c r="K10" i="8"/>
  <c r="K12" i="8" s="1"/>
  <c r="J10" i="8"/>
  <c r="J12" i="8" s="1"/>
  <c r="I10" i="8"/>
  <c r="I12" i="8" s="1"/>
  <c r="H10" i="8"/>
  <c r="H12" i="8" s="1"/>
  <c r="G10" i="8"/>
  <c r="G12" i="8" s="1"/>
  <c r="F10" i="8"/>
  <c r="F12" i="8" s="1"/>
  <c r="E10" i="8"/>
  <c r="E12" i="8" s="1"/>
  <c r="BO9" i="8"/>
  <c r="BO11" i="8" s="1"/>
  <c r="BN9" i="8"/>
  <c r="BN11" i="8" s="1"/>
  <c r="BM9" i="8"/>
  <c r="BM11" i="8" s="1"/>
  <c r="BL9" i="8"/>
  <c r="BL11" i="8" s="1"/>
  <c r="BK9" i="8"/>
  <c r="BK11" i="8" s="1"/>
  <c r="BJ9" i="8"/>
  <c r="BJ11" i="8" s="1"/>
  <c r="BI9" i="8"/>
  <c r="BI11" i="8" s="1"/>
  <c r="BH9" i="8"/>
  <c r="BH11" i="8" s="1"/>
  <c r="BG9" i="8"/>
  <c r="BG11" i="8" s="1"/>
  <c r="BF9" i="8"/>
  <c r="BF11" i="8" s="1"/>
  <c r="BE9" i="8"/>
  <c r="BE11" i="8" s="1"/>
  <c r="BD9" i="8"/>
  <c r="BD11" i="8" s="1"/>
  <c r="BC9" i="8"/>
  <c r="BC11" i="8" s="1"/>
  <c r="BB9" i="8"/>
  <c r="BB11" i="8" s="1"/>
  <c r="BA9" i="8"/>
  <c r="BA11" i="8" s="1"/>
  <c r="AZ9" i="8"/>
  <c r="AZ11" i="8" s="1"/>
  <c r="AY9" i="8"/>
  <c r="AY11" i="8" s="1"/>
  <c r="AX9" i="8"/>
  <c r="AX11" i="8" s="1"/>
  <c r="AW9" i="8"/>
  <c r="AW11" i="8" s="1"/>
  <c r="AV9" i="8"/>
  <c r="AV11" i="8" s="1"/>
  <c r="AU9" i="8"/>
  <c r="AU11" i="8" s="1"/>
  <c r="AT9" i="8"/>
  <c r="AT11" i="8" s="1"/>
  <c r="AS9" i="8"/>
  <c r="AS11" i="8" s="1"/>
  <c r="AR9" i="8"/>
  <c r="AR11" i="8" s="1"/>
  <c r="AQ9" i="8"/>
  <c r="AQ11" i="8" s="1"/>
  <c r="AP9" i="8"/>
  <c r="AP11" i="8" s="1"/>
  <c r="AO9" i="8"/>
  <c r="AO11" i="8" s="1"/>
  <c r="AN9" i="8"/>
  <c r="AN11" i="8" s="1"/>
  <c r="AM9" i="8"/>
  <c r="AM11" i="8" s="1"/>
  <c r="AL9" i="8"/>
  <c r="AL11" i="8" s="1"/>
  <c r="AK9" i="8"/>
  <c r="AK11" i="8" s="1"/>
  <c r="AJ9" i="8"/>
  <c r="AJ11" i="8" s="1"/>
  <c r="AI9" i="8"/>
  <c r="AI11" i="8" s="1"/>
  <c r="AH9" i="8"/>
  <c r="AH11" i="8" s="1"/>
  <c r="AG9" i="8"/>
  <c r="AG11" i="8" s="1"/>
  <c r="AF9" i="8"/>
  <c r="AF11" i="8" s="1"/>
  <c r="AE9" i="8"/>
  <c r="AE11" i="8" s="1"/>
  <c r="AD9" i="8"/>
  <c r="AD11" i="8" s="1"/>
  <c r="AC9" i="8"/>
  <c r="AC11" i="8" s="1"/>
  <c r="AB9" i="8"/>
  <c r="AB11" i="8" s="1"/>
  <c r="AA9" i="8"/>
  <c r="AA11" i="8" s="1"/>
  <c r="Z9" i="8"/>
  <c r="Z11" i="8" s="1"/>
  <c r="Y9" i="8"/>
  <c r="Y11" i="8" s="1"/>
  <c r="X9" i="8"/>
  <c r="X11" i="8" s="1"/>
  <c r="W9" i="8"/>
  <c r="W11" i="8" s="1"/>
  <c r="V9" i="8"/>
  <c r="V11" i="8" s="1"/>
  <c r="U9" i="8"/>
  <c r="U11" i="8" s="1"/>
  <c r="T9" i="8"/>
  <c r="T11" i="8" s="1"/>
  <c r="S9" i="8"/>
  <c r="S11" i="8" s="1"/>
  <c r="R9" i="8"/>
  <c r="R11" i="8" s="1"/>
  <c r="Q9" i="8"/>
  <c r="Q11" i="8" s="1"/>
  <c r="P9" i="8"/>
  <c r="P11" i="8" s="1"/>
  <c r="O9" i="8"/>
  <c r="O11" i="8" s="1"/>
  <c r="N9" i="8"/>
  <c r="N11" i="8" s="1"/>
  <c r="M9" i="8"/>
  <c r="M11" i="8" s="1"/>
  <c r="L9" i="8"/>
  <c r="L11" i="8" s="1"/>
  <c r="K9" i="8"/>
  <c r="K11" i="8" s="1"/>
  <c r="J9" i="8"/>
  <c r="J11" i="8" s="1"/>
  <c r="I9" i="8"/>
  <c r="I11" i="8" s="1"/>
  <c r="H9" i="8"/>
  <c r="H11" i="8" s="1"/>
  <c r="G9" i="8"/>
  <c r="G11" i="8" s="1"/>
  <c r="F9" i="8"/>
  <c r="F11" i="8" s="1"/>
  <c r="E9" i="8"/>
  <c r="E11" i="8" s="1"/>
  <c r="BF8" i="8"/>
  <c r="BO6" i="8"/>
  <c r="BO8" i="8" s="1"/>
  <c r="BN6" i="8"/>
  <c r="BN8" i="8" s="1"/>
  <c r="BM6" i="8"/>
  <c r="BM8" i="8" s="1"/>
  <c r="BL6" i="8"/>
  <c r="BL8" i="8" s="1"/>
  <c r="BK6" i="8"/>
  <c r="BK8" i="8" s="1"/>
  <c r="BJ6" i="8"/>
  <c r="BJ8" i="8" s="1"/>
  <c r="BI6" i="8"/>
  <c r="BI8" i="8" s="1"/>
  <c r="BH6" i="8"/>
  <c r="BH8" i="8" s="1"/>
  <c r="BG6" i="8"/>
  <c r="BG8" i="8" s="1"/>
  <c r="BF6" i="8"/>
  <c r="BE6" i="8"/>
  <c r="BE8" i="8" s="1"/>
  <c r="BD6" i="8"/>
  <c r="BD8" i="8" s="1"/>
  <c r="BC6" i="8"/>
  <c r="BC8" i="8" s="1"/>
  <c r="BB6" i="8"/>
  <c r="BB8" i="8" s="1"/>
  <c r="BA6" i="8"/>
  <c r="BA8" i="8" s="1"/>
  <c r="AZ6" i="8"/>
  <c r="AZ8" i="8" s="1"/>
  <c r="AY6" i="8"/>
  <c r="AY8" i="8" s="1"/>
  <c r="AX6" i="8"/>
  <c r="AW6" i="8"/>
  <c r="AV6" i="8"/>
  <c r="AV8" i="8" s="1"/>
  <c r="AU6" i="8"/>
  <c r="AU8" i="8" s="1"/>
  <c r="AT6" i="8"/>
  <c r="AT8" i="8" s="1"/>
  <c r="AS6" i="8"/>
  <c r="AS8" i="8" s="1"/>
  <c r="AR6" i="8"/>
  <c r="BU5" i="8" s="1"/>
  <c r="AQ6" i="8"/>
  <c r="AQ8" i="8" s="1"/>
  <c r="AP6" i="8"/>
  <c r="AP8" i="8" s="1"/>
  <c r="AO6" i="8"/>
  <c r="AO8" i="8" s="1"/>
  <c r="AN6" i="8"/>
  <c r="AN8" i="8" s="1"/>
  <c r="AM6" i="8"/>
  <c r="AM8" i="8" s="1"/>
  <c r="AL6" i="8"/>
  <c r="AL8" i="8" s="1"/>
  <c r="AK6" i="8"/>
  <c r="AK8" i="8" s="1"/>
  <c r="AJ6" i="8"/>
  <c r="AJ8" i="8" s="1"/>
  <c r="AI6" i="8"/>
  <c r="AI8" i="8" s="1"/>
  <c r="AH6" i="8"/>
  <c r="AH8" i="8" s="1"/>
  <c r="AG6" i="8"/>
  <c r="AG8" i="8" s="1"/>
  <c r="AF6" i="8"/>
  <c r="AF8" i="8" s="1"/>
  <c r="AE6" i="8"/>
  <c r="AE8" i="8" s="1"/>
  <c r="AD6" i="8"/>
  <c r="AD8" i="8" s="1"/>
  <c r="AC6" i="8"/>
  <c r="AC8" i="8" s="1"/>
  <c r="AB6" i="8"/>
  <c r="AB8" i="8" s="1"/>
  <c r="AA6" i="8"/>
  <c r="AA8" i="8" s="1"/>
  <c r="Z6" i="8"/>
  <c r="Z8" i="8" s="1"/>
  <c r="Y6" i="8"/>
  <c r="Y8" i="8" s="1"/>
  <c r="X6" i="8"/>
  <c r="X8" i="8" s="1"/>
  <c r="W6" i="8"/>
  <c r="W8" i="8" s="1"/>
  <c r="V6" i="8"/>
  <c r="V8" i="8" s="1"/>
  <c r="U6" i="8"/>
  <c r="U8" i="8" s="1"/>
  <c r="T6" i="8"/>
  <c r="T8" i="8" s="1"/>
  <c r="S6" i="8"/>
  <c r="S8" i="8" s="1"/>
  <c r="R6" i="8"/>
  <c r="R8" i="8" s="1"/>
  <c r="Q6" i="8"/>
  <c r="Q8" i="8" s="1"/>
  <c r="P6" i="8"/>
  <c r="P8" i="8" s="1"/>
  <c r="O6" i="8"/>
  <c r="O8" i="8" s="1"/>
  <c r="N6" i="8"/>
  <c r="N8" i="8" s="1"/>
  <c r="M6" i="8"/>
  <c r="M8" i="8" s="1"/>
  <c r="L6" i="8"/>
  <c r="L8" i="8" s="1"/>
  <c r="K6" i="8"/>
  <c r="K8" i="8" s="1"/>
  <c r="J6" i="8"/>
  <c r="J8" i="8" s="1"/>
  <c r="I6" i="8"/>
  <c r="I8" i="8" s="1"/>
  <c r="H6" i="8"/>
  <c r="H8" i="8" s="1"/>
  <c r="G6" i="8"/>
  <c r="G8" i="8" s="1"/>
  <c r="F6" i="8"/>
  <c r="F8" i="8" s="1"/>
  <c r="E6" i="8"/>
  <c r="E8" i="8" s="1"/>
  <c r="CC5" i="8"/>
  <c r="CB5" i="8"/>
  <c r="BX5" i="8"/>
  <c r="BW5" i="8"/>
  <c r="BP5" i="8"/>
  <c r="CS6" i="8"/>
  <c r="CC4" i="8"/>
  <c r="BW4" i="8"/>
  <c r="BT4" i="8"/>
  <c r="BP4" i="8"/>
  <c r="CS3" i="8"/>
  <c r="CC3" i="8"/>
  <c r="BW3" i="8"/>
  <c r="BU3" i="8"/>
  <c r="BT3" i="8"/>
  <c r="BP3" i="8"/>
  <c r="CS2" i="8"/>
  <c r="CE2" i="8"/>
  <c r="CC2" i="8"/>
  <c r="BX2" i="8"/>
  <c r="BW2" i="8"/>
  <c r="BT2" i="8"/>
  <c r="BP2" i="8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T118" i="1"/>
  <c r="U118" i="1"/>
  <c r="V118" i="1"/>
  <c r="W118" i="1"/>
  <c r="X118" i="1"/>
  <c r="Y118" i="1"/>
  <c r="Z118" i="1"/>
  <c r="AA118" i="1"/>
  <c r="AB118" i="1"/>
  <c r="AC118" i="1"/>
  <c r="AD118" i="1"/>
  <c r="AE118" i="1"/>
  <c r="AF118" i="1"/>
  <c r="AG118" i="1"/>
  <c r="AH118" i="1"/>
  <c r="AI118" i="1"/>
  <c r="AJ118" i="1"/>
  <c r="AK118" i="1"/>
  <c r="AL118" i="1"/>
  <c r="AM118" i="1"/>
  <c r="AN118" i="1"/>
  <c r="AO118" i="1"/>
  <c r="AP118" i="1"/>
  <c r="AQ118" i="1"/>
  <c r="AR118" i="1"/>
  <c r="AS118" i="1"/>
  <c r="AT118" i="1"/>
  <c r="AU118" i="1"/>
  <c r="AV118" i="1"/>
  <c r="AW118" i="1"/>
  <c r="AX118" i="1"/>
  <c r="AY118" i="1"/>
  <c r="AZ118" i="1"/>
  <c r="BA118" i="1"/>
  <c r="BB118" i="1"/>
  <c r="BC118" i="1"/>
  <c r="BD118" i="1"/>
  <c r="BE118" i="1"/>
  <c r="BF118" i="1"/>
  <c r="BG118" i="1"/>
  <c r="BH118" i="1"/>
  <c r="BI118" i="1"/>
  <c r="BJ118" i="1"/>
  <c r="BK118" i="1"/>
  <c r="BL118" i="1"/>
  <c r="BM118" i="1"/>
  <c r="BN118" i="1"/>
  <c r="BO118" i="1"/>
  <c r="E118" i="1"/>
  <c r="F117" i="1"/>
  <c r="G117" i="1"/>
  <c r="H117" i="1"/>
  <c r="I117" i="1"/>
  <c r="J117" i="1"/>
  <c r="K117" i="1"/>
  <c r="L117" i="1"/>
  <c r="M117" i="1"/>
  <c r="N117" i="1"/>
  <c r="O117" i="1"/>
  <c r="P117" i="1"/>
  <c r="Q117" i="1"/>
  <c r="R117" i="1"/>
  <c r="S117" i="1"/>
  <c r="T117" i="1"/>
  <c r="U117" i="1"/>
  <c r="V117" i="1"/>
  <c r="W117" i="1"/>
  <c r="X117" i="1"/>
  <c r="Y117" i="1"/>
  <c r="Z117" i="1"/>
  <c r="AA117" i="1"/>
  <c r="AB117" i="1"/>
  <c r="AC117" i="1"/>
  <c r="AD117" i="1"/>
  <c r="AE117" i="1"/>
  <c r="AF117" i="1"/>
  <c r="AG117" i="1"/>
  <c r="AH117" i="1"/>
  <c r="AI117" i="1"/>
  <c r="AJ117" i="1"/>
  <c r="AK117" i="1"/>
  <c r="AL117" i="1"/>
  <c r="AM117" i="1"/>
  <c r="AN117" i="1"/>
  <c r="AO117" i="1"/>
  <c r="AP117" i="1"/>
  <c r="AQ117" i="1"/>
  <c r="AR117" i="1"/>
  <c r="AS117" i="1"/>
  <c r="AT117" i="1"/>
  <c r="AU117" i="1"/>
  <c r="AV117" i="1"/>
  <c r="AW117" i="1"/>
  <c r="AX117" i="1"/>
  <c r="AY117" i="1"/>
  <c r="AZ117" i="1"/>
  <c r="BA117" i="1"/>
  <c r="BB117" i="1"/>
  <c r="BC117" i="1"/>
  <c r="BD117" i="1"/>
  <c r="BE117" i="1"/>
  <c r="BF117" i="1"/>
  <c r="BG117" i="1"/>
  <c r="BH117" i="1"/>
  <c r="BI117" i="1"/>
  <c r="BJ117" i="1"/>
  <c r="BK117" i="1"/>
  <c r="BL117" i="1"/>
  <c r="BM117" i="1"/>
  <c r="BN117" i="1"/>
  <c r="BO117" i="1"/>
  <c r="E117" i="1"/>
  <c r="BD114" i="1"/>
  <c r="BE114" i="1"/>
  <c r="BF114" i="1"/>
  <c r="BG114" i="1"/>
  <c r="BH114" i="1"/>
  <c r="BI114" i="1"/>
  <c r="BJ114" i="1"/>
  <c r="BK114" i="1"/>
  <c r="BL114" i="1"/>
  <c r="BM114" i="1"/>
  <c r="BN114" i="1"/>
  <c r="BO114" i="1"/>
  <c r="BC114" i="1"/>
  <c r="AX114" i="1"/>
  <c r="AY114" i="1"/>
  <c r="AZ114" i="1"/>
  <c r="BA114" i="1"/>
  <c r="BB114" i="1"/>
  <c r="AW114" i="1"/>
  <c r="AR114" i="1"/>
  <c r="AS114" i="1"/>
  <c r="AT114" i="1"/>
  <c r="AU114" i="1"/>
  <c r="AV114" i="1"/>
  <c r="AQ114" i="1"/>
  <c r="AF114" i="1"/>
  <c r="AG114" i="1"/>
  <c r="AH114" i="1"/>
  <c r="AI114" i="1"/>
  <c r="AJ114" i="1"/>
  <c r="AK114" i="1"/>
  <c r="AL114" i="1"/>
  <c r="AM114" i="1"/>
  <c r="AN114" i="1"/>
  <c r="AO114" i="1"/>
  <c r="AP114" i="1"/>
  <c r="AE114" i="1"/>
  <c r="Q114" i="1"/>
  <c r="R114" i="1"/>
  <c r="S114" i="1"/>
  <c r="T114" i="1"/>
  <c r="U114" i="1"/>
  <c r="V114" i="1"/>
  <c r="W114" i="1"/>
  <c r="X114" i="1"/>
  <c r="Y114" i="1"/>
  <c r="Z114" i="1"/>
  <c r="AA114" i="1"/>
  <c r="AB114" i="1"/>
  <c r="AC114" i="1"/>
  <c r="AD114" i="1"/>
  <c r="P114" i="1"/>
  <c r="F114" i="1"/>
  <c r="G114" i="1"/>
  <c r="H114" i="1"/>
  <c r="I114" i="1"/>
  <c r="J114" i="1"/>
  <c r="K114" i="1"/>
  <c r="L114" i="1"/>
  <c r="M114" i="1"/>
  <c r="N114" i="1"/>
  <c r="O114" i="1"/>
  <c r="E114" i="1"/>
  <c r="BV4" i="8" l="1"/>
  <c r="BU4" i="8"/>
  <c r="CB4" i="8"/>
  <c r="CB3" i="8"/>
  <c r="BT5" i="8"/>
  <c r="BU2" i="8"/>
  <c r="BV5" i="8"/>
  <c r="BV2" i="8"/>
  <c r="BV6" i="8" s="1"/>
  <c r="BX3" i="8"/>
  <c r="CB2" i="8"/>
  <c r="CE3" i="8"/>
  <c r="CE6" i="8" s="1"/>
  <c r="BV3" i="8"/>
  <c r="BX4" i="8"/>
  <c r="CE5" i="8"/>
  <c r="CE4" i="8"/>
  <c r="BT6" i="8"/>
  <c r="BY4" i="8"/>
  <c r="BY2" i="8"/>
  <c r="BY5" i="8"/>
  <c r="BY3" i="8"/>
  <c r="CA3" i="8"/>
  <c r="CD4" i="8"/>
  <c r="CD5" i="8"/>
  <c r="CD3" i="8"/>
  <c r="CD2" i="8"/>
  <c r="BZ3" i="8"/>
  <c r="AR8" i="8"/>
  <c r="BZ2" i="8"/>
  <c r="AW8" i="8"/>
  <c r="CA2" i="8"/>
  <c r="AX8" i="8"/>
  <c r="BZ4" i="8"/>
  <c r="CA4" i="8"/>
  <c r="BZ5" i="8"/>
  <c r="CA5" i="8"/>
  <c r="BP19" i="1"/>
  <c r="BX6" i="8" l="1"/>
  <c r="BU6" i="8"/>
  <c r="BW6" i="8"/>
  <c r="CB6" i="8"/>
  <c r="BY6" i="8"/>
  <c r="CC6" i="8"/>
  <c r="CF3" i="8"/>
  <c r="CR3" i="8" s="1"/>
  <c r="CF2" i="8"/>
  <c r="CR2" i="8" s="1"/>
  <c r="CD6" i="8"/>
  <c r="CK2" i="8"/>
  <c r="CG2" i="8"/>
  <c r="CK3" i="8"/>
  <c r="CJ3" i="8"/>
  <c r="BZ6" i="8"/>
  <c r="CA6" i="8"/>
  <c r="BP48" i="1"/>
  <c r="BP58" i="1"/>
  <c r="BP17" i="1"/>
  <c r="CR6" i="8" l="1"/>
  <c r="CN3" i="8"/>
  <c r="CM3" i="8"/>
  <c r="CG3" i="8"/>
  <c r="CH3" i="8"/>
  <c r="CP2" i="8"/>
  <c r="CL3" i="8"/>
  <c r="CQ3" i="8"/>
  <c r="CH2" i="8"/>
  <c r="CH6" i="8" s="1"/>
  <c r="CI3" i="8"/>
  <c r="CJ2" i="8"/>
  <c r="CL2" i="8"/>
  <c r="CO3" i="8"/>
  <c r="CM2" i="8"/>
  <c r="CP3" i="8"/>
  <c r="CI2" i="8"/>
  <c r="CN2" i="8"/>
  <c r="CO2" i="8"/>
  <c r="CQ2" i="8"/>
  <c r="BC119" i="1"/>
  <c r="BD119" i="1"/>
  <c r="BE119" i="1"/>
  <c r="BF119" i="1"/>
  <c r="BG119" i="1"/>
  <c r="BH119" i="1"/>
  <c r="BI119" i="1"/>
  <c r="BJ119" i="1"/>
  <c r="BK119" i="1"/>
  <c r="BL119" i="1"/>
  <c r="BM119" i="1"/>
  <c r="BN119" i="1"/>
  <c r="BO119" i="1"/>
  <c r="BC120" i="1"/>
  <c r="BD120" i="1"/>
  <c r="BE120" i="1"/>
  <c r="BF120" i="1"/>
  <c r="BG120" i="1"/>
  <c r="BH120" i="1"/>
  <c r="BI120" i="1"/>
  <c r="BJ120" i="1"/>
  <c r="BK120" i="1"/>
  <c r="BL120" i="1"/>
  <c r="BM120" i="1"/>
  <c r="BN120" i="1"/>
  <c r="BO120" i="1"/>
  <c r="BA119" i="1"/>
  <c r="BB119" i="1"/>
  <c r="BA120" i="1"/>
  <c r="BB120" i="1"/>
  <c r="AQ119" i="1"/>
  <c r="AR119" i="1"/>
  <c r="AS119" i="1"/>
  <c r="AT119" i="1"/>
  <c r="AU119" i="1"/>
  <c r="AV119" i="1"/>
  <c r="AW119" i="1"/>
  <c r="AX119" i="1"/>
  <c r="AY119" i="1"/>
  <c r="AZ119" i="1"/>
  <c r="AQ120" i="1"/>
  <c r="AR120" i="1"/>
  <c r="AS120" i="1"/>
  <c r="AT120" i="1"/>
  <c r="AU120" i="1"/>
  <c r="AV120" i="1"/>
  <c r="AW120" i="1"/>
  <c r="AX120" i="1"/>
  <c r="AY120" i="1"/>
  <c r="AZ120" i="1"/>
  <c r="AI119" i="1"/>
  <c r="AJ119" i="1"/>
  <c r="AK119" i="1"/>
  <c r="AL119" i="1"/>
  <c r="AM119" i="1"/>
  <c r="AN119" i="1"/>
  <c r="AO119" i="1"/>
  <c r="AP119" i="1"/>
  <c r="AI120" i="1"/>
  <c r="AJ120" i="1"/>
  <c r="AK120" i="1"/>
  <c r="AL120" i="1"/>
  <c r="AM120" i="1"/>
  <c r="AN120" i="1"/>
  <c r="AO120" i="1"/>
  <c r="AP120" i="1"/>
  <c r="AC119" i="1"/>
  <c r="AD119" i="1"/>
  <c r="AE119" i="1"/>
  <c r="AF119" i="1"/>
  <c r="AG119" i="1"/>
  <c r="AH119" i="1"/>
  <c r="AC120" i="1"/>
  <c r="AD120" i="1"/>
  <c r="AE120" i="1"/>
  <c r="AF120" i="1"/>
  <c r="AG120" i="1"/>
  <c r="AH120" i="1"/>
  <c r="W119" i="1"/>
  <c r="X119" i="1"/>
  <c r="Y119" i="1"/>
  <c r="Z119" i="1"/>
  <c r="AA119" i="1"/>
  <c r="AB119" i="1"/>
  <c r="W120" i="1"/>
  <c r="X120" i="1"/>
  <c r="Y120" i="1"/>
  <c r="Z120" i="1"/>
  <c r="AA120" i="1"/>
  <c r="AB120" i="1"/>
  <c r="P119" i="1"/>
  <c r="Q119" i="1"/>
  <c r="R119" i="1"/>
  <c r="S119" i="1"/>
  <c r="T119" i="1"/>
  <c r="U119" i="1"/>
  <c r="V119" i="1"/>
  <c r="P120" i="1"/>
  <c r="Q120" i="1"/>
  <c r="R120" i="1"/>
  <c r="S120" i="1"/>
  <c r="T120" i="1"/>
  <c r="U120" i="1"/>
  <c r="V120" i="1"/>
  <c r="G119" i="1"/>
  <c r="H119" i="1"/>
  <c r="I119" i="1"/>
  <c r="J119" i="1"/>
  <c r="K119" i="1"/>
  <c r="L119" i="1"/>
  <c r="M119" i="1"/>
  <c r="N119" i="1"/>
  <c r="O119" i="1"/>
  <c r="G120" i="1"/>
  <c r="H120" i="1"/>
  <c r="I120" i="1"/>
  <c r="J120" i="1"/>
  <c r="K120" i="1"/>
  <c r="L120" i="1"/>
  <c r="M120" i="1"/>
  <c r="N120" i="1"/>
  <c r="O120" i="1"/>
  <c r="F119" i="1"/>
  <c r="F120" i="1"/>
  <c r="E120" i="1"/>
  <c r="E119" i="1"/>
  <c r="CI6" i="8" l="1"/>
  <c r="CK6" i="8"/>
  <c r="CJ6" i="8"/>
  <c r="CL6" i="8"/>
  <c r="CM6" i="8"/>
  <c r="CQ6" i="8"/>
  <c r="CN6" i="8"/>
  <c r="CG6" i="8"/>
  <c r="CO6" i="8"/>
  <c r="CP6" i="8"/>
  <c r="BP2" i="1"/>
  <c r="BP3" i="1"/>
  <c r="BP4" i="1"/>
  <c r="BP5" i="1"/>
  <c r="BP6" i="1"/>
  <c r="BP9" i="1"/>
  <c r="BP23" i="1"/>
  <c r="BP16" i="1"/>
  <c r="BP25" i="1"/>
  <c r="BP14" i="1"/>
  <c r="BP26" i="1"/>
  <c r="BP27" i="1"/>
  <c r="BP28" i="1"/>
  <c r="BP29" i="1"/>
  <c r="BP30" i="1"/>
  <c r="BP31" i="1"/>
  <c r="BP15" i="1"/>
  <c r="BP35" i="1"/>
  <c r="BP11" i="1"/>
  <c r="BP18" i="1"/>
  <c r="BP43" i="1"/>
  <c r="BP44" i="1"/>
  <c r="BP45" i="1"/>
  <c r="BP47" i="1"/>
  <c r="BP24" i="1"/>
  <c r="BP8" i="1"/>
  <c r="BP49" i="1"/>
  <c r="BP50" i="1"/>
  <c r="BP51" i="1"/>
  <c r="BP52" i="1"/>
  <c r="BP53" i="1"/>
  <c r="BP39" i="1"/>
  <c r="BP54" i="1"/>
  <c r="BP55" i="1"/>
  <c r="BP7" i="1"/>
  <c r="BP37" i="1"/>
  <c r="BP38" i="1"/>
  <c r="BP36" i="1"/>
  <c r="BP20" i="1"/>
  <c r="BP33" i="1"/>
  <c r="BP40" i="1"/>
  <c r="BP75" i="1"/>
  <c r="BP76" i="1"/>
  <c r="BP77" i="1"/>
  <c r="BP78" i="1"/>
  <c r="BP79" i="1"/>
  <c r="BP80" i="1"/>
  <c r="BP82" i="1"/>
  <c r="BP10" i="1"/>
  <c r="BP59" i="1"/>
  <c r="BP84" i="1"/>
  <c r="BP85" i="1"/>
  <c r="BP46" i="1"/>
  <c r="BP21" i="1"/>
  <c r="BP22" i="1"/>
  <c r="BP63" i="1"/>
  <c r="BP87" i="1"/>
  <c r="BP88" i="1"/>
  <c r="BP69" i="1"/>
  <c r="BP64" i="1"/>
  <c r="BP65" i="1"/>
  <c r="BP66" i="1"/>
  <c r="BP32" i="1"/>
  <c r="BP41" i="1"/>
  <c r="BP42" i="1"/>
  <c r="BP61" i="1"/>
  <c r="BP12" i="1"/>
  <c r="BP13" i="1"/>
  <c r="BP68" i="1"/>
  <c r="BP89" i="1"/>
  <c r="BP81" i="1"/>
  <c r="BP94" i="1"/>
  <c r="BP83" i="1"/>
  <c r="BP95" i="1"/>
  <c r="BP96" i="1"/>
  <c r="BP97" i="1"/>
  <c r="BP98" i="1"/>
  <c r="BP99" i="1"/>
  <c r="BP100" i="1"/>
  <c r="BP101" i="1"/>
  <c r="BP102" i="1"/>
  <c r="BP103" i="1"/>
  <c r="BP104" i="1"/>
  <c r="BP105" i="1"/>
  <c r="BP56" i="1"/>
  <c r="BP57" i="1"/>
  <c r="BP106" i="1"/>
  <c r="BP107" i="1"/>
  <c r="BP86" i="1"/>
  <c r="BP60" i="1"/>
  <c r="BP67" i="1"/>
  <c r="BP108" i="1"/>
  <c r="BP109" i="1"/>
  <c r="BP110" i="1"/>
  <c r="BP111" i="1"/>
  <c r="BP112" i="1"/>
  <c r="BP113" i="1"/>
  <c r="BP34" i="1"/>
  <c r="BP70" i="1"/>
  <c r="BP62" i="1"/>
  <c r="BP71" i="1"/>
  <c r="BP72" i="1"/>
  <c r="BP73" i="1"/>
  <c r="BP74" i="1"/>
  <c r="BP91" i="1"/>
  <c r="BP92" i="1"/>
  <c r="BP93" i="1"/>
  <c r="CS74" i="1" l="1"/>
  <c r="CS2" i="1" l="1"/>
  <c r="CS3" i="1"/>
  <c r="CS46" i="1"/>
  <c r="CS9" i="1"/>
  <c r="CS25" i="1"/>
  <c r="CS14" i="1"/>
  <c r="CS26" i="1"/>
  <c r="CS27" i="1"/>
  <c r="CS28" i="1"/>
  <c r="CS29" i="1"/>
  <c r="CS23" i="1"/>
  <c r="CS39" i="1"/>
  <c r="CS43" i="1"/>
  <c r="CS44" i="1"/>
  <c r="CS45" i="1"/>
  <c r="CS10" i="1"/>
  <c r="CS21" i="1"/>
  <c r="CS15" i="1"/>
  <c r="CS54" i="1"/>
  <c r="CS55" i="1"/>
  <c r="CS22" i="1"/>
  <c r="CS84" i="1"/>
  <c r="CS85" i="1"/>
  <c r="CS36" i="1"/>
  <c r="CS33" i="1"/>
  <c r="CS70" i="1"/>
  <c r="CS34" i="1"/>
  <c r="CS12" i="1"/>
  <c r="CS91" i="1"/>
  <c r="CS71" i="1"/>
  <c r="CS90" i="1"/>
  <c r="CS114" i="1" l="1"/>
  <c r="BP90" i="1" l="1"/>
  <c r="BM116" i="1" l="1"/>
  <c r="AM116" i="1"/>
  <c r="L116" i="1"/>
  <c r="BK116" i="1"/>
  <c r="AJ116" i="1"/>
  <c r="BH116" i="1"/>
  <c r="AH116" i="1"/>
  <c r="AL116" i="1"/>
  <c r="BD116" i="1"/>
  <c r="BL116" i="1"/>
  <c r="J116" i="1"/>
  <c r="H116" i="1"/>
  <c r="G116" i="1"/>
  <c r="BG116" i="1"/>
  <c r="AE116" i="1"/>
  <c r="F116" i="1"/>
  <c r="BJ116" i="1"/>
  <c r="AI116" i="1"/>
  <c r="I116" i="1"/>
  <c r="AG116" i="1"/>
  <c r="BE116" i="1"/>
  <c r="AF116" i="1"/>
  <c r="BF116" i="1"/>
  <c r="O116" i="1"/>
  <c r="BO116" i="1"/>
  <c r="N116" i="1"/>
  <c r="K116" i="1"/>
  <c r="AK116" i="1"/>
  <c r="BI116" i="1"/>
  <c r="E116" i="1"/>
  <c r="BN116" i="1"/>
  <c r="AN116" i="1"/>
  <c r="M116" i="1"/>
  <c r="AP116" i="1"/>
  <c r="BC116" i="1"/>
  <c r="AO116" i="1"/>
  <c r="V116" i="1"/>
  <c r="Y116" i="1"/>
  <c r="W116" i="1"/>
  <c r="S116" i="1"/>
  <c r="X116" i="1"/>
  <c r="R116" i="1"/>
  <c r="Z116" i="1"/>
  <c r="U116" i="1"/>
  <c r="T116" i="1"/>
  <c r="AC116" i="1"/>
  <c r="Q116" i="1"/>
  <c r="AB116" i="1"/>
  <c r="P116" i="1"/>
  <c r="AA116" i="1"/>
  <c r="AD116" i="1"/>
  <c r="AR116" i="1" l="1"/>
  <c r="BU23" i="1"/>
  <c r="BU30" i="1"/>
  <c r="BU44" i="1"/>
  <c r="BU84" i="1"/>
  <c r="BU3" i="1"/>
  <c r="BU11" i="1"/>
  <c r="BU49" i="1"/>
  <c r="BU7" i="1"/>
  <c r="BU79" i="1"/>
  <c r="BU65" i="1"/>
  <c r="BU61" i="1"/>
  <c r="BU12" i="1"/>
  <c r="BU13" i="1"/>
  <c r="BU68" i="1"/>
  <c r="BU89" i="1"/>
  <c r="BU81" i="1"/>
  <c r="BU94" i="1"/>
  <c r="BU83" i="1"/>
  <c r="BU95" i="1"/>
  <c r="BU96" i="1"/>
  <c r="BU97" i="1"/>
  <c r="BU98" i="1"/>
  <c r="BU99" i="1"/>
  <c r="BU100" i="1"/>
  <c r="BU101" i="1"/>
  <c r="BU102" i="1"/>
  <c r="BU103" i="1"/>
  <c r="BU104" i="1"/>
  <c r="BU105" i="1"/>
  <c r="BU56" i="1"/>
  <c r="BU57" i="1"/>
  <c r="BU106" i="1"/>
  <c r="BU107" i="1"/>
  <c r="BU86" i="1"/>
  <c r="BU60" i="1"/>
  <c r="BU67" i="1"/>
  <c r="BU108" i="1"/>
  <c r="BU109" i="1"/>
  <c r="BU110" i="1"/>
  <c r="BU111" i="1"/>
  <c r="BU15" i="1"/>
  <c r="BU39" i="1"/>
  <c r="BU40" i="1"/>
  <c r="BU46" i="1"/>
  <c r="BU9" i="1"/>
  <c r="BU29" i="1"/>
  <c r="BU43" i="1"/>
  <c r="BU53" i="1"/>
  <c r="BU20" i="1"/>
  <c r="BU59" i="1"/>
  <c r="BU69" i="1"/>
  <c r="BU41" i="1"/>
  <c r="BU14" i="1"/>
  <c r="BU8" i="1"/>
  <c r="BU78" i="1"/>
  <c r="BU16" i="1"/>
  <c r="BU31" i="1"/>
  <c r="BU45" i="1"/>
  <c r="BU33" i="1"/>
  <c r="BU85" i="1"/>
  <c r="BU4" i="1"/>
  <c r="BU26" i="1"/>
  <c r="BU50" i="1"/>
  <c r="BU37" i="1"/>
  <c r="BU80" i="1"/>
  <c r="BU5" i="1"/>
  <c r="BU25" i="1"/>
  <c r="BU52" i="1"/>
  <c r="BU21" i="1"/>
  <c r="BU2" i="1"/>
  <c r="BU28" i="1"/>
  <c r="BU76" i="1"/>
  <c r="BU70" i="1"/>
  <c r="BU71" i="1"/>
  <c r="BU73" i="1"/>
  <c r="BU93" i="1"/>
  <c r="BU6" i="1"/>
  <c r="BU47" i="1"/>
  <c r="BU42" i="1"/>
  <c r="BU113" i="1"/>
  <c r="BU62" i="1"/>
  <c r="BU72" i="1"/>
  <c r="BU92" i="1"/>
  <c r="BU22" i="1"/>
  <c r="BU64" i="1"/>
  <c r="BU32" i="1"/>
  <c r="BU91" i="1"/>
  <c r="BU88" i="1"/>
  <c r="BU34" i="1"/>
  <c r="BU74" i="1"/>
  <c r="BU54" i="1"/>
  <c r="BU112" i="1"/>
  <c r="BU82" i="1"/>
  <c r="BU63" i="1"/>
  <c r="BU35" i="1"/>
  <c r="BU38" i="1"/>
  <c r="BU77" i="1"/>
  <c r="BU51" i="1"/>
  <c r="BU55" i="1"/>
  <c r="BU24" i="1"/>
  <c r="BU10" i="1"/>
  <c r="BU27" i="1"/>
  <c r="BU36" i="1"/>
  <c r="BU87" i="1"/>
  <c r="BU66" i="1"/>
  <c r="BU18" i="1"/>
  <c r="BU75" i="1"/>
  <c r="BU90" i="1"/>
  <c r="AU116" i="1"/>
  <c r="BX2" i="1"/>
  <c r="BX3" i="1"/>
  <c r="BX4" i="1"/>
  <c r="BX5" i="1"/>
  <c r="BX6" i="1"/>
  <c r="BX9" i="1"/>
  <c r="BX23" i="1"/>
  <c r="BX16" i="1"/>
  <c r="BX25" i="1"/>
  <c r="BX14" i="1"/>
  <c r="BX26" i="1"/>
  <c r="BX27" i="1"/>
  <c r="BX28" i="1"/>
  <c r="BX29" i="1"/>
  <c r="BX30" i="1"/>
  <c r="BX31" i="1"/>
  <c r="BX15" i="1"/>
  <c r="BX35" i="1"/>
  <c r="BX11" i="1"/>
  <c r="BX18" i="1"/>
  <c r="BX43" i="1"/>
  <c r="BX44" i="1"/>
  <c r="BX45" i="1"/>
  <c r="BX47" i="1"/>
  <c r="BX24" i="1"/>
  <c r="BX8" i="1"/>
  <c r="BX49" i="1"/>
  <c r="BX50" i="1"/>
  <c r="BX51" i="1"/>
  <c r="BX52" i="1"/>
  <c r="BX53" i="1"/>
  <c r="BX39" i="1"/>
  <c r="BX54" i="1"/>
  <c r="BX55" i="1"/>
  <c r="BX7" i="1"/>
  <c r="BX37" i="1"/>
  <c r="BX38" i="1"/>
  <c r="BX36" i="1"/>
  <c r="BX20" i="1"/>
  <c r="BX33" i="1"/>
  <c r="BX40" i="1"/>
  <c r="BX75" i="1"/>
  <c r="BX76" i="1"/>
  <c r="BX77" i="1"/>
  <c r="BX78" i="1"/>
  <c r="BX79" i="1"/>
  <c r="BX80" i="1"/>
  <c r="BX82" i="1"/>
  <c r="BX10" i="1"/>
  <c r="BX59" i="1"/>
  <c r="BX84" i="1"/>
  <c r="BX85" i="1"/>
  <c r="BX46" i="1"/>
  <c r="BX21" i="1"/>
  <c r="BX22" i="1"/>
  <c r="BX63" i="1"/>
  <c r="BX88" i="1"/>
  <c r="BX66" i="1"/>
  <c r="BX87" i="1"/>
  <c r="BX64" i="1"/>
  <c r="BX42" i="1"/>
  <c r="BX69" i="1"/>
  <c r="BX41" i="1"/>
  <c r="BX68" i="1"/>
  <c r="BX102" i="1"/>
  <c r="BX104" i="1"/>
  <c r="BX100" i="1"/>
  <c r="BX56" i="1"/>
  <c r="BX107" i="1"/>
  <c r="BX110" i="1"/>
  <c r="BX94" i="1"/>
  <c r="BX67" i="1"/>
  <c r="BX89" i="1"/>
  <c r="BX103" i="1"/>
  <c r="BX12" i="1"/>
  <c r="BX98" i="1"/>
  <c r="BX32" i="1"/>
  <c r="BX96" i="1"/>
  <c r="BX101" i="1"/>
  <c r="BX105" i="1"/>
  <c r="BX106" i="1"/>
  <c r="BX83" i="1"/>
  <c r="BX113" i="1"/>
  <c r="BX34" i="1"/>
  <c r="BX70" i="1"/>
  <c r="BX62" i="1"/>
  <c r="BX71" i="1"/>
  <c r="BX72" i="1"/>
  <c r="BX73" i="1"/>
  <c r="BX74" i="1"/>
  <c r="BX91" i="1"/>
  <c r="BX92" i="1"/>
  <c r="BX93" i="1"/>
  <c r="BX108" i="1"/>
  <c r="BX65" i="1"/>
  <c r="BX13" i="1"/>
  <c r="BX99" i="1"/>
  <c r="BX112" i="1"/>
  <c r="BX97" i="1"/>
  <c r="BX57" i="1"/>
  <c r="BX111" i="1"/>
  <c r="BX81" i="1"/>
  <c r="BX61" i="1"/>
  <c r="BX86" i="1"/>
  <c r="BX95" i="1"/>
  <c r="BX60" i="1"/>
  <c r="BX109" i="1"/>
  <c r="BX90" i="1"/>
  <c r="BB116" i="1"/>
  <c r="CE16" i="1"/>
  <c r="CE31" i="1"/>
  <c r="CE45" i="1"/>
  <c r="CE33" i="1"/>
  <c r="CE85" i="1"/>
  <c r="CE4" i="1"/>
  <c r="CE26" i="1"/>
  <c r="CE50" i="1"/>
  <c r="CE37" i="1"/>
  <c r="CE80" i="1"/>
  <c r="CE69" i="1"/>
  <c r="CE41" i="1"/>
  <c r="CE47" i="1"/>
  <c r="CE75" i="1"/>
  <c r="CE21" i="1"/>
  <c r="CE23" i="1"/>
  <c r="CE30" i="1"/>
  <c r="CE44" i="1"/>
  <c r="CE84" i="1"/>
  <c r="CE63" i="1"/>
  <c r="CE88" i="1"/>
  <c r="CE32" i="1"/>
  <c r="CE3" i="1"/>
  <c r="CE11" i="1"/>
  <c r="CE49" i="1"/>
  <c r="CE7" i="1"/>
  <c r="CE79" i="1"/>
  <c r="CE15" i="1"/>
  <c r="CE39" i="1"/>
  <c r="CE40" i="1"/>
  <c r="CE46" i="1"/>
  <c r="CE66" i="1"/>
  <c r="CE5" i="1"/>
  <c r="CE27" i="1"/>
  <c r="CE51" i="1"/>
  <c r="CE38" i="1"/>
  <c r="CE82" i="1"/>
  <c r="CE24" i="1"/>
  <c r="CE10" i="1"/>
  <c r="CE13" i="1"/>
  <c r="CE105" i="1"/>
  <c r="CE106" i="1"/>
  <c r="CE25" i="1"/>
  <c r="CE52" i="1"/>
  <c r="CE61" i="1"/>
  <c r="CE97" i="1"/>
  <c r="CE102" i="1"/>
  <c r="CE112" i="1"/>
  <c r="CE113" i="1"/>
  <c r="CE34" i="1"/>
  <c r="CE62" i="1"/>
  <c r="CE71" i="1"/>
  <c r="CE73" i="1"/>
  <c r="CE74" i="1"/>
  <c r="CE92" i="1"/>
  <c r="CE93" i="1"/>
  <c r="CE22" i="1"/>
  <c r="CE100" i="1"/>
  <c r="CE104" i="1"/>
  <c r="CE111" i="1"/>
  <c r="CE2" i="1"/>
  <c r="CE18" i="1"/>
  <c r="CE8" i="1"/>
  <c r="CE59" i="1"/>
  <c r="CE87" i="1"/>
  <c r="CE68" i="1"/>
  <c r="CE70" i="1"/>
  <c r="CE72" i="1"/>
  <c r="CE91" i="1"/>
  <c r="CE14" i="1"/>
  <c r="CE28" i="1"/>
  <c r="CE20" i="1"/>
  <c r="CE95" i="1"/>
  <c r="CE57" i="1"/>
  <c r="CE86" i="1"/>
  <c r="CE108" i="1"/>
  <c r="CE6" i="1"/>
  <c r="CE53" i="1"/>
  <c r="CE43" i="1"/>
  <c r="CE76" i="1"/>
  <c r="CE94" i="1"/>
  <c r="CE29" i="1"/>
  <c r="CE54" i="1"/>
  <c r="CE9" i="1"/>
  <c r="CE64" i="1"/>
  <c r="CE89" i="1"/>
  <c r="CE56" i="1"/>
  <c r="CE107" i="1"/>
  <c r="CE67" i="1"/>
  <c r="CE110" i="1"/>
  <c r="CE65" i="1"/>
  <c r="CE83" i="1"/>
  <c r="CE60" i="1"/>
  <c r="CE35" i="1"/>
  <c r="CE42" i="1"/>
  <c r="CE96" i="1"/>
  <c r="CE99" i="1"/>
  <c r="CE77" i="1"/>
  <c r="CE101" i="1"/>
  <c r="CE103" i="1"/>
  <c r="CE55" i="1"/>
  <c r="CE109" i="1"/>
  <c r="CE78" i="1"/>
  <c r="CE98" i="1"/>
  <c r="CE81" i="1"/>
  <c r="CE12" i="1"/>
  <c r="CE36" i="1"/>
  <c r="CE90" i="1"/>
  <c r="AS116" i="1"/>
  <c r="BV2" i="1"/>
  <c r="BV25" i="1"/>
  <c r="BV24" i="1"/>
  <c r="BV55" i="1"/>
  <c r="BV77" i="1"/>
  <c r="BV63" i="1"/>
  <c r="BV88" i="1"/>
  <c r="BV66" i="1"/>
  <c r="BV23" i="1"/>
  <c r="BV30" i="1"/>
  <c r="BV44" i="1"/>
  <c r="BV84" i="1"/>
  <c r="BV3" i="1"/>
  <c r="BV11" i="1"/>
  <c r="BV49" i="1"/>
  <c r="BV7" i="1"/>
  <c r="BV79" i="1"/>
  <c r="BV65" i="1"/>
  <c r="BV61" i="1"/>
  <c r="BV12" i="1"/>
  <c r="BV13" i="1"/>
  <c r="BV68" i="1"/>
  <c r="BV89" i="1"/>
  <c r="BV81" i="1"/>
  <c r="BV94" i="1"/>
  <c r="BV83" i="1"/>
  <c r="BV95" i="1"/>
  <c r="BV96" i="1"/>
  <c r="BV97" i="1"/>
  <c r="BV98" i="1"/>
  <c r="BV99" i="1"/>
  <c r="BV100" i="1"/>
  <c r="BV101" i="1"/>
  <c r="BV102" i="1"/>
  <c r="BV103" i="1"/>
  <c r="BV104" i="1"/>
  <c r="BV105" i="1"/>
  <c r="BV35" i="1"/>
  <c r="BV54" i="1"/>
  <c r="BV76" i="1"/>
  <c r="BV22" i="1"/>
  <c r="BV9" i="1"/>
  <c r="BV29" i="1"/>
  <c r="BV43" i="1"/>
  <c r="BV53" i="1"/>
  <c r="BV20" i="1"/>
  <c r="BV59" i="1"/>
  <c r="BV69" i="1"/>
  <c r="BV41" i="1"/>
  <c r="BV14" i="1"/>
  <c r="BV8" i="1"/>
  <c r="BV78" i="1"/>
  <c r="BV16" i="1"/>
  <c r="BV31" i="1"/>
  <c r="BV45" i="1"/>
  <c r="BV33" i="1"/>
  <c r="BV85" i="1"/>
  <c r="BV27" i="1"/>
  <c r="BV39" i="1"/>
  <c r="BV36" i="1"/>
  <c r="BV15" i="1"/>
  <c r="BV18" i="1"/>
  <c r="BV75" i="1"/>
  <c r="BV87" i="1"/>
  <c r="BV64" i="1"/>
  <c r="BV32" i="1"/>
  <c r="BV106" i="1"/>
  <c r="BV109" i="1"/>
  <c r="BV28" i="1"/>
  <c r="BV60" i="1"/>
  <c r="BV6" i="1"/>
  <c r="BV47" i="1"/>
  <c r="BV80" i="1"/>
  <c r="BV37" i="1"/>
  <c r="BV50" i="1"/>
  <c r="BV42" i="1"/>
  <c r="BV113" i="1"/>
  <c r="BV34" i="1"/>
  <c r="BV70" i="1"/>
  <c r="BV62" i="1"/>
  <c r="BV71" i="1"/>
  <c r="BV72" i="1"/>
  <c r="BV73" i="1"/>
  <c r="BV74" i="1"/>
  <c r="BV91" i="1"/>
  <c r="BV92" i="1"/>
  <c r="BV93" i="1"/>
  <c r="BV26" i="1"/>
  <c r="BV82" i="1"/>
  <c r="BV40" i="1"/>
  <c r="BV4" i="1"/>
  <c r="BV38" i="1"/>
  <c r="BV57" i="1"/>
  <c r="BV86" i="1"/>
  <c r="BV108" i="1"/>
  <c r="BV111" i="1"/>
  <c r="BV51" i="1"/>
  <c r="BV46" i="1"/>
  <c r="BV10" i="1"/>
  <c r="BV5" i="1"/>
  <c r="BV52" i="1"/>
  <c r="BV21" i="1"/>
  <c r="BV67" i="1"/>
  <c r="BV110" i="1"/>
  <c r="BV56" i="1"/>
  <c r="BV112" i="1"/>
  <c r="BV107" i="1"/>
  <c r="BV90" i="1"/>
  <c r="AW116" i="1"/>
  <c r="BZ47" i="1"/>
  <c r="BZ75" i="1"/>
  <c r="BZ21" i="1"/>
  <c r="BZ6" i="1"/>
  <c r="BZ28" i="1"/>
  <c r="BZ18" i="1"/>
  <c r="BZ52" i="1"/>
  <c r="BZ36" i="1"/>
  <c r="BZ10" i="1"/>
  <c r="BZ32" i="1"/>
  <c r="BZ2" i="1"/>
  <c r="BZ25" i="1"/>
  <c r="BZ24" i="1"/>
  <c r="BZ55" i="1"/>
  <c r="BZ77" i="1"/>
  <c r="BZ15" i="1"/>
  <c r="BZ39" i="1"/>
  <c r="BZ40" i="1"/>
  <c r="BZ46" i="1"/>
  <c r="BZ65" i="1"/>
  <c r="BZ5" i="1"/>
  <c r="BZ27" i="1"/>
  <c r="BZ51" i="1"/>
  <c r="BZ38" i="1"/>
  <c r="BZ82" i="1"/>
  <c r="BZ61" i="1"/>
  <c r="BZ12" i="1"/>
  <c r="BZ13" i="1"/>
  <c r="BZ68" i="1"/>
  <c r="BZ89" i="1"/>
  <c r="BZ81" i="1"/>
  <c r="BZ94" i="1"/>
  <c r="BZ83" i="1"/>
  <c r="BZ95" i="1"/>
  <c r="BZ96" i="1"/>
  <c r="BZ97" i="1"/>
  <c r="BZ98" i="1"/>
  <c r="BZ99" i="1"/>
  <c r="BZ100" i="1"/>
  <c r="BZ101" i="1"/>
  <c r="BZ102" i="1"/>
  <c r="BZ103" i="1"/>
  <c r="BZ104" i="1"/>
  <c r="BZ105" i="1"/>
  <c r="BZ56" i="1"/>
  <c r="BZ57" i="1"/>
  <c r="BZ106" i="1"/>
  <c r="BZ107" i="1"/>
  <c r="BZ86" i="1"/>
  <c r="BZ60" i="1"/>
  <c r="BZ67" i="1"/>
  <c r="BZ108" i="1"/>
  <c r="BZ109" i="1"/>
  <c r="BZ110" i="1"/>
  <c r="BZ35" i="1"/>
  <c r="BZ54" i="1"/>
  <c r="BZ76" i="1"/>
  <c r="BZ22" i="1"/>
  <c r="BZ87" i="1"/>
  <c r="BZ64" i="1"/>
  <c r="BZ42" i="1"/>
  <c r="BZ9" i="1"/>
  <c r="BZ29" i="1"/>
  <c r="BZ43" i="1"/>
  <c r="BZ53" i="1"/>
  <c r="BZ20" i="1"/>
  <c r="BZ59" i="1"/>
  <c r="BZ31" i="1"/>
  <c r="BZ66" i="1"/>
  <c r="BZ41" i="1"/>
  <c r="BZ14" i="1"/>
  <c r="BZ79" i="1"/>
  <c r="BZ84" i="1"/>
  <c r="BZ7" i="1"/>
  <c r="BZ49" i="1"/>
  <c r="BZ11" i="1"/>
  <c r="BZ80" i="1"/>
  <c r="BZ88" i="1"/>
  <c r="BZ37" i="1"/>
  <c r="BZ3" i="1"/>
  <c r="BZ44" i="1"/>
  <c r="BZ50" i="1"/>
  <c r="BZ85" i="1"/>
  <c r="BZ63" i="1"/>
  <c r="BZ30" i="1"/>
  <c r="BZ33" i="1"/>
  <c r="BZ78" i="1"/>
  <c r="BZ111" i="1"/>
  <c r="BZ23" i="1"/>
  <c r="BZ26" i="1"/>
  <c r="BZ112" i="1"/>
  <c r="BZ113" i="1"/>
  <c r="BZ34" i="1"/>
  <c r="BZ70" i="1"/>
  <c r="BZ62" i="1"/>
  <c r="BZ71" i="1"/>
  <c r="BZ72" i="1"/>
  <c r="BZ73" i="1"/>
  <c r="BZ74" i="1"/>
  <c r="BZ91" i="1"/>
  <c r="BZ92" i="1"/>
  <c r="BZ93" i="1"/>
  <c r="BZ4" i="1"/>
  <c r="BZ45" i="1"/>
  <c r="BZ16" i="1"/>
  <c r="BZ69" i="1"/>
  <c r="BZ8" i="1"/>
  <c r="BZ90" i="1"/>
  <c r="AT116" i="1"/>
  <c r="BW2" i="1"/>
  <c r="BW3" i="1"/>
  <c r="BW4" i="1"/>
  <c r="BW5" i="1"/>
  <c r="BW6" i="1"/>
  <c r="BW9" i="1"/>
  <c r="BW23" i="1"/>
  <c r="BW16" i="1"/>
  <c r="BW25" i="1"/>
  <c r="BW14" i="1"/>
  <c r="BW26" i="1"/>
  <c r="BW27" i="1"/>
  <c r="BW28" i="1"/>
  <c r="BW29" i="1"/>
  <c r="BW30" i="1"/>
  <c r="BW31" i="1"/>
  <c r="BW15" i="1"/>
  <c r="BW35" i="1"/>
  <c r="BW11" i="1"/>
  <c r="BW18" i="1"/>
  <c r="BW43" i="1"/>
  <c r="BW44" i="1"/>
  <c r="BW45" i="1"/>
  <c r="BW47" i="1"/>
  <c r="BW24" i="1"/>
  <c r="BW8" i="1"/>
  <c r="BW49" i="1"/>
  <c r="BW50" i="1"/>
  <c r="BW51" i="1"/>
  <c r="BW52" i="1"/>
  <c r="BW53" i="1"/>
  <c r="BW39" i="1"/>
  <c r="BW54" i="1"/>
  <c r="BW55" i="1"/>
  <c r="BW7" i="1"/>
  <c r="BW37" i="1"/>
  <c r="BW38" i="1"/>
  <c r="BW36" i="1"/>
  <c r="BW20" i="1"/>
  <c r="BW33" i="1"/>
  <c r="BW40" i="1"/>
  <c r="BW75" i="1"/>
  <c r="BW76" i="1"/>
  <c r="BW77" i="1"/>
  <c r="BW78" i="1"/>
  <c r="BW79" i="1"/>
  <c r="BW80" i="1"/>
  <c r="BW82" i="1"/>
  <c r="BW10" i="1"/>
  <c r="BW59" i="1"/>
  <c r="BW84" i="1"/>
  <c r="BW85" i="1"/>
  <c r="BW46" i="1"/>
  <c r="BW21" i="1"/>
  <c r="BW22" i="1"/>
  <c r="BW63" i="1"/>
  <c r="BW87" i="1"/>
  <c r="BW88" i="1"/>
  <c r="BW69" i="1"/>
  <c r="BW64" i="1"/>
  <c r="BW65" i="1"/>
  <c r="BW66" i="1"/>
  <c r="BW32" i="1"/>
  <c r="BW41" i="1"/>
  <c r="BW42" i="1"/>
  <c r="BW95" i="1"/>
  <c r="BW94" i="1"/>
  <c r="BW56" i="1"/>
  <c r="BW107" i="1"/>
  <c r="BW67" i="1"/>
  <c r="BW110" i="1"/>
  <c r="BW98" i="1"/>
  <c r="BW12" i="1"/>
  <c r="BW96" i="1"/>
  <c r="BW89" i="1"/>
  <c r="BW103" i="1"/>
  <c r="BW101" i="1"/>
  <c r="BW105" i="1"/>
  <c r="BW106" i="1"/>
  <c r="BW60" i="1"/>
  <c r="BW109" i="1"/>
  <c r="BW83" i="1"/>
  <c r="BW13" i="1"/>
  <c r="BW99" i="1"/>
  <c r="BW112" i="1"/>
  <c r="BW81" i="1"/>
  <c r="BW68" i="1"/>
  <c r="BW102" i="1"/>
  <c r="BW61" i="1"/>
  <c r="BW97" i="1"/>
  <c r="BW57" i="1"/>
  <c r="BW86" i="1"/>
  <c r="BW108" i="1"/>
  <c r="BW111" i="1"/>
  <c r="BW104" i="1"/>
  <c r="BW93" i="1"/>
  <c r="BW113" i="1"/>
  <c r="BW34" i="1"/>
  <c r="BW74" i="1"/>
  <c r="BW71" i="1"/>
  <c r="BW70" i="1"/>
  <c r="BW91" i="1"/>
  <c r="BW100" i="1"/>
  <c r="BW62" i="1"/>
  <c r="BW92" i="1"/>
  <c r="BW72" i="1"/>
  <c r="BW73" i="1"/>
  <c r="BW90" i="1"/>
  <c r="AY116" i="1"/>
  <c r="CB2" i="1"/>
  <c r="CB3" i="1"/>
  <c r="CB4" i="1"/>
  <c r="CB5" i="1"/>
  <c r="CB6" i="1"/>
  <c r="CB9" i="1"/>
  <c r="CB23" i="1"/>
  <c r="CB16" i="1"/>
  <c r="CB25" i="1"/>
  <c r="CB14" i="1"/>
  <c r="CB26" i="1"/>
  <c r="CB27" i="1"/>
  <c r="CB28" i="1"/>
  <c r="CB29" i="1"/>
  <c r="CB30" i="1"/>
  <c r="CB31" i="1"/>
  <c r="CB15" i="1"/>
  <c r="CB35" i="1"/>
  <c r="CB11" i="1"/>
  <c r="CB18" i="1"/>
  <c r="CB43" i="1"/>
  <c r="CB44" i="1"/>
  <c r="CB45" i="1"/>
  <c r="CB47" i="1"/>
  <c r="CB24" i="1"/>
  <c r="CB8" i="1"/>
  <c r="CB49" i="1"/>
  <c r="CB50" i="1"/>
  <c r="CB51" i="1"/>
  <c r="CB52" i="1"/>
  <c r="CB53" i="1"/>
  <c r="CB39" i="1"/>
  <c r="CB54" i="1"/>
  <c r="CB55" i="1"/>
  <c r="CB7" i="1"/>
  <c r="CB37" i="1"/>
  <c r="CB38" i="1"/>
  <c r="CB36" i="1"/>
  <c r="CB20" i="1"/>
  <c r="CB33" i="1"/>
  <c r="CB40" i="1"/>
  <c r="CB75" i="1"/>
  <c r="CB76" i="1"/>
  <c r="CB77" i="1"/>
  <c r="CB78" i="1"/>
  <c r="CB79" i="1"/>
  <c r="CB80" i="1"/>
  <c r="CB82" i="1"/>
  <c r="CB10" i="1"/>
  <c r="CB59" i="1"/>
  <c r="CB84" i="1"/>
  <c r="CB85" i="1"/>
  <c r="CB46" i="1"/>
  <c r="CB21" i="1"/>
  <c r="CB22" i="1"/>
  <c r="CB63" i="1"/>
  <c r="CB87" i="1"/>
  <c r="CB88" i="1"/>
  <c r="CB69" i="1"/>
  <c r="CB64" i="1"/>
  <c r="CB65" i="1"/>
  <c r="CB66" i="1"/>
  <c r="CB32" i="1"/>
  <c r="CB41" i="1"/>
  <c r="CB42" i="1"/>
  <c r="CB61" i="1"/>
  <c r="CB12" i="1"/>
  <c r="CB13" i="1"/>
  <c r="CB68" i="1"/>
  <c r="CB89" i="1"/>
  <c r="CB81" i="1"/>
  <c r="CB94" i="1"/>
  <c r="CB83" i="1"/>
  <c r="CB95" i="1"/>
  <c r="CB96" i="1"/>
  <c r="CB97" i="1"/>
  <c r="CB98" i="1"/>
  <c r="CB99" i="1"/>
  <c r="CB100" i="1"/>
  <c r="CB101" i="1"/>
  <c r="CB102" i="1"/>
  <c r="CB112" i="1"/>
  <c r="CB71" i="1"/>
  <c r="CB91" i="1"/>
  <c r="CB104" i="1"/>
  <c r="CB111" i="1"/>
  <c r="CB56" i="1"/>
  <c r="CB110" i="1"/>
  <c r="CB107" i="1"/>
  <c r="CB67" i="1"/>
  <c r="CB113" i="1"/>
  <c r="CB70" i="1"/>
  <c r="CB72" i="1"/>
  <c r="CB92" i="1"/>
  <c r="CB105" i="1"/>
  <c r="CB106" i="1"/>
  <c r="CB60" i="1"/>
  <c r="CB109" i="1"/>
  <c r="CB34" i="1"/>
  <c r="CB73" i="1"/>
  <c r="CB93" i="1"/>
  <c r="CB62" i="1"/>
  <c r="CB74" i="1"/>
  <c r="CB86" i="1"/>
  <c r="CB108" i="1"/>
  <c r="CB103" i="1"/>
  <c r="CB57" i="1"/>
  <c r="CB90" i="1"/>
  <c r="AZ116" i="1"/>
  <c r="CC2" i="1"/>
  <c r="CC3" i="1"/>
  <c r="CC4" i="1"/>
  <c r="CC5" i="1"/>
  <c r="CC6" i="1"/>
  <c r="CC9" i="1"/>
  <c r="CC23" i="1"/>
  <c r="CC16" i="1"/>
  <c r="CC25" i="1"/>
  <c r="CC14" i="1"/>
  <c r="CC26" i="1"/>
  <c r="CC27" i="1"/>
  <c r="CC28" i="1"/>
  <c r="CC29" i="1"/>
  <c r="CC30" i="1"/>
  <c r="CC31" i="1"/>
  <c r="CC15" i="1"/>
  <c r="CC35" i="1"/>
  <c r="CC11" i="1"/>
  <c r="CC18" i="1"/>
  <c r="CC43" i="1"/>
  <c r="CC44" i="1"/>
  <c r="CC45" i="1"/>
  <c r="CC47" i="1"/>
  <c r="CC24" i="1"/>
  <c r="CC8" i="1"/>
  <c r="CC49" i="1"/>
  <c r="CC50" i="1"/>
  <c r="CC51" i="1"/>
  <c r="CC52" i="1"/>
  <c r="CC53" i="1"/>
  <c r="CC39" i="1"/>
  <c r="CC54" i="1"/>
  <c r="CC55" i="1"/>
  <c r="CC7" i="1"/>
  <c r="CC37" i="1"/>
  <c r="CC38" i="1"/>
  <c r="CC36" i="1"/>
  <c r="CC20" i="1"/>
  <c r="CC33" i="1"/>
  <c r="CC40" i="1"/>
  <c r="CC75" i="1"/>
  <c r="CC76" i="1"/>
  <c r="CC77" i="1"/>
  <c r="CC78" i="1"/>
  <c r="CC79" i="1"/>
  <c r="CC80" i="1"/>
  <c r="CC82" i="1"/>
  <c r="CC10" i="1"/>
  <c r="CC59" i="1"/>
  <c r="CC84" i="1"/>
  <c r="CC85" i="1"/>
  <c r="CC46" i="1"/>
  <c r="CC21" i="1"/>
  <c r="CC22" i="1"/>
  <c r="CC63" i="1"/>
  <c r="CC87" i="1"/>
  <c r="CC88" i="1"/>
  <c r="CC66" i="1"/>
  <c r="CC65" i="1"/>
  <c r="CC61" i="1"/>
  <c r="CC95" i="1"/>
  <c r="CC57" i="1"/>
  <c r="CC86" i="1"/>
  <c r="CC108" i="1"/>
  <c r="CC69" i="1"/>
  <c r="CC100" i="1"/>
  <c r="CC104" i="1"/>
  <c r="CC111" i="1"/>
  <c r="CC41" i="1"/>
  <c r="CC94" i="1"/>
  <c r="CC12" i="1"/>
  <c r="CC98" i="1"/>
  <c r="CC64" i="1"/>
  <c r="CC89" i="1"/>
  <c r="CC56" i="1"/>
  <c r="CC107" i="1"/>
  <c r="CC67" i="1"/>
  <c r="CC110" i="1"/>
  <c r="CC32" i="1"/>
  <c r="CC42" i="1"/>
  <c r="CC101" i="1"/>
  <c r="CC103" i="1"/>
  <c r="CC83" i="1"/>
  <c r="CC13" i="1"/>
  <c r="CC99" i="1"/>
  <c r="CC105" i="1"/>
  <c r="CC106" i="1"/>
  <c r="CC60" i="1"/>
  <c r="CC109" i="1"/>
  <c r="CC81" i="1"/>
  <c r="CC97" i="1"/>
  <c r="CC113" i="1"/>
  <c r="CC73" i="1"/>
  <c r="CC96" i="1"/>
  <c r="CC34" i="1"/>
  <c r="CC74" i="1"/>
  <c r="CC70" i="1"/>
  <c r="CC102" i="1"/>
  <c r="CC62" i="1"/>
  <c r="CC91" i="1"/>
  <c r="CC92" i="1"/>
  <c r="CC71" i="1"/>
  <c r="CC93" i="1"/>
  <c r="CC68" i="1"/>
  <c r="CC112" i="1"/>
  <c r="CC72" i="1"/>
  <c r="CC90" i="1"/>
  <c r="AV116" i="1"/>
  <c r="BY6" i="1"/>
  <c r="BY28" i="1"/>
  <c r="BY18" i="1"/>
  <c r="BY52" i="1"/>
  <c r="BY36" i="1"/>
  <c r="BY10" i="1"/>
  <c r="BY32" i="1"/>
  <c r="BY2" i="1"/>
  <c r="BY25" i="1"/>
  <c r="BY24" i="1"/>
  <c r="BY55" i="1"/>
  <c r="BY77" i="1"/>
  <c r="BY23" i="1"/>
  <c r="BY30" i="1"/>
  <c r="BY44" i="1"/>
  <c r="BY84" i="1"/>
  <c r="BY63" i="1"/>
  <c r="BY88" i="1"/>
  <c r="BY66" i="1"/>
  <c r="BY5" i="1"/>
  <c r="BY27" i="1"/>
  <c r="BY51" i="1"/>
  <c r="BY38" i="1"/>
  <c r="BY82" i="1"/>
  <c r="BY61" i="1"/>
  <c r="BY12" i="1"/>
  <c r="BY13" i="1"/>
  <c r="BY68" i="1"/>
  <c r="BY89" i="1"/>
  <c r="BY81" i="1"/>
  <c r="BY94" i="1"/>
  <c r="BY83" i="1"/>
  <c r="BY95" i="1"/>
  <c r="BY96" i="1"/>
  <c r="BY97" i="1"/>
  <c r="BY98" i="1"/>
  <c r="BY99" i="1"/>
  <c r="BY100" i="1"/>
  <c r="BY101" i="1"/>
  <c r="BY102" i="1"/>
  <c r="BY103" i="1"/>
  <c r="BY104" i="1"/>
  <c r="BY105" i="1"/>
  <c r="BY56" i="1"/>
  <c r="BY57" i="1"/>
  <c r="BY106" i="1"/>
  <c r="BY107" i="1"/>
  <c r="BY86" i="1"/>
  <c r="BY60" i="1"/>
  <c r="BY67" i="1"/>
  <c r="BY108" i="1"/>
  <c r="BY109" i="1"/>
  <c r="BY110" i="1"/>
  <c r="BY111" i="1"/>
  <c r="BY112" i="1"/>
  <c r="BY35" i="1"/>
  <c r="BY54" i="1"/>
  <c r="BY76" i="1"/>
  <c r="BY22" i="1"/>
  <c r="BY87" i="1"/>
  <c r="BY64" i="1"/>
  <c r="BY42" i="1"/>
  <c r="BY9" i="1"/>
  <c r="BY29" i="1"/>
  <c r="BY43" i="1"/>
  <c r="BY53" i="1"/>
  <c r="BY20" i="1"/>
  <c r="BY59" i="1"/>
  <c r="BY14" i="1"/>
  <c r="BY8" i="1"/>
  <c r="BY78" i="1"/>
  <c r="BY69" i="1"/>
  <c r="BY41" i="1"/>
  <c r="BY16" i="1"/>
  <c r="BY40" i="1"/>
  <c r="BY79" i="1"/>
  <c r="BY21" i="1"/>
  <c r="BY15" i="1"/>
  <c r="BY7" i="1"/>
  <c r="BY75" i="1"/>
  <c r="BY49" i="1"/>
  <c r="BY11" i="1"/>
  <c r="BY47" i="1"/>
  <c r="BY80" i="1"/>
  <c r="BY37" i="1"/>
  <c r="BY3" i="1"/>
  <c r="BY50" i="1"/>
  <c r="BY85" i="1"/>
  <c r="BY33" i="1"/>
  <c r="BY46" i="1"/>
  <c r="BY26" i="1"/>
  <c r="BY113" i="1"/>
  <c r="BY34" i="1"/>
  <c r="BY70" i="1"/>
  <c r="BY62" i="1"/>
  <c r="BY71" i="1"/>
  <c r="BY72" i="1"/>
  <c r="BY73" i="1"/>
  <c r="BY74" i="1"/>
  <c r="BY91" i="1"/>
  <c r="BY92" i="1"/>
  <c r="BY93" i="1"/>
  <c r="BY4" i="1"/>
  <c r="BY45" i="1"/>
  <c r="BY65" i="1"/>
  <c r="BY31" i="1"/>
  <c r="BY39" i="1"/>
  <c r="BY90" i="1"/>
  <c r="AQ116" i="1"/>
  <c r="BT3" i="1"/>
  <c r="BT11" i="1"/>
  <c r="BT49" i="1"/>
  <c r="BT7" i="1"/>
  <c r="BT79" i="1"/>
  <c r="BT65" i="1"/>
  <c r="BT61" i="1"/>
  <c r="BT12" i="1"/>
  <c r="BT13" i="1"/>
  <c r="BT68" i="1"/>
  <c r="BT89" i="1"/>
  <c r="BT81" i="1"/>
  <c r="BT94" i="1"/>
  <c r="BT83" i="1"/>
  <c r="BT95" i="1"/>
  <c r="BT96" i="1"/>
  <c r="BT97" i="1"/>
  <c r="BT98" i="1"/>
  <c r="BT99" i="1"/>
  <c r="BT100" i="1"/>
  <c r="BT101" i="1"/>
  <c r="BT102" i="1"/>
  <c r="BT103" i="1"/>
  <c r="BT104" i="1"/>
  <c r="BT105" i="1"/>
  <c r="BT56" i="1"/>
  <c r="BT57" i="1"/>
  <c r="BT106" i="1"/>
  <c r="BT107" i="1"/>
  <c r="BT86" i="1"/>
  <c r="BT60" i="1"/>
  <c r="BT67" i="1"/>
  <c r="BT108" i="1"/>
  <c r="BT109" i="1"/>
  <c r="BT110" i="1"/>
  <c r="BT111" i="1"/>
  <c r="BT112" i="1"/>
  <c r="BT15" i="1"/>
  <c r="BT39" i="1"/>
  <c r="BT40" i="1"/>
  <c r="BT46" i="1"/>
  <c r="BT5" i="1"/>
  <c r="BT27" i="1"/>
  <c r="BT51" i="1"/>
  <c r="BT38" i="1"/>
  <c r="BT82" i="1"/>
  <c r="BT87" i="1"/>
  <c r="BT64" i="1"/>
  <c r="BT42" i="1"/>
  <c r="BT14" i="1"/>
  <c r="BT8" i="1"/>
  <c r="BT78" i="1"/>
  <c r="BT16" i="1"/>
  <c r="BT31" i="1"/>
  <c r="BT45" i="1"/>
  <c r="BT33" i="1"/>
  <c r="BT85" i="1"/>
  <c r="BT4" i="1"/>
  <c r="BT26" i="1"/>
  <c r="BT50" i="1"/>
  <c r="BT37" i="1"/>
  <c r="BT80" i="1"/>
  <c r="BT47" i="1"/>
  <c r="BT75" i="1"/>
  <c r="BT21" i="1"/>
  <c r="BT32" i="1"/>
  <c r="BT2" i="1"/>
  <c r="BT18" i="1"/>
  <c r="BT69" i="1"/>
  <c r="BT66" i="1"/>
  <c r="BT6" i="1"/>
  <c r="BT20" i="1"/>
  <c r="BT29" i="1"/>
  <c r="BT53" i="1"/>
  <c r="BT22" i="1"/>
  <c r="BT43" i="1"/>
  <c r="BT76" i="1"/>
  <c r="BT84" i="1"/>
  <c r="BT88" i="1"/>
  <c r="BT113" i="1"/>
  <c r="BT34" i="1"/>
  <c r="BT70" i="1"/>
  <c r="BT62" i="1"/>
  <c r="BT71" i="1"/>
  <c r="BT72" i="1"/>
  <c r="BT73" i="1"/>
  <c r="BT74" i="1"/>
  <c r="BT91" i="1"/>
  <c r="BT92" i="1"/>
  <c r="BT93" i="1"/>
  <c r="BT54" i="1"/>
  <c r="BT9" i="1"/>
  <c r="BT63" i="1"/>
  <c r="BT35" i="1"/>
  <c r="BT44" i="1"/>
  <c r="BT77" i="1"/>
  <c r="BT30" i="1"/>
  <c r="BT55" i="1"/>
  <c r="BT25" i="1"/>
  <c r="BT23" i="1"/>
  <c r="BT24" i="1"/>
  <c r="BT10" i="1"/>
  <c r="BT52" i="1"/>
  <c r="BT36" i="1"/>
  <c r="BT59" i="1"/>
  <c r="BT28" i="1"/>
  <c r="BT41" i="1"/>
  <c r="BT90" i="1"/>
  <c r="AX116" i="1"/>
  <c r="CA4" i="1"/>
  <c r="CA26" i="1"/>
  <c r="CA50" i="1"/>
  <c r="CA37" i="1"/>
  <c r="CA80" i="1"/>
  <c r="CA47" i="1"/>
  <c r="CA75" i="1"/>
  <c r="CA21" i="1"/>
  <c r="CA6" i="1"/>
  <c r="CA28" i="1"/>
  <c r="CA18" i="1"/>
  <c r="CA52" i="1"/>
  <c r="CA36" i="1"/>
  <c r="CA10" i="1"/>
  <c r="CA32" i="1"/>
  <c r="CA3" i="1"/>
  <c r="CA11" i="1"/>
  <c r="CA49" i="1"/>
  <c r="CA7" i="1"/>
  <c r="CA79" i="1"/>
  <c r="CA15" i="1"/>
  <c r="CA39" i="1"/>
  <c r="CA40" i="1"/>
  <c r="CA46" i="1"/>
  <c r="CA65" i="1"/>
  <c r="CA5" i="1"/>
  <c r="CA27" i="1"/>
  <c r="CA51" i="1"/>
  <c r="CA38" i="1"/>
  <c r="CA82" i="1"/>
  <c r="CA61" i="1"/>
  <c r="CA12" i="1"/>
  <c r="CA13" i="1"/>
  <c r="CA68" i="1"/>
  <c r="CA89" i="1"/>
  <c r="CA81" i="1"/>
  <c r="CA94" i="1"/>
  <c r="CA83" i="1"/>
  <c r="CA95" i="1"/>
  <c r="CA96" i="1"/>
  <c r="CA97" i="1"/>
  <c r="CA98" i="1"/>
  <c r="CA99" i="1"/>
  <c r="CA100" i="1"/>
  <c r="CA101" i="1"/>
  <c r="CA102" i="1"/>
  <c r="CA35" i="1"/>
  <c r="CA54" i="1"/>
  <c r="CA76" i="1"/>
  <c r="CA22" i="1"/>
  <c r="CA87" i="1"/>
  <c r="CA64" i="1"/>
  <c r="CA42" i="1"/>
  <c r="CA45" i="1"/>
  <c r="CA78" i="1"/>
  <c r="CA57" i="1"/>
  <c r="CA108" i="1"/>
  <c r="CA31" i="1"/>
  <c r="CA2" i="1"/>
  <c r="CA16" i="1"/>
  <c r="CA8" i="1"/>
  <c r="CA59" i="1"/>
  <c r="CA69" i="1"/>
  <c r="CA20" i="1"/>
  <c r="CA66" i="1"/>
  <c r="CA41" i="1"/>
  <c r="CA14" i="1"/>
  <c r="CA53" i="1"/>
  <c r="CA56" i="1"/>
  <c r="CA107" i="1"/>
  <c r="CA67" i="1"/>
  <c r="CA110" i="1"/>
  <c r="CA43" i="1"/>
  <c r="CA29" i="1"/>
  <c r="CA84" i="1"/>
  <c r="CA103" i="1"/>
  <c r="CA9" i="1"/>
  <c r="CA88" i="1"/>
  <c r="CA105" i="1"/>
  <c r="CA106" i="1"/>
  <c r="CA60" i="1"/>
  <c r="CA109" i="1"/>
  <c r="CA112" i="1"/>
  <c r="CA70" i="1"/>
  <c r="CA71" i="1"/>
  <c r="CA74" i="1"/>
  <c r="CA93" i="1"/>
  <c r="CA44" i="1"/>
  <c r="CA77" i="1"/>
  <c r="CA85" i="1"/>
  <c r="CA63" i="1"/>
  <c r="CA23" i="1"/>
  <c r="CA34" i="1"/>
  <c r="CA72" i="1"/>
  <c r="CA91" i="1"/>
  <c r="CA86" i="1"/>
  <c r="CA30" i="1"/>
  <c r="CA55" i="1"/>
  <c r="CA33" i="1"/>
  <c r="CA24" i="1"/>
  <c r="CA113" i="1"/>
  <c r="CA62" i="1"/>
  <c r="CA73" i="1"/>
  <c r="CA92" i="1"/>
  <c r="CA25" i="1"/>
  <c r="CA104" i="1"/>
  <c r="CA111" i="1"/>
  <c r="CA90" i="1"/>
  <c r="BA116" i="1"/>
  <c r="CD2" i="1"/>
  <c r="CD3" i="1"/>
  <c r="CD4" i="1"/>
  <c r="CD5" i="1"/>
  <c r="CD6" i="1"/>
  <c r="CD9" i="1"/>
  <c r="CD23" i="1"/>
  <c r="CD16" i="1"/>
  <c r="CD25" i="1"/>
  <c r="CD14" i="1"/>
  <c r="CD26" i="1"/>
  <c r="CD27" i="1"/>
  <c r="CD28" i="1"/>
  <c r="CD29" i="1"/>
  <c r="CD30" i="1"/>
  <c r="CD31" i="1"/>
  <c r="CD15" i="1"/>
  <c r="CD35" i="1"/>
  <c r="CD11" i="1"/>
  <c r="CD18" i="1"/>
  <c r="CD43" i="1"/>
  <c r="CD44" i="1"/>
  <c r="CD45" i="1"/>
  <c r="CD47" i="1"/>
  <c r="CD24" i="1"/>
  <c r="CD8" i="1"/>
  <c r="CD49" i="1"/>
  <c r="CD50" i="1"/>
  <c r="CD51" i="1"/>
  <c r="CD52" i="1"/>
  <c r="CD53" i="1"/>
  <c r="CD39" i="1"/>
  <c r="CD54" i="1"/>
  <c r="CD55" i="1"/>
  <c r="CD7" i="1"/>
  <c r="CD37" i="1"/>
  <c r="CD38" i="1"/>
  <c r="CD36" i="1"/>
  <c r="CD20" i="1"/>
  <c r="CD33" i="1"/>
  <c r="CD40" i="1"/>
  <c r="CD75" i="1"/>
  <c r="CD76" i="1"/>
  <c r="CD77" i="1"/>
  <c r="CD78" i="1"/>
  <c r="CD79" i="1"/>
  <c r="CD80" i="1"/>
  <c r="CD82" i="1"/>
  <c r="CD10" i="1"/>
  <c r="CD59" i="1"/>
  <c r="CD84" i="1"/>
  <c r="CD85" i="1"/>
  <c r="CD46" i="1"/>
  <c r="CD21" i="1"/>
  <c r="CD22" i="1"/>
  <c r="CD63" i="1"/>
  <c r="CD87" i="1"/>
  <c r="CD88" i="1"/>
  <c r="CD69" i="1"/>
  <c r="CD41" i="1"/>
  <c r="CD66" i="1"/>
  <c r="CD65" i="1"/>
  <c r="CD68" i="1"/>
  <c r="CD102" i="1"/>
  <c r="CD112" i="1"/>
  <c r="CD113" i="1"/>
  <c r="CD34" i="1"/>
  <c r="CD70" i="1"/>
  <c r="CD62" i="1"/>
  <c r="CD71" i="1"/>
  <c r="CD72" i="1"/>
  <c r="CD73" i="1"/>
  <c r="CD74" i="1"/>
  <c r="CD91" i="1"/>
  <c r="CD92" i="1"/>
  <c r="CD93" i="1"/>
  <c r="CD86" i="1"/>
  <c r="CD108" i="1"/>
  <c r="CD94" i="1"/>
  <c r="CD89" i="1"/>
  <c r="CD95" i="1"/>
  <c r="CD57" i="1"/>
  <c r="CD100" i="1"/>
  <c r="CD104" i="1"/>
  <c r="CD111" i="1"/>
  <c r="CD12" i="1"/>
  <c r="CD98" i="1"/>
  <c r="CD64" i="1"/>
  <c r="CD56" i="1"/>
  <c r="CD32" i="1"/>
  <c r="CD42" i="1"/>
  <c r="CD96" i="1"/>
  <c r="CD13" i="1"/>
  <c r="CD99" i="1"/>
  <c r="CD105" i="1"/>
  <c r="CD106" i="1"/>
  <c r="CD81" i="1"/>
  <c r="CD101" i="1"/>
  <c r="CD103" i="1"/>
  <c r="CD60" i="1"/>
  <c r="CD83" i="1"/>
  <c r="CD109" i="1"/>
  <c r="CD97" i="1"/>
  <c r="CD67" i="1"/>
  <c r="CD61" i="1"/>
  <c r="CD110" i="1"/>
  <c r="CD107" i="1"/>
  <c r="CD90" i="1"/>
  <c r="CF28" i="1" l="1"/>
  <c r="CH28" i="1" s="1"/>
  <c r="CF74" i="1"/>
  <c r="CF22" i="1"/>
  <c r="CF39" i="1"/>
  <c r="CF44" i="1"/>
  <c r="CF85" i="1"/>
  <c r="BZ114" i="1"/>
  <c r="BV114" i="1"/>
  <c r="CF36" i="1"/>
  <c r="CF29" i="1"/>
  <c r="CF33" i="1"/>
  <c r="CF15" i="1"/>
  <c r="CF71" i="1"/>
  <c r="BW114" i="1"/>
  <c r="CF45" i="1"/>
  <c r="CB114" i="1"/>
  <c r="CF10" i="1"/>
  <c r="CF70" i="1"/>
  <c r="CC114" i="1"/>
  <c r="CA114" i="1"/>
  <c r="CF9" i="1"/>
  <c r="CF34" i="1"/>
  <c r="CF23" i="1"/>
  <c r="CF3" i="1"/>
  <c r="CF25" i="1"/>
  <c r="CF54" i="1"/>
  <c r="CF2" i="1"/>
  <c r="BT114" i="1"/>
  <c r="CF26" i="1"/>
  <c r="CF27" i="1"/>
  <c r="CE114" i="1"/>
  <c r="CD114" i="1"/>
  <c r="CF55" i="1"/>
  <c r="CF84" i="1"/>
  <c r="CF90" i="1"/>
  <c r="CF21" i="1"/>
  <c r="CF46" i="1"/>
  <c r="BU114" i="1"/>
  <c r="CF91" i="1"/>
  <c r="CF43" i="1"/>
  <c r="CF14" i="1"/>
  <c r="CF12" i="1"/>
  <c r="BY114" i="1"/>
  <c r="BX114" i="1"/>
  <c r="CL28" i="1" l="1"/>
  <c r="CG28" i="1"/>
  <c r="CQ28" i="1"/>
  <c r="CP28" i="1"/>
  <c r="CM28" i="1"/>
  <c r="CI28" i="1"/>
  <c r="CR28" i="1"/>
  <c r="CJ28" i="1"/>
  <c r="CO28" i="1"/>
  <c r="CK28" i="1"/>
  <c r="CN28" i="1"/>
  <c r="CN3" i="1"/>
  <c r="CM3" i="1"/>
  <c r="CR3" i="1"/>
  <c r="CI3" i="1"/>
  <c r="CK3" i="1"/>
  <c r="CJ3" i="1"/>
  <c r="CL3" i="1"/>
  <c r="CP3" i="1"/>
  <c r="CQ3" i="1"/>
  <c r="CG3" i="1"/>
  <c r="CH3" i="1"/>
  <c r="CO3" i="1"/>
  <c r="CK36" i="1"/>
  <c r="CQ36" i="1"/>
  <c r="CM36" i="1"/>
  <c r="CL36" i="1"/>
  <c r="CG36" i="1"/>
  <c r="CP36" i="1"/>
  <c r="CJ36" i="1"/>
  <c r="CI36" i="1"/>
  <c r="CN36" i="1"/>
  <c r="CO36" i="1"/>
  <c r="CR36" i="1"/>
  <c r="CH36" i="1"/>
  <c r="CO12" i="1"/>
  <c r="CJ12" i="1"/>
  <c r="CI12" i="1"/>
  <c r="CH12" i="1"/>
  <c r="CR12" i="1"/>
  <c r="CQ12" i="1"/>
  <c r="CM12" i="1"/>
  <c r="CP12" i="1"/>
  <c r="CG12" i="1"/>
  <c r="CK12" i="1"/>
  <c r="CN12" i="1"/>
  <c r="CL12" i="1"/>
  <c r="CR84" i="1"/>
  <c r="CG84" i="1"/>
  <c r="CI84" i="1"/>
  <c r="CN84" i="1"/>
  <c r="CL84" i="1"/>
  <c r="CJ84" i="1"/>
  <c r="CM84" i="1"/>
  <c r="CH84" i="1"/>
  <c r="CO84" i="1"/>
  <c r="CQ84" i="1"/>
  <c r="CK84" i="1"/>
  <c r="CP84" i="1"/>
  <c r="CO45" i="1"/>
  <c r="CR45" i="1"/>
  <c r="CN45" i="1"/>
  <c r="CQ45" i="1"/>
  <c r="CK45" i="1"/>
  <c r="CP45" i="1"/>
  <c r="CH45" i="1"/>
  <c r="CJ45" i="1"/>
  <c r="CM45" i="1"/>
  <c r="CL45" i="1"/>
  <c r="CG45" i="1"/>
  <c r="CI45" i="1"/>
  <c r="CR14" i="1"/>
  <c r="CK14" i="1"/>
  <c r="CM14" i="1"/>
  <c r="CL14" i="1"/>
  <c r="CN14" i="1"/>
  <c r="CG14" i="1"/>
  <c r="CP14" i="1"/>
  <c r="CI14" i="1"/>
  <c r="CH14" i="1"/>
  <c r="CJ14" i="1"/>
  <c r="CO14" i="1"/>
  <c r="CQ14" i="1"/>
  <c r="CN55" i="1"/>
  <c r="CH55" i="1"/>
  <c r="CR55" i="1"/>
  <c r="CJ55" i="1"/>
  <c r="CL55" i="1"/>
  <c r="CM55" i="1"/>
  <c r="CP55" i="1"/>
  <c r="CG55" i="1"/>
  <c r="CO55" i="1"/>
  <c r="CK55" i="1"/>
  <c r="CI55" i="1"/>
  <c r="CQ55" i="1"/>
  <c r="CL43" i="1"/>
  <c r="CG43" i="1"/>
  <c r="CI43" i="1"/>
  <c r="CK43" i="1"/>
  <c r="CN43" i="1"/>
  <c r="CO43" i="1"/>
  <c r="CJ43" i="1"/>
  <c r="CM43" i="1"/>
  <c r="CQ43" i="1"/>
  <c r="CR43" i="1"/>
  <c r="CH43" i="1"/>
  <c r="CP43" i="1"/>
  <c r="CM23" i="1"/>
  <c r="CN23" i="1"/>
  <c r="CL23" i="1"/>
  <c r="CI23" i="1"/>
  <c r="CO23" i="1"/>
  <c r="CQ23" i="1"/>
  <c r="CJ23" i="1"/>
  <c r="CH23" i="1"/>
  <c r="CP23" i="1"/>
  <c r="CG23" i="1"/>
  <c r="CR23" i="1"/>
  <c r="CK23" i="1"/>
  <c r="CJ85" i="1"/>
  <c r="CQ85" i="1"/>
  <c r="CP85" i="1"/>
  <c r="CM85" i="1"/>
  <c r="CK85" i="1"/>
  <c r="CO85" i="1"/>
  <c r="CI85" i="1"/>
  <c r="CR85" i="1"/>
  <c r="CH85" i="1"/>
  <c r="CL85" i="1"/>
  <c r="CN85" i="1"/>
  <c r="CG85" i="1"/>
  <c r="CR91" i="1"/>
  <c r="CL91" i="1"/>
  <c r="CJ91" i="1"/>
  <c r="CI91" i="1"/>
  <c r="CG91" i="1"/>
  <c r="CN91" i="1"/>
  <c r="CH91" i="1"/>
  <c r="CM91" i="1"/>
  <c r="CP91" i="1"/>
  <c r="CK91" i="1"/>
  <c r="CQ91" i="1"/>
  <c r="CO91" i="1"/>
  <c r="CP27" i="1"/>
  <c r="CR27" i="1"/>
  <c r="CM27" i="1"/>
  <c r="CK27" i="1"/>
  <c r="CL27" i="1"/>
  <c r="CQ27" i="1"/>
  <c r="CO27" i="1"/>
  <c r="CN27" i="1"/>
  <c r="CH27" i="1"/>
  <c r="CG27" i="1"/>
  <c r="CI27" i="1"/>
  <c r="CJ27" i="1"/>
  <c r="CI44" i="1"/>
  <c r="CN44" i="1"/>
  <c r="CM44" i="1"/>
  <c r="CJ44" i="1"/>
  <c r="CO44" i="1"/>
  <c r="CQ44" i="1"/>
  <c r="CR44" i="1"/>
  <c r="CK44" i="1"/>
  <c r="CH44" i="1"/>
  <c r="CL44" i="1"/>
  <c r="CP44" i="1"/>
  <c r="CG44" i="1"/>
  <c r="CK34" i="1"/>
  <c r="CJ34" i="1"/>
  <c r="CO34" i="1"/>
  <c r="CM34" i="1"/>
  <c r="CR34" i="1"/>
  <c r="CI34" i="1"/>
  <c r="CP34" i="1"/>
  <c r="CN34" i="1"/>
  <c r="CL34" i="1"/>
  <c r="CG34" i="1"/>
  <c r="CH34" i="1"/>
  <c r="CQ34" i="1"/>
  <c r="CR39" i="1"/>
  <c r="CP39" i="1"/>
  <c r="CN39" i="1"/>
  <c r="CJ39" i="1"/>
  <c r="CL39" i="1"/>
  <c r="CH39" i="1"/>
  <c r="CO39" i="1"/>
  <c r="CI39" i="1"/>
  <c r="CG39" i="1"/>
  <c r="CM39" i="1"/>
  <c r="CK39" i="1"/>
  <c r="CQ39" i="1"/>
  <c r="CN26" i="1"/>
  <c r="CK26" i="1"/>
  <c r="CR26" i="1"/>
  <c r="CH26" i="1"/>
  <c r="CG26" i="1"/>
  <c r="CL26" i="1"/>
  <c r="CJ26" i="1"/>
  <c r="CO26" i="1"/>
  <c r="CQ26" i="1"/>
  <c r="CP26" i="1"/>
  <c r="CI26" i="1"/>
  <c r="CM26" i="1"/>
  <c r="CO9" i="1"/>
  <c r="CR9" i="1"/>
  <c r="CI9" i="1"/>
  <c r="CJ9" i="1"/>
  <c r="CG9" i="1"/>
  <c r="CQ9" i="1"/>
  <c r="CM9" i="1"/>
  <c r="CH9" i="1"/>
  <c r="CP9" i="1"/>
  <c r="CN9" i="1"/>
  <c r="CK9" i="1"/>
  <c r="CL9" i="1"/>
  <c r="CG71" i="1"/>
  <c r="CI71" i="1"/>
  <c r="CM71" i="1"/>
  <c r="CK71" i="1"/>
  <c r="CR71" i="1"/>
  <c r="CL71" i="1"/>
  <c r="CQ71" i="1"/>
  <c r="CO71" i="1"/>
  <c r="CP71" i="1"/>
  <c r="CN71" i="1"/>
  <c r="CH71" i="1"/>
  <c r="CJ71" i="1"/>
  <c r="CQ46" i="1"/>
  <c r="CR46" i="1"/>
  <c r="CG46" i="1"/>
  <c r="CJ46" i="1"/>
  <c r="CK46" i="1"/>
  <c r="CP46" i="1"/>
  <c r="CI46" i="1"/>
  <c r="CH46" i="1"/>
  <c r="CL46" i="1"/>
  <c r="CN46" i="1"/>
  <c r="CO46" i="1"/>
  <c r="CM46" i="1"/>
  <c r="CI15" i="1"/>
  <c r="CH15" i="1"/>
  <c r="CR15" i="1"/>
  <c r="CK15" i="1"/>
  <c r="CJ15" i="1"/>
  <c r="CP15" i="1"/>
  <c r="CN15" i="1"/>
  <c r="CM15" i="1"/>
  <c r="CL15" i="1"/>
  <c r="CG15" i="1"/>
  <c r="CO15" i="1"/>
  <c r="CQ15" i="1"/>
  <c r="CN2" i="1"/>
  <c r="CR2" i="1"/>
  <c r="CI2" i="1"/>
  <c r="CO2" i="1"/>
  <c r="CK2" i="1"/>
  <c r="CJ2" i="1"/>
  <c r="CM2" i="1"/>
  <c r="CP2" i="1"/>
  <c r="CG2" i="1"/>
  <c r="CL2" i="1"/>
  <c r="CH2" i="1"/>
  <c r="CQ2" i="1"/>
  <c r="CG33" i="1"/>
  <c r="CM33" i="1"/>
  <c r="CJ33" i="1"/>
  <c r="CO33" i="1"/>
  <c r="CH33" i="1"/>
  <c r="CK33" i="1"/>
  <c r="CR33" i="1"/>
  <c r="CI33" i="1"/>
  <c r="CL33" i="1"/>
  <c r="CQ33" i="1"/>
  <c r="CP33" i="1"/>
  <c r="CN33" i="1"/>
  <c r="CN21" i="1"/>
  <c r="CM21" i="1"/>
  <c r="CI21" i="1"/>
  <c r="CG21" i="1"/>
  <c r="CL21" i="1"/>
  <c r="CP21" i="1"/>
  <c r="CO21" i="1"/>
  <c r="CQ21" i="1"/>
  <c r="CJ21" i="1"/>
  <c r="CK21" i="1"/>
  <c r="CH21" i="1"/>
  <c r="CR21" i="1"/>
  <c r="CL54" i="1"/>
  <c r="CO54" i="1"/>
  <c r="CM54" i="1"/>
  <c r="CP54" i="1"/>
  <c r="CQ54" i="1"/>
  <c r="CK54" i="1"/>
  <c r="CG54" i="1"/>
  <c r="CJ54" i="1"/>
  <c r="CH54" i="1"/>
  <c r="CR54" i="1"/>
  <c r="CN54" i="1"/>
  <c r="CI54" i="1"/>
  <c r="CN70" i="1"/>
  <c r="CP70" i="1"/>
  <c r="CR70" i="1"/>
  <c r="CI70" i="1"/>
  <c r="CO70" i="1"/>
  <c r="CL70" i="1"/>
  <c r="CJ70" i="1"/>
  <c r="CG70" i="1"/>
  <c r="CK70" i="1"/>
  <c r="CM70" i="1"/>
  <c r="CQ70" i="1"/>
  <c r="CH70" i="1"/>
  <c r="CR22" i="1"/>
  <c r="CI22" i="1"/>
  <c r="CN22" i="1"/>
  <c r="CP22" i="1"/>
  <c r="CM22" i="1"/>
  <c r="CK22" i="1"/>
  <c r="CO22" i="1"/>
  <c r="CQ22" i="1"/>
  <c r="CH22" i="1"/>
  <c r="CG22" i="1"/>
  <c r="CL22" i="1"/>
  <c r="CJ22" i="1"/>
  <c r="CH90" i="1"/>
  <c r="CO90" i="1"/>
  <c r="CR90" i="1"/>
  <c r="CL90" i="1"/>
  <c r="CK90" i="1"/>
  <c r="CI90" i="1"/>
  <c r="CQ90" i="1"/>
  <c r="CP90" i="1"/>
  <c r="CM90" i="1"/>
  <c r="CJ90" i="1"/>
  <c r="CN90" i="1"/>
  <c r="CG90" i="1"/>
  <c r="CN25" i="1"/>
  <c r="CH25" i="1"/>
  <c r="CJ25" i="1"/>
  <c r="CK25" i="1"/>
  <c r="CP25" i="1"/>
  <c r="CI25" i="1"/>
  <c r="CG25" i="1"/>
  <c r="CO25" i="1"/>
  <c r="CL25" i="1"/>
  <c r="CR25" i="1"/>
  <c r="CQ25" i="1"/>
  <c r="CM25" i="1"/>
  <c r="CG10" i="1"/>
  <c r="CM10" i="1"/>
  <c r="CO10" i="1"/>
  <c r="CQ10" i="1"/>
  <c r="CJ10" i="1"/>
  <c r="CL10" i="1"/>
  <c r="CI10" i="1"/>
  <c r="CK10" i="1"/>
  <c r="CH10" i="1"/>
  <c r="CP10" i="1"/>
  <c r="CN10" i="1"/>
  <c r="CR10" i="1"/>
  <c r="CM29" i="1"/>
  <c r="CL29" i="1"/>
  <c r="CH29" i="1"/>
  <c r="CI29" i="1"/>
  <c r="CR29" i="1"/>
  <c r="CQ29" i="1"/>
  <c r="CO29" i="1"/>
  <c r="CK29" i="1"/>
  <c r="CN29" i="1"/>
  <c r="CJ29" i="1"/>
  <c r="CP29" i="1"/>
  <c r="CG29" i="1"/>
  <c r="CM74" i="1"/>
  <c r="CN74" i="1"/>
  <c r="CP74" i="1"/>
  <c r="CL74" i="1"/>
  <c r="CG74" i="1"/>
  <c r="CR74" i="1"/>
  <c r="CK74" i="1"/>
  <c r="CJ74" i="1"/>
  <c r="CQ74" i="1"/>
  <c r="CH74" i="1"/>
  <c r="CO74" i="1"/>
  <c r="CI74" i="1"/>
  <c r="CQ114" i="1" l="1"/>
  <c r="CH114" i="1"/>
  <c r="CL114" i="1"/>
  <c r="CG114" i="1"/>
  <c r="CP114" i="1"/>
  <c r="CM114" i="1"/>
  <c r="CJ114" i="1"/>
  <c r="CK114" i="1"/>
  <c r="CO114" i="1"/>
  <c r="CI114" i="1"/>
  <c r="CR114" i="1"/>
  <c r="CN114" i="1"/>
</calcChain>
</file>

<file path=xl/sharedStrings.xml><?xml version="1.0" encoding="utf-8"?>
<sst xmlns="http://schemas.openxmlformats.org/spreadsheetml/2006/main" count="758" uniqueCount="284">
  <si>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</si>
  <si>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</si>
  <si>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</si>
  <si>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</si>
  <si>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</si>
  <si>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</si>
  <si>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</si>
  <si>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</si>
  <si>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</si>
  <si>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扭蛋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</si>
  <si>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</si>
  <si>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</si>
  <si>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</si>
  <si>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</si>
  <si>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</si>
  <si>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</si>
  <si>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</si>
  <si>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</si>
  <si>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</si>
  <si>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</si>
  <si>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</si>
  <si>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</si>
  <si>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</si>
  <si>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</si>
  <si>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</si>
  <si>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小白棉花</t>
    <phoneticPr fontId="1" type="noConversion"/>
  </si>
  <si>
    <t>木</t>
    <phoneticPr fontId="1" type="noConversion"/>
  </si>
  <si>
    <t>成年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</si>
  <si>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</si>
  <si>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</si>
  <si>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</si>
  <si>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</si>
  <si>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</si>
  <si>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</si>
  <si>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</si>
  <si>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</si>
  <si>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</si>
  <si>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</si>
  <si>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</si>
  <si>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</si>
  <si>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</si>
  <si>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</si>
  <si>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敖广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</si>
  <si>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</si>
  <si>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</si>
  <si>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</si>
  <si>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</si>
  <si>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</si>
  <si>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</si>
  <si>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</si>
  <si>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</si>
  <si>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</si>
  <si>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</si>
  <si>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</si>
  <si>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</si>
  <si>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</si>
  <si>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九色鹿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</si>
  <si>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</si>
  <si>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</si>
  <si>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</si>
  <si>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</si>
  <si>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</si>
  <si>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</si>
  <si>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</si>
  <si>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</si>
  <si>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</si>
  <si>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</si>
  <si>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</si>
  <si>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</si>
  <si>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</si>
  <si>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昊天塔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</si>
  <si>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</si>
  <si>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</si>
  <si>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</si>
  <si>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</si>
  <si>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</si>
  <si>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</si>
  <si>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</si>
  <si>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曹国舅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</si>
  <si>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</si>
  <si>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</si>
  <si>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</si>
  <si>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</si>
  <si>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</si>
  <si>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</si>
  <si>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</si>
  <si>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</si>
  <si>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碧水独角兽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</si>
  <si>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</si>
  <si>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</si>
  <si>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</si>
  <si>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</si>
  <si>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荆棘弓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</si>
  <si>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</si>
  <si>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</si>
  <si>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</si>
  <si>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</si>
  <si>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</si>
  <si>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</si>
  <si>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</si>
  <si>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</si>
  <si>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</si>
  <si>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</si>
  <si>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</si>
  <si>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</si>
  <si>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</si>
  <si>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</si>
  <si>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</si>
  <si>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</si>
  <si>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</si>
  <si>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</si>
  <si>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</si>
  <si>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</si>
  <si>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</si>
  <si>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</si>
  <si>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</si>
  <si>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</si>
  <si>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</si>
  <si>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</si>
  <si>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</si>
  <si>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</si>
  <si>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</si>
  <si>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</si>
  <si>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</si>
  <si>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</si>
  <si>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</si>
  <si>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</si>
  <si>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五条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</si>
  <si>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</si>
  <si>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</si>
  <si>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</si>
  <si>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</si>
  <si>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</si>
  <si>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四条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</si>
  <si>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</si>
  <si>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</si>
  <si>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</si>
  <si>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</si>
  <si>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</si>
  <si>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</si>
  <si>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九万</t>
    <phoneticPr fontId="1" type="noConversion"/>
  </si>
  <si>
    <t>三条</t>
    <phoneticPr fontId="1" type="noConversion"/>
  </si>
  <si>
    <t>暗卒</t>
    <phoneticPr fontId="1" type="noConversion"/>
  </si>
  <si>
    <t>光车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</si>
  <si>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</si>
  <si>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</si>
  <si>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</si>
  <si>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猪刚鬣</t>
    <phoneticPr fontId="1" type="noConversion"/>
  </si>
  <si>
    <t>眼符</t>
    <phoneticPr fontId="1" type="noConversion"/>
  </si>
  <si>
    <t>眼符</t>
    <phoneticPr fontId="1" type="noConversion"/>
  </si>
  <si>
    <t>樱灵</t>
    <phoneticPr fontId="1" type="noConversion"/>
  </si>
  <si>
    <t>煤西</t>
    <phoneticPr fontId="1" type="noConversion"/>
  </si>
  <si>
    <t>八哥</t>
    <phoneticPr fontId="1" type="noConversion"/>
  </si>
  <si>
    <t>鬼金羊</t>
    <phoneticPr fontId="1" type="noConversion"/>
  </si>
  <si>
    <t>张果老</t>
    <phoneticPr fontId="1" type="noConversion"/>
  </si>
  <si>
    <t>蛋黄喵</t>
    <phoneticPr fontId="1" type="noConversion"/>
  </si>
  <si>
    <t>蛋黄喵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</si>
  <si>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</si>
  <si>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</si>
  <si>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</si>
  <si>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洪玉儿</t>
    <phoneticPr fontId="1" type="noConversion"/>
  </si>
  <si>
    <t>洪玉儿</t>
    <phoneticPr fontId="1" type="noConversion"/>
  </si>
  <si>
    <t>蛟女</t>
    <phoneticPr fontId="1" type="noConversion"/>
  </si>
  <si>
    <t>豪猿</t>
    <phoneticPr fontId="1" type="noConversion"/>
  </si>
  <si>
    <t>秤仔</t>
    <phoneticPr fontId="1" type="noConversion"/>
  </si>
  <si>
    <t>秤仔</t>
    <phoneticPr fontId="1" type="noConversion"/>
  </si>
  <si>
    <t>赛亚罗</t>
    <phoneticPr fontId="1" type="noConversion"/>
  </si>
  <si>
    <t>吕洞宾</t>
    <phoneticPr fontId="1" type="noConversion"/>
  </si>
  <si>
    <t>李白</t>
    <phoneticPr fontId="1" type="noConversion"/>
  </si>
  <si>
    <t>李白</t>
    <phoneticPr fontId="1" type="noConversion"/>
  </si>
  <si>
    <t>乹毷</t>
    <phoneticPr fontId="1" type="noConversion"/>
  </si>
  <si>
    <t>铁拐李</t>
    <phoneticPr fontId="1" type="noConversion"/>
  </si>
  <si>
    <t>莲藕大佛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</si>
  <si>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</si>
  <si>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</si>
  <si>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</si>
  <si>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</si>
  <si>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</si>
  <si>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</si>
  <si>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</si>
  <si>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</si>
  <si>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</si>
  <si>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</si>
  <si>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</si>
  <si>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</si>
  <si>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</si>
  <si>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</si>
  <si>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</si>
  <si>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</si>
  <si>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敖顺</t>
    <phoneticPr fontId="1" type="noConversion"/>
  </si>
  <si>
    <t>神算诸葛亮</t>
    <phoneticPr fontId="1" type="noConversion"/>
  </si>
  <si>
    <t>赤兔吕布</t>
    <phoneticPr fontId="1" type="noConversion"/>
  </si>
  <si>
    <t>粽妮</t>
    <phoneticPr fontId="1" type="noConversion"/>
  </si>
  <si>
    <t>青年</t>
    <phoneticPr fontId="1" type="noConversion"/>
  </si>
  <si>
    <t>成年</t>
    <phoneticPr fontId="1" type="noConversion"/>
  </si>
  <si>
    <t>轮滑小子</t>
    <phoneticPr fontId="1" type="noConversion"/>
  </si>
  <si>
    <t>特急海盗</t>
    <phoneticPr fontId="1" type="noConversion"/>
  </si>
  <si>
    <t>暗</t>
    <phoneticPr fontId="1" type="noConversion"/>
  </si>
  <si>
    <t>成年</t>
    <phoneticPr fontId="1" type="noConversion"/>
  </si>
  <si>
    <t>皇天</t>
    <phoneticPr fontId="1" type="noConversion"/>
  </si>
  <si>
    <t>欠条小(8),_x000D_
钱袋小(9),_x000D_
骰子中(3),_x000D_
庄家令牌小(2),</t>
    <phoneticPr fontId="1" type="noConversion"/>
  </si>
  <si>
    <t>骰子小(8),_x000D_
筹码小(10),_x000D_
庄家令牌小(2),_x000D_
庄家令牌中(3),</t>
    <phoneticPr fontId="1" type="noConversion"/>
  </si>
  <si>
    <t>欠条小(8),_x000D_
钱袋小(9),_x000D_
筹码中(4),_x000D_
庄家令牌小(2),</t>
    <phoneticPr fontId="1" type="noConversion"/>
  </si>
  <si>
    <t>超进阶素材光(45),_x000D_
超进阶素材暗(45),</t>
    <phoneticPr fontId="1" type="noConversion"/>
  </si>
  <si>
    <t>魅力符文叉大(6),</t>
    <phoneticPr fontId="1" type="noConversion"/>
  </si>
  <si>
    <t>糯米(5),_x000D_
粽叶(1),</t>
    <phoneticPr fontId="1" type="noConversion"/>
  </si>
  <si>
    <t>彗星(25),_x000D_
魅力符文叉大(1),</t>
    <phoneticPr fontId="1" type="noConversion"/>
  </si>
  <si>
    <t>钱袋大(10),_x000D_
筹码大(9),_x000D_
秘窟冰晶卵(4),</t>
    <phoneticPr fontId="1" type="noConversion"/>
  </si>
  <si>
    <t>欠条中(4),_x000D_
筹码中(4),</t>
    <phoneticPr fontId="1" type="noConversion"/>
  </si>
  <si>
    <t>桂花(5),_x000D_
桂花酒(5),</t>
    <phoneticPr fontId="1" type="noConversion"/>
  </si>
  <si>
    <t>力量符文叉大(9),</t>
    <phoneticPr fontId="1" type="noConversion"/>
  </si>
  <si>
    <t>欠条大(8),_x000D_
骰子大(4),</t>
    <phoneticPr fontId="1" type="noConversion"/>
  </si>
  <si>
    <t>欠条中(6),_x000D_
钱袋中(2),_x000D_
骰子大(1),</t>
    <phoneticPr fontId="1" type="noConversion"/>
  </si>
  <si>
    <t>欠条中(4),_x000D_
筹码中(4),_x000D_
筹码大(1),</t>
    <phoneticPr fontId="1" type="noConversion"/>
  </si>
  <si>
    <t>欠条中(6),_x000D_
欠条大(5),_x000D_
钱袋中(2),</t>
    <phoneticPr fontId="1" type="noConversion"/>
  </si>
  <si>
    <t>桂花(5),_x000D_
桂花酒(5),_x000D_
灯笼(5),</t>
    <phoneticPr fontId="1" type="noConversion"/>
  </si>
  <si>
    <t>幻</t>
    <phoneticPr fontId="1" type="noConversion"/>
  </si>
  <si>
    <t>秘窟冰晶卵(34),_x000D_
力量符文叉大(29),_x000D_
速度符文叉大(13),</t>
  </si>
  <si>
    <t>幸运符文叉大(4),</t>
  </si>
  <si>
    <t>愚山乾坤石(10),</t>
  </si>
  <si>
    <t>幸运符文叉大(9),</t>
  </si>
  <si>
    <t>愚山乾坤石(10),_x000D_
魅力符文叉大(1),</t>
    <phoneticPr fontId="1" type="noConversion"/>
  </si>
  <si>
    <t>糯米(2),</t>
    <phoneticPr fontId="1" type="noConversion"/>
  </si>
  <si>
    <t>仙丹(1),</t>
    <phoneticPr fontId="1" type="noConversion"/>
  </si>
  <si>
    <t>糯米(3),</t>
    <phoneticPr fontId="1" type="noConversion"/>
  </si>
  <si>
    <t>秘窟冰晶卵(4),</t>
    <phoneticPr fontId="1" type="noConversion"/>
  </si>
  <si>
    <t>秘窟冰晶卵(4),</t>
    <phoneticPr fontId="1" type="noConversion"/>
  </si>
  <si>
    <t>愚山乾坤石(15),</t>
    <phoneticPr fontId="1" type="noConversion"/>
  </si>
  <si>
    <t>愚山乾坤石(15),</t>
    <phoneticPr fontId="1" type="noConversion"/>
  </si>
  <si>
    <t>幸运符文叉大(14),</t>
    <phoneticPr fontId="1" type="noConversion"/>
  </si>
  <si>
    <t>神农鼎(5),_x000D_
幸运符文叉大(14),</t>
    <phoneticPr fontId="1" type="noConversion"/>
  </si>
  <si>
    <t>力量符文叉大(4),_x000D_
幸运符文叉大(9),</t>
    <phoneticPr fontId="1" type="noConversion"/>
  </si>
  <si>
    <t>螃蟹(5),</t>
    <phoneticPr fontId="1" type="noConversion"/>
  </si>
  <si>
    <t>桂花酒(5),</t>
    <phoneticPr fontId="1" type="noConversion"/>
  </si>
  <si>
    <t>桂花(5),</t>
    <phoneticPr fontId="1" type="noConversion"/>
  </si>
  <si>
    <t>彗星(5),</t>
    <phoneticPr fontId="1" type="noConversion"/>
  </si>
  <si>
    <t>魅力符文叉大(6),_x000D_
幸运符文叉大(9),</t>
    <phoneticPr fontId="1" type="noConversion"/>
  </si>
  <si>
    <t>秘窟冰晶卵(9),</t>
    <phoneticPr fontId="1" type="noConversion"/>
  </si>
  <si>
    <t>彗星(15),</t>
    <phoneticPr fontId="1" type="noConversion"/>
  </si>
  <si>
    <t>金甲虫(46),</t>
    <phoneticPr fontId="1" type="noConversion"/>
  </si>
  <si>
    <t>金甲虫(196),</t>
    <phoneticPr fontId="1" type="noConversion"/>
  </si>
  <si>
    <t>秘窟冰晶卵(4),_x000D_
魅力符文叉大(1),</t>
    <phoneticPr fontId="1" type="noConversion"/>
  </si>
  <si>
    <t>糯米(5),_x000D_
粽叶(1),</t>
    <phoneticPr fontId="1" type="noConversion"/>
  </si>
  <si>
    <t>糯米(3),_x000D_
粽叶(5),</t>
    <phoneticPr fontId="1" type="noConversion"/>
  </si>
  <si>
    <t>欠条中(4),_x000D_
筹码中(4),</t>
    <phoneticPr fontId="1" type="noConversion"/>
  </si>
  <si>
    <t>骰子大(4),_x000D_
庄家令牌大(6),</t>
    <phoneticPr fontId="1" type="noConversion"/>
  </si>
  <si>
    <t>骰子大(4),_x000D_
庄家令牌大(6),</t>
    <phoneticPr fontId="1" type="noConversion"/>
  </si>
  <si>
    <t>欠条大(8),_x000D_
骰子大(4),</t>
    <phoneticPr fontId="1" type="noConversion"/>
  </si>
  <si>
    <t>欠条大(8),_x000D_
骰子大(4),_x000D_
愚山乾坤石(10),</t>
    <phoneticPr fontId="1" type="noConversion"/>
  </si>
  <si>
    <t>糯米(5),_x000D_
粽叶(10),</t>
    <phoneticPr fontId="1" type="noConversion"/>
  </si>
  <si>
    <t>欠条大(8),_x000D_
钱袋大(10),</t>
    <phoneticPr fontId="1" type="noConversion"/>
  </si>
  <si>
    <t>欠条大(8),_x000D_
钱袋大(10),</t>
    <phoneticPr fontId="1" type="noConversion"/>
  </si>
  <si>
    <t>糯米(10),_x000D_
粽叶(10),</t>
    <phoneticPr fontId="1" type="noConversion"/>
  </si>
  <si>
    <t>赤焰十字星(18),_x000D_
力量符文叉大(29),_x000D_
技巧符文叉大(6),</t>
    <phoneticPr fontId="1" type="noConversion"/>
  </si>
  <si>
    <t>超进阶素材光(45),_x000D_
超进阶素材暗(45),</t>
    <phoneticPr fontId="1" type="noConversion"/>
  </si>
  <si>
    <t>钱袋大(2),_x000D_
筹码大(1),_x000D_
庄家令牌中(3),</t>
    <phoneticPr fontId="1" type="noConversion"/>
  </si>
  <si>
    <t>欠条中(4),_x000D_
筹码中(4),_x000D_
筹码大(1),</t>
    <phoneticPr fontId="1" type="noConversion"/>
  </si>
  <si>
    <t>欠条中(4),_x000D_
骰子中(3),_x000D_
筹码中(4),</t>
    <phoneticPr fontId="1" type="noConversion"/>
  </si>
  <si>
    <t>骰子小(3),_x000D_
筹码小(5),_x000D_
庄家令牌中(3),</t>
    <phoneticPr fontId="1" type="noConversion"/>
  </si>
  <si>
    <t>欠条中(6),_x000D_
钱袋中(2),_x000D_
筹码大(6),</t>
    <phoneticPr fontId="1" type="noConversion"/>
  </si>
  <si>
    <t>螃蟹(5),_x000D_
桂花(5),_x000D_
桂花酒(5),</t>
    <phoneticPr fontId="1" type="noConversion"/>
  </si>
  <si>
    <t>钱袋大(10),_x000D_
筹码大(9),_x000D_
秘窟冰晶卵(4),</t>
    <phoneticPr fontId="1" type="noConversion"/>
  </si>
  <si>
    <t>超进阶素材火(42),_x000D_
超进阶素材光(45),_x000D_
超进阶素材暗(45),</t>
    <phoneticPr fontId="1" type="noConversion"/>
  </si>
  <si>
    <t>超进阶素材火(42),_x000D_
超进阶素材光(45),_x000D_
超进阶素材暗(45),</t>
    <phoneticPr fontId="1" type="noConversion"/>
  </si>
  <si>
    <t>欠条中(4),_x000D_
骰子小(8),_x000D_
筹码中(4),_x000D_
庄家令牌小(2),</t>
    <phoneticPr fontId="1" type="noConversion"/>
  </si>
  <si>
    <t>欠条小(8),_x000D_
钱袋小(9),_x000D_
骰子中(3),_x000D_
庄家令牌小(2),</t>
    <phoneticPr fontId="1" type="noConversion"/>
  </si>
  <si>
    <t>骰子小(8),_x000D_
筹码小(10),_x000D_
庄家令牌小(2),_x000D_
庄家令牌中(3),</t>
    <phoneticPr fontId="1" type="noConversion"/>
  </si>
  <si>
    <t>欠条中(4),_x000D_
骰子小(8),_x000D_
筹码小(10),_x000D_
庄家令牌小(2),</t>
    <phoneticPr fontId="1" type="noConversion"/>
  </si>
  <si>
    <t>欠条小(8),_x000D_
钱袋小(9),_x000D_
骰子小(8),_x000D_
筹码小(10),</t>
    <phoneticPr fontId="1" type="noConversion"/>
  </si>
  <si>
    <t>欠条小(8),_x000D_
钱袋小(9),_x000D_
骰子小(8),_x000D_
筹码小(10),</t>
    <phoneticPr fontId="1" type="noConversion"/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</si>
  <si>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</si>
  <si>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</si>
  <si>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</si>
  <si>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</si>
  <si>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</si>
  <si>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</si>
  <si>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</si>
  <si>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</si>
  <si>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</si>
  <si>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</si>
  <si>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</si>
  <si>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</si>
  <si>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法器8，金8</t>
    <phoneticPr fontId="1" type="noConversion"/>
  </si>
  <si>
    <t>7.5d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</si>
</sst>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9"/>
      <name val="宋体"/>
      <family val="2"/>
      <charset val="134"/>
      <scheme val="minor"/>
    </font>
    <font>
      <sz val="11"/>
      <color theme="9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b/>
      <i/>
      <sz val="11"/>
      <color rgb="FFFF0000"/>
      <name val="宋体"/>
      <family val="3"/>
      <charset val="134"/>
      <scheme val="minor"/>
    </font>
    <font>
      <b/>
      <u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5" fillId="0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0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0" borderId="1" xfId="0" applyFont="1" applyBorder="1" applyAlignment="1">
      <alignment vertical="center" wrapText="1"/>
    </xf>
    <xf numFmtId="0" fontId="7" fillId="0" borderId="0" xfId="0" applyFont="1">
      <alignment vertical="center"/>
    </xf>
    <xf numFmtId="0" fontId="8" fillId="0" borderId="1" xfId="0" applyFont="1" applyBorder="1">
      <alignment vertical="center"/>
    </xf>
    <xf numFmtId="0" fontId="8" fillId="4" borderId="1" xfId="0" applyFont="1" applyFill="1" applyBorder="1">
      <alignment vertical="center"/>
    </xf>
    <xf numFmtId="0" fontId="8" fillId="6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8" fillId="3" borderId="1" xfId="0" applyFont="1" applyFill="1" applyBorder="1">
      <alignment vertical="center"/>
    </xf>
    <xf numFmtId="0" fontId="8" fillId="5" borderId="1" xfId="0" applyFont="1" applyFill="1" applyBorder="1">
      <alignment vertical="center"/>
    </xf>
    <xf numFmtId="0" fontId="8" fillId="0" borderId="1" xfId="0" applyFont="1" applyBorder="1" applyAlignment="1">
      <alignment vertical="center" wrapText="1"/>
    </xf>
    <xf numFmtId="0" fontId="8" fillId="0" borderId="1" xfId="0" applyFont="1" applyFill="1" applyBorder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4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1" xfId="0" applyFont="1" applyFill="1" applyBorder="1">
      <alignment vertical="center"/>
    </xf>
    <xf numFmtId="0" fontId="2" fillId="0" borderId="0" xfId="0" applyFont="1">
      <alignment vertical="center"/>
    </xf>
    <xf numFmtId="0" fontId="10" fillId="0" borderId="1" xfId="0" applyFont="1" applyBorder="1">
      <alignment vertical="center"/>
    </xf>
    <xf numFmtId="0" fontId="10" fillId="4" borderId="1" xfId="0" applyFont="1" applyFill="1" applyBorder="1">
      <alignment vertical="center"/>
    </xf>
    <xf numFmtId="0" fontId="10" fillId="6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10" fillId="3" borderId="1" xfId="0" applyFont="1" applyFill="1" applyBorder="1">
      <alignment vertical="center"/>
    </xf>
    <xf numFmtId="0" fontId="10" fillId="5" borderId="1" xfId="0" applyFont="1" applyFill="1" applyBorder="1">
      <alignment vertical="center"/>
    </xf>
    <xf numFmtId="0" fontId="10" fillId="0" borderId="1" xfId="0" applyFont="1" applyBorder="1" applyAlignment="1">
      <alignment vertical="center" wrapText="1"/>
    </xf>
    <xf numFmtId="0" fontId="10" fillId="0" borderId="1" xfId="0" applyFont="1" applyFill="1" applyBorder="1">
      <alignment vertical="center"/>
    </xf>
    <xf numFmtId="0" fontId="10" fillId="0" borderId="0" xfId="0" applyFont="1">
      <alignment vertical="center"/>
    </xf>
    <xf numFmtId="0" fontId="11" fillId="0" borderId="1" xfId="0" applyFont="1" applyBorder="1">
      <alignment vertical="center"/>
    </xf>
    <xf numFmtId="0" fontId="11" fillId="4" borderId="1" xfId="0" applyFont="1" applyFill="1" applyBorder="1">
      <alignment vertical="center"/>
    </xf>
    <xf numFmtId="0" fontId="11" fillId="6" borderId="1" xfId="0" applyFont="1" applyFill="1" applyBorder="1">
      <alignment vertical="center"/>
    </xf>
    <xf numFmtId="0" fontId="11" fillId="2" borderId="1" xfId="0" applyFont="1" applyFill="1" applyBorder="1">
      <alignment vertical="center"/>
    </xf>
    <xf numFmtId="0" fontId="11" fillId="3" borderId="1" xfId="0" applyFont="1" applyFill="1" applyBorder="1">
      <alignment vertical="center"/>
    </xf>
    <xf numFmtId="0" fontId="11" fillId="5" borderId="1" xfId="0" applyFont="1" applyFill="1" applyBorder="1">
      <alignment vertical="center"/>
    </xf>
    <xf numFmtId="0" fontId="11" fillId="0" borderId="1" xfId="0" applyFont="1" applyBorder="1" applyAlignment="1">
      <alignment vertical="center" wrapText="1"/>
    </xf>
    <xf numFmtId="0" fontId="11" fillId="0" borderId="1" xfId="0" applyFont="1" applyFill="1" applyBorder="1">
      <alignment vertical="center"/>
    </xf>
    <xf numFmtId="0" fontId="11" fillId="0" borderId="0" xfId="0" applyFont="1">
      <alignment vertical="center"/>
    </xf>
  </cellXfs>
  <cellStyles count="1">
    <cellStyle name="常规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120</xdr:row>
          <xdr:rowOff>28575</xdr:rowOff>
        </xdr:from>
        <xdr:to>
          <xdr:col>1</xdr:col>
          <xdr:colOff>428625</xdr:colOff>
          <xdr:row>121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12</xdr:row>
          <xdr:rowOff>28575</xdr:rowOff>
        </xdr:from>
        <xdr:to>
          <xdr:col>1</xdr:col>
          <xdr:colOff>428625</xdr:colOff>
          <xdr:row>13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S121"/>
  <sheetViews>
    <sheetView tabSelected="1" workbookViewId="0">
      <pane xSplit="2" ySplit="1" topLeftCell="AC113" activePane="bottomRight" state="frozen"/>
      <selection pane="topRight" activeCell="C1" sqref="C1"/>
      <selection pane="bottomLeft" activeCell="A3" sqref="A3"/>
      <selection pane="bottomRight" activeCell="BA121" sqref="BA121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  <col min="72" max="77" width="11.875" bestFit="1" customWidth="1"/>
    <col min="78" max="83" width="14.125" bestFit="1" customWidth="1"/>
  </cols>
  <sheetData>
    <row r="1" spans="1:97" s="13" customFormat="1" x14ac:dyDescent="0.15">
      <c r="A1" s="8" t="s">
        <v>72</v>
      </c>
      <c r="B1" s="8" t="s">
        <v>73</v>
      </c>
      <c r="C1" s="8" t="s">
        <v>75</v>
      </c>
      <c r="D1" s="8" t="s">
        <v>74</v>
      </c>
      <c r="E1" s="9" t="s">
        <v>2</v>
      </c>
      <c r="F1" s="9" t="s">
        <v>3</v>
      </c>
      <c r="G1" s="9" t="s">
        <v>12</v>
      </c>
      <c r="H1" s="9" t="s">
        <v>22</v>
      </c>
      <c r="I1" s="9" t="s">
        <v>23</v>
      </c>
      <c r="J1" s="9" t="s">
        <v>70</v>
      </c>
      <c r="K1" s="9" t="s">
        <v>24</v>
      </c>
      <c r="L1" s="9" t="s">
        <v>43</v>
      </c>
      <c r="M1" s="9" t="s">
        <v>45</v>
      </c>
      <c r="N1" s="9" t="s">
        <v>50</v>
      </c>
      <c r="O1" s="9" t="s">
        <v>44</v>
      </c>
      <c r="P1" s="27" t="s">
        <v>110</v>
      </c>
      <c r="Q1" s="27" t="s">
        <v>122</v>
      </c>
      <c r="R1" s="27" t="s">
        <v>116</v>
      </c>
      <c r="S1" s="27" t="s">
        <v>111</v>
      </c>
      <c r="T1" s="27" t="s">
        <v>120</v>
      </c>
      <c r="U1" s="27" t="s">
        <v>126</v>
      </c>
      <c r="V1" s="27" t="s">
        <v>112</v>
      </c>
      <c r="W1" s="27" t="s">
        <v>119</v>
      </c>
      <c r="X1" s="27" t="s">
        <v>117</v>
      </c>
      <c r="Y1" s="27" t="s">
        <v>113</v>
      </c>
      <c r="Z1" s="27" t="s">
        <v>121</v>
      </c>
      <c r="AA1" s="27" t="s">
        <v>128</v>
      </c>
      <c r="AB1" s="27" t="s">
        <v>115</v>
      </c>
      <c r="AC1" s="27" t="s">
        <v>114</v>
      </c>
      <c r="AD1" s="27" t="s">
        <v>139</v>
      </c>
      <c r="AE1" s="8" t="s">
        <v>8</v>
      </c>
      <c r="AF1" s="8" t="s">
        <v>30</v>
      </c>
      <c r="AG1" s="8" t="s">
        <v>31</v>
      </c>
      <c r="AH1" s="8" t="s">
        <v>60</v>
      </c>
      <c r="AI1" s="8" t="s">
        <v>61</v>
      </c>
      <c r="AJ1" s="8" t="s">
        <v>63</v>
      </c>
      <c r="AK1" s="8" t="s">
        <v>64</v>
      </c>
      <c r="AL1" s="8" t="s">
        <v>66</v>
      </c>
      <c r="AM1" s="8" t="s">
        <v>51</v>
      </c>
      <c r="AN1" s="8" t="s">
        <v>53</v>
      </c>
      <c r="AO1" s="8" t="s">
        <v>98</v>
      </c>
      <c r="AP1" s="8" t="s">
        <v>99</v>
      </c>
      <c r="AQ1" s="10" t="s">
        <v>40</v>
      </c>
      <c r="AR1" s="10" t="s">
        <v>4</v>
      </c>
      <c r="AS1" s="10" t="s">
        <v>28</v>
      </c>
      <c r="AT1" s="10" t="s">
        <v>55</v>
      </c>
      <c r="AU1" s="10" t="s">
        <v>58</v>
      </c>
      <c r="AV1" s="10" t="s">
        <v>49</v>
      </c>
      <c r="AW1" s="11" t="s">
        <v>5</v>
      </c>
      <c r="AX1" s="11" t="s">
        <v>6</v>
      </c>
      <c r="AY1" s="11" t="s">
        <v>41</v>
      </c>
      <c r="AZ1" s="11" t="s">
        <v>7</v>
      </c>
      <c r="BA1" s="11" t="s">
        <v>48</v>
      </c>
      <c r="BB1" s="11" t="s">
        <v>11</v>
      </c>
      <c r="BC1" s="25" t="s">
        <v>95</v>
      </c>
      <c r="BD1" s="8" t="s">
        <v>16</v>
      </c>
      <c r="BE1" s="8" t="s">
        <v>15</v>
      </c>
      <c r="BF1" s="8" t="s">
        <v>13</v>
      </c>
      <c r="BG1" s="8" t="s">
        <v>14</v>
      </c>
      <c r="BH1" s="8" t="s">
        <v>17</v>
      </c>
      <c r="BI1" s="8" t="s">
        <v>18</v>
      </c>
      <c r="BJ1" s="8" t="s">
        <v>33</v>
      </c>
      <c r="BK1" s="8" t="s">
        <v>34</v>
      </c>
      <c r="BL1" s="8" t="s">
        <v>35</v>
      </c>
      <c r="BM1" s="8" t="s">
        <v>36</v>
      </c>
      <c r="BN1" s="8" t="s">
        <v>37</v>
      </c>
      <c r="BO1" s="8" t="s">
        <v>38</v>
      </c>
      <c r="BP1" s="12" t="s">
        <v>80</v>
      </c>
      <c r="BQ1" s="8" t="s">
        <v>81</v>
      </c>
      <c r="BR1" s="16" t="s">
        <v>82</v>
      </c>
      <c r="BS1" s="16"/>
      <c r="BT1" s="10" t="s">
        <v>40</v>
      </c>
      <c r="BU1" s="10" t="s">
        <v>4</v>
      </c>
      <c r="BV1" s="10" t="s">
        <v>28</v>
      </c>
      <c r="BW1" s="10" t="s">
        <v>55</v>
      </c>
      <c r="BX1" s="10" t="s">
        <v>58</v>
      </c>
      <c r="BY1" s="10" t="s">
        <v>49</v>
      </c>
      <c r="BZ1" s="11" t="s">
        <v>5</v>
      </c>
      <c r="CA1" s="11" t="s">
        <v>6</v>
      </c>
      <c r="CB1" s="11" t="s">
        <v>41</v>
      </c>
      <c r="CC1" s="11" t="s">
        <v>7</v>
      </c>
      <c r="CD1" s="11" t="s">
        <v>48</v>
      </c>
      <c r="CE1" s="11" t="s">
        <v>11</v>
      </c>
      <c r="CF1" s="8"/>
      <c r="CG1" s="10" t="s">
        <v>40</v>
      </c>
      <c r="CH1" s="10" t="s">
        <v>4</v>
      </c>
      <c r="CI1" s="10" t="s">
        <v>28</v>
      </c>
      <c r="CJ1" s="10" t="s">
        <v>55</v>
      </c>
      <c r="CK1" s="10" t="s">
        <v>58</v>
      </c>
      <c r="CL1" s="10" t="s">
        <v>49</v>
      </c>
      <c r="CM1" s="11" t="s">
        <v>5</v>
      </c>
      <c r="CN1" s="11" t="s">
        <v>6</v>
      </c>
      <c r="CO1" s="11" t="s">
        <v>41</v>
      </c>
      <c r="CP1" s="11" t="s">
        <v>7</v>
      </c>
      <c r="CQ1" s="11" t="s">
        <v>48</v>
      </c>
      <c r="CR1" s="11" t="s">
        <v>11</v>
      </c>
      <c r="CS1" s="8"/>
    </row>
    <row r="2" spans="1:97" s="76" customFormat="1" x14ac:dyDescent="0.15">
      <c r="A2" s="1">
        <v>15</v>
      </c>
      <c r="B2" s="1" t="s">
        <v>25</v>
      </c>
      <c r="C2" s="1" t="s">
        <v>26</v>
      </c>
      <c r="D2" s="1" t="s">
        <v>21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>
        <v>20</v>
      </c>
      <c r="BE2" s="1">
        <v>20</v>
      </c>
      <c r="BF2" s="1">
        <v>20</v>
      </c>
      <c r="BG2" s="1">
        <v>20</v>
      </c>
      <c r="BH2" s="1"/>
      <c r="BI2" s="1"/>
      <c r="BJ2" s="1"/>
      <c r="BK2" s="1"/>
      <c r="BL2" s="1"/>
      <c r="BM2" s="1"/>
      <c r="BN2" s="1"/>
      <c r="BO2" s="1"/>
      <c r="BP2" s="1">
        <f>SUM(E2:BO2)</f>
        <v>80</v>
      </c>
      <c r="BQ2" s="1">
        <v>0</v>
      </c>
      <c r="BR2" s="17">
        <v>0</v>
      </c>
      <c r="BS2" s="17"/>
      <c r="BT2" s="1" t="str">
        <f>IF(AQ2&gt;AQ$114, AQ2-AQ$114,"")</f>
        <v/>
      </c>
      <c r="BU2" s="1" t="str">
        <f>IF(AR2&gt;AR$114, AR2-AR$114,"")</f>
        <v/>
      </c>
      <c r="BV2" s="1" t="str">
        <f>IF(AS2&gt;AS$114, AS2-AS$114,"")</f>
        <v/>
      </c>
      <c r="BW2" s="1" t="str">
        <f>IF(AT2&gt;AT$114, AT2-AT$114,"")</f>
        <v/>
      </c>
      <c r="BX2" s="1" t="str">
        <f>IF(AU2&gt;AU$114, AU2-AU$114,"")</f>
        <v/>
      </c>
      <c r="BY2" s="1" t="str">
        <f>IF(AV2&gt;AV$114, AV2-AV$114,"")</f>
        <v/>
      </c>
      <c r="BZ2" s="1" t="str">
        <f>IF(AW2&gt;AW$114, AW2-AW$114,"")</f>
        <v/>
      </c>
      <c r="CA2" s="1" t="str">
        <f>IF(AX2&gt;AX$114, AX2-AX$114,"")</f>
        <v/>
      </c>
      <c r="CB2" s="1" t="str">
        <f>IF(AY2&gt;AY$114, AY2-AY$114,"")</f>
        <v/>
      </c>
      <c r="CC2" s="1" t="str">
        <f>IF(AZ2&gt;AZ$114, AZ2-AZ$114,"")</f>
        <v/>
      </c>
      <c r="CD2" s="1" t="str">
        <f>IF(BA2&gt;BA$114, BA2-BA$114,"")</f>
        <v/>
      </c>
      <c r="CE2" s="1" t="str">
        <f>IF(BB2&gt;BB$114, BB2-BB$114,"")</f>
        <v/>
      </c>
      <c r="CF2" s="1">
        <f>12-COUNTA(BT2:CE2)</f>
        <v>0</v>
      </c>
      <c r="CG2" s="1" t="str">
        <f>IF($CF2=1,BT2,"")</f>
        <v/>
      </c>
      <c r="CH2" s="1" t="str">
        <f>IF($CF2=1,BU2,"")</f>
        <v/>
      </c>
      <c r="CI2" s="1" t="str">
        <f>IF($CF2=1,BV2,"")</f>
        <v/>
      </c>
      <c r="CJ2" s="1" t="str">
        <f>IF($CF2=1,BW2,"")</f>
        <v/>
      </c>
      <c r="CK2" s="1" t="str">
        <f>IF($CF2=1,BX2,"")</f>
        <v/>
      </c>
      <c r="CL2" s="1" t="str">
        <f>IF($CF2=1,BY2,"")</f>
        <v/>
      </c>
      <c r="CM2" s="1" t="str">
        <f>IF($CF2=1,BZ2,"")</f>
        <v/>
      </c>
      <c r="CN2" s="1" t="str">
        <f>IF($CF2=1,CA2,"")</f>
        <v/>
      </c>
      <c r="CO2" s="1" t="str">
        <f>IF($CF2=1,CB2,"")</f>
        <v/>
      </c>
      <c r="CP2" s="1" t="str">
        <f>IF($CF2=1,CC2,"")</f>
        <v/>
      </c>
      <c r="CQ2" s="1" t="str">
        <f>IF($CF2=1,CD2,"")</f>
        <v/>
      </c>
      <c r="CR2" s="1" t="str">
        <f>IF($CF2=1,CE2,"")</f>
        <v/>
      </c>
      <c r="CS2" s="3">
        <f>SUM(AE2:BO2)</f>
        <v>80</v>
      </c>
    </row>
    <row r="3" spans="1:97" x14ac:dyDescent="0.15">
      <c r="A3" s="1">
        <v>55</v>
      </c>
      <c r="B3" s="1" t="s">
        <v>46</v>
      </c>
      <c r="C3" s="1" t="s">
        <v>47</v>
      </c>
      <c r="D3" s="1" t="s">
        <v>10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>
        <v>20</v>
      </c>
      <c r="BE3" s="1">
        <v>20</v>
      </c>
      <c r="BF3" s="1"/>
      <c r="BG3" s="1"/>
      <c r="BH3" s="1">
        <v>20</v>
      </c>
      <c r="BI3" s="1">
        <v>20</v>
      </c>
      <c r="BJ3" s="1"/>
      <c r="BK3" s="1"/>
      <c r="BL3" s="1"/>
      <c r="BM3" s="1"/>
      <c r="BN3" s="1"/>
      <c r="BO3" s="1"/>
      <c r="BP3" s="1">
        <f>SUM(E3:BO3)</f>
        <v>80</v>
      </c>
      <c r="BQ3" s="1">
        <v>0</v>
      </c>
      <c r="BR3" s="17">
        <v>0</v>
      </c>
      <c r="BS3" s="17"/>
      <c r="BT3" s="1" t="str">
        <f>IF(AQ3&gt;AQ$114, AQ3-AQ$114,"")</f>
        <v/>
      </c>
      <c r="BU3" s="1" t="str">
        <f>IF(AR3&gt;AR$114, AR3-AR$114,"")</f>
        <v/>
      </c>
      <c r="BV3" s="1" t="str">
        <f>IF(AS3&gt;AS$114, AS3-AS$114,"")</f>
        <v/>
      </c>
      <c r="BW3" s="1" t="str">
        <f>IF(AT3&gt;AT$114, AT3-AT$114,"")</f>
        <v/>
      </c>
      <c r="BX3" s="1" t="str">
        <f>IF(AU3&gt;AU$114, AU3-AU$114,"")</f>
        <v/>
      </c>
      <c r="BY3" s="1" t="str">
        <f>IF(AV3&gt;AV$114, AV3-AV$114,"")</f>
        <v/>
      </c>
      <c r="BZ3" s="1" t="str">
        <f>IF(AW3&gt;AW$114, AW3-AW$114,"")</f>
        <v/>
      </c>
      <c r="CA3" s="1" t="str">
        <f>IF(AX3&gt;AX$114, AX3-AX$114,"")</f>
        <v/>
      </c>
      <c r="CB3" s="1" t="str">
        <f>IF(AY3&gt;AY$114, AY3-AY$114,"")</f>
        <v/>
      </c>
      <c r="CC3" s="1" t="str">
        <f>IF(AZ3&gt;AZ$114, AZ3-AZ$114,"")</f>
        <v/>
      </c>
      <c r="CD3" s="1" t="str">
        <f>IF(BA3&gt;BA$114, BA3-BA$114,"")</f>
        <v/>
      </c>
      <c r="CE3" s="1" t="str">
        <f>IF(BB3&gt;BB$114, BB3-BB$114,"")</f>
        <v/>
      </c>
      <c r="CF3" s="1">
        <f>12-COUNTA(BT3:CE3)</f>
        <v>0</v>
      </c>
      <c r="CG3" s="1" t="str">
        <f>IF($CF3=1,BT3,"")</f>
        <v/>
      </c>
      <c r="CH3" s="1" t="str">
        <f>IF($CF3=1,BU3,"")</f>
        <v/>
      </c>
      <c r="CI3" s="1" t="str">
        <f>IF($CF3=1,BV3,"")</f>
        <v/>
      </c>
      <c r="CJ3" s="1" t="str">
        <f>IF($CF3=1,BW3,"")</f>
        <v/>
      </c>
      <c r="CK3" s="1" t="str">
        <f>IF($CF3=1,BX3,"")</f>
        <v/>
      </c>
      <c r="CL3" s="1" t="str">
        <f>IF($CF3=1,BY3,"")</f>
        <v/>
      </c>
      <c r="CM3" s="1" t="str">
        <f>IF($CF3=1,BZ3,"")</f>
        <v/>
      </c>
      <c r="CN3" s="1" t="str">
        <f>IF($CF3=1,CA3,"")</f>
        <v/>
      </c>
      <c r="CO3" s="1" t="str">
        <f>IF($CF3=1,CB3,"")</f>
        <v/>
      </c>
      <c r="CP3" s="1" t="str">
        <f>IF($CF3=1,CC3,"")</f>
        <v/>
      </c>
      <c r="CQ3" s="1" t="str">
        <f>IF($CF3=1,CD3,"")</f>
        <v/>
      </c>
      <c r="CR3" s="1" t="str">
        <f>IF($CF3=1,CE3,"")</f>
        <v/>
      </c>
      <c r="CS3" s="3">
        <f>SUM(AE3:BO3)</f>
        <v>80</v>
      </c>
    </row>
    <row r="4" spans="1:97" x14ac:dyDescent="0.15">
      <c r="A4" s="1"/>
      <c r="B4" s="1" t="s">
        <v>92</v>
      </c>
      <c r="C4" s="1" t="s">
        <v>93</v>
      </c>
      <c r="D4" s="1" t="s">
        <v>91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>
        <v>20</v>
      </c>
      <c r="BE4" s="1">
        <v>20</v>
      </c>
      <c r="BF4" s="1">
        <v>20</v>
      </c>
      <c r="BG4" s="1">
        <v>20</v>
      </c>
      <c r="BH4" s="1"/>
      <c r="BI4" s="1"/>
      <c r="BJ4" s="1"/>
      <c r="BK4" s="1"/>
      <c r="BL4" s="1"/>
      <c r="BM4" s="1"/>
      <c r="BN4" s="1"/>
      <c r="BO4" s="1"/>
      <c r="BP4" s="1">
        <f>SUM(E4:BO4)</f>
        <v>80</v>
      </c>
      <c r="BQ4" s="1">
        <v>0</v>
      </c>
      <c r="BR4" s="17">
        <v>0</v>
      </c>
      <c r="BS4" s="17"/>
      <c r="BT4" s="1" t="str">
        <f>IF(AQ4&gt;AQ$114, AQ4-AQ$114,"")</f>
        <v/>
      </c>
      <c r="BU4" s="1" t="str">
        <f>IF(AR4&gt;AR$114, AR4-AR$114,"")</f>
        <v/>
      </c>
      <c r="BV4" s="1" t="str">
        <f>IF(AS4&gt;AS$114, AS4-AS$114,"")</f>
        <v/>
      </c>
      <c r="BW4" s="1" t="str">
        <f>IF(AT4&gt;AT$114, AT4-AT$114,"")</f>
        <v/>
      </c>
      <c r="BX4" s="1" t="str">
        <f>IF(AU4&gt;AU$114, AU4-AU$114,"")</f>
        <v/>
      </c>
      <c r="BY4" s="1" t="str">
        <f>IF(AV4&gt;AV$114, AV4-AV$114,"")</f>
        <v/>
      </c>
      <c r="BZ4" s="1" t="str">
        <f>IF(AW4&gt;AW$114, AW4-AW$114,"")</f>
        <v/>
      </c>
      <c r="CA4" s="1" t="str">
        <f>IF(AX4&gt;AX$114, AX4-AX$114,"")</f>
        <v/>
      </c>
      <c r="CB4" s="1" t="str">
        <f>IF(AY4&gt;AY$114, AY4-AY$114,"")</f>
        <v/>
      </c>
      <c r="CC4" s="1" t="str">
        <f>IF(AZ4&gt;AZ$114, AZ4-AZ$114,"")</f>
        <v/>
      </c>
      <c r="CD4" s="1" t="str">
        <f>IF(BA4&gt;BA$114, BA4-BA$114,"")</f>
        <v/>
      </c>
      <c r="CE4" s="1" t="str">
        <f>IF(BB4&gt;BB$114, BB4-BB$114,"")</f>
        <v/>
      </c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3"/>
    </row>
    <row r="5" spans="1:97" s="23" customFormat="1" x14ac:dyDescent="0.15">
      <c r="A5" s="1"/>
      <c r="B5" s="1" t="s">
        <v>156</v>
      </c>
      <c r="C5" s="1" t="s">
        <v>101</v>
      </c>
      <c r="D5" s="1" t="s">
        <v>91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/>
      <c r="BE5" s="1"/>
      <c r="BF5" s="1">
        <v>20</v>
      </c>
      <c r="BG5" s="1">
        <v>20</v>
      </c>
      <c r="BH5" s="1">
        <v>20</v>
      </c>
      <c r="BI5" s="1">
        <v>20</v>
      </c>
      <c r="BJ5" s="1"/>
      <c r="BK5" s="1"/>
      <c r="BL5" s="1"/>
      <c r="BM5" s="1"/>
      <c r="BN5" s="1"/>
      <c r="BO5" s="1"/>
      <c r="BP5" s="1">
        <f>SUM(E5:BO5)</f>
        <v>80</v>
      </c>
      <c r="BQ5" s="1">
        <v>0</v>
      </c>
      <c r="BR5" s="17">
        <v>0</v>
      </c>
      <c r="BS5" s="17"/>
      <c r="BT5" s="1" t="str">
        <f>IF(AQ5&gt;AQ$114, AQ5-AQ$114,"")</f>
        <v/>
      </c>
      <c r="BU5" s="1" t="str">
        <f>IF(AR5&gt;AR$114, AR5-AR$114,"")</f>
        <v/>
      </c>
      <c r="BV5" s="1" t="str">
        <f>IF(AS5&gt;AS$114, AS5-AS$114,"")</f>
        <v/>
      </c>
      <c r="BW5" s="1" t="str">
        <f>IF(AT5&gt;AT$114, AT5-AT$114,"")</f>
        <v/>
      </c>
      <c r="BX5" s="1" t="str">
        <f>IF(AU5&gt;AU$114, AU5-AU$114,"")</f>
        <v/>
      </c>
      <c r="BY5" s="1" t="str">
        <f>IF(AV5&gt;AV$114, AV5-AV$114,"")</f>
        <v/>
      </c>
      <c r="BZ5" s="1" t="str">
        <f>IF(AW5&gt;AW$114, AW5-AW$114,"")</f>
        <v/>
      </c>
      <c r="CA5" s="1" t="str">
        <f>IF(AX5&gt;AX$114, AX5-AX$114,"")</f>
        <v/>
      </c>
      <c r="CB5" s="1" t="str">
        <f>IF(AY5&gt;AY$114, AY5-AY$114,"")</f>
        <v/>
      </c>
      <c r="CC5" s="1" t="str">
        <f>IF(AZ5&gt;AZ$114, AZ5-AZ$114,"")</f>
        <v/>
      </c>
      <c r="CD5" s="1" t="str">
        <f>IF(BA5&gt;BA$114, BA5-BA$114,"")</f>
        <v/>
      </c>
      <c r="CE5" s="1" t="str">
        <f>IF(BB5&gt;BB$114, BB5-BB$114,"")</f>
        <v/>
      </c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3"/>
    </row>
    <row r="6" spans="1:97" s="23" customFormat="1" x14ac:dyDescent="0.15">
      <c r="A6" s="1"/>
      <c r="B6" s="1" t="s">
        <v>164</v>
      </c>
      <c r="C6" s="1" t="s">
        <v>89</v>
      </c>
      <c r="D6" s="1" t="s">
        <v>91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>
        <v>20</v>
      </c>
      <c r="BE6" s="1">
        <v>20</v>
      </c>
      <c r="BF6" s="1">
        <v>20</v>
      </c>
      <c r="BG6" s="1">
        <v>20</v>
      </c>
      <c r="BH6" s="1"/>
      <c r="BI6" s="1"/>
      <c r="BJ6" s="1"/>
      <c r="BK6" s="1"/>
      <c r="BL6" s="1"/>
      <c r="BM6" s="1"/>
      <c r="BN6" s="1"/>
      <c r="BO6" s="1"/>
      <c r="BP6" s="1">
        <f>SUM(E6:BO6)</f>
        <v>80</v>
      </c>
      <c r="BQ6" s="1">
        <v>0</v>
      </c>
      <c r="BR6" s="17">
        <v>0</v>
      </c>
      <c r="BS6" s="17"/>
      <c r="BT6" s="1" t="str">
        <f>IF(AQ6&gt;AQ$114, AQ6-AQ$114,"")</f>
        <v/>
      </c>
      <c r="BU6" s="1" t="str">
        <f>IF(AR6&gt;AR$114, AR6-AR$114,"")</f>
        <v/>
      </c>
      <c r="BV6" s="1" t="str">
        <f>IF(AS6&gt;AS$114, AS6-AS$114,"")</f>
        <v/>
      </c>
      <c r="BW6" s="1" t="str">
        <f>IF(AT6&gt;AT$114, AT6-AT$114,"")</f>
        <v/>
      </c>
      <c r="BX6" s="1" t="str">
        <f>IF(AU6&gt;AU$114, AU6-AU$114,"")</f>
        <v/>
      </c>
      <c r="BY6" s="1" t="str">
        <f>IF(AV6&gt;AV$114, AV6-AV$114,"")</f>
        <v/>
      </c>
      <c r="BZ6" s="1" t="str">
        <f>IF(AW6&gt;AW$114, AW6-AW$114,"")</f>
        <v/>
      </c>
      <c r="CA6" s="1" t="str">
        <f>IF(AX6&gt;AX$114, AX6-AX$114,"")</f>
        <v/>
      </c>
      <c r="CB6" s="1" t="str">
        <f>IF(AY6&gt;AY$114, AY6-AY$114,"")</f>
        <v/>
      </c>
      <c r="CC6" s="1" t="str">
        <f>IF(AZ6&gt;AZ$114, AZ6-AZ$114,"")</f>
        <v/>
      </c>
      <c r="CD6" s="1" t="str">
        <f>IF(BA6&gt;BA$114, BA6-BA$114,"")</f>
        <v/>
      </c>
      <c r="CE6" s="1" t="str">
        <f>IF(BB6&gt;BB$114, BB6-BB$114,"")</f>
        <v/>
      </c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3"/>
    </row>
    <row r="7" spans="1:97" x14ac:dyDescent="0.15">
      <c r="A7" s="1"/>
      <c r="B7" s="1" t="s">
        <v>168</v>
      </c>
      <c r="C7" s="1" t="s">
        <v>104</v>
      </c>
      <c r="D7" s="1" t="s">
        <v>91</v>
      </c>
      <c r="E7" s="6"/>
      <c r="F7" s="6"/>
      <c r="G7" s="6"/>
      <c r="H7" s="6">
        <v>10</v>
      </c>
      <c r="I7" s="6"/>
      <c r="J7" s="6">
        <v>10</v>
      </c>
      <c r="K7" s="6"/>
      <c r="L7" s="6"/>
      <c r="M7" s="6"/>
      <c r="N7" s="6"/>
      <c r="O7" s="6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>
        <v>10</v>
      </c>
      <c r="AU7" s="4"/>
      <c r="AV7" s="4"/>
      <c r="AW7" s="2"/>
      <c r="AX7" s="2"/>
      <c r="AY7" s="2">
        <v>10</v>
      </c>
      <c r="AZ7" s="2"/>
      <c r="BA7" s="2"/>
      <c r="BB7" s="2"/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>
        <f>SUM(E7:BO7)</f>
        <v>40</v>
      </c>
      <c r="BQ7" s="1">
        <v>0</v>
      </c>
      <c r="BR7" s="17">
        <v>0</v>
      </c>
      <c r="BS7" s="17"/>
      <c r="BT7" s="1" t="str">
        <f>IF(AQ7&gt;AQ$114, AQ7-AQ$114,"")</f>
        <v/>
      </c>
      <c r="BU7" s="1" t="str">
        <f>IF(AR7&gt;AR$114, AR7-AR$114,"")</f>
        <v/>
      </c>
      <c r="BV7" s="1" t="str">
        <f>IF(AS7&gt;AS$114, AS7-AS$114,"")</f>
        <v/>
      </c>
      <c r="BW7" s="1" t="str">
        <f>IF(AT7&gt;AT$114, AT7-AT$114,"")</f>
        <v/>
      </c>
      <c r="BX7" s="1" t="str">
        <f>IF(AU7&gt;AU$114, AU7-AU$114,"")</f>
        <v/>
      </c>
      <c r="BY7" s="1" t="str">
        <f>IF(AV7&gt;AV$114, AV7-AV$114,"")</f>
        <v/>
      </c>
      <c r="BZ7" s="1" t="str">
        <f>IF(AW7&gt;AW$114, AW7-AW$114,"")</f>
        <v/>
      </c>
      <c r="CA7" s="1" t="str">
        <f>IF(AX7&gt;AX$114, AX7-AX$114,"")</f>
        <v/>
      </c>
      <c r="CB7" s="1" t="str">
        <f>IF(AY7&gt;AY$114, AY7-AY$114,"")</f>
        <v/>
      </c>
      <c r="CC7" s="1" t="str">
        <f>IF(AZ7&gt;AZ$114, AZ7-AZ$114,"")</f>
        <v/>
      </c>
      <c r="CD7" s="1" t="str">
        <f>IF(BA7&gt;BA$114, BA7-BA$114,"")</f>
        <v/>
      </c>
      <c r="CE7" s="1" t="str">
        <f>IF(BB7&gt;BB$114, BB7-BB$114,"")</f>
        <v/>
      </c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3"/>
    </row>
    <row r="8" spans="1:97" s="39" customFormat="1" x14ac:dyDescent="0.15">
      <c r="A8" s="1"/>
      <c r="B8" s="1" t="s">
        <v>189</v>
      </c>
      <c r="C8" s="1" t="s">
        <v>104</v>
      </c>
      <c r="D8" s="1" t="s">
        <v>91</v>
      </c>
      <c r="E8" s="6"/>
      <c r="F8" s="6">
        <v>6</v>
      </c>
      <c r="G8" s="6"/>
      <c r="H8" s="6"/>
      <c r="I8" s="6"/>
      <c r="J8" s="6"/>
      <c r="K8" s="6"/>
      <c r="L8" s="6"/>
      <c r="M8" s="6"/>
      <c r="N8" s="6"/>
      <c r="O8" s="6">
        <v>6</v>
      </c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>
        <v>10</v>
      </c>
      <c r="AU8" s="4"/>
      <c r="AV8" s="4"/>
      <c r="AW8" s="2"/>
      <c r="AX8" s="2"/>
      <c r="AY8" s="2">
        <v>10</v>
      </c>
      <c r="AZ8" s="2"/>
      <c r="BA8" s="2"/>
      <c r="BB8" s="2"/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>
        <f>SUM(E8:BO8)</f>
        <v>32</v>
      </c>
      <c r="BQ8" s="1">
        <v>0</v>
      </c>
      <c r="BR8" s="17">
        <v>0</v>
      </c>
      <c r="BS8" s="17"/>
      <c r="BT8" s="1" t="str">
        <f>IF(AQ8&gt;AQ$114, AQ8-AQ$114,"")</f>
        <v/>
      </c>
      <c r="BU8" s="1" t="str">
        <f>IF(AR8&gt;AR$114, AR8-AR$114,"")</f>
        <v/>
      </c>
      <c r="BV8" s="1" t="str">
        <f>IF(AS8&gt;AS$114, AS8-AS$114,"")</f>
        <v/>
      </c>
      <c r="BW8" s="1" t="str">
        <f>IF(AT8&gt;AT$114, AT8-AT$114,"")</f>
        <v/>
      </c>
      <c r="BX8" s="1" t="str">
        <f>IF(AU8&gt;AU$114, AU8-AU$114,"")</f>
        <v/>
      </c>
      <c r="BY8" s="1" t="str">
        <f>IF(AV8&gt;AV$114, AV8-AV$114,"")</f>
        <v/>
      </c>
      <c r="BZ8" s="1" t="str">
        <f>IF(AW8&gt;AW$114, AW8-AW$114,"")</f>
        <v/>
      </c>
      <c r="CA8" s="1" t="str">
        <f>IF(AX8&gt;AX$114, AX8-AX$114,"")</f>
        <v/>
      </c>
      <c r="CB8" s="1" t="str">
        <f>IF(AY8&gt;AY$114, AY8-AY$114,"")</f>
        <v/>
      </c>
      <c r="CC8" s="1" t="str">
        <f>IF(AZ8&gt;AZ$114, AZ8-AZ$114,"")</f>
        <v/>
      </c>
      <c r="CD8" s="1" t="str">
        <f>IF(BA8&gt;BA$114, BA8-BA$114,"")</f>
        <v/>
      </c>
      <c r="CE8" s="1" t="str">
        <f>IF(BB8&gt;BB$114, BB8-BB$114,"")</f>
        <v/>
      </c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3"/>
    </row>
    <row r="9" spans="1:97" x14ac:dyDescent="0.15">
      <c r="A9" s="1">
        <v>91</v>
      </c>
      <c r="B9" s="3" t="s">
        <v>69</v>
      </c>
      <c r="C9" s="3" t="s">
        <v>68</v>
      </c>
      <c r="D9" s="1" t="s">
        <v>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1"/>
      <c r="AF9" s="1"/>
      <c r="AG9" s="1"/>
      <c r="AH9" s="1"/>
      <c r="AI9" s="1"/>
      <c r="AJ9" s="1"/>
      <c r="AK9" s="1"/>
      <c r="AL9" s="1"/>
      <c r="AM9" s="1">
        <v>5</v>
      </c>
      <c r="AN9" s="1"/>
      <c r="AO9" s="1"/>
      <c r="AP9" s="1"/>
      <c r="AQ9" s="4"/>
      <c r="AR9" s="4"/>
      <c r="AS9" s="4"/>
      <c r="AT9" s="4"/>
      <c r="AU9" s="4"/>
      <c r="AV9" s="4"/>
      <c r="AW9" s="2"/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>
        <f>SUM(E9:BO9)</f>
        <v>5</v>
      </c>
      <c r="BQ9" s="1">
        <v>0</v>
      </c>
      <c r="BR9" s="17">
        <v>0</v>
      </c>
      <c r="BS9" s="17"/>
      <c r="BT9" s="1" t="str">
        <f>IF(AQ9&gt;AQ$114, AQ9-AQ$114,"")</f>
        <v/>
      </c>
      <c r="BU9" s="1" t="str">
        <f>IF(AR9&gt;AR$114, AR9-AR$114,"")</f>
        <v/>
      </c>
      <c r="BV9" s="1" t="str">
        <f>IF(AS9&gt;AS$114, AS9-AS$114,"")</f>
        <v/>
      </c>
      <c r="BW9" s="1" t="str">
        <f>IF(AT9&gt;AT$114, AT9-AT$114,"")</f>
        <v/>
      </c>
      <c r="BX9" s="1" t="str">
        <f>IF(AU9&gt;AU$114, AU9-AU$114,"")</f>
        <v/>
      </c>
      <c r="BY9" s="1" t="str">
        <f>IF(AV9&gt;AV$114, AV9-AV$114,"")</f>
        <v/>
      </c>
      <c r="BZ9" s="1" t="str">
        <f>IF(AW9&gt;AW$114, AW9-AW$114,"")</f>
        <v/>
      </c>
      <c r="CA9" s="1" t="str">
        <f>IF(AX9&gt;AX$114, AX9-AX$114,"")</f>
        <v/>
      </c>
      <c r="CB9" s="1" t="str">
        <f>IF(AY9&gt;AY$114, AY9-AY$114,"")</f>
        <v/>
      </c>
      <c r="CC9" s="1" t="str">
        <f>IF(AZ9&gt;AZ$114, AZ9-AZ$114,"")</f>
        <v/>
      </c>
      <c r="CD9" s="1" t="str">
        <f>IF(BA9&gt;BA$114, BA9-BA$114,"")</f>
        <v/>
      </c>
      <c r="CE9" s="1" t="str">
        <f>IF(BB9&gt;BB$114, BB9-BB$114,"")</f>
        <v/>
      </c>
      <c r="CF9" s="1">
        <f>COUNTIF(BT9:CE9, "&gt;0")</f>
        <v>0</v>
      </c>
      <c r="CG9" s="1" t="str">
        <f>IF($CF9=1,BT9,"")</f>
        <v/>
      </c>
      <c r="CH9" s="1" t="str">
        <f>IF($CF9=1,BU9,"")</f>
        <v/>
      </c>
      <c r="CI9" s="1" t="str">
        <f>IF($CF9=1,BV9,"")</f>
        <v/>
      </c>
      <c r="CJ9" s="1" t="str">
        <f>IF($CF9=1,BW9,"")</f>
        <v/>
      </c>
      <c r="CK9" s="1" t="str">
        <f>IF($CF9=1,BX9,"")</f>
        <v/>
      </c>
      <c r="CL9" s="1" t="str">
        <f>IF($CF9=1,BY9,"")</f>
        <v/>
      </c>
      <c r="CM9" s="1" t="str">
        <f>IF($CF9=1,BZ9,"")</f>
        <v/>
      </c>
      <c r="CN9" s="1" t="str">
        <f>IF($CF9=1,CA9,"")</f>
        <v/>
      </c>
      <c r="CO9" s="1" t="str">
        <f>IF($CF9=1,CB9,"")</f>
        <v/>
      </c>
      <c r="CP9" s="1" t="str">
        <f>IF($CF9=1,CC9,"")</f>
        <v/>
      </c>
      <c r="CQ9" s="1" t="str">
        <f>IF($CF9=1,CD9,"")</f>
        <v/>
      </c>
      <c r="CR9" s="1" t="str">
        <f>IF($CF9=1,CE9,"")</f>
        <v/>
      </c>
      <c r="CS9" s="3">
        <f>SUM(AE9:BO9)</f>
        <v>5</v>
      </c>
    </row>
    <row r="10" spans="1:97" x14ac:dyDescent="0.15">
      <c r="A10" s="31">
        <v>84</v>
      </c>
      <c r="B10" s="32" t="s">
        <v>172</v>
      </c>
      <c r="C10" s="32" t="s">
        <v>54</v>
      </c>
      <c r="D10" s="31" t="s">
        <v>10</v>
      </c>
      <c r="E10" s="33"/>
      <c r="F10" s="33"/>
      <c r="G10" s="33">
        <v>5</v>
      </c>
      <c r="H10" s="33">
        <v>5</v>
      </c>
      <c r="I10" s="33"/>
      <c r="J10" s="33"/>
      <c r="K10" s="33"/>
      <c r="L10" s="33"/>
      <c r="M10" s="33"/>
      <c r="N10" s="33"/>
      <c r="O10" s="33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5"/>
      <c r="AR10" s="35"/>
      <c r="AS10" s="35"/>
      <c r="AT10" s="35"/>
      <c r="AU10" s="35"/>
      <c r="AV10" s="35"/>
      <c r="AW10" s="36"/>
      <c r="AX10" s="36"/>
      <c r="AY10" s="36"/>
      <c r="AZ10" s="36"/>
      <c r="BA10" s="36">
        <v>5</v>
      </c>
      <c r="BB10" s="36">
        <v>5</v>
      </c>
      <c r="BC10" s="37"/>
      <c r="BD10" s="31"/>
      <c r="BE10" s="31"/>
      <c r="BF10" s="31"/>
      <c r="BG10" s="31"/>
      <c r="BH10" s="31"/>
      <c r="BI10" s="31"/>
      <c r="BJ10" s="31"/>
      <c r="BK10" s="31"/>
      <c r="BL10" s="31"/>
      <c r="BM10" s="31"/>
      <c r="BN10" s="31"/>
      <c r="BO10" s="31"/>
      <c r="BP10" s="31">
        <f>SUM(E10:BO10)</f>
        <v>20</v>
      </c>
      <c r="BQ10" s="31">
        <v>0</v>
      </c>
      <c r="BR10" s="38">
        <v>0</v>
      </c>
      <c r="BS10" s="38"/>
      <c r="BT10" s="31" t="str">
        <f>IF(AQ10&gt;AQ$114, AQ10-AQ$114,"")</f>
        <v/>
      </c>
      <c r="BU10" s="31" t="str">
        <f>IF(AR10&gt;AR$114, AR10-AR$114,"")</f>
        <v/>
      </c>
      <c r="BV10" s="31" t="str">
        <f>IF(AS10&gt;AS$114, AS10-AS$114,"")</f>
        <v/>
      </c>
      <c r="BW10" s="31" t="str">
        <f>IF(AT10&gt;AT$114, AT10-AT$114,"")</f>
        <v/>
      </c>
      <c r="BX10" s="31" t="str">
        <f>IF(AU10&gt;AU$114, AU10-AU$114,"")</f>
        <v/>
      </c>
      <c r="BY10" s="31" t="str">
        <f>IF(AV10&gt;AV$114, AV10-AV$114,"")</f>
        <v/>
      </c>
      <c r="BZ10" s="31" t="str">
        <f>IF(AW10&gt;AW$114, AW10-AW$114,"")</f>
        <v/>
      </c>
      <c r="CA10" s="31" t="str">
        <f>IF(AX10&gt;AX$114, AX10-AX$114,"")</f>
        <v/>
      </c>
      <c r="CB10" s="31" t="str">
        <f>IF(AY10&gt;AY$114, AY10-AY$114,"")</f>
        <v/>
      </c>
      <c r="CC10" s="31" t="str">
        <f>IF(AZ10&gt;AZ$114, AZ10-AZ$114,"")</f>
        <v/>
      </c>
      <c r="CD10" s="31" t="str">
        <f>IF(BA10&gt;BA$114, BA10-BA$114,"")</f>
        <v/>
      </c>
      <c r="CE10" s="31" t="str">
        <f>IF(BB10&gt;BB$114, BB10-BB$114,"")</f>
        <v/>
      </c>
      <c r="CF10" s="31">
        <f>COUNTIF(BT10:CE10, "&gt;0")</f>
        <v>0</v>
      </c>
      <c r="CG10" s="31" t="str">
        <f>IF($CF10=1,BT10,"")</f>
        <v/>
      </c>
      <c r="CH10" s="31" t="str">
        <f>IF($CF10=1,BU10,"")</f>
        <v/>
      </c>
      <c r="CI10" s="31" t="str">
        <f>IF($CF10=1,BV10,"")</f>
        <v/>
      </c>
      <c r="CJ10" s="31" t="str">
        <f>IF($CF10=1,BW10,"")</f>
        <v/>
      </c>
      <c r="CK10" s="31" t="str">
        <f>IF($CF10=1,BX10,"")</f>
        <v/>
      </c>
      <c r="CL10" s="31" t="str">
        <f>IF($CF10=1,BY10,"")</f>
        <v/>
      </c>
      <c r="CM10" s="31" t="str">
        <f>IF($CF10=1,BZ10,"")</f>
        <v/>
      </c>
      <c r="CN10" s="31" t="str">
        <f>IF($CF10=1,CA10,"")</f>
        <v/>
      </c>
      <c r="CO10" s="31" t="str">
        <f>IF($CF10=1,CB10,"")</f>
        <v/>
      </c>
      <c r="CP10" s="31" t="str">
        <f>IF($CF10=1,CC10,"")</f>
        <v/>
      </c>
      <c r="CQ10" s="31" t="str">
        <f>IF($CF10=1,CD10,"")</f>
        <v/>
      </c>
      <c r="CR10" s="31" t="str">
        <f>IF($CF10=1,CE10,"")</f>
        <v/>
      </c>
      <c r="CS10" s="32">
        <f>SUM(AE10:BO10)</f>
        <v>10</v>
      </c>
    </row>
    <row r="11" spans="1:97" s="23" customFormat="1" x14ac:dyDescent="0.15">
      <c r="A11" s="1"/>
      <c r="B11" s="1" t="s">
        <v>171</v>
      </c>
      <c r="C11" s="1" t="s">
        <v>93</v>
      </c>
      <c r="D11" s="1" t="s">
        <v>91</v>
      </c>
      <c r="E11" s="6">
        <v>6</v>
      </c>
      <c r="F11" s="6">
        <v>6</v>
      </c>
      <c r="G11" s="6"/>
      <c r="H11" s="6"/>
      <c r="I11" s="6"/>
      <c r="J11" s="6"/>
      <c r="K11" s="6"/>
      <c r="L11" s="6"/>
      <c r="M11" s="6"/>
      <c r="N11" s="6"/>
      <c r="O11" s="6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>
        <v>10</v>
      </c>
      <c r="AT11" s="4"/>
      <c r="AU11" s="4"/>
      <c r="AV11" s="4"/>
      <c r="AW11" s="2"/>
      <c r="AX11" s="2">
        <v>10</v>
      </c>
      <c r="AY11" s="2"/>
      <c r="AZ11" s="2"/>
      <c r="BA11" s="2"/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>
        <f>SUM(E11:BO11)</f>
        <v>32</v>
      </c>
      <c r="BQ11" s="1">
        <v>0</v>
      </c>
      <c r="BR11" s="17">
        <v>0</v>
      </c>
      <c r="BS11" s="17"/>
      <c r="BT11" s="1" t="str">
        <f>IF(AQ11&gt;AQ$114, AQ11-AQ$114,"")</f>
        <v/>
      </c>
      <c r="BU11" s="1" t="str">
        <f>IF(AR11&gt;AR$114, AR11-AR$114,"")</f>
        <v/>
      </c>
      <c r="BV11" s="1" t="str">
        <f>IF(AS11&gt;AS$114, AS11-AS$114,"")</f>
        <v/>
      </c>
      <c r="BW11" s="1" t="str">
        <f>IF(AT11&gt;AT$114, AT11-AT$114,"")</f>
        <v/>
      </c>
      <c r="BX11" s="1" t="str">
        <f>IF(AU11&gt;AU$114, AU11-AU$114,"")</f>
        <v/>
      </c>
      <c r="BY11" s="1" t="str">
        <f>IF(AV11&gt;AV$114, AV11-AV$114,"")</f>
        <v/>
      </c>
      <c r="BZ11" s="1" t="str">
        <f>IF(AW11&gt;AW$114, AW11-AW$114,"")</f>
        <v/>
      </c>
      <c r="CA11" s="1" t="str">
        <f>IF(AX11&gt;AX$114, AX11-AX$114,"")</f>
        <v/>
      </c>
      <c r="CB11" s="1" t="str">
        <f>IF(AY11&gt;AY$114, AY11-AY$114,"")</f>
        <v/>
      </c>
      <c r="CC11" s="1" t="str">
        <f>IF(AZ11&gt;AZ$114, AZ11-AZ$114,"")</f>
        <v/>
      </c>
      <c r="CD11" s="1" t="str">
        <f>IF(BA11&gt;BA$114, BA11-BA$114,"")</f>
        <v/>
      </c>
      <c r="CE11" s="1" t="str">
        <f>IF(BB11&gt;BB$114, BB11-BB$114,"")</f>
        <v/>
      </c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3"/>
    </row>
    <row r="12" spans="1:97" x14ac:dyDescent="0.15">
      <c r="A12" s="1">
        <v>14</v>
      </c>
      <c r="B12" s="1" t="s">
        <v>25</v>
      </c>
      <c r="C12" s="1" t="s">
        <v>26</v>
      </c>
      <c r="D12" s="1" t="s">
        <v>27</v>
      </c>
      <c r="E12" s="6"/>
      <c r="F12" s="6"/>
      <c r="G12" s="6">
        <v>15</v>
      </c>
      <c r="H12" s="6">
        <v>15</v>
      </c>
      <c r="I12" s="6"/>
      <c r="J12" s="6"/>
      <c r="K12" s="6"/>
      <c r="L12" s="6"/>
      <c r="M12" s="6"/>
      <c r="N12" s="6"/>
      <c r="O12" s="6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>
        <v>15</v>
      </c>
      <c r="AT12" s="4"/>
      <c r="AU12" s="4"/>
      <c r="AV12" s="4"/>
      <c r="AW12" s="2"/>
      <c r="AX12" s="2"/>
      <c r="AY12" s="2"/>
      <c r="AZ12" s="2"/>
      <c r="BA12" s="2"/>
      <c r="BB12" s="2">
        <v>15</v>
      </c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>
        <f>SUM(E12:BO12)</f>
        <v>60</v>
      </c>
      <c r="BQ12" s="1">
        <v>0</v>
      </c>
      <c r="BR12" s="17">
        <v>0</v>
      </c>
      <c r="BS12" s="17"/>
      <c r="BT12" s="1" t="str">
        <f>IF(AQ12&gt;AQ$114, AQ12-AQ$114,"")</f>
        <v/>
      </c>
      <c r="BU12" s="1" t="str">
        <f>IF(AR12&gt;AR$114, AR12-AR$114,"")</f>
        <v/>
      </c>
      <c r="BV12" s="1" t="str">
        <f>IF(AS12&gt;AS$114, AS12-AS$114,"")</f>
        <v/>
      </c>
      <c r="BW12" s="1" t="str">
        <f>IF(AT12&gt;AT$114, AT12-AT$114,"")</f>
        <v/>
      </c>
      <c r="BX12" s="1" t="str">
        <f>IF(AU12&gt;AU$114, AU12-AU$114,"")</f>
        <v/>
      </c>
      <c r="BY12" s="1" t="str">
        <f>IF(AV12&gt;AV$114, AV12-AV$114,"")</f>
        <v/>
      </c>
      <c r="BZ12" s="1" t="str">
        <f>IF(AW12&gt;AW$114, AW12-AW$114,"")</f>
        <v/>
      </c>
      <c r="CA12" s="1" t="str">
        <f>IF(AX12&gt;AX$114, AX12-AX$114,"")</f>
        <v/>
      </c>
      <c r="CB12" s="1" t="str">
        <f>IF(AY12&gt;AY$114, AY12-AY$114,"")</f>
        <v/>
      </c>
      <c r="CC12" s="1" t="str">
        <f>IF(AZ12&gt;AZ$114, AZ12-AZ$114,"")</f>
        <v/>
      </c>
      <c r="CD12" s="1" t="str">
        <f>IF(BA12&gt;BA$114, BA12-BA$114,"")</f>
        <v/>
      </c>
      <c r="CE12" s="1" t="str">
        <f>IF(BB12&gt;BB$114, BB12-BB$114,"")</f>
        <v/>
      </c>
      <c r="CF12" s="1">
        <f>COUNTIF(BT12:CE12, "&gt;0")</f>
        <v>0</v>
      </c>
      <c r="CG12" s="1" t="str">
        <f>IF($CF12=1,BT12,"")</f>
        <v/>
      </c>
      <c r="CH12" s="1" t="str">
        <f>IF($CF12=1,BU12,"")</f>
        <v/>
      </c>
      <c r="CI12" s="1" t="str">
        <f>IF($CF12=1,BV12,"")</f>
        <v/>
      </c>
      <c r="CJ12" s="1" t="str">
        <f>IF($CF12=1,BW12,"")</f>
        <v/>
      </c>
      <c r="CK12" s="1" t="str">
        <f>IF($CF12=1,BX12,"")</f>
        <v/>
      </c>
      <c r="CL12" s="1" t="str">
        <f>IF($CF12=1,BY12,"")</f>
        <v/>
      </c>
      <c r="CM12" s="1" t="str">
        <f>IF($CF12=1,BZ12,"")</f>
        <v/>
      </c>
      <c r="CN12" s="1" t="str">
        <f>IF($CF12=1,CA12,"")</f>
        <v/>
      </c>
      <c r="CO12" s="1" t="str">
        <f>IF($CF12=1,CB12,"")</f>
        <v/>
      </c>
      <c r="CP12" s="1" t="str">
        <f>IF($CF12=1,CC12,"")</f>
        <v/>
      </c>
      <c r="CQ12" s="1" t="str">
        <f>IF($CF12=1,CD12,"")</f>
        <v/>
      </c>
      <c r="CR12" s="1" t="str">
        <f>IF($CF12=1,CE12,"")</f>
        <v/>
      </c>
      <c r="CS12" s="3">
        <f>SUM(AE12:BO12)</f>
        <v>30</v>
      </c>
    </row>
    <row r="13" spans="1:97" x14ac:dyDescent="0.15">
      <c r="A13" s="1"/>
      <c r="B13" s="1" t="s">
        <v>92</v>
      </c>
      <c r="C13" s="1" t="s">
        <v>93</v>
      </c>
      <c r="D13" s="1" t="s">
        <v>90</v>
      </c>
      <c r="E13" s="6"/>
      <c r="F13" s="6"/>
      <c r="G13" s="6">
        <v>15</v>
      </c>
      <c r="H13" s="6">
        <v>15</v>
      </c>
      <c r="I13" s="6"/>
      <c r="J13" s="6"/>
      <c r="K13" s="6"/>
      <c r="L13" s="6"/>
      <c r="M13" s="6"/>
      <c r="N13" s="6"/>
      <c r="O13" s="6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>
        <v>15</v>
      </c>
      <c r="AT13" s="4"/>
      <c r="AU13" s="4"/>
      <c r="AV13" s="4"/>
      <c r="AW13" s="2"/>
      <c r="AX13" s="2"/>
      <c r="AY13" s="2"/>
      <c r="AZ13" s="2"/>
      <c r="BA13" s="2"/>
      <c r="BB13" s="2">
        <v>15</v>
      </c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>
        <f>SUM(E13:BO13)</f>
        <v>60</v>
      </c>
      <c r="BQ13" s="1">
        <v>0</v>
      </c>
      <c r="BR13" s="17">
        <v>0</v>
      </c>
      <c r="BS13" s="17"/>
      <c r="BT13" s="1" t="str">
        <f>IF(AQ13&gt;AQ$114, AQ13-AQ$114,"")</f>
        <v/>
      </c>
      <c r="BU13" s="1" t="str">
        <f>IF(AR13&gt;AR$114, AR13-AR$114,"")</f>
        <v/>
      </c>
      <c r="BV13" s="1" t="str">
        <f>IF(AS13&gt;AS$114, AS13-AS$114,"")</f>
        <v/>
      </c>
      <c r="BW13" s="1" t="str">
        <f>IF(AT13&gt;AT$114, AT13-AT$114,"")</f>
        <v/>
      </c>
      <c r="BX13" s="1" t="str">
        <f>IF(AU13&gt;AU$114, AU13-AU$114,"")</f>
        <v/>
      </c>
      <c r="BY13" s="1" t="str">
        <f>IF(AV13&gt;AV$114, AV13-AV$114,"")</f>
        <v/>
      </c>
      <c r="BZ13" s="1" t="str">
        <f>IF(AW13&gt;AW$114, AW13-AW$114,"")</f>
        <v/>
      </c>
      <c r="CA13" s="1" t="str">
        <f>IF(AX13&gt;AX$114, AX13-AX$114,"")</f>
        <v/>
      </c>
      <c r="CB13" s="1" t="str">
        <f>IF(AY13&gt;AY$114, AY13-AY$114,"")</f>
        <v/>
      </c>
      <c r="CC13" s="1" t="str">
        <f>IF(AZ13&gt;AZ$114, AZ13-AZ$114,"")</f>
        <v/>
      </c>
      <c r="CD13" s="1" t="str">
        <f>IF(BA13&gt;BA$114, BA13-BA$114,"")</f>
        <v/>
      </c>
      <c r="CE13" s="1" t="str">
        <f>IF(BB13&gt;BB$114, BB13-BB$114,"")</f>
        <v/>
      </c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3"/>
    </row>
    <row r="14" spans="1:97" x14ac:dyDescent="0.15">
      <c r="A14" s="1">
        <v>18</v>
      </c>
      <c r="B14" s="1" t="s">
        <v>29</v>
      </c>
      <c r="C14" s="1" t="s">
        <v>26</v>
      </c>
      <c r="D14" s="1" t="s">
        <v>20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1"/>
      <c r="AF14" s="1"/>
      <c r="AG14" s="1">
        <v>5</v>
      </c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>
        <f>SUM(E14:BO14)</f>
        <v>5</v>
      </c>
      <c r="BQ14" s="1">
        <v>1</v>
      </c>
      <c r="BR14" s="17">
        <v>1</v>
      </c>
      <c r="BS14" s="17" t="s">
        <v>223</v>
      </c>
      <c r="BT14" s="1" t="str">
        <f>IF(AQ14&gt;AQ$114, AQ14-AQ$114,"")</f>
        <v/>
      </c>
      <c r="BU14" s="1" t="str">
        <f>IF(AR14&gt;AR$114, AR14-AR$114,"")</f>
        <v/>
      </c>
      <c r="BV14" s="1" t="str">
        <f>IF(AS14&gt;AS$114, AS14-AS$114,"")</f>
        <v/>
      </c>
      <c r="BW14" s="1" t="str">
        <f>IF(AT14&gt;AT$114, AT14-AT$114,"")</f>
        <v/>
      </c>
      <c r="BX14" s="1" t="str">
        <f>IF(AU14&gt;AU$114, AU14-AU$114,"")</f>
        <v/>
      </c>
      <c r="BY14" s="1" t="str">
        <f>IF(AV14&gt;AV$114, AV14-AV$114,"")</f>
        <v/>
      </c>
      <c r="BZ14" s="1" t="str">
        <f>IF(AW14&gt;AW$114, AW14-AW$114,"")</f>
        <v/>
      </c>
      <c r="CA14" s="1" t="str">
        <f>IF(AX14&gt;AX$114, AX14-AX$114,"")</f>
        <v/>
      </c>
      <c r="CB14" s="1" t="str">
        <f>IF(AY14&gt;AY$114, AY14-AY$114,"")</f>
        <v/>
      </c>
      <c r="CC14" s="1" t="str">
        <f>IF(AZ14&gt;AZ$114, AZ14-AZ$114,"")</f>
        <v/>
      </c>
      <c r="CD14" s="1" t="str">
        <f>IF(BA14&gt;BA$114, BA14-BA$114,"")</f>
        <v/>
      </c>
      <c r="CE14" s="1" t="str">
        <f>IF(BB14&gt;BB$114, BB14-BB$114,"")</f>
        <v/>
      </c>
      <c r="CF14" s="1">
        <f>COUNTIF(BT14:CE14, "&gt;0")</f>
        <v>0</v>
      </c>
      <c r="CG14" s="1" t="str">
        <f>IF($CF14=1,BT14,"")</f>
        <v/>
      </c>
      <c r="CH14" s="1" t="str">
        <f>IF($CF14=1,BU14,"")</f>
        <v/>
      </c>
      <c r="CI14" s="1" t="str">
        <f>IF($CF14=1,BV14,"")</f>
        <v/>
      </c>
      <c r="CJ14" s="1" t="str">
        <f>IF($CF14=1,BW14,"")</f>
        <v/>
      </c>
      <c r="CK14" s="1" t="str">
        <f>IF($CF14=1,BX14,"")</f>
        <v/>
      </c>
      <c r="CL14" s="1" t="str">
        <f>IF($CF14=1,BY14,"")</f>
        <v/>
      </c>
      <c r="CM14" s="1" t="str">
        <f>IF($CF14=1,BZ14,"")</f>
        <v/>
      </c>
      <c r="CN14" s="1" t="str">
        <f>IF($CF14=1,CA14,"")</f>
        <v/>
      </c>
      <c r="CO14" s="1" t="str">
        <f>IF($CF14=1,CB14,"")</f>
        <v/>
      </c>
      <c r="CP14" s="1" t="str">
        <f>IF($CF14=1,CC14,"")</f>
        <v/>
      </c>
      <c r="CQ14" s="1" t="str">
        <f>IF($CF14=1,CD14,"")</f>
        <v/>
      </c>
      <c r="CR14" s="1" t="str">
        <f>IF($CF14=1,CE14,"")</f>
        <v/>
      </c>
      <c r="CS14" s="3">
        <f>SUM(AE14:BO14)</f>
        <v>5</v>
      </c>
    </row>
    <row r="15" spans="1:97" s="23" customFormat="1" x14ac:dyDescent="0.15">
      <c r="A15" s="40">
        <v>20</v>
      </c>
      <c r="B15" s="40" t="s">
        <v>199</v>
      </c>
      <c r="C15" s="40" t="s">
        <v>26</v>
      </c>
      <c r="D15" s="40" t="s">
        <v>20</v>
      </c>
      <c r="E15" s="41"/>
      <c r="F15" s="41">
        <v>5</v>
      </c>
      <c r="G15" s="41"/>
      <c r="H15" s="41"/>
      <c r="I15" s="41"/>
      <c r="J15" s="41"/>
      <c r="K15" s="41"/>
      <c r="L15" s="41"/>
      <c r="M15" s="41"/>
      <c r="N15" s="41"/>
      <c r="O15" s="41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0"/>
      <c r="AF15" s="40"/>
      <c r="AG15" s="40">
        <v>5</v>
      </c>
      <c r="AH15" s="40"/>
      <c r="AI15" s="40"/>
      <c r="AJ15" s="40"/>
      <c r="AK15" s="40"/>
      <c r="AL15" s="40"/>
      <c r="AM15" s="40"/>
      <c r="AN15" s="40"/>
      <c r="AO15" s="40"/>
      <c r="AP15" s="40"/>
      <c r="AQ15" s="43"/>
      <c r="AR15" s="43"/>
      <c r="AS15" s="43"/>
      <c r="AT15" s="43"/>
      <c r="AU15" s="43"/>
      <c r="AV15" s="43"/>
      <c r="AW15" s="44"/>
      <c r="AX15" s="44"/>
      <c r="AY15" s="44"/>
      <c r="AZ15" s="44"/>
      <c r="BA15" s="44"/>
      <c r="BB15" s="44"/>
      <c r="BC15" s="45"/>
      <c r="BD15" s="40"/>
      <c r="BE15" s="40"/>
      <c r="BF15" s="40"/>
      <c r="BG15" s="40"/>
      <c r="BH15" s="40"/>
      <c r="BI15" s="40"/>
      <c r="BJ15" s="40"/>
      <c r="BK15" s="40"/>
      <c r="BL15" s="40"/>
      <c r="BM15" s="40"/>
      <c r="BN15" s="40"/>
      <c r="BO15" s="40"/>
      <c r="BP15" s="40">
        <f>SUM(E15:BO15)</f>
        <v>10</v>
      </c>
      <c r="BQ15" s="40">
        <v>1</v>
      </c>
      <c r="BR15" s="46">
        <v>1</v>
      </c>
      <c r="BS15" s="46" t="s">
        <v>223</v>
      </c>
      <c r="BT15" s="40" t="str">
        <f>IF(AQ15&gt;AQ$114, AQ15-AQ$114,"")</f>
        <v/>
      </c>
      <c r="BU15" s="40" t="str">
        <f>IF(AR15&gt;AR$114, AR15-AR$114,"")</f>
        <v/>
      </c>
      <c r="BV15" s="40" t="str">
        <f>IF(AS15&gt;AS$114, AS15-AS$114,"")</f>
        <v/>
      </c>
      <c r="BW15" s="40" t="str">
        <f>IF(AT15&gt;AT$114, AT15-AT$114,"")</f>
        <v/>
      </c>
      <c r="BX15" s="40" t="str">
        <f>IF(AU15&gt;AU$114, AU15-AU$114,"")</f>
        <v/>
      </c>
      <c r="BY15" s="40" t="str">
        <f>IF(AV15&gt;AV$114, AV15-AV$114,"")</f>
        <v/>
      </c>
      <c r="BZ15" s="40" t="str">
        <f>IF(AW15&gt;AW$114, AW15-AW$114,"")</f>
        <v/>
      </c>
      <c r="CA15" s="40" t="str">
        <f>IF(AX15&gt;AX$114, AX15-AX$114,"")</f>
        <v/>
      </c>
      <c r="CB15" s="40" t="str">
        <f>IF(AY15&gt;AY$114, AY15-AY$114,"")</f>
        <v/>
      </c>
      <c r="CC15" s="40" t="str">
        <f>IF(AZ15&gt;AZ$114, AZ15-AZ$114,"")</f>
        <v/>
      </c>
      <c r="CD15" s="40" t="str">
        <f>IF(BA15&gt;BA$114, BA15-BA$114,"")</f>
        <v/>
      </c>
      <c r="CE15" s="40" t="str">
        <f>IF(BB15&gt;BB$114, BB15-BB$114,"")</f>
        <v/>
      </c>
      <c r="CF15" s="40">
        <f>COUNTIF(BT15:CE15, "&gt;0")</f>
        <v>0</v>
      </c>
      <c r="CG15" s="40" t="str">
        <f>IF($CF15=1,BT15,"")</f>
        <v/>
      </c>
      <c r="CH15" s="40" t="str">
        <f>IF($CF15=1,BU15,"")</f>
        <v/>
      </c>
      <c r="CI15" s="40" t="str">
        <f>IF($CF15=1,BV15,"")</f>
        <v/>
      </c>
      <c r="CJ15" s="40" t="str">
        <f>IF($CF15=1,BW15,"")</f>
        <v/>
      </c>
      <c r="CK15" s="40" t="str">
        <f>IF($CF15=1,BX15,"")</f>
        <v/>
      </c>
      <c r="CL15" s="40" t="str">
        <f>IF($CF15=1,BY15,"")</f>
        <v/>
      </c>
      <c r="CM15" s="40" t="str">
        <f>IF($CF15=1,BZ15,"")</f>
        <v/>
      </c>
      <c r="CN15" s="40" t="str">
        <f>IF($CF15=1,CA15,"")</f>
        <v/>
      </c>
      <c r="CO15" s="40" t="str">
        <f>IF($CF15=1,CB15,"")</f>
        <v/>
      </c>
      <c r="CP15" s="40" t="str">
        <f>IF($CF15=1,CC15,"")</f>
        <v/>
      </c>
      <c r="CQ15" s="40" t="str">
        <f>IF($CF15=1,CD15,"")</f>
        <v/>
      </c>
      <c r="CR15" s="40" t="str">
        <f>IF($CF15=1,CE15,"")</f>
        <v/>
      </c>
      <c r="CS15" s="47">
        <f>SUM(AE15:BO15)</f>
        <v>5</v>
      </c>
    </row>
    <row r="16" spans="1:97" s="49" customFormat="1" x14ac:dyDescent="0.15">
      <c r="A16" s="18"/>
      <c r="B16" s="18" t="s">
        <v>100</v>
      </c>
      <c r="C16" s="18" t="s">
        <v>93</v>
      </c>
      <c r="D16" s="18" t="s">
        <v>97</v>
      </c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>
        <v>2</v>
      </c>
      <c r="AP16" s="18"/>
      <c r="AQ16" s="20"/>
      <c r="AR16" s="20"/>
      <c r="AS16" s="20"/>
      <c r="AT16" s="20"/>
      <c r="AU16" s="20"/>
      <c r="AV16" s="20"/>
      <c r="AW16" s="21"/>
      <c r="AX16" s="21"/>
      <c r="AY16" s="21"/>
      <c r="AZ16" s="21"/>
      <c r="BA16" s="21"/>
      <c r="BB16" s="21"/>
      <c r="BC16" s="26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>
        <f>SUM(E16:BO16)</f>
        <v>2</v>
      </c>
      <c r="BQ16" s="18">
        <v>2</v>
      </c>
      <c r="BR16" s="22">
        <v>1</v>
      </c>
      <c r="BS16" s="22" t="s">
        <v>222</v>
      </c>
      <c r="BT16" s="18" t="str">
        <f>IF(AQ16&gt;AQ$114, AQ16-AQ$114,"")</f>
        <v/>
      </c>
      <c r="BU16" s="18" t="str">
        <f>IF(AR16&gt;AR$114, AR16-AR$114,"")</f>
        <v/>
      </c>
      <c r="BV16" s="18" t="str">
        <f>IF(AS16&gt;AS$114, AS16-AS$114,"")</f>
        <v/>
      </c>
      <c r="BW16" s="18" t="str">
        <f>IF(AT16&gt;AT$114, AT16-AT$114,"")</f>
        <v/>
      </c>
      <c r="BX16" s="18" t="str">
        <f>IF(AU16&gt;AU$114, AU16-AU$114,"")</f>
        <v/>
      </c>
      <c r="BY16" s="18" t="str">
        <f>IF(AV16&gt;AV$114, AV16-AV$114,"")</f>
        <v/>
      </c>
      <c r="BZ16" s="18" t="str">
        <f>IF(AW16&gt;AW$114, AW16-AW$114,"")</f>
        <v/>
      </c>
      <c r="CA16" s="18" t="str">
        <f>IF(AX16&gt;AX$114, AX16-AX$114,"")</f>
        <v/>
      </c>
      <c r="CB16" s="18" t="str">
        <f>IF(AY16&gt;AY$114, AY16-AY$114,"")</f>
        <v/>
      </c>
      <c r="CC16" s="18" t="str">
        <f>IF(AZ16&gt;AZ$114, AZ16-AZ$114,"")</f>
        <v/>
      </c>
      <c r="CD16" s="18" t="str">
        <f>IF(BA16&gt;BA$114, BA16-BA$114,"")</f>
        <v/>
      </c>
      <c r="CE16" s="18" t="str">
        <f>IF(BB16&gt;BB$114, BB16-BB$114,"")</f>
        <v/>
      </c>
      <c r="CF16" s="18"/>
      <c r="CG16" s="18"/>
      <c r="CH16" s="18"/>
      <c r="CI16" s="18"/>
      <c r="CJ16" s="18"/>
      <c r="CK16" s="18"/>
      <c r="CL16" s="18"/>
      <c r="CM16" s="18"/>
      <c r="CN16" s="18"/>
      <c r="CO16" s="18"/>
      <c r="CP16" s="18"/>
      <c r="CQ16" s="18"/>
      <c r="CR16" s="18"/>
      <c r="CS16" s="30"/>
    </row>
    <row r="17" spans="1:97" x14ac:dyDescent="0.15">
      <c r="A17" s="18"/>
      <c r="B17" s="18" t="s">
        <v>192</v>
      </c>
      <c r="C17" s="18" t="s">
        <v>26</v>
      </c>
      <c r="D17" s="18" t="s">
        <v>193</v>
      </c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>
        <v>3</v>
      </c>
      <c r="AP17" s="18"/>
      <c r="AQ17" s="20"/>
      <c r="AR17" s="20"/>
      <c r="AS17" s="20"/>
      <c r="AT17" s="20"/>
      <c r="AU17" s="20"/>
      <c r="AV17" s="20"/>
      <c r="AW17" s="21"/>
      <c r="AX17" s="21"/>
      <c r="AY17" s="21"/>
      <c r="AZ17" s="21"/>
      <c r="BA17" s="21"/>
      <c r="BB17" s="21"/>
      <c r="BC17" s="26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>
        <f>SUM(E17:BO17)</f>
        <v>3</v>
      </c>
      <c r="BQ17" s="18">
        <v>3</v>
      </c>
      <c r="BR17" s="22">
        <v>1</v>
      </c>
      <c r="BS17" s="22" t="s">
        <v>224</v>
      </c>
      <c r="BT17" s="18"/>
      <c r="BU17" s="18"/>
      <c r="BV17" s="18"/>
      <c r="BW17" s="18"/>
      <c r="BX17" s="18"/>
      <c r="BY17" s="18"/>
      <c r="BZ17" s="18"/>
      <c r="CA17" s="18"/>
      <c r="CB17" s="18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8"/>
      <c r="CQ17" s="18"/>
      <c r="CR17" s="18"/>
      <c r="CS17" s="30"/>
    </row>
    <row r="18" spans="1:97" x14ac:dyDescent="0.15">
      <c r="A18" s="1"/>
      <c r="B18" s="1" t="s">
        <v>170</v>
      </c>
      <c r="C18" s="1" t="s">
        <v>104</v>
      </c>
      <c r="D18" s="1" t="s">
        <v>90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>
        <v>10</v>
      </c>
      <c r="BB18" s="2">
        <v>10</v>
      </c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>
        <f>SUM(E18:BO18)</f>
        <v>20</v>
      </c>
      <c r="BQ18" s="1">
        <v>4</v>
      </c>
      <c r="BR18" s="17">
        <v>1</v>
      </c>
      <c r="BS18" s="17" t="s">
        <v>218</v>
      </c>
      <c r="BT18" s="1" t="str">
        <f>IF(AQ18&gt;AQ$114, AQ18-AQ$114,"")</f>
        <v/>
      </c>
      <c r="BU18" s="1" t="str">
        <f>IF(AR18&gt;AR$114, AR18-AR$114,"")</f>
        <v/>
      </c>
      <c r="BV18" s="1" t="str">
        <f>IF(AS18&gt;AS$114, AS18-AS$114,"")</f>
        <v/>
      </c>
      <c r="BW18" s="1" t="str">
        <f>IF(AT18&gt;AT$114, AT18-AT$114,"")</f>
        <v/>
      </c>
      <c r="BX18" s="1" t="str">
        <f>IF(AU18&gt;AU$114, AU18-AU$114,"")</f>
        <v/>
      </c>
      <c r="BY18" s="1" t="str">
        <f>IF(AV18&gt;AV$114, AV18-AV$114,"")</f>
        <v/>
      </c>
      <c r="BZ18" s="1" t="str">
        <f>IF(AW18&gt;AW$114, AW18-AW$114,"")</f>
        <v/>
      </c>
      <c r="CA18" s="1" t="str">
        <f>IF(AX18&gt;AX$114, AX18-AX$114,"")</f>
        <v/>
      </c>
      <c r="CB18" s="1" t="str">
        <f>IF(AY18&gt;AY$114, AY18-AY$114,"")</f>
        <v/>
      </c>
      <c r="CC18" s="1" t="str">
        <f>IF(AZ18&gt;AZ$114, AZ18-AZ$114,"")</f>
        <v/>
      </c>
      <c r="CD18" s="1" t="str">
        <f>IF(BA18&gt;BA$114, BA18-BA$114,"")</f>
        <v/>
      </c>
      <c r="CE18" s="1" t="str">
        <f>IF(BB18&gt;BB$114, BB18-BB$114,"")</f>
        <v/>
      </c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3"/>
    </row>
    <row r="19" spans="1:97" x14ac:dyDescent="0.15">
      <c r="A19" s="1"/>
      <c r="B19" s="1" t="s">
        <v>196</v>
      </c>
      <c r="C19" s="1" t="s">
        <v>197</v>
      </c>
      <c r="D19" s="1" t="s">
        <v>198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>
        <v>15</v>
      </c>
      <c r="AV19" s="4"/>
      <c r="AW19" s="2"/>
      <c r="AX19" s="2"/>
      <c r="AY19" s="2">
        <v>15</v>
      </c>
      <c r="AZ19" s="2"/>
      <c r="BA19" s="2">
        <v>10</v>
      </c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>
        <f>SUM(E19:BO19)</f>
        <v>40</v>
      </c>
      <c r="BQ19" s="1">
        <v>4</v>
      </c>
      <c r="BR19" s="17">
        <v>1</v>
      </c>
      <c r="BS19" s="17" t="s">
        <v>218</v>
      </c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3"/>
    </row>
    <row r="20" spans="1:97" x14ac:dyDescent="0.15">
      <c r="A20" s="1"/>
      <c r="B20" s="1" t="s">
        <v>153</v>
      </c>
      <c r="C20" s="1" t="s">
        <v>136</v>
      </c>
      <c r="D20" s="1" t="s">
        <v>109</v>
      </c>
      <c r="E20" s="6"/>
      <c r="F20" s="6"/>
      <c r="G20" s="6"/>
      <c r="H20" s="6"/>
      <c r="I20" s="6"/>
      <c r="J20" s="6"/>
      <c r="K20" s="6"/>
      <c r="L20" s="6">
        <v>6</v>
      </c>
      <c r="M20" s="6"/>
      <c r="N20" s="6"/>
      <c r="O20" s="6">
        <v>6</v>
      </c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/>
      <c r="AW20" s="2"/>
      <c r="AX20" s="2"/>
      <c r="AY20" s="2"/>
      <c r="AZ20" s="2"/>
      <c r="BA20" s="2">
        <v>10</v>
      </c>
      <c r="BB20" s="2">
        <v>10</v>
      </c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>
        <f>SUM(E20:BO20)</f>
        <v>32</v>
      </c>
      <c r="BQ20" s="1">
        <v>4</v>
      </c>
      <c r="BR20" s="17">
        <v>1</v>
      </c>
      <c r="BS20" s="17" t="s">
        <v>218</v>
      </c>
      <c r="BT20" s="1" t="str">
        <f>IF(AQ20&gt;AQ$114, AQ20-AQ$114,"")</f>
        <v/>
      </c>
      <c r="BU20" s="1" t="str">
        <f>IF(AR20&gt;AR$114, AR20-AR$114,"")</f>
        <v/>
      </c>
      <c r="BV20" s="1" t="str">
        <f>IF(AS20&gt;AS$114, AS20-AS$114,"")</f>
        <v/>
      </c>
      <c r="BW20" s="1" t="str">
        <f>IF(AT20&gt;AT$114, AT20-AT$114,"")</f>
        <v/>
      </c>
      <c r="BX20" s="1" t="str">
        <f>IF(AU20&gt;AU$114, AU20-AU$114,"")</f>
        <v/>
      </c>
      <c r="BY20" s="1" t="str">
        <f>IF(AV20&gt;AV$114, AV20-AV$114,"")</f>
        <v/>
      </c>
      <c r="BZ20" s="1" t="str">
        <f>IF(AW20&gt;AW$114, AW20-AW$114,"")</f>
        <v/>
      </c>
      <c r="CA20" s="1" t="str">
        <f>IF(AX20&gt;AX$114, AX20-AX$114,"")</f>
        <v/>
      </c>
      <c r="CB20" s="1" t="str">
        <f>IF(AY20&gt;AY$114, AY20-AY$114,"")</f>
        <v/>
      </c>
      <c r="CC20" s="1" t="str">
        <f>IF(AZ20&gt;AZ$114, AZ20-AZ$114,"")</f>
        <v/>
      </c>
      <c r="CD20" s="1" t="str">
        <f>IF(BA20&gt;BA$114, BA20-BA$114,"")</f>
        <v/>
      </c>
      <c r="CE20" s="1" t="str">
        <f>IF(BB20&gt;BB$114, BB20-BB$114,"")</f>
        <v/>
      </c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3"/>
    </row>
    <row r="21" spans="1:97" x14ac:dyDescent="0.15">
      <c r="A21" s="1">
        <v>81</v>
      </c>
      <c r="B21" s="3" t="s">
        <v>56</v>
      </c>
      <c r="C21" s="3" t="s">
        <v>54</v>
      </c>
      <c r="D21" s="1" t="s">
        <v>10</v>
      </c>
      <c r="E21" s="6"/>
      <c r="F21" s="6"/>
      <c r="G21" s="6"/>
      <c r="H21" s="6"/>
      <c r="I21" s="6"/>
      <c r="J21" s="6"/>
      <c r="K21" s="6"/>
      <c r="L21" s="6">
        <v>6</v>
      </c>
      <c r="M21" s="6"/>
      <c r="N21" s="6"/>
      <c r="O21" s="6">
        <v>6</v>
      </c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>
        <v>10</v>
      </c>
      <c r="AU21" s="4"/>
      <c r="AV21" s="4"/>
      <c r="AW21" s="2"/>
      <c r="AX21" s="2"/>
      <c r="AY21" s="2"/>
      <c r="AZ21" s="2"/>
      <c r="BA21" s="2">
        <v>10</v>
      </c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>
        <f>SUM(E21:BO21)</f>
        <v>32</v>
      </c>
      <c r="BQ21" s="1">
        <v>4</v>
      </c>
      <c r="BR21" s="17">
        <v>1</v>
      </c>
      <c r="BS21" s="17" t="s">
        <v>218</v>
      </c>
      <c r="BT21" s="1" t="str">
        <f>IF(AQ21&gt;AQ$114, AQ21-AQ$114,"")</f>
        <v/>
      </c>
      <c r="BU21" s="1" t="str">
        <f>IF(AR21&gt;AR$114, AR21-AR$114,"")</f>
        <v/>
      </c>
      <c r="BV21" s="1" t="str">
        <f>IF(AS21&gt;AS$114, AS21-AS$114,"")</f>
        <v/>
      </c>
      <c r="BW21" s="1" t="str">
        <f>IF(AT21&gt;AT$114, AT21-AT$114,"")</f>
        <v/>
      </c>
      <c r="BX21" s="1" t="str">
        <f>IF(AU21&gt;AU$114, AU21-AU$114,"")</f>
        <v/>
      </c>
      <c r="BY21" s="1" t="str">
        <f>IF(AV21&gt;AV$114, AV21-AV$114,"")</f>
        <v/>
      </c>
      <c r="BZ21" s="1" t="str">
        <f>IF(AW21&gt;AW$114, AW21-AW$114,"")</f>
        <v/>
      </c>
      <c r="CA21" s="1" t="str">
        <f>IF(AX21&gt;AX$114, AX21-AX$114,"")</f>
        <v/>
      </c>
      <c r="CB21" s="1" t="str">
        <f>IF(AY21&gt;AY$114, AY21-AY$114,"")</f>
        <v/>
      </c>
      <c r="CC21" s="1" t="str">
        <f>IF(AZ21&gt;AZ$114, AZ21-AZ$114,"")</f>
        <v/>
      </c>
      <c r="CD21" s="1" t="str">
        <f>IF(BA21&gt;BA$114, BA21-BA$114,"")</f>
        <v/>
      </c>
      <c r="CE21" s="1" t="str">
        <f>IF(BB21&gt;BB$114, BB21-BB$114,"")</f>
        <v/>
      </c>
      <c r="CF21" s="1">
        <f>COUNTIF(BT21:CE21, "&gt;0")</f>
        <v>0</v>
      </c>
      <c r="CG21" s="1" t="str">
        <f>IF($CF21=1,BT21,"")</f>
        <v/>
      </c>
      <c r="CH21" s="1" t="str">
        <f>IF($CF21=1,BU21,"")</f>
        <v/>
      </c>
      <c r="CI21" s="1" t="str">
        <f>IF($CF21=1,BV21,"")</f>
        <v/>
      </c>
      <c r="CJ21" s="1" t="str">
        <f>IF($CF21=1,BW21,"")</f>
        <v/>
      </c>
      <c r="CK21" s="1" t="str">
        <f>IF($CF21=1,BX21,"")</f>
        <v/>
      </c>
      <c r="CL21" s="1" t="str">
        <f>IF($CF21=1,BY21,"")</f>
        <v/>
      </c>
      <c r="CM21" s="1" t="str">
        <f>IF($CF21=1,BZ21,"")</f>
        <v/>
      </c>
      <c r="CN21" s="1" t="str">
        <f>IF($CF21=1,CA21,"")</f>
        <v/>
      </c>
      <c r="CO21" s="1" t="str">
        <f>IF($CF21=1,CB21,"")</f>
        <v/>
      </c>
      <c r="CP21" s="1" t="str">
        <f>IF($CF21=1,CC21,"")</f>
        <v/>
      </c>
      <c r="CQ21" s="1" t="str">
        <f>IF($CF21=1,CD21,"")</f>
        <v/>
      </c>
      <c r="CR21" s="1" t="str">
        <f>IF($CF21=1,CE21,"")</f>
        <v/>
      </c>
      <c r="CS21" s="3">
        <f>SUM(AE21:BO21)</f>
        <v>20</v>
      </c>
    </row>
    <row r="22" spans="1:97" x14ac:dyDescent="0.15">
      <c r="A22" s="1">
        <v>72</v>
      </c>
      <c r="B22" s="3" t="s">
        <v>78</v>
      </c>
      <c r="C22" s="1" t="s">
        <v>47</v>
      </c>
      <c r="D22" s="1" t="s">
        <v>10</v>
      </c>
      <c r="E22" s="6"/>
      <c r="F22" s="6"/>
      <c r="G22" s="6"/>
      <c r="H22" s="6"/>
      <c r="I22" s="6"/>
      <c r="J22" s="6"/>
      <c r="K22" s="6"/>
      <c r="L22" s="6">
        <v>6</v>
      </c>
      <c r="M22" s="6">
        <v>6</v>
      </c>
      <c r="N22" s="6"/>
      <c r="O22" s="6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/>
      <c r="AV22" s="4">
        <v>10</v>
      </c>
      <c r="AW22" s="2"/>
      <c r="AX22" s="2"/>
      <c r="AY22" s="2"/>
      <c r="AZ22" s="2"/>
      <c r="BA22" s="2">
        <v>10</v>
      </c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>
        <f>SUM(E22:BO22)</f>
        <v>32</v>
      </c>
      <c r="BQ22" s="1">
        <v>4</v>
      </c>
      <c r="BR22" s="17">
        <v>1</v>
      </c>
      <c r="BS22" s="17" t="s">
        <v>218</v>
      </c>
      <c r="BT22" s="1" t="str">
        <f>IF(AQ22&gt;AQ$114, AQ22-AQ$114,"")</f>
        <v/>
      </c>
      <c r="BU22" s="1" t="str">
        <f>IF(AR22&gt;AR$114, AR22-AR$114,"")</f>
        <v/>
      </c>
      <c r="BV22" s="1" t="str">
        <f>IF(AS22&gt;AS$114, AS22-AS$114,"")</f>
        <v/>
      </c>
      <c r="BW22" s="1" t="str">
        <f>IF(AT22&gt;AT$114, AT22-AT$114,"")</f>
        <v/>
      </c>
      <c r="BX22" s="1" t="str">
        <f>IF(AU22&gt;AU$114, AU22-AU$114,"")</f>
        <v/>
      </c>
      <c r="BY22" s="1" t="str">
        <f>IF(AV22&gt;AV$114, AV22-AV$114,"")</f>
        <v/>
      </c>
      <c r="BZ22" s="1" t="str">
        <f>IF(AW22&gt;AW$114, AW22-AW$114,"")</f>
        <v/>
      </c>
      <c r="CA22" s="1" t="str">
        <f>IF(AX22&gt;AX$114, AX22-AX$114,"")</f>
        <v/>
      </c>
      <c r="CB22" s="1" t="str">
        <f>IF(AY22&gt;AY$114, AY22-AY$114,"")</f>
        <v/>
      </c>
      <c r="CC22" s="1" t="str">
        <f>IF(AZ22&gt;AZ$114, AZ22-AZ$114,"")</f>
        <v/>
      </c>
      <c r="CD22" s="1" t="str">
        <f>IF(BA22&gt;BA$114, BA22-BA$114,"")</f>
        <v/>
      </c>
      <c r="CE22" s="1" t="str">
        <f>IF(BB22&gt;BB$114, BB22-BB$114,"")</f>
        <v/>
      </c>
      <c r="CF22" s="1">
        <f>COUNTIF(BT22:CE22, "&gt;0")</f>
        <v>0</v>
      </c>
      <c r="CG22" s="1" t="str">
        <f>IF($CF22=1,BT22,"")</f>
        <v/>
      </c>
      <c r="CH22" s="1" t="str">
        <f>IF($CF22=1,BU22,"")</f>
        <v/>
      </c>
      <c r="CI22" s="1" t="str">
        <f>IF($CF22=1,BV22,"")</f>
        <v/>
      </c>
      <c r="CJ22" s="1" t="str">
        <f>IF($CF22=1,BW22,"")</f>
        <v/>
      </c>
      <c r="CK22" s="1" t="str">
        <f>IF($CF22=1,BX22,"")</f>
        <v/>
      </c>
      <c r="CL22" s="1" t="str">
        <f>IF($CF22=1,BY22,"")</f>
        <v/>
      </c>
      <c r="CM22" s="1" t="str">
        <f>IF($CF22=1,BZ22,"")</f>
        <v/>
      </c>
      <c r="CN22" s="1" t="str">
        <f>IF($CF22=1,CA22,"")</f>
        <v/>
      </c>
      <c r="CO22" s="1" t="str">
        <f>IF($CF22=1,CB22,"")</f>
        <v/>
      </c>
      <c r="CP22" s="1" t="str">
        <f>IF($CF22=1,CC22,"")</f>
        <v/>
      </c>
      <c r="CQ22" s="1" t="str">
        <f>IF($CF22=1,CD22,"")</f>
        <v/>
      </c>
      <c r="CR22" s="1" t="str">
        <f>IF($CF22=1,CE22,"")</f>
        <v/>
      </c>
      <c r="CS22" s="3">
        <f>SUM(AE22:BO22)</f>
        <v>20</v>
      </c>
    </row>
    <row r="23" spans="1:97" x14ac:dyDescent="0.15">
      <c r="A23" s="1">
        <v>39</v>
      </c>
      <c r="B23" s="1" t="s">
        <v>42</v>
      </c>
      <c r="C23" s="1" t="s">
        <v>39</v>
      </c>
      <c r="D23" s="1" t="s">
        <v>21</v>
      </c>
      <c r="E23" s="6"/>
      <c r="F23" s="6">
        <v>6</v>
      </c>
      <c r="G23" s="6"/>
      <c r="H23" s="6"/>
      <c r="I23" s="6"/>
      <c r="J23" s="6"/>
      <c r="K23" s="6"/>
      <c r="L23" s="6">
        <v>6</v>
      </c>
      <c r="M23" s="6"/>
      <c r="N23" s="6"/>
      <c r="O23" s="6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>
        <v>10</v>
      </c>
      <c r="AR23" s="4"/>
      <c r="AS23" s="4"/>
      <c r="AT23" s="4"/>
      <c r="AU23" s="4"/>
      <c r="AV23" s="4"/>
      <c r="AW23" s="2"/>
      <c r="AX23" s="2">
        <v>10</v>
      </c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>
        <f>SUM(E23:BO23)</f>
        <v>32</v>
      </c>
      <c r="BQ23" s="1">
        <v>4</v>
      </c>
      <c r="BR23" s="17">
        <v>1</v>
      </c>
      <c r="BS23" s="17" t="s">
        <v>225</v>
      </c>
      <c r="BT23" s="1" t="str">
        <f>IF(AQ23&gt;AQ$114, AQ23-AQ$114,"")</f>
        <v/>
      </c>
      <c r="BU23" s="1" t="str">
        <f>IF(AR23&gt;AR$114, AR23-AR$114,"")</f>
        <v/>
      </c>
      <c r="BV23" s="1" t="str">
        <f>IF(AS23&gt;AS$114, AS23-AS$114,"")</f>
        <v/>
      </c>
      <c r="BW23" s="1" t="str">
        <f>IF(AT23&gt;AT$114, AT23-AT$114,"")</f>
        <v/>
      </c>
      <c r="BX23" s="1" t="str">
        <f>IF(AU23&gt;AU$114, AU23-AU$114,"")</f>
        <v/>
      </c>
      <c r="BY23" s="1" t="str">
        <f>IF(AV23&gt;AV$114, AV23-AV$114,"")</f>
        <v/>
      </c>
      <c r="BZ23" s="1" t="str">
        <f>IF(AW23&gt;AW$114, AW23-AW$114,"")</f>
        <v/>
      </c>
      <c r="CA23" s="1" t="str">
        <f>IF(AX23&gt;AX$114, AX23-AX$114,"")</f>
        <v/>
      </c>
      <c r="CB23" s="1" t="str">
        <f>IF(AY23&gt;AY$114, AY23-AY$114,"")</f>
        <v/>
      </c>
      <c r="CC23" s="1" t="str">
        <f>IF(AZ23&gt;AZ$114, AZ23-AZ$114,"")</f>
        <v/>
      </c>
      <c r="CD23" s="1" t="str">
        <f>IF(BA23&gt;BA$114, BA23-BA$114,"")</f>
        <v/>
      </c>
      <c r="CE23" s="1" t="str">
        <f>IF(BB23&gt;BB$114, BB23-BB$114,"")</f>
        <v/>
      </c>
      <c r="CF23" s="1">
        <f>COUNTIF(BT23:CE23, "&gt;0")</f>
        <v>0</v>
      </c>
      <c r="CG23" s="1" t="str">
        <f>IF($CF23=1,BT23,"")</f>
        <v/>
      </c>
      <c r="CH23" s="1" t="str">
        <f>IF($CF23=1,BU23,"")</f>
        <v/>
      </c>
      <c r="CI23" s="1" t="str">
        <f>IF($CF23=1,BV23,"")</f>
        <v/>
      </c>
      <c r="CJ23" s="1" t="str">
        <f>IF($CF23=1,BW23,"")</f>
        <v/>
      </c>
      <c r="CK23" s="1" t="str">
        <f>IF($CF23=1,BX23,"")</f>
        <v/>
      </c>
      <c r="CL23" s="1" t="str">
        <f>IF($CF23=1,BY23,"")</f>
        <v/>
      </c>
      <c r="CM23" s="1" t="str">
        <f>IF($CF23=1,BZ23,"")</f>
        <v/>
      </c>
      <c r="CN23" s="1" t="str">
        <f>IF($CF23=1,CA23,"")</f>
        <v/>
      </c>
      <c r="CO23" s="1" t="str">
        <f>IF($CF23=1,CB23,"")</f>
        <v/>
      </c>
      <c r="CP23" s="1" t="str">
        <f>IF($CF23=1,CC23,"")</f>
        <v/>
      </c>
      <c r="CQ23" s="1" t="str">
        <f>IF($CF23=1,CD23,"")</f>
        <v/>
      </c>
      <c r="CR23" s="1" t="str">
        <f>IF($CF23=1,CE23,"")</f>
        <v/>
      </c>
      <c r="CS23" s="3">
        <f>SUM(AE23:BO23)</f>
        <v>20</v>
      </c>
    </row>
    <row r="24" spans="1:97" x14ac:dyDescent="0.15">
      <c r="A24" s="1"/>
      <c r="B24" s="1" t="s">
        <v>167</v>
      </c>
      <c r="C24" s="1" t="s">
        <v>89</v>
      </c>
      <c r="D24" s="1" t="s">
        <v>91</v>
      </c>
      <c r="E24" s="6"/>
      <c r="F24" s="6"/>
      <c r="G24" s="6"/>
      <c r="H24" s="6">
        <v>6</v>
      </c>
      <c r="I24" s="6"/>
      <c r="J24" s="6"/>
      <c r="K24" s="6">
        <v>6</v>
      </c>
      <c r="L24" s="6"/>
      <c r="M24" s="6"/>
      <c r="N24" s="6"/>
      <c r="O24" s="6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>
        <v>10</v>
      </c>
      <c r="AR24" s="4"/>
      <c r="AS24" s="4"/>
      <c r="AT24" s="4"/>
      <c r="AU24" s="4"/>
      <c r="AV24" s="4"/>
      <c r="AW24" s="2">
        <v>10</v>
      </c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>
        <f>SUM(E24:BO24)</f>
        <v>32</v>
      </c>
      <c r="BQ24" s="1">
        <v>4</v>
      </c>
      <c r="BR24" s="17">
        <v>1</v>
      </c>
      <c r="BS24" s="17" t="s">
        <v>226</v>
      </c>
      <c r="BT24" s="1" t="str">
        <f>IF(AQ24&gt;AQ$114, AQ24-AQ$114,"")</f>
        <v/>
      </c>
      <c r="BU24" s="1" t="str">
        <f>IF(AR24&gt;AR$114, AR24-AR$114,"")</f>
        <v/>
      </c>
      <c r="BV24" s="1" t="str">
        <f>IF(AS24&gt;AS$114, AS24-AS$114,"")</f>
        <v/>
      </c>
      <c r="BW24" s="1" t="str">
        <f>IF(AT24&gt;AT$114, AT24-AT$114,"")</f>
        <v/>
      </c>
      <c r="BX24" s="1" t="str">
        <f>IF(AU24&gt;AU$114, AU24-AU$114,"")</f>
        <v/>
      </c>
      <c r="BY24" s="1" t="str">
        <f>IF(AV24&gt;AV$114, AV24-AV$114,"")</f>
        <v/>
      </c>
      <c r="BZ24" s="1" t="str">
        <f>IF(AW24&gt;AW$114, AW24-AW$114,"")</f>
        <v/>
      </c>
      <c r="CA24" s="1" t="str">
        <f>IF(AX24&gt;AX$114, AX24-AX$114,"")</f>
        <v/>
      </c>
      <c r="CB24" s="1" t="str">
        <f>IF(AY24&gt;AY$114, AY24-AY$114,"")</f>
        <v/>
      </c>
      <c r="CC24" s="1" t="str">
        <f>IF(AZ24&gt;AZ$114, AZ24-AZ$114,"")</f>
        <v/>
      </c>
      <c r="CD24" s="1" t="str">
        <f>IF(BA24&gt;BA$114, BA24-BA$114,"")</f>
        <v/>
      </c>
      <c r="CE24" s="1" t="str">
        <f>IF(BB24&gt;BB$114, BB24-BB$114,"")</f>
        <v/>
      </c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3"/>
    </row>
    <row r="25" spans="1:97" x14ac:dyDescent="0.15">
      <c r="A25" s="18">
        <v>17</v>
      </c>
      <c r="B25" s="18" t="s">
        <v>29</v>
      </c>
      <c r="C25" s="18" t="s">
        <v>26</v>
      </c>
      <c r="D25" s="18" t="s">
        <v>19</v>
      </c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18"/>
      <c r="AF25" s="18">
        <v>5</v>
      </c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20"/>
      <c r="AR25" s="20"/>
      <c r="AS25" s="20"/>
      <c r="AT25" s="20"/>
      <c r="AU25" s="20"/>
      <c r="AV25" s="20"/>
      <c r="AW25" s="21"/>
      <c r="AX25" s="21"/>
      <c r="AY25" s="21"/>
      <c r="AZ25" s="21"/>
      <c r="BA25" s="21"/>
      <c r="BB25" s="21"/>
      <c r="BC25" s="26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>
        <f>SUM(E25:BO25)</f>
        <v>5</v>
      </c>
      <c r="BQ25" s="18">
        <v>5</v>
      </c>
      <c r="BR25" s="22">
        <v>1</v>
      </c>
      <c r="BS25" s="22" t="s">
        <v>232</v>
      </c>
      <c r="BT25" s="18" t="str">
        <f>IF(AQ25&gt;AQ$114, AQ25-AQ$114,"")</f>
        <v/>
      </c>
      <c r="BU25" s="18" t="str">
        <f>IF(AR25&gt;AR$114, AR25-AR$114,"")</f>
        <v/>
      </c>
      <c r="BV25" s="18" t="str">
        <f>IF(AS25&gt;AS$114, AS25-AS$114,"")</f>
        <v/>
      </c>
      <c r="BW25" s="18" t="str">
        <f>IF(AT25&gt;AT$114, AT25-AT$114,"")</f>
        <v/>
      </c>
      <c r="BX25" s="18" t="str">
        <f>IF(AU25&gt;AU$114, AU25-AU$114,"")</f>
        <v/>
      </c>
      <c r="BY25" s="18" t="str">
        <f>IF(AV25&gt;AV$114, AV25-AV$114,"")</f>
        <v/>
      </c>
      <c r="BZ25" s="18" t="str">
        <f>IF(AW25&gt;AW$114, AW25-AW$114,"")</f>
        <v/>
      </c>
      <c r="CA25" s="18" t="str">
        <f>IF(AX25&gt;AX$114, AX25-AX$114,"")</f>
        <v/>
      </c>
      <c r="CB25" s="18" t="str">
        <f>IF(AY25&gt;AY$114, AY25-AY$114,"")</f>
        <v/>
      </c>
      <c r="CC25" s="18" t="str">
        <f>IF(AZ25&gt;AZ$114, AZ25-AZ$114,"")</f>
        <v/>
      </c>
      <c r="CD25" s="18" t="str">
        <f>IF(BA25&gt;BA$114, BA25-BA$114,"")</f>
        <v/>
      </c>
      <c r="CE25" s="18" t="str">
        <f>IF(BB25&gt;BB$114, BB25-BB$114,"")</f>
        <v/>
      </c>
      <c r="CF25" s="18">
        <f>COUNTIF(BT25:CE25, "&gt;0")</f>
        <v>0</v>
      </c>
      <c r="CG25" s="18" t="str">
        <f>IF($CF25=1,BT25,"")</f>
        <v/>
      </c>
      <c r="CH25" s="18" t="str">
        <f>IF($CF25=1,BU25,"")</f>
        <v/>
      </c>
      <c r="CI25" s="18" t="str">
        <f>IF($CF25=1,BV25,"")</f>
        <v/>
      </c>
      <c r="CJ25" s="18" t="str">
        <f>IF($CF25=1,BW25,"")</f>
        <v/>
      </c>
      <c r="CK25" s="18" t="str">
        <f>IF($CF25=1,BX25,"")</f>
        <v/>
      </c>
      <c r="CL25" s="18" t="str">
        <f>IF($CF25=1,BY25,"")</f>
        <v/>
      </c>
      <c r="CM25" s="18" t="str">
        <f>IF($CF25=1,BZ25,"")</f>
        <v/>
      </c>
      <c r="CN25" s="18" t="str">
        <f>IF($CF25=1,CA25,"")</f>
        <v/>
      </c>
      <c r="CO25" s="18" t="str">
        <f>IF($CF25=1,CB25,"")</f>
        <v/>
      </c>
      <c r="CP25" s="18" t="str">
        <f>IF($CF25=1,CC25,"")</f>
        <v/>
      </c>
      <c r="CQ25" s="18" t="str">
        <f>IF($CF25=1,CD25,"")</f>
        <v/>
      </c>
      <c r="CR25" s="18" t="str">
        <f>IF($CF25=1,CE25,"")</f>
        <v/>
      </c>
      <c r="CS25" s="30">
        <f>SUM(AE25:BO25)</f>
        <v>5</v>
      </c>
    </row>
    <row r="26" spans="1:97" x14ac:dyDescent="0.15">
      <c r="A26" s="18">
        <v>32</v>
      </c>
      <c r="B26" s="18" t="s">
        <v>65</v>
      </c>
      <c r="C26" s="18" t="s">
        <v>26</v>
      </c>
      <c r="D26" s="18" t="s">
        <v>19</v>
      </c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18"/>
      <c r="AF26" s="18"/>
      <c r="AG26" s="18"/>
      <c r="AH26" s="18"/>
      <c r="AI26" s="18">
        <v>5</v>
      </c>
      <c r="AJ26" s="18"/>
      <c r="AK26" s="18"/>
      <c r="AL26" s="18"/>
      <c r="AM26" s="18"/>
      <c r="AN26" s="18"/>
      <c r="AO26" s="18"/>
      <c r="AP26" s="18"/>
      <c r="AQ26" s="20"/>
      <c r="AR26" s="20"/>
      <c r="AS26" s="20"/>
      <c r="AT26" s="20"/>
      <c r="AU26" s="20"/>
      <c r="AV26" s="20"/>
      <c r="AW26" s="21"/>
      <c r="AX26" s="21"/>
      <c r="AY26" s="21"/>
      <c r="AZ26" s="21"/>
      <c r="BA26" s="21"/>
      <c r="BB26" s="21"/>
      <c r="BC26" s="26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>
        <f>SUM(E26:BO26)</f>
        <v>5</v>
      </c>
      <c r="BQ26" s="18">
        <v>5</v>
      </c>
      <c r="BR26" s="22">
        <v>1</v>
      </c>
      <c r="BS26" s="22" t="s">
        <v>233</v>
      </c>
      <c r="BT26" s="18" t="str">
        <f>IF(AQ26&gt;AQ$114, AQ26-AQ$114,"")</f>
        <v/>
      </c>
      <c r="BU26" s="18" t="str">
        <f>IF(AR26&gt;AR$114, AR26-AR$114,"")</f>
        <v/>
      </c>
      <c r="BV26" s="18" t="str">
        <f>IF(AS26&gt;AS$114, AS26-AS$114,"")</f>
        <v/>
      </c>
      <c r="BW26" s="18" t="str">
        <f>IF(AT26&gt;AT$114, AT26-AT$114,"")</f>
        <v/>
      </c>
      <c r="BX26" s="18" t="str">
        <f>IF(AU26&gt;AU$114, AU26-AU$114,"")</f>
        <v/>
      </c>
      <c r="BY26" s="18" t="str">
        <f>IF(AV26&gt;AV$114, AV26-AV$114,"")</f>
        <v/>
      </c>
      <c r="BZ26" s="18" t="str">
        <f>IF(AW26&gt;AW$114, AW26-AW$114,"")</f>
        <v/>
      </c>
      <c r="CA26" s="18" t="str">
        <f>IF(AX26&gt;AX$114, AX26-AX$114,"")</f>
        <v/>
      </c>
      <c r="CB26" s="18" t="str">
        <f>IF(AY26&gt;AY$114, AY26-AY$114,"")</f>
        <v/>
      </c>
      <c r="CC26" s="18" t="str">
        <f>IF(AZ26&gt;AZ$114, AZ26-AZ$114,"")</f>
        <v/>
      </c>
      <c r="CD26" s="18" t="str">
        <f>IF(BA26&gt;BA$114, BA26-BA$114,"")</f>
        <v/>
      </c>
      <c r="CE26" s="18" t="str">
        <f>IF(BB26&gt;BB$114, BB26-BB$114,"")</f>
        <v/>
      </c>
      <c r="CF26" s="18">
        <f>COUNTIF(BT26:CE26, "&gt;0")</f>
        <v>0</v>
      </c>
      <c r="CG26" s="18" t="str">
        <f>IF($CF26=1,BT26,"")</f>
        <v/>
      </c>
      <c r="CH26" s="18" t="str">
        <f>IF($CF26=1,BU26,"")</f>
        <v/>
      </c>
      <c r="CI26" s="18" t="str">
        <f>IF($CF26=1,BV26,"")</f>
        <v/>
      </c>
      <c r="CJ26" s="18" t="str">
        <f>IF($CF26=1,BW26,"")</f>
        <v/>
      </c>
      <c r="CK26" s="18" t="str">
        <f>IF($CF26=1,BX26,"")</f>
        <v/>
      </c>
      <c r="CL26" s="18" t="str">
        <f>IF($CF26=1,BY26,"")</f>
        <v/>
      </c>
      <c r="CM26" s="18" t="str">
        <f>IF($CF26=1,BZ26,"")</f>
        <v/>
      </c>
      <c r="CN26" s="18" t="str">
        <f>IF($CF26=1,CA26,"")</f>
        <v/>
      </c>
      <c r="CO26" s="18" t="str">
        <f>IF($CF26=1,CB26,"")</f>
        <v/>
      </c>
      <c r="CP26" s="18" t="str">
        <f>IF($CF26=1,CC26,"")</f>
        <v/>
      </c>
      <c r="CQ26" s="18" t="str">
        <f>IF($CF26=1,CD26,"")</f>
        <v/>
      </c>
      <c r="CR26" s="18" t="str">
        <f>IF($CF26=1,CE26,"")</f>
        <v/>
      </c>
      <c r="CS26" s="30">
        <f>SUM(AE26:BO26)</f>
        <v>5</v>
      </c>
    </row>
    <row r="27" spans="1:97" x14ac:dyDescent="0.15">
      <c r="A27" s="18">
        <v>33</v>
      </c>
      <c r="B27" s="18" t="s">
        <v>65</v>
      </c>
      <c r="C27" s="18" t="s">
        <v>26</v>
      </c>
      <c r="D27" s="18" t="s">
        <v>0</v>
      </c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18"/>
      <c r="AF27" s="18"/>
      <c r="AG27" s="18"/>
      <c r="AH27" s="18">
        <v>5</v>
      </c>
      <c r="AI27" s="18"/>
      <c r="AJ27" s="18"/>
      <c r="AK27" s="18"/>
      <c r="AL27" s="18"/>
      <c r="AM27" s="18"/>
      <c r="AN27" s="18"/>
      <c r="AO27" s="18"/>
      <c r="AP27" s="18"/>
      <c r="AQ27" s="20"/>
      <c r="AR27" s="20"/>
      <c r="AS27" s="20"/>
      <c r="AT27" s="20"/>
      <c r="AU27" s="20"/>
      <c r="AV27" s="20"/>
      <c r="AW27" s="21"/>
      <c r="AX27" s="21"/>
      <c r="AY27" s="21"/>
      <c r="AZ27" s="21"/>
      <c r="BA27" s="21"/>
      <c r="BB27" s="21"/>
      <c r="BC27" s="26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>
        <f>SUM(E27:BO27)</f>
        <v>5</v>
      </c>
      <c r="BQ27" s="18">
        <v>5</v>
      </c>
      <c r="BR27" s="22">
        <v>1</v>
      </c>
      <c r="BS27" s="22" t="s">
        <v>234</v>
      </c>
      <c r="BT27" s="18" t="str">
        <f>IF(AQ27&gt;AQ$114, AQ27-AQ$114,"")</f>
        <v/>
      </c>
      <c r="BU27" s="18" t="str">
        <f>IF(AR27&gt;AR$114, AR27-AR$114,"")</f>
        <v/>
      </c>
      <c r="BV27" s="18" t="str">
        <f>IF(AS27&gt;AS$114, AS27-AS$114,"")</f>
        <v/>
      </c>
      <c r="BW27" s="18" t="str">
        <f>IF(AT27&gt;AT$114, AT27-AT$114,"")</f>
        <v/>
      </c>
      <c r="BX27" s="18" t="str">
        <f>IF(AU27&gt;AU$114, AU27-AU$114,"")</f>
        <v/>
      </c>
      <c r="BY27" s="18" t="str">
        <f>IF(AV27&gt;AV$114, AV27-AV$114,"")</f>
        <v/>
      </c>
      <c r="BZ27" s="18" t="str">
        <f>IF(AW27&gt;AW$114, AW27-AW$114,"")</f>
        <v/>
      </c>
      <c r="CA27" s="18" t="str">
        <f>IF(AX27&gt;AX$114, AX27-AX$114,"")</f>
        <v/>
      </c>
      <c r="CB27" s="18" t="str">
        <f>IF(AY27&gt;AY$114, AY27-AY$114,"")</f>
        <v/>
      </c>
      <c r="CC27" s="18" t="str">
        <f>IF(AZ27&gt;AZ$114, AZ27-AZ$114,"")</f>
        <v/>
      </c>
      <c r="CD27" s="18" t="str">
        <f>IF(BA27&gt;BA$114, BA27-BA$114,"")</f>
        <v/>
      </c>
      <c r="CE27" s="18" t="str">
        <f>IF(BB27&gt;BB$114, BB27-BB$114,"")</f>
        <v/>
      </c>
      <c r="CF27" s="18">
        <f>COUNTIF(BT27:CE27, "&gt;0")</f>
        <v>0</v>
      </c>
      <c r="CG27" s="18" t="str">
        <f>IF($CF27=1,BT27,"")</f>
        <v/>
      </c>
      <c r="CH27" s="18" t="str">
        <f>IF($CF27=1,BU27,"")</f>
        <v/>
      </c>
      <c r="CI27" s="18" t="str">
        <f>IF($CF27=1,BV27,"")</f>
        <v/>
      </c>
      <c r="CJ27" s="18" t="str">
        <f>IF($CF27=1,BW27,"")</f>
        <v/>
      </c>
      <c r="CK27" s="18" t="str">
        <f>IF($CF27=1,BX27,"")</f>
        <v/>
      </c>
      <c r="CL27" s="18" t="str">
        <f>IF($CF27=1,BY27,"")</f>
        <v/>
      </c>
      <c r="CM27" s="18" t="str">
        <f>IF($CF27=1,BZ27,"")</f>
        <v/>
      </c>
      <c r="CN27" s="18" t="str">
        <f>IF($CF27=1,CA27,"")</f>
        <v/>
      </c>
      <c r="CO27" s="18" t="str">
        <f>IF($CF27=1,CB27,"")</f>
        <v/>
      </c>
      <c r="CP27" s="18" t="str">
        <f>IF($CF27=1,CC27,"")</f>
        <v/>
      </c>
      <c r="CQ27" s="18" t="str">
        <f>IF($CF27=1,CD27,"")</f>
        <v/>
      </c>
      <c r="CR27" s="18" t="str">
        <f>IF($CF27=1,CE27,"")</f>
        <v/>
      </c>
      <c r="CS27" s="30">
        <f>SUM(AE27:BO27)</f>
        <v>5</v>
      </c>
    </row>
    <row r="28" spans="1:97" x14ac:dyDescent="0.15">
      <c r="A28" s="18">
        <v>63</v>
      </c>
      <c r="B28" s="30" t="s">
        <v>52</v>
      </c>
      <c r="C28" s="18" t="s">
        <v>47</v>
      </c>
      <c r="D28" s="18" t="s">
        <v>19</v>
      </c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18"/>
      <c r="AF28" s="18"/>
      <c r="AG28" s="18"/>
      <c r="AH28" s="18"/>
      <c r="AI28" s="18"/>
      <c r="AJ28" s="18"/>
      <c r="AK28" s="18"/>
      <c r="AL28" s="18"/>
      <c r="AM28" s="18"/>
      <c r="AN28" s="18">
        <v>5</v>
      </c>
      <c r="AO28" s="18"/>
      <c r="AP28" s="18"/>
      <c r="AQ28" s="20"/>
      <c r="AR28" s="20"/>
      <c r="AS28" s="20"/>
      <c r="AT28" s="20"/>
      <c r="AU28" s="20"/>
      <c r="AV28" s="20"/>
      <c r="AW28" s="21"/>
      <c r="AX28" s="21"/>
      <c r="AY28" s="21"/>
      <c r="AZ28" s="21"/>
      <c r="BA28" s="21"/>
      <c r="BB28" s="21"/>
      <c r="BC28" s="26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>
        <f>SUM(E28:BO28)</f>
        <v>5</v>
      </c>
      <c r="BQ28" s="18">
        <v>5</v>
      </c>
      <c r="BR28" s="22">
        <v>1</v>
      </c>
      <c r="BS28" s="22" t="s">
        <v>235</v>
      </c>
      <c r="BT28" s="18" t="str">
        <f>IF(AQ28&gt;AQ$114, AQ28-AQ$114,"")</f>
        <v/>
      </c>
      <c r="BU28" s="18" t="str">
        <f>IF(AR28&gt;AR$114, AR28-AR$114,"")</f>
        <v/>
      </c>
      <c r="BV28" s="18" t="str">
        <f>IF(AS28&gt;AS$114, AS28-AS$114,"")</f>
        <v/>
      </c>
      <c r="BW28" s="18" t="str">
        <f>IF(AT28&gt;AT$114, AT28-AT$114,"")</f>
        <v/>
      </c>
      <c r="BX28" s="18" t="str">
        <f>IF(AU28&gt;AU$114, AU28-AU$114,"")</f>
        <v/>
      </c>
      <c r="BY28" s="18" t="str">
        <f>IF(AV28&gt;AV$114, AV28-AV$114,"")</f>
        <v/>
      </c>
      <c r="BZ28" s="18" t="str">
        <f>IF(AW28&gt;AW$114, AW28-AW$114,"")</f>
        <v/>
      </c>
      <c r="CA28" s="18" t="str">
        <f>IF(AX28&gt;AX$114, AX28-AX$114,"")</f>
        <v/>
      </c>
      <c r="CB28" s="18" t="str">
        <f>IF(AY28&gt;AY$114, AY28-AY$114,"")</f>
        <v/>
      </c>
      <c r="CC28" s="18" t="str">
        <f>IF(AZ28&gt;AZ$114, AZ28-AZ$114,"")</f>
        <v/>
      </c>
      <c r="CD28" s="18" t="str">
        <f>IF(BA28&gt;BA$114, BA28-BA$114,"")</f>
        <v/>
      </c>
      <c r="CE28" s="18" t="str">
        <f>IF(BB28&gt;BB$114, BB28-BB$114,"")</f>
        <v/>
      </c>
      <c r="CF28" s="18">
        <f>COUNTIF(BT28:CE28, "&gt;0")</f>
        <v>0</v>
      </c>
      <c r="CG28" s="18" t="str">
        <f>IF($CF28=1,BT28,"")</f>
        <v/>
      </c>
      <c r="CH28" s="18" t="str">
        <f>IF($CF28=1,BU28,"")</f>
        <v/>
      </c>
      <c r="CI28" s="18" t="str">
        <f>IF($CF28=1,BV28,"")</f>
        <v/>
      </c>
      <c r="CJ28" s="18" t="str">
        <f>IF($CF28=1,BW28,"")</f>
        <v/>
      </c>
      <c r="CK28" s="18" t="str">
        <f>IF($CF28=1,BX28,"")</f>
        <v/>
      </c>
      <c r="CL28" s="18" t="str">
        <f>IF($CF28=1,BY28,"")</f>
        <v/>
      </c>
      <c r="CM28" s="18" t="str">
        <f>IF($CF28=1,BZ28,"")</f>
        <v/>
      </c>
      <c r="CN28" s="18" t="str">
        <f>IF($CF28=1,CA28,"")</f>
        <v/>
      </c>
      <c r="CO28" s="18" t="str">
        <f>IF($CF28=1,CB28,"")</f>
        <v/>
      </c>
      <c r="CP28" s="18" t="str">
        <f>IF($CF28=1,CC28,"")</f>
        <v/>
      </c>
      <c r="CQ28" s="18" t="str">
        <f>IF($CF28=1,CD28,"")</f>
        <v/>
      </c>
      <c r="CR28" s="18" t="str">
        <f>IF($CF28=1,CE28,"")</f>
        <v/>
      </c>
      <c r="CS28" s="30">
        <f>SUM(AE28:BO28)</f>
        <v>5</v>
      </c>
    </row>
    <row r="29" spans="1:97" x14ac:dyDescent="0.15">
      <c r="A29" s="18">
        <v>90</v>
      </c>
      <c r="B29" s="30" t="s">
        <v>69</v>
      </c>
      <c r="C29" s="30" t="s">
        <v>68</v>
      </c>
      <c r="D29" s="18" t="s">
        <v>19</v>
      </c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18"/>
      <c r="AF29" s="18"/>
      <c r="AG29" s="18"/>
      <c r="AH29" s="18"/>
      <c r="AI29" s="18"/>
      <c r="AJ29" s="18"/>
      <c r="AK29" s="18"/>
      <c r="AL29" s="18"/>
      <c r="AM29" s="18"/>
      <c r="AN29" s="18">
        <v>5</v>
      </c>
      <c r="AO29" s="18"/>
      <c r="AP29" s="18"/>
      <c r="AQ29" s="20"/>
      <c r="AR29" s="20"/>
      <c r="AS29" s="20"/>
      <c r="AT29" s="20"/>
      <c r="AU29" s="20"/>
      <c r="AV29" s="20"/>
      <c r="AW29" s="21"/>
      <c r="AX29" s="21"/>
      <c r="AY29" s="21"/>
      <c r="AZ29" s="21"/>
      <c r="BA29" s="21"/>
      <c r="BB29" s="21"/>
      <c r="BC29" s="26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>
        <f>SUM(E29:BO29)</f>
        <v>5</v>
      </c>
      <c r="BQ29" s="18">
        <v>5</v>
      </c>
      <c r="BR29" s="22">
        <v>1</v>
      </c>
      <c r="BS29" s="22" t="s">
        <v>235</v>
      </c>
      <c r="BT29" s="18" t="str">
        <f>IF(AQ29&gt;AQ$114, AQ29-AQ$114,"")</f>
        <v/>
      </c>
      <c r="BU29" s="18" t="str">
        <f>IF(AR29&gt;AR$114, AR29-AR$114,"")</f>
        <v/>
      </c>
      <c r="BV29" s="18" t="str">
        <f>IF(AS29&gt;AS$114, AS29-AS$114,"")</f>
        <v/>
      </c>
      <c r="BW29" s="18" t="str">
        <f>IF(AT29&gt;AT$114, AT29-AT$114,"")</f>
        <v/>
      </c>
      <c r="BX29" s="18" t="str">
        <f>IF(AU29&gt;AU$114, AU29-AU$114,"")</f>
        <v/>
      </c>
      <c r="BY29" s="18" t="str">
        <f>IF(AV29&gt;AV$114, AV29-AV$114,"")</f>
        <v/>
      </c>
      <c r="BZ29" s="18" t="str">
        <f>IF(AW29&gt;AW$114, AW29-AW$114,"")</f>
        <v/>
      </c>
      <c r="CA29" s="18" t="str">
        <f>IF(AX29&gt;AX$114, AX29-AX$114,"")</f>
        <v/>
      </c>
      <c r="CB29" s="18" t="str">
        <f>IF(AY29&gt;AY$114, AY29-AY$114,"")</f>
        <v/>
      </c>
      <c r="CC29" s="18" t="str">
        <f>IF(AZ29&gt;AZ$114, AZ29-AZ$114,"")</f>
        <v/>
      </c>
      <c r="CD29" s="18" t="str">
        <f>IF(BA29&gt;BA$114, BA29-BA$114,"")</f>
        <v/>
      </c>
      <c r="CE29" s="18" t="str">
        <f>IF(BB29&gt;BB$114, BB29-BB$114,"")</f>
        <v/>
      </c>
      <c r="CF29" s="18">
        <f>COUNTIF(BT29:CE29, "&gt;0")</f>
        <v>0</v>
      </c>
      <c r="CG29" s="18" t="str">
        <f>IF($CF29=1,BT29,"")</f>
        <v/>
      </c>
      <c r="CH29" s="18" t="str">
        <f>IF($CF29=1,BU29,"")</f>
        <v/>
      </c>
      <c r="CI29" s="18" t="str">
        <f>IF($CF29=1,BV29,"")</f>
        <v/>
      </c>
      <c r="CJ29" s="18" t="str">
        <f>IF($CF29=1,BW29,"")</f>
        <v/>
      </c>
      <c r="CK29" s="18" t="str">
        <f>IF($CF29=1,BX29,"")</f>
        <v/>
      </c>
      <c r="CL29" s="18" t="str">
        <f>IF($CF29=1,BY29,"")</f>
        <v/>
      </c>
      <c r="CM29" s="18" t="str">
        <f>IF($CF29=1,BZ29,"")</f>
        <v/>
      </c>
      <c r="CN29" s="18" t="str">
        <f>IF($CF29=1,CA29,"")</f>
        <v/>
      </c>
      <c r="CO29" s="18" t="str">
        <f>IF($CF29=1,CB29,"")</f>
        <v/>
      </c>
      <c r="CP29" s="18" t="str">
        <f>IF($CF29=1,CC29,"")</f>
        <v/>
      </c>
      <c r="CQ29" s="18" t="str">
        <f>IF($CF29=1,CD29,"")</f>
        <v/>
      </c>
      <c r="CR29" s="18" t="str">
        <f>IF($CF29=1,CE29,"")</f>
        <v/>
      </c>
      <c r="CS29" s="30">
        <f>SUM(AE29:BO29)</f>
        <v>5</v>
      </c>
    </row>
    <row r="30" spans="1:97" x14ac:dyDescent="0.15">
      <c r="A30" s="18"/>
      <c r="B30" s="18" t="s">
        <v>103</v>
      </c>
      <c r="C30" s="18" t="s">
        <v>101</v>
      </c>
      <c r="D30" s="18" t="s">
        <v>97</v>
      </c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18"/>
      <c r="AF30" s="18"/>
      <c r="AG30" s="18"/>
      <c r="AH30" s="18">
        <v>5</v>
      </c>
      <c r="AI30" s="18"/>
      <c r="AJ30" s="18"/>
      <c r="AK30" s="18"/>
      <c r="AL30" s="18"/>
      <c r="AM30" s="18"/>
      <c r="AN30" s="18"/>
      <c r="AO30" s="18"/>
      <c r="AP30" s="18"/>
      <c r="AQ30" s="20"/>
      <c r="AR30" s="20"/>
      <c r="AS30" s="20"/>
      <c r="AT30" s="20"/>
      <c r="AU30" s="20"/>
      <c r="AV30" s="20"/>
      <c r="AW30" s="21"/>
      <c r="AX30" s="21"/>
      <c r="AY30" s="21"/>
      <c r="AZ30" s="21"/>
      <c r="BA30" s="21"/>
      <c r="BB30" s="21"/>
      <c r="BC30" s="26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>
        <f>SUM(E30:BO30)</f>
        <v>5</v>
      </c>
      <c r="BQ30" s="18">
        <v>5</v>
      </c>
      <c r="BR30" s="22">
        <v>1</v>
      </c>
      <c r="BS30" s="22" t="s">
        <v>234</v>
      </c>
      <c r="BT30" s="18" t="str">
        <f>IF(AQ30&gt;AQ$114, AQ30-AQ$114,"")</f>
        <v/>
      </c>
      <c r="BU30" s="18" t="str">
        <f>IF(AR30&gt;AR$114, AR30-AR$114,"")</f>
        <v/>
      </c>
      <c r="BV30" s="18" t="str">
        <f>IF(AS30&gt;AS$114, AS30-AS$114,"")</f>
        <v/>
      </c>
      <c r="BW30" s="18" t="str">
        <f>IF(AT30&gt;AT$114, AT30-AT$114,"")</f>
        <v/>
      </c>
      <c r="BX30" s="18" t="str">
        <f>IF(AU30&gt;AU$114, AU30-AU$114,"")</f>
        <v/>
      </c>
      <c r="BY30" s="18" t="str">
        <f>IF(AV30&gt;AV$114, AV30-AV$114,"")</f>
        <v/>
      </c>
      <c r="BZ30" s="18" t="str">
        <f>IF(AW30&gt;AW$114, AW30-AW$114,"")</f>
        <v/>
      </c>
      <c r="CA30" s="18" t="str">
        <f>IF(AX30&gt;AX$114, AX30-AX$114,"")</f>
        <v/>
      </c>
      <c r="CB30" s="18" t="str">
        <f>IF(AY30&gt;AY$114, AY30-AY$114,"")</f>
        <v/>
      </c>
      <c r="CC30" s="18" t="str">
        <f>IF(AZ30&gt;AZ$114, AZ30-AZ$114,"")</f>
        <v/>
      </c>
      <c r="CD30" s="18" t="str">
        <f>IF(BA30&gt;BA$114, BA30-BA$114,"")</f>
        <v/>
      </c>
      <c r="CE30" s="18" t="str">
        <f>IF(BB30&gt;BB$114, BB30-BB$114,"")</f>
        <v/>
      </c>
      <c r="CF30" s="18"/>
      <c r="CG30" s="18"/>
      <c r="CH30" s="18"/>
      <c r="CI30" s="18"/>
      <c r="CJ30" s="18"/>
      <c r="CK30" s="18"/>
      <c r="CL30" s="18"/>
      <c r="CM30" s="18"/>
      <c r="CN30" s="18"/>
      <c r="CO30" s="18"/>
      <c r="CP30" s="18"/>
      <c r="CQ30" s="18"/>
      <c r="CR30" s="18"/>
      <c r="CS30" s="30"/>
    </row>
    <row r="31" spans="1:97" x14ac:dyDescent="0.15">
      <c r="A31" s="18"/>
      <c r="B31" s="18" t="s">
        <v>103</v>
      </c>
      <c r="C31" s="18" t="s">
        <v>101</v>
      </c>
      <c r="D31" s="18" t="s">
        <v>91</v>
      </c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18"/>
      <c r="AF31" s="18"/>
      <c r="AG31" s="18"/>
      <c r="AH31" s="18"/>
      <c r="AI31" s="18">
        <v>5</v>
      </c>
      <c r="AJ31" s="18"/>
      <c r="AK31" s="18"/>
      <c r="AL31" s="18"/>
      <c r="AM31" s="18"/>
      <c r="AN31" s="18"/>
      <c r="AO31" s="18"/>
      <c r="AP31" s="18"/>
      <c r="AQ31" s="20"/>
      <c r="AR31" s="20"/>
      <c r="AS31" s="20"/>
      <c r="AT31" s="20"/>
      <c r="AU31" s="20"/>
      <c r="AV31" s="20"/>
      <c r="AW31" s="21"/>
      <c r="AX31" s="21"/>
      <c r="AY31" s="21"/>
      <c r="AZ31" s="21"/>
      <c r="BA31" s="21"/>
      <c r="BB31" s="21"/>
      <c r="BC31" s="26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>
        <f>SUM(E31:BO31)</f>
        <v>5</v>
      </c>
      <c r="BQ31" s="18">
        <v>5</v>
      </c>
      <c r="BR31" s="22">
        <v>1</v>
      </c>
      <c r="BS31" s="22" t="s">
        <v>233</v>
      </c>
      <c r="BT31" s="18" t="str">
        <f>IF(AQ31&gt;AQ$114, AQ31-AQ$114,"")</f>
        <v/>
      </c>
      <c r="BU31" s="18" t="str">
        <f>IF(AR31&gt;AR$114, AR31-AR$114,"")</f>
        <v/>
      </c>
      <c r="BV31" s="18" t="str">
        <f>IF(AS31&gt;AS$114, AS31-AS$114,"")</f>
        <v/>
      </c>
      <c r="BW31" s="18" t="str">
        <f>IF(AT31&gt;AT$114, AT31-AT$114,"")</f>
        <v/>
      </c>
      <c r="BX31" s="18" t="str">
        <f>IF(AU31&gt;AU$114, AU31-AU$114,"")</f>
        <v/>
      </c>
      <c r="BY31" s="18" t="str">
        <f>IF(AV31&gt;AV$114, AV31-AV$114,"")</f>
        <v/>
      </c>
      <c r="BZ31" s="18" t="str">
        <f>IF(AW31&gt;AW$114, AW31-AW$114,"")</f>
        <v/>
      </c>
      <c r="CA31" s="18" t="str">
        <f>IF(AX31&gt;AX$114, AX31-AX$114,"")</f>
        <v/>
      </c>
      <c r="CB31" s="18" t="str">
        <f>IF(AY31&gt;AY$114, AY31-AY$114,"")</f>
        <v/>
      </c>
      <c r="CC31" s="18" t="str">
        <f>IF(AZ31&gt;AZ$114, AZ31-AZ$114,"")</f>
        <v/>
      </c>
      <c r="CD31" s="18" t="str">
        <f>IF(BA31&gt;BA$114, BA31-BA$114,"")</f>
        <v/>
      </c>
      <c r="CE31" s="18" t="str">
        <f>IF(BB31&gt;BB$114, BB31-BB$114,"")</f>
        <v/>
      </c>
      <c r="CF31" s="18"/>
      <c r="CG31" s="18"/>
      <c r="CH31" s="18"/>
      <c r="CI31" s="18"/>
      <c r="CJ31" s="18"/>
      <c r="CK31" s="18"/>
      <c r="CL31" s="18"/>
      <c r="CM31" s="18"/>
      <c r="CN31" s="18"/>
      <c r="CO31" s="18"/>
      <c r="CP31" s="18"/>
      <c r="CQ31" s="18"/>
      <c r="CR31" s="18"/>
      <c r="CS31" s="30"/>
    </row>
    <row r="32" spans="1:97" x14ac:dyDescent="0.15">
      <c r="A32" s="1"/>
      <c r="B32" s="1" t="s">
        <v>162</v>
      </c>
      <c r="C32" s="1" t="s">
        <v>129</v>
      </c>
      <c r="D32" s="1" t="s">
        <v>108</v>
      </c>
      <c r="E32" s="6"/>
      <c r="F32" s="6"/>
      <c r="G32" s="6"/>
      <c r="H32" s="6"/>
      <c r="I32" s="6"/>
      <c r="J32" s="6">
        <v>10</v>
      </c>
      <c r="K32" s="6"/>
      <c r="L32" s="6">
        <v>10</v>
      </c>
      <c r="M32" s="6">
        <v>10</v>
      </c>
      <c r="N32" s="6"/>
      <c r="O32" s="6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>
        <v>15</v>
      </c>
      <c r="AZ32" s="2">
        <v>15</v>
      </c>
      <c r="BA32" s="2"/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>
        <f>SUM(E32:BO32)</f>
        <v>60</v>
      </c>
      <c r="BQ32" s="1">
        <v>6</v>
      </c>
      <c r="BR32" s="17">
        <v>1</v>
      </c>
      <c r="BS32" s="17" t="s">
        <v>204</v>
      </c>
      <c r="BT32" s="1" t="str">
        <f>IF(AQ32&gt;AQ$114, AQ32-AQ$114,"")</f>
        <v/>
      </c>
      <c r="BU32" s="1" t="str">
        <f>IF(AR32&gt;AR$114, AR32-AR$114,"")</f>
        <v/>
      </c>
      <c r="BV32" s="1" t="str">
        <f>IF(AS32&gt;AS$114, AS32-AS$114,"")</f>
        <v/>
      </c>
      <c r="BW32" s="1" t="str">
        <f>IF(AT32&gt;AT$114, AT32-AT$114,"")</f>
        <v/>
      </c>
      <c r="BX32" s="1" t="str">
        <f>IF(AU32&gt;AU$114, AU32-AU$114,"")</f>
        <v/>
      </c>
      <c r="BY32" s="1" t="str">
        <f>IF(AV32&gt;AV$114, AV32-AV$114,"")</f>
        <v/>
      </c>
      <c r="BZ32" s="1" t="str">
        <f>IF(AW32&gt;AW$114, AW32-AW$114,"")</f>
        <v/>
      </c>
      <c r="CA32" s="1" t="str">
        <f>IF(AX32&gt;AX$114, AX32-AX$114,"")</f>
        <v/>
      </c>
      <c r="CB32" s="1" t="str">
        <f>IF(AY32&gt;AY$114, AY32-AY$114,"")</f>
        <v/>
      </c>
      <c r="CC32" s="1" t="str">
        <f>IF(AZ32&gt;AZ$114, AZ32-AZ$114,"")</f>
        <v/>
      </c>
      <c r="CD32" s="1" t="str">
        <f>IF(BA32&gt;BA$114, BA32-BA$114,"")</f>
        <v/>
      </c>
      <c r="CE32" s="1" t="str">
        <f>IF(BB32&gt;BB$114, BB32-BB$114,"")</f>
        <v/>
      </c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3"/>
    </row>
    <row r="33" spans="1:97" s="23" customFormat="1" x14ac:dyDescent="0.15">
      <c r="A33" s="1">
        <v>95</v>
      </c>
      <c r="B33" s="3" t="s">
        <v>71</v>
      </c>
      <c r="C33" s="3" t="s">
        <v>57</v>
      </c>
      <c r="D33" s="1" t="s">
        <v>0</v>
      </c>
      <c r="E33" s="6"/>
      <c r="F33" s="6"/>
      <c r="G33" s="6"/>
      <c r="H33" s="6"/>
      <c r="I33" s="6"/>
      <c r="J33" s="6"/>
      <c r="K33" s="6"/>
      <c r="L33" s="6">
        <v>15</v>
      </c>
      <c r="M33" s="6"/>
      <c r="N33" s="6"/>
      <c r="O33" s="6">
        <v>15</v>
      </c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>
        <v>15</v>
      </c>
      <c r="BB33" s="2">
        <v>15</v>
      </c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>
        <f>SUM(E33:BO33)</f>
        <v>60</v>
      </c>
      <c r="BQ33" s="1">
        <v>9</v>
      </c>
      <c r="BR33" s="17">
        <v>1</v>
      </c>
      <c r="BS33" s="17" t="s">
        <v>220</v>
      </c>
      <c r="BT33" s="1" t="str">
        <f>IF(AQ33&gt;AQ$114, AQ33-AQ$114,"")</f>
        <v/>
      </c>
      <c r="BU33" s="1" t="str">
        <f>IF(AR33&gt;AR$114, AR33-AR$114,"")</f>
        <v/>
      </c>
      <c r="BV33" s="1" t="str">
        <f>IF(AS33&gt;AS$114, AS33-AS$114,"")</f>
        <v/>
      </c>
      <c r="BW33" s="1" t="str">
        <f>IF(AT33&gt;AT$114, AT33-AT$114,"")</f>
        <v/>
      </c>
      <c r="BX33" s="1" t="str">
        <f>IF(AU33&gt;AU$114, AU33-AU$114,"")</f>
        <v/>
      </c>
      <c r="BY33" s="1" t="str">
        <f>IF(AV33&gt;AV$114, AV33-AV$114,"")</f>
        <v/>
      </c>
      <c r="BZ33" s="1" t="str">
        <f>IF(AW33&gt;AW$114, AW33-AW$114,"")</f>
        <v/>
      </c>
      <c r="CA33" s="1" t="str">
        <f>IF(AX33&gt;AX$114, AX33-AX$114,"")</f>
        <v/>
      </c>
      <c r="CB33" s="1" t="str">
        <f>IF(AY33&gt;AY$114, AY33-AY$114,"")</f>
        <v/>
      </c>
      <c r="CC33" s="1" t="str">
        <f>IF(AZ33&gt;AZ$114, AZ33-AZ$114,"")</f>
        <v/>
      </c>
      <c r="CD33" s="1" t="str">
        <f>IF(BA33&gt;BA$114, BA33-BA$114,"")</f>
        <v/>
      </c>
      <c r="CE33" s="1" t="str">
        <f>IF(BB33&gt;BB$114, BB33-BB$114,"")</f>
        <v/>
      </c>
      <c r="CF33" s="1">
        <f>COUNTIF(BT33:CE33, "&gt;0")</f>
        <v>0</v>
      </c>
      <c r="CG33" s="1" t="str">
        <f>IF($CF33=1,BT33,"")</f>
        <v/>
      </c>
      <c r="CH33" s="1" t="str">
        <f>IF($CF33=1,BU33,"")</f>
        <v/>
      </c>
      <c r="CI33" s="1" t="str">
        <f>IF($CF33=1,BV33,"")</f>
        <v/>
      </c>
      <c r="CJ33" s="1" t="str">
        <f>IF($CF33=1,BW33,"")</f>
        <v/>
      </c>
      <c r="CK33" s="1" t="str">
        <f>IF($CF33=1,BX33,"")</f>
        <v/>
      </c>
      <c r="CL33" s="1" t="str">
        <f>IF($CF33=1,BY33,"")</f>
        <v/>
      </c>
      <c r="CM33" s="1" t="str">
        <f>IF($CF33=1,BZ33,"")</f>
        <v/>
      </c>
      <c r="CN33" s="1" t="str">
        <f>IF($CF33=1,CA33,"")</f>
        <v/>
      </c>
      <c r="CO33" s="1" t="str">
        <f>IF($CF33=1,CB33,"")</f>
        <v/>
      </c>
      <c r="CP33" s="1" t="str">
        <f>IF($CF33=1,CC33,"")</f>
        <v/>
      </c>
      <c r="CQ33" s="1" t="str">
        <f>IF($CF33=1,CD33,"")</f>
        <v/>
      </c>
      <c r="CR33" s="1" t="str">
        <f>IF($CF33=1,CE33,"")</f>
        <v/>
      </c>
      <c r="CS33" s="3">
        <f>SUM(AE33:BO33)</f>
        <v>30</v>
      </c>
    </row>
    <row r="34" spans="1:97" s="67" customFormat="1" x14ac:dyDescent="0.15">
      <c r="A34" s="1">
        <v>54</v>
      </c>
      <c r="B34" s="1" t="s">
        <v>46</v>
      </c>
      <c r="C34" s="1" t="s">
        <v>47</v>
      </c>
      <c r="D34" s="1" t="s">
        <v>0</v>
      </c>
      <c r="E34" s="6"/>
      <c r="F34" s="6">
        <v>15</v>
      </c>
      <c r="G34" s="6"/>
      <c r="H34" s="6">
        <v>15</v>
      </c>
      <c r="I34" s="6"/>
      <c r="J34" s="6"/>
      <c r="K34" s="6"/>
      <c r="L34" s="6"/>
      <c r="M34" s="6"/>
      <c r="N34" s="6"/>
      <c r="O34" s="6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/>
      <c r="AT34" s="4"/>
      <c r="AU34" s="4"/>
      <c r="AV34" s="4">
        <v>15</v>
      </c>
      <c r="AW34" s="2"/>
      <c r="AX34" s="2"/>
      <c r="AY34" s="2"/>
      <c r="AZ34" s="2"/>
      <c r="BA34" s="2">
        <v>15</v>
      </c>
      <c r="BB34" s="2"/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>
        <f>SUM(E34:BO34)</f>
        <v>60</v>
      </c>
      <c r="BQ34" s="1">
        <v>9</v>
      </c>
      <c r="BR34" s="17">
        <v>1</v>
      </c>
      <c r="BS34" s="17" t="s">
        <v>220</v>
      </c>
      <c r="BT34" s="1" t="str">
        <f>IF(AQ34&gt;AQ$114, AQ34-AQ$114,"")</f>
        <v/>
      </c>
      <c r="BU34" s="1" t="str">
        <f>IF(AR34&gt;AR$114, AR34-AR$114,"")</f>
        <v/>
      </c>
      <c r="BV34" s="1" t="str">
        <f>IF(AS34&gt;AS$114, AS34-AS$114,"")</f>
        <v/>
      </c>
      <c r="BW34" s="1" t="str">
        <f>IF(AT34&gt;AT$114, AT34-AT$114,"")</f>
        <v/>
      </c>
      <c r="BX34" s="1" t="str">
        <f>IF(AU34&gt;AU$114, AU34-AU$114,"")</f>
        <v/>
      </c>
      <c r="BY34" s="1" t="str">
        <f>IF(AV34&gt;AV$114, AV34-AV$114,"")</f>
        <v/>
      </c>
      <c r="BZ34" s="1" t="str">
        <f>IF(AW34&gt;AW$114, AW34-AW$114,"")</f>
        <v/>
      </c>
      <c r="CA34" s="1" t="str">
        <f>IF(AX34&gt;AX$114, AX34-AX$114,"")</f>
        <v/>
      </c>
      <c r="CB34" s="1" t="str">
        <f>IF(AY34&gt;AY$114, AY34-AY$114,"")</f>
        <v/>
      </c>
      <c r="CC34" s="1" t="str">
        <f>IF(AZ34&gt;AZ$114, AZ34-AZ$114,"")</f>
        <v/>
      </c>
      <c r="CD34" s="1" t="str">
        <f>IF(BA34&gt;BA$114, BA34-BA$114,"")</f>
        <v/>
      </c>
      <c r="CE34" s="1" t="str">
        <f>IF(BB34&gt;BB$114, BB34-BB$114,"")</f>
        <v/>
      </c>
      <c r="CF34" s="1">
        <f>COUNTIF(BT34:CE34, "&gt;0")</f>
        <v>0</v>
      </c>
      <c r="CG34" s="1" t="str">
        <f>IF($CF34=1,BT34,"")</f>
        <v/>
      </c>
      <c r="CH34" s="1" t="str">
        <f>IF($CF34=1,BU34,"")</f>
        <v/>
      </c>
      <c r="CI34" s="1" t="str">
        <f>IF($CF34=1,BV34,"")</f>
        <v/>
      </c>
      <c r="CJ34" s="1" t="str">
        <f>IF($CF34=1,BW34,"")</f>
        <v/>
      </c>
      <c r="CK34" s="1" t="str">
        <f>IF($CF34=1,BX34,"")</f>
        <v/>
      </c>
      <c r="CL34" s="1" t="str">
        <f>IF($CF34=1,BY34,"")</f>
        <v/>
      </c>
      <c r="CM34" s="1" t="str">
        <f>IF($CF34=1,BZ34,"")</f>
        <v/>
      </c>
      <c r="CN34" s="1" t="str">
        <f>IF($CF34=1,CA34,"")</f>
        <v/>
      </c>
      <c r="CO34" s="1" t="str">
        <f>IF($CF34=1,CB34,"")</f>
        <v/>
      </c>
      <c r="CP34" s="1" t="str">
        <f>IF($CF34=1,CC34,"")</f>
        <v/>
      </c>
      <c r="CQ34" s="1" t="str">
        <f>IF($CF34=1,CD34,"")</f>
        <v/>
      </c>
      <c r="CR34" s="1" t="str">
        <f>IF($CF34=1,CE34,"")</f>
        <v/>
      </c>
      <c r="CS34" s="3">
        <f>SUM(AE34:BO34)</f>
        <v>30</v>
      </c>
    </row>
    <row r="35" spans="1:97" x14ac:dyDescent="0.15">
      <c r="A35" s="1"/>
      <c r="B35" s="1" t="s">
        <v>165</v>
      </c>
      <c r="C35" s="1" t="s">
        <v>89</v>
      </c>
      <c r="D35" s="1" t="s">
        <v>90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>
        <v>15</v>
      </c>
      <c r="AR35" s="4"/>
      <c r="AS35" s="4"/>
      <c r="AT35" s="4"/>
      <c r="AU35" s="4"/>
      <c r="AV35" s="4"/>
      <c r="AW35" s="2"/>
      <c r="AX35" s="2"/>
      <c r="AY35" s="2"/>
      <c r="AZ35" s="2"/>
      <c r="BA35" s="2"/>
      <c r="BB35" s="2">
        <v>15</v>
      </c>
      <c r="BC35" s="14"/>
      <c r="BD35" s="1"/>
      <c r="BE35" s="1"/>
      <c r="BF35" s="1"/>
      <c r="BG35" s="1"/>
      <c r="BH35" s="1">
        <v>15</v>
      </c>
      <c r="BI35" s="1">
        <v>15</v>
      </c>
      <c r="BJ35" s="1"/>
      <c r="BK35" s="1"/>
      <c r="BL35" s="1"/>
      <c r="BM35" s="1"/>
      <c r="BN35" s="1"/>
      <c r="BO35" s="1"/>
      <c r="BP35" s="1">
        <f>SUM(E35:BO35)</f>
        <v>60</v>
      </c>
      <c r="BQ35" s="1">
        <v>9</v>
      </c>
      <c r="BR35" s="17">
        <v>1</v>
      </c>
      <c r="BS35" s="17" t="s">
        <v>237</v>
      </c>
      <c r="BT35" s="1" t="str">
        <f>IF(AQ35&gt;AQ$114, AQ35-AQ$114,"")</f>
        <v/>
      </c>
      <c r="BU35" s="1" t="str">
        <f>IF(AR35&gt;AR$114, AR35-AR$114,"")</f>
        <v/>
      </c>
      <c r="BV35" s="1" t="str">
        <f>IF(AS35&gt;AS$114, AS35-AS$114,"")</f>
        <v/>
      </c>
      <c r="BW35" s="1" t="str">
        <f>IF(AT35&gt;AT$114, AT35-AT$114,"")</f>
        <v/>
      </c>
      <c r="BX35" s="1" t="str">
        <f>IF(AU35&gt;AU$114, AU35-AU$114,"")</f>
        <v/>
      </c>
      <c r="BY35" s="1" t="str">
        <f>IF(AV35&gt;AV$114, AV35-AV$114,"")</f>
        <v/>
      </c>
      <c r="BZ35" s="1" t="str">
        <f>IF(AW35&gt;AW$114, AW35-AW$114,"")</f>
        <v/>
      </c>
      <c r="CA35" s="1" t="str">
        <f>IF(AX35&gt;AX$114, AX35-AX$114,"")</f>
        <v/>
      </c>
      <c r="CB35" s="1" t="str">
        <f>IF(AY35&gt;AY$114, AY35-AY$114,"")</f>
        <v/>
      </c>
      <c r="CC35" s="1" t="str">
        <f>IF(AZ35&gt;AZ$114, AZ35-AZ$114,"")</f>
        <v/>
      </c>
      <c r="CD35" s="1" t="str">
        <f>IF(BA35&gt;BA$114, BA35-BA$114,"")</f>
        <v/>
      </c>
      <c r="CE35" s="1" t="str">
        <f>IF(BB35&gt;BB$114, BB35-BB$114,"")</f>
        <v/>
      </c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3"/>
    </row>
    <row r="36" spans="1:97" x14ac:dyDescent="0.15">
      <c r="A36" s="40">
        <v>77</v>
      </c>
      <c r="B36" s="47" t="s">
        <v>150</v>
      </c>
      <c r="C36" s="47" t="s">
        <v>54</v>
      </c>
      <c r="D36" s="40" t="s">
        <v>10</v>
      </c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0"/>
      <c r="AP36" s="40"/>
      <c r="AQ36" s="43"/>
      <c r="AR36" s="43"/>
      <c r="AS36" s="43"/>
      <c r="AT36" s="43">
        <v>20</v>
      </c>
      <c r="AU36" s="43"/>
      <c r="AV36" s="43"/>
      <c r="AW36" s="44">
        <v>20</v>
      </c>
      <c r="AX36" s="44">
        <v>20</v>
      </c>
      <c r="AY36" s="44"/>
      <c r="AZ36" s="44"/>
      <c r="BA36" s="44"/>
      <c r="BB36" s="44">
        <v>10</v>
      </c>
      <c r="BC36" s="45"/>
      <c r="BD36" s="40"/>
      <c r="BE36" s="40"/>
      <c r="BF36" s="40"/>
      <c r="BG36" s="40"/>
      <c r="BH36" s="40">
        <v>20</v>
      </c>
      <c r="BI36" s="40"/>
      <c r="BJ36" s="40"/>
      <c r="BK36" s="40"/>
      <c r="BL36" s="40"/>
      <c r="BM36" s="40"/>
      <c r="BN36" s="40"/>
      <c r="BO36" s="40"/>
      <c r="BP36" s="40">
        <f>SUM(E36:BO36)</f>
        <v>90</v>
      </c>
      <c r="BQ36" s="40">
        <v>9</v>
      </c>
      <c r="BR36" s="46">
        <v>1</v>
      </c>
      <c r="BS36" s="46" t="s">
        <v>210</v>
      </c>
      <c r="BT36" s="40" t="str">
        <f>IF(AQ36&gt;AQ$114, AQ36-AQ$114,"")</f>
        <v/>
      </c>
      <c r="BU36" s="40" t="str">
        <f>IF(AR36&gt;AR$114, AR36-AR$114,"")</f>
        <v/>
      </c>
      <c r="BV36" s="40" t="str">
        <f>IF(AS36&gt;AS$114, AS36-AS$114,"")</f>
        <v/>
      </c>
      <c r="BW36" s="40" t="str">
        <f>IF(AT36&gt;AT$114, AT36-AT$114,"")</f>
        <v/>
      </c>
      <c r="BX36" s="40" t="str">
        <f>IF(AU36&gt;AU$114, AU36-AU$114,"")</f>
        <v/>
      </c>
      <c r="BY36" s="40" t="str">
        <f>IF(AV36&gt;AV$114, AV36-AV$114,"")</f>
        <v/>
      </c>
      <c r="BZ36" s="40" t="str">
        <f>IF(AW36&gt;AW$114, AW36-AW$114,"")</f>
        <v/>
      </c>
      <c r="CA36" s="40" t="str">
        <f>IF(AX36&gt;AX$114, AX36-AX$114,"")</f>
        <v/>
      </c>
      <c r="CB36" s="40" t="str">
        <f>IF(AY36&gt;AY$114, AY36-AY$114,"")</f>
        <v/>
      </c>
      <c r="CC36" s="40" t="str">
        <f>IF(AZ36&gt;AZ$114, AZ36-AZ$114,"")</f>
        <v/>
      </c>
      <c r="CD36" s="40" t="str">
        <f>IF(BA36&gt;BA$114, BA36-BA$114,"")</f>
        <v/>
      </c>
      <c r="CE36" s="40" t="str">
        <f>IF(BB36&gt;BB$114, BB36-BB$114,"")</f>
        <v/>
      </c>
      <c r="CF36" s="40">
        <f>COUNTIF(BT36:CE36, "&gt;0")</f>
        <v>0</v>
      </c>
      <c r="CG36" s="40" t="str">
        <f>IF($CF36=1,BT36,"")</f>
        <v/>
      </c>
      <c r="CH36" s="40" t="str">
        <f>IF($CF36=1,BU36,"")</f>
        <v/>
      </c>
      <c r="CI36" s="40" t="str">
        <f>IF($CF36=1,BV36,"")</f>
        <v/>
      </c>
      <c r="CJ36" s="40" t="str">
        <f>IF($CF36=1,BW36,"")</f>
        <v/>
      </c>
      <c r="CK36" s="40" t="str">
        <f>IF($CF36=1,BX36,"")</f>
        <v/>
      </c>
      <c r="CL36" s="40" t="str">
        <f>IF($CF36=1,BY36,"")</f>
        <v/>
      </c>
      <c r="CM36" s="40" t="str">
        <f>IF($CF36=1,BZ36,"")</f>
        <v/>
      </c>
      <c r="CN36" s="40" t="str">
        <f>IF($CF36=1,CA36,"")</f>
        <v/>
      </c>
      <c r="CO36" s="40" t="str">
        <f>IF($CF36=1,CB36,"")</f>
        <v/>
      </c>
      <c r="CP36" s="40" t="str">
        <f>IF($CF36=1,CC36,"")</f>
        <v/>
      </c>
      <c r="CQ36" s="40" t="str">
        <f>IF($CF36=1,CD36,"")</f>
        <v/>
      </c>
      <c r="CR36" s="40" t="str">
        <f>IF($CF36=1,CE36,"")</f>
        <v/>
      </c>
      <c r="CS36" s="47">
        <f>SUM(AE36:BO36)</f>
        <v>90</v>
      </c>
    </row>
    <row r="37" spans="1:97" x14ac:dyDescent="0.15">
      <c r="A37" s="1"/>
      <c r="B37" s="1" t="s">
        <v>161</v>
      </c>
      <c r="C37" s="1" t="s">
        <v>101</v>
      </c>
      <c r="D37" s="1" t="s">
        <v>91</v>
      </c>
      <c r="E37" s="6">
        <v>10</v>
      </c>
      <c r="F37" s="6"/>
      <c r="G37" s="6">
        <v>10</v>
      </c>
      <c r="H37" s="6"/>
      <c r="I37" s="6"/>
      <c r="J37" s="6"/>
      <c r="K37" s="6"/>
      <c r="L37" s="6"/>
      <c r="M37" s="6"/>
      <c r="N37" s="6"/>
      <c r="O37" s="6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>
        <v>10</v>
      </c>
      <c r="AS37" s="4"/>
      <c r="AT37" s="4"/>
      <c r="AU37" s="4"/>
      <c r="AV37" s="4"/>
      <c r="AW37" s="2"/>
      <c r="AX37" s="2"/>
      <c r="AY37" s="2"/>
      <c r="AZ37" s="2"/>
      <c r="BA37" s="2"/>
      <c r="BB37" s="2">
        <v>10</v>
      </c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>
        <f>SUM(E37:BO37)</f>
        <v>40</v>
      </c>
      <c r="BQ37" s="1">
        <v>10</v>
      </c>
      <c r="BR37" s="17">
        <v>1</v>
      </c>
      <c r="BS37" s="17" t="s">
        <v>219</v>
      </c>
      <c r="BT37" s="1" t="str">
        <f>IF(AQ37&gt;AQ$114, AQ37-AQ$114,"")</f>
        <v/>
      </c>
      <c r="BU37" s="1" t="str">
        <f>IF(AR37&gt;AR$114, AR37-AR$114,"")</f>
        <v/>
      </c>
      <c r="BV37" s="1" t="str">
        <f>IF(AS37&gt;AS$114, AS37-AS$114,"")</f>
        <v/>
      </c>
      <c r="BW37" s="1" t="str">
        <f>IF(AT37&gt;AT$114, AT37-AT$114,"")</f>
        <v/>
      </c>
      <c r="BX37" s="1" t="str">
        <f>IF(AU37&gt;AU$114, AU37-AU$114,"")</f>
        <v/>
      </c>
      <c r="BY37" s="1" t="str">
        <f>IF(AV37&gt;AV$114, AV37-AV$114,"")</f>
        <v/>
      </c>
      <c r="BZ37" s="1" t="str">
        <f>IF(AW37&gt;AW$114, AW37-AW$114,"")</f>
        <v/>
      </c>
      <c r="CA37" s="1" t="str">
        <f>IF(AX37&gt;AX$114, AX37-AX$114,"")</f>
        <v/>
      </c>
      <c r="CB37" s="1" t="str">
        <f>IF(AY37&gt;AY$114, AY37-AY$114,"")</f>
        <v/>
      </c>
      <c r="CC37" s="1" t="str">
        <f>IF(AZ37&gt;AZ$114, AZ37-AZ$114,"")</f>
        <v/>
      </c>
      <c r="CD37" s="1" t="str">
        <f>IF(BA37&gt;BA$114, BA37-BA$114,"")</f>
        <v/>
      </c>
      <c r="CE37" s="1" t="str">
        <f>IF(BB37&gt;BB$114, BB37-BB$114,"")</f>
        <v/>
      </c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3"/>
    </row>
    <row r="38" spans="1:97" s="48" customFormat="1" x14ac:dyDescent="0.15">
      <c r="A38" s="1"/>
      <c r="B38" s="1" t="s">
        <v>159</v>
      </c>
      <c r="C38" s="1" t="s">
        <v>135</v>
      </c>
      <c r="D38" s="1" t="s">
        <v>109</v>
      </c>
      <c r="E38" s="6">
        <v>10</v>
      </c>
      <c r="F38" s="6"/>
      <c r="G38" s="6">
        <v>10</v>
      </c>
      <c r="H38" s="6"/>
      <c r="I38" s="6"/>
      <c r="J38" s="6"/>
      <c r="K38" s="6"/>
      <c r="L38" s="6"/>
      <c r="M38" s="6"/>
      <c r="N38" s="6"/>
      <c r="O38" s="6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>
        <v>10</v>
      </c>
      <c r="AS38" s="4"/>
      <c r="AT38" s="4"/>
      <c r="AU38" s="4"/>
      <c r="AV38" s="4"/>
      <c r="AW38" s="2"/>
      <c r="AX38" s="2"/>
      <c r="AY38" s="2"/>
      <c r="AZ38" s="2"/>
      <c r="BA38" s="2"/>
      <c r="BB38" s="2">
        <v>10</v>
      </c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>
        <f>SUM(E38:BO38)</f>
        <v>40</v>
      </c>
      <c r="BQ38" s="1">
        <v>10</v>
      </c>
      <c r="BR38" s="17">
        <v>1</v>
      </c>
      <c r="BS38" s="17" t="s">
        <v>219</v>
      </c>
      <c r="BT38" s="1" t="str">
        <f>IF(AQ38&gt;AQ$114, AQ38-AQ$114,"")</f>
        <v/>
      </c>
      <c r="BU38" s="1" t="str">
        <f>IF(AR38&gt;AR$114, AR38-AR$114,"")</f>
        <v/>
      </c>
      <c r="BV38" s="1" t="str">
        <f>IF(AS38&gt;AS$114, AS38-AS$114,"")</f>
        <v/>
      </c>
      <c r="BW38" s="1" t="str">
        <f>IF(AT38&gt;AT$114, AT38-AT$114,"")</f>
        <v/>
      </c>
      <c r="BX38" s="1" t="str">
        <f>IF(AU38&gt;AU$114, AU38-AU$114,"")</f>
        <v/>
      </c>
      <c r="BY38" s="1" t="str">
        <f>IF(AV38&gt;AV$114, AV38-AV$114,"")</f>
        <v/>
      </c>
      <c r="BZ38" s="1" t="str">
        <f>IF(AW38&gt;AW$114, AW38-AW$114,"")</f>
        <v/>
      </c>
      <c r="CA38" s="1" t="str">
        <f>IF(AX38&gt;AX$114, AX38-AX$114,"")</f>
        <v/>
      </c>
      <c r="CB38" s="1" t="str">
        <f>IF(AY38&gt;AY$114, AY38-AY$114,"")</f>
        <v/>
      </c>
      <c r="CC38" s="1" t="str">
        <f>IF(AZ38&gt;AZ$114, AZ38-AZ$114,"")</f>
        <v/>
      </c>
      <c r="CD38" s="1" t="str">
        <f>IF(BA38&gt;BA$114, BA38-BA$114,"")</f>
        <v/>
      </c>
      <c r="CE38" s="1" t="str">
        <f>IF(BB38&gt;BB$114, BB38-BB$114,"")</f>
        <v/>
      </c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3"/>
    </row>
    <row r="39" spans="1:97" x14ac:dyDescent="0.15">
      <c r="A39" s="1">
        <v>8</v>
      </c>
      <c r="B39" s="1" t="s">
        <v>154</v>
      </c>
      <c r="C39" s="1" t="s">
        <v>1</v>
      </c>
      <c r="D39" s="1" t="s">
        <v>21</v>
      </c>
      <c r="E39" s="6">
        <v>6</v>
      </c>
      <c r="F39" s="6"/>
      <c r="G39" s="6"/>
      <c r="H39" s="6">
        <v>6</v>
      </c>
      <c r="I39" s="6"/>
      <c r="J39" s="6"/>
      <c r="K39" s="6"/>
      <c r="L39" s="6"/>
      <c r="M39" s="6"/>
      <c r="N39" s="6"/>
      <c r="O39" s="6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>
        <v>10</v>
      </c>
      <c r="AS39" s="4"/>
      <c r="AT39" s="4"/>
      <c r="AU39" s="4"/>
      <c r="AV39" s="4"/>
      <c r="AW39" s="2"/>
      <c r="AX39" s="2"/>
      <c r="AY39" s="2"/>
      <c r="AZ39" s="2"/>
      <c r="BA39" s="2"/>
      <c r="BB39" s="2">
        <v>10</v>
      </c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>
        <f>SUM(E39:BO39)</f>
        <v>32</v>
      </c>
      <c r="BQ39" s="1">
        <v>10</v>
      </c>
      <c r="BR39" s="17">
        <v>1</v>
      </c>
      <c r="BS39" s="17" t="s">
        <v>219</v>
      </c>
      <c r="BT39" s="1" t="str">
        <f>IF(AQ39&gt;AQ$114, AQ39-AQ$114,"")</f>
        <v/>
      </c>
      <c r="BU39" s="1" t="str">
        <f>IF(AR39&gt;AR$114, AR39-AR$114,"")</f>
        <v/>
      </c>
      <c r="BV39" s="1" t="str">
        <f>IF(AS39&gt;AS$114, AS39-AS$114,"")</f>
        <v/>
      </c>
      <c r="BW39" s="1" t="str">
        <f>IF(AT39&gt;AT$114, AT39-AT$114,"")</f>
        <v/>
      </c>
      <c r="BX39" s="1" t="str">
        <f>IF(AU39&gt;AU$114, AU39-AU$114,"")</f>
        <v/>
      </c>
      <c r="BY39" s="1" t="str">
        <f>IF(AV39&gt;AV$114, AV39-AV$114,"")</f>
        <v/>
      </c>
      <c r="BZ39" s="1" t="str">
        <f>IF(AW39&gt;AW$114, AW39-AW$114,"")</f>
        <v/>
      </c>
      <c r="CA39" s="1" t="str">
        <f>IF(AX39&gt;AX$114, AX39-AX$114,"")</f>
        <v/>
      </c>
      <c r="CB39" s="1" t="str">
        <f>IF(AY39&gt;AY$114, AY39-AY$114,"")</f>
        <v/>
      </c>
      <c r="CC39" s="1" t="str">
        <f>IF(AZ39&gt;AZ$114, AZ39-AZ$114,"")</f>
        <v/>
      </c>
      <c r="CD39" s="1" t="str">
        <f>IF(BA39&gt;BA$114, BA39-BA$114,"")</f>
        <v/>
      </c>
      <c r="CE39" s="1" t="str">
        <f>IF(BB39&gt;BB$114, BB39-BB$114,"")</f>
        <v/>
      </c>
      <c r="CF39" s="1">
        <f>COUNTIF(BT39:CE39, "&gt;0")</f>
        <v>0</v>
      </c>
      <c r="CG39" s="1" t="str">
        <f>IF($CF39=1,BT39,"")</f>
        <v/>
      </c>
      <c r="CH39" s="1" t="str">
        <f>IF($CF39=1,BU39,"")</f>
        <v/>
      </c>
      <c r="CI39" s="1" t="str">
        <f>IF($CF39=1,BV39,"")</f>
        <v/>
      </c>
      <c r="CJ39" s="1" t="str">
        <f>IF($CF39=1,BW39,"")</f>
        <v/>
      </c>
      <c r="CK39" s="1" t="str">
        <f>IF($CF39=1,BX39,"")</f>
        <v/>
      </c>
      <c r="CL39" s="1" t="str">
        <f>IF($CF39=1,BY39,"")</f>
        <v/>
      </c>
      <c r="CM39" s="1" t="str">
        <f>IF($CF39=1,BZ39,"")</f>
        <v/>
      </c>
      <c r="CN39" s="1" t="str">
        <f>IF($CF39=1,CA39,"")</f>
        <v/>
      </c>
      <c r="CO39" s="1" t="str">
        <f>IF($CF39=1,CB39,"")</f>
        <v/>
      </c>
      <c r="CP39" s="1" t="str">
        <f>IF($CF39=1,CC39,"")</f>
        <v/>
      </c>
      <c r="CQ39" s="1" t="str">
        <f>IF($CF39=1,CD39,"")</f>
        <v/>
      </c>
      <c r="CR39" s="1" t="str">
        <f>IF($CF39=1,CE39,"")</f>
        <v/>
      </c>
      <c r="CS39" s="3">
        <f>SUM(AE39:BO39)</f>
        <v>20</v>
      </c>
    </row>
    <row r="40" spans="1:97" s="48" customFormat="1" x14ac:dyDescent="0.15">
      <c r="A40" s="59"/>
      <c r="B40" s="59" t="s">
        <v>151</v>
      </c>
      <c r="C40" s="59" t="s">
        <v>105</v>
      </c>
      <c r="D40" s="59" t="s">
        <v>90</v>
      </c>
      <c r="E40" s="60"/>
      <c r="F40" s="60"/>
      <c r="G40" s="60"/>
      <c r="H40" s="60"/>
      <c r="I40" s="60"/>
      <c r="J40" s="60"/>
      <c r="K40" s="60"/>
      <c r="L40" s="60">
        <v>20</v>
      </c>
      <c r="M40" s="60"/>
      <c r="N40" s="60"/>
      <c r="O40" s="60">
        <v>20</v>
      </c>
      <c r="P40" s="61"/>
      <c r="Q40" s="61"/>
      <c r="R40" s="61"/>
      <c r="S40" s="61"/>
      <c r="T40" s="61"/>
      <c r="U40" s="61"/>
      <c r="V40" s="61"/>
      <c r="W40" s="61"/>
      <c r="X40" s="61"/>
      <c r="Y40" s="61"/>
      <c r="Z40" s="61"/>
      <c r="AA40" s="61"/>
      <c r="AB40" s="61"/>
      <c r="AC40" s="61"/>
      <c r="AD40" s="61"/>
      <c r="AE40" s="59"/>
      <c r="AF40" s="59"/>
      <c r="AG40" s="59"/>
      <c r="AH40" s="59"/>
      <c r="AI40" s="59"/>
      <c r="AJ40" s="59"/>
      <c r="AK40" s="59"/>
      <c r="AL40" s="59"/>
      <c r="AM40" s="59"/>
      <c r="AN40" s="59"/>
      <c r="AO40" s="59"/>
      <c r="AP40" s="59"/>
      <c r="AQ40" s="62"/>
      <c r="AR40" s="62"/>
      <c r="AS40" s="62"/>
      <c r="AT40" s="62"/>
      <c r="AU40" s="62"/>
      <c r="AV40" s="62"/>
      <c r="AW40" s="63"/>
      <c r="AX40" s="63"/>
      <c r="AY40" s="63"/>
      <c r="AZ40" s="63"/>
      <c r="BA40" s="63">
        <v>20</v>
      </c>
      <c r="BB40" s="63">
        <v>20</v>
      </c>
      <c r="BC40" s="64"/>
      <c r="BD40" s="59"/>
      <c r="BE40" s="59"/>
      <c r="BF40" s="59"/>
      <c r="BG40" s="59"/>
      <c r="BH40" s="59"/>
      <c r="BI40" s="59"/>
      <c r="BJ40" s="59"/>
      <c r="BK40" s="59"/>
      <c r="BL40" s="59"/>
      <c r="BM40" s="59"/>
      <c r="BN40" s="59"/>
      <c r="BO40" s="59"/>
      <c r="BP40" s="59">
        <f>SUM(E40:BO40)</f>
        <v>80</v>
      </c>
      <c r="BQ40" s="59">
        <v>14</v>
      </c>
      <c r="BR40" s="65">
        <v>1</v>
      </c>
      <c r="BS40" s="65" t="s">
        <v>229</v>
      </c>
      <c r="BT40" s="59" t="str">
        <f>IF(AQ40&gt;AQ$114, AQ40-AQ$114,"")</f>
        <v/>
      </c>
      <c r="BU40" s="59" t="str">
        <f>IF(AR40&gt;AR$114, AR40-AR$114,"")</f>
        <v/>
      </c>
      <c r="BV40" s="59" t="str">
        <f>IF(AS40&gt;AS$114, AS40-AS$114,"")</f>
        <v/>
      </c>
      <c r="BW40" s="59" t="str">
        <f>IF(AT40&gt;AT$114, AT40-AT$114,"")</f>
        <v/>
      </c>
      <c r="BX40" s="59" t="str">
        <f>IF(AU40&gt;AU$114, AU40-AU$114,"")</f>
        <v/>
      </c>
      <c r="BY40" s="59" t="str">
        <f>IF(AV40&gt;AV$114, AV40-AV$114,"")</f>
        <v/>
      </c>
      <c r="BZ40" s="59" t="str">
        <f>IF(AW40&gt;AW$114, AW40-AW$114,"")</f>
        <v/>
      </c>
      <c r="CA40" s="59" t="str">
        <f>IF(AX40&gt;AX$114, AX40-AX$114,"")</f>
        <v/>
      </c>
      <c r="CB40" s="59" t="str">
        <f>IF(AY40&gt;AY$114, AY40-AY$114,"")</f>
        <v/>
      </c>
      <c r="CC40" s="59" t="str">
        <f>IF(AZ40&gt;AZ$114, AZ40-AZ$114,"")</f>
        <v/>
      </c>
      <c r="CD40" s="59" t="str">
        <f>IF(BA40&gt;BA$114, BA40-BA$114,"")</f>
        <v/>
      </c>
      <c r="CE40" s="59" t="str">
        <f>IF(BB40&gt;BB$114, BB40-BB$114,"")</f>
        <v/>
      </c>
      <c r="CF40" s="59"/>
      <c r="CG40" s="59"/>
      <c r="CH40" s="59"/>
      <c r="CI40" s="59"/>
      <c r="CJ40" s="59"/>
      <c r="CK40" s="59"/>
      <c r="CL40" s="59"/>
      <c r="CM40" s="59"/>
      <c r="CN40" s="59"/>
      <c r="CO40" s="59"/>
      <c r="CP40" s="59"/>
      <c r="CQ40" s="59"/>
      <c r="CR40" s="59"/>
      <c r="CS40" s="66"/>
    </row>
    <row r="41" spans="1:97" x14ac:dyDescent="0.15">
      <c r="A41" s="1"/>
      <c r="B41" s="1" t="s">
        <v>155</v>
      </c>
      <c r="C41" s="1" t="s">
        <v>101</v>
      </c>
      <c r="D41" s="1" t="s">
        <v>90</v>
      </c>
      <c r="E41" s="6">
        <v>15</v>
      </c>
      <c r="F41" s="6"/>
      <c r="G41" s="6">
        <v>15</v>
      </c>
      <c r="H41" s="6"/>
      <c r="I41" s="6"/>
      <c r="J41" s="6"/>
      <c r="K41" s="6"/>
      <c r="L41" s="6"/>
      <c r="M41" s="6"/>
      <c r="N41" s="6"/>
      <c r="O41" s="6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>
        <v>15</v>
      </c>
      <c r="AS41" s="4"/>
      <c r="AT41" s="4"/>
      <c r="AU41" s="4"/>
      <c r="AV41" s="4"/>
      <c r="AW41" s="2"/>
      <c r="AX41" s="2"/>
      <c r="AY41" s="2"/>
      <c r="AZ41" s="2"/>
      <c r="BA41" s="2"/>
      <c r="BB41" s="2">
        <v>15</v>
      </c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>
        <f>SUM(E41:BO41)</f>
        <v>60</v>
      </c>
      <c r="BQ41" s="1">
        <v>15</v>
      </c>
      <c r="BR41" s="17">
        <v>1</v>
      </c>
      <c r="BS41" s="17" t="s">
        <v>227</v>
      </c>
      <c r="BT41" s="1" t="str">
        <f>IF(AQ41&gt;AQ$114, AQ41-AQ$114,"")</f>
        <v/>
      </c>
      <c r="BU41" s="1" t="str">
        <f>IF(AR41&gt;AR$114, AR41-AR$114,"")</f>
        <v/>
      </c>
      <c r="BV41" s="1" t="str">
        <f>IF(AS41&gt;AS$114, AS41-AS$114,"")</f>
        <v/>
      </c>
      <c r="BW41" s="1" t="str">
        <f>IF(AT41&gt;AT$114, AT41-AT$114,"")</f>
        <v/>
      </c>
      <c r="BX41" s="1" t="str">
        <f>IF(AU41&gt;AU$114, AU41-AU$114,"")</f>
        <v/>
      </c>
      <c r="BY41" s="1" t="str">
        <f>IF(AV41&gt;AV$114, AV41-AV$114,"")</f>
        <v/>
      </c>
      <c r="BZ41" s="1" t="str">
        <f>IF(AW41&gt;AW$114, AW41-AW$114,"")</f>
        <v/>
      </c>
      <c r="CA41" s="1" t="str">
        <f>IF(AX41&gt;AX$114, AX41-AX$114,"")</f>
        <v/>
      </c>
      <c r="CB41" s="1" t="str">
        <f>IF(AY41&gt;AY$114, AY41-AY$114,"")</f>
        <v/>
      </c>
      <c r="CC41" s="1" t="str">
        <f>IF(AZ41&gt;AZ$114, AZ41-AZ$114,"")</f>
        <v/>
      </c>
      <c r="CD41" s="1" t="str">
        <f>IF(BA41&gt;BA$114, BA41-BA$114,"")</f>
        <v/>
      </c>
      <c r="CE41" s="1" t="str">
        <f>IF(BB41&gt;BB$114, BB41-BB$114,"")</f>
        <v/>
      </c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3"/>
    </row>
    <row r="42" spans="1:97" x14ac:dyDescent="0.15">
      <c r="A42" s="68"/>
      <c r="B42" s="68" t="s">
        <v>157</v>
      </c>
      <c r="C42" s="68" t="s">
        <v>101</v>
      </c>
      <c r="D42" s="68" t="s">
        <v>90</v>
      </c>
      <c r="E42" s="69">
        <v>15</v>
      </c>
      <c r="F42" s="69"/>
      <c r="G42" s="69">
        <v>15</v>
      </c>
      <c r="H42" s="69"/>
      <c r="I42" s="69"/>
      <c r="J42" s="69"/>
      <c r="K42" s="69"/>
      <c r="L42" s="69"/>
      <c r="M42" s="69"/>
      <c r="N42" s="69"/>
      <c r="O42" s="69"/>
      <c r="P42" s="70"/>
      <c r="Q42" s="70"/>
      <c r="R42" s="70"/>
      <c r="S42" s="70"/>
      <c r="T42" s="70"/>
      <c r="U42" s="70"/>
      <c r="V42" s="70"/>
      <c r="W42" s="70"/>
      <c r="X42" s="70"/>
      <c r="Y42" s="70"/>
      <c r="Z42" s="70"/>
      <c r="AA42" s="70"/>
      <c r="AB42" s="70"/>
      <c r="AC42" s="70"/>
      <c r="AD42" s="70"/>
      <c r="AE42" s="68"/>
      <c r="AF42" s="68"/>
      <c r="AG42" s="68"/>
      <c r="AH42" s="68"/>
      <c r="AI42" s="68"/>
      <c r="AJ42" s="68"/>
      <c r="AK42" s="68"/>
      <c r="AL42" s="68"/>
      <c r="AM42" s="68"/>
      <c r="AN42" s="68"/>
      <c r="AO42" s="68"/>
      <c r="AP42" s="68"/>
      <c r="AQ42" s="71"/>
      <c r="AR42" s="71">
        <v>15</v>
      </c>
      <c r="AS42" s="71"/>
      <c r="AT42" s="71"/>
      <c r="AU42" s="71"/>
      <c r="AV42" s="71"/>
      <c r="AW42" s="72"/>
      <c r="AX42" s="72"/>
      <c r="AY42" s="72"/>
      <c r="AZ42" s="72"/>
      <c r="BA42" s="72"/>
      <c r="BB42" s="72">
        <v>15</v>
      </c>
      <c r="BC42" s="73"/>
      <c r="BD42" s="68"/>
      <c r="BE42" s="68"/>
      <c r="BF42" s="68"/>
      <c r="BG42" s="68"/>
      <c r="BH42" s="68"/>
      <c r="BI42" s="68"/>
      <c r="BJ42" s="68"/>
      <c r="BK42" s="68"/>
      <c r="BL42" s="68"/>
      <c r="BM42" s="68"/>
      <c r="BN42" s="68"/>
      <c r="BO42" s="68"/>
      <c r="BP42" s="68">
        <f>SUM(E42:BO42)</f>
        <v>60</v>
      </c>
      <c r="BQ42" s="68">
        <v>15</v>
      </c>
      <c r="BR42" s="74">
        <v>1</v>
      </c>
      <c r="BS42" s="74" t="s">
        <v>228</v>
      </c>
      <c r="BT42" s="68" t="str">
        <f>IF(AQ42&gt;AQ$114, AQ42-AQ$114,"")</f>
        <v/>
      </c>
      <c r="BU42" s="68" t="str">
        <f>IF(AR42&gt;AR$114, AR42-AR$114,"")</f>
        <v/>
      </c>
      <c r="BV42" s="68" t="str">
        <f>IF(AS42&gt;AS$114, AS42-AS$114,"")</f>
        <v/>
      </c>
      <c r="BW42" s="68" t="str">
        <f>IF(AT42&gt;AT$114, AT42-AT$114,"")</f>
        <v/>
      </c>
      <c r="BX42" s="68" t="str">
        <f>IF(AU42&gt;AU$114, AU42-AU$114,"")</f>
        <v/>
      </c>
      <c r="BY42" s="68" t="str">
        <f>IF(AV42&gt;AV$114, AV42-AV$114,"")</f>
        <v/>
      </c>
      <c r="BZ42" s="68" t="str">
        <f>IF(AW42&gt;AW$114, AW42-AW$114,"")</f>
        <v/>
      </c>
      <c r="CA42" s="68" t="str">
        <f>IF(AX42&gt;AX$114, AX42-AX$114,"")</f>
        <v/>
      </c>
      <c r="CB42" s="68" t="str">
        <f>IF(AY42&gt;AY$114, AY42-AY$114,"")</f>
        <v/>
      </c>
      <c r="CC42" s="68" t="str">
        <f>IF(AZ42&gt;AZ$114, AZ42-AZ$114,"")</f>
        <v/>
      </c>
      <c r="CD42" s="68" t="str">
        <f>IF(BA42&gt;BA$114, BA42-BA$114,"")</f>
        <v/>
      </c>
      <c r="CE42" s="68" t="str">
        <f>IF(BB42&gt;BB$114, BB42-BB$114,"")</f>
        <v/>
      </c>
      <c r="CF42" s="68"/>
      <c r="CG42" s="68"/>
      <c r="CH42" s="68"/>
      <c r="CI42" s="68"/>
      <c r="CJ42" s="68"/>
      <c r="CK42" s="68"/>
      <c r="CL42" s="68"/>
      <c r="CM42" s="68"/>
      <c r="CN42" s="68"/>
      <c r="CO42" s="68"/>
      <c r="CP42" s="68"/>
      <c r="CQ42" s="68"/>
      <c r="CR42" s="68"/>
      <c r="CS42" s="75"/>
    </row>
    <row r="43" spans="1:97" x14ac:dyDescent="0.15">
      <c r="A43" s="18">
        <v>64</v>
      </c>
      <c r="B43" s="24" t="s">
        <v>52</v>
      </c>
      <c r="C43" s="18" t="s">
        <v>47</v>
      </c>
      <c r="D43" s="18" t="s">
        <v>0</v>
      </c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  <c r="AD43" s="29"/>
      <c r="AE43" s="18"/>
      <c r="AF43" s="18"/>
      <c r="AG43" s="18"/>
      <c r="AH43" s="18"/>
      <c r="AI43" s="18"/>
      <c r="AJ43" s="18"/>
      <c r="AK43" s="18"/>
      <c r="AL43" s="18"/>
      <c r="AM43" s="18"/>
      <c r="AN43" s="18">
        <v>15</v>
      </c>
      <c r="AO43" s="18"/>
      <c r="AP43" s="18"/>
      <c r="AQ43" s="20"/>
      <c r="AR43" s="20"/>
      <c r="AS43" s="20"/>
      <c r="AT43" s="20"/>
      <c r="AU43" s="20"/>
      <c r="AV43" s="20"/>
      <c r="AW43" s="21"/>
      <c r="AX43" s="21"/>
      <c r="AY43" s="21"/>
      <c r="AZ43" s="21"/>
      <c r="BA43" s="21"/>
      <c r="BB43" s="21"/>
      <c r="BC43" s="26"/>
      <c r="BD43" s="18"/>
      <c r="BE43" s="18"/>
      <c r="BF43" s="18"/>
      <c r="BG43" s="18"/>
      <c r="BH43" s="18"/>
      <c r="BI43" s="18"/>
      <c r="BJ43" s="18"/>
      <c r="BK43" s="18"/>
      <c r="BL43" s="18"/>
      <c r="BM43" s="18"/>
      <c r="BN43" s="18"/>
      <c r="BO43" s="18"/>
      <c r="BP43" s="18">
        <f>SUM(E43:BO43)</f>
        <v>15</v>
      </c>
      <c r="BQ43" s="18">
        <v>15</v>
      </c>
      <c r="BR43" s="22">
        <v>1</v>
      </c>
      <c r="BS43" s="22" t="s">
        <v>238</v>
      </c>
      <c r="BT43" s="18" t="str">
        <f>IF(AQ43&gt;AQ$114, AQ43-AQ$114,"")</f>
        <v/>
      </c>
      <c r="BU43" s="18" t="str">
        <f>IF(AR43&gt;AR$114, AR43-AR$114,"")</f>
        <v/>
      </c>
      <c r="BV43" s="18" t="str">
        <f>IF(AS43&gt;AS$114, AS43-AS$114,"")</f>
        <v/>
      </c>
      <c r="BW43" s="18" t="str">
        <f>IF(AT43&gt;AT$114, AT43-AT$114,"")</f>
        <v/>
      </c>
      <c r="BX43" s="18" t="str">
        <f>IF(AU43&gt;AU$114, AU43-AU$114,"")</f>
        <v/>
      </c>
      <c r="BY43" s="18" t="str">
        <f>IF(AV43&gt;AV$114, AV43-AV$114,"")</f>
        <v/>
      </c>
      <c r="BZ43" s="18" t="str">
        <f>IF(AW43&gt;AW$114, AW43-AW$114,"")</f>
        <v/>
      </c>
      <c r="CA43" s="18" t="str">
        <f>IF(AX43&gt;AX$114, AX43-AX$114,"")</f>
        <v/>
      </c>
      <c r="CB43" s="18" t="str">
        <f>IF(AY43&gt;AY$114, AY43-AY$114,"")</f>
        <v/>
      </c>
      <c r="CC43" s="18" t="str">
        <f>IF(AZ43&gt;AZ$114, AZ43-AZ$114,"")</f>
        <v/>
      </c>
      <c r="CD43" s="18" t="str">
        <f>IF(BA43&gt;BA$114, BA43-BA$114,"")</f>
        <v/>
      </c>
      <c r="CE43" s="18" t="str">
        <f>IF(BB43&gt;BB$114, BB43-BB$114,"")</f>
        <v/>
      </c>
      <c r="CF43" s="18">
        <f>COUNTIF(BT43:CE43, "&gt;0")</f>
        <v>0</v>
      </c>
      <c r="CG43" s="18" t="str">
        <f>IF($CF43=1,BT43,"")</f>
        <v/>
      </c>
      <c r="CH43" s="18" t="str">
        <f>IF($CF43=1,BU43,"")</f>
        <v/>
      </c>
      <c r="CI43" s="18" t="str">
        <f>IF($CF43=1,BV43,"")</f>
        <v/>
      </c>
      <c r="CJ43" s="18" t="str">
        <f>IF($CF43=1,BW43,"")</f>
        <v/>
      </c>
      <c r="CK43" s="18" t="str">
        <f>IF($CF43=1,BX43,"")</f>
        <v/>
      </c>
      <c r="CL43" s="18" t="str">
        <f>IF($CF43=1,BY43,"")</f>
        <v/>
      </c>
      <c r="CM43" s="18" t="str">
        <f>IF($CF43=1,BZ43,"")</f>
        <v/>
      </c>
      <c r="CN43" s="18" t="str">
        <f>IF($CF43=1,CA43,"")</f>
        <v/>
      </c>
      <c r="CO43" s="18" t="str">
        <f>IF($CF43=1,CB43,"")</f>
        <v/>
      </c>
      <c r="CP43" s="18" t="str">
        <f>IF($CF43=1,CC43,"")</f>
        <v/>
      </c>
      <c r="CQ43" s="18" t="str">
        <f>IF($CF43=1,CD43,"")</f>
        <v/>
      </c>
      <c r="CR43" s="18" t="str">
        <f>IF($CF43=1,CE43,"")</f>
        <v/>
      </c>
      <c r="CS43" s="24">
        <f>SUM(AE43:BO43)</f>
        <v>15</v>
      </c>
    </row>
    <row r="44" spans="1:97" x14ac:dyDescent="0.15">
      <c r="A44" s="1">
        <v>98</v>
      </c>
      <c r="B44" s="3" t="s">
        <v>152</v>
      </c>
      <c r="C44" s="3" t="s">
        <v>57</v>
      </c>
      <c r="D44" s="1" t="s">
        <v>0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1">
        <v>50</v>
      </c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/>
      <c r="AU44" s="4"/>
      <c r="AV44" s="4"/>
      <c r="AW44" s="2"/>
      <c r="AX44" s="2"/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>
        <f>SUM(E44:BO44)</f>
        <v>50</v>
      </c>
      <c r="BQ44" s="1">
        <v>46</v>
      </c>
      <c r="BR44" s="17">
        <v>1</v>
      </c>
      <c r="BS44" s="17" t="s">
        <v>239</v>
      </c>
      <c r="BT44" s="1" t="str">
        <f>IF(AQ44&gt;AQ$114, AQ44-AQ$114,"")</f>
        <v/>
      </c>
      <c r="BU44" s="1" t="str">
        <f>IF(AR44&gt;AR$114, AR44-AR$114,"")</f>
        <v/>
      </c>
      <c r="BV44" s="1" t="str">
        <f>IF(AS44&gt;AS$114, AS44-AS$114,"")</f>
        <v/>
      </c>
      <c r="BW44" s="1" t="str">
        <f>IF(AT44&gt;AT$114, AT44-AT$114,"")</f>
        <v/>
      </c>
      <c r="BX44" s="1" t="str">
        <f>IF(AU44&gt;AU$114, AU44-AU$114,"")</f>
        <v/>
      </c>
      <c r="BY44" s="1" t="str">
        <f>IF(AV44&gt;AV$114, AV44-AV$114,"")</f>
        <v/>
      </c>
      <c r="BZ44" s="1" t="str">
        <f>IF(AW44&gt;AW$114, AW44-AW$114,"")</f>
        <v/>
      </c>
      <c r="CA44" s="1" t="str">
        <f>IF(AX44&gt;AX$114, AX44-AX$114,"")</f>
        <v/>
      </c>
      <c r="CB44" s="1" t="str">
        <f>IF(AY44&gt;AY$114, AY44-AY$114,"")</f>
        <v/>
      </c>
      <c r="CC44" s="1" t="str">
        <f>IF(AZ44&gt;AZ$114, AZ44-AZ$114,"")</f>
        <v/>
      </c>
      <c r="CD44" s="1" t="str">
        <f>IF(BA44&gt;BA$114, BA44-BA$114,"")</f>
        <v/>
      </c>
      <c r="CE44" s="1" t="str">
        <f>IF(BB44&gt;BB$114, BB44-BB$114,"")</f>
        <v/>
      </c>
      <c r="CF44" s="1">
        <f>COUNTIF(BT44:CE44, "&gt;0")</f>
        <v>0</v>
      </c>
      <c r="CG44" s="1" t="str">
        <f>IF($CF44=1,BT44,"")</f>
        <v/>
      </c>
      <c r="CH44" s="1" t="str">
        <f>IF($CF44=1,BU44,"")</f>
        <v/>
      </c>
      <c r="CI44" s="1" t="str">
        <f>IF($CF44=1,BV44,"")</f>
        <v/>
      </c>
      <c r="CJ44" s="1" t="str">
        <f>IF($CF44=1,BW44,"")</f>
        <v/>
      </c>
      <c r="CK44" s="1" t="str">
        <f>IF($CF44=1,BX44,"")</f>
        <v/>
      </c>
      <c r="CL44" s="1" t="str">
        <f>IF($CF44=1,BY44,"")</f>
        <v/>
      </c>
      <c r="CM44" s="1" t="str">
        <f>IF($CF44=1,BZ44,"")</f>
        <v/>
      </c>
      <c r="CN44" s="1" t="str">
        <f>IF($CF44=1,CA44,"")</f>
        <v/>
      </c>
      <c r="CO44" s="1" t="str">
        <f>IF($CF44=1,CB44,"")</f>
        <v/>
      </c>
      <c r="CP44" s="1" t="str">
        <f>IF($CF44=1,CC44,"")</f>
        <v/>
      </c>
      <c r="CQ44" s="1" t="str">
        <f>IF($CF44=1,CD44,"")</f>
        <v/>
      </c>
      <c r="CR44" s="1" t="str">
        <f>IF($CF44=1,CE44,"")</f>
        <v/>
      </c>
      <c r="CS44" s="3">
        <f>SUM(AE44:BO44)</f>
        <v>50</v>
      </c>
    </row>
    <row r="45" spans="1:97" x14ac:dyDescent="0.15">
      <c r="A45" s="1">
        <v>99</v>
      </c>
      <c r="B45" s="3" t="s">
        <v>152</v>
      </c>
      <c r="C45" s="3" t="s">
        <v>57</v>
      </c>
      <c r="D45" s="1" t="s">
        <v>10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1">
        <v>200</v>
      </c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>
        <f>SUM(E45:BO45)</f>
        <v>200</v>
      </c>
      <c r="BQ45" s="1">
        <v>196</v>
      </c>
      <c r="BR45" s="17">
        <v>1</v>
      </c>
      <c r="BS45" s="17" t="s">
        <v>240</v>
      </c>
      <c r="BT45" s="1" t="str">
        <f>IF(AQ45&gt;AQ$114, AQ45-AQ$114,"")</f>
        <v/>
      </c>
      <c r="BU45" s="1" t="str">
        <f>IF(AR45&gt;AR$114, AR45-AR$114,"")</f>
        <v/>
      </c>
      <c r="BV45" s="1" t="str">
        <f>IF(AS45&gt;AS$114, AS45-AS$114,"")</f>
        <v/>
      </c>
      <c r="BW45" s="1" t="str">
        <f>IF(AT45&gt;AT$114, AT45-AT$114,"")</f>
        <v/>
      </c>
      <c r="BX45" s="1" t="str">
        <f>IF(AU45&gt;AU$114, AU45-AU$114,"")</f>
        <v/>
      </c>
      <c r="BY45" s="1" t="str">
        <f>IF(AV45&gt;AV$114, AV45-AV$114,"")</f>
        <v/>
      </c>
      <c r="BZ45" s="1" t="str">
        <f>IF(AW45&gt;AW$114, AW45-AW$114,"")</f>
        <v/>
      </c>
      <c r="CA45" s="1" t="str">
        <f>IF(AX45&gt;AX$114, AX45-AX$114,"")</f>
        <v/>
      </c>
      <c r="CB45" s="1" t="str">
        <f>IF(AY45&gt;AY$114, AY45-AY$114,"")</f>
        <v/>
      </c>
      <c r="CC45" s="1" t="str">
        <f>IF(AZ45&gt;AZ$114, AZ45-AZ$114,"")</f>
        <v/>
      </c>
      <c r="CD45" s="1" t="str">
        <f>IF(BA45&gt;BA$114, BA45-BA$114,"")</f>
        <v/>
      </c>
      <c r="CE45" s="1" t="str">
        <f>IF(BB45&gt;BB$114, BB45-BB$114,"")</f>
        <v/>
      </c>
      <c r="CF45" s="1">
        <f>COUNTIF(BT45:CE45, "&gt;0")</f>
        <v>0</v>
      </c>
      <c r="CG45" s="1" t="str">
        <f>IF($CF45=1,BT45,"")</f>
        <v/>
      </c>
      <c r="CH45" s="1" t="str">
        <f>IF($CF45=1,BU45,"")</f>
        <v/>
      </c>
      <c r="CI45" s="1" t="str">
        <f>IF($CF45=1,BV45,"")</f>
        <v/>
      </c>
      <c r="CJ45" s="1" t="str">
        <f>IF($CF45=1,BW45,"")</f>
        <v/>
      </c>
      <c r="CK45" s="1" t="str">
        <f>IF($CF45=1,BX45,"")</f>
        <v/>
      </c>
      <c r="CL45" s="1" t="str">
        <f>IF($CF45=1,BY45,"")</f>
        <v/>
      </c>
      <c r="CM45" s="1" t="str">
        <f>IF($CF45=1,BZ45,"")</f>
        <v/>
      </c>
      <c r="CN45" s="1" t="str">
        <f>IF($CF45=1,CA45,"")</f>
        <v/>
      </c>
      <c r="CO45" s="1" t="str">
        <f>IF($CF45=1,CB45,"")</f>
        <v/>
      </c>
      <c r="CP45" s="1" t="str">
        <f>IF($CF45=1,CC45,"")</f>
        <v/>
      </c>
      <c r="CQ45" s="1" t="str">
        <f>IF($CF45=1,CD45,"")</f>
        <v/>
      </c>
      <c r="CR45" s="1" t="str">
        <f>IF($CF45=1,CE45,"")</f>
        <v/>
      </c>
      <c r="CS45" s="3">
        <f>SUM(AE45:BO45)</f>
        <v>200</v>
      </c>
    </row>
    <row r="46" spans="1:97" ht="27" x14ac:dyDescent="0.15">
      <c r="A46" s="1">
        <v>45</v>
      </c>
      <c r="B46" s="1" t="s">
        <v>88</v>
      </c>
      <c r="C46" s="1" t="s">
        <v>39</v>
      </c>
      <c r="D46" s="1" t="s">
        <v>10</v>
      </c>
      <c r="E46" s="6">
        <v>6</v>
      </c>
      <c r="F46" s="6"/>
      <c r="G46" s="6"/>
      <c r="H46" s="6"/>
      <c r="I46" s="6"/>
      <c r="J46" s="6"/>
      <c r="K46" s="6"/>
      <c r="L46" s="6"/>
      <c r="M46" s="6">
        <v>6</v>
      </c>
      <c r="N46" s="6"/>
      <c r="O46" s="6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>
        <v>10</v>
      </c>
      <c r="AR46" s="4"/>
      <c r="AS46" s="4"/>
      <c r="AT46" s="4"/>
      <c r="AU46" s="4"/>
      <c r="AV46" s="4"/>
      <c r="AW46" s="2"/>
      <c r="AX46" s="2"/>
      <c r="AY46" s="2"/>
      <c r="AZ46" s="2">
        <v>10</v>
      </c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>
        <f>SUM(E46:BO46)</f>
        <v>32</v>
      </c>
      <c r="BQ46" s="1">
        <v>5</v>
      </c>
      <c r="BR46" s="17">
        <v>2</v>
      </c>
      <c r="BS46" s="17" t="s">
        <v>241</v>
      </c>
      <c r="BT46" s="1" t="str">
        <f>IF(AQ46&gt;AQ$114, AQ46-AQ$114,"")</f>
        <v/>
      </c>
      <c r="BU46" s="1" t="str">
        <f>IF(AR46&gt;AR$114, AR46-AR$114,"")</f>
        <v/>
      </c>
      <c r="BV46" s="1" t="str">
        <f>IF(AS46&gt;AS$114, AS46-AS$114,"")</f>
        <v/>
      </c>
      <c r="BW46" s="1" t="str">
        <f>IF(AT46&gt;AT$114, AT46-AT$114,"")</f>
        <v/>
      </c>
      <c r="BX46" s="1" t="str">
        <f>IF(AU46&gt;AU$114, AU46-AU$114,"")</f>
        <v/>
      </c>
      <c r="BY46" s="1" t="str">
        <f>IF(AV46&gt;AV$114, AV46-AV$114,"")</f>
        <v/>
      </c>
      <c r="BZ46" s="1" t="str">
        <f>IF(AW46&gt;AW$114, AW46-AW$114,"")</f>
        <v/>
      </c>
      <c r="CA46" s="1" t="str">
        <f>IF(AX46&gt;AX$114, AX46-AX$114,"")</f>
        <v/>
      </c>
      <c r="CB46" s="1" t="str">
        <f>IF(AY46&gt;AY$114, AY46-AY$114,"")</f>
        <v/>
      </c>
      <c r="CC46" s="1" t="str">
        <f>IF(AZ46&gt;AZ$114, AZ46-AZ$114,"")</f>
        <v/>
      </c>
      <c r="CD46" s="1" t="str">
        <f>IF(BA46&gt;BA$114, BA46-BA$114,"")</f>
        <v/>
      </c>
      <c r="CE46" s="1" t="str">
        <f>IF(BB46&gt;BB$114, BB46-BB$114,"")</f>
        <v/>
      </c>
      <c r="CF46" s="1">
        <f>COUNTIF(BT46:CE46, "&gt;0")</f>
        <v>0</v>
      </c>
      <c r="CG46" s="1" t="str">
        <f>IF($CF46=1,BT46,"")</f>
        <v/>
      </c>
      <c r="CH46" s="1" t="str">
        <f>IF($CF46=1,BU46,"")</f>
        <v/>
      </c>
      <c r="CI46" s="1" t="str">
        <f>IF($CF46=1,BV46,"")</f>
        <v/>
      </c>
      <c r="CJ46" s="1" t="str">
        <f>IF($CF46=1,BW46,"")</f>
        <v/>
      </c>
      <c r="CK46" s="1" t="str">
        <f>IF($CF46=1,BX46,"")</f>
        <v/>
      </c>
      <c r="CL46" s="1" t="str">
        <f>IF($CF46=1,BY46,"")</f>
        <v/>
      </c>
      <c r="CM46" s="1" t="str">
        <f>IF($CF46=1,BZ46,"")</f>
        <v/>
      </c>
      <c r="CN46" s="1" t="str">
        <f>IF($CF46=1,CA46,"")</f>
        <v/>
      </c>
      <c r="CO46" s="1" t="str">
        <f>IF($CF46=1,CB46,"")</f>
        <v/>
      </c>
      <c r="CP46" s="1" t="str">
        <f>IF($CF46=1,CC46,"")</f>
        <v/>
      </c>
      <c r="CQ46" s="1" t="str">
        <f>IF($CF46=1,CD46,"")</f>
        <v/>
      </c>
      <c r="CR46" s="1" t="str">
        <f>IF($CF46=1,CE46,"")</f>
        <v/>
      </c>
      <c r="CS46" s="3">
        <f>SUM(AE46:BO46)</f>
        <v>20</v>
      </c>
    </row>
    <row r="47" spans="1:97" ht="27" x14ac:dyDescent="0.15">
      <c r="A47" s="1"/>
      <c r="B47" s="1" t="s">
        <v>100</v>
      </c>
      <c r="C47" s="1" t="s">
        <v>93</v>
      </c>
      <c r="D47" s="1" t="s">
        <v>90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>
        <v>5</v>
      </c>
      <c r="AP47" s="1">
        <v>1</v>
      </c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>
        <f>SUM(E47:BO47)</f>
        <v>6</v>
      </c>
      <c r="BQ47" s="1">
        <v>6</v>
      </c>
      <c r="BR47" s="17">
        <v>2</v>
      </c>
      <c r="BS47" s="17" t="s">
        <v>242</v>
      </c>
      <c r="BT47" s="1" t="str">
        <f>IF(AQ47&gt;AQ$114, AQ47-AQ$114,"")</f>
        <v/>
      </c>
      <c r="BU47" s="1" t="str">
        <f>IF(AR47&gt;AR$114, AR47-AR$114,"")</f>
        <v/>
      </c>
      <c r="BV47" s="1" t="str">
        <f>IF(AS47&gt;AS$114, AS47-AS$114,"")</f>
        <v/>
      </c>
      <c r="BW47" s="1" t="str">
        <f>IF(AT47&gt;AT$114, AT47-AT$114,"")</f>
        <v/>
      </c>
      <c r="BX47" s="1" t="str">
        <f>IF(AU47&gt;AU$114, AU47-AU$114,"")</f>
        <v/>
      </c>
      <c r="BY47" s="1" t="str">
        <f>IF(AV47&gt;AV$114, AV47-AV$114,"")</f>
        <v/>
      </c>
      <c r="BZ47" s="1" t="str">
        <f>IF(AW47&gt;AW$114, AW47-AW$114,"")</f>
        <v/>
      </c>
      <c r="CA47" s="1" t="str">
        <f>IF(AX47&gt;AX$114, AX47-AX$114,"")</f>
        <v/>
      </c>
      <c r="CB47" s="1" t="str">
        <f>IF(AY47&gt;AY$114, AY47-AY$114,"")</f>
        <v/>
      </c>
      <c r="CC47" s="1" t="str">
        <f>IF(AZ47&gt;AZ$114, AZ47-AZ$114,"")</f>
        <v/>
      </c>
      <c r="CD47" s="1" t="str">
        <f>IF(BA47&gt;BA$114, BA47-BA$114,"")</f>
        <v/>
      </c>
      <c r="CE47" s="1" t="str">
        <f>IF(BB47&gt;BB$114, BB47-BB$114,"")</f>
        <v/>
      </c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3"/>
    </row>
    <row r="48" spans="1:97" ht="27" x14ac:dyDescent="0.15">
      <c r="A48" s="1"/>
      <c r="B48" s="1" t="s">
        <v>192</v>
      </c>
      <c r="C48" s="1" t="s">
        <v>26</v>
      </c>
      <c r="D48" s="1" t="s">
        <v>20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>
        <v>5</v>
      </c>
      <c r="AP48" s="1">
        <v>1</v>
      </c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>
        <f>SUM(E48:BO48)</f>
        <v>6</v>
      </c>
      <c r="BQ48" s="1">
        <v>6</v>
      </c>
      <c r="BR48" s="17">
        <v>2</v>
      </c>
      <c r="BS48" s="17" t="s">
        <v>205</v>
      </c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3"/>
    </row>
    <row r="49" spans="1:97" ht="27" x14ac:dyDescent="0.15">
      <c r="A49" s="1"/>
      <c r="B49" s="1" t="s">
        <v>96</v>
      </c>
      <c r="C49" s="1" t="s">
        <v>93</v>
      </c>
      <c r="D49" s="1" t="s">
        <v>97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>
        <v>3</v>
      </c>
      <c r="AP49" s="1">
        <v>5</v>
      </c>
      <c r="AQ49" s="4"/>
      <c r="AR49" s="4"/>
      <c r="AS49" s="4"/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>
        <f>SUM(E49:BO49)</f>
        <v>8</v>
      </c>
      <c r="BQ49" s="1">
        <v>8</v>
      </c>
      <c r="BR49" s="17">
        <v>2</v>
      </c>
      <c r="BS49" s="17" t="s">
        <v>243</v>
      </c>
      <c r="BT49" s="1" t="str">
        <f>IF(AQ49&gt;AQ$114, AQ49-AQ$114,"")</f>
        <v/>
      </c>
      <c r="BU49" s="1" t="str">
        <f>IF(AR49&gt;AR$114, AR49-AR$114,"")</f>
        <v/>
      </c>
      <c r="BV49" s="1" t="str">
        <f>IF(AS49&gt;AS$114, AS49-AS$114,"")</f>
        <v/>
      </c>
      <c r="BW49" s="1" t="str">
        <f>IF(AT49&gt;AT$114, AT49-AT$114,"")</f>
        <v/>
      </c>
      <c r="BX49" s="1" t="str">
        <f>IF(AU49&gt;AU$114, AU49-AU$114,"")</f>
        <v/>
      </c>
      <c r="BY49" s="1" t="str">
        <f>IF(AV49&gt;AV$114, AV49-AV$114,"")</f>
        <v/>
      </c>
      <c r="BZ49" s="1" t="str">
        <f>IF(AW49&gt;AW$114, AW49-AW$114,"")</f>
        <v/>
      </c>
      <c r="CA49" s="1" t="str">
        <f>IF(AX49&gt;AX$114, AX49-AX$114,"")</f>
        <v/>
      </c>
      <c r="CB49" s="1" t="str">
        <f>IF(AY49&gt;AY$114, AY49-AY$114,"")</f>
        <v/>
      </c>
      <c r="CC49" s="1" t="str">
        <f>IF(AZ49&gt;AZ$114, AZ49-AZ$114,"")</f>
        <v/>
      </c>
      <c r="CD49" s="1" t="str">
        <f>IF(BA49&gt;BA$114, BA49-BA$114,"")</f>
        <v/>
      </c>
      <c r="CE49" s="1" t="str">
        <f>IF(BB49&gt;BB$114, BB49-BB$114,"")</f>
        <v/>
      </c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3"/>
    </row>
    <row r="50" spans="1:97" ht="27" x14ac:dyDescent="0.15">
      <c r="A50" s="1"/>
      <c r="B50" s="1" t="s">
        <v>118</v>
      </c>
      <c r="C50" s="1" t="s">
        <v>106</v>
      </c>
      <c r="D50" s="1" t="s">
        <v>108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28"/>
      <c r="Q50" s="28">
        <v>5</v>
      </c>
      <c r="R50" s="28">
        <v>2</v>
      </c>
      <c r="S50" s="28"/>
      <c r="T50" s="28">
        <v>5</v>
      </c>
      <c r="U50" s="28"/>
      <c r="V50" s="28"/>
      <c r="W50" s="28"/>
      <c r="X50" s="28"/>
      <c r="Y50" s="28"/>
      <c r="Z50" s="28">
        <v>5</v>
      </c>
      <c r="AA50" s="28"/>
      <c r="AB50" s="28"/>
      <c r="AC50" s="28"/>
      <c r="AD50" s="28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/>
      <c r="AT50" s="4"/>
      <c r="AU50" s="4"/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>
        <f>SUM(E50:BO50)</f>
        <v>17</v>
      </c>
      <c r="BQ50" s="1">
        <v>8</v>
      </c>
      <c r="BR50" s="17">
        <v>2</v>
      </c>
      <c r="BS50" s="17" t="s">
        <v>208</v>
      </c>
      <c r="BT50" s="1" t="str">
        <f>IF(AQ50&gt;AQ$114, AQ50-AQ$114,"")</f>
        <v/>
      </c>
      <c r="BU50" s="1" t="str">
        <f>IF(AR50&gt;AR$114, AR50-AR$114,"")</f>
        <v/>
      </c>
      <c r="BV50" s="1" t="str">
        <f>IF(AS50&gt;AS$114, AS50-AS$114,"")</f>
        <v/>
      </c>
      <c r="BW50" s="1" t="str">
        <f>IF(AT50&gt;AT$114, AT50-AT$114,"")</f>
        <v/>
      </c>
      <c r="BX50" s="1" t="str">
        <f>IF(AU50&gt;AU$114, AU50-AU$114,"")</f>
        <v/>
      </c>
      <c r="BY50" s="1" t="str">
        <f>IF(AV50&gt;AV$114, AV50-AV$114,"")</f>
        <v/>
      </c>
      <c r="BZ50" s="1" t="str">
        <f>IF(AW50&gt;AW$114, AW50-AW$114,"")</f>
        <v/>
      </c>
      <c r="CA50" s="1" t="str">
        <f>IF(AX50&gt;AX$114, AX50-AX$114,"")</f>
        <v/>
      </c>
      <c r="CB50" s="1" t="str">
        <f>IF(AY50&gt;AY$114, AY50-AY$114,"")</f>
        <v/>
      </c>
      <c r="CC50" s="1" t="str">
        <f>IF(AZ50&gt;AZ$114, AZ50-AZ$114,"")</f>
        <v/>
      </c>
      <c r="CD50" s="1" t="str">
        <f>IF(BA50&gt;BA$114, BA50-BA$114,"")</f>
        <v/>
      </c>
      <c r="CE50" s="1" t="str">
        <f>IF(BB50&gt;BB$114, BB50-BB$114,"")</f>
        <v/>
      </c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3"/>
    </row>
    <row r="51" spans="1:97" ht="27" x14ac:dyDescent="0.15">
      <c r="A51" s="1"/>
      <c r="B51" s="1" t="s">
        <v>123</v>
      </c>
      <c r="C51" s="1" t="s">
        <v>106</v>
      </c>
      <c r="D51" s="1" t="s">
        <v>108</v>
      </c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28"/>
      <c r="Q51" s="28">
        <v>5</v>
      </c>
      <c r="R51" s="28">
        <v>2</v>
      </c>
      <c r="S51" s="28"/>
      <c r="T51" s="28">
        <v>5</v>
      </c>
      <c r="U51" s="28"/>
      <c r="V51" s="28"/>
      <c r="W51" s="28"/>
      <c r="X51" s="28"/>
      <c r="Y51" s="28"/>
      <c r="Z51" s="28">
        <v>5</v>
      </c>
      <c r="AA51" s="28"/>
      <c r="AB51" s="28"/>
      <c r="AC51" s="28"/>
      <c r="AD51" s="28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/>
      <c r="AT51" s="4"/>
      <c r="AU51" s="4"/>
      <c r="AV51" s="4"/>
      <c r="AW51" s="2"/>
      <c r="AX51" s="2"/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>
        <f>SUM(E51:BO51)</f>
        <v>17</v>
      </c>
      <c r="BQ51" s="1">
        <v>8</v>
      </c>
      <c r="BR51" s="17">
        <v>2</v>
      </c>
      <c r="BS51" s="17" t="s">
        <v>208</v>
      </c>
      <c r="BT51" s="1" t="str">
        <f>IF(AQ51&gt;AQ$114, AQ51-AQ$114,"")</f>
        <v/>
      </c>
      <c r="BU51" s="1" t="str">
        <f>IF(AR51&gt;AR$114, AR51-AR$114,"")</f>
        <v/>
      </c>
      <c r="BV51" s="1" t="str">
        <f>IF(AS51&gt;AS$114, AS51-AS$114,"")</f>
        <v/>
      </c>
      <c r="BW51" s="1" t="str">
        <f>IF(AT51&gt;AT$114, AT51-AT$114,"")</f>
        <v/>
      </c>
      <c r="BX51" s="1" t="str">
        <f>IF(AU51&gt;AU$114, AU51-AU$114,"")</f>
        <v/>
      </c>
      <c r="BY51" s="1" t="str">
        <f>IF(AV51&gt;AV$114, AV51-AV$114,"")</f>
        <v/>
      </c>
      <c r="BZ51" s="1" t="str">
        <f>IF(AW51&gt;AW$114, AW51-AW$114,"")</f>
        <v/>
      </c>
      <c r="CA51" s="1" t="str">
        <f>IF(AX51&gt;AX$114, AX51-AX$114,"")</f>
        <v/>
      </c>
      <c r="CB51" s="1" t="str">
        <f>IF(AY51&gt;AY$114, AY51-AY$114,"")</f>
        <v/>
      </c>
      <c r="CC51" s="1" t="str">
        <f>IF(AZ51&gt;AZ$114, AZ51-AZ$114,"")</f>
        <v/>
      </c>
      <c r="CD51" s="1" t="str">
        <f>IF(BA51&gt;BA$114, BA51-BA$114,"")</f>
        <v/>
      </c>
      <c r="CE51" s="1" t="str">
        <f>IF(BB51&gt;BB$114, BB51-BB$114,"")</f>
        <v/>
      </c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3"/>
    </row>
    <row r="52" spans="1:97" ht="27" x14ac:dyDescent="0.15">
      <c r="A52" s="1"/>
      <c r="B52" s="1" t="s">
        <v>131</v>
      </c>
      <c r="C52" s="1" t="s">
        <v>129</v>
      </c>
      <c r="D52" s="1" t="s">
        <v>108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28"/>
      <c r="Q52" s="28">
        <v>5</v>
      </c>
      <c r="R52" s="28">
        <v>2</v>
      </c>
      <c r="S52" s="28"/>
      <c r="T52" s="28">
        <v>5</v>
      </c>
      <c r="U52" s="28"/>
      <c r="V52" s="28"/>
      <c r="W52" s="28"/>
      <c r="X52" s="28"/>
      <c r="Y52" s="28"/>
      <c r="Z52" s="28">
        <v>5</v>
      </c>
      <c r="AA52" s="28"/>
      <c r="AB52" s="28"/>
      <c r="AC52" s="28"/>
      <c r="AD52" s="28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/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>
        <f>SUM(E52:BO52)</f>
        <v>17</v>
      </c>
      <c r="BQ52" s="1">
        <v>8</v>
      </c>
      <c r="BR52" s="17">
        <v>2</v>
      </c>
      <c r="BS52" s="17" t="s">
        <v>208</v>
      </c>
      <c r="BT52" s="1" t="str">
        <f>IF(AQ52&gt;AQ$114, AQ52-AQ$114,"")</f>
        <v/>
      </c>
      <c r="BU52" s="1" t="str">
        <f>IF(AR52&gt;AR$114, AR52-AR$114,"")</f>
        <v/>
      </c>
      <c r="BV52" s="1" t="str">
        <f>IF(AS52&gt;AS$114, AS52-AS$114,"")</f>
        <v/>
      </c>
      <c r="BW52" s="1" t="str">
        <f>IF(AT52&gt;AT$114, AT52-AT$114,"")</f>
        <v/>
      </c>
      <c r="BX52" s="1" t="str">
        <f>IF(AU52&gt;AU$114, AU52-AU$114,"")</f>
        <v/>
      </c>
      <c r="BY52" s="1" t="str">
        <f>IF(AV52&gt;AV$114, AV52-AV$114,"")</f>
        <v/>
      </c>
      <c r="BZ52" s="1" t="str">
        <f>IF(AW52&gt;AW$114, AW52-AW$114,"")</f>
        <v/>
      </c>
      <c r="CA52" s="1" t="str">
        <f>IF(AX52&gt;AX$114, AX52-AX$114,"")</f>
        <v/>
      </c>
      <c r="CB52" s="1" t="str">
        <f>IF(AY52&gt;AY$114, AY52-AY$114,"")</f>
        <v/>
      </c>
      <c r="CC52" s="1" t="str">
        <f>IF(AZ52&gt;AZ$114, AZ52-AZ$114,"")</f>
        <v/>
      </c>
      <c r="CD52" s="1" t="str">
        <f>IF(BA52&gt;BA$114, BA52-BA$114,"")</f>
        <v/>
      </c>
      <c r="CE52" s="1" t="str">
        <f>IF(BB52&gt;BB$114, BB52-BB$114,"")</f>
        <v/>
      </c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3"/>
    </row>
    <row r="53" spans="1:97" s="48" customFormat="1" ht="27" x14ac:dyDescent="0.15">
      <c r="A53" s="1"/>
      <c r="B53" s="1" t="s">
        <v>133</v>
      </c>
      <c r="C53" s="1" t="s">
        <v>134</v>
      </c>
      <c r="D53" s="1" t="s">
        <v>108</v>
      </c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28"/>
      <c r="Q53" s="28">
        <v>5</v>
      </c>
      <c r="R53" s="28"/>
      <c r="S53" s="28"/>
      <c r="T53" s="28">
        <v>5</v>
      </c>
      <c r="U53" s="28"/>
      <c r="V53" s="28"/>
      <c r="W53" s="28"/>
      <c r="X53" s="28">
        <v>2</v>
      </c>
      <c r="Y53" s="28"/>
      <c r="Z53" s="28">
        <v>5</v>
      </c>
      <c r="AA53" s="28"/>
      <c r="AB53" s="28"/>
      <c r="AC53" s="28"/>
      <c r="AD53" s="28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/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>
        <f>SUM(E53:BO53)</f>
        <v>17</v>
      </c>
      <c r="BQ53" s="1">
        <v>8</v>
      </c>
      <c r="BR53" s="17">
        <v>2</v>
      </c>
      <c r="BS53" s="17" t="s">
        <v>244</v>
      </c>
      <c r="BT53" s="1" t="str">
        <f>IF(AQ53&gt;AQ$114, AQ53-AQ$114,"")</f>
        <v/>
      </c>
      <c r="BU53" s="1" t="str">
        <f>IF(AR53&gt;AR$114, AR53-AR$114,"")</f>
        <v/>
      </c>
      <c r="BV53" s="1" t="str">
        <f>IF(AS53&gt;AS$114, AS53-AS$114,"")</f>
        <v/>
      </c>
      <c r="BW53" s="1" t="str">
        <f>IF(AT53&gt;AT$114, AT53-AT$114,"")</f>
        <v/>
      </c>
      <c r="BX53" s="1" t="str">
        <f>IF(AU53&gt;AU$114, AU53-AU$114,"")</f>
        <v/>
      </c>
      <c r="BY53" s="1" t="str">
        <f>IF(AV53&gt;AV$114, AV53-AV$114,"")</f>
        <v/>
      </c>
      <c r="BZ53" s="1" t="str">
        <f>IF(AW53&gt;AW$114, AW53-AW$114,"")</f>
        <v/>
      </c>
      <c r="CA53" s="1" t="str">
        <f>IF(AX53&gt;AX$114, AX53-AX$114,"")</f>
        <v/>
      </c>
      <c r="CB53" s="1" t="str">
        <f>IF(AY53&gt;AY$114, AY53-AY$114,"")</f>
        <v/>
      </c>
      <c r="CC53" s="1" t="str">
        <f>IF(AZ53&gt;AZ$114, AZ53-AZ$114,"")</f>
        <v/>
      </c>
      <c r="CD53" s="1" t="str">
        <f>IF(BA53&gt;BA$114, BA53-BA$114,"")</f>
        <v/>
      </c>
      <c r="CE53" s="1" t="str">
        <f>IF(BB53&gt;BB$114, BB53-BB$114,"")</f>
        <v/>
      </c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3"/>
    </row>
    <row r="54" spans="1:97" ht="27" x14ac:dyDescent="0.15">
      <c r="A54" s="1">
        <v>27</v>
      </c>
      <c r="B54" s="1" t="s">
        <v>62</v>
      </c>
      <c r="C54" s="1" t="s">
        <v>26</v>
      </c>
      <c r="D54" s="1" t="s">
        <v>19</v>
      </c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1"/>
      <c r="AF54" s="1"/>
      <c r="AG54" s="1"/>
      <c r="AH54" s="1">
        <v>5</v>
      </c>
      <c r="AI54" s="1">
        <v>5</v>
      </c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/>
      <c r="AU54" s="4"/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>
        <f>SUM(E54:BO54)</f>
        <v>10</v>
      </c>
      <c r="BQ54" s="1">
        <v>10</v>
      </c>
      <c r="BR54" s="17">
        <v>2</v>
      </c>
      <c r="BS54" s="17" t="s">
        <v>209</v>
      </c>
      <c r="BT54" s="1" t="str">
        <f>IF(AQ54&gt;AQ$114, AQ54-AQ$114,"")</f>
        <v/>
      </c>
      <c r="BU54" s="1" t="str">
        <f>IF(AR54&gt;AR$114, AR54-AR$114,"")</f>
        <v/>
      </c>
      <c r="BV54" s="1" t="str">
        <f>IF(AS54&gt;AS$114, AS54-AS$114,"")</f>
        <v/>
      </c>
      <c r="BW54" s="1" t="str">
        <f>IF(AT54&gt;AT$114, AT54-AT$114,"")</f>
        <v/>
      </c>
      <c r="BX54" s="1" t="str">
        <f>IF(AU54&gt;AU$114, AU54-AU$114,"")</f>
        <v/>
      </c>
      <c r="BY54" s="1" t="str">
        <f>IF(AV54&gt;AV$114, AV54-AV$114,"")</f>
        <v/>
      </c>
      <c r="BZ54" s="1" t="str">
        <f>IF(AW54&gt;AW$114, AW54-AW$114,"")</f>
        <v/>
      </c>
      <c r="CA54" s="1" t="str">
        <f>IF(AX54&gt;AX$114, AX54-AX$114,"")</f>
        <v/>
      </c>
      <c r="CB54" s="1" t="str">
        <f>IF(AY54&gt;AY$114, AY54-AY$114,"")</f>
        <v/>
      </c>
      <c r="CC54" s="1" t="str">
        <f>IF(AZ54&gt;AZ$114, AZ54-AZ$114,"")</f>
        <v/>
      </c>
      <c r="CD54" s="1" t="str">
        <f>IF(BA54&gt;BA$114, BA54-BA$114,"")</f>
        <v/>
      </c>
      <c r="CE54" s="1" t="str">
        <f>IF(BB54&gt;BB$114, BB54-BB$114,"")</f>
        <v/>
      </c>
      <c r="CF54" s="1">
        <f>COUNTIF(BT54:CE54, "&gt;0")</f>
        <v>0</v>
      </c>
      <c r="CG54" s="1" t="str">
        <f>IF($CF54=1,BT54,"")</f>
        <v/>
      </c>
      <c r="CH54" s="1" t="str">
        <f>IF($CF54=1,BU54,"")</f>
        <v/>
      </c>
      <c r="CI54" s="1" t="str">
        <f>IF($CF54=1,BV54,"")</f>
        <v/>
      </c>
      <c r="CJ54" s="1" t="str">
        <f>IF($CF54=1,BW54,"")</f>
        <v/>
      </c>
      <c r="CK54" s="1" t="str">
        <f>IF($CF54=1,BX54,"")</f>
        <v/>
      </c>
      <c r="CL54" s="1" t="str">
        <f>IF($CF54=1,BY54,"")</f>
        <v/>
      </c>
      <c r="CM54" s="1" t="str">
        <f>IF($CF54=1,BZ54,"")</f>
        <v/>
      </c>
      <c r="CN54" s="1" t="str">
        <f>IF($CF54=1,CA54,"")</f>
        <v/>
      </c>
      <c r="CO54" s="1" t="str">
        <f>IF($CF54=1,CB54,"")</f>
        <v/>
      </c>
      <c r="CP54" s="1" t="str">
        <f>IF($CF54=1,CC54,"")</f>
        <v/>
      </c>
      <c r="CQ54" s="1" t="str">
        <f>IF($CF54=1,CD54,"")</f>
        <v/>
      </c>
      <c r="CR54" s="1" t="str">
        <f>IF($CF54=1,CE54,"")</f>
        <v/>
      </c>
      <c r="CS54" s="3">
        <f>SUM(AE54:BO54)</f>
        <v>10</v>
      </c>
    </row>
    <row r="55" spans="1:97" ht="27" x14ac:dyDescent="0.15">
      <c r="A55" s="1">
        <v>88</v>
      </c>
      <c r="B55" s="3" t="s">
        <v>67</v>
      </c>
      <c r="C55" s="3" t="s">
        <v>68</v>
      </c>
      <c r="D55" s="1" t="s">
        <v>19</v>
      </c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1"/>
      <c r="AF55" s="1"/>
      <c r="AG55" s="1"/>
      <c r="AH55" s="1">
        <v>5</v>
      </c>
      <c r="AI55" s="1">
        <v>5</v>
      </c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/>
      <c r="AU55" s="4"/>
      <c r="AV55" s="4"/>
      <c r="AW55" s="2"/>
      <c r="AX55" s="2"/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>
        <f>SUM(E55:BO55)</f>
        <v>10</v>
      </c>
      <c r="BQ55" s="1">
        <v>10</v>
      </c>
      <c r="BR55" s="17">
        <v>2</v>
      </c>
      <c r="BS55" s="17" t="s">
        <v>209</v>
      </c>
      <c r="BT55" s="1" t="str">
        <f>IF(AQ55&gt;AQ$114, AQ55-AQ$114,"")</f>
        <v/>
      </c>
      <c r="BU55" s="1" t="str">
        <f>IF(AR55&gt;AR$114, AR55-AR$114,"")</f>
        <v/>
      </c>
      <c r="BV55" s="1" t="str">
        <f>IF(AS55&gt;AS$114, AS55-AS$114,"")</f>
        <v/>
      </c>
      <c r="BW55" s="1" t="str">
        <f>IF(AT55&gt;AT$114, AT55-AT$114,"")</f>
        <v/>
      </c>
      <c r="BX55" s="1" t="str">
        <f>IF(AU55&gt;AU$114, AU55-AU$114,"")</f>
        <v/>
      </c>
      <c r="BY55" s="1" t="str">
        <f>IF(AV55&gt;AV$114, AV55-AV$114,"")</f>
        <v/>
      </c>
      <c r="BZ55" s="1" t="str">
        <f>IF(AW55&gt;AW$114, AW55-AW$114,"")</f>
        <v/>
      </c>
      <c r="CA55" s="1" t="str">
        <f>IF(AX55&gt;AX$114, AX55-AX$114,"")</f>
        <v/>
      </c>
      <c r="CB55" s="1" t="str">
        <f>IF(AY55&gt;AY$114, AY55-AY$114,"")</f>
        <v/>
      </c>
      <c r="CC55" s="1" t="str">
        <f>IF(AZ55&gt;AZ$114, AZ55-AZ$114,"")</f>
        <v/>
      </c>
      <c r="CD55" s="1" t="str">
        <f>IF(BA55&gt;BA$114, BA55-BA$114,"")</f>
        <v/>
      </c>
      <c r="CE55" s="1" t="str">
        <f>IF(BB55&gt;BB$114, BB55-BB$114,"")</f>
        <v/>
      </c>
      <c r="CF55" s="1">
        <f>COUNTIF(BT55:CE55, "&gt;0")</f>
        <v>0</v>
      </c>
      <c r="CG55" s="1" t="str">
        <f>IF($CF55=1,BT55,"")</f>
        <v/>
      </c>
      <c r="CH55" s="1" t="str">
        <f>IF($CF55=1,BU55,"")</f>
        <v/>
      </c>
      <c r="CI55" s="1" t="str">
        <f>IF($CF55=1,BV55,"")</f>
        <v/>
      </c>
      <c r="CJ55" s="1" t="str">
        <f>IF($CF55=1,BW55,"")</f>
        <v/>
      </c>
      <c r="CK55" s="1" t="str">
        <f>IF($CF55=1,BX55,"")</f>
        <v/>
      </c>
      <c r="CL55" s="1" t="str">
        <f>IF($CF55=1,BY55,"")</f>
        <v/>
      </c>
      <c r="CM55" s="1" t="str">
        <f>IF($CF55=1,BZ55,"")</f>
        <v/>
      </c>
      <c r="CN55" s="1" t="str">
        <f>IF($CF55=1,CA55,"")</f>
        <v/>
      </c>
      <c r="CO55" s="1" t="str">
        <f>IF($CF55=1,CB55,"")</f>
        <v/>
      </c>
      <c r="CP55" s="1" t="str">
        <f>IF($CF55=1,CC55,"")</f>
        <v/>
      </c>
      <c r="CQ55" s="1" t="str">
        <f>IF($CF55=1,CD55,"")</f>
        <v/>
      </c>
      <c r="CR55" s="1" t="str">
        <f>IF($CF55=1,CE55,"")</f>
        <v/>
      </c>
      <c r="CS55" s="3">
        <f>SUM(AE55:BO55)</f>
        <v>10</v>
      </c>
    </row>
    <row r="56" spans="1:97" ht="27" x14ac:dyDescent="0.15">
      <c r="A56" s="1"/>
      <c r="B56" s="1" t="s">
        <v>137</v>
      </c>
      <c r="C56" s="1" t="s">
        <v>136</v>
      </c>
      <c r="D56" s="1" t="s">
        <v>109</v>
      </c>
      <c r="E56" s="6"/>
      <c r="F56" s="6"/>
      <c r="G56" s="6">
        <v>10</v>
      </c>
      <c r="H56" s="6"/>
      <c r="I56" s="6"/>
      <c r="J56" s="6"/>
      <c r="K56" s="6"/>
      <c r="L56" s="6"/>
      <c r="M56" s="6"/>
      <c r="N56" s="6"/>
      <c r="O56" s="6"/>
      <c r="P56" s="28"/>
      <c r="Q56" s="28"/>
      <c r="R56" s="28"/>
      <c r="S56" s="28"/>
      <c r="T56" s="28"/>
      <c r="U56" s="28"/>
      <c r="V56" s="28"/>
      <c r="W56" s="28"/>
      <c r="X56" s="28">
        <v>10</v>
      </c>
      <c r="Y56" s="28"/>
      <c r="Z56" s="28"/>
      <c r="AA56" s="28"/>
      <c r="AB56" s="28"/>
      <c r="AC56" s="28"/>
      <c r="AD56" s="28">
        <v>10</v>
      </c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/>
      <c r="AV56" s="4">
        <v>10</v>
      </c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>
        <f>SUM(E56:BO56)</f>
        <v>40</v>
      </c>
      <c r="BQ56" s="1">
        <v>10</v>
      </c>
      <c r="BR56" s="17">
        <v>2</v>
      </c>
      <c r="BS56" s="17" t="s">
        <v>245</v>
      </c>
      <c r="BT56" s="1" t="str">
        <f>IF(AQ56&gt;AQ$114, AQ56-AQ$114,"")</f>
        <v/>
      </c>
      <c r="BU56" s="1" t="str">
        <f>IF(AR56&gt;AR$114, AR56-AR$114,"")</f>
        <v/>
      </c>
      <c r="BV56" s="1" t="str">
        <f>IF(AS56&gt;AS$114, AS56-AS$114,"")</f>
        <v/>
      </c>
      <c r="BW56" s="1" t="str">
        <f>IF(AT56&gt;AT$114, AT56-AT$114,"")</f>
        <v/>
      </c>
      <c r="BX56" s="1" t="str">
        <f>IF(AU56&gt;AU$114, AU56-AU$114,"")</f>
        <v/>
      </c>
      <c r="BY56" s="1" t="str">
        <f>IF(AV56&gt;AV$114, AV56-AV$114,"")</f>
        <v/>
      </c>
      <c r="BZ56" s="1" t="str">
        <f>IF(AW56&gt;AW$114, AW56-AW$114,"")</f>
        <v/>
      </c>
      <c r="CA56" s="1" t="str">
        <f>IF(AX56&gt;AX$114, AX56-AX$114,"")</f>
        <v/>
      </c>
      <c r="CB56" s="1" t="str">
        <f>IF(AY56&gt;AY$114, AY56-AY$114,"")</f>
        <v/>
      </c>
      <c r="CC56" s="1" t="str">
        <f>IF(AZ56&gt;AZ$114, AZ56-AZ$114,"")</f>
        <v/>
      </c>
      <c r="CD56" s="1" t="str">
        <f>IF(BA56&gt;BA$114, BA56-BA$114,"")</f>
        <v/>
      </c>
      <c r="CE56" s="1" t="str">
        <f>IF(BB56&gt;BB$114, BB56-BB$114,"")</f>
        <v/>
      </c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3"/>
    </row>
    <row r="57" spans="1:97" ht="27" x14ac:dyDescent="0.15">
      <c r="A57" s="1"/>
      <c r="B57" s="1" t="s">
        <v>143</v>
      </c>
      <c r="C57" s="1" t="s">
        <v>104</v>
      </c>
      <c r="D57" s="1" t="s">
        <v>146</v>
      </c>
      <c r="E57" s="6"/>
      <c r="F57" s="6"/>
      <c r="G57" s="6">
        <v>10</v>
      </c>
      <c r="H57" s="6"/>
      <c r="I57" s="6"/>
      <c r="J57" s="6"/>
      <c r="K57" s="6"/>
      <c r="L57" s="6"/>
      <c r="M57" s="6"/>
      <c r="N57" s="6"/>
      <c r="O57" s="6"/>
      <c r="P57" s="28"/>
      <c r="Q57" s="28"/>
      <c r="R57" s="28"/>
      <c r="S57" s="28"/>
      <c r="T57" s="28"/>
      <c r="U57" s="28"/>
      <c r="V57" s="28"/>
      <c r="W57" s="28"/>
      <c r="X57" s="28">
        <v>10</v>
      </c>
      <c r="Y57" s="28"/>
      <c r="Z57" s="28"/>
      <c r="AA57" s="28"/>
      <c r="AB57" s="28"/>
      <c r="AC57" s="28"/>
      <c r="AD57" s="28">
        <v>10</v>
      </c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>
        <v>10</v>
      </c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>
        <f>SUM(E57:BO57)</f>
        <v>40</v>
      </c>
      <c r="BQ57" s="1">
        <v>10</v>
      </c>
      <c r="BR57" s="17">
        <v>2</v>
      </c>
      <c r="BS57" s="17" t="s">
        <v>246</v>
      </c>
      <c r="BT57" s="1" t="str">
        <f>IF(AQ57&gt;AQ$114, AQ57-AQ$114,"")</f>
        <v/>
      </c>
      <c r="BU57" s="1" t="str">
        <f>IF(AR57&gt;AR$114, AR57-AR$114,"")</f>
        <v/>
      </c>
      <c r="BV57" s="1" t="str">
        <f>IF(AS57&gt;AS$114, AS57-AS$114,"")</f>
        <v/>
      </c>
      <c r="BW57" s="1" t="str">
        <f>IF(AT57&gt;AT$114, AT57-AT$114,"")</f>
        <v/>
      </c>
      <c r="BX57" s="1" t="str">
        <f>IF(AU57&gt;AU$114, AU57-AU$114,"")</f>
        <v/>
      </c>
      <c r="BY57" s="1" t="str">
        <f>IF(AV57&gt;AV$114, AV57-AV$114,"")</f>
        <v/>
      </c>
      <c r="BZ57" s="1" t="str">
        <f>IF(AW57&gt;AW$114, AW57-AW$114,"")</f>
        <v/>
      </c>
      <c r="CA57" s="1" t="str">
        <f>IF(AX57&gt;AX$114, AX57-AX$114,"")</f>
        <v/>
      </c>
      <c r="CB57" s="1" t="str">
        <f>IF(AY57&gt;AY$114, AY57-AY$114,"")</f>
        <v/>
      </c>
      <c r="CC57" s="1" t="str">
        <f>IF(AZ57&gt;AZ$114, AZ57-AZ$114,"")</f>
        <v/>
      </c>
      <c r="CD57" s="1" t="str">
        <f>IF(BA57&gt;BA$114, BA57-BA$114,"")</f>
        <v/>
      </c>
      <c r="CE57" s="1" t="str">
        <f>IF(BB57&gt;BB$114, BB57-BB$114,"")</f>
        <v/>
      </c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3"/>
    </row>
    <row r="58" spans="1:97" s="48" customFormat="1" ht="27" x14ac:dyDescent="0.15">
      <c r="A58" s="1"/>
      <c r="B58" s="1" t="s">
        <v>195</v>
      </c>
      <c r="C58" s="1" t="s">
        <v>1</v>
      </c>
      <c r="D58" s="1" t="s">
        <v>194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>
        <v>10</v>
      </c>
      <c r="AS58" s="4"/>
      <c r="AT58" s="4"/>
      <c r="AU58" s="4"/>
      <c r="AV58" s="4"/>
      <c r="AW58" s="2"/>
      <c r="AX58" s="2"/>
      <c r="AY58" s="2"/>
      <c r="AZ58" s="2">
        <v>10</v>
      </c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>
        <f>SUM(E58:BO58)</f>
        <v>20</v>
      </c>
      <c r="BQ58" s="1">
        <v>11</v>
      </c>
      <c r="BR58" s="17">
        <v>2</v>
      </c>
      <c r="BS58" s="17" t="s">
        <v>221</v>
      </c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3"/>
    </row>
    <row r="59" spans="1:97" ht="27" x14ac:dyDescent="0.15">
      <c r="A59" s="1"/>
      <c r="B59" s="1" t="s">
        <v>149</v>
      </c>
      <c r="C59" s="1" t="s">
        <v>106</v>
      </c>
      <c r="D59" s="1" t="s">
        <v>109</v>
      </c>
      <c r="E59" s="6"/>
      <c r="F59" s="6"/>
      <c r="G59" s="6"/>
      <c r="H59" s="6"/>
      <c r="I59" s="6">
        <v>10</v>
      </c>
      <c r="J59" s="6"/>
      <c r="K59" s="6"/>
      <c r="L59" s="6"/>
      <c r="M59" s="6"/>
      <c r="N59" s="6"/>
      <c r="O59" s="6"/>
      <c r="P59" s="28"/>
      <c r="Q59" s="28"/>
      <c r="R59" s="28">
        <v>10</v>
      </c>
      <c r="S59" s="28"/>
      <c r="T59" s="28"/>
      <c r="U59" s="28"/>
      <c r="V59" s="28"/>
      <c r="W59" s="28"/>
      <c r="X59" s="28">
        <v>10</v>
      </c>
      <c r="Y59" s="28"/>
      <c r="Z59" s="28"/>
      <c r="AA59" s="28"/>
      <c r="AB59" s="28"/>
      <c r="AC59" s="28"/>
      <c r="AD59" s="28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>
        <v>10</v>
      </c>
      <c r="AU59" s="4"/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>
        <f>SUM(E59:BO59)</f>
        <v>40</v>
      </c>
      <c r="BQ59" s="1">
        <v>12</v>
      </c>
      <c r="BR59" s="17">
        <v>2</v>
      </c>
      <c r="BS59" s="17" t="s">
        <v>211</v>
      </c>
      <c r="BT59" s="1" t="str">
        <f>IF(AQ59&gt;AQ$114, AQ59-AQ$114,"")</f>
        <v/>
      </c>
      <c r="BU59" s="1" t="str">
        <f>IF(AR59&gt;AR$114, AR59-AR$114,"")</f>
        <v/>
      </c>
      <c r="BV59" s="1" t="str">
        <f>IF(AS59&gt;AS$114, AS59-AS$114,"")</f>
        <v/>
      </c>
      <c r="BW59" s="1" t="str">
        <f>IF(AT59&gt;AT$114, AT59-AT$114,"")</f>
        <v/>
      </c>
      <c r="BX59" s="1" t="str">
        <f>IF(AU59&gt;AU$114, AU59-AU$114,"")</f>
        <v/>
      </c>
      <c r="BY59" s="1" t="str">
        <f>IF(AV59&gt;AV$114, AV59-AV$114,"")</f>
        <v/>
      </c>
      <c r="BZ59" s="1" t="str">
        <f>IF(AW59&gt;AW$114, AW59-AW$114,"")</f>
        <v/>
      </c>
      <c r="CA59" s="1" t="str">
        <f>IF(AX59&gt;AX$114, AX59-AX$114,"")</f>
        <v/>
      </c>
      <c r="CB59" s="1" t="str">
        <f>IF(AY59&gt;AY$114, AY59-AY$114,"")</f>
        <v/>
      </c>
      <c r="CC59" s="1" t="str">
        <f>IF(AZ59&gt;AZ$114, AZ59-AZ$114,"")</f>
        <v/>
      </c>
      <c r="CD59" s="1" t="str">
        <f>IF(BA59&gt;BA$114, BA59-BA$114,"")</f>
        <v/>
      </c>
      <c r="CE59" s="1" t="str">
        <f>IF(BB59&gt;BB$114, BB59-BB$114,"")</f>
        <v/>
      </c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3"/>
    </row>
    <row r="60" spans="1:97" ht="27" x14ac:dyDescent="0.15">
      <c r="A60" s="1"/>
      <c r="B60" s="1" t="s">
        <v>118</v>
      </c>
      <c r="C60" s="1" t="s">
        <v>106</v>
      </c>
      <c r="D60" s="1" t="s">
        <v>109</v>
      </c>
      <c r="E60" s="6"/>
      <c r="F60" s="6"/>
      <c r="G60" s="6"/>
      <c r="H60" s="6"/>
      <c r="I60" s="6"/>
      <c r="J60" s="6"/>
      <c r="K60" s="6"/>
      <c r="L60" s="6"/>
      <c r="M60" s="6"/>
      <c r="N60" s="6"/>
      <c r="O60" s="6">
        <v>10</v>
      </c>
      <c r="P60" s="28"/>
      <c r="Q60" s="28"/>
      <c r="R60" s="28">
        <v>10</v>
      </c>
      <c r="S60" s="28"/>
      <c r="T60" s="28"/>
      <c r="U60" s="28"/>
      <c r="V60" s="28"/>
      <c r="W60" s="28"/>
      <c r="X60" s="28">
        <v>10</v>
      </c>
      <c r="Y60" s="28"/>
      <c r="Z60" s="28"/>
      <c r="AA60" s="28"/>
      <c r="AB60" s="28"/>
      <c r="AC60" s="28"/>
      <c r="AD60" s="28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>
        <v>10</v>
      </c>
      <c r="AT60" s="4"/>
      <c r="AU60" s="4"/>
      <c r="AV60" s="4"/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>
        <f>SUM(E60:BO60)</f>
        <v>40</v>
      </c>
      <c r="BQ60" s="1">
        <v>12</v>
      </c>
      <c r="BR60" s="17">
        <v>2</v>
      </c>
      <c r="BS60" s="17" t="s">
        <v>247</v>
      </c>
      <c r="BT60" s="1" t="str">
        <f>IF(AQ60&gt;AQ$114, AQ60-AQ$114,"")</f>
        <v/>
      </c>
      <c r="BU60" s="1" t="str">
        <f>IF(AR60&gt;AR$114, AR60-AR$114,"")</f>
        <v/>
      </c>
      <c r="BV60" s="1" t="str">
        <f>IF(AS60&gt;AS$114, AS60-AS$114,"")</f>
        <v/>
      </c>
      <c r="BW60" s="1" t="str">
        <f>IF(AT60&gt;AT$114, AT60-AT$114,"")</f>
        <v/>
      </c>
      <c r="BX60" s="1" t="str">
        <f>IF(AU60&gt;AU$114, AU60-AU$114,"")</f>
        <v/>
      </c>
      <c r="BY60" s="1" t="str">
        <f>IF(AV60&gt;AV$114, AV60-AV$114,"")</f>
        <v/>
      </c>
      <c r="BZ60" s="1" t="str">
        <f>IF(AW60&gt;AW$114, AW60-AW$114,"")</f>
        <v/>
      </c>
      <c r="CA60" s="1" t="str">
        <f>IF(AX60&gt;AX$114, AX60-AX$114,"")</f>
        <v/>
      </c>
      <c r="CB60" s="1" t="str">
        <f>IF(AY60&gt;AY$114, AY60-AY$114,"")</f>
        <v/>
      </c>
      <c r="CC60" s="1" t="str">
        <f>IF(AZ60&gt;AZ$114, AZ60-AZ$114,"")</f>
        <v/>
      </c>
      <c r="CD60" s="1" t="str">
        <f>IF(BA60&gt;BA$114, BA60-BA$114,"")</f>
        <v/>
      </c>
      <c r="CE60" s="1" t="str">
        <f>IF(BB60&gt;BB$114, BB60-BB$114,"")</f>
        <v/>
      </c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3"/>
    </row>
    <row r="61" spans="1:97" ht="27" x14ac:dyDescent="0.15">
      <c r="A61" s="1"/>
      <c r="B61" s="1" t="s">
        <v>163</v>
      </c>
      <c r="C61" s="1" t="s">
        <v>129</v>
      </c>
      <c r="D61" s="1" t="s">
        <v>108</v>
      </c>
      <c r="E61" s="6">
        <v>15</v>
      </c>
      <c r="F61" s="6"/>
      <c r="G61" s="6"/>
      <c r="H61" s="6"/>
      <c r="I61" s="6"/>
      <c r="J61" s="6"/>
      <c r="K61" s="6"/>
      <c r="L61" s="6"/>
      <c r="M61" s="6">
        <v>15</v>
      </c>
      <c r="N61" s="6"/>
      <c r="O61" s="6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/>
      <c r="AW61" s="2">
        <v>15</v>
      </c>
      <c r="AX61" s="2"/>
      <c r="AY61" s="2"/>
      <c r="AZ61" s="2"/>
      <c r="BA61" s="2">
        <v>15</v>
      </c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>
        <f>SUM(E61:BO61)</f>
        <v>60</v>
      </c>
      <c r="BQ61" s="1">
        <v>13</v>
      </c>
      <c r="BR61" s="17">
        <v>2</v>
      </c>
      <c r="BS61" s="17" t="s">
        <v>231</v>
      </c>
      <c r="BT61" s="1" t="str">
        <f>IF(AQ61&gt;AQ$114, AQ61-AQ$114,"")</f>
        <v/>
      </c>
      <c r="BU61" s="1" t="str">
        <f>IF(AR61&gt;AR$114, AR61-AR$114,"")</f>
        <v/>
      </c>
      <c r="BV61" s="1" t="str">
        <f>IF(AS61&gt;AS$114, AS61-AS$114,"")</f>
        <v/>
      </c>
      <c r="BW61" s="1" t="str">
        <f>IF(AT61&gt;AT$114, AT61-AT$114,"")</f>
        <v/>
      </c>
      <c r="BX61" s="1" t="str">
        <f>IF(AU61&gt;AU$114, AU61-AU$114,"")</f>
        <v/>
      </c>
      <c r="BY61" s="1" t="str">
        <f>IF(AV61&gt;AV$114, AV61-AV$114,"")</f>
        <v/>
      </c>
      <c r="BZ61" s="1" t="str">
        <f>IF(AW61&gt;AW$114, AW61-AW$114,"")</f>
        <v/>
      </c>
      <c r="CA61" s="1" t="str">
        <f>IF(AX61&gt;AX$114, AX61-AX$114,"")</f>
        <v/>
      </c>
      <c r="CB61" s="1" t="str">
        <f>IF(AY61&gt;AY$114, AY61-AY$114,"")</f>
        <v/>
      </c>
      <c r="CC61" s="1" t="str">
        <f>IF(AZ61&gt;AZ$114, AZ61-AZ$114,"")</f>
        <v/>
      </c>
      <c r="CD61" s="1" t="str">
        <f>IF(BA61&gt;BA$114, BA61-BA$114,"")</f>
        <v/>
      </c>
      <c r="CE61" s="1" t="str">
        <f>IF(BB61&gt;BB$114, BB61-BB$114,"")</f>
        <v/>
      </c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3"/>
    </row>
    <row r="62" spans="1:97" ht="27" x14ac:dyDescent="0.15">
      <c r="A62" s="1"/>
      <c r="B62" s="1" t="s">
        <v>147</v>
      </c>
      <c r="C62" s="1" t="s">
        <v>89</v>
      </c>
      <c r="D62" s="1" t="s">
        <v>91</v>
      </c>
      <c r="E62" s="6">
        <v>10</v>
      </c>
      <c r="F62" s="6"/>
      <c r="G62" s="6">
        <v>10</v>
      </c>
      <c r="H62" s="6"/>
      <c r="I62" s="6"/>
      <c r="J62" s="6"/>
      <c r="K62" s="6"/>
      <c r="L62" s="6"/>
      <c r="M62" s="6"/>
      <c r="N62" s="6"/>
      <c r="O62" s="6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>
        <v>15</v>
      </c>
      <c r="AU62" s="4"/>
      <c r="AV62" s="4"/>
      <c r="AW62" s="2"/>
      <c r="AX62" s="2"/>
      <c r="AY62" s="2"/>
      <c r="AZ62" s="2">
        <v>15</v>
      </c>
      <c r="BA62" s="2">
        <v>15</v>
      </c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>
        <f>SUM(E62:BO62)</f>
        <v>65</v>
      </c>
      <c r="BQ62" s="1">
        <v>15</v>
      </c>
      <c r="BR62" s="17">
        <v>2</v>
      </c>
      <c r="BS62" s="17" t="s">
        <v>236</v>
      </c>
      <c r="BT62" s="1" t="str">
        <f>IF(AQ62&gt;AQ$114, AQ62-AQ$114,"")</f>
        <v/>
      </c>
      <c r="BU62" s="1" t="str">
        <f>IF(AR62&gt;AR$114, AR62-AR$114,"")</f>
        <v/>
      </c>
      <c r="BV62" s="1" t="str">
        <f>IF(AS62&gt;AS$114, AS62-AS$114,"")</f>
        <v/>
      </c>
      <c r="BW62" s="1" t="str">
        <f>IF(AT62&gt;AT$114, AT62-AT$114,"")</f>
        <v/>
      </c>
      <c r="BX62" s="1" t="str">
        <f>IF(AU62&gt;AU$114, AU62-AU$114,"")</f>
        <v/>
      </c>
      <c r="BY62" s="1" t="str">
        <f>IF(AV62&gt;AV$114, AV62-AV$114,"")</f>
        <v/>
      </c>
      <c r="BZ62" s="1" t="str">
        <f>IF(AW62&gt;AW$114, AW62-AW$114,"")</f>
        <v/>
      </c>
      <c r="CA62" s="1" t="str">
        <f>IF(AX62&gt;AX$114, AX62-AX$114,"")</f>
        <v/>
      </c>
      <c r="CB62" s="1" t="str">
        <f>IF(AY62&gt;AY$114, AY62-AY$114,"")</f>
        <v/>
      </c>
      <c r="CC62" s="1" t="str">
        <f>IF(AZ62&gt;AZ$114, AZ62-AZ$114,"")</f>
        <v/>
      </c>
      <c r="CD62" s="1" t="str">
        <f>IF(BA62&gt;BA$114, BA62-BA$114,"")</f>
        <v/>
      </c>
      <c r="CE62" s="1" t="str">
        <f>IF(BB62&gt;BB$114, BB62-BB$114,"")</f>
        <v/>
      </c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3"/>
    </row>
    <row r="63" spans="1:97" ht="27" x14ac:dyDescent="0.15">
      <c r="A63" s="1"/>
      <c r="B63" s="1" t="s">
        <v>96</v>
      </c>
      <c r="C63" s="1" t="s">
        <v>93</v>
      </c>
      <c r="D63" s="1" t="s">
        <v>90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>
        <v>5</v>
      </c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>
        <v>5</v>
      </c>
      <c r="AP63" s="1">
        <v>10</v>
      </c>
      <c r="AQ63" s="4"/>
      <c r="AR63" s="4"/>
      <c r="AS63" s="4"/>
      <c r="AT63" s="4"/>
      <c r="AU63" s="4"/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>
        <f>SUM(E63:BO63)</f>
        <v>20</v>
      </c>
      <c r="BQ63" s="1">
        <v>15</v>
      </c>
      <c r="BR63" s="17">
        <v>2</v>
      </c>
      <c r="BS63" s="17" t="s">
        <v>249</v>
      </c>
      <c r="BT63" s="1" t="str">
        <f>IF(AQ63&gt;AQ$114, AQ63-AQ$114,"")</f>
        <v/>
      </c>
      <c r="BU63" s="1" t="str">
        <f>IF(AR63&gt;AR$114, AR63-AR$114,"")</f>
        <v/>
      </c>
      <c r="BV63" s="1" t="str">
        <f>IF(AS63&gt;AS$114, AS63-AS$114,"")</f>
        <v/>
      </c>
      <c r="BW63" s="1" t="str">
        <f>IF(AT63&gt;AT$114, AT63-AT$114,"")</f>
        <v/>
      </c>
      <c r="BX63" s="1" t="str">
        <f>IF(AU63&gt;AU$114, AU63-AU$114,"")</f>
        <v/>
      </c>
      <c r="BY63" s="1" t="str">
        <f>IF(AV63&gt;AV$114, AV63-AV$114,"")</f>
        <v/>
      </c>
      <c r="BZ63" s="1" t="str">
        <f>IF(AW63&gt;AW$114, AW63-AW$114,"")</f>
        <v/>
      </c>
      <c r="CA63" s="1" t="str">
        <f>IF(AX63&gt;AX$114, AX63-AX$114,"")</f>
        <v/>
      </c>
      <c r="CB63" s="1" t="str">
        <f>IF(AY63&gt;AY$114, AY63-AY$114,"")</f>
        <v/>
      </c>
      <c r="CC63" s="1" t="str">
        <f>IF(AZ63&gt;AZ$114, AZ63-AZ$114,"")</f>
        <v/>
      </c>
      <c r="CD63" s="1" t="str">
        <f>IF(BA63&gt;BA$114, BA63-BA$114,"")</f>
        <v/>
      </c>
      <c r="CE63" s="1" t="str">
        <f>IF(BB63&gt;BB$114, BB63-BB$114,"")</f>
        <v/>
      </c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3"/>
    </row>
    <row r="64" spans="1:97" ht="27" x14ac:dyDescent="0.15">
      <c r="A64" s="1"/>
      <c r="B64" s="1" t="s">
        <v>124</v>
      </c>
      <c r="C64" s="1" t="s">
        <v>125</v>
      </c>
      <c r="D64" s="1" t="s">
        <v>109</v>
      </c>
      <c r="E64" s="6">
        <v>10</v>
      </c>
      <c r="F64" s="6"/>
      <c r="G64" s="6"/>
      <c r="H64" s="6"/>
      <c r="I64" s="6"/>
      <c r="J64" s="6"/>
      <c r="K64" s="6"/>
      <c r="L64" s="6"/>
      <c r="M64" s="6"/>
      <c r="N64" s="6"/>
      <c r="O64" s="6"/>
      <c r="P64" s="28"/>
      <c r="Q64" s="28"/>
      <c r="R64" s="28">
        <v>10</v>
      </c>
      <c r="S64" s="28"/>
      <c r="T64" s="28"/>
      <c r="U64" s="28">
        <v>10</v>
      </c>
      <c r="V64" s="28"/>
      <c r="W64" s="28"/>
      <c r="X64" s="28"/>
      <c r="Y64" s="28"/>
      <c r="Z64" s="28"/>
      <c r="AA64" s="28"/>
      <c r="AB64" s="28"/>
      <c r="AC64" s="28"/>
      <c r="AD64" s="28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>
        <v>10</v>
      </c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>
        <f>SUM(E64:BO64)</f>
        <v>40</v>
      </c>
      <c r="BQ64" s="1">
        <v>18</v>
      </c>
      <c r="BR64" s="17">
        <v>2</v>
      </c>
      <c r="BS64" s="17" t="s">
        <v>250</v>
      </c>
      <c r="BT64" s="1" t="str">
        <f>IF(AQ64&gt;AQ$114, AQ64-AQ$114,"")</f>
        <v/>
      </c>
      <c r="BU64" s="1" t="str">
        <f>IF(AR64&gt;AR$114, AR64-AR$114,"")</f>
        <v/>
      </c>
      <c r="BV64" s="1" t="str">
        <f>IF(AS64&gt;AS$114, AS64-AS$114,"")</f>
        <v/>
      </c>
      <c r="BW64" s="1" t="str">
        <f>IF(AT64&gt;AT$114, AT64-AT$114,"")</f>
        <v/>
      </c>
      <c r="BX64" s="1" t="str">
        <f>IF(AU64&gt;AU$114, AU64-AU$114,"")</f>
        <v/>
      </c>
      <c r="BY64" s="1" t="str">
        <f>IF(AV64&gt;AV$114, AV64-AV$114,"")</f>
        <v/>
      </c>
      <c r="BZ64" s="1" t="str">
        <f>IF(AW64&gt;AW$114, AW64-AW$114,"")</f>
        <v/>
      </c>
      <c r="CA64" s="1" t="str">
        <f>IF(AX64&gt;AX$114, AX64-AX$114,"")</f>
        <v/>
      </c>
      <c r="CB64" s="1" t="str">
        <f>IF(AY64&gt;AY$114, AY64-AY$114,"")</f>
        <v/>
      </c>
      <c r="CC64" s="1" t="str">
        <f>IF(AZ64&gt;AZ$114, AZ64-AZ$114,"")</f>
        <v/>
      </c>
      <c r="CD64" s="1" t="str">
        <f>IF(BA64&gt;BA$114, BA64-BA$114,"")</f>
        <v/>
      </c>
      <c r="CE64" s="1" t="str">
        <f>IF(BB64&gt;BB$114, BB64-BB$114,"")</f>
        <v/>
      </c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3"/>
    </row>
    <row r="65" spans="1:97" ht="27" x14ac:dyDescent="0.15">
      <c r="A65" s="1"/>
      <c r="B65" s="1" t="s">
        <v>130</v>
      </c>
      <c r="C65" s="1" t="s">
        <v>129</v>
      </c>
      <c r="D65" s="1" t="s">
        <v>109</v>
      </c>
      <c r="E65" s="6">
        <v>10</v>
      </c>
      <c r="F65" s="6"/>
      <c r="G65" s="6"/>
      <c r="H65" s="6"/>
      <c r="I65" s="6"/>
      <c r="J65" s="6"/>
      <c r="K65" s="6"/>
      <c r="L65" s="6"/>
      <c r="M65" s="6"/>
      <c r="N65" s="6"/>
      <c r="O65" s="6"/>
      <c r="P65" s="28"/>
      <c r="Q65" s="28"/>
      <c r="R65" s="28">
        <v>10</v>
      </c>
      <c r="S65" s="28"/>
      <c r="T65" s="28"/>
      <c r="U65" s="28">
        <v>10</v>
      </c>
      <c r="V65" s="28"/>
      <c r="W65" s="28"/>
      <c r="X65" s="28"/>
      <c r="Y65" s="28"/>
      <c r="Z65" s="28"/>
      <c r="AA65" s="28"/>
      <c r="AB65" s="28"/>
      <c r="AC65" s="28"/>
      <c r="AD65" s="28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/>
      <c r="AU65" s="4">
        <v>10</v>
      </c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>
        <f>SUM(E65:BO65)</f>
        <v>40</v>
      </c>
      <c r="BQ65" s="1">
        <v>18</v>
      </c>
      <c r="BR65" s="17">
        <v>2</v>
      </c>
      <c r="BS65" s="17" t="s">
        <v>251</v>
      </c>
      <c r="BT65" s="1" t="str">
        <f>IF(AQ65&gt;AQ$114, AQ65-AQ$114,"")</f>
        <v/>
      </c>
      <c r="BU65" s="1" t="str">
        <f>IF(AR65&gt;AR$114, AR65-AR$114,"")</f>
        <v/>
      </c>
      <c r="BV65" s="1" t="str">
        <f>IF(AS65&gt;AS$114, AS65-AS$114,"")</f>
        <v/>
      </c>
      <c r="BW65" s="1" t="str">
        <f>IF(AT65&gt;AT$114, AT65-AT$114,"")</f>
        <v/>
      </c>
      <c r="BX65" s="1" t="str">
        <f>IF(AU65&gt;AU$114, AU65-AU$114,"")</f>
        <v/>
      </c>
      <c r="BY65" s="1" t="str">
        <f>IF(AV65&gt;AV$114, AV65-AV$114,"")</f>
        <v/>
      </c>
      <c r="BZ65" s="1" t="str">
        <f>IF(AW65&gt;AW$114, AW65-AW$114,"")</f>
        <v/>
      </c>
      <c r="CA65" s="1" t="str">
        <f>IF(AX65&gt;AX$114, AX65-AX$114,"")</f>
        <v/>
      </c>
      <c r="CB65" s="1" t="str">
        <f>IF(AY65&gt;AY$114, AY65-AY$114,"")</f>
        <v/>
      </c>
      <c r="CC65" s="1" t="str">
        <f>IF(AZ65&gt;AZ$114, AZ65-AZ$114,"")</f>
        <v/>
      </c>
      <c r="CD65" s="1" t="str">
        <f>IF(BA65&gt;BA$114, BA65-BA$114,"")</f>
        <v/>
      </c>
      <c r="CE65" s="1" t="str">
        <f>IF(BB65&gt;BB$114, BB65-BB$114,"")</f>
        <v/>
      </c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3"/>
    </row>
    <row r="66" spans="1:97" ht="27" x14ac:dyDescent="0.15">
      <c r="A66" s="50"/>
      <c r="B66" s="50" t="s">
        <v>140</v>
      </c>
      <c r="C66" s="50" t="s">
        <v>136</v>
      </c>
      <c r="D66" s="50" t="s">
        <v>109</v>
      </c>
      <c r="E66" s="51">
        <v>10</v>
      </c>
      <c r="F66" s="51"/>
      <c r="G66" s="51"/>
      <c r="H66" s="51"/>
      <c r="I66" s="51"/>
      <c r="J66" s="51"/>
      <c r="K66" s="51"/>
      <c r="L66" s="51"/>
      <c r="M66" s="51"/>
      <c r="N66" s="51"/>
      <c r="O66" s="51"/>
      <c r="P66" s="52"/>
      <c r="Q66" s="52"/>
      <c r="R66" s="52">
        <v>10</v>
      </c>
      <c r="S66" s="52"/>
      <c r="T66" s="52"/>
      <c r="U66" s="52">
        <v>10</v>
      </c>
      <c r="V66" s="52"/>
      <c r="W66" s="52"/>
      <c r="X66" s="52"/>
      <c r="Y66" s="52"/>
      <c r="Z66" s="52"/>
      <c r="AA66" s="52"/>
      <c r="AB66" s="52"/>
      <c r="AC66" s="52"/>
      <c r="AD66" s="52"/>
      <c r="AE66" s="50"/>
      <c r="AF66" s="50"/>
      <c r="AG66" s="50"/>
      <c r="AH66" s="50"/>
      <c r="AI66" s="50"/>
      <c r="AJ66" s="50"/>
      <c r="AK66" s="50"/>
      <c r="AL66" s="50"/>
      <c r="AM66" s="50"/>
      <c r="AN66" s="50"/>
      <c r="AO66" s="50"/>
      <c r="AP66" s="50"/>
      <c r="AQ66" s="53"/>
      <c r="AR66" s="53"/>
      <c r="AS66" s="53"/>
      <c r="AT66" s="53"/>
      <c r="AU66" s="53">
        <v>10</v>
      </c>
      <c r="AV66" s="53"/>
      <c r="AW66" s="54"/>
      <c r="AX66" s="54"/>
      <c r="AY66" s="54"/>
      <c r="AZ66" s="54"/>
      <c r="BA66" s="54"/>
      <c r="BB66" s="54"/>
      <c r="BC66" s="55"/>
      <c r="BD66" s="50"/>
      <c r="BE66" s="50"/>
      <c r="BF66" s="50"/>
      <c r="BG66" s="50"/>
      <c r="BH66" s="50"/>
      <c r="BI66" s="50"/>
      <c r="BJ66" s="50"/>
      <c r="BK66" s="50"/>
      <c r="BL66" s="50"/>
      <c r="BM66" s="50"/>
      <c r="BN66" s="50"/>
      <c r="BO66" s="50"/>
      <c r="BP66" s="50">
        <f>SUM(E66:BO66)</f>
        <v>40</v>
      </c>
      <c r="BQ66" s="50">
        <v>18</v>
      </c>
      <c r="BR66" s="56">
        <v>2</v>
      </c>
      <c r="BS66" s="56" t="s">
        <v>250</v>
      </c>
      <c r="BT66" s="50" t="str">
        <f>IF(AQ66&gt;AQ$114, AQ66-AQ$114,"")</f>
        <v/>
      </c>
      <c r="BU66" s="50" t="str">
        <f>IF(AR66&gt;AR$114, AR66-AR$114,"")</f>
        <v/>
      </c>
      <c r="BV66" s="50" t="str">
        <f>IF(AS66&gt;AS$114, AS66-AS$114,"")</f>
        <v/>
      </c>
      <c r="BW66" s="50" t="str">
        <f>IF(AT66&gt;AT$114, AT66-AT$114,"")</f>
        <v/>
      </c>
      <c r="BX66" s="50" t="str">
        <f>IF(AU66&gt;AU$114, AU66-AU$114,"")</f>
        <v/>
      </c>
      <c r="BY66" s="50" t="str">
        <f>IF(AV66&gt;AV$114, AV66-AV$114,"")</f>
        <v/>
      </c>
      <c r="BZ66" s="50" t="str">
        <f>IF(AW66&gt;AW$114, AW66-AW$114,"")</f>
        <v/>
      </c>
      <c r="CA66" s="50" t="str">
        <f>IF(AX66&gt;AX$114, AX66-AX$114,"")</f>
        <v/>
      </c>
      <c r="CB66" s="50" t="str">
        <f>IF(AY66&gt;AY$114, AY66-AY$114,"")</f>
        <v/>
      </c>
      <c r="CC66" s="50" t="str">
        <f>IF(AZ66&gt;AZ$114, AZ66-AZ$114,"")</f>
        <v/>
      </c>
      <c r="CD66" s="50" t="str">
        <f>IF(BA66&gt;BA$114, BA66-BA$114,"")</f>
        <v/>
      </c>
      <c r="CE66" s="50" t="str">
        <f>IF(BB66&gt;BB$114, BB66-BB$114,"")</f>
        <v/>
      </c>
      <c r="CF66" s="50"/>
      <c r="CG66" s="50"/>
      <c r="CH66" s="50"/>
      <c r="CI66" s="50"/>
      <c r="CJ66" s="50"/>
      <c r="CK66" s="50"/>
      <c r="CL66" s="50"/>
      <c r="CM66" s="50"/>
      <c r="CN66" s="50"/>
      <c r="CO66" s="50"/>
      <c r="CP66" s="50"/>
      <c r="CQ66" s="50"/>
      <c r="CR66" s="50"/>
      <c r="CS66" s="57"/>
    </row>
    <row r="67" spans="1:97" ht="27" x14ac:dyDescent="0.15">
      <c r="A67" s="1"/>
      <c r="B67" s="1" t="s">
        <v>138</v>
      </c>
      <c r="C67" s="1" t="s">
        <v>136</v>
      </c>
      <c r="D67" s="1" t="s">
        <v>109</v>
      </c>
      <c r="E67" s="6"/>
      <c r="F67" s="6"/>
      <c r="G67" s="6"/>
      <c r="H67" s="6">
        <v>10</v>
      </c>
      <c r="I67" s="6"/>
      <c r="J67" s="6"/>
      <c r="K67" s="6"/>
      <c r="L67" s="6"/>
      <c r="M67" s="6"/>
      <c r="N67" s="6"/>
      <c r="O67" s="6"/>
      <c r="P67" s="28"/>
      <c r="Q67" s="28"/>
      <c r="R67" s="28">
        <v>10</v>
      </c>
      <c r="S67" s="28"/>
      <c r="T67" s="28"/>
      <c r="U67" s="28">
        <v>10</v>
      </c>
      <c r="V67" s="28"/>
      <c r="W67" s="28"/>
      <c r="X67" s="28"/>
      <c r="Y67" s="28"/>
      <c r="Z67" s="28"/>
      <c r="AA67" s="28"/>
      <c r="AB67" s="28"/>
      <c r="AC67" s="28"/>
      <c r="AD67" s="28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>
        <v>10</v>
      </c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>
        <f>SUM(E67:BO67)</f>
        <v>40</v>
      </c>
      <c r="BQ67" s="1">
        <v>18</v>
      </c>
      <c r="BR67" s="17">
        <v>2</v>
      </c>
      <c r="BS67" s="17" t="s">
        <v>251</v>
      </c>
      <c r="BT67" s="1" t="str">
        <f>IF(AQ67&gt;AQ$114, AQ67-AQ$114,"")</f>
        <v/>
      </c>
      <c r="BU67" s="1" t="str">
        <f>IF(AR67&gt;AR$114, AR67-AR$114,"")</f>
        <v/>
      </c>
      <c r="BV67" s="1" t="str">
        <f>IF(AS67&gt;AS$114, AS67-AS$114,"")</f>
        <v/>
      </c>
      <c r="BW67" s="1" t="str">
        <f>IF(AT67&gt;AT$114, AT67-AT$114,"")</f>
        <v/>
      </c>
      <c r="BX67" s="1" t="str">
        <f>IF(AU67&gt;AU$114, AU67-AU$114,"")</f>
        <v/>
      </c>
      <c r="BY67" s="1" t="str">
        <f>IF(AV67&gt;AV$114, AV67-AV$114,"")</f>
        <v/>
      </c>
      <c r="BZ67" s="1" t="str">
        <f>IF(AW67&gt;AW$114, AW67-AW$114,"")</f>
        <v/>
      </c>
      <c r="CA67" s="1" t="str">
        <f>IF(AX67&gt;AX$114, AX67-AX$114,"")</f>
        <v/>
      </c>
      <c r="CB67" s="1" t="str">
        <f>IF(AY67&gt;AY$114, AY67-AY$114,"")</f>
        <v/>
      </c>
      <c r="CC67" s="1" t="str">
        <f>IF(AZ67&gt;AZ$114, AZ67-AZ$114,"")</f>
        <v/>
      </c>
      <c r="CD67" s="1" t="str">
        <f>IF(BA67&gt;BA$114, BA67-BA$114,"")</f>
        <v/>
      </c>
      <c r="CE67" s="1" t="str">
        <f>IF(BB67&gt;BB$114, BB67-BB$114,"")</f>
        <v/>
      </c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3"/>
    </row>
    <row r="68" spans="1:97" ht="27" x14ac:dyDescent="0.15">
      <c r="A68" s="1"/>
      <c r="B68" s="1" t="s">
        <v>166</v>
      </c>
      <c r="C68" s="1" t="s">
        <v>104</v>
      </c>
      <c r="D68" s="1" t="s">
        <v>90</v>
      </c>
      <c r="E68" s="6"/>
      <c r="F68" s="6"/>
      <c r="G68" s="6">
        <v>20</v>
      </c>
      <c r="H68" s="6">
        <v>20</v>
      </c>
      <c r="I68" s="6"/>
      <c r="J68" s="6"/>
      <c r="K68" s="6"/>
      <c r="L68" s="6"/>
      <c r="M68" s="6"/>
      <c r="N68" s="6"/>
      <c r="O68" s="6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/>
      <c r="AV68" s="4"/>
      <c r="AW68" s="2"/>
      <c r="AX68" s="2"/>
      <c r="AY68" s="2"/>
      <c r="AZ68" s="2"/>
      <c r="BA68" s="2">
        <v>20</v>
      </c>
      <c r="BB68" s="2">
        <v>20</v>
      </c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>
        <f>SUM(E68:BO68)</f>
        <v>80</v>
      </c>
      <c r="BQ68" s="1">
        <v>19</v>
      </c>
      <c r="BR68" s="17">
        <v>2</v>
      </c>
      <c r="BS68" s="17" t="s">
        <v>230</v>
      </c>
      <c r="BT68" s="1" t="str">
        <f>IF(AQ68&gt;AQ$114, AQ68-AQ$114,"")</f>
        <v/>
      </c>
      <c r="BU68" s="1" t="str">
        <f>IF(AR68&gt;AR$114, AR68-AR$114,"")</f>
        <v/>
      </c>
      <c r="BV68" s="1" t="str">
        <f>IF(AS68&gt;AS$114, AS68-AS$114,"")</f>
        <v/>
      </c>
      <c r="BW68" s="1" t="str">
        <f>IF(AT68&gt;AT$114, AT68-AT$114,"")</f>
        <v/>
      </c>
      <c r="BX68" s="1" t="str">
        <f>IF(AU68&gt;AU$114, AU68-AU$114,"")</f>
        <v/>
      </c>
      <c r="BY68" s="1" t="str">
        <f>IF(AV68&gt;AV$114, AV68-AV$114,"")</f>
        <v/>
      </c>
      <c r="BZ68" s="1" t="str">
        <f>IF(AW68&gt;AW$114, AW68-AW$114,"")</f>
        <v/>
      </c>
      <c r="CA68" s="1" t="str">
        <f>IF(AX68&gt;AX$114, AX68-AX$114,"")</f>
        <v/>
      </c>
      <c r="CB68" s="1" t="str">
        <f>IF(AY68&gt;AY$114, AY68-AY$114,"")</f>
        <v/>
      </c>
      <c r="CC68" s="1" t="str">
        <f>IF(AZ68&gt;AZ$114, AZ68-AZ$114,"")</f>
        <v/>
      </c>
      <c r="CD68" s="1" t="str">
        <f>IF(BA68&gt;BA$114, BA68-BA$114,"")</f>
        <v/>
      </c>
      <c r="CE68" s="1" t="str">
        <f>IF(BB68&gt;BB$114, BB68-BB$114,"")</f>
        <v/>
      </c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3"/>
    </row>
    <row r="69" spans="1:97" s="58" customFormat="1" ht="27" x14ac:dyDescent="0.15">
      <c r="A69" s="1"/>
      <c r="B69" s="1" t="s">
        <v>96</v>
      </c>
      <c r="C69" s="1" t="s">
        <v>93</v>
      </c>
      <c r="D69" s="1" t="s">
        <v>91</v>
      </c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>
        <v>10</v>
      </c>
      <c r="AP69" s="1">
        <v>10</v>
      </c>
      <c r="AQ69" s="4"/>
      <c r="AR69" s="4"/>
      <c r="AS69" s="4">
        <v>5</v>
      </c>
      <c r="AT69" s="4"/>
      <c r="AU69" s="4"/>
      <c r="AV69" s="4"/>
      <c r="AW69" s="2"/>
      <c r="AX69" s="2">
        <v>5</v>
      </c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>
        <f>SUM(E69:BO69)</f>
        <v>30</v>
      </c>
      <c r="BQ69" s="1">
        <v>20</v>
      </c>
      <c r="BR69" s="17">
        <v>2</v>
      </c>
      <c r="BS69" s="17" t="s">
        <v>252</v>
      </c>
      <c r="BT69" s="1" t="str">
        <f>IF(AQ69&gt;AQ$114, AQ69-AQ$114,"")</f>
        <v/>
      </c>
      <c r="BU69" s="1" t="str">
        <f>IF(AR69&gt;AR$114, AR69-AR$114,"")</f>
        <v/>
      </c>
      <c r="BV69" s="1" t="str">
        <f>IF(AS69&gt;AS$114, AS69-AS$114,"")</f>
        <v/>
      </c>
      <c r="BW69" s="1" t="str">
        <f>IF(AT69&gt;AT$114, AT69-AT$114,"")</f>
        <v/>
      </c>
      <c r="BX69" s="1" t="str">
        <f>IF(AU69&gt;AU$114, AU69-AU$114,"")</f>
        <v/>
      </c>
      <c r="BY69" s="1" t="str">
        <f>IF(AV69&gt;AV$114, AV69-AV$114,"")</f>
        <v/>
      </c>
      <c r="BZ69" s="1" t="str">
        <f>IF(AW69&gt;AW$114, AW69-AW$114,"")</f>
        <v/>
      </c>
      <c r="CA69" s="1" t="str">
        <f>IF(AX69&gt;AX$114, AX69-AX$114,"")</f>
        <v/>
      </c>
      <c r="CB69" s="1" t="str">
        <f>IF(AY69&gt;AY$114, AY69-AY$114,"")</f>
        <v/>
      </c>
      <c r="CC69" s="1" t="str">
        <f>IF(AZ69&gt;AZ$114, AZ69-AZ$114,"")</f>
        <v/>
      </c>
      <c r="CD69" s="1" t="str">
        <f>IF(BA69&gt;BA$114, BA69-BA$114,"")</f>
        <v/>
      </c>
      <c r="CE69" s="1" t="str">
        <f>IF(BB69&gt;BB$114, BB69-BB$114,"")</f>
        <v/>
      </c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3"/>
    </row>
    <row r="70" spans="1:97" ht="27" x14ac:dyDescent="0.15">
      <c r="A70" s="18">
        <v>65</v>
      </c>
      <c r="B70" s="24" t="s">
        <v>52</v>
      </c>
      <c r="C70" s="18" t="s">
        <v>47</v>
      </c>
      <c r="D70" s="18" t="s">
        <v>10</v>
      </c>
      <c r="E70" s="19"/>
      <c r="F70" s="19"/>
      <c r="G70" s="19">
        <v>10</v>
      </c>
      <c r="H70" s="19"/>
      <c r="I70" s="19"/>
      <c r="J70" s="19"/>
      <c r="K70" s="19"/>
      <c r="L70" s="19"/>
      <c r="M70" s="19"/>
      <c r="N70" s="19"/>
      <c r="O70" s="1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18"/>
      <c r="AF70" s="18"/>
      <c r="AG70" s="18"/>
      <c r="AH70" s="18"/>
      <c r="AI70" s="18"/>
      <c r="AJ70" s="18"/>
      <c r="AK70" s="18"/>
      <c r="AL70" s="18"/>
      <c r="AM70" s="18"/>
      <c r="AN70" s="18">
        <v>25</v>
      </c>
      <c r="AO70" s="18"/>
      <c r="AP70" s="18"/>
      <c r="AQ70" s="20"/>
      <c r="AR70" s="20"/>
      <c r="AS70" s="20"/>
      <c r="AT70" s="20"/>
      <c r="AU70" s="20"/>
      <c r="AV70" s="20">
        <v>10</v>
      </c>
      <c r="AW70" s="21"/>
      <c r="AX70" s="21"/>
      <c r="AY70" s="21"/>
      <c r="AZ70" s="21">
        <v>10</v>
      </c>
      <c r="BA70" s="21"/>
      <c r="BB70" s="21"/>
      <c r="BC70" s="26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/>
      <c r="BP70" s="18">
        <f>SUM(E70:BO70)</f>
        <v>55</v>
      </c>
      <c r="BQ70" s="18">
        <v>26</v>
      </c>
      <c r="BR70" s="22">
        <v>2</v>
      </c>
      <c r="BS70" s="22" t="s">
        <v>206</v>
      </c>
      <c r="BT70" s="18" t="str">
        <f>IF(AQ70&gt;AQ$114, AQ70-AQ$114,"")</f>
        <v/>
      </c>
      <c r="BU70" s="18" t="str">
        <f>IF(AR70&gt;AR$114, AR70-AR$114,"")</f>
        <v/>
      </c>
      <c r="BV70" s="18" t="str">
        <f>IF(AS70&gt;AS$114, AS70-AS$114,"")</f>
        <v/>
      </c>
      <c r="BW70" s="18" t="str">
        <f>IF(AT70&gt;AT$114, AT70-AT$114,"")</f>
        <v/>
      </c>
      <c r="BX70" s="18" t="str">
        <f>IF(AU70&gt;AU$114, AU70-AU$114,"")</f>
        <v/>
      </c>
      <c r="BY70" s="18" t="str">
        <f>IF(AV70&gt;AV$114, AV70-AV$114,"")</f>
        <v/>
      </c>
      <c r="BZ70" s="18" t="str">
        <f>IF(AW70&gt;AW$114, AW70-AW$114,"")</f>
        <v/>
      </c>
      <c r="CA70" s="18" t="str">
        <f>IF(AX70&gt;AX$114, AX70-AX$114,"")</f>
        <v/>
      </c>
      <c r="CB70" s="18" t="str">
        <f>IF(AY70&gt;AY$114, AY70-AY$114,"")</f>
        <v/>
      </c>
      <c r="CC70" s="18" t="str">
        <f>IF(AZ70&gt;AZ$114, AZ70-AZ$114,"")</f>
        <v/>
      </c>
      <c r="CD70" s="18" t="str">
        <f>IF(BA70&gt;BA$114, BA70-BA$114,"")</f>
        <v/>
      </c>
      <c r="CE70" s="18" t="str">
        <f>IF(BB70&gt;BB$114, BB70-BB$114,"")</f>
        <v/>
      </c>
      <c r="CF70" s="18">
        <f>COUNTIF(BT70:CE70, "&gt;0")</f>
        <v>0</v>
      </c>
      <c r="CG70" s="18" t="str">
        <f>IF($CF70=1,BT70,"")</f>
        <v/>
      </c>
      <c r="CH70" s="18" t="str">
        <f>IF($CF70=1,BU70,"")</f>
        <v/>
      </c>
      <c r="CI70" s="18" t="str">
        <f>IF($CF70=1,BV70,"")</f>
        <v/>
      </c>
      <c r="CJ70" s="18" t="str">
        <f>IF($CF70=1,BW70,"")</f>
        <v/>
      </c>
      <c r="CK70" s="18" t="str">
        <f>IF($CF70=1,BX70,"")</f>
        <v/>
      </c>
      <c r="CL70" s="18" t="str">
        <f>IF($CF70=1,BY70,"")</f>
        <v/>
      </c>
      <c r="CM70" s="18" t="str">
        <f>IF($CF70=1,BZ70,"")</f>
        <v/>
      </c>
      <c r="CN70" s="18" t="str">
        <f>IF($CF70=1,CA70,"")</f>
        <v/>
      </c>
      <c r="CO70" s="18" t="str">
        <f>IF($CF70=1,CB70,"")</f>
        <v/>
      </c>
      <c r="CP70" s="18" t="str">
        <f>IF($CF70=1,CC70,"")</f>
        <v/>
      </c>
      <c r="CQ70" s="18" t="str">
        <f>IF($CF70=1,CD70,"")</f>
        <v/>
      </c>
      <c r="CR70" s="18" t="str">
        <f>IF($CF70=1,CE70,"")</f>
        <v/>
      </c>
      <c r="CS70" s="24">
        <f>SUM(AE70:BO70)</f>
        <v>45</v>
      </c>
    </row>
    <row r="71" spans="1:97" ht="27" x14ac:dyDescent="0.15">
      <c r="A71" s="1">
        <v>23</v>
      </c>
      <c r="B71" s="1" t="s">
        <v>87</v>
      </c>
      <c r="C71" s="1" t="s">
        <v>26</v>
      </c>
      <c r="D71" s="1" t="s">
        <v>32</v>
      </c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/>
      <c r="AU71" s="4"/>
      <c r="AV71" s="4"/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>
        <v>50</v>
      </c>
      <c r="BK71" s="1">
        <v>50</v>
      </c>
      <c r="BL71" s="1"/>
      <c r="BM71" s="1"/>
      <c r="BN71" s="1">
        <v>50</v>
      </c>
      <c r="BO71" s="1">
        <v>50</v>
      </c>
      <c r="BP71" s="1">
        <f>SUM(E71:BO71)</f>
        <v>200</v>
      </c>
      <c r="BQ71" s="1">
        <v>90</v>
      </c>
      <c r="BR71" s="17">
        <v>2</v>
      </c>
      <c r="BS71" s="17" t="s">
        <v>254</v>
      </c>
      <c r="BT71" s="1" t="str">
        <f>IF(AQ71&gt;AQ$114, AQ71-AQ$114,"")</f>
        <v/>
      </c>
      <c r="BU71" s="1" t="str">
        <f>IF(AR71&gt;AR$114, AR71-AR$114,"")</f>
        <v/>
      </c>
      <c r="BV71" s="1" t="str">
        <f>IF(AS71&gt;AS$114, AS71-AS$114,"")</f>
        <v/>
      </c>
      <c r="BW71" s="1" t="str">
        <f>IF(AT71&gt;AT$114, AT71-AT$114,"")</f>
        <v/>
      </c>
      <c r="BX71" s="1" t="str">
        <f>IF(AU71&gt;AU$114, AU71-AU$114,"")</f>
        <v/>
      </c>
      <c r="BY71" s="1" t="str">
        <f>IF(AV71&gt;AV$114, AV71-AV$114,"")</f>
        <v/>
      </c>
      <c r="BZ71" s="1" t="str">
        <f>IF(AW71&gt;AW$114, AW71-AW$114,"")</f>
        <v/>
      </c>
      <c r="CA71" s="1" t="str">
        <f>IF(AX71&gt;AX$114, AX71-AX$114,"")</f>
        <v/>
      </c>
      <c r="CB71" s="1" t="str">
        <f>IF(AY71&gt;AY$114, AY71-AY$114,"")</f>
        <v/>
      </c>
      <c r="CC71" s="1" t="str">
        <f>IF(AZ71&gt;AZ$114, AZ71-AZ$114,"")</f>
        <v/>
      </c>
      <c r="CD71" s="1" t="str">
        <f>IF(BA71&gt;BA$114, BA71-BA$114,"")</f>
        <v/>
      </c>
      <c r="CE71" s="1" t="str">
        <f>IF(BB71&gt;BB$114, BB71-BB$114,"")</f>
        <v/>
      </c>
      <c r="CF71" s="1">
        <f>COUNTIF(BT71:CE71, "&gt;0")</f>
        <v>0</v>
      </c>
      <c r="CG71" s="1" t="str">
        <f>IF($CF71=1,BT71,"")</f>
        <v/>
      </c>
      <c r="CH71" s="1" t="str">
        <f>IF($CF71=1,BU71,"")</f>
        <v/>
      </c>
      <c r="CI71" s="1" t="str">
        <f>IF($CF71=1,BV71,"")</f>
        <v/>
      </c>
      <c r="CJ71" s="1" t="str">
        <f>IF($CF71=1,BW71,"")</f>
        <v/>
      </c>
      <c r="CK71" s="1" t="str">
        <f>IF($CF71=1,BX71,"")</f>
        <v/>
      </c>
      <c r="CL71" s="1" t="str">
        <f>IF($CF71=1,BY71,"")</f>
        <v/>
      </c>
      <c r="CM71" s="1" t="str">
        <f>IF($CF71=1,BZ71,"")</f>
        <v/>
      </c>
      <c r="CN71" s="1" t="str">
        <f>IF($CF71=1,CA71,"")</f>
        <v/>
      </c>
      <c r="CO71" s="1" t="str">
        <f>IF($CF71=1,CB71,"")</f>
        <v/>
      </c>
      <c r="CP71" s="1" t="str">
        <f>IF($CF71=1,CC71,"")</f>
        <v/>
      </c>
      <c r="CQ71" s="1" t="str">
        <f>IF($CF71=1,CD71,"")</f>
        <v/>
      </c>
      <c r="CR71" s="1" t="str">
        <f>IF($CF71=1,CE71,"")</f>
        <v/>
      </c>
      <c r="CS71" s="3">
        <f>SUM(AE71:BO71)</f>
        <v>200</v>
      </c>
    </row>
    <row r="72" spans="1:97" ht="27" x14ac:dyDescent="0.15">
      <c r="A72" s="1"/>
      <c r="B72" s="1" t="s">
        <v>160</v>
      </c>
      <c r="C72" s="1" t="s">
        <v>101</v>
      </c>
      <c r="D72" s="1" t="s">
        <v>102</v>
      </c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/>
      <c r="AR72" s="4"/>
      <c r="AS72" s="4"/>
      <c r="AT72" s="4"/>
      <c r="AU72" s="4"/>
      <c r="AV72" s="4"/>
      <c r="AW72" s="2"/>
      <c r="AX72" s="2"/>
      <c r="AY72" s="2"/>
      <c r="AZ72" s="2"/>
      <c r="BA72" s="2"/>
      <c r="BB72" s="2"/>
      <c r="BC72" s="14"/>
      <c r="BD72" s="1"/>
      <c r="BE72" s="1"/>
      <c r="BF72" s="1"/>
      <c r="BG72" s="1"/>
      <c r="BH72" s="1"/>
      <c r="BI72" s="1"/>
      <c r="BJ72" s="1">
        <v>50</v>
      </c>
      <c r="BK72" s="1">
        <v>50</v>
      </c>
      <c r="BL72" s="1"/>
      <c r="BM72" s="1"/>
      <c r="BN72" s="1">
        <v>50</v>
      </c>
      <c r="BO72" s="1">
        <v>50</v>
      </c>
      <c r="BP72" s="1">
        <f>SUM(E72:BO72)</f>
        <v>200</v>
      </c>
      <c r="BQ72" s="1">
        <v>90</v>
      </c>
      <c r="BR72" s="17">
        <v>2</v>
      </c>
      <c r="BS72" s="17" t="s">
        <v>254</v>
      </c>
      <c r="BT72" s="1" t="str">
        <f>IF(AQ72&gt;AQ$114, AQ72-AQ$114,"")</f>
        <v/>
      </c>
      <c r="BU72" s="1" t="str">
        <f>IF(AR72&gt;AR$114, AR72-AR$114,"")</f>
        <v/>
      </c>
      <c r="BV72" s="1" t="str">
        <f>IF(AS72&gt;AS$114, AS72-AS$114,"")</f>
        <v/>
      </c>
      <c r="BW72" s="1" t="str">
        <f>IF(AT72&gt;AT$114, AT72-AT$114,"")</f>
        <v/>
      </c>
      <c r="BX72" s="1" t="str">
        <f>IF(AU72&gt;AU$114, AU72-AU$114,"")</f>
        <v/>
      </c>
      <c r="BY72" s="1" t="str">
        <f>IF(AV72&gt;AV$114, AV72-AV$114,"")</f>
        <v/>
      </c>
      <c r="BZ72" s="1" t="str">
        <f>IF(AW72&gt;AW$114, AW72-AW$114,"")</f>
        <v/>
      </c>
      <c r="CA72" s="1" t="str">
        <f>IF(AX72&gt;AX$114, AX72-AX$114,"")</f>
        <v/>
      </c>
      <c r="CB72" s="1" t="str">
        <f>IF(AY72&gt;AY$114, AY72-AY$114,"")</f>
        <v/>
      </c>
      <c r="CC72" s="1" t="str">
        <f>IF(AZ72&gt;AZ$114, AZ72-AZ$114,"")</f>
        <v/>
      </c>
      <c r="CD72" s="1" t="str">
        <f>IF(BA72&gt;BA$114, BA72-BA$114,"")</f>
        <v/>
      </c>
      <c r="CE72" s="1" t="str">
        <f>IF(BB72&gt;BB$114, BB72-BB$114,"")</f>
        <v/>
      </c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3"/>
    </row>
    <row r="73" spans="1:97" ht="27" x14ac:dyDescent="0.15">
      <c r="A73" s="1"/>
      <c r="B73" s="1" t="s">
        <v>158</v>
      </c>
      <c r="C73" s="1" t="s">
        <v>135</v>
      </c>
      <c r="D73" s="1" t="s">
        <v>32</v>
      </c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/>
      <c r="AU73" s="4"/>
      <c r="AV73" s="4"/>
      <c r="AW73" s="2"/>
      <c r="AX73" s="2"/>
      <c r="AY73" s="2"/>
      <c r="AZ73" s="2"/>
      <c r="BA73" s="2"/>
      <c r="BB73" s="2"/>
      <c r="BC73" s="14"/>
      <c r="BD73" s="1"/>
      <c r="BE73" s="1"/>
      <c r="BF73" s="1"/>
      <c r="BG73" s="1"/>
      <c r="BH73" s="1"/>
      <c r="BI73" s="1"/>
      <c r="BJ73" s="1">
        <v>50</v>
      </c>
      <c r="BK73" s="1">
        <v>50</v>
      </c>
      <c r="BL73" s="1"/>
      <c r="BM73" s="1"/>
      <c r="BN73" s="1">
        <v>50</v>
      </c>
      <c r="BO73" s="1">
        <v>50</v>
      </c>
      <c r="BP73" s="1">
        <f>SUM(E73:BO73)</f>
        <v>200</v>
      </c>
      <c r="BQ73" s="1">
        <v>90</v>
      </c>
      <c r="BR73" s="17">
        <v>2</v>
      </c>
      <c r="BS73" s="17" t="s">
        <v>203</v>
      </c>
      <c r="BT73" s="1" t="str">
        <f>IF(AQ73&gt;AQ$114, AQ73-AQ$114,"")</f>
        <v/>
      </c>
      <c r="BU73" s="1" t="str">
        <f>IF(AR73&gt;AR$114, AR73-AR$114,"")</f>
        <v/>
      </c>
      <c r="BV73" s="1" t="str">
        <f>IF(AS73&gt;AS$114, AS73-AS$114,"")</f>
        <v/>
      </c>
      <c r="BW73" s="1" t="str">
        <f>IF(AT73&gt;AT$114, AT73-AT$114,"")</f>
        <v/>
      </c>
      <c r="BX73" s="1" t="str">
        <f>IF(AU73&gt;AU$114, AU73-AU$114,"")</f>
        <v/>
      </c>
      <c r="BY73" s="1" t="str">
        <f>IF(AV73&gt;AV$114, AV73-AV$114,"")</f>
        <v/>
      </c>
      <c r="BZ73" s="1" t="str">
        <f>IF(AW73&gt;AW$114, AW73-AW$114,"")</f>
        <v/>
      </c>
      <c r="CA73" s="1" t="str">
        <f>IF(AX73&gt;AX$114, AX73-AX$114,"")</f>
        <v/>
      </c>
      <c r="CB73" s="1" t="str">
        <f>IF(AY73&gt;AY$114, AY73-AY$114,"")</f>
        <v/>
      </c>
      <c r="CC73" s="1" t="str">
        <f>IF(AZ73&gt;AZ$114, AZ73-AZ$114,"")</f>
        <v/>
      </c>
      <c r="CD73" s="1" t="str">
        <f>IF(BA73&gt;BA$114, BA73-BA$114,"")</f>
        <v/>
      </c>
      <c r="CE73" s="1" t="str">
        <f>IF(BB73&gt;BB$114, BB73-BB$114,"")</f>
        <v/>
      </c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3"/>
    </row>
    <row r="74" spans="1:97" ht="27" x14ac:dyDescent="0.15">
      <c r="A74" s="1">
        <v>102</v>
      </c>
      <c r="B74" s="3" t="s">
        <v>191</v>
      </c>
      <c r="C74" s="3" t="s">
        <v>57</v>
      </c>
      <c r="D74" s="1" t="s">
        <v>32</v>
      </c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/>
      <c r="AU74" s="4"/>
      <c r="AV74" s="4"/>
      <c r="AW74" s="2"/>
      <c r="AX74" s="2"/>
      <c r="AY74" s="2"/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>
        <v>50</v>
      </c>
      <c r="BK74" s="1">
        <v>50</v>
      </c>
      <c r="BL74" s="1"/>
      <c r="BM74" s="1"/>
      <c r="BN74" s="1">
        <v>50</v>
      </c>
      <c r="BO74" s="1">
        <v>50</v>
      </c>
      <c r="BP74" s="1">
        <f>SUM(E74:BO74)</f>
        <v>200</v>
      </c>
      <c r="BQ74" s="1">
        <v>90</v>
      </c>
      <c r="BR74" s="17">
        <v>2</v>
      </c>
      <c r="BS74" s="17" t="s">
        <v>254</v>
      </c>
      <c r="BT74" s="1" t="str">
        <f>IF(AQ74&gt;AQ$114, AQ74-AQ$114,"")</f>
        <v/>
      </c>
      <c r="BU74" s="1" t="str">
        <f>IF(AR74&gt;AR$114, AR74-AR$114,"")</f>
        <v/>
      </c>
      <c r="BV74" s="1" t="str">
        <f>IF(AS74&gt;AS$114, AS74-AS$114,"")</f>
        <v/>
      </c>
      <c r="BW74" s="1" t="str">
        <f>IF(AT74&gt;AT$114, AT74-AT$114,"")</f>
        <v/>
      </c>
      <c r="BX74" s="1" t="str">
        <f>IF(AU74&gt;AU$114, AU74-AU$114,"")</f>
        <v/>
      </c>
      <c r="BY74" s="1" t="str">
        <f>IF(AV74&gt;AV$114, AV74-AV$114,"")</f>
        <v/>
      </c>
      <c r="BZ74" s="1" t="str">
        <f>IF(AW74&gt;AW$114, AW74-AW$114,"")</f>
        <v/>
      </c>
      <c r="CA74" s="1" t="str">
        <f>IF(AX74&gt;AX$114, AX74-AX$114,"")</f>
        <v/>
      </c>
      <c r="CB74" s="1" t="str">
        <f>IF(AY74&gt;AY$114, AY74-AY$114,"")</f>
        <v/>
      </c>
      <c r="CC74" s="1" t="str">
        <f>IF(AZ74&gt;AZ$114, AZ74-AZ$114,"")</f>
        <v/>
      </c>
      <c r="CD74" s="1" t="str">
        <f>IF(BA74&gt;BA$114, BA74-BA$114,"")</f>
        <v/>
      </c>
      <c r="CE74" s="1" t="str">
        <f>IF(BB74&gt;BB$114, BB74-BB$114,"")</f>
        <v/>
      </c>
      <c r="CF74" s="1">
        <f>COUNTIF(BT74:CE74, "&gt;0")</f>
        <v>0</v>
      </c>
      <c r="CG74" s="1" t="str">
        <f>IF($CF74=1,BT74,"")</f>
        <v/>
      </c>
      <c r="CH74" s="1" t="str">
        <f>IF($CF74=1,BU74,"")</f>
        <v/>
      </c>
      <c r="CI74" s="1" t="str">
        <f>IF($CF74=1,BV74,"")</f>
        <v/>
      </c>
      <c r="CJ74" s="1" t="str">
        <f>IF($CF74=1,BW74,"")</f>
        <v/>
      </c>
      <c r="CK74" s="1" t="str">
        <f>IF($CF74=1,BX74,"")</f>
        <v/>
      </c>
      <c r="CL74" s="1" t="str">
        <f>IF($CF74=1,BY74,"")</f>
        <v/>
      </c>
      <c r="CM74" s="1" t="str">
        <f>IF($CF74=1,BZ74,"")</f>
        <v/>
      </c>
      <c r="CN74" s="1" t="str">
        <f>IF($CF74=1,CA74,"")</f>
        <v/>
      </c>
      <c r="CO74" s="1" t="str">
        <f>IF($CF74=1,CB74,"")</f>
        <v/>
      </c>
      <c r="CP74" s="1" t="str">
        <f>IF($CF74=1,CC74,"")</f>
        <v/>
      </c>
      <c r="CQ74" s="1" t="str">
        <f>IF($CF74=1,CD74,"")</f>
        <v/>
      </c>
      <c r="CR74" s="1" t="str">
        <f>IF($CF74=1,CE74,"")</f>
        <v/>
      </c>
      <c r="CS74" s="3">
        <f>SUM(AE74:BO74)</f>
        <v>200</v>
      </c>
    </row>
    <row r="75" spans="1:97" ht="40.5" x14ac:dyDescent="0.15">
      <c r="A75" s="1"/>
      <c r="B75" s="1" t="s">
        <v>140</v>
      </c>
      <c r="C75" s="1" t="s">
        <v>136</v>
      </c>
      <c r="D75" s="1" t="s">
        <v>108</v>
      </c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28"/>
      <c r="Q75" s="28"/>
      <c r="R75" s="28"/>
      <c r="S75" s="28"/>
      <c r="T75" s="28"/>
      <c r="U75" s="28">
        <v>2</v>
      </c>
      <c r="V75" s="28"/>
      <c r="W75" s="28"/>
      <c r="X75" s="28"/>
      <c r="Y75" s="28"/>
      <c r="Z75" s="28"/>
      <c r="AA75" s="28">
        <v>2</v>
      </c>
      <c r="AB75" s="28"/>
      <c r="AC75" s="28">
        <v>5</v>
      </c>
      <c r="AD75" s="28">
        <v>2</v>
      </c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/>
      <c r="AU75" s="4"/>
      <c r="AV75" s="4"/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>
        <f>SUM(E75:BO75)</f>
        <v>11</v>
      </c>
      <c r="BQ75" s="1">
        <v>6</v>
      </c>
      <c r="BR75" s="17">
        <v>3</v>
      </c>
      <c r="BS75" s="17" t="s">
        <v>255</v>
      </c>
      <c r="BT75" s="1" t="str">
        <f>IF(AQ75&gt;AQ$114, AQ75-AQ$114,"")</f>
        <v/>
      </c>
      <c r="BU75" s="1" t="str">
        <f>IF(AR75&gt;AR$114, AR75-AR$114,"")</f>
        <v/>
      </c>
      <c r="BV75" s="1" t="str">
        <f>IF(AS75&gt;AS$114, AS75-AS$114,"")</f>
        <v/>
      </c>
      <c r="BW75" s="1" t="str">
        <f>IF(AT75&gt;AT$114, AT75-AT$114,"")</f>
        <v/>
      </c>
      <c r="BX75" s="1" t="str">
        <f>IF(AU75&gt;AU$114, AU75-AU$114,"")</f>
        <v/>
      </c>
      <c r="BY75" s="1" t="str">
        <f>IF(AV75&gt;AV$114, AV75-AV$114,"")</f>
        <v/>
      </c>
      <c r="BZ75" s="1" t="str">
        <f>IF(AW75&gt;AW$114, AW75-AW$114,"")</f>
        <v/>
      </c>
      <c r="CA75" s="1" t="str">
        <f>IF(AX75&gt;AX$114, AX75-AX$114,"")</f>
        <v/>
      </c>
      <c r="CB75" s="1" t="str">
        <f>IF(AY75&gt;AY$114, AY75-AY$114,"")</f>
        <v/>
      </c>
      <c r="CC75" s="1" t="str">
        <f>IF(AZ75&gt;AZ$114, AZ75-AZ$114,"")</f>
        <v/>
      </c>
      <c r="CD75" s="1" t="str">
        <f>IF(BA75&gt;BA$114, BA75-BA$114,"")</f>
        <v/>
      </c>
      <c r="CE75" s="1" t="str">
        <f>IF(BB75&gt;BB$114, BB75-BB$114,"")</f>
        <v/>
      </c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3"/>
    </row>
    <row r="76" spans="1:97" ht="40.5" x14ac:dyDescent="0.15">
      <c r="A76" s="1"/>
      <c r="B76" s="1" t="s">
        <v>133</v>
      </c>
      <c r="C76" s="1" t="s">
        <v>134</v>
      </c>
      <c r="D76" s="1" t="s">
        <v>109</v>
      </c>
      <c r="E76" s="6"/>
      <c r="F76" s="6"/>
      <c r="G76" s="6"/>
      <c r="H76" s="6"/>
      <c r="I76" s="6"/>
      <c r="J76" s="6"/>
      <c r="K76" s="6"/>
      <c r="L76" s="6">
        <v>7</v>
      </c>
      <c r="M76" s="6"/>
      <c r="N76" s="6"/>
      <c r="O76" s="6"/>
      <c r="P76" s="28"/>
      <c r="Q76" s="28">
        <v>7</v>
      </c>
      <c r="R76" s="28"/>
      <c r="S76" s="28"/>
      <c r="T76" s="28">
        <v>7</v>
      </c>
      <c r="U76" s="28"/>
      <c r="V76" s="28"/>
      <c r="W76" s="28"/>
      <c r="X76" s="28">
        <v>7</v>
      </c>
      <c r="Y76" s="28"/>
      <c r="Z76" s="28"/>
      <c r="AA76" s="28"/>
      <c r="AB76" s="28"/>
      <c r="AC76" s="28"/>
      <c r="AD76" s="28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/>
      <c r="AS76" s="4"/>
      <c r="AT76" s="4"/>
      <c r="AU76" s="4"/>
      <c r="AV76" s="4"/>
      <c r="AW76" s="2"/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>
        <f>SUM(E76:BO76)</f>
        <v>28</v>
      </c>
      <c r="BQ76" s="1">
        <v>9</v>
      </c>
      <c r="BR76" s="17">
        <v>3</v>
      </c>
      <c r="BS76" s="17" t="s">
        <v>212</v>
      </c>
      <c r="BT76" s="1" t="str">
        <f>IF(AQ76&gt;AQ$114, AQ76-AQ$114,"")</f>
        <v/>
      </c>
      <c r="BU76" s="1" t="str">
        <f>IF(AR76&gt;AR$114, AR76-AR$114,"")</f>
        <v/>
      </c>
      <c r="BV76" s="1" t="str">
        <f>IF(AS76&gt;AS$114, AS76-AS$114,"")</f>
        <v/>
      </c>
      <c r="BW76" s="1" t="str">
        <f>IF(AT76&gt;AT$114, AT76-AT$114,"")</f>
        <v/>
      </c>
      <c r="BX76" s="1" t="str">
        <f>IF(AU76&gt;AU$114, AU76-AU$114,"")</f>
        <v/>
      </c>
      <c r="BY76" s="1" t="str">
        <f>IF(AV76&gt;AV$114, AV76-AV$114,"")</f>
        <v/>
      </c>
      <c r="BZ76" s="1" t="str">
        <f>IF(AW76&gt;AW$114, AW76-AW$114,"")</f>
        <v/>
      </c>
      <c r="CA76" s="1" t="str">
        <f>IF(AX76&gt;AX$114, AX76-AX$114,"")</f>
        <v/>
      </c>
      <c r="CB76" s="1" t="str">
        <f>IF(AY76&gt;AY$114, AY76-AY$114,"")</f>
        <v/>
      </c>
      <c r="CC76" s="1" t="str">
        <f>IF(AZ76&gt;AZ$114, AZ76-AZ$114,"")</f>
        <v/>
      </c>
      <c r="CD76" s="1" t="str">
        <f>IF(BA76&gt;BA$114, BA76-BA$114,"")</f>
        <v/>
      </c>
      <c r="CE76" s="1" t="str">
        <f>IF(BB76&gt;BB$114, BB76-BB$114,"")</f>
        <v/>
      </c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3"/>
    </row>
    <row r="77" spans="1:97" ht="40.5" x14ac:dyDescent="0.15">
      <c r="A77" s="1"/>
      <c r="B77" s="1" t="s">
        <v>127</v>
      </c>
      <c r="C77" s="1" t="s">
        <v>125</v>
      </c>
      <c r="D77" s="1" t="s">
        <v>108</v>
      </c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28"/>
      <c r="Q77" s="28">
        <v>5</v>
      </c>
      <c r="R77" s="28"/>
      <c r="S77" s="28"/>
      <c r="T77" s="28">
        <v>5</v>
      </c>
      <c r="U77" s="28"/>
      <c r="V77" s="28"/>
      <c r="W77" s="28"/>
      <c r="X77" s="28"/>
      <c r="Y77" s="28"/>
      <c r="Z77" s="28">
        <v>5</v>
      </c>
      <c r="AA77" s="28">
        <v>2</v>
      </c>
      <c r="AB77" s="28"/>
      <c r="AC77" s="28"/>
      <c r="AD77" s="28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/>
      <c r="AR77" s="4"/>
      <c r="AS77" s="4"/>
      <c r="AT77" s="4"/>
      <c r="AU77" s="4"/>
      <c r="AV77" s="4"/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>
        <f>SUM(E77:BO77)</f>
        <v>17</v>
      </c>
      <c r="BQ77" s="1">
        <v>9</v>
      </c>
      <c r="BR77" s="17">
        <v>3</v>
      </c>
      <c r="BS77" s="17" t="s">
        <v>256</v>
      </c>
      <c r="BT77" s="1" t="str">
        <f>IF(AQ77&gt;AQ$114, AQ77-AQ$114,"")</f>
        <v/>
      </c>
      <c r="BU77" s="1" t="str">
        <f>IF(AR77&gt;AR$114, AR77-AR$114,"")</f>
        <v/>
      </c>
      <c r="BV77" s="1" t="str">
        <f>IF(AS77&gt;AS$114, AS77-AS$114,"")</f>
        <v/>
      </c>
      <c r="BW77" s="1" t="str">
        <f>IF(AT77&gt;AT$114, AT77-AT$114,"")</f>
        <v/>
      </c>
      <c r="BX77" s="1" t="str">
        <f>IF(AU77&gt;AU$114, AU77-AU$114,"")</f>
        <v/>
      </c>
      <c r="BY77" s="1" t="str">
        <f>IF(AV77&gt;AV$114, AV77-AV$114,"")</f>
        <v/>
      </c>
      <c r="BZ77" s="1" t="str">
        <f>IF(AW77&gt;AW$114, AW77-AW$114,"")</f>
        <v/>
      </c>
      <c r="CA77" s="1" t="str">
        <f>IF(AX77&gt;AX$114, AX77-AX$114,"")</f>
        <v/>
      </c>
      <c r="CB77" s="1" t="str">
        <f>IF(AY77&gt;AY$114, AY77-AY$114,"")</f>
        <v/>
      </c>
      <c r="CC77" s="1" t="str">
        <f>IF(AZ77&gt;AZ$114, AZ77-AZ$114,"")</f>
        <v/>
      </c>
      <c r="CD77" s="1" t="str">
        <f>IF(BA77&gt;BA$114, BA77-BA$114,"")</f>
        <v/>
      </c>
      <c r="CE77" s="1" t="str">
        <f>IF(BB77&gt;BB$114, BB77-BB$114,"")</f>
        <v/>
      </c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3"/>
    </row>
    <row r="78" spans="1:97" ht="40.5" x14ac:dyDescent="0.15">
      <c r="A78" s="1"/>
      <c r="B78" s="1" t="s">
        <v>137</v>
      </c>
      <c r="C78" s="1" t="s">
        <v>136</v>
      </c>
      <c r="D78" s="1" t="s">
        <v>108</v>
      </c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28"/>
      <c r="Q78" s="28">
        <v>5</v>
      </c>
      <c r="R78" s="28"/>
      <c r="S78" s="28"/>
      <c r="T78" s="28">
        <v>5</v>
      </c>
      <c r="U78" s="28"/>
      <c r="V78" s="28"/>
      <c r="W78" s="28"/>
      <c r="X78" s="28"/>
      <c r="Y78" s="28"/>
      <c r="Z78" s="28">
        <v>5</v>
      </c>
      <c r="AA78" s="28">
        <v>2</v>
      </c>
      <c r="AB78" s="28"/>
      <c r="AC78" s="28"/>
      <c r="AD78" s="28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/>
      <c r="AR78" s="4"/>
      <c r="AS78" s="4"/>
      <c r="AT78" s="4"/>
      <c r="AU78" s="4"/>
      <c r="AV78" s="4"/>
      <c r="AW78" s="2"/>
      <c r="AX78" s="2"/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>
        <f>SUM(E78:BO78)</f>
        <v>17</v>
      </c>
      <c r="BQ78" s="1">
        <v>9</v>
      </c>
      <c r="BR78" s="17">
        <v>3</v>
      </c>
      <c r="BS78" s="17" t="s">
        <v>213</v>
      </c>
      <c r="BT78" s="1" t="str">
        <f>IF(AQ78&gt;AQ$114, AQ78-AQ$114,"")</f>
        <v/>
      </c>
      <c r="BU78" s="1" t="str">
        <f>IF(AR78&gt;AR$114, AR78-AR$114,"")</f>
        <v/>
      </c>
      <c r="BV78" s="1" t="str">
        <f>IF(AS78&gt;AS$114, AS78-AS$114,"")</f>
        <v/>
      </c>
      <c r="BW78" s="1" t="str">
        <f>IF(AT78&gt;AT$114, AT78-AT$114,"")</f>
        <v/>
      </c>
      <c r="BX78" s="1" t="str">
        <f>IF(AU78&gt;AU$114, AU78-AU$114,"")</f>
        <v/>
      </c>
      <c r="BY78" s="1" t="str">
        <f>IF(AV78&gt;AV$114, AV78-AV$114,"")</f>
        <v/>
      </c>
      <c r="BZ78" s="1" t="str">
        <f>IF(AW78&gt;AW$114, AW78-AW$114,"")</f>
        <v/>
      </c>
      <c r="CA78" s="1" t="str">
        <f>IF(AX78&gt;AX$114, AX78-AX$114,"")</f>
        <v/>
      </c>
      <c r="CB78" s="1" t="str">
        <f>IF(AY78&gt;AY$114, AY78-AY$114,"")</f>
        <v/>
      </c>
      <c r="CC78" s="1" t="str">
        <f>IF(AZ78&gt;AZ$114, AZ78-AZ$114,"")</f>
        <v/>
      </c>
      <c r="CD78" s="1" t="str">
        <f>IF(BA78&gt;BA$114, BA78-BA$114,"")</f>
        <v/>
      </c>
      <c r="CE78" s="1" t="str">
        <f>IF(BB78&gt;BB$114, BB78-BB$114,"")</f>
        <v/>
      </c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3"/>
    </row>
    <row r="79" spans="1:97" ht="40.5" x14ac:dyDescent="0.15">
      <c r="A79" s="1"/>
      <c r="B79" s="1" t="s">
        <v>143</v>
      </c>
      <c r="C79" s="1" t="s">
        <v>104</v>
      </c>
      <c r="D79" s="1" t="s">
        <v>145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28"/>
      <c r="Q79" s="28">
        <v>5</v>
      </c>
      <c r="R79" s="28"/>
      <c r="S79" s="28"/>
      <c r="T79" s="28">
        <v>5</v>
      </c>
      <c r="U79" s="28"/>
      <c r="V79" s="28"/>
      <c r="W79" s="28"/>
      <c r="X79" s="28"/>
      <c r="Y79" s="28"/>
      <c r="Z79" s="28">
        <v>5</v>
      </c>
      <c r="AA79" s="28">
        <v>2</v>
      </c>
      <c r="AB79" s="28"/>
      <c r="AC79" s="28"/>
      <c r="AD79" s="28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/>
      <c r="AS79" s="4"/>
      <c r="AT79" s="4"/>
      <c r="AU79" s="4"/>
      <c r="AV79" s="4"/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>
        <f>SUM(E79:BO79)</f>
        <v>17</v>
      </c>
      <c r="BQ79" s="1">
        <v>9</v>
      </c>
      <c r="BR79" s="17">
        <v>3</v>
      </c>
      <c r="BS79" s="17" t="s">
        <v>213</v>
      </c>
      <c r="BT79" s="1" t="str">
        <f>IF(AQ79&gt;AQ$114, AQ79-AQ$114,"")</f>
        <v/>
      </c>
      <c r="BU79" s="1" t="str">
        <f>IF(AR79&gt;AR$114, AR79-AR$114,"")</f>
        <v/>
      </c>
      <c r="BV79" s="1" t="str">
        <f>IF(AS79&gt;AS$114, AS79-AS$114,"")</f>
        <v/>
      </c>
      <c r="BW79" s="1" t="str">
        <f>IF(AT79&gt;AT$114, AT79-AT$114,"")</f>
        <v/>
      </c>
      <c r="BX79" s="1" t="str">
        <f>IF(AU79&gt;AU$114, AU79-AU$114,"")</f>
        <v/>
      </c>
      <c r="BY79" s="1" t="str">
        <f>IF(AV79&gt;AV$114, AV79-AV$114,"")</f>
        <v/>
      </c>
      <c r="BZ79" s="1" t="str">
        <f>IF(AW79&gt;AW$114, AW79-AW$114,"")</f>
        <v/>
      </c>
      <c r="CA79" s="1" t="str">
        <f>IF(AX79&gt;AX$114, AX79-AX$114,"")</f>
        <v/>
      </c>
      <c r="CB79" s="1" t="str">
        <f>IF(AY79&gt;AY$114, AY79-AY$114,"")</f>
        <v/>
      </c>
      <c r="CC79" s="1" t="str">
        <f>IF(AZ79&gt;AZ$114, AZ79-AZ$114,"")</f>
        <v/>
      </c>
      <c r="CD79" s="1" t="str">
        <f>IF(BA79&gt;BA$114, BA79-BA$114,"")</f>
        <v/>
      </c>
      <c r="CE79" s="1" t="str">
        <f>IF(BB79&gt;BB$114, BB79-BB$114,"")</f>
        <v/>
      </c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3"/>
    </row>
    <row r="80" spans="1:97" ht="40.5" x14ac:dyDescent="0.15">
      <c r="A80" s="1"/>
      <c r="B80" s="1" t="s">
        <v>140</v>
      </c>
      <c r="C80" s="1" t="s">
        <v>136</v>
      </c>
      <c r="D80" s="1" t="s">
        <v>107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28"/>
      <c r="Q80" s="28">
        <v>5</v>
      </c>
      <c r="R80" s="28"/>
      <c r="S80" s="28"/>
      <c r="T80" s="28">
        <v>5</v>
      </c>
      <c r="U80" s="28"/>
      <c r="V80" s="28"/>
      <c r="W80" s="28">
        <v>5</v>
      </c>
      <c r="X80" s="28"/>
      <c r="Y80" s="28"/>
      <c r="Z80" s="28">
        <v>5</v>
      </c>
      <c r="AA80" s="28"/>
      <c r="AB80" s="28"/>
      <c r="AC80" s="28"/>
      <c r="AD80" s="28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/>
      <c r="AS80" s="4"/>
      <c r="AT80" s="4"/>
      <c r="AU80" s="4"/>
      <c r="AV80" s="4"/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>
        <f>SUM(E80:BO80)</f>
        <v>20</v>
      </c>
      <c r="BQ80" s="1">
        <v>11</v>
      </c>
      <c r="BR80" s="17">
        <v>3</v>
      </c>
      <c r="BS80" s="17" t="s">
        <v>257</v>
      </c>
      <c r="BT80" s="1" t="str">
        <f>IF(AQ80&gt;AQ$114, AQ80-AQ$114,"")</f>
        <v/>
      </c>
      <c r="BU80" s="1" t="str">
        <f>IF(AR80&gt;AR$114, AR80-AR$114,"")</f>
        <v/>
      </c>
      <c r="BV80" s="1" t="str">
        <f>IF(AS80&gt;AS$114, AS80-AS$114,"")</f>
        <v/>
      </c>
      <c r="BW80" s="1" t="str">
        <f>IF(AT80&gt;AT$114, AT80-AT$114,"")</f>
        <v/>
      </c>
      <c r="BX80" s="1" t="str">
        <f>IF(AU80&gt;AU$114, AU80-AU$114,"")</f>
        <v/>
      </c>
      <c r="BY80" s="1" t="str">
        <f>IF(AV80&gt;AV$114, AV80-AV$114,"")</f>
        <v/>
      </c>
      <c r="BZ80" s="1" t="str">
        <f>IF(AW80&gt;AW$114, AW80-AW$114,"")</f>
        <v/>
      </c>
      <c r="CA80" s="1" t="str">
        <f>IF(AX80&gt;AX$114, AX80-AX$114,"")</f>
        <v/>
      </c>
      <c r="CB80" s="1" t="str">
        <f>IF(AY80&gt;AY$114, AY80-AY$114,"")</f>
        <v/>
      </c>
      <c r="CC80" s="1" t="str">
        <f>IF(AZ80&gt;AZ$114, AZ80-AZ$114,"")</f>
        <v/>
      </c>
      <c r="CD80" s="1" t="str">
        <f>IF(BA80&gt;BA$114, BA80-BA$114,"")</f>
        <v/>
      </c>
      <c r="CE80" s="1" t="str">
        <f>IF(BB80&gt;BB$114, BB80-BB$114,"")</f>
        <v/>
      </c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3"/>
    </row>
    <row r="81" spans="1:97" ht="40.5" x14ac:dyDescent="0.15">
      <c r="A81" s="1"/>
      <c r="B81" s="1" t="s">
        <v>141</v>
      </c>
      <c r="C81" s="1" t="s">
        <v>136</v>
      </c>
      <c r="D81" s="1" t="s">
        <v>109</v>
      </c>
      <c r="E81" s="6"/>
      <c r="F81" s="6"/>
      <c r="G81" s="6">
        <v>5</v>
      </c>
      <c r="H81" s="6"/>
      <c r="I81" s="6"/>
      <c r="J81" s="6"/>
      <c r="K81" s="6"/>
      <c r="L81" s="6"/>
      <c r="M81" s="6"/>
      <c r="N81" s="6"/>
      <c r="O81" s="6"/>
      <c r="P81" s="28"/>
      <c r="Q81" s="28"/>
      <c r="R81" s="28"/>
      <c r="S81" s="28"/>
      <c r="T81" s="28"/>
      <c r="U81" s="28"/>
      <c r="V81" s="28">
        <v>5</v>
      </c>
      <c r="W81" s="28"/>
      <c r="X81" s="28"/>
      <c r="Y81" s="28">
        <v>5</v>
      </c>
      <c r="Z81" s="28"/>
      <c r="AA81" s="28"/>
      <c r="AB81" s="28"/>
      <c r="AC81" s="28">
        <v>5</v>
      </c>
      <c r="AD81" s="28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/>
      <c r="AT81" s="4"/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>
        <f>SUM(E81:BO81)</f>
        <v>20</v>
      </c>
      <c r="BQ81" s="1">
        <v>11</v>
      </c>
      <c r="BR81" s="17">
        <v>3</v>
      </c>
      <c r="BS81" s="17" t="s">
        <v>258</v>
      </c>
      <c r="BT81" s="1" t="str">
        <f>IF(AQ81&gt;AQ$114, AQ81-AQ$114,"")</f>
        <v/>
      </c>
      <c r="BU81" s="1" t="str">
        <f>IF(AR81&gt;AR$114, AR81-AR$114,"")</f>
        <v/>
      </c>
      <c r="BV81" s="1" t="str">
        <f>IF(AS81&gt;AS$114, AS81-AS$114,"")</f>
        <v/>
      </c>
      <c r="BW81" s="1" t="str">
        <f>IF(AT81&gt;AT$114, AT81-AT$114,"")</f>
        <v/>
      </c>
      <c r="BX81" s="1" t="str">
        <f>IF(AU81&gt;AU$114, AU81-AU$114,"")</f>
        <v/>
      </c>
      <c r="BY81" s="1" t="str">
        <f>IF(AV81&gt;AV$114, AV81-AV$114,"")</f>
        <v/>
      </c>
      <c r="BZ81" s="1" t="str">
        <f>IF(AW81&gt;AW$114, AW81-AW$114,"")</f>
        <v/>
      </c>
      <c r="CA81" s="1" t="str">
        <f>IF(AX81&gt;AX$114, AX81-AX$114,"")</f>
        <v/>
      </c>
      <c r="CB81" s="1" t="str">
        <f>IF(AY81&gt;AY$114, AY81-AY$114,"")</f>
        <v/>
      </c>
      <c r="CC81" s="1" t="str">
        <f>IF(AZ81&gt;AZ$114, AZ81-AZ$114,"")</f>
        <v/>
      </c>
      <c r="CD81" s="1" t="str">
        <f>IF(BA81&gt;BA$114, BA81-BA$114,"")</f>
        <v/>
      </c>
      <c r="CE81" s="1" t="str">
        <f>IF(BB81&gt;BB$114, BB81-BB$114,"")</f>
        <v/>
      </c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3"/>
    </row>
    <row r="82" spans="1:97" ht="40.5" x14ac:dyDescent="0.15">
      <c r="A82" s="1"/>
      <c r="B82" s="1" t="s">
        <v>131</v>
      </c>
      <c r="C82" s="1" t="s">
        <v>129</v>
      </c>
      <c r="D82" s="1" t="s">
        <v>109</v>
      </c>
      <c r="E82" s="6"/>
      <c r="F82" s="6"/>
      <c r="G82" s="6"/>
      <c r="H82" s="6"/>
      <c r="I82" s="6">
        <v>7</v>
      </c>
      <c r="J82" s="6"/>
      <c r="K82" s="6"/>
      <c r="L82" s="6"/>
      <c r="M82" s="6"/>
      <c r="N82" s="6"/>
      <c r="O82" s="6"/>
      <c r="P82" s="28"/>
      <c r="Q82" s="28">
        <v>7</v>
      </c>
      <c r="R82" s="28">
        <v>7</v>
      </c>
      <c r="S82" s="28"/>
      <c r="T82" s="28">
        <v>7</v>
      </c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/>
      <c r="AT82" s="4"/>
      <c r="AU82" s="4"/>
      <c r="AV82" s="4"/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>
        <f>SUM(E82:BO82)</f>
        <v>28</v>
      </c>
      <c r="BQ82" s="1">
        <v>13</v>
      </c>
      <c r="BR82" s="17">
        <v>3</v>
      </c>
      <c r="BS82" s="17" t="s">
        <v>214</v>
      </c>
      <c r="BT82" s="1" t="str">
        <f>IF(AQ82&gt;AQ$114, AQ82-AQ$114,"")</f>
        <v/>
      </c>
      <c r="BU82" s="1" t="str">
        <f>IF(AR82&gt;AR$114, AR82-AR$114,"")</f>
        <v/>
      </c>
      <c r="BV82" s="1" t="str">
        <f>IF(AS82&gt;AS$114, AS82-AS$114,"")</f>
        <v/>
      </c>
      <c r="BW82" s="1" t="str">
        <f>IF(AT82&gt;AT$114, AT82-AT$114,"")</f>
        <v/>
      </c>
      <c r="BX82" s="1" t="str">
        <f>IF(AU82&gt;AU$114, AU82-AU$114,"")</f>
        <v/>
      </c>
      <c r="BY82" s="1" t="str">
        <f>IF(AV82&gt;AV$114, AV82-AV$114,"")</f>
        <v/>
      </c>
      <c r="BZ82" s="1" t="str">
        <f>IF(AW82&gt;AW$114, AW82-AW$114,"")</f>
        <v/>
      </c>
      <c r="CA82" s="1" t="str">
        <f>IF(AX82&gt;AX$114, AX82-AX$114,"")</f>
        <v/>
      </c>
      <c r="CB82" s="1" t="str">
        <f>IF(AY82&gt;AY$114, AY82-AY$114,"")</f>
        <v/>
      </c>
      <c r="CC82" s="1" t="str">
        <f>IF(AZ82&gt;AZ$114, AZ82-AZ$114,"")</f>
        <v/>
      </c>
      <c r="CD82" s="1" t="str">
        <f>IF(BA82&gt;BA$114, BA82-BA$114,"")</f>
        <v/>
      </c>
      <c r="CE82" s="1" t="str">
        <f>IF(BB82&gt;BB$114, BB82-BB$114,"")</f>
        <v/>
      </c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3"/>
    </row>
    <row r="83" spans="1:97" ht="40.5" x14ac:dyDescent="0.15">
      <c r="A83" s="1"/>
      <c r="B83" s="1" t="s">
        <v>127</v>
      </c>
      <c r="C83" s="1" t="s">
        <v>125</v>
      </c>
      <c r="D83" s="1" t="s">
        <v>109</v>
      </c>
      <c r="E83" s="6"/>
      <c r="F83" s="6"/>
      <c r="G83" s="6"/>
      <c r="H83" s="6">
        <v>7</v>
      </c>
      <c r="I83" s="6"/>
      <c r="J83" s="6"/>
      <c r="K83" s="6"/>
      <c r="L83" s="6"/>
      <c r="M83" s="6"/>
      <c r="N83" s="6"/>
      <c r="O83" s="6"/>
      <c r="P83" s="28"/>
      <c r="Q83" s="28">
        <v>7</v>
      </c>
      <c r="R83" s="28"/>
      <c r="S83" s="28"/>
      <c r="T83" s="28">
        <v>7</v>
      </c>
      <c r="U83" s="28"/>
      <c r="V83" s="28"/>
      <c r="W83" s="28"/>
      <c r="X83" s="28"/>
      <c r="Y83" s="28"/>
      <c r="Z83" s="28"/>
      <c r="AA83" s="28">
        <v>7</v>
      </c>
      <c r="AB83" s="28"/>
      <c r="AC83" s="28"/>
      <c r="AD83" s="28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/>
      <c r="AR83" s="4"/>
      <c r="AS83" s="4"/>
      <c r="AT83" s="4"/>
      <c r="AU83" s="4"/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>
        <f>SUM(E83:BO83)</f>
        <v>28</v>
      </c>
      <c r="BQ83" s="1">
        <v>14</v>
      </c>
      <c r="BR83" s="17">
        <v>3</v>
      </c>
      <c r="BS83" s="17" t="s">
        <v>259</v>
      </c>
      <c r="BT83" s="1" t="str">
        <f>IF(AQ83&gt;AQ$114, AQ83-AQ$114,"")</f>
        <v/>
      </c>
      <c r="BU83" s="1" t="str">
        <f>IF(AR83&gt;AR$114, AR83-AR$114,"")</f>
        <v/>
      </c>
      <c r="BV83" s="1" t="str">
        <f>IF(AS83&gt;AS$114, AS83-AS$114,"")</f>
        <v/>
      </c>
      <c r="BW83" s="1" t="str">
        <f>IF(AT83&gt;AT$114, AT83-AT$114,"")</f>
        <v/>
      </c>
      <c r="BX83" s="1" t="str">
        <f>IF(AU83&gt;AU$114, AU83-AU$114,"")</f>
        <v/>
      </c>
      <c r="BY83" s="1" t="str">
        <f>IF(AV83&gt;AV$114, AV83-AV$114,"")</f>
        <v/>
      </c>
      <c r="BZ83" s="1" t="str">
        <f>IF(AW83&gt;AW$114, AW83-AW$114,"")</f>
        <v/>
      </c>
      <c r="CA83" s="1" t="str">
        <f>IF(AX83&gt;AX$114, AX83-AX$114,"")</f>
        <v/>
      </c>
      <c r="CB83" s="1" t="str">
        <f>IF(AY83&gt;AY$114, AY83-AY$114,"")</f>
        <v/>
      </c>
      <c r="CC83" s="1" t="str">
        <f>IF(AZ83&gt;AZ$114, AZ83-AZ$114,"")</f>
        <v/>
      </c>
      <c r="CD83" s="1" t="str">
        <f>IF(BA83&gt;BA$114, BA83-BA$114,"")</f>
        <v/>
      </c>
      <c r="CE83" s="1" t="str">
        <f>IF(BB83&gt;BB$114, BB83-BB$114,"")</f>
        <v/>
      </c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3"/>
    </row>
    <row r="84" spans="1:97" ht="40.5" x14ac:dyDescent="0.15">
      <c r="A84" s="1">
        <v>28</v>
      </c>
      <c r="B84" s="1" t="s">
        <v>62</v>
      </c>
      <c r="C84" s="1" t="s">
        <v>26</v>
      </c>
      <c r="D84" s="1" t="s">
        <v>0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1"/>
      <c r="AF84" s="1"/>
      <c r="AG84" s="1"/>
      <c r="AH84" s="1">
        <v>5</v>
      </c>
      <c r="AI84" s="1">
        <v>5</v>
      </c>
      <c r="AJ84" s="1">
        <v>5</v>
      </c>
      <c r="AK84" s="1"/>
      <c r="AL84" s="1"/>
      <c r="AM84" s="1"/>
      <c r="AN84" s="1"/>
      <c r="AO84" s="1"/>
      <c r="AP84" s="1"/>
      <c r="AQ84" s="4"/>
      <c r="AR84" s="4"/>
      <c r="AS84" s="4"/>
      <c r="AT84" s="4"/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>
        <f>SUM(E84:BO84)</f>
        <v>15</v>
      </c>
      <c r="BQ84" s="1">
        <v>15</v>
      </c>
      <c r="BR84" s="17">
        <v>3</v>
      </c>
      <c r="BS84" s="17" t="s">
        <v>215</v>
      </c>
      <c r="BT84" s="1" t="str">
        <f>IF(AQ84&gt;AQ$114, AQ84-AQ$114,"")</f>
        <v/>
      </c>
      <c r="BU84" s="1" t="str">
        <f>IF(AR84&gt;AR$114, AR84-AR$114,"")</f>
        <v/>
      </c>
      <c r="BV84" s="1" t="str">
        <f>IF(AS84&gt;AS$114, AS84-AS$114,"")</f>
        <v/>
      </c>
      <c r="BW84" s="1" t="str">
        <f>IF(AT84&gt;AT$114, AT84-AT$114,"")</f>
        <v/>
      </c>
      <c r="BX84" s="1" t="str">
        <f>IF(AU84&gt;AU$114, AU84-AU$114,"")</f>
        <v/>
      </c>
      <c r="BY84" s="1" t="str">
        <f>IF(AV84&gt;AV$114, AV84-AV$114,"")</f>
        <v/>
      </c>
      <c r="BZ84" s="1" t="str">
        <f>IF(AW84&gt;AW$114, AW84-AW$114,"")</f>
        <v/>
      </c>
      <c r="CA84" s="1" t="str">
        <f>IF(AX84&gt;AX$114, AX84-AX$114,"")</f>
        <v/>
      </c>
      <c r="CB84" s="1" t="str">
        <f>IF(AY84&gt;AY$114, AY84-AY$114,"")</f>
        <v/>
      </c>
      <c r="CC84" s="1" t="str">
        <f>IF(AZ84&gt;AZ$114, AZ84-AZ$114,"")</f>
        <v/>
      </c>
      <c r="CD84" s="1" t="str">
        <f>IF(BA84&gt;BA$114, BA84-BA$114,"")</f>
        <v/>
      </c>
      <c r="CE84" s="1" t="str">
        <f>IF(BB84&gt;BB$114, BB84-BB$114,"")</f>
        <v/>
      </c>
      <c r="CF84" s="1">
        <f>COUNTIF(BT84:CE84, "&gt;0")</f>
        <v>0</v>
      </c>
      <c r="CG84" s="1" t="str">
        <f>IF($CF84=1,BT84,"")</f>
        <v/>
      </c>
      <c r="CH84" s="1" t="str">
        <f>IF($CF84=1,BU84,"")</f>
        <v/>
      </c>
      <c r="CI84" s="1" t="str">
        <f>IF($CF84=1,BV84,"")</f>
        <v/>
      </c>
      <c r="CJ84" s="1" t="str">
        <f>IF($CF84=1,BW84,"")</f>
        <v/>
      </c>
      <c r="CK84" s="1" t="str">
        <f>IF($CF84=1,BX84,"")</f>
        <v/>
      </c>
      <c r="CL84" s="1" t="str">
        <f>IF($CF84=1,BY84,"")</f>
        <v/>
      </c>
      <c r="CM84" s="1" t="str">
        <f>IF($CF84=1,BZ84,"")</f>
        <v/>
      </c>
      <c r="CN84" s="1" t="str">
        <f>IF($CF84=1,CA84,"")</f>
        <v/>
      </c>
      <c r="CO84" s="1" t="str">
        <f>IF($CF84=1,CB84,"")</f>
        <v/>
      </c>
      <c r="CP84" s="1" t="str">
        <f>IF($CF84=1,CC84,"")</f>
        <v/>
      </c>
      <c r="CQ84" s="1" t="str">
        <f>IF($CF84=1,CD84,"")</f>
        <v/>
      </c>
      <c r="CR84" s="1" t="str">
        <f>IF($CF84=1,CE84,"")</f>
        <v/>
      </c>
      <c r="CS84" s="3">
        <f>SUM(AE84:BO84)</f>
        <v>15</v>
      </c>
    </row>
    <row r="85" spans="1:97" ht="40.5" x14ac:dyDescent="0.15">
      <c r="A85" s="1">
        <v>89</v>
      </c>
      <c r="B85" s="3" t="s">
        <v>67</v>
      </c>
      <c r="C85" s="3" t="s">
        <v>68</v>
      </c>
      <c r="D85" s="1" t="s">
        <v>0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1"/>
      <c r="AF85" s="1">
        <v>5</v>
      </c>
      <c r="AG85" s="1"/>
      <c r="AH85" s="1">
        <v>5</v>
      </c>
      <c r="AI85" s="1">
        <v>5</v>
      </c>
      <c r="AJ85" s="1"/>
      <c r="AK85" s="1"/>
      <c r="AL85" s="1"/>
      <c r="AM85" s="1"/>
      <c r="AN85" s="1"/>
      <c r="AO85" s="1"/>
      <c r="AP85" s="1"/>
      <c r="AQ85" s="4"/>
      <c r="AR85" s="4"/>
      <c r="AS85" s="4"/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>
        <f>SUM(E85:BO85)</f>
        <v>15</v>
      </c>
      <c r="BQ85" s="1">
        <v>15</v>
      </c>
      <c r="BR85" s="17">
        <v>3</v>
      </c>
      <c r="BS85" s="17" t="s">
        <v>260</v>
      </c>
      <c r="BT85" s="1" t="str">
        <f>IF(AQ85&gt;AQ$114, AQ85-AQ$114,"")</f>
        <v/>
      </c>
      <c r="BU85" s="1" t="str">
        <f>IF(AR85&gt;AR$114, AR85-AR$114,"")</f>
        <v/>
      </c>
      <c r="BV85" s="1" t="str">
        <f>IF(AS85&gt;AS$114, AS85-AS$114,"")</f>
        <v/>
      </c>
      <c r="BW85" s="1" t="str">
        <f>IF(AT85&gt;AT$114, AT85-AT$114,"")</f>
        <v/>
      </c>
      <c r="BX85" s="1" t="str">
        <f>IF(AU85&gt;AU$114, AU85-AU$114,"")</f>
        <v/>
      </c>
      <c r="BY85" s="1" t="str">
        <f>IF(AV85&gt;AV$114, AV85-AV$114,"")</f>
        <v/>
      </c>
      <c r="BZ85" s="1" t="str">
        <f>IF(AW85&gt;AW$114, AW85-AW$114,"")</f>
        <v/>
      </c>
      <c r="CA85" s="1" t="str">
        <f>IF(AX85&gt;AX$114, AX85-AX$114,"")</f>
        <v/>
      </c>
      <c r="CB85" s="1" t="str">
        <f>IF(AY85&gt;AY$114, AY85-AY$114,"")</f>
        <v/>
      </c>
      <c r="CC85" s="1" t="str">
        <f>IF(AZ85&gt;AZ$114, AZ85-AZ$114,"")</f>
        <v/>
      </c>
      <c r="CD85" s="1" t="str">
        <f>IF(BA85&gt;BA$114, BA85-BA$114,"")</f>
        <v/>
      </c>
      <c r="CE85" s="1" t="str">
        <f>IF(BB85&gt;BB$114, BB85-BB$114,"")</f>
        <v/>
      </c>
      <c r="CF85" s="1">
        <f>COUNTIF(BT85:CE85, "&gt;0")</f>
        <v>0</v>
      </c>
      <c r="CG85" s="1" t="str">
        <f>IF($CF85=1,BT85,"")</f>
        <v/>
      </c>
      <c r="CH85" s="1" t="str">
        <f>IF($CF85=1,BU85,"")</f>
        <v/>
      </c>
      <c r="CI85" s="1" t="str">
        <f>IF($CF85=1,BV85,"")</f>
        <v/>
      </c>
      <c r="CJ85" s="1" t="str">
        <f>IF($CF85=1,BW85,"")</f>
        <v/>
      </c>
      <c r="CK85" s="1" t="str">
        <f>IF($CF85=1,BX85,"")</f>
        <v/>
      </c>
      <c r="CL85" s="1" t="str">
        <f>IF($CF85=1,BY85,"")</f>
        <v/>
      </c>
      <c r="CM85" s="1" t="str">
        <f>IF($CF85=1,BZ85,"")</f>
        <v/>
      </c>
      <c r="CN85" s="1" t="str">
        <f>IF($CF85=1,CA85,"")</f>
        <v/>
      </c>
      <c r="CO85" s="1" t="str">
        <f>IF($CF85=1,CB85,"")</f>
        <v/>
      </c>
      <c r="CP85" s="1" t="str">
        <f>IF($CF85=1,CC85,"")</f>
        <v/>
      </c>
      <c r="CQ85" s="1" t="str">
        <f>IF($CF85=1,CD85,"")</f>
        <v/>
      </c>
      <c r="CR85" s="1" t="str">
        <f>IF($CF85=1,CE85,"")</f>
        <v/>
      </c>
      <c r="CS85" s="3">
        <f>SUM(AE85:BO85)</f>
        <v>15</v>
      </c>
    </row>
    <row r="86" spans="1:97" ht="40.5" x14ac:dyDescent="0.15">
      <c r="A86" s="1"/>
      <c r="B86" s="1" t="s">
        <v>123</v>
      </c>
      <c r="C86" s="1" t="s">
        <v>106</v>
      </c>
      <c r="D86" s="1" t="s">
        <v>109</v>
      </c>
      <c r="E86" s="6"/>
      <c r="F86" s="6"/>
      <c r="G86" s="6"/>
      <c r="H86" s="6">
        <v>10</v>
      </c>
      <c r="I86" s="6"/>
      <c r="J86" s="6"/>
      <c r="K86" s="6"/>
      <c r="L86" s="6"/>
      <c r="M86" s="6"/>
      <c r="N86" s="6"/>
      <c r="O86" s="6"/>
      <c r="P86" s="28"/>
      <c r="Q86" s="28"/>
      <c r="R86" s="28">
        <v>10</v>
      </c>
      <c r="S86" s="28"/>
      <c r="T86" s="28"/>
      <c r="U86" s="28"/>
      <c r="V86" s="28"/>
      <c r="W86" s="28"/>
      <c r="X86" s="28">
        <v>10</v>
      </c>
      <c r="Y86" s="28"/>
      <c r="Z86" s="28"/>
      <c r="AA86" s="28"/>
      <c r="AB86" s="28"/>
      <c r="AC86" s="28"/>
      <c r="AD86" s="28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>
        <v>10</v>
      </c>
      <c r="AS86" s="4"/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>
        <f>SUM(E86:BO86)</f>
        <v>40</v>
      </c>
      <c r="BQ86" s="1">
        <v>22</v>
      </c>
      <c r="BR86" s="17">
        <v>3</v>
      </c>
      <c r="BS86" s="17" t="s">
        <v>248</v>
      </c>
      <c r="BT86" s="1" t="str">
        <f>IF(AQ86&gt;AQ$114, AQ86-AQ$114,"")</f>
        <v/>
      </c>
      <c r="BU86" s="1" t="str">
        <f>IF(AR86&gt;AR$114, AR86-AR$114,"")</f>
        <v/>
      </c>
      <c r="BV86" s="1" t="str">
        <f>IF(AS86&gt;AS$114, AS86-AS$114,"")</f>
        <v/>
      </c>
      <c r="BW86" s="1" t="str">
        <f>IF(AT86&gt;AT$114, AT86-AT$114,"")</f>
        <v/>
      </c>
      <c r="BX86" s="1" t="str">
        <f>IF(AU86&gt;AU$114, AU86-AU$114,"")</f>
        <v/>
      </c>
      <c r="BY86" s="1" t="str">
        <f>IF(AV86&gt;AV$114, AV86-AV$114,"")</f>
        <v/>
      </c>
      <c r="BZ86" s="1" t="str">
        <f>IF(AW86&gt;AW$114, AW86-AW$114,"")</f>
        <v/>
      </c>
      <c r="CA86" s="1" t="str">
        <f>IF(AX86&gt;AX$114, AX86-AX$114,"")</f>
        <v/>
      </c>
      <c r="CB86" s="1" t="str">
        <f>IF(AY86&gt;AY$114, AY86-AY$114,"")</f>
        <v/>
      </c>
      <c r="CC86" s="1" t="str">
        <f>IF(AZ86&gt;AZ$114, AZ86-AZ$114,"")</f>
        <v/>
      </c>
      <c r="CD86" s="1" t="str">
        <f>IF(BA86&gt;BA$114, BA86-BA$114,"")</f>
        <v/>
      </c>
      <c r="CE86" s="1" t="str">
        <f>IF(BB86&gt;BB$114, BB86-BB$114,"")</f>
        <v/>
      </c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3"/>
    </row>
    <row r="87" spans="1:97" ht="40.5" x14ac:dyDescent="0.15">
      <c r="A87" s="1"/>
      <c r="B87" s="1" t="s">
        <v>132</v>
      </c>
      <c r="C87" s="1" t="s">
        <v>134</v>
      </c>
      <c r="D87" s="1" t="s">
        <v>109</v>
      </c>
      <c r="E87" s="6"/>
      <c r="F87" s="6"/>
      <c r="G87" s="6"/>
      <c r="H87" s="6"/>
      <c r="I87" s="6"/>
      <c r="J87" s="6">
        <v>10</v>
      </c>
      <c r="K87" s="6"/>
      <c r="L87" s="6"/>
      <c r="M87" s="6"/>
      <c r="N87" s="6"/>
      <c r="O87" s="6"/>
      <c r="P87" s="28"/>
      <c r="Q87" s="28"/>
      <c r="R87" s="28"/>
      <c r="S87" s="28"/>
      <c r="T87" s="28"/>
      <c r="U87" s="28">
        <v>10</v>
      </c>
      <c r="V87" s="28"/>
      <c r="W87" s="28"/>
      <c r="X87" s="28"/>
      <c r="Y87" s="28"/>
      <c r="Z87" s="28"/>
      <c r="AA87" s="28">
        <v>10</v>
      </c>
      <c r="AB87" s="28"/>
      <c r="AC87" s="28"/>
      <c r="AD87" s="28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>
        <v>10</v>
      </c>
      <c r="AR87" s="4"/>
      <c r="AS87" s="4"/>
      <c r="AT87" s="4"/>
      <c r="AU87" s="4"/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>
        <f>SUM(E87:BO87)</f>
        <v>40</v>
      </c>
      <c r="BQ87" s="1">
        <v>23</v>
      </c>
      <c r="BR87" s="17">
        <v>3</v>
      </c>
      <c r="BS87" s="17" t="s">
        <v>207</v>
      </c>
      <c r="BT87" s="1" t="str">
        <f>IF(AQ87&gt;AQ$114, AQ87-AQ$114,"")</f>
        <v/>
      </c>
      <c r="BU87" s="1" t="str">
        <f>IF(AR87&gt;AR$114, AR87-AR$114,"")</f>
        <v/>
      </c>
      <c r="BV87" s="1" t="str">
        <f>IF(AS87&gt;AS$114, AS87-AS$114,"")</f>
        <v/>
      </c>
      <c r="BW87" s="1" t="str">
        <f>IF(AT87&gt;AT$114, AT87-AT$114,"")</f>
        <v/>
      </c>
      <c r="BX87" s="1" t="str">
        <f>IF(AU87&gt;AU$114, AU87-AU$114,"")</f>
        <v/>
      </c>
      <c r="BY87" s="1" t="str">
        <f>IF(AV87&gt;AV$114, AV87-AV$114,"")</f>
        <v/>
      </c>
      <c r="BZ87" s="1" t="str">
        <f>IF(AW87&gt;AW$114, AW87-AW$114,"")</f>
        <v/>
      </c>
      <c r="CA87" s="1" t="str">
        <f>IF(AX87&gt;AX$114, AX87-AX$114,"")</f>
        <v/>
      </c>
      <c r="CB87" s="1" t="str">
        <f>IF(AY87&gt;AY$114, AY87-AY$114,"")</f>
        <v/>
      </c>
      <c r="CC87" s="1" t="str">
        <f>IF(AZ87&gt;AZ$114, AZ87-AZ$114,"")</f>
        <v/>
      </c>
      <c r="CD87" s="1" t="str">
        <f>IF(BA87&gt;BA$114, BA87-BA$114,"")</f>
        <v/>
      </c>
      <c r="CE87" s="1" t="str">
        <f>IF(BB87&gt;BB$114, BB87-BB$114,"")</f>
        <v/>
      </c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3"/>
    </row>
    <row r="88" spans="1:97" ht="40.5" x14ac:dyDescent="0.15">
      <c r="A88" s="1"/>
      <c r="B88" s="1" t="s">
        <v>142</v>
      </c>
      <c r="C88" s="1" t="s">
        <v>136</v>
      </c>
      <c r="D88" s="1" t="s">
        <v>109</v>
      </c>
      <c r="E88" s="6"/>
      <c r="F88" s="6"/>
      <c r="G88" s="6"/>
      <c r="H88" s="6"/>
      <c r="I88" s="6"/>
      <c r="J88" s="6">
        <v>10</v>
      </c>
      <c r="K88" s="6"/>
      <c r="L88" s="6"/>
      <c r="M88" s="6"/>
      <c r="N88" s="6"/>
      <c r="O88" s="6"/>
      <c r="P88" s="28"/>
      <c r="Q88" s="28"/>
      <c r="R88" s="28"/>
      <c r="S88" s="28"/>
      <c r="T88" s="28"/>
      <c r="U88" s="28">
        <v>10</v>
      </c>
      <c r="V88" s="28"/>
      <c r="W88" s="28"/>
      <c r="X88" s="28"/>
      <c r="Y88" s="28"/>
      <c r="Z88" s="28"/>
      <c r="AA88" s="28">
        <v>10</v>
      </c>
      <c r="AB88" s="28"/>
      <c r="AC88" s="28"/>
      <c r="AD88" s="28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>
        <v>10</v>
      </c>
      <c r="AR88" s="4"/>
      <c r="AS88" s="4"/>
      <c r="AT88" s="4"/>
      <c r="AU88" s="4"/>
      <c r="AV88" s="4"/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>
        <f>SUM(E88:BO88)</f>
        <v>40</v>
      </c>
      <c r="BQ88" s="1">
        <v>23</v>
      </c>
      <c r="BR88" s="17">
        <v>3</v>
      </c>
      <c r="BS88" s="17" t="s">
        <v>261</v>
      </c>
      <c r="BT88" s="1" t="str">
        <f>IF(AQ88&gt;AQ$114, AQ88-AQ$114,"")</f>
        <v/>
      </c>
      <c r="BU88" s="1" t="str">
        <f>IF(AR88&gt;AR$114, AR88-AR$114,"")</f>
        <v/>
      </c>
      <c r="BV88" s="1" t="str">
        <f>IF(AS88&gt;AS$114, AS88-AS$114,"")</f>
        <v/>
      </c>
      <c r="BW88" s="1" t="str">
        <f>IF(AT88&gt;AT$114, AT88-AT$114,"")</f>
        <v/>
      </c>
      <c r="BX88" s="1" t="str">
        <f>IF(AU88&gt;AU$114, AU88-AU$114,"")</f>
        <v/>
      </c>
      <c r="BY88" s="1" t="str">
        <f>IF(AV88&gt;AV$114, AV88-AV$114,"")</f>
        <v/>
      </c>
      <c r="BZ88" s="1" t="str">
        <f>IF(AW88&gt;AW$114, AW88-AW$114,"")</f>
        <v/>
      </c>
      <c r="CA88" s="1" t="str">
        <f>IF(AX88&gt;AX$114, AX88-AX$114,"")</f>
        <v/>
      </c>
      <c r="CB88" s="1" t="str">
        <f>IF(AY88&gt;AY$114, AY88-AY$114,"")</f>
        <v/>
      </c>
      <c r="CC88" s="1" t="str">
        <f>IF(AZ88&gt;AZ$114, AZ88-AZ$114,"")</f>
        <v/>
      </c>
      <c r="CD88" s="1" t="str">
        <f>IF(BA88&gt;BA$114, BA88-BA$114,"")</f>
        <v/>
      </c>
      <c r="CE88" s="1" t="str">
        <f>IF(BB88&gt;BB$114, BB88-BB$114,"")</f>
        <v/>
      </c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3"/>
    </row>
    <row r="89" spans="1:97" ht="40.5" x14ac:dyDescent="0.15">
      <c r="A89" s="1"/>
      <c r="B89" s="1" t="s">
        <v>92</v>
      </c>
      <c r="C89" s="1" t="s">
        <v>93</v>
      </c>
      <c r="D89" s="1" t="s">
        <v>94</v>
      </c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/>
      <c r="AR89" s="4"/>
      <c r="AS89" s="4"/>
      <c r="AT89" s="4"/>
      <c r="AU89" s="4"/>
      <c r="AV89" s="4">
        <v>40</v>
      </c>
      <c r="AW89" s="2">
        <v>40</v>
      </c>
      <c r="AX89" s="2"/>
      <c r="AY89" s="2"/>
      <c r="AZ89" s="2"/>
      <c r="BA89" s="2"/>
      <c r="BB89" s="2">
        <v>40</v>
      </c>
      <c r="BC89" s="14">
        <v>10</v>
      </c>
      <c r="BD89" s="1">
        <v>50</v>
      </c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>
        <f>SUM(E89:BO89)</f>
        <v>180</v>
      </c>
      <c r="BQ89" s="1">
        <v>53</v>
      </c>
      <c r="BR89" s="17">
        <v>3</v>
      </c>
      <c r="BS89" s="17" t="s">
        <v>253</v>
      </c>
      <c r="BT89" s="1" t="str">
        <f>IF(AQ89&gt;AQ$114, AQ89-AQ$114,"")</f>
        <v/>
      </c>
      <c r="BU89" s="1" t="str">
        <f>IF(AR89&gt;AR$114, AR89-AR$114,"")</f>
        <v/>
      </c>
      <c r="BV89" s="1" t="str">
        <f>IF(AS89&gt;AS$114, AS89-AS$114,"")</f>
        <v/>
      </c>
      <c r="BW89" s="1" t="str">
        <f>IF(AT89&gt;AT$114, AT89-AT$114,"")</f>
        <v/>
      </c>
      <c r="BX89" s="1" t="str">
        <f>IF(AU89&gt;AU$114, AU89-AU$114,"")</f>
        <v/>
      </c>
      <c r="BY89" s="1" t="str">
        <f>IF(AV89&gt;AV$114, AV89-AV$114,"")</f>
        <v/>
      </c>
      <c r="BZ89" s="1" t="str">
        <f>IF(AW89&gt;AW$114, AW89-AW$114,"")</f>
        <v/>
      </c>
      <c r="CA89" s="1" t="str">
        <f>IF(AX89&gt;AX$114, AX89-AX$114,"")</f>
        <v/>
      </c>
      <c r="CB89" s="1" t="str">
        <f>IF(AY89&gt;AY$114, AY89-AY$114,"")</f>
        <v/>
      </c>
      <c r="CC89" s="1" t="str">
        <f>IF(AZ89&gt;AZ$114, AZ89-AZ$114,"")</f>
        <v/>
      </c>
      <c r="CD89" s="1" t="str">
        <f>IF(BA89&gt;BA$114, BA89-BA$114,"")</f>
        <v/>
      </c>
      <c r="CE89" s="1" t="str">
        <f>IF(BB89&gt;BB$114, BB89-BB$114,"")</f>
        <v/>
      </c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3"/>
    </row>
    <row r="90" spans="1:97" ht="40.5" x14ac:dyDescent="0.15">
      <c r="A90" s="68">
        <v>4</v>
      </c>
      <c r="B90" s="68" t="s">
        <v>9</v>
      </c>
      <c r="C90" s="68" t="s">
        <v>1</v>
      </c>
      <c r="D90" s="68" t="s">
        <v>216</v>
      </c>
      <c r="E90" s="69"/>
      <c r="F90" s="69"/>
      <c r="G90" s="69"/>
      <c r="H90" s="69"/>
      <c r="I90" s="69"/>
      <c r="J90" s="69"/>
      <c r="K90" s="69"/>
      <c r="L90" s="69"/>
      <c r="M90" s="69"/>
      <c r="N90" s="69"/>
      <c r="O90" s="69"/>
      <c r="P90" s="70"/>
      <c r="Q90" s="70"/>
      <c r="R90" s="70"/>
      <c r="S90" s="70"/>
      <c r="T90" s="70"/>
      <c r="U90" s="70"/>
      <c r="V90" s="70"/>
      <c r="W90" s="70"/>
      <c r="X90" s="70"/>
      <c r="Y90" s="70"/>
      <c r="Z90" s="70"/>
      <c r="AA90" s="70"/>
      <c r="AB90" s="70"/>
      <c r="AC90" s="70"/>
      <c r="AD90" s="70"/>
      <c r="AE90" s="68"/>
      <c r="AF90" s="68"/>
      <c r="AG90" s="68"/>
      <c r="AH90" s="68"/>
      <c r="AI90" s="68"/>
      <c r="AJ90" s="68"/>
      <c r="AK90" s="68"/>
      <c r="AL90" s="68"/>
      <c r="AM90" s="68"/>
      <c r="AN90" s="68"/>
      <c r="AO90" s="68"/>
      <c r="AP90" s="68"/>
      <c r="AQ90" s="71">
        <v>40</v>
      </c>
      <c r="AR90" s="71"/>
      <c r="AS90" s="71"/>
      <c r="AT90" s="71"/>
      <c r="AU90" s="71"/>
      <c r="AV90" s="71"/>
      <c r="AW90" s="72">
        <v>40</v>
      </c>
      <c r="AX90" s="72">
        <v>40</v>
      </c>
      <c r="AY90" s="72"/>
      <c r="AZ90" s="72"/>
      <c r="BA90" s="72"/>
      <c r="BB90" s="72"/>
      <c r="BC90" s="73">
        <v>10</v>
      </c>
      <c r="BD90" s="68"/>
      <c r="BE90" s="68">
        <v>50</v>
      </c>
      <c r="BF90" s="68"/>
      <c r="BG90" s="68"/>
      <c r="BH90" s="68"/>
      <c r="BI90" s="68"/>
      <c r="BJ90" s="68"/>
      <c r="BK90" s="68"/>
      <c r="BL90" s="68"/>
      <c r="BM90" s="68"/>
      <c r="BN90" s="68"/>
      <c r="BO90" s="68"/>
      <c r="BP90" s="68">
        <f>SUM(E90:BO90)</f>
        <v>180</v>
      </c>
      <c r="BQ90" s="68">
        <v>76</v>
      </c>
      <c r="BR90" s="74">
        <v>3</v>
      </c>
      <c r="BS90" s="74" t="s">
        <v>217</v>
      </c>
      <c r="BT90" s="68" t="str">
        <f>IF(AQ90&gt;AQ$114, AQ90-AQ$114,"")</f>
        <v/>
      </c>
      <c r="BU90" s="68" t="str">
        <f>IF(AR90&gt;AR$114, AR90-AR$114,"")</f>
        <v/>
      </c>
      <c r="BV90" s="68" t="str">
        <f>IF(AS90&gt;AS$114, AS90-AS$114,"")</f>
        <v/>
      </c>
      <c r="BW90" s="68" t="str">
        <f>IF(AT90&gt;AT$114, AT90-AT$114,"")</f>
        <v/>
      </c>
      <c r="BX90" s="68" t="str">
        <f>IF(AU90&gt;AU$114, AU90-AU$114,"")</f>
        <v/>
      </c>
      <c r="BY90" s="68" t="str">
        <f>IF(AV90&gt;AV$114, AV90-AV$114,"")</f>
        <v/>
      </c>
      <c r="BZ90" s="68" t="str">
        <f>IF(AW90&gt;AW$114, AW90-AW$114,"")</f>
        <v/>
      </c>
      <c r="CA90" s="68" t="str">
        <f>IF(AX90&gt;AX$114, AX90-AX$114,"")</f>
        <v/>
      </c>
      <c r="CB90" s="68" t="str">
        <f>IF(AY90&gt;AY$114, AY90-AY$114,"")</f>
        <v/>
      </c>
      <c r="CC90" s="68" t="str">
        <f>IF(AZ90&gt;AZ$114, AZ90-AZ$114,"")</f>
        <v/>
      </c>
      <c r="CD90" s="68" t="str">
        <f>IF(BA90&gt;BA$114, BA90-BA$114,"")</f>
        <v/>
      </c>
      <c r="CE90" s="68" t="str">
        <f>IF(BB90&gt;BB$114, BB90-BB$114,"")</f>
        <v/>
      </c>
      <c r="CF90" s="68">
        <f>12-COUNTA(BT90:CE90)</f>
        <v>0</v>
      </c>
      <c r="CG90" s="68" t="str">
        <f>IF($CF90=1,BT90,"")</f>
        <v/>
      </c>
      <c r="CH90" s="68" t="str">
        <f>IF($CF90=1,BU90,"")</f>
        <v/>
      </c>
      <c r="CI90" s="68" t="str">
        <f>IF($CF90=1,BV90,"")</f>
        <v/>
      </c>
      <c r="CJ90" s="68" t="str">
        <f>IF($CF90=1,BW90,"")</f>
        <v/>
      </c>
      <c r="CK90" s="68" t="str">
        <f>IF($CF90=1,BX90,"")</f>
        <v/>
      </c>
      <c r="CL90" s="68" t="str">
        <f>IF($CF90=1,BY90,"")</f>
        <v/>
      </c>
      <c r="CM90" s="68" t="str">
        <f>IF($CF90=1,BZ90,"")</f>
        <v/>
      </c>
      <c r="CN90" s="68" t="str">
        <f>IF($CF90=1,CA90,"")</f>
        <v/>
      </c>
      <c r="CO90" s="68" t="str">
        <f>IF($CF90=1,CB90,"")</f>
        <v/>
      </c>
      <c r="CP90" s="68" t="str">
        <f>IF($CF90=1,CC90,"")</f>
        <v/>
      </c>
      <c r="CQ90" s="68" t="str">
        <f>IF($CF90=1,CD90,"")</f>
        <v/>
      </c>
      <c r="CR90" s="68" t="str">
        <f>IF($CF90=1,CE90,"")</f>
        <v/>
      </c>
      <c r="CS90" s="75">
        <f>SUM(AE90:BO90)</f>
        <v>180</v>
      </c>
    </row>
    <row r="91" spans="1:97" ht="40.5" x14ac:dyDescent="0.15">
      <c r="A91" s="1">
        <v>85</v>
      </c>
      <c r="B91" s="3" t="s">
        <v>172</v>
      </c>
      <c r="C91" s="3" t="s">
        <v>54</v>
      </c>
      <c r="D91" s="1" t="s">
        <v>32</v>
      </c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/>
      <c r="AS91" s="4"/>
      <c r="AT91" s="4"/>
      <c r="AU91" s="4"/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>
        <v>50</v>
      </c>
      <c r="BM91" s="1">
        <v>50</v>
      </c>
      <c r="BN91" s="1">
        <v>50</v>
      </c>
      <c r="BO91" s="1">
        <v>50</v>
      </c>
      <c r="BP91" s="1">
        <f>SUM(E91:BO91)</f>
        <v>200</v>
      </c>
      <c r="BQ91" s="1">
        <v>132</v>
      </c>
      <c r="BR91" s="17">
        <v>3</v>
      </c>
      <c r="BS91" s="17" t="s">
        <v>262</v>
      </c>
      <c r="BT91" s="1" t="str">
        <f>IF(AQ91&gt;AQ$114, AQ91-AQ$114,"")</f>
        <v/>
      </c>
      <c r="BU91" s="1" t="str">
        <f>IF(AR91&gt;AR$114, AR91-AR$114,"")</f>
        <v/>
      </c>
      <c r="BV91" s="1" t="str">
        <f>IF(AS91&gt;AS$114, AS91-AS$114,"")</f>
        <v/>
      </c>
      <c r="BW91" s="1" t="str">
        <f>IF(AT91&gt;AT$114, AT91-AT$114,"")</f>
        <v/>
      </c>
      <c r="BX91" s="1" t="str">
        <f>IF(AU91&gt;AU$114, AU91-AU$114,"")</f>
        <v/>
      </c>
      <c r="BY91" s="1" t="str">
        <f>IF(AV91&gt;AV$114, AV91-AV$114,"")</f>
        <v/>
      </c>
      <c r="BZ91" s="1" t="str">
        <f>IF(AW91&gt;AW$114, AW91-AW$114,"")</f>
        <v/>
      </c>
      <c r="CA91" s="1" t="str">
        <f>IF(AX91&gt;AX$114, AX91-AX$114,"")</f>
        <v/>
      </c>
      <c r="CB91" s="1" t="str">
        <f>IF(AY91&gt;AY$114, AY91-AY$114,"")</f>
        <v/>
      </c>
      <c r="CC91" s="1" t="str">
        <f>IF(AZ91&gt;AZ$114, AZ91-AZ$114,"")</f>
        <v/>
      </c>
      <c r="CD91" s="1" t="str">
        <f>IF(BA91&gt;BA$114, BA91-BA$114,"")</f>
        <v/>
      </c>
      <c r="CE91" s="1" t="str">
        <f>IF(BB91&gt;BB$114, BB91-BB$114,"")</f>
        <v/>
      </c>
      <c r="CF91" s="1">
        <f>COUNTIF(BT91:CE91, "&gt;0")</f>
        <v>0</v>
      </c>
      <c r="CG91" s="1" t="str">
        <f>IF($CF91=1,BT91,"")</f>
        <v/>
      </c>
      <c r="CH91" s="1" t="str">
        <f>IF($CF91=1,BU91,"")</f>
        <v/>
      </c>
      <c r="CI91" s="1" t="str">
        <f>IF($CF91=1,BV91,"")</f>
        <v/>
      </c>
      <c r="CJ91" s="1" t="str">
        <f>IF($CF91=1,BW91,"")</f>
        <v/>
      </c>
      <c r="CK91" s="1" t="str">
        <f>IF($CF91=1,BX91,"")</f>
        <v/>
      </c>
      <c r="CL91" s="1" t="str">
        <f>IF($CF91=1,BY91,"")</f>
        <v/>
      </c>
      <c r="CM91" s="1" t="str">
        <f>IF($CF91=1,BZ91,"")</f>
        <v/>
      </c>
      <c r="CN91" s="1" t="str">
        <f>IF($CF91=1,CA91,"")</f>
        <v/>
      </c>
      <c r="CO91" s="1" t="str">
        <f>IF($CF91=1,CB91,"")</f>
        <v/>
      </c>
      <c r="CP91" s="1" t="str">
        <f>IF($CF91=1,CC91,"")</f>
        <v/>
      </c>
      <c r="CQ91" s="1" t="str">
        <f>IF($CF91=1,CD91,"")</f>
        <v/>
      </c>
      <c r="CR91" s="1" t="str">
        <f>IF($CF91=1,CE91,"")</f>
        <v/>
      </c>
      <c r="CS91" s="3">
        <f>SUM(AE91:BO91)</f>
        <v>200</v>
      </c>
    </row>
    <row r="92" spans="1:97" ht="40.5" x14ac:dyDescent="0.15">
      <c r="A92" s="1"/>
      <c r="B92" s="1" t="s">
        <v>169</v>
      </c>
      <c r="C92" s="1" t="s">
        <v>104</v>
      </c>
      <c r="D92" s="1" t="s">
        <v>102</v>
      </c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/>
      <c r="AR92" s="4"/>
      <c r="AS92" s="4"/>
      <c r="AT92" s="4"/>
      <c r="AU92" s="4"/>
      <c r="AV92" s="4"/>
      <c r="AW92" s="2"/>
      <c r="AX92" s="2"/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>
        <v>50</v>
      </c>
      <c r="BM92" s="1">
        <v>50</v>
      </c>
      <c r="BN92" s="1">
        <v>50</v>
      </c>
      <c r="BO92" s="1">
        <v>50</v>
      </c>
      <c r="BP92" s="1">
        <f>SUM(E92:BO92)</f>
        <v>200</v>
      </c>
      <c r="BQ92" s="1">
        <v>132</v>
      </c>
      <c r="BR92" s="17">
        <v>3</v>
      </c>
      <c r="BS92" s="17" t="s">
        <v>263</v>
      </c>
      <c r="BT92" s="1" t="str">
        <f>IF(AQ92&gt;AQ$114, AQ92-AQ$114,"")</f>
        <v/>
      </c>
      <c r="BU92" s="1" t="str">
        <f>IF(AR92&gt;AR$114, AR92-AR$114,"")</f>
        <v/>
      </c>
      <c r="BV92" s="1" t="str">
        <f>IF(AS92&gt;AS$114, AS92-AS$114,"")</f>
        <v/>
      </c>
      <c r="BW92" s="1" t="str">
        <f>IF(AT92&gt;AT$114, AT92-AT$114,"")</f>
        <v/>
      </c>
      <c r="BX92" s="1" t="str">
        <f>IF(AU92&gt;AU$114, AU92-AU$114,"")</f>
        <v/>
      </c>
      <c r="BY92" s="1" t="str">
        <f>IF(AV92&gt;AV$114, AV92-AV$114,"")</f>
        <v/>
      </c>
      <c r="BZ92" s="1" t="str">
        <f>IF(AW92&gt;AW$114, AW92-AW$114,"")</f>
        <v/>
      </c>
      <c r="CA92" s="1" t="str">
        <f>IF(AX92&gt;AX$114, AX92-AX$114,"")</f>
        <v/>
      </c>
      <c r="CB92" s="1" t="str">
        <f>IF(AY92&gt;AY$114, AY92-AY$114,"")</f>
        <v/>
      </c>
      <c r="CC92" s="1" t="str">
        <f>IF(AZ92&gt;AZ$114, AZ92-AZ$114,"")</f>
        <v/>
      </c>
      <c r="CD92" s="1" t="str">
        <f>IF(BA92&gt;BA$114, BA92-BA$114,"")</f>
        <v/>
      </c>
      <c r="CE92" s="1" t="str">
        <f>IF(BB92&gt;BB$114, BB92-BB$114,"")</f>
        <v/>
      </c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3"/>
    </row>
    <row r="93" spans="1:97" ht="40.5" x14ac:dyDescent="0.15">
      <c r="A93" s="1"/>
      <c r="B93" s="1" t="s">
        <v>190</v>
      </c>
      <c r="C93" s="1" t="s">
        <v>104</v>
      </c>
      <c r="D93" s="1" t="s">
        <v>102</v>
      </c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/>
      <c r="AS93" s="4"/>
      <c r="AT93" s="4"/>
      <c r="AU93" s="4"/>
      <c r="AV93" s="4"/>
      <c r="AW93" s="2"/>
      <c r="AX93" s="2"/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>
        <v>50</v>
      </c>
      <c r="BM93" s="1">
        <v>50</v>
      </c>
      <c r="BN93" s="1">
        <v>50</v>
      </c>
      <c r="BO93" s="1">
        <v>50</v>
      </c>
      <c r="BP93" s="1">
        <f>SUM(E93:BO93)</f>
        <v>200</v>
      </c>
      <c r="BQ93" s="1">
        <v>132</v>
      </c>
      <c r="BR93" s="17">
        <v>3</v>
      </c>
      <c r="BS93" s="17" t="s">
        <v>262</v>
      </c>
      <c r="BT93" s="1" t="str">
        <f>IF(AQ93&gt;AQ$114, AQ93-AQ$114,"")</f>
        <v/>
      </c>
      <c r="BU93" s="1" t="str">
        <f>IF(AR93&gt;AR$114, AR93-AR$114,"")</f>
        <v/>
      </c>
      <c r="BV93" s="1" t="str">
        <f>IF(AS93&gt;AS$114, AS93-AS$114,"")</f>
        <v/>
      </c>
      <c r="BW93" s="1" t="str">
        <f>IF(AT93&gt;AT$114, AT93-AT$114,"")</f>
        <v/>
      </c>
      <c r="BX93" s="1" t="str">
        <f>IF(AU93&gt;AU$114, AU93-AU$114,"")</f>
        <v/>
      </c>
      <c r="BY93" s="1" t="str">
        <f>IF(AV93&gt;AV$114, AV93-AV$114,"")</f>
        <v/>
      </c>
      <c r="BZ93" s="1" t="str">
        <f>IF(AW93&gt;AW$114, AW93-AW$114,"")</f>
        <v/>
      </c>
      <c r="CA93" s="1" t="str">
        <f>IF(AX93&gt;AX$114, AX93-AX$114,"")</f>
        <v/>
      </c>
      <c r="CB93" s="1" t="str">
        <f>IF(AY93&gt;AY$114, AY93-AY$114,"")</f>
        <v/>
      </c>
      <c r="CC93" s="1" t="str">
        <f>IF(AZ93&gt;AZ$114, AZ93-AZ$114,"")</f>
        <v/>
      </c>
      <c r="CD93" s="1" t="str">
        <f>IF(BA93&gt;BA$114, BA93-BA$114,"")</f>
        <v/>
      </c>
      <c r="CE93" s="1" t="str">
        <f>IF(BB93&gt;BB$114, BB93-BB$114,"")</f>
        <v/>
      </c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3"/>
    </row>
    <row r="94" spans="1:97" ht="54" x14ac:dyDescent="0.15">
      <c r="A94" s="1"/>
      <c r="B94" s="1" t="s">
        <v>138</v>
      </c>
      <c r="C94" s="1" t="s">
        <v>136</v>
      </c>
      <c r="D94" s="1" t="s">
        <v>108</v>
      </c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28"/>
      <c r="Q94" s="28">
        <v>5</v>
      </c>
      <c r="R94" s="28"/>
      <c r="S94" s="28"/>
      <c r="T94" s="28"/>
      <c r="U94" s="28"/>
      <c r="V94" s="28">
        <v>10</v>
      </c>
      <c r="W94" s="28"/>
      <c r="X94" s="28"/>
      <c r="Y94" s="28"/>
      <c r="Z94" s="28">
        <v>5</v>
      </c>
      <c r="AA94" s="28"/>
      <c r="AB94" s="28">
        <v>10</v>
      </c>
      <c r="AC94" s="28"/>
      <c r="AD94" s="28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/>
      <c r="AR94" s="4"/>
      <c r="AS94" s="4"/>
      <c r="AT94" s="4"/>
      <c r="AU94" s="4"/>
      <c r="AV94" s="4"/>
      <c r="AW94" s="2"/>
      <c r="AX94" s="2"/>
      <c r="AY94" s="2"/>
      <c r="AZ94" s="2"/>
      <c r="BA94" s="2"/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>
        <f>SUM(E94:BO94)</f>
        <v>30</v>
      </c>
      <c r="BQ94" s="1">
        <v>18</v>
      </c>
      <c r="BR94" s="17">
        <v>4</v>
      </c>
      <c r="BS94" s="17" t="s">
        <v>264</v>
      </c>
      <c r="BT94" s="1" t="str">
        <f>IF(AQ94&gt;AQ$114, AQ94-AQ$114,"")</f>
        <v/>
      </c>
      <c r="BU94" s="1" t="str">
        <f>IF(AR94&gt;AR$114, AR94-AR$114,"")</f>
        <v/>
      </c>
      <c r="BV94" s="1" t="str">
        <f>IF(AS94&gt;AS$114, AS94-AS$114,"")</f>
        <v/>
      </c>
      <c r="BW94" s="1" t="str">
        <f>IF(AT94&gt;AT$114, AT94-AT$114,"")</f>
        <v/>
      </c>
      <c r="BX94" s="1" t="str">
        <f>IF(AU94&gt;AU$114, AU94-AU$114,"")</f>
        <v/>
      </c>
      <c r="BY94" s="1" t="str">
        <f>IF(AV94&gt;AV$114, AV94-AV$114,"")</f>
        <v/>
      </c>
      <c r="BZ94" s="1" t="str">
        <f>IF(AW94&gt;AW$114, AW94-AW$114,"")</f>
        <v/>
      </c>
      <c r="CA94" s="1" t="str">
        <f>IF(AX94&gt;AX$114, AX94-AX$114,"")</f>
        <v/>
      </c>
      <c r="CB94" s="1" t="str">
        <f>IF(AY94&gt;AY$114, AY94-AY$114,"")</f>
        <v/>
      </c>
      <c r="CC94" s="1" t="str">
        <f>IF(AZ94&gt;AZ$114, AZ94-AZ$114,"")</f>
        <v/>
      </c>
      <c r="CD94" s="1" t="str">
        <f>IF(BA94&gt;BA$114, BA94-BA$114,"")</f>
        <v/>
      </c>
      <c r="CE94" s="1" t="str">
        <f>IF(BB94&gt;BB$114, BB94-BB$114,"")</f>
        <v/>
      </c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3"/>
    </row>
    <row r="95" spans="1:97" ht="54" x14ac:dyDescent="0.15">
      <c r="A95" s="1"/>
      <c r="B95" s="1" t="s">
        <v>118</v>
      </c>
      <c r="C95" s="1" t="s">
        <v>106</v>
      </c>
      <c r="D95" s="1" t="s">
        <v>107</v>
      </c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28">
        <v>10</v>
      </c>
      <c r="Q95" s="28"/>
      <c r="R95" s="28"/>
      <c r="S95" s="28">
        <v>10</v>
      </c>
      <c r="T95" s="28"/>
      <c r="U95" s="28"/>
      <c r="V95" s="28"/>
      <c r="W95" s="28">
        <v>5</v>
      </c>
      <c r="X95" s="28"/>
      <c r="Y95" s="28"/>
      <c r="Z95" s="28"/>
      <c r="AA95" s="28"/>
      <c r="AB95" s="28">
        <v>10</v>
      </c>
      <c r="AC95" s="28"/>
      <c r="AD95" s="28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/>
      <c r="AR95" s="4"/>
      <c r="AS95" s="4"/>
      <c r="AT95" s="4"/>
      <c r="AU95" s="4"/>
      <c r="AV95" s="4"/>
      <c r="AW95" s="2"/>
      <c r="AX95" s="2"/>
      <c r="AY95" s="2"/>
      <c r="AZ95" s="2"/>
      <c r="BA95" s="2"/>
      <c r="BB95" s="2"/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>
        <f>SUM(E95:BO95)</f>
        <v>35</v>
      </c>
      <c r="BQ95" s="1">
        <v>22</v>
      </c>
      <c r="BR95" s="17">
        <v>4</v>
      </c>
      <c r="BS95" s="17" t="s">
        <v>265</v>
      </c>
      <c r="BT95" s="1" t="str">
        <f>IF(AQ95&gt;AQ$114, AQ95-AQ$114,"")</f>
        <v/>
      </c>
      <c r="BU95" s="1" t="str">
        <f>IF(AR95&gt;AR$114, AR95-AR$114,"")</f>
        <v/>
      </c>
      <c r="BV95" s="1" t="str">
        <f>IF(AS95&gt;AS$114, AS95-AS$114,"")</f>
        <v/>
      </c>
      <c r="BW95" s="1" t="str">
        <f>IF(AT95&gt;AT$114, AT95-AT$114,"")</f>
        <v/>
      </c>
      <c r="BX95" s="1" t="str">
        <f>IF(AU95&gt;AU$114, AU95-AU$114,"")</f>
        <v/>
      </c>
      <c r="BY95" s="1" t="str">
        <f>IF(AV95&gt;AV$114, AV95-AV$114,"")</f>
        <v/>
      </c>
      <c r="BZ95" s="1" t="str">
        <f>IF(AW95&gt;AW$114, AW95-AW$114,"")</f>
        <v/>
      </c>
      <c r="CA95" s="1" t="str">
        <f>IF(AX95&gt;AX$114, AX95-AX$114,"")</f>
        <v/>
      </c>
      <c r="CB95" s="1" t="str">
        <f>IF(AY95&gt;AY$114, AY95-AY$114,"")</f>
        <v/>
      </c>
      <c r="CC95" s="1" t="str">
        <f>IF(AZ95&gt;AZ$114, AZ95-AZ$114,"")</f>
        <v/>
      </c>
      <c r="CD95" s="1" t="str">
        <f>IF(BA95&gt;BA$114, BA95-BA$114,"")</f>
        <v/>
      </c>
      <c r="CE95" s="1" t="str">
        <f>IF(BB95&gt;BB$114, BB95-BB$114,"")</f>
        <v/>
      </c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3"/>
    </row>
    <row r="96" spans="1:97" ht="54" x14ac:dyDescent="0.15">
      <c r="A96" s="1"/>
      <c r="B96" s="1" t="s">
        <v>123</v>
      </c>
      <c r="C96" s="1" t="s">
        <v>106</v>
      </c>
      <c r="D96" s="1" t="s">
        <v>107</v>
      </c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28">
        <v>10</v>
      </c>
      <c r="Q96" s="28"/>
      <c r="R96" s="28"/>
      <c r="S96" s="28">
        <v>10</v>
      </c>
      <c r="T96" s="28"/>
      <c r="U96" s="28"/>
      <c r="V96" s="28"/>
      <c r="W96" s="28">
        <v>5</v>
      </c>
      <c r="X96" s="28"/>
      <c r="Y96" s="28"/>
      <c r="Z96" s="28"/>
      <c r="AA96" s="28"/>
      <c r="AB96" s="28">
        <v>10</v>
      </c>
      <c r="AC96" s="28"/>
      <c r="AD96" s="28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/>
      <c r="AR96" s="4"/>
      <c r="AS96" s="4"/>
      <c r="AT96" s="4"/>
      <c r="AU96" s="4"/>
      <c r="AV96" s="4"/>
      <c r="AW96" s="2"/>
      <c r="AX96" s="2"/>
      <c r="AY96" s="2"/>
      <c r="AZ96" s="2"/>
      <c r="BA96" s="2"/>
      <c r="BB96" s="2"/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>
        <f>SUM(E96:BO96)</f>
        <v>35</v>
      </c>
      <c r="BQ96" s="1">
        <v>22</v>
      </c>
      <c r="BR96" s="17">
        <v>4</v>
      </c>
      <c r="BS96" s="17" t="s">
        <v>200</v>
      </c>
      <c r="BT96" s="1" t="str">
        <f>IF(AQ96&gt;AQ$114, AQ96-AQ$114,"")</f>
        <v/>
      </c>
      <c r="BU96" s="1" t="str">
        <f>IF(AR96&gt;AR$114, AR96-AR$114,"")</f>
        <v/>
      </c>
      <c r="BV96" s="1" t="str">
        <f>IF(AS96&gt;AS$114, AS96-AS$114,"")</f>
        <v/>
      </c>
      <c r="BW96" s="1" t="str">
        <f>IF(AT96&gt;AT$114, AT96-AT$114,"")</f>
        <v/>
      </c>
      <c r="BX96" s="1" t="str">
        <f>IF(AU96&gt;AU$114, AU96-AU$114,"")</f>
        <v/>
      </c>
      <c r="BY96" s="1" t="str">
        <f>IF(AV96&gt;AV$114, AV96-AV$114,"")</f>
        <v/>
      </c>
      <c r="BZ96" s="1" t="str">
        <f>IF(AW96&gt;AW$114, AW96-AW$114,"")</f>
        <v/>
      </c>
      <c r="CA96" s="1" t="str">
        <f>IF(AX96&gt;AX$114, AX96-AX$114,"")</f>
        <v/>
      </c>
      <c r="CB96" s="1" t="str">
        <f>IF(AY96&gt;AY$114, AY96-AY$114,"")</f>
        <v/>
      </c>
      <c r="CC96" s="1" t="str">
        <f>IF(AZ96&gt;AZ$114, AZ96-AZ$114,"")</f>
        <v/>
      </c>
      <c r="CD96" s="1" t="str">
        <f>IF(BA96&gt;BA$114, BA96-BA$114,"")</f>
        <v/>
      </c>
      <c r="CE96" s="1" t="str">
        <f>IF(BB96&gt;BB$114, BB96-BB$114,"")</f>
        <v/>
      </c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3"/>
    </row>
    <row r="97" spans="1:97" ht="54" x14ac:dyDescent="0.15">
      <c r="A97" s="1"/>
      <c r="B97" s="1" t="s">
        <v>127</v>
      </c>
      <c r="C97" s="1" t="s">
        <v>125</v>
      </c>
      <c r="D97" s="1" t="s">
        <v>107</v>
      </c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28">
        <v>10</v>
      </c>
      <c r="Q97" s="28"/>
      <c r="R97" s="28"/>
      <c r="S97" s="28">
        <v>10</v>
      </c>
      <c r="T97" s="28"/>
      <c r="U97" s="28"/>
      <c r="V97" s="28"/>
      <c r="W97" s="28">
        <v>5</v>
      </c>
      <c r="X97" s="28"/>
      <c r="Y97" s="28"/>
      <c r="Z97" s="28"/>
      <c r="AA97" s="28"/>
      <c r="AB97" s="28">
        <v>10</v>
      </c>
      <c r="AC97" s="28"/>
      <c r="AD97" s="28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/>
      <c r="AS97" s="4"/>
      <c r="AT97" s="4"/>
      <c r="AU97" s="4"/>
      <c r="AV97" s="4"/>
      <c r="AW97" s="2"/>
      <c r="AX97" s="2"/>
      <c r="AY97" s="2"/>
      <c r="AZ97" s="2"/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>
        <f>SUM(E97:BO97)</f>
        <v>35</v>
      </c>
      <c r="BQ97" s="1">
        <v>22</v>
      </c>
      <c r="BR97" s="17">
        <v>4</v>
      </c>
      <c r="BS97" s="17" t="s">
        <v>200</v>
      </c>
      <c r="BT97" s="1" t="str">
        <f>IF(AQ97&gt;AQ$114, AQ97-AQ$114,"")</f>
        <v/>
      </c>
      <c r="BU97" s="1" t="str">
        <f>IF(AR97&gt;AR$114, AR97-AR$114,"")</f>
        <v/>
      </c>
      <c r="BV97" s="1" t="str">
        <f>IF(AS97&gt;AS$114, AS97-AS$114,"")</f>
        <v/>
      </c>
      <c r="BW97" s="1" t="str">
        <f>IF(AT97&gt;AT$114, AT97-AT$114,"")</f>
        <v/>
      </c>
      <c r="BX97" s="1" t="str">
        <f>IF(AU97&gt;AU$114, AU97-AU$114,"")</f>
        <v/>
      </c>
      <c r="BY97" s="1" t="str">
        <f>IF(AV97&gt;AV$114, AV97-AV$114,"")</f>
        <v/>
      </c>
      <c r="BZ97" s="1" t="str">
        <f>IF(AW97&gt;AW$114, AW97-AW$114,"")</f>
        <v/>
      </c>
      <c r="CA97" s="1" t="str">
        <f>IF(AX97&gt;AX$114, AX97-AX$114,"")</f>
        <v/>
      </c>
      <c r="CB97" s="1" t="str">
        <f>IF(AY97&gt;AY$114, AY97-AY$114,"")</f>
        <v/>
      </c>
      <c r="CC97" s="1" t="str">
        <f>IF(AZ97&gt;AZ$114, AZ97-AZ$114,"")</f>
        <v/>
      </c>
      <c r="CD97" s="1" t="str">
        <f>IF(BA97&gt;BA$114, BA97-BA$114,"")</f>
        <v/>
      </c>
      <c r="CE97" s="1" t="str">
        <f>IF(BB97&gt;BB$114, BB97-BB$114,"")</f>
        <v/>
      </c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3"/>
    </row>
    <row r="98" spans="1:97" ht="54" x14ac:dyDescent="0.15">
      <c r="A98" s="1"/>
      <c r="B98" s="1" t="s">
        <v>131</v>
      </c>
      <c r="C98" s="1" t="s">
        <v>129</v>
      </c>
      <c r="D98" s="1" t="s">
        <v>107</v>
      </c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28">
        <v>10</v>
      </c>
      <c r="Q98" s="28"/>
      <c r="R98" s="28"/>
      <c r="S98" s="28">
        <v>10</v>
      </c>
      <c r="T98" s="28"/>
      <c r="U98" s="28"/>
      <c r="V98" s="28"/>
      <c r="W98" s="28">
        <v>5</v>
      </c>
      <c r="X98" s="28"/>
      <c r="Y98" s="28"/>
      <c r="Z98" s="28"/>
      <c r="AA98" s="28"/>
      <c r="AB98" s="28">
        <v>10</v>
      </c>
      <c r="AC98" s="28"/>
      <c r="AD98" s="28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/>
      <c r="AS98" s="4"/>
      <c r="AT98" s="4"/>
      <c r="AU98" s="4"/>
      <c r="AV98" s="4"/>
      <c r="AW98" s="2"/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>
        <f>SUM(E98:BO98)</f>
        <v>35</v>
      </c>
      <c r="BQ98" s="1">
        <v>22</v>
      </c>
      <c r="BR98" s="17">
        <v>4</v>
      </c>
      <c r="BS98" s="17" t="s">
        <v>200</v>
      </c>
      <c r="BT98" s="1" t="str">
        <f>IF(AQ98&gt;AQ$114, AQ98-AQ$114,"")</f>
        <v/>
      </c>
      <c r="BU98" s="1" t="str">
        <f>IF(AR98&gt;AR$114, AR98-AR$114,"")</f>
        <v/>
      </c>
      <c r="BV98" s="1" t="str">
        <f>IF(AS98&gt;AS$114, AS98-AS$114,"")</f>
        <v/>
      </c>
      <c r="BW98" s="1" t="str">
        <f>IF(AT98&gt;AT$114, AT98-AT$114,"")</f>
        <v/>
      </c>
      <c r="BX98" s="1" t="str">
        <f>IF(AU98&gt;AU$114, AU98-AU$114,"")</f>
        <v/>
      </c>
      <c r="BY98" s="1" t="str">
        <f>IF(AV98&gt;AV$114, AV98-AV$114,"")</f>
        <v/>
      </c>
      <c r="BZ98" s="1" t="str">
        <f>IF(AW98&gt;AW$114, AW98-AW$114,"")</f>
        <v/>
      </c>
      <c r="CA98" s="1" t="str">
        <f>IF(AX98&gt;AX$114, AX98-AX$114,"")</f>
        <v/>
      </c>
      <c r="CB98" s="1" t="str">
        <f>IF(AY98&gt;AY$114, AY98-AY$114,"")</f>
        <v/>
      </c>
      <c r="CC98" s="1" t="str">
        <f>IF(AZ98&gt;AZ$114, AZ98-AZ$114,"")</f>
        <v/>
      </c>
      <c r="CD98" s="1" t="str">
        <f>IF(BA98&gt;BA$114, BA98-BA$114,"")</f>
        <v/>
      </c>
      <c r="CE98" s="1" t="str">
        <f>IF(BB98&gt;BB$114, BB98-BB$114,"")</f>
        <v/>
      </c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3"/>
    </row>
    <row r="99" spans="1:97" ht="54" x14ac:dyDescent="0.15">
      <c r="A99" s="1"/>
      <c r="B99" s="1" t="s">
        <v>137</v>
      </c>
      <c r="C99" s="1" t="s">
        <v>136</v>
      </c>
      <c r="D99" s="1" t="s">
        <v>107</v>
      </c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28">
        <v>10</v>
      </c>
      <c r="Q99" s="28"/>
      <c r="R99" s="28"/>
      <c r="S99" s="28">
        <v>10</v>
      </c>
      <c r="T99" s="28"/>
      <c r="U99" s="28"/>
      <c r="V99" s="28"/>
      <c r="W99" s="28">
        <v>5</v>
      </c>
      <c r="X99" s="28"/>
      <c r="Y99" s="28"/>
      <c r="Z99" s="28"/>
      <c r="AA99" s="28"/>
      <c r="AB99" s="28">
        <v>10</v>
      </c>
      <c r="AC99" s="28"/>
      <c r="AD99" s="28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/>
      <c r="AS99" s="4"/>
      <c r="AT99" s="4"/>
      <c r="AU99" s="4"/>
      <c r="AV99" s="4"/>
      <c r="AW99" s="2"/>
      <c r="AX99" s="2"/>
      <c r="AY99" s="2"/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>
        <f>SUM(E99:BO99)</f>
        <v>35</v>
      </c>
      <c r="BQ99" s="1">
        <v>22</v>
      </c>
      <c r="BR99" s="17">
        <v>4</v>
      </c>
      <c r="BS99" s="17" t="s">
        <v>200</v>
      </c>
      <c r="BT99" s="1" t="str">
        <f>IF(AQ99&gt;AQ$114, AQ99-AQ$114,"")</f>
        <v/>
      </c>
      <c r="BU99" s="1" t="str">
        <f>IF(AR99&gt;AR$114, AR99-AR$114,"")</f>
        <v/>
      </c>
      <c r="BV99" s="1" t="str">
        <f>IF(AS99&gt;AS$114, AS99-AS$114,"")</f>
        <v/>
      </c>
      <c r="BW99" s="1" t="str">
        <f>IF(AT99&gt;AT$114, AT99-AT$114,"")</f>
        <v/>
      </c>
      <c r="BX99" s="1" t="str">
        <f>IF(AU99&gt;AU$114, AU99-AU$114,"")</f>
        <v/>
      </c>
      <c r="BY99" s="1" t="str">
        <f>IF(AV99&gt;AV$114, AV99-AV$114,"")</f>
        <v/>
      </c>
      <c r="BZ99" s="1" t="str">
        <f>IF(AW99&gt;AW$114, AW99-AW$114,"")</f>
        <v/>
      </c>
      <c r="CA99" s="1" t="str">
        <f>IF(AX99&gt;AX$114, AX99-AX$114,"")</f>
        <v/>
      </c>
      <c r="CB99" s="1" t="str">
        <f>IF(AY99&gt;AY$114, AY99-AY$114,"")</f>
        <v/>
      </c>
      <c r="CC99" s="1" t="str">
        <f>IF(AZ99&gt;AZ$114, AZ99-AZ$114,"")</f>
        <v/>
      </c>
      <c r="CD99" s="1" t="str">
        <f>IF(BA99&gt;BA$114, BA99-BA$114,"")</f>
        <v/>
      </c>
      <c r="CE99" s="1" t="str">
        <f>IF(BB99&gt;BB$114, BB99-BB$114,"")</f>
        <v/>
      </c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3"/>
    </row>
    <row r="100" spans="1:97" ht="54" x14ac:dyDescent="0.15">
      <c r="A100" s="1"/>
      <c r="B100" s="1" t="s">
        <v>143</v>
      </c>
      <c r="C100" s="1" t="s">
        <v>104</v>
      </c>
      <c r="D100" s="1" t="s">
        <v>144</v>
      </c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28">
        <v>10</v>
      </c>
      <c r="Q100" s="28"/>
      <c r="R100" s="28"/>
      <c r="S100" s="28">
        <v>10</v>
      </c>
      <c r="T100" s="28"/>
      <c r="U100" s="28"/>
      <c r="V100" s="28"/>
      <c r="W100" s="28">
        <v>5</v>
      </c>
      <c r="X100" s="28"/>
      <c r="Y100" s="28"/>
      <c r="Z100" s="28"/>
      <c r="AA100" s="28"/>
      <c r="AB100" s="28">
        <v>10</v>
      </c>
      <c r="AC100" s="28"/>
      <c r="AD100" s="28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/>
      <c r="AR100" s="4"/>
      <c r="AS100" s="4"/>
      <c r="AT100" s="4"/>
      <c r="AU100" s="4"/>
      <c r="AV100" s="4"/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>
        <f>SUM(E100:BO100)</f>
        <v>35</v>
      </c>
      <c r="BQ100" s="1">
        <v>22</v>
      </c>
      <c r="BR100" s="17">
        <v>4</v>
      </c>
      <c r="BS100" s="17" t="s">
        <v>265</v>
      </c>
      <c r="BT100" s="1" t="str">
        <f>IF(AQ100&gt;AQ$114, AQ100-AQ$114,"")</f>
        <v/>
      </c>
      <c r="BU100" s="1" t="str">
        <f>IF(AR100&gt;AR$114, AR100-AR$114,"")</f>
        <v/>
      </c>
      <c r="BV100" s="1" t="str">
        <f>IF(AS100&gt;AS$114, AS100-AS$114,"")</f>
        <v/>
      </c>
      <c r="BW100" s="1" t="str">
        <f>IF(AT100&gt;AT$114, AT100-AT$114,"")</f>
        <v/>
      </c>
      <c r="BX100" s="1" t="str">
        <f>IF(AU100&gt;AU$114, AU100-AU$114,"")</f>
        <v/>
      </c>
      <c r="BY100" s="1" t="str">
        <f>IF(AV100&gt;AV$114, AV100-AV$114,"")</f>
        <v/>
      </c>
      <c r="BZ100" s="1" t="str">
        <f>IF(AW100&gt;AW$114, AW100-AW$114,"")</f>
        <v/>
      </c>
      <c r="CA100" s="1" t="str">
        <f>IF(AX100&gt;AX$114, AX100-AX$114,"")</f>
        <v/>
      </c>
      <c r="CB100" s="1" t="str">
        <f>IF(AY100&gt;AY$114, AY100-AY$114,"")</f>
        <v/>
      </c>
      <c r="CC100" s="1" t="str">
        <f>IF(AZ100&gt;AZ$114, AZ100-AZ$114,"")</f>
        <v/>
      </c>
      <c r="CD100" s="1" t="str">
        <f>IF(BA100&gt;BA$114, BA100-BA$114,"")</f>
        <v/>
      </c>
      <c r="CE100" s="1" t="str">
        <f>IF(BB100&gt;BB$114, BB100-BB$114,"")</f>
        <v/>
      </c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3"/>
    </row>
    <row r="101" spans="1:97" ht="54" x14ac:dyDescent="0.15">
      <c r="A101" s="1"/>
      <c r="B101" s="1" t="s">
        <v>148</v>
      </c>
      <c r="C101" s="1" t="s">
        <v>106</v>
      </c>
      <c r="D101" s="1" t="s">
        <v>108</v>
      </c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28"/>
      <c r="Q101" s="28"/>
      <c r="R101" s="28"/>
      <c r="S101" s="28"/>
      <c r="T101" s="28"/>
      <c r="U101" s="28"/>
      <c r="V101" s="28">
        <v>10</v>
      </c>
      <c r="W101" s="28"/>
      <c r="X101" s="28"/>
      <c r="Y101" s="28">
        <v>10</v>
      </c>
      <c r="Z101" s="28"/>
      <c r="AA101" s="28"/>
      <c r="AB101" s="28">
        <v>10</v>
      </c>
      <c r="AC101" s="28">
        <v>5</v>
      </c>
      <c r="AD101" s="28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/>
      <c r="AS101" s="4"/>
      <c r="AT101" s="4"/>
      <c r="AU101" s="4"/>
      <c r="AV101" s="4"/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>
        <f>SUM(E101:BO101)</f>
        <v>35</v>
      </c>
      <c r="BQ101" s="1">
        <v>23</v>
      </c>
      <c r="BR101" s="17">
        <v>4</v>
      </c>
      <c r="BS101" s="17" t="s">
        <v>266</v>
      </c>
      <c r="BT101" s="1" t="str">
        <f>IF(AQ101&gt;AQ$114, AQ101-AQ$114,"")</f>
        <v/>
      </c>
      <c r="BU101" s="1" t="str">
        <f>IF(AR101&gt;AR$114, AR101-AR$114,"")</f>
        <v/>
      </c>
      <c r="BV101" s="1" t="str">
        <f>IF(AS101&gt;AS$114, AS101-AS$114,"")</f>
        <v/>
      </c>
      <c r="BW101" s="1" t="str">
        <f>IF(AT101&gt;AT$114, AT101-AT$114,"")</f>
        <v/>
      </c>
      <c r="BX101" s="1" t="str">
        <f>IF(AU101&gt;AU$114, AU101-AU$114,"")</f>
        <v/>
      </c>
      <c r="BY101" s="1" t="str">
        <f>IF(AV101&gt;AV$114, AV101-AV$114,"")</f>
        <v/>
      </c>
      <c r="BZ101" s="1" t="str">
        <f>IF(AW101&gt;AW$114, AW101-AW$114,"")</f>
        <v/>
      </c>
      <c r="CA101" s="1" t="str">
        <f>IF(AX101&gt;AX$114, AX101-AX$114,"")</f>
        <v/>
      </c>
      <c r="CB101" s="1" t="str">
        <f>IF(AY101&gt;AY$114, AY101-AY$114,"")</f>
        <v/>
      </c>
      <c r="CC101" s="1" t="str">
        <f>IF(AZ101&gt;AZ$114, AZ101-AZ$114,"")</f>
        <v/>
      </c>
      <c r="CD101" s="1" t="str">
        <f>IF(BA101&gt;BA$114, BA101-BA$114,"")</f>
        <v/>
      </c>
      <c r="CE101" s="1" t="str">
        <f>IF(BB101&gt;BB$114, BB101-BB$114,"")</f>
        <v/>
      </c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3"/>
    </row>
    <row r="102" spans="1:97" ht="54" x14ac:dyDescent="0.15">
      <c r="A102" s="1"/>
      <c r="B102" s="1" t="s">
        <v>132</v>
      </c>
      <c r="C102" s="1" t="s">
        <v>134</v>
      </c>
      <c r="D102" s="1" t="s">
        <v>108</v>
      </c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28"/>
      <c r="Q102" s="28"/>
      <c r="R102" s="28"/>
      <c r="S102" s="28"/>
      <c r="T102" s="28"/>
      <c r="U102" s="28"/>
      <c r="V102" s="28">
        <v>10</v>
      </c>
      <c r="W102" s="28"/>
      <c r="X102" s="28"/>
      <c r="Y102" s="28">
        <v>10</v>
      </c>
      <c r="Z102" s="28"/>
      <c r="AA102" s="28"/>
      <c r="AB102" s="28">
        <v>10</v>
      </c>
      <c r="AC102" s="28">
        <v>5</v>
      </c>
      <c r="AD102" s="28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/>
      <c r="AR102" s="4"/>
      <c r="AS102" s="4"/>
      <c r="AT102" s="4"/>
      <c r="AU102" s="4"/>
      <c r="AV102" s="4"/>
      <c r="AW102" s="2"/>
      <c r="AX102" s="2"/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>
        <f>SUM(E102:BO102)</f>
        <v>35</v>
      </c>
      <c r="BQ102" s="1">
        <v>23</v>
      </c>
      <c r="BR102" s="17">
        <v>4</v>
      </c>
      <c r="BS102" s="17" t="s">
        <v>201</v>
      </c>
      <c r="BT102" s="1" t="str">
        <f>IF(AQ102&gt;AQ$114, AQ102-AQ$114,"")</f>
        <v/>
      </c>
      <c r="BU102" s="1" t="str">
        <f>IF(AR102&gt;AR$114, AR102-AR$114,"")</f>
        <v/>
      </c>
      <c r="BV102" s="1" t="str">
        <f>IF(AS102&gt;AS$114, AS102-AS$114,"")</f>
        <v/>
      </c>
      <c r="BW102" s="1" t="str">
        <f>IF(AT102&gt;AT$114, AT102-AT$114,"")</f>
        <v/>
      </c>
      <c r="BX102" s="1" t="str">
        <f>IF(AU102&gt;AU$114, AU102-AU$114,"")</f>
        <v/>
      </c>
      <c r="BY102" s="1" t="str">
        <f>IF(AV102&gt;AV$114, AV102-AV$114,"")</f>
        <v/>
      </c>
      <c r="BZ102" s="1" t="str">
        <f>IF(AW102&gt;AW$114, AW102-AW$114,"")</f>
        <v/>
      </c>
      <c r="CA102" s="1" t="str">
        <f>IF(AX102&gt;AX$114, AX102-AX$114,"")</f>
        <v/>
      </c>
      <c r="CB102" s="1" t="str">
        <f>IF(AY102&gt;AY$114, AY102-AY$114,"")</f>
        <v/>
      </c>
      <c r="CC102" s="1" t="str">
        <f>IF(AZ102&gt;AZ$114, AZ102-AZ$114,"")</f>
        <v/>
      </c>
      <c r="CD102" s="1" t="str">
        <f>IF(BA102&gt;BA$114, BA102-BA$114,"")</f>
        <v/>
      </c>
      <c r="CE102" s="1" t="str">
        <f>IF(BB102&gt;BB$114, BB102-BB$114,"")</f>
        <v/>
      </c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3"/>
    </row>
    <row r="103" spans="1:97" ht="54" x14ac:dyDescent="0.15">
      <c r="A103" s="1"/>
      <c r="B103" s="1" t="s">
        <v>141</v>
      </c>
      <c r="C103" s="1" t="s">
        <v>136</v>
      </c>
      <c r="D103" s="1" t="s">
        <v>108</v>
      </c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28"/>
      <c r="Q103" s="28"/>
      <c r="R103" s="28"/>
      <c r="S103" s="28"/>
      <c r="T103" s="28"/>
      <c r="U103" s="28"/>
      <c r="V103" s="28">
        <v>10</v>
      </c>
      <c r="W103" s="28"/>
      <c r="X103" s="28"/>
      <c r="Y103" s="28">
        <v>10</v>
      </c>
      <c r="Z103" s="28"/>
      <c r="AA103" s="28"/>
      <c r="AB103" s="28">
        <v>10</v>
      </c>
      <c r="AC103" s="28">
        <v>5</v>
      </c>
      <c r="AD103" s="28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/>
      <c r="AR103" s="4"/>
      <c r="AS103" s="4"/>
      <c r="AT103" s="4"/>
      <c r="AU103" s="4"/>
      <c r="AV103" s="4"/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>
        <f>SUM(E103:BO103)</f>
        <v>35</v>
      </c>
      <c r="BQ103" s="1">
        <v>23</v>
      </c>
      <c r="BR103" s="17">
        <v>4</v>
      </c>
      <c r="BS103" s="17" t="s">
        <v>201</v>
      </c>
      <c r="BT103" s="1" t="str">
        <f>IF(AQ103&gt;AQ$114, AQ103-AQ$114,"")</f>
        <v/>
      </c>
      <c r="BU103" s="1" t="str">
        <f>IF(AR103&gt;AR$114, AR103-AR$114,"")</f>
        <v/>
      </c>
      <c r="BV103" s="1" t="str">
        <f>IF(AS103&gt;AS$114, AS103-AS$114,"")</f>
        <v/>
      </c>
      <c r="BW103" s="1" t="str">
        <f>IF(AT103&gt;AT$114, AT103-AT$114,"")</f>
        <v/>
      </c>
      <c r="BX103" s="1" t="str">
        <f>IF(AU103&gt;AU$114, AU103-AU$114,"")</f>
        <v/>
      </c>
      <c r="BY103" s="1" t="str">
        <f>IF(AV103&gt;AV$114, AV103-AV$114,"")</f>
        <v/>
      </c>
      <c r="BZ103" s="1" t="str">
        <f>IF(AW103&gt;AW$114, AW103-AW$114,"")</f>
        <v/>
      </c>
      <c r="CA103" s="1" t="str">
        <f>IF(AX103&gt;AX$114, AX103-AX$114,"")</f>
        <v/>
      </c>
      <c r="CB103" s="1" t="str">
        <f>IF(AY103&gt;AY$114, AY103-AY$114,"")</f>
        <v/>
      </c>
      <c r="CC103" s="1" t="str">
        <f>IF(AZ103&gt;AZ$114, AZ103-AZ$114,"")</f>
        <v/>
      </c>
      <c r="CD103" s="1" t="str">
        <f>IF(BA103&gt;BA$114, BA103-BA$114,"")</f>
        <v/>
      </c>
      <c r="CE103" s="1" t="str">
        <f>IF(BB103&gt;BB$114, BB103-BB$114,"")</f>
        <v/>
      </c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3"/>
    </row>
    <row r="104" spans="1:97" ht="54" x14ac:dyDescent="0.15">
      <c r="A104" s="1"/>
      <c r="B104" s="1" t="s">
        <v>142</v>
      </c>
      <c r="C104" s="1" t="s">
        <v>136</v>
      </c>
      <c r="D104" s="1" t="s">
        <v>108</v>
      </c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28"/>
      <c r="Q104" s="28"/>
      <c r="R104" s="28"/>
      <c r="S104" s="28"/>
      <c r="T104" s="28"/>
      <c r="U104" s="28"/>
      <c r="V104" s="28">
        <v>10</v>
      </c>
      <c r="W104" s="28"/>
      <c r="X104" s="28"/>
      <c r="Y104" s="28">
        <v>10</v>
      </c>
      <c r="Z104" s="28"/>
      <c r="AA104" s="28"/>
      <c r="AB104" s="28">
        <v>10</v>
      </c>
      <c r="AC104" s="28">
        <v>5</v>
      </c>
      <c r="AD104" s="28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/>
      <c r="AS104" s="4"/>
      <c r="AT104" s="4"/>
      <c r="AU104" s="4"/>
      <c r="AV104" s="4"/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>
        <f>SUM(E104:BO104)</f>
        <v>35</v>
      </c>
      <c r="BQ104" s="1">
        <v>23</v>
      </c>
      <c r="BR104" s="17">
        <v>4</v>
      </c>
      <c r="BS104" s="17" t="s">
        <v>266</v>
      </c>
      <c r="BT104" s="1" t="str">
        <f>IF(AQ104&gt;AQ$114, AQ104-AQ$114,"")</f>
        <v/>
      </c>
      <c r="BU104" s="1" t="str">
        <f>IF(AR104&gt;AR$114, AR104-AR$114,"")</f>
        <v/>
      </c>
      <c r="BV104" s="1" t="str">
        <f>IF(AS104&gt;AS$114, AS104-AS$114,"")</f>
        <v/>
      </c>
      <c r="BW104" s="1" t="str">
        <f>IF(AT104&gt;AT$114, AT104-AT$114,"")</f>
        <v/>
      </c>
      <c r="BX104" s="1" t="str">
        <f>IF(AU104&gt;AU$114, AU104-AU$114,"")</f>
        <v/>
      </c>
      <c r="BY104" s="1" t="str">
        <f>IF(AV104&gt;AV$114, AV104-AV$114,"")</f>
        <v/>
      </c>
      <c r="BZ104" s="1" t="str">
        <f>IF(AW104&gt;AW$114, AW104-AW$114,"")</f>
        <v/>
      </c>
      <c r="CA104" s="1" t="str">
        <f>IF(AX104&gt;AX$114, AX104-AX$114,"")</f>
        <v/>
      </c>
      <c r="CB104" s="1" t="str">
        <f>IF(AY104&gt;AY$114, AY104-AY$114,"")</f>
        <v/>
      </c>
      <c r="CC104" s="1" t="str">
        <f>IF(AZ104&gt;AZ$114, AZ104-AZ$114,"")</f>
        <v/>
      </c>
      <c r="CD104" s="1" t="str">
        <f>IF(BA104&gt;BA$114, BA104-BA$114,"")</f>
        <v/>
      </c>
      <c r="CE104" s="1" t="str">
        <f>IF(BB104&gt;BB$114, BB104-BB$114,"")</f>
        <v/>
      </c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3"/>
    </row>
    <row r="105" spans="1:97" ht="54" x14ac:dyDescent="0.15">
      <c r="A105" s="1"/>
      <c r="B105" s="1" t="s">
        <v>133</v>
      </c>
      <c r="C105" s="1" t="s">
        <v>134</v>
      </c>
      <c r="D105" s="1" t="s">
        <v>107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28">
        <v>10</v>
      </c>
      <c r="Q105" s="28"/>
      <c r="R105" s="28"/>
      <c r="S105" s="28">
        <v>10</v>
      </c>
      <c r="T105" s="28"/>
      <c r="U105" s="28"/>
      <c r="V105" s="28"/>
      <c r="W105" s="28"/>
      <c r="X105" s="28"/>
      <c r="Y105" s="28"/>
      <c r="Z105" s="28">
        <v>5</v>
      </c>
      <c r="AA105" s="28"/>
      <c r="AB105" s="28">
        <v>10</v>
      </c>
      <c r="AC105" s="28"/>
      <c r="AD105" s="28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/>
      <c r="AS105" s="4"/>
      <c r="AT105" s="4"/>
      <c r="AU105" s="4"/>
      <c r="AV105" s="4"/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>
        <f>SUM(E105:BO105)</f>
        <v>35</v>
      </c>
      <c r="BQ105" s="1">
        <v>23</v>
      </c>
      <c r="BR105" s="17">
        <v>4</v>
      </c>
      <c r="BS105" s="17" t="s">
        <v>202</v>
      </c>
      <c r="BT105" s="1" t="str">
        <f>IF(AQ105&gt;AQ$114, AQ105-AQ$114,"")</f>
        <v/>
      </c>
      <c r="BU105" s="1" t="str">
        <f>IF(AR105&gt;AR$114, AR105-AR$114,"")</f>
        <v/>
      </c>
      <c r="BV105" s="1" t="str">
        <f>IF(AS105&gt;AS$114, AS105-AS$114,"")</f>
        <v/>
      </c>
      <c r="BW105" s="1" t="str">
        <f>IF(AT105&gt;AT$114, AT105-AT$114,"")</f>
        <v/>
      </c>
      <c r="BX105" s="1" t="str">
        <f>IF(AU105&gt;AU$114, AU105-AU$114,"")</f>
        <v/>
      </c>
      <c r="BY105" s="1" t="str">
        <f>IF(AV105&gt;AV$114, AV105-AV$114,"")</f>
        <v/>
      </c>
      <c r="BZ105" s="1" t="str">
        <f>IF(AW105&gt;AW$114, AW105-AW$114,"")</f>
        <v/>
      </c>
      <c r="CA105" s="1" t="str">
        <f>IF(AX105&gt;AX$114, AX105-AX$114,"")</f>
        <v/>
      </c>
      <c r="CB105" s="1" t="str">
        <f>IF(AY105&gt;AY$114, AY105-AY$114,"")</f>
        <v/>
      </c>
      <c r="CC105" s="1" t="str">
        <f>IF(AZ105&gt;AZ$114, AZ105-AZ$114,"")</f>
        <v/>
      </c>
      <c r="CD105" s="1" t="str">
        <f>IF(BA105&gt;BA$114, BA105-BA$114,"")</f>
        <v/>
      </c>
      <c r="CE105" s="1" t="str">
        <f>IF(BB105&gt;BB$114, BB105-BB$114,"")</f>
        <v/>
      </c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3"/>
    </row>
    <row r="106" spans="1:97" ht="54" x14ac:dyDescent="0.15">
      <c r="A106" s="1"/>
      <c r="B106" s="1" t="s">
        <v>124</v>
      </c>
      <c r="C106" s="1" t="s">
        <v>125</v>
      </c>
      <c r="D106" s="1" t="s">
        <v>108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28"/>
      <c r="Q106" s="28">
        <v>5</v>
      </c>
      <c r="R106" s="28"/>
      <c r="S106" s="28"/>
      <c r="T106" s="28"/>
      <c r="U106" s="28"/>
      <c r="V106" s="28">
        <v>10</v>
      </c>
      <c r="W106" s="28"/>
      <c r="X106" s="28"/>
      <c r="Y106" s="28">
        <v>10</v>
      </c>
      <c r="Z106" s="28"/>
      <c r="AA106" s="28"/>
      <c r="AB106" s="28">
        <v>10</v>
      </c>
      <c r="AC106" s="28"/>
      <c r="AD106" s="28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/>
      <c r="AR106" s="4"/>
      <c r="AS106" s="4"/>
      <c r="AT106" s="4"/>
      <c r="AU106" s="4"/>
      <c r="AV106" s="4"/>
      <c r="AW106" s="2"/>
      <c r="AX106" s="2"/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>
        <f>SUM(E106:BO106)</f>
        <v>35</v>
      </c>
      <c r="BQ106" s="1">
        <v>24</v>
      </c>
      <c r="BR106" s="17">
        <v>4</v>
      </c>
      <c r="BS106" s="17" t="s">
        <v>267</v>
      </c>
      <c r="BT106" s="1" t="str">
        <f>IF(AQ106&gt;AQ$114, AQ106-AQ$114,"")</f>
        <v/>
      </c>
      <c r="BU106" s="1" t="str">
        <f>IF(AR106&gt;AR$114, AR106-AR$114,"")</f>
        <v/>
      </c>
      <c r="BV106" s="1" t="str">
        <f>IF(AS106&gt;AS$114, AS106-AS$114,"")</f>
        <v/>
      </c>
      <c r="BW106" s="1" t="str">
        <f>IF(AT106&gt;AT$114, AT106-AT$114,"")</f>
        <v/>
      </c>
      <c r="BX106" s="1" t="str">
        <f>IF(AU106&gt;AU$114, AU106-AU$114,"")</f>
        <v/>
      </c>
      <c r="BY106" s="1" t="str">
        <f>IF(AV106&gt;AV$114, AV106-AV$114,"")</f>
        <v/>
      </c>
      <c r="BZ106" s="1" t="str">
        <f>IF(AW106&gt;AW$114, AW106-AW$114,"")</f>
        <v/>
      </c>
      <c r="CA106" s="1" t="str">
        <f>IF(AX106&gt;AX$114, AX106-AX$114,"")</f>
        <v/>
      </c>
      <c r="CB106" s="1" t="str">
        <f>IF(AY106&gt;AY$114, AY106-AY$114,"")</f>
        <v/>
      </c>
      <c r="CC106" s="1" t="str">
        <f>IF(AZ106&gt;AZ$114, AZ106-AZ$114,"")</f>
        <v/>
      </c>
      <c r="CD106" s="1" t="str">
        <f>IF(BA106&gt;BA$114, BA106-BA$114,"")</f>
        <v/>
      </c>
      <c r="CE106" s="1" t="str">
        <f>IF(BB106&gt;BB$114, BB106-BB$114,"")</f>
        <v/>
      </c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3"/>
    </row>
    <row r="107" spans="1:97" ht="54" x14ac:dyDescent="0.15">
      <c r="A107" s="1"/>
      <c r="B107" s="1" t="s">
        <v>130</v>
      </c>
      <c r="C107" s="1" t="s">
        <v>129</v>
      </c>
      <c r="D107" s="1" t="s">
        <v>108</v>
      </c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28"/>
      <c r="Q107" s="28">
        <v>5</v>
      </c>
      <c r="R107" s="28"/>
      <c r="S107" s="28"/>
      <c r="T107" s="28"/>
      <c r="U107" s="28"/>
      <c r="V107" s="28">
        <v>10</v>
      </c>
      <c r="W107" s="28"/>
      <c r="X107" s="28"/>
      <c r="Y107" s="28">
        <v>10</v>
      </c>
      <c r="Z107" s="28"/>
      <c r="AA107" s="28"/>
      <c r="AB107" s="28">
        <v>10</v>
      </c>
      <c r="AC107" s="28"/>
      <c r="AD107" s="28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/>
      <c r="AT107" s="4"/>
      <c r="AU107" s="4"/>
      <c r="AV107" s="4"/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>
        <f>SUM(E107:BO107)</f>
        <v>35</v>
      </c>
      <c r="BQ107" s="1">
        <v>24</v>
      </c>
      <c r="BR107" s="17">
        <v>4</v>
      </c>
      <c r="BS107" s="17" t="s">
        <v>267</v>
      </c>
      <c r="BT107" s="1" t="str">
        <f>IF(AQ107&gt;AQ$114, AQ107-AQ$114,"")</f>
        <v/>
      </c>
      <c r="BU107" s="1" t="str">
        <f>IF(AR107&gt;AR$114, AR107-AR$114,"")</f>
        <v/>
      </c>
      <c r="BV107" s="1" t="str">
        <f>IF(AS107&gt;AS$114, AS107-AS$114,"")</f>
        <v/>
      </c>
      <c r="BW107" s="1" t="str">
        <f>IF(AT107&gt;AT$114, AT107-AT$114,"")</f>
        <v/>
      </c>
      <c r="BX107" s="1" t="str">
        <f>IF(AU107&gt;AU$114, AU107-AU$114,"")</f>
        <v/>
      </c>
      <c r="BY107" s="1" t="str">
        <f>IF(AV107&gt;AV$114, AV107-AV$114,"")</f>
        <v/>
      </c>
      <c r="BZ107" s="1" t="str">
        <f>IF(AW107&gt;AW$114, AW107-AW$114,"")</f>
        <v/>
      </c>
      <c r="CA107" s="1" t="str">
        <f>IF(AX107&gt;AX$114, AX107-AX$114,"")</f>
        <v/>
      </c>
      <c r="CB107" s="1" t="str">
        <f>IF(AY107&gt;AY$114, AY107-AY$114,"")</f>
        <v/>
      </c>
      <c r="CC107" s="1" t="str">
        <f>IF(AZ107&gt;AZ$114, AZ107-AZ$114,"")</f>
        <v/>
      </c>
      <c r="CD107" s="1" t="str">
        <f>IF(BA107&gt;BA$114, BA107-BA$114,"")</f>
        <v/>
      </c>
      <c r="CE107" s="1" t="str">
        <f>IF(BB107&gt;BB$114, BB107-BB$114,"")</f>
        <v/>
      </c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3"/>
    </row>
    <row r="108" spans="1:97" ht="54" x14ac:dyDescent="0.15">
      <c r="A108" s="1"/>
      <c r="B108" s="1" t="s">
        <v>124</v>
      </c>
      <c r="C108" s="1" t="s">
        <v>125</v>
      </c>
      <c r="D108" s="1" t="s">
        <v>107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28">
        <v>10</v>
      </c>
      <c r="Q108" s="28"/>
      <c r="R108" s="28"/>
      <c r="S108" s="28">
        <v>10</v>
      </c>
      <c r="T108" s="28"/>
      <c r="U108" s="28"/>
      <c r="V108" s="28">
        <v>10</v>
      </c>
      <c r="W108" s="28"/>
      <c r="X108" s="28"/>
      <c r="Y108" s="28">
        <v>10</v>
      </c>
      <c r="Z108" s="28"/>
      <c r="AA108" s="28"/>
      <c r="AB108" s="28"/>
      <c r="AC108" s="28"/>
      <c r="AD108" s="28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/>
      <c r="AR108" s="4"/>
      <c r="AS108" s="4"/>
      <c r="AT108" s="4"/>
      <c r="AU108" s="4"/>
      <c r="AV108" s="4"/>
      <c r="AW108" s="2"/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>
        <f>SUM(E108:BO108)</f>
        <v>40</v>
      </c>
      <c r="BQ108" s="1">
        <v>35</v>
      </c>
      <c r="BR108" s="17">
        <v>4</v>
      </c>
      <c r="BS108" s="17" t="s">
        <v>268</v>
      </c>
      <c r="BT108" s="1" t="str">
        <f>IF(AQ108&gt;AQ$114, AQ108-AQ$114,"")</f>
        <v/>
      </c>
      <c r="BU108" s="1" t="str">
        <f>IF(AR108&gt;AR$114, AR108-AR$114,"")</f>
        <v/>
      </c>
      <c r="BV108" s="1" t="str">
        <f>IF(AS108&gt;AS$114, AS108-AS$114,"")</f>
        <v/>
      </c>
      <c r="BW108" s="1" t="str">
        <f>IF(AT108&gt;AT$114, AT108-AT$114,"")</f>
        <v/>
      </c>
      <c r="BX108" s="1" t="str">
        <f>IF(AU108&gt;AU$114, AU108-AU$114,"")</f>
        <v/>
      </c>
      <c r="BY108" s="1" t="str">
        <f>IF(AV108&gt;AV$114, AV108-AV$114,"")</f>
        <v/>
      </c>
      <c r="BZ108" s="1" t="str">
        <f>IF(AW108&gt;AW$114, AW108-AW$114,"")</f>
        <v/>
      </c>
      <c r="CA108" s="1" t="str">
        <f>IF(AX108&gt;AX$114, AX108-AX$114,"")</f>
        <v/>
      </c>
      <c r="CB108" s="1" t="str">
        <f>IF(AY108&gt;AY$114, AY108-AY$114,"")</f>
        <v/>
      </c>
      <c r="CC108" s="1" t="str">
        <f>IF(AZ108&gt;AZ$114, AZ108-AZ$114,"")</f>
        <v/>
      </c>
      <c r="CD108" s="1" t="str">
        <f>IF(BA108&gt;BA$114, BA108-BA$114,"")</f>
        <v/>
      </c>
      <c r="CE108" s="1" t="str">
        <f>IF(BB108&gt;BB$114, BB108-BB$114,"")</f>
        <v/>
      </c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3"/>
    </row>
    <row r="109" spans="1:97" ht="54" x14ac:dyDescent="0.15">
      <c r="A109" s="1"/>
      <c r="B109" s="1" t="s">
        <v>130</v>
      </c>
      <c r="C109" s="1" t="s">
        <v>129</v>
      </c>
      <c r="D109" s="1" t="s">
        <v>107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28">
        <v>10</v>
      </c>
      <c r="Q109" s="28"/>
      <c r="R109" s="28"/>
      <c r="S109" s="28">
        <v>10</v>
      </c>
      <c r="T109" s="28"/>
      <c r="U109" s="28"/>
      <c r="V109" s="28">
        <v>10</v>
      </c>
      <c r="W109" s="28"/>
      <c r="X109" s="28"/>
      <c r="Y109" s="28">
        <v>10</v>
      </c>
      <c r="Z109" s="28"/>
      <c r="AA109" s="28"/>
      <c r="AB109" s="28"/>
      <c r="AC109" s="28"/>
      <c r="AD109" s="28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/>
      <c r="AV109" s="4"/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>
        <f>SUM(E109:BO109)</f>
        <v>40</v>
      </c>
      <c r="BQ109" s="1">
        <v>35</v>
      </c>
      <c r="BR109" s="17">
        <v>4</v>
      </c>
      <c r="BS109" s="17" t="s">
        <v>269</v>
      </c>
      <c r="BT109" s="1" t="str">
        <f>IF(AQ109&gt;AQ$114, AQ109-AQ$114,"")</f>
        <v/>
      </c>
      <c r="BU109" s="1" t="str">
        <f>IF(AR109&gt;AR$114, AR109-AR$114,"")</f>
        <v/>
      </c>
      <c r="BV109" s="1" t="str">
        <f>IF(AS109&gt;AS$114, AS109-AS$114,"")</f>
        <v/>
      </c>
      <c r="BW109" s="1" t="str">
        <f>IF(AT109&gt;AT$114, AT109-AT$114,"")</f>
        <v/>
      </c>
      <c r="BX109" s="1" t="str">
        <f>IF(AU109&gt;AU$114, AU109-AU$114,"")</f>
        <v/>
      </c>
      <c r="BY109" s="1" t="str">
        <f>IF(AV109&gt;AV$114, AV109-AV$114,"")</f>
        <v/>
      </c>
      <c r="BZ109" s="1" t="str">
        <f>IF(AW109&gt;AW$114, AW109-AW$114,"")</f>
        <v/>
      </c>
      <c r="CA109" s="1" t="str">
        <f>IF(AX109&gt;AX$114, AX109-AX$114,"")</f>
        <v/>
      </c>
      <c r="CB109" s="1" t="str">
        <f>IF(AY109&gt;AY$114, AY109-AY$114,"")</f>
        <v/>
      </c>
      <c r="CC109" s="1" t="str">
        <f>IF(AZ109&gt;AZ$114, AZ109-AZ$114,"")</f>
        <v/>
      </c>
      <c r="CD109" s="1" t="str">
        <f>IF(BA109&gt;BA$114, BA109-BA$114,"")</f>
        <v/>
      </c>
      <c r="CE109" s="1" t="str">
        <f>IF(BB109&gt;BB$114, BB109-BB$114,"")</f>
        <v/>
      </c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3"/>
    </row>
    <row r="110" spans="1:97" ht="54" x14ac:dyDescent="0.15">
      <c r="A110" s="1"/>
      <c r="B110" s="1" t="s">
        <v>132</v>
      </c>
      <c r="C110" s="1" t="s">
        <v>134</v>
      </c>
      <c r="D110" s="1" t="s">
        <v>107</v>
      </c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28">
        <v>10</v>
      </c>
      <c r="Q110" s="28"/>
      <c r="R110" s="28"/>
      <c r="S110" s="28">
        <v>10</v>
      </c>
      <c r="T110" s="28"/>
      <c r="U110" s="28"/>
      <c r="V110" s="28">
        <v>10</v>
      </c>
      <c r="W110" s="28"/>
      <c r="X110" s="28"/>
      <c r="Y110" s="28">
        <v>10</v>
      </c>
      <c r="Z110" s="28"/>
      <c r="AA110" s="28"/>
      <c r="AB110" s="28"/>
      <c r="AC110" s="28"/>
      <c r="AD110" s="28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/>
      <c r="AR110" s="4"/>
      <c r="AS110" s="4"/>
      <c r="AT110" s="4"/>
      <c r="AU110" s="4"/>
      <c r="AV110" s="4"/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>
        <f>SUM(E110:BO110)</f>
        <v>40</v>
      </c>
      <c r="BQ110" s="1">
        <v>35</v>
      </c>
      <c r="BR110" s="17">
        <v>4</v>
      </c>
      <c r="BS110" s="17" t="s">
        <v>268</v>
      </c>
      <c r="BT110" s="1" t="str">
        <f>IF(AQ110&gt;AQ$114, AQ110-AQ$114,"")</f>
        <v/>
      </c>
      <c r="BU110" s="1" t="str">
        <f>IF(AR110&gt;AR$114, AR110-AR$114,"")</f>
        <v/>
      </c>
      <c r="BV110" s="1" t="str">
        <f>IF(AS110&gt;AS$114, AS110-AS$114,"")</f>
        <v/>
      </c>
      <c r="BW110" s="1" t="str">
        <f>IF(AT110&gt;AT$114, AT110-AT$114,"")</f>
        <v/>
      </c>
      <c r="BX110" s="1" t="str">
        <f>IF(AU110&gt;AU$114, AU110-AU$114,"")</f>
        <v/>
      </c>
      <c r="BY110" s="1" t="str">
        <f>IF(AV110&gt;AV$114, AV110-AV$114,"")</f>
        <v/>
      </c>
      <c r="BZ110" s="1" t="str">
        <f>IF(AW110&gt;AW$114, AW110-AW$114,"")</f>
        <v/>
      </c>
      <c r="CA110" s="1" t="str">
        <f>IF(AX110&gt;AX$114, AX110-AX$114,"")</f>
        <v/>
      </c>
      <c r="CB110" s="1" t="str">
        <f>IF(AY110&gt;AY$114, AY110-AY$114,"")</f>
        <v/>
      </c>
      <c r="CC110" s="1" t="str">
        <f>IF(AZ110&gt;AZ$114, AZ110-AZ$114,"")</f>
        <v/>
      </c>
      <c r="CD110" s="1" t="str">
        <f>IF(BA110&gt;BA$114, BA110-BA$114,"")</f>
        <v/>
      </c>
      <c r="CE110" s="1" t="str">
        <f>IF(BB110&gt;BB$114, BB110-BB$114,"")</f>
        <v/>
      </c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3"/>
    </row>
    <row r="111" spans="1:97" ht="54" x14ac:dyDescent="0.15">
      <c r="A111" s="1"/>
      <c r="B111" s="1" t="s">
        <v>138</v>
      </c>
      <c r="C111" s="1" t="s">
        <v>136</v>
      </c>
      <c r="D111" s="1" t="s">
        <v>107</v>
      </c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28">
        <v>10</v>
      </c>
      <c r="Q111" s="28"/>
      <c r="R111" s="28"/>
      <c r="S111" s="28">
        <v>10</v>
      </c>
      <c r="T111" s="28"/>
      <c r="U111" s="28"/>
      <c r="V111" s="28">
        <v>10</v>
      </c>
      <c r="W111" s="28"/>
      <c r="X111" s="28"/>
      <c r="Y111" s="28">
        <v>10</v>
      </c>
      <c r="Z111" s="28"/>
      <c r="AA111" s="28"/>
      <c r="AB111" s="28"/>
      <c r="AC111" s="28"/>
      <c r="AD111" s="28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/>
      <c r="AR111" s="4"/>
      <c r="AS111" s="4"/>
      <c r="AT111" s="4"/>
      <c r="AU111" s="4"/>
      <c r="AV111" s="4"/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>
        <f>SUM(E111:BO111)</f>
        <v>40</v>
      </c>
      <c r="BQ111" s="1">
        <v>35</v>
      </c>
      <c r="BR111" s="17">
        <v>4</v>
      </c>
      <c r="BS111" s="17" t="s">
        <v>269</v>
      </c>
      <c r="BT111" s="1" t="str">
        <f>IF(AQ111&gt;AQ$114, AQ111-AQ$114,"")</f>
        <v/>
      </c>
      <c r="BU111" s="1" t="str">
        <f>IF(AR111&gt;AR$114, AR111-AR$114,"")</f>
        <v/>
      </c>
      <c r="BV111" s="1" t="str">
        <f>IF(AS111&gt;AS$114, AS111-AS$114,"")</f>
        <v/>
      </c>
      <c r="BW111" s="1" t="str">
        <f>IF(AT111&gt;AT$114, AT111-AT$114,"")</f>
        <v/>
      </c>
      <c r="BX111" s="1" t="str">
        <f>IF(AU111&gt;AU$114, AU111-AU$114,"")</f>
        <v/>
      </c>
      <c r="BY111" s="1" t="str">
        <f>IF(AV111&gt;AV$114, AV111-AV$114,"")</f>
        <v/>
      </c>
      <c r="BZ111" s="1" t="str">
        <f>IF(AW111&gt;AW$114, AW111-AW$114,"")</f>
        <v/>
      </c>
      <c r="CA111" s="1" t="str">
        <f>IF(AX111&gt;AX$114, AX111-AX$114,"")</f>
        <v/>
      </c>
      <c r="CB111" s="1" t="str">
        <f>IF(AY111&gt;AY$114, AY111-AY$114,"")</f>
        <v/>
      </c>
      <c r="CC111" s="1" t="str">
        <f>IF(AZ111&gt;AZ$114, AZ111-AZ$114,"")</f>
        <v/>
      </c>
      <c r="CD111" s="1" t="str">
        <f>IF(BA111&gt;BA$114, BA111-BA$114,"")</f>
        <v/>
      </c>
      <c r="CE111" s="1" t="str">
        <f>IF(BB111&gt;BB$114, BB111-BB$114,"")</f>
        <v/>
      </c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3"/>
    </row>
    <row r="112" spans="1:97" ht="54" x14ac:dyDescent="0.15">
      <c r="A112" s="1"/>
      <c r="B112" s="1" t="s">
        <v>141</v>
      </c>
      <c r="C112" s="1" t="s">
        <v>136</v>
      </c>
      <c r="D112" s="1" t="s">
        <v>107</v>
      </c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28">
        <v>10</v>
      </c>
      <c r="Q112" s="28"/>
      <c r="R112" s="28"/>
      <c r="S112" s="28">
        <v>10</v>
      </c>
      <c r="T112" s="28"/>
      <c r="U112" s="28"/>
      <c r="V112" s="28">
        <v>10</v>
      </c>
      <c r="W112" s="28"/>
      <c r="X112" s="28"/>
      <c r="Y112" s="28">
        <v>10</v>
      </c>
      <c r="Z112" s="28"/>
      <c r="AA112" s="28"/>
      <c r="AB112" s="28"/>
      <c r="AC112" s="28"/>
      <c r="AD112" s="28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/>
      <c r="AR112" s="4"/>
      <c r="AS112" s="4"/>
      <c r="AT112" s="4"/>
      <c r="AU112" s="4"/>
      <c r="AV112" s="4"/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>
        <f>SUM(E112:BO112)</f>
        <v>40</v>
      </c>
      <c r="BQ112" s="1">
        <v>35</v>
      </c>
      <c r="BR112" s="17">
        <v>4</v>
      </c>
      <c r="BS112" s="17" t="s">
        <v>268</v>
      </c>
      <c r="BT112" s="1" t="str">
        <f>IF(AQ112&gt;AQ$114, AQ112-AQ$114,"")</f>
        <v/>
      </c>
      <c r="BU112" s="1" t="str">
        <f>IF(AR112&gt;AR$114, AR112-AR$114,"")</f>
        <v/>
      </c>
      <c r="BV112" s="1" t="str">
        <f>IF(AS112&gt;AS$114, AS112-AS$114,"")</f>
        <v/>
      </c>
      <c r="BW112" s="1" t="str">
        <f>IF(AT112&gt;AT$114, AT112-AT$114,"")</f>
        <v/>
      </c>
      <c r="BX112" s="1" t="str">
        <f>IF(AU112&gt;AU$114, AU112-AU$114,"")</f>
        <v/>
      </c>
      <c r="BY112" s="1" t="str">
        <f>IF(AV112&gt;AV$114, AV112-AV$114,"")</f>
        <v/>
      </c>
      <c r="BZ112" s="1" t="str">
        <f>IF(AW112&gt;AW$114, AW112-AW$114,"")</f>
        <v/>
      </c>
      <c r="CA112" s="1" t="str">
        <f>IF(AX112&gt;AX$114, AX112-AX$114,"")</f>
        <v/>
      </c>
      <c r="CB112" s="1" t="str">
        <f>IF(AY112&gt;AY$114, AY112-AY$114,"")</f>
        <v/>
      </c>
      <c r="CC112" s="1" t="str">
        <f>IF(AZ112&gt;AZ$114, AZ112-AZ$114,"")</f>
        <v/>
      </c>
      <c r="CD112" s="1" t="str">
        <f>IF(BA112&gt;BA$114, BA112-BA$114,"")</f>
        <v/>
      </c>
      <c r="CE112" s="1" t="str">
        <f>IF(BB112&gt;BB$114, BB112-BB$114,"")</f>
        <v/>
      </c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3"/>
    </row>
    <row r="113" spans="1:97" ht="54" x14ac:dyDescent="0.15">
      <c r="A113" s="1"/>
      <c r="B113" s="1" t="s">
        <v>142</v>
      </c>
      <c r="C113" s="1" t="s">
        <v>136</v>
      </c>
      <c r="D113" s="1" t="s">
        <v>107</v>
      </c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28">
        <v>10</v>
      </c>
      <c r="Q113" s="28"/>
      <c r="R113" s="28"/>
      <c r="S113" s="28">
        <v>10</v>
      </c>
      <c r="T113" s="28"/>
      <c r="U113" s="28"/>
      <c r="V113" s="28">
        <v>10</v>
      </c>
      <c r="W113" s="28"/>
      <c r="X113" s="28"/>
      <c r="Y113" s="28">
        <v>10</v>
      </c>
      <c r="Z113" s="28"/>
      <c r="AA113" s="28"/>
      <c r="AB113" s="28"/>
      <c r="AC113" s="28"/>
      <c r="AD113" s="28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/>
      <c r="AR113" s="4"/>
      <c r="AS113" s="4"/>
      <c r="AT113" s="4"/>
      <c r="AU113" s="4"/>
      <c r="AV113" s="4"/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>
        <f>SUM(E113:BO113)</f>
        <v>40</v>
      </c>
      <c r="BQ113" s="1">
        <v>35</v>
      </c>
      <c r="BR113" s="17">
        <v>4</v>
      </c>
      <c r="BS113" s="17" t="s">
        <v>268</v>
      </c>
      <c r="BT113" s="1" t="str">
        <f>IF(AQ113&gt;AQ$114, AQ113-AQ$114,"")</f>
        <v/>
      </c>
      <c r="BU113" s="1" t="str">
        <f>IF(AR113&gt;AR$114, AR113-AR$114,"")</f>
        <v/>
      </c>
      <c r="BV113" s="1" t="str">
        <f>IF(AS113&gt;AS$114, AS113-AS$114,"")</f>
        <v/>
      </c>
      <c r="BW113" s="1" t="str">
        <f>IF(AT113&gt;AT$114, AT113-AT$114,"")</f>
        <v/>
      </c>
      <c r="BX113" s="1" t="str">
        <f>IF(AU113&gt;AU$114, AU113-AU$114,"")</f>
        <v/>
      </c>
      <c r="BY113" s="1" t="str">
        <f>IF(AV113&gt;AV$114, AV113-AV$114,"")</f>
        <v/>
      </c>
      <c r="BZ113" s="1" t="str">
        <f>IF(AW113&gt;AW$114, AW113-AW$114,"")</f>
        <v/>
      </c>
      <c r="CA113" s="1" t="str">
        <f>IF(AX113&gt;AX$114, AX113-AX$114,"")</f>
        <v/>
      </c>
      <c r="CB113" s="1" t="str">
        <f>IF(AY113&gt;AY$114, AY113-AY$114,"")</f>
        <v/>
      </c>
      <c r="CC113" s="1" t="str">
        <f>IF(AZ113&gt;AZ$114, AZ113-AZ$114,"")</f>
        <v/>
      </c>
      <c r="CD113" s="1" t="str">
        <f>IF(BA113&gt;BA$114, BA113-BA$114,"")</f>
        <v/>
      </c>
      <c r="CE113" s="1" t="str">
        <f>IF(BB113&gt;BB$114, BB113-BB$114,"")</f>
        <v/>
      </c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3"/>
    </row>
    <row r="114" spans="1:97" x14ac:dyDescent="0.15">
      <c r="A114" s="1"/>
      <c r="B114" s="1" t="s">
        <v>59</v>
      </c>
      <c r="C114" s="1"/>
      <c r="D114" s="1"/>
      <c r="E114" s="6">
        <f>SUM(E2:E113)</f>
        <v>123</v>
      </c>
      <c r="F114" s="6">
        <f>SUM(F2:F113)</f>
        <v>38</v>
      </c>
      <c r="G114" s="6">
        <f>SUM(G2:G113)</f>
        <v>150</v>
      </c>
      <c r="H114" s="6">
        <f>SUM(H2:H113)</f>
        <v>119</v>
      </c>
      <c r="I114" s="6">
        <f>SUM(I2:I113)</f>
        <v>17</v>
      </c>
      <c r="J114" s="6">
        <f>SUM(J2:J113)</f>
        <v>40</v>
      </c>
      <c r="K114" s="6">
        <f>SUM(K2:K113)</f>
        <v>6</v>
      </c>
      <c r="L114" s="6">
        <f>SUM(L2:L113)</f>
        <v>76</v>
      </c>
      <c r="M114" s="6">
        <f>SUM(M2:M113)</f>
        <v>37</v>
      </c>
      <c r="N114" s="6">
        <f>SUM(N2:N113)</f>
        <v>0</v>
      </c>
      <c r="O114" s="6">
        <f>SUM(O2:O113)</f>
        <v>68</v>
      </c>
      <c r="P114" s="28">
        <f>SUM(P2:P113)</f>
        <v>130</v>
      </c>
      <c r="Q114" s="28">
        <f>SUM(Q2:Q113)</f>
        <v>76</v>
      </c>
      <c r="R114" s="28">
        <f>SUM(R2:R113)</f>
        <v>83</v>
      </c>
      <c r="S114" s="28">
        <f>SUM(S2:S113)</f>
        <v>130</v>
      </c>
      <c r="T114" s="28">
        <f>SUM(T2:T113)</f>
        <v>61</v>
      </c>
      <c r="U114" s="28">
        <f>SUM(U2:U113)</f>
        <v>62</v>
      </c>
      <c r="V114" s="28">
        <f>SUM(V2:V113)</f>
        <v>135</v>
      </c>
      <c r="W114" s="28">
        <f>SUM(W2:W113)</f>
        <v>35</v>
      </c>
      <c r="X114" s="28">
        <f>SUM(X2:X113)</f>
        <v>59</v>
      </c>
      <c r="Y114" s="28">
        <f>SUM(Y2:Y113)</f>
        <v>125</v>
      </c>
      <c r="Z114" s="28">
        <f>SUM(Z2:Z113)</f>
        <v>50</v>
      </c>
      <c r="AA114" s="28">
        <f>SUM(AA2:AA113)</f>
        <v>35</v>
      </c>
      <c r="AB114" s="28">
        <f>SUM(AB2:AB113)</f>
        <v>140</v>
      </c>
      <c r="AC114" s="28">
        <f>SUM(AC2:AC113)</f>
        <v>30</v>
      </c>
      <c r="AD114" s="28">
        <f>SUM(AD2:AD113)</f>
        <v>22</v>
      </c>
      <c r="AE114" s="1">
        <f>SUM(AE2:AE113)</f>
        <v>250</v>
      </c>
      <c r="AF114" s="1">
        <f>SUM(AF2:AF113)</f>
        <v>10</v>
      </c>
      <c r="AG114" s="1">
        <f>SUM(AG2:AG113)</f>
        <v>10</v>
      </c>
      <c r="AH114" s="1">
        <f>SUM(AH2:AH113)</f>
        <v>30</v>
      </c>
      <c r="AI114" s="1">
        <f>SUM(AI2:AI113)</f>
        <v>30</v>
      </c>
      <c r="AJ114" s="1">
        <f>SUM(AJ2:AJ113)</f>
        <v>5</v>
      </c>
      <c r="AK114" s="1">
        <f>SUM(AK2:AK113)</f>
        <v>0</v>
      </c>
      <c r="AL114" s="1">
        <f>SUM(AL2:AL113)</f>
        <v>0</v>
      </c>
      <c r="AM114" s="1">
        <f>SUM(AM2:AM113)</f>
        <v>5</v>
      </c>
      <c r="AN114" s="1">
        <f>SUM(AN2:AN113)</f>
        <v>50</v>
      </c>
      <c r="AO114" s="1">
        <f>SUM(AO2:AO113)</f>
        <v>33</v>
      </c>
      <c r="AP114" s="1">
        <f>SUM(AP2:AP113)</f>
        <v>27</v>
      </c>
      <c r="AQ114" s="4">
        <f>SUM(AQ2:AQ113)</f>
        <v>105</v>
      </c>
      <c r="AR114" s="4">
        <f>SUM(AR2:AR113)</f>
        <v>80</v>
      </c>
      <c r="AS114" s="4">
        <f>SUM(AS2:AS113)</f>
        <v>55</v>
      </c>
      <c r="AT114" s="4">
        <f>SUM(AT2:AT113)</f>
        <v>75</v>
      </c>
      <c r="AU114" s="4">
        <f>SUM(AU2:AU113)</f>
        <v>55</v>
      </c>
      <c r="AV114" s="4">
        <f>SUM(AV2:AV113)</f>
        <v>95</v>
      </c>
      <c r="AW114" s="2">
        <f>SUM(AW2:AW113)</f>
        <v>125</v>
      </c>
      <c r="AX114" s="2">
        <f>SUM(AX2:AX113)</f>
        <v>85</v>
      </c>
      <c r="AY114" s="2">
        <f>SUM(AY2:AY113)</f>
        <v>50</v>
      </c>
      <c r="AZ114" s="2">
        <f>SUM(AZ2:AZ113)</f>
        <v>60</v>
      </c>
      <c r="BA114" s="2">
        <f>SUM(BA2:BA113)</f>
        <v>155</v>
      </c>
      <c r="BB114" s="2">
        <f>SUM(BB2:BB113)</f>
        <v>235</v>
      </c>
      <c r="BC114" s="1">
        <f>SUM(BC2:BC113)</f>
        <v>20</v>
      </c>
      <c r="BD114" s="1">
        <f>SUM(BD2:BD113)</f>
        <v>130</v>
      </c>
      <c r="BE114" s="1">
        <f>SUM(BE2:BE113)</f>
        <v>130</v>
      </c>
      <c r="BF114" s="1">
        <f>SUM(BF2:BF113)</f>
        <v>80</v>
      </c>
      <c r="BG114" s="1">
        <f>SUM(BG2:BG113)</f>
        <v>80</v>
      </c>
      <c r="BH114" s="1">
        <f>SUM(BH2:BH113)</f>
        <v>75</v>
      </c>
      <c r="BI114" s="1">
        <f>SUM(BI2:BI113)</f>
        <v>55</v>
      </c>
      <c r="BJ114" s="1">
        <f>SUM(BJ2:BJ113)</f>
        <v>200</v>
      </c>
      <c r="BK114" s="1">
        <f>SUM(BK2:BK113)</f>
        <v>200</v>
      </c>
      <c r="BL114" s="1">
        <f>SUM(BL2:BL113)</f>
        <v>150</v>
      </c>
      <c r="BM114" s="1">
        <f>SUM(BM2:BM113)</f>
        <v>150</v>
      </c>
      <c r="BN114" s="1">
        <f>SUM(BN2:BN113)</f>
        <v>350</v>
      </c>
      <c r="BO114" s="1">
        <f>SUM(BO2:BO113)</f>
        <v>350</v>
      </c>
      <c r="BP114" s="1"/>
      <c r="BQ114" s="1"/>
      <c r="BR114" s="17"/>
      <c r="BS114" s="17"/>
      <c r="BT114" s="1">
        <f>MIN(BT3:BT113)</f>
        <v>0</v>
      </c>
      <c r="BU114" s="1">
        <f>MIN(BU3:BU113)</f>
        <v>0</v>
      </c>
      <c r="BV114" s="1">
        <f>MIN(BV3:BV113)</f>
        <v>0</v>
      </c>
      <c r="BW114" s="1">
        <f>MIN(BW3:BW113)</f>
        <v>0</v>
      </c>
      <c r="BX114" s="1">
        <f>MIN(BX3:BX113)</f>
        <v>0</v>
      </c>
      <c r="BY114" s="1">
        <f>MIN(BY3:BY113)</f>
        <v>0</v>
      </c>
      <c r="BZ114" s="1">
        <f>MIN(BZ3:BZ113)</f>
        <v>0</v>
      </c>
      <c r="CA114" s="1">
        <f>MIN(CA3:CA113)</f>
        <v>0</v>
      </c>
      <c r="CB114" s="1">
        <f>MIN(CB3:CB113)</f>
        <v>0</v>
      </c>
      <c r="CC114" s="1">
        <f>MIN(CC3:CC113)</f>
        <v>0</v>
      </c>
      <c r="CD114" s="1">
        <f>MIN(CD3:CD113)</f>
        <v>0</v>
      </c>
      <c r="CE114" s="1">
        <f>MIN(CE3:CE113)</f>
        <v>0</v>
      </c>
      <c r="CF114" s="1"/>
      <c r="CG114" s="1">
        <f>MIN(CG3:CG113)</f>
        <v>0</v>
      </c>
      <c r="CH114" s="1">
        <f>MIN(CH3:CH113)</f>
        <v>0</v>
      </c>
      <c r="CI114" s="1">
        <f>MIN(CI3:CI113)</f>
        <v>0</v>
      </c>
      <c r="CJ114" s="1">
        <f>MIN(CJ3:CJ113)</f>
        <v>0</v>
      </c>
      <c r="CK114" s="1">
        <f>MIN(CK3:CK113)</f>
        <v>0</v>
      </c>
      <c r="CL114" s="1">
        <f>MIN(CL3:CL113)</f>
        <v>0</v>
      </c>
      <c r="CM114" s="1">
        <f>MIN(CM3:CM113)</f>
        <v>0</v>
      </c>
      <c r="CN114" s="1">
        <f>MIN(CN3:CN113)</f>
        <v>0</v>
      </c>
      <c r="CO114" s="1">
        <f>MIN(CO3:CO113)</f>
        <v>0</v>
      </c>
      <c r="CP114" s="1">
        <f>MIN(CP3:CP113)</f>
        <v>0</v>
      </c>
      <c r="CQ114" s="1">
        <f>MIN(CQ3:CQ113)</f>
        <v>0</v>
      </c>
      <c r="CR114" s="1">
        <f>MIN(CR3:CR113)</f>
        <v>0</v>
      </c>
      <c r="CS114" s="3">
        <f>COUNTIF(CS3:CS113,"=0")</f>
        <v>0</v>
      </c>
    </row>
    <row r="115" spans="1:97" x14ac:dyDescent="0.15">
      <c r="A115" s="1"/>
      <c r="B115" s="3" t="s">
        <v>79</v>
      </c>
      <c r="C115" s="1"/>
      <c r="D115" s="1"/>
      <c r="E115" s="1">
        <v>43</v>
      </c>
      <c r="F115" s="1">
        <v>33</v>
      </c>
      <c r="G115" s="1">
        <v>36</v>
      </c>
      <c r="H115" s="1">
        <v>15</v>
      </c>
      <c r="I115" s="1">
        <v>67</v>
      </c>
      <c r="J115" s="1">
        <v>81</v>
      </c>
      <c r="K115" s="1">
        <v>53</v>
      </c>
      <c r="L115" s="1">
        <v>92</v>
      </c>
      <c r="M115" s="1">
        <v>60</v>
      </c>
      <c r="N115" s="1">
        <v>62</v>
      </c>
      <c r="O115" s="1">
        <v>41</v>
      </c>
      <c r="P115" s="14">
        <v>2</v>
      </c>
      <c r="Q115" s="14">
        <v>1</v>
      </c>
      <c r="R115" s="14">
        <v>2</v>
      </c>
      <c r="S115" s="14">
        <v>1</v>
      </c>
      <c r="T115" s="14">
        <v>5</v>
      </c>
      <c r="U115" s="14">
        <v>0</v>
      </c>
      <c r="V115" s="14">
        <v>2</v>
      </c>
      <c r="W115" s="14">
        <v>2</v>
      </c>
      <c r="X115" s="14">
        <v>6</v>
      </c>
      <c r="Y115" s="14">
        <v>0</v>
      </c>
      <c r="Z115" s="14">
        <v>1</v>
      </c>
      <c r="AA115" s="14">
        <v>1</v>
      </c>
      <c r="AB115" s="14">
        <v>8</v>
      </c>
      <c r="AC115" s="14">
        <v>2</v>
      </c>
      <c r="AD115" s="14">
        <v>4</v>
      </c>
      <c r="AE115" s="1">
        <v>4</v>
      </c>
      <c r="AF115" s="1">
        <v>0</v>
      </c>
      <c r="AG115" s="1">
        <v>4</v>
      </c>
      <c r="AH115" s="1">
        <v>0</v>
      </c>
      <c r="AI115" s="1">
        <v>0</v>
      </c>
      <c r="AJ115" s="1">
        <v>0</v>
      </c>
      <c r="AK115" s="1">
        <v>33</v>
      </c>
      <c r="AL115" s="1">
        <v>43</v>
      </c>
      <c r="AM115" s="1">
        <v>5</v>
      </c>
      <c r="AN115" s="1">
        <v>0</v>
      </c>
      <c r="AO115" s="1">
        <v>0</v>
      </c>
      <c r="AP115" s="1">
        <v>0</v>
      </c>
      <c r="AQ115" s="14">
        <v>6</v>
      </c>
      <c r="AR115" s="14">
        <v>0</v>
      </c>
      <c r="AS115" s="14">
        <v>15</v>
      </c>
      <c r="AT115" s="14">
        <v>20</v>
      </c>
      <c r="AU115" s="14">
        <v>24</v>
      </c>
      <c r="AV115" s="14">
        <v>22</v>
      </c>
      <c r="AW115" s="14">
        <v>11</v>
      </c>
      <c r="AX115" s="14">
        <v>27</v>
      </c>
      <c r="AY115" s="14">
        <v>27</v>
      </c>
      <c r="AZ115" s="14">
        <v>9</v>
      </c>
      <c r="BA115" s="14">
        <v>6</v>
      </c>
      <c r="BB115" s="14">
        <v>34</v>
      </c>
      <c r="BC115" s="14">
        <v>12</v>
      </c>
      <c r="BD115" s="1">
        <v>162</v>
      </c>
      <c r="BE115" s="1">
        <v>244</v>
      </c>
      <c r="BF115" s="1">
        <v>233</v>
      </c>
      <c r="BG115" s="1">
        <v>242</v>
      </c>
      <c r="BH115" s="1">
        <v>141</v>
      </c>
      <c r="BI115" s="1">
        <v>154</v>
      </c>
      <c r="BJ115" s="1">
        <v>56</v>
      </c>
      <c r="BK115" s="1">
        <v>65</v>
      </c>
      <c r="BL115" s="1">
        <v>93</v>
      </c>
      <c r="BM115" s="1">
        <v>8</v>
      </c>
      <c r="BN115" s="1">
        <v>5</v>
      </c>
      <c r="BO115" s="1">
        <v>5</v>
      </c>
      <c r="BP115" s="1"/>
      <c r="BQ115" s="1"/>
      <c r="BR115" s="17"/>
      <c r="BS115" s="17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</row>
    <row r="116" spans="1:97" x14ac:dyDescent="0.15">
      <c r="A116" s="1"/>
      <c r="B116" s="3" t="s">
        <v>86</v>
      </c>
      <c r="C116" s="1"/>
      <c r="D116" s="1"/>
      <c r="E116" s="1">
        <f>E115-E114</f>
        <v>-80</v>
      </c>
      <c r="F116" s="1">
        <f>F115-F114</f>
        <v>-5</v>
      </c>
      <c r="G116" s="1">
        <f>G115-G114</f>
        <v>-114</v>
      </c>
      <c r="H116" s="1">
        <f>H115-H114</f>
        <v>-104</v>
      </c>
      <c r="I116" s="1">
        <f>I115-I114</f>
        <v>50</v>
      </c>
      <c r="J116" s="1">
        <f>J115-J114</f>
        <v>41</v>
      </c>
      <c r="K116" s="1">
        <f>K115-K114</f>
        <v>47</v>
      </c>
      <c r="L116" s="1">
        <f>L115-L114</f>
        <v>16</v>
      </c>
      <c r="M116" s="1">
        <f>M115-M114</f>
        <v>23</v>
      </c>
      <c r="N116" s="1">
        <f>N115-N114</f>
        <v>62</v>
      </c>
      <c r="O116" s="1">
        <f>O115-O114</f>
        <v>-27</v>
      </c>
      <c r="P116" s="1">
        <f>P115-P114</f>
        <v>-128</v>
      </c>
      <c r="Q116" s="1">
        <f>Q115-Q114</f>
        <v>-75</v>
      </c>
      <c r="R116" s="1">
        <f>R115-R114</f>
        <v>-81</v>
      </c>
      <c r="S116" s="1">
        <f>S115-S114</f>
        <v>-129</v>
      </c>
      <c r="T116" s="1">
        <f>T115-T114</f>
        <v>-56</v>
      </c>
      <c r="U116" s="1">
        <f>U115-U114</f>
        <v>-62</v>
      </c>
      <c r="V116" s="1">
        <f>V115-V114</f>
        <v>-133</v>
      </c>
      <c r="W116" s="1">
        <f>W115-W114</f>
        <v>-33</v>
      </c>
      <c r="X116" s="1">
        <f>X115-X114</f>
        <v>-53</v>
      </c>
      <c r="Y116" s="1">
        <f>Y115-Y114</f>
        <v>-125</v>
      </c>
      <c r="Z116" s="1">
        <f>Z115-Z114</f>
        <v>-49</v>
      </c>
      <c r="AA116" s="1">
        <f>AA115-AA114</f>
        <v>-34</v>
      </c>
      <c r="AB116" s="1">
        <f>AB115-AB114</f>
        <v>-132</v>
      </c>
      <c r="AC116" s="1">
        <f>AC115-AC114</f>
        <v>-28</v>
      </c>
      <c r="AD116" s="1">
        <f>AD115-AD114</f>
        <v>-18</v>
      </c>
      <c r="AE116" s="1">
        <f>AE115-AE114</f>
        <v>-246</v>
      </c>
      <c r="AF116" s="1">
        <f>AF115-AF114</f>
        <v>-10</v>
      </c>
      <c r="AG116" s="1">
        <f>AG115-AG114</f>
        <v>-6</v>
      </c>
      <c r="AH116" s="1">
        <f>AH115-AH114</f>
        <v>-30</v>
      </c>
      <c r="AI116" s="1">
        <f>AI115-AI114</f>
        <v>-30</v>
      </c>
      <c r="AJ116" s="1">
        <f>AJ115-AJ114</f>
        <v>-5</v>
      </c>
      <c r="AK116" s="1">
        <f>AK115-AK114</f>
        <v>33</v>
      </c>
      <c r="AL116" s="1">
        <f>AL115-AL114</f>
        <v>43</v>
      </c>
      <c r="AM116" s="1">
        <f>AM115-AM114</f>
        <v>0</v>
      </c>
      <c r="AN116" s="1">
        <f>AN115-AN114</f>
        <v>-50</v>
      </c>
      <c r="AO116" s="1">
        <f>AO115-AO114</f>
        <v>-33</v>
      </c>
      <c r="AP116" s="1">
        <f>AP115-AP114</f>
        <v>-27</v>
      </c>
      <c r="AQ116" s="1">
        <f>AQ115-AQ114</f>
        <v>-99</v>
      </c>
      <c r="AR116" s="1">
        <f>AR115-AR114</f>
        <v>-80</v>
      </c>
      <c r="AS116" s="1">
        <f>AS115-AS114</f>
        <v>-40</v>
      </c>
      <c r="AT116" s="1">
        <f>AT115-AT114</f>
        <v>-55</v>
      </c>
      <c r="AU116" s="1">
        <f>AU115-AU114</f>
        <v>-31</v>
      </c>
      <c r="AV116" s="1">
        <f>AV115-AV114</f>
        <v>-73</v>
      </c>
      <c r="AW116" s="1">
        <f>AW115-AW114</f>
        <v>-114</v>
      </c>
      <c r="AX116" s="1">
        <f>AX115-AX114</f>
        <v>-58</v>
      </c>
      <c r="AY116" s="1">
        <f>AY115-AY114</f>
        <v>-23</v>
      </c>
      <c r="AZ116" s="1">
        <f>AZ115-AZ114</f>
        <v>-51</v>
      </c>
      <c r="BA116" s="1">
        <f>BA115-BA114</f>
        <v>-149</v>
      </c>
      <c r="BB116" s="1">
        <f>BB115-BB114</f>
        <v>-201</v>
      </c>
      <c r="BC116" s="1">
        <f>BC115-BC114</f>
        <v>-8</v>
      </c>
      <c r="BD116" s="1">
        <f>BD115-BD114</f>
        <v>32</v>
      </c>
      <c r="BE116" s="1">
        <f>BE115-BE114</f>
        <v>114</v>
      </c>
      <c r="BF116" s="1">
        <f>BF115-BF114</f>
        <v>153</v>
      </c>
      <c r="BG116" s="1">
        <f>BG115-BG114</f>
        <v>162</v>
      </c>
      <c r="BH116" s="1">
        <f>BH115-BH114</f>
        <v>66</v>
      </c>
      <c r="BI116" s="1">
        <f>BI115-BI114</f>
        <v>99</v>
      </c>
      <c r="BJ116" s="1">
        <f>BJ115-BJ114</f>
        <v>-144</v>
      </c>
      <c r="BK116" s="1">
        <f>BK115-BK114</f>
        <v>-135</v>
      </c>
      <c r="BL116" s="1">
        <f>BL115-BL114</f>
        <v>-57</v>
      </c>
      <c r="BM116" s="1">
        <f>BM115-BM114</f>
        <v>-142</v>
      </c>
      <c r="BN116" s="1">
        <f>BN115-BN114</f>
        <v>-345</v>
      </c>
      <c r="BO116" s="1">
        <f>BO115-BO114</f>
        <v>-345</v>
      </c>
      <c r="BP116" s="1"/>
      <c r="BQ116" s="1"/>
      <c r="BR116" s="17"/>
      <c r="BS116" s="17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</row>
    <row r="117" spans="1:97" x14ac:dyDescent="0.15">
      <c r="A117" s="1"/>
      <c r="B117" s="3" t="s">
        <v>173</v>
      </c>
      <c r="C117" s="1"/>
      <c r="D117" s="1"/>
      <c r="E117" s="1">
        <f>MAX(E2:E113)</f>
        <v>15</v>
      </c>
      <c r="F117" s="1">
        <f>MAX(F2:F113)</f>
        <v>15</v>
      </c>
      <c r="G117" s="1">
        <f>MAX(G2:G113)</f>
        <v>20</v>
      </c>
      <c r="H117" s="1">
        <f>MAX(H2:H113)</f>
        <v>20</v>
      </c>
      <c r="I117" s="1">
        <f>MAX(I2:I113)</f>
        <v>10</v>
      </c>
      <c r="J117" s="1">
        <f>MAX(J2:J113)</f>
        <v>10</v>
      </c>
      <c r="K117" s="1">
        <f>MAX(K2:K113)</f>
        <v>6</v>
      </c>
      <c r="L117" s="1">
        <f>MAX(L2:L113)</f>
        <v>20</v>
      </c>
      <c r="M117" s="1">
        <f>MAX(M2:M113)</f>
        <v>15</v>
      </c>
      <c r="N117" s="1">
        <f>MAX(N2:N113)</f>
        <v>0</v>
      </c>
      <c r="O117" s="1">
        <f>MAX(O2:O113)</f>
        <v>20</v>
      </c>
      <c r="P117" s="1">
        <f>MAX(P2:P113)</f>
        <v>10</v>
      </c>
      <c r="Q117" s="1">
        <f>MAX(Q2:Q113)</f>
        <v>7</v>
      </c>
      <c r="R117" s="1">
        <f>MAX(R2:R113)</f>
        <v>10</v>
      </c>
      <c r="S117" s="1">
        <f>MAX(S2:S113)</f>
        <v>10</v>
      </c>
      <c r="T117" s="1">
        <f>MAX(T2:T113)</f>
        <v>7</v>
      </c>
      <c r="U117" s="1">
        <f>MAX(U2:U113)</f>
        <v>10</v>
      </c>
      <c r="V117" s="1">
        <f>MAX(V2:V113)</f>
        <v>10</v>
      </c>
      <c r="W117" s="1">
        <f>MAX(W2:W113)</f>
        <v>5</v>
      </c>
      <c r="X117" s="1">
        <f>MAX(X2:X113)</f>
        <v>10</v>
      </c>
      <c r="Y117" s="1">
        <f>MAX(Y2:Y113)</f>
        <v>10</v>
      </c>
      <c r="Z117" s="1">
        <f>MAX(Z2:Z113)</f>
        <v>5</v>
      </c>
      <c r="AA117" s="1">
        <f>MAX(AA2:AA113)</f>
        <v>10</v>
      </c>
      <c r="AB117" s="1">
        <f>MAX(AB2:AB113)</f>
        <v>10</v>
      </c>
      <c r="AC117" s="1">
        <f>MAX(AC2:AC113)</f>
        <v>5</v>
      </c>
      <c r="AD117" s="1">
        <f>MAX(AD2:AD113)</f>
        <v>10</v>
      </c>
      <c r="AE117" s="1">
        <f>MAX(AE2:AE113)</f>
        <v>200</v>
      </c>
      <c r="AF117" s="1">
        <f>MAX(AF2:AF113)</f>
        <v>5</v>
      </c>
      <c r="AG117" s="1">
        <f>MAX(AG2:AG113)</f>
        <v>5</v>
      </c>
      <c r="AH117" s="1">
        <f>MAX(AH2:AH113)</f>
        <v>5</v>
      </c>
      <c r="AI117" s="1">
        <f>MAX(AI2:AI113)</f>
        <v>5</v>
      </c>
      <c r="AJ117" s="1">
        <f>MAX(AJ2:AJ113)</f>
        <v>5</v>
      </c>
      <c r="AK117" s="1">
        <f>MAX(AK2:AK113)</f>
        <v>0</v>
      </c>
      <c r="AL117" s="1">
        <f>MAX(AL2:AL113)</f>
        <v>0</v>
      </c>
      <c r="AM117" s="1">
        <f>MAX(AM2:AM113)</f>
        <v>5</v>
      </c>
      <c r="AN117" s="1">
        <f>MAX(AN2:AN113)</f>
        <v>25</v>
      </c>
      <c r="AO117" s="1">
        <f>MAX(AO2:AO113)</f>
        <v>10</v>
      </c>
      <c r="AP117" s="1">
        <f>MAX(AP2:AP113)</f>
        <v>10</v>
      </c>
      <c r="AQ117" s="1">
        <f>MAX(AQ2:AQ113)</f>
        <v>40</v>
      </c>
      <c r="AR117" s="1">
        <f>MAX(AR2:AR113)</f>
        <v>15</v>
      </c>
      <c r="AS117" s="1">
        <f>MAX(AS2:AS113)</f>
        <v>15</v>
      </c>
      <c r="AT117" s="1">
        <f>MAX(AT2:AT113)</f>
        <v>20</v>
      </c>
      <c r="AU117" s="1">
        <f>MAX(AU2:AU113)</f>
        <v>15</v>
      </c>
      <c r="AV117" s="1">
        <f>MAX(AV2:AV113)</f>
        <v>40</v>
      </c>
      <c r="AW117" s="1">
        <f>MAX(AW2:AW113)</f>
        <v>40</v>
      </c>
      <c r="AX117" s="1">
        <f>MAX(AX2:AX113)</f>
        <v>40</v>
      </c>
      <c r="AY117" s="1">
        <f>MAX(AY2:AY113)</f>
        <v>15</v>
      </c>
      <c r="AZ117" s="1">
        <f>MAX(AZ2:AZ113)</f>
        <v>15</v>
      </c>
      <c r="BA117" s="1">
        <f>MAX(BA2:BA113)</f>
        <v>20</v>
      </c>
      <c r="BB117" s="1">
        <f>MAX(BB2:BB113)</f>
        <v>40</v>
      </c>
      <c r="BC117" s="1">
        <f>MAX(BC2:BC113)</f>
        <v>10</v>
      </c>
      <c r="BD117" s="1">
        <f>MAX(BD2:BD113)</f>
        <v>50</v>
      </c>
      <c r="BE117" s="1">
        <f>MAX(BE2:BE113)</f>
        <v>50</v>
      </c>
      <c r="BF117" s="1">
        <f>MAX(BF2:BF113)</f>
        <v>20</v>
      </c>
      <c r="BG117" s="1">
        <f>MAX(BG2:BG113)</f>
        <v>20</v>
      </c>
      <c r="BH117" s="1">
        <f>MAX(BH2:BH113)</f>
        <v>20</v>
      </c>
      <c r="BI117" s="1">
        <f>MAX(BI2:BI113)</f>
        <v>20</v>
      </c>
      <c r="BJ117" s="1">
        <f>MAX(BJ2:BJ113)</f>
        <v>50</v>
      </c>
      <c r="BK117" s="1">
        <f>MAX(BK2:BK113)</f>
        <v>50</v>
      </c>
      <c r="BL117" s="1">
        <f>MAX(BL2:BL113)</f>
        <v>50</v>
      </c>
      <c r="BM117" s="1">
        <f>MAX(BM2:BM113)</f>
        <v>50</v>
      </c>
      <c r="BN117" s="1">
        <f>MAX(BN2:BN113)</f>
        <v>50</v>
      </c>
      <c r="BO117" s="1">
        <f>MAX(BO2:BO113)</f>
        <v>50</v>
      </c>
      <c r="BP117" s="1"/>
      <c r="BQ117" s="1"/>
      <c r="BR117" s="17"/>
      <c r="BS117" s="17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</row>
    <row r="118" spans="1:97" x14ac:dyDescent="0.15">
      <c r="A118" s="1"/>
      <c r="B118" s="3" t="s">
        <v>174</v>
      </c>
      <c r="C118" s="1"/>
      <c r="D118" s="1"/>
      <c r="E118" s="1">
        <f>MIN(E2:E113)</f>
        <v>6</v>
      </c>
      <c r="F118" s="1">
        <f>MIN(F2:F113)</f>
        <v>5</v>
      </c>
      <c r="G118" s="1">
        <f>MIN(G2:G113)</f>
        <v>5</v>
      </c>
      <c r="H118" s="1">
        <f>MIN(H2:H113)</f>
        <v>5</v>
      </c>
      <c r="I118" s="1">
        <f>MIN(I2:I113)</f>
        <v>7</v>
      </c>
      <c r="J118" s="1">
        <f>MIN(J2:J113)</f>
        <v>10</v>
      </c>
      <c r="K118" s="1">
        <f>MIN(K2:K113)</f>
        <v>6</v>
      </c>
      <c r="L118" s="1">
        <f>MIN(L2:L113)</f>
        <v>6</v>
      </c>
      <c r="M118" s="1">
        <f>MIN(M2:M113)</f>
        <v>6</v>
      </c>
      <c r="N118" s="1">
        <f>MIN(N2:N113)</f>
        <v>0</v>
      </c>
      <c r="O118" s="1">
        <f>MIN(O2:O113)</f>
        <v>5</v>
      </c>
      <c r="P118" s="1">
        <f>MIN(P2:P113)</f>
        <v>10</v>
      </c>
      <c r="Q118" s="1">
        <f>MIN(Q2:Q113)</f>
        <v>5</v>
      </c>
      <c r="R118" s="1">
        <f>MIN(R2:R113)</f>
        <v>2</v>
      </c>
      <c r="S118" s="1">
        <f>MIN(S2:S113)</f>
        <v>10</v>
      </c>
      <c r="T118" s="1">
        <f>MIN(T2:T113)</f>
        <v>5</v>
      </c>
      <c r="U118" s="1">
        <f>MIN(U2:U113)</f>
        <v>2</v>
      </c>
      <c r="V118" s="1">
        <f>MIN(V2:V113)</f>
        <v>5</v>
      </c>
      <c r="W118" s="1">
        <f>MIN(W2:W113)</f>
        <v>5</v>
      </c>
      <c r="X118" s="1">
        <f>MIN(X2:X113)</f>
        <v>2</v>
      </c>
      <c r="Y118" s="1">
        <f>MIN(Y2:Y113)</f>
        <v>5</v>
      </c>
      <c r="Z118" s="1">
        <f>MIN(Z2:Z113)</f>
        <v>5</v>
      </c>
      <c r="AA118" s="1">
        <f>MIN(AA2:AA113)</f>
        <v>2</v>
      </c>
      <c r="AB118" s="1">
        <f>MIN(AB2:AB113)</f>
        <v>10</v>
      </c>
      <c r="AC118" s="1">
        <f>MIN(AC2:AC113)</f>
        <v>5</v>
      </c>
      <c r="AD118" s="1">
        <f>MIN(AD2:AD113)</f>
        <v>2</v>
      </c>
      <c r="AE118" s="1">
        <f>MIN(AE2:AE113)</f>
        <v>50</v>
      </c>
      <c r="AF118" s="1">
        <f>MIN(AF2:AF113)</f>
        <v>5</v>
      </c>
      <c r="AG118" s="1">
        <f>MIN(AG2:AG113)</f>
        <v>5</v>
      </c>
      <c r="AH118" s="1">
        <f>MIN(AH2:AH113)</f>
        <v>5</v>
      </c>
      <c r="AI118" s="1">
        <f>MIN(AI2:AI113)</f>
        <v>5</v>
      </c>
      <c r="AJ118" s="1">
        <f>MIN(AJ2:AJ113)</f>
        <v>5</v>
      </c>
      <c r="AK118" s="1">
        <f>MIN(AK2:AK113)</f>
        <v>0</v>
      </c>
      <c r="AL118" s="1">
        <f>MIN(AL2:AL113)</f>
        <v>0</v>
      </c>
      <c r="AM118" s="1">
        <f>MIN(AM2:AM113)</f>
        <v>5</v>
      </c>
      <c r="AN118" s="1">
        <f>MIN(AN2:AN113)</f>
        <v>5</v>
      </c>
      <c r="AO118" s="1">
        <f>MIN(AO2:AO113)</f>
        <v>2</v>
      </c>
      <c r="AP118" s="1">
        <f>MIN(AP2:AP113)</f>
        <v>1</v>
      </c>
      <c r="AQ118" s="1">
        <f>MIN(AQ2:AQ113)</f>
        <v>10</v>
      </c>
      <c r="AR118" s="1">
        <f>MIN(AR2:AR113)</f>
        <v>10</v>
      </c>
      <c r="AS118" s="1">
        <f>MIN(AS2:AS113)</f>
        <v>5</v>
      </c>
      <c r="AT118" s="1">
        <f>MIN(AT2:AT113)</f>
        <v>10</v>
      </c>
      <c r="AU118" s="1">
        <f>MIN(AU2:AU113)</f>
        <v>10</v>
      </c>
      <c r="AV118" s="1">
        <f>MIN(AV2:AV113)</f>
        <v>10</v>
      </c>
      <c r="AW118" s="1">
        <f>MIN(AW2:AW113)</f>
        <v>10</v>
      </c>
      <c r="AX118" s="1">
        <f>MIN(AX2:AX113)</f>
        <v>5</v>
      </c>
      <c r="AY118" s="1">
        <f>MIN(AY2:AY113)</f>
        <v>10</v>
      </c>
      <c r="AZ118" s="1">
        <f>MIN(AZ2:AZ113)</f>
        <v>10</v>
      </c>
      <c r="BA118" s="1">
        <f>MIN(BA2:BA113)</f>
        <v>5</v>
      </c>
      <c r="BB118" s="1">
        <f>MIN(BB2:BB113)</f>
        <v>5</v>
      </c>
      <c r="BC118" s="1">
        <f>MIN(BC2:BC113)</f>
        <v>10</v>
      </c>
      <c r="BD118" s="1">
        <f>MIN(BD2:BD113)</f>
        <v>20</v>
      </c>
      <c r="BE118" s="1">
        <f>MIN(BE2:BE113)</f>
        <v>20</v>
      </c>
      <c r="BF118" s="1">
        <f>MIN(BF2:BF113)</f>
        <v>20</v>
      </c>
      <c r="BG118" s="1">
        <f>MIN(BG2:BG113)</f>
        <v>20</v>
      </c>
      <c r="BH118" s="1">
        <f>MIN(BH2:BH113)</f>
        <v>15</v>
      </c>
      <c r="BI118" s="1">
        <f>MIN(BI2:BI113)</f>
        <v>15</v>
      </c>
      <c r="BJ118" s="1">
        <f>MIN(BJ2:BJ113)</f>
        <v>50</v>
      </c>
      <c r="BK118" s="1">
        <f>MIN(BK2:BK113)</f>
        <v>50</v>
      </c>
      <c r="BL118" s="1">
        <f>MIN(BL2:BL113)</f>
        <v>50</v>
      </c>
      <c r="BM118" s="1">
        <f>MIN(BM2:BM113)</f>
        <v>50</v>
      </c>
      <c r="BN118" s="1">
        <f>MIN(BN2:BN113)</f>
        <v>50</v>
      </c>
      <c r="BO118" s="1">
        <f>MIN(BO2:BO113)</f>
        <v>50</v>
      </c>
      <c r="BP118" s="1"/>
      <c r="BQ118" s="1"/>
      <c r="BR118" s="17"/>
      <c r="BS118" s="17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</row>
    <row r="119" spans="1:97" x14ac:dyDescent="0.15">
      <c r="A119" s="1"/>
      <c r="B119" s="3" t="s">
        <v>175</v>
      </c>
      <c r="C119" s="1"/>
      <c r="D119" s="1"/>
      <c r="E119" s="1">
        <f>E115-E117</f>
        <v>28</v>
      </c>
      <c r="F119" s="1">
        <f>F115-F117</f>
        <v>18</v>
      </c>
      <c r="G119" s="1">
        <f>G115-G117</f>
        <v>16</v>
      </c>
      <c r="H119" s="1">
        <f>H115-H117</f>
        <v>-5</v>
      </c>
      <c r="I119" s="1">
        <f>I115-I117</f>
        <v>57</v>
      </c>
      <c r="J119" s="1">
        <f>J115-J117</f>
        <v>71</v>
      </c>
      <c r="K119" s="1">
        <f>K115-K117</f>
        <v>47</v>
      </c>
      <c r="L119" s="1">
        <f>L115-L117</f>
        <v>72</v>
      </c>
      <c r="M119" s="1">
        <f>M115-M117</f>
        <v>45</v>
      </c>
      <c r="N119" s="1">
        <f>N115-N117</f>
        <v>62</v>
      </c>
      <c r="O119" s="1">
        <f>O115-O117</f>
        <v>21</v>
      </c>
      <c r="P119" s="1">
        <f>P115-P117</f>
        <v>-8</v>
      </c>
      <c r="Q119" s="1">
        <f>Q115-Q117</f>
        <v>-6</v>
      </c>
      <c r="R119" s="1">
        <f>R115-R117</f>
        <v>-8</v>
      </c>
      <c r="S119" s="1">
        <f>S115-S117</f>
        <v>-9</v>
      </c>
      <c r="T119" s="1">
        <f>T115-T117</f>
        <v>-2</v>
      </c>
      <c r="U119" s="1">
        <f>U115-U117</f>
        <v>-10</v>
      </c>
      <c r="V119" s="1">
        <f>V115-V117</f>
        <v>-8</v>
      </c>
      <c r="W119" s="1">
        <f>W115-W117</f>
        <v>-3</v>
      </c>
      <c r="X119" s="1">
        <f>X115-X117</f>
        <v>-4</v>
      </c>
      <c r="Y119" s="1">
        <f>Y115-Y117</f>
        <v>-10</v>
      </c>
      <c r="Z119" s="1">
        <f>Z115-Z117</f>
        <v>-4</v>
      </c>
      <c r="AA119" s="1">
        <f>AA115-AA117</f>
        <v>-9</v>
      </c>
      <c r="AB119" s="1">
        <f>AB115-AB117</f>
        <v>-2</v>
      </c>
      <c r="AC119" s="1">
        <f>AC115-AC117</f>
        <v>-3</v>
      </c>
      <c r="AD119" s="1">
        <f>AD115-AD117</f>
        <v>-6</v>
      </c>
      <c r="AE119" s="1">
        <f>AE115-AE117</f>
        <v>-196</v>
      </c>
      <c r="AF119" s="1">
        <f>AF115-AF117</f>
        <v>-5</v>
      </c>
      <c r="AG119" s="1">
        <f>AG115-AG117</f>
        <v>-1</v>
      </c>
      <c r="AH119" s="1">
        <f>AH115-AH117</f>
        <v>-5</v>
      </c>
      <c r="AI119" s="1">
        <f>AI115-AI117</f>
        <v>-5</v>
      </c>
      <c r="AJ119" s="1">
        <f>AJ115-AJ117</f>
        <v>-5</v>
      </c>
      <c r="AK119" s="1">
        <f>AK115-AK117</f>
        <v>33</v>
      </c>
      <c r="AL119" s="1">
        <f>AL115-AL117</f>
        <v>43</v>
      </c>
      <c r="AM119" s="1">
        <f>AM115-AM117</f>
        <v>0</v>
      </c>
      <c r="AN119" s="1">
        <f>AN115-AN117</f>
        <v>-25</v>
      </c>
      <c r="AO119" s="1">
        <f>AO115-AO117</f>
        <v>-10</v>
      </c>
      <c r="AP119" s="1">
        <f>AP115-AP117</f>
        <v>-10</v>
      </c>
      <c r="AQ119" s="1">
        <f>AQ115-AQ117</f>
        <v>-34</v>
      </c>
      <c r="AR119" s="1">
        <f>AR115-AR117</f>
        <v>-15</v>
      </c>
      <c r="AS119" s="1">
        <f>AS115-AS117</f>
        <v>0</v>
      </c>
      <c r="AT119" s="1">
        <f>AT115-AT117</f>
        <v>0</v>
      </c>
      <c r="AU119" s="1">
        <f>AU115-AU117</f>
        <v>9</v>
      </c>
      <c r="AV119" s="1">
        <f>AV115-AV117</f>
        <v>-18</v>
      </c>
      <c r="AW119" s="1">
        <f>AW115-AW117</f>
        <v>-29</v>
      </c>
      <c r="AX119" s="1">
        <f>AX115-AX117</f>
        <v>-13</v>
      </c>
      <c r="AY119" s="1">
        <f>AY115-AY117</f>
        <v>12</v>
      </c>
      <c r="AZ119" s="1">
        <f>AZ115-AZ117</f>
        <v>-6</v>
      </c>
      <c r="BA119" s="1">
        <f>BA115-BA117</f>
        <v>-14</v>
      </c>
      <c r="BB119" s="1">
        <f>BB115-BB117</f>
        <v>-6</v>
      </c>
      <c r="BC119" s="1">
        <f>BC115-BC117</f>
        <v>2</v>
      </c>
      <c r="BD119" s="1">
        <f>BD115-BD117</f>
        <v>112</v>
      </c>
      <c r="BE119" s="1">
        <f>BE115-BE117</f>
        <v>194</v>
      </c>
      <c r="BF119" s="1">
        <f>BF115-BF117</f>
        <v>213</v>
      </c>
      <c r="BG119" s="1">
        <f>BG115-BG117</f>
        <v>222</v>
      </c>
      <c r="BH119" s="1">
        <f>BH115-BH117</f>
        <v>121</v>
      </c>
      <c r="BI119" s="1">
        <f>BI115-BI117</f>
        <v>134</v>
      </c>
      <c r="BJ119" s="1">
        <f>BJ115-BJ117</f>
        <v>6</v>
      </c>
      <c r="BK119" s="1">
        <f>BK115-BK117</f>
        <v>15</v>
      </c>
      <c r="BL119" s="1">
        <f>BL115-BL117</f>
        <v>43</v>
      </c>
      <c r="BM119" s="1">
        <f>BM115-BM117</f>
        <v>-42</v>
      </c>
      <c r="BN119" s="1">
        <f>BN115-BN117</f>
        <v>-45</v>
      </c>
      <c r="BO119" s="1">
        <f>BO115-BO117</f>
        <v>-45</v>
      </c>
      <c r="BP119" s="1"/>
      <c r="BQ119" s="1"/>
      <c r="BR119" s="17"/>
      <c r="BS119" s="17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</row>
    <row r="120" spans="1:97" s="13" customFormat="1" x14ac:dyDescent="0.15">
      <c r="A120" s="1"/>
      <c r="B120" s="3" t="s">
        <v>176</v>
      </c>
      <c r="C120" s="1"/>
      <c r="D120" s="1"/>
      <c r="E120" s="1">
        <f>E115-E118</f>
        <v>37</v>
      </c>
      <c r="F120" s="1">
        <f>F115-F118</f>
        <v>28</v>
      </c>
      <c r="G120" s="1">
        <f>G115-G118</f>
        <v>31</v>
      </c>
      <c r="H120" s="1">
        <f>H115-H118</f>
        <v>10</v>
      </c>
      <c r="I120" s="1">
        <f>I115-I118</f>
        <v>60</v>
      </c>
      <c r="J120" s="1">
        <f>J115-J118</f>
        <v>71</v>
      </c>
      <c r="K120" s="1">
        <f>K115-K118</f>
        <v>47</v>
      </c>
      <c r="L120" s="1">
        <f>L115-L118</f>
        <v>86</v>
      </c>
      <c r="M120" s="1">
        <f>M115-M118</f>
        <v>54</v>
      </c>
      <c r="N120" s="1">
        <f>N115-N118</f>
        <v>62</v>
      </c>
      <c r="O120" s="1">
        <f>O115-O118</f>
        <v>36</v>
      </c>
      <c r="P120" s="1">
        <f>P115-P118</f>
        <v>-8</v>
      </c>
      <c r="Q120" s="1">
        <f>Q115-Q118</f>
        <v>-4</v>
      </c>
      <c r="R120" s="1">
        <f>R115-R118</f>
        <v>0</v>
      </c>
      <c r="S120" s="1">
        <f>S115-S118</f>
        <v>-9</v>
      </c>
      <c r="T120" s="1">
        <f>T115-T118</f>
        <v>0</v>
      </c>
      <c r="U120" s="1">
        <f>U115-U118</f>
        <v>-2</v>
      </c>
      <c r="V120" s="1">
        <f>V115-V118</f>
        <v>-3</v>
      </c>
      <c r="W120" s="1">
        <f>W115-W118</f>
        <v>-3</v>
      </c>
      <c r="X120" s="1">
        <f>X115-X118</f>
        <v>4</v>
      </c>
      <c r="Y120" s="1">
        <f>Y115-Y118</f>
        <v>-5</v>
      </c>
      <c r="Z120" s="1">
        <f>Z115-Z118</f>
        <v>-4</v>
      </c>
      <c r="AA120" s="1">
        <f>AA115-AA118</f>
        <v>-1</v>
      </c>
      <c r="AB120" s="1">
        <f>AB115-AB118</f>
        <v>-2</v>
      </c>
      <c r="AC120" s="1">
        <f>AC115-AC118</f>
        <v>-3</v>
      </c>
      <c r="AD120" s="1">
        <f>AD115-AD118</f>
        <v>2</v>
      </c>
      <c r="AE120" s="1">
        <f>AE115-AE118</f>
        <v>-46</v>
      </c>
      <c r="AF120" s="1">
        <f>AF115-AF118</f>
        <v>-5</v>
      </c>
      <c r="AG120" s="1">
        <f>AG115-AG118</f>
        <v>-1</v>
      </c>
      <c r="AH120" s="1">
        <f>AH115-AH118</f>
        <v>-5</v>
      </c>
      <c r="AI120" s="1">
        <f>AI115-AI118</f>
        <v>-5</v>
      </c>
      <c r="AJ120" s="1">
        <f>AJ115-AJ118</f>
        <v>-5</v>
      </c>
      <c r="AK120" s="1">
        <f>AK115-AK118</f>
        <v>33</v>
      </c>
      <c r="AL120" s="1">
        <f>AL115-AL118</f>
        <v>43</v>
      </c>
      <c r="AM120" s="1">
        <f>AM115-AM118</f>
        <v>0</v>
      </c>
      <c r="AN120" s="1">
        <f>AN115-AN118</f>
        <v>-5</v>
      </c>
      <c r="AO120" s="1">
        <f>AO115-AO118</f>
        <v>-2</v>
      </c>
      <c r="AP120" s="1">
        <f>AP115-AP118</f>
        <v>-1</v>
      </c>
      <c r="AQ120" s="1">
        <f>AQ115-AQ118</f>
        <v>-4</v>
      </c>
      <c r="AR120" s="1">
        <f>AR115-AR118</f>
        <v>-10</v>
      </c>
      <c r="AS120" s="1">
        <f>AS115-AS118</f>
        <v>10</v>
      </c>
      <c r="AT120" s="1">
        <f>AT115-AT118</f>
        <v>10</v>
      </c>
      <c r="AU120" s="1">
        <f>AU115-AU118</f>
        <v>14</v>
      </c>
      <c r="AV120" s="1">
        <f>AV115-AV118</f>
        <v>12</v>
      </c>
      <c r="AW120" s="1">
        <f>AW115-AW118</f>
        <v>1</v>
      </c>
      <c r="AX120" s="1">
        <f>AX115-AX118</f>
        <v>22</v>
      </c>
      <c r="AY120" s="1">
        <f>AY115-AY118</f>
        <v>17</v>
      </c>
      <c r="AZ120" s="1">
        <f>AZ115-AZ118</f>
        <v>-1</v>
      </c>
      <c r="BA120" s="1">
        <f>BA115-BA118</f>
        <v>1</v>
      </c>
      <c r="BB120" s="1">
        <f>BB115-BB118</f>
        <v>29</v>
      </c>
      <c r="BC120" s="1">
        <f>BC115-BC118</f>
        <v>2</v>
      </c>
      <c r="BD120" s="1">
        <f>BD115-BD118</f>
        <v>142</v>
      </c>
      <c r="BE120" s="1">
        <f>BE115-BE118</f>
        <v>224</v>
      </c>
      <c r="BF120" s="1">
        <f>BF115-BF118</f>
        <v>213</v>
      </c>
      <c r="BG120" s="1">
        <f>BG115-BG118</f>
        <v>222</v>
      </c>
      <c r="BH120" s="1">
        <f>BH115-BH118</f>
        <v>126</v>
      </c>
      <c r="BI120" s="1">
        <f>BI115-BI118</f>
        <v>139</v>
      </c>
      <c r="BJ120" s="1">
        <f>BJ115-BJ118</f>
        <v>6</v>
      </c>
      <c r="BK120" s="1">
        <f>BK115-BK118</f>
        <v>15</v>
      </c>
      <c r="BL120" s="1">
        <f>BL115-BL118</f>
        <v>43</v>
      </c>
      <c r="BM120" s="1">
        <f>BM115-BM118</f>
        <v>-42</v>
      </c>
      <c r="BN120" s="1">
        <f>BN115-BN118</f>
        <v>-45</v>
      </c>
      <c r="BO120" s="1">
        <f>BO115-BO118</f>
        <v>-45</v>
      </c>
      <c r="BP120" s="1"/>
      <c r="BQ120" s="1"/>
      <c r="BR120" s="17"/>
      <c r="BS120" s="17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</row>
    <row r="121" spans="1:97" x14ac:dyDescent="0.15">
      <c r="AQ121" s="7" t="s">
        <v>271</v>
      </c>
      <c r="AR121" s="7" t="s">
        <v>274</v>
      </c>
      <c r="AS121" s="7" t="s">
        <v>275</v>
      </c>
      <c r="AT121" s="7" t="s">
        <v>272</v>
      </c>
      <c r="AU121" s="7" t="s">
        <v>273</v>
      </c>
      <c r="AV121" s="7" t="s">
        <v>270</v>
      </c>
      <c r="AW121" s="7" t="s">
        <v>276</v>
      </c>
      <c r="AX121" s="7" t="s">
        <v>277</v>
      </c>
      <c r="AY121" s="7" t="s">
        <v>278</v>
      </c>
      <c r="AZ121" s="7" t="s">
        <v>279</v>
      </c>
      <c r="BA121" s="7" t="s">
        <v>280</v>
      </c>
      <c r="BB121" s="7" t="s">
        <v>281</v>
      </c>
    </row>
  </sheetData>
  <autoFilter ref="A1:BP113"/>
  <sortState ref="A2:CS120">
    <sortCondition ref="BR2:BR120"/>
    <sortCondition ref="BQ2:BQ120"/>
  </sortState>
  <phoneticPr fontId="1" type="noConversion"/>
  <conditionalFormatting sqref="E117:BO117">
    <cfRule type="expression" dxfId="5" priority="10">
      <formula>"&lt;=$E$135"</formula>
    </cfRule>
  </conditionalFormatting>
  <conditionalFormatting sqref="E119:BO120">
    <cfRule type="cellIs" dxfId="4" priority="1" operator="lessThan">
      <formula>0</formula>
    </cfRule>
  </conditionalFormatting>
  <conditionalFormatting sqref="E116:BO116">
    <cfRule type="cellIs" dxfId="3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120</xdr:row>
                    <xdr:rowOff>28575</xdr:rowOff>
                  </from>
                  <to>
                    <xdr:col>1</xdr:col>
                    <xdr:colOff>428625</xdr:colOff>
                    <xdr:row>121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S14"/>
  <sheetViews>
    <sheetView workbookViewId="0">
      <pane xSplit="2" ySplit="1" topLeftCell="AS2" activePane="bottomRight" state="frozen"/>
      <selection pane="topRight" activeCell="C1" sqref="C1"/>
      <selection pane="bottomLeft" activeCell="A3" sqref="A3"/>
      <selection pane="bottomRight" activeCell="BA13" sqref="BA13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  <col min="72" max="77" width="11.875" bestFit="1" customWidth="1"/>
    <col min="78" max="83" width="14.125" bestFit="1" customWidth="1"/>
  </cols>
  <sheetData>
    <row r="1" spans="1:97" s="13" customFormat="1" x14ac:dyDescent="0.15">
      <c r="A1" s="8" t="s">
        <v>72</v>
      </c>
      <c r="B1" s="8" t="s">
        <v>73</v>
      </c>
      <c r="C1" s="8" t="s">
        <v>75</v>
      </c>
      <c r="D1" s="8" t="s">
        <v>74</v>
      </c>
      <c r="E1" s="9" t="s">
        <v>2</v>
      </c>
      <c r="F1" s="9" t="s">
        <v>3</v>
      </c>
      <c r="G1" s="9" t="s">
        <v>12</v>
      </c>
      <c r="H1" s="9" t="s">
        <v>22</v>
      </c>
      <c r="I1" s="9" t="s">
        <v>23</v>
      </c>
      <c r="J1" s="9" t="s">
        <v>70</v>
      </c>
      <c r="K1" s="9" t="s">
        <v>24</v>
      </c>
      <c r="L1" s="9" t="s">
        <v>43</v>
      </c>
      <c r="M1" s="9" t="s">
        <v>45</v>
      </c>
      <c r="N1" s="9" t="s">
        <v>50</v>
      </c>
      <c r="O1" s="9" t="s">
        <v>44</v>
      </c>
      <c r="P1" s="27" t="s">
        <v>110</v>
      </c>
      <c r="Q1" s="27" t="s">
        <v>122</v>
      </c>
      <c r="R1" s="27" t="s">
        <v>116</v>
      </c>
      <c r="S1" s="27" t="s">
        <v>111</v>
      </c>
      <c r="T1" s="27" t="s">
        <v>120</v>
      </c>
      <c r="U1" s="27" t="s">
        <v>126</v>
      </c>
      <c r="V1" s="27" t="s">
        <v>112</v>
      </c>
      <c r="W1" s="27" t="s">
        <v>119</v>
      </c>
      <c r="X1" s="27" t="s">
        <v>117</v>
      </c>
      <c r="Y1" s="27" t="s">
        <v>113</v>
      </c>
      <c r="Z1" s="27" t="s">
        <v>121</v>
      </c>
      <c r="AA1" s="27" t="s">
        <v>128</v>
      </c>
      <c r="AB1" s="27" t="s">
        <v>115</v>
      </c>
      <c r="AC1" s="27" t="s">
        <v>114</v>
      </c>
      <c r="AD1" s="27" t="s">
        <v>139</v>
      </c>
      <c r="AE1" s="8" t="s">
        <v>8</v>
      </c>
      <c r="AF1" s="8" t="s">
        <v>30</v>
      </c>
      <c r="AG1" s="8" t="s">
        <v>31</v>
      </c>
      <c r="AH1" s="8" t="s">
        <v>60</v>
      </c>
      <c r="AI1" s="8" t="s">
        <v>61</v>
      </c>
      <c r="AJ1" s="8" t="s">
        <v>63</v>
      </c>
      <c r="AK1" s="8" t="s">
        <v>64</v>
      </c>
      <c r="AL1" s="8" t="s">
        <v>66</v>
      </c>
      <c r="AM1" s="8" t="s">
        <v>51</v>
      </c>
      <c r="AN1" s="8" t="s">
        <v>53</v>
      </c>
      <c r="AO1" s="8" t="s">
        <v>98</v>
      </c>
      <c r="AP1" s="8" t="s">
        <v>99</v>
      </c>
      <c r="AQ1" s="10" t="s">
        <v>40</v>
      </c>
      <c r="AR1" s="10" t="s">
        <v>4</v>
      </c>
      <c r="AS1" s="10" t="s">
        <v>28</v>
      </c>
      <c r="AT1" s="10" t="s">
        <v>55</v>
      </c>
      <c r="AU1" s="10" t="s">
        <v>58</v>
      </c>
      <c r="AV1" s="10" t="s">
        <v>49</v>
      </c>
      <c r="AW1" s="11" t="s">
        <v>5</v>
      </c>
      <c r="AX1" s="11" t="s">
        <v>6</v>
      </c>
      <c r="AY1" s="11" t="s">
        <v>41</v>
      </c>
      <c r="AZ1" s="11" t="s">
        <v>7</v>
      </c>
      <c r="BA1" s="11" t="s">
        <v>48</v>
      </c>
      <c r="BB1" s="11" t="s">
        <v>11</v>
      </c>
      <c r="BC1" s="25" t="s">
        <v>95</v>
      </c>
      <c r="BD1" s="8" t="s">
        <v>16</v>
      </c>
      <c r="BE1" s="8" t="s">
        <v>15</v>
      </c>
      <c r="BF1" s="8" t="s">
        <v>13</v>
      </c>
      <c r="BG1" s="8" t="s">
        <v>14</v>
      </c>
      <c r="BH1" s="8" t="s">
        <v>17</v>
      </c>
      <c r="BI1" s="8" t="s">
        <v>18</v>
      </c>
      <c r="BJ1" s="8" t="s">
        <v>33</v>
      </c>
      <c r="BK1" s="8" t="s">
        <v>34</v>
      </c>
      <c r="BL1" s="8" t="s">
        <v>35</v>
      </c>
      <c r="BM1" s="8" t="s">
        <v>36</v>
      </c>
      <c r="BN1" s="8" t="s">
        <v>37</v>
      </c>
      <c r="BO1" s="8" t="s">
        <v>38</v>
      </c>
      <c r="BP1" s="12" t="s">
        <v>59</v>
      </c>
      <c r="BQ1" s="8" t="s">
        <v>81</v>
      </c>
      <c r="BR1" s="16" t="s">
        <v>82</v>
      </c>
      <c r="BS1" s="16"/>
      <c r="BT1" s="10" t="s">
        <v>40</v>
      </c>
      <c r="BU1" s="10" t="s">
        <v>4</v>
      </c>
      <c r="BV1" s="10" t="s">
        <v>28</v>
      </c>
      <c r="BW1" s="10" t="s">
        <v>55</v>
      </c>
      <c r="BX1" s="10" t="s">
        <v>58</v>
      </c>
      <c r="BY1" s="10" t="s">
        <v>49</v>
      </c>
      <c r="BZ1" s="11" t="s">
        <v>5</v>
      </c>
      <c r="CA1" s="11" t="s">
        <v>6</v>
      </c>
      <c r="CB1" s="11" t="s">
        <v>41</v>
      </c>
      <c r="CC1" s="11" t="s">
        <v>7</v>
      </c>
      <c r="CD1" s="11" t="s">
        <v>48</v>
      </c>
      <c r="CE1" s="11" t="s">
        <v>11</v>
      </c>
      <c r="CF1" s="8"/>
      <c r="CG1" s="10" t="s">
        <v>40</v>
      </c>
      <c r="CH1" s="10" t="s">
        <v>4</v>
      </c>
      <c r="CI1" s="10" t="s">
        <v>28</v>
      </c>
      <c r="CJ1" s="10" t="s">
        <v>55</v>
      </c>
      <c r="CK1" s="10" t="s">
        <v>58</v>
      </c>
      <c r="CL1" s="10" t="s">
        <v>49</v>
      </c>
      <c r="CM1" s="11" t="s">
        <v>5</v>
      </c>
      <c r="CN1" s="11" t="s">
        <v>6</v>
      </c>
      <c r="CO1" s="11" t="s">
        <v>41</v>
      </c>
      <c r="CP1" s="11" t="s">
        <v>7</v>
      </c>
      <c r="CQ1" s="11" t="s">
        <v>48</v>
      </c>
      <c r="CR1" s="11" t="s">
        <v>11</v>
      </c>
      <c r="CS1" s="8"/>
    </row>
    <row r="2" spans="1:97" s="23" customFormat="1" x14ac:dyDescent="0.15">
      <c r="A2" s="40">
        <v>20</v>
      </c>
      <c r="B2" s="40" t="s">
        <v>199</v>
      </c>
      <c r="C2" s="40" t="s">
        <v>26</v>
      </c>
      <c r="D2" s="40" t="s">
        <v>20</v>
      </c>
      <c r="E2" s="41"/>
      <c r="F2" s="41">
        <v>5</v>
      </c>
      <c r="G2" s="41"/>
      <c r="H2" s="41"/>
      <c r="I2" s="41"/>
      <c r="J2" s="41"/>
      <c r="K2" s="41"/>
      <c r="L2" s="41"/>
      <c r="M2" s="41"/>
      <c r="N2" s="41"/>
      <c r="O2" s="41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0"/>
      <c r="AF2" s="40"/>
      <c r="AG2" s="40">
        <v>5</v>
      </c>
      <c r="AH2" s="40"/>
      <c r="AI2" s="40"/>
      <c r="AJ2" s="40"/>
      <c r="AK2" s="40"/>
      <c r="AL2" s="40"/>
      <c r="AM2" s="40"/>
      <c r="AN2" s="40"/>
      <c r="AO2" s="40"/>
      <c r="AP2" s="40"/>
      <c r="AQ2" s="43"/>
      <c r="AR2" s="43"/>
      <c r="AS2" s="43"/>
      <c r="AT2" s="43"/>
      <c r="AU2" s="43"/>
      <c r="AV2" s="43"/>
      <c r="AW2" s="44"/>
      <c r="AX2" s="44"/>
      <c r="AY2" s="44"/>
      <c r="AZ2" s="44"/>
      <c r="BA2" s="44"/>
      <c r="BB2" s="44"/>
      <c r="BC2" s="45"/>
      <c r="BD2" s="40"/>
      <c r="BE2" s="40"/>
      <c r="BF2" s="40"/>
      <c r="BG2" s="40"/>
      <c r="BH2" s="40"/>
      <c r="BI2" s="40"/>
      <c r="BJ2" s="40"/>
      <c r="BK2" s="40"/>
      <c r="BL2" s="40"/>
      <c r="BM2" s="40"/>
      <c r="BN2" s="40"/>
      <c r="BO2" s="40"/>
      <c r="BP2" s="40">
        <f>SUM(E2:BO2)</f>
        <v>10</v>
      </c>
      <c r="BQ2" s="40">
        <v>1</v>
      </c>
      <c r="BR2" s="46">
        <v>1</v>
      </c>
      <c r="BS2" s="46" t="s">
        <v>223</v>
      </c>
      <c r="BT2" s="40" t="str">
        <f>IF(AQ2&gt;AQ$6, AQ2-AQ$6,"")</f>
        <v/>
      </c>
      <c r="BU2" s="40" t="str">
        <f>IF(AR2&gt;AR$6, AR2-AR$6,"")</f>
        <v/>
      </c>
      <c r="BV2" s="40" t="str">
        <f>IF(AS2&gt;AS$6, AS2-AS$6,"")</f>
        <v/>
      </c>
      <c r="BW2" s="40" t="str">
        <f>IF(AT2&gt;AT$6, AT2-AT$6,"")</f>
        <v/>
      </c>
      <c r="BX2" s="40" t="str">
        <f>IF(AU2&gt;AU$6, AU2-AU$6,"")</f>
        <v/>
      </c>
      <c r="BY2" s="40" t="str">
        <f>IF(AV2&gt;AV$6, AV2-AV$6,"")</f>
        <v/>
      </c>
      <c r="BZ2" s="40" t="str">
        <f>IF(AW2&gt;AW$6, AW2-AW$6,"")</f>
        <v/>
      </c>
      <c r="CA2" s="40" t="str">
        <f>IF(AX2&gt;AX$6, AX2-AX$6,"")</f>
        <v/>
      </c>
      <c r="CB2" s="40" t="str">
        <f>IF(AY2&gt;AY$6, AY2-AY$6,"")</f>
        <v/>
      </c>
      <c r="CC2" s="40" t="str">
        <f>IF(AZ2&gt;AZ$6, AZ2-AZ$6,"")</f>
        <v/>
      </c>
      <c r="CD2" s="40" t="str">
        <f>IF(BA2&gt;BA$6, BA2-BA$6,"")</f>
        <v/>
      </c>
      <c r="CE2" s="40" t="str">
        <f>IF(BB2&gt;BB$6, BB2-BB$6,"")</f>
        <v/>
      </c>
      <c r="CF2" s="40">
        <f>COUNTIF(BT2:CE2, "&gt;0")</f>
        <v>0</v>
      </c>
      <c r="CG2" s="40" t="str">
        <f>IF($CF2=1,BT2,"")</f>
        <v/>
      </c>
      <c r="CH2" s="40" t="str">
        <f>IF($CF2=1,BU2,"")</f>
        <v/>
      </c>
      <c r="CI2" s="40" t="str">
        <f>IF($CF2=1,BV2,"")</f>
        <v/>
      </c>
      <c r="CJ2" s="40" t="str">
        <f>IF($CF2=1,BW2,"")</f>
        <v/>
      </c>
      <c r="CK2" s="40" t="str">
        <f>IF($CF2=1,BX2,"")</f>
        <v/>
      </c>
      <c r="CL2" s="40" t="str">
        <f>IF($CF2=1,BY2,"")</f>
        <v/>
      </c>
      <c r="CM2" s="40" t="str">
        <f>IF($CF2=1,BZ2,"")</f>
        <v/>
      </c>
      <c r="CN2" s="40" t="str">
        <f>IF($CF2=1,CA2,"")</f>
        <v/>
      </c>
      <c r="CO2" s="40" t="str">
        <f>IF($CF2=1,CB2,"")</f>
        <v/>
      </c>
      <c r="CP2" s="40" t="str">
        <f>IF($CF2=1,CC2,"")</f>
        <v/>
      </c>
      <c r="CQ2" s="40" t="str">
        <f>IF($CF2=1,CD2,"")</f>
        <v/>
      </c>
      <c r="CR2" s="40" t="str">
        <f>IF($CF2=1,CE2,"")</f>
        <v/>
      </c>
      <c r="CS2" s="47">
        <f>SUM(AE2:BO2)</f>
        <v>5</v>
      </c>
    </row>
    <row r="3" spans="1:97" x14ac:dyDescent="0.15">
      <c r="A3" s="40">
        <v>77</v>
      </c>
      <c r="B3" s="47" t="s">
        <v>150</v>
      </c>
      <c r="C3" s="47" t="s">
        <v>54</v>
      </c>
      <c r="D3" s="40" t="s">
        <v>10</v>
      </c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3"/>
      <c r="AR3" s="43"/>
      <c r="AS3" s="43"/>
      <c r="AT3" s="43">
        <v>20</v>
      </c>
      <c r="AU3" s="43"/>
      <c r="AV3" s="43"/>
      <c r="AW3" s="44">
        <v>20</v>
      </c>
      <c r="AX3" s="44">
        <v>20</v>
      </c>
      <c r="AY3" s="44"/>
      <c r="AZ3" s="44"/>
      <c r="BA3" s="44"/>
      <c r="BB3" s="44">
        <v>10</v>
      </c>
      <c r="BC3" s="45"/>
      <c r="BD3" s="40"/>
      <c r="BE3" s="40"/>
      <c r="BF3" s="40"/>
      <c r="BG3" s="40"/>
      <c r="BH3" s="40">
        <v>20</v>
      </c>
      <c r="BI3" s="40"/>
      <c r="BJ3" s="40"/>
      <c r="BK3" s="40"/>
      <c r="BL3" s="40"/>
      <c r="BM3" s="40"/>
      <c r="BN3" s="40"/>
      <c r="BO3" s="40"/>
      <c r="BP3" s="40">
        <f>SUM(E3:BO3)</f>
        <v>90</v>
      </c>
      <c r="BQ3" s="40">
        <v>9</v>
      </c>
      <c r="BR3" s="46">
        <v>1</v>
      </c>
      <c r="BS3" s="46" t="s">
        <v>210</v>
      </c>
      <c r="BT3" s="40" t="str">
        <f>IF(AQ3&gt;AQ$6, AQ3-AQ$6,"")</f>
        <v/>
      </c>
      <c r="BU3" s="40" t="str">
        <f>IF(AR3&gt;AR$6, AR3-AR$6,"")</f>
        <v/>
      </c>
      <c r="BV3" s="40" t="str">
        <f>IF(AS3&gt;AS$6, AS3-AS$6,"")</f>
        <v/>
      </c>
      <c r="BW3" s="40" t="str">
        <f>IF(AT3&gt;AT$6, AT3-AT$6,"")</f>
        <v/>
      </c>
      <c r="BX3" s="40" t="str">
        <f>IF(AU3&gt;AU$6, AU3-AU$6,"")</f>
        <v/>
      </c>
      <c r="BY3" s="40" t="str">
        <f>IF(AV3&gt;AV$6, AV3-AV$6,"")</f>
        <v/>
      </c>
      <c r="BZ3" s="40" t="str">
        <f>IF(AW3&gt;AW$6, AW3-AW$6,"")</f>
        <v/>
      </c>
      <c r="CA3" s="40" t="str">
        <f>IF(AX3&gt;AX$6, AX3-AX$6,"")</f>
        <v/>
      </c>
      <c r="CB3" s="40" t="str">
        <f>IF(AY3&gt;AY$6, AY3-AY$6,"")</f>
        <v/>
      </c>
      <c r="CC3" s="40" t="str">
        <f>IF(AZ3&gt;AZ$6, AZ3-AZ$6,"")</f>
        <v/>
      </c>
      <c r="CD3" s="40" t="str">
        <f>IF(BA3&gt;BA$6, BA3-BA$6,"")</f>
        <v/>
      </c>
      <c r="CE3" s="40" t="str">
        <f>IF(BB3&gt;BB$6, BB3-BB$6,"")</f>
        <v/>
      </c>
      <c r="CF3" s="40">
        <f>COUNTIF(BT3:CE3, "&gt;0")</f>
        <v>0</v>
      </c>
      <c r="CG3" s="40" t="str">
        <f>IF($CF3=1,BT3,"")</f>
        <v/>
      </c>
      <c r="CH3" s="40" t="str">
        <f>IF($CF3=1,BU3,"")</f>
        <v/>
      </c>
      <c r="CI3" s="40" t="str">
        <f>IF($CF3=1,BV3,"")</f>
        <v/>
      </c>
      <c r="CJ3" s="40" t="str">
        <f>IF($CF3=1,BW3,"")</f>
        <v/>
      </c>
      <c r="CK3" s="40" t="str">
        <f>IF($CF3=1,BX3,"")</f>
        <v/>
      </c>
      <c r="CL3" s="40" t="str">
        <f>IF($CF3=1,BY3,"")</f>
        <v/>
      </c>
      <c r="CM3" s="40" t="str">
        <f>IF($CF3=1,BZ3,"")</f>
        <v/>
      </c>
      <c r="CN3" s="40" t="str">
        <f>IF($CF3=1,CA3,"")</f>
        <v/>
      </c>
      <c r="CO3" s="40" t="str">
        <f>IF($CF3=1,CB3,"")</f>
        <v/>
      </c>
      <c r="CP3" s="40" t="str">
        <f>IF($CF3=1,CC3,"")</f>
        <v/>
      </c>
      <c r="CQ3" s="40" t="str">
        <f>IF($CF3=1,CD3,"")</f>
        <v/>
      </c>
      <c r="CR3" s="40" t="str">
        <f>IF($CF3=1,CE3,"")</f>
        <v/>
      </c>
      <c r="CS3" s="47">
        <f>SUM(AE3:BO3)</f>
        <v>90</v>
      </c>
    </row>
    <row r="4" spans="1:97" s="48" customFormat="1" x14ac:dyDescent="0.15">
      <c r="A4" s="59"/>
      <c r="B4" s="59" t="s">
        <v>151</v>
      </c>
      <c r="C4" s="59" t="s">
        <v>57</v>
      </c>
      <c r="D4" s="59" t="s">
        <v>90</v>
      </c>
      <c r="E4" s="60"/>
      <c r="F4" s="60"/>
      <c r="G4" s="60"/>
      <c r="H4" s="60"/>
      <c r="I4" s="60"/>
      <c r="J4" s="60"/>
      <c r="K4" s="60"/>
      <c r="L4" s="60">
        <v>20</v>
      </c>
      <c r="M4" s="60"/>
      <c r="N4" s="60"/>
      <c r="O4" s="60">
        <v>20</v>
      </c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59"/>
      <c r="AF4" s="59"/>
      <c r="AG4" s="59"/>
      <c r="AH4" s="59"/>
      <c r="AI4" s="59"/>
      <c r="AJ4" s="59"/>
      <c r="AK4" s="59"/>
      <c r="AL4" s="59"/>
      <c r="AM4" s="59"/>
      <c r="AN4" s="59"/>
      <c r="AO4" s="59"/>
      <c r="AP4" s="59"/>
      <c r="AQ4" s="62"/>
      <c r="AR4" s="62"/>
      <c r="AS4" s="62"/>
      <c r="AT4" s="62"/>
      <c r="AU4" s="62"/>
      <c r="AV4" s="62"/>
      <c r="AW4" s="63"/>
      <c r="AX4" s="63"/>
      <c r="AY4" s="63"/>
      <c r="AZ4" s="63"/>
      <c r="BA4" s="63">
        <v>20</v>
      </c>
      <c r="BB4" s="63">
        <v>20</v>
      </c>
      <c r="BC4" s="64"/>
      <c r="BD4" s="59"/>
      <c r="BE4" s="59"/>
      <c r="BF4" s="59"/>
      <c r="BG4" s="59"/>
      <c r="BH4" s="59"/>
      <c r="BI4" s="59"/>
      <c r="BJ4" s="59"/>
      <c r="BK4" s="59"/>
      <c r="BL4" s="59"/>
      <c r="BM4" s="59"/>
      <c r="BN4" s="59"/>
      <c r="BO4" s="59"/>
      <c r="BP4" s="59">
        <f>SUM(E4:BO4)</f>
        <v>80</v>
      </c>
      <c r="BQ4" s="59">
        <v>14</v>
      </c>
      <c r="BR4" s="65">
        <v>1</v>
      </c>
      <c r="BS4" s="65" t="s">
        <v>229</v>
      </c>
      <c r="BT4" s="59" t="str">
        <f>IF(AQ4&gt;AQ$6, AQ4-AQ$6,"")</f>
        <v/>
      </c>
      <c r="BU4" s="59" t="str">
        <f>IF(AR4&gt;AR$6, AR4-AR$6,"")</f>
        <v/>
      </c>
      <c r="BV4" s="59" t="str">
        <f>IF(AS4&gt;AS$6, AS4-AS$6,"")</f>
        <v/>
      </c>
      <c r="BW4" s="59" t="str">
        <f>IF(AT4&gt;AT$6, AT4-AT$6,"")</f>
        <v/>
      </c>
      <c r="BX4" s="59" t="str">
        <f>IF(AU4&gt;AU$6, AU4-AU$6,"")</f>
        <v/>
      </c>
      <c r="BY4" s="59" t="str">
        <f>IF(AV4&gt;AV$6, AV4-AV$6,"")</f>
        <v/>
      </c>
      <c r="BZ4" s="59" t="str">
        <f>IF(AW4&gt;AW$6, AW4-AW$6,"")</f>
        <v/>
      </c>
      <c r="CA4" s="59" t="str">
        <f>IF(AX4&gt;AX$6, AX4-AX$6,"")</f>
        <v/>
      </c>
      <c r="CB4" s="59" t="str">
        <f>IF(AY4&gt;AY$6, AY4-AY$6,"")</f>
        <v/>
      </c>
      <c r="CC4" s="59" t="str">
        <f>IF(AZ4&gt;AZ$6, AZ4-AZ$6,"")</f>
        <v/>
      </c>
      <c r="CD4" s="59" t="str">
        <f>IF(BA4&gt;BA$6, BA4-BA$6,"")</f>
        <v/>
      </c>
      <c r="CE4" s="59" t="str">
        <f>IF(BB4&gt;BB$6, BB4-BB$6,"")</f>
        <v/>
      </c>
      <c r="CF4" s="59"/>
      <c r="CG4" s="59"/>
      <c r="CH4" s="59"/>
      <c r="CI4" s="59"/>
      <c r="CJ4" s="59"/>
      <c r="CK4" s="59"/>
      <c r="CL4" s="59"/>
      <c r="CM4" s="59"/>
      <c r="CN4" s="59"/>
      <c r="CO4" s="59"/>
      <c r="CP4" s="59"/>
      <c r="CQ4" s="59"/>
      <c r="CR4" s="59"/>
      <c r="CS4" s="66"/>
    </row>
    <row r="5" spans="1:97" ht="27" x14ac:dyDescent="0.15">
      <c r="A5" s="50"/>
      <c r="B5" s="50" t="s">
        <v>140</v>
      </c>
      <c r="C5" s="50" t="s">
        <v>57</v>
      </c>
      <c r="D5" s="50" t="s">
        <v>10</v>
      </c>
      <c r="E5" s="51">
        <v>10</v>
      </c>
      <c r="F5" s="51"/>
      <c r="G5" s="51"/>
      <c r="H5" s="51"/>
      <c r="I5" s="51"/>
      <c r="J5" s="51"/>
      <c r="K5" s="51"/>
      <c r="L5" s="51"/>
      <c r="M5" s="51"/>
      <c r="N5" s="51"/>
      <c r="O5" s="51"/>
      <c r="P5" s="52"/>
      <c r="Q5" s="52"/>
      <c r="R5" s="52">
        <v>10</v>
      </c>
      <c r="S5" s="52"/>
      <c r="T5" s="52"/>
      <c r="U5" s="52">
        <v>10</v>
      </c>
      <c r="V5" s="52"/>
      <c r="W5" s="52"/>
      <c r="X5" s="52"/>
      <c r="Y5" s="52"/>
      <c r="Z5" s="52"/>
      <c r="AA5" s="52"/>
      <c r="AB5" s="52"/>
      <c r="AC5" s="52"/>
      <c r="AD5" s="52"/>
      <c r="AE5" s="50"/>
      <c r="AF5" s="50"/>
      <c r="AG5" s="50"/>
      <c r="AH5" s="50"/>
      <c r="AI5" s="50"/>
      <c r="AJ5" s="50"/>
      <c r="AK5" s="50"/>
      <c r="AL5" s="50"/>
      <c r="AM5" s="50"/>
      <c r="AN5" s="50"/>
      <c r="AO5" s="50"/>
      <c r="AP5" s="50"/>
      <c r="AQ5" s="53"/>
      <c r="AR5" s="53"/>
      <c r="AS5" s="53"/>
      <c r="AT5" s="53"/>
      <c r="AU5" s="53">
        <v>10</v>
      </c>
      <c r="AV5" s="53"/>
      <c r="AW5" s="54"/>
      <c r="AX5" s="54"/>
      <c r="AY5" s="54"/>
      <c r="AZ5" s="54"/>
      <c r="BA5" s="54"/>
      <c r="BB5" s="54"/>
      <c r="BC5" s="55"/>
      <c r="BD5" s="50"/>
      <c r="BE5" s="50"/>
      <c r="BF5" s="50"/>
      <c r="BG5" s="50"/>
      <c r="BH5" s="50"/>
      <c r="BI5" s="50"/>
      <c r="BJ5" s="50"/>
      <c r="BK5" s="50"/>
      <c r="BL5" s="50"/>
      <c r="BM5" s="50"/>
      <c r="BN5" s="50"/>
      <c r="BO5" s="50"/>
      <c r="BP5" s="50">
        <f>SUM(E5:BO5)</f>
        <v>40</v>
      </c>
      <c r="BQ5" s="50">
        <v>18</v>
      </c>
      <c r="BR5" s="56">
        <v>2</v>
      </c>
      <c r="BS5" s="56" t="s">
        <v>250</v>
      </c>
      <c r="BT5" s="50" t="str">
        <f>IF(AQ5&gt;AQ$6, AQ5-AQ$6,"")</f>
        <v/>
      </c>
      <c r="BU5" s="50" t="str">
        <f>IF(AR5&gt;AR$6, AR5-AR$6,"")</f>
        <v/>
      </c>
      <c r="BV5" s="50" t="str">
        <f>IF(AS5&gt;AS$6, AS5-AS$6,"")</f>
        <v/>
      </c>
      <c r="BW5" s="50" t="str">
        <f>IF(AT5&gt;AT$6, AT5-AT$6,"")</f>
        <v/>
      </c>
      <c r="BX5" s="50" t="str">
        <f>IF(AU5&gt;AU$6, AU5-AU$6,"")</f>
        <v/>
      </c>
      <c r="BY5" s="50" t="str">
        <f>IF(AV5&gt;AV$6, AV5-AV$6,"")</f>
        <v/>
      </c>
      <c r="BZ5" s="50" t="str">
        <f>IF(AW5&gt;AW$6, AW5-AW$6,"")</f>
        <v/>
      </c>
      <c r="CA5" s="50" t="str">
        <f>IF(AX5&gt;AX$6, AX5-AX$6,"")</f>
        <v/>
      </c>
      <c r="CB5" s="50" t="str">
        <f>IF(AY5&gt;AY$6, AY5-AY$6,"")</f>
        <v/>
      </c>
      <c r="CC5" s="50" t="str">
        <f>IF(AZ5&gt;AZ$6, AZ5-AZ$6,"")</f>
        <v/>
      </c>
      <c r="CD5" s="50" t="str">
        <f>IF(BA5&gt;BA$6, BA5-BA$6,"")</f>
        <v/>
      </c>
      <c r="CE5" s="50" t="str">
        <f>IF(BB5&gt;BB$6, BB5-BB$6,"")</f>
        <v/>
      </c>
      <c r="CF5" s="50"/>
      <c r="CG5" s="50"/>
      <c r="CH5" s="50"/>
      <c r="CI5" s="50"/>
      <c r="CJ5" s="50"/>
      <c r="CK5" s="50"/>
      <c r="CL5" s="50"/>
      <c r="CM5" s="50"/>
      <c r="CN5" s="50"/>
      <c r="CO5" s="50"/>
      <c r="CP5" s="50"/>
      <c r="CQ5" s="50"/>
      <c r="CR5" s="50"/>
      <c r="CS5" s="57"/>
    </row>
    <row r="6" spans="1:97" x14ac:dyDescent="0.15">
      <c r="A6" s="1"/>
      <c r="B6" s="1" t="s">
        <v>59</v>
      </c>
      <c r="C6" s="1"/>
      <c r="D6" s="1"/>
      <c r="E6" s="6">
        <f>SUM(E2:E5)</f>
        <v>10</v>
      </c>
      <c r="F6" s="6">
        <f>SUM(F2:F5)</f>
        <v>5</v>
      </c>
      <c r="G6" s="6">
        <f>SUM(G2:G5)</f>
        <v>0</v>
      </c>
      <c r="H6" s="6">
        <f>SUM(H2:H5)</f>
        <v>0</v>
      </c>
      <c r="I6" s="6">
        <f>SUM(I2:I5)</f>
        <v>0</v>
      </c>
      <c r="J6" s="6">
        <f>SUM(J2:J5)</f>
        <v>0</v>
      </c>
      <c r="K6" s="6">
        <f>SUM(K2:K5)</f>
        <v>0</v>
      </c>
      <c r="L6" s="6">
        <f>SUM(L2:L5)</f>
        <v>20</v>
      </c>
      <c r="M6" s="6">
        <f>SUM(M2:M5)</f>
        <v>0</v>
      </c>
      <c r="N6" s="6">
        <f>SUM(N2:N5)</f>
        <v>0</v>
      </c>
      <c r="O6" s="6">
        <f>SUM(O2:O5)</f>
        <v>20</v>
      </c>
      <c r="P6" s="28">
        <f>SUM(P2:P5)</f>
        <v>0</v>
      </c>
      <c r="Q6" s="28">
        <f>SUM(Q2:Q5)</f>
        <v>0</v>
      </c>
      <c r="R6" s="28">
        <f>SUM(R2:R5)</f>
        <v>10</v>
      </c>
      <c r="S6" s="28">
        <f>SUM(S2:S5)</f>
        <v>0</v>
      </c>
      <c r="T6" s="28">
        <f>SUM(T2:T5)</f>
        <v>0</v>
      </c>
      <c r="U6" s="28">
        <f>SUM(U2:U5)</f>
        <v>10</v>
      </c>
      <c r="V6" s="28">
        <f>SUM(V2:V5)</f>
        <v>0</v>
      </c>
      <c r="W6" s="28">
        <f>SUM(W2:W5)</f>
        <v>0</v>
      </c>
      <c r="X6" s="28">
        <f>SUM(X2:X5)</f>
        <v>0</v>
      </c>
      <c r="Y6" s="28">
        <f>SUM(Y2:Y5)</f>
        <v>0</v>
      </c>
      <c r="Z6" s="28">
        <f>SUM(Z2:Z5)</f>
        <v>0</v>
      </c>
      <c r="AA6" s="28">
        <f>SUM(AA2:AA5)</f>
        <v>0</v>
      </c>
      <c r="AB6" s="28">
        <f>SUM(AB2:AB5)</f>
        <v>0</v>
      </c>
      <c r="AC6" s="28">
        <f>SUM(AC2:AC5)</f>
        <v>0</v>
      </c>
      <c r="AD6" s="28">
        <f>SUM(AD2:AD5)</f>
        <v>0</v>
      </c>
      <c r="AE6" s="1">
        <f>SUM(AE2:AE5)</f>
        <v>0</v>
      </c>
      <c r="AF6" s="1">
        <f>SUM(AF2:AF5)</f>
        <v>0</v>
      </c>
      <c r="AG6" s="1">
        <f>SUM(AG2:AG5)</f>
        <v>5</v>
      </c>
      <c r="AH6" s="1">
        <f>SUM(AH2:AH5)</f>
        <v>0</v>
      </c>
      <c r="AI6" s="1">
        <f>SUM(AI2:AI5)</f>
        <v>0</v>
      </c>
      <c r="AJ6" s="1">
        <f>SUM(AJ2:AJ5)</f>
        <v>0</v>
      </c>
      <c r="AK6" s="1">
        <f>SUM(AK2:AK5)</f>
        <v>0</v>
      </c>
      <c r="AL6" s="1">
        <f>SUM(AL2:AL5)</f>
        <v>0</v>
      </c>
      <c r="AM6" s="1">
        <f>SUM(AM2:AM5)</f>
        <v>0</v>
      </c>
      <c r="AN6" s="1">
        <f>SUM(AN2:AN5)</f>
        <v>0</v>
      </c>
      <c r="AO6" s="1">
        <f>SUM(AO2:AO5)</f>
        <v>0</v>
      </c>
      <c r="AP6" s="1">
        <f>SUM(AP2:AP5)</f>
        <v>0</v>
      </c>
      <c r="AQ6" s="4">
        <f>SUM(AQ2:AQ5)</f>
        <v>0</v>
      </c>
      <c r="AR6" s="4">
        <f>SUM(AR2:AR5)</f>
        <v>0</v>
      </c>
      <c r="AS6" s="4">
        <f>SUM(AS2:AS5)</f>
        <v>0</v>
      </c>
      <c r="AT6" s="4">
        <f>SUM(AT2:AT5)</f>
        <v>20</v>
      </c>
      <c r="AU6" s="4">
        <f>SUM(AU2:AU5)</f>
        <v>10</v>
      </c>
      <c r="AV6" s="4">
        <f>SUM(AV2:AV5)</f>
        <v>0</v>
      </c>
      <c r="AW6" s="2">
        <f>SUM(AW2:AW5)</f>
        <v>20</v>
      </c>
      <c r="AX6" s="2">
        <f>SUM(AX2:AX5)</f>
        <v>20</v>
      </c>
      <c r="AY6" s="2">
        <f>SUM(AY2:AY5)</f>
        <v>0</v>
      </c>
      <c r="AZ6" s="2">
        <f>SUM(AZ2:AZ5)</f>
        <v>0</v>
      </c>
      <c r="BA6" s="2">
        <f>SUM(BA2:BA5)</f>
        <v>20</v>
      </c>
      <c r="BB6" s="2">
        <f>SUM(BB2:BB5)</f>
        <v>30</v>
      </c>
      <c r="BC6" s="1">
        <f>SUM(BC2:BC5)</f>
        <v>0</v>
      </c>
      <c r="BD6" s="1">
        <f>SUM(BD2:BD5)</f>
        <v>0</v>
      </c>
      <c r="BE6" s="1">
        <f>SUM(BE2:BE5)</f>
        <v>0</v>
      </c>
      <c r="BF6" s="1">
        <f>SUM(BF2:BF5)</f>
        <v>0</v>
      </c>
      <c r="BG6" s="1">
        <f>SUM(BG2:BG5)</f>
        <v>0</v>
      </c>
      <c r="BH6" s="1">
        <f>SUM(BH2:BH5)</f>
        <v>20</v>
      </c>
      <c r="BI6" s="1">
        <f>SUM(BI2:BI5)</f>
        <v>0</v>
      </c>
      <c r="BJ6" s="1">
        <f>SUM(BJ2:BJ5)</f>
        <v>0</v>
      </c>
      <c r="BK6" s="1">
        <f>SUM(BK2:BK5)</f>
        <v>0</v>
      </c>
      <c r="BL6" s="1">
        <f>SUM(BL2:BL5)</f>
        <v>0</v>
      </c>
      <c r="BM6" s="1">
        <f>SUM(BM2:BM5)</f>
        <v>0</v>
      </c>
      <c r="BN6" s="1">
        <f>SUM(BN2:BN5)</f>
        <v>0</v>
      </c>
      <c r="BO6" s="1">
        <f>SUM(BO2:BO5)</f>
        <v>0</v>
      </c>
      <c r="BP6" s="1"/>
      <c r="BQ6" s="1"/>
      <c r="BR6" s="17"/>
      <c r="BS6" s="17"/>
      <c r="BT6" s="1">
        <f>MIN(BT2:BT5)</f>
        <v>0</v>
      </c>
      <c r="BU6" s="1">
        <f>MIN(BU2:BU5)</f>
        <v>0</v>
      </c>
      <c r="BV6" s="1">
        <f>MIN(BV2:BV5)</f>
        <v>0</v>
      </c>
      <c r="BW6" s="1">
        <f>MIN(BW2:BW5)</f>
        <v>0</v>
      </c>
      <c r="BX6" s="1">
        <f>MIN(BX2:BX5)</f>
        <v>0</v>
      </c>
      <c r="BY6" s="1">
        <f>MIN(BY2:BY5)</f>
        <v>0</v>
      </c>
      <c r="BZ6" s="1">
        <f>MIN(BZ2:BZ5)</f>
        <v>0</v>
      </c>
      <c r="CA6" s="1">
        <f>MIN(CA2:CA5)</f>
        <v>0</v>
      </c>
      <c r="CB6" s="1">
        <f>MIN(CB2:CB5)</f>
        <v>0</v>
      </c>
      <c r="CC6" s="1">
        <f>MIN(CC2:CC5)</f>
        <v>0</v>
      </c>
      <c r="CD6" s="1">
        <f>MIN(CD2:CD5)</f>
        <v>0</v>
      </c>
      <c r="CE6" s="1">
        <f>MIN(CE2:CE5)</f>
        <v>0</v>
      </c>
      <c r="CF6" s="1"/>
      <c r="CG6" s="1">
        <f>MIN(CG2:CG5)</f>
        <v>0</v>
      </c>
      <c r="CH6" s="1">
        <f>MIN(CH2:CH5)</f>
        <v>0</v>
      </c>
      <c r="CI6" s="1">
        <f>MIN(CI2:CI5)</f>
        <v>0</v>
      </c>
      <c r="CJ6" s="1">
        <f>MIN(CJ2:CJ5)</f>
        <v>0</v>
      </c>
      <c r="CK6" s="1">
        <f>MIN(CK2:CK5)</f>
        <v>0</v>
      </c>
      <c r="CL6" s="1">
        <f>MIN(CL2:CL5)</f>
        <v>0</v>
      </c>
      <c r="CM6" s="1">
        <f>MIN(CM2:CM5)</f>
        <v>0</v>
      </c>
      <c r="CN6" s="1">
        <f>MIN(CN2:CN5)</f>
        <v>0</v>
      </c>
      <c r="CO6" s="1">
        <f>MIN(CO2:CO5)</f>
        <v>0</v>
      </c>
      <c r="CP6" s="1">
        <f>MIN(CP2:CP5)</f>
        <v>0</v>
      </c>
      <c r="CQ6" s="1">
        <f>MIN(CQ2:CQ5)</f>
        <v>0</v>
      </c>
      <c r="CR6" s="1">
        <f>MIN(CR2:CR5)</f>
        <v>0</v>
      </c>
      <c r="CS6" s="3">
        <f>COUNTIF(CS2:CS5,"=0")</f>
        <v>0</v>
      </c>
    </row>
    <row r="7" spans="1:97" x14ac:dyDescent="0.15">
      <c r="A7" s="1"/>
      <c r="B7" s="3" t="s">
        <v>79</v>
      </c>
      <c r="C7" s="1"/>
      <c r="D7" s="1"/>
      <c r="E7" s="1">
        <v>43</v>
      </c>
      <c r="F7" s="1">
        <v>33</v>
      </c>
      <c r="G7" s="1">
        <v>36</v>
      </c>
      <c r="H7" s="1">
        <v>15</v>
      </c>
      <c r="I7" s="1">
        <v>67</v>
      </c>
      <c r="J7" s="1">
        <v>81</v>
      </c>
      <c r="K7" s="1">
        <v>53</v>
      </c>
      <c r="L7" s="1">
        <v>92</v>
      </c>
      <c r="M7" s="1">
        <v>60</v>
      </c>
      <c r="N7" s="1">
        <v>62</v>
      </c>
      <c r="O7" s="1">
        <v>41</v>
      </c>
      <c r="P7" s="14">
        <v>2</v>
      </c>
      <c r="Q7" s="14">
        <v>1</v>
      </c>
      <c r="R7" s="14">
        <v>2</v>
      </c>
      <c r="S7" s="14">
        <v>1</v>
      </c>
      <c r="T7" s="14">
        <v>5</v>
      </c>
      <c r="U7" s="14">
        <v>0</v>
      </c>
      <c r="V7" s="14">
        <v>2</v>
      </c>
      <c r="W7" s="14">
        <v>2</v>
      </c>
      <c r="X7" s="14">
        <v>6</v>
      </c>
      <c r="Y7" s="14">
        <v>0</v>
      </c>
      <c r="Z7" s="14">
        <v>1</v>
      </c>
      <c r="AA7" s="14">
        <v>1</v>
      </c>
      <c r="AB7" s="14">
        <v>8</v>
      </c>
      <c r="AC7" s="14">
        <v>2</v>
      </c>
      <c r="AD7" s="14">
        <v>4</v>
      </c>
      <c r="AE7" s="1">
        <v>4</v>
      </c>
      <c r="AF7" s="1">
        <v>0</v>
      </c>
      <c r="AG7" s="1">
        <v>4</v>
      </c>
      <c r="AH7" s="1">
        <v>0</v>
      </c>
      <c r="AI7" s="1">
        <v>0</v>
      </c>
      <c r="AJ7" s="1">
        <v>0</v>
      </c>
      <c r="AK7" s="1">
        <v>33</v>
      </c>
      <c r="AL7" s="1">
        <v>43</v>
      </c>
      <c r="AM7" s="1">
        <v>5</v>
      </c>
      <c r="AN7" s="1">
        <v>0</v>
      </c>
      <c r="AO7" s="1">
        <v>0</v>
      </c>
      <c r="AP7" s="1">
        <v>0</v>
      </c>
      <c r="AQ7" s="14">
        <v>6</v>
      </c>
      <c r="AR7" s="14">
        <v>0</v>
      </c>
      <c r="AS7" s="14">
        <v>15</v>
      </c>
      <c r="AT7" s="14">
        <v>20</v>
      </c>
      <c r="AU7" s="14">
        <v>24</v>
      </c>
      <c r="AV7" s="14">
        <v>22</v>
      </c>
      <c r="AW7" s="14">
        <v>11</v>
      </c>
      <c r="AX7" s="14">
        <v>27</v>
      </c>
      <c r="AY7" s="14">
        <v>27</v>
      </c>
      <c r="AZ7" s="14">
        <v>9</v>
      </c>
      <c r="BA7" s="14">
        <v>6</v>
      </c>
      <c r="BB7" s="14">
        <v>34</v>
      </c>
      <c r="BC7" s="14">
        <v>12</v>
      </c>
      <c r="BD7" s="1">
        <v>162</v>
      </c>
      <c r="BE7" s="1">
        <v>244</v>
      </c>
      <c r="BF7" s="1">
        <v>233</v>
      </c>
      <c r="BG7" s="1">
        <v>242</v>
      </c>
      <c r="BH7" s="1">
        <v>141</v>
      </c>
      <c r="BI7" s="1">
        <v>154</v>
      </c>
      <c r="BJ7" s="1">
        <v>56</v>
      </c>
      <c r="BK7" s="1">
        <v>65</v>
      </c>
      <c r="BL7" s="1">
        <v>93</v>
      </c>
      <c r="BM7" s="1">
        <v>8</v>
      </c>
      <c r="BN7" s="1">
        <v>5</v>
      </c>
      <c r="BO7" s="1">
        <v>5</v>
      </c>
      <c r="BP7" s="1"/>
      <c r="BQ7" s="1"/>
      <c r="BR7" s="17"/>
      <c r="BS7" s="17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</row>
    <row r="8" spans="1:97" x14ac:dyDescent="0.15">
      <c r="A8" s="1"/>
      <c r="B8" s="3" t="s">
        <v>86</v>
      </c>
      <c r="C8" s="1"/>
      <c r="D8" s="1"/>
      <c r="E8" s="1">
        <f>E7-E6</f>
        <v>33</v>
      </c>
      <c r="F8" s="1">
        <f>F7-F6</f>
        <v>28</v>
      </c>
      <c r="G8" s="1">
        <f>G7-G6</f>
        <v>36</v>
      </c>
      <c r="H8" s="1">
        <f>H7-H6</f>
        <v>15</v>
      </c>
      <c r="I8" s="1">
        <f>I7-I6</f>
        <v>67</v>
      </c>
      <c r="J8" s="1">
        <f>J7-J6</f>
        <v>81</v>
      </c>
      <c r="K8" s="1">
        <f>K7-K6</f>
        <v>53</v>
      </c>
      <c r="L8" s="1">
        <f>L7-L6</f>
        <v>72</v>
      </c>
      <c r="M8" s="1">
        <f>M7-M6</f>
        <v>60</v>
      </c>
      <c r="N8" s="1">
        <f>N7-N6</f>
        <v>62</v>
      </c>
      <c r="O8" s="1">
        <f>O7-O6</f>
        <v>21</v>
      </c>
      <c r="P8" s="1">
        <f>P7-P6</f>
        <v>2</v>
      </c>
      <c r="Q8" s="1">
        <f>Q7-Q6</f>
        <v>1</v>
      </c>
      <c r="R8" s="1">
        <f>R7-R6</f>
        <v>-8</v>
      </c>
      <c r="S8" s="1">
        <f>S7-S6</f>
        <v>1</v>
      </c>
      <c r="T8" s="1">
        <f>T7-T6</f>
        <v>5</v>
      </c>
      <c r="U8" s="1">
        <f>U7-U6</f>
        <v>-10</v>
      </c>
      <c r="V8" s="1">
        <f>V7-V6</f>
        <v>2</v>
      </c>
      <c r="W8" s="1">
        <f>W7-W6</f>
        <v>2</v>
      </c>
      <c r="X8" s="1">
        <f>X7-X6</f>
        <v>6</v>
      </c>
      <c r="Y8" s="1">
        <f>Y7-Y6</f>
        <v>0</v>
      </c>
      <c r="Z8" s="1">
        <f>Z7-Z6</f>
        <v>1</v>
      </c>
      <c r="AA8" s="1">
        <f>AA7-AA6</f>
        <v>1</v>
      </c>
      <c r="AB8" s="1">
        <f>AB7-AB6</f>
        <v>8</v>
      </c>
      <c r="AC8" s="1">
        <f>AC7-AC6</f>
        <v>2</v>
      </c>
      <c r="AD8" s="1">
        <f>AD7-AD6</f>
        <v>4</v>
      </c>
      <c r="AE8" s="1">
        <f>AE7-AE6</f>
        <v>4</v>
      </c>
      <c r="AF8" s="1">
        <f>AF7-AF6</f>
        <v>0</v>
      </c>
      <c r="AG8" s="1">
        <f>AG7-AG6</f>
        <v>-1</v>
      </c>
      <c r="AH8" s="1">
        <f>AH7-AH6</f>
        <v>0</v>
      </c>
      <c r="AI8" s="1">
        <f>AI7-AI6</f>
        <v>0</v>
      </c>
      <c r="AJ8" s="1">
        <f>AJ7-AJ6</f>
        <v>0</v>
      </c>
      <c r="AK8" s="1">
        <f>AK7-AK6</f>
        <v>33</v>
      </c>
      <c r="AL8" s="1">
        <f>AL7-AL6</f>
        <v>43</v>
      </c>
      <c r="AM8" s="1">
        <f>AM7-AM6</f>
        <v>5</v>
      </c>
      <c r="AN8" s="1">
        <f>AN7-AN6</f>
        <v>0</v>
      </c>
      <c r="AO8" s="1">
        <f>AO7-AO6</f>
        <v>0</v>
      </c>
      <c r="AP8" s="1">
        <f>AP7-AP6</f>
        <v>0</v>
      </c>
      <c r="AQ8" s="1">
        <f>AQ7-AQ6</f>
        <v>6</v>
      </c>
      <c r="AR8" s="1">
        <f>AR7-AR6</f>
        <v>0</v>
      </c>
      <c r="AS8" s="1">
        <f>AS7-AS6</f>
        <v>15</v>
      </c>
      <c r="AT8" s="1">
        <f>AT7-AT6</f>
        <v>0</v>
      </c>
      <c r="AU8" s="1">
        <f>AU7-AU6</f>
        <v>14</v>
      </c>
      <c r="AV8" s="1">
        <f>AV7-AV6</f>
        <v>22</v>
      </c>
      <c r="AW8" s="1">
        <f>AW7-AW6</f>
        <v>-9</v>
      </c>
      <c r="AX8" s="1">
        <f>AX7-AX6</f>
        <v>7</v>
      </c>
      <c r="AY8" s="1">
        <f>AY7-AY6</f>
        <v>27</v>
      </c>
      <c r="AZ8" s="1">
        <f>AZ7-AZ6</f>
        <v>9</v>
      </c>
      <c r="BA8" s="1">
        <f>BA7-BA6</f>
        <v>-14</v>
      </c>
      <c r="BB8" s="1">
        <f>BB7-BB6</f>
        <v>4</v>
      </c>
      <c r="BC8" s="1">
        <f>BC7-BC6</f>
        <v>12</v>
      </c>
      <c r="BD8" s="1">
        <f>BD7-BD6</f>
        <v>162</v>
      </c>
      <c r="BE8" s="1">
        <f>BE7-BE6</f>
        <v>244</v>
      </c>
      <c r="BF8" s="1">
        <f>BF7-BF6</f>
        <v>233</v>
      </c>
      <c r="BG8" s="1">
        <f>BG7-BG6</f>
        <v>242</v>
      </c>
      <c r="BH8" s="1">
        <f>BH7-BH6</f>
        <v>121</v>
      </c>
      <c r="BI8" s="1">
        <f>BI7-BI6</f>
        <v>154</v>
      </c>
      <c r="BJ8" s="1">
        <f>BJ7-BJ6</f>
        <v>56</v>
      </c>
      <c r="BK8" s="1">
        <f>BK7-BK6</f>
        <v>65</v>
      </c>
      <c r="BL8" s="1">
        <f>BL7-BL6</f>
        <v>93</v>
      </c>
      <c r="BM8" s="1">
        <f>BM7-BM6</f>
        <v>8</v>
      </c>
      <c r="BN8" s="1">
        <f>BN7-BN6</f>
        <v>5</v>
      </c>
      <c r="BO8" s="1">
        <f>BO7-BO6</f>
        <v>5</v>
      </c>
      <c r="BP8" s="1"/>
      <c r="BQ8" s="1"/>
      <c r="BR8" s="17"/>
      <c r="BS8" s="17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</row>
    <row r="9" spans="1:97" x14ac:dyDescent="0.15">
      <c r="A9" s="1"/>
      <c r="B9" s="3" t="s">
        <v>173</v>
      </c>
      <c r="C9" s="1"/>
      <c r="D9" s="1"/>
      <c r="E9" s="1">
        <f>MAX(E2:E5)</f>
        <v>10</v>
      </c>
      <c r="F9" s="1">
        <f>MAX(F2:F5)</f>
        <v>5</v>
      </c>
      <c r="G9" s="1">
        <f>MAX(G2:G5)</f>
        <v>0</v>
      </c>
      <c r="H9" s="1">
        <f>MAX(H2:H5)</f>
        <v>0</v>
      </c>
      <c r="I9" s="1">
        <f>MAX(I2:I5)</f>
        <v>0</v>
      </c>
      <c r="J9" s="1">
        <f>MAX(J2:J5)</f>
        <v>0</v>
      </c>
      <c r="K9" s="1">
        <f>MAX(K2:K5)</f>
        <v>0</v>
      </c>
      <c r="L9" s="1">
        <f>MAX(L2:L5)</f>
        <v>20</v>
      </c>
      <c r="M9" s="1">
        <f>MAX(M2:M5)</f>
        <v>0</v>
      </c>
      <c r="N9" s="1">
        <f>MAX(N2:N5)</f>
        <v>0</v>
      </c>
      <c r="O9" s="1">
        <f>MAX(O2:O5)</f>
        <v>20</v>
      </c>
      <c r="P9" s="1">
        <f>MAX(P2:P5)</f>
        <v>0</v>
      </c>
      <c r="Q9" s="1">
        <f>MAX(Q2:Q5)</f>
        <v>0</v>
      </c>
      <c r="R9" s="1">
        <f>MAX(R2:R5)</f>
        <v>10</v>
      </c>
      <c r="S9" s="1">
        <f>MAX(S2:S5)</f>
        <v>0</v>
      </c>
      <c r="T9" s="1">
        <f>MAX(T2:T5)</f>
        <v>0</v>
      </c>
      <c r="U9" s="1">
        <f>MAX(U2:U5)</f>
        <v>10</v>
      </c>
      <c r="V9" s="1">
        <f>MAX(V2:V5)</f>
        <v>0</v>
      </c>
      <c r="W9" s="1">
        <f>MAX(W2:W5)</f>
        <v>0</v>
      </c>
      <c r="X9" s="1">
        <f>MAX(X2:X5)</f>
        <v>0</v>
      </c>
      <c r="Y9" s="1">
        <f>MAX(Y2:Y5)</f>
        <v>0</v>
      </c>
      <c r="Z9" s="1">
        <f>MAX(Z2:Z5)</f>
        <v>0</v>
      </c>
      <c r="AA9" s="1">
        <f>MAX(AA2:AA5)</f>
        <v>0</v>
      </c>
      <c r="AB9" s="1">
        <f>MAX(AB2:AB5)</f>
        <v>0</v>
      </c>
      <c r="AC9" s="1">
        <f>MAX(AC2:AC5)</f>
        <v>0</v>
      </c>
      <c r="AD9" s="1">
        <f>MAX(AD2:AD5)</f>
        <v>0</v>
      </c>
      <c r="AE9" s="1">
        <f>MAX(AE2:AE5)</f>
        <v>0</v>
      </c>
      <c r="AF9" s="1">
        <f>MAX(AF2:AF5)</f>
        <v>0</v>
      </c>
      <c r="AG9" s="1">
        <f>MAX(AG2:AG5)</f>
        <v>5</v>
      </c>
      <c r="AH9" s="1">
        <f>MAX(AH2:AH5)</f>
        <v>0</v>
      </c>
      <c r="AI9" s="1">
        <f>MAX(AI2:AI5)</f>
        <v>0</v>
      </c>
      <c r="AJ9" s="1">
        <f>MAX(AJ2:AJ5)</f>
        <v>0</v>
      </c>
      <c r="AK9" s="1">
        <f>MAX(AK2:AK5)</f>
        <v>0</v>
      </c>
      <c r="AL9" s="1">
        <f>MAX(AL2:AL5)</f>
        <v>0</v>
      </c>
      <c r="AM9" s="1">
        <f>MAX(AM2:AM5)</f>
        <v>0</v>
      </c>
      <c r="AN9" s="1">
        <f>MAX(AN2:AN5)</f>
        <v>0</v>
      </c>
      <c r="AO9" s="1">
        <f>MAX(AO2:AO5)</f>
        <v>0</v>
      </c>
      <c r="AP9" s="1">
        <f>MAX(AP2:AP5)</f>
        <v>0</v>
      </c>
      <c r="AQ9" s="1">
        <f>MAX(AQ2:AQ5)</f>
        <v>0</v>
      </c>
      <c r="AR9" s="1">
        <f>MAX(AR2:AR5)</f>
        <v>0</v>
      </c>
      <c r="AS9" s="1">
        <f>MAX(AS2:AS5)</f>
        <v>0</v>
      </c>
      <c r="AT9" s="1">
        <f>MAX(AT2:AT5)</f>
        <v>20</v>
      </c>
      <c r="AU9" s="1">
        <f>MAX(AU2:AU5)</f>
        <v>10</v>
      </c>
      <c r="AV9" s="1">
        <f>MAX(AV2:AV5)</f>
        <v>0</v>
      </c>
      <c r="AW9" s="1">
        <f>MAX(AW2:AW5)</f>
        <v>20</v>
      </c>
      <c r="AX9" s="1">
        <f>MAX(AX2:AX5)</f>
        <v>20</v>
      </c>
      <c r="AY9" s="1">
        <f>MAX(AY2:AY5)</f>
        <v>0</v>
      </c>
      <c r="AZ9" s="1">
        <f>MAX(AZ2:AZ5)</f>
        <v>0</v>
      </c>
      <c r="BA9" s="1">
        <f>MAX(BA2:BA5)</f>
        <v>20</v>
      </c>
      <c r="BB9" s="1">
        <f>MAX(BB2:BB5)</f>
        <v>20</v>
      </c>
      <c r="BC9" s="1">
        <f>MAX(BC2:BC5)</f>
        <v>0</v>
      </c>
      <c r="BD9" s="1">
        <f>MAX(BD2:BD5)</f>
        <v>0</v>
      </c>
      <c r="BE9" s="1">
        <f>MAX(BE2:BE5)</f>
        <v>0</v>
      </c>
      <c r="BF9" s="1">
        <f>MAX(BF2:BF5)</f>
        <v>0</v>
      </c>
      <c r="BG9" s="1">
        <f>MAX(BG2:BG5)</f>
        <v>0</v>
      </c>
      <c r="BH9" s="1">
        <f>MAX(BH2:BH5)</f>
        <v>20</v>
      </c>
      <c r="BI9" s="1">
        <f>MAX(BI2:BI5)</f>
        <v>0</v>
      </c>
      <c r="BJ9" s="1">
        <f>MAX(BJ2:BJ5)</f>
        <v>0</v>
      </c>
      <c r="BK9" s="1">
        <f>MAX(BK2:BK5)</f>
        <v>0</v>
      </c>
      <c r="BL9" s="1">
        <f>MAX(BL2:BL5)</f>
        <v>0</v>
      </c>
      <c r="BM9" s="1">
        <f>MAX(BM2:BM5)</f>
        <v>0</v>
      </c>
      <c r="BN9" s="1">
        <f>MAX(BN2:BN5)</f>
        <v>0</v>
      </c>
      <c r="BO9" s="1">
        <f>MAX(BO2:BO5)</f>
        <v>0</v>
      </c>
      <c r="BP9" s="1"/>
      <c r="BQ9" s="1"/>
      <c r="BR9" s="17"/>
      <c r="BS9" s="17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</row>
    <row r="10" spans="1:97" x14ac:dyDescent="0.15">
      <c r="A10" s="1"/>
      <c r="B10" s="3" t="s">
        <v>174</v>
      </c>
      <c r="C10" s="1"/>
      <c r="D10" s="1"/>
      <c r="E10" s="1">
        <f>MIN(E2:E5)</f>
        <v>10</v>
      </c>
      <c r="F10" s="1">
        <f>MIN(F2:F5)</f>
        <v>5</v>
      </c>
      <c r="G10" s="1">
        <f>MIN(G2:G5)</f>
        <v>0</v>
      </c>
      <c r="H10" s="1">
        <f>MIN(H2:H5)</f>
        <v>0</v>
      </c>
      <c r="I10" s="1">
        <f>MIN(I2:I5)</f>
        <v>0</v>
      </c>
      <c r="J10" s="1">
        <f>MIN(J2:J5)</f>
        <v>0</v>
      </c>
      <c r="K10" s="1">
        <f>MIN(K2:K5)</f>
        <v>0</v>
      </c>
      <c r="L10" s="1">
        <f>MIN(L2:L5)</f>
        <v>20</v>
      </c>
      <c r="M10" s="1">
        <f>MIN(M2:M5)</f>
        <v>0</v>
      </c>
      <c r="N10" s="1">
        <f>MIN(N2:N5)</f>
        <v>0</v>
      </c>
      <c r="O10" s="1">
        <f>MIN(O2:O5)</f>
        <v>20</v>
      </c>
      <c r="P10" s="1">
        <f>MIN(P2:P5)</f>
        <v>0</v>
      </c>
      <c r="Q10" s="1">
        <f>MIN(Q2:Q5)</f>
        <v>0</v>
      </c>
      <c r="R10" s="1">
        <f>MIN(R2:R5)</f>
        <v>10</v>
      </c>
      <c r="S10" s="1">
        <f>MIN(S2:S5)</f>
        <v>0</v>
      </c>
      <c r="T10" s="1">
        <f>MIN(T2:T5)</f>
        <v>0</v>
      </c>
      <c r="U10" s="1">
        <f>MIN(U2:U5)</f>
        <v>10</v>
      </c>
      <c r="V10" s="1">
        <f>MIN(V2:V5)</f>
        <v>0</v>
      </c>
      <c r="W10" s="1">
        <f>MIN(W2:W5)</f>
        <v>0</v>
      </c>
      <c r="X10" s="1">
        <f>MIN(X2:X5)</f>
        <v>0</v>
      </c>
      <c r="Y10" s="1">
        <f>MIN(Y2:Y5)</f>
        <v>0</v>
      </c>
      <c r="Z10" s="1">
        <f>MIN(Z2:Z5)</f>
        <v>0</v>
      </c>
      <c r="AA10" s="1">
        <f>MIN(AA2:AA5)</f>
        <v>0</v>
      </c>
      <c r="AB10" s="1">
        <f>MIN(AB2:AB5)</f>
        <v>0</v>
      </c>
      <c r="AC10" s="1">
        <f>MIN(AC2:AC5)</f>
        <v>0</v>
      </c>
      <c r="AD10" s="1">
        <f>MIN(AD2:AD5)</f>
        <v>0</v>
      </c>
      <c r="AE10" s="1">
        <f>MIN(AE2:AE5)</f>
        <v>0</v>
      </c>
      <c r="AF10" s="1">
        <f>MIN(AF2:AF5)</f>
        <v>0</v>
      </c>
      <c r="AG10" s="1">
        <f>MIN(AG2:AG5)</f>
        <v>5</v>
      </c>
      <c r="AH10" s="1">
        <f>MIN(AH2:AH5)</f>
        <v>0</v>
      </c>
      <c r="AI10" s="1">
        <f>MIN(AI2:AI5)</f>
        <v>0</v>
      </c>
      <c r="AJ10" s="1">
        <f>MIN(AJ2:AJ5)</f>
        <v>0</v>
      </c>
      <c r="AK10" s="1">
        <f>MIN(AK2:AK5)</f>
        <v>0</v>
      </c>
      <c r="AL10" s="1">
        <f>MIN(AL2:AL5)</f>
        <v>0</v>
      </c>
      <c r="AM10" s="1">
        <f>MIN(AM2:AM5)</f>
        <v>0</v>
      </c>
      <c r="AN10" s="1">
        <f>MIN(AN2:AN5)</f>
        <v>0</v>
      </c>
      <c r="AO10" s="1">
        <f>MIN(AO2:AO5)</f>
        <v>0</v>
      </c>
      <c r="AP10" s="1">
        <f>MIN(AP2:AP5)</f>
        <v>0</v>
      </c>
      <c r="AQ10" s="1">
        <f>MIN(AQ2:AQ5)</f>
        <v>0</v>
      </c>
      <c r="AR10" s="1">
        <f>MIN(AR2:AR5)</f>
        <v>0</v>
      </c>
      <c r="AS10" s="1">
        <f>MIN(AS2:AS5)</f>
        <v>0</v>
      </c>
      <c r="AT10" s="1">
        <f>MIN(AT2:AT5)</f>
        <v>20</v>
      </c>
      <c r="AU10" s="1">
        <f>MIN(AU2:AU5)</f>
        <v>10</v>
      </c>
      <c r="AV10" s="1">
        <f>MIN(AV2:AV5)</f>
        <v>0</v>
      </c>
      <c r="AW10" s="1">
        <f>MIN(AW2:AW5)</f>
        <v>20</v>
      </c>
      <c r="AX10" s="1">
        <f>MIN(AX2:AX5)</f>
        <v>20</v>
      </c>
      <c r="AY10" s="1">
        <f>MIN(AY2:AY5)</f>
        <v>0</v>
      </c>
      <c r="AZ10" s="1">
        <f>MIN(AZ2:AZ5)</f>
        <v>0</v>
      </c>
      <c r="BA10" s="1">
        <f>MIN(BA2:BA5)</f>
        <v>20</v>
      </c>
      <c r="BB10" s="1">
        <f>MIN(BB2:BB5)</f>
        <v>10</v>
      </c>
      <c r="BC10" s="1">
        <f>MIN(BC2:BC5)</f>
        <v>0</v>
      </c>
      <c r="BD10" s="1">
        <f>MIN(BD2:BD5)</f>
        <v>0</v>
      </c>
      <c r="BE10" s="1">
        <f>MIN(BE2:BE5)</f>
        <v>0</v>
      </c>
      <c r="BF10" s="1">
        <f>MIN(BF2:BF5)</f>
        <v>0</v>
      </c>
      <c r="BG10" s="1">
        <f>MIN(BG2:BG5)</f>
        <v>0</v>
      </c>
      <c r="BH10" s="1">
        <f>MIN(BH2:BH5)</f>
        <v>20</v>
      </c>
      <c r="BI10" s="1">
        <f>MIN(BI2:BI5)</f>
        <v>0</v>
      </c>
      <c r="BJ10" s="1">
        <f>MIN(BJ2:BJ5)</f>
        <v>0</v>
      </c>
      <c r="BK10" s="1">
        <f>MIN(BK2:BK5)</f>
        <v>0</v>
      </c>
      <c r="BL10" s="1">
        <f>MIN(BL2:BL5)</f>
        <v>0</v>
      </c>
      <c r="BM10" s="1">
        <f>MIN(BM2:BM5)</f>
        <v>0</v>
      </c>
      <c r="BN10" s="1">
        <f>MIN(BN2:BN5)</f>
        <v>0</v>
      </c>
      <c r="BO10" s="1">
        <f>MIN(BO2:BO5)</f>
        <v>0</v>
      </c>
      <c r="BP10" s="1"/>
      <c r="BQ10" s="1"/>
      <c r="BR10" s="17"/>
      <c r="BS10" s="17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</row>
    <row r="11" spans="1:97" x14ac:dyDescent="0.15">
      <c r="A11" s="1"/>
      <c r="B11" s="3" t="s">
        <v>175</v>
      </c>
      <c r="C11" s="1"/>
      <c r="D11" s="1"/>
      <c r="E11" s="1">
        <f>E7-E9</f>
        <v>33</v>
      </c>
      <c r="F11" s="1">
        <f>F7-F9</f>
        <v>28</v>
      </c>
      <c r="G11" s="1">
        <f>G7-G9</f>
        <v>36</v>
      </c>
      <c r="H11" s="1">
        <f>H7-H9</f>
        <v>15</v>
      </c>
      <c r="I11" s="1">
        <f>I7-I9</f>
        <v>67</v>
      </c>
      <c r="J11" s="1">
        <f>J7-J9</f>
        <v>81</v>
      </c>
      <c r="K11" s="1">
        <f>K7-K9</f>
        <v>53</v>
      </c>
      <c r="L11" s="1">
        <f>L7-L9</f>
        <v>72</v>
      </c>
      <c r="M11" s="1">
        <f>M7-M9</f>
        <v>60</v>
      </c>
      <c r="N11" s="1">
        <f>N7-N9</f>
        <v>62</v>
      </c>
      <c r="O11" s="1">
        <f>O7-O9</f>
        <v>21</v>
      </c>
      <c r="P11" s="1">
        <f>P7-P9</f>
        <v>2</v>
      </c>
      <c r="Q11" s="1">
        <f>Q7-Q9</f>
        <v>1</v>
      </c>
      <c r="R11" s="1">
        <f>R7-R9</f>
        <v>-8</v>
      </c>
      <c r="S11" s="1">
        <f>S7-S9</f>
        <v>1</v>
      </c>
      <c r="T11" s="1">
        <f>T7-T9</f>
        <v>5</v>
      </c>
      <c r="U11" s="1">
        <f>U7-U9</f>
        <v>-10</v>
      </c>
      <c r="V11" s="1">
        <f>V7-V9</f>
        <v>2</v>
      </c>
      <c r="W11" s="1">
        <f>W7-W9</f>
        <v>2</v>
      </c>
      <c r="X11" s="1">
        <f>X7-X9</f>
        <v>6</v>
      </c>
      <c r="Y11" s="1">
        <f>Y7-Y9</f>
        <v>0</v>
      </c>
      <c r="Z11" s="1">
        <f>Z7-Z9</f>
        <v>1</v>
      </c>
      <c r="AA11" s="1">
        <f>AA7-AA9</f>
        <v>1</v>
      </c>
      <c r="AB11" s="1">
        <f>AB7-AB9</f>
        <v>8</v>
      </c>
      <c r="AC11" s="1">
        <f>AC7-AC9</f>
        <v>2</v>
      </c>
      <c r="AD11" s="1">
        <f>AD7-AD9</f>
        <v>4</v>
      </c>
      <c r="AE11" s="1">
        <f>AE7-AE9</f>
        <v>4</v>
      </c>
      <c r="AF11" s="1">
        <f>AF7-AF9</f>
        <v>0</v>
      </c>
      <c r="AG11" s="1">
        <f>AG7-AG9</f>
        <v>-1</v>
      </c>
      <c r="AH11" s="1">
        <f>AH7-AH9</f>
        <v>0</v>
      </c>
      <c r="AI11" s="1">
        <f>AI7-AI9</f>
        <v>0</v>
      </c>
      <c r="AJ11" s="1">
        <f>AJ7-AJ9</f>
        <v>0</v>
      </c>
      <c r="AK11" s="1">
        <f>AK7-AK9</f>
        <v>33</v>
      </c>
      <c r="AL11" s="1">
        <f>AL7-AL9</f>
        <v>43</v>
      </c>
      <c r="AM11" s="1">
        <f>AM7-AM9</f>
        <v>5</v>
      </c>
      <c r="AN11" s="1">
        <f>AN7-AN9</f>
        <v>0</v>
      </c>
      <c r="AO11" s="1">
        <f>AO7-AO9</f>
        <v>0</v>
      </c>
      <c r="AP11" s="1">
        <f>AP7-AP9</f>
        <v>0</v>
      </c>
      <c r="AQ11" s="1">
        <f>AQ7-AQ9</f>
        <v>6</v>
      </c>
      <c r="AR11" s="1">
        <f>AR7-AR9</f>
        <v>0</v>
      </c>
      <c r="AS11" s="1">
        <f>AS7-AS9</f>
        <v>15</v>
      </c>
      <c r="AT11" s="1">
        <f>AT7-AT9</f>
        <v>0</v>
      </c>
      <c r="AU11" s="1">
        <f>AU7-AU9</f>
        <v>14</v>
      </c>
      <c r="AV11" s="1">
        <f>AV7-AV9</f>
        <v>22</v>
      </c>
      <c r="AW11" s="1">
        <f>AW7-AW9</f>
        <v>-9</v>
      </c>
      <c r="AX11" s="1">
        <f>AX7-AX9</f>
        <v>7</v>
      </c>
      <c r="AY11" s="1">
        <f>AY7-AY9</f>
        <v>27</v>
      </c>
      <c r="AZ11" s="1">
        <f>AZ7-AZ9</f>
        <v>9</v>
      </c>
      <c r="BA11" s="1">
        <f>BA7-BA9</f>
        <v>-14</v>
      </c>
      <c r="BB11" s="1">
        <f>BB7-BB9</f>
        <v>14</v>
      </c>
      <c r="BC11" s="1">
        <f>BC7-BC9</f>
        <v>12</v>
      </c>
      <c r="BD11" s="1">
        <f>BD7-BD9</f>
        <v>162</v>
      </c>
      <c r="BE11" s="1">
        <f>BE7-BE9</f>
        <v>244</v>
      </c>
      <c r="BF11" s="1">
        <f>BF7-BF9</f>
        <v>233</v>
      </c>
      <c r="BG11" s="1">
        <f>BG7-BG9</f>
        <v>242</v>
      </c>
      <c r="BH11" s="1">
        <f>BH7-BH9</f>
        <v>121</v>
      </c>
      <c r="BI11" s="1">
        <f>BI7-BI9</f>
        <v>154</v>
      </c>
      <c r="BJ11" s="1">
        <f>BJ7-BJ9</f>
        <v>56</v>
      </c>
      <c r="BK11" s="1">
        <f>BK7-BK9</f>
        <v>65</v>
      </c>
      <c r="BL11" s="1">
        <f>BL7-BL9</f>
        <v>93</v>
      </c>
      <c r="BM11" s="1">
        <f>BM7-BM9</f>
        <v>8</v>
      </c>
      <c r="BN11" s="1">
        <f>BN7-BN9</f>
        <v>5</v>
      </c>
      <c r="BO11" s="1">
        <f>BO7-BO9</f>
        <v>5</v>
      </c>
      <c r="BP11" s="1"/>
      <c r="BQ11" s="1"/>
      <c r="BR11" s="17"/>
      <c r="BS11" s="17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</row>
    <row r="12" spans="1:97" s="13" customFormat="1" x14ac:dyDescent="0.15">
      <c r="A12" s="1"/>
      <c r="B12" s="3" t="s">
        <v>176</v>
      </c>
      <c r="C12" s="1"/>
      <c r="D12" s="1"/>
      <c r="E12" s="1">
        <f>E7-E10</f>
        <v>33</v>
      </c>
      <c r="F12" s="1">
        <f>F7-F10</f>
        <v>28</v>
      </c>
      <c r="G12" s="1">
        <f>G7-G10</f>
        <v>36</v>
      </c>
      <c r="H12" s="1">
        <f>H7-H10</f>
        <v>15</v>
      </c>
      <c r="I12" s="1">
        <f>I7-I10</f>
        <v>67</v>
      </c>
      <c r="J12" s="1">
        <f>J7-J10</f>
        <v>81</v>
      </c>
      <c r="K12" s="1">
        <f>K7-K10</f>
        <v>53</v>
      </c>
      <c r="L12" s="1">
        <f>L7-L10</f>
        <v>72</v>
      </c>
      <c r="M12" s="1">
        <f>M7-M10</f>
        <v>60</v>
      </c>
      <c r="N12" s="1">
        <f>N7-N10</f>
        <v>62</v>
      </c>
      <c r="O12" s="1">
        <f>O7-O10</f>
        <v>21</v>
      </c>
      <c r="P12" s="1">
        <f>P7-P10</f>
        <v>2</v>
      </c>
      <c r="Q12" s="1">
        <f>Q7-Q10</f>
        <v>1</v>
      </c>
      <c r="R12" s="1">
        <f>R7-R10</f>
        <v>-8</v>
      </c>
      <c r="S12" s="1">
        <f>S7-S10</f>
        <v>1</v>
      </c>
      <c r="T12" s="1">
        <f>T7-T10</f>
        <v>5</v>
      </c>
      <c r="U12" s="1">
        <f>U7-U10</f>
        <v>-10</v>
      </c>
      <c r="V12" s="1">
        <f>V7-V10</f>
        <v>2</v>
      </c>
      <c r="W12" s="1">
        <f>W7-W10</f>
        <v>2</v>
      </c>
      <c r="X12" s="1">
        <f>X7-X10</f>
        <v>6</v>
      </c>
      <c r="Y12" s="1">
        <f>Y7-Y10</f>
        <v>0</v>
      </c>
      <c r="Z12" s="1">
        <f>Z7-Z10</f>
        <v>1</v>
      </c>
      <c r="AA12" s="1">
        <f>AA7-AA10</f>
        <v>1</v>
      </c>
      <c r="AB12" s="1">
        <f>AB7-AB10</f>
        <v>8</v>
      </c>
      <c r="AC12" s="1">
        <f>AC7-AC10</f>
        <v>2</v>
      </c>
      <c r="AD12" s="1">
        <f>AD7-AD10</f>
        <v>4</v>
      </c>
      <c r="AE12" s="1">
        <f>AE7-AE10</f>
        <v>4</v>
      </c>
      <c r="AF12" s="1">
        <f>AF7-AF10</f>
        <v>0</v>
      </c>
      <c r="AG12" s="1">
        <f>AG7-AG10</f>
        <v>-1</v>
      </c>
      <c r="AH12" s="1">
        <f>AH7-AH10</f>
        <v>0</v>
      </c>
      <c r="AI12" s="1">
        <f>AI7-AI10</f>
        <v>0</v>
      </c>
      <c r="AJ12" s="1">
        <f>AJ7-AJ10</f>
        <v>0</v>
      </c>
      <c r="AK12" s="1">
        <f>AK7-AK10</f>
        <v>33</v>
      </c>
      <c r="AL12" s="1">
        <f>AL7-AL10</f>
        <v>43</v>
      </c>
      <c r="AM12" s="1">
        <f>AM7-AM10</f>
        <v>5</v>
      </c>
      <c r="AN12" s="1">
        <f>AN7-AN10</f>
        <v>0</v>
      </c>
      <c r="AO12" s="1">
        <f>AO7-AO10</f>
        <v>0</v>
      </c>
      <c r="AP12" s="1">
        <f>AP7-AP10</f>
        <v>0</v>
      </c>
      <c r="AQ12" s="1">
        <f>AQ7-AQ10</f>
        <v>6</v>
      </c>
      <c r="AR12" s="1">
        <f>AR7-AR10</f>
        <v>0</v>
      </c>
      <c r="AS12" s="1">
        <f>AS7-AS10</f>
        <v>15</v>
      </c>
      <c r="AT12" s="1">
        <f>AT7-AT10</f>
        <v>0</v>
      </c>
      <c r="AU12" s="1">
        <f>AU7-AU10</f>
        <v>14</v>
      </c>
      <c r="AV12" s="1">
        <f>AV7-AV10</f>
        <v>22</v>
      </c>
      <c r="AW12" s="1">
        <f>AW7-AW10</f>
        <v>-9</v>
      </c>
      <c r="AX12" s="1">
        <f>AX7-AX10</f>
        <v>7</v>
      </c>
      <c r="AY12" s="1">
        <f>AY7-AY10</f>
        <v>27</v>
      </c>
      <c r="AZ12" s="1">
        <f>AZ7-AZ10</f>
        <v>9</v>
      </c>
      <c r="BA12" s="1">
        <f>BA7-BA10</f>
        <v>-14</v>
      </c>
      <c r="BB12" s="1">
        <f>BB7-BB10</f>
        <v>24</v>
      </c>
      <c r="BC12" s="1">
        <f>BC7-BC10</f>
        <v>12</v>
      </c>
      <c r="BD12" s="1">
        <f>BD7-BD10</f>
        <v>162</v>
      </c>
      <c r="BE12" s="1">
        <f>BE7-BE10</f>
        <v>244</v>
      </c>
      <c r="BF12" s="1">
        <f>BF7-BF10</f>
        <v>233</v>
      </c>
      <c r="BG12" s="1">
        <f>BG7-BG10</f>
        <v>242</v>
      </c>
      <c r="BH12" s="1">
        <f>BH7-BH10</f>
        <v>121</v>
      </c>
      <c r="BI12" s="1">
        <f>BI7-BI10</f>
        <v>154</v>
      </c>
      <c r="BJ12" s="1">
        <f>BJ7-BJ10</f>
        <v>56</v>
      </c>
      <c r="BK12" s="1">
        <f>BK7-BK10</f>
        <v>65</v>
      </c>
      <c r="BL12" s="1">
        <f>BL7-BL10</f>
        <v>93</v>
      </c>
      <c r="BM12" s="1">
        <f>BM7-BM10</f>
        <v>8</v>
      </c>
      <c r="BN12" s="1">
        <f>BN7-BN10</f>
        <v>5</v>
      </c>
      <c r="BO12" s="1">
        <f>BO7-BO10</f>
        <v>5</v>
      </c>
      <c r="BP12" s="1"/>
      <c r="BQ12" s="1"/>
      <c r="BR12" s="17"/>
      <c r="BS12" s="17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</row>
    <row r="13" spans="1:97" x14ac:dyDescent="0.15">
      <c r="R13" s="7" t="s">
        <v>282</v>
      </c>
      <c r="AQ13" s="7" t="s">
        <v>271</v>
      </c>
      <c r="AR13" s="7" t="s">
        <v>274</v>
      </c>
      <c r="AS13" s="7" t="s">
        <v>275</v>
      </c>
      <c r="AT13" s="7" t="s">
        <v>272</v>
      </c>
      <c r="AU13" s="7" t="s">
        <v>273</v>
      </c>
      <c r="AV13" s="7" t="s">
        <v>270</v>
      </c>
      <c r="AW13" s="7" t="s">
        <v>276</v>
      </c>
      <c r="AX13" s="7" t="s">
        <v>277</v>
      </c>
      <c r="AY13" s="7" t="s">
        <v>278</v>
      </c>
      <c r="AZ13" s="7" t="s">
        <v>279</v>
      </c>
      <c r="BA13" s="7" t="s">
        <v>280</v>
      </c>
      <c r="BB13" s="7" t="s">
        <v>281</v>
      </c>
    </row>
    <row r="14" spans="1:97" x14ac:dyDescent="0.15">
      <c r="R14" s="7" t="s">
        <v>283</v>
      </c>
    </row>
  </sheetData>
  <autoFilter ref="A1:BP5"/>
  <phoneticPr fontId="1" type="noConversion"/>
  <conditionalFormatting sqref="E9:BO9">
    <cfRule type="expression" dxfId="2" priority="3">
      <formula>"&lt;=$E$135"</formula>
    </cfRule>
  </conditionalFormatting>
  <conditionalFormatting sqref="E11:BO12">
    <cfRule type="cellIs" dxfId="1" priority="1" operator="lessThan">
      <formula>0</formula>
    </cfRule>
  </conditionalFormatting>
  <conditionalFormatting sqref="E8:BO8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12</xdr:row>
                    <xdr:rowOff>28575</xdr:rowOff>
                  </from>
                  <to>
                    <xdr:col>1</xdr:col>
                    <xdr:colOff>428625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 x14ac:dyDescent="0.15"/>
  <cols>
    <col min="1" max="1" width="5.25" bestFit="1" customWidth="1"/>
    <col min="2" max="2" width="13" bestFit="1" customWidth="1"/>
  </cols>
  <sheetData>
    <row r="1" spans="1:3" x14ac:dyDescent="0.15">
      <c r="A1" s="5" t="s">
        <v>76</v>
      </c>
      <c r="B1" s="5" t="s">
        <v>73</v>
      </c>
      <c r="C1" s="5" t="s">
        <v>77</v>
      </c>
    </row>
    <row r="2" spans="1:3" x14ac:dyDescent="0.15">
      <c r="A2" s="1">
        <v>10</v>
      </c>
      <c r="B2" s="2" t="s">
        <v>11</v>
      </c>
      <c r="C2" s="1">
        <v>190</v>
      </c>
    </row>
    <row r="3" spans="1:3" x14ac:dyDescent="0.15">
      <c r="A3" s="1">
        <v>12</v>
      </c>
      <c r="B3" s="2" t="s">
        <v>48</v>
      </c>
      <c r="C3" s="1">
        <v>120</v>
      </c>
    </row>
    <row r="4" spans="1:3" x14ac:dyDescent="0.15">
      <c r="A4" s="1">
        <v>4</v>
      </c>
      <c r="B4" s="4" t="s">
        <v>49</v>
      </c>
      <c r="C4" s="1">
        <v>85</v>
      </c>
    </row>
    <row r="5" spans="1:3" x14ac:dyDescent="0.15">
      <c r="A5" s="1">
        <v>3</v>
      </c>
      <c r="B5" s="4" t="s">
        <v>40</v>
      </c>
      <c r="C5" s="1">
        <v>65</v>
      </c>
    </row>
    <row r="6" spans="1:3" x14ac:dyDescent="0.15">
      <c r="A6" s="1">
        <v>8</v>
      </c>
      <c r="B6" s="2" t="s">
        <v>6</v>
      </c>
      <c r="C6" s="1">
        <v>65</v>
      </c>
    </row>
    <row r="7" spans="1:3" x14ac:dyDescent="0.15">
      <c r="A7" s="1">
        <v>9</v>
      </c>
      <c r="B7" s="2" t="s">
        <v>7</v>
      </c>
      <c r="C7" s="1">
        <v>65</v>
      </c>
    </row>
    <row r="8" spans="1:3" x14ac:dyDescent="0.15">
      <c r="A8" s="1">
        <v>1</v>
      </c>
      <c r="B8" s="4" t="s">
        <v>4</v>
      </c>
      <c r="C8" s="1">
        <v>60</v>
      </c>
    </row>
    <row r="9" spans="1:3" x14ac:dyDescent="0.15">
      <c r="A9" s="1">
        <v>7</v>
      </c>
      <c r="B9" s="2" t="s">
        <v>5</v>
      </c>
      <c r="C9" s="1">
        <v>53</v>
      </c>
    </row>
    <row r="10" spans="1:3" x14ac:dyDescent="0.15">
      <c r="A10" s="1">
        <v>2</v>
      </c>
      <c r="B10" s="4" t="s">
        <v>28</v>
      </c>
      <c r="C10" s="1">
        <v>45</v>
      </c>
    </row>
    <row r="11" spans="1:3" x14ac:dyDescent="0.15">
      <c r="A11" s="1">
        <v>5</v>
      </c>
      <c r="B11" s="4" t="s">
        <v>55</v>
      </c>
      <c r="C11" s="1">
        <v>45</v>
      </c>
    </row>
    <row r="12" spans="1:3" x14ac:dyDescent="0.15">
      <c r="A12" s="1">
        <v>11</v>
      </c>
      <c r="B12" s="2" t="s">
        <v>41</v>
      </c>
      <c r="C12" s="1">
        <v>10</v>
      </c>
    </row>
    <row r="13" spans="1:3" x14ac:dyDescent="0.15">
      <c r="A13" s="1">
        <v>6</v>
      </c>
      <c r="B13" s="4" t="s">
        <v>58</v>
      </c>
      <c r="C13" s="1">
        <v>8</v>
      </c>
    </row>
    <row r="19" spans="3:18" x14ac:dyDescent="0.15">
      <c r="G19" s="10" t="s">
        <v>40</v>
      </c>
      <c r="H19" s="10" t="s">
        <v>4</v>
      </c>
      <c r="I19" s="10" t="s">
        <v>28</v>
      </c>
      <c r="J19" s="10" t="s">
        <v>55</v>
      </c>
      <c r="K19" s="10" t="s">
        <v>58</v>
      </c>
      <c r="L19" s="10" t="s">
        <v>49</v>
      </c>
      <c r="M19" s="11" t="s">
        <v>5</v>
      </c>
      <c r="N19" s="11" t="s">
        <v>6</v>
      </c>
      <c r="O19" s="11" t="s">
        <v>41</v>
      </c>
      <c r="P19" s="11" t="s">
        <v>7</v>
      </c>
      <c r="Q19" s="11" t="s">
        <v>48</v>
      </c>
      <c r="R19" s="11" t="s">
        <v>11</v>
      </c>
    </row>
    <row r="20" spans="3:18" x14ac:dyDescent="0.15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 x14ac:dyDescent="0.15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 x14ac:dyDescent="0.15">
      <c r="C27" t="s">
        <v>177</v>
      </c>
      <c r="D27" t="s">
        <v>178</v>
      </c>
      <c r="E27" t="s">
        <v>179</v>
      </c>
      <c r="F27" t="s">
        <v>180</v>
      </c>
      <c r="G27" t="s">
        <v>181</v>
      </c>
      <c r="H27" t="s">
        <v>182</v>
      </c>
      <c r="I27" t="s">
        <v>183</v>
      </c>
      <c r="J27" t="s">
        <v>184</v>
      </c>
      <c r="K27" t="s">
        <v>185</v>
      </c>
      <c r="L27" t="s">
        <v>186</v>
      </c>
      <c r="M27" t="s">
        <v>187</v>
      </c>
      <c r="N27" t="s">
        <v>188</v>
      </c>
    </row>
    <row r="31" spans="3:18" x14ac:dyDescent="0.15">
      <c r="C31">
        <v>-3</v>
      </c>
      <c r="D31" t="s">
        <v>177</v>
      </c>
    </row>
    <row r="32" spans="3:18" x14ac:dyDescent="0.15">
      <c r="C32">
        <v>-8</v>
      </c>
      <c r="D32" t="s">
        <v>178</v>
      </c>
    </row>
    <row r="33" spans="3:4" x14ac:dyDescent="0.15">
      <c r="C33">
        <v>-3</v>
      </c>
      <c r="D33" t="s">
        <v>179</v>
      </c>
    </row>
    <row r="34" spans="3:4" x14ac:dyDescent="0.15">
      <c r="C34">
        <v>1</v>
      </c>
      <c r="D34" t="s">
        <v>180</v>
      </c>
    </row>
    <row r="35" spans="3:4" x14ac:dyDescent="0.15">
      <c r="C35">
        <v>3</v>
      </c>
      <c r="D35" t="s">
        <v>181</v>
      </c>
    </row>
    <row r="36" spans="3:4" x14ac:dyDescent="0.15">
      <c r="C36">
        <v>0</v>
      </c>
      <c r="D36" t="s">
        <v>182</v>
      </c>
    </row>
    <row r="37" spans="3:4" x14ac:dyDescent="0.15">
      <c r="C37">
        <v>-3</v>
      </c>
      <c r="D37" t="s">
        <v>183</v>
      </c>
    </row>
    <row r="38" spans="3:4" x14ac:dyDescent="0.15">
      <c r="C38">
        <v>30</v>
      </c>
      <c r="D38" t="s">
        <v>184</v>
      </c>
    </row>
    <row r="39" spans="3:4" x14ac:dyDescent="0.15">
      <c r="C39">
        <v>5</v>
      </c>
      <c r="D39" t="s">
        <v>185</v>
      </c>
    </row>
    <row r="40" spans="3:4" x14ac:dyDescent="0.15">
      <c r="C40">
        <v>-10</v>
      </c>
      <c r="D40" t="s">
        <v>186</v>
      </c>
    </row>
    <row r="41" spans="3:4" x14ac:dyDescent="0.15">
      <c r="C41">
        <v>3</v>
      </c>
      <c r="D41" t="s">
        <v>187</v>
      </c>
    </row>
    <row r="42" spans="3:4" x14ac:dyDescent="0.15">
      <c r="C42">
        <v>138</v>
      </c>
      <c r="D42" t="s">
        <v>188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 x14ac:dyDescent="0.15"/>
  <cols>
    <col min="2" max="2" width="14.125" bestFit="1" customWidth="1"/>
  </cols>
  <sheetData>
    <row r="1" spans="1:3" x14ac:dyDescent="0.15">
      <c r="A1" s="8" t="s">
        <v>83</v>
      </c>
      <c r="B1" s="8" t="s">
        <v>84</v>
      </c>
      <c r="C1" s="8" t="s">
        <v>85</v>
      </c>
    </row>
    <row r="2" spans="1:3" x14ac:dyDescent="0.15">
      <c r="A2" s="1">
        <v>5</v>
      </c>
      <c r="B2" s="10" t="s">
        <v>58</v>
      </c>
      <c r="C2" s="1">
        <v>0</v>
      </c>
    </row>
    <row r="3" spans="1:3" x14ac:dyDescent="0.15">
      <c r="A3" s="1">
        <v>9</v>
      </c>
      <c r="B3" s="11" t="s">
        <v>41</v>
      </c>
      <c r="C3" s="1">
        <v>0</v>
      </c>
    </row>
    <row r="4" spans="1:3" x14ac:dyDescent="0.15">
      <c r="A4" s="1">
        <v>10</v>
      </c>
      <c r="B4" s="11" t="s">
        <v>7</v>
      </c>
      <c r="C4" s="1">
        <v>0</v>
      </c>
    </row>
    <row r="5" spans="1:3" x14ac:dyDescent="0.15">
      <c r="A5" s="1">
        <v>4</v>
      </c>
      <c r="B5" s="10" t="s">
        <v>55</v>
      </c>
      <c r="C5" s="1">
        <v>2</v>
      </c>
    </row>
    <row r="6" spans="1:3" x14ac:dyDescent="0.15">
      <c r="A6" s="1">
        <v>8</v>
      </c>
      <c r="B6" s="11" t="s">
        <v>6</v>
      </c>
      <c r="C6" s="1">
        <v>3</v>
      </c>
    </row>
    <row r="7" spans="1:3" x14ac:dyDescent="0.15">
      <c r="A7" s="1">
        <v>12</v>
      </c>
      <c r="B7" s="11" t="s">
        <v>11</v>
      </c>
      <c r="C7" s="1">
        <v>3</v>
      </c>
    </row>
    <row r="8" spans="1:3" x14ac:dyDescent="0.15">
      <c r="A8" s="1">
        <v>1</v>
      </c>
      <c r="B8" s="10" t="s">
        <v>40</v>
      </c>
      <c r="C8" s="1">
        <v>4</v>
      </c>
    </row>
    <row r="9" spans="1:3" x14ac:dyDescent="0.15">
      <c r="A9" s="1">
        <v>2</v>
      </c>
      <c r="B9" s="10" t="s">
        <v>4</v>
      </c>
      <c r="C9" s="1">
        <v>4</v>
      </c>
    </row>
    <row r="10" spans="1:3" x14ac:dyDescent="0.15">
      <c r="A10" s="1">
        <v>7</v>
      </c>
      <c r="B10" s="11" t="s">
        <v>5</v>
      </c>
      <c r="C10" s="1">
        <v>4</v>
      </c>
    </row>
    <row r="11" spans="1:3" x14ac:dyDescent="0.15">
      <c r="A11" s="1">
        <v>3</v>
      </c>
      <c r="B11" s="10" t="s">
        <v>28</v>
      </c>
      <c r="C11" s="1">
        <v>5</v>
      </c>
    </row>
    <row r="12" spans="1:3" x14ac:dyDescent="0.15">
      <c r="A12" s="1">
        <v>11</v>
      </c>
      <c r="B12" s="11" t="s">
        <v>48</v>
      </c>
      <c r="C12" s="1">
        <v>5</v>
      </c>
    </row>
    <row r="13" spans="1:3" x14ac:dyDescent="0.15">
      <c r="A13" s="1">
        <v>6</v>
      </c>
      <c r="B13" s="10" t="s">
        <v>49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3"/>
  <sheetViews>
    <sheetView workbookViewId="0">
      <selection activeCell="B9" sqref="B9:C13"/>
    </sheetView>
  </sheetViews>
  <sheetFormatPr defaultRowHeight="13.5" x14ac:dyDescent="0.15"/>
  <cols>
    <col min="2" max="2" width="14.125" bestFit="1" customWidth="1"/>
  </cols>
  <sheetData>
    <row r="2" spans="2:3" x14ac:dyDescent="0.15">
      <c r="B2" s="10" t="s">
        <v>40</v>
      </c>
      <c r="C2">
        <v>0</v>
      </c>
    </row>
    <row r="3" spans="2:3" x14ac:dyDescent="0.15">
      <c r="B3" s="10" t="s">
        <v>4</v>
      </c>
      <c r="C3">
        <v>0</v>
      </c>
    </row>
    <row r="4" spans="2:3" x14ac:dyDescent="0.15">
      <c r="B4" s="10" t="s">
        <v>28</v>
      </c>
      <c r="C4">
        <v>0</v>
      </c>
    </row>
    <row r="5" spans="2:3" x14ac:dyDescent="0.15">
      <c r="B5" s="10" t="s">
        <v>58</v>
      </c>
      <c r="C5">
        <v>0</v>
      </c>
    </row>
    <row r="6" spans="2:3" x14ac:dyDescent="0.15">
      <c r="B6" s="11" t="s">
        <v>41</v>
      </c>
      <c r="C6">
        <v>0</v>
      </c>
    </row>
    <row r="7" spans="2:3" x14ac:dyDescent="0.15">
      <c r="B7" s="11" t="s">
        <v>7</v>
      </c>
      <c r="C7">
        <v>0</v>
      </c>
    </row>
    <row r="8" spans="2:3" x14ac:dyDescent="0.15">
      <c r="B8" s="11" t="s">
        <v>48</v>
      </c>
      <c r="C8">
        <v>0</v>
      </c>
    </row>
    <row r="9" spans="2:3" x14ac:dyDescent="0.15">
      <c r="B9" s="10" t="s">
        <v>55</v>
      </c>
      <c r="C9">
        <v>2</v>
      </c>
    </row>
    <row r="10" spans="2:3" x14ac:dyDescent="0.15">
      <c r="B10" s="11" t="s">
        <v>6</v>
      </c>
      <c r="C10">
        <v>3</v>
      </c>
    </row>
    <row r="11" spans="2:3" x14ac:dyDescent="0.15">
      <c r="B11" s="11" t="s">
        <v>11</v>
      </c>
      <c r="C11">
        <v>3</v>
      </c>
    </row>
    <row r="12" spans="2:3" x14ac:dyDescent="0.15">
      <c r="B12" s="11" t="s">
        <v>5</v>
      </c>
      <c r="C12">
        <v>4</v>
      </c>
    </row>
    <row r="13" spans="2:3" x14ac:dyDescent="0.15">
      <c r="B13" s="10" t="s">
        <v>49</v>
      </c>
      <c r="C13">
        <v>9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2020-04-15T07:04:53Z</dcterms:modified>
</cp:coreProperties>
</file>