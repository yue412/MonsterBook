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Sheet1!$A$1:$BJ$67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M3" i="1" l="1"/>
  <c r="CM4" i="1"/>
  <c r="CM5" i="1"/>
  <c r="CM20" i="1"/>
  <c r="CM6" i="1"/>
  <c r="CM67" i="1" s="1"/>
  <c r="CM7" i="1"/>
  <c r="CM8" i="1"/>
  <c r="CM9" i="1"/>
  <c r="CM10" i="1"/>
  <c r="CM25" i="1"/>
  <c r="CM26" i="1"/>
  <c r="CM27" i="1"/>
  <c r="CM28" i="1"/>
  <c r="CM29" i="1"/>
  <c r="CM30" i="1"/>
  <c r="CM31" i="1"/>
  <c r="CM32" i="1"/>
  <c r="CM11" i="1"/>
  <c r="CM16" i="1"/>
  <c r="CM17" i="1"/>
  <c r="CM18" i="1"/>
  <c r="CM19" i="1"/>
  <c r="CM35" i="1"/>
  <c r="CM36" i="1"/>
  <c r="CM37" i="1"/>
  <c r="CM23" i="1"/>
  <c r="CM40" i="1"/>
  <c r="CM33" i="1"/>
  <c r="CM41" i="1"/>
  <c r="CM43" i="1"/>
  <c r="CM44" i="1"/>
  <c r="CM45" i="1"/>
  <c r="CM42" i="1"/>
  <c r="CM46" i="1"/>
  <c r="CM47" i="1"/>
  <c r="CM12" i="1"/>
  <c r="CM13" i="1"/>
  <c r="CM22" i="1"/>
  <c r="CM14" i="1"/>
  <c r="CM21" i="1"/>
  <c r="CM24" i="1"/>
  <c r="CM38" i="1"/>
  <c r="CM39" i="1"/>
  <c r="CM34" i="1"/>
  <c r="CM49" i="1"/>
  <c r="CM50" i="1"/>
  <c r="CM15" i="1"/>
  <c r="CM48" i="1"/>
  <c r="CM53" i="1"/>
  <c r="CM54" i="1"/>
  <c r="CM51" i="1"/>
  <c r="CM55" i="1"/>
  <c r="CM52" i="1"/>
  <c r="CM58" i="1"/>
  <c r="CM61" i="1"/>
  <c r="CM62" i="1"/>
  <c r="CM63" i="1"/>
  <c r="CM56" i="1"/>
  <c r="CM57" i="1"/>
  <c r="CM59" i="1"/>
  <c r="CM60" i="1"/>
  <c r="CM64" i="1"/>
  <c r="CM65" i="1"/>
  <c r="CM66" i="1"/>
  <c r="CM2" i="1"/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9" i="1"/>
  <c r="BO9" i="1"/>
  <c r="BP9" i="1"/>
  <c r="BQ9" i="1"/>
  <c r="BR9" i="1"/>
  <c r="BS9" i="1"/>
  <c r="BT9" i="1"/>
  <c r="BU9" i="1"/>
  <c r="BV9" i="1"/>
  <c r="BW9" i="1"/>
  <c r="BX9" i="1"/>
  <c r="BY9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7" i="1"/>
  <c r="BO7" i="1"/>
  <c r="BP7" i="1"/>
  <c r="BQ7" i="1"/>
  <c r="BR7" i="1"/>
  <c r="BS7" i="1"/>
  <c r="BT7" i="1"/>
  <c r="BU7" i="1"/>
  <c r="BV7" i="1"/>
  <c r="BW7" i="1"/>
  <c r="BX7" i="1"/>
  <c r="BY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8" i="1"/>
  <c r="BO8" i="1"/>
  <c r="BP8" i="1"/>
  <c r="BQ8" i="1"/>
  <c r="BR8" i="1"/>
  <c r="BS8" i="1"/>
  <c r="BT8" i="1"/>
  <c r="BU8" i="1"/>
  <c r="BV8" i="1"/>
  <c r="BW8" i="1"/>
  <c r="BX8" i="1"/>
  <c r="BY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6" i="1"/>
  <c r="BO6" i="1"/>
  <c r="BP6" i="1"/>
  <c r="BQ6" i="1"/>
  <c r="BR6" i="1"/>
  <c r="BS6" i="1"/>
  <c r="BT6" i="1"/>
  <c r="BU6" i="1"/>
  <c r="BV6" i="1"/>
  <c r="BW6" i="1"/>
  <c r="BX6" i="1"/>
  <c r="BY6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O2" i="1"/>
  <c r="BP2" i="1"/>
  <c r="BQ2" i="1"/>
  <c r="BR2" i="1"/>
  <c r="BS2" i="1"/>
  <c r="BT2" i="1"/>
  <c r="BU2" i="1"/>
  <c r="BV2" i="1"/>
  <c r="BW2" i="1"/>
  <c r="BX2" i="1"/>
  <c r="BY2" i="1"/>
  <c r="BN2" i="1"/>
  <c r="BZ10" i="1" l="1"/>
  <c r="CL10" i="1" s="1"/>
  <c r="BZ27" i="1"/>
  <c r="CL27" i="1" s="1"/>
  <c r="BZ26" i="1"/>
  <c r="CH26" i="1" s="1"/>
  <c r="BZ9" i="1"/>
  <c r="CB9" i="1" s="1"/>
  <c r="BU67" i="1"/>
  <c r="BW67" i="1"/>
  <c r="BR67" i="1"/>
  <c r="BT67" i="1"/>
  <c r="BP67" i="1"/>
  <c r="BO67" i="1"/>
  <c r="BX67" i="1"/>
  <c r="BS67" i="1"/>
  <c r="BV67" i="1"/>
  <c r="BY67" i="1"/>
  <c r="BZ63" i="1"/>
  <c r="CE63" i="1" s="1"/>
  <c r="BZ18" i="1"/>
  <c r="CG18" i="1" s="1"/>
  <c r="BZ46" i="1"/>
  <c r="CC46" i="1" s="1"/>
  <c r="BZ38" i="1"/>
  <c r="CD38" i="1" s="1"/>
  <c r="BZ58" i="1"/>
  <c r="CA58" i="1" s="1"/>
  <c r="BZ5" i="1"/>
  <c r="CH5" i="1" s="1"/>
  <c r="BZ4" i="1"/>
  <c r="CH4" i="1" s="1"/>
  <c r="BZ3" i="1"/>
  <c r="CH3" i="1" s="1"/>
  <c r="BZ65" i="1"/>
  <c r="CA65" i="1" s="1"/>
  <c r="BZ56" i="1"/>
  <c r="CE56" i="1" s="1"/>
  <c r="BZ57" i="1"/>
  <c r="CE57" i="1" s="1"/>
  <c r="BZ62" i="1"/>
  <c r="CL62" i="1" s="1"/>
  <c r="BZ54" i="1"/>
  <c r="CD54" i="1" s="1"/>
  <c r="BZ24" i="1"/>
  <c r="CB24" i="1" s="1"/>
  <c r="BZ15" i="1"/>
  <c r="CL15" i="1" s="1"/>
  <c r="BZ19" i="1"/>
  <c r="CK19" i="1" s="1"/>
  <c r="BZ37" i="1"/>
  <c r="CL37" i="1" s="1"/>
  <c r="BZ35" i="1"/>
  <c r="CB35" i="1" s="1"/>
  <c r="BZ14" i="1"/>
  <c r="CH14" i="1" s="1"/>
  <c r="BZ11" i="1"/>
  <c r="CB11" i="1" s="1"/>
  <c r="BZ21" i="1"/>
  <c r="CH21" i="1" s="1"/>
  <c r="BZ45" i="1"/>
  <c r="CF45" i="1" s="1"/>
  <c r="BZ43" i="1"/>
  <c r="CB43" i="1" s="1"/>
  <c r="BZ42" i="1"/>
  <c r="CE42" i="1" s="1"/>
  <c r="BZ23" i="1"/>
  <c r="CI23" i="1" s="1"/>
  <c r="BZ25" i="1"/>
  <c r="CI25" i="1" s="1"/>
  <c r="BZ31" i="1"/>
  <c r="CB31" i="1" s="1"/>
  <c r="BZ30" i="1"/>
  <c r="CJ30" i="1" s="1"/>
  <c r="BZ29" i="1"/>
  <c r="CH29" i="1" s="1"/>
  <c r="BZ28" i="1"/>
  <c r="CL28" i="1" s="1"/>
  <c r="BZ22" i="1"/>
  <c r="CA22" i="1" s="1"/>
  <c r="BZ20" i="1"/>
  <c r="CK20" i="1" s="1"/>
  <c r="BZ6" i="1"/>
  <c r="CF6" i="1" s="1"/>
  <c r="BZ39" i="1"/>
  <c r="CD39" i="1" s="1"/>
  <c r="BZ8" i="1"/>
  <c r="CH8" i="1" s="1"/>
  <c r="BZ17" i="1"/>
  <c r="CH17" i="1" s="1"/>
  <c r="BZ7" i="1"/>
  <c r="CC7" i="1" s="1"/>
  <c r="BZ16" i="1"/>
  <c r="CJ16" i="1" s="1"/>
  <c r="BZ66" i="1"/>
  <c r="CD66" i="1" s="1"/>
  <c r="BZ64" i="1"/>
  <c r="CL64" i="1" s="1"/>
  <c r="BZ33" i="1"/>
  <c r="CD33" i="1" s="1"/>
  <c r="BZ60" i="1"/>
  <c r="CI60" i="1" s="1"/>
  <c r="BZ61" i="1"/>
  <c r="CH61" i="1" s="1"/>
  <c r="BZ52" i="1"/>
  <c r="CE52" i="1" s="1"/>
  <c r="BZ53" i="1"/>
  <c r="CL53" i="1" s="1"/>
  <c r="BZ12" i="1"/>
  <c r="CJ12" i="1" s="1"/>
  <c r="BZ48" i="1"/>
  <c r="CL48" i="1" s="1"/>
  <c r="BZ41" i="1"/>
  <c r="CB41" i="1" s="1"/>
  <c r="BZ36" i="1"/>
  <c r="CE36" i="1" s="1"/>
  <c r="BZ50" i="1"/>
  <c r="CH50" i="1" s="1"/>
  <c r="BZ49" i="1"/>
  <c r="CF49" i="1" s="1"/>
  <c r="BZ51" i="1"/>
  <c r="CH51" i="1" s="1"/>
  <c r="BZ34" i="1"/>
  <c r="CC34" i="1" s="1"/>
  <c r="BZ13" i="1"/>
  <c r="CB13" i="1" s="1"/>
  <c r="BZ47" i="1"/>
  <c r="CI47" i="1" s="1"/>
  <c r="BZ44" i="1"/>
  <c r="CG44" i="1" s="1"/>
  <c r="BZ40" i="1"/>
  <c r="CL40" i="1" s="1"/>
  <c r="BZ32" i="1"/>
  <c r="CG32" i="1" s="1"/>
  <c r="BZ2" i="1"/>
  <c r="CB2" i="1" s="1"/>
  <c r="BZ55" i="1"/>
  <c r="CE55" i="1" s="1"/>
  <c r="BZ59" i="1"/>
  <c r="CA59" i="1" s="1"/>
  <c r="BQ67" i="1"/>
  <c r="BN67" i="1"/>
  <c r="BJ37" i="1"/>
  <c r="BJ12" i="1"/>
  <c r="BJ15" i="1"/>
  <c r="BJ60" i="1"/>
  <c r="BJ3" i="1"/>
  <c r="BJ26" i="1"/>
  <c r="BJ27" i="1"/>
  <c r="BJ28" i="1"/>
  <c r="BJ34" i="1"/>
  <c r="BJ51" i="1"/>
  <c r="BJ65" i="1"/>
  <c r="BJ13" i="1"/>
  <c r="BJ49" i="1"/>
  <c r="BJ53" i="1"/>
  <c r="BJ29" i="1"/>
  <c r="BJ30" i="1"/>
  <c r="BJ41" i="1"/>
  <c r="BJ4" i="1"/>
  <c r="BJ16" i="1"/>
  <c r="BJ9" i="1"/>
  <c r="BJ18" i="1"/>
  <c r="BJ7" i="1"/>
  <c r="BJ11" i="1"/>
  <c r="BJ17" i="1"/>
  <c r="BJ20" i="1"/>
  <c r="BJ57" i="1"/>
  <c r="BJ5" i="1"/>
  <c r="BJ52" i="1"/>
  <c r="BJ21" i="1"/>
  <c r="BJ44" i="1"/>
  <c r="BJ31" i="1"/>
  <c r="BJ45" i="1"/>
  <c r="BJ61" i="1"/>
  <c r="BJ63" i="1"/>
  <c r="BJ24" i="1"/>
  <c r="BJ48" i="1"/>
  <c r="BJ42" i="1"/>
  <c r="BJ55" i="1"/>
  <c r="BJ59" i="1"/>
  <c r="BJ14" i="1"/>
  <c r="BJ19" i="1"/>
  <c r="BJ8" i="1"/>
  <c r="BJ22" i="1"/>
  <c r="BJ64" i="1"/>
  <c r="BJ50" i="1"/>
  <c r="BJ54" i="1"/>
  <c r="BJ32" i="1"/>
  <c r="BJ25" i="1"/>
  <c r="BJ23" i="1"/>
  <c r="BJ62" i="1"/>
  <c r="BJ38" i="1"/>
  <c r="BJ58" i="1"/>
  <c r="BJ39" i="1"/>
  <c r="BJ40" i="1"/>
  <c r="BJ46" i="1"/>
  <c r="BJ47" i="1"/>
  <c r="J67" i="1"/>
  <c r="J69" i="1" s="1"/>
  <c r="K67" i="1"/>
  <c r="K69" i="1" s="1"/>
  <c r="L67" i="1"/>
  <c r="L69" i="1" s="1"/>
  <c r="M67" i="1"/>
  <c r="M69" i="1" s="1"/>
  <c r="N67" i="1"/>
  <c r="N69" i="1" s="1"/>
  <c r="O67" i="1"/>
  <c r="O69" i="1" s="1"/>
  <c r="P67" i="1"/>
  <c r="P69" i="1" s="1"/>
  <c r="Q67" i="1"/>
  <c r="Q69" i="1" s="1"/>
  <c r="R67" i="1"/>
  <c r="R69" i="1" s="1"/>
  <c r="S67" i="1"/>
  <c r="S69" i="1" s="1"/>
  <c r="T67" i="1"/>
  <c r="T69" i="1" s="1"/>
  <c r="U67" i="1"/>
  <c r="U69" i="1" s="1"/>
  <c r="V67" i="1"/>
  <c r="V69" i="1" s="1"/>
  <c r="W67" i="1"/>
  <c r="W69" i="1" s="1"/>
  <c r="X67" i="1"/>
  <c r="X69" i="1" s="1"/>
  <c r="Y67" i="1"/>
  <c r="Y69" i="1" s="1"/>
  <c r="Z67" i="1"/>
  <c r="Z69" i="1" s="1"/>
  <c r="AA67" i="1"/>
  <c r="AA69" i="1" s="1"/>
  <c r="AB67" i="1"/>
  <c r="AB69" i="1" s="1"/>
  <c r="AC67" i="1"/>
  <c r="AC69" i="1" s="1"/>
  <c r="AD67" i="1"/>
  <c r="AD69" i="1" s="1"/>
  <c r="AE67" i="1"/>
  <c r="AE69" i="1" s="1"/>
  <c r="AF67" i="1"/>
  <c r="AF69" i="1" s="1"/>
  <c r="AG67" i="1"/>
  <c r="AG69" i="1" s="1"/>
  <c r="AH67" i="1"/>
  <c r="AH69" i="1" s="1"/>
  <c r="AI67" i="1"/>
  <c r="AI69" i="1" s="1"/>
  <c r="AJ67" i="1"/>
  <c r="AJ69" i="1" s="1"/>
  <c r="AK67" i="1"/>
  <c r="AK69" i="1" s="1"/>
  <c r="AM67" i="1"/>
  <c r="AM69" i="1" s="1"/>
  <c r="AN67" i="1"/>
  <c r="AN69" i="1" s="1"/>
  <c r="AL67" i="1"/>
  <c r="AL69" i="1" s="1"/>
  <c r="AQ67" i="1"/>
  <c r="AQ69" i="1" s="1"/>
  <c r="AO67" i="1"/>
  <c r="AO69" i="1" s="1"/>
  <c r="AP67" i="1"/>
  <c r="AP69" i="1" s="1"/>
  <c r="BJ43" i="1"/>
  <c r="BJ56" i="1"/>
  <c r="BJ2" i="1"/>
  <c r="BJ35" i="1"/>
  <c r="BJ36" i="1"/>
  <c r="BJ6" i="1"/>
  <c r="BJ10" i="1"/>
  <c r="BJ66" i="1"/>
  <c r="BJ33" i="1"/>
  <c r="AZ67" i="1"/>
  <c r="AZ69" i="1" s="1"/>
  <c r="BA67" i="1"/>
  <c r="BA69" i="1" s="1"/>
  <c r="AY67" i="1"/>
  <c r="AY69" i="1" s="1"/>
  <c r="AX67" i="1"/>
  <c r="AX69" i="1" s="1"/>
  <c r="BB67" i="1"/>
  <c r="BB69" i="1" s="1"/>
  <c r="BC67" i="1"/>
  <c r="BC69" i="1" s="1"/>
  <c r="BD67" i="1"/>
  <c r="BD69" i="1" s="1"/>
  <c r="BE67" i="1"/>
  <c r="BE69" i="1" s="1"/>
  <c r="BF67" i="1"/>
  <c r="BF69" i="1" s="1"/>
  <c r="BG67" i="1"/>
  <c r="BG69" i="1" s="1"/>
  <c r="BH67" i="1"/>
  <c r="BH69" i="1" s="1"/>
  <c r="BI67" i="1"/>
  <c r="BI69" i="1" s="1"/>
  <c r="F67" i="1"/>
  <c r="F69" i="1" s="1"/>
  <c r="G67" i="1"/>
  <c r="G69" i="1" s="1"/>
  <c r="H67" i="1"/>
  <c r="H69" i="1" s="1"/>
  <c r="I67" i="1"/>
  <c r="I69" i="1" s="1"/>
  <c r="AR67" i="1"/>
  <c r="AR69" i="1" s="1"/>
  <c r="AS67" i="1"/>
  <c r="AS69" i="1" s="1"/>
  <c r="AU67" i="1"/>
  <c r="AU69" i="1" s="1"/>
  <c r="AW67" i="1"/>
  <c r="AW69" i="1" s="1"/>
  <c r="AT67" i="1"/>
  <c r="AT69" i="1" s="1"/>
  <c r="AV67" i="1"/>
  <c r="AV69" i="1" s="1"/>
  <c r="E67" i="1"/>
  <c r="E69" i="1" s="1"/>
  <c r="CI9" i="1" l="1"/>
  <c r="CH31" i="1"/>
  <c r="CB39" i="1"/>
  <c r="CE31" i="1"/>
  <c r="CJ4" i="1"/>
  <c r="CJ6" i="1"/>
  <c r="CD37" i="1"/>
  <c r="CC18" i="1"/>
  <c r="CD5" i="1"/>
  <c r="CK7" i="1"/>
  <c r="CA9" i="1"/>
  <c r="CG39" i="1"/>
  <c r="CB18" i="1"/>
  <c r="CJ18" i="1"/>
  <c r="CA18" i="1"/>
  <c r="CL18" i="1"/>
  <c r="CH19" i="1"/>
  <c r="CE18" i="1"/>
  <c r="CC63" i="1"/>
  <c r="CJ63" i="1"/>
  <c r="CK63" i="1"/>
  <c r="CB63" i="1"/>
  <c r="CF39" i="1"/>
  <c r="CI63" i="1"/>
  <c r="CK39" i="1"/>
  <c r="CA63" i="1"/>
  <c r="CJ25" i="1"/>
  <c r="CI48" i="1"/>
  <c r="CL49" i="1"/>
  <c r="CJ31" i="1"/>
  <c r="CH7" i="1"/>
  <c r="CC39" i="1"/>
  <c r="CK38" i="1"/>
  <c r="CD4" i="1"/>
  <c r="CF4" i="1"/>
  <c r="CG63" i="1"/>
  <c r="CD17" i="1"/>
  <c r="CG49" i="1"/>
  <c r="CE28" i="1"/>
  <c r="CH62" i="1"/>
  <c r="CH38" i="1"/>
  <c r="CI62" i="1"/>
  <c r="CG38" i="1"/>
  <c r="CC38" i="1"/>
  <c r="CL38" i="1"/>
  <c r="CF11" i="1"/>
  <c r="CH2" i="1"/>
  <c r="CE38" i="1"/>
  <c r="CF56" i="1"/>
  <c r="CK8" i="1"/>
  <c r="CC14" i="1"/>
  <c r="CK56" i="1"/>
  <c r="CD56" i="1"/>
  <c r="CB38" i="1"/>
  <c r="CJ38" i="1"/>
  <c r="CF21" i="1"/>
  <c r="CB20" i="1"/>
  <c r="CA19" i="1"/>
  <c r="CA38" i="1"/>
  <c r="CI19" i="1"/>
  <c r="CL9" i="1"/>
  <c r="CI38" i="1"/>
  <c r="CA21" i="1"/>
  <c r="CF9" i="1"/>
  <c r="CL3" i="1"/>
  <c r="CD21" i="1"/>
  <c r="CF38" i="1"/>
  <c r="CL21" i="1"/>
  <c r="CC62" i="1"/>
  <c r="CI21" i="1"/>
  <c r="CI56" i="1"/>
  <c r="CK62" i="1"/>
  <c r="CG28" i="1"/>
  <c r="CJ20" i="1"/>
  <c r="CD19" i="1"/>
  <c r="CE66" i="1"/>
  <c r="CK66" i="1"/>
  <c r="CL58" i="1"/>
  <c r="CJ66" i="1"/>
  <c r="CK58" i="1"/>
  <c r="CG66" i="1"/>
  <c r="CJ58" i="1"/>
  <c r="CG23" i="1"/>
  <c r="CH58" i="1"/>
  <c r="CG58" i="1"/>
  <c r="CD58" i="1"/>
  <c r="CD46" i="1"/>
  <c r="CI58" i="1"/>
  <c r="CJ44" i="1"/>
  <c r="CL66" i="1"/>
  <c r="CB58" i="1"/>
  <c r="CC66" i="1"/>
  <c r="CA44" i="1"/>
  <c r="CE58" i="1"/>
  <c r="CB66" i="1"/>
  <c r="CC58" i="1"/>
  <c r="CL39" i="1"/>
  <c r="CL45" i="1"/>
  <c r="CF54" i="1"/>
  <c r="CK27" i="1"/>
  <c r="CK54" i="1"/>
  <c r="CE45" i="1"/>
  <c r="CE33" i="1"/>
  <c r="CH27" i="1"/>
  <c r="CH48" i="1"/>
  <c r="CJ27" i="1"/>
  <c r="CF33" i="1"/>
  <c r="CB27" i="1"/>
  <c r="CI33" i="1"/>
  <c r="CI27" i="1"/>
  <c r="CH54" i="1"/>
  <c r="CC33" i="1"/>
  <c r="CE27" i="1"/>
  <c r="CG54" i="1"/>
  <c r="CB33" i="1"/>
  <c r="CI54" i="1"/>
  <c r="CC54" i="1"/>
  <c r="CL33" i="1"/>
  <c r="CC27" i="1"/>
  <c r="CK45" i="1"/>
  <c r="CB54" i="1"/>
  <c r="CK33" i="1"/>
  <c r="CJ45" i="1"/>
  <c r="CA54" i="1"/>
  <c r="CH33" i="1"/>
  <c r="CL52" i="1"/>
  <c r="CI6" i="1"/>
  <c r="CL2" i="1"/>
  <c r="CG51" i="1"/>
  <c r="CD45" i="1"/>
  <c r="CG45" i="1"/>
  <c r="CL54" i="1"/>
  <c r="CC55" i="1"/>
  <c r="CD27" i="1"/>
  <c r="CL7" i="1"/>
  <c r="CI39" i="1"/>
  <c r="CE64" i="1"/>
  <c r="CI20" i="1"/>
  <c r="CL19" i="1"/>
  <c r="CA31" i="1"/>
  <c r="CJ23" i="1"/>
  <c r="CF62" i="1"/>
  <c r="CF7" i="1"/>
  <c r="CC25" i="1"/>
  <c r="CL34" i="1"/>
  <c r="CD63" i="1"/>
  <c r="CF23" i="1"/>
  <c r="CG3" i="1"/>
  <c r="CD18" i="1"/>
  <c r="CG2" i="1"/>
  <c r="CB21" i="1"/>
  <c r="CE60" i="1"/>
  <c r="CD2" i="1"/>
  <c r="CG35" i="1"/>
  <c r="CJ36" i="1"/>
  <c r="CK53" i="1"/>
  <c r="CC3" i="1"/>
  <c r="CH18" i="1"/>
  <c r="CJ21" i="1"/>
  <c r="CD9" i="1"/>
  <c r="CC2" i="1"/>
  <c r="CG64" i="1"/>
  <c r="CJ48" i="1"/>
  <c r="CF53" i="1"/>
  <c r="CA3" i="1"/>
  <c r="CG34" i="1"/>
  <c r="CA39" i="1"/>
  <c r="CG9" i="1"/>
  <c r="CH20" i="1"/>
  <c r="CE14" i="1"/>
  <c r="CG19" i="1"/>
  <c r="CK31" i="1"/>
  <c r="CL63" i="1"/>
  <c r="CB62" i="1"/>
  <c r="CJ37" i="1"/>
  <c r="CG7" i="1"/>
  <c r="CC59" i="1"/>
  <c r="CI18" i="1"/>
  <c r="CH35" i="1"/>
  <c r="CF59" i="1"/>
  <c r="CF20" i="1"/>
  <c r="CK14" i="1"/>
  <c r="CI59" i="1"/>
  <c r="CF19" i="1"/>
  <c r="CG6" i="1"/>
  <c r="CI34" i="1"/>
  <c r="CC9" i="1"/>
  <c r="CA24" i="1"/>
  <c r="CB4" i="1"/>
  <c r="CA17" i="1"/>
  <c r="CA7" i="1"/>
  <c r="CL59" i="1"/>
  <c r="CF18" i="1"/>
  <c r="CE20" i="1"/>
  <c r="CI14" i="1"/>
  <c r="CE19" i="1"/>
  <c r="CA6" i="1"/>
  <c r="CF34" i="1"/>
  <c r="CK9" i="1"/>
  <c r="CC31" i="1"/>
  <c r="CL24" i="1"/>
  <c r="CF17" i="1"/>
  <c r="CK26" i="1"/>
  <c r="CH59" i="1"/>
  <c r="CB34" i="1"/>
  <c r="CC24" i="1"/>
  <c r="CE34" i="1"/>
  <c r="CI24" i="1"/>
  <c r="CI7" i="1"/>
  <c r="CJ26" i="1"/>
  <c r="CG59" i="1"/>
  <c r="CH39" i="1"/>
  <c r="CH25" i="1"/>
  <c r="CH44" i="1"/>
  <c r="CF58" i="1"/>
  <c r="CE6" i="1"/>
  <c r="CL12" i="1"/>
  <c r="CF24" i="1"/>
  <c r="CG26" i="1"/>
  <c r="CD59" i="1"/>
  <c r="CC44" i="1"/>
  <c r="CE12" i="1"/>
  <c r="CD26" i="1"/>
  <c r="CK60" i="1"/>
  <c r="CG43" i="1"/>
  <c r="CC26" i="1"/>
  <c r="CJ60" i="1"/>
  <c r="CC43" i="1"/>
  <c r="CA26" i="1"/>
  <c r="CH60" i="1"/>
  <c r="CF26" i="1"/>
  <c r="CE59" i="1"/>
  <c r="CK34" i="1"/>
  <c r="CD60" i="1"/>
  <c r="CH24" i="1"/>
  <c r="CK24" i="1"/>
  <c r="CE26" i="1"/>
  <c r="CH34" i="1"/>
  <c r="CA60" i="1"/>
  <c r="CJ24" i="1"/>
  <c r="CD24" i="1"/>
  <c r="CA34" i="1"/>
  <c r="CF60" i="1"/>
  <c r="CG24" i="1"/>
  <c r="CD48" i="1"/>
  <c r="CK4" i="1"/>
  <c r="CI3" i="1"/>
  <c r="CC57" i="1"/>
  <c r="CE7" i="1"/>
  <c r="CE39" i="1"/>
  <c r="CG25" i="1"/>
  <c r="CJ14" i="1"/>
  <c r="CB44" i="1"/>
  <c r="CH65" i="1"/>
  <c r="CD49" i="1"/>
  <c r="CG31" i="1"/>
  <c r="CH12" i="1"/>
  <c r="CF8" i="1"/>
  <c r="CK35" i="1"/>
  <c r="CB48" i="1"/>
  <c r="CE53" i="1"/>
  <c r="CC17" i="1"/>
  <c r="CI28" i="1"/>
  <c r="CB7" i="1"/>
  <c r="CA64" i="1"/>
  <c r="CD25" i="1"/>
  <c r="CA14" i="1"/>
  <c r="CK44" i="1"/>
  <c r="CK49" i="1"/>
  <c r="CD31" i="1"/>
  <c r="CB12" i="1"/>
  <c r="CE8" i="1"/>
  <c r="CJ35" i="1"/>
  <c r="CK64" i="1"/>
  <c r="CD10" i="1"/>
  <c r="CA48" i="1"/>
  <c r="CK17" i="1"/>
  <c r="CF28" i="1"/>
  <c r="CF64" i="1"/>
  <c r="CF2" i="1"/>
  <c r="CA25" i="1"/>
  <c r="CF14" i="1"/>
  <c r="CI44" i="1"/>
  <c r="CE49" i="1"/>
  <c r="CL31" i="1"/>
  <c r="CI12" i="1"/>
  <c r="CD35" i="1"/>
  <c r="CH63" i="1"/>
  <c r="CJ62" i="1"/>
  <c r="CC4" i="1"/>
  <c r="CK3" i="1"/>
  <c r="CL17" i="1"/>
  <c r="CE29" i="1"/>
  <c r="CK6" i="1"/>
  <c r="CF12" i="1"/>
  <c r="CC35" i="1"/>
  <c r="CD3" i="1"/>
  <c r="CI17" i="1"/>
  <c r="CK40" i="1"/>
  <c r="CA40" i="1"/>
  <c r="CD44" i="1"/>
  <c r="CG48" i="1"/>
  <c r="CD53" i="1"/>
  <c r="CF3" i="1"/>
  <c r="CK28" i="1"/>
  <c r="CJ7" i="1"/>
  <c r="CB46" i="1"/>
  <c r="CI64" i="1"/>
  <c r="CG20" i="1"/>
  <c r="CF25" i="1"/>
  <c r="CG14" i="1"/>
  <c r="CK11" i="1"/>
  <c r="CG12" i="1"/>
  <c r="CJ49" i="1"/>
  <c r="CE65" i="1"/>
  <c r="CH6" i="1"/>
  <c r="CI31" i="1"/>
  <c r="CD12" i="1"/>
  <c r="CK2" i="1"/>
  <c r="CA35" i="1"/>
  <c r="CJ64" i="1"/>
  <c r="CF63" i="1"/>
  <c r="CA36" i="1"/>
  <c r="CF48" i="1"/>
  <c r="CJ53" i="1"/>
  <c r="CG4" i="1"/>
  <c r="CE3" i="1"/>
  <c r="CE17" i="1"/>
  <c r="CD28" i="1"/>
  <c r="CG40" i="1"/>
  <c r="CD7" i="1"/>
  <c r="CI46" i="1"/>
  <c r="CK18" i="1"/>
  <c r="CJ39" i="1"/>
  <c r="CJ2" i="1"/>
  <c r="CC20" i="1"/>
  <c r="CE25" i="1"/>
  <c r="CD14" i="1"/>
  <c r="CG11" i="1"/>
  <c r="CH49" i="1"/>
  <c r="CD6" i="1"/>
  <c r="CF31" i="1"/>
  <c r="CC12" i="1"/>
  <c r="CI2" i="1"/>
  <c r="CI35" i="1"/>
  <c r="CH64" i="1"/>
  <c r="CL36" i="1"/>
  <c r="CE48" i="1"/>
  <c r="CG53" i="1"/>
  <c r="CL4" i="1"/>
  <c r="CB3" i="1"/>
  <c r="CB17" i="1"/>
  <c r="CH28" i="1"/>
  <c r="CD40" i="1"/>
  <c r="CB14" i="1"/>
  <c r="CK21" i="1"/>
  <c r="CL14" i="1"/>
  <c r="CC49" i="1"/>
  <c r="CL6" i="1"/>
  <c r="CK12" i="1"/>
  <c r="CD64" i="1"/>
  <c r="CC48" i="1"/>
  <c r="CD62" i="1"/>
  <c r="CH53" i="1"/>
  <c r="CE4" i="1"/>
  <c r="CJ3" i="1"/>
  <c r="CJ17" i="1"/>
  <c r="CC28" i="1"/>
  <c r="CI40" i="1"/>
  <c r="CB49" i="1"/>
  <c r="CA12" i="1"/>
  <c r="CK48" i="1"/>
  <c r="CI53" i="1"/>
  <c r="CG17" i="1"/>
  <c r="CJ28" i="1"/>
  <c r="CF40" i="1"/>
  <c r="CE40" i="1"/>
  <c r="CJ40" i="1"/>
  <c r="CA2" i="1"/>
  <c r="CC64" i="1"/>
  <c r="CE62" i="1"/>
  <c r="CC53" i="1"/>
  <c r="CC40" i="1"/>
  <c r="CL13" i="1"/>
  <c r="CL61" i="1"/>
  <c r="CI13" i="1"/>
  <c r="CI61" i="1"/>
  <c r="CF13" i="1"/>
  <c r="CJ42" i="1"/>
  <c r="CF61" i="1"/>
  <c r="CC22" i="1"/>
  <c r="CE61" i="1"/>
  <c r="CB22" i="1"/>
  <c r="CK15" i="1"/>
  <c r="CJ22" i="1"/>
  <c r="CG15" i="1"/>
  <c r="CB61" i="1"/>
  <c r="CH42" i="1"/>
  <c r="CD42" i="1"/>
  <c r="CL22" i="1"/>
  <c r="CD15" i="1"/>
  <c r="CC42" i="1"/>
  <c r="CG22" i="1"/>
  <c r="CF52" i="1"/>
  <c r="CG8" i="1"/>
  <c r="CI22" i="1"/>
  <c r="CB15" i="1"/>
  <c r="CJ13" i="1"/>
  <c r="CK42" i="1"/>
  <c r="CK47" i="1"/>
  <c r="CD8" i="1"/>
  <c r="CF22" i="1"/>
  <c r="CJ15" i="1"/>
  <c r="CG13" i="1"/>
  <c r="CG42" i="1"/>
  <c r="CD47" i="1"/>
  <c r="CG47" i="1"/>
  <c r="CA8" i="1"/>
  <c r="CE22" i="1"/>
  <c r="CC51" i="1"/>
  <c r="CI55" i="1"/>
  <c r="CC15" i="1"/>
  <c r="CD13" i="1"/>
  <c r="CB42" i="1"/>
  <c r="CA42" i="1"/>
  <c r="CK61" i="1"/>
  <c r="CH22" i="1"/>
  <c r="CL8" i="1"/>
  <c r="CG29" i="1"/>
  <c r="CI15" i="1"/>
  <c r="CC13" i="1"/>
  <c r="CL42" i="1"/>
  <c r="CJ61" i="1"/>
  <c r="CI8" i="1"/>
  <c r="CB51" i="1"/>
  <c r="CF27" i="1"/>
  <c r="CF29" i="1"/>
  <c r="CJ43" i="1"/>
  <c r="CF15" i="1"/>
  <c r="CA13" i="1"/>
  <c r="CF42" i="1"/>
  <c r="CD61" i="1"/>
  <c r="CE15" i="1"/>
  <c r="CD41" i="1"/>
  <c r="CD16" i="1"/>
  <c r="CI10" i="1"/>
  <c r="CF46" i="1"/>
  <c r="CL41" i="1"/>
  <c r="CE11" i="1"/>
  <c r="CC47" i="1"/>
  <c r="CC52" i="1"/>
  <c r="CJ56" i="1"/>
  <c r="CC16" i="1"/>
  <c r="CE23" i="1"/>
  <c r="CF10" i="1"/>
  <c r="CC36" i="1"/>
  <c r="CC5" i="1"/>
  <c r="CD29" i="1"/>
  <c r="CI37" i="1"/>
  <c r="CE46" i="1"/>
  <c r="CI41" i="1"/>
  <c r="CA56" i="1"/>
  <c r="CA47" i="1"/>
  <c r="CB52" i="1"/>
  <c r="CH56" i="1"/>
  <c r="CG16" i="1"/>
  <c r="CE10" i="1"/>
  <c r="CD36" i="1"/>
  <c r="CL5" i="1"/>
  <c r="CB29" i="1"/>
  <c r="CF37" i="1"/>
  <c r="CK46" i="1"/>
  <c r="CF41" i="1"/>
  <c r="CF47" i="1"/>
  <c r="CK52" i="1"/>
  <c r="CG56" i="1"/>
  <c r="CA16" i="1"/>
  <c r="CK36" i="1"/>
  <c r="CF5" i="1"/>
  <c r="CC29" i="1"/>
  <c r="CE37" i="1"/>
  <c r="CH52" i="1"/>
  <c r="CE41" i="1"/>
  <c r="CC65" i="1"/>
  <c r="CE47" i="1"/>
  <c r="CJ52" i="1"/>
  <c r="CI16" i="1"/>
  <c r="CH36" i="1"/>
  <c r="CE5" i="1"/>
  <c r="CA29" i="1"/>
  <c r="CD11" i="1"/>
  <c r="CB65" i="1"/>
  <c r="CD52" i="1"/>
  <c r="CE16" i="1"/>
  <c r="CG41" i="1"/>
  <c r="CG36" i="1"/>
  <c r="CB5" i="1"/>
  <c r="CL55" i="1"/>
  <c r="CL29" i="1"/>
  <c r="CG46" i="1"/>
  <c r="CC11" i="1"/>
  <c r="CL65" i="1"/>
  <c r="CA52" i="1"/>
  <c r="CH11" i="1"/>
  <c r="CB16" i="1"/>
  <c r="CK23" i="1"/>
  <c r="CK10" i="1"/>
  <c r="CB36" i="1"/>
  <c r="CI29" i="1"/>
  <c r="CH40" i="1"/>
  <c r="CJ46" i="1"/>
  <c r="CK65" i="1"/>
  <c r="CG10" i="1"/>
  <c r="CK37" i="1"/>
  <c r="CH46" i="1"/>
  <c r="CG52" i="1"/>
  <c r="CA11" i="1"/>
  <c r="CC56" i="1"/>
  <c r="CJ11" i="1"/>
  <c r="CI65" i="1"/>
  <c r="CD23" i="1"/>
  <c r="CB10" i="1"/>
  <c r="CI36" i="1"/>
  <c r="CK5" i="1"/>
  <c r="CJ29" i="1"/>
  <c r="CD30" i="1"/>
  <c r="CB40" i="1"/>
  <c r="CH37" i="1"/>
  <c r="CA46" i="1"/>
  <c r="CK41" i="1"/>
  <c r="CL11" i="1"/>
  <c r="CJ47" i="1"/>
  <c r="CB56" i="1"/>
  <c r="CK16" i="1"/>
  <c r="CC23" i="1"/>
  <c r="CJ10" i="1"/>
  <c r="CF36" i="1"/>
  <c r="CJ5" i="1"/>
  <c r="CK29" i="1"/>
  <c r="CK30" i="1"/>
  <c r="CG37" i="1"/>
  <c r="CL46" i="1"/>
  <c r="CJ41" i="1"/>
  <c r="CI11" i="1"/>
  <c r="CH23" i="1"/>
  <c r="CH47" i="1"/>
  <c r="CL56" i="1"/>
  <c r="CF65" i="1"/>
  <c r="CA23" i="1"/>
  <c r="CC10" i="1"/>
  <c r="CG5" i="1"/>
  <c r="CC30" i="1"/>
  <c r="CC37" i="1"/>
  <c r="CD32" i="1"/>
  <c r="CB26" i="1"/>
  <c r="CE13" i="1"/>
  <c r="CB59" i="1"/>
  <c r="CH66" i="1"/>
  <c r="CA33" i="1"/>
  <c r="CA45" i="1"/>
  <c r="CE54" i="1"/>
  <c r="CC8" i="1"/>
  <c r="CD20" i="1"/>
  <c r="CB25" i="1"/>
  <c r="CI42" i="1"/>
  <c r="CE21" i="1"/>
  <c r="CH41" i="1"/>
  <c r="CJ33" i="1"/>
  <c r="CL44" i="1"/>
  <c r="CG61" i="1"/>
  <c r="CJ65" i="1"/>
  <c r="CB47" i="1"/>
  <c r="CA49" i="1"/>
  <c r="CI52" i="1"/>
  <c r="CG21" i="1"/>
  <c r="CL16" i="1"/>
  <c r="CJ34" i="1"/>
  <c r="CC60" i="1"/>
  <c r="CH9" i="1"/>
  <c r="CE2" i="1"/>
  <c r="CK22" i="1"/>
  <c r="CB23" i="1"/>
  <c r="CL35" i="1"/>
  <c r="CE24" i="1"/>
  <c r="CH10" i="1"/>
  <c r="CG62" i="1"/>
  <c r="CA5" i="1"/>
  <c r="CB32" i="1"/>
  <c r="CD51" i="1"/>
  <c r="CB53" i="1"/>
  <c r="CB55" i="1"/>
  <c r="CA4" i="1"/>
  <c r="CG27" i="1"/>
  <c r="CB28" i="1"/>
  <c r="CH30" i="1"/>
  <c r="CH43" i="1"/>
  <c r="CB37" i="1"/>
  <c r="CH15" i="1"/>
  <c r="CB57" i="1"/>
  <c r="CC50" i="1"/>
  <c r="CH32" i="1"/>
  <c r="CL57" i="1"/>
  <c r="CB45" i="1"/>
  <c r="CL26" i="1"/>
  <c r="CB50" i="1"/>
  <c r="CK59" i="1"/>
  <c r="CG60" i="1"/>
  <c r="CI45" i="1"/>
  <c r="CB8" i="1"/>
  <c r="CA20" i="1"/>
  <c r="CL25" i="1"/>
  <c r="CC41" i="1"/>
  <c r="CG33" i="1"/>
  <c r="CF44" i="1"/>
  <c r="CC19" i="1"/>
  <c r="CC61" i="1"/>
  <c r="CG65" i="1"/>
  <c r="CL47" i="1"/>
  <c r="CI49" i="1"/>
  <c r="CH16" i="1"/>
  <c r="CD34" i="1"/>
  <c r="CL60" i="1"/>
  <c r="CE9" i="1"/>
  <c r="CH13" i="1"/>
  <c r="CJ8" i="1"/>
  <c r="CD22" i="1"/>
  <c r="CL23" i="1"/>
  <c r="CF35" i="1"/>
  <c r="CB64" i="1"/>
  <c r="CA10" i="1"/>
  <c r="CA62" i="1"/>
  <c r="CI5" i="1"/>
  <c r="CA32" i="1"/>
  <c r="CA51" i="1"/>
  <c r="CA53" i="1"/>
  <c r="CK55" i="1"/>
  <c r="CI4" i="1"/>
  <c r="CA27" i="1"/>
  <c r="CA28" i="1"/>
  <c r="CA30" i="1"/>
  <c r="CA43" i="1"/>
  <c r="CA37" i="1"/>
  <c r="CA15" i="1"/>
  <c r="CK57" i="1"/>
  <c r="CI26" i="1"/>
  <c r="CK13" i="1"/>
  <c r="CK50" i="1"/>
  <c r="CJ59" i="1"/>
  <c r="CB60" i="1"/>
  <c r="CJ9" i="1"/>
  <c r="CJ54" i="1"/>
  <c r="CK25" i="1"/>
  <c r="CL20" i="1"/>
  <c r="CC21" i="1"/>
  <c r="CA41" i="1"/>
  <c r="CE44" i="1"/>
  <c r="CA61" i="1"/>
  <c r="CD65" i="1"/>
  <c r="CF16" i="1"/>
  <c r="CE35" i="1"/>
  <c r="CL32" i="1"/>
  <c r="CL51" i="1"/>
  <c r="CJ55" i="1"/>
  <c r="CL30" i="1"/>
  <c r="CL43" i="1"/>
  <c r="CJ57" i="1"/>
  <c r="CG50" i="1"/>
  <c r="CJ50" i="1"/>
  <c r="CI32" i="1"/>
  <c r="CI51" i="1"/>
  <c r="CH55" i="1"/>
  <c r="CI30" i="1"/>
  <c r="CI43" i="1"/>
  <c r="CH57" i="1"/>
  <c r="CC6" i="1"/>
  <c r="CB6" i="1"/>
  <c r="CD50" i="1"/>
  <c r="CF32" i="1"/>
  <c r="CF51" i="1"/>
  <c r="CG55" i="1"/>
  <c r="CF30" i="1"/>
  <c r="CF43" i="1"/>
  <c r="CG57" i="1"/>
  <c r="CA50" i="1"/>
  <c r="CE32" i="1"/>
  <c r="CE51" i="1"/>
  <c r="CD55" i="1"/>
  <c r="CE30" i="1"/>
  <c r="CE43" i="1"/>
  <c r="CD57" i="1"/>
  <c r="CB19" i="1"/>
  <c r="CJ19" i="1"/>
  <c r="CL50" i="1"/>
  <c r="CK32" i="1"/>
  <c r="CJ51" i="1"/>
  <c r="CA55" i="1"/>
  <c r="CG30" i="1"/>
  <c r="CK43" i="1"/>
  <c r="CA57" i="1"/>
  <c r="CI50" i="1"/>
  <c r="CJ32" i="1"/>
  <c r="CI57" i="1"/>
  <c r="CF50" i="1"/>
  <c r="CC32" i="1"/>
  <c r="CK51" i="1"/>
  <c r="CF55" i="1"/>
  <c r="CB30" i="1"/>
  <c r="CD43" i="1"/>
  <c r="CF57" i="1"/>
  <c r="CC45" i="1"/>
  <c r="CH45" i="1"/>
  <c r="CE50" i="1"/>
  <c r="CA66" i="1"/>
  <c r="CF66" i="1"/>
  <c r="CI66" i="1"/>
  <c r="CL67" i="1" l="1"/>
  <c r="CH67" i="1"/>
  <c r="CD67" i="1"/>
  <c r="CB67" i="1"/>
  <c r="CG67" i="1"/>
  <c r="CF67" i="1"/>
  <c r="CK67" i="1"/>
  <c r="CA67" i="1"/>
  <c r="CE67" i="1"/>
  <c r="CJ67" i="1"/>
  <c r="CI67" i="1"/>
  <c r="CC67" i="1"/>
</calcChain>
</file>

<file path=xl/sharedStrings.xml><?xml version="1.0" encoding="utf-8"?>
<sst xmlns="http://schemas.openxmlformats.org/spreadsheetml/2006/main" count="391" uniqueCount="179">
  <si>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</si>
  <si>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</si>
  <si>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</si>
  <si>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</si>
  <si>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</si>
  <si>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</si>
  <si>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</si>
  <si>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</si>
  <si>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</si>
  <si>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</si>
  <si>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</si>
  <si>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</si>
  <si>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</si>
  <si>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</si>
  <si>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</si>
  <si>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</si>
  <si>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</si>
  <si>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</si>
  <si>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</si>
  <si>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</si>
  <si>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</si>
  <si>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</si>
  <si>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</si>
  <si>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</si>
  <si>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</si>
  <si>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</si>
  <si>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</si>
  <si>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</si>
  <si>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</si>
  <si>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</si>
  <si>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</si>
  <si>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</si>
  <si>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</si>
  <si>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</si>
  <si>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</si>
  <si>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</si>
  <si>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</si>
  <si>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</si>
  <si>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</si>
  <si>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</si>
  <si>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</si>
  <si>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</si>
  <si>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</si>
  <si>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</si>
  <si>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</si>
  <si>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</si>
  <si>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</si>
  <si>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</si>
  <si>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</si>
  <si>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</si>
  <si>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</si>
  <si>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</si>
  <si>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</si>
  <si>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</si>
  <si>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</si>
  <si>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</si>
  <si>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</si>
  <si>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</si>
  <si>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</si>
  <si>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</si>
  <si>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</si>
  <si>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</si>
  <si>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</si>
  <si>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</si>
  <si>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</si>
  <si>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</si>
  <si>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</si>
  <si>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</si>
  <si>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</si>
  <si>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</si>
  <si>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</si>
  <si>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</si>
  <si>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</si>
  <si>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</si>
  <si>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</si>
  <si>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</si>
  <si>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</si>
  <si>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</si>
  <si>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</si>
  <si>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</si>
  <si>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</si>
  <si>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</si>
  <si>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</si>
  <si>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</si>
  <si>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</si>
  <si>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</si>
  <si>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</si>
  <si>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</si>
  <si>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</si>
  <si>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</si>
  <si>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自然符文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</si>
  <si>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</si>
  <si>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</si>
  <si>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</si>
  <si>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</si>
  <si>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</si>
  <si>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</si>
  <si>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</si>
  <si>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远古神石</t>
    <phoneticPr fontId="1" type="noConversion"/>
  </si>
  <si>
    <t>土元素</t>
    <phoneticPr fontId="1" type="noConversion"/>
  </si>
  <si>
    <t>寒冰符文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</si>
  <si>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</si>
  <si>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</si>
  <si>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</si>
  <si>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</si>
  <si>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</si>
  <si>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</si>
  <si>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</si>
  <si>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</si>
  <si>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</si>
  <si>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</si>
  <si>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</si>
  <si>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</si>
  <si>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</si>
  <si>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</si>
  <si>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</si>
  <si>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</si>
  <si>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</si>
  <si>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</si>
  <si>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</si>
  <si>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</si>
  <si>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</si>
  <si>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</si>
  <si>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</si>
  <si>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</si>
  <si>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</si>
  <si>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</si>
  <si>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</si>
  <si>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</si>
  <si>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</si>
  <si>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</si>
  <si>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</si>
  <si>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</si>
  <si>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</si>
  <si>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</si>
  <si>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螃蟹(5),</t>
    <phoneticPr fontId="1" type="noConversion"/>
  </si>
  <si>
    <t>金钗(5),</t>
    <phoneticPr fontId="1" type="noConversion"/>
  </si>
  <si>
    <t>仙丹(5),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</si>
  <si>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</si>
  <si>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</si>
  <si>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</si>
  <si>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</si>
  <si>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彗星(5),</t>
    <phoneticPr fontId="1" type="noConversion"/>
  </si>
  <si>
    <t>炼妖壶(1),</t>
    <phoneticPr fontId="1" type="noConversion"/>
  </si>
  <si>
    <t>炼妖壶(1),</t>
    <phoneticPr fontId="1" type="noConversion"/>
  </si>
  <si>
    <t>伏羲琴(1),</t>
    <phoneticPr fontId="1" type="noConversion"/>
  </si>
  <si>
    <t>崆峒印(1),</t>
    <phoneticPr fontId="1" type="noConversion"/>
  </si>
  <si>
    <t>技巧符文叉大(7),</t>
    <phoneticPr fontId="1" type="noConversion"/>
  </si>
  <si>
    <t>盘古斧(3),</t>
    <phoneticPr fontId="1" type="noConversion"/>
  </si>
  <si>
    <t>金甲虫(8),</t>
    <phoneticPr fontId="1" type="noConversion"/>
  </si>
  <si>
    <t>炼妖壶(5),</t>
    <phoneticPr fontId="1" type="noConversion"/>
  </si>
  <si>
    <t>技巧符文叉大(12),</t>
    <phoneticPr fontId="1" type="noConversion"/>
  </si>
  <si>
    <t>金甲虫(13),</t>
    <phoneticPr fontId="1" type="noConversion"/>
  </si>
  <si>
    <t>金钗(15),</t>
    <phoneticPr fontId="1" type="noConversion"/>
  </si>
  <si>
    <t>彗星(15),</t>
    <phoneticPr fontId="1" type="noConversion"/>
  </si>
  <si>
    <t>辉耀之星(12),</t>
    <phoneticPr fontId="1" type="noConversion"/>
  </si>
  <si>
    <t>金甲虫(48),</t>
    <phoneticPr fontId="1" type="noConversion"/>
  </si>
  <si>
    <t>金甲虫(198),</t>
    <phoneticPr fontId="1" type="noConversion"/>
  </si>
  <si>
    <t>技巧符文叉大(2),</t>
    <phoneticPr fontId="1" type="noConversion"/>
  </si>
  <si>
    <t>烈焰之心(1),</t>
    <phoneticPr fontId="1" type="noConversion"/>
  </si>
  <si>
    <t>赤焰十字星(3),</t>
    <phoneticPr fontId="1" type="noConversion"/>
  </si>
  <si>
    <t>技巧符文叉大(7),</t>
    <phoneticPr fontId="1" type="noConversion"/>
  </si>
  <si>
    <t>桂花(5),_x000D_
桂花酒(5),</t>
    <phoneticPr fontId="1" type="noConversion"/>
  </si>
  <si>
    <t>崆峒印(1),_x000D_
赤焰十字星(3),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</si>
  <si>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</si>
  <si>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</si>
  <si>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龙灵不朽藤(5),_x000D_
技巧符文叉大(7),</t>
    <phoneticPr fontId="1" type="noConversion"/>
  </si>
  <si>
    <t>六方天运骰(9),_x000D_
力量符文叉大(4),_x000D_
技巧符文叉大(7),</t>
    <phoneticPr fontId="1" type="noConversion"/>
  </si>
  <si>
    <t>女娲石(3),_x000D_
伏羲琴(5),_x000D_
赤焰十字星(3),</t>
    <phoneticPr fontId="1" type="noConversion"/>
  </si>
  <si>
    <t>太一之轮(8),_x000D_
幸运符文叉大(5),_x000D_
技巧符文叉大(12),</t>
    <phoneticPr fontId="1" type="noConversion"/>
  </si>
  <si>
    <t>女娲石(3),_x000D_
彗星(25),_x000D_
赤焰十字星(3),</t>
    <phoneticPr fontId="1" type="noConversion"/>
  </si>
  <si>
    <t>炼妖壶(15),_x000D_
轩辕剑(13),_x000D_
伏羲琴(15),</t>
    <phoneticPr fontId="1" type="noConversion"/>
  </si>
  <si>
    <t>炼妖壶(1),_x000D_
伏羲琴(1),_x000D_
赤焰十字星(3),_x000D_
技巧符文叉大(7),</t>
    <phoneticPr fontId="1" type="noConversion"/>
  </si>
  <si>
    <t>女娲石(8),_x000D_
愚山乾坤石(3),_x000D_
技巧符文叉大(12),</t>
    <phoneticPr fontId="1" type="noConversion"/>
  </si>
  <si>
    <t>炼妖壶(10),_x000D_
赤焰十字星(8),_x000D_
幸运符文叉大(5),</t>
    <phoneticPr fontId="1" type="noConversion"/>
  </si>
  <si>
    <t>女娲石(8),_x000D_
幸运符文叉大(5),_x000D_
技巧符文叉大(12),</t>
    <phoneticPr fontId="1" type="noConversion"/>
  </si>
  <si>
    <t>女娲石(8),_x000D_
龙灵不朽藤(10),_x000D_
技巧符文叉大(12),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</si>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</sst>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72</xdr:row>
          <xdr:rowOff>28575</xdr:rowOff>
        </xdr:from>
        <xdr:to>
          <xdr:col>1</xdr:col>
          <xdr:colOff>428625</xdr:colOff>
          <xdr:row>73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69"/>
  <sheetViews>
    <sheetView tabSelected="1" workbookViewId="0">
      <pane xSplit="2" ySplit="1" topLeftCell="BF59" activePane="bottomRight" state="frozen"/>
      <selection pane="topRight" activeCell="C1" sqref="C1"/>
      <selection pane="bottomLeft" activeCell="A3" sqref="A3"/>
      <selection pane="bottomRight" activeCell="BM46" sqref="BM46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1" s="13" customFormat="1" x14ac:dyDescent="0.15">
      <c r="A1" s="8" t="s">
        <v>109</v>
      </c>
      <c r="B1" s="8" t="s">
        <v>110</v>
      </c>
      <c r="C1" s="8" t="s">
        <v>112</v>
      </c>
      <c r="D1" s="8" t="s">
        <v>111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106</v>
      </c>
      <c r="K1" s="9" t="s">
        <v>31</v>
      </c>
      <c r="L1" s="9" t="s">
        <v>57</v>
      </c>
      <c r="M1" s="9" t="s">
        <v>63</v>
      </c>
      <c r="N1" s="9" t="s">
        <v>69</v>
      </c>
      <c r="O1" s="9" t="s">
        <v>62</v>
      </c>
      <c r="P1" s="9" t="s">
        <v>27</v>
      </c>
      <c r="Q1" s="9" t="s">
        <v>74</v>
      </c>
      <c r="R1" s="9" t="s">
        <v>100</v>
      </c>
      <c r="S1" s="9" t="s">
        <v>76</v>
      </c>
      <c r="T1" s="9" t="s">
        <v>90</v>
      </c>
      <c r="U1" s="9" t="s">
        <v>77</v>
      </c>
      <c r="V1" s="9" t="s">
        <v>98</v>
      </c>
      <c r="W1" s="9" t="s">
        <v>55</v>
      </c>
      <c r="X1" s="9" t="s">
        <v>70</v>
      </c>
      <c r="Y1" s="9" t="s">
        <v>99</v>
      </c>
      <c r="Z1" s="9" t="s">
        <v>79</v>
      </c>
      <c r="AA1" s="9" t="s">
        <v>91</v>
      </c>
      <c r="AB1" s="8" t="s">
        <v>10</v>
      </c>
      <c r="AC1" s="8" t="s">
        <v>37</v>
      </c>
      <c r="AD1" s="8" t="s">
        <v>38</v>
      </c>
      <c r="AE1" s="8" t="s">
        <v>92</v>
      </c>
      <c r="AF1" s="8" t="s">
        <v>93</v>
      </c>
      <c r="AG1" s="8" t="s">
        <v>95</v>
      </c>
      <c r="AH1" s="8" t="s">
        <v>96</v>
      </c>
      <c r="AI1" s="8" t="s">
        <v>101</v>
      </c>
      <c r="AJ1" s="8" t="s">
        <v>71</v>
      </c>
      <c r="AK1" s="8" t="s">
        <v>73</v>
      </c>
      <c r="AL1" s="10" t="s">
        <v>51</v>
      </c>
      <c r="AM1" s="10" t="s">
        <v>5</v>
      </c>
      <c r="AN1" s="10" t="s">
        <v>35</v>
      </c>
      <c r="AO1" s="10" t="s">
        <v>80</v>
      </c>
      <c r="AP1" s="10" t="s">
        <v>88</v>
      </c>
      <c r="AQ1" s="10" t="s">
        <v>67</v>
      </c>
      <c r="AR1" s="11" t="s">
        <v>6</v>
      </c>
      <c r="AS1" s="11" t="s">
        <v>7</v>
      </c>
      <c r="AT1" s="11" t="s">
        <v>53</v>
      </c>
      <c r="AU1" s="11" t="s">
        <v>9</v>
      </c>
      <c r="AV1" s="11" t="s">
        <v>66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42</v>
      </c>
      <c r="BE1" s="8" t="s">
        <v>43</v>
      </c>
      <c r="BF1" s="8" t="s">
        <v>44</v>
      </c>
      <c r="BG1" s="8" t="s">
        <v>45</v>
      </c>
      <c r="BH1" s="8" t="s">
        <v>46</v>
      </c>
      <c r="BI1" s="8" t="s">
        <v>47</v>
      </c>
      <c r="BJ1" s="12" t="s">
        <v>118</v>
      </c>
      <c r="BK1" s="8" t="s">
        <v>119</v>
      </c>
      <c r="BL1" s="16" t="s">
        <v>120</v>
      </c>
      <c r="BM1" s="16"/>
      <c r="BN1" s="10" t="s">
        <v>51</v>
      </c>
      <c r="BO1" s="10" t="s">
        <v>5</v>
      </c>
      <c r="BP1" s="10" t="s">
        <v>35</v>
      </c>
      <c r="BQ1" s="10" t="s">
        <v>80</v>
      </c>
      <c r="BR1" s="10" t="s">
        <v>88</v>
      </c>
      <c r="BS1" s="10" t="s">
        <v>67</v>
      </c>
      <c r="BT1" s="11" t="s">
        <v>6</v>
      </c>
      <c r="BU1" s="11" t="s">
        <v>7</v>
      </c>
      <c r="BV1" s="11" t="s">
        <v>53</v>
      </c>
      <c r="BW1" s="11" t="s">
        <v>9</v>
      </c>
      <c r="BX1" s="11" t="s">
        <v>66</v>
      </c>
      <c r="BY1" s="11" t="s">
        <v>14</v>
      </c>
      <c r="BZ1" s="8"/>
      <c r="CA1" s="10" t="s">
        <v>51</v>
      </c>
      <c r="CB1" s="10" t="s">
        <v>5</v>
      </c>
      <c r="CC1" s="10" t="s">
        <v>35</v>
      </c>
      <c r="CD1" s="10" t="s">
        <v>80</v>
      </c>
      <c r="CE1" s="10" t="s">
        <v>88</v>
      </c>
      <c r="CF1" s="10" t="s">
        <v>67</v>
      </c>
      <c r="CG1" s="11" t="s">
        <v>6</v>
      </c>
      <c r="CH1" s="11" t="s">
        <v>7</v>
      </c>
      <c r="CI1" s="11" t="s">
        <v>53</v>
      </c>
      <c r="CJ1" s="11" t="s">
        <v>9</v>
      </c>
      <c r="CK1" s="11" t="s">
        <v>66</v>
      </c>
      <c r="CL1" s="11" t="s">
        <v>14</v>
      </c>
    </row>
    <row r="2" spans="1:91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IF(AL2&gt;AL$68, AL2-AL$68,"")</f>
        <v/>
      </c>
      <c r="BO2" s="1" t="str">
        <f>IF(AM2&gt;AM$68, AM2-AM$68,"")</f>
        <v/>
      </c>
      <c r="BP2" s="1" t="str">
        <f>IF(AN2&gt;AN$68, AN2-AN$68,"")</f>
        <v/>
      </c>
      <c r="BQ2" s="1" t="str">
        <f>IF(AO2&gt;AO$68, AO2-AO$68,"")</f>
        <v/>
      </c>
      <c r="BR2" s="1" t="str">
        <f>IF(AP2&gt;AP$68, AP2-AP$68,"")</f>
        <v/>
      </c>
      <c r="BS2" s="1" t="str">
        <f>IF(AQ2&gt;AQ$68, AQ2-AQ$68,"")</f>
        <v/>
      </c>
      <c r="BT2" s="1" t="str">
        <f>IF(AR2&gt;AR$68, AR2-AR$68,"")</f>
        <v/>
      </c>
      <c r="BU2" s="1" t="str">
        <f>IF(AS2&gt;AS$68, AS2-AS$68,"")</f>
        <v/>
      </c>
      <c r="BV2" s="1" t="str">
        <f>IF(AT2&gt;AT$68, AT2-AT$68,"")</f>
        <v/>
      </c>
      <c r="BW2" s="1" t="str">
        <f>IF(AU2&gt;AU$68, AU2-AU$68,"")</f>
        <v/>
      </c>
      <c r="BX2" s="1" t="str">
        <f>IF(AV2&gt;AV$68, AV2-AV$68,"")</f>
        <v/>
      </c>
      <c r="BY2" s="1" t="str">
        <f>IF(AW2&gt;AW$68, AW2-AW$68,"")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  <c r="CM2" s="18">
        <f>SUM(AB2:BI2)</f>
        <v>80</v>
      </c>
    </row>
    <row r="3" spans="1:91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IF(AL3&gt;AL$68, AL3-AL$68,"")</f>
        <v/>
      </c>
      <c r="BO3" s="1" t="str">
        <f>IF(AM3&gt;AM$68, AM3-AM$68,"")</f>
        <v/>
      </c>
      <c r="BP3" s="1" t="str">
        <f>IF(AN3&gt;AN$68, AN3-AN$68,"")</f>
        <v/>
      </c>
      <c r="BQ3" s="1" t="str">
        <f>IF(AO3&gt;AO$68, AO3-AO$68,"")</f>
        <v/>
      </c>
      <c r="BR3" s="1" t="str">
        <f>IF(AP3&gt;AP$68, AP3-AP$68,"")</f>
        <v/>
      </c>
      <c r="BS3" s="1" t="str">
        <f>IF(AQ3&gt;AQ$68, AQ3-AQ$68,"")</f>
        <v/>
      </c>
      <c r="BT3" s="1" t="str">
        <f>IF(AR3&gt;AR$68, AR3-AR$68,"")</f>
        <v/>
      </c>
      <c r="BU3" s="1" t="str">
        <f>IF(AS3&gt;AS$68, AS3-AS$68,"")</f>
        <v/>
      </c>
      <c r="BV3" s="1" t="str">
        <f>IF(AT3&gt;AT$68, AT3-AT$68,"")</f>
        <v/>
      </c>
      <c r="BW3" s="1" t="str">
        <f>IF(AU3&gt;AU$68, AU3-AU$68,"")</f>
        <v/>
      </c>
      <c r="BX3" s="1" t="str">
        <f>IF(AV3&gt;AV$68, AV3-AV$68,"")</f>
        <v/>
      </c>
      <c r="BY3" s="1" t="str">
        <f>IF(AW3&gt;AW$68, AW3-AW$68,"")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  <c r="CM3" s="18">
        <f>SUM(AB3:BI3)</f>
        <v>80</v>
      </c>
    </row>
    <row r="4" spans="1:91" x14ac:dyDescent="0.15">
      <c r="A4" s="1">
        <v>35</v>
      </c>
      <c r="B4" s="1" t="s">
        <v>49</v>
      </c>
      <c r="C4" s="1" t="s">
        <v>50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>
        <v>20</v>
      </c>
      <c r="AY4" s="1">
        <v>20</v>
      </c>
      <c r="AZ4" s="1">
        <v>20</v>
      </c>
      <c r="BA4" s="1">
        <v>20</v>
      </c>
      <c r="BB4" s="1"/>
      <c r="BC4" s="1"/>
      <c r="BD4" s="1"/>
      <c r="BE4" s="1"/>
      <c r="BF4" s="1"/>
      <c r="BG4" s="1"/>
      <c r="BH4" s="1"/>
      <c r="BI4" s="1"/>
      <c r="BJ4" s="1">
        <f>SUM(E4:BI4)</f>
        <v>80</v>
      </c>
      <c r="BK4" s="1">
        <v>0</v>
      </c>
      <c r="BL4" s="17">
        <v>0</v>
      </c>
      <c r="BM4" s="17"/>
      <c r="BN4" s="1" t="str">
        <f>IF(AL4&gt;AL$68, AL4-AL$68,"")</f>
        <v/>
      </c>
      <c r="BO4" s="1" t="str">
        <f>IF(AM4&gt;AM$68, AM4-AM$68,"")</f>
        <v/>
      </c>
      <c r="BP4" s="1" t="str">
        <f>IF(AN4&gt;AN$68, AN4-AN$68,"")</f>
        <v/>
      </c>
      <c r="BQ4" s="1" t="str">
        <f>IF(AO4&gt;AO$68, AO4-AO$68,"")</f>
        <v/>
      </c>
      <c r="BR4" s="1" t="str">
        <f>IF(AP4&gt;AP$68, AP4-AP$68,"")</f>
        <v/>
      </c>
      <c r="BS4" s="1" t="str">
        <f>IF(AQ4&gt;AQ$68, AQ4-AQ$68,"")</f>
        <v/>
      </c>
      <c r="BT4" s="1" t="str">
        <f>IF(AR4&gt;AR$68, AR4-AR$68,"")</f>
        <v/>
      </c>
      <c r="BU4" s="1" t="str">
        <f>IF(AS4&gt;AS$68, AS4-AS$68,"")</f>
        <v/>
      </c>
      <c r="BV4" s="1" t="str">
        <f>IF(AT4&gt;AT$68, AT4-AT$68,"")</f>
        <v/>
      </c>
      <c r="BW4" s="1" t="str">
        <f>IF(AU4&gt;AU$68, AU4-AU$68,"")</f>
        <v/>
      </c>
      <c r="BX4" s="1" t="str">
        <f>IF(AV4&gt;AV$68, AV4-AV$68,"")</f>
        <v/>
      </c>
      <c r="BY4" s="1" t="str">
        <f>IF(AW4&gt;AW$68, AW4-AW$68,"")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  <c r="CM4" s="18">
        <f>SUM(AB4:BI4)</f>
        <v>80</v>
      </c>
    </row>
    <row r="5" spans="1:91" x14ac:dyDescent="0.15">
      <c r="A5" s="1">
        <v>55</v>
      </c>
      <c r="B5" s="1" t="s">
        <v>64</v>
      </c>
      <c r="C5" s="1" t="s">
        <v>65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/>
      <c r="BA5" s="1"/>
      <c r="BB5" s="1">
        <v>20</v>
      </c>
      <c r="BC5" s="1">
        <v>20</v>
      </c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IF(AL5&gt;AL$68, AL5-AL$68,"")</f>
        <v/>
      </c>
      <c r="BO5" s="1" t="str">
        <f>IF(AM5&gt;AM$68, AM5-AM$68,"")</f>
        <v/>
      </c>
      <c r="BP5" s="1" t="str">
        <f>IF(AN5&gt;AN$68, AN5-AN$68,"")</f>
        <v/>
      </c>
      <c r="BQ5" s="1" t="str">
        <f>IF(AO5&gt;AO$68, AO5-AO$68,"")</f>
        <v/>
      </c>
      <c r="BR5" s="1" t="str">
        <f>IF(AP5&gt;AP$68, AP5-AP$68,"")</f>
        <v/>
      </c>
      <c r="BS5" s="1" t="str">
        <f>IF(AQ5&gt;AQ$68, AQ5-AQ$68,"")</f>
        <v/>
      </c>
      <c r="BT5" s="1" t="str">
        <f>IF(AR5&gt;AR$68, AR5-AR$68,"")</f>
        <v/>
      </c>
      <c r="BU5" s="1" t="str">
        <f>IF(AS5&gt;AS$68, AS5-AS$68,"")</f>
        <v/>
      </c>
      <c r="BV5" s="1" t="str">
        <f>IF(AT5&gt;AT$68, AT5-AT$68,"")</f>
        <v/>
      </c>
      <c r="BW5" s="1" t="str">
        <f>IF(AU5&gt;AU$68, AU5-AU$68,"")</f>
        <v/>
      </c>
      <c r="BX5" s="1" t="str">
        <f>IF(AV5&gt;AV$68, AV5-AV$68,"")</f>
        <v/>
      </c>
      <c r="BY5" s="1" t="str">
        <f>IF(AW5&gt;AW$68, AW5-AW$68,"")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  <c r="CM5" s="18">
        <f>SUM(AB5:BI5)</f>
        <v>80</v>
      </c>
    </row>
    <row r="6" spans="1:91" x14ac:dyDescent="0.15">
      <c r="A6" s="19">
        <v>7</v>
      </c>
      <c r="B6" s="19" t="s">
        <v>59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21"/>
      <c r="AM6" s="21"/>
      <c r="AN6" s="21"/>
      <c r="AO6" s="21"/>
      <c r="AP6" s="21"/>
      <c r="AQ6" s="21"/>
      <c r="AR6" s="22"/>
      <c r="AS6" s="22"/>
      <c r="AT6" s="22"/>
      <c r="AU6" s="22"/>
      <c r="AV6" s="22"/>
      <c r="AW6" s="22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>
        <f>SUM(E6:BI6)</f>
        <v>5</v>
      </c>
      <c r="BK6" s="19">
        <v>0</v>
      </c>
      <c r="BL6" s="23">
        <v>0</v>
      </c>
      <c r="BM6" s="23"/>
      <c r="BN6" s="19" t="str">
        <f>IF(AL6&gt;AL$68, AL6-AL$68,"")</f>
        <v/>
      </c>
      <c r="BO6" s="19" t="str">
        <f>IF(AM6&gt;AM$68, AM6-AM$68,"")</f>
        <v/>
      </c>
      <c r="BP6" s="19" t="str">
        <f>IF(AN6&gt;AN$68, AN6-AN$68,"")</f>
        <v/>
      </c>
      <c r="BQ6" s="19" t="str">
        <f>IF(AO6&gt;AO$68, AO6-AO$68,"")</f>
        <v/>
      </c>
      <c r="BR6" s="19" t="str">
        <f>IF(AP6&gt;AP$68, AP6-AP$68,"")</f>
        <v/>
      </c>
      <c r="BS6" s="19" t="str">
        <f>IF(AQ6&gt;AQ$68, AQ6-AQ$68,"")</f>
        <v/>
      </c>
      <c r="BT6" s="19" t="str">
        <f>IF(AR6&gt;AR$68, AR6-AR$68,"")</f>
        <v/>
      </c>
      <c r="BU6" s="19" t="str">
        <f>IF(AS6&gt;AS$68, AS6-AS$68,"")</f>
        <v/>
      </c>
      <c r="BV6" s="19" t="str">
        <f>IF(AT6&gt;AT$68, AT6-AT$68,"")</f>
        <v/>
      </c>
      <c r="BW6" s="19" t="str">
        <f>IF(AU6&gt;AU$68, AU6-AU$68,"")</f>
        <v/>
      </c>
      <c r="BX6" s="19" t="str">
        <f>IF(AV6&gt;AV$68, AV6-AV$68,"")</f>
        <v/>
      </c>
      <c r="BY6" s="19" t="str">
        <f>IF(AW6&gt;AW$68, AW6-AW$68,"")</f>
        <v/>
      </c>
      <c r="BZ6" s="19">
        <f>COUNTIF(BN6:BY6, "&gt;0")</f>
        <v>0</v>
      </c>
      <c r="CA6" s="19" t="str">
        <f>IF($BZ6=1,BN6,"")</f>
        <v/>
      </c>
      <c r="CB6" s="19" t="str">
        <f>IF($BZ6=1,BO6,"")</f>
        <v/>
      </c>
      <c r="CC6" s="19" t="str">
        <f>IF($BZ6=1,BP6,"")</f>
        <v/>
      </c>
      <c r="CD6" s="19" t="str">
        <f>IF($BZ6=1,BQ6,"")</f>
        <v/>
      </c>
      <c r="CE6" s="19" t="str">
        <f>IF($BZ6=1,BR6,"")</f>
        <v/>
      </c>
      <c r="CF6" s="19" t="str">
        <f>IF($BZ6=1,BS6,"")</f>
        <v/>
      </c>
      <c r="CG6" s="19" t="str">
        <f>IF($BZ6=1,BT6,"")</f>
        <v/>
      </c>
      <c r="CH6" s="19" t="str">
        <f>IF($BZ6=1,BU6,"")</f>
        <v/>
      </c>
      <c r="CI6" s="19" t="str">
        <f>IF($BZ6=1,BV6,"")</f>
        <v/>
      </c>
      <c r="CJ6" s="19" t="str">
        <f>IF($BZ6=1,BW6,"")</f>
        <v/>
      </c>
      <c r="CK6" s="19" t="str">
        <f>IF($BZ6=1,BX6,"")</f>
        <v/>
      </c>
      <c r="CL6" s="19" t="str">
        <f>IF($BZ6=1,BY6,"")</f>
        <v/>
      </c>
      <c r="CM6" s="24">
        <f>SUM(AB6:BI6)</f>
        <v>0</v>
      </c>
    </row>
    <row r="7" spans="1:91" s="25" customFormat="1" x14ac:dyDescent="0.15">
      <c r="A7" s="19">
        <v>40</v>
      </c>
      <c r="B7" s="19" t="s">
        <v>60</v>
      </c>
      <c r="C7" s="19" t="s">
        <v>50</v>
      </c>
      <c r="D7" s="19" t="s">
        <v>61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20"/>
      <c r="Q7" s="20"/>
      <c r="R7" s="20"/>
      <c r="S7" s="20"/>
      <c r="T7" s="20"/>
      <c r="U7" s="20"/>
      <c r="V7" s="20"/>
      <c r="W7" s="20">
        <v>5</v>
      </c>
      <c r="X7" s="20"/>
      <c r="Y7" s="20"/>
      <c r="Z7" s="20"/>
      <c r="AA7" s="20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21"/>
      <c r="AM7" s="21"/>
      <c r="AN7" s="21"/>
      <c r="AO7" s="21"/>
      <c r="AP7" s="21"/>
      <c r="AQ7" s="21"/>
      <c r="AR7" s="22"/>
      <c r="AS7" s="22"/>
      <c r="AT7" s="22"/>
      <c r="AU7" s="22"/>
      <c r="AV7" s="22"/>
      <c r="AW7" s="22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>
        <f>SUM(E7:BI7)</f>
        <v>10</v>
      </c>
      <c r="BK7" s="19">
        <v>0</v>
      </c>
      <c r="BL7" s="23">
        <v>0</v>
      </c>
      <c r="BM7" s="23"/>
      <c r="BN7" s="19" t="str">
        <f>IF(AL7&gt;AL$68, AL7-AL$68,"")</f>
        <v/>
      </c>
      <c r="BO7" s="19" t="str">
        <f>IF(AM7&gt;AM$68, AM7-AM$68,"")</f>
        <v/>
      </c>
      <c r="BP7" s="19" t="str">
        <f>IF(AN7&gt;AN$68, AN7-AN$68,"")</f>
        <v/>
      </c>
      <c r="BQ7" s="19" t="str">
        <f>IF(AO7&gt;AO$68, AO7-AO$68,"")</f>
        <v/>
      </c>
      <c r="BR7" s="19" t="str">
        <f>IF(AP7&gt;AP$68, AP7-AP$68,"")</f>
        <v/>
      </c>
      <c r="BS7" s="19" t="str">
        <f>IF(AQ7&gt;AQ$68, AQ7-AQ$68,"")</f>
        <v/>
      </c>
      <c r="BT7" s="19" t="str">
        <f>IF(AR7&gt;AR$68, AR7-AR$68,"")</f>
        <v/>
      </c>
      <c r="BU7" s="19" t="str">
        <f>IF(AS7&gt;AS$68, AS7-AS$68,"")</f>
        <v/>
      </c>
      <c r="BV7" s="19" t="str">
        <f>IF(AT7&gt;AT$68, AT7-AT$68,"")</f>
        <v/>
      </c>
      <c r="BW7" s="19" t="str">
        <f>IF(AU7&gt;AU$68, AU7-AU$68,"")</f>
        <v/>
      </c>
      <c r="BX7" s="19" t="str">
        <f>IF(AV7&gt;AV$68, AV7-AV$68,"")</f>
        <v/>
      </c>
      <c r="BY7" s="19" t="str">
        <f>IF(AW7&gt;AW$68, AW7-AW$68,"")</f>
        <v/>
      </c>
      <c r="BZ7" s="19">
        <f>COUNTIF(BN7:BY7, "&gt;0")</f>
        <v>0</v>
      </c>
      <c r="CA7" s="19" t="str">
        <f>IF($BZ7=1,BN7,"")</f>
        <v/>
      </c>
      <c r="CB7" s="19" t="str">
        <f>IF($BZ7=1,BO7,"")</f>
        <v/>
      </c>
      <c r="CC7" s="19" t="str">
        <f>IF($BZ7=1,BP7,"")</f>
        <v/>
      </c>
      <c r="CD7" s="19" t="str">
        <f>IF($BZ7=1,BQ7,"")</f>
        <v/>
      </c>
      <c r="CE7" s="19" t="str">
        <f>IF($BZ7=1,BR7,"")</f>
        <v/>
      </c>
      <c r="CF7" s="19" t="str">
        <f>IF($BZ7=1,BS7,"")</f>
        <v/>
      </c>
      <c r="CG7" s="19" t="str">
        <f>IF($BZ7=1,BT7,"")</f>
        <v/>
      </c>
      <c r="CH7" s="19" t="str">
        <f>IF($BZ7=1,BU7,"")</f>
        <v/>
      </c>
      <c r="CI7" s="19" t="str">
        <f>IF($BZ7=1,BV7,"")</f>
        <v/>
      </c>
      <c r="CJ7" s="19" t="str">
        <f>IF($BZ7=1,BW7,"")</f>
        <v/>
      </c>
      <c r="CK7" s="19" t="str">
        <f>IF($BZ7=1,BX7,"")</f>
        <v/>
      </c>
      <c r="CL7" s="19" t="str">
        <f>IF($BZ7=1,BY7,"")</f>
        <v/>
      </c>
      <c r="CM7" s="24">
        <f>SUM(AB7:BI7)</f>
        <v>0</v>
      </c>
    </row>
    <row r="8" spans="1:91" s="25" customFormat="1" x14ac:dyDescent="0.15">
      <c r="A8" s="19">
        <v>83</v>
      </c>
      <c r="B8" s="26" t="s">
        <v>84</v>
      </c>
      <c r="C8" s="26" t="s">
        <v>78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21"/>
      <c r="AM8" s="21"/>
      <c r="AN8" s="21"/>
      <c r="AO8" s="21"/>
      <c r="AP8" s="21"/>
      <c r="AQ8" s="21"/>
      <c r="AR8" s="22"/>
      <c r="AS8" s="22"/>
      <c r="AT8" s="22"/>
      <c r="AU8" s="22"/>
      <c r="AV8" s="22"/>
      <c r="AW8" s="22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>
        <f>SUM(E8:BI8)</f>
        <v>5</v>
      </c>
      <c r="BK8" s="19">
        <v>0</v>
      </c>
      <c r="BL8" s="23">
        <v>0</v>
      </c>
      <c r="BM8" s="23"/>
      <c r="BN8" s="19" t="str">
        <f>IF(AL8&gt;AL$68, AL8-AL$68,"")</f>
        <v/>
      </c>
      <c r="BO8" s="19" t="str">
        <f>IF(AM8&gt;AM$68, AM8-AM$68,"")</f>
        <v/>
      </c>
      <c r="BP8" s="19" t="str">
        <f>IF(AN8&gt;AN$68, AN8-AN$68,"")</f>
        <v/>
      </c>
      <c r="BQ8" s="19" t="str">
        <f>IF(AO8&gt;AO$68, AO8-AO$68,"")</f>
        <v/>
      </c>
      <c r="BR8" s="19" t="str">
        <f>IF(AP8&gt;AP$68, AP8-AP$68,"")</f>
        <v/>
      </c>
      <c r="BS8" s="19" t="str">
        <f>IF(AQ8&gt;AQ$68, AQ8-AQ$68,"")</f>
        <v/>
      </c>
      <c r="BT8" s="19" t="str">
        <f>IF(AR8&gt;AR$68, AR8-AR$68,"")</f>
        <v/>
      </c>
      <c r="BU8" s="19" t="str">
        <f>IF(AS8&gt;AS$68, AS8-AS$68,"")</f>
        <v/>
      </c>
      <c r="BV8" s="19" t="str">
        <f>IF(AT8&gt;AT$68, AT8-AT$68,"")</f>
        <v/>
      </c>
      <c r="BW8" s="19" t="str">
        <f>IF(AU8&gt;AU$68, AU8-AU$68,"")</f>
        <v/>
      </c>
      <c r="BX8" s="19" t="str">
        <f>IF(AV8&gt;AV$68, AV8-AV$68,"")</f>
        <v/>
      </c>
      <c r="BY8" s="19" t="str">
        <f>IF(AW8&gt;AW$68, AW8-AW$68,"")</f>
        <v/>
      </c>
      <c r="BZ8" s="19">
        <f>COUNTIF(BN8:BY8, "&gt;0")</f>
        <v>0</v>
      </c>
      <c r="CA8" s="19" t="str">
        <f>IF($BZ8=1,BN8,"")</f>
        <v/>
      </c>
      <c r="CB8" s="19" t="str">
        <f>IF($BZ8=1,BO8,"")</f>
        <v/>
      </c>
      <c r="CC8" s="19" t="str">
        <f>IF($BZ8=1,BP8,"")</f>
        <v/>
      </c>
      <c r="CD8" s="19" t="str">
        <f>IF($BZ8=1,BQ8,"")</f>
        <v/>
      </c>
      <c r="CE8" s="19" t="str">
        <f>IF($BZ8=1,BR8,"")</f>
        <v/>
      </c>
      <c r="CF8" s="19" t="str">
        <f>IF($BZ8=1,BS8,"")</f>
        <v/>
      </c>
      <c r="CG8" s="19" t="str">
        <f>IF($BZ8=1,BT8,"")</f>
        <v/>
      </c>
      <c r="CH8" s="19" t="str">
        <f>IF($BZ8=1,BU8,"")</f>
        <v/>
      </c>
      <c r="CI8" s="19" t="str">
        <f>IF($BZ8=1,BV8,"")</f>
        <v/>
      </c>
      <c r="CJ8" s="19" t="str">
        <f>IF($BZ8=1,BW8,"")</f>
        <v/>
      </c>
      <c r="CK8" s="19" t="str">
        <f>IF($BZ8=1,BX8,"")</f>
        <v/>
      </c>
      <c r="CL8" s="19" t="str">
        <f>IF($BZ8=1,BY8,"")</f>
        <v/>
      </c>
      <c r="CM8" s="24">
        <f>SUM(AB8:BI8)</f>
        <v>0</v>
      </c>
    </row>
    <row r="9" spans="1:91" s="25" customFormat="1" x14ac:dyDescent="0.15">
      <c r="A9" s="19">
        <v>37</v>
      </c>
      <c r="B9" s="19" t="s">
        <v>54</v>
      </c>
      <c r="C9" s="19" t="s">
        <v>50</v>
      </c>
      <c r="D9" s="19" t="s">
        <v>25</v>
      </c>
      <c r="E9" s="20"/>
      <c r="F9" s="20">
        <v>5</v>
      </c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>
        <v>5</v>
      </c>
      <c r="X9" s="20"/>
      <c r="Y9" s="20"/>
      <c r="Z9" s="20"/>
      <c r="AA9" s="20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21"/>
      <c r="AM9" s="21"/>
      <c r="AN9" s="21"/>
      <c r="AO9" s="21"/>
      <c r="AP9" s="21"/>
      <c r="AQ9" s="21"/>
      <c r="AR9" s="22"/>
      <c r="AS9" s="22"/>
      <c r="AT9" s="22"/>
      <c r="AU9" s="22"/>
      <c r="AV9" s="22"/>
      <c r="AW9" s="22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>
        <f>SUM(E9:BI9)</f>
        <v>10</v>
      </c>
      <c r="BK9" s="19">
        <v>0</v>
      </c>
      <c r="BL9" s="23">
        <v>0</v>
      </c>
      <c r="BM9" s="23"/>
      <c r="BN9" s="19" t="str">
        <f>IF(AL9&gt;AL$68, AL9-AL$68,"")</f>
        <v/>
      </c>
      <c r="BO9" s="19" t="str">
        <f>IF(AM9&gt;AM$68, AM9-AM$68,"")</f>
        <v/>
      </c>
      <c r="BP9" s="19" t="str">
        <f>IF(AN9&gt;AN$68, AN9-AN$68,"")</f>
        <v/>
      </c>
      <c r="BQ9" s="19" t="str">
        <f>IF(AO9&gt;AO$68, AO9-AO$68,"")</f>
        <v/>
      </c>
      <c r="BR9" s="19" t="str">
        <f>IF(AP9&gt;AP$68, AP9-AP$68,"")</f>
        <v/>
      </c>
      <c r="BS9" s="19" t="str">
        <f>IF(AQ9&gt;AQ$68, AQ9-AQ$68,"")</f>
        <v/>
      </c>
      <c r="BT9" s="19" t="str">
        <f>IF(AR9&gt;AR$68, AR9-AR$68,"")</f>
        <v/>
      </c>
      <c r="BU9" s="19" t="str">
        <f>IF(AS9&gt;AS$68, AS9-AS$68,"")</f>
        <v/>
      </c>
      <c r="BV9" s="19" t="str">
        <f>IF(AT9&gt;AT$68, AT9-AT$68,"")</f>
        <v/>
      </c>
      <c r="BW9" s="19" t="str">
        <f>IF(AU9&gt;AU$68, AU9-AU$68,"")</f>
        <v/>
      </c>
      <c r="BX9" s="19" t="str">
        <f>IF(AV9&gt;AV$68, AV9-AV$68,"")</f>
        <v/>
      </c>
      <c r="BY9" s="19" t="str">
        <f>IF(AW9&gt;AW$68, AW9-AW$68,"")</f>
        <v/>
      </c>
      <c r="BZ9" s="19">
        <f>COUNTIF(BN9:BY9, "&gt;0")</f>
        <v>0</v>
      </c>
      <c r="CA9" s="19" t="str">
        <f>IF($BZ9=1,BN9,"")</f>
        <v/>
      </c>
      <c r="CB9" s="19" t="str">
        <f>IF($BZ9=1,BO9,"")</f>
        <v/>
      </c>
      <c r="CC9" s="19" t="str">
        <f>IF($BZ9=1,BP9,"")</f>
        <v/>
      </c>
      <c r="CD9" s="19" t="str">
        <f>IF($BZ9=1,BQ9,"")</f>
        <v/>
      </c>
      <c r="CE9" s="19" t="str">
        <f>IF($BZ9=1,BR9,"")</f>
        <v/>
      </c>
      <c r="CF9" s="19" t="str">
        <f>IF($BZ9=1,BS9,"")</f>
        <v/>
      </c>
      <c r="CG9" s="19" t="str">
        <f>IF($BZ9=1,BT9,"")</f>
        <v/>
      </c>
      <c r="CH9" s="19" t="str">
        <f>IF($BZ9=1,BU9,"")</f>
        <v/>
      </c>
      <c r="CI9" s="19" t="str">
        <f>IF($BZ9=1,BV9,"")</f>
        <v/>
      </c>
      <c r="CJ9" s="19" t="str">
        <f>IF($BZ9=1,BW9,"")</f>
        <v/>
      </c>
      <c r="CK9" s="19" t="str">
        <f>IF($BZ9=1,BX9,"")</f>
        <v/>
      </c>
      <c r="CL9" s="19" t="str">
        <f>IF($BZ9=1,BY9,"")</f>
        <v/>
      </c>
      <c r="CM9" s="24">
        <f>SUM(AB9:BI9)</f>
        <v>0</v>
      </c>
    </row>
    <row r="10" spans="1:91" s="25" customFormat="1" x14ac:dyDescent="0.15">
      <c r="A10" s="1">
        <v>101</v>
      </c>
      <c r="B10" s="3" t="s">
        <v>126</v>
      </c>
      <c r="C10" s="3" t="s">
        <v>86</v>
      </c>
      <c r="D10" s="1" t="s">
        <v>13</v>
      </c>
      <c r="E10" s="6"/>
      <c r="F10" s="6"/>
      <c r="G10" s="6"/>
      <c r="H10" s="6">
        <v>6</v>
      </c>
      <c r="I10" s="6">
        <v>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>
        <v>8</v>
      </c>
      <c r="AQ10" s="4"/>
      <c r="AR10" s="2">
        <v>8</v>
      </c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28</v>
      </c>
      <c r="BK10" s="1">
        <v>0</v>
      </c>
      <c r="BL10" s="17">
        <v>0</v>
      </c>
      <c r="BM10" s="17"/>
      <c r="BN10" s="1" t="str">
        <f>IF(AL10&gt;AL$68, AL10-AL$68,"")</f>
        <v/>
      </c>
      <c r="BO10" s="1" t="str">
        <f>IF(AM10&gt;AM$68, AM10-AM$68,"")</f>
        <v/>
      </c>
      <c r="BP10" s="1" t="str">
        <f>IF(AN10&gt;AN$68, AN10-AN$68,"")</f>
        <v/>
      </c>
      <c r="BQ10" s="1" t="str">
        <f>IF(AO10&gt;AO$68, AO10-AO$68,"")</f>
        <v/>
      </c>
      <c r="BR10" s="1" t="str">
        <f>IF(AP10&gt;AP$68, AP10-AP$68,"")</f>
        <v/>
      </c>
      <c r="BS10" s="1" t="str">
        <f>IF(AQ10&gt;AQ$68, AQ10-AQ$68,"")</f>
        <v/>
      </c>
      <c r="BT10" s="1" t="str">
        <f>IF(AR10&gt;AR$68, AR10-AR$68,"")</f>
        <v/>
      </c>
      <c r="BU10" s="1" t="str">
        <f>IF(AS10&gt;AS$68, AS10-AS$68,"")</f>
        <v/>
      </c>
      <c r="BV10" s="1" t="str">
        <f>IF(AT10&gt;AT$68, AT10-AT$68,"")</f>
        <v/>
      </c>
      <c r="BW10" s="1" t="str">
        <f>IF(AU10&gt;AU$68, AU10-AU$68,"")</f>
        <v/>
      </c>
      <c r="BX10" s="1" t="str">
        <f>IF(AV10&gt;AV$68, AV10-AV$68,"")</f>
        <v/>
      </c>
      <c r="BY10" s="1" t="str">
        <f>IF(AW10&gt;AW$68, AW10-AW$68,"")</f>
        <v/>
      </c>
      <c r="BZ10" s="1">
        <f>COUNTIF(BN10:BY10, "&gt;0")</f>
        <v>0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  <c r="CM10" s="18">
        <f>SUM(AB10:BI10)</f>
        <v>16</v>
      </c>
    </row>
    <row r="11" spans="1:91" x14ac:dyDescent="0.15">
      <c r="A11" s="1">
        <v>41</v>
      </c>
      <c r="B11" s="1" t="s">
        <v>60</v>
      </c>
      <c r="C11" s="1" t="s">
        <v>50</v>
      </c>
      <c r="D11" s="1" t="s">
        <v>13</v>
      </c>
      <c r="E11" s="6"/>
      <c r="F11" s="6"/>
      <c r="G11" s="6"/>
      <c r="H11" s="6"/>
      <c r="I11" s="6"/>
      <c r="J11" s="6"/>
      <c r="K11" s="6"/>
      <c r="L11" s="6">
        <v>6</v>
      </c>
      <c r="M11" s="6"/>
      <c r="N11" s="6"/>
      <c r="O11" s="6">
        <v>6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>
        <v>10</v>
      </c>
      <c r="AM11" s="4"/>
      <c r="AN11" s="4"/>
      <c r="AO11" s="4"/>
      <c r="AP11" s="4"/>
      <c r="AQ11" s="4"/>
      <c r="AR11" s="2"/>
      <c r="AS11" s="2">
        <v>10</v>
      </c>
      <c r="AT11" s="2"/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32</v>
      </c>
      <c r="BK11" s="1">
        <v>0</v>
      </c>
      <c r="BL11" s="17">
        <v>0</v>
      </c>
      <c r="BM11" s="17"/>
      <c r="BN11" s="1" t="str">
        <f>IF(AL11&gt;AL$68, AL11-AL$68,"")</f>
        <v/>
      </c>
      <c r="BO11" s="1" t="str">
        <f>IF(AM11&gt;AM$68, AM11-AM$68,"")</f>
        <v/>
      </c>
      <c r="BP11" s="1" t="str">
        <f>IF(AN11&gt;AN$68, AN11-AN$68,"")</f>
        <v/>
      </c>
      <c r="BQ11" s="1" t="str">
        <f>IF(AO11&gt;AO$68, AO11-AO$68,"")</f>
        <v/>
      </c>
      <c r="BR11" s="1" t="str">
        <f>IF(AP11&gt;AP$68, AP11-AP$68,"")</f>
        <v/>
      </c>
      <c r="BS11" s="1" t="str">
        <f>IF(AQ11&gt;AQ$68, AQ11-AQ$68,"")</f>
        <v/>
      </c>
      <c r="BT11" s="1" t="str">
        <f>IF(AR11&gt;AR$68, AR11-AR$68,"")</f>
        <v/>
      </c>
      <c r="BU11" s="1" t="str">
        <f>IF(AS11&gt;AS$68, AS11-AS$68,"")</f>
        <v/>
      </c>
      <c r="BV11" s="1" t="str">
        <f>IF(AT11&gt;AT$68, AT11-AT$68,"")</f>
        <v/>
      </c>
      <c r="BW11" s="1" t="str">
        <f>IF(AU11&gt;AU$68, AU11-AU$68,"")</f>
        <v/>
      </c>
      <c r="BX11" s="1" t="str">
        <f>IF(AV11&gt;AV$68, AV11-AV$68,"")</f>
        <v/>
      </c>
      <c r="BY11" s="1" t="str">
        <f>IF(AW11&gt;AW$68, AW11-AW$68,"")</f>
        <v/>
      </c>
      <c r="BZ11" s="1">
        <f>COUNTIF(BN11:BY11, "&gt;0")</f>
        <v>0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  <c r="CM11" s="18">
        <f>SUM(AB11:BI11)</f>
        <v>20</v>
      </c>
    </row>
    <row r="12" spans="1:91" x14ac:dyDescent="0.15">
      <c r="A12" s="1">
        <v>9</v>
      </c>
      <c r="B12" s="1" t="s">
        <v>29</v>
      </c>
      <c r="C12" s="1" t="s">
        <v>2</v>
      </c>
      <c r="D12" s="1" t="s">
        <v>26</v>
      </c>
      <c r="E12" s="6"/>
      <c r="F12" s="6"/>
      <c r="G12" s="6"/>
      <c r="H12" s="6"/>
      <c r="I12" s="6">
        <v>4</v>
      </c>
      <c r="J12" s="6"/>
      <c r="K12" s="6">
        <v>4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>
        <v>5</v>
      </c>
      <c r="AN12" s="4"/>
      <c r="AO12" s="4"/>
      <c r="AP12" s="4"/>
      <c r="AQ12" s="4"/>
      <c r="AR12" s="2">
        <v>5</v>
      </c>
      <c r="AS12" s="2"/>
      <c r="AT12" s="2"/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18</v>
      </c>
      <c r="BK12" s="1">
        <v>0</v>
      </c>
      <c r="BL12" s="17">
        <v>0</v>
      </c>
      <c r="BM12" s="17"/>
      <c r="BN12" s="1" t="str">
        <f>IF(AL12&gt;AL$68, AL12-AL$68,"")</f>
        <v/>
      </c>
      <c r="BO12" s="1" t="str">
        <f>IF(AM12&gt;AM$68, AM12-AM$68,"")</f>
        <v/>
      </c>
      <c r="BP12" s="1" t="str">
        <f>IF(AN12&gt;AN$68, AN12-AN$68,"")</f>
        <v/>
      </c>
      <c r="BQ12" s="1" t="str">
        <f>IF(AO12&gt;AO$68, AO12-AO$68,"")</f>
        <v/>
      </c>
      <c r="BR12" s="1" t="str">
        <f>IF(AP12&gt;AP$68, AP12-AP$68,"")</f>
        <v/>
      </c>
      <c r="BS12" s="1" t="str">
        <f>IF(AQ12&gt;AQ$68, AQ12-AQ$68,"")</f>
        <v/>
      </c>
      <c r="BT12" s="1" t="str">
        <f>IF(AR12&gt;AR$68, AR12-AR$68,"")</f>
        <v/>
      </c>
      <c r="BU12" s="1" t="str">
        <f>IF(AS12&gt;AS$68, AS12-AS$68,"")</f>
        <v/>
      </c>
      <c r="BV12" s="1" t="str">
        <f>IF(AT12&gt;AT$68, AT12-AT$68,"")</f>
        <v/>
      </c>
      <c r="BW12" s="1" t="str">
        <f>IF(AU12&gt;AU$68, AU12-AU$68,"")</f>
        <v/>
      </c>
      <c r="BX12" s="1" t="str">
        <f>IF(AV12&gt;AV$68, AV12-AV$68,"")</f>
        <v/>
      </c>
      <c r="BY12" s="1" t="str">
        <f>IF(AW12&gt;AW$68, AW12-AW$68,"")</f>
        <v/>
      </c>
      <c r="BZ12" s="1">
        <f>COUNTIF(BN12:BY12, "&gt;0")</f>
        <v>0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  <c r="CM12" s="18">
        <f>SUM(AB12:BI12)</f>
        <v>10</v>
      </c>
    </row>
    <row r="13" spans="1:91" x14ac:dyDescent="0.15">
      <c r="A13" s="1">
        <v>24</v>
      </c>
      <c r="B13" s="1" t="s">
        <v>48</v>
      </c>
      <c r="C13" s="1" t="s">
        <v>33</v>
      </c>
      <c r="D13" s="1" t="s">
        <v>26</v>
      </c>
      <c r="E13" s="6"/>
      <c r="F13" s="6"/>
      <c r="G13" s="6"/>
      <c r="H13" s="6"/>
      <c r="I13" s="6">
        <v>4</v>
      </c>
      <c r="J13" s="6"/>
      <c r="K13" s="6">
        <v>4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/>
      <c r="AN13" s="4">
        <v>5</v>
      </c>
      <c r="AO13" s="4"/>
      <c r="AP13" s="4"/>
      <c r="AQ13" s="4"/>
      <c r="AR13" s="2">
        <v>5</v>
      </c>
      <c r="AS13" s="2"/>
      <c r="AT13" s="2"/>
      <c r="AU13" s="2"/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18</v>
      </c>
      <c r="BK13" s="1">
        <v>0</v>
      </c>
      <c r="BL13" s="17">
        <v>0</v>
      </c>
      <c r="BM13" s="17"/>
      <c r="BN13" s="1" t="str">
        <f>IF(AL13&gt;AL$68, AL13-AL$68,"")</f>
        <v/>
      </c>
      <c r="BO13" s="1" t="str">
        <f>IF(AM13&gt;AM$68, AM13-AM$68,"")</f>
        <v/>
      </c>
      <c r="BP13" s="1" t="str">
        <f>IF(AN13&gt;AN$68, AN13-AN$68,"")</f>
        <v/>
      </c>
      <c r="BQ13" s="1" t="str">
        <f>IF(AO13&gt;AO$68, AO13-AO$68,"")</f>
        <v/>
      </c>
      <c r="BR13" s="1" t="str">
        <f>IF(AP13&gt;AP$68, AP13-AP$68,"")</f>
        <v/>
      </c>
      <c r="BS13" s="1" t="str">
        <f>IF(AQ13&gt;AQ$68, AQ13-AQ$68,"")</f>
        <v/>
      </c>
      <c r="BT13" s="1" t="str">
        <f>IF(AR13&gt;AR$68, AR13-AR$68,"")</f>
        <v/>
      </c>
      <c r="BU13" s="1" t="str">
        <f>IF(AS13&gt;AS$68, AS13-AS$68,"")</f>
        <v/>
      </c>
      <c r="BV13" s="1" t="str">
        <f>IF(AT13&gt;AT$68, AT13-AT$68,"")</f>
        <v/>
      </c>
      <c r="BW13" s="1" t="str">
        <f>IF(AU13&gt;AU$68, AU13-AU$68,"")</f>
        <v/>
      </c>
      <c r="BX13" s="1" t="str">
        <f>IF(AV13&gt;AV$68, AV13-AV$68,"")</f>
        <v/>
      </c>
      <c r="BY13" s="1" t="str">
        <f>IF(AW13&gt;AW$68, AW13-AW$68,"")</f>
        <v/>
      </c>
      <c r="BZ13" s="1">
        <f>COUNTIF(BN13:BY13, "&gt;0")</f>
        <v>0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  <c r="CM13" s="18">
        <f>SUM(AB13:BI13)</f>
        <v>10</v>
      </c>
    </row>
    <row r="14" spans="1:91" x14ac:dyDescent="0.15">
      <c r="A14" s="1">
        <v>81</v>
      </c>
      <c r="B14" s="3" t="s">
        <v>82</v>
      </c>
      <c r="C14" s="3" t="s">
        <v>78</v>
      </c>
      <c r="D14" s="1" t="s">
        <v>13</v>
      </c>
      <c r="E14" s="6"/>
      <c r="F14" s="6"/>
      <c r="G14" s="6"/>
      <c r="H14" s="6"/>
      <c r="I14" s="6"/>
      <c r="J14" s="6"/>
      <c r="K14" s="6"/>
      <c r="L14" s="6">
        <v>6</v>
      </c>
      <c r="M14" s="6"/>
      <c r="N14" s="6"/>
      <c r="O14" s="6">
        <v>6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/>
      <c r="AM14" s="4"/>
      <c r="AN14" s="4"/>
      <c r="AO14" s="4">
        <v>10</v>
      </c>
      <c r="AP14" s="4"/>
      <c r="AQ14" s="4"/>
      <c r="AR14" s="2"/>
      <c r="AS14" s="2"/>
      <c r="AT14" s="2"/>
      <c r="AU14" s="2"/>
      <c r="AV14" s="2">
        <v>10</v>
      </c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32</v>
      </c>
      <c r="BK14" s="1">
        <v>0</v>
      </c>
      <c r="BL14" s="17">
        <v>0</v>
      </c>
      <c r="BM14" s="17"/>
      <c r="BN14" s="1" t="str">
        <f>IF(AL14&gt;AL$68, AL14-AL$68,"")</f>
        <v/>
      </c>
      <c r="BO14" s="1" t="str">
        <f>IF(AM14&gt;AM$68, AM14-AM$68,"")</f>
        <v/>
      </c>
      <c r="BP14" s="1" t="str">
        <f>IF(AN14&gt;AN$68, AN14-AN$68,"")</f>
        <v/>
      </c>
      <c r="BQ14" s="1" t="str">
        <f>IF(AO14&gt;AO$68, AO14-AO$68,"")</f>
        <v/>
      </c>
      <c r="BR14" s="1" t="str">
        <f>IF(AP14&gt;AP$68, AP14-AP$68,"")</f>
        <v/>
      </c>
      <c r="BS14" s="1" t="str">
        <f>IF(AQ14&gt;AQ$68, AQ14-AQ$68,"")</f>
        <v/>
      </c>
      <c r="BT14" s="1" t="str">
        <f>IF(AR14&gt;AR$68, AR14-AR$68,"")</f>
        <v/>
      </c>
      <c r="BU14" s="1" t="str">
        <f>IF(AS14&gt;AS$68, AS14-AS$68,"")</f>
        <v/>
      </c>
      <c r="BV14" s="1" t="str">
        <f>IF(AT14&gt;AT$68, AT14-AT$68,"")</f>
        <v/>
      </c>
      <c r="BW14" s="1" t="str">
        <f>IF(AU14&gt;AU$68, AU14-AU$68,"")</f>
        <v/>
      </c>
      <c r="BX14" s="1" t="str">
        <f>IF(AV14&gt;AV$68, AV14-AV$68,"")</f>
        <v/>
      </c>
      <c r="BY14" s="1" t="str">
        <f>IF(AW14&gt;AW$68, AW14-AW$68,"")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  <c r="CM14" s="18">
        <f>SUM(AB14:BI14)</f>
        <v>20</v>
      </c>
    </row>
    <row r="15" spans="1:91" x14ac:dyDescent="0.15">
      <c r="A15" s="19">
        <v>13</v>
      </c>
      <c r="B15" s="19" t="s">
        <v>132</v>
      </c>
      <c r="C15" s="19" t="s">
        <v>2</v>
      </c>
      <c r="D15" s="19" t="s">
        <v>1</v>
      </c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>
        <v>15</v>
      </c>
      <c r="Q15" s="20"/>
      <c r="R15" s="20"/>
      <c r="S15" s="20"/>
      <c r="T15" s="20"/>
      <c r="U15" s="20"/>
      <c r="V15" s="20">
        <v>15</v>
      </c>
      <c r="W15" s="20"/>
      <c r="X15" s="20"/>
      <c r="Y15" s="20"/>
      <c r="Z15" s="20"/>
      <c r="AA15" s="20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21"/>
      <c r="AM15" s="21"/>
      <c r="AN15" s="21"/>
      <c r="AO15" s="21"/>
      <c r="AP15" s="21"/>
      <c r="AQ15" s="21"/>
      <c r="AR15" s="22"/>
      <c r="AS15" s="22"/>
      <c r="AT15" s="22"/>
      <c r="AU15" s="22"/>
      <c r="AV15" s="22"/>
      <c r="AW15" s="22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>
        <f>SUM(E15:BI15)</f>
        <v>30</v>
      </c>
      <c r="BK15" s="19">
        <v>0</v>
      </c>
      <c r="BL15" s="23">
        <v>0</v>
      </c>
      <c r="BM15" s="23"/>
      <c r="BN15" s="19" t="str">
        <f>IF(AL15&gt;AL$68, AL15-AL$68,"")</f>
        <v/>
      </c>
      <c r="BO15" s="19" t="str">
        <f>IF(AM15&gt;AM$68, AM15-AM$68,"")</f>
        <v/>
      </c>
      <c r="BP15" s="19" t="str">
        <f>IF(AN15&gt;AN$68, AN15-AN$68,"")</f>
        <v/>
      </c>
      <c r="BQ15" s="19" t="str">
        <f>IF(AO15&gt;AO$68, AO15-AO$68,"")</f>
        <v/>
      </c>
      <c r="BR15" s="19" t="str">
        <f>IF(AP15&gt;AP$68, AP15-AP$68,"")</f>
        <v/>
      </c>
      <c r="BS15" s="19" t="str">
        <f>IF(AQ15&gt;AQ$68, AQ15-AQ$68,"")</f>
        <v/>
      </c>
      <c r="BT15" s="19" t="str">
        <f>IF(AR15&gt;AR$68, AR15-AR$68,"")</f>
        <v/>
      </c>
      <c r="BU15" s="19" t="str">
        <f>IF(AS15&gt;AS$68, AS15-AS$68,"")</f>
        <v/>
      </c>
      <c r="BV15" s="19" t="str">
        <f>IF(AT15&gt;AT$68, AT15-AT$68,"")</f>
        <v/>
      </c>
      <c r="BW15" s="19" t="str">
        <f>IF(AU15&gt;AU$68, AU15-AU$68,"")</f>
        <v/>
      </c>
      <c r="BX15" s="19" t="str">
        <f>IF(AV15&gt;AV$68, AV15-AV$68,"")</f>
        <v/>
      </c>
      <c r="BY15" s="19" t="str">
        <f>IF(AW15&gt;AW$68, AW15-AW$68,"")</f>
        <v/>
      </c>
      <c r="BZ15" s="19">
        <f>COUNTIF(BN15:BY15, "&gt;0")</f>
        <v>0</v>
      </c>
      <c r="CA15" s="19" t="str">
        <f>IF($BZ15=1,BN15,"")</f>
        <v/>
      </c>
      <c r="CB15" s="19" t="str">
        <f>IF($BZ15=1,BO15,"")</f>
        <v/>
      </c>
      <c r="CC15" s="19" t="str">
        <f>IF($BZ15=1,BP15,"")</f>
        <v/>
      </c>
      <c r="CD15" s="19" t="str">
        <f>IF($BZ15=1,BQ15,"")</f>
        <v/>
      </c>
      <c r="CE15" s="19" t="str">
        <f>IF($BZ15=1,BR15,"")</f>
        <v/>
      </c>
      <c r="CF15" s="19" t="str">
        <f>IF($BZ15=1,BS15,"")</f>
        <v/>
      </c>
      <c r="CG15" s="19" t="str">
        <f>IF($BZ15=1,BT15,"")</f>
        <v/>
      </c>
      <c r="CH15" s="19" t="str">
        <f>IF($BZ15=1,BU15,"")</f>
        <v/>
      </c>
      <c r="CI15" s="19" t="str">
        <f>IF($BZ15=1,BV15,"")</f>
        <v/>
      </c>
      <c r="CJ15" s="19" t="str">
        <f>IF($BZ15=1,BW15,"")</f>
        <v/>
      </c>
      <c r="CK15" s="19" t="str">
        <f>IF($BZ15=1,BX15,"")</f>
        <v/>
      </c>
      <c r="CL15" s="19" t="str">
        <f>IF($BZ15=1,BY15,"")</f>
        <v/>
      </c>
      <c r="CM15" s="24">
        <f>SUM(AB15:BI15)</f>
        <v>0</v>
      </c>
    </row>
    <row r="16" spans="1:91" x14ac:dyDescent="0.15">
      <c r="A16" s="1">
        <v>36</v>
      </c>
      <c r="B16" s="1" t="s">
        <v>52</v>
      </c>
      <c r="C16" s="1" t="s">
        <v>50</v>
      </c>
      <c r="D16" s="1" t="s">
        <v>26</v>
      </c>
      <c r="E16" s="6"/>
      <c r="F16" s="6">
        <v>6</v>
      </c>
      <c r="G16" s="6"/>
      <c r="H16" s="6">
        <v>6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>
        <v>10</v>
      </c>
      <c r="AM16" s="4"/>
      <c r="AN16" s="4"/>
      <c r="AO16" s="4"/>
      <c r="AP16" s="4"/>
      <c r="AQ16" s="4"/>
      <c r="AR16" s="2"/>
      <c r="AS16" s="2"/>
      <c r="AT16" s="2">
        <v>10</v>
      </c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32</v>
      </c>
      <c r="BK16" s="1">
        <v>1</v>
      </c>
      <c r="BL16" s="17">
        <v>1</v>
      </c>
      <c r="BM16" s="17" t="s">
        <v>143</v>
      </c>
      <c r="BN16" s="1" t="str">
        <f>IF(AL16&gt;AL$68, AL16-AL$68,"")</f>
        <v/>
      </c>
      <c r="BO16" s="1" t="str">
        <f>IF(AM16&gt;AM$68, AM16-AM$68,"")</f>
        <v/>
      </c>
      <c r="BP16" s="1" t="str">
        <f>IF(AN16&gt;AN$68, AN16-AN$68,"")</f>
        <v/>
      </c>
      <c r="BQ16" s="1" t="str">
        <f>IF(AO16&gt;AO$68, AO16-AO$68,"")</f>
        <v/>
      </c>
      <c r="BR16" s="1" t="str">
        <f>IF(AP16&gt;AP$68, AP16-AP$68,"")</f>
        <v/>
      </c>
      <c r="BS16" s="1" t="str">
        <f>IF(AQ16&gt;AQ$68, AQ16-AQ$68,"")</f>
        <v/>
      </c>
      <c r="BT16" s="1" t="str">
        <f>IF(AR16&gt;AR$68, AR16-AR$68,"")</f>
        <v/>
      </c>
      <c r="BU16" s="1" t="str">
        <f>IF(AS16&gt;AS$68, AS16-AS$68,"")</f>
        <v/>
      </c>
      <c r="BV16" s="1" t="str">
        <f>IF(AT16&gt;AT$68, AT16-AT$68,"")</f>
        <v/>
      </c>
      <c r="BW16" s="1" t="str">
        <f>IF(AU16&gt;AU$68, AU16-AU$68,"")</f>
        <v/>
      </c>
      <c r="BX16" s="1" t="str">
        <f>IF(AV16&gt;AV$68, AV16-AV$68,"")</f>
        <v/>
      </c>
      <c r="BY16" s="1" t="str">
        <f>IF(AW16&gt;AW$68, AW16-AW$68,"")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  <c r="CM16" s="18">
        <f>SUM(AB16:BI16)</f>
        <v>20</v>
      </c>
    </row>
    <row r="17" spans="1:91" x14ac:dyDescent="0.15">
      <c r="A17" s="1">
        <v>43</v>
      </c>
      <c r="B17" s="1" t="s">
        <v>115</v>
      </c>
      <c r="C17" s="1" t="s">
        <v>50</v>
      </c>
      <c r="D17" s="1" t="s">
        <v>13</v>
      </c>
      <c r="E17" s="6"/>
      <c r="F17" s="6">
        <v>6</v>
      </c>
      <c r="G17" s="6"/>
      <c r="H17" s="6">
        <v>6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>
        <v>10</v>
      </c>
      <c r="AM17" s="4"/>
      <c r="AN17" s="4"/>
      <c r="AO17" s="4"/>
      <c r="AP17" s="4"/>
      <c r="AQ17" s="4"/>
      <c r="AR17" s="2"/>
      <c r="AS17" s="2"/>
      <c r="AT17" s="2"/>
      <c r="AU17" s="2">
        <v>10</v>
      </c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32</v>
      </c>
      <c r="BK17" s="1">
        <v>1</v>
      </c>
      <c r="BL17" s="17">
        <v>1</v>
      </c>
      <c r="BM17" s="17" t="s">
        <v>144</v>
      </c>
      <c r="BN17" s="1" t="str">
        <f>IF(AL17&gt;AL$68, AL17-AL$68,"")</f>
        <v/>
      </c>
      <c r="BO17" s="1" t="str">
        <f>IF(AM17&gt;AM$68, AM17-AM$68,"")</f>
        <v/>
      </c>
      <c r="BP17" s="1" t="str">
        <f>IF(AN17&gt;AN$68, AN17-AN$68,"")</f>
        <v/>
      </c>
      <c r="BQ17" s="1" t="str">
        <f>IF(AO17&gt;AO$68, AO17-AO$68,"")</f>
        <v/>
      </c>
      <c r="BR17" s="1" t="str">
        <f>IF(AP17&gt;AP$68, AP17-AP$68,"")</f>
        <v/>
      </c>
      <c r="BS17" s="1" t="str">
        <f>IF(AQ17&gt;AQ$68, AQ17-AQ$68,"")</f>
        <v/>
      </c>
      <c r="BT17" s="1" t="str">
        <f>IF(AR17&gt;AR$68, AR17-AR$68,"")</f>
        <v/>
      </c>
      <c r="BU17" s="1" t="str">
        <f>IF(AS17&gt;AS$68, AS17-AS$68,"")</f>
        <v/>
      </c>
      <c r="BV17" s="1" t="str">
        <f>IF(AT17&gt;AT$68, AT17-AT$68,"")</f>
        <v/>
      </c>
      <c r="BW17" s="1" t="str">
        <f>IF(AU17&gt;AU$68, AU17-AU$68,"")</f>
        <v/>
      </c>
      <c r="BX17" s="1" t="str">
        <f>IF(AV17&gt;AV$68, AV17-AV$68,"")</f>
        <v/>
      </c>
      <c r="BY17" s="1" t="str">
        <f>IF(AW17&gt;AW$68, AW17-AW$68,"")</f>
        <v/>
      </c>
      <c r="BZ17" s="1">
        <f>COUNTIF(BN17:BY17, "&gt;0")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  <c r="CM17" s="18">
        <f>SUM(AB17:BI17)</f>
        <v>20</v>
      </c>
    </row>
    <row r="18" spans="1:91" x14ac:dyDescent="0.15">
      <c r="A18" s="1">
        <v>39</v>
      </c>
      <c r="B18" s="1" t="s">
        <v>56</v>
      </c>
      <c r="C18" s="1" t="s">
        <v>50</v>
      </c>
      <c r="D18" s="1" t="s">
        <v>26</v>
      </c>
      <c r="E18" s="6"/>
      <c r="F18" s="6">
        <v>6</v>
      </c>
      <c r="G18" s="6"/>
      <c r="H18" s="6"/>
      <c r="I18" s="6"/>
      <c r="J18" s="6"/>
      <c r="K18" s="6"/>
      <c r="L18" s="6">
        <v>6</v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>
        <v>10</v>
      </c>
      <c r="AM18" s="4"/>
      <c r="AN18" s="4"/>
      <c r="AO18" s="4"/>
      <c r="AP18" s="4"/>
      <c r="AQ18" s="4"/>
      <c r="AR18" s="2"/>
      <c r="AS18" s="2">
        <v>10</v>
      </c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32</v>
      </c>
      <c r="BK18" s="1">
        <v>1</v>
      </c>
      <c r="BL18" s="17">
        <v>1</v>
      </c>
      <c r="BM18" s="17" t="s">
        <v>144</v>
      </c>
      <c r="BN18" s="1" t="str">
        <f>IF(AL18&gt;AL$68, AL18-AL$68,"")</f>
        <v/>
      </c>
      <c r="BO18" s="1" t="str">
        <f>IF(AM18&gt;AM$68, AM18-AM$68,"")</f>
        <v/>
      </c>
      <c r="BP18" s="1" t="str">
        <f>IF(AN18&gt;AN$68, AN18-AN$68,"")</f>
        <v/>
      </c>
      <c r="BQ18" s="1" t="str">
        <f>IF(AO18&gt;AO$68, AO18-AO$68,"")</f>
        <v/>
      </c>
      <c r="BR18" s="1" t="str">
        <f>IF(AP18&gt;AP$68, AP18-AP$68,"")</f>
        <v/>
      </c>
      <c r="BS18" s="1" t="str">
        <f>IF(AQ18&gt;AQ$68, AQ18-AQ$68,"")</f>
        <v/>
      </c>
      <c r="BT18" s="1" t="str">
        <f>IF(AR18&gt;AR$68, AR18-AR$68,"")</f>
        <v/>
      </c>
      <c r="BU18" s="1" t="str">
        <f>IF(AS18&gt;AS$68, AS18-AS$68,"")</f>
        <v/>
      </c>
      <c r="BV18" s="1" t="str">
        <f>IF(AT18&gt;AT$68, AT18-AT$68,"")</f>
        <v/>
      </c>
      <c r="BW18" s="1" t="str">
        <f>IF(AU18&gt;AU$68, AU18-AU$68,"")</f>
        <v/>
      </c>
      <c r="BX18" s="1" t="str">
        <f>IF(AV18&gt;AV$68, AV18-AV$68,"")</f>
        <v/>
      </c>
      <c r="BY18" s="1" t="str">
        <f>IF(AW18&gt;AW$68, AW18-AW$68,"")</f>
        <v/>
      </c>
      <c r="BZ18" s="1">
        <f>COUNTIF(BN18:BY18, "&gt;0")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  <c r="CM18" s="18">
        <f>SUM(AB18:BI18)</f>
        <v>20</v>
      </c>
    </row>
    <row r="19" spans="1:91" x14ac:dyDescent="0.15">
      <c r="A19" s="1">
        <v>82</v>
      </c>
      <c r="B19" s="3" t="s">
        <v>83</v>
      </c>
      <c r="C19" s="3" t="s">
        <v>78</v>
      </c>
      <c r="D19" s="1" t="s">
        <v>13</v>
      </c>
      <c r="E19" s="6"/>
      <c r="F19" s="6"/>
      <c r="G19" s="6"/>
      <c r="H19" s="6"/>
      <c r="I19" s="6"/>
      <c r="J19" s="6"/>
      <c r="K19" s="6"/>
      <c r="L19" s="6">
        <v>6</v>
      </c>
      <c r="M19" s="6"/>
      <c r="N19" s="6">
        <v>6</v>
      </c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>
        <v>10</v>
      </c>
      <c r="AP19" s="4"/>
      <c r="AQ19" s="4"/>
      <c r="AR19" s="2"/>
      <c r="AS19" s="2"/>
      <c r="AT19" s="2"/>
      <c r="AU19" s="2">
        <v>10</v>
      </c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32</v>
      </c>
      <c r="BK19" s="1">
        <v>1</v>
      </c>
      <c r="BL19" s="17">
        <v>1</v>
      </c>
      <c r="BM19" s="17" t="s">
        <v>145</v>
      </c>
      <c r="BN19" s="1" t="str">
        <f>IF(AL19&gt;AL$68, AL19-AL$68,"")</f>
        <v/>
      </c>
      <c r="BO19" s="1" t="str">
        <f>IF(AM19&gt;AM$68, AM19-AM$68,"")</f>
        <v/>
      </c>
      <c r="BP19" s="1" t="str">
        <f>IF(AN19&gt;AN$68, AN19-AN$68,"")</f>
        <v/>
      </c>
      <c r="BQ19" s="1" t="str">
        <f>IF(AO19&gt;AO$68, AO19-AO$68,"")</f>
        <v/>
      </c>
      <c r="BR19" s="1" t="str">
        <f>IF(AP19&gt;AP$68, AP19-AP$68,"")</f>
        <v/>
      </c>
      <c r="BS19" s="1" t="str">
        <f>IF(AQ19&gt;AQ$68, AQ19-AQ$68,"")</f>
        <v/>
      </c>
      <c r="BT19" s="1" t="str">
        <f>IF(AR19&gt;AR$68, AR19-AR$68,"")</f>
        <v/>
      </c>
      <c r="BU19" s="1" t="str">
        <f>IF(AS19&gt;AS$68, AS19-AS$68,"")</f>
        <v/>
      </c>
      <c r="BV19" s="1" t="str">
        <f>IF(AT19&gt;AT$68, AT19-AT$68,"")</f>
        <v/>
      </c>
      <c r="BW19" s="1" t="str">
        <f>IF(AU19&gt;AU$68, AU19-AU$68,"")</f>
        <v/>
      </c>
      <c r="BX19" s="1" t="str">
        <f>IF(AV19&gt;AV$68, AV19-AV$68,"")</f>
        <v/>
      </c>
      <c r="BY19" s="1" t="str">
        <f>IF(AW19&gt;AW$68, AW19-AW$68,"")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  <c r="CM19" s="18">
        <f>SUM(AB19:BI19)</f>
        <v>20</v>
      </c>
    </row>
    <row r="20" spans="1:91" x14ac:dyDescent="0.15">
      <c r="A20" s="1">
        <v>45</v>
      </c>
      <c r="B20" s="1" t="s">
        <v>134</v>
      </c>
      <c r="C20" s="1" t="s">
        <v>50</v>
      </c>
      <c r="D20" s="1" t="s">
        <v>13</v>
      </c>
      <c r="E20" s="6">
        <v>6</v>
      </c>
      <c r="F20" s="6"/>
      <c r="G20" s="6"/>
      <c r="H20" s="6"/>
      <c r="I20" s="6"/>
      <c r="J20" s="6"/>
      <c r="K20" s="6"/>
      <c r="L20" s="6"/>
      <c r="M20" s="6">
        <v>6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4">
        <v>10</v>
      </c>
      <c r="AM20" s="4"/>
      <c r="AN20" s="4"/>
      <c r="AO20" s="4"/>
      <c r="AP20" s="4"/>
      <c r="AQ20" s="4"/>
      <c r="AR20" s="2"/>
      <c r="AS20" s="2"/>
      <c r="AT20" s="2"/>
      <c r="AU20" s="2">
        <v>10</v>
      </c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32</v>
      </c>
      <c r="BK20" s="1">
        <v>1</v>
      </c>
      <c r="BL20" s="17">
        <v>1</v>
      </c>
      <c r="BM20" s="17" t="s">
        <v>146</v>
      </c>
      <c r="BN20" s="1" t="str">
        <f>IF(AL20&gt;AL$68, AL20-AL$68,"")</f>
        <v/>
      </c>
      <c r="BO20" s="1" t="str">
        <f>IF(AM20&gt;AM$68, AM20-AM$68,"")</f>
        <v/>
      </c>
      <c r="BP20" s="1" t="str">
        <f>IF(AN20&gt;AN$68, AN20-AN$68,"")</f>
        <v/>
      </c>
      <c r="BQ20" s="1" t="str">
        <f>IF(AO20&gt;AO$68, AO20-AO$68,"")</f>
        <v/>
      </c>
      <c r="BR20" s="1" t="str">
        <f>IF(AP20&gt;AP$68, AP20-AP$68,"")</f>
        <v/>
      </c>
      <c r="BS20" s="1" t="str">
        <f>IF(AQ20&gt;AQ$68, AQ20-AQ$68,"")</f>
        <v/>
      </c>
      <c r="BT20" s="1" t="str">
        <f>IF(AR20&gt;AR$68, AR20-AR$68,"")</f>
        <v/>
      </c>
      <c r="BU20" s="1" t="str">
        <f>IF(AS20&gt;AS$68, AS20-AS$68,"")</f>
        <v/>
      </c>
      <c r="BV20" s="1" t="str">
        <f>IF(AT20&gt;AT$68, AT20-AT$68,"")</f>
        <v/>
      </c>
      <c r="BW20" s="1" t="str">
        <f>IF(AU20&gt;AU$68, AU20-AU$68,"")</f>
        <v/>
      </c>
      <c r="BX20" s="1" t="str">
        <f>IF(AV20&gt;AV$68, AV20-AV$68,"")</f>
        <v/>
      </c>
      <c r="BY20" s="1" t="str">
        <f>IF(AW20&gt;AW$68, AW20-AW$68,"")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  <c r="CM20" s="18">
        <f>SUM(AB20:BI20)</f>
        <v>20</v>
      </c>
    </row>
    <row r="21" spans="1:91" x14ac:dyDescent="0.15">
      <c r="A21" s="19">
        <v>60</v>
      </c>
      <c r="B21" s="19" t="s">
        <v>127</v>
      </c>
      <c r="C21" s="19" t="s">
        <v>65</v>
      </c>
      <c r="D21" s="19" t="s">
        <v>1</v>
      </c>
      <c r="E21" s="20"/>
      <c r="F21" s="20"/>
      <c r="G21" s="20"/>
      <c r="H21" s="20"/>
      <c r="I21" s="20"/>
      <c r="J21" s="20"/>
      <c r="K21" s="20">
        <v>5</v>
      </c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>
        <v>5</v>
      </c>
      <c r="Y21" s="20"/>
      <c r="Z21" s="20"/>
      <c r="AA21" s="20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21"/>
      <c r="AM21" s="21"/>
      <c r="AN21" s="21"/>
      <c r="AO21" s="21"/>
      <c r="AP21" s="21"/>
      <c r="AQ21" s="21"/>
      <c r="AR21" s="22"/>
      <c r="AS21" s="22"/>
      <c r="AT21" s="22"/>
      <c r="AU21" s="22"/>
      <c r="AV21" s="22"/>
      <c r="AW21" s="22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>
        <f>SUM(E21:BI21)</f>
        <v>10</v>
      </c>
      <c r="BK21" s="19">
        <v>1</v>
      </c>
      <c r="BL21" s="23">
        <v>1</v>
      </c>
      <c r="BM21" s="23" t="s">
        <v>159</v>
      </c>
      <c r="BN21" s="19" t="str">
        <f>IF(AL21&gt;AL$68, AL21-AL$68,"")</f>
        <v/>
      </c>
      <c r="BO21" s="19" t="str">
        <f>IF(AM21&gt;AM$68, AM21-AM$68,"")</f>
        <v/>
      </c>
      <c r="BP21" s="19" t="str">
        <f>IF(AN21&gt;AN$68, AN21-AN$68,"")</f>
        <v/>
      </c>
      <c r="BQ21" s="19" t="str">
        <f>IF(AO21&gt;AO$68, AO21-AO$68,"")</f>
        <v/>
      </c>
      <c r="BR21" s="19" t="str">
        <f>IF(AP21&gt;AP$68, AP21-AP$68,"")</f>
        <v/>
      </c>
      <c r="BS21" s="19" t="str">
        <f>IF(AQ21&gt;AQ$68, AQ21-AQ$68,"")</f>
        <v/>
      </c>
      <c r="BT21" s="19" t="str">
        <f>IF(AR21&gt;AR$68, AR21-AR$68,"")</f>
        <v/>
      </c>
      <c r="BU21" s="19" t="str">
        <f>IF(AS21&gt;AS$68, AS21-AS$68,"")</f>
        <v/>
      </c>
      <c r="BV21" s="19" t="str">
        <f>IF(AT21&gt;AT$68, AT21-AT$68,"")</f>
        <v/>
      </c>
      <c r="BW21" s="19" t="str">
        <f>IF(AU21&gt;AU$68, AU21-AU$68,"")</f>
        <v/>
      </c>
      <c r="BX21" s="19" t="str">
        <f>IF(AV21&gt;AV$68, AV21-AV$68,"")</f>
        <v/>
      </c>
      <c r="BY21" s="19" t="str">
        <f>IF(AW21&gt;AW$68, AW21-AW$68,"")</f>
        <v/>
      </c>
      <c r="BZ21" s="19">
        <f>COUNTIF(BN21:BY21, "&gt;0")</f>
        <v>0</v>
      </c>
      <c r="CA21" s="19" t="str">
        <f>IF($BZ21=1,BN21,"")</f>
        <v/>
      </c>
      <c r="CB21" s="19" t="str">
        <f>IF($BZ21=1,BO21,"")</f>
        <v/>
      </c>
      <c r="CC21" s="19" t="str">
        <f>IF($BZ21=1,BP21,"")</f>
        <v/>
      </c>
      <c r="CD21" s="19" t="str">
        <f>IF($BZ21=1,BQ21,"")</f>
        <v/>
      </c>
      <c r="CE21" s="19" t="str">
        <f>IF($BZ21=1,BR21,"")</f>
        <v/>
      </c>
      <c r="CF21" s="19" t="str">
        <f>IF($BZ21=1,BS21,"")</f>
        <v/>
      </c>
      <c r="CG21" s="19" t="str">
        <f>IF($BZ21=1,BT21,"")</f>
        <v/>
      </c>
      <c r="CH21" s="19" t="str">
        <f>IF($BZ21=1,BU21,"")</f>
        <v/>
      </c>
      <c r="CI21" s="19" t="str">
        <f>IF($BZ21=1,BV21,"")</f>
        <v/>
      </c>
      <c r="CJ21" s="19" t="str">
        <f>IF($BZ21=1,BW21,"")</f>
        <v/>
      </c>
      <c r="CK21" s="19" t="str">
        <f>IF($BZ21=1,BX21,"")</f>
        <v/>
      </c>
      <c r="CL21" s="19" t="str">
        <f>IF($BZ21=1,BY21,"")</f>
        <v/>
      </c>
      <c r="CM21" s="24">
        <f>SUM(AB21:BI21)</f>
        <v>0</v>
      </c>
    </row>
    <row r="22" spans="1:91" x14ac:dyDescent="0.15">
      <c r="A22" s="1">
        <v>84</v>
      </c>
      <c r="B22" s="3" t="s">
        <v>84</v>
      </c>
      <c r="C22" s="3" t="s">
        <v>78</v>
      </c>
      <c r="D22" s="1" t="s">
        <v>13</v>
      </c>
      <c r="E22" s="6"/>
      <c r="F22" s="6"/>
      <c r="G22" s="6">
        <v>5</v>
      </c>
      <c r="H22" s="6">
        <v>5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>
        <v>5</v>
      </c>
      <c r="AW22" s="2">
        <v>5</v>
      </c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20</v>
      </c>
      <c r="BK22" s="1">
        <v>2</v>
      </c>
      <c r="BL22" s="17">
        <v>1</v>
      </c>
      <c r="BM22" s="17" t="s">
        <v>158</v>
      </c>
      <c r="BN22" s="1" t="str">
        <f>IF(AL22&gt;AL$68, AL22-AL$68,"")</f>
        <v/>
      </c>
      <c r="BO22" s="1" t="str">
        <f>IF(AM22&gt;AM$68, AM22-AM$68,"")</f>
        <v/>
      </c>
      <c r="BP22" s="1" t="str">
        <f>IF(AN22&gt;AN$68, AN22-AN$68,"")</f>
        <v/>
      </c>
      <c r="BQ22" s="1" t="str">
        <f>IF(AO22&gt;AO$68, AO22-AO$68,"")</f>
        <v/>
      </c>
      <c r="BR22" s="1" t="str">
        <f>IF(AP22&gt;AP$68, AP22-AP$68,"")</f>
        <v/>
      </c>
      <c r="BS22" s="1" t="str">
        <f>IF(AQ22&gt;AQ$68, AQ22-AQ$68,"")</f>
        <v/>
      </c>
      <c r="BT22" s="1" t="str">
        <f>IF(AR22&gt;AR$68, AR22-AR$68,"")</f>
        <v/>
      </c>
      <c r="BU22" s="1" t="str">
        <f>IF(AS22&gt;AS$68, AS22-AS$68,"")</f>
        <v/>
      </c>
      <c r="BV22" s="1" t="str">
        <f>IF(AT22&gt;AT$68, AT22-AT$68,"")</f>
        <v/>
      </c>
      <c r="BW22" s="1" t="str">
        <f>IF(AU22&gt;AU$68, AU22-AU$68,"")</f>
        <v/>
      </c>
      <c r="BX22" s="1" t="str">
        <f>IF(AV22&gt;AV$68, AV22-AV$68,"")</f>
        <v/>
      </c>
      <c r="BY22" s="1">
        <f>IF(AW22&gt;AW$68, AW22-AW$68,"")</f>
        <v>2</v>
      </c>
      <c r="BZ22" s="1">
        <f>COUNTIF(BN22:BY22, "&gt;0")</f>
        <v>1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>
        <f>IF($BZ22=1,BY22,"")</f>
        <v>2</v>
      </c>
      <c r="CM22" s="18">
        <f>SUM(AB22:BI22)</f>
        <v>10</v>
      </c>
    </row>
    <row r="23" spans="1:91" x14ac:dyDescent="0.15">
      <c r="A23" s="19">
        <v>92</v>
      </c>
      <c r="B23" s="27" t="s">
        <v>105</v>
      </c>
      <c r="C23" s="27" t="s">
        <v>103</v>
      </c>
      <c r="D23" s="19" t="s">
        <v>24</v>
      </c>
      <c r="E23" s="20">
        <v>10</v>
      </c>
      <c r="F23" s="20"/>
      <c r="G23" s="20"/>
      <c r="H23" s="20"/>
      <c r="I23" s="20">
        <v>10</v>
      </c>
      <c r="J23" s="20">
        <v>10</v>
      </c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21"/>
      <c r="AM23" s="21"/>
      <c r="AN23" s="21"/>
      <c r="AO23" s="21"/>
      <c r="AP23" s="21"/>
      <c r="AQ23" s="21"/>
      <c r="AR23" s="22"/>
      <c r="AS23" s="22"/>
      <c r="AT23" s="22"/>
      <c r="AU23" s="22"/>
      <c r="AV23" s="22"/>
      <c r="AW23" s="22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>
        <f>SUM(E23:BI23)</f>
        <v>30</v>
      </c>
      <c r="BK23" s="19">
        <v>3</v>
      </c>
      <c r="BL23" s="23">
        <v>1</v>
      </c>
      <c r="BM23" s="23" t="s">
        <v>148</v>
      </c>
      <c r="BN23" s="19" t="str">
        <f>IF(AL23&gt;AL$68, AL23-AL$68,"")</f>
        <v/>
      </c>
      <c r="BO23" s="19" t="str">
        <f>IF(AM23&gt;AM$68, AM23-AM$68,"")</f>
        <v/>
      </c>
      <c r="BP23" s="19" t="str">
        <f>IF(AN23&gt;AN$68, AN23-AN$68,"")</f>
        <v/>
      </c>
      <c r="BQ23" s="19" t="str">
        <f>IF(AO23&gt;AO$68, AO23-AO$68,"")</f>
        <v/>
      </c>
      <c r="BR23" s="19" t="str">
        <f>IF(AP23&gt;AP$68, AP23-AP$68,"")</f>
        <v/>
      </c>
      <c r="BS23" s="19" t="str">
        <f>IF(AQ23&gt;AQ$68, AQ23-AQ$68,"")</f>
        <v/>
      </c>
      <c r="BT23" s="19" t="str">
        <f>IF(AR23&gt;AR$68, AR23-AR$68,"")</f>
        <v/>
      </c>
      <c r="BU23" s="19" t="str">
        <f>IF(AS23&gt;AS$68, AS23-AS$68,"")</f>
        <v/>
      </c>
      <c r="BV23" s="19" t="str">
        <f>IF(AT23&gt;AT$68, AT23-AT$68,"")</f>
        <v/>
      </c>
      <c r="BW23" s="19" t="str">
        <f>IF(AU23&gt;AU$68, AU23-AU$68,"")</f>
        <v/>
      </c>
      <c r="BX23" s="19" t="str">
        <f>IF(AV23&gt;AV$68, AV23-AV$68,"")</f>
        <v/>
      </c>
      <c r="BY23" s="19" t="str">
        <f>IF(AW23&gt;AW$68, AW23-AW$68,"")</f>
        <v/>
      </c>
      <c r="BZ23" s="19">
        <f>COUNTIF(BN23:BY23, "&gt;0")</f>
        <v>0</v>
      </c>
      <c r="CA23" s="19" t="str">
        <f>IF($BZ23=1,BN23,"")</f>
        <v/>
      </c>
      <c r="CB23" s="19" t="str">
        <f>IF($BZ23=1,BO23,"")</f>
        <v/>
      </c>
      <c r="CC23" s="19" t="str">
        <f>IF($BZ23=1,BP23,"")</f>
        <v/>
      </c>
      <c r="CD23" s="19" t="str">
        <f>IF($BZ23=1,BQ23,"")</f>
        <v/>
      </c>
      <c r="CE23" s="19" t="str">
        <f>IF($BZ23=1,BR23,"")</f>
        <v/>
      </c>
      <c r="CF23" s="19" t="str">
        <f>IF($BZ23=1,BS23,"")</f>
        <v/>
      </c>
      <c r="CG23" s="19" t="str">
        <f>IF($BZ23=1,BT23,"")</f>
        <v/>
      </c>
      <c r="CH23" s="19" t="str">
        <f>IF($BZ23=1,BU23,"")</f>
        <v/>
      </c>
      <c r="CI23" s="19" t="str">
        <f>IF($BZ23=1,BV23,"")</f>
        <v/>
      </c>
      <c r="CJ23" s="19" t="str">
        <f>IF($BZ23=1,BW23,"")</f>
        <v/>
      </c>
      <c r="CK23" s="19" t="str">
        <f>IF($BZ23=1,BX23,"")</f>
        <v/>
      </c>
      <c r="CL23" s="19" t="str">
        <f>IF($BZ23=1,BY23,"")</f>
        <v/>
      </c>
      <c r="CM23" s="24">
        <f>SUM(AB23:BI23)</f>
        <v>0</v>
      </c>
    </row>
    <row r="24" spans="1:91" x14ac:dyDescent="0.15">
      <c r="A24" s="1">
        <v>69</v>
      </c>
      <c r="B24" s="3" t="s">
        <v>75</v>
      </c>
      <c r="C24" s="1" t="s">
        <v>65</v>
      </c>
      <c r="D24" s="1" t="s">
        <v>13</v>
      </c>
      <c r="E24" s="6"/>
      <c r="F24" s="6"/>
      <c r="G24" s="6"/>
      <c r="H24" s="6">
        <v>6</v>
      </c>
      <c r="I24" s="6">
        <v>6</v>
      </c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4"/>
      <c r="AM24" s="4"/>
      <c r="AN24" s="4"/>
      <c r="AO24" s="4"/>
      <c r="AP24" s="4"/>
      <c r="AQ24" s="4">
        <v>10</v>
      </c>
      <c r="AR24" s="2"/>
      <c r="AS24" s="2">
        <v>10</v>
      </c>
      <c r="AT24" s="2"/>
      <c r="AU24" s="2"/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32</v>
      </c>
      <c r="BK24" s="1">
        <v>3</v>
      </c>
      <c r="BL24" s="17">
        <v>1</v>
      </c>
      <c r="BM24" s="17" t="s">
        <v>160</v>
      </c>
      <c r="BN24" s="1" t="str">
        <f>IF(AL24&gt;AL$68, AL24-AL$68,"")</f>
        <v/>
      </c>
      <c r="BO24" s="1" t="str">
        <f>IF(AM24&gt;AM$68, AM24-AM$68,"")</f>
        <v/>
      </c>
      <c r="BP24" s="1" t="str">
        <f>IF(AN24&gt;AN$68, AN24-AN$68,"")</f>
        <v/>
      </c>
      <c r="BQ24" s="1" t="str">
        <f>IF(AO24&gt;AO$68, AO24-AO$68,"")</f>
        <v/>
      </c>
      <c r="BR24" s="1" t="str">
        <f>IF(AP24&gt;AP$68, AP24-AP$68,"")</f>
        <v/>
      </c>
      <c r="BS24" s="1">
        <f>IF(AQ24&gt;AQ$68, AQ24-AQ$68,"")</f>
        <v>3</v>
      </c>
      <c r="BT24" s="1" t="str">
        <f>IF(AR24&gt;AR$68, AR24-AR$68,"")</f>
        <v/>
      </c>
      <c r="BU24" s="1" t="str">
        <f>IF(AS24&gt;AS$68, AS24-AS$68,"")</f>
        <v/>
      </c>
      <c r="BV24" s="1" t="str">
        <f>IF(AT24&gt;AT$68, AT24-AT$68,"")</f>
        <v/>
      </c>
      <c r="BW24" s="1" t="str">
        <f>IF(AU24&gt;AU$68, AU24-AU$68,"")</f>
        <v/>
      </c>
      <c r="BX24" s="1" t="str">
        <f>IF(AV24&gt;AV$68, AV24-AV$68,"")</f>
        <v/>
      </c>
      <c r="BY24" s="1" t="str">
        <f>IF(AW24&gt;AW$68, AW24-AW$68,"")</f>
        <v/>
      </c>
      <c r="BZ24" s="1">
        <f>COUNTIF(BN24:BY24, "&gt;0")</f>
        <v>1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>
        <f>IF($BZ24=1,BS24,"")</f>
        <v>3</v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  <c r="CM24" s="18">
        <f>SUM(AB24:BI24)</f>
        <v>20</v>
      </c>
    </row>
    <row r="25" spans="1:91" x14ac:dyDescent="0.15">
      <c r="A25" s="1">
        <v>91</v>
      </c>
      <c r="B25" s="3" t="s">
        <v>104</v>
      </c>
      <c r="C25" s="3" t="s">
        <v>103</v>
      </c>
      <c r="D25" s="1" t="s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>
        <v>4</v>
      </c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>
        <v>5</v>
      </c>
      <c r="AK25" s="1"/>
      <c r="AL25" s="4"/>
      <c r="AM25" s="4"/>
      <c r="AN25" s="4"/>
      <c r="AO25" s="4"/>
      <c r="AP25" s="4"/>
      <c r="AQ25" s="4"/>
      <c r="AR25" s="2"/>
      <c r="AS25" s="2"/>
      <c r="AT25" s="2"/>
      <c r="AU25" s="2"/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9</v>
      </c>
      <c r="BK25" s="1">
        <v>5</v>
      </c>
      <c r="BL25" s="17">
        <v>1</v>
      </c>
      <c r="BM25" s="17" t="s">
        <v>136</v>
      </c>
      <c r="BN25" s="1" t="str">
        <f>IF(AL25&gt;AL$68, AL25-AL$68,"")</f>
        <v/>
      </c>
      <c r="BO25" s="1" t="str">
        <f>IF(AM25&gt;AM$68, AM25-AM$68,"")</f>
        <v/>
      </c>
      <c r="BP25" s="1" t="str">
        <f>IF(AN25&gt;AN$68, AN25-AN$68,"")</f>
        <v/>
      </c>
      <c r="BQ25" s="1" t="str">
        <f>IF(AO25&gt;AO$68, AO25-AO$68,"")</f>
        <v/>
      </c>
      <c r="BR25" s="1" t="str">
        <f>IF(AP25&gt;AP$68, AP25-AP$68,"")</f>
        <v/>
      </c>
      <c r="BS25" s="1" t="str">
        <f>IF(AQ25&gt;AQ$68, AQ25-AQ$68,"")</f>
        <v/>
      </c>
      <c r="BT25" s="1" t="str">
        <f>IF(AR25&gt;AR$68, AR25-AR$68,"")</f>
        <v/>
      </c>
      <c r="BU25" s="1" t="str">
        <f>IF(AS25&gt;AS$68, AS25-AS$68,"")</f>
        <v/>
      </c>
      <c r="BV25" s="1" t="str">
        <f>IF(AT25&gt;AT$68, AT25-AT$68,"")</f>
        <v/>
      </c>
      <c r="BW25" s="1" t="str">
        <f>IF(AU25&gt;AU$68, AU25-AU$68,"")</f>
        <v/>
      </c>
      <c r="BX25" s="1" t="str">
        <f>IF(AV25&gt;AV$68, AV25-AV$68,"")</f>
        <v/>
      </c>
      <c r="BY25" s="1" t="str">
        <f>IF(AW25&gt;AW$68, AW25-AW$68,"")</f>
        <v/>
      </c>
      <c r="BZ25" s="1">
        <f>COUNTIF(BN25:BY25, "&gt;0")</f>
        <v>0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  <c r="CM25" s="18">
        <f>SUM(AB25:BI25)</f>
        <v>5</v>
      </c>
    </row>
    <row r="26" spans="1:91" x14ac:dyDescent="0.15">
      <c r="A26" s="1">
        <v>17</v>
      </c>
      <c r="B26" s="1" t="s">
        <v>36</v>
      </c>
      <c r="C26" s="1" t="s">
        <v>33</v>
      </c>
      <c r="D26" s="1" t="s">
        <v>24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>
        <v>5</v>
      </c>
      <c r="AD26" s="1"/>
      <c r="AE26" s="1"/>
      <c r="AF26" s="1"/>
      <c r="AG26" s="1"/>
      <c r="AH26" s="1"/>
      <c r="AI26" s="1"/>
      <c r="AJ26" s="1"/>
      <c r="AK26" s="1"/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5</v>
      </c>
      <c r="BK26" s="1">
        <v>5</v>
      </c>
      <c r="BL26" s="17">
        <v>1</v>
      </c>
      <c r="BM26" s="17" t="s">
        <v>135</v>
      </c>
      <c r="BN26" s="1" t="str">
        <f>IF(AL26&gt;AL$68, AL26-AL$68,"")</f>
        <v/>
      </c>
      <c r="BO26" s="1" t="str">
        <f>IF(AM26&gt;AM$68, AM26-AM$68,"")</f>
        <v/>
      </c>
      <c r="BP26" s="1" t="str">
        <f>IF(AN26&gt;AN$68, AN26-AN$68,"")</f>
        <v/>
      </c>
      <c r="BQ26" s="1" t="str">
        <f>IF(AO26&gt;AO$68, AO26-AO$68,"")</f>
        <v/>
      </c>
      <c r="BR26" s="1" t="str">
        <f>IF(AP26&gt;AP$68, AP26-AP$68,"")</f>
        <v/>
      </c>
      <c r="BS26" s="1" t="str">
        <f>IF(AQ26&gt;AQ$68, AQ26-AQ$68,"")</f>
        <v/>
      </c>
      <c r="BT26" s="1" t="str">
        <f>IF(AR26&gt;AR$68, AR26-AR$68,"")</f>
        <v/>
      </c>
      <c r="BU26" s="1" t="str">
        <f>IF(AS26&gt;AS$68, AS26-AS$68,"")</f>
        <v/>
      </c>
      <c r="BV26" s="1" t="str">
        <f>IF(AT26&gt;AT$68, AT26-AT$68,"")</f>
        <v/>
      </c>
      <c r="BW26" s="1" t="str">
        <f>IF(AU26&gt;AU$68, AU26-AU$68,"")</f>
        <v/>
      </c>
      <c r="BX26" s="1" t="str">
        <f>IF(AV26&gt;AV$68, AV26-AV$68,"")</f>
        <v/>
      </c>
      <c r="BY26" s="1" t="str">
        <f>IF(AW26&gt;AW$68, AW26-AW$68,"")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  <c r="CM26" s="18">
        <f>SUM(AB26:BI26)</f>
        <v>5</v>
      </c>
    </row>
    <row r="27" spans="1:91" x14ac:dyDescent="0.15">
      <c r="A27" s="1">
        <v>18</v>
      </c>
      <c r="B27" s="1" t="s">
        <v>36</v>
      </c>
      <c r="C27" s="1" t="s">
        <v>33</v>
      </c>
      <c r="D27" s="1" t="s">
        <v>25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1"/>
      <c r="AC27" s="1"/>
      <c r="AD27" s="1">
        <v>5</v>
      </c>
      <c r="AE27" s="1"/>
      <c r="AF27" s="1"/>
      <c r="AG27" s="1"/>
      <c r="AH27" s="1"/>
      <c r="AI27" s="1"/>
      <c r="AJ27" s="1"/>
      <c r="AK27" s="1"/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5</v>
      </c>
      <c r="BK27" s="1">
        <v>5</v>
      </c>
      <c r="BL27" s="17">
        <v>1</v>
      </c>
      <c r="BM27" s="17" t="s">
        <v>137</v>
      </c>
      <c r="BN27" s="1" t="str">
        <f>IF(AL27&gt;AL$68, AL27-AL$68,"")</f>
        <v/>
      </c>
      <c r="BO27" s="1" t="str">
        <f>IF(AM27&gt;AM$68, AM27-AM$68,"")</f>
        <v/>
      </c>
      <c r="BP27" s="1" t="str">
        <f>IF(AN27&gt;AN$68, AN27-AN$68,"")</f>
        <v/>
      </c>
      <c r="BQ27" s="1" t="str">
        <f>IF(AO27&gt;AO$68, AO27-AO$68,"")</f>
        <v/>
      </c>
      <c r="BR27" s="1" t="str">
        <f>IF(AP27&gt;AP$68, AP27-AP$68,"")</f>
        <v/>
      </c>
      <c r="BS27" s="1" t="str">
        <f>IF(AQ27&gt;AQ$68, AQ27-AQ$68,"")</f>
        <v/>
      </c>
      <c r="BT27" s="1" t="str">
        <f>IF(AR27&gt;AR$68, AR27-AR$68,"")</f>
        <v/>
      </c>
      <c r="BU27" s="1" t="str">
        <f>IF(AS27&gt;AS$68, AS27-AS$68,"")</f>
        <v/>
      </c>
      <c r="BV27" s="1" t="str">
        <f>IF(AT27&gt;AT$68, AT27-AT$68,"")</f>
        <v/>
      </c>
      <c r="BW27" s="1" t="str">
        <f>IF(AU27&gt;AU$68, AU27-AU$68,"")</f>
        <v/>
      </c>
      <c r="BX27" s="1" t="str">
        <f>IF(AV27&gt;AV$68, AV27-AV$68,"")</f>
        <v/>
      </c>
      <c r="BY27" s="1" t="str">
        <f>IF(AW27&gt;AW$68, AW27-AW$68,"")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  <c r="CM27" s="18">
        <f>SUM(AB27:BI27)</f>
        <v>5</v>
      </c>
    </row>
    <row r="28" spans="1:91" s="25" customFormat="1" x14ac:dyDescent="0.15">
      <c r="A28" s="1">
        <v>19</v>
      </c>
      <c r="B28" s="1" t="s">
        <v>39</v>
      </c>
      <c r="C28" s="1" t="s">
        <v>33</v>
      </c>
      <c r="D28" s="1" t="s">
        <v>24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/>
      <c r="AD28" s="1">
        <v>5</v>
      </c>
      <c r="AE28" s="1"/>
      <c r="AF28" s="1"/>
      <c r="AG28" s="1"/>
      <c r="AH28" s="1"/>
      <c r="AI28" s="1"/>
      <c r="AJ28" s="1"/>
      <c r="AK28" s="1"/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5</v>
      </c>
      <c r="BK28" s="1">
        <v>5</v>
      </c>
      <c r="BL28" s="17">
        <v>1</v>
      </c>
      <c r="BM28" s="17" t="s">
        <v>138</v>
      </c>
      <c r="BN28" s="1" t="str">
        <f>IF(AL28&gt;AL$68, AL28-AL$68,"")</f>
        <v/>
      </c>
      <c r="BO28" s="1" t="str">
        <f>IF(AM28&gt;AM$68, AM28-AM$68,"")</f>
        <v/>
      </c>
      <c r="BP28" s="1" t="str">
        <f>IF(AN28&gt;AN$68, AN28-AN$68,"")</f>
        <v/>
      </c>
      <c r="BQ28" s="1" t="str">
        <f>IF(AO28&gt;AO$68, AO28-AO$68,"")</f>
        <v/>
      </c>
      <c r="BR28" s="1" t="str">
        <f>IF(AP28&gt;AP$68, AP28-AP$68,"")</f>
        <v/>
      </c>
      <c r="BS28" s="1" t="str">
        <f>IF(AQ28&gt;AQ$68, AQ28-AQ$68,"")</f>
        <v/>
      </c>
      <c r="BT28" s="1" t="str">
        <f>IF(AR28&gt;AR$68, AR28-AR$68,"")</f>
        <v/>
      </c>
      <c r="BU28" s="1" t="str">
        <f>IF(AS28&gt;AS$68, AS28-AS$68,"")</f>
        <v/>
      </c>
      <c r="BV28" s="1" t="str">
        <f>IF(AT28&gt;AT$68, AT28-AT$68,"")</f>
        <v/>
      </c>
      <c r="BW28" s="1" t="str">
        <f>IF(AU28&gt;AU$68, AU28-AU$68,"")</f>
        <v/>
      </c>
      <c r="BX28" s="1" t="str">
        <f>IF(AV28&gt;AV$68, AV28-AV$68,"")</f>
        <v/>
      </c>
      <c r="BY28" s="1" t="str">
        <f>IF(AW28&gt;AW$68, AW28-AW$68,"")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  <c r="CM28" s="18">
        <f>SUM(AB28:BI28)</f>
        <v>5</v>
      </c>
    </row>
    <row r="29" spans="1:91" x14ac:dyDescent="0.15">
      <c r="A29" s="1">
        <v>32</v>
      </c>
      <c r="B29" s="1" t="s">
        <v>97</v>
      </c>
      <c r="C29" s="1" t="s">
        <v>33</v>
      </c>
      <c r="D29" s="1" t="s">
        <v>24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/>
      <c r="AD29" s="1"/>
      <c r="AE29" s="1"/>
      <c r="AF29" s="1">
        <v>5</v>
      </c>
      <c r="AG29" s="1"/>
      <c r="AH29" s="1"/>
      <c r="AI29" s="1"/>
      <c r="AJ29" s="1"/>
      <c r="AK29" s="1"/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5</v>
      </c>
      <c r="BK29" s="1">
        <v>5</v>
      </c>
      <c r="BL29" s="17">
        <v>1</v>
      </c>
      <c r="BM29" s="17" t="s">
        <v>139</v>
      </c>
      <c r="BN29" s="1" t="str">
        <f>IF(AL29&gt;AL$68, AL29-AL$68,"")</f>
        <v/>
      </c>
      <c r="BO29" s="1" t="str">
        <f>IF(AM29&gt;AM$68, AM29-AM$68,"")</f>
        <v/>
      </c>
      <c r="BP29" s="1" t="str">
        <f>IF(AN29&gt;AN$68, AN29-AN$68,"")</f>
        <v/>
      </c>
      <c r="BQ29" s="1" t="str">
        <f>IF(AO29&gt;AO$68, AO29-AO$68,"")</f>
        <v/>
      </c>
      <c r="BR29" s="1" t="str">
        <f>IF(AP29&gt;AP$68, AP29-AP$68,"")</f>
        <v/>
      </c>
      <c r="BS29" s="1" t="str">
        <f>IF(AQ29&gt;AQ$68, AQ29-AQ$68,"")</f>
        <v/>
      </c>
      <c r="BT29" s="1" t="str">
        <f>IF(AR29&gt;AR$68, AR29-AR$68,"")</f>
        <v/>
      </c>
      <c r="BU29" s="1" t="str">
        <f>IF(AS29&gt;AS$68, AS29-AS$68,"")</f>
        <v/>
      </c>
      <c r="BV29" s="1" t="str">
        <f>IF(AT29&gt;AT$68, AT29-AT$68,"")</f>
        <v/>
      </c>
      <c r="BW29" s="1" t="str">
        <f>IF(AU29&gt;AU$68, AU29-AU$68,"")</f>
        <v/>
      </c>
      <c r="BX29" s="1" t="str">
        <f>IF(AV29&gt;AV$68, AV29-AV$68,"")</f>
        <v/>
      </c>
      <c r="BY29" s="1" t="str">
        <f>IF(AW29&gt;AW$68, AW29-AW$68,"")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  <c r="CM29" s="18">
        <f>SUM(AB29:BI29)</f>
        <v>5</v>
      </c>
    </row>
    <row r="30" spans="1:91" x14ac:dyDescent="0.15">
      <c r="A30" s="1">
        <v>33</v>
      </c>
      <c r="B30" s="1" t="s">
        <v>97</v>
      </c>
      <c r="C30" s="1" t="s">
        <v>33</v>
      </c>
      <c r="D30" s="1" t="s">
        <v>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/>
      <c r="AE30" s="1">
        <v>5</v>
      </c>
      <c r="AF30" s="1"/>
      <c r="AG30" s="1"/>
      <c r="AH30" s="1"/>
      <c r="AI30" s="1"/>
      <c r="AJ30" s="1"/>
      <c r="AK30" s="1"/>
      <c r="AL30" s="4"/>
      <c r="AM30" s="4"/>
      <c r="AN30" s="4"/>
      <c r="AO30" s="4"/>
      <c r="AP30" s="4"/>
      <c r="AQ30" s="4"/>
      <c r="AR30" s="2"/>
      <c r="AS30" s="2"/>
      <c r="AT30" s="2"/>
      <c r="AU30" s="2"/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5</v>
      </c>
      <c r="BK30" s="1">
        <v>5</v>
      </c>
      <c r="BL30" s="17">
        <v>1</v>
      </c>
      <c r="BM30" s="17" t="s">
        <v>140</v>
      </c>
      <c r="BN30" s="1" t="str">
        <f>IF(AL30&gt;AL$68, AL30-AL$68,"")</f>
        <v/>
      </c>
      <c r="BO30" s="1" t="str">
        <f>IF(AM30&gt;AM$68, AM30-AM$68,"")</f>
        <v/>
      </c>
      <c r="BP30" s="1" t="str">
        <f>IF(AN30&gt;AN$68, AN30-AN$68,"")</f>
        <v/>
      </c>
      <c r="BQ30" s="1" t="str">
        <f>IF(AO30&gt;AO$68, AO30-AO$68,"")</f>
        <v/>
      </c>
      <c r="BR30" s="1" t="str">
        <f>IF(AP30&gt;AP$68, AP30-AP$68,"")</f>
        <v/>
      </c>
      <c r="BS30" s="1" t="str">
        <f>IF(AQ30&gt;AQ$68, AQ30-AQ$68,"")</f>
        <v/>
      </c>
      <c r="BT30" s="1" t="str">
        <f>IF(AR30&gt;AR$68, AR30-AR$68,"")</f>
        <v/>
      </c>
      <c r="BU30" s="1" t="str">
        <f>IF(AS30&gt;AS$68, AS30-AS$68,"")</f>
        <v/>
      </c>
      <c r="BV30" s="1" t="str">
        <f>IF(AT30&gt;AT$68, AT30-AT$68,"")</f>
        <v/>
      </c>
      <c r="BW30" s="1" t="str">
        <f>IF(AU30&gt;AU$68, AU30-AU$68,"")</f>
        <v/>
      </c>
      <c r="BX30" s="1" t="str">
        <f>IF(AV30&gt;AV$68, AV30-AV$68,"")</f>
        <v/>
      </c>
      <c r="BY30" s="1" t="str">
        <f>IF(AW30&gt;AW$68, AW30-AW$68,"")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  <c r="CM30" s="18">
        <f>SUM(AB30:BI30)</f>
        <v>5</v>
      </c>
    </row>
    <row r="31" spans="1:91" x14ac:dyDescent="0.15">
      <c r="A31" s="1">
        <v>63</v>
      </c>
      <c r="B31" s="3" t="s">
        <v>72</v>
      </c>
      <c r="C31" s="1" t="s">
        <v>65</v>
      </c>
      <c r="D31" s="1" t="s">
        <v>24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>
        <v>5</v>
      </c>
      <c r="AL31" s="4"/>
      <c r="AM31" s="4"/>
      <c r="AN31" s="4"/>
      <c r="AO31" s="4"/>
      <c r="AP31" s="4"/>
      <c r="AQ31" s="4"/>
      <c r="AR31" s="2"/>
      <c r="AS31" s="2"/>
      <c r="AT31" s="2"/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5</v>
      </c>
      <c r="BK31" s="1">
        <v>5</v>
      </c>
      <c r="BL31" s="17">
        <v>1</v>
      </c>
      <c r="BM31" s="17" t="s">
        <v>141</v>
      </c>
      <c r="BN31" s="1" t="str">
        <f>IF(AL31&gt;AL$68, AL31-AL$68,"")</f>
        <v/>
      </c>
      <c r="BO31" s="1" t="str">
        <f>IF(AM31&gt;AM$68, AM31-AM$68,"")</f>
        <v/>
      </c>
      <c r="BP31" s="1" t="str">
        <f>IF(AN31&gt;AN$68, AN31-AN$68,"")</f>
        <v/>
      </c>
      <c r="BQ31" s="1" t="str">
        <f>IF(AO31&gt;AO$68, AO31-AO$68,"")</f>
        <v/>
      </c>
      <c r="BR31" s="1" t="str">
        <f>IF(AP31&gt;AP$68, AP31-AP$68,"")</f>
        <v/>
      </c>
      <c r="BS31" s="1" t="str">
        <f>IF(AQ31&gt;AQ$68, AQ31-AQ$68,"")</f>
        <v/>
      </c>
      <c r="BT31" s="1" t="str">
        <f>IF(AR31&gt;AR$68, AR31-AR$68,"")</f>
        <v/>
      </c>
      <c r="BU31" s="1" t="str">
        <f>IF(AS31&gt;AS$68, AS31-AS$68,"")</f>
        <v/>
      </c>
      <c r="BV31" s="1" t="str">
        <f>IF(AT31&gt;AT$68, AT31-AT$68,"")</f>
        <v/>
      </c>
      <c r="BW31" s="1" t="str">
        <f>IF(AU31&gt;AU$68, AU31-AU$68,"")</f>
        <v/>
      </c>
      <c r="BX31" s="1" t="str">
        <f>IF(AV31&gt;AV$68, AV31-AV$68,"")</f>
        <v/>
      </c>
      <c r="BY31" s="1" t="str">
        <f>IF(AW31&gt;AW$68, AW31-AW$68,"")</f>
        <v/>
      </c>
      <c r="BZ31" s="1">
        <f>COUNTIF(BN31:BY31, "&gt;0")</f>
        <v>0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 t="str">
        <f>IF($BZ31=1,BY31,"")</f>
        <v/>
      </c>
      <c r="CM31" s="18">
        <f>SUM(AB31:BI31)</f>
        <v>5</v>
      </c>
    </row>
    <row r="32" spans="1:91" x14ac:dyDescent="0.15">
      <c r="A32" s="1">
        <v>90</v>
      </c>
      <c r="B32" s="3" t="s">
        <v>104</v>
      </c>
      <c r="C32" s="3" t="s">
        <v>103</v>
      </c>
      <c r="D32" s="1" t="s">
        <v>24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>
        <v>4</v>
      </c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>
        <v>5</v>
      </c>
      <c r="AL32" s="4"/>
      <c r="AM32" s="4"/>
      <c r="AN32" s="4"/>
      <c r="AO32" s="4"/>
      <c r="AP32" s="4"/>
      <c r="AQ32" s="4"/>
      <c r="AR32" s="2"/>
      <c r="AS32" s="2"/>
      <c r="AT32" s="2"/>
      <c r="AU32" s="2"/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9</v>
      </c>
      <c r="BK32" s="1">
        <v>5</v>
      </c>
      <c r="BL32" s="17">
        <v>1</v>
      </c>
      <c r="BM32" s="17" t="s">
        <v>142</v>
      </c>
      <c r="BN32" s="1" t="str">
        <f>IF(AL32&gt;AL$68, AL32-AL$68,"")</f>
        <v/>
      </c>
      <c r="BO32" s="1" t="str">
        <f>IF(AM32&gt;AM$68, AM32-AM$68,"")</f>
        <v/>
      </c>
      <c r="BP32" s="1" t="str">
        <f>IF(AN32&gt;AN$68, AN32-AN$68,"")</f>
        <v/>
      </c>
      <c r="BQ32" s="1" t="str">
        <f>IF(AO32&gt;AO$68, AO32-AO$68,"")</f>
        <v/>
      </c>
      <c r="BR32" s="1" t="str">
        <f>IF(AP32&gt;AP$68, AP32-AP$68,"")</f>
        <v/>
      </c>
      <c r="BS32" s="1" t="str">
        <f>IF(AQ32&gt;AQ$68, AQ32-AQ$68,"")</f>
        <v/>
      </c>
      <c r="BT32" s="1" t="str">
        <f>IF(AR32&gt;AR$68, AR32-AR$68,"")</f>
        <v/>
      </c>
      <c r="BU32" s="1" t="str">
        <f>IF(AS32&gt;AS$68, AS32-AS$68,"")</f>
        <v/>
      </c>
      <c r="BV32" s="1" t="str">
        <f>IF(AT32&gt;AT$68, AT32-AT$68,"")</f>
        <v/>
      </c>
      <c r="BW32" s="1" t="str">
        <f>IF(AU32&gt;AU$68, AU32-AU$68,"")</f>
        <v/>
      </c>
      <c r="BX32" s="1" t="str">
        <f>IF(AV32&gt;AV$68, AV32-AV$68,"")</f>
        <v/>
      </c>
      <c r="BY32" s="1" t="str">
        <f>IF(AW32&gt;AW$68, AW32-AW$68,"")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  <c r="CM32" s="18">
        <f>SUM(AB32:BI32)</f>
        <v>5</v>
      </c>
    </row>
    <row r="33" spans="1:91" x14ac:dyDescent="0.15">
      <c r="A33" s="1">
        <v>1</v>
      </c>
      <c r="B33" s="1" t="s">
        <v>0</v>
      </c>
      <c r="C33" s="1" t="s">
        <v>2</v>
      </c>
      <c r="D33" s="1" t="s">
        <v>1</v>
      </c>
      <c r="E33" s="6">
        <v>10</v>
      </c>
      <c r="F33" s="6">
        <v>10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4"/>
      <c r="AM33" s="4">
        <v>10</v>
      </c>
      <c r="AN33" s="4"/>
      <c r="AO33" s="4"/>
      <c r="AP33" s="4"/>
      <c r="AQ33" s="4"/>
      <c r="AR33" s="2">
        <v>15</v>
      </c>
      <c r="AS33" s="2">
        <v>15</v>
      </c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60</v>
      </c>
      <c r="BK33" s="1">
        <v>5</v>
      </c>
      <c r="BL33" s="17">
        <v>1</v>
      </c>
      <c r="BM33" s="17" t="s">
        <v>150</v>
      </c>
      <c r="BN33" s="1" t="str">
        <f>IF(AL33&gt;AL$68, AL33-AL$68,"")</f>
        <v/>
      </c>
      <c r="BO33" s="1" t="str">
        <f>IF(AM33&gt;AM$68, AM33-AM$68,"")</f>
        <v/>
      </c>
      <c r="BP33" s="1" t="str">
        <f>IF(AN33&gt;AN$68, AN33-AN$68,"")</f>
        <v/>
      </c>
      <c r="BQ33" s="1" t="str">
        <f>IF(AO33&gt;AO$68, AO33-AO$68,"")</f>
        <v/>
      </c>
      <c r="BR33" s="1" t="str">
        <f>IF(AP33&gt;AP$68, AP33-AP$68,"")</f>
        <v/>
      </c>
      <c r="BS33" s="1" t="str">
        <f>IF(AQ33&gt;AQ$68, AQ33-AQ$68,"")</f>
        <v/>
      </c>
      <c r="BT33" s="1" t="str">
        <f>IF(AR33&gt;AR$68, AR33-AR$68,"")</f>
        <v/>
      </c>
      <c r="BU33" s="1" t="str">
        <f>IF(AS33&gt;AS$68, AS33-AS$68,"")</f>
        <v/>
      </c>
      <c r="BV33" s="1" t="str">
        <f>IF(AT33&gt;AT$68, AT33-AT$68,"")</f>
        <v/>
      </c>
      <c r="BW33" s="1" t="str">
        <f>IF(AU33&gt;AU$68, AU33-AU$68,"")</f>
        <v/>
      </c>
      <c r="BX33" s="1" t="str">
        <f>IF(AV33&gt;AV$68, AV33-AV$68,"")</f>
        <v/>
      </c>
      <c r="BY33" s="1" t="str">
        <f>IF(AW33&gt;AW$68, AW33-AW$68,"")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  <c r="CM33" s="18">
        <f>SUM(AB33:BI33)</f>
        <v>40</v>
      </c>
    </row>
    <row r="34" spans="1:91" x14ac:dyDescent="0.15">
      <c r="A34" s="1">
        <v>20</v>
      </c>
      <c r="B34" s="1" t="s">
        <v>39</v>
      </c>
      <c r="C34" s="1" t="s">
        <v>33</v>
      </c>
      <c r="D34" s="1" t="s">
        <v>25</v>
      </c>
      <c r="E34" s="6"/>
      <c r="F34" s="6">
        <v>5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>
        <v>5</v>
      </c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4"/>
      <c r="AP34" s="4"/>
      <c r="AQ34" s="4"/>
      <c r="AR34" s="2"/>
      <c r="AS34" s="2"/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10</v>
      </c>
      <c r="BK34" s="1">
        <v>5</v>
      </c>
      <c r="BL34" s="17">
        <v>1</v>
      </c>
      <c r="BM34" s="17" t="s">
        <v>137</v>
      </c>
      <c r="BN34" s="1" t="str">
        <f>IF(AL34&gt;AL$68, AL34-AL$68,"")</f>
        <v/>
      </c>
      <c r="BO34" s="1" t="str">
        <f>IF(AM34&gt;AM$68, AM34-AM$68,"")</f>
        <v/>
      </c>
      <c r="BP34" s="1" t="str">
        <f>IF(AN34&gt;AN$68, AN34-AN$68,"")</f>
        <v/>
      </c>
      <c r="BQ34" s="1" t="str">
        <f>IF(AO34&gt;AO$68, AO34-AO$68,"")</f>
        <v/>
      </c>
      <c r="BR34" s="1" t="str">
        <f>IF(AP34&gt;AP$68, AP34-AP$68,"")</f>
        <v/>
      </c>
      <c r="BS34" s="1" t="str">
        <f>IF(AQ34&gt;AQ$68, AQ34-AQ$68,"")</f>
        <v/>
      </c>
      <c r="BT34" s="1" t="str">
        <f>IF(AR34&gt;AR$68, AR34-AR$68,"")</f>
        <v/>
      </c>
      <c r="BU34" s="1" t="str">
        <f>IF(AS34&gt;AS$68, AS34-AS$68,"")</f>
        <v/>
      </c>
      <c r="BV34" s="1" t="str">
        <f>IF(AT34&gt;AT$68, AT34-AT$68,"")</f>
        <v/>
      </c>
      <c r="BW34" s="1" t="str">
        <f>IF(AU34&gt;AU$68, AU34-AU$68,"")</f>
        <v/>
      </c>
      <c r="BX34" s="1" t="str">
        <f>IF(AV34&gt;AV$68, AV34-AV$68,"")</f>
        <v/>
      </c>
      <c r="BY34" s="1" t="str">
        <f>IF(AW34&gt;AW$68, AW34-AW$68,"")</f>
        <v/>
      </c>
      <c r="BZ34" s="1">
        <f>COUNTIF(BN34:BY34, "&gt;0")</f>
        <v>0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 t="str">
        <f>IF($BZ34=1,BS34,"")</f>
        <v/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  <c r="CM34" s="18">
        <f>SUM(AB34:BI34)</f>
        <v>5</v>
      </c>
    </row>
    <row r="35" spans="1:91" x14ac:dyDescent="0.15">
      <c r="A35" s="1">
        <v>5</v>
      </c>
      <c r="B35" s="1" t="s">
        <v>22</v>
      </c>
      <c r="C35" s="1" t="s">
        <v>2</v>
      </c>
      <c r="D35" s="1" t="s">
        <v>12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4"/>
      <c r="AM35" s="4">
        <v>10</v>
      </c>
      <c r="AN35" s="4"/>
      <c r="AO35" s="4"/>
      <c r="AP35" s="4"/>
      <c r="AQ35" s="4"/>
      <c r="AR35" s="2"/>
      <c r="AS35" s="2"/>
      <c r="AT35" s="2"/>
      <c r="AU35" s="2"/>
      <c r="AV35" s="2"/>
      <c r="AW35" s="2">
        <v>10</v>
      </c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20</v>
      </c>
      <c r="BK35" s="1">
        <v>7</v>
      </c>
      <c r="BL35" s="17">
        <v>1</v>
      </c>
      <c r="BM35" s="17" t="s">
        <v>147</v>
      </c>
      <c r="BN35" s="1" t="str">
        <f>IF(AL35&gt;AL$68, AL35-AL$68,"")</f>
        <v/>
      </c>
      <c r="BO35" s="1" t="str">
        <f>IF(AM35&gt;AM$68, AM35-AM$68,"")</f>
        <v/>
      </c>
      <c r="BP35" s="1" t="str">
        <f>IF(AN35&gt;AN$68, AN35-AN$68,"")</f>
        <v/>
      </c>
      <c r="BQ35" s="1" t="str">
        <f>IF(AO35&gt;AO$68, AO35-AO$68,"")</f>
        <v/>
      </c>
      <c r="BR35" s="1" t="str">
        <f>IF(AP35&gt;AP$68, AP35-AP$68,"")</f>
        <v/>
      </c>
      <c r="BS35" s="1" t="str">
        <f>IF(AQ35&gt;AQ$68, AQ35-AQ$68,"")</f>
        <v/>
      </c>
      <c r="BT35" s="1" t="str">
        <f>IF(AR35&gt;AR$68, AR35-AR$68,"")</f>
        <v/>
      </c>
      <c r="BU35" s="1" t="str">
        <f>IF(AS35&gt;AS$68, AS35-AS$68,"")</f>
        <v/>
      </c>
      <c r="BV35" s="1" t="str">
        <f>IF(AT35&gt;AT$68, AT35-AT$68,"")</f>
        <v/>
      </c>
      <c r="BW35" s="1" t="str">
        <f>IF(AU35&gt;AU$68, AU35-AU$68,"")</f>
        <v/>
      </c>
      <c r="BX35" s="1" t="str">
        <f>IF(AV35&gt;AV$68, AV35-AV$68,"")</f>
        <v/>
      </c>
      <c r="BY35" s="1">
        <f>IF(AW35&gt;AW$68, AW35-AW$68,"")</f>
        <v>7</v>
      </c>
      <c r="BZ35" s="1">
        <f>COUNTIF(BN35:BY35, "&gt;0")</f>
        <v>1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 t="str">
        <f>IF($BZ35=1,BS35,"")</f>
        <v/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>
        <f>IF($BZ35=1,BY35,"")</f>
        <v>7</v>
      </c>
      <c r="CM35" s="18">
        <f>SUM(AB35:BI35)</f>
        <v>20</v>
      </c>
    </row>
    <row r="36" spans="1:91" x14ac:dyDescent="0.15">
      <c r="A36" s="1">
        <v>6</v>
      </c>
      <c r="B36" s="1" t="s">
        <v>58</v>
      </c>
      <c r="C36" s="1" t="s">
        <v>2</v>
      </c>
      <c r="D36" s="1" t="s">
        <v>23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/>
      <c r="AM36" s="4">
        <v>10</v>
      </c>
      <c r="AN36" s="4"/>
      <c r="AO36" s="4"/>
      <c r="AP36" s="4"/>
      <c r="AQ36" s="4"/>
      <c r="AR36" s="2"/>
      <c r="AS36" s="2"/>
      <c r="AT36" s="2"/>
      <c r="AU36" s="2"/>
      <c r="AV36" s="2"/>
      <c r="AW36" s="2">
        <v>10</v>
      </c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>SUM(E36:BI36)</f>
        <v>20</v>
      </c>
      <c r="BK36" s="1">
        <v>7</v>
      </c>
      <c r="BL36" s="17">
        <v>1</v>
      </c>
      <c r="BM36" s="17" t="s">
        <v>147</v>
      </c>
      <c r="BN36" s="1" t="str">
        <f>IF(AL36&gt;AL$68, AL36-AL$68,"")</f>
        <v/>
      </c>
      <c r="BO36" s="1" t="str">
        <f>IF(AM36&gt;AM$68, AM36-AM$68,"")</f>
        <v/>
      </c>
      <c r="BP36" s="1" t="str">
        <f>IF(AN36&gt;AN$68, AN36-AN$68,"")</f>
        <v/>
      </c>
      <c r="BQ36" s="1" t="str">
        <f>IF(AO36&gt;AO$68, AO36-AO$68,"")</f>
        <v/>
      </c>
      <c r="BR36" s="1" t="str">
        <f>IF(AP36&gt;AP$68, AP36-AP$68,"")</f>
        <v/>
      </c>
      <c r="BS36" s="1" t="str">
        <f>IF(AQ36&gt;AQ$68, AQ36-AQ$68,"")</f>
        <v/>
      </c>
      <c r="BT36" s="1" t="str">
        <f>IF(AR36&gt;AR$68, AR36-AR$68,"")</f>
        <v/>
      </c>
      <c r="BU36" s="1" t="str">
        <f>IF(AS36&gt;AS$68, AS36-AS$68,"")</f>
        <v/>
      </c>
      <c r="BV36" s="1" t="str">
        <f>IF(AT36&gt;AT$68, AT36-AT$68,"")</f>
        <v/>
      </c>
      <c r="BW36" s="1" t="str">
        <f>IF(AU36&gt;AU$68, AU36-AU$68,"")</f>
        <v/>
      </c>
      <c r="BX36" s="1" t="str">
        <f>IF(AV36&gt;AV$68, AV36-AV$68,"")</f>
        <v/>
      </c>
      <c r="BY36" s="1">
        <f>IF(AW36&gt;AW$68, AW36-AW$68,"")</f>
        <v>7</v>
      </c>
      <c r="BZ36" s="1">
        <f>COUNTIF(BN36:BY36, "&gt;0")</f>
        <v>1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>
        <f>IF($BZ36=1,BY36,"")</f>
        <v>7</v>
      </c>
      <c r="CM36" s="18">
        <f>SUM(AB36:BI36)</f>
        <v>20</v>
      </c>
    </row>
    <row r="37" spans="1:91" x14ac:dyDescent="0.15">
      <c r="A37" s="1">
        <v>8</v>
      </c>
      <c r="B37" s="1" t="s">
        <v>59</v>
      </c>
      <c r="C37" s="1" t="s">
        <v>2</v>
      </c>
      <c r="D37" s="1" t="s">
        <v>26</v>
      </c>
      <c r="E37" s="6">
        <v>6</v>
      </c>
      <c r="F37" s="6"/>
      <c r="G37" s="6"/>
      <c r="H37" s="6">
        <v>6</v>
      </c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4"/>
      <c r="AM37" s="4">
        <v>10</v>
      </c>
      <c r="AN37" s="4"/>
      <c r="AO37" s="4"/>
      <c r="AP37" s="4"/>
      <c r="AQ37" s="4"/>
      <c r="AR37" s="2"/>
      <c r="AS37" s="2"/>
      <c r="AT37" s="2"/>
      <c r="AU37" s="2"/>
      <c r="AV37" s="2"/>
      <c r="AW37" s="2">
        <v>10</v>
      </c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32</v>
      </c>
      <c r="BK37" s="1">
        <v>7</v>
      </c>
      <c r="BL37" s="17">
        <v>1</v>
      </c>
      <c r="BM37" s="17" t="s">
        <v>147</v>
      </c>
      <c r="BN37" s="1" t="str">
        <f>IF(AL37&gt;AL$68, AL37-AL$68,"")</f>
        <v/>
      </c>
      <c r="BO37" s="1" t="str">
        <f>IF(AM37&gt;AM$68, AM37-AM$68,"")</f>
        <v/>
      </c>
      <c r="BP37" s="1" t="str">
        <f>IF(AN37&gt;AN$68, AN37-AN$68,"")</f>
        <v/>
      </c>
      <c r="BQ37" s="1" t="str">
        <f>IF(AO37&gt;AO$68, AO37-AO$68,"")</f>
        <v/>
      </c>
      <c r="BR37" s="1" t="str">
        <f>IF(AP37&gt;AP$68, AP37-AP$68,"")</f>
        <v/>
      </c>
      <c r="BS37" s="1" t="str">
        <f>IF(AQ37&gt;AQ$68, AQ37-AQ$68,"")</f>
        <v/>
      </c>
      <c r="BT37" s="1" t="str">
        <f>IF(AR37&gt;AR$68, AR37-AR$68,"")</f>
        <v/>
      </c>
      <c r="BU37" s="1" t="str">
        <f>IF(AS37&gt;AS$68, AS37-AS$68,"")</f>
        <v/>
      </c>
      <c r="BV37" s="1" t="str">
        <f>IF(AT37&gt;AT$68, AT37-AT$68,"")</f>
        <v/>
      </c>
      <c r="BW37" s="1" t="str">
        <f>IF(AU37&gt;AU$68, AU37-AU$68,"")</f>
        <v/>
      </c>
      <c r="BX37" s="1" t="str">
        <f>IF(AV37&gt;AV$68, AV37-AV$68,"")</f>
        <v/>
      </c>
      <c r="BY37" s="1">
        <f>IF(AW37&gt;AW$68, AW37-AW$68,"")</f>
        <v>7</v>
      </c>
      <c r="BZ37" s="1">
        <f>COUNTIF(BN37:BY37, "&gt;0")</f>
        <v>1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>
        <f>IF($BZ37=1,BY37,"")</f>
        <v>7</v>
      </c>
      <c r="CM37" s="18">
        <f>SUM(AB37:BI37)</f>
        <v>20</v>
      </c>
    </row>
    <row r="38" spans="1:91" x14ac:dyDescent="0.15">
      <c r="A38" s="1">
        <v>94</v>
      </c>
      <c r="B38" s="3" t="s">
        <v>107</v>
      </c>
      <c r="C38" s="3" t="s">
        <v>86</v>
      </c>
      <c r="D38" s="1" t="s">
        <v>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/>
      <c r="AV38" s="2">
        <v>10</v>
      </c>
      <c r="AW38" s="2">
        <v>10</v>
      </c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20</v>
      </c>
      <c r="BK38" s="1">
        <v>7</v>
      </c>
      <c r="BL38" s="17">
        <v>1</v>
      </c>
      <c r="BM38" s="17" t="s">
        <v>147</v>
      </c>
      <c r="BN38" s="1" t="str">
        <f>IF(AL38&gt;AL$68, AL38-AL$68,"")</f>
        <v/>
      </c>
      <c r="BO38" s="1" t="str">
        <f>IF(AM38&gt;AM$68, AM38-AM$68,"")</f>
        <v/>
      </c>
      <c r="BP38" s="1" t="str">
        <f>IF(AN38&gt;AN$68, AN38-AN$68,"")</f>
        <v/>
      </c>
      <c r="BQ38" s="1" t="str">
        <f>IF(AO38&gt;AO$68, AO38-AO$68,"")</f>
        <v/>
      </c>
      <c r="BR38" s="1" t="str">
        <f>IF(AP38&gt;AP$68, AP38-AP$68,"")</f>
        <v/>
      </c>
      <c r="BS38" s="1" t="str">
        <f>IF(AQ38&gt;AQ$68, AQ38-AQ$68,"")</f>
        <v/>
      </c>
      <c r="BT38" s="1" t="str">
        <f>IF(AR38&gt;AR$68, AR38-AR$68,"")</f>
        <v/>
      </c>
      <c r="BU38" s="1" t="str">
        <f>IF(AS38&gt;AS$68, AS38-AS$68,"")</f>
        <v/>
      </c>
      <c r="BV38" s="1" t="str">
        <f>IF(AT38&gt;AT$68, AT38-AT$68,"")</f>
        <v/>
      </c>
      <c r="BW38" s="1" t="str">
        <f>IF(AU38&gt;AU$68, AU38-AU$68,"")</f>
        <v/>
      </c>
      <c r="BX38" s="1" t="str">
        <f>IF(AV38&gt;AV$68, AV38-AV$68,"")</f>
        <v/>
      </c>
      <c r="BY38" s="1">
        <f>IF(AW38&gt;AW$68, AW38-AW$68,"")</f>
        <v>7</v>
      </c>
      <c r="BZ38" s="1">
        <f>COUNTIF(BN38:BY38, "&gt;0")</f>
        <v>1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>
        <f>IF($BZ38=1,BY38,"")</f>
        <v>7</v>
      </c>
      <c r="CM38" s="18">
        <f>SUM(AB38:BI38)</f>
        <v>20</v>
      </c>
    </row>
    <row r="39" spans="1:91" x14ac:dyDescent="0.15">
      <c r="A39" s="1">
        <v>96</v>
      </c>
      <c r="B39" s="3" t="s">
        <v>85</v>
      </c>
      <c r="C39" s="3" t="s">
        <v>86</v>
      </c>
      <c r="D39" s="1" t="s">
        <v>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>
        <v>10</v>
      </c>
      <c r="AW39" s="2">
        <v>10</v>
      </c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20</v>
      </c>
      <c r="BK39" s="1">
        <v>7</v>
      </c>
      <c r="BL39" s="17">
        <v>1</v>
      </c>
      <c r="BM39" s="17" t="s">
        <v>161</v>
      </c>
      <c r="BN39" s="1" t="str">
        <f>IF(AL39&gt;AL$68, AL39-AL$68,"")</f>
        <v/>
      </c>
      <c r="BO39" s="1" t="str">
        <f>IF(AM39&gt;AM$68, AM39-AM$68,"")</f>
        <v/>
      </c>
      <c r="BP39" s="1" t="str">
        <f>IF(AN39&gt;AN$68, AN39-AN$68,"")</f>
        <v/>
      </c>
      <c r="BQ39" s="1" t="str">
        <f>IF(AO39&gt;AO$68, AO39-AO$68,"")</f>
        <v/>
      </c>
      <c r="BR39" s="1" t="str">
        <f>IF(AP39&gt;AP$68, AP39-AP$68,"")</f>
        <v/>
      </c>
      <c r="BS39" s="1" t="str">
        <f>IF(AQ39&gt;AQ$68, AQ39-AQ$68,"")</f>
        <v/>
      </c>
      <c r="BT39" s="1" t="str">
        <f>IF(AR39&gt;AR$68, AR39-AR$68,"")</f>
        <v/>
      </c>
      <c r="BU39" s="1" t="str">
        <f>IF(AS39&gt;AS$68, AS39-AS$68,"")</f>
        <v/>
      </c>
      <c r="BV39" s="1" t="str">
        <f>IF(AT39&gt;AT$68, AT39-AT$68,"")</f>
        <v/>
      </c>
      <c r="BW39" s="1" t="str">
        <f>IF(AU39&gt;AU$68, AU39-AU$68,"")</f>
        <v/>
      </c>
      <c r="BX39" s="1" t="str">
        <f>IF(AV39&gt;AV$68, AV39-AV$68,"")</f>
        <v/>
      </c>
      <c r="BY39" s="1">
        <f>IF(AW39&gt;AW$68, AW39-AW$68,"")</f>
        <v>7</v>
      </c>
      <c r="BZ39" s="1">
        <f>COUNTIF(BN39:BY39, "&gt;0")</f>
        <v>1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>
        <f>IF($BZ39=1,BY39,"")</f>
        <v>7</v>
      </c>
      <c r="CM39" s="18">
        <f>SUM(AB39:BI39)</f>
        <v>20</v>
      </c>
    </row>
    <row r="40" spans="1:91" x14ac:dyDescent="0.15">
      <c r="A40" s="1">
        <v>97</v>
      </c>
      <c r="B40" s="3" t="s">
        <v>87</v>
      </c>
      <c r="C40" s="3" t="s">
        <v>86</v>
      </c>
      <c r="D40" s="1" t="s">
        <v>24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>
        <v>10</v>
      </c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/>
      <c r="AV40" s="2"/>
      <c r="AW40" s="2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>SUM(E40:BI40)</f>
        <v>10</v>
      </c>
      <c r="BK40" s="1">
        <v>8</v>
      </c>
      <c r="BL40" s="17">
        <v>1</v>
      </c>
      <c r="BM40" s="17" t="s">
        <v>149</v>
      </c>
      <c r="BN40" s="1" t="str">
        <f>IF(AL40&gt;AL$68, AL40-AL$68,"")</f>
        <v/>
      </c>
      <c r="BO40" s="1" t="str">
        <f>IF(AM40&gt;AM$68, AM40-AM$68,"")</f>
        <v/>
      </c>
      <c r="BP40" s="1" t="str">
        <f>IF(AN40&gt;AN$68, AN40-AN$68,"")</f>
        <v/>
      </c>
      <c r="BQ40" s="1" t="str">
        <f>IF(AO40&gt;AO$68, AO40-AO$68,"")</f>
        <v/>
      </c>
      <c r="BR40" s="1" t="str">
        <f>IF(AP40&gt;AP$68, AP40-AP$68,"")</f>
        <v/>
      </c>
      <c r="BS40" s="1" t="str">
        <f>IF(AQ40&gt;AQ$68, AQ40-AQ$68,"")</f>
        <v/>
      </c>
      <c r="BT40" s="1" t="str">
        <f>IF(AR40&gt;AR$68, AR40-AR$68,"")</f>
        <v/>
      </c>
      <c r="BU40" s="1" t="str">
        <f>IF(AS40&gt;AS$68, AS40-AS$68,"")</f>
        <v/>
      </c>
      <c r="BV40" s="1" t="str">
        <f>IF(AT40&gt;AT$68, AT40-AT$68,"")</f>
        <v/>
      </c>
      <c r="BW40" s="1" t="str">
        <f>IF(AU40&gt;AU$68, AU40-AU$68,"")</f>
        <v/>
      </c>
      <c r="BX40" s="1" t="str">
        <f>IF(AV40&gt;AV$68, AV40-AV$68,"")</f>
        <v/>
      </c>
      <c r="BY40" s="1" t="str">
        <f>IF(AW40&gt;AW$68, AW40-AW$68,"")</f>
        <v/>
      </c>
      <c r="BZ40" s="1">
        <f>COUNTIF(BN40:BY40, "&gt;0")</f>
        <v>0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 t="str">
        <f>IF($BZ40=1,BY40,"")</f>
        <v/>
      </c>
      <c r="CM40" s="18">
        <f>SUM(AB40:BI40)</f>
        <v>10</v>
      </c>
    </row>
    <row r="41" spans="1:91" x14ac:dyDescent="0.15">
      <c r="A41" s="1">
        <v>34</v>
      </c>
      <c r="B41" s="1" t="s">
        <v>49</v>
      </c>
      <c r="C41" s="1" t="s">
        <v>50</v>
      </c>
      <c r="D41" s="1" t="s">
        <v>25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4">
        <v>15</v>
      </c>
      <c r="AM41" s="4"/>
      <c r="AN41" s="4"/>
      <c r="AO41" s="4"/>
      <c r="AP41" s="4"/>
      <c r="AQ41" s="4"/>
      <c r="AR41" s="2"/>
      <c r="AS41" s="2"/>
      <c r="AT41" s="2"/>
      <c r="AU41" s="2"/>
      <c r="AV41" s="2"/>
      <c r="AW41" s="2">
        <v>15</v>
      </c>
      <c r="AX41" s="1"/>
      <c r="AY41" s="1"/>
      <c r="AZ41" s="1"/>
      <c r="BA41" s="1"/>
      <c r="BB41" s="1">
        <v>15</v>
      </c>
      <c r="BC41" s="1">
        <v>15</v>
      </c>
      <c r="BD41" s="1"/>
      <c r="BE41" s="1"/>
      <c r="BF41" s="1"/>
      <c r="BG41" s="1"/>
      <c r="BH41" s="1"/>
      <c r="BI41" s="1"/>
      <c r="BJ41" s="1">
        <f>SUM(E41:BI41)</f>
        <v>60</v>
      </c>
      <c r="BK41" s="1">
        <v>12</v>
      </c>
      <c r="BL41" s="17">
        <v>1</v>
      </c>
      <c r="BM41" s="17" t="s">
        <v>151</v>
      </c>
      <c r="BN41" s="1" t="str">
        <f>IF(AL41&gt;AL$68, AL41-AL$68,"")</f>
        <v/>
      </c>
      <c r="BO41" s="1" t="str">
        <f>IF(AM41&gt;AM$68, AM41-AM$68,"")</f>
        <v/>
      </c>
      <c r="BP41" s="1" t="str">
        <f>IF(AN41&gt;AN$68, AN41-AN$68,"")</f>
        <v/>
      </c>
      <c r="BQ41" s="1" t="str">
        <f>IF(AO41&gt;AO$68, AO41-AO$68,"")</f>
        <v/>
      </c>
      <c r="BR41" s="1" t="str">
        <f>IF(AP41&gt;AP$68, AP41-AP$68,"")</f>
        <v/>
      </c>
      <c r="BS41" s="1" t="str">
        <f>IF(AQ41&gt;AQ$68, AQ41-AQ$68,"")</f>
        <v/>
      </c>
      <c r="BT41" s="1" t="str">
        <f>IF(AR41&gt;AR$68, AR41-AR$68,"")</f>
        <v/>
      </c>
      <c r="BU41" s="1" t="str">
        <f>IF(AS41&gt;AS$68, AS41-AS$68,"")</f>
        <v/>
      </c>
      <c r="BV41" s="1" t="str">
        <f>IF(AT41&gt;AT$68, AT41-AT$68,"")</f>
        <v/>
      </c>
      <c r="BW41" s="1" t="str">
        <f>IF(AU41&gt;AU$68, AU41-AU$68,"")</f>
        <v/>
      </c>
      <c r="BX41" s="1" t="str">
        <f>IF(AV41&gt;AV$68, AV41-AV$68,"")</f>
        <v/>
      </c>
      <c r="BY41" s="1">
        <f>IF(AW41&gt;AW$68, AW41-AW$68,"")</f>
        <v>12</v>
      </c>
      <c r="BZ41" s="1">
        <f>COUNTIF(BN41:BY41, "&gt;0")</f>
        <v>1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>
        <f>IF($BZ41=1,BY41,"")</f>
        <v>12</v>
      </c>
      <c r="CM41" s="18">
        <f>SUM(AB41:BI41)</f>
        <v>60</v>
      </c>
    </row>
    <row r="42" spans="1:91" s="25" customFormat="1" x14ac:dyDescent="0.15">
      <c r="A42" s="1">
        <v>76</v>
      </c>
      <c r="B42" s="3" t="s">
        <v>129</v>
      </c>
      <c r="C42" s="3" t="s">
        <v>78</v>
      </c>
      <c r="D42" s="1" t="s">
        <v>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>
        <v>20</v>
      </c>
      <c r="V42" s="6"/>
      <c r="W42" s="6"/>
      <c r="X42" s="6"/>
      <c r="Y42" s="6"/>
      <c r="Z42" s="6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/>
      <c r="AW42" s="2"/>
      <c r="AX42" s="1"/>
      <c r="AY42" s="1"/>
      <c r="AZ42" s="1"/>
      <c r="BA42" s="1"/>
      <c r="BB42" s="1">
        <v>10</v>
      </c>
      <c r="BC42" s="1"/>
      <c r="BD42" s="1"/>
      <c r="BE42" s="1"/>
      <c r="BF42" s="1"/>
      <c r="BG42" s="1"/>
      <c r="BH42" s="1"/>
      <c r="BI42" s="1"/>
      <c r="BJ42" s="1">
        <f>SUM(E42:BI42)</f>
        <v>30</v>
      </c>
      <c r="BK42" s="1">
        <v>12</v>
      </c>
      <c r="BL42" s="17">
        <v>1</v>
      </c>
      <c r="BM42" s="17" t="s">
        <v>155</v>
      </c>
      <c r="BN42" s="1" t="str">
        <f>IF(AL42&gt;AL$68, AL42-AL$68,"")</f>
        <v/>
      </c>
      <c r="BO42" s="1" t="str">
        <f>IF(AM42&gt;AM$68, AM42-AM$68,"")</f>
        <v/>
      </c>
      <c r="BP42" s="1" t="str">
        <f>IF(AN42&gt;AN$68, AN42-AN$68,"")</f>
        <v/>
      </c>
      <c r="BQ42" s="1" t="str">
        <f>IF(AO42&gt;AO$68, AO42-AO$68,"")</f>
        <v/>
      </c>
      <c r="BR42" s="1" t="str">
        <f>IF(AP42&gt;AP$68, AP42-AP$68,"")</f>
        <v/>
      </c>
      <c r="BS42" s="1" t="str">
        <f>IF(AQ42&gt;AQ$68, AQ42-AQ$68,"")</f>
        <v/>
      </c>
      <c r="BT42" s="1" t="str">
        <f>IF(AR42&gt;AR$68, AR42-AR$68,"")</f>
        <v/>
      </c>
      <c r="BU42" s="1" t="str">
        <f>IF(AS42&gt;AS$68, AS42-AS$68,"")</f>
        <v/>
      </c>
      <c r="BV42" s="1" t="str">
        <f>IF(AT42&gt;AT$68, AT42-AT$68,"")</f>
        <v/>
      </c>
      <c r="BW42" s="1" t="str">
        <f>IF(AU42&gt;AU$68, AU42-AU$68,"")</f>
        <v/>
      </c>
      <c r="BX42" s="1" t="str">
        <f>IF(AV42&gt;AV$68, AV42-AV$68,"")</f>
        <v/>
      </c>
      <c r="BY42" s="1" t="str">
        <f>IF(AW42&gt;AW$68, AW42-AW$68,"")</f>
        <v/>
      </c>
      <c r="BZ42" s="1">
        <f>COUNTIF(BN42:BY42, "&gt;0")</f>
        <v>0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 t="str">
        <f>IF($BZ42=1,BY42,"")</f>
        <v/>
      </c>
      <c r="CM42" s="18">
        <f>SUM(AB42:BI42)</f>
        <v>10</v>
      </c>
    </row>
    <row r="43" spans="1:91" x14ac:dyDescent="0.15">
      <c r="A43" s="1">
        <v>2</v>
      </c>
      <c r="B43" s="1" t="s">
        <v>8</v>
      </c>
      <c r="C43" s="1" t="s">
        <v>2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>
        <v>15</v>
      </c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/>
      <c r="AN43" s="4"/>
      <c r="AO43" s="4"/>
      <c r="AP43" s="4"/>
      <c r="AQ43" s="4"/>
      <c r="AR43" s="2"/>
      <c r="AS43" s="2"/>
      <c r="AT43" s="2"/>
      <c r="AU43" s="2">
        <v>15</v>
      </c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30</v>
      </c>
      <c r="BK43" s="1">
        <v>13</v>
      </c>
      <c r="BL43" s="17">
        <v>1</v>
      </c>
      <c r="BM43" s="17" t="s">
        <v>152</v>
      </c>
      <c r="BN43" s="1" t="str">
        <f>IF(AL43&gt;AL$68, AL43-AL$68,"")</f>
        <v/>
      </c>
      <c r="BO43" s="1" t="str">
        <f>IF(AM43&gt;AM$68, AM43-AM$68,"")</f>
        <v/>
      </c>
      <c r="BP43" s="1" t="str">
        <f>IF(AN43&gt;AN$68, AN43-AN$68,"")</f>
        <v/>
      </c>
      <c r="BQ43" s="1" t="str">
        <f>IF(AO43&gt;AO$68, AO43-AO$68,"")</f>
        <v/>
      </c>
      <c r="BR43" s="1" t="str">
        <f>IF(AP43&gt;AP$68, AP43-AP$68,"")</f>
        <v/>
      </c>
      <c r="BS43" s="1" t="str">
        <f>IF(AQ43&gt;AQ$68, AQ43-AQ$68,"")</f>
        <v/>
      </c>
      <c r="BT43" s="1" t="str">
        <f>IF(AR43&gt;AR$68, AR43-AR$68,"")</f>
        <v/>
      </c>
      <c r="BU43" s="1" t="str">
        <f>IF(AS43&gt;AS$68, AS43-AS$68,"")</f>
        <v/>
      </c>
      <c r="BV43" s="1" t="str">
        <f>IF(AT43&gt;AT$68, AT43-AT$68,"")</f>
        <v/>
      </c>
      <c r="BW43" s="1" t="str">
        <f>IF(AU43&gt;AU$68, AU43-AU$68,"")</f>
        <v/>
      </c>
      <c r="BX43" s="1" t="str">
        <f>IF(AV43&gt;AV$68, AV43-AV$68,"")</f>
        <v/>
      </c>
      <c r="BY43" s="1" t="str">
        <f>IF(AW43&gt;AW$68, AW43-AW$68,"")</f>
        <v/>
      </c>
      <c r="BZ43" s="1">
        <f>COUNTIF(BN43:BY43, "&gt;0")</f>
        <v>0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 t="str">
        <f>IF($BZ43=1,BY43,"")</f>
        <v/>
      </c>
      <c r="CM43" s="18">
        <f>SUM(AB43:BI43)</f>
        <v>30</v>
      </c>
    </row>
    <row r="44" spans="1:91" x14ac:dyDescent="0.15">
      <c r="A44" s="1">
        <v>62</v>
      </c>
      <c r="B44" s="1" t="s">
        <v>133</v>
      </c>
      <c r="C44" s="1" t="s">
        <v>65</v>
      </c>
      <c r="D44" s="1" t="s">
        <v>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>
        <v>15</v>
      </c>
      <c r="AK44" s="1"/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/>
      <c r="AW44" s="2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15</v>
      </c>
      <c r="BK44" s="1">
        <v>15</v>
      </c>
      <c r="BL44" s="17">
        <v>1</v>
      </c>
      <c r="BM44" s="17" t="s">
        <v>153</v>
      </c>
      <c r="BN44" s="1" t="str">
        <f>IF(AL44&gt;AL$68, AL44-AL$68,"")</f>
        <v/>
      </c>
      <c r="BO44" s="1" t="str">
        <f>IF(AM44&gt;AM$68, AM44-AM$68,"")</f>
        <v/>
      </c>
      <c r="BP44" s="1" t="str">
        <f>IF(AN44&gt;AN$68, AN44-AN$68,"")</f>
        <v/>
      </c>
      <c r="BQ44" s="1" t="str">
        <f>IF(AO44&gt;AO$68, AO44-AO$68,"")</f>
        <v/>
      </c>
      <c r="BR44" s="1" t="str">
        <f>IF(AP44&gt;AP$68, AP44-AP$68,"")</f>
        <v/>
      </c>
      <c r="BS44" s="1" t="str">
        <f>IF(AQ44&gt;AQ$68, AQ44-AQ$68,"")</f>
        <v/>
      </c>
      <c r="BT44" s="1" t="str">
        <f>IF(AR44&gt;AR$68, AR44-AR$68,"")</f>
        <v/>
      </c>
      <c r="BU44" s="1" t="str">
        <f>IF(AS44&gt;AS$68, AS44-AS$68,"")</f>
        <v/>
      </c>
      <c r="BV44" s="1" t="str">
        <f>IF(AT44&gt;AT$68, AT44-AT$68,"")</f>
        <v/>
      </c>
      <c r="BW44" s="1" t="str">
        <f>IF(AU44&gt;AU$68, AU44-AU$68,"")</f>
        <v/>
      </c>
      <c r="BX44" s="1" t="str">
        <f>IF(AV44&gt;AV$68, AV44-AV$68,"")</f>
        <v/>
      </c>
      <c r="BY44" s="1" t="str">
        <f>IF(AW44&gt;AW$68, AW44-AW$68,"")</f>
        <v/>
      </c>
      <c r="BZ44" s="1">
        <f>COUNTIF(BN44:BY44, "&gt;0")</f>
        <v>0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  <c r="CM44" s="18">
        <f>SUM(AB44:BI44)</f>
        <v>15</v>
      </c>
    </row>
    <row r="45" spans="1:91" x14ac:dyDescent="0.15">
      <c r="A45" s="1">
        <v>64</v>
      </c>
      <c r="B45" s="3" t="s">
        <v>72</v>
      </c>
      <c r="C45" s="1" t="s">
        <v>65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>
        <v>15</v>
      </c>
      <c r="AL45" s="4"/>
      <c r="AM45" s="4"/>
      <c r="AN45" s="4"/>
      <c r="AO45" s="4"/>
      <c r="AP45" s="4"/>
      <c r="AQ45" s="4"/>
      <c r="AR45" s="2"/>
      <c r="AS45" s="2"/>
      <c r="AT45" s="2"/>
      <c r="AU45" s="2"/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15</v>
      </c>
      <c r="BK45" s="1">
        <v>15</v>
      </c>
      <c r="BL45" s="17">
        <v>1</v>
      </c>
      <c r="BM45" s="17" t="s">
        <v>154</v>
      </c>
      <c r="BN45" s="1" t="str">
        <f>IF(AL45&gt;AL$68, AL45-AL$68,"")</f>
        <v/>
      </c>
      <c r="BO45" s="1" t="str">
        <f>IF(AM45&gt;AM$68, AM45-AM$68,"")</f>
        <v/>
      </c>
      <c r="BP45" s="1" t="str">
        <f>IF(AN45&gt;AN$68, AN45-AN$68,"")</f>
        <v/>
      </c>
      <c r="BQ45" s="1" t="str">
        <f>IF(AO45&gt;AO$68, AO45-AO$68,"")</f>
        <v/>
      </c>
      <c r="BR45" s="1" t="str">
        <f>IF(AP45&gt;AP$68, AP45-AP$68,"")</f>
        <v/>
      </c>
      <c r="BS45" s="1" t="str">
        <f>IF(AQ45&gt;AQ$68, AQ45-AQ$68,"")</f>
        <v/>
      </c>
      <c r="BT45" s="1" t="str">
        <f>IF(AR45&gt;AR$68, AR45-AR$68,"")</f>
        <v/>
      </c>
      <c r="BU45" s="1" t="str">
        <f>IF(AS45&gt;AS$68, AS45-AS$68,"")</f>
        <v/>
      </c>
      <c r="BV45" s="1" t="str">
        <f>IF(AT45&gt;AT$68, AT45-AT$68,"")</f>
        <v/>
      </c>
      <c r="BW45" s="1" t="str">
        <f>IF(AU45&gt;AU$68, AU45-AU$68,"")</f>
        <v/>
      </c>
      <c r="BX45" s="1" t="str">
        <f>IF(AV45&gt;AV$68, AV45-AV$68,"")</f>
        <v/>
      </c>
      <c r="BY45" s="1" t="str">
        <f>IF(AW45&gt;AW$68, AW45-AW$68,"")</f>
        <v/>
      </c>
      <c r="BZ45" s="1">
        <f>COUNTIF(BN45:BY45, "&gt;0")</f>
        <v>0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  <c r="CM45" s="18">
        <f>SUM(AB45:BI45)</f>
        <v>15</v>
      </c>
    </row>
    <row r="46" spans="1:91" x14ac:dyDescent="0.15">
      <c r="A46" s="1">
        <v>98</v>
      </c>
      <c r="B46" s="3" t="s">
        <v>87</v>
      </c>
      <c r="C46" s="3" t="s">
        <v>86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>
        <v>50</v>
      </c>
      <c r="AC46" s="1"/>
      <c r="AD46" s="1"/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/>
      <c r="AP46" s="4"/>
      <c r="AQ46" s="4"/>
      <c r="AR46" s="2"/>
      <c r="AS46" s="2"/>
      <c r="AT46" s="2"/>
      <c r="AU46" s="2"/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50</v>
      </c>
      <c r="BK46" s="1">
        <v>48</v>
      </c>
      <c r="BL46" s="17">
        <v>1</v>
      </c>
      <c r="BM46" s="17" t="s">
        <v>156</v>
      </c>
      <c r="BN46" s="1" t="str">
        <f>IF(AL46&gt;AL$68, AL46-AL$68,"")</f>
        <v/>
      </c>
      <c r="BO46" s="1" t="str">
        <f>IF(AM46&gt;AM$68, AM46-AM$68,"")</f>
        <v/>
      </c>
      <c r="BP46" s="1" t="str">
        <f>IF(AN46&gt;AN$68, AN46-AN$68,"")</f>
        <v/>
      </c>
      <c r="BQ46" s="1" t="str">
        <f>IF(AO46&gt;AO$68, AO46-AO$68,"")</f>
        <v/>
      </c>
      <c r="BR46" s="1" t="str">
        <f>IF(AP46&gt;AP$68, AP46-AP$68,"")</f>
        <v/>
      </c>
      <c r="BS46" s="1" t="str">
        <f>IF(AQ46&gt;AQ$68, AQ46-AQ$68,"")</f>
        <v/>
      </c>
      <c r="BT46" s="1" t="str">
        <f>IF(AR46&gt;AR$68, AR46-AR$68,"")</f>
        <v/>
      </c>
      <c r="BU46" s="1" t="str">
        <f>IF(AS46&gt;AS$68, AS46-AS$68,"")</f>
        <v/>
      </c>
      <c r="BV46" s="1" t="str">
        <f>IF(AT46&gt;AT$68, AT46-AT$68,"")</f>
        <v/>
      </c>
      <c r="BW46" s="1" t="str">
        <f>IF(AU46&gt;AU$68, AU46-AU$68,"")</f>
        <v/>
      </c>
      <c r="BX46" s="1" t="str">
        <f>IF(AV46&gt;AV$68, AV46-AV$68,"")</f>
        <v/>
      </c>
      <c r="BY46" s="1" t="str">
        <f>IF(AW46&gt;AW$68, AW46-AW$68,"")</f>
        <v/>
      </c>
      <c r="BZ46" s="1">
        <f>COUNTIF(BN46:BY46, "&gt;0")</f>
        <v>0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 t="str">
        <f>IF($BZ46=1,BS46,"")</f>
        <v/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  <c r="CM46" s="18">
        <f>SUM(AB46:BI46)</f>
        <v>50</v>
      </c>
    </row>
    <row r="47" spans="1:91" x14ac:dyDescent="0.15">
      <c r="A47" s="1">
        <v>99</v>
      </c>
      <c r="B47" s="3" t="s">
        <v>87</v>
      </c>
      <c r="C47" s="3" t="s">
        <v>86</v>
      </c>
      <c r="D47" s="1" t="s">
        <v>13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>
        <v>200</v>
      </c>
      <c r="AC47" s="1"/>
      <c r="AD47" s="1"/>
      <c r="AE47" s="1"/>
      <c r="AF47" s="1"/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200</v>
      </c>
      <c r="BK47" s="1">
        <v>198</v>
      </c>
      <c r="BL47" s="17">
        <v>1</v>
      </c>
      <c r="BM47" s="17" t="s">
        <v>157</v>
      </c>
      <c r="BN47" s="1" t="str">
        <f>IF(AL47&gt;AL$68, AL47-AL$68,"")</f>
        <v/>
      </c>
      <c r="BO47" s="1" t="str">
        <f>IF(AM47&gt;AM$68, AM47-AM$68,"")</f>
        <v/>
      </c>
      <c r="BP47" s="1" t="str">
        <f>IF(AN47&gt;AN$68, AN47-AN$68,"")</f>
        <v/>
      </c>
      <c r="BQ47" s="1" t="str">
        <f>IF(AO47&gt;AO$68, AO47-AO$68,"")</f>
        <v/>
      </c>
      <c r="BR47" s="1" t="str">
        <f>IF(AP47&gt;AP$68, AP47-AP$68,"")</f>
        <v/>
      </c>
      <c r="BS47" s="1" t="str">
        <f>IF(AQ47&gt;AQ$68, AQ47-AQ$68,"")</f>
        <v/>
      </c>
      <c r="BT47" s="1" t="str">
        <f>IF(AR47&gt;AR$68, AR47-AR$68,"")</f>
        <v/>
      </c>
      <c r="BU47" s="1" t="str">
        <f>IF(AS47&gt;AS$68, AS47-AS$68,"")</f>
        <v/>
      </c>
      <c r="BV47" s="1" t="str">
        <f>IF(AT47&gt;AT$68, AT47-AT$68,"")</f>
        <v/>
      </c>
      <c r="BW47" s="1" t="str">
        <f>IF(AU47&gt;AU$68, AU47-AU$68,"")</f>
        <v/>
      </c>
      <c r="BX47" s="1" t="str">
        <f>IF(AV47&gt;AV$68, AV47-AV$68,"")</f>
        <v/>
      </c>
      <c r="BY47" s="1" t="str">
        <f>IF(AW47&gt;AW$68, AW47-AW$68,"")</f>
        <v/>
      </c>
      <c r="BZ47" s="1">
        <f>COUNTIF(BN47:BY47, "&gt;0")</f>
        <v>0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  <c r="CM47" s="18">
        <f>SUM(AB47:BI47)</f>
        <v>200</v>
      </c>
    </row>
    <row r="48" spans="1:91" ht="27" x14ac:dyDescent="0.15">
      <c r="A48" s="1">
        <v>72</v>
      </c>
      <c r="B48" s="3" t="s">
        <v>116</v>
      </c>
      <c r="C48" s="1" t="s">
        <v>65</v>
      </c>
      <c r="D48" s="1" t="s">
        <v>13</v>
      </c>
      <c r="E48" s="6"/>
      <c r="F48" s="6"/>
      <c r="G48" s="6"/>
      <c r="H48" s="6"/>
      <c r="I48" s="6"/>
      <c r="J48" s="6"/>
      <c r="K48" s="6"/>
      <c r="L48" s="6">
        <v>6</v>
      </c>
      <c r="M48" s="6">
        <v>6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>
        <v>10</v>
      </c>
      <c r="AR48" s="2"/>
      <c r="AS48" s="2"/>
      <c r="AT48" s="2"/>
      <c r="AU48" s="2"/>
      <c r="AV48" s="2">
        <v>10</v>
      </c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32</v>
      </c>
      <c r="BK48" s="1">
        <v>4</v>
      </c>
      <c r="BL48" s="17">
        <v>2</v>
      </c>
      <c r="BM48" s="17" t="s">
        <v>163</v>
      </c>
      <c r="BN48" s="1" t="str">
        <f>IF(AL48&gt;AL$68, AL48-AL$68,"")</f>
        <v/>
      </c>
      <c r="BO48" s="1" t="str">
        <f>IF(AM48&gt;AM$68, AM48-AM$68,"")</f>
        <v/>
      </c>
      <c r="BP48" s="1" t="str">
        <f>IF(AN48&gt;AN$68, AN48-AN$68,"")</f>
        <v/>
      </c>
      <c r="BQ48" s="1" t="str">
        <f>IF(AO48&gt;AO$68, AO48-AO$68,"")</f>
        <v/>
      </c>
      <c r="BR48" s="1" t="str">
        <f>IF(AP48&gt;AP$68, AP48-AP$68,"")</f>
        <v/>
      </c>
      <c r="BS48" s="1">
        <f>IF(AQ48&gt;AQ$68, AQ48-AQ$68,"")</f>
        <v>3</v>
      </c>
      <c r="BT48" s="1" t="str">
        <f>IF(AR48&gt;AR$68, AR48-AR$68,"")</f>
        <v/>
      </c>
      <c r="BU48" s="1" t="str">
        <f>IF(AS48&gt;AS$68, AS48-AS$68,"")</f>
        <v/>
      </c>
      <c r="BV48" s="1" t="str">
        <f>IF(AT48&gt;AT$68, AT48-AT$68,"")</f>
        <v/>
      </c>
      <c r="BW48" s="1" t="str">
        <f>IF(AU48&gt;AU$68, AU48-AU$68,"")</f>
        <v/>
      </c>
      <c r="BX48" s="1" t="str">
        <f>IF(AV48&gt;AV$68, AV48-AV$68,"")</f>
        <v/>
      </c>
      <c r="BY48" s="1" t="str">
        <f>IF(AW48&gt;AW$68, AW48-AW$68,"")</f>
        <v/>
      </c>
      <c r="BZ48" s="1">
        <f>COUNTIF(BN48:BY48, "&gt;0")</f>
        <v>1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>
        <f>IF($BZ48=1,BS48,"")</f>
        <v>3</v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  <c r="CM48" s="18">
        <f>SUM(AB48:BI48)</f>
        <v>20</v>
      </c>
    </row>
    <row r="49" spans="1:91" s="25" customFormat="1" ht="27" x14ac:dyDescent="0.15">
      <c r="A49" s="1">
        <v>27</v>
      </c>
      <c r="B49" s="1" t="s">
        <v>94</v>
      </c>
      <c r="C49" s="1" t="s">
        <v>33</v>
      </c>
      <c r="D49" s="1" t="s">
        <v>24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/>
      <c r="AC49" s="1"/>
      <c r="AD49" s="1"/>
      <c r="AE49" s="1">
        <v>5</v>
      </c>
      <c r="AF49" s="1">
        <v>5</v>
      </c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/>
      <c r="AR49" s="2"/>
      <c r="AS49" s="2"/>
      <c r="AT49" s="2"/>
      <c r="AU49" s="2"/>
      <c r="AV49" s="2"/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>SUM(E49:BI49)</f>
        <v>10</v>
      </c>
      <c r="BK49" s="1">
        <v>10</v>
      </c>
      <c r="BL49" s="17">
        <v>2</v>
      </c>
      <c r="BM49" s="17" t="s">
        <v>162</v>
      </c>
      <c r="BN49" s="1" t="str">
        <f>IF(AL49&gt;AL$68, AL49-AL$68,"")</f>
        <v/>
      </c>
      <c r="BO49" s="1" t="str">
        <f>IF(AM49&gt;AM$68, AM49-AM$68,"")</f>
        <v/>
      </c>
      <c r="BP49" s="1" t="str">
        <f>IF(AN49&gt;AN$68, AN49-AN$68,"")</f>
        <v/>
      </c>
      <c r="BQ49" s="1" t="str">
        <f>IF(AO49&gt;AO$68, AO49-AO$68,"")</f>
        <v/>
      </c>
      <c r="BR49" s="1" t="str">
        <f>IF(AP49&gt;AP$68, AP49-AP$68,"")</f>
        <v/>
      </c>
      <c r="BS49" s="1" t="str">
        <f>IF(AQ49&gt;AQ$68, AQ49-AQ$68,"")</f>
        <v/>
      </c>
      <c r="BT49" s="1" t="str">
        <f>IF(AR49&gt;AR$68, AR49-AR$68,"")</f>
        <v/>
      </c>
      <c r="BU49" s="1" t="str">
        <f>IF(AS49&gt;AS$68, AS49-AS$68,"")</f>
        <v/>
      </c>
      <c r="BV49" s="1" t="str">
        <f>IF(AT49&gt;AT$68, AT49-AT$68,"")</f>
        <v/>
      </c>
      <c r="BW49" s="1" t="str">
        <f>IF(AU49&gt;AU$68, AU49-AU$68,"")</f>
        <v/>
      </c>
      <c r="BX49" s="1" t="str">
        <f>IF(AV49&gt;AV$68, AV49-AV$68,"")</f>
        <v/>
      </c>
      <c r="BY49" s="1" t="str">
        <f>IF(AW49&gt;AW$68, AW49-AW$68,"")</f>
        <v/>
      </c>
      <c r="BZ49" s="1">
        <f>COUNTIF(BN49:BY49, "&gt;0")</f>
        <v>0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 t="str">
        <f>IF($BZ49=1,BS49,"")</f>
        <v/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  <c r="CM49" s="18">
        <f>SUM(AB49:BI49)</f>
        <v>10</v>
      </c>
    </row>
    <row r="50" spans="1:91" ht="27" x14ac:dyDescent="0.15">
      <c r="A50" s="1">
        <v>88</v>
      </c>
      <c r="B50" s="3" t="s">
        <v>102</v>
      </c>
      <c r="C50" s="3" t="s">
        <v>103</v>
      </c>
      <c r="D50" s="1" t="s">
        <v>24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/>
      <c r="AE50" s="1">
        <v>5</v>
      </c>
      <c r="AF50" s="1">
        <v>5</v>
      </c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/>
      <c r="AR50" s="2"/>
      <c r="AS50" s="2"/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10</v>
      </c>
      <c r="BK50" s="1">
        <v>10</v>
      </c>
      <c r="BL50" s="17">
        <v>2</v>
      </c>
      <c r="BM50" s="17" t="s">
        <v>162</v>
      </c>
      <c r="BN50" s="1" t="str">
        <f>IF(AL50&gt;AL$68, AL50-AL$68,"")</f>
        <v/>
      </c>
      <c r="BO50" s="1" t="str">
        <f>IF(AM50&gt;AM$68, AM50-AM$68,"")</f>
        <v/>
      </c>
      <c r="BP50" s="1" t="str">
        <f>IF(AN50&gt;AN$68, AN50-AN$68,"")</f>
        <v/>
      </c>
      <c r="BQ50" s="1" t="str">
        <f>IF(AO50&gt;AO$68, AO50-AO$68,"")</f>
        <v/>
      </c>
      <c r="BR50" s="1" t="str">
        <f>IF(AP50&gt;AP$68, AP50-AP$68,"")</f>
        <v/>
      </c>
      <c r="BS50" s="1" t="str">
        <f>IF(AQ50&gt;AQ$68, AQ50-AQ$68,"")</f>
        <v/>
      </c>
      <c r="BT50" s="1" t="str">
        <f>IF(AR50&gt;AR$68, AR50-AR$68,"")</f>
        <v/>
      </c>
      <c r="BU50" s="1" t="str">
        <f>IF(AS50&gt;AS$68, AS50-AS$68,"")</f>
        <v/>
      </c>
      <c r="BV50" s="1" t="str">
        <f>IF(AT50&gt;AT$68, AT50-AT$68,"")</f>
        <v/>
      </c>
      <c r="BW50" s="1" t="str">
        <f>IF(AU50&gt;AU$68, AU50-AU$68,"")</f>
        <v/>
      </c>
      <c r="BX50" s="1" t="str">
        <f>IF(AV50&gt;AV$68, AV50-AV$68,"")</f>
        <v/>
      </c>
      <c r="BY50" s="1" t="str">
        <f>IF(AW50&gt;AW$68, AW50-AW$68,"")</f>
        <v/>
      </c>
      <c r="BZ50" s="1">
        <f>COUNTIF(BN50:BY50, "&gt;0")</f>
        <v>0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  <c r="CM50" s="18">
        <f>SUM(AB50:BI50)</f>
        <v>10</v>
      </c>
    </row>
    <row r="51" spans="1:91" ht="27" x14ac:dyDescent="0.15">
      <c r="A51" s="1">
        <v>21</v>
      </c>
      <c r="B51" s="1" t="s">
        <v>40</v>
      </c>
      <c r="C51" s="1" t="s">
        <v>33</v>
      </c>
      <c r="D51" s="1" t="s">
        <v>26</v>
      </c>
      <c r="E51" s="6"/>
      <c r="F51" s="6"/>
      <c r="G51" s="6">
        <v>6</v>
      </c>
      <c r="H51" s="6">
        <v>6</v>
      </c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>
        <v>10</v>
      </c>
      <c r="AO51" s="4"/>
      <c r="AP51" s="4"/>
      <c r="AQ51" s="4"/>
      <c r="AR51" s="2"/>
      <c r="AS51" s="2"/>
      <c r="AT51" s="2"/>
      <c r="AU51" s="2"/>
      <c r="AV51" s="2"/>
      <c r="AW51" s="2">
        <v>10</v>
      </c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32</v>
      </c>
      <c r="BK51" s="1">
        <v>12</v>
      </c>
      <c r="BL51" s="17">
        <v>2</v>
      </c>
      <c r="BM51" s="17" t="s">
        <v>166</v>
      </c>
      <c r="BN51" s="1" t="str">
        <f>IF(AL51&gt;AL$68, AL51-AL$68,"")</f>
        <v/>
      </c>
      <c r="BO51" s="1" t="str">
        <f>IF(AM51&gt;AM$68, AM51-AM$68,"")</f>
        <v/>
      </c>
      <c r="BP51" s="1">
        <f>IF(AN51&gt;AN$68, AN51-AN$68,"")</f>
        <v>5</v>
      </c>
      <c r="BQ51" s="1" t="str">
        <f>IF(AO51&gt;AO$68, AO51-AO$68,"")</f>
        <v/>
      </c>
      <c r="BR51" s="1" t="str">
        <f>IF(AP51&gt;AP$68, AP51-AP$68,"")</f>
        <v/>
      </c>
      <c r="BS51" s="1" t="str">
        <f>IF(AQ51&gt;AQ$68, AQ51-AQ$68,"")</f>
        <v/>
      </c>
      <c r="BT51" s="1" t="str">
        <f>IF(AR51&gt;AR$68, AR51-AR$68,"")</f>
        <v/>
      </c>
      <c r="BU51" s="1" t="str">
        <f>IF(AS51&gt;AS$68, AS51-AS$68,"")</f>
        <v/>
      </c>
      <c r="BV51" s="1" t="str">
        <f>IF(AT51&gt;AT$68, AT51-AT$68,"")</f>
        <v/>
      </c>
      <c r="BW51" s="1" t="str">
        <f>IF(AU51&gt;AU$68, AU51-AU$68,"")</f>
        <v/>
      </c>
      <c r="BX51" s="1" t="str">
        <f>IF(AV51&gt;AV$68, AV51-AV$68,"")</f>
        <v/>
      </c>
      <c r="BY51" s="1">
        <f>IF(AW51&gt;AW$68, AW51-AW$68,"")</f>
        <v>7</v>
      </c>
      <c r="BZ51" s="1">
        <f>COUNTIF(BN51:BY51, "&gt;0")</f>
        <v>2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 t="str">
        <f>IF($BZ51=1,BT51,"")</f>
        <v/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  <c r="CM51" s="18">
        <f>SUM(AB51:BI51)</f>
        <v>20</v>
      </c>
    </row>
    <row r="52" spans="1:91" ht="40.5" x14ac:dyDescent="0.15">
      <c r="A52" s="1">
        <v>58</v>
      </c>
      <c r="B52" s="1" t="s">
        <v>68</v>
      </c>
      <c r="C52" s="1" t="s">
        <v>65</v>
      </c>
      <c r="D52" s="1" t="s">
        <v>13</v>
      </c>
      <c r="E52" s="6"/>
      <c r="F52" s="6"/>
      <c r="G52" s="6">
        <v>10</v>
      </c>
      <c r="H52" s="6"/>
      <c r="I52" s="6"/>
      <c r="J52" s="6"/>
      <c r="K52" s="6"/>
      <c r="L52" s="6"/>
      <c r="M52" s="6"/>
      <c r="N52" s="6">
        <v>10</v>
      </c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4"/>
      <c r="AM52" s="4"/>
      <c r="AN52" s="4"/>
      <c r="AO52" s="4"/>
      <c r="AP52" s="4"/>
      <c r="AQ52" s="4">
        <v>10</v>
      </c>
      <c r="AR52" s="2"/>
      <c r="AS52" s="2"/>
      <c r="AT52" s="2"/>
      <c r="AU52" s="2">
        <v>10</v>
      </c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40</v>
      </c>
      <c r="BK52" s="1">
        <v>11</v>
      </c>
      <c r="BL52" s="17">
        <v>3</v>
      </c>
      <c r="BM52" s="17" t="s">
        <v>168</v>
      </c>
      <c r="BN52" s="1" t="str">
        <f>IF(AL52&gt;AL$68, AL52-AL$68,"")</f>
        <v/>
      </c>
      <c r="BO52" s="1" t="str">
        <f>IF(AM52&gt;AM$68, AM52-AM$68,"")</f>
        <v/>
      </c>
      <c r="BP52" s="1" t="str">
        <f>IF(AN52&gt;AN$68, AN52-AN$68,"")</f>
        <v/>
      </c>
      <c r="BQ52" s="1" t="str">
        <f>IF(AO52&gt;AO$68, AO52-AO$68,"")</f>
        <v/>
      </c>
      <c r="BR52" s="1" t="str">
        <f>IF(AP52&gt;AP$68, AP52-AP$68,"")</f>
        <v/>
      </c>
      <c r="BS52" s="1">
        <f>IF(AQ52&gt;AQ$68, AQ52-AQ$68,"")</f>
        <v>3</v>
      </c>
      <c r="BT52" s="1" t="str">
        <f>IF(AR52&gt;AR$68, AR52-AR$68,"")</f>
        <v/>
      </c>
      <c r="BU52" s="1" t="str">
        <f>IF(AS52&gt;AS$68, AS52-AS$68,"")</f>
        <v/>
      </c>
      <c r="BV52" s="1" t="str">
        <f>IF(AT52&gt;AT$68, AT52-AT$68,"")</f>
        <v/>
      </c>
      <c r="BW52" s="1" t="str">
        <f>IF(AU52&gt;AU$68, AU52-AU$68,"")</f>
        <v/>
      </c>
      <c r="BX52" s="1" t="str">
        <f>IF(AV52&gt;AV$68, AV52-AV$68,"")</f>
        <v/>
      </c>
      <c r="BY52" s="1" t="str">
        <f>IF(AW52&gt;AW$68, AW52-AW$68,"")</f>
        <v/>
      </c>
      <c r="BZ52" s="1">
        <f>COUNTIF(BN52:BY52, "&gt;0")</f>
        <v>1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>
        <f>IF($BZ52=1,BS52,"")</f>
        <v>3</v>
      </c>
      <c r="CG52" s="1" t="str">
        <f>IF($BZ52=1,BT52,"")</f>
        <v/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  <c r="CM52" s="18">
        <f>SUM(AB52:BI52)</f>
        <v>20</v>
      </c>
    </row>
    <row r="53" spans="1:91" ht="40.5" x14ac:dyDescent="0.15">
      <c r="A53" s="1">
        <v>28</v>
      </c>
      <c r="B53" s="1" t="s">
        <v>94</v>
      </c>
      <c r="C53" s="1" t="s">
        <v>33</v>
      </c>
      <c r="D53" s="1" t="s">
        <v>1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>
        <v>5</v>
      </c>
      <c r="AF53" s="1">
        <v>5</v>
      </c>
      <c r="AG53" s="1">
        <v>5</v>
      </c>
      <c r="AH53" s="1"/>
      <c r="AI53" s="1"/>
      <c r="AJ53" s="1"/>
      <c r="AK53" s="1"/>
      <c r="AL53" s="4"/>
      <c r="AM53" s="4"/>
      <c r="AN53" s="4"/>
      <c r="AO53" s="4"/>
      <c r="AP53" s="4"/>
      <c r="AQ53" s="4"/>
      <c r="AR53" s="2"/>
      <c r="AS53" s="2"/>
      <c r="AT53" s="2"/>
      <c r="AU53" s="2"/>
      <c r="AV53" s="2"/>
      <c r="AW53" s="2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15</v>
      </c>
      <c r="BK53" s="1">
        <v>15</v>
      </c>
      <c r="BL53" s="17">
        <v>3</v>
      </c>
      <c r="BM53" s="17" t="s">
        <v>164</v>
      </c>
      <c r="BN53" s="1" t="str">
        <f>IF(AL53&gt;AL$68, AL53-AL$68,"")</f>
        <v/>
      </c>
      <c r="BO53" s="1" t="str">
        <f>IF(AM53&gt;AM$68, AM53-AM$68,"")</f>
        <v/>
      </c>
      <c r="BP53" s="1" t="str">
        <f>IF(AN53&gt;AN$68, AN53-AN$68,"")</f>
        <v/>
      </c>
      <c r="BQ53" s="1" t="str">
        <f>IF(AO53&gt;AO$68, AO53-AO$68,"")</f>
        <v/>
      </c>
      <c r="BR53" s="1" t="str">
        <f>IF(AP53&gt;AP$68, AP53-AP$68,"")</f>
        <v/>
      </c>
      <c r="BS53" s="1" t="str">
        <f>IF(AQ53&gt;AQ$68, AQ53-AQ$68,"")</f>
        <v/>
      </c>
      <c r="BT53" s="1" t="str">
        <f>IF(AR53&gt;AR$68, AR53-AR$68,"")</f>
        <v/>
      </c>
      <c r="BU53" s="1" t="str">
        <f>IF(AS53&gt;AS$68, AS53-AS$68,"")</f>
        <v/>
      </c>
      <c r="BV53" s="1" t="str">
        <f>IF(AT53&gt;AT$68, AT53-AT$68,"")</f>
        <v/>
      </c>
      <c r="BW53" s="1" t="str">
        <f>IF(AU53&gt;AU$68, AU53-AU$68,"")</f>
        <v/>
      </c>
      <c r="BX53" s="1" t="str">
        <f>IF(AV53&gt;AV$68, AV53-AV$68,"")</f>
        <v/>
      </c>
      <c r="BY53" s="1" t="str">
        <f>IF(AW53&gt;AW$68, AW53-AW$68,"")</f>
        <v/>
      </c>
      <c r="BZ53" s="1">
        <f>COUNTIF(BN53:BY53, "&gt;0")</f>
        <v>0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 t="str">
        <f>IF($BZ53=1,BS53,"")</f>
        <v/>
      </c>
      <c r="CG53" s="1" t="str">
        <f>IF($BZ53=1,BT53,"")</f>
        <v/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  <c r="CM53" s="18">
        <f>SUM(AB53:BI53)</f>
        <v>15</v>
      </c>
    </row>
    <row r="54" spans="1:91" ht="40.5" x14ac:dyDescent="0.15">
      <c r="A54" s="1">
        <v>89</v>
      </c>
      <c r="B54" s="3" t="s">
        <v>102</v>
      </c>
      <c r="C54" s="3" t="s">
        <v>103</v>
      </c>
      <c r="D54" s="1" t="s">
        <v>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>
        <v>5</v>
      </c>
      <c r="AD54" s="1"/>
      <c r="AE54" s="1">
        <v>5</v>
      </c>
      <c r="AF54" s="1">
        <v>5</v>
      </c>
      <c r="AG54" s="1"/>
      <c r="AH54" s="1"/>
      <c r="AI54" s="1"/>
      <c r="AJ54" s="1"/>
      <c r="AK54" s="1"/>
      <c r="AL54" s="4"/>
      <c r="AM54" s="4"/>
      <c r="AN54" s="4"/>
      <c r="AO54" s="4"/>
      <c r="AP54" s="4"/>
      <c r="AQ54" s="4"/>
      <c r="AR54" s="2"/>
      <c r="AS54" s="2"/>
      <c r="AT54" s="2"/>
      <c r="AU54" s="2"/>
      <c r="AV54" s="2"/>
      <c r="AW54" s="2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15</v>
      </c>
      <c r="BK54" s="1">
        <v>15</v>
      </c>
      <c r="BL54" s="17">
        <v>3</v>
      </c>
      <c r="BM54" s="17" t="s">
        <v>165</v>
      </c>
      <c r="BN54" s="1" t="str">
        <f>IF(AL54&gt;AL$68, AL54-AL$68,"")</f>
        <v/>
      </c>
      <c r="BO54" s="1" t="str">
        <f>IF(AM54&gt;AM$68, AM54-AM$68,"")</f>
        <v/>
      </c>
      <c r="BP54" s="1" t="str">
        <f>IF(AN54&gt;AN$68, AN54-AN$68,"")</f>
        <v/>
      </c>
      <c r="BQ54" s="1" t="str">
        <f>IF(AO54&gt;AO$68, AO54-AO$68,"")</f>
        <v/>
      </c>
      <c r="BR54" s="1" t="str">
        <f>IF(AP54&gt;AP$68, AP54-AP$68,"")</f>
        <v/>
      </c>
      <c r="BS54" s="1" t="str">
        <f>IF(AQ54&gt;AQ$68, AQ54-AQ$68,"")</f>
        <v/>
      </c>
      <c r="BT54" s="1" t="str">
        <f>IF(AR54&gt;AR$68, AR54-AR$68,"")</f>
        <v/>
      </c>
      <c r="BU54" s="1" t="str">
        <f>IF(AS54&gt;AS$68, AS54-AS$68,"")</f>
        <v/>
      </c>
      <c r="BV54" s="1" t="str">
        <f>IF(AT54&gt;AT$68, AT54-AT$68,"")</f>
        <v/>
      </c>
      <c r="BW54" s="1" t="str">
        <f>IF(AU54&gt;AU$68, AU54-AU$68,"")</f>
        <v/>
      </c>
      <c r="BX54" s="1" t="str">
        <f>IF(AV54&gt;AV$68, AV54-AV$68,"")</f>
        <v/>
      </c>
      <c r="BY54" s="1" t="str">
        <f>IF(AW54&gt;AW$68, AW54-AW$68,"")</f>
        <v/>
      </c>
      <c r="BZ54" s="1">
        <f>COUNTIF(BN54:BY54, "&gt;0")</f>
        <v>0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 t="str">
        <f>IF($BZ54=1,BQ54,"")</f>
        <v/>
      </c>
      <c r="CE54" s="1" t="str">
        <f>IF($BZ54=1,BR54,"")</f>
        <v/>
      </c>
      <c r="CF54" s="1" t="str">
        <f>IF($BZ54=1,BS54,"")</f>
        <v/>
      </c>
      <c r="CG54" s="1" t="str">
        <f>IF($BZ54=1,BT54,"")</f>
        <v/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  <c r="CM54" s="18">
        <f>SUM(AB54:BI54)</f>
        <v>15</v>
      </c>
    </row>
    <row r="55" spans="1:91" ht="40.5" x14ac:dyDescent="0.15">
      <c r="A55" s="1">
        <v>77</v>
      </c>
      <c r="B55" s="3" t="s">
        <v>130</v>
      </c>
      <c r="C55" s="3" t="s">
        <v>78</v>
      </c>
      <c r="D55" s="1" t="s">
        <v>13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4"/>
      <c r="AM55" s="4"/>
      <c r="AN55" s="4"/>
      <c r="AO55" s="4">
        <v>20</v>
      </c>
      <c r="AP55" s="4"/>
      <c r="AQ55" s="4"/>
      <c r="AR55" s="2">
        <v>20</v>
      </c>
      <c r="AS55" s="2">
        <v>20</v>
      </c>
      <c r="AT55" s="2"/>
      <c r="AU55" s="2"/>
      <c r="AV55" s="2"/>
      <c r="AW55" s="2">
        <v>10</v>
      </c>
      <c r="AX55" s="1"/>
      <c r="AY55" s="1"/>
      <c r="AZ55" s="1"/>
      <c r="BA55" s="1"/>
      <c r="BB55" s="1">
        <v>20</v>
      </c>
      <c r="BC55" s="1"/>
      <c r="BD55" s="1"/>
      <c r="BE55" s="1"/>
      <c r="BF55" s="1"/>
      <c r="BG55" s="1"/>
      <c r="BH55" s="1"/>
      <c r="BI55" s="1"/>
      <c r="BJ55" s="1">
        <f>SUM(E55:BI55)</f>
        <v>90</v>
      </c>
      <c r="BK55" s="1">
        <v>20</v>
      </c>
      <c r="BL55" s="17">
        <v>3</v>
      </c>
      <c r="BM55" s="17" t="s">
        <v>167</v>
      </c>
      <c r="BN55" s="1" t="str">
        <f>IF(AL55&gt;AL$68, AL55-AL$68,"")</f>
        <v/>
      </c>
      <c r="BO55" s="1" t="str">
        <f>IF(AM55&gt;AM$68, AM55-AM$68,"")</f>
        <v/>
      </c>
      <c r="BP55" s="1" t="str">
        <f>IF(AN55&gt;AN$68, AN55-AN$68,"")</f>
        <v/>
      </c>
      <c r="BQ55" s="1">
        <f>IF(AO55&gt;AO$68, AO55-AO$68,"")</f>
        <v>9</v>
      </c>
      <c r="BR55" s="1" t="str">
        <f>IF(AP55&gt;AP$68, AP55-AP$68,"")</f>
        <v/>
      </c>
      <c r="BS55" s="1" t="str">
        <f>IF(AQ55&gt;AQ$68, AQ55-AQ$68,"")</f>
        <v/>
      </c>
      <c r="BT55" s="1">
        <f>IF(AR55&gt;AR$68, AR55-AR$68,"")</f>
        <v>4</v>
      </c>
      <c r="BU55" s="1" t="str">
        <f>IF(AS55&gt;AS$68, AS55-AS$68,"")</f>
        <v/>
      </c>
      <c r="BV55" s="1" t="str">
        <f>IF(AT55&gt;AT$68, AT55-AT$68,"")</f>
        <v/>
      </c>
      <c r="BW55" s="1" t="str">
        <f>IF(AU55&gt;AU$68, AU55-AU$68,"")</f>
        <v/>
      </c>
      <c r="BX55" s="1" t="str">
        <f>IF(AV55&gt;AV$68, AV55-AV$68,"")</f>
        <v/>
      </c>
      <c r="BY55" s="1">
        <f>IF(AW55&gt;AW$68, AW55-AW$68,"")</f>
        <v>7</v>
      </c>
      <c r="BZ55" s="1">
        <f>COUNTIF(BN55:BY55, "&gt;0")</f>
        <v>3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  <c r="CM55" s="18">
        <f>SUM(AB55:BI55)</f>
        <v>90</v>
      </c>
    </row>
    <row r="56" spans="1:91" ht="40.5" x14ac:dyDescent="0.15">
      <c r="A56" s="1">
        <v>3</v>
      </c>
      <c r="B56" s="1" t="s">
        <v>11</v>
      </c>
      <c r="C56" s="1" t="s">
        <v>2</v>
      </c>
      <c r="D56" s="1" t="s">
        <v>12</v>
      </c>
      <c r="E56" s="6">
        <v>15</v>
      </c>
      <c r="F56" s="6"/>
      <c r="G56" s="6">
        <v>15</v>
      </c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4"/>
      <c r="AM56" s="4">
        <v>15</v>
      </c>
      <c r="AN56" s="4"/>
      <c r="AO56" s="4"/>
      <c r="AP56" s="4"/>
      <c r="AQ56" s="4"/>
      <c r="AR56" s="2"/>
      <c r="AS56" s="2"/>
      <c r="AT56" s="2"/>
      <c r="AU56" s="2"/>
      <c r="AV56" s="2"/>
      <c r="AW56" s="2">
        <v>15</v>
      </c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60</v>
      </c>
      <c r="BK56" s="1">
        <v>23</v>
      </c>
      <c r="BL56" s="17">
        <v>3</v>
      </c>
      <c r="BM56" s="17" t="s">
        <v>173</v>
      </c>
      <c r="BN56" s="1" t="str">
        <f>IF(AL56&gt;AL$68, AL56-AL$68,"")</f>
        <v/>
      </c>
      <c r="BO56" s="1">
        <f>IF(AM56&gt;AM$68, AM56-AM$68,"")</f>
        <v>3</v>
      </c>
      <c r="BP56" s="1" t="str">
        <f>IF(AN56&gt;AN$68, AN56-AN$68,"")</f>
        <v/>
      </c>
      <c r="BQ56" s="1" t="str">
        <f>IF(AO56&gt;AO$68, AO56-AO$68,"")</f>
        <v/>
      </c>
      <c r="BR56" s="1" t="str">
        <f>IF(AP56&gt;AP$68, AP56-AP$68,"")</f>
        <v/>
      </c>
      <c r="BS56" s="1" t="str">
        <f>IF(AQ56&gt;AQ$68, AQ56-AQ$68,"")</f>
        <v/>
      </c>
      <c r="BT56" s="1" t="str">
        <f>IF(AR56&gt;AR$68, AR56-AR$68,"")</f>
        <v/>
      </c>
      <c r="BU56" s="1" t="str">
        <f>IF(AS56&gt;AS$68, AS56-AS$68,"")</f>
        <v/>
      </c>
      <c r="BV56" s="1" t="str">
        <f>IF(AT56&gt;AT$68, AT56-AT$68,"")</f>
        <v/>
      </c>
      <c r="BW56" s="1" t="str">
        <f>IF(AU56&gt;AU$68, AU56-AU$68,"")</f>
        <v/>
      </c>
      <c r="BX56" s="1" t="str">
        <f>IF(AV56&gt;AV$68, AV56-AV$68,"")</f>
        <v/>
      </c>
      <c r="BY56" s="1">
        <f>IF(AW56&gt;AW$68, AW56-AW$68,"")</f>
        <v>12</v>
      </c>
      <c r="BZ56" s="1">
        <f>COUNTIF(BN56:BY56, "&gt;0")</f>
        <v>2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 t="str">
        <f>IF($BZ56=1,BY56,"")</f>
        <v/>
      </c>
      <c r="CM56" s="18">
        <f>SUM(AB56:BI56)</f>
        <v>30</v>
      </c>
    </row>
    <row r="57" spans="1:91" ht="40.5" x14ac:dyDescent="0.15">
      <c r="A57" s="1">
        <v>54</v>
      </c>
      <c r="B57" s="1" t="s">
        <v>64</v>
      </c>
      <c r="C57" s="1" t="s">
        <v>65</v>
      </c>
      <c r="D57" s="1" t="s">
        <v>1</v>
      </c>
      <c r="E57" s="6"/>
      <c r="F57" s="6">
        <v>15</v>
      </c>
      <c r="G57" s="6"/>
      <c r="H57" s="6">
        <v>15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4"/>
      <c r="AM57" s="4"/>
      <c r="AN57" s="4"/>
      <c r="AO57" s="4"/>
      <c r="AP57" s="4"/>
      <c r="AQ57" s="4">
        <v>15</v>
      </c>
      <c r="AR57" s="2"/>
      <c r="AS57" s="2"/>
      <c r="AT57" s="2"/>
      <c r="AU57" s="2"/>
      <c r="AV57" s="2">
        <v>15</v>
      </c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60</v>
      </c>
      <c r="BK57" s="1">
        <v>23</v>
      </c>
      <c r="BL57" s="17">
        <v>3</v>
      </c>
      <c r="BM57" s="17" t="s">
        <v>174</v>
      </c>
      <c r="BN57" s="1" t="str">
        <f>IF(AL57&gt;AL$68, AL57-AL$68,"")</f>
        <v/>
      </c>
      <c r="BO57" s="1" t="str">
        <f>IF(AM57&gt;AM$68, AM57-AM$68,"")</f>
        <v/>
      </c>
      <c r="BP57" s="1" t="str">
        <f>IF(AN57&gt;AN$68, AN57-AN$68,"")</f>
        <v/>
      </c>
      <c r="BQ57" s="1" t="str">
        <f>IF(AO57&gt;AO$68, AO57-AO$68,"")</f>
        <v/>
      </c>
      <c r="BR57" s="1" t="str">
        <f>IF(AP57&gt;AP$68, AP57-AP$68,"")</f>
        <v/>
      </c>
      <c r="BS57" s="1">
        <f>IF(AQ57&gt;AQ$68, AQ57-AQ$68,"")</f>
        <v>8</v>
      </c>
      <c r="BT57" s="1" t="str">
        <f>IF(AR57&gt;AR$68, AR57-AR$68,"")</f>
        <v/>
      </c>
      <c r="BU57" s="1" t="str">
        <f>IF(AS57&gt;AS$68, AS57-AS$68,"")</f>
        <v/>
      </c>
      <c r="BV57" s="1" t="str">
        <f>IF(AT57&gt;AT$68, AT57-AT$68,"")</f>
        <v/>
      </c>
      <c r="BW57" s="1" t="str">
        <f>IF(AU57&gt;AU$68, AU57-AU$68,"")</f>
        <v/>
      </c>
      <c r="BX57" s="1">
        <f>IF(AV57&gt;AV$68, AV57-AV$68,"")</f>
        <v>5</v>
      </c>
      <c r="BY57" s="1" t="str">
        <f>IF(AW57&gt;AW$68, AW57-AW$68,"")</f>
        <v/>
      </c>
      <c r="BZ57" s="1">
        <f>COUNTIF(BN57:BY57, "&gt;0")</f>
        <v>2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 t="str">
        <f>IF($BZ57=1,BS57,"")</f>
        <v/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  <c r="CM57" s="18">
        <f>SUM(AB57:BI57)</f>
        <v>30</v>
      </c>
    </row>
    <row r="58" spans="1:91" s="25" customFormat="1" ht="40.5" x14ac:dyDescent="0.15">
      <c r="A58" s="1">
        <v>95</v>
      </c>
      <c r="B58" s="3" t="s">
        <v>108</v>
      </c>
      <c r="C58" s="3" t="s">
        <v>86</v>
      </c>
      <c r="D58" s="1" t="s">
        <v>1</v>
      </c>
      <c r="E58" s="6"/>
      <c r="F58" s="6"/>
      <c r="G58" s="6"/>
      <c r="H58" s="6"/>
      <c r="I58" s="6"/>
      <c r="J58" s="6"/>
      <c r="K58" s="6"/>
      <c r="L58" s="6">
        <v>15</v>
      </c>
      <c r="M58" s="6"/>
      <c r="N58" s="6"/>
      <c r="O58" s="6">
        <v>15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>
        <v>15</v>
      </c>
      <c r="AW58" s="2">
        <v>15</v>
      </c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60</v>
      </c>
      <c r="BK58" s="1">
        <v>25</v>
      </c>
      <c r="BL58" s="17">
        <v>3</v>
      </c>
      <c r="BM58" s="17" t="s">
        <v>169</v>
      </c>
      <c r="BN58" s="1" t="str">
        <f>IF(AL58&gt;AL$68, AL58-AL$68,"")</f>
        <v/>
      </c>
      <c r="BO58" s="1" t="str">
        <f>IF(AM58&gt;AM$68, AM58-AM$68,"")</f>
        <v/>
      </c>
      <c r="BP58" s="1" t="str">
        <f>IF(AN58&gt;AN$68, AN58-AN$68,"")</f>
        <v/>
      </c>
      <c r="BQ58" s="1" t="str">
        <f>IF(AO58&gt;AO$68, AO58-AO$68,"")</f>
        <v/>
      </c>
      <c r="BR58" s="1" t="str">
        <f>IF(AP58&gt;AP$68, AP58-AP$68,"")</f>
        <v/>
      </c>
      <c r="BS58" s="1" t="str">
        <f>IF(AQ58&gt;AQ$68, AQ58-AQ$68,"")</f>
        <v/>
      </c>
      <c r="BT58" s="1" t="str">
        <f>IF(AR58&gt;AR$68, AR58-AR$68,"")</f>
        <v/>
      </c>
      <c r="BU58" s="1" t="str">
        <f>IF(AS58&gt;AS$68, AS58-AS$68,"")</f>
        <v/>
      </c>
      <c r="BV58" s="1" t="str">
        <f>IF(AT58&gt;AT$68, AT58-AT$68,"")</f>
        <v/>
      </c>
      <c r="BW58" s="1" t="str">
        <f>IF(AU58&gt;AU$68, AU58-AU$68,"")</f>
        <v/>
      </c>
      <c r="BX58" s="1">
        <f>IF(AV58&gt;AV$68, AV58-AV$68,"")</f>
        <v>5</v>
      </c>
      <c r="BY58" s="1">
        <f>IF(AW58&gt;AW$68, AW58-AW$68,"")</f>
        <v>12</v>
      </c>
      <c r="BZ58" s="1">
        <f>COUNTIF(BN58:BY58, "&gt;0")</f>
        <v>2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 t="str">
        <f>IF($BZ58=1,BS58,"")</f>
        <v/>
      </c>
      <c r="CG58" s="1" t="str">
        <f>IF($BZ58=1,BT58,"")</f>
        <v/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  <c r="CM58" s="18">
        <f>SUM(AB58:BI58)</f>
        <v>30</v>
      </c>
    </row>
    <row r="59" spans="1:91" ht="40.5" x14ac:dyDescent="0.15">
      <c r="A59" s="1">
        <v>78</v>
      </c>
      <c r="B59" s="3" t="s">
        <v>81</v>
      </c>
      <c r="C59" s="3" t="s">
        <v>78</v>
      </c>
      <c r="D59" s="1" t="s">
        <v>1</v>
      </c>
      <c r="E59" s="6"/>
      <c r="F59" s="6"/>
      <c r="G59" s="6">
        <v>15</v>
      </c>
      <c r="H59" s="6">
        <v>15</v>
      </c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/>
      <c r="AM59" s="4"/>
      <c r="AN59" s="4"/>
      <c r="AO59" s="4"/>
      <c r="AP59" s="4"/>
      <c r="AQ59" s="4"/>
      <c r="AR59" s="2"/>
      <c r="AS59" s="2"/>
      <c r="AT59" s="2"/>
      <c r="AU59" s="2"/>
      <c r="AV59" s="2">
        <v>15</v>
      </c>
      <c r="AW59" s="2">
        <v>15</v>
      </c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60</v>
      </c>
      <c r="BK59" s="1">
        <v>25</v>
      </c>
      <c r="BL59" s="17">
        <v>3</v>
      </c>
      <c r="BM59" s="17" t="s">
        <v>175</v>
      </c>
      <c r="BN59" s="1" t="str">
        <f>IF(AL59&gt;AL$68, AL59-AL$68,"")</f>
        <v/>
      </c>
      <c r="BO59" s="1" t="str">
        <f>IF(AM59&gt;AM$68, AM59-AM$68,"")</f>
        <v/>
      </c>
      <c r="BP59" s="1" t="str">
        <f>IF(AN59&gt;AN$68, AN59-AN$68,"")</f>
        <v/>
      </c>
      <c r="BQ59" s="1" t="str">
        <f>IF(AO59&gt;AO$68, AO59-AO$68,"")</f>
        <v/>
      </c>
      <c r="BR59" s="1" t="str">
        <f>IF(AP59&gt;AP$68, AP59-AP$68,"")</f>
        <v/>
      </c>
      <c r="BS59" s="1" t="str">
        <f>IF(AQ59&gt;AQ$68, AQ59-AQ$68,"")</f>
        <v/>
      </c>
      <c r="BT59" s="1" t="str">
        <f>IF(AR59&gt;AR$68, AR59-AR$68,"")</f>
        <v/>
      </c>
      <c r="BU59" s="1" t="str">
        <f>IF(AS59&gt;AS$68, AS59-AS$68,"")</f>
        <v/>
      </c>
      <c r="BV59" s="1" t="str">
        <f>IF(AT59&gt;AT$68, AT59-AT$68,"")</f>
        <v/>
      </c>
      <c r="BW59" s="1" t="str">
        <f>IF(AU59&gt;AU$68, AU59-AU$68,"")</f>
        <v/>
      </c>
      <c r="BX59" s="1">
        <f>IF(AV59&gt;AV$68, AV59-AV$68,"")</f>
        <v>5</v>
      </c>
      <c r="BY59" s="1">
        <f>IF(AW59&gt;AW$68, AW59-AW$68,"")</f>
        <v>12</v>
      </c>
      <c r="BZ59" s="1">
        <f>COUNTIF(BN59:BY59, "&gt;0")</f>
        <v>2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 t="str">
        <f>IF($BZ59=1,BS59,"")</f>
        <v/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  <c r="CM59" s="18">
        <f>SUM(AB59:BI59)</f>
        <v>30</v>
      </c>
    </row>
    <row r="60" spans="1:91" ht="40.5" x14ac:dyDescent="0.15">
      <c r="A60" s="1">
        <v>14</v>
      </c>
      <c r="B60" s="1" t="s">
        <v>32</v>
      </c>
      <c r="C60" s="1" t="s">
        <v>33</v>
      </c>
      <c r="D60" s="1" t="s">
        <v>34</v>
      </c>
      <c r="E60" s="6"/>
      <c r="F60" s="6"/>
      <c r="G60" s="6">
        <v>15</v>
      </c>
      <c r="H60" s="6">
        <v>15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/>
      <c r="AN60" s="4">
        <v>15</v>
      </c>
      <c r="AO60" s="4"/>
      <c r="AP60" s="4"/>
      <c r="AQ60" s="4"/>
      <c r="AR60" s="2"/>
      <c r="AS60" s="2"/>
      <c r="AT60" s="2"/>
      <c r="AU60" s="2"/>
      <c r="AV60" s="2"/>
      <c r="AW60" s="2">
        <v>15</v>
      </c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60</v>
      </c>
      <c r="BK60" s="1">
        <v>30</v>
      </c>
      <c r="BL60" s="17">
        <v>3</v>
      </c>
      <c r="BM60" s="17" t="s">
        <v>176</v>
      </c>
      <c r="BN60" s="1" t="str">
        <f>IF(AL60&gt;AL$68, AL60-AL$68,"")</f>
        <v/>
      </c>
      <c r="BO60" s="1" t="str">
        <f>IF(AM60&gt;AM$68, AM60-AM$68,"")</f>
        <v/>
      </c>
      <c r="BP60" s="1">
        <f>IF(AN60&gt;AN$68, AN60-AN$68,"")</f>
        <v>10</v>
      </c>
      <c r="BQ60" s="1" t="str">
        <f>IF(AO60&gt;AO$68, AO60-AO$68,"")</f>
        <v/>
      </c>
      <c r="BR60" s="1" t="str">
        <f>IF(AP60&gt;AP$68, AP60-AP$68,"")</f>
        <v/>
      </c>
      <c r="BS60" s="1" t="str">
        <f>IF(AQ60&gt;AQ$68, AQ60-AQ$68,"")</f>
        <v/>
      </c>
      <c r="BT60" s="1" t="str">
        <f>IF(AR60&gt;AR$68, AR60-AR$68,"")</f>
        <v/>
      </c>
      <c r="BU60" s="1" t="str">
        <f>IF(AS60&gt;AS$68, AS60-AS$68,"")</f>
        <v/>
      </c>
      <c r="BV60" s="1" t="str">
        <f>IF(AT60&gt;AT$68, AT60-AT$68,"")</f>
        <v/>
      </c>
      <c r="BW60" s="1" t="str">
        <f>IF(AU60&gt;AU$68, AU60-AU$68,"")</f>
        <v/>
      </c>
      <c r="BX60" s="1" t="str">
        <f>IF(AV60&gt;AV$68, AV60-AV$68,"")</f>
        <v/>
      </c>
      <c r="BY60" s="1">
        <f>IF(AW60&gt;AW$68, AW60-AW$68,"")</f>
        <v>12</v>
      </c>
      <c r="BZ60" s="1">
        <f>COUNTIF(BN60:BY60, "&gt;0")</f>
        <v>2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  <c r="CM60" s="18">
        <f>SUM(AB60:BI60)</f>
        <v>30</v>
      </c>
    </row>
    <row r="61" spans="1:91" ht="40.5" x14ac:dyDescent="0.15">
      <c r="A61" s="1">
        <v>65</v>
      </c>
      <c r="B61" s="3" t="s">
        <v>72</v>
      </c>
      <c r="C61" s="1" t="s">
        <v>65</v>
      </c>
      <c r="D61" s="1" t="s">
        <v>13</v>
      </c>
      <c r="E61" s="6"/>
      <c r="F61" s="6"/>
      <c r="G61" s="6">
        <v>10</v>
      </c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>
        <v>25</v>
      </c>
      <c r="AL61" s="4"/>
      <c r="AM61" s="4"/>
      <c r="AN61" s="4"/>
      <c r="AO61" s="4"/>
      <c r="AP61" s="4"/>
      <c r="AQ61" s="4">
        <v>10</v>
      </c>
      <c r="AR61" s="2"/>
      <c r="AS61" s="2"/>
      <c r="AT61" s="2"/>
      <c r="AU61" s="2">
        <v>10</v>
      </c>
      <c r="AV61" s="2"/>
      <c r="AW61" s="2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55</v>
      </c>
      <c r="BK61" s="1">
        <v>31</v>
      </c>
      <c r="BL61" s="17">
        <v>3</v>
      </c>
      <c r="BM61" s="17" t="s">
        <v>170</v>
      </c>
      <c r="BN61" s="1" t="str">
        <f>IF(AL61&gt;AL$68, AL61-AL$68,"")</f>
        <v/>
      </c>
      <c r="BO61" s="1" t="str">
        <f>IF(AM61&gt;AM$68, AM61-AM$68,"")</f>
        <v/>
      </c>
      <c r="BP61" s="1" t="str">
        <f>IF(AN61&gt;AN$68, AN61-AN$68,"")</f>
        <v/>
      </c>
      <c r="BQ61" s="1" t="str">
        <f>IF(AO61&gt;AO$68, AO61-AO$68,"")</f>
        <v/>
      </c>
      <c r="BR61" s="1" t="str">
        <f>IF(AP61&gt;AP$68, AP61-AP$68,"")</f>
        <v/>
      </c>
      <c r="BS61" s="1">
        <f>IF(AQ61&gt;AQ$68, AQ61-AQ$68,"")</f>
        <v>3</v>
      </c>
      <c r="BT61" s="1" t="str">
        <f>IF(AR61&gt;AR$68, AR61-AR$68,"")</f>
        <v/>
      </c>
      <c r="BU61" s="1" t="str">
        <f>IF(AS61&gt;AS$68, AS61-AS$68,"")</f>
        <v/>
      </c>
      <c r="BV61" s="1" t="str">
        <f>IF(AT61&gt;AT$68, AT61-AT$68,"")</f>
        <v/>
      </c>
      <c r="BW61" s="1" t="str">
        <f>IF(AU61&gt;AU$68, AU61-AU$68,"")</f>
        <v/>
      </c>
      <c r="BX61" s="1" t="str">
        <f>IF(AV61&gt;AV$68, AV61-AV$68,"")</f>
        <v/>
      </c>
      <c r="BY61" s="1" t="str">
        <f>IF(AW61&gt;AW$68, AW61-AW$68,"")</f>
        <v/>
      </c>
      <c r="BZ61" s="1">
        <f>COUNTIF(BN61:BY61, "&gt;0")</f>
        <v>1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>
        <f>IF($BZ61=1,BS61,"")</f>
        <v>3</v>
      </c>
      <c r="CG61" s="1" t="str">
        <f>IF($BZ61=1,BT61,"")</f>
        <v/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  <c r="CM61" s="18">
        <f>SUM(AB61:BI61)</f>
        <v>45</v>
      </c>
    </row>
    <row r="62" spans="1:91" ht="40.5" x14ac:dyDescent="0.15">
      <c r="A62" s="19">
        <v>93</v>
      </c>
      <c r="B62" s="27" t="s">
        <v>105</v>
      </c>
      <c r="C62" s="27" t="s">
        <v>103</v>
      </c>
      <c r="D62" s="19" t="s">
        <v>1</v>
      </c>
      <c r="E62" s="20"/>
      <c r="F62" s="20">
        <v>20</v>
      </c>
      <c r="G62" s="20"/>
      <c r="H62" s="20"/>
      <c r="I62" s="20"/>
      <c r="J62" s="20"/>
      <c r="K62" s="20">
        <v>20</v>
      </c>
      <c r="L62" s="20"/>
      <c r="M62" s="20"/>
      <c r="N62" s="20">
        <v>20</v>
      </c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21"/>
      <c r="AM62" s="21"/>
      <c r="AN62" s="21"/>
      <c r="AO62" s="21"/>
      <c r="AP62" s="21"/>
      <c r="AQ62" s="21"/>
      <c r="AR62" s="22"/>
      <c r="AS62" s="22"/>
      <c r="AT62" s="22"/>
      <c r="AU62" s="22"/>
      <c r="AV62" s="22"/>
      <c r="AW62" s="22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>
        <f>SUM(E62:BI62)</f>
        <v>60</v>
      </c>
      <c r="BK62" s="19">
        <v>43</v>
      </c>
      <c r="BL62" s="23">
        <v>3</v>
      </c>
      <c r="BM62" s="23" t="s">
        <v>171</v>
      </c>
      <c r="BN62" s="19" t="str">
        <f>IF(AL62&gt;AL$68, AL62-AL$68,"")</f>
        <v/>
      </c>
      <c r="BO62" s="19" t="str">
        <f>IF(AM62&gt;AM$68, AM62-AM$68,"")</f>
        <v/>
      </c>
      <c r="BP62" s="19" t="str">
        <f>IF(AN62&gt;AN$68, AN62-AN$68,"")</f>
        <v/>
      </c>
      <c r="BQ62" s="19" t="str">
        <f>IF(AO62&gt;AO$68, AO62-AO$68,"")</f>
        <v/>
      </c>
      <c r="BR62" s="19" t="str">
        <f>IF(AP62&gt;AP$68, AP62-AP$68,"")</f>
        <v/>
      </c>
      <c r="BS62" s="19" t="str">
        <f>IF(AQ62&gt;AQ$68, AQ62-AQ$68,"")</f>
        <v/>
      </c>
      <c r="BT62" s="19" t="str">
        <f>IF(AR62&gt;AR$68, AR62-AR$68,"")</f>
        <v/>
      </c>
      <c r="BU62" s="19" t="str">
        <f>IF(AS62&gt;AS$68, AS62-AS$68,"")</f>
        <v/>
      </c>
      <c r="BV62" s="19" t="str">
        <f>IF(AT62&gt;AT$68, AT62-AT$68,"")</f>
        <v/>
      </c>
      <c r="BW62" s="19" t="str">
        <f>IF(AU62&gt;AU$68, AU62-AU$68,"")</f>
        <v/>
      </c>
      <c r="BX62" s="19" t="str">
        <f>IF(AV62&gt;AV$68, AV62-AV$68,"")</f>
        <v/>
      </c>
      <c r="BY62" s="19" t="str">
        <f>IF(AW62&gt;AW$68, AW62-AW$68,"")</f>
        <v/>
      </c>
      <c r="BZ62" s="19">
        <f>COUNTIF(BN62:BY62, "&gt;0")</f>
        <v>0</v>
      </c>
      <c r="CA62" s="19" t="str">
        <f>IF($BZ62=1,BN62,"")</f>
        <v/>
      </c>
      <c r="CB62" s="19" t="str">
        <f>IF($BZ62=1,BO62,"")</f>
        <v/>
      </c>
      <c r="CC62" s="19" t="str">
        <f>IF($BZ62=1,BP62,"")</f>
        <v/>
      </c>
      <c r="CD62" s="19" t="str">
        <f>IF($BZ62=1,BQ62,"")</f>
        <v/>
      </c>
      <c r="CE62" s="19" t="str">
        <f>IF($BZ62=1,BR62,"")</f>
        <v/>
      </c>
      <c r="CF62" s="19" t="str">
        <f>IF($BZ62=1,BS62,"")</f>
        <v/>
      </c>
      <c r="CG62" s="19" t="str">
        <f>IF($BZ62=1,BT62,"")</f>
        <v/>
      </c>
      <c r="CH62" s="19" t="str">
        <f>IF($BZ62=1,BU62,"")</f>
        <v/>
      </c>
      <c r="CI62" s="19" t="str">
        <f>IF($BZ62=1,BV62,"")</f>
        <v/>
      </c>
      <c r="CJ62" s="19" t="str">
        <f>IF($BZ62=1,BW62,"")</f>
        <v/>
      </c>
      <c r="CK62" s="19" t="str">
        <f>IF($BZ62=1,BX62,"")</f>
        <v/>
      </c>
      <c r="CL62" s="19" t="str">
        <f>IF($BZ62=1,BY62,"")</f>
        <v/>
      </c>
      <c r="CM62" s="24">
        <f>SUM(AB62:BI62)</f>
        <v>0</v>
      </c>
    </row>
    <row r="63" spans="1:91" ht="54" x14ac:dyDescent="0.15">
      <c r="A63" s="1">
        <v>68</v>
      </c>
      <c r="B63" s="3" t="s">
        <v>131</v>
      </c>
      <c r="C63" s="1" t="s">
        <v>65</v>
      </c>
      <c r="D63" s="1" t="s">
        <v>13</v>
      </c>
      <c r="E63" s="6"/>
      <c r="F63" s="6">
        <v>6</v>
      </c>
      <c r="G63" s="6"/>
      <c r="H63" s="6"/>
      <c r="I63" s="6"/>
      <c r="J63" s="6"/>
      <c r="K63" s="6"/>
      <c r="L63" s="6"/>
      <c r="M63" s="6"/>
      <c r="N63" s="6">
        <v>6</v>
      </c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/>
      <c r="AM63" s="4"/>
      <c r="AN63" s="4"/>
      <c r="AO63" s="4"/>
      <c r="AP63" s="4"/>
      <c r="AQ63" s="4">
        <v>10</v>
      </c>
      <c r="AR63" s="2"/>
      <c r="AS63" s="2"/>
      <c r="AT63" s="2"/>
      <c r="AU63" s="2"/>
      <c r="AV63" s="2"/>
      <c r="AW63" s="2">
        <v>10</v>
      </c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32</v>
      </c>
      <c r="BK63" s="1">
        <v>12</v>
      </c>
      <c r="BL63" s="17">
        <v>4</v>
      </c>
      <c r="BM63" s="17" t="s">
        <v>172</v>
      </c>
      <c r="BN63" s="1" t="str">
        <f>IF(AL63&gt;AL$68, AL63-AL$68,"")</f>
        <v/>
      </c>
      <c r="BO63" s="1" t="str">
        <f>IF(AM63&gt;AM$68, AM63-AM$68,"")</f>
        <v/>
      </c>
      <c r="BP63" s="1" t="str">
        <f>IF(AN63&gt;AN$68, AN63-AN$68,"")</f>
        <v/>
      </c>
      <c r="BQ63" s="1" t="str">
        <f>IF(AO63&gt;AO$68, AO63-AO$68,"")</f>
        <v/>
      </c>
      <c r="BR63" s="1" t="str">
        <f>IF(AP63&gt;AP$68, AP63-AP$68,"")</f>
        <v/>
      </c>
      <c r="BS63" s="1">
        <f>IF(AQ63&gt;AQ$68, AQ63-AQ$68,"")</f>
        <v>3</v>
      </c>
      <c r="BT63" s="1" t="str">
        <f>IF(AR63&gt;AR$68, AR63-AR$68,"")</f>
        <v/>
      </c>
      <c r="BU63" s="1" t="str">
        <f>IF(AS63&gt;AS$68, AS63-AS$68,"")</f>
        <v/>
      </c>
      <c r="BV63" s="1" t="str">
        <f>IF(AT63&gt;AT$68, AT63-AT$68,"")</f>
        <v/>
      </c>
      <c r="BW63" s="1" t="str">
        <f>IF(AU63&gt;AU$68, AU63-AU$68,"")</f>
        <v/>
      </c>
      <c r="BX63" s="1" t="str">
        <f>IF(AV63&gt;AV$68, AV63-AV$68,"")</f>
        <v/>
      </c>
      <c r="BY63" s="1">
        <f>IF(AW63&gt;AW$68, AW63-AW$68,"")</f>
        <v>7</v>
      </c>
      <c r="BZ63" s="1">
        <f>COUNTIF(BN63:BY63, "&gt;0")</f>
        <v>2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  <c r="CM63" s="18">
        <f>SUM(AB63:BI63)</f>
        <v>20</v>
      </c>
    </row>
    <row r="64" spans="1:91" ht="54" x14ac:dyDescent="0.15">
      <c r="A64" s="1">
        <v>85</v>
      </c>
      <c r="B64" s="3" t="s">
        <v>84</v>
      </c>
      <c r="C64" s="3" t="s">
        <v>78</v>
      </c>
      <c r="D64" s="1" t="s">
        <v>41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/>
      <c r="AO64" s="4"/>
      <c r="AP64" s="4"/>
      <c r="AQ64" s="4"/>
      <c r="AR64" s="2"/>
      <c r="AS64" s="2"/>
      <c r="AT64" s="2"/>
      <c r="AU64" s="2"/>
      <c r="AV64" s="2"/>
      <c r="AW64" s="2"/>
      <c r="AX64" s="1"/>
      <c r="AY64" s="1"/>
      <c r="AZ64" s="1"/>
      <c r="BA64" s="1"/>
      <c r="BB64" s="1"/>
      <c r="BC64" s="1"/>
      <c r="BD64" s="1"/>
      <c r="BE64" s="1"/>
      <c r="BF64" s="1">
        <v>50</v>
      </c>
      <c r="BG64" s="1">
        <v>50</v>
      </c>
      <c r="BH64" s="1">
        <v>50</v>
      </c>
      <c r="BI64" s="1">
        <v>50</v>
      </c>
      <c r="BJ64" s="1">
        <f>SUM(E64:BI64)</f>
        <v>200</v>
      </c>
      <c r="BK64" s="1">
        <v>195</v>
      </c>
      <c r="BL64" s="17">
        <v>4</v>
      </c>
      <c r="BM64" s="17" t="s">
        <v>177</v>
      </c>
      <c r="BN64" s="1" t="str">
        <f>IF(AL64&gt;AL$68, AL64-AL$68,"")</f>
        <v/>
      </c>
      <c r="BO64" s="1" t="str">
        <f>IF(AM64&gt;AM$68, AM64-AM$68,"")</f>
        <v/>
      </c>
      <c r="BP64" s="1" t="str">
        <f>IF(AN64&gt;AN$68, AN64-AN$68,"")</f>
        <v/>
      </c>
      <c r="BQ64" s="1" t="str">
        <f>IF(AO64&gt;AO$68, AO64-AO$68,"")</f>
        <v/>
      </c>
      <c r="BR64" s="1" t="str">
        <f>IF(AP64&gt;AP$68, AP64-AP$68,"")</f>
        <v/>
      </c>
      <c r="BS64" s="1" t="str">
        <f>IF(AQ64&gt;AQ$68, AQ64-AQ$68,"")</f>
        <v/>
      </c>
      <c r="BT64" s="1" t="str">
        <f>IF(AR64&gt;AR$68, AR64-AR$68,"")</f>
        <v/>
      </c>
      <c r="BU64" s="1" t="str">
        <f>IF(AS64&gt;AS$68, AS64-AS$68,"")</f>
        <v/>
      </c>
      <c r="BV64" s="1" t="str">
        <f>IF(AT64&gt;AT$68, AT64-AT$68,"")</f>
        <v/>
      </c>
      <c r="BW64" s="1" t="str">
        <f>IF(AU64&gt;AU$68, AU64-AU$68,"")</f>
        <v/>
      </c>
      <c r="BX64" s="1" t="str">
        <f>IF(AV64&gt;AV$68, AV64-AV$68,"")</f>
        <v/>
      </c>
      <c r="BY64" s="1" t="str">
        <f>IF(AW64&gt;AW$68, AW64-AW$68,"")</f>
        <v/>
      </c>
      <c r="BZ64" s="1">
        <f>COUNTIF(BN64:BY64, "&gt;0")</f>
        <v>0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 t="str">
        <f>IF($BZ64=1,BQ64,"")</f>
        <v/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  <c r="CM64" s="18">
        <f>SUM(AB64:BI64)</f>
        <v>200</v>
      </c>
    </row>
    <row r="65" spans="1:91" ht="54" x14ac:dyDescent="0.15">
      <c r="A65" s="1">
        <v>23</v>
      </c>
      <c r="B65" s="1" t="s">
        <v>128</v>
      </c>
      <c r="C65" s="1" t="s">
        <v>33</v>
      </c>
      <c r="D65" s="1" t="s">
        <v>41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/>
      <c r="AO65" s="4"/>
      <c r="AP65" s="4"/>
      <c r="AQ65" s="4"/>
      <c r="AR65" s="2"/>
      <c r="AS65" s="2"/>
      <c r="AT65" s="2"/>
      <c r="AU65" s="2"/>
      <c r="AV65" s="2"/>
      <c r="AW65" s="2"/>
      <c r="AX65" s="1"/>
      <c r="AY65" s="1"/>
      <c r="AZ65" s="1"/>
      <c r="BA65" s="1"/>
      <c r="BB65" s="1"/>
      <c r="BC65" s="1"/>
      <c r="BD65" s="1">
        <v>50</v>
      </c>
      <c r="BE65" s="1">
        <v>50</v>
      </c>
      <c r="BF65" s="1"/>
      <c r="BG65" s="1"/>
      <c r="BH65" s="1">
        <v>50</v>
      </c>
      <c r="BI65" s="1">
        <v>50</v>
      </c>
      <c r="BJ65" s="1">
        <f>SUM(E65:BI65)</f>
        <v>200</v>
      </c>
      <c r="BK65" s="1">
        <v>195</v>
      </c>
      <c r="BL65" s="17">
        <v>4</v>
      </c>
      <c r="BM65" s="17" t="s">
        <v>178</v>
      </c>
      <c r="BN65" s="1" t="str">
        <f>IF(AL65&gt;AL$68, AL65-AL$68,"")</f>
        <v/>
      </c>
      <c r="BO65" s="1" t="str">
        <f>IF(AM65&gt;AM$68, AM65-AM$68,"")</f>
        <v/>
      </c>
      <c r="BP65" s="1" t="str">
        <f>IF(AN65&gt;AN$68, AN65-AN$68,"")</f>
        <v/>
      </c>
      <c r="BQ65" s="1" t="str">
        <f>IF(AO65&gt;AO$68, AO65-AO$68,"")</f>
        <v/>
      </c>
      <c r="BR65" s="1" t="str">
        <f>IF(AP65&gt;AP$68, AP65-AP$68,"")</f>
        <v/>
      </c>
      <c r="BS65" s="1" t="str">
        <f>IF(AQ65&gt;AQ$68, AQ65-AQ$68,"")</f>
        <v/>
      </c>
      <c r="BT65" s="1" t="str">
        <f>IF(AR65&gt;AR$68, AR65-AR$68,"")</f>
        <v/>
      </c>
      <c r="BU65" s="1" t="str">
        <f>IF(AS65&gt;AS$68, AS65-AS$68,"")</f>
        <v/>
      </c>
      <c r="BV65" s="1" t="str">
        <f>IF(AT65&gt;AT$68, AT65-AT$68,"")</f>
        <v/>
      </c>
      <c r="BW65" s="1" t="str">
        <f>IF(AU65&gt;AU$68, AU65-AU$68,"")</f>
        <v/>
      </c>
      <c r="BX65" s="1" t="str">
        <f>IF(AV65&gt;AV$68, AV65-AV$68,"")</f>
        <v/>
      </c>
      <c r="BY65" s="1" t="str">
        <f>IF(AW65&gt;AW$68, AW65-AW$68,"")</f>
        <v/>
      </c>
      <c r="BZ65" s="1">
        <f>COUNTIF(BN65:BY65, "&gt;0")</f>
        <v>0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 t="str">
        <f>IF($BZ65=1,BY65,"")</f>
        <v/>
      </c>
      <c r="CM65" s="18">
        <f>SUM(AB65:BI65)</f>
        <v>200</v>
      </c>
    </row>
    <row r="66" spans="1:91" ht="54" x14ac:dyDescent="0.15">
      <c r="A66" s="1">
        <v>102</v>
      </c>
      <c r="B66" s="3" t="s">
        <v>125</v>
      </c>
      <c r="C66" s="3" t="s">
        <v>86</v>
      </c>
      <c r="D66" s="1" t="s">
        <v>41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4"/>
      <c r="AM66" s="4"/>
      <c r="AN66" s="4"/>
      <c r="AO66" s="4"/>
      <c r="AP66" s="4"/>
      <c r="AQ66" s="4"/>
      <c r="AR66" s="2"/>
      <c r="AS66" s="2"/>
      <c r="AT66" s="2"/>
      <c r="AU66" s="2"/>
      <c r="AV66" s="2"/>
      <c r="AW66" s="2"/>
      <c r="AX66" s="1"/>
      <c r="AY66" s="1"/>
      <c r="AZ66" s="1"/>
      <c r="BA66" s="1"/>
      <c r="BB66" s="1"/>
      <c r="BC66" s="1"/>
      <c r="BD66" s="1">
        <v>50</v>
      </c>
      <c r="BE66" s="1">
        <v>50</v>
      </c>
      <c r="BF66" s="1"/>
      <c r="BG66" s="1"/>
      <c r="BH66" s="1">
        <v>50</v>
      </c>
      <c r="BI66" s="1">
        <v>50</v>
      </c>
      <c r="BJ66" s="1">
        <f>SUM(E66:BI66)</f>
        <v>200</v>
      </c>
      <c r="BK66" s="1">
        <v>195</v>
      </c>
      <c r="BL66" s="17">
        <v>4</v>
      </c>
      <c r="BM66" s="17" t="s">
        <v>178</v>
      </c>
      <c r="BN66" s="1" t="str">
        <f>IF(AL66&gt;AL$68, AL66-AL$68,"")</f>
        <v/>
      </c>
      <c r="BO66" s="1" t="str">
        <f>IF(AM66&gt;AM$68, AM66-AM$68,"")</f>
        <v/>
      </c>
      <c r="BP66" s="1" t="str">
        <f>IF(AN66&gt;AN$68, AN66-AN$68,"")</f>
        <v/>
      </c>
      <c r="BQ66" s="1" t="str">
        <f>IF(AO66&gt;AO$68, AO66-AO$68,"")</f>
        <v/>
      </c>
      <c r="BR66" s="1" t="str">
        <f>IF(AP66&gt;AP$68, AP66-AP$68,"")</f>
        <v/>
      </c>
      <c r="BS66" s="1" t="str">
        <f>IF(AQ66&gt;AQ$68, AQ66-AQ$68,"")</f>
        <v/>
      </c>
      <c r="BT66" s="1" t="str">
        <f>IF(AR66&gt;AR$68, AR66-AR$68,"")</f>
        <v/>
      </c>
      <c r="BU66" s="1" t="str">
        <f>IF(AS66&gt;AS$68, AS66-AS$68,"")</f>
        <v/>
      </c>
      <c r="BV66" s="1" t="str">
        <f>IF(AT66&gt;AT$68, AT66-AT$68,"")</f>
        <v/>
      </c>
      <c r="BW66" s="1" t="str">
        <f>IF(AU66&gt;AU$68, AU66-AU$68,"")</f>
        <v/>
      </c>
      <c r="BX66" s="1" t="str">
        <f>IF(AV66&gt;AV$68, AV66-AV$68,"")</f>
        <v/>
      </c>
      <c r="BY66" s="1" t="str">
        <f>IF(AW66&gt;AW$68, AW66-AW$68,"")</f>
        <v/>
      </c>
      <c r="BZ66" s="1">
        <f>COUNTIF(BN66:BY66, "&gt;0")</f>
        <v>0</v>
      </c>
      <c r="CA66" s="1" t="str">
        <f>IF($BZ66=1,BN66,"")</f>
        <v/>
      </c>
      <c r="CB66" s="1" t="str">
        <f>IF($BZ66=1,BO66,"")</f>
        <v/>
      </c>
      <c r="CC66" s="1" t="str">
        <f>IF($BZ66=1,BP66,"")</f>
        <v/>
      </c>
      <c r="CD66" s="1" t="str">
        <f>IF($BZ66=1,BQ66,"")</f>
        <v/>
      </c>
      <c r="CE66" s="1" t="str">
        <f>IF($BZ66=1,BR66,"")</f>
        <v/>
      </c>
      <c r="CF66" s="1" t="str">
        <f>IF($BZ66=1,BS66,"")</f>
        <v/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  <c r="CM66" s="18">
        <f>SUM(AB66:BI66)</f>
        <v>200</v>
      </c>
    </row>
    <row r="67" spans="1:91" x14ac:dyDescent="0.15">
      <c r="A67" s="1"/>
      <c r="B67" s="1" t="s">
        <v>89</v>
      </c>
      <c r="C67" s="1"/>
      <c r="D67" s="1"/>
      <c r="E67" s="6">
        <f>SUM(E2:E66)</f>
        <v>47</v>
      </c>
      <c r="F67" s="6">
        <f>SUM(F2:F66)</f>
        <v>79</v>
      </c>
      <c r="G67" s="6">
        <f>SUM(G2:G66)</f>
        <v>81</v>
      </c>
      <c r="H67" s="6">
        <f>SUM(H2:H66)</f>
        <v>86</v>
      </c>
      <c r="I67" s="6">
        <f>SUM(I2:I66)</f>
        <v>30</v>
      </c>
      <c r="J67" s="6">
        <f>SUM(J2:J66)</f>
        <v>10</v>
      </c>
      <c r="K67" s="6">
        <f>SUM(K2:K66)</f>
        <v>33</v>
      </c>
      <c r="L67" s="6">
        <f>SUM(L2:L66)</f>
        <v>45</v>
      </c>
      <c r="M67" s="6">
        <f>SUM(M2:M66)</f>
        <v>12</v>
      </c>
      <c r="N67" s="6">
        <f>SUM(N2:N66)</f>
        <v>42</v>
      </c>
      <c r="O67" s="6">
        <f>SUM(O2:O66)</f>
        <v>37</v>
      </c>
      <c r="P67" s="6">
        <f>SUM(P2:P66)</f>
        <v>15</v>
      </c>
      <c r="Q67" s="6">
        <f>SUM(Q2:Q66)</f>
        <v>0</v>
      </c>
      <c r="R67" s="6">
        <f>SUM(R2:R66)</f>
        <v>0</v>
      </c>
      <c r="S67" s="6">
        <f>SUM(S2:S66)</f>
        <v>8</v>
      </c>
      <c r="T67" s="6">
        <f>SUM(T2:T66)</f>
        <v>0</v>
      </c>
      <c r="U67" s="6">
        <f>SUM(U2:U66)</f>
        <v>20</v>
      </c>
      <c r="V67" s="6">
        <f>SUM(V2:V66)</f>
        <v>15</v>
      </c>
      <c r="W67" s="6">
        <f>SUM(W2:W66)</f>
        <v>10</v>
      </c>
      <c r="X67" s="6">
        <f>SUM(X2:X66)</f>
        <v>5</v>
      </c>
      <c r="Y67" s="6">
        <f>SUM(Y2:Y66)</f>
        <v>0</v>
      </c>
      <c r="Z67" s="6">
        <f>SUM(Z2:Z66)</f>
        <v>0</v>
      </c>
      <c r="AA67" s="6">
        <f>SUM(AA2:AA66)</f>
        <v>0</v>
      </c>
      <c r="AB67" s="1">
        <f>SUM(AB2:AB66)</f>
        <v>275</v>
      </c>
      <c r="AC67" s="1">
        <f>SUM(AC2:AC66)</f>
        <v>10</v>
      </c>
      <c r="AD67" s="1">
        <f>SUM(AD2:AD66)</f>
        <v>15</v>
      </c>
      <c r="AE67" s="1">
        <f>SUM(AE2:AE66)</f>
        <v>25</v>
      </c>
      <c r="AF67" s="1">
        <f>SUM(AF2:AF66)</f>
        <v>25</v>
      </c>
      <c r="AG67" s="1">
        <f>SUM(AG2:AG66)</f>
        <v>5</v>
      </c>
      <c r="AH67" s="1">
        <f>SUM(AH2:AH66)</f>
        <v>0</v>
      </c>
      <c r="AI67" s="1">
        <f>SUM(AI2:AI66)</f>
        <v>0</v>
      </c>
      <c r="AJ67" s="1">
        <f>SUM(AJ2:AJ66)</f>
        <v>20</v>
      </c>
      <c r="AK67" s="1">
        <f>SUM(AK2:AK66)</f>
        <v>50</v>
      </c>
      <c r="AL67" s="4">
        <f>SUM(AL2:AL66)</f>
        <v>65</v>
      </c>
      <c r="AM67" s="4">
        <f>SUM(AM2:AM66)</f>
        <v>60</v>
      </c>
      <c r="AN67" s="4">
        <f>SUM(AN2:AN66)</f>
        <v>30</v>
      </c>
      <c r="AO67" s="4">
        <f>SUM(AO2:AO66)</f>
        <v>40</v>
      </c>
      <c r="AP67" s="4">
        <f>SUM(AP2:AP66)</f>
        <v>8</v>
      </c>
      <c r="AQ67" s="4">
        <f>SUM(AQ2:AQ66)</f>
        <v>65</v>
      </c>
      <c r="AR67" s="2">
        <f>SUM(AR2:AR66)</f>
        <v>53</v>
      </c>
      <c r="AS67" s="2">
        <f>SUM(AS2:AS66)</f>
        <v>65</v>
      </c>
      <c r="AT67" s="2">
        <f>SUM(AT2:AT66)</f>
        <v>10</v>
      </c>
      <c r="AU67" s="2">
        <f>SUM(AU2:AU66)</f>
        <v>65</v>
      </c>
      <c r="AV67" s="2">
        <f>SUM(AV2:AV66)</f>
        <v>90</v>
      </c>
      <c r="AW67" s="2">
        <f>SUM(AW2:AW66)</f>
        <v>160</v>
      </c>
      <c r="AX67" s="1">
        <f>SUM(AX2:AX66)</f>
        <v>60</v>
      </c>
      <c r="AY67" s="1">
        <f>SUM(AY2:AY66)</f>
        <v>60</v>
      </c>
      <c r="AZ67" s="1">
        <f>SUM(AZ2:AZ66)</f>
        <v>60</v>
      </c>
      <c r="BA67" s="1">
        <f>SUM(BA2:BA66)</f>
        <v>60</v>
      </c>
      <c r="BB67" s="1">
        <f>SUM(BB2:BB66)</f>
        <v>85</v>
      </c>
      <c r="BC67" s="1">
        <f>SUM(BC2:BC66)</f>
        <v>55</v>
      </c>
      <c r="BD67" s="1">
        <f>SUM(BD2:BD66)</f>
        <v>100</v>
      </c>
      <c r="BE67" s="1">
        <f>SUM(BE2:BE66)</f>
        <v>100</v>
      </c>
      <c r="BF67" s="1">
        <f>SUM(BF2:BF66)</f>
        <v>50</v>
      </c>
      <c r="BG67" s="1">
        <f>SUM(BG2:BG66)</f>
        <v>50</v>
      </c>
      <c r="BH67" s="1">
        <f>SUM(BH2:BH66)</f>
        <v>150</v>
      </c>
      <c r="BI67" s="1">
        <f>SUM(BI2:BI66)</f>
        <v>150</v>
      </c>
      <c r="BJ67" s="1"/>
      <c r="BK67" s="1"/>
      <c r="BL67" s="17"/>
      <c r="BM67" s="17"/>
      <c r="BN67" s="1">
        <f>MIN(BN2:BN66)</f>
        <v>0</v>
      </c>
      <c r="BO67" s="1">
        <f>MIN(BO2:BO66)</f>
        <v>3</v>
      </c>
      <c r="BP67" s="1">
        <f>MIN(BP2:BP66)</f>
        <v>5</v>
      </c>
      <c r="BQ67" s="1">
        <f>MIN(BQ2:BQ66)</f>
        <v>9</v>
      </c>
      <c r="BR67" s="1">
        <f>MIN(BR2:BR66)</f>
        <v>0</v>
      </c>
      <c r="BS67" s="1">
        <f>MIN(BS2:BS66)</f>
        <v>3</v>
      </c>
      <c r="BT67" s="1">
        <f>MIN(BT2:BT66)</f>
        <v>4</v>
      </c>
      <c r="BU67" s="1">
        <f>MIN(BU2:BU66)</f>
        <v>0</v>
      </c>
      <c r="BV67" s="1">
        <f>MIN(BV2:BV66)</f>
        <v>0</v>
      </c>
      <c r="BW67" s="1">
        <f>MIN(BW2:BW66)</f>
        <v>0</v>
      </c>
      <c r="BX67" s="1">
        <f>MIN(BX2:BX66)</f>
        <v>5</v>
      </c>
      <c r="BY67" s="1">
        <f>MIN(BY2:BY66)</f>
        <v>2</v>
      </c>
      <c r="BZ67" s="1"/>
      <c r="CA67" s="1">
        <f>MIN(CA2:CA66)</f>
        <v>0</v>
      </c>
      <c r="CB67" s="1">
        <f>MIN(CB2:CB66)</f>
        <v>0</v>
      </c>
      <c r="CC67" s="1">
        <f>MIN(CC2:CC66)</f>
        <v>0</v>
      </c>
      <c r="CD67" s="1">
        <f>MIN(CD2:CD66)</f>
        <v>0</v>
      </c>
      <c r="CE67" s="1">
        <f>MIN(CE2:CE66)</f>
        <v>0</v>
      </c>
      <c r="CF67" s="1">
        <f>MIN(CF2:CF66)</f>
        <v>3</v>
      </c>
      <c r="CG67" s="1">
        <f>MIN(CG2:CG66)</f>
        <v>0</v>
      </c>
      <c r="CH67" s="1">
        <f>MIN(CH2:CH66)</f>
        <v>0</v>
      </c>
      <c r="CI67" s="1">
        <f>MIN(CI2:CI66)</f>
        <v>0</v>
      </c>
      <c r="CJ67" s="1">
        <f>MIN(CJ2:CJ66)</f>
        <v>0</v>
      </c>
      <c r="CK67" s="1">
        <f>MIN(CK2:CK66)</f>
        <v>0</v>
      </c>
      <c r="CL67" s="1">
        <f>MIN(CL2:CL66)</f>
        <v>2</v>
      </c>
      <c r="CM67" s="18">
        <f>COUNTIF(CM2:CM66,"=0")</f>
        <v>8</v>
      </c>
    </row>
    <row r="68" spans="1:91" x14ac:dyDescent="0.15">
      <c r="A68" s="1"/>
      <c r="B68" s="3" t="s">
        <v>117</v>
      </c>
      <c r="C68" s="1"/>
      <c r="D68" s="1"/>
      <c r="E68" s="1">
        <v>17</v>
      </c>
      <c r="F68" s="1">
        <v>5</v>
      </c>
      <c r="G68" s="1">
        <v>7</v>
      </c>
      <c r="H68" s="1">
        <v>16</v>
      </c>
      <c r="I68" s="1">
        <v>7</v>
      </c>
      <c r="J68" s="1">
        <v>29</v>
      </c>
      <c r="K68" s="1">
        <v>7</v>
      </c>
      <c r="L68" s="1">
        <v>22</v>
      </c>
      <c r="M68" s="1">
        <v>5</v>
      </c>
      <c r="N68" s="1">
        <v>5</v>
      </c>
      <c r="O68" s="1">
        <v>7</v>
      </c>
      <c r="P68" s="1">
        <v>53</v>
      </c>
      <c r="Q68" s="1">
        <v>54</v>
      </c>
      <c r="R68" s="1">
        <v>66</v>
      </c>
      <c r="S68" s="1">
        <v>46</v>
      </c>
      <c r="T68" s="1">
        <v>50</v>
      </c>
      <c r="U68" s="1">
        <v>8</v>
      </c>
      <c r="V68" s="1">
        <v>18</v>
      </c>
      <c r="W68" s="1">
        <v>38</v>
      </c>
      <c r="X68" s="1">
        <v>4</v>
      </c>
      <c r="Y68" s="1">
        <v>115</v>
      </c>
      <c r="Z68" s="1">
        <v>139</v>
      </c>
      <c r="AA68" s="1">
        <v>38</v>
      </c>
      <c r="AB68" s="1">
        <v>2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33</v>
      </c>
      <c r="AI68" s="1">
        <v>43</v>
      </c>
      <c r="AJ68" s="1">
        <v>0</v>
      </c>
      <c r="AK68" s="1">
        <v>0</v>
      </c>
      <c r="AL68" s="14">
        <v>21</v>
      </c>
      <c r="AM68" s="14">
        <v>12</v>
      </c>
      <c r="AN68" s="14">
        <v>5</v>
      </c>
      <c r="AO68" s="14">
        <v>11</v>
      </c>
      <c r="AP68" s="14">
        <v>10</v>
      </c>
      <c r="AQ68" s="14">
        <v>7</v>
      </c>
      <c r="AR68" s="14">
        <v>16</v>
      </c>
      <c r="AS68" s="14">
        <v>23</v>
      </c>
      <c r="AT68" s="14">
        <v>22</v>
      </c>
      <c r="AU68" s="14">
        <v>30</v>
      </c>
      <c r="AV68" s="14">
        <v>10</v>
      </c>
      <c r="AW68" s="14">
        <v>3</v>
      </c>
      <c r="AX68" s="1">
        <v>48</v>
      </c>
      <c r="AY68" s="1">
        <v>48</v>
      </c>
      <c r="AZ68" s="1">
        <v>81</v>
      </c>
      <c r="BA68" s="1">
        <v>90</v>
      </c>
      <c r="BB68" s="1">
        <v>48</v>
      </c>
      <c r="BC68" s="1">
        <v>44</v>
      </c>
      <c r="BD68" s="1">
        <v>5</v>
      </c>
      <c r="BE68" s="1"/>
      <c r="BF68" s="1">
        <v>5</v>
      </c>
      <c r="BG68" s="1"/>
      <c r="BH68" s="1"/>
      <c r="BI68" s="1"/>
      <c r="BJ68" s="1"/>
      <c r="BK68" s="1"/>
      <c r="BL68" s="17"/>
      <c r="BM68" s="17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69" spans="1:91" x14ac:dyDescent="0.15">
      <c r="A69" s="1"/>
      <c r="B69" s="3" t="s">
        <v>124</v>
      </c>
      <c r="C69" s="1"/>
      <c r="D69" s="1"/>
      <c r="E69" s="1">
        <f>E68-E67</f>
        <v>-30</v>
      </c>
      <c r="F69" s="1">
        <f>F68-F67</f>
        <v>-74</v>
      </c>
      <c r="G69" s="1">
        <f>G68-G67</f>
        <v>-74</v>
      </c>
      <c r="H69" s="1">
        <f>H68-H67</f>
        <v>-70</v>
      </c>
      <c r="I69" s="1">
        <f>I68-I67</f>
        <v>-23</v>
      </c>
      <c r="J69" s="1">
        <f>J68-J67</f>
        <v>19</v>
      </c>
      <c r="K69" s="1">
        <f>K68-K67</f>
        <v>-26</v>
      </c>
      <c r="L69" s="1">
        <f>L68-L67</f>
        <v>-23</v>
      </c>
      <c r="M69" s="1">
        <f>M68-M67</f>
        <v>-7</v>
      </c>
      <c r="N69" s="1">
        <f>N68-N67</f>
        <v>-37</v>
      </c>
      <c r="O69" s="1">
        <f>O68-O67</f>
        <v>-30</v>
      </c>
      <c r="P69" s="1">
        <f>P68-P67</f>
        <v>38</v>
      </c>
      <c r="Q69" s="1">
        <f>Q68-Q67</f>
        <v>54</v>
      </c>
      <c r="R69" s="1">
        <f>R68-R67</f>
        <v>66</v>
      </c>
      <c r="S69" s="1">
        <f>S68-S67</f>
        <v>38</v>
      </c>
      <c r="T69" s="1">
        <f>T68-T67</f>
        <v>50</v>
      </c>
      <c r="U69" s="1">
        <f>U68-U67</f>
        <v>-12</v>
      </c>
      <c r="V69" s="1">
        <f>V68-V67</f>
        <v>3</v>
      </c>
      <c r="W69" s="1">
        <f>W68-W67</f>
        <v>28</v>
      </c>
      <c r="X69" s="1">
        <f>X68-X67</f>
        <v>-1</v>
      </c>
      <c r="Y69" s="1">
        <f>Y68-Y67</f>
        <v>115</v>
      </c>
      <c r="Z69" s="1">
        <f>Z68-Z67</f>
        <v>139</v>
      </c>
      <c r="AA69" s="1">
        <f>AA68-AA67</f>
        <v>38</v>
      </c>
      <c r="AB69" s="1">
        <f>AB68-AB67</f>
        <v>-273</v>
      </c>
      <c r="AC69" s="1">
        <f>AC68-AC67</f>
        <v>-10</v>
      </c>
      <c r="AD69" s="1">
        <f>AD68-AD67</f>
        <v>-15</v>
      </c>
      <c r="AE69" s="1">
        <f>AE68-AE67</f>
        <v>-25</v>
      </c>
      <c r="AF69" s="1">
        <f>AF68-AF67</f>
        <v>-25</v>
      </c>
      <c r="AG69" s="1">
        <f>AG68-AG67</f>
        <v>-5</v>
      </c>
      <c r="AH69" s="1">
        <f>AH68-AH67</f>
        <v>33</v>
      </c>
      <c r="AI69" s="1">
        <f>AI68-AI67</f>
        <v>43</v>
      </c>
      <c r="AJ69" s="1">
        <f>AJ68-AJ67</f>
        <v>-20</v>
      </c>
      <c r="AK69" s="1">
        <f>AK68-AK67</f>
        <v>-50</v>
      </c>
      <c r="AL69" s="1">
        <f>AL68-AL67</f>
        <v>-44</v>
      </c>
      <c r="AM69" s="1">
        <f>AM68-AM67</f>
        <v>-48</v>
      </c>
      <c r="AN69" s="1">
        <f>AN68-AN67</f>
        <v>-25</v>
      </c>
      <c r="AO69" s="1">
        <f>AO68-AO67</f>
        <v>-29</v>
      </c>
      <c r="AP69" s="1">
        <f>AP68-AP67</f>
        <v>2</v>
      </c>
      <c r="AQ69" s="1">
        <f>AQ68-AQ67</f>
        <v>-58</v>
      </c>
      <c r="AR69" s="1">
        <f>AR68-AR67</f>
        <v>-37</v>
      </c>
      <c r="AS69" s="1">
        <f>AS68-AS67</f>
        <v>-42</v>
      </c>
      <c r="AT69" s="1">
        <f>AT68-AT67</f>
        <v>12</v>
      </c>
      <c r="AU69" s="1">
        <f>AU68-AU67</f>
        <v>-35</v>
      </c>
      <c r="AV69" s="1">
        <f>AV68-AV67</f>
        <v>-80</v>
      </c>
      <c r="AW69" s="1">
        <f>AW68-AW67</f>
        <v>-157</v>
      </c>
      <c r="AX69" s="1">
        <f>AX68-AX67</f>
        <v>-12</v>
      </c>
      <c r="AY69" s="1">
        <f>AY68-AY67</f>
        <v>-12</v>
      </c>
      <c r="AZ69" s="1">
        <f>AZ68-AZ67</f>
        <v>21</v>
      </c>
      <c r="BA69" s="1">
        <f>BA68-BA67</f>
        <v>30</v>
      </c>
      <c r="BB69" s="1">
        <f>BB68-BB67</f>
        <v>-37</v>
      </c>
      <c r="BC69" s="1">
        <f>BC68-BC67</f>
        <v>-11</v>
      </c>
      <c r="BD69" s="1">
        <f>BD68-BD67</f>
        <v>-95</v>
      </c>
      <c r="BE69" s="1">
        <f>BE68-BE67</f>
        <v>-100</v>
      </c>
      <c r="BF69" s="1">
        <f>BF68-BF67</f>
        <v>-45</v>
      </c>
      <c r="BG69" s="1">
        <f>BG68-BG67</f>
        <v>-50</v>
      </c>
      <c r="BH69" s="1">
        <f>BH68-BH67</f>
        <v>-150</v>
      </c>
      <c r="BI69" s="1">
        <f>BI68-BI67</f>
        <v>-150</v>
      </c>
      <c r="BJ69" s="1"/>
      <c r="BK69" s="1"/>
      <c r="BL69" s="17"/>
      <c r="BM69" s="17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</row>
  </sheetData>
  <autoFilter ref="A1:BJ67"/>
  <sortState ref="A2:CM69">
    <sortCondition ref="BL2:BL69"/>
    <sortCondition ref="BK2:BK69"/>
  </sortState>
  <phoneticPr fontId="1" type="noConversion"/>
  <conditionalFormatting sqref="E59:E60">
    <cfRule type="cellIs" dxfId="2" priority="4" operator="greaterThan">
      <formula>$E$68</formula>
    </cfRule>
  </conditionalFormatting>
  <conditionalFormatting sqref="E67">
    <cfRule type="cellIs" dxfId="1" priority="3" operator="greaterThan">
      <formula>$E$68</formula>
    </cfRule>
  </conditionalFormatting>
  <conditionalFormatting sqref="E69:BI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72</xdr:row>
                    <xdr:rowOff>28575</xdr:rowOff>
                  </from>
                  <to>
                    <xdr:col>1</xdr:col>
                    <xdr:colOff>428625</xdr:colOff>
                    <xdr:row>73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113</v>
      </c>
      <c r="B1" s="5" t="s">
        <v>110</v>
      </c>
      <c r="C1" s="5" t="s">
        <v>114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66</v>
      </c>
      <c r="C3" s="1">
        <v>120</v>
      </c>
    </row>
    <row r="4" spans="1:3" x14ac:dyDescent="0.15">
      <c r="A4" s="1">
        <v>4</v>
      </c>
      <c r="B4" s="4" t="s">
        <v>67</v>
      </c>
      <c r="C4" s="1">
        <v>85</v>
      </c>
    </row>
    <row r="5" spans="1:3" x14ac:dyDescent="0.15">
      <c r="A5" s="1">
        <v>3</v>
      </c>
      <c r="B5" s="4" t="s">
        <v>51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80</v>
      </c>
      <c r="C11" s="1">
        <v>45</v>
      </c>
    </row>
    <row r="12" spans="1:3" x14ac:dyDescent="0.15">
      <c r="A12" s="1">
        <v>11</v>
      </c>
      <c r="B12" s="2" t="s">
        <v>53</v>
      </c>
      <c r="C12" s="1">
        <v>10</v>
      </c>
    </row>
    <row r="13" spans="1:3" x14ac:dyDescent="0.15">
      <c r="A13" s="1">
        <v>6</v>
      </c>
      <c r="B13" s="4" t="s">
        <v>88</v>
      </c>
      <c r="C13" s="1">
        <v>8</v>
      </c>
    </row>
    <row r="19" spans="7:18" x14ac:dyDescent="0.15">
      <c r="G19" s="10" t="s">
        <v>51</v>
      </c>
      <c r="H19" s="10" t="s">
        <v>5</v>
      </c>
      <c r="I19" s="10" t="s">
        <v>35</v>
      </c>
      <c r="J19" s="10" t="s">
        <v>80</v>
      </c>
      <c r="K19" s="10" t="s">
        <v>88</v>
      </c>
      <c r="L19" s="10" t="s">
        <v>67</v>
      </c>
      <c r="M19" s="11" t="s">
        <v>6</v>
      </c>
      <c r="N19" s="11" t="s">
        <v>7</v>
      </c>
      <c r="O19" s="11" t="s">
        <v>53</v>
      </c>
      <c r="P19" s="11" t="s">
        <v>9</v>
      </c>
      <c r="Q19" s="11" t="s">
        <v>66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121</v>
      </c>
      <c r="B1" s="8" t="s">
        <v>122</v>
      </c>
      <c r="C1" s="8" t="s">
        <v>123</v>
      </c>
    </row>
    <row r="2" spans="1:3" x14ac:dyDescent="0.15">
      <c r="A2" s="1">
        <v>5</v>
      </c>
      <c r="B2" s="10" t="s">
        <v>88</v>
      </c>
      <c r="C2" s="1">
        <v>0</v>
      </c>
    </row>
    <row r="3" spans="1:3" x14ac:dyDescent="0.15">
      <c r="A3" s="1">
        <v>9</v>
      </c>
      <c r="B3" s="11" t="s">
        <v>53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80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51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66</v>
      </c>
      <c r="C12" s="1">
        <v>5</v>
      </c>
    </row>
    <row r="13" spans="1:3" x14ac:dyDescent="0.15">
      <c r="A13" s="1">
        <v>6</v>
      </c>
      <c r="B13" s="10" t="s">
        <v>67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51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88</v>
      </c>
      <c r="C5">
        <v>0</v>
      </c>
    </row>
    <row r="6" spans="2:3" x14ac:dyDescent="0.15">
      <c r="B6" s="11" t="s">
        <v>53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66</v>
      </c>
      <c r="C8">
        <v>0</v>
      </c>
    </row>
    <row r="9" spans="2:3" x14ac:dyDescent="0.15">
      <c r="B9" s="10" t="s">
        <v>80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67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2020-01-17T09:11:27Z</dcterms:modified>
</cp:coreProperties>
</file>