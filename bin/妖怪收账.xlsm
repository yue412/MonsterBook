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yuel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Sheet1!$A$1:$BU$179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12" i="1"/>
  <c r="BU12" i="1"/>
  <c r="BT13" i="1"/>
  <c r="BU13" i="1"/>
  <c r="BT14" i="1"/>
  <c r="BU14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21" i="1"/>
  <c r="BU21" i="1"/>
  <c r="BT22" i="1"/>
  <c r="BU22" i="1"/>
  <c r="BT23" i="1"/>
  <c r="BU23" i="1"/>
  <c r="BT24" i="1"/>
  <c r="BU24" i="1"/>
  <c r="BT25" i="1"/>
  <c r="BU25" i="1"/>
  <c r="BT26" i="1"/>
  <c r="BU26" i="1"/>
  <c r="BT27" i="1"/>
  <c r="BU27" i="1"/>
  <c r="BT28" i="1"/>
  <c r="BU28" i="1"/>
  <c r="BT29" i="1"/>
  <c r="BU29" i="1"/>
  <c r="BT30" i="1"/>
  <c r="BU30" i="1"/>
  <c r="BT31" i="1"/>
  <c r="BU31" i="1"/>
  <c r="BT32" i="1"/>
  <c r="BU32" i="1"/>
  <c r="BT33" i="1"/>
  <c r="BU33" i="1"/>
  <c r="BT34" i="1"/>
  <c r="BU34" i="1"/>
  <c r="BT35" i="1"/>
  <c r="BU35" i="1"/>
  <c r="BT36" i="1"/>
  <c r="BU36" i="1"/>
  <c r="BT37" i="1"/>
  <c r="BU37" i="1"/>
  <c r="BT38" i="1"/>
  <c r="BU38" i="1"/>
  <c r="BT39" i="1"/>
  <c r="BU39" i="1"/>
  <c r="BT40" i="1"/>
  <c r="BU40" i="1"/>
  <c r="BT41" i="1"/>
  <c r="BU41" i="1"/>
  <c r="BT42" i="1"/>
  <c r="BU42" i="1"/>
  <c r="BT43" i="1"/>
  <c r="BU43" i="1"/>
  <c r="BT44" i="1"/>
  <c r="BU44" i="1"/>
  <c r="BT45" i="1"/>
  <c r="BU45" i="1"/>
  <c r="BT46" i="1"/>
  <c r="BU46" i="1"/>
  <c r="BT47" i="1"/>
  <c r="BU47" i="1"/>
  <c r="BT48" i="1"/>
  <c r="BU48" i="1"/>
  <c r="BT49" i="1"/>
  <c r="BU49" i="1"/>
  <c r="BT50" i="1"/>
  <c r="BU50" i="1"/>
  <c r="BT51" i="1"/>
  <c r="BU51" i="1"/>
  <c r="BT52" i="1"/>
  <c r="BU52" i="1"/>
  <c r="BT53" i="1"/>
  <c r="BU53" i="1"/>
  <c r="BT54" i="1"/>
  <c r="BU54" i="1"/>
  <c r="BT55" i="1"/>
  <c r="BU55" i="1"/>
  <c r="BT56" i="1"/>
  <c r="BU56" i="1"/>
  <c r="BT57" i="1"/>
  <c r="BU57" i="1"/>
  <c r="BT58" i="1"/>
  <c r="BU58" i="1"/>
  <c r="BT59" i="1"/>
  <c r="BU59" i="1"/>
  <c r="BT60" i="1"/>
  <c r="BU60" i="1"/>
  <c r="BT61" i="1"/>
  <c r="BU61" i="1"/>
  <c r="BT62" i="1"/>
  <c r="BU62" i="1"/>
  <c r="BT63" i="1"/>
  <c r="BU63" i="1"/>
  <c r="BT64" i="1"/>
  <c r="BU64" i="1"/>
  <c r="BT65" i="1"/>
  <c r="BU65" i="1"/>
  <c r="BT66" i="1"/>
  <c r="BU66" i="1"/>
  <c r="BT67" i="1"/>
  <c r="BU67" i="1"/>
  <c r="BT68" i="1"/>
  <c r="BU68" i="1"/>
  <c r="BT69" i="1"/>
  <c r="BU69" i="1"/>
  <c r="BT70" i="1"/>
  <c r="BU70" i="1"/>
  <c r="BT71" i="1"/>
  <c r="BU71" i="1"/>
  <c r="BT72" i="1"/>
  <c r="BU72" i="1"/>
  <c r="BT73" i="1"/>
  <c r="BU73" i="1"/>
  <c r="BT74" i="1"/>
  <c r="BU74" i="1"/>
  <c r="BT75" i="1"/>
  <c r="BU75" i="1"/>
  <c r="BT76" i="1"/>
  <c r="BU76" i="1"/>
  <c r="BT77" i="1"/>
  <c r="BU77" i="1"/>
  <c r="BT78" i="1"/>
  <c r="BU78" i="1"/>
  <c r="BT79" i="1"/>
  <c r="BU79" i="1"/>
  <c r="BT80" i="1"/>
  <c r="BU80" i="1"/>
  <c r="BT81" i="1"/>
  <c r="BU81" i="1"/>
  <c r="BT82" i="1"/>
  <c r="BU82" i="1"/>
  <c r="BT83" i="1"/>
  <c r="BU83" i="1"/>
  <c r="BT84" i="1"/>
  <c r="BU84" i="1"/>
  <c r="BT85" i="1"/>
  <c r="BU85" i="1"/>
  <c r="BT86" i="1"/>
  <c r="BU86" i="1"/>
  <c r="BT87" i="1"/>
  <c r="BU87" i="1"/>
  <c r="BT88" i="1"/>
  <c r="BU88" i="1"/>
  <c r="BT89" i="1"/>
  <c r="BU89" i="1"/>
  <c r="BT90" i="1"/>
  <c r="BU90" i="1"/>
  <c r="BT91" i="1"/>
  <c r="BU91" i="1"/>
  <c r="BT92" i="1"/>
  <c r="BU92" i="1"/>
  <c r="BT93" i="1"/>
  <c r="BU93" i="1"/>
  <c r="BT94" i="1"/>
  <c r="BU94" i="1"/>
  <c r="BT95" i="1"/>
  <c r="BU95" i="1"/>
  <c r="BT96" i="1"/>
  <c r="BU96" i="1"/>
  <c r="BT97" i="1"/>
  <c r="BU97" i="1"/>
  <c r="BT98" i="1"/>
  <c r="BU98" i="1"/>
  <c r="BT99" i="1"/>
  <c r="BU99" i="1"/>
  <c r="BT100" i="1"/>
  <c r="BU100" i="1"/>
  <c r="BT101" i="1"/>
  <c r="BU101" i="1"/>
  <c r="BT102" i="1"/>
  <c r="BU102" i="1"/>
  <c r="BT104" i="1"/>
  <c r="BU104" i="1"/>
  <c r="BT105" i="1"/>
  <c r="BU105" i="1"/>
  <c r="BT103" i="1"/>
  <c r="BU103" i="1"/>
  <c r="BT106" i="1"/>
  <c r="BU106" i="1"/>
  <c r="BT107" i="1"/>
  <c r="BU107" i="1"/>
  <c r="BT108" i="1"/>
  <c r="BU108" i="1"/>
  <c r="BT109" i="1"/>
  <c r="BU109" i="1"/>
  <c r="BT110" i="1"/>
  <c r="BU110" i="1"/>
  <c r="BT111" i="1"/>
  <c r="BU111" i="1"/>
  <c r="BT112" i="1"/>
  <c r="BU112" i="1"/>
  <c r="BT113" i="1"/>
  <c r="BU113" i="1"/>
  <c r="BT114" i="1"/>
  <c r="BU114" i="1"/>
  <c r="BT115" i="1"/>
  <c r="BU115" i="1"/>
  <c r="BT116" i="1"/>
  <c r="BU116" i="1"/>
  <c r="BT117" i="1"/>
  <c r="BU117" i="1"/>
  <c r="BT118" i="1"/>
  <c r="BU118" i="1"/>
  <c r="BT119" i="1"/>
  <c r="BU119" i="1"/>
  <c r="BT120" i="1"/>
  <c r="BU120" i="1"/>
  <c r="BT121" i="1"/>
  <c r="BU121" i="1"/>
  <c r="BT122" i="1"/>
  <c r="BU122" i="1"/>
  <c r="BT123" i="1"/>
  <c r="BU123" i="1"/>
  <c r="BT124" i="1"/>
  <c r="BU124" i="1"/>
  <c r="BT125" i="1"/>
  <c r="BU125" i="1"/>
  <c r="BT126" i="1"/>
  <c r="BU126" i="1"/>
  <c r="BT127" i="1"/>
  <c r="BU127" i="1"/>
  <c r="BT128" i="1"/>
  <c r="BU128" i="1"/>
  <c r="BT130" i="1"/>
  <c r="BU130" i="1"/>
  <c r="BT131" i="1"/>
  <c r="BU131" i="1"/>
  <c r="BT129" i="1"/>
  <c r="BU129" i="1"/>
  <c r="BT132" i="1"/>
  <c r="BU132" i="1"/>
  <c r="BT133" i="1"/>
  <c r="BU133" i="1"/>
  <c r="BT134" i="1"/>
  <c r="BU134" i="1"/>
  <c r="BT135" i="1"/>
  <c r="BU135" i="1"/>
  <c r="BT136" i="1"/>
  <c r="BU136" i="1"/>
  <c r="BT137" i="1"/>
  <c r="BU137" i="1"/>
  <c r="BT138" i="1"/>
  <c r="BU138" i="1"/>
  <c r="BT139" i="1"/>
  <c r="BU139" i="1"/>
  <c r="BT140" i="1"/>
  <c r="BU140" i="1"/>
  <c r="BT141" i="1"/>
  <c r="BU141" i="1"/>
  <c r="BT142" i="1"/>
  <c r="BU142" i="1"/>
  <c r="BT143" i="1"/>
  <c r="BU143" i="1"/>
  <c r="BT144" i="1"/>
  <c r="BU144" i="1"/>
  <c r="BT145" i="1"/>
  <c r="BU145" i="1"/>
  <c r="BT146" i="1"/>
  <c r="BU146" i="1"/>
  <c r="BT147" i="1"/>
  <c r="BU147" i="1"/>
  <c r="BT148" i="1"/>
  <c r="BU148" i="1"/>
  <c r="BT149" i="1"/>
  <c r="BU149" i="1"/>
  <c r="BT150" i="1"/>
  <c r="BU150" i="1"/>
  <c r="BT151" i="1"/>
  <c r="BU151" i="1"/>
  <c r="BT152" i="1"/>
  <c r="BU152" i="1"/>
  <c r="BT153" i="1"/>
  <c r="BU153" i="1"/>
  <c r="BT154" i="1"/>
  <c r="BU154" i="1"/>
  <c r="BT155" i="1"/>
  <c r="BU155" i="1"/>
  <c r="BT156" i="1"/>
  <c r="BU156" i="1"/>
  <c r="BT157" i="1"/>
  <c r="BU157" i="1"/>
  <c r="BT159" i="1"/>
  <c r="BU159" i="1"/>
  <c r="BT160" i="1"/>
  <c r="BU160" i="1"/>
  <c r="BT161" i="1"/>
  <c r="BU161" i="1"/>
  <c r="BT162" i="1"/>
  <c r="BU162" i="1"/>
  <c r="BT163" i="1"/>
  <c r="BU163" i="1"/>
  <c r="BT164" i="1"/>
  <c r="BU164" i="1"/>
  <c r="BT165" i="1"/>
  <c r="BU165" i="1"/>
  <c r="BT166" i="1"/>
  <c r="BU166" i="1"/>
  <c r="BT167" i="1"/>
  <c r="BU167" i="1"/>
  <c r="BT168" i="1"/>
  <c r="BU168" i="1"/>
  <c r="BT158" i="1"/>
  <c r="BU158" i="1"/>
  <c r="BT169" i="1"/>
  <c r="BU169" i="1"/>
  <c r="BT170" i="1"/>
  <c r="BU170" i="1"/>
  <c r="BT171" i="1"/>
  <c r="BU171" i="1"/>
  <c r="BP98" i="1"/>
  <c r="BP99" i="1"/>
  <c r="BP128" i="1"/>
  <c r="BP100" i="1"/>
  <c r="BP101" i="1"/>
  <c r="BP102" i="1"/>
  <c r="BP75" i="1" l="1"/>
  <c r="BP76" i="1"/>
  <c r="BP77" i="1"/>
  <c r="BP78" i="1"/>
  <c r="BP79" i="1"/>
  <c r="BP147" i="1"/>
  <c r="BP80" i="1"/>
  <c r="BP81" i="1"/>
  <c r="BP82" i="1"/>
  <c r="BP83" i="1"/>
  <c r="BP84" i="1"/>
  <c r="BP85" i="1"/>
  <c r="BP86" i="1"/>
  <c r="BP87" i="1"/>
  <c r="BP150" i="1"/>
  <c r="BP88" i="1"/>
  <c r="BP89" i="1"/>
  <c r="BP131" i="1"/>
  <c r="BP90" i="1"/>
  <c r="BP91" i="1"/>
  <c r="BP167" i="1"/>
  <c r="BP92" i="1"/>
  <c r="BP93" i="1"/>
  <c r="BP125" i="1"/>
  <c r="BP94" i="1"/>
  <c r="BP95" i="1"/>
  <c r="BP126" i="1"/>
  <c r="BP96" i="1"/>
  <c r="BP97" i="1"/>
  <c r="BP151" i="1"/>
  <c r="BP129" i="1" l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66" i="1" l="1"/>
  <c r="BP72" i="1"/>
  <c r="BP130" i="1"/>
  <c r="BP124" i="1"/>
  <c r="BP68" i="1"/>
  <c r="BP69" i="1"/>
  <c r="BP70" i="1"/>
  <c r="BP67" i="1"/>
  <c r="BP152" i="1"/>
  <c r="BP154" i="1"/>
  <c r="BP149" i="1"/>
  <c r="BP63" i="1"/>
  <c r="BP64" i="1"/>
  <c r="BP65" i="1"/>
  <c r="BP66" i="1"/>
  <c r="BP71" i="1"/>
  <c r="BP144" i="1"/>
  <c r="BP145" i="1"/>
  <c r="BP30" i="1"/>
  <c r="BP140" i="1"/>
  <c r="BP146" i="1"/>
  <c r="BP106" i="1"/>
  <c r="BP60" i="1"/>
  <c r="BP48" i="1"/>
  <c r="BP49" i="1"/>
  <c r="BP50" i="1"/>
  <c r="BP51" i="1"/>
  <c r="BP61" i="1"/>
  <c r="BP28" i="1"/>
  <c r="BP52" i="1"/>
  <c r="BP56" i="1"/>
  <c r="BP22" i="1"/>
  <c r="BP23" i="1"/>
  <c r="BP24" i="1"/>
  <c r="BP25" i="1"/>
  <c r="BP73" i="1"/>
  <c r="BP26" i="1"/>
  <c r="BP57" i="1"/>
  <c r="BP27" i="1"/>
  <c r="BP36" i="1"/>
  <c r="BP13" i="1"/>
  <c r="BP37" i="1"/>
  <c r="BP38" i="1"/>
  <c r="BP39" i="1"/>
  <c r="BP40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I176" i="1"/>
  <c r="AJ176" i="1"/>
  <c r="AK176" i="1"/>
  <c r="AL176" i="1"/>
  <c r="AM176" i="1"/>
  <c r="AN176" i="1"/>
  <c r="AO176" i="1"/>
  <c r="AP176" i="1"/>
  <c r="AQ176" i="1"/>
  <c r="AR176" i="1"/>
  <c r="AS176" i="1"/>
  <c r="AT176" i="1"/>
  <c r="AU176" i="1"/>
  <c r="AV176" i="1"/>
  <c r="AW176" i="1"/>
  <c r="AX176" i="1"/>
  <c r="AY176" i="1"/>
  <c r="AZ176" i="1"/>
  <c r="BA176" i="1"/>
  <c r="BB176" i="1"/>
  <c r="BC176" i="1"/>
  <c r="BD176" i="1"/>
  <c r="BE176" i="1"/>
  <c r="BF176" i="1"/>
  <c r="BG176" i="1"/>
  <c r="BH176" i="1"/>
  <c r="BI176" i="1"/>
  <c r="BJ176" i="1"/>
  <c r="BK176" i="1"/>
  <c r="BL176" i="1"/>
  <c r="BM176" i="1"/>
  <c r="BN176" i="1"/>
  <c r="BO176" i="1"/>
  <c r="E176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I175" i="1"/>
  <c r="AJ175" i="1"/>
  <c r="AK175" i="1"/>
  <c r="AL175" i="1"/>
  <c r="AM175" i="1"/>
  <c r="AN175" i="1"/>
  <c r="AO175" i="1"/>
  <c r="AP175" i="1"/>
  <c r="AQ175" i="1"/>
  <c r="AR175" i="1"/>
  <c r="AS175" i="1"/>
  <c r="AT175" i="1"/>
  <c r="AU175" i="1"/>
  <c r="AV175" i="1"/>
  <c r="AW175" i="1"/>
  <c r="AX175" i="1"/>
  <c r="AY175" i="1"/>
  <c r="AZ175" i="1"/>
  <c r="BA175" i="1"/>
  <c r="BB175" i="1"/>
  <c r="BC175" i="1"/>
  <c r="BD175" i="1"/>
  <c r="BE175" i="1"/>
  <c r="BF175" i="1"/>
  <c r="BG175" i="1"/>
  <c r="BH175" i="1"/>
  <c r="BI175" i="1"/>
  <c r="BJ175" i="1"/>
  <c r="BK175" i="1"/>
  <c r="BL175" i="1"/>
  <c r="BM175" i="1"/>
  <c r="BN175" i="1"/>
  <c r="BO175" i="1"/>
  <c r="E175" i="1"/>
  <c r="BD172" i="1"/>
  <c r="BE172" i="1"/>
  <c r="BF172" i="1"/>
  <c r="BG172" i="1"/>
  <c r="BH172" i="1"/>
  <c r="BI172" i="1"/>
  <c r="BJ172" i="1"/>
  <c r="BK172" i="1"/>
  <c r="BL172" i="1"/>
  <c r="BM172" i="1"/>
  <c r="BN172" i="1"/>
  <c r="BO172" i="1"/>
  <c r="BC172" i="1"/>
  <c r="AX172" i="1"/>
  <c r="AY172" i="1"/>
  <c r="AZ172" i="1"/>
  <c r="BA172" i="1"/>
  <c r="BB172" i="1"/>
  <c r="AW172" i="1"/>
  <c r="AR172" i="1"/>
  <c r="AS172" i="1"/>
  <c r="AT172" i="1"/>
  <c r="AU172" i="1"/>
  <c r="AV172" i="1"/>
  <c r="AQ172" i="1"/>
  <c r="AF172" i="1"/>
  <c r="AG172" i="1"/>
  <c r="AH172" i="1"/>
  <c r="AI172" i="1"/>
  <c r="AJ172" i="1"/>
  <c r="AK172" i="1"/>
  <c r="AL172" i="1"/>
  <c r="AM172" i="1"/>
  <c r="AN172" i="1"/>
  <c r="AO172" i="1"/>
  <c r="AP172" i="1"/>
  <c r="AE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P172" i="1"/>
  <c r="F172" i="1"/>
  <c r="G172" i="1"/>
  <c r="H172" i="1"/>
  <c r="I172" i="1"/>
  <c r="J172" i="1"/>
  <c r="K172" i="1"/>
  <c r="L172" i="1"/>
  <c r="M172" i="1"/>
  <c r="N172" i="1"/>
  <c r="O172" i="1"/>
  <c r="E172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10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39" i="1"/>
  <c r="BP8" i="1"/>
  <c r="BP108" i="1"/>
  <c r="CJ2" i="8" l="1"/>
  <c r="CK2" i="8"/>
  <c r="CR4" i="8"/>
  <c r="CN2" i="8"/>
  <c r="CM2" i="8"/>
  <c r="CG2" i="8"/>
  <c r="CH2" i="8"/>
  <c r="CL2" i="8"/>
  <c r="CQ2" i="8"/>
  <c r="CI2" i="8"/>
  <c r="CO2" i="8"/>
  <c r="CP2" i="8"/>
  <c r="BC177" i="1"/>
  <c r="BD177" i="1"/>
  <c r="BE177" i="1"/>
  <c r="BF177" i="1"/>
  <c r="BG177" i="1"/>
  <c r="BH177" i="1"/>
  <c r="BI177" i="1"/>
  <c r="BJ177" i="1"/>
  <c r="BK177" i="1"/>
  <c r="BL177" i="1"/>
  <c r="BM177" i="1"/>
  <c r="BN177" i="1"/>
  <c r="BO177" i="1"/>
  <c r="BC178" i="1"/>
  <c r="BD178" i="1"/>
  <c r="BE178" i="1"/>
  <c r="BF178" i="1"/>
  <c r="BG178" i="1"/>
  <c r="BH178" i="1"/>
  <c r="BI178" i="1"/>
  <c r="BJ178" i="1"/>
  <c r="BK178" i="1"/>
  <c r="BL178" i="1"/>
  <c r="BM178" i="1"/>
  <c r="BN178" i="1"/>
  <c r="BO178" i="1"/>
  <c r="BA177" i="1"/>
  <c r="BB177" i="1"/>
  <c r="BA178" i="1"/>
  <c r="BB178" i="1"/>
  <c r="AQ177" i="1"/>
  <c r="AR177" i="1"/>
  <c r="AS177" i="1"/>
  <c r="AT177" i="1"/>
  <c r="AU177" i="1"/>
  <c r="AV177" i="1"/>
  <c r="AW177" i="1"/>
  <c r="AX177" i="1"/>
  <c r="AY177" i="1"/>
  <c r="AZ177" i="1"/>
  <c r="AQ178" i="1"/>
  <c r="AR178" i="1"/>
  <c r="AS178" i="1"/>
  <c r="AT178" i="1"/>
  <c r="AU178" i="1"/>
  <c r="AV178" i="1"/>
  <c r="AW178" i="1"/>
  <c r="AX178" i="1"/>
  <c r="AY178" i="1"/>
  <c r="AZ178" i="1"/>
  <c r="AI177" i="1"/>
  <c r="AJ177" i="1"/>
  <c r="AK177" i="1"/>
  <c r="AL177" i="1"/>
  <c r="AM177" i="1"/>
  <c r="AN177" i="1"/>
  <c r="AO177" i="1"/>
  <c r="AP177" i="1"/>
  <c r="AI178" i="1"/>
  <c r="AJ178" i="1"/>
  <c r="AK178" i="1"/>
  <c r="AL178" i="1"/>
  <c r="AM178" i="1"/>
  <c r="AN178" i="1"/>
  <c r="AO178" i="1"/>
  <c r="AP178" i="1"/>
  <c r="AC177" i="1"/>
  <c r="AD177" i="1"/>
  <c r="AE177" i="1"/>
  <c r="AF177" i="1"/>
  <c r="AG177" i="1"/>
  <c r="AH177" i="1"/>
  <c r="AC178" i="1"/>
  <c r="AD178" i="1"/>
  <c r="AE178" i="1"/>
  <c r="AF178" i="1"/>
  <c r="AG178" i="1"/>
  <c r="AH178" i="1"/>
  <c r="W177" i="1"/>
  <c r="X177" i="1"/>
  <c r="Y177" i="1"/>
  <c r="Z177" i="1"/>
  <c r="AA177" i="1"/>
  <c r="AB177" i="1"/>
  <c r="W178" i="1"/>
  <c r="X178" i="1"/>
  <c r="Y178" i="1"/>
  <c r="Z178" i="1"/>
  <c r="AA178" i="1"/>
  <c r="AB178" i="1"/>
  <c r="P177" i="1"/>
  <c r="Q177" i="1"/>
  <c r="R177" i="1"/>
  <c r="S177" i="1"/>
  <c r="T177" i="1"/>
  <c r="U177" i="1"/>
  <c r="V177" i="1"/>
  <c r="P178" i="1"/>
  <c r="Q178" i="1"/>
  <c r="R178" i="1"/>
  <c r="S178" i="1"/>
  <c r="T178" i="1"/>
  <c r="U178" i="1"/>
  <c r="V178" i="1"/>
  <c r="G177" i="1"/>
  <c r="H177" i="1"/>
  <c r="I177" i="1"/>
  <c r="J177" i="1"/>
  <c r="K177" i="1"/>
  <c r="L177" i="1"/>
  <c r="M177" i="1"/>
  <c r="N177" i="1"/>
  <c r="O177" i="1"/>
  <c r="G178" i="1"/>
  <c r="H178" i="1"/>
  <c r="I178" i="1"/>
  <c r="J178" i="1"/>
  <c r="K178" i="1"/>
  <c r="L178" i="1"/>
  <c r="M178" i="1"/>
  <c r="N178" i="1"/>
  <c r="O178" i="1"/>
  <c r="F177" i="1"/>
  <c r="F178" i="1"/>
  <c r="E178" i="1"/>
  <c r="E177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4" i="1"/>
  <c r="BP5" i="1"/>
  <c r="BP113" i="1"/>
  <c r="BP107" i="1"/>
  <c r="BP114" i="1"/>
  <c r="BP115" i="1"/>
  <c r="BP104" i="1"/>
  <c r="BP105" i="1"/>
  <c r="BP116" i="1"/>
  <c r="BP117" i="1"/>
  <c r="BP29" i="1"/>
  <c r="BP6" i="1"/>
  <c r="BP11" i="1"/>
  <c r="BP134" i="1"/>
  <c r="BP136" i="1"/>
  <c r="BP137" i="1"/>
  <c r="BP138" i="1"/>
  <c r="BP119" i="1"/>
  <c r="BP9" i="1"/>
  <c r="BP141" i="1"/>
  <c r="BP41" i="1"/>
  <c r="BP42" i="1"/>
  <c r="BP43" i="1"/>
  <c r="BP44" i="1"/>
  <c r="BP120" i="1"/>
  <c r="BP142" i="1"/>
  <c r="BP143" i="1"/>
  <c r="BP133" i="1"/>
  <c r="BP110" i="1"/>
  <c r="BP111" i="1"/>
  <c r="BP62" i="1"/>
  <c r="BP103" i="1"/>
  <c r="BP20" i="1"/>
  <c r="BP112" i="1"/>
  <c r="BP45" i="1"/>
  <c r="BP46" i="1"/>
  <c r="BP47" i="1"/>
  <c r="BP109" i="1"/>
  <c r="BP118" i="1"/>
  <c r="BP163" i="1"/>
  <c r="BP164" i="1"/>
  <c r="BP7" i="1"/>
  <c r="BP121" i="1"/>
  <c r="BP122" i="1"/>
  <c r="BP123" i="1"/>
  <c r="BP132" i="1"/>
  <c r="BP155" i="1"/>
  <c r="BP158" i="1"/>
  <c r="BP157" i="1"/>
  <c r="BP21" i="1"/>
  <c r="BP74" i="1"/>
  <c r="BP127" i="1"/>
  <c r="BP14" i="1"/>
  <c r="BP15" i="1"/>
  <c r="BP16" i="1"/>
  <c r="BP17" i="1"/>
  <c r="BP18" i="1"/>
  <c r="BP19" i="1"/>
  <c r="BP53" i="1"/>
  <c r="BP54" i="1"/>
  <c r="BP55" i="1"/>
  <c r="BP12" i="1"/>
  <c r="BP58" i="1"/>
  <c r="BP59" i="1"/>
  <c r="BP165" i="1"/>
  <c r="BP148" i="1"/>
  <c r="BP153" i="1"/>
  <c r="BP31" i="1"/>
  <c r="BP32" i="1"/>
  <c r="BP33" i="1"/>
  <c r="BP34" i="1"/>
  <c r="BP35" i="1"/>
  <c r="BP135" i="1"/>
  <c r="BP156" i="1"/>
  <c r="BP159" i="1"/>
  <c r="BP160" i="1"/>
  <c r="BP161" i="1"/>
  <c r="BP162" i="1"/>
  <c r="BP169" i="1"/>
  <c r="BP170" i="1"/>
  <c r="BP171" i="1"/>
  <c r="BP168" i="1" l="1"/>
  <c r="BM174" i="1" l="1"/>
  <c r="AM174" i="1"/>
  <c r="L174" i="1"/>
  <c r="BK174" i="1"/>
  <c r="AJ174" i="1"/>
  <c r="BH174" i="1"/>
  <c r="AH174" i="1"/>
  <c r="AL174" i="1"/>
  <c r="BD174" i="1"/>
  <c r="BL174" i="1"/>
  <c r="J174" i="1"/>
  <c r="H174" i="1"/>
  <c r="G174" i="1"/>
  <c r="BG174" i="1"/>
  <c r="AE174" i="1"/>
  <c r="F174" i="1"/>
  <c r="BJ174" i="1"/>
  <c r="AI174" i="1"/>
  <c r="I174" i="1"/>
  <c r="AG174" i="1"/>
  <c r="BE174" i="1"/>
  <c r="AF174" i="1"/>
  <c r="BF174" i="1"/>
  <c r="O174" i="1"/>
  <c r="BO174" i="1"/>
  <c r="N174" i="1"/>
  <c r="K174" i="1"/>
  <c r="AK174" i="1"/>
  <c r="BI174" i="1"/>
  <c r="E174" i="1"/>
  <c r="BN174" i="1"/>
  <c r="AN174" i="1"/>
  <c r="M174" i="1"/>
  <c r="AP174" i="1"/>
  <c r="BC174" i="1"/>
  <c r="AO174" i="1"/>
  <c r="V174" i="1"/>
  <c r="Y174" i="1"/>
  <c r="W174" i="1"/>
  <c r="S174" i="1"/>
  <c r="X174" i="1"/>
  <c r="R174" i="1"/>
  <c r="Z174" i="1"/>
  <c r="U174" i="1"/>
  <c r="T174" i="1"/>
  <c r="AC174" i="1"/>
  <c r="Q174" i="1"/>
  <c r="AB174" i="1"/>
  <c r="P174" i="1"/>
  <c r="AA174" i="1"/>
  <c r="AD174" i="1"/>
  <c r="AR174" i="1" l="1"/>
  <c r="AU174" i="1"/>
  <c r="BB174" i="1"/>
  <c r="AS174" i="1"/>
  <c r="AW174" i="1"/>
  <c r="AT174" i="1"/>
  <c r="AY174" i="1"/>
  <c r="AZ174" i="1"/>
  <c r="AV174" i="1"/>
  <c r="AQ174" i="1"/>
  <c r="AX174" i="1"/>
  <c r="BA174" i="1"/>
</calcChain>
</file>

<file path=xl/sharedStrings.xml><?xml version="1.0" encoding="utf-8"?>
<sst xmlns="http://schemas.openxmlformats.org/spreadsheetml/2006/main" count="891" uniqueCount="307">
  <si>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</si>
  <si>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</si>
  <si>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</si>
  <si>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</si>
  <si>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</si>
  <si>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</si>
  <si>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</si>
  <si>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</si>
  <si>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</si>
  <si>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</si>
  <si>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</si>
  <si>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</si>
  <si>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</si>
  <si>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</si>
  <si>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</si>
  <si>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</si>
  <si>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</si>
  <si>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</si>
  <si>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</si>
  <si>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</si>
  <si>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</si>
  <si>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</si>
  <si>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</si>
  <si>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</si>
  <si>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</si>
  <si>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</si>
  <si>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</si>
  <si>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</si>
  <si>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</si>
  <si>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</si>
  <si>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</si>
  <si>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</si>
  <si>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</si>
  <si>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</si>
  <si>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</si>
  <si>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</si>
  <si>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</si>
  <si>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</si>
  <si>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</si>
  <si>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</si>
  <si>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</si>
  <si>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</si>
  <si>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</si>
  <si>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</si>
  <si>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</si>
  <si>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</si>
  <si>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</si>
  <si>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</si>
  <si>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</si>
  <si>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</si>
  <si>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</si>
  <si>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</si>
  <si>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</si>
  <si>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</si>
  <si>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</si>
  <si>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</si>
  <si>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</si>
  <si>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</si>
  <si>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</si>
  <si>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</si>
  <si>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</si>
  <si>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</si>
  <si>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</si>
  <si>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</si>
  <si>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</si>
  <si>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</si>
  <si>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</si>
  <si>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</si>
  <si>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</si>
  <si>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</si>
  <si>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</si>
  <si>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</si>
  <si>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</si>
  <si>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</si>
  <si>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</si>
  <si>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</si>
  <si>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</si>
  <si>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</si>
  <si>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</si>
  <si>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</si>
  <si>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</si>
  <si>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</si>
  <si>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</si>
  <si>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</si>
  <si>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</si>
  <si>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</si>
  <si>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</si>
  <si>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</si>
  <si>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</si>
  <si>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</si>
  <si>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</si>
  <si>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</si>
  <si>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</si>
  <si>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</si>
  <si>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</si>
  <si>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</si>
  <si>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</si>
  <si>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</si>
  <si>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</si>
  <si>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</si>
  <si>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</si>
  <si>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</si>
  <si>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</si>
  <si>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</si>
  <si>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</si>
  <si>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</si>
  <si>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</si>
  <si>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</si>
  <si>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</si>
  <si>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</si>
  <si>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</si>
  <si>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</si>
  <si>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</si>
  <si>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</si>
  <si>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</si>
  <si>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</si>
  <si>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</si>
  <si>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</si>
  <si>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</si>
  <si>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</si>
  <si>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</si>
  <si>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</si>
  <si>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</si>
  <si>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</si>
  <si>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</si>
  <si>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</si>
  <si>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</si>
  <si>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</si>
  <si>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</si>
  <si>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</si>
  <si>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</si>
  <si>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</si>
  <si>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</si>
  <si>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</si>
  <si>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</si>
  <si>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</si>
  <si>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</si>
  <si>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</si>
  <si>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</si>
  <si>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</si>
  <si>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</si>
  <si>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</si>
  <si>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</si>
  <si>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</si>
  <si>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</si>
  <si>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</si>
  <si>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</si>
  <si>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</si>
  <si>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</si>
  <si>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</si>
  <si>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</si>
  <si>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</si>
  <si>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</si>
  <si>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</si>
  <si>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</si>
  <si>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</si>
  <si>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</si>
  <si>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</si>
  <si>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</si>
  <si>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</si>
  <si>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</si>
  <si>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</si>
  <si>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</si>
  <si>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</si>
  <si>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</si>
  <si>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</si>
  <si>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</si>
  <si>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</si>
  <si>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</si>
  <si>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</si>
  <si>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</si>
  <si>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</si>
  <si>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</si>
  <si>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</si>
  <si>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</si>
  <si>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</si>
  <si>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</si>
  <si>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</si>
  <si>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</si>
  <si>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</si>
  <si>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</si>
  <si>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</si>
  <si>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</si>
  <si>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</si>
  <si>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</si>
  <si>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</si>
  <si>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</si>
  <si>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</si>
  <si>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</si>
  <si>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</si>
  <si>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</si>
  <si>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</si>
  <si>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</si>
  <si>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</si>
  <si>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</si>
  <si>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</si>
  <si>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</si>
  <si>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</si>
  <si>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</si>
  <si>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</si>
  <si>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</si>
  <si>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</si>
  <si>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</si>
  <si>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</si>
  <si>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</si>
  <si>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</si>
  <si>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</si>
  <si>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</si>
  <si>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</si>
  <si>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</si>
  <si>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七条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</si>
  <si>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</si>
  <si>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</si>
  <si>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</si>
  <si>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</si>
  <si>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</si>
  <si>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</si>
  <si>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</si>
  <si>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二条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</si>
  <si>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</si>
  <si>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</si>
  <si>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</si>
  <si>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</si>
  <si>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</si>
  <si>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</si>
  <si>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</si>
  <si>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</si>
  <si>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</si>
  <si>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</si>
  <si>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</si>
  <si>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</si>
  <si>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</si>
  <si>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</si>
  <si>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</si>
  <si>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</si>
  <si>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</si>
  <si>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</si>
  <si>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</si>
  <si>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</si>
  <si>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</si>
  <si>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</si>
  <si>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</si>
  <si>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</si>
  <si>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</si>
  <si>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桂花(5),</t>
    <phoneticPr fontId="1" type="noConversion"/>
  </si>
  <si>
    <t>无双小狮妹</t>
    <phoneticPr fontId="1" type="noConversion"/>
  </si>
  <si>
    <t>幻</t>
    <phoneticPr fontId="1" type="noConversion"/>
  </si>
  <si>
    <t>螃蟹(5),</t>
    <phoneticPr fontId="1" type="noConversion"/>
  </si>
  <si>
    <t>神农鼎(10),</t>
    <phoneticPr fontId="1" type="noConversion"/>
  </si>
  <si>
    <t>金甲虫(191),</t>
    <phoneticPr fontId="1" type="noConversion"/>
  </si>
  <si>
    <t>超进阶素材光(45),_x000D_
超进阶素材暗(45),</t>
    <phoneticPr fontId="1" type="noConversion"/>
  </si>
  <si>
    <t>糯米(10),_x000D_
粽叶(10),</t>
    <phoneticPr fontId="1" type="noConversion"/>
  </si>
  <si>
    <t>糯米(2),</t>
    <phoneticPr fontId="1" type="noConversion"/>
  </si>
  <si>
    <t>糯米(3),</t>
    <phoneticPr fontId="1" type="noConversion"/>
  </si>
  <si>
    <t>女娲石(4),</t>
    <phoneticPr fontId="1" type="noConversion"/>
  </si>
  <si>
    <t>桂花酒(5),</t>
    <phoneticPr fontId="1" type="noConversion"/>
  </si>
  <si>
    <t>神农鼎(5),</t>
    <phoneticPr fontId="1" type="noConversion"/>
  </si>
  <si>
    <t>神农鼎(6),</t>
    <phoneticPr fontId="1" type="noConversion"/>
  </si>
  <si>
    <t>金甲虫(41),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</si>
  <si>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</si>
  <si>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</si>
  <si>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</si>
  <si>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</si>
  <si>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</si>
  <si>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</si>
  <si>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</si>
  <si>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</si>
  <si>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</si>
  <si>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</si>
  <si>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光仕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</si>
  <si>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</si>
  <si>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</si>
  <si>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</si>
  <si>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</si>
  <si>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</si>
  <si>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</si>
  <si>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彗星(1),</t>
    <phoneticPr fontId="1" type="noConversion"/>
  </si>
  <si>
    <t>仙丹(2),</t>
    <phoneticPr fontId="1" type="noConversion"/>
  </si>
  <si>
    <t>彗星(11),</t>
    <phoneticPr fontId="1" type="noConversion"/>
  </si>
  <si>
    <t>糯米(3),_x000D_
粽叶(5),</t>
    <phoneticPr fontId="1" type="noConversion"/>
  </si>
  <si>
    <t>女娲石(9),</t>
    <phoneticPr fontId="1" type="noConversion"/>
  </si>
  <si>
    <t>神农鼎(15),</t>
    <phoneticPr fontId="1" type="noConversion"/>
  </si>
  <si>
    <t>女娲石(4),_x000D_
彗星(21),</t>
    <phoneticPr fontId="1" type="noConversion"/>
  </si>
  <si>
    <t>神农鼎(7),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</si>
  <si>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</si>
  <si>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</si>
  <si>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神农鼎(15),</t>
    <phoneticPr fontId="1" type="noConversion"/>
  </si>
  <si>
    <t>超进阶素材火(13),_x000D_
超进阶素材光(45),_x000D_
超进阶素材暗(45),</t>
    <phoneticPr fontId="1" type="noConversion"/>
  </si>
  <si>
    <t>七万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</si>
  <si>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</si>
  <si>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</si>
  <si>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</si>
  <si>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</si>
  <si>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女娲石(4),_x000D_
六方天运骰(4),</t>
    <phoneticPr fontId="1" type="noConversion"/>
  </si>
  <si>
    <t>女娲石(4),_x000D_
骰子大(8),</t>
    <phoneticPr fontId="1" type="noConversion"/>
  </si>
  <si>
    <t>神农鼎(10),_x000D_
欠条大(7),_x000D_
骰子大(8),</t>
    <phoneticPr fontId="1" type="noConversion"/>
  </si>
  <si>
    <t>神农鼎(10),_x000D_
欠条大(7),</t>
    <phoneticPr fontId="1" type="noConversion"/>
  </si>
  <si>
    <t>秘窟冰晶卵(6),_x000D_
力量符文叉大(13),_x000D_
速度符文叉大(8),</t>
    <phoneticPr fontId="1" type="noConversion"/>
  </si>
  <si>
    <t>欠条大(4),</t>
    <phoneticPr fontId="1" type="noConversion"/>
  </si>
  <si>
    <t>骰子大(5),</t>
    <phoneticPr fontId="1" type="noConversion"/>
  </si>
  <si>
    <t>欠条大(7),</t>
    <phoneticPr fontId="1" type="noConversion"/>
  </si>
  <si>
    <t>骰子大(8),</t>
    <phoneticPr fontId="1" type="noConversion"/>
  </si>
  <si>
    <t>魅力符文叉大(7),</t>
    <phoneticPr fontId="1" type="noConversion"/>
  </si>
  <si>
    <t>欠条大(7),_x000D_
骰子大(8),</t>
    <phoneticPr fontId="1" type="noConversion"/>
  </si>
  <si>
    <t>力量符文叉大(13),_x000D_
技巧符文叉大(19),</t>
    <phoneticPr fontId="1" type="noConversion"/>
  </si>
  <si>
    <t>女娲石(14),_x000D_
神农鼎(20),</t>
    <phoneticPr fontId="1" type="noConversion"/>
  </si>
  <si>
    <t>女娲石(4),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</si>
</sst>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178</xdr:row>
          <xdr:rowOff>28575</xdr:rowOff>
        </xdr:from>
        <xdr:to>
          <xdr:col>1</xdr:col>
          <xdr:colOff>428625</xdr:colOff>
          <xdr:row>179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79"/>
  <sheetViews>
    <sheetView tabSelected="1" workbookViewId="0">
      <pane xSplit="2" ySplit="1" topLeftCell="AO168" activePane="bottomRight" state="frozen"/>
      <selection pane="topRight" activeCell="C1" sqref="C1"/>
      <selection pane="bottomLeft" activeCell="A3" sqref="A3"/>
      <selection pane="bottomRight" activeCell="AR174" sqref="AR174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74</v>
      </c>
      <c r="BQ1" s="8" t="s">
        <v>75</v>
      </c>
      <c r="BR1" s="16" t="s">
        <v>76</v>
      </c>
      <c r="BS1" s="16"/>
      <c r="BT1" s="13" t="s">
        <v>242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86</v>
      </c>
      <c r="C3" s="1" t="s">
        <v>87</v>
      </c>
      <c r="D3" s="1" t="s">
        <v>85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s="23" customFormat="1">
      <c r="A4" s="1"/>
      <c r="B4" s="1" t="s">
        <v>151</v>
      </c>
      <c r="C4" s="1" t="s">
        <v>83</v>
      </c>
      <c r="D4" s="1" t="s">
        <v>85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>
        <f>SUM(P4:AD4)</f>
        <v>0</v>
      </c>
      <c r="BU4" s="23">
        <f>AF4+AH4+AI4+AJ4+AO4+AP4</f>
        <v>0</v>
      </c>
    </row>
    <row r="5" spans="1:73">
      <c r="A5" s="1">
        <v>91</v>
      </c>
      <c r="B5" s="3" t="s">
        <v>64</v>
      </c>
      <c r="C5" s="3" t="s">
        <v>63</v>
      </c>
      <c r="D5" s="1" t="s"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>
        <v>5</v>
      </c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5</v>
      </c>
      <c r="BQ5" s="1">
        <v>0</v>
      </c>
      <c r="BR5" s="17">
        <v>0</v>
      </c>
      <c r="BS5" s="17"/>
      <c r="BT5">
        <f>SUM(P5:AD5)</f>
        <v>0</v>
      </c>
      <c r="BU5" s="23">
        <f>AF5+AH5+AI5+AJ5+AO5+AP5</f>
        <v>0</v>
      </c>
    </row>
    <row r="6" spans="1:73" s="39" customFormat="1">
      <c r="A6" s="1"/>
      <c r="B6" s="1" t="s">
        <v>158</v>
      </c>
      <c r="C6" s="1" t="s">
        <v>87</v>
      </c>
      <c r="D6" s="1" t="s">
        <v>85</v>
      </c>
      <c r="E6" s="6">
        <v>6</v>
      </c>
      <c r="F6" s="6">
        <v>6</v>
      </c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>
        <v>10</v>
      </c>
      <c r="AT6" s="4"/>
      <c r="AU6" s="4"/>
      <c r="AV6" s="4"/>
      <c r="AW6" s="2"/>
      <c r="AX6" s="2">
        <v>10</v>
      </c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32</v>
      </c>
      <c r="BQ6" s="1">
        <v>0</v>
      </c>
      <c r="BR6" s="17">
        <v>0</v>
      </c>
      <c r="BS6" s="17"/>
      <c r="BT6">
        <f>SUM(P6:AD6)</f>
        <v>0</v>
      </c>
      <c r="BU6" s="23">
        <f>AF6+AH6+AI6+AJ6+AO6+AP6</f>
        <v>0</v>
      </c>
    </row>
    <row r="7" spans="1:73">
      <c r="A7" s="1">
        <v>45</v>
      </c>
      <c r="B7" s="1" t="s">
        <v>82</v>
      </c>
      <c r="C7" s="1" t="s">
        <v>36</v>
      </c>
      <c r="D7" s="1" t="s">
        <v>9</v>
      </c>
      <c r="E7" s="6">
        <v>6</v>
      </c>
      <c r="F7" s="6"/>
      <c r="G7" s="6"/>
      <c r="H7" s="6"/>
      <c r="I7" s="6"/>
      <c r="J7" s="6"/>
      <c r="K7" s="6"/>
      <c r="L7" s="6"/>
      <c r="M7" s="6">
        <v>6</v>
      </c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>
        <v>10</v>
      </c>
      <c r="AR7" s="4"/>
      <c r="AS7" s="4"/>
      <c r="AT7" s="4"/>
      <c r="AU7" s="4"/>
      <c r="AV7" s="4"/>
      <c r="AW7" s="2"/>
      <c r="AX7" s="2"/>
      <c r="AY7" s="2"/>
      <c r="AZ7" s="2">
        <v>10</v>
      </c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32</v>
      </c>
      <c r="BQ7" s="1">
        <v>0</v>
      </c>
      <c r="BR7" s="17">
        <v>0</v>
      </c>
      <c r="BS7" s="17"/>
      <c r="BT7">
        <f>SUM(P7:AD7)</f>
        <v>0</v>
      </c>
      <c r="BU7" s="23">
        <f>AF7+AH7+AI7+AJ7+AO7+AP7</f>
        <v>0</v>
      </c>
    </row>
    <row r="8" spans="1:73">
      <c r="A8" s="1"/>
      <c r="B8" s="1" t="s">
        <v>182</v>
      </c>
      <c r="C8" s="1" t="s">
        <v>1</v>
      </c>
      <c r="D8" s="1" t="s">
        <v>181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>
        <v>10</v>
      </c>
      <c r="AS8" s="4"/>
      <c r="AT8" s="4"/>
      <c r="AU8" s="4"/>
      <c r="AV8" s="4"/>
      <c r="AW8" s="2"/>
      <c r="AX8" s="2"/>
      <c r="AY8" s="2"/>
      <c r="AZ8" s="2">
        <v>10</v>
      </c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20</v>
      </c>
      <c r="BQ8" s="1">
        <v>0</v>
      </c>
      <c r="BR8" s="17">
        <v>0</v>
      </c>
      <c r="BS8" s="17"/>
      <c r="BT8">
        <f>SUM(P8:AD8)</f>
        <v>0</v>
      </c>
      <c r="BU8" s="23">
        <f>AF8+AH8+AI8+AJ8+AO8+AP8</f>
        <v>0</v>
      </c>
    </row>
    <row r="9" spans="1:73">
      <c r="A9" s="1"/>
      <c r="B9" s="1" t="s">
        <v>176</v>
      </c>
      <c r="C9" s="1" t="s">
        <v>98</v>
      </c>
      <c r="D9" s="1" t="s">
        <v>85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>
        <f>SUM(P9:AD9)</f>
        <v>0</v>
      </c>
      <c r="BU9" s="23">
        <f>AF9+AH9+AI9+AJ9+AO9+AP9</f>
        <v>0</v>
      </c>
    </row>
    <row r="10" spans="1:73">
      <c r="A10" s="1"/>
      <c r="B10" s="1" t="s">
        <v>183</v>
      </c>
      <c r="C10" s="1" t="s">
        <v>184</v>
      </c>
      <c r="D10" s="1" t="s">
        <v>185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>
        <v>15</v>
      </c>
      <c r="AV10" s="4"/>
      <c r="AW10" s="2"/>
      <c r="AX10" s="2"/>
      <c r="AY10" s="2">
        <v>15</v>
      </c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0</v>
      </c>
      <c r="BU10" s="23">
        <f>AF10+AH10+AI10+AJ10+AO10+AP10</f>
        <v>0</v>
      </c>
    </row>
    <row r="11" spans="1:73" s="49" customFormat="1">
      <c r="A11" s="1"/>
      <c r="B11" s="1" t="s">
        <v>157</v>
      </c>
      <c r="C11" s="1" t="s">
        <v>98</v>
      </c>
      <c r="D11" s="1" t="s">
        <v>84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>
        <v>10</v>
      </c>
      <c r="BB11" s="2">
        <v>10</v>
      </c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20</v>
      </c>
      <c r="BQ11" s="1">
        <v>0</v>
      </c>
      <c r="BR11" s="17">
        <v>0</v>
      </c>
      <c r="BS11" s="17"/>
      <c r="BT11">
        <f>SUM(P11:AD11)</f>
        <v>0</v>
      </c>
      <c r="BU11" s="23">
        <f>AF11+AH11+AI11+AJ11+AO11+AP11</f>
        <v>0</v>
      </c>
    </row>
    <row r="12" spans="1:73" hidden="1">
      <c r="A12" s="1"/>
      <c r="B12" s="1" t="s">
        <v>127</v>
      </c>
      <c r="C12" s="1" t="s">
        <v>128</v>
      </c>
      <c r="D12" s="1" t="s">
        <v>101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/>
      <c r="W12" s="28"/>
      <c r="X12" s="28"/>
      <c r="Y12" s="28"/>
      <c r="Z12" s="28">
        <v>5</v>
      </c>
      <c r="AA12" s="28"/>
      <c r="AB12" s="28">
        <v>10</v>
      </c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35</v>
      </c>
      <c r="BQ12" s="1">
        <v>0</v>
      </c>
      <c r="BR12" s="17">
        <v>0</v>
      </c>
      <c r="BS12" s="17"/>
      <c r="BT12">
        <f>SUM(P12:AD12)</f>
        <v>35</v>
      </c>
      <c r="BU12" s="23">
        <f>AF12+AH12+AI12+AJ12+AO12+AP12</f>
        <v>0</v>
      </c>
    </row>
    <row r="13" spans="1:73" hidden="1">
      <c r="A13" s="1"/>
      <c r="B13" s="3" t="s">
        <v>205</v>
      </c>
      <c r="C13" s="3" t="s">
        <v>50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>
        <v>2</v>
      </c>
      <c r="S13" s="28"/>
      <c r="T13" s="28"/>
      <c r="U13" s="28">
        <v>2</v>
      </c>
      <c r="V13" s="28"/>
      <c r="W13" s="28"/>
      <c r="X13" s="28">
        <v>2</v>
      </c>
      <c r="Y13" s="28"/>
      <c r="Z13" s="28">
        <v>5</v>
      </c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11</v>
      </c>
      <c r="BQ13" s="1">
        <v>0</v>
      </c>
      <c r="BR13" s="17">
        <v>0</v>
      </c>
      <c r="BS13" s="17"/>
      <c r="BT13">
        <f>SUM(P13:AD13)</f>
        <v>11</v>
      </c>
      <c r="BU13" s="23">
        <f>AF13+AH13+AI13+AJ13+AO13+AP13</f>
        <v>0</v>
      </c>
    </row>
    <row r="14" spans="1:73" hidden="1">
      <c r="A14" s="1"/>
      <c r="B14" s="1" t="s">
        <v>112</v>
      </c>
      <c r="C14" s="1" t="s">
        <v>100</v>
      </c>
      <c r="D14" s="1" t="s">
        <v>101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/>
      <c r="W14" s="28">
        <v>5</v>
      </c>
      <c r="X14" s="28"/>
      <c r="Y14" s="28"/>
      <c r="Z14" s="28"/>
      <c r="AA14" s="28"/>
      <c r="AB14" s="28">
        <v>10</v>
      </c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0</v>
      </c>
      <c r="BR14" s="17">
        <v>0</v>
      </c>
      <c r="BS14" s="17"/>
      <c r="BT14">
        <f>SUM(P14:AD14)</f>
        <v>35</v>
      </c>
      <c r="BU14" s="23">
        <f>AF14+AH14+AI14+AJ14+AO14+AP14</f>
        <v>0</v>
      </c>
    </row>
    <row r="15" spans="1:73" hidden="1">
      <c r="A15" s="1"/>
      <c r="B15" s="1" t="s">
        <v>117</v>
      </c>
      <c r="C15" s="1" t="s">
        <v>100</v>
      </c>
      <c r="D15" s="1" t="s">
        <v>101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/>
      <c r="W15" s="28">
        <v>5</v>
      </c>
      <c r="X15" s="28"/>
      <c r="Y15" s="28"/>
      <c r="Z15" s="28"/>
      <c r="AA15" s="28"/>
      <c r="AB15" s="28">
        <v>10</v>
      </c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 hidden="1">
      <c r="A16" s="1"/>
      <c r="B16" s="1" t="s">
        <v>121</v>
      </c>
      <c r="C16" s="1" t="s">
        <v>119</v>
      </c>
      <c r="D16" s="1" t="s">
        <v>101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/>
      <c r="W16" s="28">
        <v>5</v>
      </c>
      <c r="X16" s="28"/>
      <c r="Y16" s="28"/>
      <c r="Z16" s="28"/>
      <c r="AA16" s="28"/>
      <c r="AB16" s="28">
        <v>10</v>
      </c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 hidden="1">
      <c r="A17" s="1"/>
      <c r="B17" s="1" t="s">
        <v>125</v>
      </c>
      <c r="C17" s="1" t="s">
        <v>123</v>
      </c>
      <c r="D17" s="1" t="s">
        <v>101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/>
      <c r="W17" s="28">
        <v>5</v>
      </c>
      <c r="X17" s="28"/>
      <c r="Y17" s="28"/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 hidden="1">
      <c r="A18" s="1"/>
      <c r="B18" s="1" t="s">
        <v>131</v>
      </c>
      <c r="C18" s="1" t="s">
        <v>130</v>
      </c>
      <c r="D18" s="1" t="s">
        <v>101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>
        <v>10</v>
      </c>
      <c r="Q18" s="28"/>
      <c r="R18" s="28"/>
      <c r="S18" s="28">
        <v>10</v>
      </c>
      <c r="T18" s="28"/>
      <c r="U18" s="28"/>
      <c r="V18" s="28"/>
      <c r="W18" s="28">
        <v>5</v>
      </c>
      <c r="X18" s="28"/>
      <c r="Y18" s="28"/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 hidden="1">
      <c r="A19" s="1"/>
      <c r="B19" s="1" t="s">
        <v>136</v>
      </c>
      <c r="C19" s="1" t="s">
        <v>98</v>
      </c>
      <c r="D19" s="1" t="s">
        <v>137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>
        <v>10</v>
      </c>
      <c r="Q19" s="28"/>
      <c r="R19" s="28"/>
      <c r="S19" s="28">
        <v>10</v>
      </c>
      <c r="T19" s="28"/>
      <c r="U19" s="28"/>
      <c r="V19" s="28"/>
      <c r="W19" s="28">
        <v>5</v>
      </c>
      <c r="X19" s="28"/>
      <c r="Y19" s="28"/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hidden="1">
      <c r="A20" s="59"/>
      <c r="B20" s="59" t="s">
        <v>203</v>
      </c>
      <c r="C20" s="59" t="s">
        <v>130</v>
      </c>
      <c r="D20" s="59" t="s">
        <v>102</v>
      </c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1"/>
      <c r="Q20" s="61"/>
      <c r="R20" s="61"/>
      <c r="S20" s="61"/>
      <c r="T20" s="61"/>
      <c r="U20" s="61">
        <v>2</v>
      </c>
      <c r="V20" s="61"/>
      <c r="W20" s="61"/>
      <c r="X20" s="61"/>
      <c r="Y20" s="61"/>
      <c r="Z20" s="61"/>
      <c r="AA20" s="61">
        <v>2</v>
      </c>
      <c r="AB20" s="61"/>
      <c r="AC20" s="61">
        <v>5</v>
      </c>
      <c r="AD20" s="61">
        <v>2</v>
      </c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62"/>
      <c r="AR20" s="62"/>
      <c r="AS20" s="62"/>
      <c r="AT20" s="62"/>
      <c r="AU20" s="62"/>
      <c r="AV20" s="62"/>
      <c r="AW20" s="63"/>
      <c r="AX20" s="63"/>
      <c r="AY20" s="63"/>
      <c r="AZ20" s="63"/>
      <c r="BA20" s="63"/>
      <c r="BB20" s="63"/>
      <c r="BC20" s="64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9"/>
      <c r="BO20" s="59"/>
      <c r="BP20" s="59">
        <f>SUM(E20:BO20)</f>
        <v>11</v>
      </c>
      <c r="BQ20" s="59">
        <v>0</v>
      </c>
      <c r="BR20" s="65">
        <v>0</v>
      </c>
      <c r="BS20" s="65"/>
      <c r="BT20">
        <f>SUM(P20:AD20)</f>
        <v>11</v>
      </c>
      <c r="BU20" s="23">
        <f>AF20+AH20+AI20+AJ20+AO20+AP20</f>
        <v>0</v>
      </c>
    </row>
    <row r="21" spans="1:73" hidden="1">
      <c r="A21" s="1"/>
      <c r="B21" s="1" t="s">
        <v>134</v>
      </c>
      <c r="C21" s="1" t="s">
        <v>130</v>
      </c>
      <c r="D21" s="1" t="s">
        <v>103</v>
      </c>
      <c r="E21" s="6"/>
      <c r="F21" s="6"/>
      <c r="G21" s="6">
        <v>5</v>
      </c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5</v>
      </c>
      <c r="W21" s="28"/>
      <c r="X21" s="28"/>
      <c r="Y21" s="28">
        <v>5</v>
      </c>
      <c r="Z21" s="28"/>
      <c r="AA21" s="28"/>
      <c r="AB21" s="28"/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20</v>
      </c>
      <c r="BQ21" s="1">
        <v>0</v>
      </c>
      <c r="BR21" s="17">
        <v>0</v>
      </c>
      <c r="BS21" s="17"/>
      <c r="BT21">
        <f>SUM(P21:AD21)</f>
        <v>15</v>
      </c>
      <c r="BU21" s="23">
        <f>AF21+AH21+AI21+AJ21+AO21+AP21</f>
        <v>0</v>
      </c>
    </row>
    <row r="22" spans="1:73" s="23" customFormat="1" hidden="1">
      <c r="A22" s="1"/>
      <c r="B22" s="3" t="s">
        <v>209</v>
      </c>
      <c r="C22" s="3" t="s">
        <v>24</v>
      </c>
      <c r="D22" s="1" t="s">
        <v>206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>
        <v>10</v>
      </c>
      <c r="Q22" s="28"/>
      <c r="R22" s="28"/>
      <c r="S22" s="28">
        <v>10</v>
      </c>
      <c r="T22" s="28"/>
      <c r="U22" s="28"/>
      <c r="V22" s="28"/>
      <c r="W22" s="28">
        <v>5</v>
      </c>
      <c r="X22" s="28"/>
      <c r="Y22" s="28"/>
      <c r="Z22" s="28"/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35</v>
      </c>
      <c r="BQ22" s="1">
        <v>0</v>
      </c>
      <c r="BR22" s="17">
        <v>0</v>
      </c>
      <c r="BS22" s="17"/>
      <c r="BT22">
        <f>SUM(P22:AD22)</f>
        <v>35</v>
      </c>
      <c r="BU22" s="23">
        <f>AF22+AH22+AI22+AJ22+AO22+AP22</f>
        <v>0</v>
      </c>
    </row>
    <row r="23" spans="1:73" hidden="1">
      <c r="A23" s="1"/>
      <c r="B23" s="3" t="s">
        <v>210</v>
      </c>
      <c r="C23" s="3" t="s">
        <v>211</v>
      </c>
      <c r="D23" s="1" t="s"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>
        <v>2</v>
      </c>
      <c r="Y23" s="28"/>
      <c r="Z23" s="28"/>
      <c r="AA23" s="28">
        <v>2</v>
      </c>
      <c r="AB23" s="28"/>
      <c r="AC23" s="28">
        <v>5</v>
      </c>
      <c r="AD23" s="28">
        <v>2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11</v>
      </c>
      <c r="BQ23" s="1">
        <v>0</v>
      </c>
      <c r="BR23" s="17">
        <v>0</v>
      </c>
      <c r="BS23" s="17"/>
      <c r="BT23">
        <f>SUM(P23:AD23)</f>
        <v>11</v>
      </c>
      <c r="BU23" s="23">
        <f>AF23+AH23+AI23+AJ23+AO23+AP23</f>
        <v>0</v>
      </c>
    </row>
    <row r="24" spans="1:73" hidden="1">
      <c r="A24" s="1"/>
      <c r="B24" s="3" t="s">
        <v>212</v>
      </c>
      <c r="C24" s="3" t="s">
        <v>213</v>
      </c>
      <c r="D24" s="1" t="s">
        <v>206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>
        <v>10</v>
      </c>
      <c r="Q24" s="28"/>
      <c r="R24" s="28"/>
      <c r="S24" s="28">
        <v>10</v>
      </c>
      <c r="T24" s="28"/>
      <c r="U24" s="28"/>
      <c r="V24" s="28"/>
      <c r="W24" s="28">
        <v>5</v>
      </c>
      <c r="X24" s="28"/>
      <c r="Y24" s="28"/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hidden="1">
      <c r="A25" s="1"/>
      <c r="B25" s="3" t="s">
        <v>214</v>
      </c>
      <c r="C25" s="3" t="s">
        <v>213</v>
      </c>
      <c r="D25" s="1" t="s">
        <v>206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>
        <v>10</v>
      </c>
      <c r="Q25" s="28"/>
      <c r="R25" s="28"/>
      <c r="S25" s="28">
        <v>10</v>
      </c>
      <c r="T25" s="28"/>
      <c r="U25" s="28"/>
      <c r="V25" s="28"/>
      <c r="W25" s="28">
        <v>5</v>
      </c>
      <c r="X25" s="28"/>
      <c r="Y25" s="28"/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35</v>
      </c>
      <c r="BQ25" s="1">
        <v>0</v>
      </c>
      <c r="BR25" s="17">
        <v>0</v>
      </c>
      <c r="BS25" s="17"/>
      <c r="BT25">
        <f>SUM(P25:AD25)</f>
        <v>35</v>
      </c>
      <c r="BU25" s="23">
        <f>AF25+AH25+AI25+AJ25+AO25+AP25</f>
        <v>0</v>
      </c>
    </row>
    <row r="26" spans="1:73" hidden="1">
      <c r="A26" s="1"/>
      <c r="B26" s="3" t="s">
        <v>216</v>
      </c>
      <c r="C26" s="3" t="s">
        <v>99</v>
      </c>
      <c r="D26" s="1" t="s">
        <v>206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>
        <v>10</v>
      </c>
      <c r="Q26" s="28"/>
      <c r="R26" s="28"/>
      <c r="S26" s="28">
        <v>10</v>
      </c>
      <c r="T26" s="28"/>
      <c r="U26" s="28"/>
      <c r="V26" s="28"/>
      <c r="W26" s="28">
        <v>5</v>
      </c>
      <c r="X26" s="28"/>
      <c r="Y26" s="28"/>
      <c r="Z26" s="28"/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35</v>
      </c>
      <c r="BQ26" s="1">
        <v>0</v>
      </c>
      <c r="BR26" s="17">
        <v>0</v>
      </c>
      <c r="BS26" s="17"/>
      <c r="BT26">
        <f>SUM(P26:AD26)</f>
        <v>35</v>
      </c>
      <c r="BU26" s="23">
        <f>AF26+AH26+AI26+AJ26+AO26+AP26</f>
        <v>0</v>
      </c>
    </row>
    <row r="27" spans="1:73" s="48" customFormat="1" hidden="1">
      <c r="A27" s="1"/>
      <c r="B27" s="3" t="s">
        <v>219</v>
      </c>
      <c r="C27" s="3" t="s">
        <v>99</v>
      </c>
      <c r="D27" s="1" t="s">
        <v>206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/>
      <c r="W27" s="28">
        <v>5</v>
      </c>
      <c r="X27" s="28"/>
      <c r="Y27" s="28"/>
      <c r="Z27" s="28"/>
      <c r="AA27" s="28"/>
      <c r="AB27" s="28">
        <v>10</v>
      </c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35</v>
      </c>
      <c r="BQ27" s="1">
        <v>0</v>
      </c>
      <c r="BR27" s="17">
        <v>0</v>
      </c>
      <c r="BS27" s="17"/>
      <c r="BT27">
        <f>SUM(P27:AD27)</f>
        <v>35</v>
      </c>
      <c r="BU27" s="23">
        <f>AF27+AH27+AI27+AJ27+AO27+AP27</f>
        <v>0</v>
      </c>
    </row>
    <row r="28" spans="1:73" hidden="1">
      <c r="A28" s="1"/>
      <c r="B28" s="3" t="s">
        <v>218</v>
      </c>
      <c r="C28" s="3" t="s">
        <v>99</v>
      </c>
      <c r="D28" s="1" t="s">
        <v>207</v>
      </c>
      <c r="E28" s="6"/>
      <c r="F28" s="6"/>
      <c r="G28" s="6"/>
      <c r="H28" s="6"/>
      <c r="I28" s="6"/>
      <c r="J28" s="6">
        <v>5</v>
      </c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>
        <v>5</v>
      </c>
      <c r="W28" s="28"/>
      <c r="X28" s="28"/>
      <c r="Y28" s="28">
        <v>5</v>
      </c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0</v>
      </c>
      <c r="BR28" s="17">
        <v>0</v>
      </c>
      <c r="BS28" s="17"/>
      <c r="BT28">
        <f>SUM(P28:AD28)</f>
        <v>15</v>
      </c>
      <c r="BU28" s="23">
        <f>AF28+AH28+AI28+AJ28+AO28+AP28</f>
        <v>0</v>
      </c>
    </row>
    <row r="29" spans="1:73">
      <c r="A29" s="1"/>
      <c r="B29" s="1" t="s">
        <v>152</v>
      </c>
      <c r="C29" s="1" t="s">
        <v>83</v>
      </c>
      <c r="D29" s="1" t="s">
        <v>84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>
        <v>15</v>
      </c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>
        <v>15</v>
      </c>
      <c r="BC29" s="14"/>
      <c r="BD29" s="1"/>
      <c r="BE29" s="1"/>
      <c r="BF29" s="1"/>
      <c r="BG29" s="1"/>
      <c r="BH29" s="1">
        <v>15</v>
      </c>
      <c r="BI29" s="1">
        <v>15</v>
      </c>
      <c r="BJ29" s="1"/>
      <c r="BK29" s="1"/>
      <c r="BL29" s="1"/>
      <c r="BM29" s="1"/>
      <c r="BN29" s="1"/>
      <c r="BO29" s="1"/>
      <c r="BP29" s="1">
        <f>SUM(E29:BO29)</f>
        <v>60</v>
      </c>
      <c r="BQ29" s="1">
        <v>0</v>
      </c>
      <c r="BR29" s="17">
        <v>0</v>
      </c>
      <c r="BS29" s="17"/>
      <c r="BT29">
        <f>SUM(P29:AD29)</f>
        <v>0</v>
      </c>
      <c r="BU29" s="23">
        <f>AF29+AH29+AI29+AJ29+AO29+AP29</f>
        <v>0</v>
      </c>
    </row>
    <row r="30" spans="1:73">
      <c r="A30" s="1"/>
      <c r="B30" s="1" t="s">
        <v>150</v>
      </c>
      <c r="C30" s="1" t="s">
        <v>123</v>
      </c>
      <c r="D30" s="1" t="s">
        <v>102</v>
      </c>
      <c r="E30" s="6">
        <v>15</v>
      </c>
      <c r="F30" s="6"/>
      <c r="G30" s="6"/>
      <c r="H30" s="6"/>
      <c r="I30" s="6"/>
      <c r="J30" s="6"/>
      <c r="K30" s="6"/>
      <c r="L30" s="6"/>
      <c r="M30" s="6">
        <v>15</v>
      </c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>
        <v>15</v>
      </c>
      <c r="AX30" s="2"/>
      <c r="AY30" s="2"/>
      <c r="AZ30" s="2"/>
      <c r="BA30" s="2">
        <v>15</v>
      </c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60</v>
      </c>
      <c r="BQ30" s="1">
        <v>0</v>
      </c>
      <c r="BR30" s="17">
        <v>0</v>
      </c>
      <c r="BS30" s="17"/>
      <c r="BT30">
        <f>SUM(P30:AD30)</f>
        <v>0</v>
      </c>
      <c r="BU30" s="23">
        <f>AF30+AH30+AI30+AJ30+AO30+AP30</f>
        <v>0</v>
      </c>
    </row>
    <row r="31" spans="1:73" s="66" customFormat="1" hidden="1">
      <c r="A31" s="1"/>
      <c r="B31" s="1" t="s">
        <v>118</v>
      </c>
      <c r="C31" s="1" t="s">
        <v>119</v>
      </c>
      <c r="D31" s="1" t="s">
        <v>101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0</v>
      </c>
      <c r="BR31" s="17">
        <v>0</v>
      </c>
      <c r="BS31" s="17"/>
      <c r="BT31">
        <f>SUM(P31:AD31)</f>
        <v>40</v>
      </c>
      <c r="BU31" s="23">
        <f>AF31+AH31+AI31+AJ31+AO31+AP31</f>
        <v>0</v>
      </c>
    </row>
    <row r="32" spans="1:73" hidden="1">
      <c r="A32" s="1"/>
      <c r="B32" s="1" t="s">
        <v>124</v>
      </c>
      <c r="C32" s="1" t="s">
        <v>123</v>
      </c>
      <c r="D32" s="1" t="s">
        <v>101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>
        <v>10</v>
      </c>
      <c r="Q32" s="28"/>
      <c r="R32" s="28"/>
      <c r="S32" s="28">
        <v>10</v>
      </c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0</v>
      </c>
      <c r="BR32" s="17">
        <v>0</v>
      </c>
      <c r="BS32" s="17"/>
      <c r="BT32">
        <f>SUM(P32:AD32)</f>
        <v>40</v>
      </c>
      <c r="BU32" s="23">
        <f>AF32+AH32+AI32+AJ32+AO32+AP32</f>
        <v>0</v>
      </c>
    </row>
    <row r="33" spans="1:73" hidden="1">
      <c r="A33" s="1"/>
      <c r="B33" s="1" t="s">
        <v>126</v>
      </c>
      <c r="C33" s="1" t="s">
        <v>128</v>
      </c>
      <c r="D33" s="1" t="s">
        <v>101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>
        <v>10</v>
      </c>
      <c r="Q33" s="28"/>
      <c r="R33" s="28"/>
      <c r="S33" s="28">
        <v>10</v>
      </c>
      <c r="T33" s="28"/>
      <c r="U33" s="28"/>
      <c r="V33" s="28">
        <v>10</v>
      </c>
      <c r="W33" s="28"/>
      <c r="X33" s="28"/>
      <c r="Y33" s="28">
        <v>10</v>
      </c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40</v>
      </c>
      <c r="BQ33" s="1">
        <v>0</v>
      </c>
      <c r="BR33" s="17">
        <v>0</v>
      </c>
      <c r="BS33" s="17"/>
      <c r="BT33">
        <f>SUM(P33:AD33)</f>
        <v>40</v>
      </c>
      <c r="BU33" s="23">
        <f>AF33+AH33+AI33+AJ33+AO33+AP33</f>
        <v>0</v>
      </c>
    </row>
    <row r="34" spans="1:73" hidden="1">
      <c r="A34" s="1"/>
      <c r="B34" s="1" t="s">
        <v>132</v>
      </c>
      <c r="C34" s="1" t="s">
        <v>130</v>
      </c>
      <c r="D34" s="1" t="s">
        <v>101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40</v>
      </c>
      <c r="BU34" s="23">
        <f>AF34+AH34+AI34+AJ34+AO34+AP34</f>
        <v>0</v>
      </c>
    </row>
    <row r="35" spans="1:73" s="58" customFormat="1" hidden="1">
      <c r="A35" s="1"/>
      <c r="B35" s="1" t="s">
        <v>134</v>
      </c>
      <c r="C35" s="1" t="s">
        <v>130</v>
      </c>
      <c r="D35" s="1" t="s">
        <v>101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>
        <v>10</v>
      </c>
      <c r="Q35" s="28"/>
      <c r="R35" s="28"/>
      <c r="S35" s="28">
        <v>10</v>
      </c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0</v>
      </c>
      <c r="BR35" s="17">
        <v>0</v>
      </c>
      <c r="BS35" s="17"/>
      <c r="BT35">
        <f>SUM(P35:AD35)</f>
        <v>40</v>
      </c>
      <c r="BU35" s="23">
        <f>AF35+AH35+AI35+AJ35+AO35+AP35</f>
        <v>0</v>
      </c>
    </row>
    <row r="36" spans="1:73" hidden="1">
      <c r="A36" s="1"/>
      <c r="B36" s="1" t="s">
        <v>135</v>
      </c>
      <c r="C36" s="1" t="s">
        <v>130</v>
      </c>
      <c r="D36" s="1" t="s">
        <v>101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>
        <v>10</v>
      </c>
      <c r="W36" s="28"/>
      <c r="X36" s="28"/>
      <c r="Y36" s="28">
        <v>10</v>
      </c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40</v>
      </c>
      <c r="BQ36" s="1">
        <v>0</v>
      </c>
      <c r="BR36" s="17">
        <v>0</v>
      </c>
      <c r="BS36" s="17"/>
      <c r="BT36">
        <f>SUM(P36:AD36)</f>
        <v>40</v>
      </c>
      <c r="BU36" s="23">
        <f>AF36+AH36+AI36+AJ36+AO36+AP36</f>
        <v>0</v>
      </c>
    </row>
    <row r="37" spans="1:73" hidden="1">
      <c r="A37" s="1"/>
      <c r="B37" s="3" t="s">
        <v>208</v>
      </c>
      <c r="C37" s="3" t="s">
        <v>50</v>
      </c>
      <c r="D37" s="1" t="s">
        <v>206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>
        <v>10</v>
      </c>
      <c r="W37" s="28"/>
      <c r="X37" s="28"/>
      <c r="Y37" s="28">
        <v>10</v>
      </c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40</v>
      </c>
      <c r="BQ37" s="1">
        <v>0</v>
      </c>
      <c r="BR37" s="17">
        <v>0</v>
      </c>
      <c r="BS37" s="17"/>
      <c r="BT37">
        <f>SUM(P37:AD37)</f>
        <v>40</v>
      </c>
      <c r="BU37" s="23">
        <f>AF37+AH37+AI37+AJ37+AO37+AP37</f>
        <v>0</v>
      </c>
    </row>
    <row r="38" spans="1:73" hidden="1">
      <c r="A38" s="1"/>
      <c r="B38" s="3" t="s">
        <v>215</v>
      </c>
      <c r="C38" s="3" t="s">
        <v>213</v>
      </c>
      <c r="D38" s="1" t="s">
        <v>206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40</v>
      </c>
      <c r="BQ38" s="1">
        <v>0</v>
      </c>
      <c r="BR38" s="17">
        <v>0</v>
      </c>
      <c r="BS38" s="17"/>
      <c r="BT38">
        <f>SUM(P38:AD38)</f>
        <v>40</v>
      </c>
      <c r="BU38" s="23">
        <f>AF38+AH38+AI38+AJ38+AO38+AP38</f>
        <v>0</v>
      </c>
    </row>
    <row r="39" spans="1:73" hidden="1">
      <c r="A39" s="1"/>
      <c r="B39" s="3" t="s">
        <v>217</v>
      </c>
      <c r="C39" s="3" t="s">
        <v>99</v>
      </c>
      <c r="D39" s="1" t="s">
        <v>206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40</v>
      </c>
      <c r="BQ39" s="1">
        <v>0</v>
      </c>
      <c r="BR39" s="17">
        <v>0</v>
      </c>
      <c r="BS39" s="17"/>
      <c r="BT39">
        <f>SUM(P39:AD39)</f>
        <v>40</v>
      </c>
      <c r="BU39" s="23">
        <f>AF39+AH39+AI39+AJ39+AO39+AP39</f>
        <v>0</v>
      </c>
    </row>
    <row r="40" spans="1:73" s="48" customFormat="1" hidden="1">
      <c r="A40" s="1"/>
      <c r="B40" s="3" t="s">
        <v>218</v>
      </c>
      <c r="C40" s="3" t="s">
        <v>99</v>
      </c>
      <c r="D40" s="1" t="s">
        <v>206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>
        <v>10</v>
      </c>
      <c r="W40" s="28"/>
      <c r="X40" s="28"/>
      <c r="Y40" s="28">
        <v>10</v>
      </c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40</v>
      </c>
      <c r="BQ40" s="1">
        <v>0</v>
      </c>
      <c r="BR40" s="17">
        <v>0</v>
      </c>
      <c r="BS40" s="17"/>
      <c r="BT40">
        <f>SUM(P40:AD40)</f>
        <v>40</v>
      </c>
      <c r="BU40" s="23">
        <f>AF40+AH40+AI40+AJ40+AO40+AP40</f>
        <v>0</v>
      </c>
    </row>
    <row r="41" spans="1:73" hidden="1">
      <c r="A41" s="1"/>
      <c r="B41" s="1" t="s">
        <v>112</v>
      </c>
      <c r="C41" s="1" t="s">
        <v>100</v>
      </c>
      <c r="D41" s="1" t="s">
        <v>102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>
        <v>2</v>
      </c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17</v>
      </c>
      <c r="BQ41" s="1">
        <v>0</v>
      </c>
      <c r="BR41" s="17">
        <v>0</v>
      </c>
      <c r="BS41" s="17"/>
      <c r="BT41">
        <f>SUM(P41:AD41)</f>
        <v>17</v>
      </c>
      <c r="BU41" s="23">
        <f>AF41+AH41+AI41+AJ41+AO41+AP41</f>
        <v>0</v>
      </c>
    </row>
    <row r="42" spans="1:73" hidden="1">
      <c r="A42" s="1"/>
      <c r="B42" s="1" t="s">
        <v>117</v>
      </c>
      <c r="C42" s="1" t="s">
        <v>100</v>
      </c>
      <c r="D42" s="1" t="s">
        <v>102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>
        <v>5</v>
      </c>
      <c r="R42" s="28">
        <v>2</v>
      </c>
      <c r="S42" s="28"/>
      <c r="T42" s="28">
        <v>5</v>
      </c>
      <c r="U42" s="28"/>
      <c r="V42" s="28"/>
      <c r="W42" s="28"/>
      <c r="X42" s="28"/>
      <c r="Y42" s="28"/>
      <c r="Z42" s="28">
        <v>5</v>
      </c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17</v>
      </c>
      <c r="BQ42" s="1">
        <v>0</v>
      </c>
      <c r="BR42" s="17">
        <v>0</v>
      </c>
      <c r="BS42" s="17"/>
      <c r="BT42">
        <f>SUM(P42:AD42)</f>
        <v>17</v>
      </c>
      <c r="BU42" s="23">
        <f>AF42+AH42+AI42+AJ42+AO42+AP42</f>
        <v>0</v>
      </c>
    </row>
    <row r="43" spans="1:73" hidden="1">
      <c r="A43" s="1"/>
      <c r="B43" s="1" t="s">
        <v>125</v>
      </c>
      <c r="C43" s="1" t="s">
        <v>123</v>
      </c>
      <c r="D43" s="1" t="s">
        <v>102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>
        <v>5</v>
      </c>
      <c r="R43" s="28">
        <v>2</v>
      </c>
      <c r="S43" s="28"/>
      <c r="T43" s="28">
        <v>5</v>
      </c>
      <c r="U43" s="28"/>
      <c r="V43" s="28"/>
      <c r="W43" s="28"/>
      <c r="X43" s="28"/>
      <c r="Y43" s="28"/>
      <c r="Z43" s="28">
        <v>5</v>
      </c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17</v>
      </c>
      <c r="BQ43" s="1">
        <v>0</v>
      </c>
      <c r="BR43" s="17">
        <v>0</v>
      </c>
      <c r="BS43" s="17"/>
      <c r="BT43">
        <f>SUM(P43:AD43)</f>
        <v>17</v>
      </c>
      <c r="BU43" s="23">
        <f>AF43+AH43+AI43+AJ43+AO43+AP43</f>
        <v>0</v>
      </c>
    </row>
    <row r="44" spans="1:73" hidden="1">
      <c r="A44" s="1"/>
      <c r="B44" s="1" t="s">
        <v>127</v>
      </c>
      <c r="C44" s="1" t="s">
        <v>128</v>
      </c>
      <c r="D44" s="1" t="s">
        <v>102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>
        <v>5</v>
      </c>
      <c r="R44" s="28"/>
      <c r="S44" s="28"/>
      <c r="T44" s="28">
        <v>5</v>
      </c>
      <c r="U44" s="28"/>
      <c r="V44" s="28"/>
      <c r="W44" s="28"/>
      <c r="X44" s="28">
        <v>2</v>
      </c>
      <c r="Y44" s="28"/>
      <c r="Z44" s="28">
        <v>5</v>
      </c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17</v>
      </c>
      <c r="BQ44" s="1">
        <v>0</v>
      </c>
      <c r="BR44" s="17">
        <v>0</v>
      </c>
      <c r="BS44" s="17"/>
      <c r="BT44">
        <f>SUM(P44:AD44)</f>
        <v>17</v>
      </c>
      <c r="BU44" s="23">
        <f>AF44+AH44+AI44+AJ44+AO44+AP44</f>
        <v>0</v>
      </c>
    </row>
    <row r="45" spans="1:73" s="48" customFormat="1" hidden="1">
      <c r="A45" s="1"/>
      <c r="B45" s="1" t="s">
        <v>121</v>
      </c>
      <c r="C45" s="1" t="s">
        <v>119</v>
      </c>
      <c r="D45" s="1" t="s">
        <v>102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/>
      <c r="S45" s="28"/>
      <c r="T45" s="28">
        <v>5</v>
      </c>
      <c r="U45" s="28"/>
      <c r="V45" s="28"/>
      <c r="W45" s="28"/>
      <c r="X45" s="28"/>
      <c r="Y45" s="28"/>
      <c r="Z45" s="28">
        <v>5</v>
      </c>
      <c r="AA45" s="28">
        <v>2</v>
      </c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17</v>
      </c>
      <c r="BQ45" s="1">
        <v>0</v>
      </c>
      <c r="BR45" s="17">
        <v>0</v>
      </c>
      <c r="BS45" s="17"/>
      <c r="BT45">
        <f>SUM(P45:AD45)</f>
        <v>17</v>
      </c>
      <c r="BU45" s="23">
        <f>AF45+AH45+AI45+AJ45+AO45+AP45</f>
        <v>0</v>
      </c>
    </row>
    <row r="46" spans="1:73" hidden="1">
      <c r="A46" s="1"/>
      <c r="B46" s="1" t="s">
        <v>131</v>
      </c>
      <c r="C46" s="1" t="s">
        <v>130</v>
      </c>
      <c r="D46" s="1" t="s">
        <v>102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>
        <v>5</v>
      </c>
      <c r="R46" s="28"/>
      <c r="S46" s="28"/>
      <c r="T46" s="28">
        <v>5</v>
      </c>
      <c r="U46" s="28"/>
      <c r="V46" s="28"/>
      <c r="W46" s="28"/>
      <c r="X46" s="28"/>
      <c r="Y46" s="28"/>
      <c r="Z46" s="28">
        <v>5</v>
      </c>
      <c r="AA46" s="28">
        <v>2</v>
      </c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17</v>
      </c>
      <c r="BQ46" s="1">
        <v>0</v>
      </c>
      <c r="BR46" s="17">
        <v>0</v>
      </c>
      <c r="BS46" s="17"/>
      <c r="BT46">
        <f>SUM(P46:AD46)</f>
        <v>17</v>
      </c>
      <c r="BU46" s="23">
        <f>AF46+AH46+AI46+AJ46+AO46+AP46</f>
        <v>0</v>
      </c>
    </row>
    <row r="47" spans="1:73" hidden="1">
      <c r="A47" s="1"/>
      <c r="B47" s="1" t="s">
        <v>136</v>
      </c>
      <c r="C47" s="1" t="s">
        <v>98</v>
      </c>
      <c r="D47" s="1" t="s">
        <v>138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/>
      <c r="S47" s="28"/>
      <c r="T47" s="28">
        <v>5</v>
      </c>
      <c r="U47" s="28"/>
      <c r="V47" s="28"/>
      <c r="W47" s="28"/>
      <c r="X47" s="28"/>
      <c r="Y47" s="28"/>
      <c r="Z47" s="28">
        <v>5</v>
      </c>
      <c r="AA47" s="28">
        <v>2</v>
      </c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17</v>
      </c>
      <c r="BQ47" s="1">
        <v>0</v>
      </c>
      <c r="BR47" s="17">
        <v>0</v>
      </c>
      <c r="BS47" s="17"/>
      <c r="BT47">
        <f>SUM(P47:AD47)</f>
        <v>17</v>
      </c>
      <c r="BU47" s="23">
        <f>AF47+AH47+AI47+AJ47+AO47+AP47</f>
        <v>0</v>
      </c>
    </row>
    <row r="48" spans="1:73" hidden="1">
      <c r="A48" s="1"/>
      <c r="B48" s="3" t="s">
        <v>209</v>
      </c>
      <c r="C48" s="3" t="s">
        <v>24</v>
      </c>
      <c r="D48" s="1" t="s"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/>
      <c r="S48" s="28"/>
      <c r="T48" s="28">
        <v>5</v>
      </c>
      <c r="U48" s="28"/>
      <c r="V48" s="28"/>
      <c r="W48" s="28"/>
      <c r="X48" s="28">
        <v>2</v>
      </c>
      <c r="Y48" s="28"/>
      <c r="Z48" s="28">
        <v>5</v>
      </c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17</v>
      </c>
      <c r="BQ48" s="1">
        <v>0</v>
      </c>
      <c r="BR48" s="17">
        <v>0</v>
      </c>
      <c r="BS48" s="17"/>
      <c r="BT48">
        <f>SUM(P48:AD48)</f>
        <v>17</v>
      </c>
      <c r="BU48" s="23">
        <f>AF48+AH48+AI48+AJ48+AO48+AP48</f>
        <v>0</v>
      </c>
    </row>
    <row r="49" spans="1:73" hidden="1">
      <c r="A49" s="1"/>
      <c r="B49" s="3" t="s">
        <v>212</v>
      </c>
      <c r="C49" s="3" t="s">
        <v>213</v>
      </c>
      <c r="D49" s="1" t="s">
        <v>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/>
      <c r="X49" s="28"/>
      <c r="Y49" s="28"/>
      <c r="Z49" s="28">
        <v>5</v>
      </c>
      <c r="AA49" s="28">
        <v>2</v>
      </c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17</v>
      </c>
      <c r="BQ49" s="1">
        <v>0</v>
      </c>
      <c r="BR49" s="17">
        <v>0</v>
      </c>
      <c r="BS49" s="17"/>
      <c r="BT49">
        <f>SUM(P49:AD49)</f>
        <v>17</v>
      </c>
      <c r="BU49" s="23">
        <f>AF49+AH49+AI49+AJ49+AO49+AP49</f>
        <v>0</v>
      </c>
    </row>
    <row r="50" spans="1:73" hidden="1">
      <c r="A50" s="1"/>
      <c r="B50" s="3" t="s">
        <v>214</v>
      </c>
      <c r="C50" s="3" t="s">
        <v>213</v>
      </c>
      <c r="D50" s="1" t="s">
        <v>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/>
      <c r="X50" s="28">
        <v>2</v>
      </c>
      <c r="Y50" s="28"/>
      <c r="Z50" s="28">
        <v>5</v>
      </c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17</v>
      </c>
      <c r="BQ50" s="1">
        <v>0</v>
      </c>
      <c r="BR50" s="17">
        <v>0</v>
      </c>
      <c r="BS50" s="17"/>
      <c r="BT50">
        <f>SUM(P50:AD50)</f>
        <v>17</v>
      </c>
      <c r="BU50" s="23">
        <f>AF50+AH50+AI50+AJ50+AO50+AP50</f>
        <v>0</v>
      </c>
    </row>
    <row r="51" spans="1:73" hidden="1">
      <c r="A51" s="1"/>
      <c r="B51" s="3" t="s">
        <v>216</v>
      </c>
      <c r="C51" s="3" t="s">
        <v>99</v>
      </c>
      <c r="D51" s="1" t="s">
        <v>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>
        <v>5</v>
      </c>
      <c r="U51" s="28"/>
      <c r="V51" s="28"/>
      <c r="W51" s="28"/>
      <c r="X51" s="28">
        <v>2</v>
      </c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0</v>
      </c>
      <c r="BR51" s="17">
        <v>0</v>
      </c>
      <c r="BS51" s="17"/>
      <c r="BT51">
        <f>SUM(P51:AD51)</f>
        <v>17</v>
      </c>
      <c r="BU51" s="23">
        <f>AF51+AH51+AI51+AJ51+AO51+AP51</f>
        <v>0</v>
      </c>
    </row>
    <row r="52" spans="1:73" hidden="1">
      <c r="A52" s="1"/>
      <c r="B52" s="3" t="s">
        <v>219</v>
      </c>
      <c r="C52" s="3" t="s">
        <v>99</v>
      </c>
      <c r="D52" s="1" t="s">
        <v>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0</v>
      </c>
      <c r="BR52" s="17">
        <v>0</v>
      </c>
      <c r="BS52" s="17"/>
      <c r="BT52">
        <f>SUM(P52:AD52)</f>
        <v>17</v>
      </c>
      <c r="BU52" s="23">
        <f>AF52+AH52+AI52+AJ52+AO52+AP52</f>
        <v>0</v>
      </c>
    </row>
    <row r="53" spans="1:73" hidden="1">
      <c r="A53" s="1"/>
      <c r="B53" s="1" t="s">
        <v>126</v>
      </c>
      <c r="C53" s="1" t="s">
        <v>128</v>
      </c>
      <c r="D53" s="1" t="s">
        <v>102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>
        <v>10</v>
      </c>
      <c r="W53" s="28"/>
      <c r="X53" s="28"/>
      <c r="Y53" s="28">
        <v>10</v>
      </c>
      <c r="Z53" s="28"/>
      <c r="AA53" s="28"/>
      <c r="AB53" s="28">
        <v>10</v>
      </c>
      <c r="AC53" s="28">
        <v>5</v>
      </c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35</v>
      </c>
      <c r="BQ53" s="1">
        <v>0</v>
      </c>
      <c r="BR53" s="17">
        <v>0</v>
      </c>
      <c r="BS53" s="17"/>
      <c r="BT53">
        <f>SUM(P53:AD53)</f>
        <v>35</v>
      </c>
      <c r="BU53" s="23">
        <f>AF53+AH53+AI53+AJ53+AO53+AP53</f>
        <v>0</v>
      </c>
    </row>
    <row r="54" spans="1:73" hidden="1">
      <c r="A54" s="1"/>
      <c r="B54" s="1" t="s">
        <v>134</v>
      </c>
      <c r="C54" s="1" t="s">
        <v>130</v>
      </c>
      <c r="D54" s="1" t="s">
        <v>102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>
        <v>10</v>
      </c>
      <c r="W54" s="28"/>
      <c r="X54" s="28"/>
      <c r="Y54" s="28">
        <v>10</v>
      </c>
      <c r="Z54" s="28"/>
      <c r="AA54" s="28"/>
      <c r="AB54" s="28">
        <v>10</v>
      </c>
      <c r="AC54" s="28">
        <v>5</v>
      </c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35</v>
      </c>
      <c r="BQ54" s="1">
        <v>0</v>
      </c>
      <c r="BR54" s="17">
        <v>0</v>
      </c>
      <c r="BS54" s="17"/>
      <c r="BT54">
        <f>SUM(P54:AD54)</f>
        <v>35</v>
      </c>
      <c r="BU54" s="23">
        <f>AF54+AH54+AI54+AJ54+AO54+AP54</f>
        <v>0</v>
      </c>
    </row>
    <row r="55" spans="1:73" hidden="1">
      <c r="A55" s="1"/>
      <c r="B55" s="1" t="s">
        <v>135</v>
      </c>
      <c r="C55" s="1" t="s">
        <v>130</v>
      </c>
      <c r="D55" s="1" t="s">
        <v>102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>
        <v>10</v>
      </c>
      <c r="W55" s="28"/>
      <c r="X55" s="28"/>
      <c r="Y55" s="28">
        <v>10</v>
      </c>
      <c r="Z55" s="28"/>
      <c r="AA55" s="28"/>
      <c r="AB55" s="28">
        <v>10</v>
      </c>
      <c r="AC55" s="28">
        <v>5</v>
      </c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35</v>
      </c>
      <c r="BQ55" s="1">
        <v>0</v>
      </c>
      <c r="BR55" s="17">
        <v>0</v>
      </c>
      <c r="BS55" s="17"/>
      <c r="BT55">
        <f>SUM(P55:AD55)</f>
        <v>35</v>
      </c>
      <c r="BU55" s="23">
        <f>AF55+AH55+AI55+AJ55+AO55+AP55</f>
        <v>0</v>
      </c>
    </row>
    <row r="56" spans="1:73" s="58" customFormat="1" hidden="1">
      <c r="A56" s="1"/>
      <c r="B56" s="3" t="s">
        <v>208</v>
      </c>
      <c r="C56" s="3" t="s">
        <v>50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>
        <v>10</v>
      </c>
      <c r="W56" s="28"/>
      <c r="X56" s="28"/>
      <c r="Y56" s="28">
        <v>10</v>
      </c>
      <c r="Z56" s="28"/>
      <c r="AA56" s="28"/>
      <c r="AB56" s="28">
        <v>10</v>
      </c>
      <c r="AC56" s="28">
        <v>5</v>
      </c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35</v>
      </c>
      <c r="BQ56" s="1">
        <v>0</v>
      </c>
      <c r="BR56" s="17">
        <v>0</v>
      </c>
      <c r="BS56" s="17"/>
      <c r="BT56">
        <f>SUM(P56:AD56)</f>
        <v>35</v>
      </c>
      <c r="BU56" s="23">
        <f>AF56+AH56+AI56+AJ56+AO56+AP56</f>
        <v>0</v>
      </c>
    </row>
    <row r="57" spans="1:73" hidden="1">
      <c r="A57" s="1"/>
      <c r="B57" s="3" t="s">
        <v>217</v>
      </c>
      <c r="C57" s="3" t="s">
        <v>99</v>
      </c>
      <c r="D57" s="1" t="s">
        <v>0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>
        <v>10</v>
      </c>
      <c r="W57" s="28"/>
      <c r="X57" s="28"/>
      <c r="Y57" s="28">
        <v>10</v>
      </c>
      <c r="Z57" s="28"/>
      <c r="AA57" s="28"/>
      <c r="AB57" s="28">
        <v>10</v>
      </c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35</v>
      </c>
      <c r="BQ57" s="1">
        <v>0</v>
      </c>
      <c r="BR57" s="17">
        <v>0</v>
      </c>
      <c r="BS57" s="17"/>
      <c r="BT57">
        <f>SUM(P57:AD57)</f>
        <v>35</v>
      </c>
      <c r="BU57" s="23">
        <f>AF57+AH57+AI57+AJ57+AO57+AP57</f>
        <v>0</v>
      </c>
    </row>
    <row r="58" spans="1:73" hidden="1">
      <c r="A58" s="1"/>
      <c r="B58" s="1" t="s">
        <v>118</v>
      </c>
      <c r="C58" s="1" t="s">
        <v>119</v>
      </c>
      <c r="D58" s="1" t="s">
        <v>102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/>
      <c r="U58" s="28"/>
      <c r="V58" s="28">
        <v>10</v>
      </c>
      <c r="W58" s="28"/>
      <c r="X58" s="28"/>
      <c r="Y58" s="28">
        <v>10</v>
      </c>
      <c r="Z58" s="28"/>
      <c r="AA58" s="28"/>
      <c r="AB58" s="28">
        <v>10</v>
      </c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35</v>
      </c>
      <c r="BQ58" s="1">
        <v>0</v>
      </c>
      <c r="BR58" s="17">
        <v>0</v>
      </c>
      <c r="BS58" s="17"/>
      <c r="BT58">
        <f>SUM(P58:AD58)</f>
        <v>35</v>
      </c>
      <c r="BU58" s="23">
        <f>AF58+AH58+AI58+AJ58+AO58+AP58</f>
        <v>0</v>
      </c>
    </row>
    <row r="59" spans="1:73" hidden="1">
      <c r="A59" s="1"/>
      <c r="B59" s="1" t="s">
        <v>124</v>
      </c>
      <c r="C59" s="1" t="s">
        <v>123</v>
      </c>
      <c r="D59" s="1" t="s">
        <v>102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/>
      <c r="U59" s="28"/>
      <c r="V59" s="28">
        <v>10</v>
      </c>
      <c r="W59" s="28"/>
      <c r="X59" s="28"/>
      <c r="Y59" s="28">
        <v>10</v>
      </c>
      <c r="Z59" s="28"/>
      <c r="AA59" s="28"/>
      <c r="AB59" s="28">
        <v>10</v>
      </c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35</v>
      </c>
      <c r="BQ59" s="1">
        <v>0</v>
      </c>
      <c r="BR59" s="17">
        <v>0</v>
      </c>
      <c r="BS59" s="17"/>
      <c r="BT59">
        <f>SUM(P59:AD59)</f>
        <v>35</v>
      </c>
      <c r="BU59" s="23">
        <f>AF59+AH59+AI59+AJ59+AO59+AP59</f>
        <v>0</v>
      </c>
    </row>
    <row r="60" spans="1:73" hidden="1">
      <c r="A60" s="1"/>
      <c r="B60" s="3" t="s">
        <v>240</v>
      </c>
      <c r="C60" s="3" t="s">
        <v>50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/>
      <c r="U60" s="28"/>
      <c r="V60" s="28">
        <v>10</v>
      </c>
      <c r="W60" s="28"/>
      <c r="X60" s="28"/>
      <c r="Y60" s="28">
        <v>10</v>
      </c>
      <c r="Z60" s="28"/>
      <c r="AA60" s="28"/>
      <c r="AB60" s="28">
        <v>10</v>
      </c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35</v>
      </c>
      <c r="BQ60" s="1">
        <v>0</v>
      </c>
      <c r="BR60" s="17">
        <v>0</v>
      </c>
      <c r="BS60" s="17"/>
      <c r="BT60">
        <f>SUM(P60:AD60)</f>
        <v>35</v>
      </c>
      <c r="BU60" s="23">
        <f>AF60+AH60+AI60+AJ60+AO60+AP60</f>
        <v>0</v>
      </c>
    </row>
    <row r="61" spans="1:73" hidden="1">
      <c r="A61" s="1"/>
      <c r="B61" s="3" t="s">
        <v>218</v>
      </c>
      <c r="C61" s="3" t="s">
        <v>99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/>
      <c r="U61" s="28"/>
      <c r="V61" s="28">
        <v>10</v>
      </c>
      <c r="W61" s="28"/>
      <c r="X61" s="28"/>
      <c r="Y61" s="28">
        <v>10</v>
      </c>
      <c r="Z61" s="28"/>
      <c r="AA61" s="28"/>
      <c r="AB61" s="28">
        <v>10</v>
      </c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35</v>
      </c>
      <c r="BQ61" s="1">
        <v>0</v>
      </c>
      <c r="BR61" s="17">
        <v>0</v>
      </c>
      <c r="BS61" s="17"/>
      <c r="BT61">
        <f>SUM(P61:AD61)</f>
        <v>35</v>
      </c>
      <c r="BU61" s="23">
        <f>AF61+AH61+AI61+AJ61+AO61+AP61</f>
        <v>0</v>
      </c>
    </row>
    <row r="62" spans="1:73">
      <c r="A62" s="1">
        <v>95</v>
      </c>
      <c r="B62" s="3" t="s">
        <v>66</v>
      </c>
      <c r="C62" s="3" t="s">
        <v>52</v>
      </c>
      <c r="D62" s="1" t="s">
        <v>0</v>
      </c>
      <c r="E62" s="6"/>
      <c r="F62" s="6"/>
      <c r="G62" s="6"/>
      <c r="H62" s="6"/>
      <c r="I62" s="6"/>
      <c r="J62" s="6"/>
      <c r="K62" s="6"/>
      <c r="L62" s="6">
        <v>15</v>
      </c>
      <c r="M62" s="6"/>
      <c r="N62" s="6"/>
      <c r="O62" s="6">
        <v>15</v>
      </c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>
        <v>15</v>
      </c>
      <c r="BB62" s="2">
        <v>15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0</v>
      </c>
      <c r="BR62" s="17">
        <v>0</v>
      </c>
      <c r="BS62" s="17"/>
      <c r="BT62">
        <f>SUM(P62:AD62)</f>
        <v>0</v>
      </c>
      <c r="BU62" s="23">
        <f>AF62+AH62+AI62+AJ62+AO62+AP62</f>
        <v>0</v>
      </c>
    </row>
    <row r="63" spans="1:73" hidden="1">
      <c r="A63" s="1"/>
      <c r="B63" s="3" t="s">
        <v>205</v>
      </c>
      <c r="C63" s="3" t="s">
        <v>50</v>
      </c>
      <c r="D63" s="1" t="s">
        <v>207</v>
      </c>
      <c r="E63" s="6"/>
      <c r="F63" s="6"/>
      <c r="G63" s="6"/>
      <c r="H63" s="6"/>
      <c r="I63" s="6"/>
      <c r="J63" s="6"/>
      <c r="K63" s="6"/>
      <c r="L63" s="6"/>
      <c r="M63" s="6">
        <v>10</v>
      </c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>
        <v>10</v>
      </c>
      <c r="AB63" s="28"/>
      <c r="AC63" s="28"/>
      <c r="AD63" s="28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>
        <v>10</v>
      </c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0</v>
      </c>
      <c r="BR63" s="17">
        <v>0</v>
      </c>
      <c r="BS63" s="17"/>
      <c r="BT63">
        <f>SUM(P63:AD63)</f>
        <v>20</v>
      </c>
      <c r="BU63" s="23">
        <f>AF63+AH63+AI63+AJ63+AO63+AP63</f>
        <v>0</v>
      </c>
    </row>
    <row r="64" spans="1:73" hidden="1">
      <c r="A64" s="1"/>
      <c r="B64" s="3" t="s">
        <v>209</v>
      </c>
      <c r="C64" s="3" t="s">
        <v>24</v>
      </c>
      <c r="D64" s="1" t="s">
        <v>207</v>
      </c>
      <c r="E64" s="6"/>
      <c r="F64" s="6"/>
      <c r="G64" s="6"/>
      <c r="H64" s="6"/>
      <c r="I64" s="6"/>
      <c r="J64" s="6"/>
      <c r="K64" s="6"/>
      <c r="L64" s="6"/>
      <c r="M64" s="6">
        <v>10</v>
      </c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>
        <v>10</v>
      </c>
      <c r="AB64" s="28"/>
      <c r="AC64" s="28"/>
      <c r="AD64" s="28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>
        <v>10</v>
      </c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0</v>
      </c>
      <c r="BR64" s="17">
        <v>0</v>
      </c>
      <c r="BS64" s="17"/>
      <c r="BT64">
        <f>SUM(P64:AD64)</f>
        <v>20</v>
      </c>
      <c r="BU64" s="23">
        <f>AF64+AH64+AI64+AJ64+AO64+AP64</f>
        <v>0</v>
      </c>
    </row>
    <row r="65" spans="1:73" hidden="1">
      <c r="A65" s="1"/>
      <c r="B65" s="3" t="s">
        <v>214</v>
      </c>
      <c r="C65" s="3" t="s">
        <v>213</v>
      </c>
      <c r="D65" s="1" t="s">
        <v>207</v>
      </c>
      <c r="E65" s="6"/>
      <c r="F65" s="6"/>
      <c r="G65" s="6"/>
      <c r="H65" s="6"/>
      <c r="I65" s="6"/>
      <c r="J65" s="6"/>
      <c r="K65" s="6"/>
      <c r="L65" s="6"/>
      <c r="M65" s="6">
        <v>10</v>
      </c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>
        <v>10</v>
      </c>
      <c r="AB65" s="28"/>
      <c r="AC65" s="28"/>
      <c r="AD65" s="28">
        <v>10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10</v>
      </c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40</v>
      </c>
      <c r="BQ65" s="1">
        <v>0</v>
      </c>
      <c r="BR65" s="17">
        <v>0</v>
      </c>
      <c r="BS65" s="17"/>
      <c r="BT65">
        <f>SUM(P65:AD65)</f>
        <v>20</v>
      </c>
      <c r="BU65" s="23">
        <f>AF65+AH65+AI65+AJ65+AO65+AP65</f>
        <v>0</v>
      </c>
    </row>
    <row r="66" spans="1:73" hidden="1">
      <c r="A66" s="1"/>
      <c r="B66" s="3" t="s">
        <v>216</v>
      </c>
      <c r="C66" s="3" t="s">
        <v>99</v>
      </c>
      <c r="D66" s="1" t="s">
        <v>207</v>
      </c>
      <c r="E66" s="6"/>
      <c r="F66" s="6"/>
      <c r="G66" s="6"/>
      <c r="H66" s="6"/>
      <c r="I66" s="6"/>
      <c r="J66" s="6"/>
      <c r="K66" s="6"/>
      <c r="L66" s="6"/>
      <c r="M66" s="6">
        <v>10</v>
      </c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>
        <v>10</v>
      </c>
      <c r="AB66" s="28"/>
      <c r="AC66" s="28"/>
      <c r="AD66" s="28">
        <v>10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>
        <v>10</v>
      </c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40</v>
      </c>
      <c r="BQ66" s="1">
        <v>0</v>
      </c>
      <c r="BR66" s="17">
        <v>0</v>
      </c>
      <c r="BS66" s="17"/>
      <c r="BT66">
        <f>SUM(P66:AD66)</f>
        <v>20</v>
      </c>
      <c r="BU66" s="23">
        <f>AF66+AH66+AI66+AJ66+AO66+AP66</f>
        <v>0</v>
      </c>
    </row>
    <row r="67" spans="1:73" hidden="1">
      <c r="A67" s="1"/>
      <c r="B67" s="3" t="s">
        <v>215</v>
      </c>
      <c r="C67" s="3" t="s">
        <v>213</v>
      </c>
      <c r="D67" s="1" t="s">
        <v>207</v>
      </c>
      <c r="E67" s="6"/>
      <c r="F67" s="6"/>
      <c r="G67" s="6"/>
      <c r="H67" s="6"/>
      <c r="I67" s="6"/>
      <c r="J67" s="6"/>
      <c r="K67" s="6">
        <v>10</v>
      </c>
      <c r="L67" s="6"/>
      <c r="M67" s="6"/>
      <c r="N67" s="6"/>
      <c r="O67" s="6"/>
      <c r="P67" s="28"/>
      <c r="Q67" s="28"/>
      <c r="R67" s="28"/>
      <c r="S67" s="28"/>
      <c r="T67" s="28"/>
      <c r="U67" s="28">
        <v>10</v>
      </c>
      <c r="V67" s="28"/>
      <c r="W67" s="28"/>
      <c r="X67" s="28"/>
      <c r="Y67" s="28"/>
      <c r="Z67" s="28"/>
      <c r="AA67" s="28">
        <v>10</v>
      </c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>
        <v>10</v>
      </c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0</v>
      </c>
      <c r="BR67" s="17">
        <v>0</v>
      </c>
      <c r="BS67" s="17"/>
      <c r="BT67">
        <f>SUM(P67:AD67)</f>
        <v>20</v>
      </c>
      <c r="BU67" s="23">
        <f>AF67+AH67+AI67+AJ67+AO67+AP67</f>
        <v>0</v>
      </c>
    </row>
    <row r="68" spans="1:73" hidden="1">
      <c r="A68" s="1"/>
      <c r="B68" s="1" t="s">
        <v>126</v>
      </c>
      <c r="C68" s="1" t="s">
        <v>128</v>
      </c>
      <c r="D68" s="1" t="s">
        <v>103</v>
      </c>
      <c r="E68" s="6"/>
      <c r="F68" s="6"/>
      <c r="G68" s="6"/>
      <c r="H68" s="6"/>
      <c r="I68" s="6"/>
      <c r="J68" s="6">
        <v>10</v>
      </c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>
        <v>10</v>
      </c>
      <c r="V68" s="28"/>
      <c r="W68" s="28"/>
      <c r="X68" s="28"/>
      <c r="Y68" s="28"/>
      <c r="Z68" s="28"/>
      <c r="AA68" s="28">
        <v>10</v>
      </c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>
        <v>10</v>
      </c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0</v>
      </c>
      <c r="BR68" s="17">
        <v>0</v>
      </c>
      <c r="BS68" s="17"/>
      <c r="BT68">
        <f>SUM(P68:AD68)</f>
        <v>20</v>
      </c>
      <c r="BU68" s="23">
        <f>AF68+AH68+AI68+AJ68+AO68+AP68</f>
        <v>0</v>
      </c>
    </row>
    <row r="69" spans="1:73" hidden="1">
      <c r="A69" s="1"/>
      <c r="B69" s="1" t="s">
        <v>135</v>
      </c>
      <c r="C69" s="1" t="s">
        <v>130</v>
      </c>
      <c r="D69" s="1" t="s">
        <v>103</v>
      </c>
      <c r="E69" s="6"/>
      <c r="F69" s="6"/>
      <c r="G69" s="6"/>
      <c r="H69" s="6"/>
      <c r="I69" s="6"/>
      <c r="J69" s="6">
        <v>10</v>
      </c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>
        <v>10</v>
      </c>
      <c r="V69" s="28"/>
      <c r="W69" s="28"/>
      <c r="X69" s="28"/>
      <c r="Y69" s="28"/>
      <c r="Z69" s="28"/>
      <c r="AA69" s="28">
        <v>10</v>
      </c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>
        <v>10</v>
      </c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40</v>
      </c>
      <c r="BQ69" s="1">
        <v>0</v>
      </c>
      <c r="BR69" s="17">
        <v>0</v>
      </c>
      <c r="BS69" s="17"/>
      <c r="BT69">
        <f>SUM(P69:AD69)</f>
        <v>20</v>
      </c>
      <c r="BU69" s="23">
        <f>AF69+AH69+AI69+AJ69+AO69+AP69</f>
        <v>0</v>
      </c>
    </row>
    <row r="70" spans="1:73" hidden="1">
      <c r="A70" s="1"/>
      <c r="B70" s="3" t="s">
        <v>208</v>
      </c>
      <c r="C70" s="3" t="s">
        <v>50</v>
      </c>
      <c r="D70" s="1" t="s">
        <v>207</v>
      </c>
      <c r="E70" s="6"/>
      <c r="F70" s="6"/>
      <c r="G70" s="6"/>
      <c r="H70" s="6"/>
      <c r="I70" s="6"/>
      <c r="J70" s="6">
        <v>10</v>
      </c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>
        <v>10</v>
      </c>
      <c r="V70" s="28"/>
      <c r="W70" s="28"/>
      <c r="X70" s="28"/>
      <c r="Y70" s="28"/>
      <c r="Z70" s="28"/>
      <c r="AA70" s="28">
        <v>10</v>
      </c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>
        <v>10</v>
      </c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40</v>
      </c>
      <c r="BQ70" s="1">
        <v>0</v>
      </c>
      <c r="BR70" s="17">
        <v>0</v>
      </c>
      <c r="BS70" s="17"/>
      <c r="BT70">
        <f>SUM(P70:AD70)</f>
        <v>20</v>
      </c>
      <c r="BU70" s="23">
        <f>AF70+AH70+AI70+AJ70+AO70+AP70</f>
        <v>0</v>
      </c>
    </row>
    <row r="71" spans="1:73" hidden="1">
      <c r="A71" s="1"/>
      <c r="B71" s="3" t="s">
        <v>210</v>
      </c>
      <c r="C71" s="3" t="s">
        <v>211</v>
      </c>
      <c r="D71" s="1" t="s">
        <v>206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>
        <v>5</v>
      </c>
      <c r="X71" s="28"/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20</v>
      </c>
      <c r="BQ71" s="1">
        <v>0</v>
      </c>
      <c r="BR71" s="17">
        <v>0</v>
      </c>
      <c r="BS71" s="17"/>
      <c r="BT71">
        <f>SUM(P71:AD71)</f>
        <v>20</v>
      </c>
      <c r="BU71" s="23">
        <f>AF71+AH71+AI71+AJ71+AO71+AP71</f>
        <v>0</v>
      </c>
    </row>
    <row r="72" spans="1:73" hidden="1">
      <c r="A72" s="1"/>
      <c r="B72" s="3" t="s">
        <v>205</v>
      </c>
      <c r="C72" s="3" t="s">
        <v>50</v>
      </c>
      <c r="D72" s="1" t="s">
        <v>206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>
        <v>5</v>
      </c>
      <c r="X72" s="28"/>
      <c r="Y72" s="28"/>
      <c r="Z72" s="28"/>
      <c r="AA72" s="28"/>
      <c r="AB72" s="28"/>
      <c r="AC72" s="28">
        <v>5</v>
      </c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20</v>
      </c>
      <c r="BQ72" s="1">
        <v>0</v>
      </c>
      <c r="BR72" s="17">
        <v>0</v>
      </c>
      <c r="BS72" s="17"/>
      <c r="BT72">
        <f>SUM(P72:AD72)</f>
        <v>20</v>
      </c>
      <c r="BU72" s="23">
        <f>AF72+AH72+AI72+AJ72+AO72+AP72</f>
        <v>0</v>
      </c>
    </row>
    <row r="73" spans="1:73" hidden="1">
      <c r="A73" s="1"/>
      <c r="B73" s="3" t="s">
        <v>215</v>
      </c>
      <c r="C73" s="3" t="s">
        <v>213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>
        <v>10</v>
      </c>
      <c r="W73" s="28"/>
      <c r="X73" s="28"/>
      <c r="Y73" s="28"/>
      <c r="Z73" s="28">
        <v>5</v>
      </c>
      <c r="AA73" s="28"/>
      <c r="AB73" s="28">
        <v>10</v>
      </c>
      <c r="AC73" s="28">
        <v>5</v>
      </c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30</v>
      </c>
      <c r="BQ73" s="1">
        <v>0</v>
      </c>
      <c r="BR73" s="17">
        <v>0</v>
      </c>
      <c r="BS73" s="17"/>
      <c r="BT73">
        <f>SUM(P73:AD73)</f>
        <v>30</v>
      </c>
      <c r="BU73" s="23">
        <f>AF73+AH73+AI73+AJ73+AO73+AP73</f>
        <v>0</v>
      </c>
    </row>
    <row r="74" spans="1:73" hidden="1">
      <c r="A74" s="1"/>
      <c r="B74" s="1" t="s">
        <v>132</v>
      </c>
      <c r="C74" s="1" t="s">
        <v>130</v>
      </c>
      <c r="D74" s="1" t="s">
        <v>102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>
        <v>5</v>
      </c>
      <c r="R74" s="28"/>
      <c r="S74" s="28"/>
      <c r="T74" s="28"/>
      <c r="U74" s="28"/>
      <c r="V74" s="28">
        <v>10</v>
      </c>
      <c r="W74" s="28"/>
      <c r="X74" s="28"/>
      <c r="Y74" s="28"/>
      <c r="Z74" s="28">
        <v>5</v>
      </c>
      <c r="AA74" s="28"/>
      <c r="AB74" s="28">
        <v>10</v>
      </c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30</v>
      </c>
      <c r="BQ74" s="1">
        <v>0</v>
      </c>
      <c r="BR74" s="17">
        <v>0</v>
      </c>
      <c r="BS74" s="17"/>
      <c r="BT74">
        <f>SUM(P74:AD74)</f>
        <v>30</v>
      </c>
      <c r="BU74" s="23">
        <f>AF74+AH74+AI74+AJ74+AO74+AP74</f>
        <v>0</v>
      </c>
    </row>
    <row r="75" spans="1:73" hidden="1">
      <c r="A75" s="1"/>
      <c r="B75" s="1" t="s">
        <v>262</v>
      </c>
      <c r="C75" s="1" t="s">
        <v>263</v>
      </c>
      <c r="D75" s="1" t="s">
        <v>264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>
        <v>10</v>
      </c>
      <c r="Q75" s="28"/>
      <c r="R75" s="28"/>
      <c r="S75" s="28">
        <v>10</v>
      </c>
      <c r="T75" s="28"/>
      <c r="U75" s="28"/>
      <c r="V75" s="28">
        <v>10</v>
      </c>
      <c r="W75" s="28"/>
      <c r="X75" s="28"/>
      <c r="Y75" s="28">
        <v>10</v>
      </c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40</v>
      </c>
      <c r="BQ75" s="1">
        <v>0</v>
      </c>
      <c r="BR75" s="17">
        <v>0</v>
      </c>
      <c r="BS75" s="17"/>
      <c r="BT75">
        <f>SUM(P75:AD75)</f>
        <v>40</v>
      </c>
      <c r="BU75" s="23">
        <f>AF75+AH75+AI75+AJ75+AO75+AP75</f>
        <v>0</v>
      </c>
    </row>
    <row r="76" spans="1:73" hidden="1">
      <c r="A76" s="1"/>
      <c r="B76" s="1" t="s">
        <v>262</v>
      </c>
      <c r="C76" s="1" t="s">
        <v>263</v>
      </c>
      <c r="D76" s="1" t="s">
        <v>265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>
        <v>10</v>
      </c>
      <c r="W76" s="28"/>
      <c r="X76" s="28"/>
      <c r="Y76" s="28">
        <v>10</v>
      </c>
      <c r="Z76" s="28"/>
      <c r="AA76" s="28"/>
      <c r="AB76" s="28">
        <v>10</v>
      </c>
      <c r="AC76" s="28">
        <v>5</v>
      </c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35</v>
      </c>
      <c r="BQ76" s="1">
        <v>0</v>
      </c>
      <c r="BR76" s="17">
        <v>0</v>
      </c>
      <c r="BS76" s="17"/>
      <c r="BT76">
        <f>SUM(P76:AD76)</f>
        <v>35</v>
      </c>
      <c r="BU76" s="23">
        <f>AF76+AH76+AI76+AJ76+AO76+AP76</f>
        <v>0</v>
      </c>
    </row>
    <row r="77" spans="1:73" s="66" customFormat="1" hidden="1">
      <c r="A77" s="1"/>
      <c r="B77" s="1" t="s">
        <v>262</v>
      </c>
      <c r="C77" s="1" t="s">
        <v>263</v>
      </c>
      <c r="D77" s="1" t="s">
        <v>266</v>
      </c>
      <c r="E77" s="6">
        <v>5</v>
      </c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>
        <v>5</v>
      </c>
      <c r="W77" s="28"/>
      <c r="X77" s="28"/>
      <c r="Y77" s="28">
        <v>5</v>
      </c>
      <c r="Z77" s="28"/>
      <c r="AA77" s="28"/>
      <c r="AB77" s="28"/>
      <c r="AC77" s="28">
        <v>5</v>
      </c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20</v>
      </c>
      <c r="BQ77" s="1">
        <v>0</v>
      </c>
      <c r="BR77" s="17">
        <v>0</v>
      </c>
      <c r="BS77" s="17"/>
      <c r="BT77">
        <f>SUM(P77:AD77)</f>
        <v>15</v>
      </c>
      <c r="BU77" s="23">
        <f>AF77+AH77+AI77+AJ77+AO77+AP77</f>
        <v>0</v>
      </c>
    </row>
    <row r="78" spans="1:73" hidden="1">
      <c r="A78" s="1"/>
      <c r="B78" s="1" t="s">
        <v>267</v>
      </c>
      <c r="C78" s="1" t="s">
        <v>119</v>
      </c>
      <c r="D78" s="1" t="s">
        <v>264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>
        <v>10</v>
      </c>
      <c r="Q78" s="28"/>
      <c r="R78" s="28"/>
      <c r="S78" s="28">
        <v>10</v>
      </c>
      <c r="T78" s="28"/>
      <c r="U78" s="28"/>
      <c r="V78" s="28"/>
      <c r="W78" s="28">
        <v>5</v>
      </c>
      <c r="X78" s="28"/>
      <c r="Y78" s="28"/>
      <c r="Z78" s="28"/>
      <c r="AA78" s="28"/>
      <c r="AB78" s="28">
        <v>10</v>
      </c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35</v>
      </c>
      <c r="BQ78" s="1">
        <v>0</v>
      </c>
      <c r="BR78" s="17">
        <v>0</v>
      </c>
      <c r="BS78" s="17"/>
      <c r="BT78">
        <f>SUM(P78:AD78)</f>
        <v>35</v>
      </c>
      <c r="BU78" s="23">
        <f>AF78+AH78+AI78+AJ78+AO78+AP78</f>
        <v>0</v>
      </c>
    </row>
    <row r="79" spans="1:73" hidden="1">
      <c r="A79" s="1"/>
      <c r="B79" s="1" t="s">
        <v>267</v>
      </c>
      <c r="C79" s="1" t="s">
        <v>119</v>
      </c>
      <c r="D79" s="1" t="s">
        <v>265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0</v>
      </c>
      <c r="BR79" s="17">
        <v>0</v>
      </c>
      <c r="BS79" s="17"/>
      <c r="BT79">
        <f>SUM(P79:AD79)</f>
        <v>17</v>
      </c>
      <c r="BU79" s="23">
        <f>AF79+AH79+AI79+AJ79+AO79+AP79</f>
        <v>0</v>
      </c>
    </row>
    <row r="80" spans="1:73" hidden="1">
      <c r="A80" s="1"/>
      <c r="B80" s="1" t="s">
        <v>268</v>
      </c>
      <c r="C80" s="1" t="s">
        <v>119</v>
      </c>
      <c r="D80" s="1" t="s">
        <v>264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>
        <v>10</v>
      </c>
      <c r="Q80" s="28"/>
      <c r="R80" s="28"/>
      <c r="S80" s="28">
        <v>10</v>
      </c>
      <c r="T80" s="28"/>
      <c r="U80" s="28"/>
      <c r="V80" s="28">
        <v>10</v>
      </c>
      <c r="W80" s="28"/>
      <c r="X80" s="28"/>
      <c r="Y80" s="28">
        <v>10</v>
      </c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40</v>
      </c>
      <c r="BQ80" s="1">
        <v>0</v>
      </c>
      <c r="BR80" s="17">
        <v>0</v>
      </c>
      <c r="BS80" s="17"/>
      <c r="BT80">
        <f>SUM(P80:AD80)</f>
        <v>40</v>
      </c>
      <c r="BU80" s="23">
        <f>AF80+AH80+AI80+AJ80+AO80+AP80</f>
        <v>0</v>
      </c>
    </row>
    <row r="81" spans="1:73" hidden="1">
      <c r="A81" s="1"/>
      <c r="B81" s="1" t="s">
        <v>268</v>
      </c>
      <c r="C81" s="1" t="s">
        <v>119</v>
      </c>
      <c r="D81" s="1" t="s">
        <v>265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>
        <v>10</v>
      </c>
      <c r="W81" s="28"/>
      <c r="X81" s="28"/>
      <c r="Y81" s="28">
        <v>10</v>
      </c>
      <c r="Z81" s="28"/>
      <c r="AA81" s="28"/>
      <c r="AB81" s="28">
        <v>10</v>
      </c>
      <c r="AC81" s="28">
        <v>5</v>
      </c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35</v>
      </c>
      <c r="BQ81" s="1">
        <v>0</v>
      </c>
      <c r="BR81" s="17">
        <v>0</v>
      </c>
      <c r="BS81" s="17"/>
      <c r="BT81">
        <f>SUM(P81:AD81)</f>
        <v>35</v>
      </c>
      <c r="BU81" s="23">
        <f>AF81+AH81+AI81+AJ81+AO81+AP81</f>
        <v>0</v>
      </c>
    </row>
    <row r="82" spans="1:73" hidden="1">
      <c r="A82" s="1"/>
      <c r="B82" s="1" t="s">
        <v>268</v>
      </c>
      <c r="C82" s="1" t="s">
        <v>119</v>
      </c>
      <c r="D82" s="1" t="s">
        <v>266</v>
      </c>
      <c r="E82" s="6"/>
      <c r="F82" s="6"/>
      <c r="G82" s="6"/>
      <c r="H82" s="6"/>
      <c r="I82" s="6"/>
      <c r="J82" s="6">
        <v>10</v>
      </c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>
        <v>10</v>
      </c>
      <c r="V82" s="28"/>
      <c r="W82" s="28"/>
      <c r="X82" s="28"/>
      <c r="Y82" s="28"/>
      <c r="Z82" s="28"/>
      <c r="AA82" s="28">
        <v>10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>
        <v>10</v>
      </c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0</v>
      </c>
      <c r="BR82" s="17">
        <v>0</v>
      </c>
      <c r="BS82" s="17"/>
      <c r="BT82">
        <f>SUM(P82:AD82)</f>
        <v>20</v>
      </c>
      <c r="BU82" s="23">
        <f>AF82+AH82+AI82+AJ82+AO82+AP82</f>
        <v>0</v>
      </c>
    </row>
    <row r="83" spans="1:73" hidden="1">
      <c r="A83" s="1"/>
      <c r="B83" s="1" t="s">
        <v>269</v>
      </c>
      <c r="C83" s="1" t="s">
        <v>50</v>
      </c>
      <c r="D83" s="1" t="s">
        <v>264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>
        <v>5</v>
      </c>
      <c r="R83" s="28"/>
      <c r="S83" s="28"/>
      <c r="T83" s="28"/>
      <c r="U83" s="28"/>
      <c r="V83" s="28"/>
      <c r="W83" s="28">
        <v>5</v>
      </c>
      <c r="X83" s="28"/>
      <c r="Y83" s="28"/>
      <c r="Z83" s="28">
        <v>5</v>
      </c>
      <c r="AA83" s="28"/>
      <c r="AB83" s="28"/>
      <c r="AC83" s="28">
        <v>5</v>
      </c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20</v>
      </c>
      <c r="BQ83" s="1">
        <v>0</v>
      </c>
      <c r="BR83" s="17">
        <v>0</v>
      </c>
      <c r="BS83" s="17"/>
      <c r="BT83">
        <f>SUM(P83:AD83)</f>
        <v>20</v>
      </c>
      <c r="BU83" s="23">
        <f>AF83+AH83+AI83+AJ83+AO83+AP83</f>
        <v>0</v>
      </c>
    </row>
    <row r="84" spans="1:73" hidden="1">
      <c r="A84" s="1"/>
      <c r="B84" s="1" t="s">
        <v>269</v>
      </c>
      <c r="C84" s="1" t="s">
        <v>50</v>
      </c>
      <c r="D84" s="1" t="s">
        <v>265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>
        <v>2</v>
      </c>
      <c r="S84" s="28"/>
      <c r="T84" s="28">
        <v>5</v>
      </c>
      <c r="U84" s="28"/>
      <c r="V84" s="28"/>
      <c r="W84" s="28"/>
      <c r="X84" s="28">
        <v>2</v>
      </c>
      <c r="Y84" s="28"/>
      <c r="Z84" s="28"/>
      <c r="AA84" s="28"/>
      <c r="AB84" s="28"/>
      <c r="AC84" s="28"/>
      <c r="AD84" s="28">
        <v>2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11</v>
      </c>
      <c r="BQ84" s="1">
        <v>0</v>
      </c>
      <c r="BR84" s="17">
        <v>0</v>
      </c>
      <c r="BS84" s="17"/>
      <c r="BT84">
        <f>SUM(P84:AD84)</f>
        <v>11</v>
      </c>
      <c r="BU84" s="23">
        <f>AF84+AH84+AI84+AJ84+AO84+AP84</f>
        <v>0</v>
      </c>
    </row>
    <row r="85" spans="1:73" hidden="1">
      <c r="A85" s="1"/>
      <c r="B85" s="1" t="s">
        <v>269</v>
      </c>
      <c r="C85" s="1" t="s">
        <v>50</v>
      </c>
      <c r="D85" s="1" t="s">
        <v>266</v>
      </c>
      <c r="E85" s="6"/>
      <c r="F85" s="6"/>
      <c r="G85" s="6"/>
      <c r="H85" s="6"/>
      <c r="I85" s="6"/>
      <c r="J85" s="6">
        <v>10</v>
      </c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>
        <v>10</v>
      </c>
      <c r="V85" s="28"/>
      <c r="W85" s="28"/>
      <c r="X85" s="28"/>
      <c r="Y85" s="28"/>
      <c r="Z85" s="28"/>
      <c r="AA85" s="28">
        <v>10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>
        <v>10</v>
      </c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0</v>
      </c>
      <c r="BR85" s="17">
        <v>0</v>
      </c>
      <c r="BS85" s="17"/>
      <c r="BT85">
        <f>SUM(P85:AD85)</f>
        <v>20</v>
      </c>
      <c r="BU85" s="23">
        <f>AF85+AH85+AI85+AJ85+AO85+AP85</f>
        <v>0</v>
      </c>
    </row>
    <row r="86" spans="1:73" hidden="1">
      <c r="A86" s="1"/>
      <c r="B86" s="1" t="s">
        <v>270</v>
      </c>
      <c r="C86" s="1" t="s">
        <v>50</v>
      </c>
      <c r="D86" s="1" t="s">
        <v>264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>
        <v>5</v>
      </c>
      <c r="R86" s="28"/>
      <c r="S86" s="28"/>
      <c r="T86" s="28">
        <v>5</v>
      </c>
      <c r="U86" s="28"/>
      <c r="V86" s="28"/>
      <c r="W86" s="28"/>
      <c r="X86" s="28"/>
      <c r="Y86" s="28"/>
      <c r="Z86" s="28">
        <v>5</v>
      </c>
      <c r="AA86" s="28"/>
      <c r="AB86" s="28"/>
      <c r="AC86" s="28">
        <v>5</v>
      </c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20</v>
      </c>
      <c r="BQ86" s="1">
        <v>0</v>
      </c>
      <c r="BR86" s="17">
        <v>0</v>
      </c>
      <c r="BS86" s="17"/>
      <c r="BT86">
        <f>SUM(P86:AD86)</f>
        <v>20</v>
      </c>
      <c r="BU86" s="23">
        <f>AF86+AH86+AI86+AJ86+AO86+AP86</f>
        <v>0</v>
      </c>
    </row>
    <row r="87" spans="1:73" hidden="1">
      <c r="A87" s="1"/>
      <c r="B87" s="1" t="s">
        <v>270</v>
      </c>
      <c r="C87" s="1" t="s">
        <v>50</v>
      </c>
      <c r="D87" s="1" t="s">
        <v>265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>
        <v>2</v>
      </c>
      <c r="V87" s="28"/>
      <c r="W87" s="28">
        <v>5</v>
      </c>
      <c r="X87" s="28"/>
      <c r="Y87" s="28"/>
      <c r="Z87" s="28"/>
      <c r="AA87" s="28">
        <v>2</v>
      </c>
      <c r="AB87" s="28"/>
      <c r="AC87" s="28"/>
      <c r="AD87" s="28">
        <v>2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11</v>
      </c>
      <c r="BQ87" s="1">
        <v>0</v>
      </c>
      <c r="BR87" s="17">
        <v>0</v>
      </c>
      <c r="BS87" s="17"/>
      <c r="BT87">
        <f>SUM(P87:AD87)</f>
        <v>11</v>
      </c>
      <c r="BU87" s="23">
        <f>AF87+AH87+AI87+AJ87+AO87+AP87</f>
        <v>0</v>
      </c>
    </row>
    <row r="88" spans="1:73" hidden="1">
      <c r="A88" s="1"/>
      <c r="B88" s="1" t="s">
        <v>271</v>
      </c>
      <c r="C88" s="1" t="s">
        <v>50</v>
      </c>
      <c r="D88" s="1" t="s">
        <v>264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>
        <v>10</v>
      </c>
      <c r="Q88" s="28"/>
      <c r="R88" s="28"/>
      <c r="S88" s="28">
        <v>10</v>
      </c>
      <c r="T88" s="28"/>
      <c r="U88" s="28"/>
      <c r="V88" s="28"/>
      <c r="W88" s="28">
        <v>5</v>
      </c>
      <c r="X88" s="28"/>
      <c r="Y88" s="28"/>
      <c r="Z88" s="28"/>
      <c r="AA88" s="28"/>
      <c r="AB88" s="28">
        <v>10</v>
      </c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35</v>
      </c>
      <c r="BQ88" s="1">
        <v>0</v>
      </c>
      <c r="BR88" s="17">
        <v>0</v>
      </c>
      <c r="BS88" s="17"/>
      <c r="BT88">
        <f>SUM(P88:AD88)</f>
        <v>35</v>
      </c>
      <c r="BU88" s="23">
        <f>AF88+AH88+AI88+AJ88+AO88+AP88</f>
        <v>0</v>
      </c>
    </row>
    <row r="89" spans="1:73" hidden="1">
      <c r="A89" s="1"/>
      <c r="B89" s="1" t="s">
        <v>271</v>
      </c>
      <c r="C89" s="1" t="s">
        <v>50</v>
      </c>
      <c r="D89" s="1" t="s">
        <v>265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>
        <v>5</v>
      </c>
      <c r="R89" s="28"/>
      <c r="S89" s="28"/>
      <c r="T89" s="28">
        <v>5</v>
      </c>
      <c r="U89" s="28"/>
      <c r="V89" s="28"/>
      <c r="W89" s="28"/>
      <c r="X89" s="28"/>
      <c r="Y89" s="28"/>
      <c r="Z89" s="28">
        <v>5</v>
      </c>
      <c r="AA89" s="28">
        <v>2</v>
      </c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17</v>
      </c>
      <c r="BQ89" s="1">
        <v>0</v>
      </c>
      <c r="BR89" s="17">
        <v>0</v>
      </c>
      <c r="BS89" s="17"/>
      <c r="BT89">
        <f>SUM(P89:AD89)</f>
        <v>17</v>
      </c>
      <c r="BU89" s="23">
        <f>AF89+AH89+AI89+AJ89+AO89+AP89</f>
        <v>0</v>
      </c>
    </row>
    <row r="90" spans="1:73" hidden="1">
      <c r="A90" s="1"/>
      <c r="B90" s="1" t="s">
        <v>272</v>
      </c>
      <c r="C90" s="1" t="s">
        <v>50</v>
      </c>
      <c r="D90" s="1" t="s">
        <v>264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>
        <v>10</v>
      </c>
      <c r="Q90" s="28"/>
      <c r="R90" s="28"/>
      <c r="S90" s="28">
        <v>10</v>
      </c>
      <c r="T90" s="28"/>
      <c r="U90" s="28"/>
      <c r="V90" s="28"/>
      <c r="W90" s="28">
        <v>5</v>
      </c>
      <c r="X90" s="28"/>
      <c r="Y90" s="28"/>
      <c r="Z90" s="28"/>
      <c r="AA90" s="28"/>
      <c r="AB90" s="28">
        <v>10</v>
      </c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35</v>
      </c>
      <c r="BQ90" s="1">
        <v>0</v>
      </c>
      <c r="BR90" s="17">
        <v>0</v>
      </c>
      <c r="BS90" s="17"/>
      <c r="BT90">
        <f>SUM(P90:AD90)</f>
        <v>35</v>
      </c>
      <c r="BU90" s="23">
        <f>AF90+AH90+AI90+AJ90+AO90+AP90</f>
        <v>0</v>
      </c>
    </row>
    <row r="91" spans="1:73" hidden="1">
      <c r="A91" s="1"/>
      <c r="B91" s="1" t="s">
        <v>272</v>
      </c>
      <c r="C91" s="1" t="s">
        <v>50</v>
      </c>
      <c r="D91" s="1" t="s">
        <v>265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>
        <v>5</v>
      </c>
      <c r="R91" s="28">
        <v>2</v>
      </c>
      <c r="S91" s="28"/>
      <c r="T91" s="28">
        <v>5</v>
      </c>
      <c r="U91" s="28"/>
      <c r="V91" s="28"/>
      <c r="W91" s="28"/>
      <c r="X91" s="28"/>
      <c r="Y91" s="28"/>
      <c r="Z91" s="28">
        <v>5</v>
      </c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17</v>
      </c>
      <c r="BQ91" s="1">
        <v>0</v>
      </c>
      <c r="BR91" s="17">
        <v>0</v>
      </c>
      <c r="BS91" s="17"/>
      <c r="BT91">
        <f>SUM(P91:AD91)</f>
        <v>17</v>
      </c>
      <c r="BU91" s="23">
        <f>AF91+AH91+AI91+AJ91+AO91+AP91</f>
        <v>0</v>
      </c>
    </row>
    <row r="92" spans="1:73" hidden="1">
      <c r="A92" s="1"/>
      <c r="B92" s="1" t="s">
        <v>273</v>
      </c>
      <c r="C92" s="1" t="s">
        <v>52</v>
      </c>
      <c r="D92" s="1" t="s">
        <v>264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>
        <v>5</v>
      </c>
      <c r="U92" s="28"/>
      <c r="V92" s="28"/>
      <c r="W92" s="28">
        <v>5</v>
      </c>
      <c r="X92" s="28"/>
      <c r="Y92" s="28"/>
      <c r="Z92" s="28">
        <v>5</v>
      </c>
      <c r="AA92" s="28"/>
      <c r="AB92" s="28"/>
      <c r="AC92" s="28">
        <v>5</v>
      </c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20</v>
      </c>
      <c r="BQ92" s="1">
        <v>0</v>
      </c>
      <c r="BR92" s="17">
        <v>0</v>
      </c>
      <c r="BS92" s="17"/>
      <c r="BT92">
        <f>SUM(P92:AD92)</f>
        <v>20</v>
      </c>
      <c r="BU92" s="23">
        <f>AF92+AH92+AI92+AJ92+AO92+AP92</f>
        <v>0</v>
      </c>
    </row>
    <row r="93" spans="1:73" hidden="1">
      <c r="A93" s="1"/>
      <c r="B93" s="1" t="s">
        <v>273</v>
      </c>
      <c r="C93" s="1" t="s">
        <v>52</v>
      </c>
      <c r="D93" s="1" t="s">
        <v>265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>
        <v>5</v>
      </c>
      <c r="R93" s="28"/>
      <c r="S93" s="28"/>
      <c r="T93" s="28"/>
      <c r="U93" s="28"/>
      <c r="V93" s="28"/>
      <c r="W93" s="28"/>
      <c r="X93" s="28">
        <v>2</v>
      </c>
      <c r="Y93" s="28"/>
      <c r="Z93" s="28"/>
      <c r="AA93" s="28">
        <v>2</v>
      </c>
      <c r="AB93" s="28"/>
      <c r="AC93" s="28"/>
      <c r="AD93" s="28">
        <v>2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11</v>
      </c>
      <c r="BQ93" s="1">
        <v>0</v>
      </c>
      <c r="BR93" s="17">
        <v>0</v>
      </c>
      <c r="BS93" s="17"/>
      <c r="BT93">
        <f>SUM(P93:AD93)</f>
        <v>11</v>
      </c>
      <c r="BU93" s="23">
        <f>AF93+AH93+AI93+AJ93+AO93+AP93</f>
        <v>0</v>
      </c>
    </row>
    <row r="94" spans="1:73" s="58" customFormat="1" hidden="1">
      <c r="A94" s="1"/>
      <c r="B94" s="1" t="s">
        <v>274</v>
      </c>
      <c r="C94" s="1" t="s">
        <v>52</v>
      </c>
      <c r="D94" s="1" t="s">
        <v>264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>
        <v>5</v>
      </c>
      <c r="R94" s="28"/>
      <c r="S94" s="28"/>
      <c r="T94" s="28">
        <v>5</v>
      </c>
      <c r="U94" s="28"/>
      <c r="V94" s="28"/>
      <c r="W94" s="28">
        <v>5</v>
      </c>
      <c r="X94" s="28"/>
      <c r="Y94" s="28"/>
      <c r="Z94" s="28">
        <v>5</v>
      </c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20</v>
      </c>
      <c r="BQ94" s="1">
        <v>0</v>
      </c>
      <c r="BR94" s="17">
        <v>0</v>
      </c>
      <c r="BS94" s="17"/>
      <c r="BT94">
        <f>SUM(P94:AD94)</f>
        <v>20</v>
      </c>
      <c r="BU94" s="23">
        <f>AF94+AH94+AI94+AJ94+AO94+AP94</f>
        <v>0</v>
      </c>
    </row>
    <row r="95" spans="1:73" hidden="1">
      <c r="A95" s="1"/>
      <c r="B95" s="1" t="s">
        <v>274</v>
      </c>
      <c r="C95" s="1" t="s">
        <v>52</v>
      </c>
      <c r="D95" s="1" t="s">
        <v>265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>
        <v>2</v>
      </c>
      <c r="Y95" s="28"/>
      <c r="Z95" s="28"/>
      <c r="AA95" s="28">
        <v>2</v>
      </c>
      <c r="AB95" s="28"/>
      <c r="AC95" s="28">
        <v>5</v>
      </c>
      <c r="AD95" s="28">
        <v>2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11</v>
      </c>
      <c r="BQ95" s="1">
        <v>0</v>
      </c>
      <c r="BR95" s="17">
        <v>0</v>
      </c>
      <c r="BS95" s="17"/>
      <c r="BT95">
        <f>SUM(P95:AD95)</f>
        <v>11</v>
      </c>
      <c r="BU95" s="23">
        <f>AF95+AH95+AI95+AJ95+AO95+AP95</f>
        <v>0</v>
      </c>
    </row>
    <row r="96" spans="1:73" hidden="1">
      <c r="A96" s="1"/>
      <c r="B96" s="1" t="s">
        <v>275</v>
      </c>
      <c r="C96" s="1" t="s">
        <v>52</v>
      </c>
      <c r="D96" s="1" t="s">
        <v>264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>
        <v>10</v>
      </c>
      <c r="Q96" s="28"/>
      <c r="R96" s="28"/>
      <c r="S96" s="28">
        <v>10</v>
      </c>
      <c r="T96" s="28"/>
      <c r="U96" s="28"/>
      <c r="V96" s="28">
        <v>10</v>
      </c>
      <c r="W96" s="28"/>
      <c r="X96" s="28"/>
      <c r="Y96" s="28">
        <v>10</v>
      </c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40</v>
      </c>
      <c r="BQ96" s="1">
        <v>0</v>
      </c>
      <c r="BR96" s="17">
        <v>0</v>
      </c>
      <c r="BS96" s="17"/>
      <c r="BT96">
        <f>SUM(P96:AD96)</f>
        <v>40</v>
      </c>
      <c r="BU96" s="23">
        <f>AF96+AH96+AI96+AJ96+AO96+AP96</f>
        <v>0</v>
      </c>
    </row>
    <row r="97" spans="1:73" hidden="1">
      <c r="A97" s="1"/>
      <c r="B97" s="1" t="s">
        <v>275</v>
      </c>
      <c r="C97" s="1" t="s">
        <v>52</v>
      </c>
      <c r="D97" s="1" t="s">
        <v>265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>
        <v>10</v>
      </c>
      <c r="W97" s="28"/>
      <c r="X97" s="28"/>
      <c r="Y97" s="28">
        <v>10</v>
      </c>
      <c r="Z97" s="28"/>
      <c r="AA97" s="28"/>
      <c r="AB97" s="28">
        <v>10</v>
      </c>
      <c r="AC97" s="28">
        <v>5</v>
      </c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0</v>
      </c>
      <c r="BR97" s="17">
        <v>0</v>
      </c>
      <c r="BS97" s="17"/>
      <c r="BT97">
        <f>SUM(P97:AD97)</f>
        <v>35</v>
      </c>
      <c r="BU97" s="23">
        <f>AF97+AH97+AI97+AJ97+AO97+AP97</f>
        <v>0</v>
      </c>
    </row>
    <row r="98" spans="1:73" hidden="1">
      <c r="A98" s="1"/>
      <c r="B98" s="1" t="s">
        <v>288</v>
      </c>
      <c r="C98" s="1" t="s">
        <v>52</v>
      </c>
      <c r="D98" s="1" t="s">
        <v>289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>
        <v>5</v>
      </c>
      <c r="R98" s="28"/>
      <c r="S98" s="28"/>
      <c r="T98" s="28">
        <v>5</v>
      </c>
      <c r="U98" s="28"/>
      <c r="V98" s="28"/>
      <c r="W98" s="28">
        <v>5</v>
      </c>
      <c r="X98" s="28"/>
      <c r="Y98" s="28"/>
      <c r="Z98" s="28">
        <v>5</v>
      </c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20</v>
      </c>
      <c r="BQ98" s="1">
        <v>0</v>
      </c>
      <c r="BR98" s="17">
        <v>0</v>
      </c>
      <c r="BS98" s="17"/>
      <c r="BT98">
        <f>SUM(P98:AD98)</f>
        <v>20</v>
      </c>
      <c r="BU98" s="23">
        <f>AF98+AH98+AI98+AJ98+AO98+AP98</f>
        <v>0</v>
      </c>
    </row>
    <row r="99" spans="1:73" hidden="1">
      <c r="A99" s="1"/>
      <c r="B99" s="1" t="s">
        <v>288</v>
      </c>
      <c r="C99" s="1" t="s">
        <v>52</v>
      </c>
      <c r="D99" s="1" t="s">
        <v>290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>
        <v>2</v>
      </c>
      <c r="Y99" s="28"/>
      <c r="Z99" s="28"/>
      <c r="AA99" s="28">
        <v>2</v>
      </c>
      <c r="AB99" s="28"/>
      <c r="AC99" s="28">
        <v>5</v>
      </c>
      <c r="AD99" s="28">
        <v>2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11</v>
      </c>
      <c r="BQ99" s="1">
        <v>0</v>
      </c>
      <c r="BR99" s="17">
        <v>0</v>
      </c>
      <c r="BS99" s="17"/>
      <c r="BT99">
        <f>SUM(P99:AD99)</f>
        <v>11</v>
      </c>
      <c r="BU99" s="23">
        <f>AF99+AH99+AI99+AJ99+AO99+AP99</f>
        <v>0</v>
      </c>
    </row>
    <row r="100" spans="1:73" hidden="1">
      <c r="A100" s="1"/>
      <c r="B100" s="1" t="s">
        <v>292</v>
      </c>
      <c r="C100" s="1" t="s">
        <v>36</v>
      </c>
      <c r="D100" s="1" t="s">
        <v>289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>
        <v>5</v>
      </c>
      <c r="R100" s="28"/>
      <c r="S100" s="28"/>
      <c r="T100" s="28"/>
      <c r="U100" s="28"/>
      <c r="V100" s="28"/>
      <c r="W100" s="28">
        <v>5</v>
      </c>
      <c r="X100" s="28"/>
      <c r="Y100" s="28"/>
      <c r="Z100" s="28">
        <v>5</v>
      </c>
      <c r="AA100" s="28"/>
      <c r="AB100" s="28"/>
      <c r="AC100" s="28">
        <v>5</v>
      </c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20</v>
      </c>
      <c r="BQ100" s="1">
        <v>0</v>
      </c>
      <c r="BR100" s="17">
        <v>0</v>
      </c>
      <c r="BS100" s="17"/>
      <c r="BT100">
        <f>SUM(P100:AD100)</f>
        <v>20</v>
      </c>
      <c r="BU100" s="23">
        <f>AF100+AH100+AI100+AJ100+AO100+AP100</f>
        <v>0</v>
      </c>
    </row>
    <row r="101" spans="1:73" hidden="1">
      <c r="A101" s="1"/>
      <c r="B101" s="1" t="s">
        <v>292</v>
      </c>
      <c r="C101" s="1" t="s">
        <v>36</v>
      </c>
      <c r="D101" s="1" t="s">
        <v>290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>
        <v>2</v>
      </c>
      <c r="S101" s="28"/>
      <c r="T101" s="28">
        <v>5</v>
      </c>
      <c r="U101" s="28"/>
      <c r="V101" s="28"/>
      <c r="W101" s="28"/>
      <c r="X101" s="28">
        <v>2</v>
      </c>
      <c r="Y101" s="28"/>
      <c r="Z101" s="28"/>
      <c r="AA101" s="28"/>
      <c r="AB101" s="28"/>
      <c r="AC101" s="28"/>
      <c r="AD101" s="28">
        <v>2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11</v>
      </c>
      <c r="BQ101" s="1">
        <v>0</v>
      </c>
      <c r="BR101" s="17">
        <v>0</v>
      </c>
      <c r="BS101" s="17"/>
      <c r="BT101">
        <f>SUM(P101:AD101)</f>
        <v>11</v>
      </c>
      <c r="BU101" s="23">
        <f>AF101+AH101+AI101+AJ101+AO101+AP101</f>
        <v>0</v>
      </c>
    </row>
    <row r="102" spans="1:73" hidden="1">
      <c r="A102" s="1"/>
      <c r="B102" s="1" t="s">
        <v>292</v>
      </c>
      <c r="C102" s="1" t="s">
        <v>36</v>
      </c>
      <c r="D102" s="1" t="s">
        <v>291</v>
      </c>
      <c r="E102" s="6"/>
      <c r="F102" s="6"/>
      <c r="G102" s="6"/>
      <c r="H102" s="6"/>
      <c r="I102" s="6"/>
      <c r="J102" s="6">
        <v>10</v>
      </c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>
        <v>10</v>
      </c>
      <c r="V102" s="28"/>
      <c r="W102" s="28"/>
      <c r="X102" s="28"/>
      <c r="Y102" s="28"/>
      <c r="Z102" s="28"/>
      <c r="AA102" s="28">
        <v>10</v>
      </c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>
        <v>10</v>
      </c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40</v>
      </c>
      <c r="BQ102" s="1">
        <v>0</v>
      </c>
      <c r="BR102" s="17">
        <v>0</v>
      </c>
      <c r="BS102" s="17"/>
      <c r="BT102">
        <f>SUM(P102:AD102)</f>
        <v>20</v>
      </c>
      <c r="BU102" s="23">
        <f>AF102+AH102+AI102+AJ102+AO102+AP102</f>
        <v>0</v>
      </c>
    </row>
    <row r="103" spans="1:73">
      <c r="A103" s="59"/>
      <c r="B103" s="59" t="s">
        <v>142</v>
      </c>
      <c r="C103" s="59" t="s">
        <v>99</v>
      </c>
      <c r="D103" s="59" t="s">
        <v>84</v>
      </c>
      <c r="E103" s="60"/>
      <c r="F103" s="60"/>
      <c r="G103" s="60"/>
      <c r="H103" s="60"/>
      <c r="I103" s="60"/>
      <c r="J103" s="60"/>
      <c r="K103" s="60"/>
      <c r="L103" s="60">
        <v>20</v>
      </c>
      <c r="M103" s="60"/>
      <c r="N103" s="60"/>
      <c r="O103" s="60">
        <v>20</v>
      </c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62"/>
      <c r="AR103" s="62"/>
      <c r="AS103" s="62"/>
      <c r="AT103" s="62"/>
      <c r="AU103" s="62"/>
      <c r="AV103" s="62"/>
      <c r="AW103" s="63"/>
      <c r="AX103" s="63"/>
      <c r="AY103" s="63"/>
      <c r="AZ103" s="63"/>
      <c r="BA103" s="63">
        <v>20</v>
      </c>
      <c r="BB103" s="63">
        <v>20</v>
      </c>
      <c r="BC103" s="64"/>
      <c r="BD103" s="59"/>
      <c r="BE103" s="59"/>
      <c r="BF103" s="59"/>
      <c r="BG103" s="59"/>
      <c r="BH103" s="59"/>
      <c r="BI103" s="59"/>
      <c r="BJ103" s="59"/>
      <c r="BK103" s="59"/>
      <c r="BL103" s="59"/>
      <c r="BM103" s="59"/>
      <c r="BN103" s="59"/>
      <c r="BO103" s="59"/>
      <c r="BP103" s="59">
        <f>SUM(E103:BO103)</f>
        <v>80</v>
      </c>
      <c r="BQ103" s="59">
        <v>0</v>
      </c>
      <c r="BR103" s="65">
        <v>0</v>
      </c>
      <c r="BS103" s="65"/>
      <c r="BT103">
        <f>SUM(P103:AD103)</f>
        <v>0</v>
      </c>
      <c r="BU103" s="23">
        <f>AF103+AH103+AI103+AJ103+AO103+AP103</f>
        <v>0</v>
      </c>
    </row>
    <row r="104" spans="1:73">
      <c r="A104" s="18">
        <v>63</v>
      </c>
      <c r="B104" s="30" t="s">
        <v>48</v>
      </c>
      <c r="C104" s="18" t="s">
        <v>43</v>
      </c>
      <c r="D104" s="18" t="s">
        <v>18</v>
      </c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>
        <v>5</v>
      </c>
      <c r="AO104" s="18"/>
      <c r="AP104" s="18"/>
      <c r="AQ104" s="20"/>
      <c r="AR104" s="20"/>
      <c r="AS104" s="20"/>
      <c r="AT104" s="20"/>
      <c r="AU104" s="20"/>
      <c r="AV104" s="20"/>
      <c r="AW104" s="21"/>
      <c r="AX104" s="21"/>
      <c r="AY104" s="21"/>
      <c r="AZ104" s="21"/>
      <c r="BA104" s="21"/>
      <c r="BB104" s="21"/>
      <c r="BC104" s="26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>
        <f>SUM(E104:BO104)</f>
        <v>5</v>
      </c>
      <c r="BQ104" s="18">
        <v>1</v>
      </c>
      <c r="BR104" s="22">
        <v>1</v>
      </c>
      <c r="BS104" s="22" t="s">
        <v>276</v>
      </c>
      <c r="BT104">
        <f>SUM(P104:AD104)</f>
        <v>0</v>
      </c>
      <c r="BU104" s="23">
        <f>AF104+AH104+AI104+AJ104+AO104+AP104</f>
        <v>0</v>
      </c>
    </row>
    <row r="105" spans="1:73">
      <c r="A105" s="18">
        <v>90</v>
      </c>
      <c r="B105" s="30" t="s">
        <v>64</v>
      </c>
      <c r="C105" s="30" t="s">
        <v>63</v>
      </c>
      <c r="D105" s="18" t="s">
        <v>18</v>
      </c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>
        <v>5</v>
      </c>
      <c r="AO105" s="18"/>
      <c r="AP105" s="18"/>
      <c r="AQ105" s="20"/>
      <c r="AR105" s="20"/>
      <c r="AS105" s="20"/>
      <c r="AT105" s="20"/>
      <c r="AU105" s="20"/>
      <c r="AV105" s="20"/>
      <c r="AW105" s="21"/>
      <c r="AX105" s="21"/>
      <c r="AY105" s="21"/>
      <c r="AZ105" s="21"/>
      <c r="BA105" s="21"/>
      <c r="BB105" s="21"/>
      <c r="BC105" s="26"/>
      <c r="BD105" s="18"/>
      <c r="BE105" s="18"/>
      <c r="BF105" s="18"/>
      <c r="BG105" s="18"/>
      <c r="BH105" s="18"/>
      <c r="BI105" s="18"/>
      <c r="BJ105" s="18"/>
      <c r="BK105" s="18"/>
      <c r="BL105" s="18"/>
      <c r="BM105" s="18"/>
      <c r="BN105" s="18"/>
      <c r="BO105" s="18"/>
      <c r="BP105" s="18">
        <f>SUM(E105:BO105)</f>
        <v>5</v>
      </c>
      <c r="BQ105" s="18">
        <v>1</v>
      </c>
      <c r="BR105" s="22">
        <v>1</v>
      </c>
      <c r="BS105" s="22" t="s">
        <v>276</v>
      </c>
      <c r="BT105">
        <f>SUM(P105:AD105)</f>
        <v>0</v>
      </c>
      <c r="BU105" s="23">
        <f>AF105+AH105+AI105+AJ105+AO105+AP105</f>
        <v>0</v>
      </c>
    </row>
    <row r="106" spans="1:73" hidden="1">
      <c r="A106" s="18"/>
      <c r="B106" s="18" t="s">
        <v>94</v>
      </c>
      <c r="C106" s="18" t="s">
        <v>87</v>
      </c>
      <c r="D106" s="18" t="s">
        <v>91</v>
      </c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>
        <v>2</v>
      </c>
      <c r="AP106" s="18"/>
      <c r="AQ106" s="20"/>
      <c r="AR106" s="20"/>
      <c r="AS106" s="20"/>
      <c r="AT106" s="20"/>
      <c r="AU106" s="20"/>
      <c r="AV106" s="20"/>
      <c r="AW106" s="21"/>
      <c r="AX106" s="21"/>
      <c r="AY106" s="21"/>
      <c r="AZ106" s="21"/>
      <c r="BA106" s="21"/>
      <c r="BB106" s="21"/>
      <c r="BC106" s="26"/>
      <c r="BD106" s="18"/>
      <c r="BE106" s="18"/>
      <c r="BF106" s="18"/>
      <c r="BG106" s="18"/>
      <c r="BH106" s="18"/>
      <c r="BI106" s="18"/>
      <c r="BJ106" s="18"/>
      <c r="BK106" s="18"/>
      <c r="BL106" s="18"/>
      <c r="BM106" s="18"/>
      <c r="BN106" s="18"/>
      <c r="BO106" s="18"/>
      <c r="BP106" s="1">
        <f>SUM(E106:BO106)</f>
        <v>2</v>
      </c>
      <c r="BQ106" s="18">
        <v>2</v>
      </c>
      <c r="BR106" s="22">
        <v>1</v>
      </c>
      <c r="BS106" s="22" t="s">
        <v>252</v>
      </c>
      <c r="BT106">
        <f>SUM(P106:AD106)</f>
        <v>0</v>
      </c>
      <c r="BU106" s="23">
        <f>AF106+AH106+AI106+AJ106+AO106+AP106</f>
        <v>2</v>
      </c>
    </row>
    <row r="107" spans="1:73">
      <c r="A107" s="1">
        <v>18</v>
      </c>
      <c r="B107" s="1" t="s">
        <v>26</v>
      </c>
      <c r="C107" s="1" t="s">
        <v>24</v>
      </c>
      <c r="D107" s="1" t="s">
        <v>19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>
        <v>5</v>
      </c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5</v>
      </c>
      <c r="BQ107" s="1">
        <v>2</v>
      </c>
      <c r="BR107" s="17">
        <v>1</v>
      </c>
      <c r="BS107" s="17" t="s">
        <v>277</v>
      </c>
      <c r="BT107">
        <f>SUM(P107:AD107)</f>
        <v>0</v>
      </c>
      <c r="BU107" s="23">
        <f>AF107+AH107+AI107+AJ107+AO107+AP107</f>
        <v>0</v>
      </c>
    </row>
    <row r="108" spans="1:73" hidden="1">
      <c r="A108" s="18"/>
      <c r="B108" s="18" t="s">
        <v>179</v>
      </c>
      <c r="C108" s="18" t="s">
        <v>24</v>
      </c>
      <c r="D108" s="18" t="s">
        <v>180</v>
      </c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>
        <v>3</v>
      </c>
      <c r="AP108" s="18"/>
      <c r="AQ108" s="20"/>
      <c r="AR108" s="20"/>
      <c r="AS108" s="20"/>
      <c r="AT108" s="20"/>
      <c r="AU108" s="20"/>
      <c r="AV108" s="20"/>
      <c r="AW108" s="21"/>
      <c r="AX108" s="21"/>
      <c r="AY108" s="21"/>
      <c r="AZ108" s="21"/>
      <c r="BA108" s="21"/>
      <c r="BB108" s="21"/>
      <c r="BC108" s="26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>
        <f>SUM(E108:BO108)</f>
        <v>3</v>
      </c>
      <c r="BQ108" s="18">
        <v>3</v>
      </c>
      <c r="BR108" s="22">
        <v>1</v>
      </c>
      <c r="BS108" s="22" t="s">
        <v>253</v>
      </c>
      <c r="BT108">
        <f>SUM(P108:AD108)</f>
        <v>0</v>
      </c>
      <c r="BU108" s="23">
        <f>AF108+AH108+AI108+AJ108+AO108+AP108</f>
        <v>3</v>
      </c>
    </row>
    <row r="109" spans="1:73" hidden="1">
      <c r="A109" s="1"/>
      <c r="B109" s="1" t="s">
        <v>125</v>
      </c>
      <c r="C109" s="1" t="s">
        <v>123</v>
      </c>
      <c r="D109" s="1" t="s">
        <v>103</v>
      </c>
      <c r="E109" s="6"/>
      <c r="F109" s="6"/>
      <c r="G109" s="6"/>
      <c r="H109" s="6"/>
      <c r="I109" s="6">
        <v>7</v>
      </c>
      <c r="J109" s="6"/>
      <c r="K109" s="6"/>
      <c r="L109" s="6"/>
      <c r="M109" s="6"/>
      <c r="N109" s="6"/>
      <c r="O109" s="6"/>
      <c r="P109" s="28"/>
      <c r="Q109" s="28">
        <v>7</v>
      </c>
      <c r="R109" s="28">
        <v>7</v>
      </c>
      <c r="S109" s="28"/>
      <c r="T109" s="28">
        <v>7</v>
      </c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28</v>
      </c>
      <c r="BQ109" s="1">
        <v>4</v>
      </c>
      <c r="BR109" s="17">
        <v>1</v>
      </c>
      <c r="BS109" s="17" t="s">
        <v>298</v>
      </c>
      <c r="BT109">
        <f>SUM(P109:AD109)</f>
        <v>21</v>
      </c>
      <c r="BU109" s="23">
        <f>AF109+AH109+AI109+AJ109+AO109+AP109</f>
        <v>0</v>
      </c>
    </row>
    <row r="110" spans="1:73" s="66" customFormat="1">
      <c r="A110" s="1"/>
      <c r="B110" s="1" t="s">
        <v>149</v>
      </c>
      <c r="C110" s="1" t="s">
        <v>95</v>
      </c>
      <c r="D110" s="1" t="s">
        <v>85</v>
      </c>
      <c r="E110" s="6">
        <v>10</v>
      </c>
      <c r="F110" s="6"/>
      <c r="G110" s="6">
        <v>10</v>
      </c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>
        <v>10</v>
      </c>
      <c r="AS110" s="4"/>
      <c r="AT110" s="4"/>
      <c r="AU110" s="4"/>
      <c r="AV110" s="4"/>
      <c r="AW110" s="2"/>
      <c r="AX110" s="2"/>
      <c r="AY110" s="2"/>
      <c r="AZ110" s="2"/>
      <c r="BA110" s="2"/>
      <c r="BB110" s="2">
        <v>10</v>
      </c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4</v>
      </c>
      <c r="BR110" s="17">
        <v>1</v>
      </c>
      <c r="BS110" s="17" t="s">
        <v>306</v>
      </c>
      <c r="BT110">
        <f>SUM(P110:AD110)</f>
        <v>0</v>
      </c>
      <c r="BU110" s="23">
        <f>AF110+AH110+AI110+AJ110+AO110+AP110</f>
        <v>0</v>
      </c>
    </row>
    <row r="111" spans="1:73">
      <c r="A111" s="1"/>
      <c r="B111" s="1" t="s">
        <v>147</v>
      </c>
      <c r="C111" s="1" t="s">
        <v>129</v>
      </c>
      <c r="D111" s="1" t="s">
        <v>103</v>
      </c>
      <c r="E111" s="6">
        <v>10</v>
      </c>
      <c r="F111" s="6"/>
      <c r="G111" s="6">
        <v>10</v>
      </c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>
        <v>10</v>
      </c>
      <c r="AS111" s="4"/>
      <c r="AT111" s="4"/>
      <c r="AU111" s="4"/>
      <c r="AV111" s="4"/>
      <c r="AW111" s="2"/>
      <c r="AX111" s="2"/>
      <c r="AY111" s="2"/>
      <c r="AZ111" s="2"/>
      <c r="BA111" s="2"/>
      <c r="BB111" s="2">
        <v>10</v>
      </c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4</v>
      </c>
      <c r="BR111" s="17">
        <v>1</v>
      </c>
      <c r="BS111" s="17" t="s">
        <v>254</v>
      </c>
      <c r="BT111">
        <f>SUM(P111:AD111)</f>
        <v>0</v>
      </c>
      <c r="BU111" s="23">
        <f>AF111+AH111+AI111+AJ111+AO111+AP111</f>
        <v>0</v>
      </c>
    </row>
    <row r="112" spans="1:73" hidden="1">
      <c r="A112" s="1"/>
      <c r="B112" s="1" t="s">
        <v>127</v>
      </c>
      <c r="C112" s="1" t="s">
        <v>128</v>
      </c>
      <c r="D112" s="1" t="s">
        <v>103</v>
      </c>
      <c r="E112" s="6"/>
      <c r="F112" s="6"/>
      <c r="G112" s="6"/>
      <c r="H112" s="6"/>
      <c r="I112" s="6"/>
      <c r="J112" s="6"/>
      <c r="K112" s="6"/>
      <c r="L112" s="6">
        <v>7</v>
      </c>
      <c r="M112" s="6"/>
      <c r="N112" s="6"/>
      <c r="O112" s="6"/>
      <c r="P112" s="28"/>
      <c r="Q112" s="28">
        <v>7</v>
      </c>
      <c r="R112" s="28"/>
      <c r="S112" s="28"/>
      <c r="T112" s="28">
        <v>7</v>
      </c>
      <c r="U112" s="28"/>
      <c r="V112" s="28"/>
      <c r="W112" s="28"/>
      <c r="X112" s="28">
        <v>7</v>
      </c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28</v>
      </c>
      <c r="BQ112" s="1">
        <v>5</v>
      </c>
      <c r="BR112" s="17">
        <v>1</v>
      </c>
      <c r="BS112" s="17" t="s">
        <v>299</v>
      </c>
      <c r="BT112">
        <f>SUM(P112:AD112)</f>
        <v>21</v>
      </c>
      <c r="BU112" s="23">
        <f>AF112+AH112+AI112+AJ112+AO112+AP112</f>
        <v>0</v>
      </c>
    </row>
    <row r="113" spans="1:73" hidden="1">
      <c r="A113" s="18">
        <v>17</v>
      </c>
      <c r="B113" s="18" t="s">
        <v>26</v>
      </c>
      <c r="C113" s="18" t="s">
        <v>24</v>
      </c>
      <c r="D113" s="18" t="s">
        <v>18</v>
      </c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18"/>
      <c r="AF113" s="18">
        <v>5</v>
      </c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20"/>
      <c r="AR113" s="20"/>
      <c r="AS113" s="20"/>
      <c r="AT113" s="20"/>
      <c r="AU113" s="20"/>
      <c r="AV113" s="20"/>
      <c r="AW113" s="21"/>
      <c r="AX113" s="21"/>
      <c r="AY113" s="21"/>
      <c r="AZ113" s="21"/>
      <c r="BA113" s="21"/>
      <c r="BB113" s="21"/>
      <c r="BC113" s="26"/>
      <c r="BD113" s="18"/>
      <c r="BE113" s="18"/>
      <c r="BF113" s="18"/>
      <c r="BG113" s="18"/>
      <c r="BH113" s="18"/>
      <c r="BI113" s="18"/>
      <c r="BJ113" s="18"/>
      <c r="BK113" s="18"/>
      <c r="BL113" s="18"/>
      <c r="BM113" s="18"/>
      <c r="BN113" s="18"/>
      <c r="BO113" s="18"/>
      <c r="BP113" s="18">
        <f>SUM(E113:BO113)</f>
        <v>5</v>
      </c>
      <c r="BQ113" s="18">
        <v>5</v>
      </c>
      <c r="BR113" s="22">
        <v>1</v>
      </c>
      <c r="BS113" s="22" t="s">
        <v>247</v>
      </c>
      <c r="BT113">
        <f>SUM(P113:AD113)</f>
        <v>0</v>
      </c>
      <c r="BU113" s="23">
        <f>AF113+AH113+AI113+AJ113+AO113+AP113</f>
        <v>5</v>
      </c>
    </row>
    <row r="114" spans="1:73" hidden="1">
      <c r="A114" s="18">
        <v>32</v>
      </c>
      <c r="B114" s="18" t="s">
        <v>60</v>
      </c>
      <c r="C114" s="18" t="s">
        <v>24</v>
      </c>
      <c r="D114" s="18" t="s">
        <v>18</v>
      </c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18"/>
      <c r="AF114" s="18"/>
      <c r="AG114" s="18"/>
      <c r="AH114" s="18"/>
      <c r="AI114" s="18">
        <v>5</v>
      </c>
      <c r="AJ114" s="18"/>
      <c r="AK114" s="18"/>
      <c r="AL114" s="18"/>
      <c r="AM114" s="18"/>
      <c r="AN114" s="18"/>
      <c r="AO114" s="18"/>
      <c r="AP114" s="18"/>
      <c r="AQ114" s="20"/>
      <c r="AR114" s="20"/>
      <c r="AS114" s="20"/>
      <c r="AT114" s="20"/>
      <c r="AU114" s="20"/>
      <c r="AV114" s="20"/>
      <c r="AW114" s="21"/>
      <c r="AX114" s="21"/>
      <c r="AY114" s="21"/>
      <c r="AZ114" s="21"/>
      <c r="BA114" s="21"/>
      <c r="BB114" s="21"/>
      <c r="BC114" s="26"/>
      <c r="BD114" s="18"/>
      <c r="BE114" s="18"/>
      <c r="BF114" s="18"/>
      <c r="BG114" s="18"/>
      <c r="BH114" s="18"/>
      <c r="BI114" s="18"/>
      <c r="BJ114" s="18"/>
      <c r="BK114" s="18"/>
      <c r="BL114" s="18"/>
      <c r="BM114" s="18"/>
      <c r="BN114" s="18"/>
      <c r="BO114" s="18"/>
      <c r="BP114" s="18">
        <f>SUM(E114:BO114)</f>
        <v>5</v>
      </c>
      <c r="BQ114" s="18">
        <v>5</v>
      </c>
      <c r="BR114" s="22">
        <v>1</v>
      </c>
      <c r="BS114" s="22" t="s">
        <v>255</v>
      </c>
      <c r="BT114">
        <f>SUM(P114:AD114)</f>
        <v>0</v>
      </c>
      <c r="BU114" s="23">
        <f>AF114+AH114+AI114+AJ114+AO114+AP114</f>
        <v>5</v>
      </c>
    </row>
    <row r="115" spans="1:73" hidden="1">
      <c r="A115" s="18">
        <v>33</v>
      </c>
      <c r="B115" s="18" t="s">
        <v>60</v>
      </c>
      <c r="C115" s="18" t="s">
        <v>24</v>
      </c>
      <c r="D115" s="18" t="s">
        <v>0</v>
      </c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18"/>
      <c r="AF115" s="18"/>
      <c r="AG115" s="18"/>
      <c r="AH115" s="18">
        <v>5</v>
      </c>
      <c r="AI115" s="18"/>
      <c r="AJ115" s="18"/>
      <c r="AK115" s="18"/>
      <c r="AL115" s="18"/>
      <c r="AM115" s="18"/>
      <c r="AN115" s="18"/>
      <c r="AO115" s="18"/>
      <c r="AP115" s="18"/>
      <c r="AQ115" s="20"/>
      <c r="AR115" s="20"/>
      <c r="AS115" s="20"/>
      <c r="AT115" s="20"/>
      <c r="AU115" s="20"/>
      <c r="AV115" s="20"/>
      <c r="AW115" s="21"/>
      <c r="AX115" s="21"/>
      <c r="AY115" s="21"/>
      <c r="AZ115" s="21"/>
      <c r="BA115" s="21"/>
      <c r="BB115" s="21"/>
      <c r="BC115" s="26"/>
      <c r="BD115" s="18"/>
      <c r="BE115" s="18"/>
      <c r="BF115" s="18"/>
      <c r="BG115" s="18"/>
      <c r="BH115" s="18"/>
      <c r="BI115" s="18"/>
      <c r="BJ115" s="18"/>
      <c r="BK115" s="18"/>
      <c r="BL115" s="18"/>
      <c r="BM115" s="18"/>
      <c r="BN115" s="18"/>
      <c r="BO115" s="18"/>
      <c r="BP115" s="18">
        <f>SUM(E115:BO115)</f>
        <v>5</v>
      </c>
      <c r="BQ115" s="18">
        <v>5</v>
      </c>
      <c r="BR115" s="22">
        <v>1</v>
      </c>
      <c r="BS115" s="22" t="s">
        <v>244</v>
      </c>
      <c r="BT115">
        <f>SUM(P115:AD115)</f>
        <v>0</v>
      </c>
      <c r="BU115" s="23">
        <f>AF115+AH115+AI115+AJ115+AO115+AP115</f>
        <v>5</v>
      </c>
    </row>
    <row r="116" spans="1:73" hidden="1">
      <c r="A116" s="18"/>
      <c r="B116" s="18" t="s">
        <v>97</v>
      </c>
      <c r="C116" s="18" t="s">
        <v>95</v>
      </c>
      <c r="D116" s="18" t="s">
        <v>91</v>
      </c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18"/>
      <c r="AF116" s="18"/>
      <c r="AG116" s="18"/>
      <c r="AH116" s="18">
        <v>5</v>
      </c>
      <c r="AI116" s="18"/>
      <c r="AJ116" s="18"/>
      <c r="AK116" s="18"/>
      <c r="AL116" s="18"/>
      <c r="AM116" s="18"/>
      <c r="AN116" s="18"/>
      <c r="AO116" s="18"/>
      <c r="AP116" s="18"/>
      <c r="AQ116" s="20"/>
      <c r="AR116" s="20"/>
      <c r="AS116" s="20"/>
      <c r="AT116" s="20"/>
      <c r="AU116" s="20"/>
      <c r="AV116" s="20"/>
      <c r="AW116" s="21"/>
      <c r="AX116" s="21"/>
      <c r="AY116" s="21"/>
      <c r="AZ116" s="21"/>
      <c r="BA116" s="21"/>
      <c r="BB116" s="21"/>
      <c r="BC116" s="26"/>
      <c r="BD116" s="18"/>
      <c r="BE116" s="18"/>
      <c r="BF116" s="18"/>
      <c r="BG116" s="18"/>
      <c r="BH116" s="18"/>
      <c r="BI116" s="18"/>
      <c r="BJ116" s="18"/>
      <c r="BK116" s="18"/>
      <c r="BL116" s="18"/>
      <c r="BM116" s="18"/>
      <c r="BN116" s="18"/>
      <c r="BO116" s="18"/>
      <c r="BP116" s="18">
        <f>SUM(E116:BO116)</f>
        <v>5</v>
      </c>
      <c r="BQ116" s="18">
        <v>5</v>
      </c>
      <c r="BR116" s="22">
        <v>1</v>
      </c>
      <c r="BS116" s="22" t="s">
        <v>244</v>
      </c>
      <c r="BT116">
        <f>SUM(P116:AD116)</f>
        <v>0</v>
      </c>
      <c r="BU116" s="23">
        <f>AF116+AH116+AI116+AJ116+AO116+AP116</f>
        <v>5</v>
      </c>
    </row>
    <row r="117" spans="1:73" hidden="1">
      <c r="A117" s="18"/>
      <c r="B117" s="18" t="s">
        <v>97</v>
      </c>
      <c r="C117" s="18" t="s">
        <v>95</v>
      </c>
      <c r="D117" s="18" t="s">
        <v>85</v>
      </c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18"/>
      <c r="AF117" s="18"/>
      <c r="AG117" s="18"/>
      <c r="AH117" s="18"/>
      <c r="AI117" s="18">
        <v>5</v>
      </c>
      <c r="AJ117" s="18"/>
      <c r="AK117" s="18"/>
      <c r="AL117" s="18"/>
      <c r="AM117" s="18"/>
      <c r="AN117" s="18"/>
      <c r="AO117" s="18"/>
      <c r="AP117" s="18"/>
      <c r="AQ117" s="20"/>
      <c r="AR117" s="20"/>
      <c r="AS117" s="20"/>
      <c r="AT117" s="20"/>
      <c r="AU117" s="20"/>
      <c r="AV117" s="20"/>
      <c r="AW117" s="21"/>
      <c r="AX117" s="21"/>
      <c r="AY117" s="21"/>
      <c r="AZ117" s="21"/>
      <c r="BA117" s="21"/>
      <c r="BB117" s="21"/>
      <c r="BC117" s="26"/>
      <c r="BD117" s="18"/>
      <c r="BE117" s="18"/>
      <c r="BF117" s="18"/>
      <c r="BG117" s="18"/>
      <c r="BH117" s="18"/>
      <c r="BI117" s="18"/>
      <c r="BJ117" s="18"/>
      <c r="BK117" s="18"/>
      <c r="BL117" s="18"/>
      <c r="BM117" s="18"/>
      <c r="BN117" s="18"/>
      <c r="BO117" s="18"/>
      <c r="BP117" s="18">
        <f>SUM(E117:BO117)</f>
        <v>5</v>
      </c>
      <c r="BQ117" s="18">
        <v>5</v>
      </c>
      <c r="BR117" s="22">
        <v>1</v>
      </c>
      <c r="BS117" s="22" t="s">
        <v>255</v>
      </c>
      <c r="BT117">
        <f>SUM(P117:AD117)</f>
        <v>0</v>
      </c>
      <c r="BU117" s="23">
        <f>AF117+AH117+AI117+AJ117+AO117+AP117</f>
        <v>5</v>
      </c>
    </row>
    <row r="118" spans="1:73">
      <c r="A118" s="31">
        <v>84</v>
      </c>
      <c r="B118" s="32" t="s">
        <v>159</v>
      </c>
      <c r="C118" s="32" t="s">
        <v>50</v>
      </c>
      <c r="D118" s="31" t="s">
        <v>9</v>
      </c>
      <c r="E118" s="33"/>
      <c r="F118" s="33"/>
      <c r="G118" s="33">
        <v>5</v>
      </c>
      <c r="H118" s="33">
        <v>5</v>
      </c>
      <c r="I118" s="33"/>
      <c r="J118" s="33"/>
      <c r="K118" s="33"/>
      <c r="L118" s="33"/>
      <c r="M118" s="33"/>
      <c r="N118" s="33"/>
      <c r="O118" s="33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5"/>
      <c r="AR118" s="35"/>
      <c r="AS118" s="35"/>
      <c r="AT118" s="35"/>
      <c r="AU118" s="35"/>
      <c r="AV118" s="35"/>
      <c r="AW118" s="36"/>
      <c r="AX118" s="36"/>
      <c r="AY118" s="36"/>
      <c r="AZ118" s="36"/>
      <c r="BA118" s="36">
        <v>5</v>
      </c>
      <c r="BB118" s="36">
        <v>5</v>
      </c>
      <c r="BC118" s="37"/>
      <c r="BD118" s="31"/>
      <c r="BE118" s="31"/>
      <c r="BF118" s="31"/>
      <c r="BG118" s="31"/>
      <c r="BH118" s="31"/>
      <c r="BI118" s="31"/>
      <c r="BJ118" s="31"/>
      <c r="BK118" s="31"/>
      <c r="BL118" s="31"/>
      <c r="BM118" s="31"/>
      <c r="BN118" s="31"/>
      <c r="BO118" s="31"/>
      <c r="BP118" s="31">
        <f>SUM(E118:BO118)</f>
        <v>20</v>
      </c>
      <c r="BQ118" s="31">
        <v>5</v>
      </c>
      <c r="BR118" s="38">
        <v>1</v>
      </c>
      <c r="BS118" s="38" t="s">
        <v>256</v>
      </c>
      <c r="BT118">
        <f>SUM(P118:AD118)</f>
        <v>0</v>
      </c>
      <c r="BU118" s="23">
        <f>AF118+AH118+AI118+AJ118+AO118+AP118</f>
        <v>0</v>
      </c>
    </row>
    <row r="119" spans="1:73">
      <c r="A119" s="1"/>
      <c r="B119" s="1" t="s">
        <v>154</v>
      </c>
      <c r="C119" s="1" t="s">
        <v>83</v>
      </c>
      <c r="D119" s="1" t="s">
        <v>85</v>
      </c>
      <c r="E119" s="6"/>
      <c r="F119" s="6"/>
      <c r="G119" s="6"/>
      <c r="H119" s="6">
        <v>6</v>
      </c>
      <c r="I119" s="6"/>
      <c r="J119" s="6"/>
      <c r="K119" s="6">
        <v>6</v>
      </c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>
        <v>10</v>
      </c>
      <c r="AR119" s="4"/>
      <c r="AS119" s="4"/>
      <c r="AT119" s="4"/>
      <c r="AU119" s="4"/>
      <c r="AV119" s="4"/>
      <c r="AW119" s="2">
        <v>10</v>
      </c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32</v>
      </c>
      <c r="BQ119" s="1">
        <v>6</v>
      </c>
      <c r="BR119" s="17">
        <v>1</v>
      </c>
      <c r="BS119" s="17" t="s">
        <v>257</v>
      </c>
      <c r="BT119">
        <f>SUM(P119:AD119)</f>
        <v>0</v>
      </c>
      <c r="BU119" s="23">
        <f>AF119+AH119+AI119+AJ119+AO119+AP119</f>
        <v>0</v>
      </c>
    </row>
    <row r="120" spans="1:73">
      <c r="A120" s="1">
        <v>8</v>
      </c>
      <c r="B120" s="1" t="s">
        <v>144</v>
      </c>
      <c r="C120" s="1" t="s">
        <v>1</v>
      </c>
      <c r="D120" s="1" t="s">
        <v>20</v>
      </c>
      <c r="E120" s="6">
        <v>6</v>
      </c>
      <c r="F120" s="6"/>
      <c r="G120" s="6"/>
      <c r="H120" s="6">
        <v>6</v>
      </c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>
        <v>10</v>
      </c>
      <c r="AS120" s="4"/>
      <c r="AT120" s="4"/>
      <c r="AU120" s="4"/>
      <c r="AV120" s="4"/>
      <c r="AW120" s="2"/>
      <c r="AX120" s="2"/>
      <c r="AY120" s="2"/>
      <c r="AZ120" s="2"/>
      <c r="BA120" s="2"/>
      <c r="BB120" s="2">
        <v>10</v>
      </c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32</v>
      </c>
      <c r="BQ120" s="1">
        <v>6</v>
      </c>
      <c r="BR120" s="17">
        <v>1</v>
      </c>
      <c r="BS120" s="17" t="s">
        <v>257</v>
      </c>
      <c r="BT120">
        <f>SUM(P120:AD120)</f>
        <v>0</v>
      </c>
      <c r="BU120" s="23">
        <f>AF120+AH120+AI120+AJ120+AO120+AP120</f>
        <v>0</v>
      </c>
    </row>
    <row r="121" spans="1:73" hidden="1">
      <c r="A121" s="1"/>
      <c r="B121" s="1" t="s">
        <v>118</v>
      </c>
      <c r="C121" s="1" t="s">
        <v>119</v>
      </c>
      <c r="D121" s="1" t="s">
        <v>103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7</v>
      </c>
      <c r="BR121" s="17">
        <v>1</v>
      </c>
      <c r="BS121" s="17" t="s">
        <v>300</v>
      </c>
      <c r="BT121">
        <f>SUM(P121:AD121)</f>
        <v>20</v>
      </c>
      <c r="BU121" s="23">
        <f>AF121+AH121+AI121+AJ121+AO121+AP121</f>
        <v>0</v>
      </c>
    </row>
    <row r="122" spans="1:73" hidden="1">
      <c r="A122" s="1"/>
      <c r="B122" s="1" t="s">
        <v>124</v>
      </c>
      <c r="C122" s="1" t="s">
        <v>123</v>
      </c>
      <c r="D122" s="1" t="s">
        <v>103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7</v>
      </c>
      <c r="BR122" s="17">
        <v>1</v>
      </c>
      <c r="BS122" s="17" t="s">
        <v>300</v>
      </c>
      <c r="BT122">
        <f>SUM(P122:AD122)</f>
        <v>20</v>
      </c>
      <c r="BU122" s="23">
        <f>AF122+AH122+AI122+AJ122+AO122+AP122</f>
        <v>0</v>
      </c>
    </row>
    <row r="123" spans="1:73" hidden="1">
      <c r="A123" s="59"/>
      <c r="B123" s="59" t="s">
        <v>204</v>
      </c>
      <c r="C123" s="59" t="s">
        <v>130</v>
      </c>
      <c r="D123" s="59" t="s">
        <v>103</v>
      </c>
      <c r="E123" s="60">
        <v>10</v>
      </c>
      <c r="F123" s="60"/>
      <c r="G123" s="60"/>
      <c r="H123" s="60"/>
      <c r="I123" s="60"/>
      <c r="J123" s="60"/>
      <c r="K123" s="60"/>
      <c r="L123" s="60"/>
      <c r="M123" s="60"/>
      <c r="N123" s="60"/>
      <c r="O123" s="60"/>
      <c r="P123" s="61"/>
      <c r="Q123" s="61"/>
      <c r="R123" s="61">
        <v>10</v>
      </c>
      <c r="S123" s="61"/>
      <c r="T123" s="61"/>
      <c r="U123" s="61">
        <v>10</v>
      </c>
      <c r="V123" s="61"/>
      <c r="W123" s="61"/>
      <c r="X123" s="61"/>
      <c r="Y123" s="61"/>
      <c r="Z123" s="61"/>
      <c r="AA123" s="61"/>
      <c r="AB123" s="61"/>
      <c r="AC123" s="61"/>
      <c r="AD123" s="61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62"/>
      <c r="AR123" s="62"/>
      <c r="AS123" s="62"/>
      <c r="AT123" s="62"/>
      <c r="AU123" s="62">
        <v>10</v>
      </c>
      <c r="AV123" s="62"/>
      <c r="AW123" s="63"/>
      <c r="AX123" s="63"/>
      <c r="AY123" s="63"/>
      <c r="AZ123" s="63"/>
      <c r="BA123" s="63"/>
      <c r="BB123" s="63"/>
      <c r="BC123" s="64"/>
      <c r="BD123" s="59"/>
      <c r="BE123" s="59"/>
      <c r="BF123" s="59"/>
      <c r="BG123" s="59"/>
      <c r="BH123" s="59"/>
      <c r="BI123" s="59"/>
      <c r="BJ123" s="59"/>
      <c r="BK123" s="59"/>
      <c r="BL123" s="59"/>
      <c r="BM123" s="59"/>
      <c r="BN123" s="59"/>
      <c r="BO123" s="59"/>
      <c r="BP123" s="59">
        <f>SUM(E123:BO123)</f>
        <v>40</v>
      </c>
      <c r="BQ123" s="59">
        <v>7</v>
      </c>
      <c r="BR123" s="65">
        <v>1</v>
      </c>
      <c r="BS123" s="65" t="s">
        <v>300</v>
      </c>
      <c r="BT123">
        <f>SUM(P123:AD123)</f>
        <v>20</v>
      </c>
      <c r="BU123" s="23">
        <f>AF123+AH123+AI123+AJ123+AO123+AP123</f>
        <v>0</v>
      </c>
    </row>
    <row r="124" spans="1:73" hidden="1">
      <c r="A124" s="1"/>
      <c r="B124" s="3" t="s">
        <v>241</v>
      </c>
      <c r="C124" s="3" t="s">
        <v>50</v>
      </c>
      <c r="D124" s="1" t="s">
        <v>207</v>
      </c>
      <c r="E124" s="6">
        <v>10</v>
      </c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>
        <v>10</v>
      </c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>
        <v>10</v>
      </c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7</v>
      </c>
      <c r="BR124" s="17">
        <v>1</v>
      </c>
      <c r="BS124" s="17" t="s">
        <v>300</v>
      </c>
      <c r="BT124">
        <f>SUM(P124:AD124)</f>
        <v>20</v>
      </c>
      <c r="BU124" s="23">
        <f>AF124+AH124+AI124+AJ124+AO124+AP124</f>
        <v>0</v>
      </c>
    </row>
    <row r="125" spans="1:73" hidden="1">
      <c r="A125" s="1"/>
      <c r="B125" s="1" t="s">
        <v>273</v>
      </c>
      <c r="C125" s="1" t="s">
        <v>52</v>
      </c>
      <c r="D125" s="1" t="s">
        <v>266</v>
      </c>
      <c r="E125" s="6">
        <v>10</v>
      </c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>
        <v>10</v>
      </c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>
        <v>10</v>
      </c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7</v>
      </c>
      <c r="BR125" s="17">
        <v>1</v>
      </c>
      <c r="BS125" s="17" t="s">
        <v>300</v>
      </c>
      <c r="BT125">
        <f>SUM(P125:AD125)</f>
        <v>20</v>
      </c>
      <c r="BU125" s="23">
        <f>AF125+AH125+AI125+AJ125+AO125+AP125</f>
        <v>0</v>
      </c>
    </row>
    <row r="126" spans="1:73" hidden="1">
      <c r="A126" s="1"/>
      <c r="B126" s="1" t="s">
        <v>274</v>
      </c>
      <c r="C126" s="1" t="s">
        <v>52</v>
      </c>
      <c r="D126" s="1" t="s">
        <v>266</v>
      </c>
      <c r="E126" s="6"/>
      <c r="F126" s="6"/>
      <c r="G126" s="6"/>
      <c r="H126" s="6"/>
      <c r="I126" s="6"/>
      <c r="J126" s="6"/>
      <c r="K126" s="6"/>
      <c r="L126" s="6">
        <v>10</v>
      </c>
      <c r="M126" s="6"/>
      <c r="N126" s="6"/>
      <c r="O126" s="6"/>
      <c r="P126" s="28"/>
      <c r="Q126" s="28"/>
      <c r="R126" s="28">
        <v>10</v>
      </c>
      <c r="S126" s="28"/>
      <c r="T126" s="28"/>
      <c r="U126" s="28">
        <v>10</v>
      </c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7</v>
      </c>
      <c r="BR126" s="17">
        <v>1</v>
      </c>
      <c r="BS126" s="17" t="s">
        <v>300</v>
      </c>
      <c r="BT126">
        <f>SUM(P126:AD126)</f>
        <v>20</v>
      </c>
      <c r="BU126" s="23">
        <f>AF126+AH126+AI126+AJ126+AO126+AP126</f>
        <v>0</v>
      </c>
    </row>
    <row r="127" spans="1:73" hidden="1">
      <c r="A127" s="1"/>
      <c r="B127" s="1" t="s">
        <v>121</v>
      </c>
      <c r="C127" s="1" t="s">
        <v>119</v>
      </c>
      <c r="D127" s="1" t="s">
        <v>103</v>
      </c>
      <c r="E127" s="6"/>
      <c r="F127" s="6"/>
      <c r="G127" s="6"/>
      <c r="H127" s="6">
        <v>7</v>
      </c>
      <c r="I127" s="6"/>
      <c r="J127" s="6"/>
      <c r="K127" s="6"/>
      <c r="L127" s="6"/>
      <c r="M127" s="6"/>
      <c r="N127" s="6"/>
      <c r="O127" s="6"/>
      <c r="P127" s="28"/>
      <c r="Q127" s="28">
        <v>7</v>
      </c>
      <c r="R127" s="28"/>
      <c r="S127" s="28"/>
      <c r="T127" s="28">
        <v>7</v>
      </c>
      <c r="U127" s="28"/>
      <c r="V127" s="28"/>
      <c r="W127" s="28"/>
      <c r="X127" s="28"/>
      <c r="Y127" s="28"/>
      <c r="Z127" s="28"/>
      <c r="AA127" s="28">
        <v>7</v>
      </c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28</v>
      </c>
      <c r="BQ127" s="1">
        <v>7</v>
      </c>
      <c r="BR127" s="17">
        <v>1</v>
      </c>
      <c r="BS127" s="17" t="s">
        <v>283</v>
      </c>
      <c r="BT127">
        <f>SUM(P127:AD127)</f>
        <v>21</v>
      </c>
      <c r="BU127" s="23">
        <f>AF127+AH127+AI127+AJ127+AO127+AP127</f>
        <v>0</v>
      </c>
    </row>
    <row r="128" spans="1:73" hidden="1">
      <c r="A128" s="1"/>
      <c r="B128" s="1" t="s">
        <v>288</v>
      </c>
      <c r="C128" s="1" t="s">
        <v>52</v>
      </c>
      <c r="D128" s="1" t="s">
        <v>291</v>
      </c>
      <c r="E128" s="6"/>
      <c r="F128" s="6"/>
      <c r="G128" s="6"/>
      <c r="H128" s="6"/>
      <c r="I128" s="6"/>
      <c r="J128" s="6"/>
      <c r="K128" s="6"/>
      <c r="L128" s="6">
        <v>10</v>
      </c>
      <c r="M128" s="6"/>
      <c r="N128" s="6"/>
      <c r="O128" s="6"/>
      <c r="P128" s="28"/>
      <c r="Q128" s="28"/>
      <c r="R128" s="28">
        <v>10</v>
      </c>
      <c r="S128" s="28"/>
      <c r="T128" s="28"/>
      <c r="U128" s="28">
        <v>10</v>
      </c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>
        <v>10</v>
      </c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40</v>
      </c>
      <c r="BQ128" s="1">
        <v>7</v>
      </c>
      <c r="BR128" s="17">
        <v>1</v>
      </c>
      <c r="BS128" s="17" t="s">
        <v>300</v>
      </c>
      <c r="BT128">
        <f>SUM(P128:AD128)</f>
        <v>20</v>
      </c>
      <c r="BU128" s="23">
        <f>AF128+AH128+AI128+AJ128+AO128+AP128</f>
        <v>0</v>
      </c>
    </row>
    <row r="129" spans="1:73">
      <c r="A129" s="1"/>
      <c r="B129" s="1" t="s">
        <v>245</v>
      </c>
      <c r="C129" s="1" t="s">
        <v>95</v>
      </c>
      <c r="D129" s="1" t="s">
        <v>246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>
        <v>40</v>
      </c>
      <c r="AV129" s="4"/>
      <c r="AW129" s="2"/>
      <c r="AX129" s="2"/>
      <c r="AY129" s="2">
        <v>40</v>
      </c>
      <c r="AZ129" s="2">
        <v>40</v>
      </c>
      <c r="BA129" s="2"/>
      <c r="BB129" s="2"/>
      <c r="BC129" s="14">
        <v>10</v>
      </c>
      <c r="BD129" s="1"/>
      <c r="BE129" s="1"/>
      <c r="BF129" s="1"/>
      <c r="BG129" s="1"/>
      <c r="BH129" s="1"/>
      <c r="BI129" s="1">
        <v>50</v>
      </c>
      <c r="BJ129" s="1"/>
      <c r="BK129" s="1"/>
      <c r="BL129" s="1"/>
      <c r="BM129" s="1"/>
      <c r="BN129" s="1"/>
      <c r="BO129" s="1"/>
      <c r="BP129" s="1">
        <f>SUM(E129:BO129)</f>
        <v>180</v>
      </c>
      <c r="BQ129" s="1">
        <v>7</v>
      </c>
      <c r="BR129" s="17">
        <v>1</v>
      </c>
      <c r="BS129" s="17" t="s">
        <v>302</v>
      </c>
      <c r="BT129">
        <f>SUM(P129:AD129)</f>
        <v>0</v>
      </c>
      <c r="BU129" s="23">
        <f>AF129+AH129+AI129+AJ129+AO129+AP129</f>
        <v>0</v>
      </c>
    </row>
    <row r="130" spans="1:73" hidden="1">
      <c r="A130" s="1"/>
      <c r="B130" s="3" t="s">
        <v>210</v>
      </c>
      <c r="C130" s="3" t="s">
        <v>211</v>
      </c>
      <c r="D130" s="1" t="s">
        <v>207</v>
      </c>
      <c r="E130" s="6"/>
      <c r="F130" s="6"/>
      <c r="G130" s="6"/>
      <c r="H130" s="6"/>
      <c r="I130" s="6"/>
      <c r="J130" s="6"/>
      <c r="K130" s="6"/>
      <c r="L130" s="6"/>
      <c r="M130" s="6"/>
      <c r="N130" s="6">
        <v>10</v>
      </c>
      <c r="O130" s="6"/>
      <c r="P130" s="28"/>
      <c r="Q130" s="28"/>
      <c r="R130" s="28"/>
      <c r="S130" s="28"/>
      <c r="T130" s="28"/>
      <c r="U130" s="28"/>
      <c r="V130" s="28"/>
      <c r="W130" s="28"/>
      <c r="X130" s="28">
        <v>10</v>
      </c>
      <c r="Y130" s="28"/>
      <c r="Z130" s="28"/>
      <c r="AA130" s="28">
        <v>10</v>
      </c>
      <c r="AB130" s="28"/>
      <c r="AC130" s="28"/>
      <c r="AD130" s="28">
        <v>10</v>
      </c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>SUM(E130:BO130)</f>
        <v>40</v>
      </c>
      <c r="BQ130" s="1">
        <v>8</v>
      </c>
      <c r="BR130" s="17">
        <v>1</v>
      </c>
      <c r="BS130" s="17" t="s">
        <v>301</v>
      </c>
      <c r="BT130">
        <f>SUM(P130:AD130)</f>
        <v>30</v>
      </c>
      <c r="BU130" s="23">
        <f>AF130+AH130+AI130+AJ130+AO130+AP130</f>
        <v>0</v>
      </c>
    </row>
    <row r="131" spans="1:73" hidden="1">
      <c r="A131" s="1"/>
      <c r="B131" s="1" t="s">
        <v>271</v>
      </c>
      <c r="C131" s="1" t="s">
        <v>50</v>
      </c>
      <c r="D131" s="1" t="s">
        <v>266</v>
      </c>
      <c r="E131" s="6"/>
      <c r="F131" s="6"/>
      <c r="G131" s="6"/>
      <c r="H131" s="6"/>
      <c r="I131" s="6"/>
      <c r="J131" s="6"/>
      <c r="K131" s="6"/>
      <c r="L131" s="6">
        <v>10</v>
      </c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>
        <v>10</v>
      </c>
      <c r="Y131" s="28"/>
      <c r="Z131" s="28"/>
      <c r="AA131" s="28"/>
      <c r="AB131" s="28"/>
      <c r="AC131" s="28"/>
      <c r="AD131" s="28">
        <v>10</v>
      </c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>
        <v>10</v>
      </c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40</v>
      </c>
      <c r="BQ131" s="1">
        <v>8</v>
      </c>
      <c r="BR131" s="17">
        <v>1</v>
      </c>
      <c r="BS131" s="17" t="s">
        <v>301</v>
      </c>
      <c r="BT131">
        <f>SUM(P131:AD131)</f>
        <v>20</v>
      </c>
      <c r="BU131" s="23">
        <f>AF131+AH131+AI131+AJ131+AO131+AP131</f>
        <v>0</v>
      </c>
    </row>
    <row r="132" spans="1:73">
      <c r="A132" s="59"/>
      <c r="B132" s="59" t="s">
        <v>145</v>
      </c>
      <c r="C132" s="59" t="s">
        <v>95</v>
      </c>
      <c r="D132" s="59" t="s">
        <v>84</v>
      </c>
      <c r="E132" s="60">
        <v>15</v>
      </c>
      <c r="F132" s="60"/>
      <c r="G132" s="60">
        <v>15</v>
      </c>
      <c r="H132" s="60"/>
      <c r="I132" s="60"/>
      <c r="J132" s="60"/>
      <c r="K132" s="60"/>
      <c r="L132" s="60"/>
      <c r="M132" s="60"/>
      <c r="N132" s="60"/>
      <c r="O132" s="60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62"/>
      <c r="AR132" s="62">
        <v>15</v>
      </c>
      <c r="AS132" s="62"/>
      <c r="AT132" s="62"/>
      <c r="AU132" s="62"/>
      <c r="AV132" s="62"/>
      <c r="AW132" s="63"/>
      <c r="AX132" s="63"/>
      <c r="AY132" s="63"/>
      <c r="AZ132" s="63"/>
      <c r="BA132" s="63"/>
      <c r="BB132" s="63">
        <v>15</v>
      </c>
      <c r="BC132" s="64"/>
      <c r="BD132" s="59"/>
      <c r="BE132" s="59"/>
      <c r="BF132" s="59"/>
      <c r="BG132" s="59"/>
      <c r="BH132" s="59"/>
      <c r="BI132" s="59"/>
      <c r="BJ132" s="59"/>
      <c r="BK132" s="59"/>
      <c r="BL132" s="59"/>
      <c r="BM132" s="59"/>
      <c r="BN132" s="59"/>
      <c r="BO132" s="59"/>
      <c r="BP132" s="59">
        <f>SUM(E132:BO132)</f>
        <v>60</v>
      </c>
      <c r="BQ132" s="59">
        <v>9</v>
      </c>
      <c r="BR132" s="65">
        <v>1</v>
      </c>
      <c r="BS132" s="65" t="s">
        <v>280</v>
      </c>
      <c r="BT132">
        <f>SUM(P132:AD132)</f>
        <v>0</v>
      </c>
      <c r="BU132" s="23">
        <f>AF132+AH132+AI132+AJ132+AO132+AP132</f>
        <v>0</v>
      </c>
    </row>
    <row r="133" spans="1:73">
      <c r="A133" s="1"/>
      <c r="B133" s="1" t="s">
        <v>155</v>
      </c>
      <c r="C133" s="1" t="s">
        <v>98</v>
      </c>
      <c r="D133" s="1" t="s">
        <v>85</v>
      </c>
      <c r="E133" s="6"/>
      <c r="F133" s="6"/>
      <c r="G133" s="6"/>
      <c r="H133" s="6">
        <v>10</v>
      </c>
      <c r="I133" s="6"/>
      <c r="J133" s="6">
        <v>10</v>
      </c>
      <c r="K133" s="6"/>
      <c r="L133" s="6"/>
      <c r="M133" s="6"/>
      <c r="N133" s="6"/>
      <c r="O133" s="6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>
        <v>10</v>
      </c>
      <c r="AU133" s="4"/>
      <c r="AV133" s="4"/>
      <c r="AW133" s="2"/>
      <c r="AX133" s="2"/>
      <c r="AY133" s="2">
        <v>10</v>
      </c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40</v>
      </c>
      <c r="BQ133" s="1">
        <v>10</v>
      </c>
      <c r="BR133" s="17">
        <v>1</v>
      </c>
      <c r="BS133" s="17" t="s">
        <v>248</v>
      </c>
      <c r="BT133">
        <f>SUM(P133:AD133)</f>
        <v>0</v>
      </c>
      <c r="BU133" s="23">
        <f>AF133+AH133+AI133+AJ133+AO133+AP133</f>
        <v>0</v>
      </c>
    </row>
    <row r="134" spans="1:73">
      <c r="A134" s="18">
        <v>64</v>
      </c>
      <c r="B134" s="24" t="s">
        <v>48</v>
      </c>
      <c r="C134" s="18" t="s">
        <v>43</v>
      </c>
      <c r="D134" s="18" t="s">
        <v>0</v>
      </c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>
        <v>15</v>
      </c>
      <c r="AO134" s="18"/>
      <c r="AP134" s="18"/>
      <c r="AQ134" s="20"/>
      <c r="AR134" s="20"/>
      <c r="AS134" s="20"/>
      <c r="AT134" s="20"/>
      <c r="AU134" s="20"/>
      <c r="AV134" s="20"/>
      <c r="AW134" s="21"/>
      <c r="AX134" s="21"/>
      <c r="AY134" s="21"/>
      <c r="AZ134" s="21"/>
      <c r="BA134" s="21"/>
      <c r="BB134" s="21"/>
      <c r="BC134" s="26"/>
      <c r="BD134" s="18"/>
      <c r="BE134" s="18"/>
      <c r="BF134" s="18"/>
      <c r="BG134" s="18"/>
      <c r="BH134" s="18"/>
      <c r="BI134" s="18"/>
      <c r="BJ134" s="18"/>
      <c r="BK134" s="18"/>
      <c r="BL134" s="18"/>
      <c r="BM134" s="18"/>
      <c r="BN134" s="18"/>
      <c r="BO134" s="18"/>
      <c r="BP134" s="18">
        <f>SUM(E134:BO134)</f>
        <v>15</v>
      </c>
      <c r="BQ134" s="18">
        <v>11</v>
      </c>
      <c r="BR134" s="22">
        <v>1</v>
      </c>
      <c r="BS134" s="22" t="s">
        <v>278</v>
      </c>
      <c r="BT134">
        <f>SUM(P134:AD134)</f>
        <v>0</v>
      </c>
      <c r="BU134" s="23">
        <f>AF134+AH134+AI134+AJ134+AO134+AP134</f>
        <v>0</v>
      </c>
    </row>
    <row r="135" spans="1:73">
      <c r="A135" s="1">
        <v>54</v>
      </c>
      <c r="B135" s="1" t="s">
        <v>42</v>
      </c>
      <c r="C135" s="1" t="s">
        <v>43</v>
      </c>
      <c r="D135" s="1" t="s">
        <v>0</v>
      </c>
      <c r="E135" s="6"/>
      <c r="F135" s="6">
        <v>15</v>
      </c>
      <c r="G135" s="6"/>
      <c r="H135" s="6">
        <v>15</v>
      </c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>
        <v>15</v>
      </c>
      <c r="AW135" s="2"/>
      <c r="AX135" s="2"/>
      <c r="AY135" s="2"/>
      <c r="AZ135" s="2"/>
      <c r="BA135" s="2">
        <v>15</v>
      </c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60</v>
      </c>
      <c r="BQ135" s="1">
        <v>15</v>
      </c>
      <c r="BR135" s="17">
        <v>1</v>
      </c>
      <c r="BS135" s="17" t="s">
        <v>281</v>
      </c>
      <c r="BT135">
        <f>SUM(P135:AD135)</f>
        <v>0</v>
      </c>
      <c r="BU135" s="23">
        <f>AF135+AH135+AI135+AJ135+AO135+AP135</f>
        <v>0</v>
      </c>
    </row>
    <row r="136" spans="1:73">
      <c r="A136" s="1">
        <v>98</v>
      </c>
      <c r="B136" s="3" t="s">
        <v>143</v>
      </c>
      <c r="C136" s="3" t="s">
        <v>52</v>
      </c>
      <c r="D136" s="1" t="s">
        <v>0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>
        <v>50</v>
      </c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50</v>
      </c>
      <c r="BQ136" s="1">
        <v>41</v>
      </c>
      <c r="BR136" s="17">
        <v>1</v>
      </c>
      <c r="BS136" s="17" t="s">
        <v>258</v>
      </c>
      <c r="BT136">
        <f>SUM(P136:AD136)</f>
        <v>0</v>
      </c>
      <c r="BU136" s="23">
        <f>AF136+AH136+AI136+AJ136+AO136+AP136</f>
        <v>0</v>
      </c>
    </row>
    <row r="137" spans="1:73">
      <c r="A137" s="1">
        <v>99</v>
      </c>
      <c r="B137" s="3" t="s">
        <v>143</v>
      </c>
      <c r="C137" s="3" t="s">
        <v>52</v>
      </c>
      <c r="D137" s="1" t="s">
        <v>9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>
        <v>200</v>
      </c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200</v>
      </c>
      <c r="BQ137" s="1">
        <v>191</v>
      </c>
      <c r="BR137" s="17">
        <v>1</v>
      </c>
      <c r="BS137" s="17" t="s">
        <v>249</v>
      </c>
      <c r="BT137">
        <f>SUM(P137:AD137)</f>
        <v>0</v>
      </c>
      <c r="BU137" s="23">
        <f>AF137+AH137+AI137+AJ137+AO137+AP137</f>
        <v>0</v>
      </c>
    </row>
    <row r="138" spans="1:73" ht="27" hidden="1">
      <c r="A138" s="1"/>
      <c r="B138" s="1" t="s">
        <v>94</v>
      </c>
      <c r="C138" s="1" t="s">
        <v>87</v>
      </c>
      <c r="D138" s="1" t="s">
        <v>84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>
        <v>5</v>
      </c>
      <c r="AP138" s="1">
        <v>1</v>
      </c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6</v>
      </c>
      <c r="BQ138" s="1">
        <v>6</v>
      </c>
      <c r="BR138" s="17">
        <v>2</v>
      </c>
      <c r="BS138" s="17" t="s">
        <v>259</v>
      </c>
      <c r="BT138">
        <f>SUM(P138:AD138)</f>
        <v>0</v>
      </c>
      <c r="BU138" s="23">
        <f>AF138+AH138+AI138+AJ138+AO138+AP138</f>
        <v>6</v>
      </c>
    </row>
    <row r="139" spans="1:73" ht="27" hidden="1">
      <c r="A139" s="1"/>
      <c r="B139" s="1" t="s">
        <v>179</v>
      </c>
      <c r="C139" s="1" t="s">
        <v>24</v>
      </c>
      <c r="D139" s="1" t="s">
        <v>19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>
        <v>5</v>
      </c>
      <c r="AP139" s="1">
        <v>1</v>
      </c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6</v>
      </c>
      <c r="BQ139" s="1">
        <v>6</v>
      </c>
      <c r="BR139" s="17">
        <v>2</v>
      </c>
      <c r="BS139" s="17" t="s">
        <v>259</v>
      </c>
      <c r="BT139">
        <f>SUM(P139:AD139)</f>
        <v>0</v>
      </c>
      <c r="BU139" s="23">
        <f>AF139+AH139+AI139+AJ139+AO139+AP139</f>
        <v>6</v>
      </c>
    </row>
    <row r="140" spans="1:73" ht="27">
      <c r="A140" s="1"/>
      <c r="B140" s="1" t="s">
        <v>140</v>
      </c>
      <c r="C140" s="1" t="s">
        <v>83</v>
      </c>
      <c r="D140" s="1" t="s">
        <v>85</v>
      </c>
      <c r="E140" s="6">
        <v>10</v>
      </c>
      <c r="F140" s="6"/>
      <c r="G140" s="6">
        <v>10</v>
      </c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>
        <v>15</v>
      </c>
      <c r="AU140" s="4"/>
      <c r="AV140" s="4"/>
      <c r="AW140" s="2"/>
      <c r="AX140" s="2"/>
      <c r="AY140" s="2"/>
      <c r="AZ140" s="2">
        <v>15</v>
      </c>
      <c r="BA140" s="2">
        <v>15</v>
      </c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65</v>
      </c>
      <c r="BQ140" s="1">
        <v>8</v>
      </c>
      <c r="BR140" s="17">
        <v>2</v>
      </c>
      <c r="BS140" s="17" t="s">
        <v>293</v>
      </c>
      <c r="BT140">
        <f>SUM(P140:AD140)</f>
        <v>0</v>
      </c>
      <c r="BU140" s="23">
        <f>AF140+AH140+AI140+AJ140+AO140+AP140</f>
        <v>0</v>
      </c>
    </row>
    <row r="141" spans="1:73" ht="27" hidden="1">
      <c r="A141" s="1"/>
      <c r="B141" s="1" t="s">
        <v>90</v>
      </c>
      <c r="C141" s="1" t="s">
        <v>87</v>
      </c>
      <c r="D141" s="1" t="s">
        <v>91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>
        <v>3</v>
      </c>
      <c r="AP141" s="1">
        <v>5</v>
      </c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8</v>
      </c>
      <c r="BQ141" s="1">
        <v>8</v>
      </c>
      <c r="BR141" s="17">
        <v>2</v>
      </c>
      <c r="BS141" s="17" t="s">
        <v>279</v>
      </c>
      <c r="BT141">
        <f>SUM(P141:AD141)</f>
        <v>0</v>
      </c>
      <c r="BU141" s="23">
        <f>AF141+AH141+AI141+AJ141+AO141+AP141</f>
        <v>8</v>
      </c>
    </row>
    <row r="142" spans="1:73" ht="27" hidden="1">
      <c r="A142" s="1">
        <v>27</v>
      </c>
      <c r="B142" s="1" t="s">
        <v>57</v>
      </c>
      <c r="C142" s="1" t="s">
        <v>24</v>
      </c>
      <c r="D142" s="1" t="s">
        <v>18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>
        <v>5</v>
      </c>
      <c r="AI142" s="1">
        <v>5</v>
      </c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>SUM(E142:BO142)</f>
        <v>10</v>
      </c>
      <c r="BQ142" s="1">
        <v>10</v>
      </c>
      <c r="BR142" s="17">
        <v>2</v>
      </c>
      <c r="BS142" s="17" t="s">
        <v>260</v>
      </c>
      <c r="BT142">
        <f>SUM(P142:AD142)</f>
        <v>0</v>
      </c>
      <c r="BU142" s="23">
        <f>AF142+AH142+AI142+AJ142+AO142+AP142</f>
        <v>10</v>
      </c>
    </row>
    <row r="143" spans="1:73" ht="27" hidden="1">
      <c r="A143" s="1">
        <v>88</v>
      </c>
      <c r="B143" s="3" t="s">
        <v>62</v>
      </c>
      <c r="C143" s="3" t="s">
        <v>63</v>
      </c>
      <c r="D143" s="1" t="s">
        <v>18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>
        <v>5</v>
      </c>
      <c r="AI143" s="1">
        <v>5</v>
      </c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>SUM(E143:BO143)</f>
        <v>10</v>
      </c>
      <c r="BQ143" s="1">
        <v>10</v>
      </c>
      <c r="BR143" s="17">
        <v>2</v>
      </c>
      <c r="BS143" s="17" t="s">
        <v>260</v>
      </c>
      <c r="BT143">
        <f>SUM(P143:AD143)</f>
        <v>0</v>
      </c>
      <c r="BU143" s="23">
        <f>AF143+AH143+AI143+AJ143+AO143+AP143</f>
        <v>10</v>
      </c>
    </row>
    <row r="144" spans="1:73" ht="27" hidden="1">
      <c r="A144" s="1"/>
      <c r="B144" s="1" t="s">
        <v>131</v>
      </c>
      <c r="C144" s="1" t="s">
        <v>130</v>
      </c>
      <c r="D144" s="1" t="s">
        <v>103</v>
      </c>
      <c r="E144" s="6"/>
      <c r="F144" s="6"/>
      <c r="G144" s="6">
        <v>10</v>
      </c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>
        <v>10</v>
      </c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>
        <v>10</v>
      </c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>SUM(E144:BO144)</f>
        <v>40</v>
      </c>
      <c r="BQ144" s="1">
        <v>12</v>
      </c>
      <c r="BR144" s="17">
        <v>2</v>
      </c>
      <c r="BS144" s="17" t="s">
        <v>294</v>
      </c>
      <c r="BT144">
        <f>SUM(P144:AD144)</f>
        <v>20</v>
      </c>
      <c r="BU144" s="23">
        <f>AF144+AH144+AI144+AJ144+AO144+AP144</f>
        <v>0</v>
      </c>
    </row>
    <row r="145" spans="1:73" ht="27" hidden="1">
      <c r="A145" s="1"/>
      <c r="B145" s="1" t="s">
        <v>136</v>
      </c>
      <c r="C145" s="1" t="s">
        <v>98</v>
      </c>
      <c r="D145" s="1" t="s">
        <v>139</v>
      </c>
      <c r="E145" s="6"/>
      <c r="F145" s="6"/>
      <c r="G145" s="6">
        <v>10</v>
      </c>
      <c r="H145" s="6"/>
      <c r="I145" s="6"/>
      <c r="J145" s="6"/>
      <c r="K145" s="6"/>
      <c r="L145" s="6"/>
      <c r="M145" s="6"/>
      <c r="N145" s="6"/>
      <c r="O145" s="6"/>
      <c r="P145" s="28"/>
      <c r="Q145" s="28"/>
      <c r="R145" s="28"/>
      <c r="S145" s="28"/>
      <c r="T145" s="28"/>
      <c r="U145" s="28"/>
      <c r="V145" s="28"/>
      <c r="W145" s="28"/>
      <c r="X145" s="28">
        <v>10</v>
      </c>
      <c r="Y145" s="28"/>
      <c r="Z145" s="28"/>
      <c r="AA145" s="28"/>
      <c r="AB145" s="28"/>
      <c r="AC145" s="28"/>
      <c r="AD145" s="28">
        <v>10</v>
      </c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/>
      <c r="AT145" s="4"/>
      <c r="AU145" s="4"/>
      <c r="AV145" s="4">
        <v>10</v>
      </c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>SUM(E145:BO145)</f>
        <v>40</v>
      </c>
      <c r="BQ145" s="1">
        <v>12</v>
      </c>
      <c r="BR145" s="17">
        <v>2</v>
      </c>
      <c r="BS145" s="17" t="s">
        <v>294</v>
      </c>
      <c r="BT145">
        <f>SUM(P145:AD145)</f>
        <v>20</v>
      </c>
      <c r="BU145" s="23">
        <f>AF145+AH145+AI145+AJ145+AO145+AP145</f>
        <v>0</v>
      </c>
    </row>
    <row r="146" spans="1:73" ht="27" hidden="1">
      <c r="A146" s="1"/>
      <c r="B146" s="3" t="s">
        <v>212</v>
      </c>
      <c r="C146" s="3" t="s">
        <v>213</v>
      </c>
      <c r="D146" s="1" t="s">
        <v>207</v>
      </c>
      <c r="E146" s="6"/>
      <c r="F146" s="6"/>
      <c r="G146" s="6">
        <v>10</v>
      </c>
      <c r="H146" s="6"/>
      <c r="I146" s="6"/>
      <c r="J146" s="6"/>
      <c r="K146" s="6"/>
      <c r="L146" s="6"/>
      <c r="M146" s="6"/>
      <c r="N146" s="6"/>
      <c r="O146" s="6"/>
      <c r="P146" s="28"/>
      <c r="Q146" s="28"/>
      <c r="R146" s="28"/>
      <c r="S146" s="28"/>
      <c r="T146" s="28"/>
      <c r="U146" s="28"/>
      <c r="V146" s="28"/>
      <c r="W146" s="28"/>
      <c r="X146" s="28">
        <v>10</v>
      </c>
      <c r="Y146" s="28"/>
      <c r="Z146" s="28"/>
      <c r="AA146" s="28"/>
      <c r="AB146" s="28"/>
      <c r="AC146" s="28"/>
      <c r="AD146" s="28">
        <v>10</v>
      </c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/>
      <c r="AV146" s="4">
        <v>10</v>
      </c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>
        <f>SUM(E146:BO146)</f>
        <v>40</v>
      </c>
      <c r="BQ146" s="1">
        <v>12</v>
      </c>
      <c r="BR146" s="17">
        <v>2</v>
      </c>
      <c r="BS146" s="17" t="s">
        <v>294</v>
      </c>
      <c r="BT146">
        <f>SUM(P146:AD146)</f>
        <v>20</v>
      </c>
      <c r="BU146" s="23">
        <f>AF146+AH146+AI146+AJ146+AO146+AP146</f>
        <v>0</v>
      </c>
    </row>
    <row r="147" spans="1:73" ht="27" hidden="1">
      <c r="A147" s="1"/>
      <c r="B147" s="1" t="s">
        <v>267</v>
      </c>
      <c r="C147" s="1" t="s">
        <v>119</v>
      </c>
      <c r="D147" s="1" t="s">
        <v>266</v>
      </c>
      <c r="E147" s="6"/>
      <c r="F147" s="6"/>
      <c r="G147" s="6">
        <v>10</v>
      </c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>
        <v>10</v>
      </c>
      <c r="Y147" s="28"/>
      <c r="Z147" s="28"/>
      <c r="AA147" s="28"/>
      <c r="AB147" s="28"/>
      <c r="AC147" s="28"/>
      <c r="AD147" s="28">
        <v>10</v>
      </c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>
        <v>10</v>
      </c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>
        <f>SUM(E147:BO147)</f>
        <v>40</v>
      </c>
      <c r="BQ147" s="1">
        <v>12</v>
      </c>
      <c r="BR147" s="17">
        <v>2</v>
      </c>
      <c r="BS147" s="17" t="s">
        <v>294</v>
      </c>
      <c r="BT147">
        <f>SUM(P147:AD147)</f>
        <v>20</v>
      </c>
      <c r="BU147" s="23">
        <f>AF147+AH147+AI147+AJ147+AO147+AP147</f>
        <v>0</v>
      </c>
    </row>
    <row r="148" spans="1:73" ht="27" hidden="1">
      <c r="A148" s="1"/>
      <c r="B148" s="1" t="s">
        <v>112</v>
      </c>
      <c r="C148" s="1" t="s">
        <v>100</v>
      </c>
      <c r="D148" s="1" t="s">
        <v>103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>
        <v>10</v>
      </c>
      <c r="P148" s="28"/>
      <c r="Q148" s="28"/>
      <c r="R148" s="28">
        <v>10</v>
      </c>
      <c r="S148" s="28"/>
      <c r="T148" s="28"/>
      <c r="U148" s="28"/>
      <c r="V148" s="28"/>
      <c r="W148" s="28"/>
      <c r="X148" s="28">
        <v>10</v>
      </c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>
        <v>10</v>
      </c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>
        <f>SUM(E148:BO148)</f>
        <v>40</v>
      </c>
      <c r="BQ148" s="1">
        <v>15</v>
      </c>
      <c r="BR148" s="17">
        <v>2</v>
      </c>
      <c r="BS148" s="17" t="s">
        <v>303</v>
      </c>
      <c r="BT148">
        <f>SUM(P148:AD148)</f>
        <v>20</v>
      </c>
      <c r="BU148" s="23">
        <f>AF148+AH148+AI148+AJ148+AO148+AP148</f>
        <v>0</v>
      </c>
    </row>
    <row r="149" spans="1:73" ht="27" hidden="1">
      <c r="A149" s="1"/>
      <c r="B149" s="3" t="s">
        <v>217</v>
      </c>
      <c r="C149" s="3" t="s">
        <v>99</v>
      </c>
      <c r="D149" s="1" t="s">
        <v>207</v>
      </c>
      <c r="E149" s="6"/>
      <c r="F149" s="6"/>
      <c r="G149" s="6"/>
      <c r="H149" s="6"/>
      <c r="I149" s="6">
        <v>10</v>
      </c>
      <c r="J149" s="6"/>
      <c r="K149" s="6"/>
      <c r="L149" s="6"/>
      <c r="M149" s="6"/>
      <c r="N149" s="6"/>
      <c r="O149" s="6"/>
      <c r="P149" s="28"/>
      <c r="Q149" s="28"/>
      <c r="R149" s="28">
        <v>10</v>
      </c>
      <c r="S149" s="28"/>
      <c r="T149" s="28"/>
      <c r="U149" s="28"/>
      <c r="V149" s="28"/>
      <c r="W149" s="28"/>
      <c r="X149" s="28">
        <v>10</v>
      </c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>
        <v>10</v>
      </c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>
        <f>SUM(E149:BO149)</f>
        <v>40</v>
      </c>
      <c r="BQ149" s="1">
        <v>15</v>
      </c>
      <c r="BR149" s="17">
        <v>2</v>
      </c>
      <c r="BS149" s="17" t="s">
        <v>303</v>
      </c>
      <c r="BT149">
        <f>SUM(P149:AD149)</f>
        <v>20</v>
      </c>
      <c r="BU149" s="23">
        <f>AF149+AH149+AI149+AJ149+AO149+AP149</f>
        <v>0</v>
      </c>
    </row>
    <row r="150" spans="1:73" ht="27" hidden="1">
      <c r="A150" s="1"/>
      <c r="B150" s="1" t="s">
        <v>270</v>
      </c>
      <c r="C150" s="1" t="s">
        <v>50</v>
      </c>
      <c r="D150" s="1" t="s">
        <v>266</v>
      </c>
      <c r="E150" s="6"/>
      <c r="F150" s="6"/>
      <c r="G150" s="6"/>
      <c r="H150" s="6"/>
      <c r="I150" s="6">
        <v>10</v>
      </c>
      <c r="J150" s="6"/>
      <c r="K150" s="6"/>
      <c r="L150" s="6"/>
      <c r="M150" s="6"/>
      <c r="N150" s="6"/>
      <c r="O150" s="6"/>
      <c r="P150" s="28"/>
      <c r="Q150" s="28"/>
      <c r="R150" s="28">
        <v>10</v>
      </c>
      <c r="S150" s="28"/>
      <c r="T150" s="28"/>
      <c r="U150" s="28"/>
      <c r="V150" s="28"/>
      <c r="W150" s="28"/>
      <c r="X150" s="28">
        <v>10</v>
      </c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>
        <v>10</v>
      </c>
      <c r="AU150" s="4"/>
      <c r="AV150" s="4"/>
      <c r="AW150" s="2"/>
      <c r="AX150" s="2"/>
      <c r="AY150" s="2"/>
      <c r="AZ150" s="2"/>
      <c r="BA150" s="2"/>
      <c r="BB150" s="2"/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>SUM(E150:BO150)</f>
        <v>40</v>
      </c>
      <c r="BQ150" s="1">
        <v>15</v>
      </c>
      <c r="BR150" s="17">
        <v>2</v>
      </c>
      <c r="BS150" s="17" t="s">
        <v>303</v>
      </c>
      <c r="BT150">
        <f>SUM(P150:AD150)</f>
        <v>20</v>
      </c>
      <c r="BU150" s="23">
        <f>AF150+AH150+AI150+AJ150+AO150+AP150</f>
        <v>0</v>
      </c>
    </row>
    <row r="151" spans="1:73" ht="27" hidden="1">
      <c r="A151" s="1"/>
      <c r="B151" s="1" t="s">
        <v>275</v>
      </c>
      <c r="C151" s="1" t="s">
        <v>52</v>
      </c>
      <c r="D151" s="1" t="s">
        <v>266</v>
      </c>
      <c r="E151" s="6"/>
      <c r="F151" s="6"/>
      <c r="G151" s="6"/>
      <c r="H151" s="6"/>
      <c r="I151" s="6">
        <v>10</v>
      </c>
      <c r="J151" s="6"/>
      <c r="K151" s="6"/>
      <c r="L151" s="6"/>
      <c r="M151" s="6"/>
      <c r="N151" s="6"/>
      <c r="O151" s="6"/>
      <c r="P151" s="28"/>
      <c r="Q151" s="28"/>
      <c r="R151" s="28">
        <v>10</v>
      </c>
      <c r="S151" s="28"/>
      <c r="T151" s="28"/>
      <c r="U151" s="28"/>
      <c r="V151" s="28"/>
      <c r="W151" s="28"/>
      <c r="X151" s="28">
        <v>10</v>
      </c>
      <c r="Y151" s="28"/>
      <c r="Z151" s="28"/>
      <c r="AA151" s="28"/>
      <c r="AB151" s="28"/>
      <c r="AC151" s="28"/>
      <c r="AD151" s="28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>
        <v>10</v>
      </c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>
        <f>SUM(E151:BO151)</f>
        <v>40</v>
      </c>
      <c r="BQ151" s="1">
        <v>15</v>
      </c>
      <c r="BR151" s="17">
        <v>2</v>
      </c>
      <c r="BS151" s="17" t="s">
        <v>303</v>
      </c>
      <c r="BT151">
        <f>SUM(P151:AD151)</f>
        <v>20</v>
      </c>
      <c r="BU151" s="23">
        <f>AF151+AH151+AI151+AJ151+AO151+AP151</f>
        <v>0</v>
      </c>
    </row>
    <row r="152" spans="1:73" ht="27" hidden="1">
      <c r="A152" s="1"/>
      <c r="B152" s="1" t="s">
        <v>90</v>
      </c>
      <c r="C152" s="1" t="s">
        <v>87</v>
      </c>
      <c r="D152" s="1" t="s">
        <v>84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>
        <v>5</v>
      </c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>
        <v>5</v>
      </c>
      <c r="AP152" s="1">
        <v>10</v>
      </c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>
        <f>SUM(E152:BO152)</f>
        <v>20</v>
      </c>
      <c r="BQ152" s="1">
        <v>15</v>
      </c>
      <c r="BR152" s="17">
        <v>2</v>
      </c>
      <c r="BS152" s="17" t="s">
        <v>261</v>
      </c>
      <c r="BT152">
        <f>SUM(P152:AD152)</f>
        <v>0</v>
      </c>
      <c r="BU152" s="23">
        <f>AF152+AH152+AI152+AJ152+AO152+AP152</f>
        <v>15</v>
      </c>
    </row>
    <row r="153" spans="1:73" ht="27" hidden="1">
      <c r="A153" s="1"/>
      <c r="B153" s="1" t="s">
        <v>132</v>
      </c>
      <c r="C153" s="1" t="s">
        <v>130</v>
      </c>
      <c r="D153" s="1" t="s">
        <v>103</v>
      </c>
      <c r="E153" s="6"/>
      <c r="F153" s="6"/>
      <c r="G153" s="6"/>
      <c r="H153" s="6">
        <v>10</v>
      </c>
      <c r="I153" s="6"/>
      <c r="J153" s="6"/>
      <c r="K153" s="6"/>
      <c r="L153" s="6"/>
      <c r="M153" s="6"/>
      <c r="N153" s="6"/>
      <c r="O153" s="6"/>
      <c r="P153" s="28"/>
      <c r="Q153" s="28"/>
      <c r="R153" s="28">
        <v>10</v>
      </c>
      <c r="S153" s="28"/>
      <c r="T153" s="28"/>
      <c r="U153" s="28">
        <v>10</v>
      </c>
      <c r="V153" s="28"/>
      <c r="W153" s="28"/>
      <c r="X153" s="28"/>
      <c r="Y153" s="28"/>
      <c r="Z153" s="28"/>
      <c r="AA153" s="28"/>
      <c r="AB153" s="28"/>
      <c r="AC153" s="28"/>
      <c r="AD153" s="28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>
        <v>10</v>
      </c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>
        <f>SUM(E153:BO153)</f>
        <v>40</v>
      </c>
      <c r="BQ153" s="1">
        <v>17</v>
      </c>
      <c r="BR153" s="17">
        <v>2</v>
      </c>
      <c r="BS153" s="17" t="s">
        <v>296</v>
      </c>
      <c r="BT153">
        <f>SUM(P153:AD153)</f>
        <v>20</v>
      </c>
      <c r="BU153" s="23">
        <f>AF153+AH153+AI153+AJ153+AO153+AP153</f>
        <v>0</v>
      </c>
    </row>
    <row r="154" spans="1:73" ht="27" hidden="1">
      <c r="A154" s="1"/>
      <c r="B154" s="1" t="s">
        <v>90</v>
      </c>
      <c r="C154" s="1" t="s">
        <v>87</v>
      </c>
      <c r="D154" s="1" t="s">
        <v>85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>
        <v>10</v>
      </c>
      <c r="AP154" s="1">
        <v>10</v>
      </c>
      <c r="AQ154" s="4"/>
      <c r="AR154" s="4"/>
      <c r="AS154" s="4">
        <v>5</v>
      </c>
      <c r="AT154" s="4"/>
      <c r="AU154" s="4"/>
      <c r="AV154" s="4"/>
      <c r="AW154" s="2"/>
      <c r="AX154" s="2">
        <v>5</v>
      </c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>
        <f>SUM(E154:BO154)</f>
        <v>30</v>
      </c>
      <c r="BQ154" s="1">
        <v>20</v>
      </c>
      <c r="BR154" s="17">
        <v>2</v>
      </c>
      <c r="BS154" s="17" t="s">
        <v>251</v>
      </c>
      <c r="BT154">
        <f>SUM(P154:AD154)</f>
        <v>0</v>
      </c>
      <c r="BU154" s="23">
        <f>AF154+AH154+AI154+AJ154+AO154+AP154</f>
        <v>20</v>
      </c>
    </row>
    <row r="155" spans="1:73" ht="27">
      <c r="A155" s="1"/>
      <c r="B155" s="1" t="s">
        <v>86</v>
      </c>
      <c r="C155" s="1" t="s">
        <v>87</v>
      </c>
      <c r="D155" s="1" t="s">
        <v>84</v>
      </c>
      <c r="E155" s="6"/>
      <c r="F155" s="6"/>
      <c r="G155" s="6">
        <v>15</v>
      </c>
      <c r="H155" s="6">
        <v>15</v>
      </c>
      <c r="I155" s="6"/>
      <c r="J155" s="6"/>
      <c r="K155" s="6"/>
      <c r="L155" s="6"/>
      <c r="M155" s="6"/>
      <c r="N155" s="6"/>
      <c r="O155" s="6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>
        <v>15</v>
      </c>
      <c r="AT155" s="4"/>
      <c r="AU155" s="4"/>
      <c r="AV155" s="4"/>
      <c r="AW155" s="2"/>
      <c r="AX155" s="2"/>
      <c r="AY155" s="2"/>
      <c r="AZ155" s="2"/>
      <c r="BA155" s="2"/>
      <c r="BB155" s="2">
        <v>15</v>
      </c>
      <c r="BC155" s="14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>
        <f>SUM(E155:BO155)</f>
        <v>60</v>
      </c>
      <c r="BQ155" s="1">
        <v>24</v>
      </c>
      <c r="BR155" s="17">
        <v>2</v>
      </c>
      <c r="BS155" s="17" t="s">
        <v>286</v>
      </c>
      <c r="BT155">
        <f>SUM(P155:AD155)</f>
        <v>0</v>
      </c>
      <c r="BU155" s="23">
        <f>AF155+AH155+AI155+AJ155+AO155+AP155</f>
        <v>0</v>
      </c>
    </row>
    <row r="156" spans="1:73" ht="27">
      <c r="A156" s="18">
        <v>65</v>
      </c>
      <c r="B156" s="24" t="s">
        <v>48</v>
      </c>
      <c r="C156" s="18" t="s">
        <v>43</v>
      </c>
      <c r="D156" s="18" t="s">
        <v>9</v>
      </c>
      <c r="E156" s="19"/>
      <c r="F156" s="19"/>
      <c r="G156" s="19">
        <v>10</v>
      </c>
      <c r="H156" s="19"/>
      <c r="I156" s="19"/>
      <c r="J156" s="19"/>
      <c r="K156" s="19"/>
      <c r="L156" s="19"/>
      <c r="M156" s="19"/>
      <c r="N156" s="19"/>
      <c r="O156" s="1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>
        <v>25</v>
      </c>
      <c r="AO156" s="18"/>
      <c r="AP156" s="18"/>
      <c r="AQ156" s="20"/>
      <c r="AR156" s="20"/>
      <c r="AS156" s="20"/>
      <c r="AT156" s="20"/>
      <c r="AU156" s="20"/>
      <c r="AV156" s="20">
        <v>10</v>
      </c>
      <c r="AW156" s="21"/>
      <c r="AX156" s="21"/>
      <c r="AY156" s="21"/>
      <c r="AZ156" s="21">
        <v>10</v>
      </c>
      <c r="BA156" s="21"/>
      <c r="BB156" s="21"/>
      <c r="BC156" s="26"/>
      <c r="BD156" s="18"/>
      <c r="BE156" s="18"/>
      <c r="BF156" s="18"/>
      <c r="BG156" s="18"/>
      <c r="BH156" s="18"/>
      <c r="BI156" s="18"/>
      <c r="BJ156" s="18"/>
      <c r="BK156" s="18"/>
      <c r="BL156" s="18"/>
      <c r="BM156" s="18"/>
      <c r="BN156" s="18"/>
      <c r="BO156" s="18"/>
      <c r="BP156" s="18">
        <f>SUM(E156:BO156)</f>
        <v>55</v>
      </c>
      <c r="BQ156" s="18">
        <v>25</v>
      </c>
      <c r="BR156" s="22">
        <v>2</v>
      </c>
      <c r="BS156" s="22" t="s">
        <v>282</v>
      </c>
      <c r="BT156">
        <f>SUM(P156:AD156)</f>
        <v>0</v>
      </c>
      <c r="BU156" s="23">
        <f>AF156+AH156+AI156+AJ156+AO156+AP156</f>
        <v>0</v>
      </c>
    </row>
    <row r="157" spans="1:73" ht="27">
      <c r="A157" s="1"/>
      <c r="B157" s="1" t="s">
        <v>86</v>
      </c>
      <c r="C157" s="1" t="s">
        <v>87</v>
      </c>
      <c r="D157" s="1" t="s">
        <v>88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>
        <v>40</v>
      </c>
      <c r="AW157" s="2">
        <v>40</v>
      </c>
      <c r="AX157" s="2"/>
      <c r="AY157" s="2"/>
      <c r="AZ157" s="2"/>
      <c r="BA157" s="2"/>
      <c r="BB157" s="2">
        <v>40</v>
      </c>
      <c r="BC157" s="14">
        <v>10</v>
      </c>
      <c r="BD157" s="1">
        <v>50</v>
      </c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>
        <f>SUM(E157:BO157)</f>
        <v>180</v>
      </c>
      <c r="BQ157" s="1">
        <v>32</v>
      </c>
      <c r="BR157" s="17">
        <v>2</v>
      </c>
      <c r="BS157" s="17" t="s">
        <v>304</v>
      </c>
      <c r="BT157">
        <f>SUM(P157:AD157)</f>
        <v>0</v>
      </c>
      <c r="BU157" s="23">
        <f>AF157+AH157+AI157+AJ157+AO157+AP157</f>
        <v>0</v>
      </c>
    </row>
    <row r="158" spans="1:73" ht="27">
      <c r="A158" s="1"/>
      <c r="B158" s="1" t="s">
        <v>153</v>
      </c>
      <c r="C158" s="1" t="s">
        <v>98</v>
      </c>
      <c r="D158" s="1" t="s">
        <v>84</v>
      </c>
      <c r="E158" s="6"/>
      <c r="F158" s="6"/>
      <c r="G158" s="6">
        <v>20</v>
      </c>
      <c r="H158" s="6">
        <v>20</v>
      </c>
      <c r="I158" s="6"/>
      <c r="J158" s="6"/>
      <c r="K158" s="6"/>
      <c r="L158" s="6"/>
      <c r="M158" s="6"/>
      <c r="N158" s="6"/>
      <c r="O158" s="6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4"/>
      <c r="AR158" s="4"/>
      <c r="AS158" s="4"/>
      <c r="AT158" s="4"/>
      <c r="AU158" s="4"/>
      <c r="AV158" s="4"/>
      <c r="AW158" s="2"/>
      <c r="AX158" s="2"/>
      <c r="AY158" s="2"/>
      <c r="AZ158" s="2"/>
      <c r="BA158" s="2">
        <v>20</v>
      </c>
      <c r="BB158" s="2">
        <v>20</v>
      </c>
      <c r="BC158" s="14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>
        <f>SUM(E158:BO158)</f>
        <v>80</v>
      </c>
      <c r="BQ158" s="1">
        <v>34</v>
      </c>
      <c r="BR158" s="17">
        <v>2</v>
      </c>
      <c r="BS158" s="17" t="s">
        <v>305</v>
      </c>
      <c r="BT158">
        <f>SUM(P158:AD158)</f>
        <v>0</v>
      </c>
      <c r="BU158" s="23">
        <f>AF158+AH158+AI158+AJ158+AO158+AP158</f>
        <v>0</v>
      </c>
    </row>
    <row r="159" spans="1:73" ht="27">
      <c r="A159" s="1">
        <v>23</v>
      </c>
      <c r="B159" s="1" t="s">
        <v>81</v>
      </c>
      <c r="C159" s="1" t="s">
        <v>24</v>
      </c>
      <c r="D159" s="1" t="s">
        <v>29</v>
      </c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4"/>
      <c r="AR159" s="4"/>
      <c r="AS159" s="4"/>
      <c r="AT159" s="4"/>
      <c r="AU159" s="4"/>
      <c r="AV159" s="4"/>
      <c r="AW159" s="2"/>
      <c r="AX159" s="2"/>
      <c r="AY159" s="2"/>
      <c r="AZ159" s="2"/>
      <c r="BA159" s="2"/>
      <c r="BB159" s="2"/>
      <c r="BC159" s="14"/>
      <c r="BD159" s="1"/>
      <c r="BE159" s="1"/>
      <c r="BF159" s="1"/>
      <c r="BG159" s="1"/>
      <c r="BH159" s="1"/>
      <c r="BI159" s="1"/>
      <c r="BJ159" s="1">
        <v>50</v>
      </c>
      <c r="BK159" s="1">
        <v>50</v>
      </c>
      <c r="BL159" s="1"/>
      <c r="BM159" s="1"/>
      <c r="BN159" s="1">
        <v>50</v>
      </c>
      <c r="BO159" s="1">
        <v>50</v>
      </c>
      <c r="BP159" s="1">
        <f>SUM(E159:BO159)</f>
        <v>200</v>
      </c>
      <c r="BQ159" s="1">
        <v>90</v>
      </c>
      <c r="BR159" s="17">
        <v>2</v>
      </c>
      <c r="BS159" s="17" t="s">
        <v>250</v>
      </c>
      <c r="BT159">
        <f>SUM(P159:AD159)</f>
        <v>0</v>
      </c>
      <c r="BU159" s="23">
        <f>AF159+AH159+AI159+AJ159+AO159+AP159</f>
        <v>0</v>
      </c>
    </row>
    <row r="160" spans="1:73" ht="27">
      <c r="A160" s="1"/>
      <c r="B160" s="1" t="s">
        <v>148</v>
      </c>
      <c r="C160" s="1" t="s">
        <v>95</v>
      </c>
      <c r="D160" s="1" t="s">
        <v>96</v>
      </c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4"/>
      <c r="AR160" s="4"/>
      <c r="AS160" s="4"/>
      <c r="AT160" s="4"/>
      <c r="AU160" s="4"/>
      <c r="AV160" s="4"/>
      <c r="AW160" s="2"/>
      <c r="AX160" s="2"/>
      <c r="AY160" s="2"/>
      <c r="AZ160" s="2"/>
      <c r="BA160" s="2"/>
      <c r="BB160" s="2"/>
      <c r="BC160" s="14"/>
      <c r="BD160" s="1"/>
      <c r="BE160" s="1"/>
      <c r="BF160" s="1"/>
      <c r="BG160" s="1"/>
      <c r="BH160" s="1"/>
      <c r="BI160" s="1"/>
      <c r="BJ160" s="1">
        <v>50</v>
      </c>
      <c r="BK160" s="1">
        <v>50</v>
      </c>
      <c r="BL160" s="1"/>
      <c r="BM160" s="1"/>
      <c r="BN160" s="1">
        <v>50</v>
      </c>
      <c r="BO160" s="1">
        <v>50</v>
      </c>
      <c r="BP160" s="1">
        <f>SUM(E160:BO160)</f>
        <v>200</v>
      </c>
      <c r="BQ160" s="1">
        <v>90</v>
      </c>
      <c r="BR160" s="17">
        <v>2</v>
      </c>
      <c r="BS160" s="17" t="s">
        <v>250</v>
      </c>
      <c r="BT160">
        <f>SUM(P160:AD160)</f>
        <v>0</v>
      </c>
      <c r="BU160" s="23">
        <f>AF160+AH160+AI160+AJ160+AO160+AP160</f>
        <v>0</v>
      </c>
    </row>
    <row r="161" spans="1:73" ht="27">
      <c r="A161" s="1"/>
      <c r="B161" s="1" t="s">
        <v>146</v>
      </c>
      <c r="C161" s="1" t="s">
        <v>129</v>
      </c>
      <c r="D161" s="1" t="s">
        <v>29</v>
      </c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4"/>
      <c r="AR161" s="4"/>
      <c r="AS161" s="4"/>
      <c r="AT161" s="4"/>
      <c r="AU161" s="4"/>
      <c r="AV161" s="4"/>
      <c r="AW161" s="2"/>
      <c r="AX161" s="2"/>
      <c r="AY161" s="2"/>
      <c r="AZ161" s="2"/>
      <c r="BA161" s="2"/>
      <c r="BB161" s="2"/>
      <c r="BC161" s="14"/>
      <c r="BD161" s="1"/>
      <c r="BE161" s="1"/>
      <c r="BF161" s="1"/>
      <c r="BG161" s="1"/>
      <c r="BH161" s="1"/>
      <c r="BI161" s="1"/>
      <c r="BJ161" s="1">
        <v>50</v>
      </c>
      <c r="BK161" s="1">
        <v>50</v>
      </c>
      <c r="BL161" s="1"/>
      <c r="BM161" s="1"/>
      <c r="BN161" s="1">
        <v>50</v>
      </c>
      <c r="BO161" s="1">
        <v>50</v>
      </c>
      <c r="BP161" s="1">
        <f>SUM(E161:BO161)</f>
        <v>200</v>
      </c>
      <c r="BQ161" s="1">
        <v>90</v>
      </c>
      <c r="BR161" s="17">
        <v>2</v>
      </c>
      <c r="BS161" s="17" t="s">
        <v>250</v>
      </c>
      <c r="BT161">
        <f>SUM(P161:AD161)</f>
        <v>0</v>
      </c>
      <c r="BU161" s="23">
        <f>AF161+AH161+AI161+AJ161+AO161+AP161</f>
        <v>0</v>
      </c>
    </row>
    <row r="162" spans="1:73" ht="27">
      <c r="A162" s="1">
        <v>102</v>
      </c>
      <c r="B162" s="3" t="s">
        <v>178</v>
      </c>
      <c r="C162" s="3" t="s">
        <v>52</v>
      </c>
      <c r="D162" s="1" t="s">
        <v>29</v>
      </c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4"/>
      <c r="AR162" s="4"/>
      <c r="AS162" s="4"/>
      <c r="AT162" s="4"/>
      <c r="AU162" s="4"/>
      <c r="AV162" s="4"/>
      <c r="AW162" s="2"/>
      <c r="AX162" s="2"/>
      <c r="AY162" s="2"/>
      <c r="AZ162" s="2"/>
      <c r="BA162" s="2"/>
      <c r="BB162" s="2"/>
      <c r="BC162" s="14"/>
      <c r="BD162" s="1"/>
      <c r="BE162" s="1"/>
      <c r="BF162" s="1"/>
      <c r="BG162" s="1"/>
      <c r="BH162" s="1"/>
      <c r="BI162" s="1"/>
      <c r="BJ162" s="1">
        <v>50</v>
      </c>
      <c r="BK162" s="1">
        <v>50</v>
      </c>
      <c r="BL162" s="1"/>
      <c r="BM162" s="1"/>
      <c r="BN162" s="1">
        <v>50</v>
      </c>
      <c r="BO162" s="1">
        <v>50</v>
      </c>
      <c r="BP162" s="1">
        <f>SUM(E162:BO162)</f>
        <v>200</v>
      </c>
      <c r="BQ162" s="1">
        <v>90</v>
      </c>
      <c r="BR162" s="17">
        <v>2</v>
      </c>
      <c r="BS162" s="17" t="s">
        <v>250</v>
      </c>
      <c r="BT162">
        <f>SUM(P162:AD162)</f>
        <v>0</v>
      </c>
      <c r="BU162" s="23">
        <f>AF162+AH162+AI162+AJ162+AO162+AP162</f>
        <v>0</v>
      </c>
    </row>
    <row r="163" spans="1:73" ht="40.5" hidden="1">
      <c r="A163" s="1">
        <v>28</v>
      </c>
      <c r="B163" s="1" t="s">
        <v>57</v>
      </c>
      <c r="C163" s="1" t="s">
        <v>24</v>
      </c>
      <c r="D163" s="1" t="s">
        <v>0</v>
      </c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1"/>
      <c r="AF163" s="1"/>
      <c r="AG163" s="1"/>
      <c r="AH163" s="1">
        <v>5</v>
      </c>
      <c r="AI163" s="1">
        <v>5</v>
      </c>
      <c r="AJ163" s="1">
        <v>5</v>
      </c>
      <c r="AK163" s="1"/>
      <c r="AL163" s="1"/>
      <c r="AM163" s="1"/>
      <c r="AN163" s="1"/>
      <c r="AO163" s="1"/>
      <c r="AP163" s="1"/>
      <c r="AQ163" s="4"/>
      <c r="AR163" s="4"/>
      <c r="AS163" s="4"/>
      <c r="AT163" s="4"/>
      <c r="AU163" s="4"/>
      <c r="AV163" s="4"/>
      <c r="AW163" s="2"/>
      <c r="AX163" s="2"/>
      <c r="AY163" s="2"/>
      <c r="AZ163" s="2"/>
      <c r="BA163" s="2"/>
      <c r="BB163" s="2"/>
      <c r="BC163" s="14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>
        <f>SUM(E163:BO163)</f>
        <v>15</v>
      </c>
      <c r="BQ163" s="1">
        <v>15</v>
      </c>
      <c r="BR163" s="17">
        <v>3</v>
      </c>
      <c r="BS163" s="17" t="s">
        <v>284</v>
      </c>
      <c r="BT163">
        <f>SUM(P163:AD163)</f>
        <v>0</v>
      </c>
      <c r="BU163" s="23">
        <f>AF163+AH163+AI163+AJ163+AO163+AP163</f>
        <v>15</v>
      </c>
    </row>
    <row r="164" spans="1:73" ht="40.5" hidden="1">
      <c r="A164" s="1">
        <v>89</v>
      </c>
      <c r="B164" s="3" t="s">
        <v>62</v>
      </c>
      <c r="C164" s="3" t="s">
        <v>63</v>
      </c>
      <c r="D164" s="1" t="s">
        <v>0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1"/>
      <c r="AF164" s="1">
        <v>5</v>
      </c>
      <c r="AG164" s="1"/>
      <c r="AH164" s="1">
        <v>5</v>
      </c>
      <c r="AI164" s="1">
        <v>5</v>
      </c>
      <c r="AJ164" s="1"/>
      <c r="AK164" s="1"/>
      <c r="AL164" s="1"/>
      <c r="AM164" s="1"/>
      <c r="AN164" s="1"/>
      <c r="AO164" s="1"/>
      <c r="AP164" s="1"/>
      <c r="AQ164" s="4"/>
      <c r="AR164" s="4"/>
      <c r="AS164" s="4"/>
      <c r="AT164" s="4"/>
      <c r="AU164" s="4"/>
      <c r="AV164" s="4"/>
      <c r="AW164" s="2"/>
      <c r="AX164" s="2"/>
      <c r="AY164" s="2"/>
      <c r="AZ164" s="2"/>
      <c r="BA164" s="2"/>
      <c r="BB164" s="2"/>
      <c r="BC164" s="14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>
        <f>SUM(E164:BO164)</f>
        <v>15</v>
      </c>
      <c r="BQ164" s="1">
        <v>15</v>
      </c>
      <c r="BR164" s="17">
        <v>3</v>
      </c>
      <c r="BS164" s="17" t="s">
        <v>285</v>
      </c>
      <c r="BT164">
        <f>SUM(P164:AD164)</f>
        <v>0</v>
      </c>
      <c r="BU164" s="23">
        <f>AF164+AH164+AI164+AJ164+AO164+AP164</f>
        <v>15</v>
      </c>
    </row>
    <row r="165" spans="1:73" ht="40.5" hidden="1">
      <c r="A165" s="1"/>
      <c r="B165" s="1" t="s">
        <v>117</v>
      </c>
      <c r="C165" s="1" t="s">
        <v>100</v>
      </c>
      <c r="D165" s="1" t="s">
        <v>103</v>
      </c>
      <c r="E165" s="6"/>
      <c r="F165" s="6"/>
      <c r="G165" s="6"/>
      <c r="H165" s="6">
        <v>10</v>
      </c>
      <c r="I165" s="6"/>
      <c r="J165" s="6"/>
      <c r="K165" s="6"/>
      <c r="L165" s="6"/>
      <c r="M165" s="6"/>
      <c r="N165" s="6"/>
      <c r="O165" s="6"/>
      <c r="P165" s="28"/>
      <c r="Q165" s="28"/>
      <c r="R165" s="28">
        <v>10</v>
      </c>
      <c r="S165" s="28"/>
      <c r="T165" s="28"/>
      <c r="U165" s="28"/>
      <c r="V165" s="28"/>
      <c r="W165" s="28"/>
      <c r="X165" s="28">
        <v>10</v>
      </c>
      <c r="Y165" s="28"/>
      <c r="Z165" s="28"/>
      <c r="AA165" s="28"/>
      <c r="AB165" s="28"/>
      <c r="AC165" s="28"/>
      <c r="AD165" s="28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4"/>
      <c r="AR165" s="4">
        <v>10</v>
      </c>
      <c r="AS165" s="4"/>
      <c r="AT165" s="4"/>
      <c r="AU165" s="4"/>
      <c r="AV165" s="4"/>
      <c r="AW165" s="2"/>
      <c r="AX165" s="2"/>
      <c r="AY165" s="2"/>
      <c r="AZ165" s="2"/>
      <c r="BA165" s="2"/>
      <c r="BB165" s="2"/>
      <c r="BC165" s="14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>
        <f>SUM(E165:BO165)</f>
        <v>40</v>
      </c>
      <c r="BQ165" s="1">
        <v>25</v>
      </c>
      <c r="BR165" s="17">
        <v>3</v>
      </c>
      <c r="BS165" s="17" t="s">
        <v>295</v>
      </c>
      <c r="BT165">
        <f>SUM(P165:AD165)</f>
        <v>20</v>
      </c>
      <c r="BU165" s="23">
        <f>AF165+AH165+AI165+AJ165+AO165+AP165</f>
        <v>0</v>
      </c>
    </row>
    <row r="166" spans="1:73" ht="40.5" hidden="1">
      <c r="A166" s="1"/>
      <c r="B166" s="3" t="s">
        <v>219</v>
      </c>
      <c r="C166" s="3" t="s">
        <v>99</v>
      </c>
      <c r="D166" s="1" t="s">
        <v>207</v>
      </c>
      <c r="E166" s="6"/>
      <c r="F166" s="6"/>
      <c r="G166" s="6"/>
      <c r="H166" s="6">
        <v>10</v>
      </c>
      <c r="I166" s="6"/>
      <c r="J166" s="6"/>
      <c r="K166" s="6"/>
      <c r="L166" s="6"/>
      <c r="M166" s="6"/>
      <c r="N166" s="6"/>
      <c r="O166" s="6"/>
      <c r="P166" s="28"/>
      <c r="Q166" s="28"/>
      <c r="R166" s="28">
        <v>10</v>
      </c>
      <c r="S166" s="28"/>
      <c r="T166" s="28"/>
      <c r="U166" s="28"/>
      <c r="V166" s="28"/>
      <c r="W166" s="28"/>
      <c r="X166" s="28">
        <v>10</v>
      </c>
      <c r="Y166" s="28"/>
      <c r="Z166" s="28"/>
      <c r="AA166" s="28"/>
      <c r="AB166" s="28"/>
      <c r="AC166" s="28"/>
      <c r="AD166" s="28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4"/>
      <c r="AR166" s="4">
        <v>10</v>
      </c>
      <c r="AS166" s="4"/>
      <c r="AT166" s="4"/>
      <c r="AU166" s="4"/>
      <c r="AV166" s="4"/>
      <c r="AW166" s="2"/>
      <c r="AX166" s="2"/>
      <c r="AY166" s="2"/>
      <c r="AZ166" s="2"/>
      <c r="BA166" s="2"/>
      <c r="BB166" s="2"/>
      <c r="BC166" s="14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>
        <f>SUM(E166:BO166)</f>
        <v>40</v>
      </c>
      <c r="BQ166" s="1">
        <v>25</v>
      </c>
      <c r="BR166" s="17">
        <v>3</v>
      </c>
      <c r="BS166" s="17" t="s">
        <v>295</v>
      </c>
      <c r="BT166">
        <f>SUM(P166:AD166)</f>
        <v>20</v>
      </c>
      <c r="BU166" s="23">
        <f>AF166+AH166+AI166+AJ166+AO166+AP166</f>
        <v>0</v>
      </c>
    </row>
    <row r="167" spans="1:73" ht="40.5" hidden="1">
      <c r="A167" s="1"/>
      <c r="B167" s="1" t="s">
        <v>272</v>
      </c>
      <c r="C167" s="1" t="s">
        <v>50</v>
      </c>
      <c r="D167" s="1" t="s">
        <v>266</v>
      </c>
      <c r="E167" s="6"/>
      <c r="F167" s="6"/>
      <c r="G167" s="6"/>
      <c r="H167" s="6">
        <v>10</v>
      </c>
      <c r="I167" s="6"/>
      <c r="J167" s="6"/>
      <c r="K167" s="6"/>
      <c r="L167" s="6"/>
      <c r="M167" s="6"/>
      <c r="N167" s="6"/>
      <c r="O167" s="6"/>
      <c r="P167" s="28"/>
      <c r="Q167" s="28"/>
      <c r="R167" s="28">
        <v>10</v>
      </c>
      <c r="S167" s="28"/>
      <c r="T167" s="28"/>
      <c r="U167" s="28"/>
      <c r="V167" s="28"/>
      <c r="W167" s="28"/>
      <c r="X167" s="28">
        <v>10</v>
      </c>
      <c r="Y167" s="28"/>
      <c r="Z167" s="28"/>
      <c r="AA167" s="28"/>
      <c r="AB167" s="28"/>
      <c r="AC167" s="28"/>
      <c r="AD167" s="28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4"/>
      <c r="AR167" s="4">
        <v>10</v>
      </c>
      <c r="AS167" s="4"/>
      <c r="AT167" s="4"/>
      <c r="AU167" s="4"/>
      <c r="AV167" s="4"/>
      <c r="AW167" s="2"/>
      <c r="AX167" s="2"/>
      <c r="AY167" s="2"/>
      <c r="AZ167" s="2"/>
      <c r="BA167" s="2"/>
      <c r="BB167" s="2"/>
      <c r="BC167" s="14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>
        <f>SUM(E167:BO167)</f>
        <v>40</v>
      </c>
      <c r="BQ167" s="1">
        <v>25</v>
      </c>
      <c r="BR167" s="17">
        <v>3</v>
      </c>
      <c r="BS167" s="17" t="s">
        <v>295</v>
      </c>
      <c r="BT167">
        <f>SUM(P167:AD167)</f>
        <v>20</v>
      </c>
      <c r="BU167" s="23">
        <f>AF167+AH167+AI167+AJ167+AO167+AP167</f>
        <v>0</v>
      </c>
    </row>
    <row r="168" spans="1:73" ht="40.5">
      <c r="A168" s="59">
        <v>4</v>
      </c>
      <c r="B168" s="59" t="s">
        <v>243</v>
      </c>
      <c r="C168" s="59" t="s">
        <v>1</v>
      </c>
      <c r="D168" s="59" t="s">
        <v>187</v>
      </c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62">
        <v>40</v>
      </c>
      <c r="AR168" s="62"/>
      <c r="AS168" s="62"/>
      <c r="AT168" s="62"/>
      <c r="AU168" s="62"/>
      <c r="AV168" s="62"/>
      <c r="AW168" s="63">
        <v>40</v>
      </c>
      <c r="AX168" s="63">
        <v>40</v>
      </c>
      <c r="AY168" s="63"/>
      <c r="AZ168" s="63"/>
      <c r="BA168" s="63"/>
      <c r="BB168" s="63"/>
      <c r="BC168" s="64">
        <v>10</v>
      </c>
      <c r="BD168" s="59"/>
      <c r="BE168" s="59">
        <v>50</v>
      </c>
      <c r="BF168" s="59"/>
      <c r="BG168" s="59"/>
      <c r="BH168" s="59"/>
      <c r="BI168" s="59"/>
      <c r="BJ168" s="59"/>
      <c r="BK168" s="59"/>
      <c r="BL168" s="59"/>
      <c r="BM168" s="59"/>
      <c r="BN168" s="59"/>
      <c r="BO168" s="59"/>
      <c r="BP168" s="59">
        <f>SUM(E168:BO168)</f>
        <v>180</v>
      </c>
      <c r="BQ168" s="59">
        <v>27</v>
      </c>
      <c r="BR168" s="65">
        <v>3</v>
      </c>
      <c r="BS168" s="65" t="s">
        <v>297</v>
      </c>
      <c r="BT168">
        <f>SUM(P168:AD168)</f>
        <v>0</v>
      </c>
      <c r="BU168" s="23">
        <f>AF168+AH168+AI168+AJ168+AO168+AP168</f>
        <v>0</v>
      </c>
    </row>
    <row r="169" spans="1:73" ht="40.5">
      <c r="A169" s="1">
        <v>85</v>
      </c>
      <c r="B169" s="3" t="s">
        <v>159</v>
      </c>
      <c r="C169" s="3" t="s">
        <v>50</v>
      </c>
      <c r="D169" s="1" t="s">
        <v>29</v>
      </c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4"/>
      <c r="AR169" s="4"/>
      <c r="AS169" s="4"/>
      <c r="AT169" s="4"/>
      <c r="AU169" s="4"/>
      <c r="AV169" s="4"/>
      <c r="AW169" s="2"/>
      <c r="AX169" s="2"/>
      <c r="AY169" s="2"/>
      <c r="AZ169" s="2"/>
      <c r="BA169" s="2"/>
      <c r="BB169" s="2"/>
      <c r="BC169" s="14"/>
      <c r="BD169" s="1"/>
      <c r="BE169" s="1"/>
      <c r="BF169" s="1"/>
      <c r="BG169" s="1"/>
      <c r="BH169" s="1"/>
      <c r="BI169" s="1"/>
      <c r="BJ169" s="1"/>
      <c r="BK169" s="1"/>
      <c r="BL169" s="1">
        <v>50</v>
      </c>
      <c r="BM169" s="1">
        <v>50</v>
      </c>
      <c r="BN169" s="1">
        <v>50</v>
      </c>
      <c r="BO169" s="1">
        <v>50</v>
      </c>
      <c r="BP169" s="1">
        <f>SUM(E169:BO169)</f>
        <v>200</v>
      </c>
      <c r="BQ169" s="1">
        <v>103</v>
      </c>
      <c r="BR169" s="17">
        <v>3</v>
      </c>
      <c r="BS169" s="17" t="s">
        <v>287</v>
      </c>
      <c r="BT169">
        <f>SUM(P169:AD169)</f>
        <v>0</v>
      </c>
      <c r="BU169" s="23">
        <f>AF169+AH169+AI169+AJ169+AO169+AP169</f>
        <v>0</v>
      </c>
    </row>
    <row r="170" spans="1:73" ht="40.5">
      <c r="A170" s="1"/>
      <c r="B170" s="1" t="s">
        <v>156</v>
      </c>
      <c r="C170" s="1" t="s">
        <v>98</v>
      </c>
      <c r="D170" s="1" t="s">
        <v>96</v>
      </c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4"/>
      <c r="AR170" s="4"/>
      <c r="AS170" s="4"/>
      <c r="AT170" s="4"/>
      <c r="AU170" s="4"/>
      <c r="AV170" s="4"/>
      <c r="AW170" s="2"/>
      <c r="AX170" s="2"/>
      <c r="AY170" s="2"/>
      <c r="AZ170" s="2"/>
      <c r="BA170" s="2"/>
      <c r="BB170" s="2"/>
      <c r="BC170" s="14"/>
      <c r="BD170" s="1"/>
      <c r="BE170" s="1"/>
      <c r="BF170" s="1"/>
      <c r="BG170" s="1"/>
      <c r="BH170" s="1"/>
      <c r="BI170" s="1"/>
      <c r="BJ170" s="1"/>
      <c r="BK170" s="1"/>
      <c r="BL170" s="1">
        <v>50</v>
      </c>
      <c r="BM170" s="1">
        <v>50</v>
      </c>
      <c r="BN170" s="1">
        <v>50</v>
      </c>
      <c r="BO170" s="1">
        <v>50</v>
      </c>
      <c r="BP170" s="1">
        <f>SUM(E170:BO170)</f>
        <v>200</v>
      </c>
      <c r="BQ170" s="1">
        <v>103</v>
      </c>
      <c r="BR170" s="17">
        <v>3</v>
      </c>
      <c r="BS170" s="17" t="s">
        <v>287</v>
      </c>
      <c r="BT170">
        <f>SUM(P170:AD170)</f>
        <v>0</v>
      </c>
      <c r="BU170" s="23">
        <f>AF170+AH170+AI170+AJ170+AO170+AP170</f>
        <v>0</v>
      </c>
    </row>
    <row r="171" spans="1:73" ht="40.5">
      <c r="A171" s="1"/>
      <c r="B171" s="1" t="s">
        <v>177</v>
      </c>
      <c r="C171" s="1" t="s">
        <v>98</v>
      </c>
      <c r="D171" s="1" t="s">
        <v>96</v>
      </c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4"/>
      <c r="AR171" s="4"/>
      <c r="AS171" s="4"/>
      <c r="AT171" s="4"/>
      <c r="AU171" s="4"/>
      <c r="AV171" s="4"/>
      <c r="AW171" s="2"/>
      <c r="AX171" s="2"/>
      <c r="AY171" s="2"/>
      <c r="AZ171" s="2"/>
      <c r="BA171" s="2"/>
      <c r="BB171" s="2"/>
      <c r="BC171" s="14"/>
      <c r="BD171" s="1"/>
      <c r="BE171" s="1"/>
      <c r="BF171" s="1"/>
      <c r="BG171" s="1"/>
      <c r="BH171" s="1"/>
      <c r="BI171" s="1"/>
      <c r="BJ171" s="1"/>
      <c r="BK171" s="1"/>
      <c r="BL171" s="1">
        <v>50</v>
      </c>
      <c r="BM171" s="1">
        <v>50</v>
      </c>
      <c r="BN171" s="1">
        <v>50</v>
      </c>
      <c r="BO171" s="1">
        <v>50</v>
      </c>
      <c r="BP171" s="1">
        <f>SUM(E171:BO171)</f>
        <v>200</v>
      </c>
      <c r="BQ171" s="1">
        <v>103</v>
      </c>
      <c r="BR171" s="17">
        <v>3</v>
      </c>
      <c r="BS171" s="17" t="s">
        <v>287</v>
      </c>
      <c r="BT171">
        <f>SUM(P171:AD171)</f>
        <v>0</v>
      </c>
      <c r="BU171" s="23">
        <f>AF171+AH171+AI171+AJ171+AO171+AP171</f>
        <v>0</v>
      </c>
    </row>
    <row r="172" spans="1:73">
      <c r="A172" s="1"/>
      <c r="B172" s="1" t="s">
        <v>54</v>
      </c>
      <c r="C172" s="1"/>
      <c r="D172" s="1"/>
      <c r="E172" s="6">
        <f>SUM(E2:E171)</f>
        <v>133</v>
      </c>
      <c r="F172" s="6">
        <f>SUM(F2:F171)</f>
        <v>27</v>
      </c>
      <c r="G172" s="6">
        <f>SUM(G2:G171)</f>
        <v>140</v>
      </c>
      <c r="H172" s="6">
        <f>SUM(H2:H171)</f>
        <v>124</v>
      </c>
      <c r="I172" s="6">
        <f>SUM(I2:I171)</f>
        <v>37</v>
      </c>
      <c r="J172" s="6">
        <f>SUM(J2:J171)</f>
        <v>75</v>
      </c>
      <c r="K172" s="6">
        <f>SUM(K2:K171)</f>
        <v>16</v>
      </c>
      <c r="L172" s="6">
        <f>SUM(L2:L171)</f>
        <v>72</v>
      </c>
      <c r="M172" s="6">
        <f>SUM(M2:M171)</f>
        <v>61</v>
      </c>
      <c r="N172" s="6">
        <f>SUM(N2:N171)</f>
        <v>10</v>
      </c>
      <c r="O172" s="6">
        <f>SUM(O2:O171)</f>
        <v>56</v>
      </c>
      <c r="P172" s="28">
        <f>SUM(P2:P171)</f>
        <v>280</v>
      </c>
      <c r="Q172" s="28">
        <f>SUM(Q2:Q171)</f>
        <v>166</v>
      </c>
      <c r="R172" s="28">
        <f>SUM(R2:R171)</f>
        <v>173</v>
      </c>
      <c r="S172" s="28">
        <f>SUM(S2:S171)</f>
        <v>280</v>
      </c>
      <c r="T172" s="28">
        <f>SUM(T2:T171)</f>
        <v>136</v>
      </c>
      <c r="U172" s="28">
        <f>SUM(U2:U171)</f>
        <v>156</v>
      </c>
      <c r="V172" s="28">
        <f>SUM(V2:V171)</f>
        <v>285</v>
      </c>
      <c r="W172" s="28">
        <f>SUM(W2:W171)</f>
        <v>110</v>
      </c>
      <c r="X172" s="28">
        <f>SUM(X2:X171)</f>
        <v>159</v>
      </c>
      <c r="Y172" s="28">
        <f>SUM(Y2:Y171)</f>
        <v>265</v>
      </c>
      <c r="Z172" s="28">
        <f>SUM(Z2:Z171)</f>
        <v>130</v>
      </c>
      <c r="AA172" s="28">
        <f>SUM(AA2:AA171)</f>
        <v>151</v>
      </c>
      <c r="AB172" s="28">
        <f>SUM(AB2:AB171)</f>
        <v>290</v>
      </c>
      <c r="AC172" s="28">
        <f>SUM(AC2:AC171)</f>
        <v>100</v>
      </c>
      <c r="AD172" s="28">
        <f>SUM(AD2:AD171)</f>
        <v>116</v>
      </c>
      <c r="AE172" s="1">
        <f>SUM(AE2:AE171)</f>
        <v>250</v>
      </c>
      <c r="AF172" s="1">
        <f>SUM(AF2:AF171)</f>
        <v>10</v>
      </c>
      <c r="AG172" s="1">
        <f>SUM(AG2:AG171)</f>
        <v>5</v>
      </c>
      <c r="AH172" s="1">
        <f>SUM(AH2:AH171)</f>
        <v>30</v>
      </c>
      <c r="AI172" s="1">
        <f>SUM(AI2:AI171)</f>
        <v>30</v>
      </c>
      <c r="AJ172" s="1">
        <f>SUM(AJ2:AJ171)</f>
        <v>5</v>
      </c>
      <c r="AK172" s="1">
        <f>SUM(AK2:AK171)</f>
        <v>0</v>
      </c>
      <c r="AL172" s="1">
        <f>SUM(AL2:AL171)</f>
        <v>0</v>
      </c>
      <c r="AM172" s="1">
        <f>SUM(AM2:AM171)</f>
        <v>5</v>
      </c>
      <c r="AN172" s="1">
        <f>SUM(AN2:AN171)</f>
        <v>50</v>
      </c>
      <c r="AO172" s="1">
        <f>SUM(AO2:AO171)</f>
        <v>33</v>
      </c>
      <c r="AP172" s="1">
        <f>SUM(AP2:AP171)</f>
        <v>27</v>
      </c>
      <c r="AQ172" s="4">
        <f>SUM(AQ2:AQ171)</f>
        <v>135</v>
      </c>
      <c r="AR172" s="4">
        <f>SUM(AR2:AR171)</f>
        <v>85</v>
      </c>
      <c r="AS172" s="4">
        <f>SUM(AS2:AS171)</f>
        <v>80</v>
      </c>
      <c r="AT172" s="4">
        <f>SUM(AT2:AT171)</f>
        <v>75</v>
      </c>
      <c r="AU172" s="4">
        <f>SUM(AU2:AU171)</f>
        <v>115</v>
      </c>
      <c r="AV172" s="4">
        <f>SUM(AV2:AV171)</f>
        <v>135</v>
      </c>
      <c r="AW172" s="2">
        <f>SUM(AW2:AW171)</f>
        <v>105</v>
      </c>
      <c r="AX172" s="2">
        <f>SUM(AX2:AX171)</f>
        <v>55</v>
      </c>
      <c r="AY172" s="2">
        <f>SUM(AY2:AY171)</f>
        <v>75</v>
      </c>
      <c r="AZ172" s="2">
        <f>SUM(AZ2:AZ171)</f>
        <v>85</v>
      </c>
      <c r="BA172" s="2">
        <f>SUM(BA2:BA171)</f>
        <v>125</v>
      </c>
      <c r="BB172" s="2">
        <f>SUM(BB2:BB171)</f>
        <v>185</v>
      </c>
      <c r="BC172" s="1">
        <f>SUM(BC2:BC171)</f>
        <v>30</v>
      </c>
      <c r="BD172" s="1">
        <f>SUM(BD2:BD171)</f>
        <v>110</v>
      </c>
      <c r="BE172" s="1">
        <f>SUM(BE2:BE171)</f>
        <v>110</v>
      </c>
      <c r="BF172" s="1">
        <f>SUM(BF2:BF171)</f>
        <v>40</v>
      </c>
      <c r="BG172" s="1">
        <f>SUM(BG2:BG171)</f>
        <v>40</v>
      </c>
      <c r="BH172" s="1">
        <f>SUM(BH2:BH171)</f>
        <v>35</v>
      </c>
      <c r="BI172" s="1">
        <f>SUM(BI2:BI171)</f>
        <v>85</v>
      </c>
      <c r="BJ172" s="1">
        <f>SUM(BJ2:BJ171)</f>
        <v>200</v>
      </c>
      <c r="BK172" s="1">
        <f>SUM(BK2:BK171)</f>
        <v>200</v>
      </c>
      <c r="BL172" s="1">
        <f>SUM(BL2:BL171)</f>
        <v>150</v>
      </c>
      <c r="BM172" s="1">
        <f>SUM(BM2:BM171)</f>
        <v>150</v>
      </c>
      <c r="BN172" s="1">
        <f>SUM(BN2:BN171)</f>
        <v>350</v>
      </c>
      <c r="BO172" s="1">
        <f>SUM(BO2:BO171)</f>
        <v>350</v>
      </c>
      <c r="BP172" s="1"/>
      <c r="BQ172" s="1"/>
      <c r="BR172" s="17"/>
      <c r="BS172" s="17"/>
    </row>
    <row r="173" spans="1:73">
      <c r="A173" s="1"/>
      <c r="B173" s="3" t="s">
        <v>73</v>
      </c>
      <c r="C173" s="1"/>
      <c r="D173" s="1"/>
      <c r="E173" s="1">
        <v>28</v>
      </c>
      <c r="F173" s="1">
        <v>25</v>
      </c>
      <c r="G173" s="1">
        <v>6</v>
      </c>
      <c r="H173" s="1">
        <v>0</v>
      </c>
      <c r="I173" s="1">
        <v>59</v>
      </c>
      <c r="J173" s="1">
        <v>74</v>
      </c>
      <c r="K173" s="1">
        <v>53</v>
      </c>
      <c r="L173" s="1">
        <v>58</v>
      </c>
      <c r="M173" s="1">
        <v>45</v>
      </c>
      <c r="N173" s="1">
        <v>65</v>
      </c>
      <c r="O173" s="1">
        <v>29</v>
      </c>
      <c r="P173" s="14">
        <v>92</v>
      </c>
      <c r="Q173" s="14">
        <v>54</v>
      </c>
      <c r="R173" s="14">
        <v>3</v>
      </c>
      <c r="S173" s="14">
        <v>122</v>
      </c>
      <c r="T173" s="14">
        <v>48</v>
      </c>
      <c r="U173" s="14">
        <v>11</v>
      </c>
      <c r="V173" s="14">
        <v>89</v>
      </c>
      <c r="W173" s="14">
        <v>34</v>
      </c>
      <c r="X173" s="14">
        <v>2</v>
      </c>
      <c r="Y173" s="14">
        <v>91</v>
      </c>
      <c r="Z173" s="14">
        <v>40</v>
      </c>
      <c r="AA173" s="14">
        <v>23</v>
      </c>
      <c r="AB173" s="14">
        <v>117</v>
      </c>
      <c r="AC173" s="14">
        <v>26</v>
      </c>
      <c r="AD173" s="14">
        <v>14</v>
      </c>
      <c r="AE173" s="1">
        <v>9</v>
      </c>
      <c r="AF173" s="1">
        <v>0</v>
      </c>
      <c r="AG173" s="1">
        <v>3</v>
      </c>
      <c r="AH173" s="1">
        <v>0</v>
      </c>
      <c r="AI173" s="1">
        <v>0</v>
      </c>
      <c r="AJ173" s="1">
        <v>0</v>
      </c>
      <c r="AK173" s="1">
        <v>33</v>
      </c>
      <c r="AL173" s="1">
        <v>43</v>
      </c>
      <c r="AM173" s="1">
        <v>5</v>
      </c>
      <c r="AN173" s="1">
        <v>4</v>
      </c>
      <c r="AO173" s="1">
        <v>0</v>
      </c>
      <c r="AP173" s="1">
        <v>0</v>
      </c>
      <c r="AQ173" s="14">
        <v>34</v>
      </c>
      <c r="AR173" s="14">
        <v>25</v>
      </c>
      <c r="AS173" s="14">
        <v>31</v>
      </c>
      <c r="AT173" s="14">
        <v>11</v>
      </c>
      <c r="AU173" s="14">
        <v>56</v>
      </c>
      <c r="AV173" s="14">
        <v>51</v>
      </c>
      <c r="AW173" s="14">
        <v>27</v>
      </c>
      <c r="AX173" s="14">
        <v>32</v>
      </c>
      <c r="AY173" s="14">
        <v>46</v>
      </c>
      <c r="AZ173" s="14">
        <v>33</v>
      </c>
      <c r="BA173" s="14">
        <v>20</v>
      </c>
      <c r="BB173" s="14">
        <v>21</v>
      </c>
      <c r="BC173" s="14">
        <v>12</v>
      </c>
      <c r="BD173" s="1">
        <v>255</v>
      </c>
      <c r="BE173" s="1">
        <v>396</v>
      </c>
      <c r="BF173" s="1">
        <v>312</v>
      </c>
      <c r="BG173" s="1">
        <v>330</v>
      </c>
      <c r="BH173" s="1">
        <v>162</v>
      </c>
      <c r="BI173" s="1">
        <v>195</v>
      </c>
      <c r="BJ173" s="1">
        <v>80</v>
      </c>
      <c r="BK173" s="1">
        <v>89</v>
      </c>
      <c r="BL173" s="1">
        <v>140</v>
      </c>
      <c r="BM173" s="1">
        <v>37</v>
      </c>
      <c r="BN173" s="1">
        <v>5</v>
      </c>
      <c r="BO173" s="1">
        <v>5</v>
      </c>
      <c r="BP173" s="1"/>
      <c r="BQ173" s="1"/>
      <c r="BR173" s="17"/>
      <c r="BS173" s="17"/>
    </row>
    <row r="174" spans="1:73">
      <c r="A174" s="1"/>
      <c r="B174" s="3" t="s">
        <v>80</v>
      </c>
      <c r="C174" s="1"/>
      <c r="D174" s="1"/>
      <c r="E174" s="1">
        <f>E173-E172</f>
        <v>-105</v>
      </c>
      <c r="F174" s="1">
        <f>F173-F172</f>
        <v>-2</v>
      </c>
      <c r="G174" s="1">
        <f>G173-G172</f>
        <v>-134</v>
      </c>
      <c r="H174" s="1">
        <f>H173-H172</f>
        <v>-124</v>
      </c>
      <c r="I174" s="1">
        <f>I173-I172</f>
        <v>22</v>
      </c>
      <c r="J174" s="1">
        <f>J173-J172</f>
        <v>-1</v>
      </c>
      <c r="K174" s="1">
        <f>K173-K172</f>
        <v>37</v>
      </c>
      <c r="L174" s="1">
        <f>L173-L172</f>
        <v>-14</v>
      </c>
      <c r="M174" s="1">
        <f>M173-M172</f>
        <v>-16</v>
      </c>
      <c r="N174" s="1">
        <f>N173-N172</f>
        <v>55</v>
      </c>
      <c r="O174" s="1">
        <f>O173-O172</f>
        <v>-27</v>
      </c>
      <c r="P174" s="1">
        <f>P173-P172</f>
        <v>-188</v>
      </c>
      <c r="Q174" s="1">
        <f>Q173-Q172</f>
        <v>-112</v>
      </c>
      <c r="R174" s="1">
        <f>R173-R172</f>
        <v>-170</v>
      </c>
      <c r="S174" s="1">
        <f>S173-S172</f>
        <v>-158</v>
      </c>
      <c r="T174" s="1">
        <f>T173-T172</f>
        <v>-88</v>
      </c>
      <c r="U174" s="1">
        <f>U173-U172</f>
        <v>-145</v>
      </c>
      <c r="V174" s="1">
        <f>V173-V172</f>
        <v>-196</v>
      </c>
      <c r="W174" s="1">
        <f>W173-W172</f>
        <v>-76</v>
      </c>
      <c r="X174" s="1">
        <f>X173-X172</f>
        <v>-157</v>
      </c>
      <c r="Y174" s="1">
        <f>Y173-Y172</f>
        <v>-174</v>
      </c>
      <c r="Z174" s="1">
        <f>Z173-Z172</f>
        <v>-90</v>
      </c>
      <c r="AA174" s="1">
        <f>AA173-AA172</f>
        <v>-128</v>
      </c>
      <c r="AB174" s="1">
        <f>AB173-AB172</f>
        <v>-173</v>
      </c>
      <c r="AC174" s="1">
        <f>AC173-AC172</f>
        <v>-74</v>
      </c>
      <c r="AD174" s="1">
        <f>AD173-AD172</f>
        <v>-102</v>
      </c>
      <c r="AE174" s="1">
        <f>AE173-AE172</f>
        <v>-241</v>
      </c>
      <c r="AF174" s="1">
        <f>AF173-AF172</f>
        <v>-10</v>
      </c>
      <c r="AG174" s="1">
        <f>AG173-AG172</f>
        <v>-2</v>
      </c>
      <c r="AH174" s="1">
        <f>AH173-AH172</f>
        <v>-30</v>
      </c>
      <c r="AI174" s="1">
        <f>AI173-AI172</f>
        <v>-30</v>
      </c>
      <c r="AJ174" s="1">
        <f>AJ173-AJ172</f>
        <v>-5</v>
      </c>
      <c r="AK174" s="1">
        <f>AK173-AK172</f>
        <v>33</v>
      </c>
      <c r="AL174" s="1">
        <f>AL173-AL172</f>
        <v>43</v>
      </c>
      <c r="AM174" s="1">
        <f>AM173-AM172</f>
        <v>0</v>
      </c>
      <c r="AN174" s="1">
        <f>AN173-AN172</f>
        <v>-46</v>
      </c>
      <c r="AO174" s="1">
        <f>AO173-AO172</f>
        <v>-33</v>
      </c>
      <c r="AP174" s="1">
        <f>AP173-AP172</f>
        <v>-27</v>
      </c>
      <c r="AQ174" s="1">
        <f>AQ173-AQ172</f>
        <v>-101</v>
      </c>
      <c r="AR174" s="1">
        <f>AR173-AR172</f>
        <v>-60</v>
      </c>
      <c r="AS174" s="1">
        <f>AS173-AS172</f>
        <v>-49</v>
      </c>
      <c r="AT174" s="1">
        <f>AT173-AT172</f>
        <v>-64</v>
      </c>
      <c r="AU174" s="1">
        <f>AU173-AU172</f>
        <v>-59</v>
      </c>
      <c r="AV174" s="1">
        <f>AV173-AV172</f>
        <v>-84</v>
      </c>
      <c r="AW174" s="1">
        <f>AW173-AW172</f>
        <v>-78</v>
      </c>
      <c r="AX174" s="1">
        <f>AX173-AX172</f>
        <v>-23</v>
      </c>
      <c r="AY174" s="1">
        <f>AY173-AY172</f>
        <v>-29</v>
      </c>
      <c r="AZ174" s="1">
        <f>AZ173-AZ172</f>
        <v>-52</v>
      </c>
      <c r="BA174" s="1">
        <f>BA173-BA172</f>
        <v>-105</v>
      </c>
      <c r="BB174" s="1">
        <f>BB173-BB172</f>
        <v>-164</v>
      </c>
      <c r="BC174" s="1">
        <f>BC173-BC172</f>
        <v>-18</v>
      </c>
      <c r="BD174" s="1">
        <f>BD173-BD172</f>
        <v>145</v>
      </c>
      <c r="BE174" s="1">
        <f>BE173-BE172</f>
        <v>286</v>
      </c>
      <c r="BF174" s="1">
        <f>BF173-BF172</f>
        <v>272</v>
      </c>
      <c r="BG174" s="1">
        <f>BG173-BG172</f>
        <v>290</v>
      </c>
      <c r="BH174" s="1">
        <f>BH173-BH172</f>
        <v>127</v>
      </c>
      <c r="BI174" s="1">
        <f>BI173-BI172</f>
        <v>110</v>
      </c>
      <c r="BJ174" s="1">
        <f>BJ173-BJ172</f>
        <v>-120</v>
      </c>
      <c r="BK174" s="1">
        <f>BK173-BK172</f>
        <v>-111</v>
      </c>
      <c r="BL174" s="1">
        <f>BL173-BL172</f>
        <v>-10</v>
      </c>
      <c r="BM174" s="1">
        <f>BM173-BM172</f>
        <v>-113</v>
      </c>
      <c r="BN174" s="1">
        <f>BN173-BN172</f>
        <v>-345</v>
      </c>
      <c r="BO174" s="1">
        <f>BO173-BO172</f>
        <v>-345</v>
      </c>
      <c r="BP174" s="1"/>
      <c r="BQ174" s="1"/>
      <c r="BR174" s="17"/>
      <c r="BS174" s="17"/>
    </row>
    <row r="175" spans="1:73">
      <c r="A175" s="1"/>
      <c r="B175" s="3" t="s">
        <v>160</v>
      </c>
      <c r="C175" s="1"/>
      <c r="D175" s="1"/>
      <c r="E175" s="1">
        <f>MAX(E2:E171)</f>
        <v>15</v>
      </c>
      <c r="F175" s="1">
        <f>MAX(F2:F171)</f>
        <v>15</v>
      </c>
      <c r="G175" s="1">
        <f>MAX(G2:G171)</f>
        <v>20</v>
      </c>
      <c r="H175" s="1">
        <f>MAX(H2:H171)</f>
        <v>20</v>
      </c>
      <c r="I175" s="1">
        <f>MAX(I2:I171)</f>
        <v>10</v>
      </c>
      <c r="J175" s="1">
        <f>MAX(J2:J171)</f>
        <v>10</v>
      </c>
      <c r="K175" s="1">
        <f>MAX(K2:K171)</f>
        <v>10</v>
      </c>
      <c r="L175" s="1">
        <f>MAX(L2:L171)</f>
        <v>20</v>
      </c>
      <c r="M175" s="1">
        <f>MAX(M2:M171)</f>
        <v>15</v>
      </c>
      <c r="N175" s="1">
        <f>MAX(N2:N171)</f>
        <v>10</v>
      </c>
      <c r="O175" s="1">
        <f>MAX(O2:O171)</f>
        <v>20</v>
      </c>
      <c r="P175" s="1">
        <f>MAX(P2:P171)</f>
        <v>10</v>
      </c>
      <c r="Q175" s="1">
        <f>MAX(Q2:Q171)</f>
        <v>7</v>
      </c>
      <c r="R175" s="1">
        <f>MAX(R2:R171)</f>
        <v>10</v>
      </c>
      <c r="S175" s="1">
        <f>MAX(S2:S171)</f>
        <v>10</v>
      </c>
      <c r="T175" s="1">
        <f>MAX(T2:T171)</f>
        <v>7</v>
      </c>
      <c r="U175" s="1">
        <f>MAX(U2:U171)</f>
        <v>10</v>
      </c>
      <c r="V175" s="1">
        <f>MAX(V2:V171)</f>
        <v>10</v>
      </c>
      <c r="W175" s="1">
        <f>MAX(W2:W171)</f>
        <v>5</v>
      </c>
      <c r="X175" s="1">
        <f>MAX(X2:X171)</f>
        <v>10</v>
      </c>
      <c r="Y175" s="1">
        <f>MAX(Y2:Y171)</f>
        <v>10</v>
      </c>
      <c r="Z175" s="1">
        <f>MAX(Z2:Z171)</f>
        <v>5</v>
      </c>
      <c r="AA175" s="1">
        <f>MAX(AA2:AA171)</f>
        <v>10</v>
      </c>
      <c r="AB175" s="1">
        <f>MAX(AB2:AB171)</f>
        <v>10</v>
      </c>
      <c r="AC175" s="1">
        <f>MAX(AC2:AC171)</f>
        <v>5</v>
      </c>
      <c r="AD175" s="1">
        <f>MAX(AD2:AD171)</f>
        <v>10</v>
      </c>
      <c r="AE175" s="1">
        <f>MAX(AE2:AE171)</f>
        <v>200</v>
      </c>
      <c r="AF175" s="1">
        <f>MAX(AF2:AF171)</f>
        <v>5</v>
      </c>
      <c r="AG175" s="1">
        <f>MAX(AG2:AG171)</f>
        <v>5</v>
      </c>
      <c r="AH175" s="1">
        <f>MAX(AH2:AH171)</f>
        <v>5</v>
      </c>
      <c r="AI175" s="1">
        <f>MAX(AI2:AI171)</f>
        <v>5</v>
      </c>
      <c r="AJ175" s="1">
        <f>MAX(AJ2:AJ171)</f>
        <v>5</v>
      </c>
      <c r="AK175" s="1">
        <f>MAX(AK2:AK171)</f>
        <v>0</v>
      </c>
      <c r="AL175" s="1">
        <f>MAX(AL2:AL171)</f>
        <v>0</v>
      </c>
      <c r="AM175" s="1">
        <f>MAX(AM2:AM171)</f>
        <v>5</v>
      </c>
      <c r="AN175" s="1">
        <f>MAX(AN2:AN171)</f>
        <v>25</v>
      </c>
      <c r="AO175" s="1">
        <f>MAX(AO2:AO171)</f>
        <v>10</v>
      </c>
      <c r="AP175" s="1">
        <f>MAX(AP2:AP171)</f>
        <v>10</v>
      </c>
      <c r="AQ175" s="1">
        <f>MAX(AQ2:AQ171)</f>
        <v>40</v>
      </c>
      <c r="AR175" s="1">
        <f>MAX(AR2:AR171)</f>
        <v>15</v>
      </c>
      <c r="AS175" s="1">
        <f>MAX(AS2:AS171)</f>
        <v>15</v>
      </c>
      <c r="AT175" s="1">
        <f>MAX(AT2:AT171)</f>
        <v>15</v>
      </c>
      <c r="AU175" s="1">
        <f>MAX(AU2:AU171)</f>
        <v>40</v>
      </c>
      <c r="AV175" s="1">
        <f>MAX(AV2:AV171)</f>
        <v>40</v>
      </c>
      <c r="AW175" s="1">
        <f>MAX(AW2:AW171)</f>
        <v>40</v>
      </c>
      <c r="AX175" s="1">
        <f>MAX(AX2:AX171)</f>
        <v>40</v>
      </c>
      <c r="AY175" s="1">
        <f>MAX(AY2:AY171)</f>
        <v>40</v>
      </c>
      <c r="AZ175" s="1">
        <f>MAX(AZ2:AZ171)</f>
        <v>40</v>
      </c>
      <c r="BA175" s="1">
        <f>MAX(BA2:BA171)</f>
        <v>20</v>
      </c>
      <c r="BB175" s="1">
        <f>MAX(BB2:BB171)</f>
        <v>40</v>
      </c>
      <c r="BC175" s="1">
        <f>MAX(BC2:BC171)</f>
        <v>10</v>
      </c>
      <c r="BD175" s="1">
        <f>MAX(BD2:BD171)</f>
        <v>50</v>
      </c>
      <c r="BE175" s="1">
        <f>MAX(BE2:BE171)</f>
        <v>50</v>
      </c>
      <c r="BF175" s="1">
        <f>MAX(BF2:BF171)</f>
        <v>20</v>
      </c>
      <c r="BG175" s="1">
        <f>MAX(BG2:BG171)</f>
        <v>20</v>
      </c>
      <c r="BH175" s="1">
        <f>MAX(BH2:BH171)</f>
        <v>20</v>
      </c>
      <c r="BI175" s="1">
        <f>MAX(BI2:BI171)</f>
        <v>50</v>
      </c>
      <c r="BJ175" s="1">
        <f>MAX(BJ2:BJ171)</f>
        <v>50</v>
      </c>
      <c r="BK175" s="1">
        <f>MAX(BK2:BK171)</f>
        <v>50</v>
      </c>
      <c r="BL175" s="1">
        <f>MAX(BL2:BL171)</f>
        <v>50</v>
      </c>
      <c r="BM175" s="1">
        <f>MAX(BM2:BM171)</f>
        <v>50</v>
      </c>
      <c r="BN175" s="1">
        <f>MAX(BN2:BN171)</f>
        <v>50</v>
      </c>
      <c r="BO175" s="1">
        <f>MAX(BO2:BO171)</f>
        <v>50</v>
      </c>
      <c r="BP175" s="1"/>
      <c r="BQ175" s="1"/>
      <c r="BR175" s="17"/>
      <c r="BS175" s="17"/>
    </row>
    <row r="176" spans="1:73">
      <c r="A176" s="1"/>
      <c r="B176" s="3" t="s">
        <v>161</v>
      </c>
      <c r="C176" s="1"/>
      <c r="D176" s="1"/>
      <c r="E176" s="1">
        <f>MIN(E2:E171)</f>
        <v>5</v>
      </c>
      <c r="F176" s="1">
        <f>MIN(F2:F171)</f>
        <v>6</v>
      </c>
      <c r="G176" s="1">
        <f>MIN(G2:G171)</f>
        <v>5</v>
      </c>
      <c r="H176" s="1">
        <f>MIN(H2:H171)</f>
        <v>5</v>
      </c>
      <c r="I176" s="1">
        <f>MIN(I2:I171)</f>
        <v>7</v>
      </c>
      <c r="J176" s="1">
        <f>MIN(J2:J171)</f>
        <v>5</v>
      </c>
      <c r="K176" s="1">
        <f>MIN(K2:K171)</f>
        <v>6</v>
      </c>
      <c r="L176" s="1">
        <f>MIN(L2:L171)</f>
        <v>7</v>
      </c>
      <c r="M176" s="1">
        <f>MIN(M2:M171)</f>
        <v>6</v>
      </c>
      <c r="N176" s="1">
        <f>MIN(N2:N171)</f>
        <v>10</v>
      </c>
      <c r="O176" s="1">
        <f>MIN(O2:O171)</f>
        <v>5</v>
      </c>
      <c r="P176" s="1">
        <f>MIN(P2:P171)</f>
        <v>10</v>
      </c>
      <c r="Q176" s="1">
        <f>MIN(Q2:Q171)</f>
        <v>5</v>
      </c>
      <c r="R176" s="1">
        <f>MIN(R2:R171)</f>
        <v>2</v>
      </c>
      <c r="S176" s="1">
        <f>MIN(S2:S171)</f>
        <v>10</v>
      </c>
      <c r="T176" s="1">
        <f>MIN(T2:T171)</f>
        <v>5</v>
      </c>
      <c r="U176" s="1">
        <f>MIN(U2:U171)</f>
        <v>2</v>
      </c>
      <c r="V176" s="1">
        <f>MIN(V2:V171)</f>
        <v>5</v>
      </c>
      <c r="W176" s="1">
        <f>MIN(W2:W171)</f>
        <v>5</v>
      </c>
      <c r="X176" s="1">
        <f>MIN(X2:X171)</f>
        <v>2</v>
      </c>
      <c r="Y176" s="1">
        <f>MIN(Y2:Y171)</f>
        <v>5</v>
      </c>
      <c r="Z176" s="1">
        <f>MIN(Z2:Z171)</f>
        <v>5</v>
      </c>
      <c r="AA176" s="1">
        <f>MIN(AA2:AA171)</f>
        <v>2</v>
      </c>
      <c r="AB176" s="1">
        <f>MIN(AB2:AB171)</f>
        <v>10</v>
      </c>
      <c r="AC176" s="1">
        <f>MIN(AC2:AC171)</f>
        <v>5</v>
      </c>
      <c r="AD176" s="1">
        <f>MIN(AD2:AD171)</f>
        <v>2</v>
      </c>
      <c r="AE176" s="1">
        <f>MIN(AE2:AE171)</f>
        <v>50</v>
      </c>
      <c r="AF176" s="1">
        <f>MIN(AF2:AF171)</f>
        <v>5</v>
      </c>
      <c r="AG176" s="1">
        <f>MIN(AG2:AG171)</f>
        <v>5</v>
      </c>
      <c r="AH176" s="1">
        <f>MIN(AH2:AH171)</f>
        <v>5</v>
      </c>
      <c r="AI176" s="1">
        <f>MIN(AI2:AI171)</f>
        <v>5</v>
      </c>
      <c r="AJ176" s="1">
        <f>MIN(AJ2:AJ171)</f>
        <v>5</v>
      </c>
      <c r="AK176" s="1">
        <f>MIN(AK2:AK171)</f>
        <v>0</v>
      </c>
      <c r="AL176" s="1">
        <f>MIN(AL2:AL171)</f>
        <v>0</v>
      </c>
      <c r="AM176" s="1">
        <f>MIN(AM2:AM171)</f>
        <v>5</v>
      </c>
      <c r="AN176" s="1">
        <f>MIN(AN2:AN171)</f>
        <v>5</v>
      </c>
      <c r="AO176" s="1">
        <f>MIN(AO2:AO171)</f>
        <v>2</v>
      </c>
      <c r="AP176" s="1">
        <f>MIN(AP2:AP171)</f>
        <v>1</v>
      </c>
      <c r="AQ176" s="1">
        <f>MIN(AQ2:AQ171)</f>
        <v>10</v>
      </c>
      <c r="AR176" s="1">
        <f>MIN(AR2:AR171)</f>
        <v>10</v>
      </c>
      <c r="AS176" s="1">
        <f>MIN(AS2:AS171)</f>
        <v>5</v>
      </c>
      <c r="AT176" s="1">
        <f>MIN(AT2:AT171)</f>
        <v>10</v>
      </c>
      <c r="AU176" s="1">
        <f>MIN(AU2:AU171)</f>
        <v>10</v>
      </c>
      <c r="AV176" s="1">
        <f>MIN(AV2:AV171)</f>
        <v>10</v>
      </c>
      <c r="AW176" s="1">
        <f>MIN(AW2:AW171)</f>
        <v>10</v>
      </c>
      <c r="AX176" s="1">
        <f>MIN(AX2:AX171)</f>
        <v>5</v>
      </c>
      <c r="AY176" s="1">
        <f>MIN(AY2:AY171)</f>
        <v>10</v>
      </c>
      <c r="AZ176" s="1">
        <f>MIN(AZ2:AZ171)</f>
        <v>10</v>
      </c>
      <c r="BA176" s="1">
        <f>MIN(BA2:BA171)</f>
        <v>5</v>
      </c>
      <c r="BB176" s="1">
        <f>MIN(BB2:BB171)</f>
        <v>5</v>
      </c>
      <c r="BC176" s="1">
        <f>MIN(BC2:BC171)</f>
        <v>10</v>
      </c>
      <c r="BD176" s="1">
        <f>MIN(BD2:BD171)</f>
        <v>20</v>
      </c>
      <c r="BE176" s="1">
        <f>MIN(BE2:BE171)</f>
        <v>20</v>
      </c>
      <c r="BF176" s="1">
        <f>MIN(BF2:BF171)</f>
        <v>20</v>
      </c>
      <c r="BG176" s="1">
        <f>MIN(BG2:BG171)</f>
        <v>20</v>
      </c>
      <c r="BH176" s="1">
        <f>MIN(BH2:BH171)</f>
        <v>15</v>
      </c>
      <c r="BI176" s="1">
        <f>MIN(BI2:BI171)</f>
        <v>15</v>
      </c>
      <c r="BJ176" s="1">
        <f>MIN(BJ2:BJ171)</f>
        <v>50</v>
      </c>
      <c r="BK176" s="1">
        <f>MIN(BK2:BK171)</f>
        <v>50</v>
      </c>
      <c r="BL176" s="1">
        <f>MIN(BL2:BL171)</f>
        <v>50</v>
      </c>
      <c r="BM176" s="1">
        <f>MIN(BM2:BM171)</f>
        <v>50</v>
      </c>
      <c r="BN176" s="1">
        <f>MIN(BN2:BN171)</f>
        <v>50</v>
      </c>
      <c r="BO176" s="1">
        <f>MIN(BO2:BO171)</f>
        <v>50</v>
      </c>
      <c r="BP176" s="1"/>
      <c r="BQ176" s="1"/>
      <c r="BR176" s="17"/>
      <c r="BS176" s="17"/>
    </row>
    <row r="177" spans="1:71">
      <c r="A177" s="1"/>
      <c r="B177" s="3" t="s">
        <v>162</v>
      </c>
      <c r="C177" s="1"/>
      <c r="D177" s="1"/>
      <c r="E177" s="1">
        <f>E173-E175</f>
        <v>13</v>
      </c>
      <c r="F177" s="1">
        <f>F173-F175</f>
        <v>10</v>
      </c>
      <c r="G177" s="1">
        <f>G173-G175</f>
        <v>-14</v>
      </c>
      <c r="H177" s="1">
        <f>H173-H175</f>
        <v>-20</v>
      </c>
      <c r="I177" s="1">
        <f>I173-I175</f>
        <v>49</v>
      </c>
      <c r="J177" s="1">
        <f>J173-J175</f>
        <v>64</v>
      </c>
      <c r="K177" s="1">
        <f>K173-K175</f>
        <v>43</v>
      </c>
      <c r="L177" s="1">
        <f>L173-L175</f>
        <v>38</v>
      </c>
      <c r="M177" s="1">
        <f>M173-M175</f>
        <v>30</v>
      </c>
      <c r="N177" s="1">
        <f>N173-N175</f>
        <v>55</v>
      </c>
      <c r="O177" s="1">
        <f>O173-O175</f>
        <v>9</v>
      </c>
      <c r="P177" s="1">
        <f>P173-P175</f>
        <v>82</v>
      </c>
      <c r="Q177" s="1">
        <f>Q173-Q175</f>
        <v>47</v>
      </c>
      <c r="R177" s="1">
        <f>R173-R175</f>
        <v>-7</v>
      </c>
      <c r="S177" s="1">
        <f>S173-S175</f>
        <v>112</v>
      </c>
      <c r="T177" s="1">
        <f>T173-T175</f>
        <v>41</v>
      </c>
      <c r="U177" s="1">
        <f>U173-U175</f>
        <v>1</v>
      </c>
      <c r="V177" s="1">
        <f>V173-V175</f>
        <v>79</v>
      </c>
      <c r="W177" s="1">
        <f>W173-W175</f>
        <v>29</v>
      </c>
      <c r="X177" s="1">
        <f>X173-X175</f>
        <v>-8</v>
      </c>
      <c r="Y177" s="1">
        <f>Y173-Y175</f>
        <v>81</v>
      </c>
      <c r="Z177" s="1">
        <f>Z173-Z175</f>
        <v>35</v>
      </c>
      <c r="AA177" s="1">
        <f>AA173-AA175</f>
        <v>13</v>
      </c>
      <c r="AB177" s="1">
        <f>AB173-AB175</f>
        <v>107</v>
      </c>
      <c r="AC177" s="1">
        <f>AC173-AC175</f>
        <v>21</v>
      </c>
      <c r="AD177" s="1">
        <f>AD173-AD175</f>
        <v>4</v>
      </c>
      <c r="AE177" s="1">
        <f>AE173-AE175</f>
        <v>-191</v>
      </c>
      <c r="AF177" s="1">
        <f>AF173-AF175</f>
        <v>-5</v>
      </c>
      <c r="AG177" s="1">
        <f>AG173-AG175</f>
        <v>-2</v>
      </c>
      <c r="AH177" s="1">
        <f>AH173-AH175</f>
        <v>-5</v>
      </c>
      <c r="AI177" s="1">
        <f>AI173-AI175</f>
        <v>-5</v>
      </c>
      <c r="AJ177" s="1">
        <f>AJ173-AJ175</f>
        <v>-5</v>
      </c>
      <c r="AK177" s="1">
        <f>AK173-AK175</f>
        <v>33</v>
      </c>
      <c r="AL177" s="1">
        <f>AL173-AL175</f>
        <v>43</v>
      </c>
      <c r="AM177" s="1">
        <f>AM173-AM175</f>
        <v>0</v>
      </c>
      <c r="AN177" s="1">
        <f>AN173-AN175</f>
        <v>-21</v>
      </c>
      <c r="AO177" s="1">
        <f>AO173-AO175</f>
        <v>-10</v>
      </c>
      <c r="AP177" s="1">
        <f>AP173-AP175</f>
        <v>-10</v>
      </c>
      <c r="AQ177" s="1">
        <f>AQ173-AQ175</f>
        <v>-6</v>
      </c>
      <c r="AR177" s="1">
        <f>AR173-AR175</f>
        <v>10</v>
      </c>
      <c r="AS177" s="1">
        <f>AS173-AS175</f>
        <v>16</v>
      </c>
      <c r="AT177" s="1">
        <f>AT173-AT175</f>
        <v>-4</v>
      </c>
      <c r="AU177" s="1">
        <f>AU173-AU175</f>
        <v>16</v>
      </c>
      <c r="AV177" s="1">
        <f>AV173-AV175</f>
        <v>11</v>
      </c>
      <c r="AW177" s="1">
        <f>AW173-AW175</f>
        <v>-13</v>
      </c>
      <c r="AX177" s="1">
        <f>AX173-AX175</f>
        <v>-8</v>
      </c>
      <c r="AY177" s="1">
        <f>AY173-AY175</f>
        <v>6</v>
      </c>
      <c r="AZ177" s="1">
        <f>AZ173-AZ175</f>
        <v>-7</v>
      </c>
      <c r="BA177" s="1">
        <f>BA173-BA175</f>
        <v>0</v>
      </c>
      <c r="BB177" s="1">
        <f>BB173-BB175</f>
        <v>-19</v>
      </c>
      <c r="BC177" s="1">
        <f>BC173-BC175</f>
        <v>2</v>
      </c>
      <c r="BD177" s="1">
        <f>BD173-BD175</f>
        <v>205</v>
      </c>
      <c r="BE177" s="1">
        <f>BE173-BE175</f>
        <v>346</v>
      </c>
      <c r="BF177" s="1">
        <f>BF173-BF175</f>
        <v>292</v>
      </c>
      <c r="BG177" s="1">
        <f>BG173-BG175</f>
        <v>310</v>
      </c>
      <c r="BH177" s="1">
        <f>BH173-BH175</f>
        <v>142</v>
      </c>
      <c r="BI177" s="1">
        <f>BI173-BI175</f>
        <v>145</v>
      </c>
      <c r="BJ177" s="1">
        <f>BJ173-BJ175</f>
        <v>30</v>
      </c>
      <c r="BK177" s="1">
        <f>BK173-BK175</f>
        <v>39</v>
      </c>
      <c r="BL177" s="1">
        <f>BL173-BL175</f>
        <v>90</v>
      </c>
      <c r="BM177" s="1">
        <f>BM173-BM175</f>
        <v>-13</v>
      </c>
      <c r="BN177" s="1">
        <f>BN173-BN175</f>
        <v>-45</v>
      </c>
      <c r="BO177" s="1">
        <f>BO173-BO175</f>
        <v>-45</v>
      </c>
      <c r="BP177" s="1"/>
      <c r="BQ177" s="1"/>
      <c r="BR177" s="17"/>
      <c r="BS177" s="17"/>
    </row>
    <row r="178" spans="1:71" s="13" customFormat="1">
      <c r="A178" s="1"/>
      <c r="B178" s="3" t="s">
        <v>163</v>
      </c>
      <c r="C178" s="1"/>
      <c r="D178" s="1"/>
      <c r="E178" s="1">
        <f>E173-E176</f>
        <v>23</v>
      </c>
      <c r="F178" s="1">
        <f>F173-F176</f>
        <v>19</v>
      </c>
      <c r="G178" s="1">
        <f>G173-G176</f>
        <v>1</v>
      </c>
      <c r="H178" s="1">
        <f>H173-H176</f>
        <v>-5</v>
      </c>
      <c r="I178" s="1">
        <f>I173-I176</f>
        <v>52</v>
      </c>
      <c r="J178" s="1">
        <f>J173-J176</f>
        <v>69</v>
      </c>
      <c r="K178" s="1">
        <f>K173-K176</f>
        <v>47</v>
      </c>
      <c r="L178" s="1">
        <f>L173-L176</f>
        <v>51</v>
      </c>
      <c r="M178" s="1">
        <f>M173-M176</f>
        <v>39</v>
      </c>
      <c r="N178" s="1">
        <f>N173-N176</f>
        <v>55</v>
      </c>
      <c r="O178" s="1">
        <f>O173-O176</f>
        <v>24</v>
      </c>
      <c r="P178" s="1">
        <f>P173-P176</f>
        <v>82</v>
      </c>
      <c r="Q178" s="1">
        <f>Q173-Q176</f>
        <v>49</v>
      </c>
      <c r="R178" s="1">
        <f>R173-R176</f>
        <v>1</v>
      </c>
      <c r="S178" s="1">
        <f>S173-S176</f>
        <v>112</v>
      </c>
      <c r="T178" s="1">
        <f>T173-T176</f>
        <v>43</v>
      </c>
      <c r="U178" s="1">
        <f>U173-U176</f>
        <v>9</v>
      </c>
      <c r="V178" s="1">
        <f>V173-V176</f>
        <v>84</v>
      </c>
      <c r="W178" s="1">
        <f>W173-W176</f>
        <v>29</v>
      </c>
      <c r="X178" s="1">
        <f>X173-X176</f>
        <v>0</v>
      </c>
      <c r="Y178" s="1">
        <f>Y173-Y176</f>
        <v>86</v>
      </c>
      <c r="Z178" s="1">
        <f>Z173-Z176</f>
        <v>35</v>
      </c>
      <c r="AA178" s="1">
        <f>AA173-AA176</f>
        <v>21</v>
      </c>
      <c r="AB178" s="1">
        <f>AB173-AB176</f>
        <v>107</v>
      </c>
      <c r="AC178" s="1">
        <f>AC173-AC176</f>
        <v>21</v>
      </c>
      <c r="AD178" s="1">
        <f>AD173-AD176</f>
        <v>12</v>
      </c>
      <c r="AE178" s="1">
        <f>AE173-AE176</f>
        <v>-41</v>
      </c>
      <c r="AF178" s="1">
        <f>AF173-AF176</f>
        <v>-5</v>
      </c>
      <c r="AG178" s="1">
        <f>AG173-AG176</f>
        <v>-2</v>
      </c>
      <c r="AH178" s="1">
        <f>AH173-AH176</f>
        <v>-5</v>
      </c>
      <c r="AI178" s="1">
        <f>AI173-AI176</f>
        <v>-5</v>
      </c>
      <c r="AJ178" s="1">
        <f>AJ173-AJ176</f>
        <v>-5</v>
      </c>
      <c r="AK178" s="1">
        <f>AK173-AK176</f>
        <v>33</v>
      </c>
      <c r="AL178" s="1">
        <f>AL173-AL176</f>
        <v>43</v>
      </c>
      <c r="AM178" s="1">
        <f>AM173-AM176</f>
        <v>0</v>
      </c>
      <c r="AN178" s="1">
        <f>AN173-AN176</f>
        <v>-1</v>
      </c>
      <c r="AO178" s="1">
        <f>AO173-AO176</f>
        <v>-2</v>
      </c>
      <c r="AP178" s="1">
        <f>AP173-AP176</f>
        <v>-1</v>
      </c>
      <c r="AQ178" s="1">
        <f>AQ173-AQ176</f>
        <v>24</v>
      </c>
      <c r="AR178" s="1">
        <f>AR173-AR176</f>
        <v>15</v>
      </c>
      <c r="AS178" s="1">
        <f>AS173-AS176</f>
        <v>26</v>
      </c>
      <c r="AT178" s="1">
        <f>AT173-AT176</f>
        <v>1</v>
      </c>
      <c r="AU178" s="1">
        <f>AU173-AU176</f>
        <v>46</v>
      </c>
      <c r="AV178" s="1">
        <f>AV173-AV176</f>
        <v>41</v>
      </c>
      <c r="AW178" s="1">
        <f>AW173-AW176</f>
        <v>17</v>
      </c>
      <c r="AX178" s="1">
        <f>AX173-AX176</f>
        <v>27</v>
      </c>
      <c r="AY178" s="1">
        <f>AY173-AY176</f>
        <v>36</v>
      </c>
      <c r="AZ178" s="1">
        <f>AZ173-AZ176</f>
        <v>23</v>
      </c>
      <c r="BA178" s="1">
        <f>BA173-BA176</f>
        <v>15</v>
      </c>
      <c r="BB178" s="1">
        <f>BB173-BB176</f>
        <v>16</v>
      </c>
      <c r="BC178" s="1">
        <f>BC173-BC176</f>
        <v>2</v>
      </c>
      <c r="BD178" s="1">
        <f>BD173-BD176</f>
        <v>235</v>
      </c>
      <c r="BE178" s="1">
        <f>BE173-BE176</f>
        <v>376</v>
      </c>
      <c r="BF178" s="1">
        <f>BF173-BF176</f>
        <v>292</v>
      </c>
      <c r="BG178" s="1">
        <f>BG173-BG176</f>
        <v>310</v>
      </c>
      <c r="BH178" s="1">
        <f>BH173-BH176</f>
        <v>147</v>
      </c>
      <c r="BI178" s="1">
        <f>BI173-BI176</f>
        <v>180</v>
      </c>
      <c r="BJ178" s="1">
        <f>BJ173-BJ176</f>
        <v>30</v>
      </c>
      <c r="BK178" s="1">
        <f>BK173-BK176</f>
        <v>39</v>
      </c>
      <c r="BL178" s="1">
        <f>BL173-BL176</f>
        <v>90</v>
      </c>
      <c r="BM178" s="1">
        <f>BM173-BM176</f>
        <v>-13</v>
      </c>
      <c r="BN178" s="1">
        <f>BN173-BN176</f>
        <v>-45</v>
      </c>
      <c r="BO178" s="1">
        <f>BO173-BO176</f>
        <v>-45</v>
      </c>
      <c r="BP178" s="1"/>
      <c r="BQ178" s="1"/>
      <c r="BR178" s="17"/>
      <c r="BS178" s="17"/>
    </row>
    <row r="179" spans="1:71">
      <c r="AQ179" s="7" t="s">
        <v>189</v>
      </c>
      <c r="AR179" s="7" t="s">
        <v>192</v>
      </c>
      <c r="AS179" s="7" t="s">
        <v>193</v>
      </c>
      <c r="AT179" s="7" t="s">
        <v>190</v>
      </c>
      <c r="AU179" s="7" t="s">
        <v>191</v>
      </c>
      <c r="AV179" s="7" t="s">
        <v>188</v>
      </c>
      <c r="AW179" s="7" t="s">
        <v>194</v>
      </c>
      <c r="AX179" s="7" t="s">
        <v>195</v>
      </c>
      <c r="AY179" s="7" t="s">
        <v>196</v>
      </c>
      <c r="AZ179" s="7" t="s">
        <v>197</v>
      </c>
      <c r="BA179" s="7" t="s">
        <v>198</v>
      </c>
      <c r="BB179" s="7" t="s">
        <v>199</v>
      </c>
    </row>
  </sheetData>
  <autoFilter ref="A1:BU179">
    <filterColumn colId="71">
      <filters blank="1">
        <filter val="0"/>
      </filters>
    </filterColumn>
    <filterColumn colId="72">
      <filters blank="1">
        <filter val="0"/>
      </filters>
    </filterColumn>
    <sortState ref="A2:BU179">
      <sortCondition ref="BR2:BR179"/>
      <sortCondition ref="BQ2:BQ179"/>
    </sortState>
  </autoFilter>
  <sortState ref="A2:CS148">
    <sortCondition ref="BR2:BR148"/>
    <sortCondition ref="BQ2:BQ148"/>
  </sortState>
  <phoneticPr fontId="1" type="noConversion"/>
  <conditionalFormatting sqref="E175:BO175">
    <cfRule type="expression" dxfId="5" priority="10">
      <formula>"&lt;=$E$135"</formula>
    </cfRule>
  </conditionalFormatting>
  <conditionalFormatting sqref="E177:BO178">
    <cfRule type="cellIs" dxfId="4" priority="1" operator="lessThan">
      <formula>0</formula>
    </cfRule>
  </conditionalFormatting>
  <conditionalFormatting sqref="E174:BO174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178</xdr:row>
                    <xdr:rowOff>28575</xdr:rowOff>
                  </from>
                  <to>
                    <xdr:col>1</xdr:col>
                    <xdr:colOff>428625</xdr:colOff>
                    <xdr:row>179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67</v>
      </c>
      <c r="B1" s="8" t="s">
        <v>68</v>
      </c>
      <c r="C1" s="8" t="s">
        <v>70</v>
      </c>
      <c r="D1" s="8" t="s">
        <v>69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65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104</v>
      </c>
      <c r="Q1" s="27" t="s">
        <v>116</v>
      </c>
      <c r="R1" s="27" t="s">
        <v>110</v>
      </c>
      <c r="S1" s="27" t="s">
        <v>105</v>
      </c>
      <c r="T1" s="27" t="s">
        <v>114</v>
      </c>
      <c r="U1" s="27" t="s">
        <v>120</v>
      </c>
      <c r="V1" s="27" t="s">
        <v>106</v>
      </c>
      <c r="W1" s="27" t="s">
        <v>113</v>
      </c>
      <c r="X1" s="27" t="s">
        <v>111</v>
      </c>
      <c r="Y1" s="27" t="s">
        <v>107</v>
      </c>
      <c r="Z1" s="27" t="s">
        <v>115</v>
      </c>
      <c r="AA1" s="27" t="s">
        <v>122</v>
      </c>
      <c r="AB1" s="27" t="s">
        <v>109</v>
      </c>
      <c r="AC1" s="27" t="s">
        <v>108</v>
      </c>
      <c r="AD1" s="27" t="s">
        <v>133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92</v>
      </c>
      <c r="AP1" s="8" t="s">
        <v>93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89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75</v>
      </c>
      <c r="BR1" s="16" t="s">
        <v>76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141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186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202</v>
      </c>
      <c r="C3" s="50" t="s">
        <v>87</v>
      </c>
      <c r="D3" s="50" t="s">
        <v>103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220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73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80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160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161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162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163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200</v>
      </c>
      <c r="AQ11" s="7" t="s">
        <v>189</v>
      </c>
      <c r="AR11" s="7" t="s">
        <v>192</v>
      </c>
      <c r="AS11" s="7" t="s">
        <v>193</v>
      </c>
      <c r="AT11" s="7" t="s">
        <v>190</v>
      </c>
      <c r="AU11" s="7" t="s">
        <v>191</v>
      </c>
      <c r="AV11" s="7" t="s">
        <v>188</v>
      </c>
      <c r="AW11" s="7" t="s">
        <v>194</v>
      </c>
      <c r="AX11" s="7" t="s">
        <v>195</v>
      </c>
      <c r="AY11" s="7" t="s">
        <v>196</v>
      </c>
      <c r="AZ11" s="7" t="s">
        <v>197</v>
      </c>
      <c r="BA11" s="7" t="s">
        <v>198</v>
      </c>
      <c r="BB11" s="7" t="s">
        <v>199</v>
      </c>
    </row>
    <row r="12" spans="1:97">
      <c r="R12" s="7" t="s">
        <v>201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71</v>
      </c>
      <c r="B1" s="5" t="s">
        <v>68</v>
      </c>
      <c r="C1" s="5" t="s">
        <v>72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164</v>
      </c>
      <c r="D27" t="s">
        <v>165</v>
      </c>
      <c r="E27" t="s">
        <v>166</v>
      </c>
      <c r="F27" t="s">
        <v>167</v>
      </c>
      <c r="G27" t="s">
        <v>168</v>
      </c>
      <c r="H27" t="s">
        <v>169</v>
      </c>
      <c r="I27" t="s">
        <v>170</v>
      </c>
      <c r="J27" t="s">
        <v>171</v>
      </c>
      <c r="K27" t="s">
        <v>172</v>
      </c>
      <c r="L27" t="s">
        <v>173</v>
      </c>
      <c r="M27" t="s">
        <v>174</v>
      </c>
      <c r="N27" t="s">
        <v>175</v>
      </c>
    </row>
    <row r="31" spans="3:18">
      <c r="C31">
        <v>-3</v>
      </c>
      <c r="D31" t="s">
        <v>164</v>
      </c>
    </row>
    <row r="32" spans="3:18">
      <c r="C32">
        <v>-8</v>
      </c>
      <c r="D32" t="s">
        <v>165</v>
      </c>
    </row>
    <row r="33" spans="3:4">
      <c r="C33">
        <v>-3</v>
      </c>
      <c r="D33" t="s">
        <v>166</v>
      </c>
    </row>
    <row r="34" spans="3:4">
      <c r="C34">
        <v>1</v>
      </c>
      <c r="D34" t="s">
        <v>167</v>
      </c>
    </row>
    <row r="35" spans="3:4">
      <c r="C35">
        <v>3</v>
      </c>
      <c r="D35" t="s">
        <v>168</v>
      </c>
    </row>
    <row r="36" spans="3:4">
      <c r="C36">
        <v>0</v>
      </c>
      <c r="D36" t="s">
        <v>169</v>
      </c>
    </row>
    <row r="37" spans="3:4">
      <c r="C37">
        <v>-3</v>
      </c>
      <c r="D37" t="s">
        <v>170</v>
      </c>
    </row>
    <row r="38" spans="3:4">
      <c r="C38">
        <v>30</v>
      </c>
      <c r="D38" t="s">
        <v>171</v>
      </c>
    </row>
    <row r="39" spans="3:4">
      <c r="C39">
        <v>5</v>
      </c>
      <c r="D39" t="s">
        <v>172</v>
      </c>
    </row>
    <row r="40" spans="3:4">
      <c r="C40">
        <v>-10</v>
      </c>
      <c r="D40" t="s">
        <v>173</v>
      </c>
    </row>
    <row r="41" spans="3:4">
      <c r="C41">
        <v>3</v>
      </c>
      <c r="D41" t="s">
        <v>174</v>
      </c>
    </row>
    <row r="42" spans="3:4">
      <c r="C42">
        <v>138</v>
      </c>
      <c r="D42" t="s">
        <v>175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77</v>
      </c>
      <c r="B1" s="8" t="s">
        <v>78</v>
      </c>
      <c r="C1" s="8" t="s">
        <v>79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221</v>
      </c>
      <c r="F3" t="s">
        <v>222</v>
      </c>
      <c r="G3" t="s">
        <v>223</v>
      </c>
      <c r="H3" t="s">
        <v>224</v>
      </c>
      <c r="I3" t="s">
        <v>225</v>
      </c>
      <c r="J3" t="s">
        <v>226</v>
      </c>
    </row>
    <row r="4" spans="3:10">
      <c r="C4" s="67" t="s">
        <v>227</v>
      </c>
      <c r="D4" t="s">
        <v>228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229</v>
      </c>
      <c r="D5" t="s">
        <v>230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231</v>
      </c>
      <c r="D6" t="s">
        <v>230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232</v>
      </c>
      <c r="D7" t="s">
        <v>230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233</v>
      </c>
      <c r="D8" t="s">
        <v>234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235</v>
      </c>
      <c r="D9" t="s">
        <v>234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236</v>
      </c>
      <c r="D10" t="s">
        <v>234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239</v>
      </c>
      <c r="D11" t="s">
        <v>230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237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237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237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237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238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234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234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234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1E-A-01  岳亮</cp:lastModifiedBy>
  <dcterms:created xsi:type="dcterms:W3CDTF">2019-12-18T08:38:17Z</dcterms:created>
  <dcterms:modified xsi:type="dcterms:W3CDTF">2020-05-03T13:02:28Z</dcterms:modified>
</cp:coreProperties>
</file>